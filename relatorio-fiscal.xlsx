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"/>
    </mc:Choice>
  </mc:AlternateContent>
  <xr:revisionPtr revIDLastSave="0" documentId="13_ncr:1_{C26110FF-0C75-4428-B457-1D43DF896DA0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C2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<sst xmlns="http://schemas.openxmlformats.org/spreadsheetml/2006/main" count="1149" uniqueCount="41">
  <si>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</si>
  <si>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</si>
  <si>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</si>
  <si>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</si>
  <si>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</si>
  <si>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</si>
  <si>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</si>
  <si>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</si>
  <si>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</si>
  <si>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</si>
  <si>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</si>
  <si>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</si>
  <si>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</si>
  <si>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</si>
  <si>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</si>
  <si>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</si>
  <si>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</si>
  <si>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</si>
  <si>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</si>
  <si>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</si>
  <si>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</si>
  <si>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</si>
  <si>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</si>
  <si>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</si>
  <si>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</si>
  <si>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</si>
  <si>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</si>
  <si>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</si>
  <si>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</si>
  <si>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</si>
  <si>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</si>
  <si>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</si>
  <si>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</si>
  <si>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</si>
  <si>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</si>
  <si>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</si>
  <si>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</si>
  <si>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</si>
  <si>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UNIDADE: COLOQUE SUA UNIDADE AQUI</t>
  </si>
  <si>
    <t>LANÇADAS</t>
  </si>
  <si>
    <t>Por favor, alimente com os campos NF, Fornecedor e Vlr. 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</si>
</sst>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  <xf numFmtId="0" fontId="0" fillId="34" borderId="0" xfId="0" applyFill="1"/>
    <xf numFmtId="0" fontId="21" fillId="34" borderId="0" xfId="0" applyFont="1" applyFill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0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1"/>
    <tableColumn id="12" xr3:uid="{F08AB48B-3C0E-424E-85B1-837A0C359386}" name="Observação" dataDxfId="30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9"/>
  </sortState>
  <tableColumns count="11">
    <tableColumn id="1" xr3:uid="{C31E2042-8A93-409D-B53A-4BDBA38DDBB5}" name="UF" dataDxfId="28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7">
      <calculatedColumnFormula>IF('ENTRADAS-BASE'!D1="","",'ENTRADAS-BASE'!D1)</calculatedColumnFormula>
    </tableColumn>
    <tableColumn id="5" xr3:uid="{AA1F71BB-A975-4A54-BC84-4B8CD60AABF4}" name="CNPJ EMISSOR" dataDxfId="26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5" dataCellStyle="Moeda">
      <calculatedColumnFormula>IF('ENTRADAS-BASE'!J1="","",'ENTRADAS-BASE'!J1)</calculatedColumnFormula>
    </tableColumn>
    <tableColumn id="11" xr3:uid="{A9D897D8-9A4C-44C8-9B35-0ED0B6BDFAEB}" name="RELAÇÃO" dataDxfId="24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3"/>
  </sortState>
  <tableColumns count="11">
    <tableColumn id="1" xr3:uid="{5E1A7490-A264-49E1-9392-87ABE96A7646}" name="UF" dataDxfId="22">
      <calculatedColumnFormula>IF('SAÍDAS-BASE'!A1="","",'SAÍDAS-BASE'!A1)</calculatedColumnFormula>
    </tableColumn>
    <tableColumn id="2" xr3:uid="{C353142A-73A9-4C32-A24D-7ECE1644790B}" name="NF" dataDxfId="21">
      <calculatedColumnFormula>IF('SAÍDAS-BASE'!B1="","",'SAÍDAS-BASE'!B1)</calculatedColumnFormula>
    </tableColumn>
    <tableColumn id="3" xr3:uid="{55C42CFF-D4EB-4624-B424-7655D1407966}" name="SERIE" dataDxfId="20">
      <calculatedColumnFormula>IF('SAÍDAS-BASE'!C1="","",'SAÍDAS-BASE'!C1)</calculatedColumnFormula>
    </tableColumn>
    <tableColumn id="4" xr3:uid="{49487431-73B0-4E59-883F-31B83C40C0BC}" name="EMISSAO" dataDxfId="19">
      <calculatedColumnFormula>IF('SAÍDAS-BASE'!D1="","",'SAÍDAS-BASE'!D1)</calculatedColumnFormula>
    </tableColumn>
    <tableColumn id="5" xr3:uid="{90334490-0326-420F-B309-C9563623576C}" name="CNPJ EMISSOR" dataDxfId="18">
      <calculatedColumnFormula>IF('SAÍDAS-BASE'!E1="","",'SAÍDAS-BASE'!E1)</calculatedColumnFormula>
    </tableColumn>
    <tableColumn id="6" xr3:uid="{74070145-DA93-4A22-AF13-FC6E1FB5DE36}" name="FORNECEDOR" dataDxfId="17">
      <calculatedColumnFormula>IF('SAÍDAS-BASE'!F1="","",'SAÍDAS-BASE'!F1)</calculatedColumnFormula>
    </tableColumn>
    <tableColumn id="7" xr3:uid="{55AF05FE-52F9-4393-B813-8DB08586B74D}" name="CFOP" dataDxfId="16">
      <calculatedColumnFormula>IF('SAÍDAS-BASE'!G1="","",'SAÍDAS-BASE'!G1)</calculatedColumnFormula>
    </tableColumn>
    <tableColumn id="8" xr3:uid="{6F0491B9-8033-4B46-B2C1-548FBF71AA5C}" name="SITUACAO" dataDxfId="15">
      <calculatedColumnFormula>IF('SAÍDAS-BASE'!H1="","",'SAÍDAS-BASE'!H1)</calculatedColumnFormula>
    </tableColumn>
    <tableColumn id="9" xr3:uid="{16BE5CA3-3040-481E-BFA5-FDE68FB6613B}" name="TIPO" dataDxfId="14">
      <calculatedColumnFormula>IF('SAÍDAS-BASE'!I1="","",'SAÍDAS-BASE'!I1)</calculatedColumnFormula>
    </tableColumn>
    <tableColumn id="10" xr3:uid="{4CCD9BEB-0445-4D46-9C54-D0ABF2F59B17}" name="VALOR" dataDxfId="13" dataCellStyle="Moeda">
      <calculatedColumnFormula>IF('SAÍDAS-BASE'!J1="","",'SAÍDAS-BASE'!J1)</calculatedColumnFormula>
    </tableColumn>
    <tableColumn id="11" xr3:uid="{D1126F0C-6D1A-4E91-81FD-FDC6427FA2FE}" name="RELAÇÃO" dataDxfId="12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1" dataDxfId="10">
  <autoFilter ref="A7:I697" xr:uid="{49F45F82-F448-4A9E-BBBE-A0FEBC5D72CD}"/>
  <tableColumns count="9">
    <tableColumn id="1" xr3:uid="{AB11FFDA-F82B-41F2-9F9F-FFCA87A09BB6}" name="Entrada" dataDxfId="9"/>
    <tableColumn id="2" xr3:uid="{889DDA12-D066-4BE2-BD38-A7DFD05775F4}" name="NF" dataDxfId="8"/>
    <tableColumn id="3" xr3:uid="{FCF62964-449B-40E5-B04E-39DB5F8B70E1}" name="Fornecedor" dataDxfId="7"/>
    <tableColumn id="4" xr3:uid="{603ED454-3486-415E-AECA-FC72C99AA701}" name="Desconto" dataDxfId="6"/>
    <tableColumn id="5" xr3:uid="{B92D405A-D233-49F1-ADA9-8A78DD2928AC}" name="Vlr. Nota" dataDxfId="5" dataCellStyle="Moeda"/>
    <tableColumn id="6" xr3:uid="{4CA2E5A6-92B5-49C7-B77E-0DBC5E36CC7B}" name="Valor Contas a Pagar" dataDxfId="4" dataCellStyle="Moeda"/>
    <tableColumn id="7" xr3:uid="{8E109A0D-E7A0-48C9-9086-B12DD2D7BDE1}" name="Pedido" dataDxfId="3"/>
    <tableColumn id="8" xr3:uid="{790A0571-12C4-47A7-9C32-D5609291E164}" name="Conferência" dataDxfId="2"/>
    <tableColumn id="9" xr3:uid="{221765C4-D1A2-4463-B7BA-C3AACEC5B118}" name="Data Emissão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5" sqref="F15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2" t="str">
        <f ca="1">IF(DAY(TODAY())&gt;6,
    "RELATÓRIO FISCAL | "&amp;F6&amp;" "&amp;G6,
    "RELATÓRIO FISCAL | "&amp;F7&amp;" "&amp;G7
)</f>
        <v>RELATÓRIO FISCAL | JANEIRO 2026</v>
      </c>
      <c r="D2" s="22"/>
      <c r="E2" s="22"/>
      <c r="F2" s="22"/>
      <c r="G2" s="22"/>
      <c r="H2" s="16"/>
      <c r="I2" s="16"/>
      <c r="J2" s="16"/>
      <c r="K2" s="15"/>
    </row>
    <row r="3" spans="2:11" s="13" customFormat="1" ht="15" customHeight="1" x14ac:dyDescent="0.25">
      <c r="C3" s="22"/>
      <c r="D3" s="22"/>
      <c r="E3" s="22"/>
      <c r="F3" s="22"/>
      <c r="G3" s="22"/>
      <c r="H3" s="16"/>
      <c r="I3" s="16"/>
      <c r="J3" s="16"/>
      <c r="K3" s="15"/>
    </row>
    <row r="4" spans="2:11" s="13" customFormat="1" x14ac:dyDescent="0.25">
      <c r="C4" s="23" t="s">
        <v>38</v>
      </c>
      <c r="D4" s="23"/>
      <c r="E4" s="23"/>
      <c r="F4" s="23"/>
      <c r="G4" s="23"/>
      <c r="H4" s="17"/>
      <c r="I4" s="17"/>
      <c r="J4" s="17"/>
      <c r="K4" s="15"/>
    </row>
    <row r="5" spans="2:11" x14ac:dyDescent="0.25">
      <c r="B5" s="20" t="s">
        <v>22</v>
      </c>
      <c r="C5" s="20"/>
      <c r="D5">
        <f>COUNTIF(RELATORIO[STATUS],"RECEBIDA")</f>
        <v>0</v>
      </c>
    </row>
    <row r="6" spans="2:11" x14ac:dyDescent="0.25">
      <c r="B6" s="20" t="s">
        <v>32</v>
      </c>
      <c r="C6" s="20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39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0" t="s">
        <v>25</v>
      </c>
      <c r="C8" s="20"/>
      <c r="D8">
        <f>COUNTIF(RELATORIO[STATUS],"CANCELADA")</f>
        <v>0</v>
      </c>
    </row>
    <row r="9" spans="2:11" x14ac:dyDescent="0.25">
      <c r="B9" s="20" t="s">
        <v>23</v>
      </c>
      <c r="C9" s="20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0" t="s">
        <v>26</v>
      </c>
      <c r="C11" s="20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1" t="s">
        <v>28</v>
      </c>
      <c r="C16" s="21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2:G3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4" t="s">
        <v>37</v>
      </c>
      <c r="B1" s="24"/>
      <c r="C1" s="24"/>
      <c r="D1" s="24"/>
      <c r="E1" s="24"/>
      <c r="F1" s="24"/>
      <c r="G1" s="24"/>
      <c r="H1" s="24"/>
    </row>
    <row r="3" spans="1:9" x14ac:dyDescent="0.25">
      <c r="A3" s="25" t="s">
        <v>14</v>
      </c>
      <c r="B3" s="25"/>
      <c r="C3" s="25"/>
      <c r="D3" s="25"/>
      <c r="E3" s="25"/>
      <c r="F3" s="25"/>
      <c r="G3" s="25"/>
      <c r="H3" s="25"/>
    </row>
    <row r="4" spans="1:9" x14ac:dyDescent="0.25">
      <c r="A4" s="25" t="s">
        <v>15</v>
      </c>
      <c r="B4" s="25"/>
      <c r="C4" s="25"/>
      <c r="D4" s="25"/>
      <c r="E4" s="25"/>
      <c r="F4" s="25"/>
      <c r="G4" s="25"/>
      <c r="H4" s="25"/>
    </row>
    <row r="5" spans="1:9" x14ac:dyDescent="0.25">
      <c r="A5" t="s">
        <v>29</v>
      </c>
      <c r="C5" s="27" t="s">
        <v>40</v>
      </c>
      <c r="D5" s="26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191"/>
  <sheetViews>
    <sheetView workbookViewId="0"/>
  </sheetViews>
  <sheetFormatPr defaultRowHeight="15" x14ac:dyDescent="0.25"/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2026-01-12T19:12:59Z</dcterms:modified>
</cp:coreProperties>
</file>