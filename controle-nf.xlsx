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2A5B07D4-AB3E-4C8B-A2E4-5E6991716BCE}" xr6:coauthVersionLast="47" xr6:coauthVersionMax="47" xr10:uidLastSave="{00000000-0000-0000-0000-000000000000}"/>
  <bookViews>
    <workbookView xWindow="-108" yWindow="-108" windowWidth="23256" windowHeight="13896" activeTab="1" xr2:uid="{1168BAFD-7D97-4F20-857C-2639D9DD72D8}"/>
  </bookViews>
  <sheets>
    <sheet name="DASHBOARD" sheetId="12" r:id="rId1"/>
    <sheet name="RELATÓRIO" sheetId="5" r:id="rId2"/>
    <sheet name="ENTRADAS" sheetId="4" state="hidden" r:id="rId3"/>
    <sheet name="ENTRADAS-BASE" sheetId="9" state="hidden" r:id="rId4"/>
    <sheet name="SAÍDAS" sheetId="3" state="hidden" r:id="rId5"/>
    <sheet name="SAÍDAS-BASE" sheetId="7" state="hidden" r:id="rId6"/>
    <sheet name="SISTEMA" sheetId="6" r:id="rId7"/>
    <sheet name="SEFAZ" sheetId="2" r:id="rId8"/>
    <sheet name="ANALISES" sheetId="11" r:id="rId9"/>
  </sheets>
  <definedNames>
    <definedName name="_xlnm._FilterDatabase" localSheetId="7" hidden="1">SEFAZ!$A$1:$V$464</definedName>
    <definedName name="SegmentaçãodeDados_STATUS">#N/A</definedName>
    <definedName name="SegmentaçãodeDados_TIPO">#N/A</definedName>
  </definedNames>
  <calcPr calcId="191029"/>
  <pivotCaches>
    <pivotCache cacheId="10" r:id="rId10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5" l="1"/>
  <c r="G6" i="5"/>
  <c r="G7" i="5"/>
  <c r="F7" i="5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6" i="4" l="1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J8" i="6"/>
  <c r="C4" i="12"/>
  <c r="E17" i="11"/>
  <c r="D17" i="11"/>
  <c r="E14" i="11"/>
  <c r="E18" i="11" s="1"/>
  <c r="G5" i="11"/>
  <c r="G6" i="11"/>
  <c r="G7" i="11"/>
  <c r="G8" i="11"/>
  <c r="G9" i="11"/>
  <c r="G10" i="11"/>
  <c r="G11" i="11"/>
  <c r="G12" i="11"/>
  <c r="G13" i="11"/>
  <c r="G4" i="11"/>
  <c r="K8" i="6"/>
  <c r="B18" i="5"/>
  <c r="C213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D18" i="11" l="1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K18" i="5" l="1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E18" i="5"/>
  <c r="C2" i="5" s="1"/>
  <c r="C2" i="12" s="1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L205" i="5" l="1" a="1"/>
  <c r="L205" i="5" s="1"/>
  <c r="L219" i="5" a="1"/>
  <c r="L219" i="5" s="1"/>
  <c r="L278" i="5" a="1"/>
  <c r="L278" i="5" s="1"/>
  <c r="L223" i="5" a="1"/>
  <c r="L223" i="5" s="1"/>
  <c r="L150" i="5" a="1"/>
  <c r="L150" i="5" s="1"/>
  <c r="L64" i="5" a="1"/>
  <c r="L64" i="5" s="1"/>
  <c r="L346" i="5" a="1"/>
  <c r="L346" i="5" s="1"/>
  <c r="L187" i="5" a="1"/>
  <c r="L187" i="5" s="1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464" i="5"/>
  <c r="B465" i="5"/>
  <c r="B466" i="5"/>
  <c r="B467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4" i="4" l="1"/>
  <c r="L5" i="4"/>
  <c r="L290" i="5" a="1"/>
  <c r="L290" i="5" s="1"/>
  <c r="L339" i="5" a="1"/>
  <c r="L339" i="5" s="1"/>
  <c r="L26" i="5" a="1"/>
  <c r="L26" i="5" s="1"/>
  <c r="L61" i="5" a="1"/>
  <c r="L61" i="5" s="1"/>
  <c r="L168" i="5" a="1"/>
  <c r="L168" i="5" s="1"/>
  <c r="L324" i="5" a="1"/>
  <c r="L324" i="5" s="1"/>
  <c r="L143" i="5" a="1"/>
  <c r="L143" i="5" s="1"/>
  <c r="L299" i="5" a="1"/>
  <c r="L299" i="5" s="1"/>
  <c r="L130" i="5" a="1"/>
  <c r="L130" i="5" s="1"/>
  <c r="L310" i="5" a="1"/>
  <c r="L310" i="5" s="1"/>
  <c r="L55" i="5" a="1"/>
  <c r="L55" i="5" s="1"/>
  <c r="L107" i="5" a="1"/>
  <c r="L107" i="5" s="1"/>
  <c r="L287" i="5" a="1"/>
  <c r="L287" i="5" s="1"/>
  <c r="L298" i="5" a="1"/>
  <c r="L298" i="5" s="1"/>
  <c r="L18" i="5" a="1"/>
  <c r="L18" i="5" s="1"/>
  <c r="L222" i="5" a="1"/>
  <c r="L222" i="5" s="1"/>
  <c r="L303" i="5" a="1"/>
  <c r="L303" i="5" s="1"/>
  <c r="L326" i="5" a="1"/>
  <c r="L326" i="5" s="1"/>
  <c r="L29" i="5" a="1"/>
  <c r="L29" i="5" s="1"/>
  <c r="L325" i="5" a="1"/>
  <c r="L325" i="5" s="1"/>
  <c r="L144" i="5" a="1"/>
  <c r="L144" i="5" s="1"/>
  <c r="L95" i="5" a="1"/>
  <c r="L95" i="5" s="1"/>
  <c r="L275" i="5" a="1"/>
  <c r="L275" i="5" s="1"/>
  <c r="L286" i="5" a="1"/>
  <c r="L286" i="5" s="1"/>
  <c r="L240" i="5" a="1"/>
  <c r="L240" i="5" s="1"/>
  <c r="L251" i="5" a="1"/>
  <c r="L251" i="5" s="1"/>
  <c r="L280" i="5" a="1"/>
  <c r="L280" i="5" s="1"/>
  <c r="L194" i="5" a="1"/>
  <c r="L194" i="5" s="1"/>
  <c r="L212" i="5" a="1"/>
  <c r="L212" i="5" s="1"/>
  <c r="L108" i="5" a="1"/>
  <c r="L108" i="5" s="1"/>
  <c r="L59" i="5" a="1"/>
  <c r="L59" i="5" s="1"/>
  <c r="L226" i="5" a="1"/>
  <c r="L226" i="5" s="1"/>
  <c r="L244" i="5" a="1"/>
  <c r="L244" i="5" s="1"/>
  <c r="L157" i="5" a="1"/>
  <c r="L157" i="5" s="1"/>
  <c r="L221" i="5" a="1"/>
  <c r="L221" i="5" s="1"/>
  <c r="L216" i="5" a="1"/>
  <c r="L216" i="5" s="1"/>
  <c r="L227" i="5" a="1"/>
  <c r="L227" i="5" s="1"/>
  <c r="L214" i="5" a="1"/>
  <c r="L214" i="5" s="1"/>
  <c r="L220" i="5" a="1"/>
  <c r="L220" i="5" s="1"/>
  <c r="L133" i="5" a="1"/>
  <c r="L133" i="5" s="1"/>
  <c r="L208" i="5" a="1"/>
  <c r="L208" i="5" s="1"/>
  <c r="L246" i="5" a="1"/>
  <c r="L246" i="5" s="1"/>
  <c r="L266" i="5" a="1"/>
  <c r="L266" i="5" s="1"/>
  <c r="L327" i="5" a="1"/>
  <c r="L327" i="5" s="1"/>
  <c r="L338" i="5" a="1"/>
  <c r="L338" i="5" s="1"/>
  <c r="L316" i="5" a="1"/>
  <c r="L316" i="5" s="1"/>
  <c r="L138" i="5" a="1"/>
  <c r="L138" i="5" s="1"/>
  <c r="L52" i="5" a="1"/>
  <c r="L52" i="5" s="1"/>
  <c r="L156" i="5" a="1"/>
  <c r="L156" i="5" s="1"/>
  <c r="L312" i="5" a="1"/>
  <c r="L312" i="5" s="1"/>
  <c r="L118" i="5" a="1"/>
  <c r="L118" i="5" s="1"/>
  <c r="L242" i="5" a="1"/>
  <c r="L242" i="5" s="1"/>
  <c r="L256" i="5" a="1"/>
  <c r="L256" i="5" s="1"/>
  <c r="L300" i="5" a="1"/>
  <c r="L300" i="5" s="1"/>
  <c r="L106" i="5" a="1"/>
  <c r="L106" i="5" s="1"/>
  <c r="L301" i="5" a="1"/>
  <c r="L301" i="5" s="1"/>
  <c r="L238" i="5" a="1"/>
  <c r="L238" i="5" s="1"/>
  <c r="L233" i="5" a="1"/>
  <c r="L233" i="5" s="1"/>
  <c r="L239" i="5" a="1"/>
  <c r="L239" i="5" s="1"/>
  <c r="L352" i="5" a="1"/>
  <c r="L352" i="5" s="1"/>
  <c r="L96" i="5" a="1"/>
  <c r="L96" i="5" s="1"/>
  <c r="L328" i="5" a="1"/>
  <c r="L328" i="5" s="1"/>
  <c r="L203" i="5" a="1"/>
  <c r="L203" i="5" s="1"/>
  <c r="L197" i="5" a="1"/>
  <c r="L197" i="5" s="1"/>
  <c r="L302" i="5" a="1"/>
  <c r="L302" i="5" s="1"/>
  <c r="L99" i="5" a="1"/>
  <c r="L99" i="5" s="1"/>
  <c r="L353" i="5" a="1"/>
  <c r="L353" i="5" s="1"/>
  <c r="L313" i="5" a="1"/>
  <c r="L313" i="5" s="1"/>
  <c r="L132" i="5" a="1"/>
  <c r="L132" i="5" s="1"/>
  <c r="L288" i="5" a="1"/>
  <c r="L288" i="5" s="1"/>
  <c r="L83" i="5" a="1"/>
  <c r="L83" i="5" s="1"/>
  <c r="L263" i="5" a="1"/>
  <c r="L263" i="5" s="1"/>
  <c r="L94" i="5" a="1"/>
  <c r="L94" i="5" s="1"/>
  <c r="L274" i="5" a="1"/>
  <c r="L274" i="5" s="1"/>
  <c r="L304" i="5" a="1"/>
  <c r="L304" i="5" s="1"/>
  <c r="L97" i="5" a="1"/>
  <c r="L97" i="5" s="1"/>
  <c r="L206" i="5" a="1"/>
  <c r="L206" i="5" s="1"/>
  <c r="L63" i="5" a="1"/>
  <c r="L63" i="5" s="1"/>
  <c r="L341" i="5" a="1"/>
  <c r="L341" i="5" s="1"/>
  <c r="L120" i="5" a="1"/>
  <c r="L120" i="5" s="1"/>
  <c r="L71" i="5" a="1"/>
  <c r="L71" i="5" s="1"/>
  <c r="L82" i="5" a="1"/>
  <c r="L82" i="5" s="1"/>
  <c r="L77" i="5" a="1"/>
  <c r="L77" i="5" s="1"/>
  <c r="L181" i="5" a="1"/>
  <c r="L181" i="5" s="1"/>
  <c r="L289" i="5" a="1"/>
  <c r="L289" i="5" s="1"/>
  <c r="L228" i="5" a="1"/>
  <c r="L228" i="5" s="1"/>
  <c r="L70" i="5" a="1"/>
  <c r="L70" i="5" s="1"/>
  <c r="L182" i="5" a="1"/>
  <c r="L182" i="5" s="1"/>
  <c r="L92" i="5" a="1"/>
  <c r="L92" i="5" s="1"/>
  <c r="L277" i="5" a="1"/>
  <c r="L277" i="5" s="1"/>
  <c r="L47" i="5" a="1"/>
  <c r="L47" i="5" s="1"/>
  <c r="L58" i="5" a="1"/>
  <c r="L58" i="5" s="1"/>
  <c r="L170" i="5" a="1"/>
  <c r="L170" i="5" s="1"/>
  <c r="L128" i="5" a="1"/>
  <c r="L128" i="5" s="1"/>
  <c r="L48" i="5" a="1"/>
  <c r="L48" i="5" s="1"/>
  <c r="L195" i="5" a="1"/>
  <c r="L195" i="5" s="1"/>
  <c r="L50" i="5" a="1"/>
  <c r="L50" i="5" s="1"/>
  <c r="L196" i="5" a="1"/>
  <c r="L196" i="5" s="1"/>
  <c r="L336" i="5" a="1"/>
  <c r="L336" i="5" s="1"/>
  <c r="L166" i="5" a="1"/>
  <c r="L166" i="5" s="1"/>
  <c r="L67" i="5" a="1"/>
  <c r="L67" i="5" s="1"/>
  <c r="L179" i="5" a="1"/>
  <c r="L179" i="5" s="1"/>
  <c r="L314" i="5" a="1"/>
  <c r="L314" i="5" s="1"/>
  <c r="L76" i="5" a="1"/>
  <c r="L76" i="5" s="1"/>
  <c r="L22" i="5" a="1"/>
  <c r="L22" i="5" s="1"/>
  <c r="L358" i="5" a="1"/>
  <c r="L358" i="5" s="1"/>
  <c r="L87" i="5" a="1"/>
  <c r="L87" i="5" s="1"/>
  <c r="L334" i="5" a="1"/>
  <c r="L334" i="5" s="1"/>
  <c r="L39" i="5" a="1"/>
  <c r="L39" i="5" s="1"/>
  <c r="L192" i="5" a="1"/>
  <c r="L192" i="5" s="1"/>
  <c r="L283" i="5" a="1"/>
  <c r="L283" i="5" s="1"/>
  <c r="L162" i="5" a="1"/>
  <c r="L162" i="5" s="1"/>
  <c r="L215" i="5" a="1"/>
  <c r="L215" i="5" s="1"/>
  <c r="L62" i="5" a="1"/>
  <c r="L62" i="5" s="1"/>
  <c r="L98" i="5" a="1"/>
  <c r="L98" i="5" s="1"/>
  <c r="L38" i="5" a="1"/>
  <c r="L38" i="5" s="1"/>
  <c r="L100" i="5" a="1"/>
  <c r="L100" i="5" s="1"/>
  <c r="L191" i="5" a="1"/>
  <c r="L191" i="5" s="1"/>
  <c r="L154" i="5" a="1"/>
  <c r="L154" i="5" s="1"/>
  <c r="L350" i="5" a="1"/>
  <c r="L350" i="5" s="1"/>
  <c r="L142" i="5" a="1"/>
  <c r="L142" i="5" s="1"/>
  <c r="L121" i="5" a="1"/>
  <c r="L121" i="5" s="1"/>
  <c r="L167" i="5" a="1"/>
  <c r="L167" i="5" s="1"/>
  <c r="L155" i="5" a="1"/>
  <c r="L155" i="5" s="1"/>
  <c r="L73" i="5" a="1"/>
  <c r="L73" i="5" s="1"/>
  <c r="L295" i="5" a="1"/>
  <c r="L295" i="5" s="1"/>
  <c r="L359" i="5" a="1"/>
  <c r="L359" i="5" s="1"/>
  <c r="L351" i="5" a="1"/>
  <c r="L351" i="5" s="1"/>
  <c r="L344" i="5" a="1"/>
  <c r="L344" i="5" s="1"/>
  <c r="L311" i="5" a="1"/>
  <c r="L311" i="5" s="1"/>
  <c r="L158" i="5" a="1"/>
  <c r="L158" i="5" s="1"/>
  <c r="L24" i="5" a="1"/>
  <c r="L24" i="5" s="1"/>
  <c r="L199" i="5" a="1"/>
  <c r="L199" i="5" s="1"/>
  <c r="L348" i="5" a="1"/>
  <c r="L348" i="5" s="1"/>
  <c r="L88" i="5" a="1"/>
  <c r="L88" i="5" s="1"/>
  <c r="L109" i="5" a="1"/>
  <c r="L109" i="5" s="1"/>
  <c r="L23" i="5" a="1"/>
  <c r="L23" i="5" s="1"/>
  <c r="L180" i="5" a="1"/>
  <c r="L180" i="5" s="1"/>
  <c r="L36" i="5" a="1"/>
  <c r="L36" i="5" s="1"/>
  <c r="L202" i="5" a="1"/>
  <c r="L202" i="5" s="1"/>
  <c r="L292" i="5" a="1"/>
  <c r="L292" i="5" s="1"/>
  <c r="L85" i="5" a="1"/>
  <c r="L85" i="5" s="1"/>
  <c r="L253" i="5" a="1"/>
  <c r="L253" i="5" s="1"/>
  <c r="L35" i="5" a="1"/>
  <c r="L35" i="5" s="1"/>
  <c r="L241" i="5" a="1"/>
  <c r="L241" i="5" s="1"/>
  <c r="L322" i="5" a="1"/>
  <c r="L322" i="5" s="1"/>
  <c r="L347" i="5" a="1"/>
  <c r="L347" i="5" s="1"/>
  <c r="L211" i="5" a="1"/>
  <c r="L211" i="5" s="1"/>
  <c r="L131" i="5" a="1"/>
  <c r="L131" i="5" s="1"/>
  <c r="L119" i="5" a="1"/>
  <c r="L119" i="5" s="1"/>
  <c r="L103" i="5" a="1"/>
  <c r="L103" i="5" s="1"/>
  <c r="L81" i="5" a="1"/>
  <c r="L81" i="5" s="1"/>
  <c r="L307" i="5" a="1"/>
  <c r="L307" i="5" s="1"/>
  <c r="L285" i="5" a="1"/>
  <c r="L285" i="5" s="1"/>
  <c r="L248" i="5" a="1"/>
  <c r="L248" i="5" s="1"/>
  <c r="L31" i="5" a="1"/>
  <c r="L31" i="5" s="1"/>
  <c r="L305" i="5" a="1"/>
  <c r="L305" i="5" s="1"/>
  <c r="L40" i="5" a="1"/>
  <c r="L40" i="5" s="1"/>
  <c r="L135" i="5" a="1"/>
  <c r="L135" i="5" s="1"/>
  <c r="L101" i="5" a="1"/>
  <c r="L101" i="5" s="1"/>
  <c r="L198" i="5" a="1"/>
  <c r="L198" i="5" s="1"/>
  <c r="L53" i="5" a="1"/>
  <c r="L53" i="5" s="1"/>
  <c r="L74" i="5" a="1"/>
  <c r="L74" i="5" s="1"/>
  <c r="L84" i="5" a="1"/>
  <c r="L84" i="5" s="1"/>
  <c r="L72" i="5" a="1"/>
  <c r="L72" i="5" s="1"/>
  <c r="L297" i="5" a="1"/>
  <c r="L297" i="5" s="1"/>
  <c r="L332" i="5" a="1"/>
  <c r="L332" i="5" s="1"/>
  <c r="L213" i="5" a="1"/>
  <c r="L213" i="5" s="1"/>
  <c r="L164" i="5" a="1"/>
  <c r="L164" i="5" s="1"/>
  <c r="L245" i="5" a="1"/>
  <c r="L245" i="5" s="1"/>
  <c r="L291" i="5" a="1"/>
  <c r="L291" i="5" s="1"/>
  <c r="L148" i="5" a="1"/>
  <c r="L148" i="5" s="1"/>
  <c r="L114" i="5" a="1"/>
  <c r="L114" i="5" s="1"/>
  <c r="L172" i="5" a="1"/>
  <c r="L172" i="5" s="1"/>
  <c r="L60" i="5" a="1"/>
  <c r="L60" i="5" s="1"/>
  <c r="L19" i="5" a="1"/>
  <c r="L19" i="5" s="1"/>
  <c r="L65" i="5" a="1"/>
  <c r="L65" i="5" s="1"/>
  <c r="L306" i="5" a="1"/>
  <c r="L306" i="5" s="1"/>
  <c r="L49" i="5" a="1"/>
  <c r="L49" i="5" s="1"/>
  <c r="L200" i="5" a="1"/>
  <c r="L200" i="5" s="1"/>
  <c r="L45" i="5" a="1"/>
  <c r="L45" i="5" s="1"/>
  <c r="L126" i="5" a="1"/>
  <c r="L126" i="5" s="1"/>
  <c r="L231" i="5" a="1"/>
  <c r="L231" i="5" s="1"/>
  <c r="L257" i="5" a="1"/>
  <c r="L257" i="5" s="1"/>
  <c r="L37" i="5" a="1"/>
  <c r="L37" i="5" s="1"/>
  <c r="L201" i="5" a="1"/>
  <c r="L201" i="5" s="1"/>
  <c r="L247" i="5" a="1"/>
  <c r="L247" i="5" s="1"/>
  <c r="L340" i="5" a="1"/>
  <c r="L340" i="5" s="1"/>
  <c r="L342" i="5" a="1"/>
  <c r="L342" i="5" s="1"/>
  <c r="L218" i="5" a="1"/>
  <c r="L218" i="5" s="1"/>
  <c r="L20" i="5" a="1"/>
  <c r="L20" i="5" s="1"/>
  <c r="L151" i="5" a="1"/>
  <c r="L151" i="5" s="1"/>
  <c r="L184" i="5" a="1"/>
  <c r="L184" i="5" s="1"/>
  <c r="L30" i="5" a="1"/>
  <c r="L30" i="5" s="1"/>
  <c r="L149" i="5" a="1"/>
  <c r="L149" i="5" s="1"/>
  <c r="L343" i="5" a="1"/>
  <c r="L343" i="5" s="1"/>
  <c r="L320" i="5" a="1"/>
  <c r="L320" i="5" s="1"/>
  <c r="L42" i="5" a="1"/>
  <c r="L42" i="5" s="1"/>
  <c r="L171" i="5" a="1"/>
  <c r="L171" i="5" s="1"/>
  <c r="L125" i="5" a="1"/>
  <c r="L125" i="5" s="1"/>
  <c r="L252" i="5" a="1"/>
  <c r="L252" i="5" s="1"/>
  <c r="L105" i="5" a="1"/>
  <c r="L105" i="5" s="1"/>
  <c r="L262" i="5" a="1"/>
  <c r="L262" i="5" s="1"/>
  <c r="L250" i="5" a="1"/>
  <c r="L250" i="5" s="1"/>
  <c r="L335" i="5" a="1"/>
  <c r="L335" i="5" s="1"/>
  <c r="L33" i="5" a="1"/>
  <c r="L33" i="5" s="1"/>
  <c r="L259" i="5" a="1"/>
  <c r="L259" i="5" s="1"/>
  <c r="L261" i="5" a="1"/>
  <c r="L261" i="5" s="1"/>
  <c r="L188" i="5" a="1"/>
  <c r="L188" i="5" s="1"/>
  <c r="L354" i="5" a="1"/>
  <c r="L354" i="5" s="1"/>
  <c r="L269" i="5" a="1"/>
  <c r="L269" i="5" s="1"/>
  <c r="L315" i="5" a="1"/>
  <c r="L315" i="5" s="1"/>
  <c r="L123" i="5" a="1"/>
  <c r="L123" i="5" s="1"/>
  <c r="L268" i="5" a="1"/>
  <c r="L268" i="5" s="1"/>
  <c r="L174" i="5" a="1"/>
  <c r="L174" i="5" s="1"/>
  <c r="L232" i="5" a="1"/>
  <c r="L232" i="5" s="1"/>
  <c r="L349" i="5" a="1"/>
  <c r="L349" i="5" s="1"/>
  <c r="L321" i="5" a="1"/>
  <c r="L321" i="5" s="1"/>
  <c r="L178" i="5" a="1"/>
  <c r="L178" i="5" s="1"/>
  <c r="L163" i="5" a="1"/>
  <c r="L163" i="5" s="1"/>
  <c r="L330" i="5" a="1"/>
  <c r="L330" i="5" s="1"/>
  <c r="L111" i="5" a="1"/>
  <c r="L111" i="5" s="1"/>
  <c r="L337" i="5" a="1"/>
  <c r="L337" i="5" s="1"/>
  <c r="L93" i="5" a="1"/>
  <c r="L93" i="5" s="1"/>
  <c r="L281" i="5" a="1"/>
  <c r="L281" i="5" s="1"/>
  <c r="L249" i="5" a="1"/>
  <c r="L249" i="5" s="1"/>
  <c r="L25" i="5" a="1"/>
  <c r="L25" i="5" s="1"/>
  <c r="L104" i="5" a="1"/>
  <c r="L104" i="5" s="1"/>
  <c r="L207" i="5" a="1"/>
  <c r="L207" i="5" s="1"/>
  <c r="L276" i="5" a="1"/>
  <c r="L276" i="5" s="1"/>
  <c r="L56" i="5" a="1"/>
  <c r="L56" i="5" s="1"/>
  <c r="L134" i="5" a="1"/>
  <c r="L134" i="5" s="1"/>
  <c r="L129" i="5" a="1"/>
  <c r="L129" i="5" s="1"/>
  <c r="L293" i="5" a="1"/>
  <c r="L293" i="5" s="1"/>
  <c r="L235" i="5" a="1"/>
  <c r="L235" i="5" s="1"/>
  <c r="L237" i="5" a="1"/>
  <c r="L237" i="5" s="1"/>
  <c r="L225" i="5" a="1"/>
  <c r="L225" i="5" s="1"/>
  <c r="L34" i="5" a="1"/>
  <c r="L34" i="5" s="1"/>
  <c r="L308" i="5" a="1"/>
  <c r="L308" i="5" s="1"/>
  <c r="L139" i="5" a="1"/>
  <c r="L139" i="5" s="1"/>
  <c r="L189" i="5" a="1"/>
  <c r="L189" i="5" s="1"/>
  <c r="L140" i="5" a="1"/>
  <c r="L140" i="5" s="1"/>
  <c r="L294" i="5" a="1"/>
  <c r="L294" i="5" s="1"/>
  <c r="L185" i="5" a="1"/>
  <c r="L185" i="5" s="1"/>
  <c r="L279" i="5" a="1"/>
  <c r="L279" i="5" s="1"/>
  <c r="L75" i="5" a="1"/>
  <c r="L75" i="5" s="1"/>
  <c r="L146" i="5" a="1"/>
  <c r="L146" i="5" s="1"/>
  <c r="L78" i="5" a="1"/>
  <c r="L78" i="5" s="1"/>
  <c r="L136" i="5" a="1"/>
  <c r="L136" i="5" s="1"/>
  <c r="L217" i="5" a="1"/>
  <c r="L217" i="5" s="1"/>
  <c r="L165" i="5" a="1"/>
  <c r="L165" i="5" s="1"/>
  <c r="L141" i="5" a="1"/>
  <c r="L141" i="5" s="1"/>
  <c r="L345" i="5" a="1"/>
  <c r="L345" i="5" s="1"/>
  <c r="L260" i="5" a="1"/>
  <c r="L260" i="5" s="1"/>
  <c r="L115" i="5" a="1"/>
  <c r="L115" i="5" s="1"/>
  <c r="L153" i="5" a="1"/>
  <c r="L153" i="5" s="1"/>
  <c r="L68" i="5" a="1"/>
  <c r="L68" i="5" s="1"/>
  <c r="L270" i="5" a="1"/>
  <c r="L270" i="5" s="1"/>
  <c r="L137" i="5" a="1"/>
  <c r="L137" i="5" s="1"/>
  <c r="L267" i="5" a="1"/>
  <c r="L267" i="5" s="1"/>
  <c r="L51" i="5" a="1"/>
  <c r="L51" i="5" s="1"/>
  <c r="L110" i="5" a="1"/>
  <c r="L110" i="5" s="1"/>
  <c r="L54" i="5" a="1"/>
  <c r="L54" i="5" s="1"/>
  <c r="L112" i="5" a="1"/>
  <c r="L112" i="5" s="1"/>
  <c r="L193" i="5" a="1"/>
  <c r="L193" i="5" s="1"/>
  <c r="L69" i="5" a="1"/>
  <c r="L69" i="5" s="1"/>
  <c r="L57" i="5" a="1"/>
  <c r="L57" i="5" s="1"/>
  <c r="L309" i="5" a="1"/>
  <c r="L309" i="5" s="1"/>
  <c r="L236" i="5" a="1"/>
  <c r="L236" i="5" s="1"/>
  <c r="L43" i="5" a="1"/>
  <c r="L43" i="5" s="1"/>
  <c r="L117" i="5" a="1"/>
  <c r="L117" i="5" s="1"/>
  <c r="L32" i="5" a="1"/>
  <c r="L32" i="5" s="1"/>
  <c r="L234" i="5" a="1"/>
  <c r="L234" i="5" s="1"/>
  <c r="L113" i="5" a="1"/>
  <c r="L113" i="5" s="1"/>
  <c r="L255" i="5" a="1"/>
  <c r="L255" i="5" s="1"/>
  <c r="L27" i="5" a="1"/>
  <c r="L27" i="5" s="1"/>
  <c r="L229" i="5" a="1"/>
  <c r="L229" i="5" s="1"/>
  <c r="L317" i="5" a="1"/>
  <c r="L317" i="5" s="1"/>
  <c r="L28" i="5" a="1"/>
  <c r="L28" i="5" s="1"/>
  <c r="L145" i="5" a="1"/>
  <c r="L145" i="5" s="1"/>
  <c r="L296" i="5" a="1"/>
  <c r="L296" i="5" s="1"/>
  <c r="L284" i="5" a="1"/>
  <c r="L284" i="5" s="1"/>
  <c r="L273" i="5" a="1"/>
  <c r="L273" i="5" s="1"/>
  <c r="L176" i="5" a="1"/>
  <c r="L176" i="5" s="1"/>
  <c r="L319" i="5" a="1"/>
  <c r="L319" i="5" s="1"/>
  <c r="L186" i="5" a="1"/>
  <c r="L186" i="5" s="1"/>
  <c r="L243" i="5" a="1"/>
  <c r="L243" i="5" s="1"/>
  <c r="L169" i="5" a="1"/>
  <c r="L169" i="5" s="1"/>
  <c r="L254" i="5" a="1"/>
  <c r="L254" i="5" s="1"/>
  <c r="L224" i="5" a="1"/>
  <c r="L224" i="5" s="1"/>
  <c r="L152" i="5" a="1"/>
  <c r="L152" i="5" s="1"/>
  <c r="L323" i="5" a="1"/>
  <c r="L323" i="5" s="1"/>
  <c r="L271" i="5" a="1"/>
  <c r="L271" i="5" s="1"/>
  <c r="L41" i="5" a="1"/>
  <c r="L41" i="5" s="1"/>
  <c r="L210" i="5" a="1"/>
  <c r="L210" i="5" s="1"/>
  <c r="L230" i="5" a="1"/>
  <c r="L230" i="5" s="1"/>
  <c r="L80" i="5" a="1"/>
  <c r="L80" i="5" s="1"/>
  <c r="L116" i="5" a="1"/>
  <c r="L116" i="5" s="1"/>
  <c r="L190" i="5" a="1"/>
  <c r="L190" i="5" s="1"/>
  <c r="L21" i="5" a="1"/>
  <c r="L21" i="5" s="1"/>
  <c r="L102" i="5" a="1"/>
  <c r="L102" i="5" s="1"/>
  <c r="L90" i="5" a="1"/>
  <c r="L90" i="5" s="1"/>
  <c r="L209" i="5" a="1"/>
  <c r="L209" i="5" s="1"/>
  <c r="L331" i="5" a="1"/>
  <c r="L331" i="5" s="1"/>
  <c r="L177" i="5" a="1"/>
  <c r="L177" i="5" s="1"/>
  <c r="L46" i="5" a="1"/>
  <c r="L46" i="5" s="1"/>
  <c r="L356" i="5" a="1"/>
  <c r="L356" i="5" s="1"/>
  <c r="L66" i="5" a="1"/>
  <c r="L66" i="5" s="1"/>
  <c r="L183" i="5" a="1"/>
  <c r="L183" i="5" s="1"/>
  <c r="L318" i="5" a="1"/>
  <c r="L318" i="5" s="1"/>
  <c r="L264" i="5" a="1"/>
  <c r="L264" i="5" s="1"/>
  <c r="L175" i="5" a="1"/>
  <c r="L175" i="5" s="1"/>
  <c r="L44" i="5" a="1"/>
  <c r="L44" i="5" s="1"/>
  <c r="L357" i="5" a="1"/>
  <c r="L357" i="5" s="1"/>
  <c r="L127" i="5" a="1"/>
  <c r="L127" i="5" s="1"/>
  <c r="L160" i="5" a="1"/>
  <c r="L160" i="5" s="1"/>
  <c r="L282" i="5" a="1"/>
  <c r="L282" i="5" s="1"/>
  <c r="L122" i="5" a="1"/>
  <c r="L122" i="5" s="1"/>
  <c r="L91" i="5" a="1"/>
  <c r="L91" i="5" s="1"/>
  <c r="L355" i="5" a="1"/>
  <c r="L355" i="5" s="1"/>
  <c r="L333" i="5" a="1"/>
  <c r="L333" i="5" s="1"/>
  <c r="L272" i="5" a="1"/>
  <c r="L272" i="5" s="1"/>
  <c r="L173" i="5" a="1"/>
  <c r="L173" i="5" s="1"/>
  <c r="L258" i="5" a="1"/>
  <c r="L258" i="5" s="1"/>
  <c r="L86" i="5" a="1"/>
  <c r="L86" i="5" s="1"/>
  <c r="L204" i="5" a="1"/>
  <c r="L204" i="5" s="1"/>
  <c r="L79" i="5" a="1"/>
  <c r="L79" i="5" s="1"/>
  <c r="L89" i="5" a="1"/>
  <c r="L89" i="5" s="1"/>
  <c r="L329" i="5" a="1"/>
  <c r="L329" i="5" s="1"/>
  <c r="L124" i="5" a="1"/>
  <c r="L124" i="5" s="1"/>
  <c r="L147" i="5" a="1"/>
  <c r="L147" i="5" s="1"/>
  <c r="L161" i="5" a="1"/>
  <c r="L161" i="5" s="1"/>
  <c r="L265" i="5" a="1"/>
  <c r="L265" i="5" s="1"/>
  <c r="L3" i="4"/>
  <c r="L159" i="5" s="1" a="1"/>
  <c r="L15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6" i="5" l="1"/>
  <c r="H5" i="11" s="1"/>
  <c r="N3" i="11" s="1"/>
  <c r="D14" i="5"/>
  <c r="H13" i="11" s="1"/>
  <c r="D13" i="5"/>
  <c r="H12" i="11" s="1"/>
  <c r="D12" i="5"/>
  <c r="H11" i="11" s="1"/>
  <c r="D11" i="5"/>
  <c r="H10" i="11" s="1"/>
  <c r="S3" i="11" s="1"/>
  <c r="B3" i="3"/>
  <c r="L3" i="3" s="1"/>
  <c r="T4" i="11" l="1"/>
  <c r="T3" i="11"/>
  <c r="U3" i="11"/>
  <c r="U4" i="11"/>
  <c r="V3" i="11"/>
  <c r="V4" i="11"/>
  <c r="D9" i="5"/>
  <c r="H8" i="11" s="1"/>
  <c r="Q3" i="11" s="1"/>
  <c r="D7" i="5"/>
  <c r="H6" i="11" s="1"/>
  <c r="O3" i="11" s="1"/>
  <c r="D10" i="5"/>
  <c r="H9" i="11" s="1"/>
  <c r="R3" i="11" s="1"/>
  <c r="D5" i="5"/>
  <c r="H4" i="11" s="1"/>
  <c r="M3" i="11" s="1"/>
  <c r="D8" i="5"/>
  <c r="H7" i="11" s="1"/>
  <c r="P3" i="11" l="1"/>
  <c r="H14" i="11"/>
  <c r="D15" i="5"/>
  <c r="I8" i="11" l="1"/>
  <c r="I11" i="11"/>
  <c r="J11" i="11" s="1"/>
  <c r="T5" i="11" s="1"/>
  <c r="I5" i="11"/>
  <c r="I10" i="11"/>
  <c r="I12" i="11"/>
  <c r="J12" i="11" s="1"/>
  <c r="U5" i="11" s="1"/>
  <c r="I13" i="11"/>
  <c r="J13" i="11" s="1"/>
  <c r="V5" i="11" s="1"/>
  <c r="I9" i="11"/>
  <c r="I7" i="11"/>
  <c r="I4" i="11"/>
  <c r="I6" i="11"/>
  <c r="J4" i="11" l="1"/>
  <c r="M5" i="11" s="1"/>
  <c r="M4" i="11"/>
  <c r="J8" i="11"/>
  <c r="Q5" i="11" s="1"/>
  <c r="Q4" i="11"/>
  <c r="J7" i="11"/>
  <c r="P5" i="11" s="1"/>
  <c r="P4" i="11"/>
  <c r="J10" i="11"/>
  <c r="S5" i="11" s="1"/>
  <c r="S4" i="11"/>
  <c r="J9" i="11"/>
  <c r="R5" i="11" s="1"/>
  <c r="R4" i="11"/>
  <c r="J5" i="11"/>
  <c r="N5" i="11" s="1"/>
  <c r="N4" i="11"/>
  <c r="J6" i="11"/>
  <c r="O5" i="11" s="1"/>
  <c r="O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7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<sst xmlns="http://schemas.openxmlformats.org/spreadsheetml/2006/main" count="1178" uniqueCount="51">
  <si>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</si>
  <si>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</si>
  <si>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</si>
  <si>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</si>
  <si>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</si>
  <si>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</si>
  <si>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</si>
  <si>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</si>
  <si>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</si>
  <si>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</si>
  <si>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</si>
  <si>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</si>
  <si>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</si>
  <si>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</si>
  <si>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</si>
  <si>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</si>
  <si>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</si>
  <si>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</si>
  <si>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</si>
  <si>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</si>
  <si>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</si>
  <si>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</si>
  <si>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</si>
  <si>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</si>
  <si>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</si>
  <si>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</si>
  <si>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</si>
  <si>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</si>
  <si>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</si>
  <si>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</si>
  <si>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</si>
  <si>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</si>
  <si>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</si>
  <si>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</si>
  <si>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</si>
  <si>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</si>
  <si>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</si>
  <si>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</si>
  <si>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Rótulos de Linha</t>
  </si>
  <si>
    <t>Total Geral</t>
  </si>
  <si>
    <t>DIA</t>
  </si>
  <si>
    <t>DIA DA SEMANA</t>
  </si>
  <si>
    <t>Contagem de NF</t>
  </si>
  <si>
    <t>QTDE</t>
  </si>
  <si>
    <t>PERCENTUAL</t>
  </si>
  <si>
    <t>FALTANTE</t>
  </si>
  <si>
    <t>TABELA AUXILIAR DE ESTATISTICA</t>
  </si>
  <si>
    <t>MÉDIA DE NOTAS LANÇADAS POR DIA</t>
  </si>
  <si>
    <t>UNIDADE:</t>
  </si>
  <si>
    <t>SÁB</t>
  </si>
  <si>
    <t>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</si>
</sst>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yy\ hh:mm:ss"/>
    <numFmt numFmtId="165" formatCode="00&quot;.&quot;000&quot;.&quot;000&quot;/&quot;0000&quot;-&quot;00"/>
    <numFmt numFmtId="166" formatCode="_-* #,##0_-;\-* #,##0_-;_-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0DFE6"/>
        <bgColor indexed="64"/>
      </patternFill>
    </fill>
    <fill>
      <patternFill patternType="solid">
        <fgColor rgb="FF15608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0" borderId="0" xfId="0" pivotButton="1"/>
    <xf numFmtId="9" fontId="0" fillId="0" borderId="0" xfId="43" applyFont="1"/>
    <xf numFmtId="10" fontId="0" fillId="0" borderId="0" xfId="43" applyNumberFormat="1" applyFont="1"/>
    <xf numFmtId="10" fontId="0" fillId="0" borderId="0" xfId="0" applyNumberFormat="1"/>
    <xf numFmtId="0" fontId="0" fillId="33" borderId="0" xfId="0" applyFill="1"/>
    <xf numFmtId="0" fontId="0" fillId="34" borderId="0" xfId="0" applyFill="1"/>
    <xf numFmtId="165" fontId="0" fillId="34" borderId="0" xfId="0" applyNumberFormat="1" applyFill="1"/>
    <xf numFmtId="44" fontId="0" fillId="34" borderId="0" xfId="1" applyFont="1" applyFill="1"/>
    <xf numFmtId="0" fontId="18" fillId="34" borderId="0" xfId="0" applyFont="1" applyFill="1" applyAlignment="1">
      <alignment vertical="center"/>
    </xf>
    <xf numFmtId="0" fontId="13" fillId="34" borderId="0" xfId="0" applyFont="1" applyFill="1" applyAlignment="1">
      <alignment vertical="center"/>
    </xf>
    <xf numFmtId="166" fontId="0" fillId="0" borderId="0" xfId="44" applyNumberFormat="1" applyFont="1"/>
    <xf numFmtId="166" fontId="0" fillId="0" borderId="0" xfId="0" applyNumberFormat="1"/>
    <xf numFmtId="166" fontId="16" fillId="0" borderId="0" xfId="44" applyNumberFormat="1" applyFont="1"/>
    <xf numFmtId="0" fontId="18" fillId="34" borderId="0" xfId="0" applyFont="1" applyFill="1" applyAlignment="1">
      <alignment horizontal="left"/>
    </xf>
    <xf numFmtId="0" fontId="13" fillId="34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/>
    <xf numFmtId="0" fontId="0" fillId="0" borderId="0" xfId="0"/>
    <xf numFmtId="0" fontId="16" fillId="0" borderId="0" xfId="0" applyFont="1" applyAlignment="1">
      <alignment horizontal="center"/>
    </xf>
    <xf numFmtId="165" fontId="17" fillId="0" borderId="0" xfId="0" applyNumberFormat="1" applyFont="1"/>
    <xf numFmtId="0" fontId="17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 vertical="top"/>
    </xf>
  </cellXfs>
  <cellStyles count="45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Porcentagem" xfId="43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44" builtinId="3"/>
  </cellStyles>
  <dxfs count="49">
    <dxf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E7EFF2"/>
      <color rgb="FFD0DFE6"/>
      <color rgb="FF1560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[controle-nf.xlsx]ANALISES!Tabela dinâmica2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ANALISES!$A$4:$A$5</c:f>
              <c:strCache>
                <c:ptCount val="1"/>
                <c:pt idx="0">
                  <c:v>00</c:v>
                </c:pt>
              </c:strCache>
            </c:strRef>
          </c:cat>
          <c:val>
            <c:numRef>
              <c:f>ANALISES!$B$4:$B$5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42F-4C40-869D-A2B729DEA1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overlap val="-27"/>
        <c:axId val="507509608"/>
        <c:axId val="451168232"/>
      </c:barChart>
      <c:catAx>
        <c:axId val="50750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1168232"/>
        <c:crosses val="autoZero"/>
        <c:auto val="1"/>
        <c:lblAlgn val="ctr"/>
        <c:lblOffset val="100"/>
        <c:noMultiLvlLbl val="0"/>
      </c:catAx>
      <c:valAx>
        <c:axId val="451168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7509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[controle-nf.xlsx]ANALISES!Tabela dinâmica3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ANALISES!$E$3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ANALISES!$D$4:$D$5</c:f>
              <c:strCache>
                <c:ptCount val="1"/>
                <c:pt idx="0">
                  <c:v>SÁB</c:v>
                </c:pt>
              </c:strCache>
            </c:strRef>
          </c:cat>
          <c:val>
            <c:numRef>
              <c:f>ANALISES!$E$4:$E$5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21B-483F-AE11-884F02E6B8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536958528"/>
        <c:axId val="536958888"/>
      </c:barChart>
      <c:catAx>
        <c:axId val="536958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36958888"/>
        <c:crosses val="autoZero"/>
        <c:auto val="1"/>
        <c:lblAlgn val="ctr"/>
        <c:lblOffset val="100"/>
        <c:noMultiLvlLbl val="0"/>
      </c:catAx>
      <c:valAx>
        <c:axId val="5369588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6958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ANALISES!$M$4:$M$5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156082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ANALISES!$N$4:$N$5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ANALISES!$O$4:$O$5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ANALISES!$P$4:$P$5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ANALISES!$Q$4:$Q$5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ANALISES!$R$4:$R$5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ANALISES!$S$4:$S$5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ANALISES!$T$4:$T$5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ANALISES!$U$4:$U$5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D0DFE6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dPt>
            <c:idx val="0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F4-4DFB-AC18-1D81CC0853FB}"/>
              </c:ext>
            </c:extLst>
          </c:dPt>
          <c:dPt>
            <c:idx val="1"/>
            <c:bubble3D val="0"/>
            <c:spPr>
              <a:solidFill>
                <a:srgbClr val="D0DFE6"/>
              </a:solidFill>
              <a:ln w="19050"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F4-4DFB-AC18-1D81CC0853FB}"/>
              </c:ext>
            </c:extLst>
          </c:dPt>
          <c:val>
            <c:numRef>
              <c:f>ANALISES!$V$4:$V$5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F4-4DFB-AC18-1D81CC08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21</xdr:row>
      <xdr:rowOff>85724</xdr:rowOff>
    </xdr:from>
    <xdr:to>
      <xdr:col>20</xdr:col>
      <xdr:colOff>381000</xdr:colOff>
      <xdr:row>36</xdr:row>
      <xdr:rowOff>57149</xdr:rowOff>
    </xdr:to>
    <xdr:grpSp>
      <xdr:nvGrpSpPr>
        <xdr:cNvPr id="75" name="Agrupar 74">
          <a:extLst>
            <a:ext uri="{FF2B5EF4-FFF2-40B4-BE49-F238E27FC236}">
              <a16:creationId xmlns:a16="http://schemas.microsoft.com/office/drawing/2014/main" id="{87D19699-3869-4E18-9BAE-DC5BEE802BCC}"/>
            </a:ext>
          </a:extLst>
        </xdr:cNvPr>
        <xdr:cNvGrpSpPr/>
      </xdr:nvGrpSpPr>
      <xdr:grpSpPr>
        <a:xfrm>
          <a:off x="76200" y="3975935"/>
          <a:ext cx="12496800" cy="2738688"/>
          <a:chOff x="181587" y="1722182"/>
          <a:chExt cx="9147036" cy="2691820"/>
        </a:xfrm>
      </xdr:grpSpPr>
      <xdr:sp macro="" textlink="">
        <xdr:nvSpPr>
          <xdr:cNvPr id="76" name="Retângulo: Cantos Arredondados 75">
            <a:extLst>
              <a:ext uri="{FF2B5EF4-FFF2-40B4-BE49-F238E27FC236}">
                <a16:creationId xmlns:a16="http://schemas.microsoft.com/office/drawing/2014/main" id="{5B13DD7F-17C5-9E8B-0B5A-55FAC03805AA}"/>
              </a:ext>
            </a:extLst>
          </xdr:cNvPr>
          <xdr:cNvSpPr/>
        </xdr:nvSpPr>
        <xdr:spPr>
          <a:xfrm>
            <a:off x="182880" y="1728278"/>
            <a:ext cx="9145743" cy="2685724"/>
          </a:xfrm>
          <a:prstGeom prst="roundRect">
            <a:avLst>
              <a:gd name="adj" fmla="val 282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7" name="Retângulo: Cantos Arredondados 76">
            <a:extLst>
              <a:ext uri="{FF2B5EF4-FFF2-40B4-BE49-F238E27FC236}">
                <a16:creationId xmlns:a16="http://schemas.microsoft.com/office/drawing/2014/main" id="{A00885D1-66E8-6043-AC32-0E1F65CBCCF8}"/>
              </a:ext>
            </a:extLst>
          </xdr:cNvPr>
          <xdr:cNvSpPr/>
        </xdr:nvSpPr>
        <xdr:spPr>
          <a:xfrm>
            <a:off x="181587" y="1722182"/>
            <a:ext cx="9145743" cy="255908"/>
          </a:xfrm>
          <a:prstGeom prst="roundRect">
            <a:avLst>
              <a:gd name="adj" fmla="val 35514"/>
            </a:avLst>
          </a:prstGeom>
          <a:solidFill>
            <a:srgbClr val="156082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8" name="Retângulo 77">
            <a:extLst>
              <a:ext uri="{FF2B5EF4-FFF2-40B4-BE49-F238E27FC236}">
                <a16:creationId xmlns:a16="http://schemas.microsoft.com/office/drawing/2014/main" id="{ED8FA999-2D87-92D2-66C8-E6B9D876C80F}"/>
              </a:ext>
            </a:extLst>
          </xdr:cNvPr>
          <xdr:cNvSpPr/>
        </xdr:nvSpPr>
        <xdr:spPr>
          <a:xfrm>
            <a:off x="183836" y="1821218"/>
            <a:ext cx="9140445" cy="202559"/>
          </a:xfrm>
          <a:prstGeom prst="rect">
            <a:avLst/>
          </a:prstGeom>
          <a:solidFill>
            <a:srgbClr val="156082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</xdr:grpSp>
    <xdr:clientData/>
  </xdr:twoCellAnchor>
  <xdr:twoCellAnchor>
    <xdr:from>
      <xdr:col>0</xdr:col>
      <xdr:colOff>66676</xdr:colOff>
      <xdr:row>23</xdr:row>
      <xdr:rowOff>9525</xdr:rowOff>
    </xdr:from>
    <xdr:to>
      <xdr:col>20</xdr:col>
      <xdr:colOff>381000</xdr:colOff>
      <xdr:row>36</xdr:row>
      <xdr:rowOff>66674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4B1873-D9A5-4D4D-AD21-8208D2BB5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599066</xdr:colOff>
      <xdr:row>4</xdr:row>
      <xdr:rowOff>101140</xdr:rowOff>
    </xdr:from>
    <xdr:to>
      <xdr:col>20</xdr:col>
      <xdr:colOff>379373</xdr:colOff>
      <xdr:row>21</xdr:row>
      <xdr:rowOff>9525</xdr:rowOff>
    </xdr:to>
    <xdr:grpSp>
      <xdr:nvGrpSpPr>
        <xdr:cNvPr id="79" name="Agrupar 78">
          <a:extLst>
            <a:ext uri="{FF2B5EF4-FFF2-40B4-BE49-F238E27FC236}">
              <a16:creationId xmlns:a16="http://schemas.microsoft.com/office/drawing/2014/main" id="{E8B5465C-5897-FFC7-626C-0893867FF1F3}"/>
            </a:ext>
          </a:extLst>
        </xdr:cNvPr>
        <xdr:cNvGrpSpPr/>
      </xdr:nvGrpSpPr>
      <xdr:grpSpPr>
        <a:xfrm>
          <a:off x="8523866" y="855119"/>
          <a:ext cx="4047507" cy="3044617"/>
          <a:chOff x="8514341" y="834565"/>
          <a:chExt cx="4047507" cy="3146885"/>
        </a:xfrm>
      </xdr:grpSpPr>
      <xdr:grpSp>
        <xdr:nvGrpSpPr>
          <xdr:cNvPr id="71" name="Agrupar 70">
            <a:extLst>
              <a:ext uri="{FF2B5EF4-FFF2-40B4-BE49-F238E27FC236}">
                <a16:creationId xmlns:a16="http://schemas.microsoft.com/office/drawing/2014/main" id="{F88C07D1-45DD-43D6-88AF-BC6C6E24F77A}"/>
              </a:ext>
            </a:extLst>
          </xdr:cNvPr>
          <xdr:cNvGrpSpPr/>
        </xdr:nvGrpSpPr>
        <xdr:grpSpPr>
          <a:xfrm>
            <a:off x="8514341" y="834565"/>
            <a:ext cx="4047507" cy="3070685"/>
            <a:chOff x="92354" y="1718420"/>
            <a:chExt cx="9234976" cy="3178251"/>
          </a:xfrm>
        </xdr:grpSpPr>
        <xdr:sp macro="" textlink="">
          <xdr:nvSpPr>
            <xdr:cNvPr id="72" name="Retângulo: Cantos Arredondados 71">
              <a:extLst>
                <a:ext uri="{FF2B5EF4-FFF2-40B4-BE49-F238E27FC236}">
                  <a16:creationId xmlns:a16="http://schemas.microsoft.com/office/drawing/2014/main" id="{15E18960-5F10-D3EC-E833-1C59FAE2606B}"/>
                </a:ext>
              </a:extLst>
            </xdr:cNvPr>
            <xdr:cNvSpPr/>
          </xdr:nvSpPr>
          <xdr:spPr>
            <a:xfrm>
              <a:off x="117683" y="1718420"/>
              <a:ext cx="9145743" cy="3178251"/>
            </a:xfrm>
            <a:prstGeom prst="roundRect">
              <a:avLst>
                <a:gd name="adj" fmla="val 2821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73" name="Retângulo: Cantos Arredondados 72">
              <a:extLst>
                <a:ext uri="{FF2B5EF4-FFF2-40B4-BE49-F238E27FC236}">
                  <a16:creationId xmlns:a16="http://schemas.microsoft.com/office/drawing/2014/main" id="{59DA1E80-03B3-586E-0EF3-269F9BBB82EE}"/>
                </a:ext>
              </a:extLst>
            </xdr:cNvPr>
            <xdr:cNvSpPr/>
          </xdr:nvSpPr>
          <xdr:spPr>
            <a:xfrm>
              <a:off x="92354" y="1722182"/>
              <a:ext cx="9234976" cy="248537"/>
            </a:xfrm>
            <a:prstGeom prst="roundRect">
              <a:avLst>
                <a:gd name="adj" fmla="val 35514"/>
              </a:avLst>
            </a:prstGeom>
            <a:solidFill>
              <a:srgbClr val="156082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74" name="Retângulo 73">
              <a:extLst>
                <a:ext uri="{FF2B5EF4-FFF2-40B4-BE49-F238E27FC236}">
                  <a16:creationId xmlns:a16="http://schemas.microsoft.com/office/drawing/2014/main" id="{E35BF7F8-86A4-53BB-2C58-1A1ECE3BE5B1}"/>
                </a:ext>
              </a:extLst>
            </xdr:cNvPr>
            <xdr:cNvSpPr/>
          </xdr:nvSpPr>
          <xdr:spPr>
            <a:xfrm>
              <a:off x="94656" y="1821219"/>
              <a:ext cx="9229626" cy="196724"/>
            </a:xfrm>
            <a:prstGeom prst="rect">
              <a:avLst/>
            </a:prstGeom>
            <a:solidFill>
              <a:srgbClr val="156082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</xdr:grp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B6E1BCF-EFB4-4146-96C7-09D0FF09E31C}"/>
              </a:ext>
            </a:extLst>
          </xdr:cNvPr>
          <xdr:cNvGraphicFramePr>
            <a:graphicFrameLocks/>
          </xdr:cNvGraphicFramePr>
        </xdr:nvGraphicFramePr>
        <xdr:xfrm>
          <a:off x="8620125" y="1133475"/>
          <a:ext cx="3924300" cy="28479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0</xdr:col>
      <xdr:colOff>76200</xdr:colOff>
      <xdr:row>4</xdr:row>
      <xdr:rowOff>180975</xdr:rowOff>
    </xdr:from>
    <xdr:to>
      <xdr:col>3</xdr:col>
      <xdr:colOff>19050</xdr:colOff>
      <xdr:row>13</xdr:row>
      <xdr:rowOff>85725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BD69AD56-E001-02D2-90ED-8E353DDDCDC6}"/>
            </a:ext>
          </a:extLst>
        </xdr:cNvPr>
        <xdr:cNvGrpSpPr/>
      </xdr:nvGrpSpPr>
      <xdr:grpSpPr>
        <a:xfrm>
          <a:off x="76200" y="934954"/>
          <a:ext cx="1771650" cy="1565108"/>
          <a:chOff x="257175" y="628650"/>
          <a:chExt cx="1771650" cy="1619250"/>
        </a:xfrm>
      </xdr:grpSpPr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95FE2753-B047-4A2E-A2F3-F5D3AB3F8079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ANALISES!M3">
        <xdr:nvSpPr>
          <xdr:cNvPr id="15" name="CaixaDeTexto 14">
            <a:extLst>
              <a:ext uri="{FF2B5EF4-FFF2-40B4-BE49-F238E27FC236}">
                <a16:creationId xmlns:a16="http://schemas.microsoft.com/office/drawing/2014/main" id="{ADA5A3F5-8AA5-2EE7-EFF9-F842E9A03A46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B1FE830-652E-4C75-B758-A3C5EFA26AB0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16" name="CaixaDeTexto 15">
            <a:extLst>
              <a:ext uri="{FF2B5EF4-FFF2-40B4-BE49-F238E27FC236}">
                <a16:creationId xmlns:a16="http://schemas.microsoft.com/office/drawing/2014/main" id="{51F0DFF2-81DF-76B5-C4D6-1D6811378148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RECEBIDAS</a:t>
            </a:r>
          </a:p>
        </xdr:txBody>
      </xdr:sp>
    </xdr:grpSp>
    <xdr:clientData/>
  </xdr:twoCellAnchor>
  <xdr:twoCellAnchor>
    <xdr:from>
      <xdr:col>2</xdr:col>
      <xdr:colOff>504825</xdr:colOff>
      <xdr:row>4</xdr:row>
      <xdr:rowOff>180975</xdr:rowOff>
    </xdr:from>
    <xdr:to>
      <xdr:col>5</xdr:col>
      <xdr:colOff>447675</xdr:colOff>
      <xdr:row>13</xdr:row>
      <xdr:rowOff>85725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32815823-ADA7-A1FB-2248-8B74E956600A}"/>
            </a:ext>
          </a:extLst>
        </xdr:cNvPr>
        <xdr:cNvGrpSpPr/>
      </xdr:nvGrpSpPr>
      <xdr:grpSpPr>
        <a:xfrm>
          <a:off x="1724025" y="934954"/>
          <a:ext cx="1771650" cy="1565108"/>
          <a:chOff x="257175" y="628650"/>
          <a:chExt cx="1771650" cy="1619250"/>
        </a:xfrm>
      </xdr:grpSpPr>
      <xdr:graphicFrame macro="">
        <xdr:nvGraphicFramePr>
          <xdr:cNvPr id="19" name="Gráfico 18">
            <a:extLst>
              <a:ext uri="{FF2B5EF4-FFF2-40B4-BE49-F238E27FC236}">
                <a16:creationId xmlns:a16="http://schemas.microsoft.com/office/drawing/2014/main" id="{B2BDB455-A6CF-29D6-9276-19B8F26CA074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ANALISES!N3">
        <xdr:nvSpPr>
          <xdr:cNvPr id="20" name="CaixaDeTexto 19">
            <a:extLst>
              <a:ext uri="{FF2B5EF4-FFF2-40B4-BE49-F238E27FC236}">
                <a16:creationId xmlns:a16="http://schemas.microsoft.com/office/drawing/2014/main" id="{2E86028F-79D8-DE89-69A3-DAF9F33316FF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7254C61-B65B-4E24-AC6E-77400E33C207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ANALISES!N2">
        <xdr:nvSpPr>
          <xdr:cNvPr id="21" name="CaixaDeTexto 20">
            <a:extLst>
              <a:ext uri="{FF2B5EF4-FFF2-40B4-BE49-F238E27FC236}">
                <a16:creationId xmlns:a16="http://schemas.microsoft.com/office/drawing/2014/main" id="{AC5B2697-1617-D18A-FC93-7BCC25488EED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A77C2AD7-D181-45BA-8955-95F25D439A51}" type="TxLink"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pPr algn="ctr"/>
              <a:t>NÃO LANÇADAS</a:t>
            </a:fld>
            <a:endParaRPr lang="en-US" sz="18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5</xdr:col>
      <xdr:colOff>323850</xdr:colOff>
      <xdr:row>4</xdr:row>
      <xdr:rowOff>180975</xdr:rowOff>
    </xdr:from>
    <xdr:to>
      <xdr:col>8</xdr:col>
      <xdr:colOff>266700</xdr:colOff>
      <xdr:row>13</xdr:row>
      <xdr:rowOff>85725</xdr:rowOff>
    </xdr:to>
    <xdr:grpSp>
      <xdr:nvGrpSpPr>
        <xdr:cNvPr id="22" name="Agrupar 21">
          <a:extLst>
            <a:ext uri="{FF2B5EF4-FFF2-40B4-BE49-F238E27FC236}">
              <a16:creationId xmlns:a16="http://schemas.microsoft.com/office/drawing/2014/main" id="{6ABF92DC-BA81-06C8-53C5-239D80C755D1}"/>
            </a:ext>
          </a:extLst>
        </xdr:cNvPr>
        <xdr:cNvGrpSpPr/>
      </xdr:nvGrpSpPr>
      <xdr:grpSpPr>
        <a:xfrm>
          <a:off x="3371850" y="934954"/>
          <a:ext cx="1771650" cy="1565108"/>
          <a:chOff x="257175" y="628650"/>
          <a:chExt cx="1771650" cy="1619250"/>
        </a:xfrm>
      </xdr:grpSpPr>
      <xdr:graphicFrame macro="">
        <xdr:nvGraphicFramePr>
          <xdr:cNvPr id="23" name="Gráfico 22">
            <a:extLst>
              <a:ext uri="{FF2B5EF4-FFF2-40B4-BE49-F238E27FC236}">
                <a16:creationId xmlns:a16="http://schemas.microsoft.com/office/drawing/2014/main" id="{8EADC91D-0FB4-15E8-686C-D40FC9531CA3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ANALISES!O3">
        <xdr:nvSpPr>
          <xdr:cNvPr id="24" name="CaixaDeTexto 23">
            <a:extLst>
              <a:ext uri="{FF2B5EF4-FFF2-40B4-BE49-F238E27FC236}">
                <a16:creationId xmlns:a16="http://schemas.microsoft.com/office/drawing/2014/main" id="{EBB10613-FAC8-2923-3700-FE0EF243771C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DFE5516-E35C-4D88-8CE7-56414B8A13B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25" name="CaixaDeTexto 24">
            <a:extLst>
              <a:ext uri="{FF2B5EF4-FFF2-40B4-BE49-F238E27FC236}">
                <a16:creationId xmlns:a16="http://schemas.microsoft.com/office/drawing/2014/main" id="{BE93C829-F87E-AE64-5093-81387F4D60C0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CANCELADAS</a:t>
            </a:r>
          </a:p>
        </xdr:txBody>
      </xdr:sp>
    </xdr:grpSp>
    <xdr:clientData/>
  </xdr:twoCellAnchor>
  <xdr:twoCellAnchor>
    <xdr:from>
      <xdr:col>8</xdr:col>
      <xdr:colOff>142875</xdr:colOff>
      <xdr:row>4</xdr:row>
      <xdr:rowOff>180975</xdr:rowOff>
    </xdr:from>
    <xdr:to>
      <xdr:col>11</xdr:col>
      <xdr:colOff>85725</xdr:colOff>
      <xdr:row>13</xdr:row>
      <xdr:rowOff>85725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4F860A85-7527-0BC8-AB41-A0D3B0FAE152}"/>
            </a:ext>
          </a:extLst>
        </xdr:cNvPr>
        <xdr:cNvGrpSpPr/>
      </xdr:nvGrpSpPr>
      <xdr:grpSpPr>
        <a:xfrm>
          <a:off x="5019675" y="934954"/>
          <a:ext cx="1771650" cy="1565108"/>
          <a:chOff x="257175" y="628650"/>
          <a:chExt cx="1771650" cy="1619250"/>
        </a:xfrm>
      </xdr:grpSpPr>
      <xdr:graphicFrame macro="">
        <xdr:nvGraphicFramePr>
          <xdr:cNvPr id="27" name="Gráfico 26">
            <a:extLst>
              <a:ext uri="{FF2B5EF4-FFF2-40B4-BE49-F238E27FC236}">
                <a16:creationId xmlns:a16="http://schemas.microsoft.com/office/drawing/2014/main" id="{A9132AE5-0775-3372-7D77-CEEDE4E67DD1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ANALISES!P3">
        <xdr:nvSpPr>
          <xdr:cNvPr id="28" name="CaixaDeTexto 27">
            <a:extLst>
              <a:ext uri="{FF2B5EF4-FFF2-40B4-BE49-F238E27FC236}">
                <a16:creationId xmlns:a16="http://schemas.microsoft.com/office/drawing/2014/main" id="{329A8201-77F3-E373-C39C-98B2B5801019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52F2F53E-F540-4310-8FE4-C4313A1E5AD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29" name="CaixaDeTexto 28">
            <a:extLst>
              <a:ext uri="{FF2B5EF4-FFF2-40B4-BE49-F238E27FC236}">
                <a16:creationId xmlns:a16="http://schemas.microsoft.com/office/drawing/2014/main" id="{0F7B60D2-182D-B075-C915-69F86CB57C5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DEVOLUÇÕES</a:t>
            </a:r>
          </a:p>
        </xdr:txBody>
      </xdr:sp>
    </xdr:grpSp>
    <xdr:clientData/>
  </xdr:twoCellAnchor>
  <xdr:twoCellAnchor>
    <xdr:from>
      <xdr:col>10</xdr:col>
      <xdr:colOff>571500</xdr:colOff>
      <xdr:row>4</xdr:row>
      <xdr:rowOff>180975</xdr:rowOff>
    </xdr:from>
    <xdr:to>
      <xdr:col>13</xdr:col>
      <xdr:colOff>514350</xdr:colOff>
      <xdr:row>13</xdr:row>
      <xdr:rowOff>85725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3631FFA2-1094-6E34-A5F6-D549F524BB1D}"/>
            </a:ext>
          </a:extLst>
        </xdr:cNvPr>
        <xdr:cNvGrpSpPr/>
      </xdr:nvGrpSpPr>
      <xdr:grpSpPr>
        <a:xfrm>
          <a:off x="6667500" y="934954"/>
          <a:ext cx="1771650" cy="1565108"/>
          <a:chOff x="257175" y="628650"/>
          <a:chExt cx="1771650" cy="1619250"/>
        </a:xfrm>
      </xdr:grpSpPr>
      <xdr:graphicFrame macro="">
        <xdr:nvGraphicFramePr>
          <xdr:cNvPr id="31" name="Gráfico 30">
            <a:extLst>
              <a:ext uri="{FF2B5EF4-FFF2-40B4-BE49-F238E27FC236}">
                <a16:creationId xmlns:a16="http://schemas.microsoft.com/office/drawing/2014/main" id="{B4E16055-9C1F-1880-ABEA-077B2670A500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ANALISES!Q3">
        <xdr:nvSpPr>
          <xdr:cNvPr id="32" name="CaixaDeTexto 31">
            <a:extLst>
              <a:ext uri="{FF2B5EF4-FFF2-40B4-BE49-F238E27FC236}">
                <a16:creationId xmlns:a16="http://schemas.microsoft.com/office/drawing/2014/main" id="{A0491884-D11B-3B9D-515B-BAC5B024EDC2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CD57B0D6-C3F8-4B3E-BC02-7214C14FD77E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33" name="CaixaDeTexto 32">
            <a:extLst>
              <a:ext uri="{FF2B5EF4-FFF2-40B4-BE49-F238E27FC236}">
                <a16:creationId xmlns:a16="http://schemas.microsoft.com/office/drawing/2014/main" id="{0709E077-630B-1DF4-404C-15FE6E55A7D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t>EM TRANSPORTE</a:t>
            </a:r>
          </a:p>
        </xdr:txBody>
      </xdr:sp>
    </xdr:grpSp>
    <xdr:clientData/>
  </xdr:twoCellAnchor>
  <xdr:twoCellAnchor>
    <xdr:from>
      <xdr:col>0</xdr:col>
      <xdr:colOff>0</xdr:colOff>
      <xdr:row>12</xdr:row>
      <xdr:rowOff>104775</xdr:rowOff>
    </xdr:from>
    <xdr:to>
      <xdr:col>3</xdr:col>
      <xdr:colOff>85725</xdr:colOff>
      <xdr:row>21</xdr:row>
      <xdr:rowOff>9525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785B1C4F-C5A9-4858-D271-DBAF34867A5F}"/>
            </a:ext>
          </a:extLst>
        </xdr:cNvPr>
        <xdr:cNvGrpSpPr/>
      </xdr:nvGrpSpPr>
      <xdr:grpSpPr>
        <a:xfrm>
          <a:off x="0" y="2334628"/>
          <a:ext cx="1914525" cy="1565108"/>
          <a:chOff x="190500" y="628650"/>
          <a:chExt cx="1914525" cy="1619250"/>
        </a:xfrm>
      </xdr:grpSpPr>
      <xdr:graphicFrame macro="">
        <xdr:nvGraphicFramePr>
          <xdr:cNvPr id="35" name="Gráfico 34">
            <a:extLst>
              <a:ext uri="{FF2B5EF4-FFF2-40B4-BE49-F238E27FC236}">
                <a16:creationId xmlns:a16="http://schemas.microsoft.com/office/drawing/2014/main" id="{CAA11493-A303-BDC0-B586-0ACE141BD170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ANALISES!R3">
        <xdr:nvSpPr>
          <xdr:cNvPr id="36" name="CaixaDeTexto 35">
            <a:extLst>
              <a:ext uri="{FF2B5EF4-FFF2-40B4-BE49-F238E27FC236}">
                <a16:creationId xmlns:a16="http://schemas.microsoft.com/office/drawing/2014/main" id="{F0A3B25E-4240-54E7-11F2-B9111DDF7288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1A4EC0F-F7FB-48F0-B78C-BECDFA5152C5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37" name="CaixaDeTexto 36">
            <a:extLst>
              <a:ext uri="{FF2B5EF4-FFF2-40B4-BE49-F238E27FC236}">
                <a16:creationId xmlns:a16="http://schemas.microsoft.com/office/drawing/2014/main" id="{E4C76021-067A-542A-73D4-C9046B6B67C6}"/>
              </a:ext>
            </a:extLst>
          </xdr:cNvPr>
          <xdr:cNvSpPr txBox="1"/>
        </xdr:nvSpPr>
        <xdr:spPr>
          <a:xfrm>
            <a:off x="190500" y="1733550"/>
            <a:ext cx="1914525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DESAGREGAÇÕES</a:t>
            </a:r>
          </a:p>
        </xdr:txBody>
      </xdr:sp>
    </xdr:grpSp>
    <xdr:clientData/>
  </xdr:twoCellAnchor>
  <xdr:twoCellAnchor>
    <xdr:from>
      <xdr:col>2</xdr:col>
      <xdr:colOff>485775</xdr:colOff>
      <xdr:row>12</xdr:row>
      <xdr:rowOff>104775</xdr:rowOff>
    </xdr:from>
    <xdr:to>
      <xdr:col>5</xdr:col>
      <xdr:colOff>428625</xdr:colOff>
      <xdr:row>21</xdr:row>
      <xdr:rowOff>9525</xdr:rowOff>
    </xdr:to>
    <xdr:grpSp>
      <xdr:nvGrpSpPr>
        <xdr:cNvPr id="38" name="Agrupar 37">
          <a:extLst>
            <a:ext uri="{FF2B5EF4-FFF2-40B4-BE49-F238E27FC236}">
              <a16:creationId xmlns:a16="http://schemas.microsoft.com/office/drawing/2014/main" id="{25BDE9CA-DF7B-7205-FDF7-CD0FC1BEB433}"/>
            </a:ext>
          </a:extLst>
        </xdr:cNvPr>
        <xdr:cNvGrpSpPr/>
      </xdr:nvGrpSpPr>
      <xdr:grpSpPr>
        <a:xfrm>
          <a:off x="1704975" y="2334628"/>
          <a:ext cx="1771650" cy="1565108"/>
          <a:chOff x="257175" y="628650"/>
          <a:chExt cx="1771650" cy="1619250"/>
        </a:xfrm>
      </xdr:grpSpPr>
      <xdr:graphicFrame macro="">
        <xdr:nvGraphicFramePr>
          <xdr:cNvPr id="39" name="Gráfico 38">
            <a:extLst>
              <a:ext uri="{FF2B5EF4-FFF2-40B4-BE49-F238E27FC236}">
                <a16:creationId xmlns:a16="http://schemas.microsoft.com/office/drawing/2014/main" id="{B90909B8-65DB-785F-A2FF-241C6C532CCE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ANALISES!S3">
        <xdr:nvSpPr>
          <xdr:cNvPr id="40" name="CaixaDeTexto 39">
            <a:extLst>
              <a:ext uri="{FF2B5EF4-FFF2-40B4-BE49-F238E27FC236}">
                <a16:creationId xmlns:a16="http://schemas.microsoft.com/office/drawing/2014/main" id="{8FCDFC52-4DD2-604E-42C7-9408BD38E3DB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EAD7B899-95E2-4389-9452-8A6B4BF3A04B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1" name="CaixaDeTexto 40">
            <a:extLst>
              <a:ext uri="{FF2B5EF4-FFF2-40B4-BE49-F238E27FC236}">
                <a16:creationId xmlns:a16="http://schemas.microsoft.com/office/drawing/2014/main" id="{37A0A787-503B-4CC7-C9F3-A47EDF0EDF9E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DESCARTES</a:t>
            </a:r>
          </a:p>
        </xdr:txBody>
      </xdr:sp>
    </xdr:grpSp>
    <xdr:clientData/>
  </xdr:twoCellAnchor>
  <xdr:twoCellAnchor>
    <xdr:from>
      <xdr:col>5</xdr:col>
      <xdr:colOff>295275</xdr:colOff>
      <xdr:row>12</xdr:row>
      <xdr:rowOff>104775</xdr:rowOff>
    </xdr:from>
    <xdr:to>
      <xdr:col>8</xdr:col>
      <xdr:colOff>238125</xdr:colOff>
      <xdr:row>21</xdr:row>
      <xdr:rowOff>9525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084D97B1-D3CD-E11E-916C-BB156E462438}"/>
            </a:ext>
          </a:extLst>
        </xdr:cNvPr>
        <xdr:cNvGrpSpPr/>
      </xdr:nvGrpSpPr>
      <xdr:grpSpPr>
        <a:xfrm>
          <a:off x="3343275" y="2334628"/>
          <a:ext cx="1771650" cy="1565108"/>
          <a:chOff x="257175" y="628650"/>
          <a:chExt cx="1771650" cy="1619250"/>
        </a:xfrm>
      </xdr:grpSpPr>
      <xdr:graphicFrame macro="">
        <xdr:nvGraphicFramePr>
          <xdr:cNvPr id="43" name="Gráfico 42">
            <a:extLst>
              <a:ext uri="{FF2B5EF4-FFF2-40B4-BE49-F238E27FC236}">
                <a16:creationId xmlns:a16="http://schemas.microsoft.com/office/drawing/2014/main" id="{705CAD3A-BED8-51CF-9D7E-7071FEACEE12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sp macro="" textlink="ANALISES!T3">
        <xdr:nvSpPr>
          <xdr:cNvPr id="44" name="CaixaDeTexto 43">
            <a:extLst>
              <a:ext uri="{FF2B5EF4-FFF2-40B4-BE49-F238E27FC236}">
                <a16:creationId xmlns:a16="http://schemas.microsoft.com/office/drawing/2014/main" id="{46B339B9-A856-FFCF-BCAF-30415EAFF2F9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0942F47-E00E-4249-A5FC-ECBF1D885A80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5" name="CaixaDeTexto 44">
            <a:extLst>
              <a:ext uri="{FF2B5EF4-FFF2-40B4-BE49-F238E27FC236}">
                <a16:creationId xmlns:a16="http://schemas.microsoft.com/office/drawing/2014/main" id="{88FD57E5-EEDF-D0DE-8101-45BCA1157B9B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REJEITADAS</a:t>
            </a:r>
          </a:p>
        </xdr:txBody>
      </xdr:sp>
    </xdr:grpSp>
    <xdr:clientData/>
  </xdr:twoCellAnchor>
  <xdr:twoCellAnchor>
    <xdr:from>
      <xdr:col>8</xdr:col>
      <xdr:colOff>104775</xdr:colOff>
      <xdr:row>12</xdr:row>
      <xdr:rowOff>104775</xdr:rowOff>
    </xdr:from>
    <xdr:to>
      <xdr:col>11</xdr:col>
      <xdr:colOff>47625</xdr:colOff>
      <xdr:row>21</xdr:row>
      <xdr:rowOff>9525</xdr:rowOff>
    </xdr:to>
    <xdr:grpSp>
      <xdr:nvGrpSpPr>
        <xdr:cNvPr id="46" name="Agrupar 45">
          <a:extLst>
            <a:ext uri="{FF2B5EF4-FFF2-40B4-BE49-F238E27FC236}">
              <a16:creationId xmlns:a16="http://schemas.microsoft.com/office/drawing/2014/main" id="{40FF79A0-501E-F69E-7BC8-09DC9C8D4C48}"/>
            </a:ext>
          </a:extLst>
        </xdr:cNvPr>
        <xdr:cNvGrpSpPr/>
      </xdr:nvGrpSpPr>
      <xdr:grpSpPr>
        <a:xfrm>
          <a:off x="4981575" y="2334628"/>
          <a:ext cx="1771650" cy="1565108"/>
          <a:chOff x="257175" y="628650"/>
          <a:chExt cx="1771650" cy="1619250"/>
        </a:xfrm>
      </xdr:grpSpPr>
      <xdr:graphicFrame macro="">
        <xdr:nvGraphicFramePr>
          <xdr:cNvPr id="47" name="Gráfico 46">
            <a:extLst>
              <a:ext uri="{FF2B5EF4-FFF2-40B4-BE49-F238E27FC236}">
                <a16:creationId xmlns:a16="http://schemas.microsoft.com/office/drawing/2014/main" id="{6010B302-129C-8DD6-B4C3-438927F6B891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sp macro="" textlink="ANALISES!U3">
        <xdr:nvSpPr>
          <xdr:cNvPr id="48" name="CaixaDeTexto 47">
            <a:extLst>
              <a:ext uri="{FF2B5EF4-FFF2-40B4-BE49-F238E27FC236}">
                <a16:creationId xmlns:a16="http://schemas.microsoft.com/office/drawing/2014/main" id="{1BD4D3A2-F128-FC46-F56F-5E32DFD82F97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F1C74803-1359-4C90-A3AD-85EB3FDA2163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49" name="CaixaDeTexto 48">
            <a:extLst>
              <a:ext uri="{FF2B5EF4-FFF2-40B4-BE49-F238E27FC236}">
                <a16:creationId xmlns:a16="http://schemas.microsoft.com/office/drawing/2014/main" id="{C07CFA47-A7BF-8298-224F-6BBE0D17C0A2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PARA REJEITAR</a:t>
            </a:r>
          </a:p>
        </xdr:txBody>
      </xdr:sp>
    </xdr:grpSp>
    <xdr:clientData/>
  </xdr:twoCellAnchor>
  <xdr:twoCellAnchor>
    <xdr:from>
      <xdr:col>10</xdr:col>
      <xdr:colOff>523875</xdr:colOff>
      <xdr:row>12</xdr:row>
      <xdr:rowOff>104775</xdr:rowOff>
    </xdr:from>
    <xdr:to>
      <xdr:col>13</xdr:col>
      <xdr:colOff>466725</xdr:colOff>
      <xdr:row>21</xdr:row>
      <xdr:rowOff>9525</xdr:rowOff>
    </xdr:to>
    <xdr:grpSp>
      <xdr:nvGrpSpPr>
        <xdr:cNvPr id="50" name="Agrupar 49">
          <a:extLst>
            <a:ext uri="{FF2B5EF4-FFF2-40B4-BE49-F238E27FC236}">
              <a16:creationId xmlns:a16="http://schemas.microsoft.com/office/drawing/2014/main" id="{124EA012-F16B-86A6-1536-09821D22976F}"/>
            </a:ext>
          </a:extLst>
        </xdr:cNvPr>
        <xdr:cNvGrpSpPr/>
      </xdr:nvGrpSpPr>
      <xdr:grpSpPr>
        <a:xfrm>
          <a:off x="6619875" y="2334628"/>
          <a:ext cx="1771650" cy="1565108"/>
          <a:chOff x="257175" y="628650"/>
          <a:chExt cx="1771650" cy="1619250"/>
        </a:xfrm>
      </xdr:grpSpPr>
      <xdr:graphicFrame macro="">
        <xdr:nvGraphicFramePr>
          <xdr:cNvPr id="51" name="Gráfico 50">
            <a:extLst>
              <a:ext uri="{FF2B5EF4-FFF2-40B4-BE49-F238E27FC236}">
                <a16:creationId xmlns:a16="http://schemas.microsoft.com/office/drawing/2014/main" id="{DBE53856-156F-52CF-25C5-9D6261AED85F}"/>
              </a:ext>
            </a:extLst>
          </xdr:cNvPr>
          <xdr:cNvGraphicFramePr>
            <a:graphicFrameLocks/>
          </xdr:cNvGraphicFramePr>
        </xdr:nvGraphicFramePr>
        <xdr:xfrm>
          <a:off x="266700" y="628650"/>
          <a:ext cx="1762125" cy="1319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sp macro="" textlink="ANALISES!V3">
        <xdr:nvSpPr>
          <xdr:cNvPr id="52" name="CaixaDeTexto 51">
            <a:extLst>
              <a:ext uri="{FF2B5EF4-FFF2-40B4-BE49-F238E27FC236}">
                <a16:creationId xmlns:a16="http://schemas.microsoft.com/office/drawing/2014/main" id="{F8F6D827-F529-2CA4-4486-188412D7E915}"/>
              </a:ext>
            </a:extLst>
          </xdr:cNvPr>
          <xdr:cNvSpPr txBox="1"/>
        </xdr:nvSpPr>
        <xdr:spPr>
          <a:xfrm>
            <a:off x="714375" y="876301"/>
            <a:ext cx="838200" cy="8191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EC1ACEE-15E4-49E2-B50E-AC3792F23391}" type="TxLink">
              <a:rPr lang="en-US" sz="2400" b="1" i="0" u="none" strike="noStrike">
                <a:solidFill>
                  <a:srgbClr val="000000"/>
                </a:solidFill>
                <a:latin typeface="Aptos Narrow"/>
              </a:rPr>
              <a:pPr algn="ctr"/>
              <a:t>0</a:t>
            </a:fld>
            <a:endParaRPr lang="pt-BR" sz="2400" b="1"/>
          </a:p>
        </xdr:txBody>
      </xdr:sp>
      <xdr:sp macro="" textlink="">
        <xdr:nvSpPr>
          <xdr:cNvPr id="53" name="CaixaDeTexto 52">
            <a:extLst>
              <a:ext uri="{FF2B5EF4-FFF2-40B4-BE49-F238E27FC236}">
                <a16:creationId xmlns:a16="http://schemas.microsoft.com/office/drawing/2014/main" id="{3A2EACAA-0AEF-D2DB-0403-2B081BB9D3B4}"/>
              </a:ext>
            </a:extLst>
          </xdr:cNvPr>
          <xdr:cNvSpPr txBox="1"/>
        </xdr:nvSpPr>
        <xdr:spPr>
          <a:xfrm>
            <a:off x="257175" y="1733550"/>
            <a:ext cx="1752600" cy="514350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800" b="1" i="0" u="none" strike="noStrike">
                <a:solidFill>
                  <a:srgbClr val="000000"/>
                </a:solidFill>
                <a:latin typeface="Aptos Narrow"/>
              </a:rPr>
              <a:t>FALTA CHEGAR</a:t>
            </a:r>
          </a:p>
        </xdr:txBody>
      </xdr:sp>
    </xdr:grpSp>
    <xdr:clientData/>
  </xdr:twoCellAnchor>
  <xdr:twoCellAnchor editAs="oneCell">
    <xdr:from>
      <xdr:col>0</xdr:col>
      <xdr:colOff>57150</xdr:colOff>
      <xdr:row>0</xdr:row>
      <xdr:rowOff>0</xdr:rowOff>
    </xdr:from>
    <xdr:to>
      <xdr:col>1</xdr:col>
      <xdr:colOff>247650</xdr:colOff>
      <xdr:row>4</xdr:row>
      <xdr:rowOff>38100</xdr:rowOff>
    </xdr:to>
    <xdr:pic>
      <xdr:nvPicPr>
        <xdr:cNvPr id="70" name="Imagem 69">
          <a:extLst>
            <a:ext uri="{FF2B5EF4-FFF2-40B4-BE49-F238E27FC236}">
              <a16:creationId xmlns:a16="http://schemas.microsoft.com/office/drawing/2014/main" id="{39511138-DC14-489A-8E11-8FB9D39EC0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9525</xdr:colOff>
      <xdr:row>4</xdr:row>
      <xdr:rowOff>114300</xdr:rowOff>
    </xdr:from>
    <xdr:to>
      <xdr:col>20</xdr:col>
      <xdr:colOff>381000</xdr:colOff>
      <xdr:row>6</xdr:row>
      <xdr:rowOff>28575</xdr:rowOff>
    </xdr:to>
    <xdr:sp macro="" textlink="">
      <xdr:nvSpPr>
        <xdr:cNvPr id="80" name="CaixaDeTexto 79">
          <a:extLst>
            <a:ext uri="{FF2B5EF4-FFF2-40B4-BE49-F238E27FC236}">
              <a16:creationId xmlns:a16="http://schemas.microsoft.com/office/drawing/2014/main" id="{83AC3176-DE83-B5C1-7E6E-1E9ACDFD43ED}"/>
            </a:ext>
          </a:extLst>
        </xdr:cNvPr>
        <xdr:cNvSpPr txBox="1"/>
      </xdr:nvSpPr>
      <xdr:spPr>
        <a:xfrm>
          <a:off x="8543925" y="876300"/>
          <a:ext cx="4029075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NOTA</a:t>
          </a:r>
          <a:r>
            <a:rPr lang="pt-BR" sz="1600" b="1" baseline="0">
              <a:solidFill>
                <a:schemeClr val="bg1"/>
              </a:solidFill>
            </a:rPr>
            <a:t>S LANÇADAS POR DIA DA SEMANA</a:t>
          </a:r>
          <a:endParaRPr lang="pt-BR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76200</xdr:colOff>
      <xdr:row>21</xdr:row>
      <xdr:rowOff>57150</xdr:rowOff>
    </xdr:from>
    <xdr:to>
      <xdr:col>20</xdr:col>
      <xdr:colOff>381000</xdr:colOff>
      <xdr:row>23</xdr:row>
      <xdr:rowOff>47625</xdr:rowOff>
    </xdr:to>
    <xdr:sp macro="" textlink="">
      <xdr:nvSpPr>
        <xdr:cNvPr id="81" name="CaixaDeTexto 80">
          <a:extLst>
            <a:ext uri="{FF2B5EF4-FFF2-40B4-BE49-F238E27FC236}">
              <a16:creationId xmlns:a16="http://schemas.microsoft.com/office/drawing/2014/main" id="{E0A4BC6B-4E11-5906-D1B9-6DA9F6190209}"/>
            </a:ext>
          </a:extLst>
        </xdr:cNvPr>
        <xdr:cNvSpPr txBox="1"/>
      </xdr:nvSpPr>
      <xdr:spPr>
        <a:xfrm>
          <a:off x="76200" y="4057650"/>
          <a:ext cx="124968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000" b="1">
              <a:solidFill>
                <a:schemeClr val="bg1"/>
              </a:solidFill>
            </a:rPr>
            <a:t>QUANTIDADE</a:t>
          </a:r>
          <a:r>
            <a:rPr lang="pt-BR" sz="2000" b="1" baseline="0">
              <a:solidFill>
                <a:schemeClr val="bg1"/>
              </a:solidFill>
            </a:rPr>
            <a:t> DE NOTAS LANÇADAS POR DIA</a:t>
          </a:r>
          <a:endParaRPr lang="pt-BR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44116</xdr:colOff>
      <xdr:row>0</xdr:row>
      <xdr:rowOff>104775</xdr:rowOff>
    </xdr:from>
    <xdr:to>
      <xdr:col>10</xdr:col>
      <xdr:colOff>558465</xdr:colOff>
      <xdr:row>3</xdr:row>
      <xdr:rowOff>66675</xdr:rowOff>
    </xdr:to>
    <xdr:grpSp>
      <xdr:nvGrpSpPr>
        <xdr:cNvPr id="10" name="Agrupar 9">
          <a:extLst>
            <a:ext uri="{FF2B5EF4-FFF2-40B4-BE49-F238E27FC236}">
              <a16:creationId xmlns:a16="http://schemas.microsoft.com/office/drawing/2014/main" id="{7E132939-4CCA-A2EC-96D1-D0C253734841}"/>
            </a:ext>
          </a:extLst>
        </xdr:cNvPr>
        <xdr:cNvGrpSpPr/>
      </xdr:nvGrpSpPr>
      <xdr:grpSpPr>
        <a:xfrm>
          <a:off x="5530516" y="104775"/>
          <a:ext cx="1123949" cy="531395"/>
          <a:chOff x="5581651" y="104775"/>
          <a:chExt cx="1276349" cy="523875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048C4BF5-1F12-A2D1-D033-259962ECB82A}"/>
              </a:ext>
            </a:extLst>
          </xdr:cNvPr>
          <xdr:cNvSpPr/>
        </xdr:nvSpPr>
        <xdr:spPr>
          <a:xfrm>
            <a:off x="5600700" y="104775"/>
            <a:ext cx="1257300" cy="514350"/>
          </a:xfrm>
          <a:prstGeom prst="roundRect">
            <a:avLst>
              <a:gd name="adj" fmla="val 1111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ANALISES!E17">
        <xdr:nvSpPr>
          <xdr:cNvPr id="8" name="CaixaDeTexto 7">
            <a:extLst>
              <a:ext uri="{FF2B5EF4-FFF2-40B4-BE49-F238E27FC236}">
                <a16:creationId xmlns:a16="http://schemas.microsoft.com/office/drawing/2014/main" id="{B0E49606-57C4-9985-87DC-555554BDED25}"/>
              </a:ext>
            </a:extLst>
          </xdr:cNvPr>
          <xdr:cNvSpPr txBox="1"/>
        </xdr:nvSpPr>
        <xdr:spPr>
          <a:xfrm>
            <a:off x="5591175" y="295275"/>
            <a:ext cx="1247775" cy="3333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FD086A0A-4A58-4EF2-BF1F-5E5A754D7F58}" type="TxLink"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pPr algn="r"/>
              <a:t>0</a:t>
            </a:fld>
            <a:endParaRPr lang="pt-BR" sz="1600" b="1"/>
          </a:p>
        </xdr:txBody>
      </xdr:sp>
      <xdr:sp macro="" textlink="">
        <xdr:nvSpPr>
          <xdr:cNvPr id="9" name="CaixaDeTexto 8">
            <a:extLst>
              <a:ext uri="{FF2B5EF4-FFF2-40B4-BE49-F238E27FC236}">
                <a16:creationId xmlns:a16="http://schemas.microsoft.com/office/drawing/2014/main" id="{03ABA941-A767-81A3-2BA6-CABBF40945FC}"/>
              </a:ext>
            </a:extLst>
          </xdr:cNvPr>
          <xdr:cNvSpPr txBox="1"/>
        </xdr:nvSpPr>
        <xdr:spPr>
          <a:xfrm>
            <a:off x="5581651" y="104775"/>
            <a:ext cx="1247774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100" b="1" i="0" u="none" strike="noStrike">
                <a:solidFill>
                  <a:srgbClr val="000000"/>
                </a:solidFill>
                <a:latin typeface="Aptos Narrow"/>
              </a:rPr>
              <a:t>NOTAS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Aptos Narrow"/>
              </a:rPr>
              <a:t> LANÇADAS</a:t>
            </a:r>
            <a:endParaRPr lang="en-US" sz="11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  <xdr:twoCellAnchor>
    <xdr:from>
      <xdr:col>10</xdr:col>
      <xdr:colOff>577516</xdr:colOff>
      <xdr:row>0</xdr:row>
      <xdr:rowOff>104775</xdr:rowOff>
    </xdr:from>
    <xdr:to>
      <xdr:col>12</xdr:col>
      <xdr:colOff>558465</xdr:colOff>
      <xdr:row>3</xdr:row>
      <xdr:rowOff>66675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5ADCD281-38F1-07B0-BDC6-066121D0DE58}"/>
            </a:ext>
          </a:extLst>
        </xdr:cNvPr>
        <xdr:cNvGrpSpPr/>
      </xdr:nvGrpSpPr>
      <xdr:grpSpPr>
        <a:xfrm>
          <a:off x="6673516" y="104775"/>
          <a:ext cx="1200149" cy="531395"/>
          <a:chOff x="5581651" y="104775"/>
          <a:chExt cx="1276349" cy="523875"/>
        </a:xfrm>
      </xdr:grpSpPr>
      <xdr:sp macro="" textlink="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3F2AB2A9-3931-63ED-FD7C-BCB8C309B33B}"/>
              </a:ext>
            </a:extLst>
          </xdr:cNvPr>
          <xdr:cNvSpPr/>
        </xdr:nvSpPr>
        <xdr:spPr>
          <a:xfrm>
            <a:off x="5600700" y="104775"/>
            <a:ext cx="1257300" cy="514350"/>
          </a:xfrm>
          <a:prstGeom prst="roundRect">
            <a:avLst>
              <a:gd name="adj" fmla="val 11111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ANALISES!E18">
        <xdr:nvSpPr>
          <xdr:cNvPr id="13" name="CaixaDeTexto 12">
            <a:extLst>
              <a:ext uri="{FF2B5EF4-FFF2-40B4-BE49-F238E27FC236}">
                <a16:creationId xmlns:a16="http://schemas.microsoft.com/office/drawing/2014/main" id="{7BDEA094-02A3-A665-F464-A4E53D3C125D}"/>
              </a:ext>
            </a:extLst>
          </xdr:cNvPr>
          <xdr:cNvSpPr txBox="1"/>
        </xdr:nvSpPr>
        <xdr:spPr>
          <a:xfrm>
            <a:off x="5591175" y="295275"/>
            <a:ext cx="1247775" cy="3333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E07065AD-3A46-424B-A811-B7678091BE42}" type="TxLink">
              <a:rPr lang="en-US" sz="1600" b="1" i="0" u="none" strike="noStrike">
                <a:solidFill>
                  <a:srgbClr val="000000"/>
                </a:solidFill>
                <a:latin typeface="Aptos Narrow"/>
              </a:rPr>
              <a:pPr algn="r"/>
              <a:t> -   </a:t>
            </a:fld>
            <a:endParaRPr lang="pt-BR" sz="1600" b="1"/>
          </a:p>
        </xdr:txBody>
      </xdr:sp>
      <xdr:sp macro="" textlink="">
        <xdr:nvSpPr>
          <xdr:cNvPr id="14" name="CaixaDeTexto 13">
            <a:extLst>
              <a:ext uri="{FF2B5EF4-FFF2-40B4-BE49-F238E27FC236}">
                <a16:creationId xmlns:a16="http://schemas.microsoft.com/office/drawing/2014/main" id="{46BE1418-AC7B-DC13-9AB7-1BC806436B2F}"/>
              </a:ext>
            </a:extLst>
          </xdr:cNvPr>
          <xdr:cNvSpPr txBox="1"/>
        </xdr:nvSpPr>
        <xdr:spPr>
          <a:xfrm>
            <a:off x="5581651" y="104775"/>
            <a:ext cx="1247774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100" b="1" i="0" u="none" strike="noStrike">
                <a:solidFill>
                  <a:srgbClr val="000000"/>
                </a:solidFill>
                <a:latin typeface="Aptos Narrow"/>
              </a:rPr>
              <a:t>MÉDIA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Aptos Narrow"/>
              </a:rPr>
              <a:t> DIA</a:t>
            </a:r>
            <a:endParaRPr lang="en-US" sz="1100" b="1" i="0" u="none" strike="noStrike">
              <a:solidFill>
                <a:srgbClr val="000000"/>
              </a:solidFill>
              <a:latin typeface="Aptos Narrow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ur" refreshedDate="46073.569909375001" createdVersion="8" refreshedVersion="8" minRefreshableVersion="3" recordCount="1" xr:uid="{7A80446C-B939-43A7-9CE1-BF6CFE9E7F5C}">
  <cacheSource type="worksheet">
    <worksheetSource name="tabela_compras"/>
  </cacheSource>
  <cacheFields count="11">
    <cacheField name="Entrada" numFmtId="164">
      <sharedItems containsNonDate="0" containsString="0" containsBlank="1"/>
    </cacheField>
    <cacheField name="NF" numFmtId="0">
      <sharedItems containsNonDate="0" containsString="0" containsBlank="1"/>
    </cacheField>
    <cacheField name="Fornecedor" numFmtId="0">
      <sharedItems containsNonDate="0" containsString="0" containsBlank="1"/>
    </cacheField>
    <cacheField name="Desconto" numFmtId="0">
      <sharedItems containsNonDate="0" containsString="0" containsBlank="1"/>
    </cacheField>
    <cacheField name="Vlr. Nota" numFmtId="44">
      <sharedItems containsNonDate="0" containsString="0" containsBlank="1"/>
    </cacheField>
    <cacheField name="Valor Contas a Pagar" numFmtId="44">
      <sharedItems containsNonDate="0" containsString="0" containsBlank="1"/>
    </cacheField>
    <cacheField name="Pedido" numFmtId="0">
      <sharedItems containsNonDate="0" containsString="0" containsBlank="1"/>
    </cacheField>
    <cacheField name="Conferência" numFmtId="49">
      <sharedItems containsNonDate="0" containsString="0" containsBlank="1"/>
    </cacheField>
    <cacheField name="Data Emissão" numFmtId="164">
      <sharedItems containsNonDate="0" containsString="0" containsBlank="1"/>
    </cacheField>
    <cacheField name="DIA" numFmtId="0">
      <sharedItems count="22">
        <s v="00"/>
        <s v="02" u="1"/>
        <s v="03" u="1"/>
        <s v="04" u="1"/>
        <s v="05" u="1"/>
        <s v="06" u="1"/>
        <s v="07" u="1"/>
        <s v="09" u="1"/>
        <s v="10" u="1"/>
        <s v="11" u="1"/>
        <s v="12" u="1"/>
        <s v="13" u="1"/>
        <s v="14" u="1"/>
        <s v="16" u="1"/>
        <s v="17" u="1"/>
        <s v="18" u="1"/>
        <s v="19" u="1"/>
        <s v="20" u="1"/>
        <s v="22" u="1"/>
        <s v="15" u="1"/>
        <s v="08" u="1"/>
        <s v="01" u="1"/>
      </sharedItems>
    </cacheField>
    <cacheField name="DIA DA SEMANA" numFmtId="0">
      <sharedItems count="7">
        <s v="SÁB"/>
        <s v="SEG" u="1"/>
        <s v="TER" u="1"/>
        <s v="QUA" u="1"/>
        <s v="QUI" u="1"/>
        <s v="SEX" u="1"/>
        <s v="DOM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C38D52-48F5-40FB-84E5-BFC0556CDCEC}" name="Tabela dinâ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D3:E5" firstHeaderRow="1" firstDataRow="1" firstDataCol="1"/>
  <pivotFields count="11">
    <pivotField numFmtId="164" showAll="0"/>
    <pivotField dataField="1" showAll="0"/>
    <pivotField showAll="0"/>
    <pivotField showAll="0"/>
    <pivotField numFmtId="44" showAll="0"/>
    <pivotField showAll="0"/>
    <pivotField showAll="0"/>
    <pivotField showAll="0"/>
    <pivotField showAll="0"/>
    <pivotField showAll="0"/>
    <pivotField axis="axisRow" showAll="0">
      <items count="8">
        <item m="1" x="1"/>
        <item m="1" x="2"/>
        <item m="1" x="3"/>
        <item m="1" x="4"/>
        <item m="1" x="5"/>
        <item x="0"/>
        <item m="1" x="6"/>
        <item t="default"/>
      </items>
    </pivotField>
  </pivotFields>
  <rowFields count="1">
    <field x="10"/>
  </rowFields>
  <rowItems count="2">
    <i>
      <x v="5"/>
    </i>
    <i t="grand">
      <x/>
    </i>
  </rowItems>
  <colItems count="1">
    <i/>
  </colItems>
  <dataFields count="1">
    <dataField name="Contagem de NF" fld="1" subtotal="count" baseField="9" baseItem="0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08A97-3071-4218-B535-7CD44394D272}" name="Tabela dinâ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3:B5" firstHeaderRow="1" firstDataRow="1" firstDataCol="1"/>
  <pivotFields count="11">
    <pivotField numFmtId="164" showAll="0"/>
    <pivotField dataField="1" showAll="0"/>
    <pivotField showAll="0"/>
    <pivotField showAll="0"/>
    <pivotField numFmtId="44" showAll="0"/>
    <pivotField showAll="0"/>
    <pivotField showAll="0"/>
    <pivotField showAll="0"/>
    <pivotField showAll="0"/>
    <pivotField axis="axisRow" showAll="0">
      <items count="23">
        <item m="1" x="21"/>
        <item m="1" x="1"/>
        <item m="1" x="2"/>
        <item m="1" x="3"/>
        <item m="1" x="4"/>
        <item m="1" x="5"/>
        <item m="1" x="20"/>
        <item m="1" x="7"/>
        <item m="1" x="8"/>
        <item m="1" x="9"/>
        <item m="1" x="10"/>
        <item m="1" x="11"/>
        <item m="1" x="19"/>
        <item m="1" x="13"/>
        <item m="1" x="14"/>
        <item m="1" x="15"/>
        <item m="1" x="16"/>
        <item m="1" x="6"/>
        <item m="1" x="17"/>
        <item m="1" x="18"/>
        <item x="0"/>
        <item m="1" x="12"/>
        <item t="default"/>
      </items>
    </pivotField>
    <pivotField showAll="0"/>
  </pivotFields>
  <rowFields count="1">
    <field x="9"/>
  </rowFields>
  <rowItems count="2">
    <i>
      <x v="20"/>
    </i>
    <i t="grand">
      <x/>
    </i>
  </rowItems>
  <colItems count="1">
    <i/>
  </colItems>
  <dataFields count="1">
    <dataField name="Contagem de NF" fld="1" subtotal="count" baseField="9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rowHeight="257175"/>
  <slicer name="TIPO" xr10:uid="{04F3114E-FEFD-4F42-9927-8527CAC3AE9B}" cache="SegmentaçãodeDados_TIPO" caption="TIP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7:N1104" totalsRowShown="0" dataDxfId="48">
  <autoFilter ref="B17:N1104" xr:uid="{2AA8BD31-0703-4A9A-851A-C6432AEF5E89}">
    <filterColumn colId="3">
      <filters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6" dateTimeGrouping="day"/>
      </filters>
    </filterColumn>
  </autoFilter>
  <tableColumns count="13">
    <tableColumn id="1" xr3:uid="{B0B7B748-3F65-4249-86CD-5F87A5DC883F}" name="UF" dataDxfId="47">
      <calculatedColumnFormula>IF(SEFAZ!A2="","",SEFAZ!A2)</calculatedColumnFormula>
    </tableColumn>
    <tableColumn id="2" xr3:uid="{0784426D-E7DC-4BF7-A1CF-2F903131CE24}" name="NF" dataDxfId="46">
      <calculatedColumnFormula>IF(SEFAZ!C2="","",SEFAZ!C2)</calculatedColumnFormula>
    </tableColumn>
    <tableColumn id="3" xr3:uid="{C4858455-86D8-4CE8-BA9A-C7B046D08344}" name="SERIE" dataDxfId="45">
      <calculatedColumnFormula>IF(SEFAZ!D2="","",SEFAZ!D2)</calculatedColumnFormula>
    </tableColumn>
    <tableColumn id="4" xr3:uid="{08E7EEE4-A4B0-4B45-9B69-D6FBC8469E39}" name="EMISSAO" dataDxfId="44">
      <calculatedColumnFormula>IF(SEFAZ!E2="","",SEFAZ!E2)</calculatedColumnFormula>
    </tableColumn>
    <tableColumn id="5" xr3:uid="{0B9A2700-A838-4CD1-94E0-BE107B8A87A6}" name="CNPJ EMISSOR" dataDxfId="43">
      <calculatedColumnFormula>IF(SEFAZ!F2="","",VALUE(SUBSTITUTE(SEFAZ!F2,"'","")))</calculatedColumnFormula>
    </tableColumn>
    <tableColumn id="6" xr3:uid="{0944E1F2-9058-4ADD-A274-AE83664CB80C}" name="FORNECEDOR" dataDxfId="42">
      <calculatedColumnFormula>IF(SEFAZ!H2="","",SEFAZ!H2)</calculatedColumnFormula>
    </tableColumn>
    <tableColumn id="7" xr3:uid="{DA3857F6-FE8E-420F-B8E7-6A7224A32F8F}" name="CFOP" dataDxfId="41">
      <calculatedColumnFormula>IF(SEFAZ!L2="","",SEFAZ!L2)</calculatedColumnFormula>
    </tableColumn>
    <tableColumn id="8" xr3:uid="{86D810CF-28D8-47ED-B765-6C787813A03D}" name="SITUACAO" dataDxfId="40">
      <calculatedColumnFormula>IF(SEFAZ!N2="","",SEFAZ!N2)</calculatedColumnFormula>
    </tableColumn>
    <tableColumn id="9" xr3:uid="{F1B354C5-8A42-44AD-AEBC-837DC5AECC5F}" name="TIPO" dataDxfId="39">
      <calculatedColumnFormula>IF(SEFAZ!O2="","",SEFAZ!O2)</calculatedColumnFormula>
    </tableColumn>
    <tableColumn id="10" xr3:uid="{0425D9FD-FD18-45E9-B261-9C161CB08DBF}" name="VALOR" dataDxfId="38" dataCellStyle="Moeda">
      <calculatedColumnFormula>IF(SEFAZ!P2="","",SEFAZ!P2)</calculatedColumnFormula>
    </tableColumn>
    <tableColumn id="11" xr3:uid="{68EA5C25-6D8D-4F10-8C90-E1E15023135E}" name="STATUS" dataDxfId="0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7"/>
    <tableColumn id="12" xr3:uid="{F08AB48B-3C0E-424E-85B1-837A0C359386}" name="Observação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35"/>
  </sortState>
  <tableColumns count="11">
    <tableColumn id="1" xr3:uid="{C31E2042-8A93-409D-B53A-4BDBA38DDBB5}" name="UF" dataDxfId="34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33">
      <calculatedColumnFormula>IF('ENTRADAS-BASE'!D1="","",'ENTRADAS-BASE'!D1)</calculatedColumnFormula>
    </tableColumn>
    <tableColumn id="5" xr3:uid="{AA1F71BB-A975-4A54-BC84-4B8CD60AABF4}" name="CNPJ EMISSOR" dataDxfId="32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31" dataCellStyle="Moeda">
      <calculatedColumnFormula>IF('ENTRADAS-BASE'!J1="","",'ENTRADAS-BASE'!J1)</calculatedColumnFormula>
    </tableColumn>
    <tableColumn id="11" xr3:uid="{A9D897D8-9A4C-44C8-9B35-0ED0B6BDFAEB}" name="RELAÇÃO" dataDxfId="30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9"/>
  </sortState>
  <tableColumns count="11">
    <tableColumn id="1" xr3:uid="{5E1A7490-A264-49E1-9392-87ABE96A7646}" name="UF" dataDxfId="28">
      <calculatedColumnFormula>IF('SAÍDAS-BASE'!A1="","",'SAÍDAS-BASE'!A1)</calculatedColumnFormula>
    </tableColumn>
    <tableColumn id="2" xr3:uid="{C353142A-73A9-4C32-A24D-7ECE1644790B}" name="NF" dataDxfId="27">
      <calculatedColumnFormula>IF('SAÍDAS-BASE'!B1="","",'SAÍDAS-BASE'!B1)</calculatedColumnFormula>
    </tableColumn>
    <tableColumn id="3" xr3:uid="{55C42CFF-D4EB-4624-B424-7655D1407966}" name="SERIE" dataDxfId="26">
      <calculatedColumnFormula>IF('SAÍDAS-BASE'!C1="","",'SAÍDAS-BASE'!C1)</calculatedColumnFormula>
    </tableColumn>
    <tableColumn id="4" xr3:uid="{49487431-73B0-4E59-883F-31B83C40C0BC}" name="EMISSAO" dataDxfId="25">
      <calculatedColumnFormula>IF('SAÍDAS-BASE'!D1="","",'SAÍDAS-BASE'!D1)</calculatedColumnFormula>
    </tableColumn>
    <tableColumn id="5" xr3:uid="{90334490-0326-420F-B309-C9563623576C}" name="CNPJ EMISSOR" dataDxfId="24">
      <calculatedColumnFormula>IF('SAÍDAS-BASE'!E1="","",'SAÍDAS-BASE'!E1)</calculatedColumnFormula>
    </tableColumn>
    <tableColumn id="6" xr3:uid="{74070145-DA93-4A22-AF13-FC6E1FB5DE36}" name="FORNECEDOR" dataDxfId="23">
      <calculatedColumnFormula>IF('SAÍDAS-BASE'!F1="","",'SAÍDAS-BASE'!F1)</calculatedColumnFormula>
    </tableColumn>
    <tableColumn id="7" xr3:uid="{55AF05FE-52F9-4393-B813-8DB08586B74D}" name="CFOP" dataDxfId="22">
      <calculatedColumnFormula>IF('SAÍDAS-BASE'!G1="","",'SAÍDAS-BASE'!G1)</calculatedColumnFormula>
    </tableColumn>
    <tableColumn id="8" xr3:uid="{6F0491B9-8033-4B46-B2C1-548FBF71AA5C}" name="SITUACAO" dataDxfId="21">
      <calculatedColumnFormula>IF('SAÍDAS-BASE'!H1="","",'SAÍDAS-BASE'!H1)</calculatedColumnFormula>
    </tableColumn>
    <tableColumn id="9" xr3:uid="{16BE5CA3-3040-481E-BFA5-FDE68FB6613B}" name="TIPO" dataDxfId="20">
      <calculatedColumnFormula>IF('SAÍDAS-BASE'!I1="","",'SAÍDAS-BASE'!I1)</calculatedColumnFormula>
    </tableColumn>
    <tableColumn id="10" xr3:uid="{4CCD9BEB-0445-4D46-9C54-D0ABF2F59B17}" name="VALOR" dataDxfId="19" dataCellStyle="Moeda">
      <calculatedColumnFormula>IF('SAÍDAS-BASE'!J1="","",'SAÍDAS-BASE'!J1)</calculatedColumnFormula>
    </tableColumn>
    <tableColumn id="11" xr3:uid="{D1126F0C-6D1A-4E91-81FD-FDC6427FA2FE}" name="RELAÇÃO" dataDxfId="18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K8" totalsRowShown="0" headerRowDxfId="17" dataDxfId="16">
  <autoFilter ref="A7:K8" xr:uid="{49F45F82-F448-4A9E-BBBE-A0FEBC5D72CD}"/>
  <tableColumns count="11">
    <tableColumn id="1" xr3:uid="{AB11FFDA-F82B-41F2-9F9F-FFCA87A09BB6}" name="Entrada" dataDxfId="15"/>
    <tableColumn id="2" xr3:uid="{889DDA12-D066-4BE2-BD38-A7DFD05775F4}" name="NF" dataDxfId="14"/>
    <tableColumn id="3" xr3:uid="{FCF62964-449B-40E5-B04E-39DB5F8B70E1}" name="Fornecedor" dataDxfId="13"/>
    <tableColumn id="4" xr3:uid="{603ED454-3486-415E-AECA-FC72C99AA701}" name="Desconto" dataDxfId="12"/>
    <tableColumn id="5" xr3:uid="{B92D405A-D233-49F1-ADA9-8A78DD2928AC}" name="Vlr. Nota" dataDxfId="11" dataCellStyle="Moeda"/>
    <tableColumn id="6" xr3:uid="{4CA2E5A6-92B5-49C7-B77E-0DBC5E36CC7B}" name="Valor Contas a Pagar" dataDxfId="10" dataCellStyle="Moeda"/>
    <tableColumn id="7" xr3:uid="{8E109A0D-E7A0-48C9-9086-B12DD2D7BDE1}" name="Pedido" dataDxfId="9"/>
    <tableColumn id="8" xr3:uid="{790A0571-12C4-47A7-9C32-D5609291E164}" name="Conferência" dataDxfId="8"/>
    <tableColumn id="9" xr3:uid="{221765C4-D1A2-4463-B7BA-C3AACEC5B118}" name="Data Emissão" dataDxfId="7"/>
    <tableColumn id="10" xr3:uid="{F9BC5EAA-B890-402E-8A01-E30C3798542F}" name="DIA" dataDxfId="6">
      <calculatedColumnFormula>TEXT(tabela_compras[[#This Row],[Entrada]],"DD")</calculatedColumnFormula>
    </tableColumn>
    <tableColumn id="11" xr3:uid="{394D4F8B-8221-4D8F-BDDC-0AD791F21A15}" name="DIA DA SEMANA" dataDxfId="5">
      <calculatedColumnFormula>UPPER(TEXT(tabela_compras[[#This Row],[Entrada]],"DDD"))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BDDC97-2B06-470C-ABFB-A938103B2CC3}" name="Tabela1" displayName="Tabela1" ref="G3:J14" totalsRowCount="1">
  <autoFilter ref="G3:J13" xr:uid="{A4BDDC97-2B06-470C-ABFB-A938103B2CC3}"/>
  <tableColumns count="4">
    <tableColumn id="1" xr3:uid="{79A38C4F-CF5B-4C58-9F4F-A8A6CC9B1356}" name="STATUS" totalsRowLabel="TOTAL DE NOTAS">
      <calculatedColumnFormula>RELATÓRIO!B5</calculatedColumnFormula>
    </tableColumn>
    <tableColumn id="2" xr3:uid="{F1514CC8-73A9-4135-9DD9-2BE629789DB8}" name="QTDE" totalsRowFunction="sum">
      <calculatedColumnFormula>RELATÓRIO!D5</calculatedColumnFormula>
    </tableColumn>
    <tableColumn id="3" xr3:uid="{4097A0B7-0D4E-4044-B2C7-0EBC5EE919B6}" name="PERCENTUAL" dataDxfId="4" dataCellStyle="Porcentagem">
      <calculatedColumnFormula>Tabela1[[#This Row],[QTDE]]/Tabela1[[#Totals],[QTDE]]</calculatedColumnFormula>
    </tableColumn>
    <tableColumn id="4" xr3:uid="{32A9494D-75DB-496E-92AF-BA07E057A23E}" name="FALTANTE" dataDxfId="3">
      <calculatedColumnFormula>1-Tabela1[[#This Row],[PERCENTUAL]]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669C8F-F888-4C87-92A9-A890990A13F9}" name="Tabela6" displayName="Tabela6" ref="L2:V5" totalsRowShown="0" headerRowDxfId="2">
  <autoFilter ref="L2:V5" xr:uid="{D0669C8F-F888-4C87-92A9-A890990A13F9}"/>
  <tableColumns count="11">
    <tableColumn id="1" xr3:uid="{7A3D46A3-312D-4C50-8336-58996CB8BEDE}" name="STATUS" dataDxfId="1"/>
    <tableColumn id="2" xr3:uid="{F541B9D2-D2F7-4666-847B-A2F61CF65574}" name="RECEBIDAS"/>
    <tableColumn id="3" xr3:uid="{91576D7C-A6C2-4508-8A2E-3BC68DBFFB31}" name="NÃO LANÇADAS"/>
    <tableColumn id="4" xr3:uid="{663F687D-2328-4A94-BD69-2A365F9D3DAF}" name="CANCELADAS"/>
    <tableColumn id="5" xr3:uid="{E279C802-62B1-40C5-9AC1-41E23DA394B5}" name="DEVOLUÇÕES"/>
    <tableColumn id="6" xr3:uid="{B904A24C-C5E5-472C-BDA5-D2F329C1F7C5}" name="EM TRANSPORTE"/>
    <tableColumn id="7" xr3:uid="{F1ED8494-56B2-4628-B580-8E2FF61ADF9E}" name="DESAGREGAÇÕES"/>
    <tableColumn id="8" xr3:uid="{585BB461-0526-457F-B028-B60DB0D22A2C}" name="DESCARTE"/>
    <tableColumn id="9" xr3:uid="{05193127-D75F-436E-BB7F-F631126AC5B3}" name="REJEITADAS"/>
    <tableColumn id="10" xr3:uid="{080028AF-8D8C-4881-A5CD-E5215F8E35CF}" name="PARA REJEITAR"/>
    <tableColumn id="11" xr3:uid="{FAE5A979-5C0A-489B-A76B-7BBB57D72F91}" name="FALTA CHEG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6CDB5-1B4F-4C76-BD1E-3D315D6EAACD}">
  <sheetPr codeName="Planilha2"/>
  <dimension ref="A1:U37"/>
  <sheetViews>
    <sheetView showGridLines="0" zoomScale="95" zoomScaleNormal="95" workbookViewId="0">
      <selection activeCell="V5" sqref="V5"/>
    </sheetView>
  </sheetViews>
  <sheetFormatPr defaultRowHeight="14.4" x14ac:dyDescent="0.3"/>
  <sheetData>
    <row r="1" spans="1:21" s="17" customFormat="1" x14ac:dyDescent="0.3"/>
    <row r="2" spans="1:21" s="17" customFormat="1" ht="15" customHeight="1" x14ac:dyDescent="0.3">
      <c r="C2" s="25" t="str">
        <f ca="1">RELATÓRIO!C2</f>
        <v>CONTROLE DE NF | FEVEREIRO 2026</v>
      </c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21" s="17" customFormat="1" ht="15" customHeight="1" x14ac:dyDescent="0.3"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21" s="17" customFormat="1" x14ac:dyDescent="0.3">
      <c r="C4" s="26" t="str">
        <f>RELATÓRIO!C4</f>
        <v>UNIDADE:</v>
      </c>
      <c r="D4" s="26"/>
      <c r="E4" s="26"/>
      <c r="F4" s="26"/>
      <c r="G4" s="26"/>
      <c r="H4" s="26"/>
      <c r="I4" s="26"/>
      <c r="J4" s="26"/>
      <c r="K4" s="26"/>
      <c r="L4" s="26"/>
      <c r="M4" s="26"/>
    </row>
    <row r="5" spans="1:21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</row>
    <row r="6" spans="1:21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</row>
    <row r="7" spans="1:21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</row>
    <row r="8" spans="1:21" x14ac:dyDescent="0.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</row>
    <row r="9" spans="1:21" x14ac:dyDescent="0.3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</row>
    <row r="10" spans="1:21" x14ac:dyDescent="0.3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</row>
    <row r="11" spans="1:21" x14ac:dyDescent="0.3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</row>
    <row r="12" spans="1:21" x14ac:dyDescent="0.3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</row>
    <row r="13" spans="1:21" x14ac:dyDescent="0.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</row>
    <row r="14" spans="1:21" x14ac:dyDescent="0.3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</row>
    <row r="15" spans="1:21" x14ac:dyDescent="0.3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</row>
    <row r="16" spans="1:21" x14ac:dyDescent="0.3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</row>
    <row r="17" spans="1:21" x14ac:dyDescent="0.3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</row>
    <row r="18" spans="1:21" x14ac:dyDescent="0.3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</row>
    <row r="19" spans="1:21" x14ac:dyDescent="0.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</row>
    <row r="20" spans="1:21" x14ac:dyDescent="0.3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</row>
    <row r="21" spans="1:21" x14ac:dyDescent="0.3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</row>
    <row r="22" spans="1:21" x14ac:dyDescent="0.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</row>
    <row r="23" spans="1:21" x14ac:dyDescent="0.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</row>
    <row r="24" spans="1:21" x14ac:dyDescent="0.3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</row>
    <row r="25" spans="1:21" x14ac:dyDescent="0.3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</row>
    <row r="26" spans="1:21" x14ac:dyDescent="0.3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</row>
    <row r="27" spans="1:21" x14ac:dyDescent="0.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</row>
    <row r="28" spans="1:21" x14ac:dyDescent="0.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</row>
    <row r="29" spans="1:21" x14ac:dyDescent="0.3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</row>
    <row r="30" spans="1:21" x14ac:dyDescent="0.3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</row>
    <row r="31" spans="1:21" x14ac:dyDescent="0.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</row>
    <row r="32" spans="1:21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</row>
    <row r="33" spans="1:21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</row>
    <row r="34" spans="1:21" x14ac:dyDescent="0.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</row>
    <row r="35" spans="1:21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</row>
    <row r="36" spans="1:21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</row>
    <row r="37" spans="1:21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</row>
  </sheetData>
  <mergeCells count="2">
    <mergeCell ref="C2:M3"/>
    <mergeCell ref="C4:M4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4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7" customFormat="1" x14ac:dyDescent="0.3">
      <c r="F1" s="18"/>
      <c r="K1" s="19"/>
    </row>
    <row r="2" spans="2:11" s="17" customFormat="1" ht="15" customHeight="1" x14ac:dyDescent="0.3">
      <c r="C2" s="25" t="str">
        <f ca="1">IF(E18="",
    IF(DAY(TODAY())&gt;6,
        "CONTROLE DE NF | "&amp;F6&amp;" "&amp;G6,
        "CONTROLE DE NF | "&amp;F7&amp;" "&amp;G7
    ),
    "CONTROLE DE NF | "&amp;UPPER(TEXT(E18,"mmmm"))&amp;" "&amp;TEXT(E18,"aaaa")
)</f>
        <v>CONTROLE DE NF | FEVEREIRO 2026</v>
      </c>
      <c r="D2" s="25"/>
      <c r="E2" s="25"/>
      <c r="F2" s="25"/>
      <c r="G2" s="25"/>
      <c r="H2" s="20"/>
      <c r="I2" s="20"/>
      <c r="J2" s="20"/>
      <c r="K2" s="19"/>
    </row>
    <row r="3" spans="2:11" s="17" customFormat="1" ht="15" customHeight="1" x14ac:dyDescent="0.3">
      <c r="C3" s="25"/>
      <c r="D3" s="25"/>
      <c r="E3" s="25"/>
      <c r="F3" s="25"/>
      <c r="G3" s="25"/>
      <c r="H3" s="20"/>
      <c r="I3" s="20"/>
      <c r="J3" s="20"/>
      <c r="K3" s="19"/>
    </row>
    <row r="4" spans="2:11" s="17" customFormat="1" x14ac:dyDescent="0.3">
      <c r="C4" s="26" t="s">
        <v>48</v>
      </c>
      <c r="D4" s="26"/>
      <c r="E4" s="26"/>
      <c r="F4" s="26"/>
      <c r="G4" s="26"/>
      <c r="H4" s="21"/>
      <c r="I4" s="21"/>
      <c r="J4" s="21"/>
      <c r="K4" s="19"/>
    </row>
    <row r="5" spans="2:11" x14ac:dyDescent="0.3">
      <c r="B5" s="27" t="s">
        <v>22</v>
      </c>
      <c r="C5" s="27"/>
      <c r="D5">
        <f>COUNTIF(RELATORIO[STATUS],"RECEBIDA")</f>
        <v>0</v>
      </c>
    </row>
    <row r="6" spans="2:11" x14ac:dyDescent="0.3">
      <c r="B6" s="27" t="s">
        <v>32</v>
      </c>
      <c r="C6" s="27"/>
      <c r="D6">
        <f>COUNTIF(RELATORIO[STATUS],"NÃO LANÇADA")</f>
        <v>0</v>
      </c>
      <c r="F6" s="32" t="str">
        <f ca="1">UPPER(TEXT(TODAY(),"mmmm"))</f>
        <v>FEVEREIRO</v>
      </c>
      <c r="G6" s="33" t="str">
        <f ca="1">TEXT(TODAY(),"aaaa")</f>
        <v>2026</v>
      </c>
    </row>
    <row r="7" spans="2:11" x14ac:dyDescent="0.3">
      <c r="B7" s="27" t="s">
        <v>25</v>
      </c>
      <c r="C7" s="27"/>
      <c r="D7">
        <f>COUNTIF(RELATORIO[STATUS],"CANCELADA")</f>
        <v>0</v>
      </c>
      <c r="F7" s="32" t="str">
        <f ca="1">UPPER(TEXT(EDATE(TODAY(), -1),"mmmm"))</f>
        <v>JANEIRO</v>
      </c>
      <c r="G7" s="33" t="str">
        <f ca="1">TEXT(EDATE(TODAY(),-1),"aaaa")</f>
        <v>2026</v>
      </c>
    </row>
    <row r="8" spans="2:11" x14ac:dyDescent="0.3">
      <c r="B8" s="27" t="s">
        <v>23</v>
      </c>
      <c r="C8" s="27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  <c r="F9" s="7"/>
      <c r="G9" s="34"/>
    </row>
    <row r="10" spans="2:11" x14ac:dyDescent="0.3">
      <c r="B10" s="27" t="s">
        <v>26</v>
      </c>
      <c r="C10" s="27"/>
      <c r="D10">
        <f>COUNTIF(RELATORIO[STATUS],"DESAGREGAÇÃO")</f>
        <v>0</v>
      </c>
      <c r="F10" s="34"/>
      <c r="G10" s="34"/>
    </row>
    <row r="11" spans="2:11" x14ac:dyDescent="0.3">
      <c r="B11" s="9" t="s">
        <v>30</v>
      </c>
      <c r="C11" s="9"/>
      <c r="D11">
        <f>COUNTIF(RELATORIO[STATUS],B11)</f>
        <v>0</v>
      </c>
      <c r="F11" s="34"/>
      <c r="G11" s="34"/>
    </row>
    <row r="12" spans="2:11" x14ac:dyDescent="0.3">
      <c r="B12" s="9" t="s">
        <v>31</v>
      </c>
      <c r="C12" s="9"/>
      <c r="D12">
        <f>COUNTIF(RELATORIO[STATUS],"REJEITADA")</f>
        <v>0</v>
      </c>
      <c r="F12" s="34"/>
      <c r="G12" s="34"/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28" t="s">
        <v>28</v>
      </c>
      <c r="C15" s="28"/>
      <c r="D15" s="1">
        <f>SUM(D5:D12)</f>
        <v>0</v>
      </c>
    </row>
    <row r="17" spans="2:14" x14ac:dyDescent="0.3">
      <c r="B17" t="s">
        <v>2</v>
      </c>
      <c r="C17" t="s">
        <v>10</v>
      </c>
      <c r="D17" t="s">
        <v>3</v>
      </c>
      <c r="E17" t="s">
        <v>4</v>
      </c>
      <c r="F17" s="6" t="s">
        <v>5</v>
      </c>
      <c r="G17" t="s">
        <v>11</v>
      </c>
      <c r="H17" t="s">
        <v>6</v>
      </c>
      <c r="I17" t="s">
        <v>7</v>
      </c>
      <c r="J17" t="s">
        <v>8</v>
      </c>
      <c r="K17" s="5" t="s">
        <v>9</v>
      </c>
      <c r="L17" t="s">
        <v>13</v>
      </c>
      <c r="M17" t="s">
        <v>36</v>
      </c>
      <c r="N17" t="s">
        <v>27</v>
      </c>
    </row>
    <row r="18" spans="2:14" hidden="1" x14ac:dyDescent="0.3">
      <c r="B18" t="str">
        <f>IF(SEFAZ!A2="","",SEFAZ!A2)</f>
        <v/>
      </c>
      <c r="C18" t="str">
        <f>IF(SEFAZ!C2="","",SEFAZ!C2)</f>
        <v/>
      </c>
      <c r="D18" t="str">
        <f>IF(SEFAZ!D2="","",SEFAZ!D2)</f>
        <v/>
      </c>
      <c r="E18" s="7" t="str">
        <f>IF(SEFAZ!E2="","",SEFAZ!E2)</f>
        <v/>
      </c>
      <c r="F18" s="6" t="str">
        <f>IF(SEFAZ!F2="","",VALUE(SUBSTITUTE(SEFAZ!F2,"'","")))</f>
        <v/>
      </c>
      <c r="G18" t="str">
        <f>IF(SEFAZ!H2="","",SEFAZ!H2)</f>
        <v/>
      </c>
      <c r="H18" t="str">
        <f>IF(SEFAZ!L2="","",SEFAZ!L2)</f>
        <v/>
      </c>
      <c r="I18" t="str">
        <f>IF(SEFAZ!N2="","",SEFAZ!N2)</f>
        <v/>
      </c>
      <c r="J18" t="str">
        <f>IF(SEFAZ!O2="","",SEFAZ!O2)</f>
        <v/>
      </c>
      <c r="K18" s="11" t="str">
        <f>IF(SEFAZ!P2="","",SEFAZ!P2)</f>
        <v/>
      </c>
      <c r="L18" t="str" cm="1">
        <f t="array" ref="L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" t="s">
        <v>35</v>
      </c>
    </row>
    <row r="19" spans="2:14" hidden="1" x14ac:dyDescent="0.3">
      <c r="B19" t="str">
        <f>IF(SEFAZ!A3="","",SEFAZ!A3)</f>
        <v/>
      </c>
      <c r="C19" t="str">
        <f>IF(SEFAZ!C3="","",SEFAZ!C3)</f>
        <v/>
      </c>
      <c r="D19" t="str">
        <f>IF(SEFAZ!D3="","",SEFAZ!D3)</f>
        <v/>
      </c>
      <c r="E19" s="7" t="str">
        <f>IF(SEFAZ!E3="","",SEFAZ!E3)</f>
        <v/>
      </c>
      <c r="F19" s="6" t="str">
        <f>IF(SEFAZ!F3="","",VALUE(SUBSTITUTE(SEFAZ!F3,"'","")))</f>
        <v/>
      </c>
      <c r="G19" t="str">
        <f>IF(SEFAZ!H3="","",SEFAZ!H3)</f>
        <v/>
      </c>
      <c r="H19" t="str">
        <f>IF(SEFAZ!L3="","",SEFAZ!L3)</f>
        <v/>
      </c>
      <c r="I19" t="str">
        <f>IF(SEFAZ!N3="","",SEFAZ!N3)</f>
        <v/>
      </c>
      <c r="J19" t="str">
        <f>IF(SEFAZ!O3="","",SEFAZ!O3)</f>
        <v/>
      </c>
      <c r="K19" s="11" t="str">
        <f>IF(SEFAZ!P3="","",SEFAZ!P3)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hidden="1" x14ac:dyDescent="0.3">
      <c r="B20" t="str">
        <f>IF(SEFAZ!A4="","",SEFAZ!A4)</f>
        <v/>
      </c>
      <c r="C20" t="str">
        <f>IF(SEFAZ!C4="","",SEFAZ!C4)</f>
        <v/>
      </c>
      <c r="D20" t="str">
        <f>IF(SEFAZ!D4="","",SEFAZ!D4)</f>
        <v/>
      </c>
      <c r="E20" s="7" t="str">
        <f>IF(SEFAZ!E4="","",SEFAZ!E4)</f>
        <v/>
      </c>
      <c r="F20" s="6" t="str">
        <f>IF(SEFAZ!F4="","",VALUE(SUBSTITUTE(SEFAZ!F4,"'","")))</f>
        <v/>
      </c>
      <c r="G20" t="str">
        <f>IF(SEFAZ!H4="","",SEFAZ!H4)</f>
        <v/>
      </c>
      <c r="H20" t="str">
        <f>IF(SEFAZ!L4="","",SEFAZ!L4)</f>
        <v/>
      </c>
      <c r="I20" t="str">
        <f>IF(SEFAZ!N4="","",SEFAZ!N4)</f>
        <v/>
      </c>
      <c r="J20" t="str">
        <f>IF(SEFAZ!O4="","",SEFAZ!O4)</f>
        <v/>
      </c>
      <c r="K20" s="11" t="str">
        <f>IF(SEFAZ!P4="","",SEFAZ!P4)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hidden="1" x14ac:dyDescent="0.3">
      <c r="B21" t="str">
        <f>IF(SEFAZ!A5="","",SEFAZ!A5)</f>
        <v/>
      </c>
      <c r="C21" t="str">
        <f>IF(SEFAZ!C5="","",SEFAZ!C5)</f>
        <v/>
      </c>
      <c r="D21" t="str">
        <f>IF(SEFAZ!D5="","",SEFAZ!D5)</f>
        <v/>
      </c>
      <c r="E21" s="7" t="str">
        <f>IF(SEFAZ!E5="","",SEFAZ!E5)</f>
        <v/>
      </c>
      <c r="F21" s="6" t="str">
        <f>IF(SEFAZ!F5="","",VALUE(SUBSTITUTE(SEFAZ!F5,"'","")))</f>
        <v/>
      </c>
      <c r="G21" t="str">
        <f>IF(SEFAZ!H5="","",SEFAZ!H5)</f>
        <v/>
      </c>
      <c r="H21" t="str">
        <f>IF(SEFAZ!L5="","",SEFAZ!L5)</f>
        <v/>
      </c>
      <c r="I21" t="str">
        <f>IF(SEFAZ!N5="","",SEFAZ!N5)</f>
        <v/>
      </c>
      <c r="J21" t="str">
        <f>IF(SEFAZ!O5="","",SEFAZ!O5)</f>
        <v/>
      </c>
      <c r="K21" s="11" t="str">
        <f>IF(SEFAZ!P5="","",SEFAZ!P5)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hidden="1" x14ac:dyDescent="0.3">
      <c r="B22" t="str">
        <f>IF(SEFAZ!A6="","",SEFAZ!A6)</f>
        <v/>
      </c>
      <c r="C22" t="str">
        <f>IF(SEFAZ!C6="","",SEFAZ!C6)</f>
        <v/>
      </c>
      <c r="D22" t="str">
        <f>IF(SEFAZ!D6="","",SEFAZ!D6)</f>
        <v/>
      </c>
      <c r="E22" s="7" t="str">
        <f>IF(SEFAZ!E6="","",SEFAZ!E6)</f>
        <v/>
      </c>
      <c r="F22" s="6" t="str">
        <f>IF(SEFAZ!F6="","",VALUE(SUBSTITUTE(SEFAZ!F6,"'","")))</f>
        <v/>
      </c>
      <c r="G22" t="str">
        <f>IF(SEFAZ!H6="","",SEFAZ!H6)</f>
        <v/>
      </c>
      <c r="H22" t="str">
        <f>IF(SEFAZ!L6="","",SEFAZ!L6)</f>
        <v/>
      </c>
      <c r="I22" t="str">
        <f>IF(SEFAZ!N6="","",SEFAZ!N6)</f>
        <v/>
      </c>
      <c r="J22" t="str">
        <f>IF(SEFAZ!O6="","",SEFAZ!O6)</f>
        <v/>
      </c>
      <c r="K22" s="11" t="str">
        <f>IF(SEFAZ!P6="","",SEFAZ!P6)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hidden="1" x14ac:dyDescent="0.3">
      <c r="B23" t="str">
        <f>IF(SEFAZ!A7="","",SEFAZ!A7)</f>
        <v/>
      </c>
      <c r="C23" t="str">
        <f>IF(SEFAZ!C7="","",SEFAZ!C7)</f>
        <v/>
      </c>
      <c r="D23" t="str">
        <f>IF(SEFAZ!D7="","",SEFAZ!D7)</f>
        <v/>
      </c>
      <c r="E23" s="7" t="str">
        <f>IF(SEFAZ!E7="","",SEFAZ!E7)</f>
        <v/>
      </c>
      <c r="F23" s="6" t="str">
        <f>IF(SEFAZ!F7="","",VALUE(SUBSTITUTE(SEFAZ!F7,"'","")))</f>
        <v/>
      </c>
      <c r="G23" t="str">
        <f>IF(SEFAZ!H7="","",SEFAZ!H7)</f>
        <v/>
      </c>
      <c r="H23" t="str">
        <f>IF(SEFAZ!L7="","",SEFAZ!L7)</f>
        <v/>
      </c>
      <c r="I23" t="str">
        <f>IF(SEFAZ!N7="","",SEFAZ!N7)</f>
        <v/>
      </c>
      <c r="J23" t="str">
        <f>IF(SEFAZ!O7="","",SEFAZ!O7)</f>
        <v/>
      </c>
      <c r="K23" s="11" t="str">
        <f>IF(SEFAZ!P7="","",SEFAZ!P7)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hidden="1" x14ac:dyDescent="0.3">
      <c r="B24" t="str">
        <f>IF(SEFAZ!A8="","",SEFAZ!A8)</f>
        <v/>
      </c>
      <c r="C24" t="str">
        <f>IF(SEFAZ!C8="","",SEFAZ!C8)</f>
        <v/>
      </c>
      <c r="D24" t="str">
        <f>IF(SEFAZ!D8="","",SEFAZ!D8)</f>
        <v/>
      </c>
      <c r="E24" s="7" t="str">
        <f>IF(SEFAZ!E8="","",SEFAZ!E8)</f>
        <v/>
      </c>
      <c r="F24" s="6" t="str">
        <f>IF(SEFAZ!F8="","",VALUE(SUBSTITUTE(SEFAZ!F8,"'","")))</f>
        <v/>
      </c>
      <c r="G24" t="str">
        <f>IF(SEFAZ!H8="","",SEFAZ!H8)</f>
        <v/>
      </c>
      <c r="H24" t="str">
        <f>IF(SEFAZ!L8="","",SEFAZ!L8)</f>
        <v/>
      </c>
      <c r="I24" t="str">
        <f>IF(SEFAZ!N8="","",SEFAZ!N8)</f>
        <v/>
      </c>
      <c r="J24" t="str">
        <f>IF(SEFAZ!O8="","",SEFAZ!O8)</f>
        <v/>
      </c>
      <c r="K24" s="11" t="str">
        <f>IF(SEFAZ!P8="","",SEFAZ!P8)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hidden="1" x14ac:dyDescent="0.3">
      <c r="B25" t="str">
        <f>IF(SEFAZ!A9="","",SEFAZ!A9)</f>
        <v/>
      </c>
      <c r="C25" t="str">
        <f>IF(SEFAZ!C9="","",SEFAZ!C9)</f>
        <v/>
      </c>
      <c r="D25" t="str">
        <f>IF(SEFAZ!D9="","",SEFAZ!D9)</f>
        <v/>
      </c>
      <c r="E25" s="7" t="str">
        <f>IF(SEFAZ!E9="","",SEFAZ!E9)</f>
        <v/>
      </c>
      <c r="F25" s="6" t="str">
        <f>IF(SEFAZ!F9="","",VALUE(SUBSTITUTE(SEFAZ!F9,"'","")))</f>
        <v/>
      </c>
      <c r="G25" t="str">
        <f>IF(SEFAZ!H9="","",SEFAZ!H9)</f>
        <v/>
      </c>
      <c r="H25" t="str">
        <f>IF(SEFAZ!L9="","",SEFAZ!L9)</f>
        <v/>
      </c>
      <c r="I25" t="str">
        <f>IF(SEFAZ!N9="","",SEFAZ!N9)</f>
        <v/>
      </c>
      <c r="J25" t="str">
        <f>IF(SEFAZ!O9="","",SEFAZ!O9)</f>
        <v/>
      </c>
      <c r="K25" s="11" t="str">
        <f>IF(SEFAZ!P9="","",SEFAZ!P9)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hidden="1" x14ac:dyDescent="0.3">
      <c r="B26" t="str">
        <f>IF(SEFAZ!A10="","",SEFAZ!A10)</f>
        <v/>
      </c>
      <c r="C26" t="str">
        <f>IF(SEFAZ!C10="","",SEFAZ!C10)</f>
        <v/>
      </c>
      <c r="D26" t="str">
        <f>IF(SEFAZ!D10="","",SEFAZ!D10)</f>
        <v/>
      </c>
      <c r="E26" s="7" t="str">
        <f>IF(SEFAZ!E10="","",SEFAZ!E10)</f>
        <v/>
      </c>
      <c r="F26" s="6" t="str">
        <f>IF(SEFAZ!F10="","",VALUE(SUBSTITUTE(SEFAZ!F10,"'","")))</f>
        <v/>
      </c>
      <c r="G26" t="str">
        <f>IF(SEFAZ!H10="","",SEFAZ!H10)</f>
        <v/>
      </c>
      <c r="H26" t="str">
        <f>IF(SEFAZ!L10="","",SEFAZ!L10)</f>
        <v/>
      </c>
      <c r="I26" t="str">
        <f>IF(SEFAZ!N10="","",SEFAZ!N10)</f>
        <v/>
      </c>
      <c r="J26" t="str">
        <f>IF(SEFAZ!O10="","",SEFAZ!O10)</f>
        <v/>
      </c>
      <c r="K26" s="11" t="str">
        <f>IF(SEFAZ!P10="","",SEFAZ!P10)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hidden="1" x14ac:dyDescent="0.3">
      <c r="B27" t="str">
        <f>IF(SEFAZ!A11="","",SEFAZ!A11)</f>
        <v/>
      </c>
      <c r="C27" t="str">
        <f>IF(SEFAZ!C11="","",SEFAZ!C11)</f>
        <v/>
      </c>
      <c r="D27" t="str">
        <f>IF(SEFAZ!D11="","",SEFAZ!D11)</f>
        <v/>
      </c>
      <c r="E27" s="7" t="str">
        <f>IF(SEFAZ!E11="","",SEFAZ!E11)</f>
        <v/>
      </c>
      <c r="F27" s="6" t="str">
        <f>IF(SEFAZ!F11="","",VALUE(SUBSTITUTE(SEFAZ!F11,"'","")))</f>
        <v/>
      </c>
      <c r="G27" t="str">
        <f>IF(SEFAZ!H11="","",SEFAZ!H11)</f>
        <v/>
      </c>
      <c r="H27" t="str">
        <f>IF(SEFAZ!L11="","",SEFAZ!L11)</f>
        <v/>
      </c>
      <c r="I27" t="str">
        <f>IF(SEFAZ!N11="","",SEFAZ!N11)</f>
        <v/>
      </c>
      <c r="J27" t="str">
        <f>IF(SEFAZ!O11="","",SEFAZ!O11)</f>
        <v/>
      </c>
      <c r="K27" s="11" t="str">
        <f>IF(SEFAZ!P11="","",SEFAZ!P11)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hidden="1" x14ac:dyDescent="0.3">
      <c r="B28" t="str">
        <f>IF(SEFAZ!A12="","",SEFAZ!A12)</f>
        <v/>
      </c>
      <c r="C28" t="str">
        <f>IF(SEFAZ!C12="","",SEFAZ!C12)</f>
        <v/>
      </c>
      <c r="D28" t="str">
        <f>IF(SEFAZ!D12="","",SEFAZ!D12)</f>
        <v/>
      </c>
      <c r="E28" s="7" t="str">
        <f>IF(SEFAZ!E12="","",SEFAZ!E12)</f>
        <v/>
      </c>
      <c r="F28" s="6" t="str">
        <f>IF(SEFAZ!F12="","",VALUE(SUBSTITUTE(SEFAZ!F12,"'","")))</f>
        <v/>
      </c>
      <c r="G28" t="str">
        <f>IF(SEFAZ!H12="","",SEFAZ!H12)</f>
        <v/>
      </c>
      <c r="H28" t="str">
        <f>IF(SEFAZ!L12="","",SEFAZ!L12)</f>
        <v/>
      </c>
      <c r="I28" t="str">
        <f>IF(SEFAZ!N12="","",SEFAZ!N12)</f>
        <v/>
      </c>
      <c r="J28" t="str">
        <f>IF(SEFAZ!O12="","",SEFAZ!O12)</f>
        <v/>
      </c>
      <c r="K28" s="11" t="str">
        <f>IF(SEFAZ!P12="","",SEFAZ!P12)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hidden="1" x14ac:dyDescent="0.3">
      <c r="B29" t="str">
        <f>IF(SEFAZ!A13="","",SEFAZ!A13)</f>
        <v/>
      </c>
      <c r="C29" t="str">
        <f>IF(SEFAZ!C13="","",SEFAZ!C13)</f>
        <v/>
      </c>
      <c r="D29" t="str">
        <f>IF(SEFAZ!D13="","",SEFAZ!D13)</f>
        <v/>
      </c>
      <c r="E29" s="7" t="str">
        <f>IF(SEFAZ!E13="","",SEFAZ!E13)</f>
        <v/>
      </c>
      <c r="F29" s="6" t="str">
        <f>IF(SEFAZ!F13="","",VALUE(SUBSTITUTE(SEFAZ!F13,"'","")))</f>
        <v/>
      </c>
      <c r="G29" t="str">
        <f>IF(SEFAZ!H13="","",SEFAZ!H13)</f>
        <v/>
      </c>
      <c r="H29" t="str">
        <f>IF(SEFAZ!L13="","",SEFAZ!L13)</f>
        <v/>
      </c>
      <c r="I29" t="str">
        <f>IF(SEFAZ!N13="","",SEFAZ!N13)</f>
        <v/>
      </c>
      <c r="J29" t="str">
        <f>IF(SEFAZ!O13="","",SEFAZ!O13)</f>
        <v/>
      </c>
      <c r="K29" s="11" t="str">
        <f>IF(SEFAZ!P13="","",SEFAZ!P13)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hidden="1" x14ac:dyDescent="0.3">
      <c r="B30" t="str">
        <f>IF(SEFAZ!A14="","",SEFAZ!A14)</f>
        <v/>
      </c>
      <c r="C30" t="str">
        <f>IF(SEFAZ!C14="","",SEFAZ!C14)</f>
        <v/>
      </c>
      <c r="D30" t="str">
        <f>IF(SEFAZ!D14="","",SEFAZ!D14)</f>
        <v/>
      </c>
      <c r="E30" s="7" t="str">
        <f>IF(SEFAZ!E14="","",SEFAZ!E14)</f>
        <v/>
      </c>
      <c r="F30" s="6" t="str">
        <f>IF(SEFAZ!F14="","",VALUE(SUBSTITUTE(SEFAZ!F14,"'","")))</f>
        <v/>
      </c>
      <c r="G30" t="str">
        <f>IF(SEFAZ!H14="","",SEFAZ!H14)</f>
        <v/>
      </c>
      <c r="H30" t="str">
        <f>IF(SEFAZ!L14="","",SEFAZ!L14)</f>
        <v/>
      </c>
      <c r="I30" t="str">
        <f>IF(SEFAZ!N14="","",SEFAZ!N14)</f>
        <v/>
      </c>
      <c r="J30" t="str">
        <f>IF(SEFAZ!O14="","",SEFAZ!O14)</f>
        <v/>
      </c>
      <c r="K30" s="11" t="str">
        <f>IF(SEFAZ!P14="","",SEFAZ!P14)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hidden="1" x14ac:dyDescent="0.3">
      <c r="B31" t="str">
        <f>IF(SEFAZ!A15="","",SEFAZ!A15)</f>
        <v/>
      </c>
      <c r="C31" t="str">
        <f>IF(SEFAZ!C15="","",SEFAZ!C15)</f>
        <v/>
      </c>
      <c r="D31" t="str">
        <f>IF(SEFAZ!D15="","",SEFAZ!D15)</f>
        <v/>
      </c>
      <c r="E31" s="7" t="str">
        <f>IF(SEFAZ!E15="","",SEFAZ!E15)</f>
        <v/>
      </c>
      <c r="F31" s="6" t="str">
        <f>IF(SEFAZ!F15="","",VALUE(SUBSTITUTE(SEFAZ!F15,"'","")))</f>
        <v/>
      </c>
      <c r="G31" t="str">
        <f>IF(SEFAZ!H15="","",SEFAZ!H15)</f>
        <v/>
      </c>
      <c r="H31" t="str">
        <f>IF(SEFAZ!L15="","",SEFAZ!L15)</f>
        <v/>
      </c>
      <c r="I31" t="str">
        <f>IF(SEFAZ!N15="","",SEFAZ!N15)</f>
        <v/>
      </c>
      <c r="J31" t="str">
        <f>IF(SEFAZ!O15="","",SEFAZ!O15)</f>
        <v/>
      </c>
      <c r="K31" s="11" t="str">
        <f>IF(SEFAZ!P15="","",SEFAZ!P15)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hidden="1" x14ac:dyDescent="0.3">
      <c r="B32" t="str">
        <f>IF(SEFAZ!A16="","",SEFAZ!A16)</f>
        <v/>
      </c>
      <c r="C32" t="str">
        <f>IF(SEFAZ!C16="","",SEFAZ!C16)</f>
        <v/>
      </c>
      <c r="D32" t="str">
        <f>IF(SEFAZ!D16="","",SEFAZ!D16)</f>
        <v/>
      </c>
      <c r="E32" s="7" t="str">
        <f>IF(SEFAZ!E16="","",SEFAZ!E16)</f>
        <v/>
      </c>
      <c r="F32" s="6" t="str">
        <f>IF(SEFAZ!F16="","",VALUE(SUBSTITUTE(SEFAZ!F16,"'","")))</f>
        <v/>
      </c>
      <c r="G32" t="str">
        <f>IF(SEFAZ!H16="","",SEFAZ!H16)</f>
        <v/>
      </c>
      <c r="H32" t="str">
        <f>IF(SEFAZ!L16="","",SEFAZ!L16)</f>
        <v/>
      </c>
      <c r="I32" t="str">
        <f>IF(SEFAZ!N16="","",SEFAZ!N16)</f>
        <v/>
      </c>
      <c r="J32" t="str">
        <f>IF(SEFAZ!O16="","",SEFAZ!O16)</f>
        <v/>
      </c>
      <c r="K32" s="11" t="str">
        <f>IF(SEFAZ!P16="","",SEFAZ!P16)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hidden="1" x14ac:dyDescent="0.3">
      <c r="B33" t="str">
        <f>IF(SEFAZ!A17="","",SEFAZ!A17)</f>
        <v/>
      </c>
      <c r="C33" t="str">
        <f>IF(SEFAZ!C17="","",SEFAZ!C17)</f>
        <v/>
      </c>
      <c r="D33" t="str">
        <f>IF(SEFAZ!D17="","",SEFAZ!D17)</f>
        <v/>
      </c>
      <c r="E33" s="7" t="str">
        <f>IF(SEFAZ!E17="","",SEFAZ!E17)</f>
        <v/>
      </c>
      <c r="F33" s="6" t="str">
        <f>IF(SEFAZ!F17="","",VALUE(SUBSTITUTE(SEFAZ!F17,"'","")))</f>
        <v/>
      </c>
      <c r="G33" t="str">
        <f>IF(SEFAZ!H17="","",SEFAZ!H17)</f>
        <v/>
      </c>
      <c r="H33" t="str">
        <f>IF(SEFAZ!L17="","",SEFAZ!L17)</f>
        <v/>
      </c>
      <c r="I33" t="str">
        <f>IF(SEFAZ!N17="","",SEFAZ!N17)</f>
        <v/>
      </c>
      <c r="J33" t="str">
        <f>IF(SEFAZ!O17="","",SEFAZ!O17)</f>
        <v/>
      </c>
      <c r="K33" s="11" t="str">
        <f>IF(SEFAZ!P17="","",SEFAZ!P17)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hidden="1" x14ac:dyDescent="0.3">
      <c r="B34" t="str">
        <f>IF(SEFAZ!A18="","",SEFAZ!A18)</f>
        <v/>
      </c>
      <c r="C34" t="str">
        <f>IF(SEFAZ!C18="","",SEFAZ!C18)</f>
        <v/>
      </c>
      <c r="D34" t="str">
        <f>IF(SEFAZ!D18="","",SEFAZ!D18)</f>
        <v/>
      </c>
      <c r="E34" s="7" t="str">
        <f>IF(SEFAZ!E18="","",SEFAZ!E18)</f>
        <v/>
      </c>
      <c r="F34" s="6" t="str">
        <f>IF(SEFAZ!F18="","",VALUE(SUBSTITUTE(SEFAZ!F18,"'","")))</f>
        <v/>
      </c>
      <c r="G34" t="str">
        <f>IF(SEFAZ!H18="","",SEFAZ!H18)</f>
        <v/>
      </c>
      <c r="H34" t="str">
        <f>IF(SEFAZ!L18="","",SEFAZ!L18)</f>
        <v/>
      </c>
      <c r="I34" t="str">
        <f>IF(SEFAZ!N18="","",SEFAZ!N18)</f>
        <v/>
      </c>
      <c r="J34" t="str">
        <f>IF(SEFAZ!O18="","",SEFAZ!O18)</f>
        <v/>
      </c>
      <c r="K34" s="11" t="str">
        <f>IF(SEFAZ!P18="","",SEFAZ!P18)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hidden="1" x14ac:dyDescent="0.3">
      <c r="B35" t="str">
        <f>IF(SEFAZ!A19="","",SEFAZ!A19)</f>
        <v/>
      </c>
      <c r="C35" t="str">
        <f>IF(SEFAZ!C19="","",SEFAZ!C19)</f>
        <v/>
      </c>
      <c r="D35" t="str">
        <f>IF(SEFAZ!D19="","",SEFAZ!D19)</f>
        <v/>
      </c>
      <c r="E35" s="7" t="str">
        <f>IF(SEFAZ!E19="","",SEFAZ!E19)</f>
        <v/>
      </c>
      <c r="F35" s="6" t="str">
        <f>IF(SEFAZ!F19="","",VALUE(SUBSTITUTE(SEFAZ!F19,"'","")))</f>
        <v/>
      </c>
      <c r="G35" t="str">
        <f>IF(SEFAZ!H19="","",SEFAZ!H19)</f>
        <v/>
      </c>
      <c r="H35" t="str">
        <f>IF(SEFAZ!L19="","",SEFAZ!L19)</f>
        <v/>
      </c>
      <c r="I35" t="str">
        <f>IF(SEFAZ!N19="","",SEFAZ!N19)</f>
        <v/>
      </c>
      <c r="J35" t="str">
        <f>IF(SEFAZ!O19="","",SEFAZ!O19)</f>
        <v/>
      </c>
      <c r="K35" s="11" t="str">
        <f>IF(SEFAZ!P19="","",SEFAZ!P19)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hidden="1" x14ac:dyDescent="0.3">
      <c r="B36" t="str">
        <f>IF(SEFAZ!A20="","",SEFAZ!A20)</f>
        <v/>
      </c>
      <c r="C36" t="str">
        <f>IF(SEFAZ!C20="","",SEFAZ!C20)</f>
        <v/>
      </c>
      <c r="D36" t="str">
        <f>IF(SEFAZ!D20="","",SEFAZ!D20)</f>
        <v/>
      </c>
      <c r="E36" s="7" t="str">
        <f>IF(SEFAZ!E20="","",SEFAZ!E20)</f>
        <v/>
      </c>
      <c r="F36" s="6" t="str">
        <f>IF(SEFAZ!F20="","",VALUE(SUBSTITUTE(SEFAZ!F20,"'","")))</f>
        <v/>
      </c>
      <c r="G36" t="str">
        <f>IF(SEFAZ!H20="","",SEFAZ!H20)</f>
        <v/>
      </c>
      <c r="H36" t="str">
        <f>IF(SEFAZ!L20="","",SEFAZ!L20)</f>
        <v/>
      </c>
      <c r="I36" t="str">
        <f>IF(SEFAZ!N20="","",SEFAZ!N20)</f>
        <v/>
      </c>
      <c r="J36" t="str">
        <f>IF(SEFAZ!O20="","",SEFAZ!O20)</f>
        <v/>
      </c>
      <c r="K36" s="11" t="str">
        <f>IF(SEFAZ!P20="","",SEFAZ!P20)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hidden="1" x14ac:dyDescent="0.3">
      <c r="B37" t="str">
        <f>IF(SEFAZ!A21="","",SEFAZ!A21)</f>
        <v/>
      </c>
      <c r="C37" t="str">
        <f>IF(SEFAZ!C21="","",SEFAZ!C21)</f>
        <v/>
      </c>
      <c r="D37" t="str">
        <f>IF(SEFAZ!D21="","",SEFAZ!D21)</f>
        <v/>
      </c>
      <c r="E37" s="7" t="str">
        <f>IF(SEFAZ!E21="","",SEFAZ!E21)</f>
        <v/>
      </c>
      <c r="F37" s="6" t="str">
        <f>IF(SEFAZ!F21="","",VALUE(SUBSTITUTE(SEFAZ!F21,"'","")))</f>
        <v/>
      </c>
      <c r="G37" t="str">
        <f>IF(SEFAZ!H21="","",SEFAZ!H21)</f>
        <v/>
      </c>
      <c r="H37" t="str">
        <f>IF(SEFAZ!L21="","",SEFAZ!L21)</f>
        <v/>
      </c>
      <c r="I37" t="str">
        <f>IF(SEFAZ!N21="","",SEFAZ!N21)</f>
        <v/>
      </c>
      <c r="J37" t="str">
        <f>IF(SEFAZ!O21="","",SEFAZ!O21)</f>
        <v/>
      </c>
      <c r="K37" s="11" t="str">
        <f>IF(SEFAZ!P21="","",SEFAZ!P21)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hidden="1" x14ac:dyDescent="0.3">
      <c r="B38" t="str">
        <f>IF(SEFAZ!A22="","",SEFAZ!A22)</f>
        <v/>
      </c>
      <c r="C38" t="str">
        <f>IF(SEFAZ!C22="","",SEFAZ!C22)</f>
        <v/>
      </c>
      <c r="D38" t="str">
        <f>IF(SEFAZ!D22="","",SEFAZ!D22)</f>
        <v/>
      </c>
      <c r="E38" s="7" t="str">
        <f>IF(SEFAZ!E22="","",SEFAZ!E22)</f>
        <v/>
      </c>
      <c r="F38" s="6" t="str">
        <f>IF(SEFAZ!F22="","",VALUE(SUBSTITUTE(SEFAZ!F22,"'","")))</f>
        <v/>
      </c>
      <c r="G38" t="str">
        <f>IF(SEFAZ!H22="","",SEFAZ!H22)</f>
        <v/>
      </c>
      <c r="H38" t="str">
        <f>IF(SEFAZ!L22="","",SEFAZ!L22)</f>
        <v/>
      </c>
      <c r="I38" t="str">
        <f>IF(SEFAZ!N22="","",SEFAZ!N22)</f>
        <v/>
      </c>
      <c r="J38" t="str">
        <f>IF(SEFAZ!O22="","",SEFAZ!O22)</f>
        <v/>
      </c>
      <c r="K38" s="11" t="str">
        <f>IF(SEFAZ!P22="","",SEFAZ!P22)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hidden="1" x14ac:dyDescent="0.3">
      <c r="B39" t="str">
        <f>IF(SEFAZ!A23="","",SEFAZ!A23)</f>
        <v/>
      </c>
      <c r="C39" t="str">
        <f>IF(SEFAZ!C23="","",SEFAZ!C23)</f>
        <v/>
      </c>
      <c r="D39" t="str">
        <f>IF(SEFAZ!D23="","",SEFAZ!D23)</f>
        <v/>
      </c>
      <c r="E39" s="7" t="str">
        <f>IF(SEFAZ!E23="","",SEFAZ!E23)</f>
        <v/>
      </c>
      <c r="F39" s="6" t="str">
        <f>IF(SEFAZ!F23="","",VALUE(SUBSTITUTE(SEFAZ!F23,"'","")))</f>
        <v/>
      </c>
      <c r="G39" t="str">
        <f>IF(SEFAZ!H23="","",SEFAZ!H23)</f>
        <v/>
      </c>
      <c r="H39" t="str">
        <f>IF(SEFAZ!L23="","",SEFAZ!L23)</f>
        <v/>
      </c>
      <c r="I39" t="str">
        <f>IF(SEFAZ!N23="","",SEFAZ!N23)</f>
        <v/>
      </c>
      <c r="J39" t="str">
        <f>IF(SEFAZ!O23="","",SEFAZ!O23)</f>
        <v/>
      </c>
      <c r="K39" s="11" t="str">
        <f>IF(SEFAZ!P23="","",SEFAZ!P23)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hidden="1" x14ac:dyDescent="0.3">
      <c r="B40" t="str">
        <f>IF(SEFAZ!A24="","",SEFAZ!A24)</f>
        <v/>
      </c>
      <c r="C40" t="str">
        <f>IF(SEFAZ!C24="","",SEFAZ!C24)</f>
        <v/>
      </c>
      <c r="D40" t="str">
        <f>IF(SEFAZ!D24="","",SEFAZ!D24)</f>
        <v/>
      </c>
      <c r="E40" s="7" t="str">
        <f>IF(SEFAZ!E24="","",SEFAZ!E24)</f>
        <v/>
      </c>
      <c r="F40" s="6" t="str">
        <f>IF(SEFAZ!F24="","",VALUE(SUBSTITUTE(SEFAZ!F24,"'","")))</f>
        <v/>
      </c>
      <c r="G40" t="str">
        <f>IF(SEFAZ!H24="","",SEFAZ!H24)</f>
        <v/>
      </c>
      <c r="H40" t="str">
        <f>IF(SEFAZ!L24="","",SEFAZ!L24)</f>
        <v/>
      </c>
      <c r="I40" t="str">
        <f>IF(SEFAZ!N24="","",SEFAZ!N24)</f>
        <v/>
      </c>
      <c r="J40" t="str">
        <f>IF(SEFAZ!O24="","",SEFAZ!O24)</f>
        <v/>
      </c>
      <c r="K40" s="11" t="str">
        <f>IF(SEFAZ!P24="","",SEFAZ!P24)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hidden="1" x14ac:dyDescent="0.3">
      <c r="B41" t="str">
        <f>IF(SEFAZ!A25="","",SEFAZ!A25)</f>
        <v/>
      </c>
      <c r="C41" t="str">
        <f>IF(SEFAZ!C25="","",SEFAZ!C25)</f>
        <v/>
      </c>
      <c r="D41" t="str">
        <f>IF(SEFAZ!D25="","",SEFAZ!D25)</f>
        <v/>
      </c>
      <c r="E41" s="7" t="str">
        <f>IF(SEFAZ!E25="","",SEFAZ!E25)</f>
        <v/>
      </c>
      <c r="F41" s="6" t="str">
        <f>IF(SEFAZ!F25="","",VALUE(SUBSTITUTE(SEFAZ!F25,"'","")))</f>
        <v/>
      </c>
      <c r="G41" t="str">
        <f>IF(SEFAZ!H25="","",SEFAZ!H25)</f>
        <v/>
      </c>
      <c r="H41" t="str">
        <f>IF(SEFAZ!L25="","",SEFAZ!L25)</f>
        <v/>
      </c>
      <c r="I41" t="str">
        <f>IF(SEFAZ!N25="","",SEFAZ!N25)</f>
        <v/>
      </c>
      <c r="J41" t="str">
        <f>IF(SEFAZ!O25="","",SEFAZ!O25)</f>
        <v/>
      </c>
      <c r="K41" s="11" t="str">
        <f>IF(SEFAZ!P25="","",SEFAZ!P25)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hidden="1" x14ac:dyDescent="0.3">
      <c r="B42" t="str">
        <f>IF(SEFAZ!A26="","",SEFAZ!A26)</f>
        <v/>
      </c>
      <c r="C42" t="str">
        <f>IF(SEFAZ!C26="","",SEFAZ!C26)</f>
        <v/>
      </c>
      <c r="D42" t="str">
        <f>IF(SEFAZ!D26="","",SEFAZ!D26)</f>
        <v/>
      </c>
      <c r="E42" s="7" t="str">
        <f>IF(SEFAZ!E26="","",SEFAZ!E26)</f>
        <v/>
      </c>
      <c r="F42" s="6" t="str">
        <f>IF(SEFAZ!F26="","",VALUE(SUBSTITUTE(SEFAZ!F26,"'","")))</f>
        <v/>
      </c>
      <c r="G42" t="str">
        <f>IF(SEFAZ!H26="","",SEFAZ!H26)</f>
        <v/>
      </c>
      <c r="H42" t="str">
        <f>IF(SEFAZ!L26="","",SEFAZ!L26)</f>
        <v/>
      </c>
      <c r="I42" t="str">
        <f>IF(SEFAZ!N26="","",SEFAZ!N26)</f>
        <v/>
      </c>
      <c r="J42" t="str">
        <f>IF(SEFAZ!O26="","",SEFAZ!O26)</f>
        <v/>
      </c>
      <c r="K42" s="11" t="str">
        <f>IF(SEFAZ!P26="","",SEFAZ!P26)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hidden="1" x14ac:dyDescent="0.3">
      <c r="B43" t="str">
        <f>IF(SEFAZ!A27="","",SEFAZ!A27)</f>
        <v/>
      </c>
      <c r="C43" t="str">
        <f>IF(SEFAZ!C27="","",SEFAZ!C27)</f>
        <v/>
      </c>
      <c r="D43" t="str">
        <f>IF(SEFAZ!D27="","",SEFAZ!D27)</f>
        <v/>
      </c>
      <c r="E43" s="7" t="str">
        <f>IF(SEFAZ!E27="","",SEFAZ!E27)</f>
        <v/>
      </c>
      <c r="F43" s="6" t="str">
        <f>IF(SEFAZ!F27="","",VALUE(SUBSTITUTE(SEFAZ!F27,"'","")))</f>
        <v/>
      </c>
      <c r="G43" t="str">
        <f>IF(SEFAZ!H27="","",SEFAZ!H27)</f>
        <v/>
      </c>
      <c r="H43" t="str">
        <f>IF(SEFAZ!L27="","",SEFAZ!L27)</f>
        <v/>
      </c>
      <c r="I43" t="str">
        <f>IF(SEFAZ!N27="","",SEFAZ!N27)</f>
        <v/>
      </c>
      <c r="J43" t="str">
        <f>IF(SEFAZ!O27="","",SEFAZ!O27)</f>
        <v/>
      </c>
      <c r="K43" s="11" t="str">
        <f>IF(SEFAZ!P27="","",SEFAZ!P27)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hidden="1" x14ac:dyDescent="0.3">
      <c r="B44" t="str">
        <f>IF(SEFAZ!A28="","",SEFAZ!A28)</f>
        <v/>
      </c>
      <c r="C44" t="str">
        <f>IF(SEFAZ!C28="","",SEFAZ!C28)</f>
        <v/>
      </c>
      <c r="D44" t="str">
        <f>IF(SEFAZ!D28="","",SEFAZ!D28)</f>
        <v/>
      </c>
      <c r="E44" s="7" t="str">
        <f>IF(SEFAZ!E28="","",SEFAZ!E28)</f>
        <v/>
      </c>
      <c r="F44" s="6" t="str">
        <f>IF(SEFAZ!F28="","",VALUE(SUBSTITUTE(SEFAZ!F28,"'","")))</f>
        <v/>
      </c>
      <c r="G44" t="str">
        <f>IF(SEFAZ!H28="","",SEFAZ!H28)</f>
        <v/>
      </c>
      <c r="H44" t="str">
        <f>IF(SEFAZ!L28="","",SEFAZ!L28)</f>
        <v/>
      </c>
      <c r="I44" t="str">
        <f>IF(SEFAZ!N28="","",SEFAZ!N28)</f>
        <v/>
      </c>
      <c r="J44" t="str">
        <f>IF(SEFAZ!O28="","",SEFAZ!O28)</f>
        <v/>
      </c>
      <c r="K44" s="11" t="str">
        <f>IF(SEFAZ!P28="","",SEFAZ!P28)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hidden="1" x14ac:dyDescent="0.3">
      <c r="B45" t="str">
        <f>IF(SEFAZ!A29="","",SEFAZ!A29)</f>
        <v/>
      </c>
      <c r="C45" t="str">
        <f>IF(SEFAZ!C29="","",SEFAZ!C29)</f>
        <v/>
      </c>
      <c r="D45" t="str">
        <f>IF(SEFAZ!D29="","",SEFAZ!D29)</f>
        <v/>
      </c>
      <c r="E45" s="7" t="str">
        <f>IF(SEFAZ!E29="","",SEFAZ!E29)</f>
        <v/>
      </c>
      <c r="F45" s="6" t="str">
        <f>IF(SEFAZ!F29="","",VALUE(SUBSTITUTE(SEFAZ!F29,"'","")))</f>
        <v/>
      </c>
      <c r="G45" t="str">
        <f>IF(SEFAZ!H29="","",SEFAZ!H29)</f>
        <v/>
      </c>
      <c r="H45" t="str">
        <f>IF(SEFAZ!L29="","",SEFAZ!L29)</f>
        <v/>
      </c>
      <c r="I45" t="str">
        <f>IF(SEFAZ!N29="","",SEFAZ!N29)</f>
        <v/>
      </c>
      <c r="J45" t="str">
        <f>IF(SEFAZ!O29="","",SEFAZ!O29)</f>
        <v/>
      </c>
      <c r="K45" s="11" t="str">
        <f>IF(SEFAZ!P29="","",SEFAZ!P29)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hidden="1" x14ac:dyDescent="0.3">
      <c r="B46" t="str">
        <f>IF(SEFAZ!A30="","",SEFAZ!A30)</f>
        <v/>
      </c>
      <c r="C46" t="str">
        <f>IF(SEFAZ!C30="","",SEFAZ!C30)</f>
        <v/>
      </c>
      <c r="D46" t="str">
        <f>IF(SEFAZ!D30="","",SEFAZ!D30)</f>
        <v/>
      </c>
      <c r="E46" s="7" t="str">
        <f>IF(SEFAZ!E30="","",SEFAZ!E30)</f>
        <v/>
      </c>
      <c r="F46" s="6" t="str">
        <f>IF(SEFAZ!F30="","",VALUE(SUBSTITUTE(SEFAZ!F30,"'","")))</f>
        <v/>
      </c>
      <c r="G46" t="str">
        <f>IF(SEFAZ!H30="","",SEFAZ!H30)</f>
        <v/>
      </c>
      <c r="H46" t="str">
        <f>IF(SEFAZ!L30="","",SEFAZ!L30)</f>
        <v/>
      </c>
      <c r="I46" t="str">
        <f>IF(SEFAZ!N30="","",SEFAZ!N30)</f>
        <v/>
      </c>
      <c r="J46" t="str">
        <f>IF(SEFAZ!O30="","",SEFAZ!O30)</f>
        <v/>
      </c>
      <c r="K46" s="11" t="str">
        <f>IF(SEFAZ!P30="","",SEFAZ!P30)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hidden="1" x14ac:dyDescent="0.3">
      <c r="B47" t="str">
        <f>IF(SEFAZ!A31="","",SEFAZ!A31)</f>
        <v/>
      </c>
      <c r="C47" t="str">
        <f>IF(SEFAZ!C31="","",SEFAZ!C31)</f>
        <v/>
      </c>
      <c r="D47" t="str">
        <f>IF(SEFAZ!D31="","",SEFAZ!D31)</f>
        <v/>
      </c>
      <c r="E47" s="7" t="str">
        <f>IF(SEFAZ!E31="","",SEFAZ!E31)</f>
        <v/>
      </c>
      <c r="F47" s="6" t="str">
        <f>IF(SEFAZ!F31="","",VALUE(SUBSTITUTE(SEFAZ!F31,"'","")))</f>
        <v/>
      </c>
      <c r="G47" t="str">
        <f>IF(SEFAZ!H31="","",SEFAZ!H31)</f>
        <v/>
      </c>
      <c r="H47" t="str">
        <f>IF(SEFAZ!L31="","",SEFAZ!L31)</f>
        <v/>
      </c>
      <c r="I47" t="str">
        <f>IF(SEFAZ!N31="","",SEFAZ!N31)</f>
        <v/>
      </c>
      <c r="J47" t="str">
        <f>IF(SEFAZ!O31="","",SEFAZ!O31)</f>
        <v/>
      </c>
      <c r="K47" s="11" t="str">
        <f>IF(SEFAZ!P31="","",SEFAZ!P31)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hidden="1" x14ac:dyDescent="0.3">
      <c r="B48" t="str">
        <f>IF(SEFAZ!A32="","",SEFAZ!A32)</f>
        <v/>
      </c>
      <c r="C48" t="str">
        <f>IF(SEFAZ!C32="","",SEFAZ!C32)</f>
        <v/>
      </c>
      <c r="D48" t="str">
        <f>IF(SEFAZ!D32="","",SEFAZ!D32)</f>
        <v/>
      </c>
      <c r="E48" s="7" t="str">
        <f>IF(SEFAZ!E32="","",SEFAZ!E32)</f>
        <v/>
      </c>
      <c r="F48" s="6" t="str">
        <f>IF(SEFAZ!F32="","",VALUE(SUBSTITUTE(SEFAZ!F32,"'","")))</f>
        <v/>
      </c>
      <c r="G48" t="str">
        <f>IF(SEFAZ!H32="","",SEFAZ!H32)</f>
        <v/>
      </c>
      <c r="H48" t="str">
        <f>IF(SEFAZ!L32="","",SEFAZ!L32)</f>
        <v/>
      </c>
      <c r="I48" t="str">
        <f>IF(SEFAZ!N32="","",SEFAZ!N32)</f>
        <v/>
      </c>
      <c r="J48" t="str">
        <f>IF(SEFAZ!O32="","",SEFAZ!O32)</f>
        <v/>
      </c>
      <c r="K48" s="11" t="str">
        <f>IF(SEFAZ!P32="","",SEFAZ!P32)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hidden="1" x14ac:dyDescent="0.3">
      <c r="B49" t="str">
        <f>IF(SEFAZ!A33="","",SEFAZ!A33)</f>
        <v/>
      </c>
      <c r="C49" t="str">
        <f>IF(SEFAZ!C33="","",SEFAZ!C33)</f>
        <v/>
      </c>
      <c r="D49" t="str">
        <f>IF(SEFAZ!D33="","",SEFAZ!D33)</f>
        <v/>
      </c>
      <c r="E49" s="7" t="str">
        <f>IF(SEFAZ!E33="","",SEFAZ!E33)</f>
        <v/>
      </c>
      <c r="F49" s="6" t="str">
        <f>IF(SEFAZ!F33="","",VALUE(SUBSTITUTE(SEFAZ!F33,"'","")))</f>
        <v/>
      </c>
      <c r="G49" t="str">
        <f>IF(SEFAZ!H33="","",SEFAZ!H33)</f>
        <v/>
      </c>
      <c r="H49" t="str">
        <f>IF(SEFAZ!L33="","",SEFAZ!L33)</f>
        <v/>
      </c>
      <c r="I49" t="str">
        <f>IF(SEFAZ!N33="","",SEFAZ!N33)</f>
        <v/>
      </c>
      <c r="J49" t="str">
        <f>IF(SEFAZ!O33="","",SEFAZ!O33)</f>
        <v/>
      </c>
      <c r="K49" s="11" t="str">
        <f>IF(SEFAZ!P33="","",SEFAZ!P33)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hidden="1" x14ac:dyDescent="0.3">
      <c r="B50" t="str">
        <f>IF(SEFAZ!A34="","",SEFAZ!A34)</f>
        <v/>
      </c>
      <c r="C50" t="str">
        <f>IF(SEFAZ!C34="","",SEFAZ!C34)</f>
        <v/>
      </c>
      <c r="D50" t="str">
        <f>IF(SEFAZ!D34="","",SEFAZ!D34)</f>
        <v/>
      </c>
      <c r="E50" s="7" t="str">
        <f>IF(SEFAZ!E34="","",SEFAZ!E34)</f>
        <v/>
      </c>
      <c r="F50" s="6" t="str">
        <f>IF(SEFAZ!F34="","",VALUE(SUBSTITUTE(SEFAZ!F34,"'","")))</f>
        <v/>
      </c>
      <c r="G50" t="str">
        <f>IF(SEFAZ!H34="","",SEFAZ!H34)</f>
        <v/>
      </c>
      <c r="H50" t="str">
        <f>IF(SEFAZ!L34="","",SEFAZ!L34)</f>
        <v/>
      </c>
      <c r="I50" t="str">
        <f>IF(SEFAZ!N34="","",SEFAZ!N34)</f>
        <v/>
      </c>
      <c r="J50" t="str">
        <f>IF(SEFAZ!O34="","",SEFAZ!O34)</f>
        <v/>
      </c>
      <c r="K50" s="11" t="str">
        <f>IF(SEFAZ!P34="","",SEFAZ!P34)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hidden="1" x14ac:dyDescent="0.3">
      <c r="B51" t="str">
        <f>IF(SEFAZ!A35="","",SEFAZ!A35)</f>
        <v/>
      </c>
      <c r="C51" t="str">
        <f>IF(SEFAZ!C35="","",SEFAZ!C35)</f>
        <v/>
      </c>
      <c r="D51" t="str">
        <f>IF(SEFAZ!D35="","",SEFAZ!D35)</f>
        <v/>
      </c>
      <c r="E51" s="7" t="str">
        <f>IF(SEFAZ!E35="","",SEFAZ!E35)</f>
        <v/>
      </c>
      <c r="F51" s="6" t="str">
        <f>IF(SEFAZ!F35="","",VALUE(SUBSTITUTE(SEFAZ!F35,"'","")))</f>
        <v/>
      </c>
      <c r="G51" t="str">
        <f>IF(SEFAZ!H35="","",SEFAZ!H35)</f>
        <v/>
      </c>
      <c r="H51" t="str">
        <f>IF(SEFAZ!L35="","",SEFAZ!L35)</f>
        <v/>
      </c>
      <c r="I51" t="str">
        <f>IF(SEFAZ!N35="","",SEFAZ!N35)</f>
        <v/>
      </c>
      <c r="J51" t="str">
        <f>IF(SEFAZ!O35="","",SEFAZ!O35)</f>
        <v/>
      </c>
      <c r="K51" s="11" t="str">
        <f>IF(SEFAZ!P35="","",SEFAZ!P35)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hidden="1" x14ac:dyDescent="0.3">
      <c r="B52" t="str">
        <f>IF(SEFAZ!A36="","",SEFAZ!A36)</f>
        <v/>
      </c>
      <c r="C52" t="str">
        <f>IF(SEFAZ!C36="","",SEFAZ!C36)</f>
        <v/>
      </c>
      <c r="D52" t="str">
        <f>IF(SEFAZ!D36="","",SEFAZ!D36)</f>
        <v/>
      </c>
      <c r="E52" s="7" t="str">
        <f>IF(SEFAZ!E36="","",SEFAZ!E36)</f>
        <v/>
      </c>
      <c r="F52" s="6" t="str">
        <f>IF(SEFAZ!F36="","",VALUE(SUBSTITUTE(SEFAZ!F36,"'","")))</f>
        <v/>
      </c>
      <c r="G52" t="str">
        <f>IF(SEFAZ!H36="","",SEFAZ!H36)</f>
        <v/>
      </c>
      <c r="H52" t="str">
        <f>IF(SEFAZ!L36="","",SEFAZ!L36)</f>
        <v/>
      </c>
      <c r="I52" t="str">
        <f>IF(SEFAZ!N36="","",SEFAZ!N36)</f>
        <v/>
      </c>
      <c r="J52" t="str">
        <f>IF(SEFAZ!O36="","",SEFAZ!O36)</f>
        <v/>
      </c>
      <c r="K52" s="11" t="str">
        <f>IF(SEFAZ!P36="","",SEFAZ!P36)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hidden="1" x14ac:dyDescent="0.3">
      <c r="B53" t="str">
        <f>IF(SEFAZ!A37="","",SEFAZ!A37)</f>
        <v/>
      </c>
      <c r="C53" t="str">
        <f>IF(SEFAZ!C37="","",SEFAZ!C37)</f>
        <v/>
      </c>
      <c r="D53" t="str">
        <f>IF(SEFAZ!D37="","",SEFAZ!D37)</f>
        <v/>
      </c>
      <c r="E53" s="7" t="str">
        <f>IF(SEFAZ!E37="","",SEFAZ!E37)</f>
        <v/>
      </c>
      <c r="F53" s="6" t="str">
        <f>IF(SEFAZ!F37="","",VALUE(SUBSTITUTE(SEFAZ!F37,"'","")))</f>
        <v/>
      </c>
      <c r="G53" t="str">
        <f>IF(SEFAZ!H37="","",SEFAZ!H37)</f>
        <v/>
      </c>
      <c r="H53" t="str">
        <f>IF(SEFAZ!L37="","",SEFAZ!L37)</f>
        <v/>
      </c>
      <c r="I53" t="str">
        <f>IF(SEFAZ!N37="","",SEFAZ!N37)</f>
        <v/>
      </c>
      <c r="J53" t="str">
        <f>IF(SEFAZ!O37="","",SEFAZ!O37)</f>
        <v/>
      </c>
      <c r="K53" s="11" t="str">
        <f>IF(SEFAZ!P37="","",SEFAZ!P37)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hidden="1" x14ac:dyDescent="0.3">
      <c r="B54" t="str">
        <f>IF(SEFAZ!A38="","",SEFAZ!A38)</f>
        <v/>
      </c>
      <c r="C54" t="str">
        <f>IF(SEFAZ!C38="","",SEFAZ!C38)</f>
        <v/>
      </c>
      <c r="D54" t="str">
        <f>IF(SEFAZ!D38="","",SEFAZ!D38)</f>
        <v/>
      </c>
      <c r="E54" s="7" t="str">
        <f>IF(SEFAZ!E38="","",SEFAZ!E38)</f>
        <v/>
      </c>
      <c r="F54" s="6" t="str">
        <f>IF(SEFAZ!F38="","",VALUE(SUBSTITUTE(SEFAZ!F38,"'","")))</f>
        <v/>
      </c>
      <c r="G54" t="str">
        <f>IF(SEFAZ!H38="","",SEFAZ!H38)</f>
        <v/>
      </c>
      <c r="H54" t="str">
        <f>IF(SEFAZ!L38="","",SEFAZ!L38)</f>
        <v/>
      </c>
      <c r="I54" t="str">
        <f>IF(SEFAZ!N38="","",SEFAZ!N38)</f>
        <v/>
      </c>
      <c r="J54" t="str">
        <f>IF(SEFAZ!O38="","",SEFAZ!O38)</f>
        <v/>
      </c>
      <c r="K54" s="11" t="str">
        <f>IF(SEFAZ!P38="","",SEFAZ!P38)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hidden="1" x14ac:dyDescent="0.3">
      <c r="B55" t="str">
        <f>IF(SEFAZ!A39="","",SEFAZ!A39)</f>
        <v/>
      </c>
      <c r="C55" t="str">
        <f>IF(SEFAZ!C39="","",SEFAZ!C39)</f>
        <v/>
      </c>
      <c r="D55" t="str">
        <f>IF(SEFAZ!D39="","",SEFAZ!D39)</f>
        <v/>
      </c>
      <c r="E55" s="7" t="str">
        <f>IF(SEFAZ!E39="","",SEFAZ!E39)</f>
        <v/>
      </c>
      <c r="F55" s="6" t="str">
        <f>IF(SEFAZ!F39="","",VALUE(SUBSTITUTE(SEFAZ!F39,"'","")))</f>
        <v/>
      </c>
      <c r="G55" t="str">
        <f>IF(SEFAZ!H39="","",SEFAZ!H39)</f>
        <v/>
      </c>
      <c r="H55" t="str">
        <f>IF(SEFAZ!L39="","",SEFAZ!L39)</f>
        <v/>
      </c>
      <c r="I55" t="str">
        <f>IF(SEFAZ!N39="","",SEFAZ!N39)</f>
        <v/>
      </c>
      <c r="J55" t="str">
        <f>IF(SEFAZ!O39="","",SEFAZ!O39)</f>
        <v/>
      </c>
      <c r="K55" s="11" t="str">
        <f>IF(SEFAZ!P39="","",SEFAZ!P39)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hidden="1" x14ac:dyDescent="0.3">
      <c r="B56" t="str">
        <f>IF(SEFAZ!A40="","",SEFAZ!A40)</f>
        <v/>
      </c>
      <c r="C56" t="str">
        <f>IF(SEFAZ!C40="","",SEFAZ!C40)</f>
        <v/>
      </c>
      <c r="D56" t="str">
        <f>IF(SEFAZ!D40="","",SEFAZ!D40)</f>
        <v/>
      </c>
      <c r="E56" s="7" t="str">
        <f>IF(SEFAZ!E40="","",SEFAZ!E40)</f>
        <v/>
      </c>
      <c r="F56" s="6" t="str">
        <f>IF(SEFAZ!F40="","",VALUE(SUBSTITUTE(SEFAZ!F40,"'","")))</f>
        <v/>
      </c>
      <c r="G56" t="str">
        <f>IF(SEFAZ!H40="","",SEFAZ!H40)</f>
        <v/>
      </c>
      <c r="H56" t="str">
        <f>IF(SEFAZ!L40="","",SEFAZ!L40)</f>
        <v/>
      </c>
      <c r="I56" t="str">
        <f>IF(SEFAZ!N40="","",SEFAZ!N40)</f>
        <v/>
      </c>
      <c r="J56" t="str">
        <f>IF(SEFAZ!O40="","",SEFAZ!O40)</f>
        <v/>
      </c>
      <c r="K56" s="11" t="str">
        <f>IF(SEFAZ!P40="","",SEFAZ!P40)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hidden="1" x14ac:dyDescent="0.3">
      <c r="B57" t="str">
        <f>IF(SEFAZ!A41="","",SEFAZ!A41)</f>
        <v/>
      </c>
      <c r="C57" t="str">
        <f>IF(SEFAZ!C41="","",SEFAZ!C41)</f>
        <v/>
      </c>
      <c r="D57" t="str">
        <f>IF(SEFAZ!D41="","",SEFAZ!D41)</f>
        <v/>
      </c>
      <c r="E57" s="7" t="str">
        <f>IF(SEFAZ!E41="","",SEFAZ!E41)</f>
        <v/>
      </c>
      <c r="F57" s="6" t="str">
        <f>IF(SEFAZ!F41="","",VALUE(SUBSTITUTE(SEFAZ!F41,"'","")))</f>
        <v/>
      </c>
      <c r="G57" t="str">
        <f>IF(SEFAZ!H41="","",SEFAZ!H41)</f>
        <v/>
      </c>
      <c r="H57" t="str">
        <f>IF(SEFAZ!L41="","",SEFAZ!L41)</f>
        <v/>
      </c>
      <c r="I57" t="str">
        <f>IF(SEFAZ!N41="","",SEFAZ!N41)</f>
        <v/>
      </c>
      <c r="J57" t="str">
        <f>IF(SEFAZ!O41="","",SEFAZ!O41)</f>
        <v/>
      </c>
      <c r="K57" s="11" t="str">
        <f>IF(SEFAZ!P41="","",SEFAZ!P41)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hidden="1" x14ac:dyDescent="0.3">
      <c r="B58" t="str">
        <f>IF(SEFAZ!A42="","",SEFAZ!A42)</f>
        <v/>
      </c>
      <c r="C58" t="str">
        <f>IF(SEFAZ!C42="","",SEFAZ!C42)</f>
        <v/>
      </c>
      <c r="D58" t="str">
        <f>IF(SEFAZ!D42="","",SEFAZ!D42)</f>
        <v/>
      </c>
      <c r="E58" s="7" t="str">
        <f>IF(SEFAZ!E42="","",SEFAZ!E42)</f>
        <v/>
      </c>
      <c r="F58" s="6" t="str">
        <f>IF(SEFAZ!F42="","",VALUE(SUBSTITUTE(SEFAZ!F42,"'","")))</f>
        <v/>
      </c>
      <c r="G58" t="str">
        <f>IF(SEFAZ!H42="","",SEFAZ!H42)</f>
        <v/>
      </c>
      <c r="H58" t="str">
        <f>IF(SEFAZ!L42="","",SEFAZ!L42)</f>
        <v/>
      </c>
      <c r="I58" t="str">
        <f>IF(SEFAZ!N42="","",SEFAZ!N42)</f>
        <v/>
      </c>
      <c r="J58" t="str">
        <f>IF(SEFAZ!O42="","",SEFAZ!O42)</f>
        <v/>
      </c>
      <c r="K58" s="11" t="str">
        <f>IF(SEFAZ!P42="","",SEFAZ!P42)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hidden="1" x14ac:dyDescent="0.3">
      <c r="B59" t="str">
        <f>IF(SEFAZ!A43="","",SEFAZ!A43)</f>
        <v/>
      </c>
      <c r="C59" t="str">
        <f>IF(SEFAZ!C43="","",SEFAZ!C43)</f>
        <v/>
      </c>
      <c r="D59" t="str">
        <f>IF(SEFAZ!D43="","",SEFAZ!D43)</f>
        <v/>
      </c>
      <c r="E59" s="7" t="str">
        <f>IF(SEFAZ!E43="","",SEFAZ!E43)</f>
        <v/>
      </c>
      <c r="F59" s="6" t="str">
        <f>IF(SEFAZ!F43="","",VALUE(SUBSTITUTE(SEFAZ!F43,"'","")))</f>
        <v/>
      </c>
      <c r="G59" t="str">
        <f>IF(SEFAZ!H43="","",SEFAZ!H43)</f>
        <v/>
      </c>
      <c r="H59" t="str">
        <f>IF(SEFAZ!L43="","",SEFAZ!L43)</f>
        <v/>
      </c>
      <c r="I59" t="str">
        <f>IF(SEFAZ!N43="","",SEFAZ!N43)</f>
        <v/>
      </c>
      <c r="J59" t="str">
        <f>IF(SEFAZ!O43="","",SEFAZ!O43)</f>
        <v/>
      </c>
      <c r="K59" s="11" t="str">
        <f>IF(SEFAZ!P43="","",SEFAZ!P43)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hidden="1" x14ac:dyDescent="0.3">
      <c r="B60" t="str">
        <f>IF(SEFAZ!A44="","",SEFAZ!A44)</f>
        <v/>
      </c>
      <c r="C60" t="str">
        <f>IF(SEFAZ!C44="","",SEFAZ!C44)</f>
        <v/>
      </c>
      <c r="D60" t="str">
        <f>IF(SEFAZ!D44="","",SEFAZ!D44)</f>
        <v/>
      </c>
      <c r="E60" s="7" t="str">
        <f>IF(SEFAZ!E44="","",SEFAZ!E44)</f>
        <v/>
      </c>
      <c r="F60" s="6" t="str">
        <f>IF(SEFAZ!F44="","",VALUE(SUBSTITUTE(SEFAZ!F44,"'","")))</f>
        <v/>
      </c>
      <c r="G60" t="str">
        <f>IF(SEFAZ!H44="","",SEFAZ!H44)</f>
        <v/>
      </c>
      <c r="H60" t="str">
        <f>IF(SEFAZ!L44="","",SEFAZ!L44)</f>
        <v/>
      </c>
      <c r="I60" t="str">
        <f>IF(SEFAZ!N44="","",SEFAZ!N44)</f>
        <v/>
      </c>
      <c r="J60" t="str">
        <f>IF(SEFAZ!O44="","",SEFAZ!O44)</f>
        <v/>
      </c>
      <c r="K60" s="11" t="str">
        <f>IF(SEFAZ!P44="","",SEFAZ!P44)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hidden="1" x14ac:dyDescent="0.3">
      <c r="B61" t="str">
        <f>IF(SEFAZ!A45="","",SEFAZ!A45)</f>
        <v/>
      </c>
      <c r="C61" t="str">
        <f>IF(SEFAZ!C45="","",SEFAZ!C45)</f>
        <v/>
      </c>
      <c r="D61" t="str">
        <f>IF(SEFAZ!D45="","",SEFAZ!D45)</f>
        <v/>
      </c>
      <c r="E61" s="7" t="str">
        <f>IF(SEFAZ!E45="","",SEFAZ!E45)</f>
        <v/>
      </c>
      <c r="F61" s="6" t="str">
        <f>IF(SEFAZ!F45="","",VALUE(SUBSTITUTE(SEFAZ!F45,"'","")))</f>
        <v/>
      </c>
      <c r="G61" t="str">
        <f>IF(SEFAZ!H45="","",SEFAZ!H45)</f>
        <v/>
      </c>
      <c r="H61" t="str">
        <f>IF(SEFAZ!L45="","",SEFAZ!L45)</f>
        <v/>
      </c>
      <c r="I61" t="str">
        <f>IF(SEFAZ!N45="","",SEFAZ!N45)</f>
        <v/>
      </c>
      <c r="J61" t="str">
        <f>IF(SEFAZ!O45="","",SEFAZ!O45)</f>
        <v/>
      </c>
      <c r="K61" s="11" t="str">
        <f>IF(SEFAZ!P45="","",SEFAZ!P45)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hidden="1" x14ac:dyDescent="0.3">
      <c r="B62" t="str">
        <f>IF(SEFAZ!A46="","",SEFAZ!A46)</f>
        <v/>
      </c>
      <c r="C62" t="str">
        <f>IF(SEFAZ!C46="","",SEFAZ!C46)</f>
        <v/>
      </c>
      <c r="D62" t="str">
        <f>IF(SEFAZ!D46="","",SEFAZ!D46)</f>
        <v/>
      </c>
      <c r="E62" s="7" t="str">
        <f>IF(SEFAZ!E46="","",SEFAZ!E46)</f>
        <v/>
      </c>
      <c r="F62" s="6" t="str">
        <f>IF(SEFAZ!F46="","",VALUE(SUBSTITUTE(SEFAZ!F46,"'","")))</f>
        <v/>
      </c>
      <c r="G62" t="str">
        <f>IF(SEFAZ!H46="","",SEFAZ!H46)</f>
        <v/>
      </c>
      <c r="H62" t="str">
        <f>IF(SEFAZ!L46="","",SEFAZ!L46)</f>
        <v/>
      </c>
      <c r="I62" t="str">
        <f>IF(SEFAZ!N46="","",SEFAZ!N46)</f>
        <v/>
      </c>
      <c r="J62" t="str">
        <f>IF(SEFAZ!O46="","",SEFAZ!O46)</f>
        <v/>
      </c>
      <c r="K62" s="11" t="str">
        <f>IF(SEFAZ!P46="","",SEFAZ!P46)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hidden="1" x14ac:dyDescent="0.3">
      <c r="B63" t="str">
        <f>IF(SEFAZ!A47="","",SEFAZ!A47)</f>
        <v/>
      </c>
      <c r="C63" t="str">
        <f>IF(SEFAZ!C47="","",SEFAZ!C47)</f>
        <v/>
      </c>
      <c r="D63" t="str">
        <f>IF(SEFAZ!D47="","",SEFAZ!D47)</f>
        <v/>
      </c>
      <c r="E63" s="7" t="str">
        <f>IF(SEFAZ!E47="","",SEFAZ!E47)</f>
        <v/>
      </c>
      <c r="F63" s="6" t="str">
        <f>IF(SEFAZ!F47="","",VALUE(SUBSTITUTE(SEFAZ!F47,"'","")))</f>
        <v/>
      </c>
      <c r="G63" t="str">
        <f>IF(SEFAZ!H47="","",SEFAZ!H47)</f>
        <v/>
      </c>
      <c r="H63" t="str">
        <f>IF(SEFAZ!L47="","",SEFAZ!L47)</f>
        <v/>
      </c>
      <c r="I63" t="str">
        <f>IF(SEFAZ!N47="","",SEFAZ!N47)</f>
        <v/>
      </c>
      <c r="J63" t="str">
        <f>IF(SEFAZ!O47="","",SEFAZ!O47)</f>
        <v/>
      </c>
      <c r="K63" s="11" t="str">
        <f>IF(SEFAZ!P47="","",SEFAZ!P47)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hidden="1" x14ac:dyDescent="0.3">
      <c r="B64" t="str">
        <f>IF(SEFAZ!A48="","",SEFAZ!A48)</f>
        <v/>
      </c>
      <c r="C64" t="str">
        <f>IF(SEFAZ!C48="","",SEFAZ!C48)</f>
        <v/>
      </c>
      <c r="D64" t="str">
        <f>IF(SEFAZ!D48="","",SEFAZ!D48)</f>
        <v/>
      </c>
      <c r="E64" s="7" t="str">
        <f>IF(SEFAZ!E48="","",SEFAZ!E48)</f>
        <v/>
      </c>
      <c r="F64" s="6" t="str">
        <f>IF(SEFAZ!F48="","",VALUE(SUBSTITUTE(SEFAZ!F48,"'","")))</f>
        <v/>
      </c>
      <c r="G64" t="str">
        <f>IF(SEFAZ!H48="","",SEFAZ!H48)</f>
        <v/>
      </c>
      <c r="H64" t="str">
        <f>IF(SEFAZ!L48="","",SEFAZ!L48)</f>
        <v/>
      </c>
      <c r="I64" t="str">
        <f>IF(SEFAZ!N48="","",SEFAZ!N48)</f>
        <v/>
      </c>
      <c r="J64" t="str">
        <f>IF(SEFAZ!O48="","",SEFAZ!O48)</f>
        <v/>
      </c>
      <c r="K64" s="11" t="str">
        <f>IF(SEFAZ!P48="","",SEFAZ!P48)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hidden="1" x14ac:dyDescent="0.3">
      <c r="B65" t="str">
        <f>IF(SEFAZ!A49="","",SEFAZ!A49)</f>
        <v/>
      </c>
      <c r="C65" t="str">
        <f>IF(SEFAZ!C49="","",SEFAZ!C49)</f>
        <v/>
      </c>
      <c r="D65" t="str">
        <f>IF(SEFAZ!D49="","",SEFAZ!D49)</f>
        <v/>
      </c>
      <c r="E65" s="7" t="str">
        <f>IF(SEFAZ!E49="","",SEFAZ!E49)</f>
        <v/>
      </c>
      <c r="F65" s="6" t="str">
        <f>IF(SEFAZ!F49="","",VALUE(SUBSTITUTE(SEFAZ!F49,"'","")))</f>
        <v/>
      </c>
      <c r="G65" t="str">
        <f>IF(SEFAZ!H49="","",SEFAZ!H49)</f>
        <v/>
      </c>
      <c r="H65" t="str">
        <f>IF(SEFAZ!L49="","",SEFAZ!L49)</f>
        <v/>
      </c>
      <c r="I65" t="str">
        <f>IF(SEFAZ!N49="","",SEFAZ!N49)</f>
        <v/>
      </c>
      <c r="J65" t="str">
        <f>IF(SEFAZ!O49="","",SEFAZ!O49)</f>
        <v/>
      </c>
      <c r="K65" s="11" t="str">
        <f>IF(SEFAZ!P49="","",SEFAZ!P49)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hidden="1" x14ac:dyDescent="0.3">
      <c r="B66" t="str">
        <f>IF(SEFAZ!A50="","",SEFAZ!A50)</f>
        <v/>
      </c>
      <c r="C66" t="str">
        <f>IF(SEFAZ!C50="","",SEFAZ!C50)</f>
        <v/>
      </c>
      <c r="D66" t="str">
        <f>IF(SEFAZ!D50="","",SEFAZ!D50)</f>
        <v/>
      </c>
      <c r="E66" s="7" t="str">
        <f>IF(SEFAZ!E50="","",SEFAZ!E50)</f>
        <v/>
      </c>
      <c r="F66" s="6" t="str">
        <f>IF(SEFAZ!F50="","",VALUE(SUBSTITUTE(SEFAZ!F50,"'","")))</f>
        <v/>
      </c>
      <c r="G66" t="str">
        <f>IF(SEFAZ!H50="","",SEFAZ!H50)</f>
        <v/>
      </c>
      <c r="H66" t="str">
        <f>IF(SEFAZ!L50="","",SEFAZ!L50)</f>
        <v/>
      </c>
      <c r="I66" t="str">
        <f>IF(SEFAZ!N50="","",SEFAZ!N50)</f>
        <v/>
      </c>
      <c r="J66" t="str">
        <f>IF(SEFAZ!O50="","",SEFAZ!O50)</f>
        <v/>
      </c>
      <c r="K66" s="11" t="str">
        <f>IF(SEFAZ!P50="","",SEFAZ!P50)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hidden="1" x14ac:dyDescent="0.3">
      <c r="B67" t="str">
        <f>IF(SEFAZ!A51="","",SEFAZ!A51)</f>
        <v/>
      </c>
      <c r="C67" t="str">
        <f>IF(SEFAZ!C51="","",SEFAZ!C51)</f>
        <v/>
      </c>
      <c r="D67" t="str">
        <f>IF(SEFAZ!D51="","",SEFAZ!D51)</f>
        <v/>
      </c>
      <c r="E67" s="7" t="str">
        <f>IF(SEFAZ!E51="","",SEFAZ!E51)</f>
        <v/>
      </c>
      <c r="F67" s="6" t="str">
        <f>IF(SEFAZ!F51="","",VALUE(SUBSTITUTE(SEFAZ!F51,"'","")))</f>
        <v/>
      </c>
      <c r="G67" t="str">
        <f>IF(SEFAZ!H51="","",SEFAZ!H51)</f>
        <v/>
      </c>
      <c r="H67" t="str">
        <f>IF(SEFAZ!L51="","",SEFAZ!L51)</f>
        <v/>
      </c>
      <c r="I67" t="str">
        <f>IF(SEFAZ!N51="","",SEFAZ!N51)</f>
        <v/>
      </c>
      <c r="J67" t="str">
        <f>IF(SEFAZ!O51="","",SEFAZ!O51)</f>
        <v/>
      </c>
      <c r="K67" s="11" t="str">
        <f>IF(SEFAZ!P51="","",SEFAZ!P51)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hidden="1" x14ac:dyDescent="0.3">
      <c r="B68" t="str">
        <f>IF(SEFAZ!A52="","",SEFAZ!A52)</f>
        <v/>
      </c>
      <c r="C68" t="str">
        <f>IF(SEFAZ!C52="","",SEFAZ!C52)</f>
        <v/>
      </c>
      <c r="D68" t="str">
        <f>IF(SEFAZ!D52="","",SEFAZ!D52)</f>
        <v/>
      </c>
      <c r="E68" s="7" t="str">
        <f>IF(SEFAZ!E52="","",SEFAZ!E52)</f>
        <v/>
      </c>
      <c r="F68" s="6" t="str">
        <f>IF(SEFAZ!F52="","",VALUE(SUBSTITUTE(SEFAZ!F52,"'","")))</f>
        <v/>
      </c>
      <c r="G68" t="str">
        <f>IF(SEFAZ!H52="","",SEFAZ!H52)</f>
        <v/>
      </c>
      <c r="H68" t="str">
        <f>IF(SEFAZ!L52="","",SEFAZ!L52)</f>
        <v/>
      </c>
      <c r="I68" t="str">
        <f>IF(SEFAZ!N52="","",SEFAZ!N52)</f>
        <v/>
      </c>
      <c r="J68" t="str">
        <f>IF(SEFAZ!O52="","",SEFAZ!O52)</f>
        <v/>
      </c>
      <c r="K68" s="11" t="str">
        <f>IF(SEFAZ!P52="","",SEFAZ!P52)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hidden="1" x14ac:dyDescent="0.3">
      <c r="B69" t="str">
        <f>IF(SEFAZ!A53="","",SEFAZ!A53)</f>
        <v/>
      </c>
      <c r="C69" t="str">
        <f>IF(SEFAZ!C53="","",SEFAZ!C53)</f>
        <v/>
      </c>
      <c r="D69" t="str">
        <f>IF(SEFAZ!D53="","",SEFAZ!D53)</f>
        <v/>
      </c>
      <c r="E69" s="7" t="str">
        <f>IF(SEFAZ!E53="","",SEFAZ!E53)</f>
        <v/>
      </c>
      <c r="F69" s="6" t="str">
        <f>IF(SEFAZ!F53="","",VALUE(SUBSTITUTE(SEFAZ!F53,"'","")))</f>
        <v/>
      </c>
      <c r="G69" t="str">
        <f>IF(SEFAZ!H53="","",SEFAZ!H53)</f>
        <v/>
      </c>
      <c r="H69" t="str">
        <f>IF(SEFAZ!L53="","",SEFAZ!L53)</f>
        <v/>
      </c>
      <c r="I69" t="str">
        <f>IF(SEFAZ!N53="","",SEFAZ!N53)</f>
        <v/>
      </c>
      <c r="J69" t="str">
        <f>IF(SEFAZ!O53="","",SEFAZ!O53)</f>
        <v/>
      </c>
      <c r="K69" s="11" t="str">
        <f>IF(SEFAZ!P53="","",SEFAZ!P53)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hidden="1" x14ac:dyDescent="0.3">
      <c r="B70" t="str">
        <f>IF(SEFAZ!A54="","",SEFAZ!A54)</f>
        <v/>
      </c>
      <c r="C70" t="str">
        <f>IF(SEFAZ!C54="","",SEFAZ!C54)</f>
        <v/>
      </c>
      <c r="D70" t="str">
        <f>IF(SEFAZ!D54="","",SEFAZ!D54)</f>
        <v/>
      </c>
      <c r="E70" s="7" t="str">
        <f>IF(SEFAZ!E54="","",SEFAZ!E54)</f>
        <v/>
      </c>
      <c r="F70" s="6" t="str">
        <f>IF(SEFAZ!F54="","",VALUE(SUBSTITUTE(SEFAZ!F54,"'","")))</f>
        <v/>
      </c>
      <c r="G70" t="str">
        <f>IF(SEFAZ!H54="","",SEFAZ!H54)</f>
        <v/>
      </c>
      <c r="H70" t="str">
        <f>IF(SEFAZ!L54="","",SEFAZ!L54)</f>
        <v/>
      </c>
      <c r="I70" t="str">
        <f>IF(SEFAZ!N54="","",SEFAZ!N54)</f>
        <v/>
      </c>
      <c r="J70" t="str">
        <f>IF(SEFAZ!O54="","",SEFAZ!O54)</f>
        <v/>
      </c>
      <c r="K70" s="11" t="str">
        <f>IF(SEFAZ!P54="","",SEFAZ!P54)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IF(SEFAZ!A55="","",SEFAZ!A55)</f>
        <v/>
      </c>
      <c r="C71" t="str">
        <f>IF(SEFAZ!C55="","",SEFAZ!C55)</f>
        <v/>
      </c>
      <c r="D71" t="str">
        <f>IF(SEFAZ!D55="","",SEFAZ!D55)</f>
        <v/>
      </c>
      <c r="E71" s="7" t="str">
        <f>IF(SEFAZ!E55="","",SEFAZ!E55)</f>
        <v/>
      </c>
      <c r="F71" s="6" t="str">
        <f>IF(SEFAZ!F55="","",VALUE(SUBSTITUTE(SEFAZ!F55,"'","")))</f>
        <v/>
      </c>
      <c r="G71" t="str">
        <f>IF(SEFAZ!H55="","",SEFAZ!H55)</f>
        <v/>
      </c>
      <c r="H71" t="str">
        <f>IF(SEFAZ!L55="","",SEFAZ!L55)</f>
        <v/>
      </c>
      <c r="I71" t="str">
        <f>IF(SEFAZ!N55="","",SEFAZ!N55)</f>
        <v/>
      </c>
      <c r="J71" t="str">
        <f>IF(SEFAZ!O55="","",SEFAZ!O55)</f>
        <v/>
      </c>
      <c r="K71" s="11" t="str">
        <f>IF(SEFAZ!P55="","",SEFAZ!P55)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IF(SEFAZ!A56="","",SEFAZ!A56)</f>
        <v/>
      </c>
      <c r="C72" t="str">
        <f>IF(SEFAZ!C56="","",SEFAZ!C56)</f>
        <v/>
      </c>
      <c r="D72" t="str">
        <f>IF(SEFAZ!D56="","",SEFAZ!D56)</f>
        <v/>
      </c>
      <c r="E72" s="7" t="str">
        <f>IF(SEFAZ!E56="","",SEFAZ!E56)</f>
        <v/>
      </c>
      <c r="F72" s="6" t="str">
        <f>IF(SEFAZ!F56="","",VALUE(SUBSTITUTE(SEFAZ!F56,"'","")))</f>
        <v/>
      </c>
      <c r="G72" t="str">
        <f>IF(SEFAZ!H56="","",SEFAZ!H56)</f>
        <v/>
      </c>
      <c r="H72" t="str">
        <f>IF(SEFAZ!L56="","",SEFAZ!L56)</f>
        <v/>
      </c>
      <c r="I72" t="str">
        <f>IF(SEFAZ!N56="","",SEFAZ!N56)</f>
        <v/>
      </c>
      <c r="J72" t="str">
        <f>IF(SEFAZ!O56="","",SEFAZ!O56)</f>
        <v/>
      </c>
      <c r="K72" s="11" t="str">
        <f>IF(SEFAZ!P56="","",SEFAZ!P56)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IF(SEFAZ!A57="","",SEFAZ!A57)</f>
        <v/>
      </c>
      <c r="C73" t="str">
        <f>IF(SEFAZ!C57="","",SEFAZ!C57)</f>
        <v/>
      </c>
      <c r="D73" t="str">
        <f>IF(SEFAZ!D57="","",SEFAZ!D57)</f>
        <v/>
      </c>
      <c r="E73" s="7" t="str">
        <f>IF(SEFAZ!E57="","",SEFAZ!E57)</f>
        <v/>
      </c>
      <c r="F73" s="6" t="str">
        <f>IF(SEFAZ!F57="","",VALUE(SUBSTITUTE(SEFAZ!F57,"'","")))</f>
        <v/>
      </c>
      <c r="G73" t="str">
        <f>IF(SEFAZ!H57="","",SEFAZ!H57)</f>
        <v/>
      </c>
      <c r="H73" t="str">
        <f>IF(SEFAZ!L57="","",SEFAZ!L57)</f>
        <v/>
      </c>
      <c r="I73" t="str">
        <f>IF(SEFAZ!N57="","",SEFAZ!N57)</f>
        <v/>
      </c>
      <c r="J73" t="str">
        <f>IF(SEFAZ!O57="","",SEFAZ!O57)</f>
        <v/>
      </c>
      <c r="K73" s="11" t="str">
        <f>IF(SEFAZ!P57="","",SEFAZ!P57)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IF(SEFAZ!A58="","",SEFAZ!A58)</f>
        <v/>
      </c>
      <c r="C74" t="str">
        <f>IF(SEFAZ!C58="","",SEFAZ!C58)</f>
        <v/>
      </c>
      <c r="D74" t="str">
        <f>IF(SEFAZ!D58="","",SEFAZ!D58)</f>
        <v/>
      </c>
      <c r="E74" s="7" t="str">
        <f>IF(SEFAZ!E58="","",SEFAZ!E58)</f>
        <v/>
      </c>
      <c r="F74" s="6" t="str">
        <f>IF(SEFAZ!F58="","",VALUE(SUBSTITUTE(SEFAZ!F58,"'","")))</f>
        <v/>
      </c>
      <c r="G74" t="str">
        <f>IF(SEFAZ!H58="","",SEFAZ!H58)</f>
        <v/>
      </c>
      <c r="H74" t="str">
        <f>IF(SEFAZ!L58="","",SEFAZ!L58)</f>
        <v/>
      </c>
      <c r="I74" t="str">
        <f>IF(SEFAZ!N58="","",SEFAZ!N58)</f>
        <v/>
      </c>
      <c r="J74" t="str">
        <f>IF(SEFAZ!O58="","",SEFAZ!O58)</f>
        <v/>
      </c>
      <c r="K74" s="11" t="str">
        <f>IF(SEFAZ!P58="","",SEFAZ!P58)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IF(SEFAZ!A59="","",SEFAZ!A59)</f>
        <v/>
      </c>
      <c r="C75" t="str">
        <f>IF(SEFAZ!C59="","",SEFAZ!C59)</f>
        <v/>
      </c>
      <c r="D75" t="str">
        <f>IF(SEFAZ!D59="","",SEFAZ!D59)</f>
        <v/>
      </c>
      <c r="E75" s="7" t="str">
        <f>IF(SEFAZ!E59="","",SEFAZ!E59)</f>
        <v/>
      </c>
      <c r="F75" s="6" t="str">
        <f>IF(SEFAZ!F59="","",VALUE(SUBSTITUTE(SEFAZ!F59,"'","")))</f>
        <v/>
      </c>
      <c r="G75" t="str">
        <f>IF(SEFAZ!H59="","",SEFAZ!H59)</f>
        <v/>
      </c>
      <c r="H75" t="str">
        <f>IF(SEFAZ!L59="","",SEFAZ!L59)</f>
        <v/>
      </c>
      <c r="I75" t="str">
        <f>IF(SEFAZ!N59="","",SEFAZ!N59)</f>
        <v/>
      </c>
      <c r="J75" t="str">
        <f>IF(SEFAZ!O59="","",SEFAZ!O59)</f>
        <v/>
      </c>
      <c r="K75" s="11" t="str">
        <f>IF(SEFAZ!P59="","",SEFAZ!P59)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IF(SEFAZ!A60="","",SEFAZ!A60)</f>
        <v/>
      </c>
      <c r="C76" t="str">
        <f>IF(SEFAZ!C60="","",SEFAZ!C60)</f>
        <v/>
      </c>
      <c r="D76" t="str">
        <f>IF(SEFAZ!D60="","",SEFAZ!D60)</f>
        <v/>
      </c>
      <c r="E76" s="7" t="str">
        <f>IF(SEFAZ!E60="","",SEFAZ!E60)</f>
        <v/>
      </c>
      <c r="F76" s="6" t="str">
        <f>IF(SEFAZ!F60="","",VALUE(SUBSTITUTE(SEFAZ!F60,"'","")))</f>
        <v/>
      </c>
      <c r="G76" t="str">
        <f>IF(SEFAZ!H60="","",SEFAZ!H60)</f>
        <v/>
      </c>
      <c r="H76" t="str">
        <f>IF(SEFAZ!L60="","",SEFAZ!L60)</f>
        <v/>
      </c>
      <c r="I76" t="str">
        <f>IF(SEFAZ!N60="","",SEFAZ!N60)</f>
        <v/>
      </c>
      <c r="J76" t="str">
        <f>IF(SEFAZ!O60="","",SEFAZ!O60)</f>
        <v/>
      </c>
      <c r="K76" s="11" t="str">
        <f>IF(SEFAZ!P60="","",SEFAZ!P60)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IF(SEFAZ!A61="","",SEFAZ!A61)</f>
        <v/>
      </c>
      <c r="C77" t="str">
        <f>IF(SEFAZ!C61="","",SEFAZ!C61)</f>
        <v/>
      </c>
      <c r="D77" t="str">
        <f>IF(SEFAZ!D61="","",SEFAZ!D61)</f>
        <v/>
      </c>
      <c r="E77" s="7" t="str">
        <f>IF(SEFAZ!E61="","",SEFAZ!E61)</f>
        <v/>
      </c>
      <c r="F77" s="6" t="str">
        <f>IF(SEFAZ!F61="","",VALUE(SUBSTITUTE(SEFAZ!F61,"'","")))</f>
        <v/>
      </c>
      <c r="G77" t="str">
        <f>IF(SEFAZ!H61="","",SEFAZ!H61)</f>
        <v/>
      </c>
      <c r="H77" t="str">
        <f>IF(SEFAZ!L61="","",SEFAZ!L61)</f>
        <v/>
      </c>
      <c r="I77" t="str">
        <f>IF(SEFAZ!N61="","",SEFAZ!N61)</f>
        <v/>
      </c>
      <c r="J77" t="str">
        <f>IF(SEFAZ!O61="","",SEFAZ!O61)</f>
        <v/>
      </c>
      <c r="K77" s="11" t="str">
        <f>IF(SEFAZ!P61="","",SEFAZ!P61)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IF(SEFAZ!A62="","",SEFAZ!A62)</f>
        <v/>
      </c>
      <c r="C78" t="str">
        <f>IF(SEFAZ!C62="","",SEFAZ!C62)</f>
        <v/>
      </c>
      <c r="D78" t="str">
        <f>IF(SEFAZ!D62="","",SEFAZ!D62)</f>
        <v/>
      </c>
      <c r="E78" s="7" t="str">
        <f>IF(SEFAZ!E62="","",SEFAZ!E62)</f>
        <v/>
      </c>
      <c r="F78" s="6" t="str">
        <f>IF(SEFAZ!F62="","",VALUE(SUBSTITUTE(SEFAZ!F62,"'","")))</f>
        <v/>
      </c>
      <c r="G78" t="str">
        <f>IF(SEFAZ!H62="","",SEFAZ!H62)</f>
        <v/>
      </c>
      <c r="H78" t="str">
        <f>IF(SEFAZ!L62="","",SEFAZ!L62)</f>
        <v/>
      </c>
      <c r="I78" t="str">
        <f>IF(SEFAZ!N62="","",SEFAZ!N62)</f>
        <v/>
      </c>
      <c r="J78" t="str">
        <f>IF(SEFAZ!O62="","",SEFAZ!O62)</f>
        <v/>
      </c>
      <c r="K78" s="11" t="str">
        <f>IF(SEFAZ!P62="","",SEFAZ!P62)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IF(SEFAZ!A63="","",SEFAZ!A63)</f>
        <v/>
      </c>
      <c r="C79" t="str">
        <f>IF(SEFAZ!C63="","",SEFAZ!C63)</f>
        <v/>
      </c>
      <c r="D79" t="str">
        <f>IF(SEFAZ!D63="","",SEFAZ!D63)</f>
        <v/>
      </c>
      <c r="E79" s="7" t="str">
        <f>IF(SEFAZ!E63="","",SEFAZ!E63)</f>
        <v/>
      </c>
      <c r="F79" s="6" t="str">
        <f>IF(SEFAZ!F63="","",VALUE(SUBSTITUTE(SEFAZ!F63,"'","")))</f>
        <v/>
      </c>
      <c r="G79" t="str">
        <f>IF(SEFAZ!H63="","",SEFAZ!H63)</f>
        <v/>
      </c>
      <c r="H79" t="str">
        <f>IF(SEFAZ!L63="","",SEFAZ!L63)</f>
        <v/>
      </c>
      <c r="I79" t="str">
        <f>IF(SEFAZ!N63="","",SEFAZ!N63)</f>
        <v/>
      </c>
      <c r="J79" t="str">
        <f>IF(SEFAZ!O63="","",SEFAZ!O63)</f>
        <v/>
      </c>
      <c r="K79" s="11" t="str">
        <f>IF(SEFAZ!P63="","",SEFAZ!P63)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IF(SEFAZ!A64="","",SEFAZ!A64)</f>
        <v/>
      </c>
      <c r="C80" t="str">
        <f>IF(SEFAZ!C64="","",SEFAZ!C64)</f>
        <v/>
      </c>
      <c r="D80" t="str">
        <f>IF(SEFAZ!D64="","",SEFAZ!D64)</f>
        <v/>
      </c>
      <c r="E80" s="7" t="str">
        <f>IF(SEFAZ!E64="","",SEFAZ!E64)</f>
        <v/>
      </c>
      <c r="F80" s="6" t="str">
        <f>IF(SEFAZ!F64="","",VALUE(SUBSTITUTE(SEFAZ!F64,"'","")))</f>
        <v/>
      </c>
      <c r="G80" t="str">
        <f>IF(SEFAZ!H64="","",SEFAZ!H64)</f>
        <v/>
      </c>
      <c r="H80" t="str">
        <f>IF(SEFAZ!L64="","",SEFAZ!L64)</f>
        <v/>
      </c>
      <c r="I80" t="str">
        <f>IF(SEFAZ!N64="","",SEFAZ!N64)</f>
        <v/>
      </c>
      <c r="J80" t="str">
        <f>IF(SEFAZ!O64="","",SEFAZ!O64)</f>
        <v/>
      </c>
      <c r="K80" s="11" t="str">
        <f>IF(SEFAZ!P64="","",SEFAZ!P64)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IF(SEFAZ!A65="","",SEFAZ!A65)</f>
        <v/>
      </c>
      <c r="C81" t="str">
        <f>IF(SEFAZ!C65="","",SEFAZ!C65)</f>
        <v/>
      </c>
      <c r="D81" t="str">
        <f>IF(SEFAZ!D65="","",SEFAZ!D65)</f>
        <v/>
      </c>
      <c r="E81" s="7" t="str">
        <f>IF(SEFAZ!E65="","",SEFAZ!E65)</f>
        <v/>
      </c>
      <c r="F81" s="6" t="str">
        <f>IF(SEFAZ!F65="","",VALUE(SUBSTITUTE(SEFAZ!F65,"'","")))</f>
        <v/>
      </c>
      <c r="G81" t="str">
        <f>IF(SEFAZ!H65="","",SEFAZ!H65)</f>
        <v/>
      </c>
      <c r="H81" t="str">
        <f>IF(SEFAZ!L65="","",SEFAZ!L65)</f>
        <v/>
      </c>
      <c r="I81" t="str">
        <f>IF(SEFAZ!N65="","",SEFAZ!N65)</f>
        <v/>
      </c>
      <c r="J81" t="str">
        <f>IF(SEFAZ!O65="","",SEFAZ!O65)</f>
        <v/>
      </c>
      <c r="K81" s="11" t="str">
        <f>IF(SEFAZ!P65="","",SEFAZ!P65)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IF(SEFAZ!A66="","",SEFAZ!A66)</f>
        <v/>
      </c>
      <c r="C82" t="str">
        <f>IF(SEFAZ!C66="","",SEFAZ!C66)</f>
        <v/>
      </c>
      <c r="D82" t="str">
        <f>IF(SEFAZ!D66="","",SEFAZ!D66)</f>
        <v/>
      </c>
      <c r="E82" s="7" t="str">
        <f>IF(SEFAZ!E66="","",SEFAZ!E66)</f>
        <v/>
      </c>
      <c r="F82" s="6" t="str">
        <f>IF(SEFAZ!F66="","",VALUE(SUBSTITUTE(SEFAZ!F66,"'","")))</f>
        <v/>
      </c>
      <c r="G82" t="str">
        <f>IF(SEFAZ!H66="","",SEFAZ!H66)</f>
        <v/>
      </c>
      <c r="H82" t="str">
        <f>IF(SEFAZ!L66="","",SEFAZ!L66)</f>
        <v/>
      </c>
      <c r="I82" t="str">
        <f>IF(SEFAZ!N66="","",SEFAZ!N66)</f>
        <v/>
      </c>
      <c r="J82" t="str">
        <f>IF(SEFAZ!O66="","",SEFAZ!O66)</f>
        <v/>
      </c>
      <c r="K82" s="11" t="str">
        <f>IF(SEFAZ!P66="","",SEFAZ!P66)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IF(SEFAZ!A67="","",SEFAZ!A67)</f>
        <v/>
      </c>
      <c r="C83" t="str">
        <f>IF(SEFAZ!C67="","",SEFAZ!C67)</f>
        <v/>
      </c>
      <c r="D83" t="str">
        <f>IF(SEFAZ!D67="","",SEFAZ!D67)</f>
        <v/>
      </c>
      <c r="E83" s="7" t="str">
        <f>IF(SEFAZ!E67="","",SEFAZ!E67)</f>
        <v/>
      </c>
      <c r="F83" s="6" t="str">
        <f>IF(SEFAZ!F67="","",VALUE(SUBSTITUTE(SEFAZ!F67,"'","")))</f>
        <v/>
      </c>
      <c r="G83" t="str">
        <f>IF(SEFAZ!H67="","",SEFAZ!H67)</f>
        <v/>
      </c>
      <c r="H83" t="str">
        <f>IF(SEFAZ!L67="","",SEFAZ!L67)</f>
        <v/>
      </c>
      <c r="I83" t="str">
        <f>IF(SEFAZ!N67="","",SEFAZ!N67)</f>
        <v/>
      </c>
      <c r="J83" t="str">
        <f>IF(SEFAZ!O67="","",SEFAZ!O67)</f>
        <v/>
      </c>
      <c r="K83" s="11" t="str">
        <f>IF(SEFAZ!P67="","",SEFAZ!P67)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IF(SEFAZ!A68="","",SEFAZ!A68)</f>
        <v/>
      </c>
      <c r="C84" t="str">
        <f>IF(SEFAZ!C68="","",SEFAZ!C68)</f>
        <v/>
      </c>
      <c r="D84" t="str">
        <f>IF(SEFAZ!D68="","",SEFAZ!D68)</f>
        <v/>
      </c>
      <c r="E84" s="7" t="str">
        <f>IF(SEFAZ!E68="","",SEFAZ!E68)</f>
        <v/>
      </c>
      <c r="F84" s="6" t="str">
        <f>IF(SEFAZ!F68="","",VALUE(SUBSTITUTE(SEFAZ!F68,"'","")))</f>
        <v/>
      </c>
      <c r="G84" t="str">
        <f>IF(SEFAZ!H68="","",SEFAZ!H68)</f>
        <v/>
      </c>
      <c r="H84" t="str">
        <f>IF(SEFAZ!L68="","",SEFAZ!L68)</f>
        <v/>
      </c>
      <c r="I84" t="str">
        <f>IF(SEFAZ!N68="","",SEFAZ!N68)</f>
        <v/>
      </c>
      <c r="J84" t="str">
        <f>IF(SEFAZ!O68="","",SEFAZ!O68)</f>
        <v/>
      </c>
      <c r="K84" s="11" t="str">
        <f>IF(SEFAZ!P68="","",SEFAZ!P68)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IF(SEFAZ!A69="","",SEFAZ!A69)</f>
        <v/>
      </c>
      <c r="C85" t="str">
        <f>IF(SEFAZ!C69="","",SEFAZ!C69)</f>
        <v/>
      </c>
      <c r="D85" t="str">
        <f>IF(SEFAZ!D69="","",SEFAZ!D69)</f>
        <v/>
      </c>
      <c r="E85" s="7" t="str">
        <f>IF(SEFAZ!E69="","",SEFAZ!E69)</f>
        <v/>
      </c>
      <c r="F85" s="6" t="str">
        <f>IF(SEFAZ!F69="","",VALUE(SUBSTITUTE(SEFAZ!F69,"'","")))</f>
        <v/>
      </c>
      <c r="G85" t="str">
        <f>IF(SEFAZ!H69="","",SEFAZ!H69)</f>
        <v/>
      </c>
      <c r="H85" t="str">
        <f>IF(SEFAZ!L69="","",SEFAZ!L69)</f>
        <v/>
      </c>
      <c r="I85" t="str">
        <f>IF(SEFAZ!N69="","",SEFAZ!N69)</f>
        <v/>
      </c>
      <c r="J85" t="str">
        <f>IF(SEFAZ!O69="","",SEFAZ!O69)</f>
        <v/>
      </c>
      <c r="K85" s="11" t="str">
        <f>IF(SEFAZ!P69="","",SEFAZ!P69)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IF(SEFAZ!A70="","",SEFAZ!A70)</f>
        <v/>
      </c>
      <c r="C86" t="str">
        <f>IF(SEFAZ!C70="","",SEFAZ!C70)</f>
        <v/>
      </c>
      <c r="D86" t="str">
        <f>IF(SEFAZ!D70="","",SEFAZ!D70)</f>
        <v/>
      </c>
      <c r="E86" s="7" t="str">
        <f>IF(SEFAZ!E70="","",SEFAZ!E70)</f>
        <v/>
      </c>
      <c r="F86" s="6" t="str">
        <f>IF(SEFAZ!F70="","",VALUE(SUBSTITUTE(SEFAZ!F70,"'","")))</f>
        <v/>
      </c>
      <c r="G86" t="str">
        <f>IF(SEFAZ!H70="","",SEFAZ!H70)</f>
        <v/>
      </c>
      <c r="H86" t="str">
        <f>IF(SEFAZ!L70="","",SEFAZ!L70)</f>
        <v/>
      </c>
      <c r="I86" t="str">
        <f>IF(SEFAZ!N70="","",SEFAZ!N70)</f>
        <v/>
      </c>
      <c r="J86" t="str">
        <f>IF(SEFAZ!O70="","",SEFAZ!O70)</f>
        <v/>
      </c>
      <c r="K86" s="11" t="str">
        <f>IF(SEFAZ!P70="","",SEFAZ!P70)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IF(SEFAZ!A71="","",SEFAZ!A71)</f>
        <v/>
      </c>
      <c r="C87" t="str">
        <f>IF(SEFAZ!C71="","",SEFAZ!C71)</f>
        <v/>
      </c>
      <c r="D87" t="str">
        <f>IF(SEFAZ!D71="","",SEFAZ!D71)</f>
        <v/>
      </c>
      <c r="E87" s="7" t="str">
        <f>IF(SEFAZ!E71="","",SEFAZ!E71)</f>
        <v/>
      </c>
      <c r="F87" s="6" t="str">
        <f>IF(SEFAZ!F71="","",VALUE(SUBSTITUTE(SEFAZ!F71,"'","")))</f>
        <v/>
      </c>
      <c r="G87" t="str">
        <f>IF(SEFAZ!H71="","",SEFAZ!H71)</f>
        <v/>
      </c>
      <c r="H87" t="str">
        <f>IF(SEFAZ!L71="","",SEFAZ!L71)</f>
        <v/>
      </c>
      <c r="I87" t="str">
        <f>IF(SEFAZ!N71="","",SEFAZ!N71)</f>
        <v/>
      </c>
      <c r="J87" t="str">
        <f>IF(SEFAZ!O71="","",SEFAZ!O71)</f>
        <v/>
      </c>
      <c r="K87" s="11" t="str">
        <f>IF(SEFAZ!P71="","",SEFAZ!P71)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IF(SEFAZ!A72="","",SEFAZ!A72)</f>
        <v/>
      </c>
      <c r="C88" t="str">
        <f>IF(SEFAZ!C72="","",SEFAZ!C72)</f>
        <v/>
      </c>
      <c r="D88" t="str">
        <f>IF(SEFAZ!D72="","",SEFAZ!D72)</f>
        <v/>
      </c>
      <c r="E88" s="7" t="str">
        <f>IF(SEFAZ!E72="","",SEFAZ!E72)</f>
        <v/>
      </c>
      <c r="F88" s="6" t="str">
        <f>IF(SEFAZ!F72="","",VALUE(SUBSTITUTE(SEFAZ!F72,"'","")))</f>
        <v/>
      </c>
      <c r="G88" t="str">
        <f>IF(SEFAZ!H72="","",SEFAZ!H72)</f>
        <v/>
      </c>
      <c r="H88" t="str">
        <f>IF(SEFAZ!L72="","",SEFAZ!L72)</f>
        <v/>
      </c>
      <c r="I88" t="str">
        <f>IF(SEFAZ!N72="","",SEFAZ!N72)</f>
        <v/>
      </c>
      <c r="J88" t="str">
        <f>IF(SEFAZ!O72="","",SEFAZ!O72)</f>
        <v/>
      </c>
      <c r="K88" s="11" t="str">
        <f>IF(SEFAZ!P72="","",SEFAZ!P72)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IF(SEFAZ!A73="","",SEFAZ!A73)</f>
        <v/>
      </c>
      <c r="C89" t="str">
        <f>IF(SEFAZ!C73="","",SEFAZ!C73)</f>
        <v/>
      </c>
      <c r="D89" t="str">
        <f>IF(SEFAZ!D73="","",SEFAZ!D73)</f>
        <v/>
      </c>
      <c r="E89" s="7" t="str">
        <f>IF(SEFAZ!E73="","",SEFAZ!E73)</f>
        <v/>
      </c>
      <c r="F89" s="6" t="str">
        <f>IF(SEFAZ!F73="","",VALUE(SUBSTITUTE(SEFAZ!F73,"'","")))</f>
        <v/>
      </c>
      <c r="G89" t="str">
        <f>IF(SEFAZ!H73="","",SEFAZ!H73)</f>
        <v/>
      </c>
      <c r="H89" t="str">
        <f>IF(SEFAZ!L73="","",SEFAZ!L73)</f>
        <v/>
      </c>
      <c r="I89" t="str">
        <f>IF(SEFAZ!N73="","",SEFAZ!N73)</f>
        <v/>
      </c>
      <c r="J89" t="str">
        <f>IF(SEFAZ!O73="","",SEFAZ!O73)</f>
        <v/>
      </c>
      <c r="K89" s="11" t="str">
        <f>IF(SEFAZ!P73="","",SEFAZ!P73)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IF(SEFAZ!A74="","",SEFAZ!A74)</f>
        <v/>
      </c>
      <c r="C90" t="str">
        <f>IF(SEFAZ!C74="","",SEFAZ!C74)</f>
        <v/>
      </c>
      <c r="D90" t="str">
        <f>IF(SEFAZ!D74="","",SEFAZ!D74)</f>
        <v/>
      </c>
      <c r="E90" s="7" t="str">
        <f>IF(SEFAZ!E74="","",SEFAZ!E74)</f>
        <v/>
      </c>
      <c r="F90" s="6" t="str">
        <f>IF(SEFAZ!F74="","",VALUE(SUBSTITUTE(SEFAZ!F74,"'","")))</f>
        <v/>
      </c>
      <c r="G90" t="str">
        <f>IF(SEFAZ!H74="","",SEFAZ!H74)</f>
        <v/>
      </c>
      <c r="H90" t="str">
        <f>IF(SEFAZ!L74="","",SEFAZ!L74)</f>
        <v/>
      </c>
      <c r="I90" t="str">
        <f>IF(SEFAZ!N74="","",SEFAZ!N74)</f>
        <v/>
      </c>
      <c r="J90" t="str">
        <f>IF(SEFAZ!O74="","",SEFAZ!O74)</f>
        <v/>
      </c>
      <c r="K90" s="11" t="str">
        <f>IF(SEFAZ!P74="","",SEFAZ!P74)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IF(SEFAZ!A75="","",SEFAZ!A75)</f>
        <v/>
      </c>
      <c r="C91" t="str">
        <f>IF(SEFAZ!C75="","",SEFAZ!C75)</f>
        <v/>
      </c>
      <c r="D91" t="str">
        <f>IF(SEFAZ!D75="","",SEFAZ!D75)</f>
        <v/>
      </c>
      <c r="E91" s="7" t="str">
        <f>IF(SEFAZ!E75="","",SEFAZ!E75)</f>
        <v/>
      </c>
      <c r="F91" s="6" t="str">
        <f>IF(SEFAZ!F75="","",VALUE(SUBSTITUTE(SEFAZ!F75,"'","")))</f>
        <v/>
      </c>
      <c r="G91" t="str">
        <f>IF(SEFAZ!H75="","",SEFAZ!H75)</f>
        <v/>
      </c>
      <c r="H91" t="str">
        <f>IF(SEFAZ!L75="","",SEFAZ!L75)</f>
        <v/>
      </c>
      <c r="I91" t="str">
        <f>IF(SEFAZ!N75="","",SEFAZ!N75)</f>
        <v/>
      </c>
      <c r="J91" t="str">
        <f>IF(SEFAZ!O75="","",SEFAZ!O75)</f>
        <v/>
      </c>
      <c r="K91" s="11" t="str">
        <f>IF(SEFAZ!P75="","",SEFAZ!P75)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IF(SEFAZ!A76="","",SEFAZ!A76)</f>
        <v/>
      </c>
      <c r="C92" t="str">
        <f>IF(SEFAZ!C76="","",SEFAZ!C76)</f>
        <v/>
      </c>
      <c r="D92" t="str">
        <f>IF(SEFAZ!D76="","",SEFAZ!D76)</f>
        <v/>
      </c>
      <c r="E92" s="7" t="str">
        <f>IF(SEFAZ!E76="","",SEFAZ!E76)</f>
        <v/>
      </c>
      <c r="F92" s="6" t="str">
        <f>IF(SEFAZ!F76="","",VALUE(SUBSTITUTE(SEFAZ!F76,"'","")))</f>
        <v/>
      </c>
      <c r="G92" t="str">
        <f>IF(SEFAZ!H76="","",SEFAZ!H76)</f>
        <v/>
      </c>
      <c r="H92" t="str">
        <f>IF(SEFAZ!L76="","",SEFAZ!L76)</f>
        <v/>
      </c>
      <c r="I92" t="str">
        <f>IF(SEFAZ!N76="","",SEFAZ!N76)</f>
        <v/>
      </c>
      <c r="J92" t="str">
        <f>IF(SEFAZ!O76="","",SEFAZ!O76)</f>
        <v/>
      </c>
      <c r="K92" s="11" t="str">
        <f>IF(SEFAZ!P76="","",SEFAZ!P76)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hidden="1" x14ac:dyDescent="0.3">
      <c r="B93" t="str">
        <f>IF(SEFAZ!A77="","",SEFAZ!A77)</f>
        <v/>
      </c>
      <c r="C93" t="str">
        <f>IF(SEFAZ!C77="","",SEFAZ!C77)</f>
        <v/>
      </c>
      <c r="D93" t="str">
        <f>IF(SEFAZ!D77="","",SEFAZ!D77)</f>
        <v/>
      </c>
      <c r="E93" s="7" t="str">
        <f>IF(SEFAZ!E77="","",SEFAZ!E77)</f>
        <v/>
      </c>
      <c r="F93" s="6" t="str">
        <f>IF(SEFAZ!F77="","",VALUE(SUBSTITUTE(SEFAZ!F77,"'","")))</f>
        <v/>
      </c>
      <c r="G93" t="str">
        <f>IF(SEFAZ!H77="","",SEFAZ!H77)</f>
        <v/>
      </c>
      <c r="H93" t="str">
        <f>IF(SEFAZ!L77="","",SEFAZ!L77)</f>
        <v/>
      </c>
      <c r="I93" t="str">
        <f>IF(SEFAZ!N77="","",SEFAZ!N77)</f>
        <v/>
      </c>
      <c r="J93" t="str">
        <f>IF(SEFAZ!O77="","",SEFAZ!O77)</f>
        <v/>
      </c>
      <c r="K93" s="11" t="str">
        <f>IF(SEFAZ!P77="","",SEFAZ!P77)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hidden="1" x14ac:dyDescent="0.3">
      <c r="B94" t="str">
        <f>IF(SEFAZ!A78="","",SEFAZ!A78)</f>
        <v/>
      </c>
      <c r="C94" t="str">
        <f>IF(SEFAZ!C78="","",SEFAZ!C78)</f>
        <v/>
      </c>
      <c r="D94" t="str">
        <f>IF(SEFAZ!D78="","",SEFAZ!D78)</f>
        <v/>
      </c>
      <c r="E94" s="7" t="str">
        <f>IF(SEFAZ!E78="","",SEFAZ!E78)</f>
        <v/>
      </c>
      <c r="F94" s="6" t="str">
        <f>IF(SEFAZ!F78="","",VALUE(SUBSTITUTE(SEFAZ!F78,"'","")))</f>
        <v/>
      </c>
      <c r="G94" t="str">
        <f>IF(SEFAZ!H78="","",SEFAZ!H78)</f>
        <v/>
      </c>
      <c r="H94" t="str">
        <f>IF(SEFAZ!L78="","",SEFAZ!L78)</f>
        <v/>
      </c>
      <c r="I94" t="str">
        <f>IF(SEFAZ!N78="","",SEFAZ!N78)</f>
        <v/>
      </c>
      <c r="J94" t="str">
        <f>IF(SEFAZ!O78="","",SEFAZ!O78)</f>
        <v/>
      </c>
      <c r="K94" s="11" t="str">
        <f>IF(SEFAZ!P78="","",SEFAZ!P78)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hidden="1" x14ac:dyDescent="0.3">
      <c r="B95" t="str">
        <f>IF(SEFAZ!A79="","",SEFAZ!A79)</f>
        <v/>
      </c>
      <c r="C95" t="str">
        <f>IF(SEFAZ!C79="","",SEFAZ!C79)</f>
        <v/>
      </c>
      <c r="D95" t="str">
        <f>IF(SEFAZ!D79="","",SEFAZ!D79)</f>
        <v/>
      </c>
      <c r="E95" s="7" t="str">
        <f>IF(SEFAZ!E79="","",SEFAZ!E79)</f>
        <v/>
      </c>
      <c r="F95" s="6" t="str">
        <f>IF(SEFAZ!F79="","",VALUE(SUBSTITUTE(SEFAZ!F79,"'","")))</f>
        <v/>
      </c>
      <c r="G95" t="str">
        <f>IF(SEFAZ!H79="","",SEFAZ!H79)</f>
        <v/>
      </c>
      <c r="H95" t="str">
        <f>IF(SEFAZ!L79="","",SEFAZ!L79)</f>
        <v/>
      </c>
      <c r="I95" t="str">
        <f>IF(SEFAZ!N79="","",SEFAZ!N79)</f>
        <v/>
      </c>
      <c r="J95" t="str">
        <f>IF(SEFAZ!O79="","",SEFAZ!O79)</f>
        <v/>
      </c>
      <c r="K95" s="11" t="str">
        <f>IF(SEFAZ!P79="","",SEFAZ!P79)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hidden="1" x14ac:dyDescent="0.3">
      <c r="B96" t="str">
        <f>IF(SEFAZ!A80="","",SEFAZ!A80)</f>
        <v/>
      </c>
      <c r="C96" t="str">
        <f>IF(SEFAZ!C80="","",SEFAZ!C80)</f>
        <v/>
      </c>
      <c r="D96" t="str">
        <f>IF(SEFAZ!D80="","",SEFAZ!D80)</f>
        <v/>
      </c>
      <c r="E96" s="7" t="str">
        <f>IF(SEFAZ!E80="","",SEFAZ!E80)</f>
        <v/>
      </c>
      <c r="F96" s="6" t="str">
        <f>IF(SEFAZ!F80="","",VALUE(SUBSTITUTE(SEFAZ!F80,"'","")))</f>
        <v/>
      </c>
      <c r="G96" t="str">
        <f>IF(SEFAZ!H80="","",SEFAZ!H80)</f>
        <v/>
      </c>
      <c r="H96" t="str">
        <f>IF(SEFAZ!L80="","",SEFAZ!L80)</f>
        <v/>
      </c>
      <c r="I96" t="str">
        <f>IF(SEFAZ!N80="","",SEFAZ!N80)</f>
        <v/>
      </c>
      <c r="J96" t="str">
        <f>IF(SEFAZ!O80="","",SEFAZ!O80)</f>
        <v/>
      </c>
      <c r="K96" s="11" t="str">
        <f>IF(SEFAZ!P80="","",SEFAZ!P80)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hidden="1" x14ac:dyDescent="0.3">
      <c r="B97" t="str">
        <f>IF(SEFAZ!A81="","",SEFAZ!A81)</f>
        <v/>
      </c>
      <c r="C97" t="str">
        <f>IF(SEFAZ!C81="","",SEFAZ!C81)</f>
        <v/>
      </c>
      <c r="D97" t="str">
        <f>IF(SEFAZ!D81="","",SEFAZ!D81)</f>
        <v/>
      </c>
      <c r="E97" s="7" t="str">
        <f>IF(SEFAZ!E81="","",SEFAZ!E81)</f>
        <v/>
      </c>
      <c r="F97" s="6" t="str">
        <f>IF(SEFAZ!F81="","",VALUE(SUBSTITUTE(SEFAZ!F81,"'","")))</f>
        <v/>
      </c>
      <c r="G97" t="str">
        <f>IF(SEFAZ!H81="","",SEFAZ!H81)</f>
        <v/>
      </c>
      <c r="H97" t="str">
        <f>IF(SEFAZ!L81="","",SEFAZ!L81)</f>
        <v/>
      </c>
      <c r="I97" t="str">
        <f>IF(SEFAZ!N81="","",SEFAZ!N81)</f>
        <v/>
      </c>
      <c r="J97" t="str">
        <f>IF(SEFAZ!O81="","",SEFAZ!O81)</f>
        <v/>
      </c>
      <c r="K97" s="11" t="str">
        <f>IF(SEFAZ!P81="","",SEFAZ!P81)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hidden="1" x14ac:dyDescent="0.3">
      <c r="B98" t="str">
        <f>IF(SEFAZ!A82="","",SEFAZ!A82)</f>
        <v/>
      </c>
      <c r="C98" t="str">
        <f>IF(SEFAZ!C82="","",SEFAZ!C82)</f>
        <v/>
      </c>
      <c r="D98" t="str">
        <f>IF(SEFAZ!D82="","",SEFAZ!D82)</f>
        <v/>
      </c>
      <c r="E98" s="7" t="str">
        <f>IF(SEFAZ!E82="","",SEFAZ!E82)</f>
        <v/>
      </c>
      <c r="F98" s="6" t="str">
        <f>IF(SEFAZ!F82="","",VALUE(SUBSTITUTE(SEFAZ!F82,"'","")))</f>
        <v/>
      </c>
      <c r="G98" t="str">
        <f>IF(SEFAZ!H82="","",SEFAZ!H82)</f>
        <v/>
      </c>
      <c r="H98" t="str">
        <f>IF(SEFAZ!L82="","",SEFAZ!L82)</f>
        <v/>
      </c>
      <c r="I98" t="str">
        <f>IF(SEFAZ!N82="","",SEFAZ!N82)</f>
        <v/>
      </c>
      <c r="J98" t="str">
        <f>IF(SEFAZ!O82="","",SEFAZ!O82)</f>
        <v/>
      </c>
      <c r="K98" s="11" t="str">
        <f>IF(SEFAZ!P82="","",SEFAZ!P82)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hidden="1" x14ac:dyDescent="0.3">
      <c r="B99" t="str">
        <f>IF(SEFAZ!A83="","",SEFAZ!A83)</f>
        <v/>
      </c>
      <c r="C99" t="str">
        <f>IF(SEFAZ!C83="","",SEFAZ!C83)</f>
        <v/>
      </c>
      <c r="D99" t="str">
        <f>IF(SEFAZ!D83="","",SEFAZ!D83)</f>
        <v/>
      </c>
      <c r="E99" s="7" t="str">
        <f>IF(SEFAZ!E83="","",SEFAZ!E83)</f>
        <v/>
      </c>
      <c r="F99" s="6" t="str">
        <f>IF(SEFAZ!F83="","",VALUE(SUBSTITUTE(SEFAZ!F83,"'","")))</f>
        <v/>
      </c>
      <c r="G99" t="str">
        <f>IF(SEFAZ!H83="","",SEFAZ!H83)</f>
        <v/>
      </c>
      <c r="H99" t="str">
        <f>IF(SEFAZ!L83="","",SEFAZ!L83)</f>
        <v/>
      </c>
      <c r="I99" t="str">
        <f>IF(SEFAZ!N83="","",SEFAZ!N83)</f>
        <v/>
      </c>
      <c r="J99" t="str">
        <f>IF(SEFAZ!O83="","",SEFAZ!O83)</f>
        <v/>
      </c>
      <c r="K99" s="11" t="str">
        <f>IF(SEFAZ!P83="","",SEFAZ!P83)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hidden="1" x14ac:dyDescent="0.3">
      <c r="B100" t="str">
        <f>IF(SEFAZ!A84="","",SEFAZ!A84)</f>
        <v/>
      </c>
      <c r="C100" t="str">
        <f>IF(SEFAZ!C84="","",SEFAZ!C84)</f>
        <v/>
      </c>
      <c r="D100" t="str">
        <f>IF(SEFAZ!D84="","",SEFAZ!D84)</f>
        <v/>
      </c>
      <c r="E100" s="7" t="str">
        <f>IF(SEFAZ!E84="","",SEFAZ!E84)</f>
        <v/>
      </c>
      <c r="F100" s="6" t="str">
        <f>IF(SEFAZ!F84="","",VALUE(SUBSTITUTE(SEFAZ!F84,"'","")))</f>
        <v/>
      </c>
      <c r="G100" t="str">
        <f>IF(SEFAZ!H84="","",SEFAZ!H84)</f>
        <v/>
      </c>
      <c r="H100" t="str">
        <f>IF(SEFAZ!L84="","",SEFAZ!L84)</f>
        <v/>
      </c>
      <c r="I100" t="str">
        <f>IF(SEFAZ!N84="","",SEFAZ!N84)</f>
        <v/>
      </c>
      <c r="J100" t="str">
        <f>IF(SEFAZ!O84="","",SEFAZ!O84)</f>
        <v/>
      </c>
      <c r="K100" s="11" t="str">
        <f>IF(SEFAZ!P84="","",SEFAZ!P84)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hidden="1" x14ac:dyDescent="0.3">
      <c r="B101" t="str">
        <f>IF(SEFAZ!A85="","",SEFAZ!A85)</f>
        <v/>
      </c>
      <c r="C101" t="str">
        <f>IF(SEFAZ!C85="","",SEFAZ!C85)</f>
        <v/>
      </c>
      <c r="D101" t="str">
        <f>IF(SEFAZ!D85="","",SEFAZ!D85)</f>
        <v/>
      </c>
      <c r="E101" s="7" t="str">
        <f>IF(SEFAZ!E85="","",SEFAZ!E85)</f>
        <v/>
      </c>
      <c r="F101" s="6" t="str">
        <f>IF(SEFAZ!F85="","",VALUE(SUBSTITUTE(SEFAZ!F85,"'","")))</f>
        <v/>
      </c>
      <c r="G101" t="str">
        <f>IF(SEFAZ!H85="","",SEFAZ!H85)</f>
        <v/>
      </c>
      <c r="H101" t="str">
        <f>IF(SEFAZ!L85="","",SEFAZ!L85)</f>
        <v/>
      </c>
      <c r="I101" t="str">
        <f>IF(SEFAZ!N85="","",SEFAZ!N85)</f>
        <v/>
      </c>
      <c r="J101" t="str">
        <f>IF(SEFAZ!O85="","",SEFAZ!O85)</f>
        <v/>
      </c>
      <c r="K101" s="11" t="str">
        <f>IF(SEFAZ!P85="","",SEFAZ!P85)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hidden="1" x14ac:dyDescent="0.3">
      <c r="B102" t="str">
        <f>IF(SEFAZ!A86="","",SEFAZ!A86)</f>
        <v/>
      </c>
      <c r="C102" t="str">
        <f>IF(SEFAZ!C86="","",SEFAZ!C86)</f>
        <v/>
      </c>
      <c r="D102" t="str">
        <f>IF(SEFAZ!D86="","",SEFAZ!D86)</f>
        <v/>
      </c>
      <c r="E102" s="7" t="str">
        <f>IF(SEFAZ!E86="","",SEFAZ!E86)</f>
        <v/>
      </c>
      <c r="F102" s="6" t="str">
        <f>IF(SEFAZ!F86="","",VALUE(SUBSTITUTE(SEFAZ!F86,"'","")))</f>
        <v/>
      </c>
      <c r="G102" t="str">
        <f>IF(SEFAZ!H86="","",SEFAZ!H86)</f>
        <v/>
      </c>
      <c r="H102" t="str">
        <f>IF(SEFAZ!L86="","",SEFAZ!L86)</f>
        <v/>
      </c>
      <c r="I102" t="str">
        <f>IF(SEFAZ!N86="","",SEFAZ!N86)</f>
        <v/>
      </c>
      <c r="J102" t="str">
        <f>IF(SEFAZ!O86="","",SEFAZ!O86)</f>
        <v/>
      </c>
      <c r="K102" s="11" t="str">
        <f>IF(SEFAZ!P86="","",SEFAZ!P86)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hidden="1" x14ac:dyDescent="0.3">
      <c r="B103" t="str">
        <f>IF(SEFAZ!A87="","",SEFAZ!A87)</f>
        <v/>
      </c>
      <c r="C103" t="str">
        <f>IF(SEFAZ!C87="","",SEFAZ!C87)</f>
        <v/>
      </c>
      <c r="D103" t="str">
        <f>IF(SEFAZ!D87="","",SEFAZ!D87)</f>
        <v/>
      </c>
      <c r="E103" s="7" t="str">
        <f>IF(SEFAZ!E87="","",SEFAZ!E87)</f>
        <v/>
      </c>
      <c r="F103" s="6" t="str">
        <f>IF(SEFAZ!F87="","",VALUE(SUBSTITUTE(SEFAZ!F87,"'","")))</f>
        <v/>
      </c>
      <c r="G103" t="str">
        <f>IF(SEFAZ!H87="","",SEFAZ!H87)</f>
        <v/>
      </c>
      <c r="H103" t="str">
        <f>IF(SEFAZ!L87="","",SEFAZ!L87)</f>
        <v/>
      </c>
      <c r="I103" t="str">
        <f>IF(SEFAZ!N87="","",SEFAZ!N87)</f>
        <v/>
      </c>
      <c r="J103" t="str">
        <f>IF(SEFAZ!O87="","",SEFAZ!O87)</f>
        <v/>
      </c>
      <c r="K103" s="11" t="str">
        <f>IF(SEFAZ!P87="","",SEFAZ!P87)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hidden="1" x14ac:dyDescent="0.3">
      <c r="B104" t="str">
        <f>IF(SEFAZ!A88="","",SEFAZ!A88)</f>
        <v/>
      </c>
      <c r="C104" t="str">
        <f>IF(SEFAZ!C88="","",SEFAZ!C88)</f>
        <v/>
      </c>
      <c r="D104" t="str">
        <f>IF(SEFAZ!D88="","",SEFAZ!D88)</f>
        <v/>
      </c>
      <c r="E104" s="7" t="str">
        <f>IF(SEFAZ!E88="","",SEFAZ!E88)</f>
        <v/>
      </c>
      <c r="F104" s="6" t="str">
        <f>IF(SEFAZ!F88="","",VALUE(SUBSTITUTE(SEFAZ!F88,"'","")))</f>
        <v/>
      </c>
      <c r="G104" t="str">
        <f>IF(SEFAZ!H88="","",SEFAZ!H88)</f>
        <v/>
      </c>
      <c r="H104" t="str">
        <f>IF(SEFAZ!L88="","",SEFAZ!L88)</f>
        <v/>
      </c>
      <c r="I104" t="str">
        <f>IF(SEFAZ!N88="","",SEFAZ!N88)</f>
        <v/>
      </c>
      <c r="J104" t="str">
        <f>IF(SEFAZ!O88="","",SEFAZ!O88)</f>
        <v/>
      </c>
      <c r="K104" s="11" t="str">
        <f>IF(SEFAZ!P88="","",SEFAZ!P88)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hidden="1" x14ac:dyDescent="0.3">
      <c r="B105" t="str">
        <f>IF(SEFAZ!A89="","",SEFAZ!A89)</f>
        <v/>
      </c>
      <c r="C105" t="str">
        <f>IF(SEFAZ!C89="","",SEFAZ!C89)</f>
        <v/>
      </c>
      <c r="D105" t="str">
        <f>IF(SEFAZ!D89="","",SEFAZ!D89)</f>
        <v/>
      </c>
      <c r="E105" s="7" t="str">
        <f>IF(SEFAZ!E89="","",SEFAZ!E89)</f>
        <v/>
      </c>
      <c r="F105" s="6" t="str">
        <f>IF(SEFAZ!F89="","",VALUE(SUBSTITUTE(SEFAZ!F89,"'","")))</f>
        <v/>
      </c>
      <c r="G105" t="str">
        <f>IF(SEFAZ!H89="","",SEFAZ!H89)</f>
        <v/>
      </c>
      <c r="H105" t="str">
        <f>IF(SEFAZ!L89="","",SEFAZ!L89)</f>
        <v/>
      </c>
      <c r="I105" t="str">
        <f>IF(SEFAZ!N89="","",SEFAZ!N89)</f>
        <v/>
      </c>
      <c r="J105" t="str">
        <f>IF(SEFAZ!O89="","",SEFAZ!O89)</f>
        <v/>
      </c>
      <c r="K105" s="11" t="str">
        <f>IF(SEFAZ!P89="","",SEFAZ!P89)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IF(SEFAZ!A90="","",SEFAZ!A90)</f>
        <v/>
      </c>
      <c r="C106" t="str">
        <f>IF(SEFAZ!C90="","",SEFAZ!C90)</f>
        <v/>
      </c>
      <c r="D106" t="str">
        <f>IF(SEFAZ!D90="","",SEFAZ!D90)</f>
        <v/>
      </c>
      <c r="E106" s="7" t="str">
        <f>IF(SEFAZ!E90="","",SEFAZ!E90)</f>
        <v/>
      </c>
      <c r="F106" s="6" t="str">
        <f>IF(SEFAZ!F90="","",VALUE(SUBSTITUTE(SEFAZ!F90,"'","")))</f>
        <v/>
      </c>
      <c r="G106" t="str">
        <f>IF(SEFAZ!H90="","",SEFAZ!H90)</f>
        <v/>
      </c>
      <c r="H106" t="str">
        <f>IF(SEFAZ!L90="","",SEFAZ!L90)</f>
        <v/>
      </c>
      <c r="I106" t="str">
        <f>IF(SEFAZ!N90="","",SEFAZ!N90)</f>
        <v/>
      </c>
      <c r="J106" t="str">
        <f>IF(SEFAZ!O90="","",SEFAZ!O90)</f>
        <v/>
      </c>
      <c r="K106" s="11" t="str">
        <f>IF(SEFAZ!P90="","",SEFAZ!P90)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IF(SEFAZ!A91="","",SEFAZ!A91)</f>
        <v/>
      </c>
      <c r="C107" t="str">
        <f>IF(SEFAZ!C91="","",SEFAZ!C91)</f>
        <v/>
      </c>
      <c r="D107" t="str">
        <f>IF(SEFAZ!D91="","",SEFAZ!D91)</f>
        <v/>
      </c>
      <c r="E107" s="7" t="str">
        <f>IF(SEFAZ!E91="","",SEFAZ!E91)</f>
        <v/>
      </c>
      <c r="F107" s="6" t="str">
        <f>IF(SEFAZ!F91="","",VALUE(SUBSTITUTE(SEFAZ!F91,"'","")))</f>
        <v/>
      </c>
      <c r="G107" t="str">
        <f>IF(SEFAZ!H91="","",SEFAZ!H91)</f>
        <v/>
      </c>
      <c r="H107" t="str">
        <f>IF(SEFAZ!L91="","",SEFAZ!L91)</f>
        <v/>
      </c>
      <c r="I107" t="str">
        <f>IF(SEFAZ!N91="","",SEFAZ!N91)</f>
        <v/>
      </c>
      <c r="J107" t="str">
        <f>IF(SEFAZ!O91="","",SEFAZ!O91)</f>
        <v/>
      </c>
      <c r="K107" s="11" t="str">
        <f>IF(SEFAZ!P91="","",SEFAZ!P91)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IF(SEFAZ!A92="","",SEFAZ!A92)</f>
        <v/>
      </c>
      <c r="C108" t="str">
        <f>IF(SEFAZ!C92="","",SEFAZ!C92)</f>
        <v/>
      </c>
      <c r="D108" t="str">
        <f>IF(SEFAZ!D92="","",SEFAZ!D92)</f>
        <v/>
      </c>
      <c r="E108" s="7" t="str">
        <f>IF(SEFAZ!E92="","",SEFAZ!E92)</f>
        <v/>
      </c>
      <c r="F108" s="6" t="str">
        <f>IF(SEFAZ!F92="","",VALUE(SUBSTITUTE(SEFAZ!F92,"'","")))</f>
        <v/>
      </c>
      <c r="G108" t="str">
        <f>IF(SEFAZ!H92="","",SEFAZ!H92)</f>
        <v/>
      </c>
      <c r="H108" t="str">
        <f>IF(SEFAZ!L92="","",SEFAZ!L92)</f>
        <v/>
      </c>
      <c r="I108" t="str">
        <f>IF(SEFAZ!N92="","",SEFAZ!N92)</f>
        <v/>
      </c>
      <c r="J108" t="str">
        <f>IF(SEFAZ!O92="","",SEFAZ!O92)</f>
        <v/>
      </c>
      <c r="K108" s="11" t="str">
        <f>IF(SEFAZ!P92="","",SEFAZ!P92)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IF(SEFAZ!A93="","",SEFAZ!A93)</f>
        <v/>
      </c>
      <c r="C109" t="str">
        <f>IF(SEFAZ!C93="","",SEFAZ!C93)</f>
        <v/>
      </c>
      <c r="D109" t="str">
        <f>IF(SEFAZ!D93="","",SEFAZ!D93)</f>
        <v/>
      </c>
      <c r="E109" s="7" t="str">
        <f>IF(SEFAZ!E93="","",SEFAZ!E93)</f>
        <v/>
      </c>
      <c r="F109" s="6" t="str">
        <f>IF(SEFAZ!F93="","",VALUE(SUBSTITUTE(SEFAZ!F93,"'","")))</f>
        <v/>
      </c>
      <c r="G109" t="str">
        <f>IF(SEFAZ!H93="","",SEFAZ!H93)</f>
        <v/>
      </c>
      <c r="H109" t="str">
        <f>IF(SEFAZ!L93="","",SEFAZ!L93)</f>
        <v/>
      </c>
      <c r="I109" t="str">
        <f>IF(SEFAZ!N93="","",SEFAZ!N93)</f>
        <v/>
      </c>
      <c r="J109" t="str">
        <f>IF(SEFAZ!O93="","",SEFAZ!O93)</f>
        <v/>
      </c>
      <c r="K109" s="11" t="str">
        <f>IF(SEFAZ!P93="","",SEFAZ!P93)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IF(SEFAZ!A94="","",SEFAZ!A94)</f>
        <v/>
      </c>
      <c r="C110" t="str">
        <f>IF(SEFAZ!C94="","",SEFAZ!C94)</f>
        <v/>
      </c>
      <c r="D110" t="str">
        <f>IF(SEFAZ!D94="","",SEFAZ!D94)</f>
        <v/>
      </c>
      <c r="E110" s="7" t="str">
        <f>IF(SEFAZ!E94="","",SEFAZ!E94)</f>
        <v/>
      </c>
      <c r="F110" s="6" t="str">
        <f>IF(SEFAZ!F94="","",VALUE(SUBSTITUTE(SEFAZ!F94,"'","")))</f>
        <v/>
      </c>
      <c r="G110" t="str">
        <f>IF(SEFAZ!H94="","",SEFAZ!H94)</f>
        <v/>
      </c>
      <c r="H110" t="str">
        <f>IF(SEFAZ!L94="","",SEFAZ!L94)</f>
        <v/>
      </c>
      <c r="I110" t="str">
        <f>IF(SEFAZ!N94="","",SEFAZ!N94)</f>
        <v/>
      </c>
      <c r="J110" t="str">
        <f>IF(SEFAZ!O94="","",SEFAZ!O94)</f>
        <v/>
      </c>
      <c r="K110" s="11" t="str">
        <f>IF(SEFAZ!P94="","",SEFAZ!P94)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IF(SEFAZ!A95="","",SEFAZ!A95)</f>
        <v/>
      </c>
      <c r="C111" t="str">
        <f>IF(SEFAZ!C95="","",SEFAZ!C95)</f>
        <v/>
      </c>
      <c r="D111" t="str">
        <f>IF(SEFAZ!D95="","",SEFAZ!D95)</f>
        <v/>
      </c>
      <c r="E111" s="7" t="str">
        <f>IF(SEFAZ!E95="","",SEFAZ!E95)</f>
        <v/>
      </c>
      <c r="F111" s="6" t="str">
        <f>IF(SEFAZ!F95="","",VALUE(SUBSTITUTE(SEFAZ!F95,"'","")))</f>
        <v/>
      </c>
      <c r="G111" t="str">
        <f>IF(SEFAZ!H95="","",SEFAZ!H95)</f>
        <v/>
      </c>
      <c r="H111" t="str">
        <f>IF(SEFAZ!L95="","",SEFAZ!L95)</f>
        <v/>
      </c>
      <c r="I111" t="str">
        <f>IF(SEFAZ!N95="","",SEFAZ!N95)</f>
        <v/>
      </c>
      <c r="J111" t="str">
        <f>IF(SEFAZ!O95="","",SEFAZ!O95)</f>
        <v/>
      </c>
      <c r="K111" s="11" t="str">
        <f>IF(SEFAZ!P95="","",SEFAZ!P95)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IF(SEFAZ!A96="","",SEFAZ!A96)</f>
        <v/>
      </c>
      <c r="C112" t="str">
        <f>IF(SEFAZ!C96="","",SEFAZ!C96)</f>
        <v/>
      </c>
      <c r="D112" t="str">
        <f>IF(SEFAZ!D96="","",SEFAZ!D96)</f>
        <v/>
      </c>
      <c r="E112" s="7" t="str">
        <f>IF(SEFAZ!E96="","",SEFAZ!E96)</f>
        <v/>
      </c>
      <c r="F112" s="6" t="str">
        <f>IF(SEFAZ!F96="","",VALUE(SUBSTITUTE(SEFAZ!F96,"'","")))</f>
        <v/>
      </c>
      <c r="G112" t="str">
        <f>IF(SEFAZ!H96="","",SEFAZ!H96)</f>
        <v/>
      </c>
      <c r="H112" t="str">
        <f>IF(SEFAZ!L96="","",SEFAZ!L96)</f>
        <v/>
      </c>
      <c r="I112" t="str">
        <f>IF(SEFAZ!N96="","",SEFAZ!N96)</f>
        <v/>
      </c>
      <c r="J112" t="str">
        <f>IF(SEFAZ!O96="","",SEFAZ!O96)</f>
        <v/>
      </c>
      <c r="K112" s="11" t="str">
        <f>IF(SEFAZ!P96="","",SEFAZ!P96)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IF(SEFAZ!A97="","",SEFAZ!A97)</f>
        <v/>
      </c>
      <c r="C113" t="str">
        <f>IF(SEFAZ!C97="","",SEFAZ!C97)</f>
        <v/>
      </c>
      <c r="D113" t="str">
        <f>IF(SEFAZ!D97="","",SEFAZ!D97)</f>
        <v/>
      </c>
      <c r="E113" s="7" t="str">
        <f>IF(SEFAZ!E97="","",SEFAZ!E97)</f>
        <v/>
      </c>
      <c r="F113" s="6" t="str">
        <f>IF(SEFAZ!F97="","",VALUE(SUBSTITUTE(SEFAZ!F97,"'","")))</f>
        <v/>
      </c>
      <c r="G113" t="str">
        <f>IF(SEFAZ!H97="","",SEFAZ!H97)</f>
        <v/>
      </c>
      <c r="H113" t="str">
        <f>IF(SEFAZ!L97="","",SEFAZ!L97)</f>
        <v/>
      </c>
      <c r="I113" t="str">
        <f>IF(SEFAZ!N97="","",SEFAZ!N97)</f>
        <v/>
      </c>
      <c r="J113" t="str">
        <f>IF(SEFAZ!O97="","",SEFAZ!O97)</f>
        <v/>
      </c>
      <c r="K113" s="11" t="str">
        <f>IF(SEFAZ!P97="","",SEFAZ!P97)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IF(SEFAZ!A98="","",SEFAZ!A98)</f>
        <v/>
      </c>
      <c r="C114" t="str">
        <f>IF(SEFAZ!C98="","",SEFAZ!C98)</f>
        <v/>
      </c>
      <c r="D114" t="str">
        <f>IF(SEFAZ!D98="","",SEFAZ!D98)</f>
        <v/>
      </c>
      <c r="E114" s="7" t="str">
        <f>IF(SEFAZ!E98="","",SEFAZ!E98)</f>
        <v/>
      </c>
      <c r="F114" s="6" t="str">
        <f>IF(SEFAZ!F98="","",VALUE(SUBSTITUTE(SEFAZ!F98,"'","")))</f>
        <v/>
      </c>
      <c r="G114" t="str">
        <f>IF(SEFAZ!H98="","",SEFAZ!H98)</f>
        <v/>
      </c>
      <c r="H114" t="str">
        <f>IF(SEFAZ!L98="","",SEFAZ!L98)</f>
        <v/>
      </c>
      <c r="I114" t="str">
        <f>IF(SEFAZ!N98="","",SEFAZ!N98)</f>
        <v/>
      </c>
      <c r="J114" t="str">
        <f>IF(SEFAZ!O98="","",SEFAZ!O98)</f>
        <v/>
      </c>
      <c r="K114" s="11" t="str">
        <f>IF(SEFAZ!P98="","",SEFAZ!P98)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IF(SEFAZ!A99="","",SEFAZ!A99)</f>
        <v/>
      </c>
      <c r="C115" t="str">
        <f>IF(SEFAZ!C99="","",SEFAZ!C99)</f>
        <v/>
      </c>
      <c r="D115" t="str">
        <f>IF(SEFAZ!D99="","",SEFAZ!D99)</f>
        <v/>
      </c>
      <c r="E115" s="7" t="str">
        <f>IF(SEFAZ!E99="","",SEFAZ!E99)</f>
        <v/>
      </c>
      <c r="F115" s="6" t="str">
        <f>IF(SEFAZ!F99="","",VALUE(SUBSTITUTE(SEFAZ!F99,"'","")))</f>
        <v/>
      </c>
      <c r="G115" t="str">
        <f>IF(SEFAZ!H99="","",SEFAZ!H99)</f>
        <v/>
      </c>
      <c r="H115" t="str">
        <f>IF(SEFAZ!L99="","",SEFAZ!L99)</f>
        <v/>
      </c>
      <c r="I115" t="str">
        <f>IF(SEFAZ!N99="","",SEFAZ!N99)</f>
        <v/>
      </c>
      <c r="J115" t="str">
        <f>IF(SEFAZ!O99="","",SEFAZ!O99)</f>
        <v/>
      </c>
      <c r="K115" s="11" t="str">
        <f>IF(SEFAZ!P99="","",SEFAZ!P99)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IF(SEFAZ!A100="","",SEFAZ!A100)</f>
        <v/>
      </c>
      <c r="C116" t="str">
        <f>IF(SEFAZ!C100="","",SEFAZ!C100)</f>
        <v/>
      </c>
      <c r="D116" t="str">
        <f>IF(SEFAZ!D100="","",SEFAZ!D100)</f>
        <v/>
      </c>
      <c r="E116" s="7" t="str">
        <f>IF(SEFAZ!E100="","",SEFAZ!E100)</f>
        <v/>
      </c>
      <c r="F116" s="6" t="str">
        <f>IF(SEFAZ!F100="","",VALUE(SUBSTITUTE(SEFAZ!F100,"'","")))</f>
        <v/>
      </c>
      <c r="G116" t="str">
        <f>IF(SEFAZ!H100="","",SEFAZ!H100)</f>
        <v/>
      </c>
      <c r="H116" t="str">
        <f>IF(SEFAZ!L100="","",SEFAZ!L100)</f>
        <v/>
      </c>
      <c r="I116" t="str">
        <f>IF(SEFAZ!N100="","",SEFAZ!N100)</f>
        <v/>
      </c>
      <c r="J116" t="str">
        <f>IF(SEFAZ!O100="","",SEFAZ!O100)</f>
        <v/>
      </c>
      <c r="K116" s="11" t="str">
        <f>IF(SEFAZ!P100="","",SEFAZ!P100)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IF(SEFAZ!A101="","",SEFAZ!A101)</f>
        <v/>
      </c>
      <c r="C117" t="str">
        <f>IF(SEFAZ!C101="","",SEFAZ!C101)</f>
        <v/>
      </c>
      <c r="D117" t="str">
        <f>IF(SEFAZ!D101="","",SEFAZ!D101)</f>
        <v/>
      </c>
      <c r="E117" s="7" t="str">
        <f>IF(SEFAZ!E101="","",SEFAZ!E101)</f>
        <v/>
      </c>
      <c r="F117" s="6" t="str">
        <f>IF(SEFAZ!F101="","",VALUE(SUBSTITUTE(SEFAZ!F101,"'","")))</f>
        <v/>
      </c>
      <c r="G117" t="str">
        <f>IF(SEFAZ!H101="","",SEFAZ!H101)</f>
        <v/>
      </c>
      <c r="H117" t="str">
        <f>IF(SEFAZ!L101="","",SEFAZ!L101)</f>
        <v/>
      </c>
      <c r="I117" t="str">
        <f>IF(SEFAZ!N101="","",SEFAZ!N101)</f>
        <v/>
      </c>
      <c r="J117" t="str">
        <f>IF(SEFAZ!O101="","",SEFAZ!O101)</f>
        <v/>
      </c>
      <c r="K117" s="11" t="str">
        <f>IF(SEFAZ!P101="","",SEFAZ!P101)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IF(SEFAZ!A102="","",SEFAZ!A102)</f>
        <v/>
      </c>
      <c r="C118" t="str">
        <f>IF(SEFAZ!C102="","",SEFAZ!C102)</f>
        <v/>
      </c>
      <c r="D118" t="str">
        <f>IF(SEFAZ!D102="","",SEFAZ!D102)</f>
        <v/>
      </c>
      <c r="E118" s="7" t="str">
        <f>IF(SEFAZ!E102="","",SEFAZ!E102)</f>
        <v/>
      </c>
      <c r="F118" s="6" t="str">
        <f>IF(SEFAZ!F102="","",VALUE(SUBSTITUTE(SEFAZ!F102,"'","")))</f>
        <v/>
      </c>
      <c r="G118" t="str">
        <f>IF(SEFAZ!H102="","",SEFAZ!H102)</f>
        <v/>
      </c>
      <c r="H118" t="str">
        <f>IF(SEFAZ!L102="","",SEFAZ!L102)</f>
        <v/>
      </c>
      <c r="I118" t="str">
        <f>IF(SEFAZ!N102="","",SEFAZ!N102)</f>
        <v/>
      </c>
      <c r="J118" t="str">
        <f>IF(SEFAZ!O102="","",SEFAZ!O102)</f>
        <v/>
      </c>
      <c r="K118" s="11" t="str">
        <f>IF(SEFAZ!P102="","",SEFAZ!P102)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IF(SEFAZ!A103="","",SEFAZ!A103)</f>
        <v/>
      </c>
      <c r="C119" t="str">
        <f>IF(SEFAZ!C103="","",SEFAZ!C103)</f>
        <v/>
      </c>
      <c r="D119" t="str">
        <f>IF(SEFAZ!D103="","",SEFAZ!D103)</f>
        <v/>
      </c>
      <c r="E119" s="7" t="str">
        <f>IF(SEFAZ!E103="","",SEFAZ!E103)</f>
        <v/>
      </c>
      <c r="F119" s="6" t="str">
        <f>IF(SEFAZ!F103="","",VALUE(SUBSTITUTE(SEFAZ!F103,"'","")))</f>
        <v/>
      </c>
      <c r="G119" t="str">
        <f>IF(SEFAZ!H103="","",SEFAZ!H103)</f>
        <v/>
      </c>
      <c r="H119" t="str">
        <f>IF(SEFAZ!L103="","",SEFAZ!L103)</f>
        <v/>
      </c>
      <c r="I119" t="str">
        <f>IF(SEFAZ!N103="","",SEFAZ!N103)</f>
        <v/>
      </c>
      <c r="J119" t="str">
        <f>IF(SEFAZ!O103="","",SEFAZ!O103)</f>
        <v/>
      </c>
      <c r="K119" s="11" t="str">
        <f>IF(SEFAZ!P103="","",SEFAZ!P103)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IF(SEFAZ!A104="","",SEFAZ!A104)</f>
        <v/>
      </c>
      <c r="C120" t="str">
        <f>IF(SEFAZ!C104="","",SEFAZ!C104)</f>
        <v/>
      </c>
      <c r="D120" t="str">
        <f>IF(SEFAZ!D104="","",SEFAZ!D104)</f>
        <v/>
      </c>
      <c r="E120" s="7" t="str">
        <f>IF(SEFAZ!E104="","",SEFAZ!E104)</f>
        <v/>
      </c>
      <c r="F120" s="6" t="str">
        <f>IF(SEFAZ!F104="","",VALUE(SUBSTITUTE(SEFAZ!F104,"'","")))</f>
        <v/>
      </c>
      <c r="G120" t="str">
        <f>IF(SEFAZ!H104="","",SEFAZ!H104)</f>
        <v/>
      </c>
      <c r="H120" t="str">
        <f>IF(SEFAZ!L104="","",SEFAZ!L104)</f>
        <v/>
      </c>
      <c r="I120" t="str">
        <f>IF(SEFAZ!N104="","",SEFAZ!N104)</f>
        <v/>
      </c>
      <c r="J120" t="str">
        <f>IF(SEFAZ!O104="","",SEFAZ!O104)</f>
        <v/>
      </c>
      <c r="K120" s="11" t="str">
        <f>IF(SEFAZ!P104="","",SEFAZ!P104)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IF(SEFAZ!A105="","",SEFAZ!A105)</f>
        <v/>
      </c>
      <c r="C121" t="str">
        <f>IF(SEFAZ!C105="","",SEFAZ!C105)</f>
        <v/>
      </c>
      <c r="D121" t="str">
        <f>IF(SEFAZ!D105="","",SEFAZ!D105)</f>
        <v/>
      </c>
      <c r="E121" s="7" t="str">
        <f>IF(SEFAZ!E105="","",SEFAZ!E105)</f>
        <v/>
      </c>
      <c r="F121" s="6" t="str">
        <f>IF(SEFAZ!F105="","",VALUE(SUBSTITUTE(SEFAZ!F105,"'","")))</f>
        <v/>
      </c>
      <c r="G121" t="str">
        <f>IF(SEFAZ!H105="","",SEFAZ!H105)</f>
        <v/>
      </c>
      <c r="H121" t="str">
        <f>IF(SEFAZ!L105="","",SEFAZ!L105)</f>
        <v/>
      </c>
      <c r="I121" t="str">
        <f>IF(SEFAZ!N105="","",SEFAZ!N105)</f>
        <v/>
      </c>
      <c r="J121" t="str">
        <f>IF(SEFAZ!O105="","",SEFAZ!O105)</f>
        <v/>
      </c>
      <c r="K121" s="11" t="str">
        <f>IF(SEFAZ!P105="","",SEFAZ!P105)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IF(SEFAZ!A106="","",SEFAZ!A106)</f>
        <v/>
      </c>
      <c r="C122" t="str">
        <f>IF(SEFAZ!C106="","",SEFAZ!C106)</f>
        <v/>
      </c>
      <c r="D122" t="str">
        <f>IF(SEFAZ!D106="","",SEFAZ!D106)</f>
        <v/>
      </c>
      <c r="E122" s="7" t="str">
        <f>IF(SEFAZ!E106="","",SEFAZ!E106)</f>
        <v/>
      </c>
      <c r="F122" s="6" t="str">
        <f>IF(SEFAZ!F106="","",VALUE(SUBSTITUTE(SEFAZ!F106,"'","")))</f>
        <v/>
      </c>
      <c r="G122" t="str">
        <f>IF(SEFAZ!H106="","",SEFAZ!H106)</f>
        <v/>
      </c>
      <c r="H122" t="str">
        <f>IF(SEFAZ!L106="","",SEFAZ!L106)</f>
        <v/>
      </c>
      <c r="I122" t="str">
        <f>IF(SEFAZ!N106="","",SEFAZ!N106)</f>
        <v/>
      </c>
      <c r="J122" t="str">
        <f>IF(SEFAZ!O106="","",SEFAZ!O106)</f>
        <v/>
      </c>
      <c r="K122" s="11" t="str">
        <f>IF(SEFAZ!P106="","",SEFAZ!P106)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IF(SEFAZ!A107="","",SEFAZ!A107)</f>
        <v/>
      </c>
      <c r="C123" t="str">
        <f>IF(SEFAZ!C107="","",SEFAZ!C107)</f>
        <v/>
      </c>
      <c r="D123" t="str">
        <f>IF(SEFAZ!D107="","",SEFAZ!D107)</f>
        <v/>
      </c>
      <c r="E123" s="7" t="str">
        <f>IF(SEFAZ!E107="","",SEFAZ!E107)</f>
        <v/>
      </c>
      <c r="F123" s="6" t="str">
        <f>IF(SEFAZ!F107="","",VALUE(SUBSTITUTE(SEFAZ!F107,"'","")))</f>
        <v/>
      </c>
      <c r="G123" t="str">
        <f>IF(SEFAZ!H107="","",SEFAZ!H107)</f>
        <v/>
      </c>
      <c r="H123" t="str">
        <f>IF(SEFAZ!L107="","",SEFAZ!L107)</f>
        <v/>
      </c>
      <c r="I123" t="str">
        <f>IF(SEFAZ!N107="","",SEFAZ!N107)</f>
        <v/>
      </c>
      <c r="J123" t="str">
        <f>IF(SEFAZ!O107="","",SEFAZ!O107)</f>
        <v/>
      </c>
      <c r="K123" s="11" t="str">
        <f>IF(SEFAZ!P107="","",SEFAZ!P107)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IF(SEFAZ!A108="","",SEFAZ!A108)</f>
        <v/>
      </c>
      <c r="C124" t="str">
        <f>IF(SEFAZ!C108="","",SEFAZ!C108)</f>
        <v/>
      </c>
      <c r="D124" t="str">
        <f>IF(SEFAZ!D108="","",SEFAZ!D108)</f>
        <v/>
      </c>
      <c r="E124" s="7" t="str">
        <f>IF(SEFAZ!E108="","",SEFAZ!E108)</f>
        <v/>
      </c>
      <c r="F124" s="6" t="str">
        <f>IF(SEFAZ!F108="","",VALUE(SUBSTITUTE(SEFAZ!F108,"'","")))</f>
        <v/>
      </c>
      <c r="G124" t="str">
        <f>IF(SEFAZ!H108="","",SEFAZ!H108)</f>
        <v/>
      </c>
      <c r="H124" t="str">
        <f>IF(SEFAZ!L108="","",SEFAZ!L108)</f>
        <v/>
      </c>
      <c r="I124" t="str">
        <f>IF(SEFAZ!N108="","",SEFAZ!N108)</f>
        <v/>
      </c>
      <c r="J124" t="str">
        <f>IF(SEFAZ!O108="","",SEFAZ!O108)</f>
        <v/>
      </c>
      <c r="K124" s="11" t="str">
        <f>IF(SEFAZ!P108="","",SEFAZ!P108)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IF(SEFAZ!A109="","",SEFAZ!A109)</f>
        <v/>
      </c>
      <c r="C125" t="str">
        <f>IF(SEFAZ!C109="","",SEFAZ!C109)</f>
        <v/>
      </c>
      <c r="D125" t="str">
        <f>IF(SEFAZ!D109="","",SEFAZ!D109)</f>
        <v/>
      </c>
      <c r="E125" s="7" t="str">
        <f>IF(SEFAZ!E109="","",SEFAZ!E109)</f>
        <v/>
      </c>
      <c r="F125" s="6" t="str">
        <f>IF(SEFAZ!F109="","",VALUE(SUBSTITUTE(SEFAZ!F109,"'","")))</f>
        <v/>
      </c>
      <c r="G125" t="str">
        <f>IF(SEFAZ!H109="","",SEFAZ!H109)</f>
        <v/>
      </c>
      <c r="H125" t="str">
        <f>IF(SEFAZ!L109="","",SEFAZ!L109)</f>
        <v/>
      </c>
      <c r="I125" t="str">
        <f>IF(SEFAZ!N109="","",SEFAZ!N109)</f>
        <v/>
      </c>
      <c r="J125" t="str">
        <f>IF(SEFAZ!O109="","",SEFAZ!O109)</f>
        <v/>
      </c>
      <c r="K125" s="11" t="str">
        <f>IF(SEFAZ!P109="","",SEFAZ!P109)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IF(SEFAZ!A110="","",SEFAZ!A110)</f>
        <v/>
      </c>
      <c r="C126" t="str">
        <f>IF(SEFAZ!C110="","",SEFAZ!C110)</f>
        <v/>
      </c>
      <c r="D126" t="str">
        <f>IF(SEFAZ!D110="","",SEFAZ!D110)</f>
        <v/>
      </c>
      <c r="E126" s="7" t="str">
        <f>IF(SEFAZ!E110="","",SEFAZ!E110)</f>
        <v/>
      </c>
      <c r="F126" s="6" t="str">
        <f>IF(SEFAZ!F110="","",VALUE(SUBSTITUTE(SEFAZ!F110,"'","")))</f>
        <v/>
      </c>
      <c r="G126" t="str">
        <f>IF(SEFAZ!H110="","",SEFAZ!H110)</f>
        <v/>
      </c>
      <c r="H126" t="str">
        <f>IF(SEFAZ!L110="","",SEFAZ!L110)</f>
        <v/>
      </c>
      <c r="I126" t="str">
        <f>IF(SEFAZ!N110="","",SEFAZ!N110)</f>
        <v/>
      </c>
      <c r="J126" t="str">
        <f>IF(SEFAZ!O110="","",SEFAZ!O110)</f>
        <v/>
      </c>
      <c r="K126" s="11" t="str">
        <f>IF(SEFAZ!P110="","",SEFAZ!P110)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IF(SEFAZ!A111="","",SEFAZ!A111)</f>
        <v/>
      </c>
      <c r="C127" t="str">
        <f>IF(SEFAZ!C111="","",SEFAZ!C111)</f>
        <v/>
      </c>
      <c r="D127" t="str">
        <f>IF(SEFAZ!D111="","",SEFAZ!D111)</f>
        <v/>
      </c>
      <c r="E127" s="7" t="str">
        <f>IF(SEFAZ!E111="","",SEFAZ!E111)</f>
        <v/>
      </c>
      <c r="F127" s="6" t="str">
        <f>IF(SEFAZ!F111="","",VALUE(SUBSTITUTE(SEFAZ!F111,"'","")))</f>
        <v/>
      </c>
      <c r="G127" t="str">
        <f>IF(SEFAZ!H111="","",SEFAZ!H111)</f>
        <v/>
      </c>
      <c r="H127" t="str">
        <f>IF(SEFAZ!L111="","",SEFAZ!L111)</f>
        <v/>
      </c>
      <c r="I127" t="str">
        <f>IF(SEFAZ!N111="","",SEFAZ!N111)</f>
        <v/>
      </c>
      <c r="J127" t="str">
        <f>IF(SEFAZ!O111="","",SEFAZ!O111)</f>
        <v/>
      </c>
      <c r="K127" s="11" t="str">
        <f>IF(SEFAZ!P111="","",SEFAZ!P111)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IF(SEFAZ!A112="","",SEFAZ!A112)</f>
        <v/>
      </c>
      <c r="C128" t="str">
        <f>IF(SEFAZ!C112="","",SEFAZ!C112)</f>
        <v/>
      </c>
      <c r="D128" t="str">
        <f>IF(SEFAZ!D112="","",SEFAZ!D112)</f>
        <v/>
      </c>
      <c r="E128" s="7" t="str">
        <f>IF(SEFAZ!E112="","",SEFAZ!E112)</f>
        <v/>
      </c>
      <c r="F128" s="6" t="str">
        <f>IF(SEFAZ!F112="","",VALUE(SUBSTITUTE(SEFAZ!F112,"'","")))</f>
        <v/>
      </c>
      <c r="G128" t="str">
        <f>IF(SEFAZ!H112="","",SEFAZ!H112)</f>
        <v/>
      </c>
      <c r="H128" t="str">
        <f>IF(SEFAZ!L112="","",SEFAZ!L112)</f>
        <v/>
      </c>
      <c r="I128" t="str">
        <f>IF(SEFAZ!N112="","",SEFAZ!N112)</f>
        <v/>
      </c>
      <c r="J128" t="str">
        <f>IF(SEFAZ!O112="","",SEFAZ!O112)</f>
        <v/>
      </c>
      <c r="K128" s="11" t="str">
        <f>IF(SEFAZ!P112="","",SEFAZ!P112)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IF(SEFAZ!A113="","",SEFAZ!A113)</f>
        <v/>
      </c>
      <c r="C129" t="str">
        <f>IF(SEFAZ!C113="","",SEFAZ!C113)</f>
        <v/>
      </c>
      <c r="D129" t="str">
        <f>IF(SEFAZ!D113="","",SEFAZ!D113)</f>
        <v/>
      </c>
      <c r="E129" s="7" t="str">
        <f>IF(SEFAZ!E113="","",SEFAZ!E113)</f>
        <v/>
      </c>
      <c r="F129" s="6" t="str">
        <f>IF(SEFAZ!F113="","",VALUE(SUBSTITUTE(SEFAZ!F113,"'","")))</f>
        <v/>
      </c>
      <c r="G129" t="str">
        <f>IF(SEFAZ!H113="","",SEFAZ!H113)</f>
        <v/>
      </c>
      <c r="H129" t="str">
        <f>IF(SEFAZ!L113="","",SEFAZ!L113)</f>
        <v/>
      </c>
      <c r="I129" t="str">
        <f>IF(SEFAZ!N113="","",SEFAZ!N113)</f>
        <v/>
      </c>
      <c r="J129" t="str">
        <f>IF(SEFAZ!O113="","",SEFAZ!O113)</f>
        <v/>
      </c>
      <c r="K129" s="11" t="str">
        <f>IF(SEFAZ!P113="","",SEFAZ!P113)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IF(SEFAZ!A114="","",SEFAZ!A114)</f>
        <v/>
      </c>
      <c r="C130" t="str">
        <f>IF(SEFAZ!C114="","",SEFAZ!C114)</f>
        <v/>
      </c>
      <c r="D130" t="str">
        <f>IF(SEFAZ!D114="","",SEFAZ!D114)</f>
        <v/>
      </c>
      <c r="E130" s="7" t="str">
        <f>IF(SEFAZ!E114="","",SEFAZ!E114)</f>
        <v/>
      </c>
      <c r="F130" s="6" t="str">
        <f>IF(SEFAZ!F114="","",VALUE(SUBSTITUTE(SEFAZ!F114,"'","")))</f>
        <v/>
      </c>
      <c r="G130" t="str">
        <f>IF(SEFAZ!H114="","",SEFAZ!H114)</f>
        <v/>
      </c>
      <c r="H130" t="str">
        <f>IF(SEFAZ!L114="","",SEFAZ!L114)</f>
        <v/>
      </c>
      <c r="I130" t="str">
        <f>IF(SEFAZ!N114="","",SEFAZ!N114)</f>
        <v/>
      </c>
      <c r="J130" t="str">
        <f>IF(SEFAZ!O114="","",SEFAZ!O114)</f>
        <v/>
      </c>
      <c r="K130" s="11" t="str">
        <f>IF(SEFAZ!P114="","",SEFAZ!P114)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IF(SEFAZ!A115="","",SEFAZ!A115)</f>
        <v/>
      </c>
      <c r="C131" t="str">
        <f>IF(SEFAZ!C115="","",SEFAZ!C115)</f>
        <v/>
      </c>
      <c r="D131" t="str">
        <f>IF(SEFAZ!D115="","",SEFAZ!D115)</f>
        <v/>
      </c>
      <c r="E131" s="7" t="str">
        <f>IF(SEFAZ!E115="","",SEFAZ!E115)</f>
        <v/>
      </c>
      <c r="F131" s="6" t="str">
        <f>IF(SEFAZ!F115="","",VALUE(SUBSTITUTE(SEFAZ!F115,"'","")))</f>
        <v/>
      </c>
      <c r="G131" t="str">
        <f>IF(SEFAZ!H115="","",SEFAZ!H115)</f>
        <v/>
      </c>
      <c r="H131" t="str">
        <f>IF(SEFAZ!L115="","",SEFAZ!L115)</f>
        <v/>
      </c>
      <c r="I131" t="str">
        <f>IF(SEFAZ!N115="","",SEFAZ!N115)</f>
        <v/>
      </c>
      <c r="J131" t="str">
        <f>IF(SEFAZ!O115="","",SEFAZ!O115)</f>
        <v/>
      </c>
      <c r="K131" s="11" t="str">
        <f>IF(SEFAZ!P115="","",SEFAZ!P115)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IF(SEFAZ!A116="","",SEFAZ!A116)</f>
        <v/>
      </c>
      <c r="C132" t="str">
        <f>IF(SEFAZ!C116="","",SEFAZ!C116)</f>
        <v/>
      </c>
      <c r="D132" t="str">
        <f>IF(SEFAZ!D116="","",SEFAZ!D116)</f>
        <v/>
      </c>
      <c r="E132" s="7" t="str">
        <f>IF(SEFAZ!E116="","",SEFAZ!E116)</f>
        <v/>
      </c>
      <c r="F132" s="6" t="str">
        <f>IF(SEFAZ!F116="","",VALUE(SUBSTITUTE(SEFAZ!F116,"'","")))</f>
        <v/>
      </c>
      <c r="G132" t="str">
        <f>IF(SEFAZ!H116="","",SEFAZ!H116)</f>
        <v/>
      </c>
      <c r="H132" t="str">
        <f>IF(SEFAZ!L116="","",SEFAZ!L116)</f>
        <v/>
      </c>
      <c r="I132" t="str">
        <f>IF(SEFAZ!N116="","",SEFAZ!N116)</f>
        <v/>
      </c>
      <c r="J132" t="str">
        <f>IF(SEFAZ!O116="","",SEFAZ!O116)</f>
        <v/>
      </c>
      <c r="K132" s="11" t="str">
        <f>IF(SEFAZ!P116="","",SEFAZ!P116)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IF(SEFAZ!A117="","",SEFAZ!A117)</f>
        <v/>
      </c>
      <c r="C133" t="str">
        <f>IF(SEFAZ!C117="","",SEFAZ!C117)</f>
        <v/>
      </c>
      <c r="D133" t="str">
        <f>IF(SEFAZ!D117="","",SEFAZ!D117)</f>
        <v/>
      </c>
      <c r="E133" s="7" t="str">
        <f>IF(SEFAZ!E117="","",SEFAZ!E117)</f>
        <v/>
      </c>
      <c r="F133" s="6" t="str">
        <f>IF(SEFAZ!F117="","",VALUE(SUBSTITUTE(SEFAZ!F117,"'","")))</f>
        <v/>
      </c>
      <c r="G133" t="str">
        <f>IF(SEFAZ!H117="","",SEFAZ!H117)</f>
        <v/>
      </c>
      <c r="H133" t="str">
        <f>IF(SEFAZ!L117="","",SEFAZ!L117)</f>
        <v/>
      </c>
      <c r="I133" t="str">
        <f>IF(SEFAZ!N117="","",SEFAZ!N117)</f>
        <v/>
      </c>
      <c r="J133" t="str">
        <f>IF(SEFAZ!O117="","",SEFAZ!O117)</f>
        <v/>
      </c>
      <c r="K133" s="11" t="str">
        <f>IF(SEFAZ!P117="","",SEFAZ!P117)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IF(SEFAZ!A118="","",SEFAZ!A118)</f>
        <v/>
      </c>
      <c r="C134" t="str">
        <f>IF(SEFAZ!C118="","",SEFAZ!C118)</f>
        <v/>
      </c>
      <c r="D134" t="str">
        <f>IF(SEFAZ!D118="","",SEFAZ!D118)</f>
        <v/>
      </c>
      <c r="E134" s="7" t="str">
        <f>IF(SEFAZ!E118="","",SEFAZ!E118)</f>
        <v/>
      </c>
      <c r="F134" s="6" t="str">
        <f>IF(SEFAZ!F118="","",VALUE(SUBSTITUTE(SEFAZ!F118,"'","")))</f>
        <v/>
      </c>
      <c r="G134" t="str">
        <f>IF(SEFAZ!H118="","",SEFAZ!H118)</f>
        <v/>
      </c>
      <c r="H134" t="str">
        <f>IF(SEFAZ!L118="","",SEFAZ!L118)</f>
        <v/>
      </c>
      <c r="I134" t="str">
        <f>IF(SEFAZ!N118="","",SEFAZ!N118)</f>
        <v/>
      </c>
      <c r="J134" t="str">
        <f>IF(SEFAZ!O118="","",SEFAZ!O118)</f>
        <v/>
      </c>
      <c r="K134" s="11" t="str">
        <f>IF(SEFAZ!P118="","",SEFAZ!P118)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IF(SEFAZ!A119="","",SEFAZ!A119)</f>
        <v/>
      </c>
      <c r="C135" t="str">
        <f>IF(SEFAZ!C119="","",SEFAZ!C119)</f>
        <v/>
      </c>
      <c r="D135" t="str">
        <f>IF(SEFAZ!D119="","",SEFAZ!D119)</f>
        <v/>
      </c>
      <c r="E135" s="7" t="str">
        <f>IF(SEFAZ!E119="","",SEFAZ!E119)</f>
        <v/>
      </c>
      <c r="F135" s="6" t="str">
        <f>IF(SEFAZ!F119="","",VALUE(SUBSTITUTE(SEFAZ!F119,"'","")))</f>
        <v/>
      </c>
      <c r="G135" t="str">
        <f>IF(SEFAZ!H119="","",SEFAZ!H119)</f>
        <v/>
      </c>
      <c r="H135" t="str">
        <f>IF(SEFAZ!L119="","",SEFAZ!L119)</f>
        <v/>
      </c>
      <c r="I135" t="str">
        <f>IF(SEFAZ!N119="","",SEFAZ!N119)</f>
        <v/>
      </c>
      <c r="J135" t="str">
        <f>IF(SEFAZ!O119="","",SEFAZ!O119)</f>
        <v/>
      </c>
      <c r="K135" s="11" t="str">
        <f>IF(SEFAZ!P119="","",SEFAZ!P119)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IF(SEFAZ!A120="","",SEFAZ!A120)</f>
        <v/>
      </c>
      <c r="C136" t="str">
        <f>IF(SEFAZ!C120="","",SEFAZ!C120)</f>
        <v/>
      </c>
      <c r="D136" t="str">
        <f>IF(SEFAZ!D120="","",SEFAZ!D120)</f>
        <v/>
      </c>
      <c r="E136" s="7" t="str">
        <f>IF(SEFAZ!E120="","",SEFAZ!E120)</f>
        <v/>
      </c>
      <c r="F136" s="6" t="str">
        <f>IF(SEFAZ!F120="","",VALUE(SUBSTITUTE(SEFAZ!F120,"'","")))</f>
        <v/>
      </c>
      <c r="G136" t="str">
        <f>IF(SEFAZ!H120="","",SEFAZ!H120)</f>
        <v/>
      </c>
      <c r="H136" t="str">
        <f>IF(SEFAZ!L120="","",SEFAZ!L120)</f>
        <v/>
      </c>
      <c r="I136" t="str">
        <f>IF(SEFAZ!N120="","",SEFAZ!N120)</f>
        <v/>
      </c>
      <c r="J136" t="str">
        <f>IF(SEFAZ!O120="","",SEFAZ!O120)</f>
        <v/>
      </c>
      <c r="K136" s="11" t="str">
        <f>IF(SEFAZ!P120="","",SEFAZ!P120)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IF(SEFAZ!A121="","",SEFAZ!A121)</f>
        <v/>
      </c>
      <c r="C137" t="str">
        <f>IF(SEFAZ!C121="","",SEFAZ!C121)</f>
        <v/>
      </c>
      <c r="D137" t="str">
        <f>IF(SEFAZ!D121="","",SEFAZ!D121)</f>
        <v/>
      </c>
      <c r="E137" s="7" t="str">
        <f>IF(SEFAZ!E121="","",SEFAZ!E121)</f>
        <v/>
      </c>
      <c r="F137" s="6" t="str">
        <f>IF(SEFAZ!F121="","",VALUE(SUBSTITUTE(SEFAZ!F121,"'","")))</f>
        <v/>
      </c>
      <c r="G137" t="str">
        <f>IF(SEFAZ!H121="","",SEFAZ!H121)</f>
        <v/>
      </c>
      <c r="H137" t="str">
        <f>IF(SEFAZ!L121="","",SEFAZ!L121)</f>
        <v/>
      </c>
      <c r="I137" t="str">
        <f>IF(SEFAZ!N121="","",SEFAZ!N121)</f>
        <v/>
      </c>
      <c r="J137" t="str">
        <f>IF(SEFAZ!O121="","",SEFAZ!O121)</f>
        <v/>
      </c>
      <c r="K137" s="11" t="str">
        <f>IF(SEFAZ!P121="","",SEFAZ!P121)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IF(SEFAZ!A122="","",SEFAZ!A122)</f>
        <v/>
      </c>
      <c r="C138" t="str">
        <f>IF(SEFAZ!C122="","",SEFAZ!C122)</f>
        <v/>
      </c>
      <c r="D138" t="str">
        <f>IF(SEFAZ!D122="","",SEFAZ!D122)</f>
        <v/>
      </c>
      <c r="E138" s="7" t="str">
        <f>IF(SEFAZ!E122="","",SEFAZ!E122)</f>
        <v/>
      </c>
      <c r="F138" s="6" t="str">
        <f>IF(SEFAZ!F122="","",VALUE(SUBSTITUTE(SEFAZ!F122,"'","")))</f>
        <v/>
      </c>
      <c r="G138" t="str">
        <f>IF(SEFAZ!H122="","",SEFAZ!H122)</f>
        <v/>
      </c>
      <c r="H138" t="str">
        <f>IF(SEFAZ!L122="","",SEFAZ!L122)</f>
        <v/>
      </c>
      <c r="I138" t="str">
        <f>IF(SEFAZ!N122="","",SEFAZ!N122)</f>
        <v/>
      </c>
      <c r="J138" t="str">
        <f>IF(SEFAZ!O122="","",SEFAZ!O122)</f>
        <v/>
      </c>
      <c r="K138" s="11" t="str">
        <f>IF(SEFAZ!P122="","",SEFAZ!P122)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IF(SEFAZ!A123="","",SEFAZ!A123)</f>
        <v/>
      </c>
      <c r="C139" t="str">
        <f>IF(SEFAZ!C123="","",SEFAZ!C123)</f>
        <v/>
      </c>
      <c r="D139" t="str">
        <f>IF(SEFAZ!D123="","",SEFAZ!D123)</f>
        <v/>
      </c>
      <c r="E139" s="7" t="str">
        <f>IF(SEFAZ!E123="","",SEFAZ!E123)</f>
        <v/>
      </c>
      <c r="F139" s="6" t="str">
        <f>IF(SEFAZ!F123="","",VALUE(SUBSTITUTE(SEFAZ!F123,"'","")))</f>
        <v/>
      </c>
      <c r="G139" t="str">
        <f>IF(SEFAZ!H123="","",SEFAZ!H123)</f>
        <v/>
      </c>
      <c r="H139" t="str">
        <f>IF(SEFAZ!L123="","",SEFAZ!L123)</f>
        <v/>
      </c>
      <c r="I139" t="str">
        <f>IF(SEFAZ!N123="","",SEFAZ!N123)</f>
        <v/>
      </c>
      <c r="J139" t="str">
        <f>IF(SEFAZ!O123="","",SEFAZ!O123)</f>
        <v/>
      </c>
      <c r="K139" s="11" t="str">
        <f>IF(SEFAZ!P123="","",SEFAZ!P123)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IF(SEFAZ!A124="","",SEFAZ!A124)</f>
        <v/>
      </c>
      <c r="C140" t="str">
        <f>IF(SEFAZ!C124="","",SEFAZ!C124)</f>
        <v/>
      </c>
      <c r="D140" t="str">
        <f>IF(SEFAZ!D124="","",SEFAZ!D124)</f>
        <v/>
      </c>
      <c r="E140" s="7" t="str">
        <f>IF(SEFAZ!E124="","",SEFAZ!E124)</f>
        <v/>
      </c>
      <c r="F140" s="6" t="str">
        <f>IF(SEFAZ!F124="","",VALUE(SUBSTITUTE(SEFAZ!F124,"'","")))</f>
        <v/>
      </c>
      <c r="G140" t="str">
        <f>IF(SEFAZ!H124="","",SEFAZ!H124)</f>
        <v/>
      </c>
      <c r="H140" t="str">
        <f>IF(SEFAZ!L124="","",SEFAZ!L124)</f>
        <v/>
      </c>
      <c r="I140" t="str">
        <f>IF(SEFAZ!N124="","",SEFAZ!N124)</f>
        <v/>
      </c>
      <c r="J140" t="str">
        <f>IF(SEFAZ!O124="","",SEFAZ!O124)</f>
        <v/>
      </c>
      <c r="K140" s="11" t="str">
        <f>IF(SEFAZ!P124="","",SEFAZ!P124)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IF(SEFAZ!A125="","",SEFAZ!A125)</f>
        <v/>
      </c>
      <c r="C141" t="str">
        <f>IF(SEFAZ!C125="","",SEFAZ!C125)</f>
        <v/>
      </c>
      <c r="D141" t="str">
        <f>IF(SEFAZ!D125="","",SEFAZ!D125)</f>
        <v/>
      </c>
      <c r="E141" s="7" t="str">
        <f>IF(SEFAZ!E125="","",SEFAZ!E125)</f>
        <v/>
      </c>
      <c r="F141" s="6" t="str">
        <f>IF(SEFAZ!F125="","",VALUE(SUBSTITUTE(SEFAZ!F125,"'","")))</f>
        <v/>
      </c>
      <c r="G141" t="str">
        <f>IF(SEFAZ!H125="","",SEFAZ!H125)</f>
        <v/>
      </c>
      <c r="H141" t="str">
        <f>IF(SEFAZ!L125="","",SEFAZ!L125)</f>
        <v/>
      </c>
      <c r="I141" t="str">
        <f>IF(SEFAZ!N125="","",SEFAZ!N125)</f>
        <v/>
      </c>
      <c r="J141" t="str">
        <f>IF(SEFAZ!O125="","",SEFAZ!O125)</f>
        <v/>
      </c>
      <c r="K141" s="11" t="str">
        <f>IF(SEFAZ!P125="","",SEFAZ!P125)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IF(SEFAZ!A126="","",SEFAZ!A126)</f>
        <v/>
      </c>
      <c r="C142" t="str">
        <f>IF(SEFAZ!C126="","",SEFAZ!C126)</f>
        <v/>
      </c>
      <c r="D142" t="str">
        <f>IF(SEFAZ!D126="","",SEFAZ!D126)</f>
        <v/>
      </c>
      <c r="E142" s="7" t="str">
        <f>IF(SEFAZ!E126="","",SEFAZ!E126)</f>
        <v/>
      </c>
      <c r="F142" s="6" t="str">
        <f>IF(SEFAZ!F126="","",VALUE(SUBSTITUTE(SEFAZ!F126,"'","")))</f>
        <v/>
      </c>
      <c r="G142" t="str">
        <f>IF(SEFAZ!H126="","",SEFAZ!H126)</f>
        <v/>
      </c>
      <c r="H142" t="str">
        <f>IF(SEFAZ!L126="","",SEFAZ!L126)</f>
        <v/>
      </c>
      <c r="I142" t="str">
        <f>IF(SEFAZ!N126="","",SEFAZ!N126)</f>
        <v/>
      </c>
      <c r="J142" t="str">
        <f>IF(SEFAZ!O126="","",SEFAZ!O126)</f>
        <v/>
      </c>
      <c r="K142" s="11" t="str">
        <f>IF(SEFAZ!P126="","",SEFAZ!P126)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IF(SEFAZ!A127="","",SEFAZ!A127)</f>
        <v/>
      </c>
      <c r="C143" t="str">
        <f>IF(SEFAZ!C127="","",SEFAZ!C127)</f>
        <v/>
      </c>
      <c r="D143" t="str">
        <f>IF(SEFAZ!D127="","",SEFAZ!D127)</f>
        <v/>
      </c>
      <c r="E143" s="7" t="str">
        <f>IF(SEFAZ!E127="","",SEFAZ!E127)</f>
        <v/>
      </c>
      <c r="F143" s="6" t="str">
        <f>IF(SEFAZ!F127="","",VALUE(SUBSTITUTE(SEFAZ!F127,"'","")))</f>
        <v/>
      </c>
      <c r="G143" t="str">
        <f>IF(SEFAZ!H127="","",SEFAZ!H127)</f>
        <v/>
      </c>
      <c r="H143" t="str">
        <f>IF(SEFAZ!L127="","",SEFAZ!L127)</f>
        <v/>
      </c>
      <c r="I143" t="str">
        <f>IF(SEFAZ!N127="","",SEFAZ!N127)</f>
        <v/>
      </c>
      <c r="J143" t="str">
        <f>IF(SEFAZ!O127="","",SEFAZ!O127)</f>
        <v/>
      </c>
      <c r="K143" s="11" t="str">
        <f>IF(SEFAZ!P127="","",SEFAZ!P127)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IF(SEFAZ!A128="","",SEFAZ!A128)</f>
        <v/>
      </c>
      <c r="C144" t="str">
        <f>IF(SEFAZ!C128="","",SEFAZ!C128)</f>
        <v/>
      </c>
      <c r="D144" t="str">
        <f>IF(SEFAZ!D128="","",SEFAZ!D128)</f>
        <v/>
      </c>
      <c r="E144" s="7" t="str">
        <f>IF(SEFAZ!E128="","",SEFAZ!E128)</f>
        <v/>
      </c>
      <c r="F144" s="6" t="str">
        <f>IF(SEFAZ!F128="","",VALUE(SUBSTITUTE(SEFAZ!F128,"'","")))</f>
        <v/>
      </c>
      <c r="G144" t="str">
        <f>IF(SEFAZ!H128="","",SEFAZ!H128)</f>
        <v/>
      </c>
      <c r="H144" t="str">
        <f>IF(SEFAZ!L128="","",SEFAZ!L128)</f>
        <v/>
      </c>
      <c r="I144" t="str">
        <f>IF(SEFAZ!N128="","",SEFAZ!N128)</f>
        <v/>
      </c>
      <c r="J144" t="str">
        <f>IF(SEFAZ!O128="","",SEFAZ!O128)</f>
        <v/>
      </c>
      <c r="K144" s="11" t="str">
        <f>IF(SEFAZ!P128="","",SEFAZ!P128)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IF(SEFAZ!A129="","",SEFAZ!A129)</f>
        <v/>
      </c>
      <c r="C145" t="str">
        <f>IF(SEFAZ!C129="","",SEFAZ!C129)</f>
        <v/>
      </c>
      <c r="D145" t="str">
        <f>IF(SEFAZ!D129="","",SEFAZ!D129)</f>
        <v/>
      </c>
      <c r="E145" s="7" t="str">
        <f>IF(SEFAZ!E129="","",SEFAZ!E129)</f>
        <v/>
      </c>
      <c r="F145" s="6" t="str">
        <f>IF(SEFAZ!F129="","",VALUE(SUBSTITUTE(SEFAZ!F129,"'","")))</f>
        <v/>
      </c>
      <c r="G145" t="str">
        <f>IF(SEFAZ!H129="","",SEFAZ!H129)</f>
        <v/>
      </c>
      <c r="H145" t="str">
        <f>IF(SEFAZ!L129="","",SEFAZ!L129)</f>
        <v/>
      </c>
      <c r="I145" t="str">
        <f>IF(SEFAZ!N129="","",SEFAZ!N129)</f>
        <v/>
      </c>
      <c r="J145" t="str">
        <f>IF(SEFAZ!O129="","",SEFAZ!O129)</f>
        <v/>
      </c>
      <c r="K145" s="11" t="str">
        <f>IF(SEFAZ!P129="","",SEFAZ!P129)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IF(SEFAZ!A130="","",SEFAZ!A130)</f>
        <v/>
      </c>
      <c r="C146" t="str">
        <f>IF(SEFAZ!C130="","",SEFAZ!C130)</f>
        <v/>
      </c>
      <c r="D146" t="str">
        <f>IF(SEFAZ!D130="","",SEFAZ!D130)</f>
        <v/>
      </c>
      <c r="E146" s="7" t="str">
        <f>IF(SEFAZ!E130="","",SEFAZ!E130)</f>
        <v/>
      </c>
      <c r="F146" s="6" t="str">
        <f>IF(SEFAZ!F130="","",VALUE(SUBSTITUTE(SEFAZ!F130,"'","")))</f>
        <v/>
      </c>
      <c r="G146" t="str">
        <f>IF(SEFAZ!H130="","",SEFAZ!H130)</f>
        <v/>
      </c>
      <c r="H146" t="str">
        <f>IF(SEFAZ!L130="","",SEFAZ!L130)</f>
        <v/>
      </c>
      <c r="I146" t="str">
        <f>IF(SEFAZ!N130="","",SEFAZ!N130)</f>
        <v/>
      </c>
      <c r="J146" t="str">
        <f>IF(SEFAZ!O130="","",SEFAZ!O130)</f>
        <v/>
      </c>
      <c r="K146" s="11" t="str">
        <f>IF(SEFAZ!P130="","",SEFAZ!P130)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IF(SEFAZ!A131="","",SEFAZ!A131)</f>
        <v/>
      </c>
      <c r="C147" t="str">
        <f>IF(SEFAZ!C131="","",SEFAZ!C131)</f>
        <v/>
      </c>
      <c r="D147" t="str">
        <f>IF(SEFAZ!D131="","",SEFAZ!D131)</f>
        <v/>
      </c>
      <c r="E147" s="7" t="str">
        <f>IF(SEFAZ!E131="","",SEFAZ!E131)</f>
        <v/>
      </c>
      <c r="F147" s="6" t="str">
        <f>IF(SEFAZ!F131="","",VALUE(SUBSTITUTE(SEFAZ!F131,"'","")))</f>
        <v/>
      </c>
      <c r="G147" t="str">
        <f>IF(SEFAZ!H131="","",SEFAZ!H131)</f>
        <v/>
      </c>
      <c r="H147" t="str">
        <f>IF(SEFAZ!L131="","",SEFAZ!L131)</f>
        <v/>
      </c>
      <c r="I147" t="str">
        <f>IF(SEFAZ!N131="","",SEFAZ!N131)</f>
        <v/>
      </c>
      <c r="J147" t="str">
        <f>IF(SEFAZ!O131="","",SEFAZ!O131)</f>
        <v/>
      </c>
      <c r="K147" s="11" t="str">
        <f>IF(SEFAZ!P131="","",SEFAZ!P131)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IF(SEFAZ!A132="","",SEFAZ!A132)</f>
        <v/>
      </c>
      <c r="C148" t="str">
        <f>IF(SEFAZ!C132="","",SEFAZ!C132)</f>
        <v/>
      </c>
      <c r="D148" t="str">
        <f>IF(SEFAZ!D132="","",SEFAZ!D132)</f>
        <v/>
      </c>
      <c r="E148" s="7" t="str">
        <f>IF(SEFAZ!E132="","",SEFAZ!E132)</f>
        <v/>
      </c>
      <c r="F148" s="6" t="str">
        <f>IF(SEFAZ!F132="","",VALUE(SUBSTITUTE(SEFAZ!F132,"'","")))</f>
        <v/>
      </c>
      <c r="G148" t="str">
        <f>IF(SEFAZ!H132="","",SEFAZ!H132)</f>
        <v/>
      </c>
      <c r="H148" t="str">
        <f>IF(SEFAZ!L132="","",SEFAZ!L132)</f>
        <v/>
      </c>
      <c r="I148" t="str">
        <f>IF(SEFAZ!N132="","",SEFAZ!N132)</f>
        <v/>
      </c>
      <c r="J148" t="str">
        <f>IF(SEFAZ!O132="","",SEFAZ!O132)</f>
        <v/>
      </c>
      <c r="K148" s="11" t="str">
        <f>IF(SEFAZ!P132="","",SEFAZ!P132)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IF(SEFAZ!A133="","",SEFAZ!A133)</f>
        <v/>
      </c>
      <c r="C149" t="str">
        <f>IF(SEFAZ!C133="","",SEFAZ!C133)</f>
        <v/>
      </c>
      <c r="D149" t="str">
        <f>IF(SEFAZ!D133="","",SEFAZ!D133)</f>
        <v/>
      </c>
      <c r="E149" s="7" t="str">
        <f>IF(SEFAZ!E133="","",SEFAZ!E133)</f>
        <v/>
      </c>
      <c r="F149" s="6" t="str">
        <f>IF(SEFAZ!F133="","",VALUE(SUBSTITUTE(SEFAZ!F133,"'","")))</f>
        <v/>
      </c>
      <c r="G149" t="str">
        <f>IF(SEFAZ!H133="","",SEFAZ!H133)</f>
        <v/>
      </c>
      <c r="H149" t="str">
        <f>IF(SEFAZ!L133="","",SEFAZ!L133)</f>
        <v/>
      </c>
      <c r="I149" t="str">
        <f>IF(SEFAZ!N133="","",SEFAZ!N133)</f>
        <v/>
      </c>
      <c r="J149" t="str">
        <f>IF(SEFAZ!O133="","",SEFAZ!O133)</f>
        <v/>
      </c>
      <c r="K149" s="11" t="str">
        <f>IF(SEFAZ!P133="","",SEFAZ!P133)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IF(SEFAZ!A134="","",SEFAZ!A134)</f>
        <v/>
      </c>
      <c r="C150" t="str">
        <f>IF(SEFAZ!C134="","",SEFAZ!C134)</f>
        <v/>
      </c>
      <c r="D150" t="str">
        <f>IF(SEFAZ!D134="","",SEFAZ!D134)</f>
        <v/>
      </c>
      <c r="E150" s="7" t="str">
        <f>IF(SEFAZ!E134="","",SEFAZ!E134)</f>
        <v/>
      </c>
      <c r="F150" s="6" t="str">
        <f>IF(SEFAZ!F134="","",VALUE(SUBSTITUTE(SEFAZ!F134,"'","")))</f>
        <v/>
      </c>
      <c r="G150" t="str">
        <f>IF(SEFAZ!H134="","",SEFAZ!H134)</f>
        <v/>
      </c>
      <c r="H150" t="str">
        <f>IF(SEFAZ!L134="","",SEFAZ!L134)</f>
        <v/>
      </c>
      <c r="I150" t="str">
        <f>IF(SEFAZ!N134="","",SEFAZ!N134)</f>
        <v/>
      </c>
      <c r="J150" t="str">
        <f>IF(SEFAZ!O134="","",SEFAZ!O134)</f>
        <v/>
      </c>
      <c r="K150" s="11" t="str">
        <f>IF(SEFAZ!P134="","",SEFAZ!P134)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IF(SEFAZ!A135="","",SEFAZ!A135)</f>
        <v/>
      </c>
      <c r="C151" t="str">
        <f>IF(SEFAZ!C135="","",SEFAZ!C135)</f>
        <v/>
      </c>
      <c r="D151" t="str">
        <f>IF(SEFAZ!D135="","",SEFAZ!D135)</f>
        <v/>
      </c>
      <c r="E151" s="7" t="str">
        <f>IF(SEFAZ!E135="","",SEFAZ!E135)</f>
        <v/>
      </c>
      <c r="F151" s="6" t="str">
        <f>IF(SEFAZ!F135="","",VALUE(SUBSTITUTE(SEFAZ!F135,"'","")))</f>
        <v/>
      </c>
      <c r="G151" t="str">
        <f>IF(SEFAZ!H135="","",SEFAZ!H135)</f>
        <v/>
      </c>
      <c r="H151" t="str">
        <f>IF(SEFAZ!L135="","",SEFAZ!L135)</f>
        <v/>
      </c>
      <c r="I151" t="str">
        <f>IF(SEFAZ!N135="","",SEFAZ!N135)</f>
        <v/>
      </c>
      <c r="J151" t="str">
        <f>IF(SEFAZ!O135="","",SEFAZ!O135)</f>
        <v/>
      </c>
      <c r="K151" s="11" t="str">
        <f>IF(SEFAZ!P135="","",SEFAZ!P135)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IF(SEFAZ!A136="","",SEFAZ!A136)</f>
        <v/>
      </c>
      <c r="C152" t="str">
        <f>IF(SEFAZ!C136="","",SEFAZ!C136)</f>
        <v/>
      </c>
      <c r="D152" t="str">
        <f>IF(SEFAZ!D136="","",SEFAZ!D136)</f>
        <v/>
      </c>
      <c r="E152" s="7" t="str">
        <f>IF(SEFAZ!E136="","",SEFAZ!E136)</f>
        <v/>
      </c>
      <c r="F152" s="6" t="str">
        <f>IF(SEFAZ!F136="","",VALUE(SUBSTITUTE(SEFAZ!F136,"'","")))</f>
        <v/>
      </c>
      <c r="G152" t="str">
        <f>IF(SEFAZ!H136="","",SEFAZ!H136)</f>
        <v/>
      </c>
      <c r="H152" t="str">
        <f>IF(SEFAZ!L136="","",SEFAZ!L136)</f>
        <v/>
      </c>
      <c r="I152" t="str">
        <f>IF(SEFAZ!N136="","",SEFAZ!N136)</f>
        <v/>
      </c>
      <c r="J152" t="str">
        <f>IF(SEFAZ!O136="","",SEFAZ!O136)</f>
        <v/>
      </c>
      <c r="K152" s="11" t="str">
        <f>IF(SEFAZ!P136="","",SEFAZ!P136)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IF(SEFAZ!A137="","",SEFAZ!A137)</f>
        <v/>
      </c>
      <c r="C153" t="str">
        <f>IF(SEFAZ!C137="","",SEFAZ!C137)</f>
        <v/>
      </c>
      <c r="D153" t="str">
        <f>IF(SEFAZ!D137="","",SEFAZ!D137)</f>
        <v/>
      </c>
      <c r="E153" s="7" t="str">
        <f>IF(SEFAZ!E137="","",SEFAZ!E137)</f>
        <v/>
      </c>
      <c r="F153" s="6" t="str">
        <f>IF(SEFAZ!F137="","",VALUE(SUBSTITUTE(SEFAZ!F137,"'","")))</f>
        <v/>
      </c>
      <c r="G153" t="str">
        <f>IF(SEFAZ!H137="","",SEFAZ!H137)</f>
        <v/>
      </c>
      <c r="H153" t="str">
        <f>IF(SEFAZ!L137="","",SEFAZ!L137)</f>
        <v/>
      </c>
      <c r="I153" t="str">
        <f>IF(SEFAZ!N137="","",SEFAZ!N137)</f>
        <v/>
      </c>
      <c r="J153" t="str">
        <f>IF(SEFAZ!O137="","",SEFAZ!O137)</f>
        <v/>
      </c>
      <c r="K153" s="11" t="str">
        <f>IF(SEFAZ!P137="","",SEFAZ!P137)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IF(SEFAZ!A138="","",SEFAZ!A138)</f>
        <v/>
      </c>
      <c r="C154" t="str">
        <f>IF(SEFAZ!C138="","",SEFAZ!C138)</f>
        <v/>
      </c>
      <c r="D154" t="str">
        <f>IF(SEFAZ!D138="","",SEFAZ!D138)</f>
        <v/>
      </c>
      <c r="E154" s="7" t="str">
        <f>IF(SEFAZ!E138="","",SEFAZ!E138)</f>
        <v/>
      </c>
      <c r="F154" s="6" t="str">
        <f>IF(SEFAZ!F138="","",VALUE(SUBSTITUTE(SEFAZ!F138,"'","")))</f>
        <v/>
      </c>
      <c r="G154" t="str">
        <f>IF(SEFAZ!H138="","",SEFAZ!H138)</f>
        <v/>
      </c>
      <c r="H154" t="str">
        <f>IF(SEFAZ!L138="","",SEFAZ!L138)</f>
        <v/>
      </c>
      <c r="I154" t="str">
        <f>IF(SEFAZ!N138="","",SEFAZ!N138)</f>
        <v/>
      </c>
      <c r="J154" t="str">
        <f>IF(SEFAZ!O138="","",SEFAZ!O138)</f>
        <v/>
      </c>
      <c r="K154" s="11" t="str">
        <f>IF(SEFAZ!P138="","",SEFAZ!P138)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IF(SEFAZ!A139="","",SEFAZ!A139)</f>
        <v/>
      </c>
      <c r="C155" t="str">
        <f>IF(SEFAZ!C139="","",SEFAZ!C139)</f>
        <v/>
      </c>
      <c r="D155" t="str">
        <f>IF(SEFAZ!D139="","",SEFAZ!D139)</f>
        <v/>
      </c>
      <c r="E155" s="7" t="str">
        <f>IF(SEFAZ!E139="","",SEFAZ!E139)</f>
        <v/>
      </c>
      <c r="F155" s="6" t="str">
        <f>IF(SEFAZ!F139="","",VALUE(SUBSTITUTE(SEFAZ!F139,"'","")))</f>
        <v/>
      </c>
      <c r="G155" t="str">
        <f>IF(SEFAZ!H139="","",SEFAZ!H139)</f>
        <v/>
      </c>
      <c r="H155" t="str">
        <f>IF(SEFAZ!L139="","",SEFAZ!L139)</f>
        <v/>
      </c>
      <c r="I155" t="str">
        <f>IF(SEFAZ!N139="","",SEFAZ!N139)</f>
        <v/>
      </c>
      <c r="J155" t="str">
        <f>IF(SEFAZ!O139="","",SEFAZ!O139)</f>
        <v/>
      </c>
      <c r="K155" s="11" t="str">
        <f>IF(SEFAZ!P139="","",SEFAZ!P139)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IF(SEFAZ!A140="","",SEFAZ!A140)</f>
        <v/>
      </c>
      <c r="C156" t="str">
        <f>IF(SEFAZ!C140="","",SEFAZ!C140)</f>
        <v/>
      </c>
      <c r="D156" t="str">
        <f>IF(SEFAZ!D140="","",SEFAZ!D140)</f>
        <v/>
      </c>
      <c r="E156" s="7" t="str">
        <f>IF(SEFAZ!E140="","",SEFAZ!E140)</f>
        <v/>
      </c>
      <c r="F156" s="6" t="str">
        <f>IF(SEFAZ!F140="","",VALUE(SUBSTITUTE(SEFAZ!F140,"'","")))</f>
        <v/>
      </c>
      <c r="G156" t="str">
        <f>IF(SEFAZ!H140="","",SEFAZ!H140)</f>
        <v/>
      </c>
      <c r="H156" t="str">
        <f>IF(SEFAZ!L140="","",SEFAZ!L140)</f>
        <v/>
      </c>
      <c r="I156" t="str">
        <f>IF(SEFAZ!N140="","",SEFAZ!N140)</f>
        <v/>
      </c>
      <c r="J156" t="str">
        <f>IF(SEFAZ!O140="","",SEFAZ!O140)</f>
        <v/>
      </c>
      <c r="K156" s="11" t="str">
        <f>IF(SEFAZ!P140="","",SEFAZ!P140)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IF(SEFAZ!A141="","",SEFAZ!A141)</f>
        <v/>
      </c>
      <c r="C157" t="str">
        <f>IF(SEFAZ!C141="","",SEFAZ!C141)</f>
        <v/>
      </c>
      <c r="D157" t="str">
        <f>IF(SEFAZ!D141="","",SEFAZ!D141)</f>
        <v/>
      </c>
      <c r="E157" s="7" t="str">
        <f>IF(SEFAZ!E141="","",SEFAZ!E141)</f>
        <v/>
      </c>
      <c r="F157" s="6" t="str">
        <f>IF(SEFAZ!F141="","",VALUE(SUBSTITUTE(SEFAZ!F141,"'","")))</f>
        <v/>
      </c>
      <c r="G157" t="str">
        <f>IF(SEFAZ!H141="","",SEFAZ!H141)</f>
        <v/>
      </c>
      <c r="H157" t="str">
        <f>IF(SEFAZ!L141="","",SEFAZ!L141)</f>
        <v/>
      </c>
      <c r="I157" t="str">
        <f>IF(SEFAZ!N141="","",SEFAZ!N141)</f>
        <v/>
      </c>
      <c r="J157" t="str">
        <f>IF(SEFAZ!O141="","",SEFAZ!O141)</f>
        <v/>
      </c>
      <c r="K157" s="11" t="str">
        <f>IF(SEFAZ!P141="","",SEFAZ!P141)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IF(SEFAZ!A142="","",SEFAZ!A142)</f>
        <v/>
      </c>
      <c r="C158" t="str">
        <f>IF(SEFAZ!C142="","",SEFAZ!C142)</f>
        <v/>
      </c>
      <c r="D158" t="str">
        <f>IF(SEFAZ!D142="","",SEFAZ!D142)</f>
        <v/>
      </c>
      <c r="E158" s="7" t="str">
        <f>IF(SEFAZ!E142="","",SEFAZ!E142)</f>
        <v/>
      </c>
      <c r="F158" s="6" t="str">
        <f>IF(SEFAZ!F142="","",VALUE(SUBSTITUTE(SEFAZ!F142,"'","")))</f>
        <v/>
      </c>
      <c r="G158" t="str">
        <f>IF(SEFAZ!H142="","",SEFAZ!H142)</f>
        <v/>
      </c>
      <c r="H158" t="str">
        <f>IF(SEFAZ!L142="","",SEFAZ!L142)</f>
        <v/>
      </c>
      <c r="I158" t="str">
        <f>IF(SEFAZ!N142="","",SEFAZ!N142)</f>
        <v/>
      </c>
      <c r="J158" t="str">
        <f>IF(SEFAZ!O142="","",SEFAZ!O142)</f>
        <v/>
      </c>
      <c r="K158" s="11" t="str">
        <f>IF(SEFAZ!P142="","",SEFAZ!P142)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IF(SEFAZ!A143="","",SEFAZ!A143)</f>
        <v/>
      </c>
      <c r="C159" t="str">
        <f>IF(SEFAZ!C143="","",SEFAZ!C143)</f>
        <v/>
      </c>
      <c r="D159" t="str">
        <f>IF(SEFAZ!D143="","",SEFAZ!D143)</f>
        <v/>
      </c>
      <c r="E159" s="7" t="str">
        <f>IF(SEFAZ!E143="","",SEFAZ!E143)</f>
        <v/>
      </c>
      <c r="F159" s="6" t="str">
        <f>IF(SEFAZ!F143="","",VALUE(SUBSTITUTE(SEFAZ!F143,"'","")))</f>
        <v/>
      </c>
      <c r="G159" t="str">
        <f>IF(SEFAZ!H143="","",SEFAZ!H143)</f>
        <v/>
      </c>
      <c r="H159" t="str">
        <f>IF(SEFAZ!L143="","",SEFAZ!L143)</f>
        <v/>
      </c>
      <c r="I159" t="str">
        <f>IF(SEFAZ!N143="","",SEFAZ!N143)</f>
        <v/>
      </c>
      <c r="J159" t="str">
        <f>IF(SEFAZ!O143="","",SEFAZ!O143)</f>
        <v/>
      </c>
      <c r="K159" s="11" t="str">
        <f>IF(SEFAZ!P143="","",SEFAZ!P143)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IF(SEFAZ!A144="","",SEFAZ!A144)</f>
        <v/>
      </c>
      <c r="C160" t="str">
        <f>IF(SEFAZ!C144="","",SEFAZ!C144)</f>
        <v/>
      </c>
      <c r="D160" t="str">
        <f>IF(SEFAZ!D144="","",SEFAZ!D144)</f>
        <v/>
      </c>
      <c r="E160" s="7" t="str">
        <f>IF(SEFAZ!E144="","",SEFAZ!E144)</f>
        <v/>
      </c>
      <c r="F160" s="6" t="str">
        <f>IF(SEFAZ!F144="","",VALUE(SUBSTITUTE(SEFAZ!F144,"'","")))</f>
        <v/>
      </c>
      <c r="G160" t="str">
        <f>IF(SEFAZ!H144="","",SEFAZ!H144)</f>
        <v/>
      </c>
      <c r="H160" t="str">
        <f>IF(SEFAZ!L144="","",SEFAZ!L144)</f>
        <v/>
      </c>
      <c r="I160" t="str">
        <f>IF(SEFAZ!N144="","",SEFAZ!N144)</f>
        <v/>
      </c>
      <c r="J160" t="str">
        <f>IF(SEFAZ!O144="","",SEFAZ!O144)</f>
        <v/>
      </c>
      <c r="K160" s="11" t="str">
        <f>IF(SEFAZ!P144="","",SEFAZ!P144)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IF(SEFAZ!A145="","",SEFAZ!A145)</f>
        <v/>
      </c>
      <c r="C161" t="str">
        <f>IF(SEFAZ!C145="","",SEFAZ!C145)</f>
        <v/>
      </c>
      <c r="D161" t="str">
        <f>IF(SEFAZ!D145="","",SEFAZ!D145)</f>
        <v/>
      </c>
      <c r="E161" s="7" t="str">
        <f>IF(SEFAZ!E145="","",SEFAZ!E145)</f>
        <v/>
      </c>
      <c r="F161" s="6" t="str">
        <f>IF(SEFAZ!F145="","",VALUE(SUBSTITUTE(SEFAZ!F145,"'","")))</f>
        <v/>
      </c>
      <c r="G161" t="str">
        <f>IF(SEFAZ!H145="","",SEFAZ!H145)</f>
        <v/>
      </c>
      <c r="H161" t="str">
        <f>IF(SEFAZ!L145="","",SEFAZ!L145)</f>
        <v/>
      </c>
      <c r="I161" t="str">
        <f>IF(SEFAZ!N145="","",SEFAZ!N145)</f>
        <v/>
      </c>
      <c r="J161" t="str">
        <f>IF(SEFAZ!O145="","",SEFAZ!O145)</f>
        <v/>
      </c>
      <c r="K161" s="11" t="str">
        <f>IF(SEFAZ!P145="","",SEFAZ!P145)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IF(SEFAZ!A146="","",SEFAZ!A146)</f>
        <v/>
      </c>
      <c r="C162" t="str">
        <f>IF(SEFAZ!C146="","",SEFAZ!C146)</f>
        <v/>
      </c>
      <c r="D162" t="str">
        <f>IF(SEFAZ!D146="","",SEFAZ!D146)</f>
        <v/>
      </c>
      <c r="E162" s="7" t="str">
        <f>IF(SEFAZ!E146="","",SEFAZ!E146)</f>
        <v/>
      </c>
      <c r="F162" s="6" t="str">
        <f>IF(SEFAZ!F146="","",VALUE(SUBSTITUTE(SEFAZ!F146,"'","")))</f>
        <v/>
      </c>
      <c r="G162" t="str">
        <f>IF(SEFAZ!H146="","",SEFAZ!H146)</f>
        <v/>
      </c>
      <c r="H162" t="str">
        <f>IF(SEFAZ!L146="","",SEFAZ!L146)</f>
        <v/>
      </c>
      <c r="I162" t="str">
        <f>IF(SEFAZ!N146="","",SEFAZ!N146)</f>
        <v/>
      </c>
      <c r="J162" t="str">
        <f>IF(SEFAZ!O146="","",SEFAZ!O146)</f>
        <v/>
      </c>
      <c r="K162" s="11" t="str">
        <f>IF(SEFAZ!P146="","",SEFAZ!P146)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IF(SEFAZ!A147="","",SEFAZ!A147)</f>
        <v/>
      </c>
      <c r="C163" t="str">
        <f>IF(SEFAZ!C147="","",SEFAZ!C147)</f>
        <v/>
      </c>
      <c r="D163" t="str">
        <f>IF(SEFAZ!D147="","",SEFAZ!D147)</f>
        <v/>
      </c>
      <c r="E163" s="7" t="str">
        <f>IF(SEFAZ!E147="","",SEFAZ!E147)</f>
        <v/>
      </c>
      <c r="F163" s="6" t="str">
        <f>IF(SEFAZ!F147="","",VALUE(SUBSTITUTE(SEFAZ!F147,"'","")))</f>
        <v/>
      </c>
      <c r="G163" t="str">
        <f>IF(SEFAZ!H147="","",SEFAZ!H147)</f>
        <v/>
      </c>
      <c r="H163" t="str">
        <f>IF(SEFAZ!L147="","",SEFAZ!L147)</f>
        <v/>
      </c>
      <c r="I163" t="str">
        <f>IF(SEFAZ!N147="","",SEFAZ!N147)</f>
        <v/>
      </c>
      <c r="J163" t="str">
        <f>IF(SEFAZ!O147="","",SEFAZ!O147)</f>
        <v/>
      </c>
      <c r="K163" s="11" t="str">
        <f>IF(SEFAZ!P147="","",SEFAZ!P147)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IF(SEFAZ!A148="","",SEFAZ!A148)</f>
        <v/>
      </c>
      <c r="C164" t="str">
        <f>IF(SEFAZ!C148="","",SEFAZ!C148)</f>
        <v/>
      </c>
      <c r="D164" t="str">
        <f>IF(SEFAZ!D148="","",SEFAZ!D148)</f>
        <v/>
      </c>
      <c r="E164" s="7" t="str">
        <f>IF(SEFAZ!E148="","",SEFAZ!E148)</f>
        <v/>
      </c>
      <c r="F164" s="6" t="str">
        <f>IF(SEFAZ!F148="","",VALUE(SUBSTITUTE(SEFAZ!F148,"'","")))</f>
        <v/>
      </c>
      <c r="G164" t="str">
        <f>IF(SEFAZ!H148="","",SEFAZ!H148)</f>
        <v/>
      </c>
      <c r="H164" t="str">
        <f>IF(SEFAZ!L148="","",SEFAZ!L148)</f>
        <v/>
      </c>
      <c r="I164" t="str">
        <f>IF(SEFAZ!N148="","",SEFAZ!N148)</f>
        <v/>
      </c>
      <c r="J164" t="str">
        <f>IF(SEFAZ!O148="","",SEFAZ!O148)</f>
        <v/>
      </c>
      <c r="K164" s="11" t="str">
        <f>IF(SEFAZ!P148="","",SEFAZ!P148)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IF(SEFAZ!A149="","",SEFAZ!A149)</f>
        <v/>
      </c>
      <c r="C165" t="str">
        <f>IF(SEFAZ!C149="","",SEFAZ!C149)</f>
        <v/>
      </c>
      <c r="D165" t="str">
        <f>IF(SEFAZ!D149="","",SEFAZ!D149)</f>
        <v/>
      </c>
      <c r="E165" s="7" t="str">
        <f>IF(SEFAZ!E149="","",SEFAZ!E149)</f>
        <v/>
      </c>
      <c r="F165" s="6" t="str">
        <f>IF(SEFAZ!F149="","",VALUE(SUBSTITUTE(SEFAZ!F149,"'","")))</f>
        <v/>
      </c>
      <c r="G165" t="str">
        <f>IF(SEFAZ!H149="","",SEFAZ!H149)</f>
        <v/>
      </c>
      <c r="H165" t="str">
        <f>IF(SEFAZ!L149="","",SEFAZ!L149)</f>
        <v/>
      </c>
      <c r="I165" t="str">
        <f>IF(SEFAZ!N149="","",SEFAZ!N149)</f>
        <v/>
      </c>
      <c r="J165" t="str">
        <f>IF(SEFAZ!O149="","",SEFAZ!O149)</f>
        <v/>
      </c>
      <c r="K165" s="11" t="str">
        <f>IF(SEFAZ!P149="","",SEFAZ!P149)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IF(SEFAZ!A150="","",SEFAZ!A150)</f>
        <v/>
      </c>
      <c r="C166" t="str">
        <f>IF(SEFAZ!C150="","",SEFAZ!C150)</f>
        <v/>
      </c>
      <c r="D166" t="str">
        <f>IF(SEFAZ!D150="","",SEFAZ!D150)</f>
        <v/>
      </c>
      <c r="E166" s="7" t="str">
        <f>IF(SEFAZ!E150="","",SEFAZ!E150)</f>
        <v/>
      </c>
      <c r="F166" s="6" t="str">
        <f>IF(SEFAZ!F150="","",VALUE(SUBSTITUTE(SEFAZ!F150,"'","")))</f>
        <v/>
      </c>
      <c r="G166" t="str">
        <f>IF(SEFAZ!H150="","",SEFAZ!H150)</f>
        <v/>
      </c>
      <c r="H166" t="str">
        <f>IF(SEFAZ!L150="","",SEFAZ!L150)</f>
        <v/>
      </c>
      <c r="I166" t="str">
        <f>IF(SEFAZ!N150="","",SEFAZ!N150)</f>
        <v/>
      </c>
      <c r="J166" t="str">
        <f>IF(SEFAZ!O150="","",SEFAZ!O150)</f>
        <v/>
      </c>
      <c r="K166" s="11" t="str">
        <f>IF(SEFAZ!P150="","",SEFAZ!P150)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IF(SEFAZ!A151="","",SEFAZ!A151)</f>
        <v/>
      </c>
      <c r="C167" t="str">
        <f>IF(SEFAZ!C151="","",SEFAZ!C151)</f>
        <v/>
      </c>
      <c r="D167" t="str">
        <f>IF(SEFAZ!D151="","",SEFAZ!D151)</f>
        <v/>
      </c>
      <c r="E167" s="7" t="str">
        <f>IF(SEFAZ!E151="","",SEFAZ!E151)</f>
        <v/>
      </c>
      <c r="F167" s="6" t="str">
        <f>IF(SEFAZ!F151="","",VALUE(SUBSTITUTE(SEFAZ!F151,"'","")))</f>
        <v/>
      </c>
      <c r="G167" t="str">
        <f>IF(SEFAZ!H151="","",SEFAZ!H151)</f>
        <v/>
      </c>
      <c r="H167" t="str">
        <f>IF(SEFAZ!L151="","",SEFAZ!L151)</f>
        <v/>
      </c>
      <c r="I167" t="str">
        <f>IF(SEFAZ!N151="","",SEFAZ!N151)</f>
        <v/>
      </c>
      <c r="J167" t="str">
        <f>IF(SEFAZ!O151="","",SEFAZ!O151)</f>
        <v/>
      </c>
      <c r="K167" s="11" t="str">
        <f>IF(SEFAZ!P151="","",SEFAZ!P151)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IF(SEFAZ!A152="","",SEFAZ!A152)</f>
        <v/>
      </c>
      <c r="C168" t="str">
        <f>IF(SEFAZ!C152="","",SEFAZ!C152)</f>
        <v/>
      </c>
      <c r="D168" t="str">
        <f>IF(SEFAZ!D152="","",SEFAZ!D152)</f>
        <v/>
      </c>
      <c r="E168" s="7" t="str">
        <f>IF(SEFAZ!E152="","",SEFAZ!E152)</f>
        <v/>
      </c>
      <c r="F168" s="6" t="str">
        <f>IF(SEFAZ!F152="","",VALUE(SUBSTITUTE(SEFAZ!F152,"'","")))</f>
        <v/>
      </c>
      <c r="G168" t="str">
        <f>IF(SEFAZ!H152="","",SEFAZ!H152)</f>
        <v/>
      </c>
      <c r="H168" t="str">
        <f>IF(SEFAZ!L152="","",SEFAZ!L152)</f>
        <v/>
      </c>
      <c r="I168" t="str">
        <f>IF(SEFAZ!N152="","",SEFAZ!N152)</f>
        <v/>
      </c>
      <c r="J168" t="str">
        <f>IF(SEFAZ!O152="","",SEFAZ!O152)</f>
        <v/>
      </c>
      <c r="K168" s="11" t="str">
        <f>IF(SEFAZ!P152="","",SEFAZ!P152)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IF(SEFAZ!A153="","",SEFAZ!A153)</f>
        <v/>
      </c>
      <c r="C169" t="str">
        <f>IF(SEFAZ!C153="","",SEFAZ!C153)</f>
        <v/>
      </c>
      <c r="D169" t="str">
        <f>IF(SEFAZ!D153="","",SEFAZ!D153)</f>
        <v/>
      </c>
      <c r="E169" s="7" t="str">
        <f>IF(SEFAZ!E153="","",SEFAZ!E153)</f>
        <v/>
      </c>
      <c r="F169" s="6" t="str">
        <f>IF(SEFAZ!F153="","",VALUE(SUBSTITUTE(SEFAZ!F153,"'","")))</f>
        <v/>
      </c>
      <c r="G169" t="str">
        <f>IF(SEFAZ!H153="","",SEFAZ!H153)</f>
        <v/>
      </c>
      <c r="H169" t="str">
        <f>IF(SEFAZ!L153="","",SEFAZ!L153)</f>
        <v/>
      </c>
      <c r="I169" t="str">
        <f>IF(SEFAZ!N153="","",SEFAZ!N153)</f>
        <v/>
      </c>
      <c r="J169" t="str">
        <f>IF(SEFAZ!O153="","",SEFAZ!O153)</f>
        <v/>
      </c>
      <c r="K169" s="11" t="str">
        <f>IF(SEFAZ!P153="","",SEFAZ!P153)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hidden="1" x14ac:dyDescent="0.3">
      <c r="B170" t="str">
        <f>IF(SEFAZ!A154="","",SEFAZ!A154)</f>
        <v/>
      </c>
      <c r="C170" t="str">
        <f>IF(SEFAZ!C154="","",SEFAZ!C154)</f>
        <v/>
      </c>
      <c r="D170" t="str">
        <f>IF(SEFAZ!D154="","",SEFAZ!D154)</f>
        <v/>
      </c>
      <c r="E170" s="7" t="str">
        <f>IF(SEFAZ!E154="","",SEFAZ!E154)</f>
        <v/>
      </c>
      <c r="F170" s="6" t="str">
        <f>IF(SEFAZ!F154="","",VALUE(SUBSTITUTE(SEFAZ!F154,"'","")))</f>
        <v/>
      </c>
      <c r="G170" t="str">
        <f>IF(SEFAZ!H154="","",SEFAZ!H154)</f>
        <v/>
      </c>
      <c r="H170" t="str">
        <f>IF(SEFAZ!L154="","",SEFAZ!L154)</f>
        <v/>
      </c>
      <c r="I170" t="str">
        <f>IF(SEFAZ!N154="","",SEFAZ!N154)</f>
        <v/>
      </c>
      <c r="J170" t="str">
        <f>IF(SEFAZ!O154="","",SEFAZ!O154)</f>
        <v/>
      </c>
      <c r="K170" s="11" t="str">
        <f>IF(SEFAZ!P154="","",SEFAZ!P154)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hidden="1" x14ac:dyDescent="0.3">
      <c r="B171" t="str">
        <f>IF(SEFAZ!A155="","",SEFAZ!A155)</f>
        <v/>
      </c>
      <c r="C171" t="str">
        <f>IF(SEFAZ!C155="","",SEFAZ!C155)</f>
        <v/>
      </c>
      <c r="D171" t="str">
        <f>IF(SEFAZ!D155="","",SEFAZ!D155)</f>
        <v/>
      </c>
      <c r="E171" s="7" t="str">
        <f>IF(SEFAZ!E155="","",SEFAZ!E155)</f>
        <v/>
      </c>
      <c r="F171" s="6" t="str">
        <f>IF(SEFAZ!F155="","",VALUE(SUBSTITUTE(SEFAZ!F155,"'","")))</f>
        <v/>
      </c>
      <c r="G171" t="str">
        <f>IF(SEFAZ!H155="","",SEFAZ!H155)</f>
        <v/>
      </c>
      <c r="H171" t="str">
        <f>IF(SEFAZ!L155="","",SEFAZ!L155)</f>
        <v/>
      </c>
      <c r="I171" t="str">
        <f>IF(SEFAZ!N155="","",SEFAZ!N155)</f>
        <v/>
      </c>
      <c r="J171" t="str">
        <f>IF(SEFAZ!O155="","",SEFAZ!O155)</f>
        <v/>
      </c>
      <c r="K171" s="11" t="str">
        <f>IF(SEFAZ!P155="","",SEFAZ!P155)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hidden="1" x14ac:dyDescent="0.3">
      <c r="B172" t="str">
        <f>IF(SEFAZ!A156="","",SEFAZ!A156)</f>
        <v/>
      </c>
      <c r="C172" t="str">
        <f>IF(SEFAZ!C156="","",SEFAZ!C156)</f>
        <v/>
      </c>
      <c r="D172" t="str">
        <f>IF(SEFAZ!D156="","",SEFAZ!D156)</f>
        <v/>
      </c>
      <c r="E172" s="7" t="str">
        <f>IF(SEFAZ!E156="","",SEFAZ!E156)</f>
        <v/>
      </c>
      <c r="F172" s="6" t="str">
        <f>IF(SEFAZ!F156="","",VALUE(SUBSTITUTE(SEFAZ!F156,"'","")))</f>
        <v/>
      </c>
      <c r="G172" t="str">
        <f>IF(SEFAZ!H156="","",SEFAZ!H156)</f>
        <v/>
      </c>
      <c r="H172" t="str">
        <f>IF(SEFAZ!L156="","",SEFAZ!L156)</f>
        <v/>
      </c>
      <c r="I172" t="str">
        <f>IF(SEFAZ!N156="","",SEFAZ!N156)</f>
        <v/>
      </c>
      <c r="J172" t="str">
        <f>IF(SEFAZ!O156="","",SEFAZ!O156)</f>
        <v/>
      </c>
      <c r="K172" s="11" t="str">
        <f>IF(SEFAZ!P156="","",SEFAZ!P156)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hidden="1" x14ac:dyDescent="0.3">
      <c r="B173" t="str">
        <f>IF(SEFAZ!A157="","",SEFAZ!A157)</f>
        <v/>
      </c>
      <c r="C173" t="str">
        <f>IF(SEFAZ!C157="","",SEFAZ!C157)</f>
        <v/>
      </c>
      <c r="D173" t="str">
        <f>IF(SEFAZ!D157="","",SEFAZ!D157)</f>
        <v/>
      </c>
      <c r="E173" s="7" t="str">
        <f>IF(SEFAZ!E157="","",SEFAZ!E157)</f>
        <v/>
      </c>
      <c r="F173" s="6" t="str">
        <f>IF(SEFAZ!F157="","",VALUE(SUBSTITUTE(SEFAZ!F157,"'","")))</f>
        <v/>
      </c>
      <c r="G173" t="str">
        <f>IF(SEFAZ!H157="","",SEFAZ!H157)</f>
        <v/>
      </c>
      <c r="H173" t="str">
        <f>IF(SEFAZ!L157="","",SEFAZ!L157)</f>
        <v/>
      </c>
      <c r="I173" t="str">
        <f>IF(SEFAZ!N157="","",SEFAZ!N157)</f>
        <v/>
      </c>
      <c r="J173" t="str">
        <f>IF(SEFAZ!O157="","",SEFAZ!O157)</f>
        <v/>
      </c>
      <c r="K173" s="11" t="str">
        <f>IF(SEFAZ!P157="","",SEFAZ!P157)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hidden="1" x14ac:dyDescent="0.3">
      <c r="B174" t="str">
        <f>IF(SEFAZ!A158="","",SEFAZ!A158)</f>
        <v/>
      </c>
      <c r="C174" t="str">
        <f>IF(SEFAZ!C158="","",SEFAZ!C158)</f>
        <v/>
      </c>
      <c r="D174" t="str">
        <f>IF(SEFAZ!D158="","",SEFAZ!D158)</f>
        <v/>
      </c>
      <c r="E174" s="7" t="str">
        <f>IF(SEFAZ!E158="","",SEFAZ!E158)</f>
        <v/>
      </c>
      <c r="F174" s="6" t="str">
        <f>IF(SEFAZ!F158="","",VALUE(SUBSTITUTE(SEFAZ!F158,"'","")))</f>
        <v/>
      </c>
      <c r="G174" t="str">
        <f>IF(SEFAZ!H158="","",SEFAZ!H158)</f>
        <v/>
      </c>
      <c r="H174" t="str">
        <f>IF(SEFAZ!L158="","",SEFAZ!L158)</f>
        <v/>
      </c>
      <c r="I174" t="str">
        <f>IF(SEFAZ!N158="","",SEFAZ!N158)</f>
        <v/>
      </c>
      <c r="J174" t="str">
        <f>IF(SEFAZ!O158="","",SEFAZ!O158)</f>
        <v/>
      </c>
      <c r="K174" s="11" t="str">
        <f>IF(SEFAZ!P158="","",SEFAZ!P158)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hidden="1" x14ac:dyDescent="0.3">
      <c r="B175" t="str">
        <f>IF(SEFAZ!A159="","",SEFAZ!A159)</f>
        <v/>
      </c>
      <c r="C175" t="str">
        <f>IF(SEFAZ!C159="","",SEFAZ!C159)</f>
        <v/>
      </c>
      <c r="D175" t="str">
        <f>IF(SEFAZ!D159="","",SEFAZ!D159)</f>
        <v/>
      </c>
      <c r="E175" s="7" t="str">
        <f>IF(SEFAZ!E159="","",SEFAZ!E159)</f>
        <v/>
      </c>
      <c r="F175" s="6" t="str">
        <f>IF(SEFAZ!F159="","",VALUE(SUBSTITUTE(SEFAZ!F159,"'","")))</f>
        <v/>
      </c>
      <c r="G175" t="str">
        <f>IF(SEFAZ!H159="","",SEFAZ!H159)</f>
        <v/>
      </c>
      <c r="H175" t="str">
        <f>IF(SEFAZ!L159="","",SEFAZ!L159)</f>
        <v/>
      </c>
      <c r="I175" t="str">
        <f>IF(SEFAZ!N159="","",SEFAZ!N159)</f>
        <v/>
      </c>
      <c r="J175" t="str">
        <f>IF(SEFAZ!O159="","",SEFAZ!O159)</f>
        <v/>
      </c>
      <c r="K175" s="11" t="str">
        <f>IF(SEFAZ!P159="","",SEFAZ!P159)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hidden="1" x14ac:dyDescent="0.3">
      <c r="B176" t="str">
        <f>IF(SEFAZ!A160="","",SEFAZ!A160)</f>
        <v/>
      </c>
      <c r="C176" t="str">
        <f>IF(SEFAZ!C160="","",SEFAZ!C160)</f>
        <v/>
      </c>
      <c r="D176" t="str">
        <f>IF(SEFAZ!D160="","",SEFAZ!D160)</f>
        <v/>
      </c>
      <c r="E176" s="7" t="str">
        <f>IF(SEFAZ!E160="","",SEFAZ!E160)</f>
        <v/>
      </c>
      <c r="F176" s="6" t="str">
        <f>IF(SEFAZ!F160="","",VALUE(SUBSTITUTE(SEFAZ!F160,"'","")))</f>
        <v/>
      </c>
      <c r="G176" t="str">
        <f>IF(SEFAZ!H160="","",SEFAZ!H160)</f>
        <v/>
      </c>
      <c r="H176" t="str">
        <f>IF(SEFAZ!L160="","",SEFAZ!L160)</f>
        <v/>
      </c>
      <c r="I176" t="str">
        <f>IF(SEFAZ!N160="","",SEFAZ!N160)</f>
        <v/>
      </c>
      <c r="J176" t="str">
        <f>IF(SEFAZ!O160="","",SEFAZ!O160)</f>
        <v/>
      </c>
      <c r="K176" s="11" t="str">
        <f>IF(SEFAZ!P160="","",SEFAZ!P160)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hidden="1" x14ac:dyDescent="0.3">
      <c r="B177" t="str">
        <f>IF(SEFAZ!A161="","",SEFAZ!A161)</f>
        <v/>
      </c>
      <c r="C177" t="str">
        <f>IF(SEFAZ!C161="","",SEFAZ!C161)</f>
        <v/>
      </c>
      <c r="D177" t="str">
        <f>IF(SEFAZ!D161="","",SEFAZ!D161)</f>
        <v/>
      </c>
      <c r="E177" s="7" t="str">
        <f>IF(SEFAZ!E161="","",SEFAZ!E161)</f>
        <v/>
      </c>
      <c r="F177" s="6" t="str">
        <f>IF(SEFAZ!F161="","",VALUE(SUBSTITUTE(SEFAZ!F161,"'","")))</f>
        <v/>
      </c>
      <c r="G177" t="str">
        <f>IF(SEFAZ!H161="","",SEFAZ!H161)</f>
        <v/>
      </c>
      <c r="H177" t="str">
        <f>IF(SEFAZ!L161="","",SEFAZ!L161)</f>
        <v/>
      </c>
      <c r="I177" t="str">
        <f>IF(SEFAZ!N161="","",SEFAZ!N161)</f>
        <v/>
      </c>
      <c r="J177" t="str">
        <f>IF(SEFAZ!O161="","",SEFAZ!O161)</f>
        <v/>
      </c>
      <c r="K177" s="11" t="str">
        <f>IF(SEFAZ!P161="","",SEFAZ!P161)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hidden="1" x14ac:dyDescent="0.3">
      <c r="B178" t="str">
        <f>IF(SEFAZ!A162="","",SEFAZ!A162)</f>
        <v/>
      </c>
      <c r="C178" t="str">
        <f>IF(SEFAZ!C162="","",SEFAZ!C162)</f>
        <v/>
      </c>
      <c r="D178" t="str">
        <f>IF(SEFAZ!D162="","",SEFAZ!D162)</f>
        <v/>
      </c>
      <c r="E178" s="7" t="str">
        <f>IF(SEFAZ!E162="","",SEFAZ!E162)</f>
        <v/>
      </c>
      <c r="F178" s="6" t="str">
        <f>IF(SEFAZ!F162="","",VALUE(SUBSTITUTE(SEFAZ!F162,"'","")))</f>
        <v/>
      </c>
      <c r="G178" t="str">
        <f>IF(SEFAZ!H162="","",SEFAZ!H162)</f>
        <v/>
      </c>
      <c r="H178" t="str">
        <f>IF(SEFAZ!L162="","",SEFAZ!L162)</f>
        <v/>
      </c>
      <c r="I178" t="str">
        <f>IF(SEFAZ!N162="","",SEFAZ!N162)</f>
        <v/>
      </c>
      <c r="J178" t="str">
        <f>IF(SEFAZ!O162="","",SEFAZ!O162)</f>
        <v/>
      </c>
      <c r="K178" s="11" t="str">
        <f>IF(SEFAZ!P162="","",SEFAZ!P162)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hidden="1" x14ac:dyDescent="0.3">
      <c r="B179" t="str">
        <f>IF(SEFAZ!A163="","",SEFAZ!A163)</f>
        <v/>
      </c>
      <c r="C179" t="str">
        <f>IF(SEFAZ!C163="","",SEFAZ!C163)</f>
        <v/>
      </c>
      <c r="D179" t="str">
        <f>IF(SEFAZ!D163="","",SEFAZ!D163)</f>
        <v/>
      </c>
      <c r="E179" s="7" t="str">
        <f>IF(SEFAZ!E163="","",SEFAZ!E163)</f>
        <v/>
      </c>
      <c r="F179" s="6" t="str">
        <f>IF(SEFAZ!F163="","",VALUE(SUBSTITUTE(SEFAZ!F163,"'","")))</f>
        <v/>
      </c>
      <c r="G179" t="str">
        <f>IF(SEFAZ!H163="","",SEFAZ!H163)</f>
        <v/>
      </c>
      <c r="H179" t="str">
        <f>IF(SEFAZ!L163="","",SEFAZ!L163)</f>
        <v/>
      </c>
      <c r="I179" t="str">
        <f>IF(SEFAZ!N163="","",SEFAZ!N163)</f>
        <v/>
      </c>
      <c r="J179" t="str">
        <f>IF(SEFAZ!O163="","",SEFAZ!O163)</f>
        <v/>
      </c>
      <c r="K179" s="11" t="str">
        <f>IF(SEFAZ!P163="","",SEFAZ!P163)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hidden="1" x14ac:dyDescent="0.3">
      <c r="B180" t="str">
        <f>IF(SEFAZ!A164="","",SEFAZ!A164)</f>
        <v/>
      </c>
      <c r="C180" t="str">
        <f>IF(SEFAZ!C164="","",SEFAZ!C164)</f>
        <v/>
      </c>
      <c r="D180" t="str">
        <f>IF(SEFAZ!D164="","",SEFAZ!D164)</f>
        <v/>
      </c>
      <c r="E180" s="7" t="str">
        <f>IF(SEFAZ!E164="","",SEFAZ!E164)</f>
        <v/>
      </c>
      <c r="F180" s="6" t="str">
        <f>IF(SEFAZ!F164="","",VALUE(SUBSTITUTE(SEFAZ!F164,"'","")))</f>
        <v/>
      </c>
      <c r="G180" t="str">
        <f>IF(SEFAZ!H164="","",SEFAZ!H164)</f>
        <v/>
      </c>
      <c r="H180" t="str">
        <f>IF(SEFAZ!L164="","",SEFAZ!L164)</f>
        <v/>
      </c>
      <c r="I180" t="str">
        <f>IF(SEFAZ!N164="","",SEFAZ!N164)</f>
        <v/>
      </c>
      <c r="J180" t="str">
        <f>IF(SEFAZ!O164="","",SEFAZ!O164)</f>
        <v/>
      </c>
      <c r="K180" s="11" t="str">
        <f>IF(SEFAZ!P164="","",SEFAZ!P164)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hidden="1" x14ac:dyDescent="0.3">
      <c r="B181" t="str">
        <f>IF(SEFAZ!A165="","",SEFAZ!A165)</f>
        <v/>
      </c>
      <c r="C181" t="str">
        <f>IF(SEFAZ!C165="","",SEFAZ!C165)</f>
        <v/>
      </c>
      <c r="D181" t="str">
        <f>IF(SEFAZ!D165="","",SEFAZ!D165)</f>
        <v/>
      </c>
      <c r="E181" s="7" t="str">
        <f>IF(SEFAZ!E165="","",SEFAZ!E165)</f>
        <v/>
      </c>
      <c r="F181" s="6" t="str">
        <f>IF(SEFAZ!F165="","",VALUE(SUBSTITUTE(SEFAZ!F165,"'","")))</f>
        <v/>
      </c>
      <c r="G181" t="str">
        <f>IF(SEFAZ!H165="","",SEFAZ!H165)</f>
        <v/>
      </c>
      <c r="H181" t="str">
        <f>IF(SEFAZ!L165="","",SEFAZ!L165)</f>
        <v/>
      </c>
      <c r="I181" t="str">
        <f>IF(SEFAZ!N165="","",SEFAZ!N165)</f>
        <v/>
      </c>
      <c r="J181" t="str">
        <f>IF(SEFAZ!O165="","",SEFAZ!O165)</f>
        <v/>
      </c>
      <c r="K181" s="11" t="str">
        <f>IF(SEFAZ!P165="","",SEFAZ!P165)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hidden="1" x14ac:dyDescent="0.3">
      <c r="B182" t="str">
        <f>IF(SEFAZ!A166="","",SEFAZ!A166)</f>
        <v/>
      </c>
      <c r="C182" t="str">
        <f>IF(SEFAZ!C166="","",SEFAZ!C166)</f>
        <v/>
      </c>
      <c r="D182" t="str">
        <f>IF(SEFAZ!D166="","",SEFAZ!D166)</f>
        <v/>
      </c>
      <c r="E182" s="7" t="str">
        <f>IF(SEFAZ!E166="","",SEFAZ!E166)</f>
        <v/>
      </c>
      <c r="F182" s="6" t="str">
        <f>IF(SEFAZ!F166="","",VALUE(SUBSTITUTE(SEFAZ!F166,"'","")))</f>
        <v/>
      </c>
      <c r="G182" t="str">
        <f>IF(SEFAZ!H166="","",SEFAZ!H166)</f>
        <v/>
      </c>
      <c r="H182" t="str">
        <f>IF(SEFAZ!L166="","",SEFAZ!L166)</f>
        <v/>
      </c>
      <c r="I182" t="str">
        <f>IF(SEFAZ!N166="","",SEFAZ!N166)</f>
        <v/>
      </c>
      <c r="J182" t="str">
        <f>IF(SEFAZ!O166="","",SEFAZ!O166)</f>
        <v/>
      </c>
      <c r="K182" s="11" t="str">
        <f>IF(SEFAZ!P166="","",SEFAZ!P166)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hidden="1" x14ac:dyDescent="0.3">
      <c r="B183" t="str">
        <f>IF(SEFAZ!A167="","",SEFAZ!A167)</f>
        <v/>
      </c>
      <c r="C183" t="str">
        <f>IF(SEFAZ!C167="","",SEFAZ!C167)</f>
        <v/>
      </c>
      <c r="D183" t="str">
        <f>IF(SEFAZ!D167="","",SEFAZ!D167)</f>
        <v/>
      </c>
      <c r="E183" s="7" t="str">
        <f>IF(SEFAZ!E167="","",SEFAZ!E167)</f>
        <v/>
      </c>
      <c r="F183" s="6" t="str">
        <f>IF(SEFAZ!F167="","",VALUE(SUBSTITUTE(SEFAZ!F167,"'","")))</f>
        <v/>
      </c>
      <c r="G183" t="str">
        <f>IF(SEFAZ!H167="","",SEFAZ!H167)</f>
        <v/>
      </c>
      <c r="H183" t="str">
        <f>IF(SEFAZ!L167="","",SEFAZ!L167)</f>
        <v/>
      </c>
      <c r="I183" t="str">
        <f>IF(SEFAZ!N167="","",SEFAZ!N167)</f>
        <v/>
      </c>
      <c r="J183" t="str">
        <f>IF(SEFAZ!O167="","",SEFAZ!O167)</f>
        <v/>
      </c>
      <c r="K183" s="11" t="str">
        <f>IF(SEFAZ!P167="","",SEFAZ!P167)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hidden="1" x14ac:dyDescent="0.3">
      <c r="B184" t="str">
        <f>IF(SEFAZ!A168="","",SEFAZ!A168)</f>
        <v/>
      </c>
      <c r="C184" t="str">
        <f>IF(SEFAZ!C168="","",SEFAZ!C168)</f>
        <v/>
      </c>
      <c r="D184" t="str">
        <f>IF(SEFAZ!D168="","",SEFAZ!D168)</f>
        <v/>
      </c>
      <c r="E184" s="7" t="str">
        <f>IF(SEFAZ!E168="","",SEFAZ!E168)</f>
        <v/>
      </c>
      <c r="F184" s="6" t="str">
        <f>IF(SEFAZ!F168="","",VALUE(SUBSTITUTE(SEFAZ!F168,"'","")))</f>
        <v/>
      </c>
      <c r="G184" t="str">
        <f>IF(SEFAZ!H168="","",SEFAZ!H168)</f>
        <v/>
      </c>
      <c r="H184" t="str">
        <f>IF(SEFAZ!L168="","",SEFAZ!L168)</f>
        <v/>
      </c>
      <c r="I184" t="str">
        <f>IF(SEFAZ!N168="","",SEFAZ!N168)</f>
        <v/>
      </c>
      <c r="J184" t="str">
        <f>IF(SEFAZ!O168="","",SEFAZ!O168)</f>
        <v/>
      </c>
      <c r="K184" s="11" t="str">
        <f>IF(SEFAZ!P168="","",SEFAZ!P168)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hidden="1" x14ac:dyDescent="0.3">
      <c r="B185" t="str">
        <f>IF(SEFAZ!A169="","",SEFAZ!A169)</f>
        <v/>
      </c>
      <c r="C185" t="str">
        <f>IF(SEFAZ!C169="","",SEFAZ!C169)</f>
        <v/>
      </c>
      <c r="D185" t="str">
        <f>IF(SEFAZ!D169="","",SEFAZ!D169)</f>
        <v/>
      </c>
      <c r="E185" s="7" t="str">
        <f>IF(SEFAZ!E169="","",SEFAZ!E169)</f>
        <v/>
      </c>
      <c r="F185" s="6" t="str">
        <f>IF(SEFAZ!F169="","",VALUE(SUBSTITUTE(SEFAZ!F169,"'","")))</f>
        <v/>
      </c>
      <c r="G185" t="str">
        <f>IF(SEFAZ!H169="","",SEFAZ!H169)</f>
        <v/>
      </c>
      <c r="H185" t="str">
        <f>IF(SEFAZ!L169="","",SEFAZ!L169)</f>
        <v/>
      </c>
      <c r="I185" t="str">
        <f>IF(SEFAZ!N169="","",SEFAZ!N169)</f>
        <v/>
      </c>
      <c r="J185" t="str">
        <f>IF(SEFAZ!O169="","",SEFAZ!O169)</f>
        <v/>
      </c>
      <c r="K185" s="11" t="str">
        <f>IF(SEFAZ!P169="","",SEFAZ!P169)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hidden="1" x14ac:dyDescent="0.3">
      <c r="B186" t="str">
        <f>IF(SEFAZ!A170="","",SEFAZ!A170)</f>
        <v/>
      </c>
      <c r="C186" t="str">
        <f>IF(SEFAZ!C170="","",SEFAZ!C170)</f>
        <v/>
      </c>
      <c r="D186" t="str">
        <f>IF(SEFAZ!D170="","",SEFAZ!D170)</f>
        <v/>
      </c>
      <c r="E186" s="7" t="str">
        <f>IF(SEFAZ!E170="","",SEFAZ!E170)</f>
        <v/>
      </c>
      <c r="F186" s="6" t="str">
        <f>IF(SEFAZ!F170="","",VALUE(SUBSTITUTE(SEFAZ!F170,"'","")))</f>
        <v/>
      </c>
      <c r="G186" t="str">
        <f>IF(SEFAZ!H170="","",SEFAZ!H170)</f>
        <v/>
      </c>
      <c r="H186" t="str">
        <f>IF(SEFAZ!L170="","",SEFAZ!L170)</f>
        <v/>
      </c>
      <c r="I186" t="str">
        <f>IF(SEFAZ!N170="","",SEFAZ!N170)</f>
        <v/>
      </c>
      <c r="J186" t="str">
        <f>IF(SEFAZ!O170="","",SEFAZ!O170)</f>
        <v/>
      </c>
      <c r="K186" s="11" t="str">
        <f>IF(SEFAZ!P170="","",SEFAZ!P170)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hidden="1" x14ac:dyDescent="0.3">
      <c r="B187" t="str">
        <f>IF(SEFAZ!A171="","",SEFAZ!A171)</f>
        <v/>
      </c>
      <c r="C187" t="str">
        <f>IF(SEFAZ!C171="","",SEFAZ!C171)</f>
        <v/>
      </c>
      <c r="D187" t="str">
        <f>IF(SEFAZ!D171="","",SEFAZ!D171)</f>
        <v/>
      </c>
      <c r="E187" s="7" t="str">
        <f>IF(SEFAZ!E171="","",SEFAZ!E171)</f>
        <v/>
      </c>
      <c r="F187" s="6" t="str">
        <f>IF(SEFAZ!F171="","",VALUE(SUBSTITUTE(SEFAZ!F171,"'","")))</f>
        <v/>
      </c>
      <c r="G187" t="str">
        <f>IF(SEFAZ!H171="","",SEFAZ!H171)</f>
        <v/>
      </c>
      <c r="H187" t="str">
        <f>IF(SEFAZ!L171="","",SEFAZ!L171)</f>
        <v/>
      </c>
      <c r="I187" t="str">
        <f>IF(SEFAZ!N171="","",SEFAZ!N171)</f>
        <v/>
      </c>
      <c r="J187" t="str">
        <f>IF(SEFAZ!O171="","",SEFAZ!O171)</f>
        <v/>
      </c>
      <c r="K187" s="11" t="str">
        <f>IF(SEFAZ!P171="","",SEFAZ!P171)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hidden="1" x14ac:dyDescent="0.3">
      <c r="B188" t="str">
        <f>IF(SEFAZ!A172="","",SEFAZ!A172)</f>
        <v/>
      </c>
      <c r="C188" t="str">
        <f>IF(SEFAZ!C172="","",SEFAZ!C172)</f>
        <v/>
      </c>
      <c r="D188" t="str">
        <f>IF(SEFAZ!D172="","",SEFAZ!D172)</f>
        <v/>
      </c>
      <c r="E188" s="7" t="str">
        <f>IF(SEFAZ!E172="","",SEFAZ!E172)</f>
        <v/>
      </c>
      <c r="F188" s="6" t="str">
        <f>IF(SEFAZ!F172="","",VALUE(SUBSTITUTE(SEFAZ!F172,"'","")))</f>
        <v/>
      </c>
      <c r="G188" t="str">
        <f>IF(SEFAZ!H172="","",SEFAZ!H172)</f>
        <v/>
      </c>
      <c r="H188" t="str">
        <f>IF(SEFAZ!L172="","",SEFAZ!L172)</f>
        <v/>
      </c>
      <c r="I188" t="str">
        <f>IF(SEFAZ!N172="","",SEFAZ!N172)</f>
        <v/>
      </c>
      <c r="J188" t="str">
        <f>IF(SEFAZ!O172="","",SEFAZ!O172)</f>
        <v/>
      </c>
      <c r="K188" s="11" t="str">
        <f>IF(SEFAZ!P172="","",SEFAZ!P172)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hidden="1" x14ac:dyDescent="0.3">
      <c r="B189" t="str">
        <f>IF(SEFAZ!A173="","",SEFAZ!A173)</f>
        <v/>
      </c>
      <c r="C189" t="str">
        <f>IF(SEFAZ!C173="","",SEFAZ!C173)</f>
        <v/>
      </c>
      <c r="D189" t="str">
        <f>IF(SEFAZ!D173="","",SEFAZ!D173)</f>
        <v/>
      </c>
      <c r="E189" s="7" t="str">
        <f>IF(SEFAZ!E173="","",SEFAZ!E173)</f>
        <v/>
      </c>
      <c r="F189" s="6" t="str">
        <f>IF(SEFAZ!F173="","",VALUE(SUBSTITUTE(SEFAZ!F173,"'","")))</f>
        <v/>
      </c>
      <c r="G189" t="str">
        <f>IF(SEFAZ!H173="","",SEFAZ!H173)</f>
        <v/>
      </c>
      <c r="H189" t="str">
        <f>IF(SEFAZ!L173="","",SEFAZ!L173)</f>
        <v/>
      </c>
      <c r="I189" t="str">
        <f>IF(SEFAZ!N173="","",SEFAZ!N173)</f>
        <v/>
      </c>
      <c r="J189" t="str">
        <f>IF(SEFAZ!O173="","",SEFAZ!O173)</f>
        <v/>
      </c>
      <c r="K189" s="11" t="str">
        <f>IF(SEFAZ!P173="","",SEFAZ!P173)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hidden="1" x14ac:dyDescent="0.3">
      <c r="B190" t="str">
        <f>IF(SEFAZ!A174="","",SEFAZ!A174)</f>
        <v/>
      </c>
      <c r="C190" t="str">
        <f>IF(SEFAZ!C174="","",SEFAZ!C174)</f>
        <v/>
      </c>
      <c r="D190" t="str">
        <f>IF(SEFAZ!D174="","",SEFAZ!D174)</f>
        <v/>
      </c>
      <c r="E190" s="7" t="str">
        <f>IF(SEFAZ!E174="","",SEFAZ!E174)</f>
        <v/>
      </c>
      <c r="F190" s="6" t="str">
        <f>IF(SEFAZ!F174="","",VALUE(SUBSTITUTE(SEFAZ!F174,"'","")))</f>
        <v/>
      </c>
      <c r="G190" t="str">
        <f>IF(SEFAZ!H174="","",SEFAZ!H174)</f>
        <v/>
      </c>
      <c r="H190" t="str">
        <f>IF(SEFAZ!L174="","",SEFAZ!L174)</f>
        <v/>
      </c>
      <c r="I190" t="str">
        <f>IF(SEFAZ!N174="","",SEFAZ!N174)</f>
        <v/>
      </c>
      <c r="J190" t="str">
        <f>IF(SEFAZ!O174="","",SEFAZ!O174)</f>
        <v/>
      </c>
      <c r="K190" s="11" t="str">
        <f>IF(SEFAZ!P174="","",SEFAZ!P174)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hidden="1" x14ac:dyDescent="0.3">
      <c r="B191" t="str">
        <f>IF(SEFAZ!A175="","",SEFAZ!A175)</f>
        <v/>
      </c>
      <c r="C191" t="str">
        <f>IF(SEFAZ!C175="","",SEFAZ!C175)</f>
        <v/>
      </c>
      <c r="D191" t="str">
        <f>IF(SEFAZ!D175="","",SEFAZ!D175)</f>
        <v/>
      </c>
      <c r="E191" s="7" t="str">
        <f>IF(SEFAZ!E175="","",SEFAZ!E175)</f>
        <v/>
      </c>
      <c r="F191" s="6" t="str">
        <f>IF(SEFAZ!F175="","",VALUE(SUBSTITUTE(SEFAZ!F175,"'","")))</f>
        <v/>
      </c>
      <c r="G191" t="str">
        <f>IF(SEFAZ!H175="","",SEFAZ!H175)</f>
        <v/>
      </c>
      <c r="H191" t="str">
        <f>IF(SEFAZ!L175="","",SEFAZ!L175)</f>
        <v/>
      </c>
      <c r="I191" t="str">
        <f>IF(SEFAZ!N175="","",SEFAZ!N175)</f>
        <v/>
      </c>
      <c r="J191" t="str">
        <f>IF(SEFAZ!O175="","",SEFAZ!O175)</f>
        <v/>
      </c>
      <c r="K191" s="11" t="str">
        <f>IF(SEFAZ!P175="","",SEFAZ!P175)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hidden="1" x14ac:dyDescent="0.3">
      <c r="B192" t="str">
        <f>IF(SEFAZ!A176="","",SEFAZ!A176)</f>
        <v/>
      </c>
      <c r="C192" t="str">
        <f>IF(SEFAZ!C176="","",SEFAZ!C176)</f>
        <v/>
      </c>
      <c r="D192" t="str">
        <f>IF(SEFAZ!D176="","",SEFAZ!D176)</f>
        <v/>
      </c>
      <c r="E192" s="7" t="str">
        <f>IF(SEFAZ!E176="","",SEFAZ!E176)</f>
        <v/>
      </c>
      <c r="F192" s="6" t="str">
        <f>IF(SEFAZ!F176="","",VALUE(SUBSTITUTE(SEFAZ!F176,"'","")))</f>
        <v/>
      </c>
      <c r="G192" t="str">
        <f>IF(SEFAZ!H176="","",SEFAZ!H176)</f>
        <v/>
      </c>
      <c r="H192" t="str">
        <f>IF(SEFAZ!L176="","",SEFAZ!L176)</f>
        <v/>
      </c>
      <c r="I192" t="str">
        <f>IF(SEFAZ!N176="","",SEFAZ!N176)</f>
        <v/>
      </c>
      <c r="J192" t="str">
        <f>IF(SEFAZ!O176="","",SEFAZ!O176)</f>
        <v/>
      </c>
      <c r="K192" s="11" t="str">
        <f>IF(SEFAZ!P176="","",SEFAZ!P176)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hidden="1" x14ac:dyDescent="0.3">
      <c r="B193" t="str">
        <f>IF(SEFAZ!A177="","",SEFAZ!A177)</f>
        <v/>
      </c>
      <c r="C193" t="str">
        <f>IF(SEFAZ!C177="","",SEFAZ!C177)</f>
        <v/>
      </c>
      <c r="D193" t="str">
        <f>IF(SEFAZ!D177="","",SEFAZ!D177)</f>
        <v/>
      </c>
      <c r="E193" s="7" t="str">
        <f>IF(SEFAZ!E177="","",SEFAZ!E177)</f>
        <v/>
      </c>
      <c r="F193" s="6" t="str">
        <f>IF(SEFAZ!F177="","",VALUE(SUBSTITUTE(SEFAZ!F177,"'","")))</f>
        <v/>
      </c>
      <c r="G193" t="str">
        <f>IF(SEFAZ!H177="","",SEFAZ!H177)</f>
        <v/>
      </c>
      <c r="H193" t="str">
        <f>IF(SEFAZ!L177="","",SEFAZ!L177)</f>
        <v/>
      </c>
      <c r="I193" t="str">
        <f>IF(SEFAZ!N177="","",SEFAZ!N177)</f>
        <v/>
      </c>
      <c r="J193" t="str">
        <f>IF(SEFAZ!O177="","",SEFAZ!O177)</f>
        <v/>
      </c>
      <c r="K193" s="11" t="str">
        <f>IF(SEFAZ!P177="","",SEFAZ!P177)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hidden="1" x14ac:dyDescent="0.3">
      <c r="B194" t="str">
        <f>IF(SEFAZ!A178="","",SEFAZ!A178)</f>
        <v/>
      </c>
      <c r="C194" t="str">
        <f>IF(SEFAZ!C178="","",SEFAZ!C178)</f>
        <v/>
      </c>
      <c r="D194" t="str">
        <f>IF(SEFAZ!D178="","",SEFAZ!D178)</f>
        <v/>
      </c>
      <c r="E194" s="7" t="str">
        <f>IF(SEFAZ!E178="","",SEFAZ!E178)</f>
        <v/>
      </c>
      <c r="F194" s="6" t="str">
        <f>IF(SEFAZ!F178="","",VALUE(SUBSTITUTE(SEFAZ!F178,"'","")))</f>
        <v/>
      </c>
      <c r="G194" t="str">
        <f>IF(SEFAZ!H178="","",SEFAZ!H178)</f>
        <v/>
      </c>
      <c r="H194" t="str">
        <f>IF(SEFAZ!L178="","",SEFAZ!L178)</f>
        <v/>
      </c>
      <c r="I194" t="str">
        <f>IF(SEFAZ!N178="","",SEFAZ!N178)</f>
        <v/>
      </c>
      <c r="J194" t="str">
        <f>IF(SEFAZ!O178="","",SEFAZ!O178)</f>
        <v/>
      </c>
      <c r="K194" s="11" t="str">
        <f>IF(SEFAZ!P178="","",SEFAZ!P178)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hidden="1" x14ac:dyDescent="0.3">
      <c r="B195" t="str">
        <f>IF(SEFAZ!A179="","",SEFAZ!A179)</f>
        <v/>
      </c>
      <c r="C195" t="str">
        <f>IF(SEFAZ!C179="","",SEFAZ!C179)</f>
        <v/>
      </c>
      <c r="D195" t="str">
        <f>IF(SEFAZ!D179="","",SEFAZ!D179)</f>
        <v/>
      </c>
      <c r="E195" s="7" t="str">
        <f>IF(SEFAZ!E179="","",SEFAZ!E179)</f>
        <v/>
      </c>
      <c r="F195" s="6" t="str">
        <f>IF(SEFAZ!F179="","",VALUE(SUBSTITUTE(SEFAZ!F179,"'","")))</f>
        <v/>
      </c>
      <c r="G195" t="str">
        <f>IF(SEFAZ!H179="","",SEFAZ!H179)</f>
        <v/>
      </c>
      <c r="H195" t="str">
        <f>IF(SEFAZ!L179="","",SEFAZ!L179)</f>
        <v/>
      </c>
      <c r="I195" t="str">
        <f>IF(SEFAZ!N179="","",SEFAZ!N179)</f>
        <v/>
      </c>
      <c r="J195" t="str">
        <f>IF(SEFAZ!O179="","",SEFAZ!O179)</f>
        <v/>
      </c>
      <c r="K195" s="11" t="str">
        <f>IF(SEFAZ!P179="","",SEFAZ!P179)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hidden="1" x14ac:dyDescent="0.3">
      <c r="B196" t="str">
        <f>IF(SEFAZ!A180="","",SEFAZ!A180)</f>
        <v/>
      </c>
      <c r="C196" t="str">
        <f>IF(SEFAZ!C180="","",SEFAZ!C180)</f>
        <v/>
      </c>
      <c r="D196" t="str">
        <f>IF(SEFAZ!D180="","",SEFAZ!D180)</f>
        <v/>
      </c>
      <c r="E196" s="7" t="str">
        <f>IF(SEFAZ!E180="","",SEFAZ!E180)</f>
        <v/>
      </c>
      <c r="F196" s="6" t="str">
        <f>IF(SEFAZ!F180="","",VALUE(SUBSTITUTE(SEFAZ!F180,"'","")))</f>
        <v/>
      </c>
      <c r="G196" t="str">
        <f>IF(SEFAZ!H180="","",SEFAZ!H180)</f>
        <v/>
      </c>
      <c r="H196" t="str">
        <f>IF(SEFAZ!L180="","",SEFAZ!L180)</f>
        <v/>
      </c>
      <c r="I196" t="str">
        <f>IF(SEFAZ!N180="","",SEFAZ!N180)</f>
        <v/>
      </c>
      <c r="J196" t="str">
        <f>IF(SEFAZ!O180="","",SEFAZ!O180)</f>
        <v/>
      </c>
      <c r="K196" s="11" t="str">
        <f>IF(SEFAZ!P180="","",SEFAZ!P180)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hidden="1" x14ac:dyDescent="0.3">
      <c r="B197" t="str">
        <f>IF(SEFAZ!A181="","",SEFAZ!A181)</f>
        <v/>
      </c>
      <c r="C197" t="str">
        <f>IF(SEFAZ!C181="","",SEFAZ!C181)</f>
        <v/>
      </c>
      <c r="D197" t="str">
        <f>IF(SEFAZ!D181="","",SEFAZ!D181)</f>
        <v/>
      </c>
      <c r="E197" s="7" t="str">
        <f>IF(SEFAZ!E181="","",SEFAZ!E181)</f>
        <v/>
      </c>
      <c r="F197" s="6" t="str">
        <f>IF(SEFAZ!F181="","",VALUE(SUBSTITUTE(SEFAZ!F181,"'","")))</f>
        <v/>
      </c>
      <c r="G197" t="str">
        <f>IF(SEFAZ!H181="","",SEFAZ!H181)</f>
        <v/>
      </c>
      <c r="H197" t="str">
        <f>IF(SEFAZ!L181="","",SEFAZ!L181)</f>
        <v/>
      </c>
      <c r="I197" t="str">
        <f>IF(SEFAZ!N181="","",SEFAZ!N181)</f>
        <v/>
      </c>
      <c r="J197" t="str">
        <f>IF(SEFAZ!O181="","",SEFAZ!O181)</f>
        <v/>
      </c>
      <c r="K197" s="11" t="str">
        <f>IF(SEFAZ!P181="","",SEFAZ!P181)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hidden="1" x14ac:dyDescent="0.3">
      <c r="B198" t="str">
        <f>IF(SEFAZ!A182="","",SEFAZ!A182)</f>
        <v/>
      </c>
      <c r="C198" t="str">
        <f>IF(SEFAZ!C182="","",SEFAZ!C182)</f>
        <v/>
      </c>
      <c r="D198" t="str">
        <f>IF(SEFAZ!D182="","",SEFAZ!D182)</f>
        <v/>
      </c>
      <c r="E198" s="7" t="str">
        <f>IF(SEFAZ!E182="","",SEFAZ!E182)</f>
        <v/>
      </c>
      <c r="F198" s="6" t="str">
        <f>IF(SEFAZ!F182="","",VALUE(SUBSTITUTE(SEFAZ!F182,"'","")))</f>
        <v/>
      </c>
      <c r="G198" t="str">
        <f>IF(SEFAZ!H182="","",SEFAZ!H182)</f>
        <v/>
      </c>
      <c r="H198" t="str">
        <f>IF(SEFAZ!L182="","",SEFAZ!L182)</f>
        <v/>
      </c>
      <c r="I198" t="str">
        <f>IF(SEFAZ!N182="","",SEFAZ!N182)</f>
        <v/>
      </c>
      <c r="J198" t="str">
        <f>IF(SEFAZ!O182="","",SEFAZ!O182)</f>
        <v/>
      </c>
      <c r="K198" s="11" t="str">
        <f>IF(SEFAZ!P182="","",SEFAZ!P182)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hidden="1" x14ac:dyDescent="0.3">
      <c r="B199" t="str">
        <f>IF(SEFAZ!A183="","",SEFAZ!A183)</f>
        <v/>
      </c>
      <c r="C199" t="str">
        <f>IF(SEFAZ!C183="","",SEFAZ!C183)</f>
        <v/>
      </c>
      <c r="D199" t="str">
        <f>IF(SEFAZ!D183="","",SEFAZ!D183)</f>
        <v/>
      </c>
      <c r="E199" s="7" t="str">
        <f>IF(SEFAZ!E183="","",SEFAZ!E183)</f>
        <v/>
      </c>
      <c r="F199" s="6" t="str">
        <f>IF(SEFAZ!F183="","",VALUE(SUBSTITUTE(SEFAZ!F183,"'","")))</f>
        <v/>
      </c>
      <c r="G199" t="str">
        <f>IF(SEFAZ!H183="","",SEFAZ!H183)</f>
        <v/>
      </c>
      <c r="H199" t="str">
        <f>IF(SEFAZ!L183="","",SEFAZ!L183)</f>
        <v/>
      </c>
      <c r="I199" t="str">
        <f>IF(SEFAZ!N183="","",SEFAZ!N183)</f>
        <v/>
      </c>
      <c r="J199" t="str">
        <f>IF(SEFAZ!O183="","",SEFAZ!O183)</f>
        <v/>
      </c>
      <c r="K199" s="11" t="str">
        <f>IF(SEFAZ!P183="","",SEFAZ!P183)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hidden="1" x14ac:dyDescent="0.3">
      <c r="B200" t="str">
        <f>IF(SEFAZ!A184="","",SEFAZ!A184)</f>
        <v/>
      </c>
      <c r="C200" t="str">
        <f>IF(SEFAZ!C184="","",SEFAZ!C184)</f>
        <v/>
      </c>
      <c r="D200" t="str">
        <f>IF(SEFAZ!D184="","",SEFAZ!D184)</f>
        <v/>
      </c>
      <c r="E200" s="7" t="str">
        <f>IF(SEFAZ!E184="","",SEFAZ!E184)</f>
        <v/>
      </c>
      <c r="F200" s="6" t="str">
        <f>IF(SEFAZ!F184="","",VALUE(SUBSTITUTE(SEFAZ!F184,"'","")))</f>
        <v/>
      </c>
      <c r="G200" t="str">
        <f>IF(SEFAZ!H184="","",SEFAZ!H184)</f>
        <v/>
      </c>
      <c r="H200" t="str">
        <f>IF(SEFAZ!L184="","",SEFAZ!L184)</f>
        <v/>
      </c>
      <c r="I200" t="str">
        <f>IF(SEFAZ!N184="","",SEFAZ!N184)</f>
        <v/>
      </c>
      <c r="J200" t="str">
        <f>IF(SEFAZ!O184="","",SEFAZ!O184)</f>
        <v/>
      </c>
      <c r="K200" s="11" t="str">
        <f>IF(SEFAZ!P184="","",SEFAZ!P184)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hidden="1" x14ac:dyDescent="0.3">
      <c r="B201" t="str">
        <f>IF(SEFAZ!A185="","",SEFAZ!A185)</f>
        <v/>
      </c>
      <c r="C201" t="str">
        <f>IF(SEFAZ!C185="","",SEFAZ!C185)</f>
        <v/>
      </c>
      <c r="D201" t="str">
        <f>IF(SEFAZ!D185="","",SEFAZ!D185)</f>
        <v/>
      </c>
      <c r="E201" s="7" t="str">
        <f>IF(SEFAZ!E185="","",SEFAZ!E185)</f>
        <v/>
      </c>
      <c r="F201" s="6" t="str">
        <f>IF(SEFAZ!F185="","",VALUE(SUBSTITUTE(SEFAZ!F185,"'","")))</f>
        <v/>
      </c>
      <c r="G201" t="str">
        <f>IF(SEFAZ!H185="","",SEFAZ!H185)</f>
        <v/>
      </c>
      <c r="H201" t="str">
        <f>IF(SEFAZ!L185="","",SEFAZ!L185)</f>
        <v/>
      </c>
      <c r="I201" t="str">
        <f>IF(SEFAZ!N185="","",SEFAZ!N185)</f>
        <v/>
      </c>
      <c r="J201" t="str">
        <f>IF(SEFAZ!O185="","",SEFAZ!O185)</f>
        <v/>
      </c>
      <c r="K201" s="11" t="str">
        <f>IF(SEFAZ!P185="","",SEFAZ!P185)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hidden="1" x14ac:dyDescent="0.3">
      <c r="B202" t="str">
        <f>IF(SEFAZ!A186="","",SEFAZ!A186)</f>
        <v/>
      </c>
      <c r="C202" t="str">
        <f>IF(SEFAZ!C186="","",SEFAZ!C186)</f>
        <v/>
      </c>
      <c r="D202" t="str">
        <f>IF(SEFAZ!D186="","",SEFAZ!D186)</f>
        <v/>
      </c>
      <c r="E202" s="7" t="str">
        <f>IF(SEFAZ!E186="","",SEFAZ!E186)</f>
        <v/>
      </c>
      <c r="F202" s="6" t="str">
        <f>IF(SEFAZ!F186="","",VALUE(SUBSTITUTE(SEFAZ!F186,"'","")))</f>
        <v/>
      </c>
      <c r="G202" t="str">
        <f>IF(SEFAZ!H186="","",SEFAZ!H186)</f>
        <v/>
      </c>
      <c r="H202" t="str">
        <f>IF(SEFAZ!L186="","",SEFAZ!L186)</f>
        <v/>
      </c>
      <c r="I202" t="str">
        <f>IF(SEFAZ!N186="","",SEFAZ!N186)</f>
        <v/>
      </c>
      <c r="J202" t="str">
        <f>IF(SEFAZ!O186="","",SEFAZ!O186)</f>
        <v/>
      </c>
      <c r="K202" s="11" t="str">
        <f>IF(SEFAZ!P186="","",SEFAZ!P186)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hidden="1" x14ac:dyDescent="0.3">
      <c r="B203" t="str">
        <f>IF(SEFAZ!A187="","",SEFAZ!A187)</f>
        <v/>
      </c>
      <c r="C203" t="str">
        <f>IF(SEFAZ!C187="","",SEFAZ!C187)</f>
        <v/>
      </c>
      <c r="D203" t="str">
        <f>IF(SEFAZ!D187="","",SEFAZ!D187)</f>
        <v/>
      </c>
      <c r="E203" s="7" t="str">
        <f>IF(SEFAZ!E187="","",SEFAZ!E187)</f>
        <v/>
      </c>
      <c r="F203" s="6" t="str">
        <f>IF(SEFAZ!F187="","",VALUE(SUBSTITUTE(SEFAZ!F187,"'","")))</f>
        <v/>
      </c>
      <c r="G203" t="str">
        <f>IF(SEFAZ!H187="","",SEFAZ!H187)</f>
        <v/>
      </c>
      <c r="H203" t="str">
        <f>IF(SEFAZ!L187="","",SEFAZ!L187)</f>
        <v/>
      </c>
      <c r="I203" t="str">
        <f>IF(SEFAZ!N187="","",SEFAZ!N187)</f>
        <v/>
      </c>
      <c r="J203" t="str">
        <f>IF(SEFAZ!O187="","",SEFAZ!O187)</f>
        <v/>
      </c>
      <c r="K203" s="11" t="str">
        <f>IF(SEFAZ!P187="","",SEFAZ!P187)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hidden="1" x14ac:dyDescent="0.3">
      <c r="B204" t="str">
        <f>IF(SEFAZ!A188="","",SEFAZ!A188)</f>
        <v/>
      </c>
      <c r="C204" t="str">
        <f>IF(SEFAZ!C188="","",SEFAZ!C188)</f>
        <v/>
      </c>
      <c r="D204" t="str">
        <f>IF(SEFAZ!D188="","",SEFAZ!D188)</f>
        <v/>
      </c>
      <c r="E204" s="7" t="str">
        <f>IF(SEFAZ!E188="","",SEFAZ!E188)</f>
        <v/>
      </c>
      <c r="F204" s="6" t="str">
        <f>IF(SEFAZ!F188="","",VALUE(SUBSTITUTE(SEFAZ!F188,"'","")))</f>
        <v/>
      </c>
      <c r="G204" t="str">
        <f>IF(SEFAZ!H188="","",SEFAZ!H188)</f>
        <v/>
      </c>
      <c r="H204" t="str">
        <f>IF(SEFAZ!L188="","",SEFAZ!L188)</f>
        <v/>
      </c>
      <c r="I204" t="str">
        <f>IF(SEFAZ!N188="","",SEFAZ!N188)</f>
        <v/>
      </c>
      <c r="J204" t="str">
        <f>IF(SEFAZ!O188="","",SEFAZ!O188)</f>
        <v/>
      </c>
      <c r="K204" s="11" t="str">
        <f>IF(SEFAZ!P188="","",SEFAZ!P188)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hidden="1" x14ac:dyDescent="0.3">
      <c r="B205" t="str">
        <f>IF(SEFAZ!A189="","",SEFAZ!A189)</f>
        <v/>
      </c>
      <c r="C205" t="str">
        <f>IF(SEFAZ!C189="","",SEFAZ!C189)</f>
        <v/>
      </c>
      <c r="D205" t="str">
        <f>IF(SEFAZ!D189="","",SEFAZ!D189)</f>
        <v/>
      </c>
      <c r="E205" s="7" t="str">
        <f>IF(SEFAZ!E189="","",SEFAZ!E189)</f>
        <v/>
      </c>
      <c r="F205" s="6" t="str">
        <f>IF(SEFAZ!F189="","",VALUE(SUBSTITUTE(SEFAZ!F189,"'","")))</f>
        <v/>
      </c>
      <c r="G205" t="str">
        <f>IF(SEFAZ!H189="","",SEFAZ!H189)</f>
        <v/>
      </c>
      <c r="H205" t="str">
        <f>IF(SEFAZ!L189="","",SEFAZ!L189)</f>
        <v/>
      </c>
      <c r="I205" t="str">
        <f>IF(SEFAZ!N189="","",SEFAZ!N189)</f>
        <v/>
      </c>
      <c r="J205" t="str">
        <f>IF(SEFAZ!O189="","",SEFAZ!O189)</f>
        <v/>
      </c>
      <c r="K205" s="11" t="str">
        <f>IF(SEFAZ!P189="","",SEFAZ!P189)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hidden="1" x14ac:dyDescent="0.3">
      <c r="B206" t="str">
        <f>IF(SEFAZ!A190="","",SEFAZ!A190)</f>
        <v/>
      </c>
      <c r="C206" t="str">
        <f>IF(SEFAZ!C190="","",SEFAZ!C190)</f>
        <v/>
      </c>
      <c r="D206" t="str">
        <f>IF(SEFAZ!D190="","",SEFAZ!D190)</f>
        <v/>
      </c>
      <c r="E206" s="7" t="str">
        <f>IF(SEFAZ!E190="","",SEFAZ!E190)</f>
        <v/>
      </c>
      <c r="F206" s="6" t="str">
        <f>IF(SEFAZ!F190="","",VALUE(SUBSTITUTE(SEFAZ!F190,"'","")))</f>
        <v/>
      </c>
      <c r="G206" t="str">
        <f>IF(SEFAZ!H190="","",SEFAZ!H190)</f>
        <v/>
      </c>
      <c r="H206" t="str">
        <f>IF(SEFAZ!L190="","",SEFAZ!L190)</f>
        <v/>
      </c>
      <c r="I206" t="str">
        <f>IF(SEFAZ!N190="","",SEFAZ!N190)</f>
        <v/>
      </c>
      <c r="J206" t="str">
        <f>IF(SEFAZ!O190="","",SEFAZ!O190)</f>
        <v/>
      </c>
      <c r="K206" s="11" t="str">
        <f>IF(SEFAZ!P190="","",SEFAZ!P190)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hidden="1" x14ac:dyDescent="0.3">
      <c r="B207" t="str">
        <f>IF(SEFAZ!A191="","",SEFAZ!A191)</f>
        <v/>
      </c>
      <c r="C207" t="str">
        <f>IF(SEFAZ!C191="","",SEFAZ!C191)</f>
        <v/>
      </c>
      <c r="D207" t="str">
        <f>IF(SEFAZ!D191="","",SEFAZ!D191)</f>
        <v/>
      </c>
      <c r="E207" s="7" t="str">
        <f>IF(SEFAZ!E191="","",SEFAZ!E191)</f>
        <v/>
      </c>
      <c r="F207" s="6" t="str">
        <f>IF(SEFAZ!F191="","",VALUE(SUBSTITUTE(SEFAZ!F191,"'","")))</f>
        <v/>
      </c>
      <c r="G207" t="str">
        <f>IF(SEFAZ!H191="","",SEFAZ!H191)</f>
        <v/>
      </c>
      <c r="H207" t="str">
        <f>IF(SEFAZ!L191="","",SEFAZ!L191)</f>
        <v/>
      </c>
      <c r="I207" t="str">
        <f>IF(SEFAZ!N191="","",SEFAZ!N191)</f>
        <v/>
      </c>
      <c r="J207" t="str">
        <f>IF(SEFAZ!O191="","",SEFAZ!O191)</f>
        <v/>
      </c>
      <c r="K207" s="11" t="str">
        <f>IF(SEFAZ!P191="","",SEFAZ!P191)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hidden="1" x14ac:dyDescent="0.3">
      <c r="B208" t="str">
        <f>IF(SEFAZ!A192="","",SEFAZ!A192)</f>
        <v/>
      </c>
      <c r="C208" t="str">
        <f>IF(SEFAZ!C192="","",SEFAZ!C192)</f>
        <v/>
      </c>
      <c r="D208" t="str">
        <f>IF(SEFAZ!D192="","",SEFAZ!D192)</f>
        <v/>
      </c>
      <c r="E208" s="7" t="str">
        <f>IF(SEFAZ!E192="","",SEFAZ!E192)</f>
        <v/>
      </c>
      <c r="F208" s="6" t="str">
        <f>IF(SEFAZ!F192="","",VALUE(SUBSTITUTE(SEFAZ!F192,"'","")))</f>
        <v/>
      </c>
      <c r="G208" t="str">
        <f>IF(SEFAZ!H192="","",SEFAZ!H192)</f>
        <v/>
      </c>
      <c r="H208" t="str">
        <f>IF(SEFAZ!L192="","",SEFAZ!L192)</f>
        <v/>
      </c>
      <c r="I208" t="str">
        <f>IF(SEFAZ!N192="","",SEFAZ!N192)</f>
        <v/>
      </c>
      <c r="J208" t="str">
        <f>IF(SEFAZ!O192="","",SEFAZ!O192)</f>
        <v/>
      </c>
      <c r="K208" s="11" t="str">
        <f>IF(SEFAZ!P192="","",SEFAZ!P192)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hidden="1" x14ac:dyDescent="0.3">
      <c r="B209" t="str">
        <f>IF(SEFAZ!A193="","",SEFAZ!A193)</f>
        <v/>
      </c>
      <c r="C209" t="str">
        <f>IF(SEFAZ!C193="","",SEFAZ!C193)</f>
        <v/>
      </c>
      <c r="D209" t="str">
        <f>IF(SEFAZ!D193="","",SEFAZ!D193)</f>
        <v/>
      </c>
      <c r="E209" s="7" t="str">
        <f>IF(SEFAZ!E193="","",SEFAZ!E193)</f>
        <v/>
      </c>
      <c r="F209" s="6" t="str">
        <f>IF(SEFAZ!F193="","",VALUE(SUBSTITUTE(SEFAZ!F193,"'","")))</f>
        <v/>
      </c>
      <c r="G209" t="str">
        <f>IF(SEFAZ!H193="","",SEFAZ!H193)</f>
        <v/>
      </c>
      <c r="H209" t="str">
        <f>IF(SEFAZ!L193="","",SEFAZ!L193)</f>
        <v/>
      </c>
      <c r="I209" t="str">
        <f>IF(SEFAZ!N193="","",SEFAZ!N193)</f>
        <v/>
      </c>
      <c r="J209" t="str">
        <f>IF(SEFAZ!O193="","",SEFAZ!O193)</f>
        <v/>
      </c>
      <c r="K209" s="11" t="str">
        <f>IF(SEFAZ!P193="","",SEFAZ!P193)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hidden="1" x14ac:dyDescent="0.3">
      <c r="B210" t="str">
        <f>IF(SEFAZ!A194="","",SEFAZ!A194)</f>
        <v/>
      </c>
      <c r="C210" t="str">
        <f>IF(SEFAZ!C194="","",SEFAZ!C194)</f>
        <v/>
      </c>
      <c r="D210" t="str">
        <f>IF(SEFAZ!D194="","",SEFAZ!D194)</f>
        <v/>
      </c>
      <c r="E210" s="7" t="str">
        <f>IF(SEFAZ!E194="","",SEFAZ!E194)</f>
        <v/>
      </c>
      <c r="F210" s="6" t="str">
        <f>IF(SEFAZ!F194="","",VALUE(SUBSTITUTE(SEFAZ!F194,"'","")))</f>
        <v/>
      </c>
      <c r="G210" t="str">
        <f>IF(SEFAZ!H194="","",SEFAZ!H194)</f>
        <v/>
      </c>
      <c r="H210" t="str">
        <f>IF(SEFAZ!L194="","",SEFAZ!L194)</f>
        <v/>
      </c>
      <c r="I210" t="str">
        <f>IF(SEFAZ!N194="","",SEFAZ!N194)</f>
        <v/>
      </c>
      <c r="J210" t="str">
        <f>IF(SEFAZ!O194="","",SEFAZ!O194)</f>
        <v/>
      </c>
      <c r="K210" s="11" t="str">
        <f>IF(SEFAZ!P194="","",SEFAZ!P194)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hidden="1" x14ac:dyDescent="0.3">
      <c r="B211" t="str">
        <f>IF(SEFAZ!A195="","",SEFAZ!A195)</f>
        <v/>
      </c>
      <c r="C211" t="str">
        <f>IF(SEFAZ!C195="","",SEFAZ!C195)</f>
        <v/>
      </c>
      <c r="D211" t="str">
        <f>IF(SEFAZ!D195="","",SEFAZ!D195)</f>
        <v/>
      </c>
      <c r="E211" s="7" t="str">
        <f>IF(SEFAZ!E195="","",SEFAZ!E195)</f>
        <v/>
      </c>
      <c r="F211" s="6" t="str">
        <f>IF(SEFAZ!F195="","",VALUE(SUBSTITUTE(SEFAZ!F195,"'","")))</f>
        <v/>
      </c>
      <c r="G211" t="str">
        <f>IF(SEFAZ!H195="","",SEFAZ!H195)</f>
        <v/>
      </c>
      <c r="H211" t="str">
        <f>IF(SEFAZ!L195="","",SEFAZ!L195)</f>
        <v/>
      </c>
      <c r="I211" t="str">
        <f>IF(SEFAZ!N195="","",SEFAZ!N195)</f>
        <v/>
      </c>
      <c r="J211" t="str">
        <f>IF(SEFAZ!O195="","",SEFAZ!O195)</f>
        <v/>
      </c>
      <c r="K211" s="11" t="str">
        <f>IF(SEFAZ!P195="","",SEFAZ!P195)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hidden="1" x14ac:dyDescent="0.3">
      <c r="B212" t="str">
        <f>IF(SEFAZ!A196="","",SEFAZ!A196)</f>
        <v/>
      </c>
      <c r="C212" t="str">
        <f>IF(SEFAZ!C196="","",SEFAZ!C196)</f>
        <v/>
      </c>
      <c r="D212" t="str">
        <f>IF(SEFAZ!D196="","",SEFAZ!D196)</f>
        <v/>
      </c>
      <c r="E212" s="7" t="str">
        <f>IF(SEFAZ!E196="","",SEFAZ!E196)</f>
        <v/>
      </c>
      <c r="F212" s="6" t="str">
        <f>IF(SEFAZ!F196="","",VALUE(SUBSTITUTE(SEFAZ!F196,"'","")))</f>
        <v/>
      </c>
      <c r="G212" t="str">
        <f>IF(SEFAZ!H196="","",SEFAZ!H196)</f>
        <v/>
      </c>
      <c r="H212" t="str">
        <f>IF(SEFAZ!L196="","",SEFAZ!L196)</f>
        <v/>
      </c>
      <c r="I212" t="str">
        <f>IF(SEFAZ!N196="","",SEFAZ!N196)</f>
        <v/>
      </c>
      <c r="J212" t="str">
        <f>IF(SEFAZ!O196="","",SEFAZ!O196)</f>
        <v/>
      </c>
      <c r="K212" s="11" t="str">
        <f>IF(SEFAZ!P196="","",SEFAZ!P196)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hidden="1" x14ac:dyDescent="0.3">
      <c r="B213" t="str">
        <f>IF(SEFAZ!A197="","",SEFAZ!A197)</f>
        <v/>
      </c>
      <c r="C213" t="str">
        <f>IF(SEFAZ!C197="","",SEFAZ!C197)</f>
        <v/>
      </c>
      <c r="D213" t="str">
        <f>IF(SEFAZ!D197="","",SEFAZ!D197)</f>
        <v/>
      </c>
      <c r="E213" s="7" t="str">
        <f>IF(SEFAZ!E197="","",SEFAZ!E197)</f>
        <v/>
      </c>
      <c r="F213" s="6" t="str">
        <f>IF(SEFAZ!F197="","",VALUE(SUBSTITUTE(SEFAZ!F197,"'","")))</f>
        <v/>
      </c>
      <c r="G213" t="str">
        <f>IF(SEFAZ!H197="","",SEFAZ!H197)</f>
        <v/>
      </c>
      <c r="H213" t="str">
        <f>IF(SEFAZ!L197="","",SEFAZ!L197)</f>
        <v/>
      </c>
      <c r="I213" t="str">
        <f>IF(SEFAZ!N197="","",SEFAZ!N197)</f>
        <v/>
      </c>
      <c r="J213" t="str">
        <f>IF(SEFAZ!O197="","",SEFAZ!O197)</f>
        <v/>
      </c>
      <c r="K213" s="11" t="str">
        <f>IF(SEFAZ!P197="","",SEFAZ!P197)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hidden="1" x14ac:dyDescent="0.3">
      <c r="B214" t="str">
        <f>IF(SEFAZ!A198="","",SEFAZ!A198)</f>
        <v/>
      </c>
      <c r="C214" t="str">
        <f>IF(SEFAZ!C198="","",SEFAZ!C198)</f>
        <v/>
      </c>
      <c r="D214" t="str">
        <f>IF(SEFAZ!D198="","",SEFAZ!D198)</f>
        <v/>
      </c>
      <c r="E214" s="7" t="str">
        <f>IF(SEFAZ!E198="","",SEFAZ!E198)</f>
        <v/>
      </c>
      <c r="F214" s="6" t="str">
        <f>IF(SEFAZ!F198="","",VALUE(SUBSTITUTE(SEFAZ!F198,"'","")))</f>
        <v/>
      </c>
      <c r="G214" t="str">
        <f>IF(SEFAZ!H198="","",SEFAZ!H198)</f>
        <v/>
      </c>
      <c r="H214" t="str">
        <f>IF(SEFAZ!L198="","",SEFAZ!L198)</f>
        <v/>
      </c>
      <c r="I214" t="str">
        <f>IF(SEFAZ!N198="","",SEFAZ!N198)</f>
        <v/>
      </c>
      <c r="J214" t="str">
        <f>IF(SEFAZ!O198="","",SEFAZ!O198)</f>
        <v/>
      </c>
      <c r="K214" s="11" t="str">
        <f>IF(SEFAZ!P198="","",SEFAZ!P198)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hidden="1" x14ac:dyDescent="0.3">
      <c r="B215" t="str">
        <f>IF(SEFAZ!A199="","",SEFAZ!A199)</f>
        <v/>
      </c>
      <c r="C215" t="str">
        <f>IF(SEFAZ!C199="","",SEFAZ!C199)</f>
        <v/>
      </c>
      <c r="D215" t="str">
        <f>IF(SEFAZ!D199="","",SEFAZ!D199)</f>
        <v/>
      </c>
      <c r="E215" s="7" t="str">
        <f>IF(SEFAZ!E199="","",SEFAZ!E199)</f>
        <v/>
      </c>
      <c r="F215" s="6" t="str">
        <f>IF(SEFAZ!F199="","",VALUE(SUBSTITUTE(SEFAZ!F199,"'","")))</f>
        <v/>
      </c>
      <c r="G215" t="str">
        <f>IF(SEFAZ!H199="","",SEFAZ!H199)</f>
        <v/>
      </c>
      <c r="H215" t="str">
        <f>IF(SEFAZ!L199="","",SEFAZ!L199)</f>
        <v/>
      </c>
      <c r="I215" t="str">
        <f>IF(SEFAZ!N199="","",SEFAZ!N199)</f>
        <v/>
      </c>
      <c r="J215" t="str">
        <f>IF(SEFAZ!O199="","",SEFAZ!O199)</f>
        <v/>
      </c>
      <c r="K215" s="11" t="str">
        <f>IF(SEFAZ!P199="","",SEFAZ!P199)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hidden="1" x14ac:dyDescent="0.3">
      <c r="B216" t="str">
        <f>IF(SEFAZ!A200="","",SEFAZ!A200)</f>
        <v/>
      </c>
      <c r="C216" t="str">
        <f>IF(SEFAZ!C200="","",SEFAZ!C200)</f>
        <v/>
      </c>
      <c r="D216" t="str">
        <f>IF(SEFAZ!D200="","",SEFAZ!D200)</f>
        <v/>
      </c>
      <c r="E216" s="7" t="str">
        <f>IF(SEFAZ!E200="","",SEFAZ!E200)</f>
        <v/>
      </c>
      <c r="F216" s="6" t="str">
        <f>IF(SEFAZ!F200="","",VALUE(SUBSTITUTE(SEFAZ!F200,"'","")))</f>
        <v/>
      </c>
      <c r="G216" t="str">
        <f>IF(SEFAZ!H200="","",SEFAZ!H200)</f>
        <v/>
      </c>
      <c r="H216" t="str">
        <f>IF(SEFAZ!L200="","",SEFAZ!L200)</f>
        <v/>
      </c>
      <c r="I216" t="str">
        <f>IF(SEFAZ!N200="","",SEFAZ!N200)</f>
        <v/>
      </c>
      <c r="J216" t="str">
        <f>IF(SEFAZ!O200="","",SEFAZ!O200)</f>
        <v/>
      </c>
      <c r="K216" s="11" t="str">
        <f>IF(SEFAZ!P200="","",SEFAZ!P200)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hidden="1" x14ac:dyDescent="0.3">
      <c r="B217" t="str">
        <f>IF(SEFAZ!A201="","",SEFAZ!A201)</f>
        <v/>
      </c>
      <c r="C217" t="str">
        <f>IF(SEFAZ!C201="","",SEFAZ!C201)</f>
        <v/>
      </c>
      <c r="D217" t="str">
        <f>IF(SEFAZ!D201="","",SEFAZ!D201)</f>
        <v/>
      </c>
      <c r="E217" s="7" t="str">
        <f>IF(SEFAZ!E201="","",SEFAZ!E201)</f>
        <v/>
      </c>
      <c r="F217" s="6" t="str">
        <f>IF(SEFAZ!F201="","",VALUE(SUBSTITUTE(SEFAZ!F201,"'","")))</f>
        <v/>
      </c>
      <c r="G217" t="str">
        <f>IF(SEFAZ!H201="","",SEFAZ!H201)</f>
        <v/>
      </c>
      <c r="H217" t="str">
        <f>IF(SEFAZ!L201="","",SEFAZ!L201)</f>
        <v/>
      </c>
      <c r="I217" t="str">
        <f>IF(SEFAZ!N201="","",SEFAZ!N201)</f>
        <v/>
      </c>
      <c r="J217" t="str">
        <f>IF(SEFAZ!O201="","",SEFAZ!O201)</f>
        <v/>
      </c>
      <c r="K217" s="11" t="str">
        <f>IF(SEFAZ!P201="","",SEFAZ!P201)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hidden="1" x14ac:dyDescent="0.3">
      <c r="B218" t="str">
        <f>IF(SEFAZ!A202="","",SEFAZ!A202)</f>
        <v/>
      </c>
      <c r="C218" t="str">
        <f>IF(SEFAZ!C202="","",SEFAZ!C202)</f>
        <v/>
      </c>
      <c r="D218" t="str">
        <f>IF(SEFAZ!D202="","",SEFAZ!D202)</f>
        <v/>
      </c>
      <c r="E218" s="7" t="str">
        <f>IF(SEFAZ!E202="","",SEFAZ!E202)</f>
        <v/>
      </c>
      <c r="F218" s="6" t="str">
        <f>IF(SEFAZ!F202="","",VALUE(SUBSTITUTE(SEFAZ!F202,"'","")))</f>
        <v/>
      </c>
      <c r="G218" t="str">
        <f>IF(SEFAZ!H202="","",SEFAZ!H202)</f>
        <v/>
      </c>
      <c r="H218" t="str">
        <f>IF(SEFAZ!L202="","",SEFAZ!L202)</f>
        <v/>
      </c>
      <c r="I218" t="str">
        <f>IF(SEFAZ!N202="","",SEFAZ!N202)</f>
        <v/>
      </c>
      <c r="J218" t="str">
        <f>IF(SEFAZ!O202="","",SEFAZ!O202)</f>
        <v/>
      </c>
      <c r="K218" s="11" t="str">
        <f>IF(SEFAZ!P202="","",SEFAZ!P202)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hidden="1" x14ac:dyDescent="0.3">
      <c r="B219" t="str">
        <f>IF(SEFAZ!A203="","",SEFAZ!A203)</f>
        <v/>
      </c>
      <c r="C219" t="str">
        <f>IF(SEFAZ!C203="","",SEFAZ!C203)</f>
        <v/>
      </c>
      <c r="D219" t="str">
        <f>IF(SEFAZ!D203="","",SEFAZ!D203)</f>
        <v/>
      </c>
      <c r="E219" s="7" t="str">
        <f>IF(SEFAZ!E203="","",SEFAZ!E203)</f>
        <v/>
      </c>
      <c r="F219" s="6" t="str">
        <f>IF(SEFAZ!F203="","",VALUE(SUBSTITUTE(SEFAZ!F203,"'","")))</f>
        <v/>
      </c>
      <c r="G219" t="str">
        <f>IF(SEFAZ!H203="","",SEFAZ!H203)</f>
        <v/>
      </c>
      <c r="H219" t="str">
        <f>IF(SEFAZ!L203="","",SEFAZ!L203)</f>
        <v/>
      </c>
      <c r="I219" t="str">
        <f>IF(SEFAZ!N203="","",SEFAZ!N203)</f>
        <v/>
      </c>
      <c r="J219" t="str">
        <f>IF(SEFAZ!O203="","",SEFAZ!O203)</f>
        <v/>
      </c>
      <c r="K219" s="11" t="str">
        <f>IF(SEFAZ!P203="","",SEFAZ!P203)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hidden="1" x14ac:dyDescent="0.3">
      <c r="B220" t="str">
        <f>IF(SEFAZ!A204="","",SEFAZ!A204)</f>
        <v/>
      </c>
      <c r="C220" t="str">
        <f>IF(SEFAZ!C204="","",SEFAZ!C204)</f>
        <v/>
      </c>
      <c r="D220" t="str">
        <f>IF(SEFAZ!D204="","",SEFAZ!D204)</f>
        <v/>
      </c>
      <c r="E220" s="7" t="str">
        <f>IF(SEFAZ!E204="","",SEFAZ!E204)</f>
        <v/>
      </c>
      <c r="F220" s="6" t="str">
        <f>IF(SEFAZ!F204="","",VALUE(SUBSTITUTE(SEFAZ!F204,"'","")))</f>
        <v/>
      </c>
      <c r="G220" t="str">
        <f>IF(SEFAZ!H204="","",SEFAZ!H204)</f>
        <v/>
      </c>
      <c r="H220" t="str">
        <f>IF(SEFAZ!L204="","",SEFAZ!L204)</f>
        <v/>
      </c>
      <c r="I220" t="str">
        <f>IF(SEFAZ!N204="","",SEFAZ!N204)</f>
        <v/>
      </c>
      <c r="J220" t="str">
        <f>IF(SEFAZ!O204="","",SEFAZ!O204)</f>
        <v/>
      </c>
      <c r="K220" s="11" t="str">
        <f>IF(SEFAZ!P204="","",SEFAZ!P204)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hidden="1" x14ac:dyDescent="0.3">
      <c r="B221" t="str">
        <f>IF(SEFAZ!A205="","",SEFAZ!A205)</f>
        <v/>
      </c>
      <c r="C221" t="str">
        <f>IF(SEFAZ!C205="","",SEFAZ!C205)</f>
        <v/>
      </c>
      <c r="D221" t="str">
        <f>IF(SEFAZ!D205="","",SEFAZ!D205)</f>
        <v/>
      </c>
      <c r="E221" s="7" t="str">
        <f>IF(SEFAZ!E205="","",SEFAZ!E205)</f>
        <v/>
      </c>
      <c r="F221" s="6" t="str">
        <f>IF(SEFAZ!F205="","",VALUE(SUBSTITUTE(SEFAZ!F205,"'","")))</f>
        <v/>
      </c>
      <c r="G221" t="str">
        <f>IF(SEFAZ!H205="","",SEFAZ!H205)</f>
        <v/>
      </c>
      <c r="H221" t="str">
        <f>IF(SEFAZ!L205="","",SEFAZ!L205)</f>
        <v/>
      </c>
      <c r="I221" t="str">
        <f>IF(SEFAZ!N205="","",SEFAZ!N205)</f>
        <v/>
      </c>
      <c r="J221" t="str">
        <f>IF(SEFAZ!O205="","",SEFAZ!O205)</f>
        <v/>
      </c>
      <c r="K221" s="11" t="str">
        <f>IF(SEFAZ!P205="","",SEFAZ!P205)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hidden="1" x14ac:dyDescent="0.3">
      <c r="B222" t="str">
        <f>IF(SEFAZ!A206="","",SEFAZ!A206)</f>
        <v/>
      </c>
      <c r="C222" t="str">
        <f>IF(SEFAZ!C206="","",SEFAZ!C206)</f>
        <v/>
      </c>
      <c r="D222" t="str">
        <f>IF(SEFAZ!D206="","",SEFAZ!D206)</f>
        <v/>
      </c>
      <c r="E222" s="7" t="str">
        <f>IF(SEFAZ!E206="","",SEFAZ!E206)</f>
        <v/>
      </c>
      <c r="F222" s="6" t="str">
        <f>IF(SEFAZ!F206="","",VALUE(SUBSTITUTE(SEFAZ!F206,"'","")))</f>
        <v/>
      </c>
      <c r="G222" t="str">
        <f>IF(SEFAZ!H206="","",SEFAZ!H206)</f>
        <v/>
      </c>
      <c r="H222" t="str">
        <f>IF(SEFAZ!L206="","",SEFAZ!L206)</f>
        <v/>
      </c>
      <c r="I222" t="str">
        <f>IF(SEFAZ!N206="","",SEFAZ!N206)</f>
        <v/>
      </c>
      <c r="J222" t="str">
        <f>IF(SEFAZ!O206="","",SEFAZ!O206)</f>
        <v/>
      </c>
      <c r="K222" s="11" t="str">
        <f>IF(SEFAZ!P206="","",SEFAZ!P206)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hidden="1" x14ac:dyDescent="0.3">
      <c r="B223" t="str">
        <f>IF(SEFAZ!A207="","",SEFAZ!A207)</f>
        <v/>
      </c>
      <c r="C223" t="str">
        <f>IF(SEFAZ!C207="","",SEFAZ!C207)</f>
        <v/>
      </c>
      <c r="D223" t="str">
        <f>IF(SEFAZ!D207="","",SEFAZ!D207)</f>
        <v/>
      </c>
      <c r="E223" s="7" t="str">
        <f>IF(SEFAZ!E207="","",SEFAZ!E207)</f>
        <v/>
      </c>
      <c r="F223" s="6" t="str">
        <f>IF(SEFAZ!F207="","",VALUE(SUBSTITUTE(SEFAZ!F207,"'","")))</f>
        <v/>
      </c>
      <c r="G223" t="str">
        <f>IF(SEFAZ!H207="","",SEFAZ!H207)</f>
        <v/>
      </c>
      <c r="H223" t="str">
        <f>IF(SEFAZ!L207="","",SEFAZ!L207)</f>
        <v/>
      </c>
      <c r="I223" t="str">
        <f>IF(SEFAZ!N207="","",SEFAZ!N207)</f>
        <v/>
      </c>
      <c r="J223" t="str">
        <f>IF(SEFAZ!O207="","",SEFAZ!O207)</f>
        <v/>
      </c>
      <c r="K223" s="11" t="str">
        <f>IF(SEFAZ!P207="","",SEFAZ!P207)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hidden="1" x14ac:dyDescent="0.3">
      <c r="B224" t="str">
        <f>IF(SEFAZ!A208="","",SEFAZ!A208)</f>
        <v/>
      </c>
      <c r="C224" t="str">
        <f>IF(SEFAZ!C208="","",SEFAZ!C208)</f>
        <v/>
      </c>
      <c r="D224" t="str">
        <f>IF(SEFAZ!D208="","",SEFAZ!D208)</f>
        <v/>
      </c>
      <c r="E224" s="7" t="str">
        <f>IF(SEFAZ!E208="","",SEFAZ!E208)</f>
        <v/>
      </c>
      <c r="F224" s="6" t="str">
        <f>IF(SEFAZ!F208="","",VALUE(SUBSTITUTE(SEFAZ!F208,"'","")))</f>
        <v/>
      </c>
      <c r="G224" t="str">
        <f>IF(SEFAZ!H208="","",SEFAZ!H208)</f>
        <v/>
      </c>
      <c r="H224" t="str">
        <f>IF(SEFAZ!L208="","",SEFAZ!L208)</f>
        <v/>
      </c>
      <c r="I224" t="str">
        <f>IF(SEFAZ!N208="","",SEFAZ!N208)</f>
        <v/>
      </c>
      <c r="J224" t="str">
        <f>IF(SEFAZ!O208="","",SEFAZ!O208)</f>
        <v/>
      </c>
      <c r="K224" s="11" t="str">
        <f>IF(SEFAZ!P208="","",SEFAZ!P208)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hidden="1" x14ac:dyDescent="0.3">
      <c r="B225" t="str">
        <f>IF(SEFAZ!A209="","",SEFAZ!A209)</f>
        <v/>
      </c>
      <c r="C225" t="str">
        <f>IF(SEFAZ!C209="","",SEFAZ!C209)</f>
        <v/>
      </c>
      <c r="D225" t="str">
        <f>IF(SEFAZ!D209="","",SEFAZ!D209)</f>
        <v/>
      </c>
      <c r="E225" s="7" t="str">
        <f>IF(SEFAZ!E209="","",SEFAZ!E209)</f>
        <v/>
      </c>
      <c r="F225" s="6" t="str">
        <f>IF(SEFAZ!F209="","",VALUE(SUBSTITUTE(SEFAZ!F209,"'","")))</f>
        <v/>
      </c>
      <c r="G225" t="str">
        <f>IF(SEFAZ!H209="","",SEFAZ!H209)</f>
        <v/>
      </c>
      <c r="H225" t="str">
        <f>IF(SEFAZ!L209="","",SEFAZ!L209)</f>
        <v/>
      </c>
      <c r="I225" t="str">
        <f>IF(SEFAZ!N209="","",SEFAZ!N209)</f>
        <v/>
      </c>
      <c r="J225" t="str">
        <f>IF(SEFAZ!O209="","",SEFAZ!O209)</f>
        <v/>
      </c>
      <c r="K225" s="11" t="str">
        <f>IF(SEFAZ!P209="","",SEFAZ!P209)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hidden="1" x14ac:dyDescent="0.3">
      <c r="B226" t="str">
        <f>IF(SEFAZ!A210="","",SEFAZ!A210)</f>
        <v/>
      </c>
      <c r="C226" t="str">
        <f>IF(SEFAZ!C210="","",SEFAZ!C210)</f>
        <v/>
      </c>
      <c r="D226" t="str">
        <f>IF(SEFAZ!D210="","",SEFAZ!D210)</f>
        <v/>
      </c>
      <c r="E226" s="7" t="str">
        <f>IF(SEFAZ!E210="","",SEFAZ!E210)</f>
        <v/>
      </c>
      <c r="F226" s="6" t="str">
        <f>IF(SEFAZ!F210="","",VALUE(SUBSTITUTE(SEFAZ!F210,"'","")))</f>
        <v/>
      </c>
      <c r="G226" t="str">
        <f>IF(SEFAZ!H210="","",SEFAZ!H210)</f>
        <v/>
      </c>
      <c r="H226" t="str">
        <f>IF(SEFAZ!L210="","",SEFAZ!L210)</f>
        <v/>
      </c>
      <c r="I226" t="str">
        <f>IF(SEFAZ!N210="","",SEFAZ!N210)</f>
        <v/>
      </c>
      <c r="J226" t="str">
        <f>IF(SEFAZ!O210="","",SEFAZ!O210)</f>
        <v/>
      </c>
      <c r="K226" s="11" t="str">
        <f>IF(SEFAZ!P210="","",SEFAZ!P210)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hidden="1" x14ac:dyDescent="0.3">
      <c r="B227" t="str">
        <f>IF(SEFAZ!A211="","",SEFAZ!A211)</f>
        <v/>
      </c>
      <c r="C227" t="str">
        <f>IF(SEFAZ!C211="","",SEFAZ!C211)</f>
        <v/>
      </c>
      <c r="D227" t="str">
        <f>IF(SEFAZ!D211="","",SEFAZ!D211)</f>
        <v/>
      </c>
      <c r="E227" s="7" t="str">
        <f>IF(SEFAZ!E211="","",SEFAZ!E211)</f>
        <v/>
      </c>
      <c r="F227" s="6" t="str">
        <f>IF(SEFAZ!F211="","",VALUE(SUBSTITUTE(SEFAZ!F211,"'","")))</f>
        <v/>
      </c>
      <c r="G227" t="str">
        <f>IF(SEFAZ!H211="","",SEFAZ!H211)</f>
        <v/>
      </c>
      <c r="H227" t="str">
        <f>IF(SEFAZ!L211="","",SEFAZ!L211)</f>
        <v/>
      </c>
      <c r="I227" t="str">
        <f>IF(SEFAZ!N211="","",SEFAZ!N211)</f>
        <v/>
      </c>
      <c r="J227" t="str">
        <f>IF(SEFAZ!O211="","",SEFAZ!O211)</f>
        <v/>
      </c>
      <c r="K227" s="11" t="str">
        <f>IF(SEFAZ!P211="","",SEFAZ!P211)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hidden="1" x14ac:dyDescent="0.3">
      <c r="B228" t="str">
        <f>IF(SEFAZ!A212="","",SEFAZ!A212)</f>
        <v/>
      </c>
      <c r="C228" t="str">
        <f>IF(SEFAZ!C212="","",SEFAZ!C212)</f>
        <v/>
      </c>
      <c r="D228" t="str">
        <f>IF(SEFAZ!D212="","",SEFAZ!D212)</f>
        <v/>
      </c>
      <c r="E228" s="7" t="str">
        <f>IF(SEFAZ!E212="","",SEFAZ!E212)</f>
        <v/>
      </c>
      <c r="F228" s="6" t="str">
        <f>IF(SEFAZ!F212="","",VALUE(SUBSTITUTE(SEFAZ!F212,"'","")))</f>
        <v/>
      </c>
      <c r="G228" t="str">
        <f>IF(SEFAZ!H212="","",SEFAZ!H212)</f>
        <v/>
      </c>
      <c r="H228" t="str">
        <f>IF(SEFAZ!L212="","",SEFAZ!L212)</f>
        <v/>
      </c>
      <c r="I228" t="str">
        <f>IF(SEFAZ!N212="","",SEFAZ!N212)</f>
        <v/>
      </c>
      <c r="J228" t="str">
        <f>IF(SEFAZ!O212="","",SEFAZ!O212)</f>
        <v/>
      </c>
      <c r="K228" s="11" t="str">
        <f>IF(SEFAZ!P212="","",SEFAZ!P212)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hidden="1" x14ac:dyDescent="0.3">
      <c r="B229" t="str">
        <f>IF(SEFAZ!A213="","",SEFAZ!A213)</f>
        <v/>
      </c>
      <c r="C229" t="str">
        <f>IF(SEFAZ!C213="","",SEFAZ!C213)</f>
        <v/>
      </c>
      <c r="D229" t="str">
        <f>IF(SEFAZ!D213="","",SEFAZ!D213)</f>
        <v/>
      </c>
      <c r="E229" s="7" t="str">
        <f>IF(SEFAZ!E213="","",SEFAZ!E213)</f>
        <v/>
      </c>
      <c r="F229" s="6" t="str">
        <f>IF(SEFAZ!F213="","",VALUE(SUBSTITUTE(SEFAZ!F213,"'","")))</f>
        <v/>
      </c>
      <c r="G229" t="str">
        <f>IF(SEFAZ!H213="","",SEFAZ!H213)</f>
        <v/>
      </c>
      <c r="H229" t="str">
        <f>IF(SEFAZ!L213="","",SEFAZ!L213)</f>
        <v/>
      </c>
      <c r="I229" t="str">
        <f>IF(SEFAZ!N213="","",SEFAZ!N213)</f>
        <v/>
      </c>
      <c r="J229" t="str">
        <f>IF(SEFAZ!O213="","",SEFAZ!O213)</f>
        <v/>
      </c>
      <c r="K229" s="11" t="str">
        <f>IF(SEFAZ!P213="","",SEFAZ!P213)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hidden="1" x14ac:dyDescent="0.3">
      <c r="B230" t="str">
        <f>IF(SEFAZ!A214="","",SEFAZ!A214)</f>
        <v/>
      </c>
      <c r="C230" t="str">
        <f>IF(SEFAZ!C214="","",SEFAZ!C214)</f>
        <v/>
      </c>
      <c r="D230" t="str">
        <f>IF(SEFAZ!D214="","",SEFAZ!D214)</f>
        <v/>
      </c>
      <c r="E230" s="7" t="str">
        <f>IF(SEFAZ!E214="","",SEFAZ!E214)</f>
        <v/>
      </c>
      <c r="F230" s="6" t="str">
        <f>IF(SEFAZ!F214="","",VALUE(SUBSTITUTE(SEFAZ!F214,"'","")))</f>
        <v/>
      </c>
      <c r="G230" t="str">
        <f>IF(SEFAZ!H214="","",SEFAZ!H214)</f>
        <v/>
      </c>
      <c r="H230" t="str">
        <f>IF(SEFAZ!L214="","",SEFAZ!L214)</f>
        <v/>
      </c>
      <c r="I230" t="str">
        <f>IF(SEFAZ!N214="","",SEFAZ!N214)</f>
        <v/>
      </c>
      <c r="J230" t="str">
        <f>IF(SEFAZ!O214="","",SEFAZ!O214)</f>
        <v/>
      </c>
      <c r="K230" s="11" t="str">
        <f>IF(SEFAZ!P214="","",SEFAZ!P214)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hidden="1" x14ac:dyDescent="0.3">
      <c r="B231" t="str">
        <f>IF(SEFAZ!A215="","",SEFAZ!A215)</f>
        <v/>
      </c>
      <c r="C231" t="str">
        <f>IF(SEFAZ!C215="","",SEFAZ!C215)</f>
        <v/>
      </c>
      <c r="D231" t="str">
        <f>IF(SEFAZ!D215="","",SEFAZ!D215)</f>
        <v/>
      </c>
      <c r="E231" s="7" t="str">
        <f>IF(SEFAZ!E215="","",SEFAZ!E215)</f>
        <v/>
      </c>
      <c r="F231" s="6" t="str">
        <f>IF(SEFAZ!F215="","",VALUE(SUBSTITUTE(SEFAZ!F215,"'","")))</f>
        <v/>
      </c>
      <c r="G231" t="str">
        <f>IF(SEFAZ!H215="","",SEFAZ!H215)</f>
        <v/>
      </c>
      <c r="H231" t="str">
        <f>IF(SEFAZ!L215="","",SEFAZ!L215)</f>
        <v/>
      </c>
      <c r="I231" t="str">
        <f>IF(SEFAZ!N215="","",SEFAZ!N215)</f>
        <v/>
      </c>
      <c r="J231" t="str">
        <f>IF(SEFAZ!O215="","",SEFAZ!O215)</f>
        <v/>
      </c>
      <c r="K231" s="11" t="str">
        <f>IF(SEFAZ!P215="","",SEFAZ!P215)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hidden="1" x14ac:dyDescent="0.3">
      <c r="B232" t="str">
        <f>IF(SEFAZ!A216="","",SEFAZ!A216)</f>
        <v/>
      </c>
      <c r="C232" t="str">
        <f>IF(SEFAZ!C216="","",SEFAZ!C216)</f>
        <v/>
      </c>
      <c r="D232" t="str">
        <f>IF(SEFAZ!D216="","",SEFAZ!D216)</f>
        <v/>
      </c>
      <c r="E232" s="7" t="str">
        <f>IF(SEFAZ!E216="","",SEFAZ!E216)</f>
        <v/>
      </c>
      <c r="F232" s="6" t="str">
        <f>IF(SEFAZ!F216="","",VALUE(SUBSTITUTE(SEFAZ!F216,"'","")))</f>
        <v/>
      </c>
      <c r="G232" t="str">
        <f>IF(SEFAZ!H216="","",SEFAZ!H216)</f>
        <v/>
      </c>
      <c r="H232" t="str">
        <f>IF(SEFAZ!L216="","",SEFAZ!L216)</f>
        <v/>
      </c>
      <c r="I232" t="str">
        <f>IF(SEFAZ!N216="","",SEFAZ!N216)</f>
        <v/>
      </c>
      <c r="J232" t="str">
        <f>IF(SEFAZ!O216="","",SEFAZ!O216)</f>
        <v/>
      </c>
      <c r="K232" s="11" t="str">
        <f>IF(SEFAZ!P216="","",SEFAZ!P216)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hidden="1" x14ac:dyDescent="0.3">
      <c r="B233" t="str">
        <f>IF(SEFAZ!A217="","",SEFAZ!A217)</f>
        <v/>
      </c>
      <c r="C233" t="str">
        <f>IF(SEFAZ!C217="","",SEFAZ!C217)</f>
        <v/>
      </c>
      <c r="D233" t="str">
        <f>IF(SEFAZ!D217="","",SEFAZ!D217)</f>
        <v/>
      </c>
      <c r="E233" s="7" t="str">
        <f>IF(SEFAZ!E217="","",SEFAZ!E217)</f>
        <v/>
      </c>
      <c r="F233" s="6" t="str">
        <f>IF(SEFAZ!F217="","",VALUE(SUBSTITUTE(SEFAZ!F217,"'","")))</f>
        <v/>
      </c>
      <c r="G233" t="str">
        <f>IF(SEFAZ!H217="","",SEFAZ!H217)</f>
        <v/>
      </c>
      <c r="H233" t="str">
        <f>IF(SEFAZ!L217="","",SEFAZ!L217)</f>
        <v/>
      </c>
      <c r="I233" t="str">
        <f>IF(SEFAZ!N217="","",SEFAZ!N217)</f>
        <v/>
      </c>
      <c r="J233" t="str">
        <f>IF(SEFAZ!O217="","",SEFAZ!O217)</f>
        <v/>
      </c>
      <c r="K233" s="11" t="str">
        <f>IF(SEFAZ!P217="","",SEFAZ!P217)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hidden="1" x14ac:dyDescent="0.3">
      <c r="B234" t="str">
        <f>IF(SEFAZ!A218="","",SEFAZ!A218)</f>
        <v/>
      </c>
      <c r="C234" t="str">
        <f>IF(SEFAZ!C218="","",SEFAZ!C218)</f>
        <v/>
      </c>
      <c r="D234" t="str">
        <f>IF(SEFAZ!D218="","",SEFAZ!D218)</f>
        <v/>
      </c>
      <c r="E234" s="7" t="str">
        <f>IF(SEFAZ!E218="","",SEFAZ!E218)</f>
        <v/>
      </c>
      <c r="F234" s="6" t="str">
        <f>IF(SEFAZ!F218="","",VALUE(SUBSTITUTE(SEFAZ!F218,"'","")))</f>
        <v/>
      </c>
      <c r="G234" t="str">
        <f>IF(SEFAZ!H218="","",SEFAZ!H218)</f>
        <v/>
      </c>
      <c r="H234" t="str">
        <f>IF(SEFAZ!L218="","",SEFAZ!L218)</f>
        <v/>
      </c>
      <c r="I234" t="str">
        <f>IF(SEFAZ!N218="","",SEFAZ!N218)</f>
        <v/>
      </c>
      <c r="J234" t="str">
        <f>IF(SEFAZ!O218="","",SEFAZ!O218)</f>
        <v/>
      </c>
      <c r="K234" s="11" t="str">
        <f>IF(SEFAZ!P218="","",SEFAZ!P218)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hidden="1" x14ac:dyDescent="0.3">
      <c r="B235" t="str">
        <f>IF(SEFAZ!A219="","",SEFAZ!A219)</f>
        <v/>
      </c>
      <c r="C235" t="str">
        <f>IF(SEFAZ!C219="","",SEFAZ!C219)</f>
        <v/>
      </c>
      <c r="D235" t="str">
        <f>IF(SEFAZ!D219="","",SEFAZ!D219)</f>
        <v/>
      </c>
      <c r="E235" s="7" t="str">
        <f>IF(SEFAZ!E219="","",SEFAZ!E219)</f>
        <v/>
      </c>
      <c r="F235" s="6" t="str">
        <f>IF(SEFAZ!F219="","",VALUE(SUBSTITUTE(SEFAZ!F219,"'","")))</f>
        <v/>
      </c>
      <c r="G235" t="str">
        <f>IF(SEFAZ!H219="","",SEFAZ!H219)</f>
        <v/>
      </c>
      <c r="H235" t="str">
        <f>IF(SEFAZ!L219="","",SEFAZ!L219)</f>
        <v/>
      </c>
      <c r="I235" t="str">
        <f>IF(SEFAZ!N219="","",SEFAZ!N219)</f>
        <v/>
      </c>
      <c r="J235" t="str">
        <f>IF(SEFAZ!O219="","",SEFAZ!O219)</f>
        <v/>
      </c>
      <c r="K235" s="11" t="str">
        <f>IF(SEFAZ!P219="","",SEFAZ!P219)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hidden="1" x14ac:dyDescent="0.3">
      <c r="B236" t="str">
        <f>IF(SEFAZ!A220="","",SEFAZ!A220)</f>
        <v/>
      </c>
      <c r="C236" t="str">
        <f>IF(SEFAZ!C220="","",SEFAZ!C220)</f>
        <v/>
      </c>
      <c r="D236" t="str">
        <f>IF(SEFAZ!D220="","",SEFAZ!D220)</f>
        <v/>
      </c>
      <c r="E236" s="7" t="str">
        <f>IF(SEFAZ!E220="","",SEFAZ!E220)</f>
        <v/>
      </c>
      <c r="F236" s="6" t="str">
        <f>IF(SEFAZ!F220="","",VALUE(SUBSTITUTE(SEFAZ!F220,"'","")))</f>
        <v/>
      </c>
      <c r="G236" t="str">
        <f>IF(SEFAZ!H220="","",SEFAZ!H220)</f>
        <v/>
      </c>
      <c r="H236" t="str">
        <f>IF(SEFAZ!L220="","",SEFAZ!L220)</f>
        <v/>
      </c>
      <c r="I236" t="str">
        <f>IF(SEFAZ!N220="","",SEFAZ!N220)</f>
        <v/>
      </c>
      <c r="J236" t="str">
        <f>IF(SEFAZ!O220="","",SEFAZ!O220)</f>
        <v/>
      </c>
      <c r="K236" s="11" t="str">
        <f>IF(SEFAZ!P220="","",SEFAZ!P220)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hidden="1" x14ac:dyDescent="0.3">
      <c r="B237" t="str">
        <f>IF(SEFAZ!A221="","",SEFAZ!A221)</f>
        <v/>
      </c>
      <c r="C237" t="str">
        <f>IF(SEFAZ!C221="","",SEFAZ!C221)</f>
        <v/>
      </c>
      <c r="D237" t="str">
        <f>IF(SEFAZ!D221="","",SEFAZ!D221)</f>
        <v/>
      </c>
      <c r="E237" s="7" t="str">
        <f>IF(SEFAZ!E221="","",SEFAZ!E221)</f>
        <v/>
      </c>
      <c r="F237" s="6" t="str">
        <f>IF(SEFAZ!F221="","",VALUE(SUBSTITUTE(SEFAZ!F221,"'","")))</f>
        <v/>
      </c>
      <c r="G237" t="str">
        <f>IF(SEFAZ!H221="","",SEFAZ!H221)</f>
        <v/>
      </c>
      <c r="H237" t="str">
        <f>IF(SEFAZ!L221="","",SEFAZ!L221)</f>
        <v/>
      </c>
      <c r="I237" t="str">
        <f>IF(SEFAZ!N221="","",SEFAZ!N221)</f>
        <v/>
      </c>
      <c r="J237" t="str">
        <f>IF(SEFAZ!O221="","",SEFAZ!O221)</f>
        <v/>
      </c>
      <c r="K237" s="11" t="str">
        <f>IF(SEFAZ!P221="","",SEFAZ!P221)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hidden="1" x14ac:dyDescent="0.3">
      <c r="B238" t="str">
        <f>IF(SEFAZ!A222="","",SEFAZ!A222)</f>
        <v/>
      </c>
      <c r="C238" t="str">
        <f>IF(SEFAZ!C222="","",SEFAZ!C222)</f>
        <v/>
      </c>
      <c r="D238" t="str">
        <f>IF(SEFAZ!D222="","",SEFAZ!D222)</f>
        <v/>
      </c>
      <c r="E238" s="7" t="str">
        <f>IF(SEFAZ!E222="","",SEFAZ!E222)</f>
        <v/>
      </c>
      <c r="F238" s="6" t="str">
        <f>IF(SEFAZ!F222="","",VALUE(SUBSTITUTE(SEFAZ!F222,"'","")))</f>
        <v/>
      </c>
      <c r="G238" t="str">
        <f>IF(SEFAZ!H222="","",SEFAZ!H222)</f>
        <v/>
      </c>
      <c r="H238" t="str">
        <f>IF(SEFAZ!L222="","",SEFAZ!L222)</f>
        <v/>
      </c>
      <c r="I238" t="str">
        <f>IF(SEFAZ!N222="","",SEFAZ!N222)</f>
        <v/>
      </c>
      <c r="J238" t="str">
        <f>IF(SEFAZ!O222="","",SEFAZ!O222)</f>
        <v/>
      </c>
      <c r="K238" s="11" t="str">
        <f>IF(SEFAZ!P222="","",SEFAZ!P222)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hidden="1" x14ac:dyDescent="0.3">
      <c r="B239" t="str">
        <f>IF(SEFAZ!A223="","",SEFAZ!A223)</f>
        <v/>
      </c>
      <c r="C239" t="str">
        <f>IF(SEFAZ!C223="","",SEFAZ!C223)</f>
        <v/>
      </c>
      <c r="D239" t="str">
        <f>IF(SEFAZ!D223="","",SEFAZ!D223)</f>
        <v/>
      </c>
      <c r="E239" s="7" t="str">
        <f>IF(SEFAZ!E223="","",SEFAZ!E223)</f>
        <v/>
      </c>
      <c r="F239" s="6" t="str">
        <f>IF(SEFAZ!F223="","",VALUE(SUBSTITUTE(SEFAZ!F223,"'","")))</f>
        <v/>
      </c>
      <c r="G239" t="str">
        <f>IF(SEFAZ!H223="","",SEFAZ!H223)</f>
        <v/>
      </c>
      <c r="H239" t="str">
        <f>IF(SEFAZ!L223="","",SEFAZ!L223)</f>
        <v/>
      </c>
      <c r="I239" t="str">
        <f>IF(SEFAZ!N223="","",SEFAZ!N223)</f>
        <v/>
      </c>
      <c r="J239" t="str">
        <f>IF(SEFAZ!O223="","",SEFAZ!O223)</f>
        <v/>
      </c>
      <c r="K239" s="11" t="str">
        <f>IF(SEFAZ!P223="","",SEFAZ!P223)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hidden="1" x14ac:dyDescent="0.3">
      <c r="B240" t="str">
        <f>IF(SEFAZ!A224="","",SEFAZ!A224)</f>
        <v/>
      </c>
      <c r="C240" t="str">
        <f>IF(SEFAZ!C224="","",SEFAZ!C224)</f>
        <v/>
      </c>
      <c r="D240" t="str">
        <f>IF(SEFAZ!D224="","",SEFAZ!D224)</f>
        <v/>
      </c>
      <c r="E240" s="7" t="str">
        <f>IF(SEFAZ!E224="","",SEFAZ!E224)</f>
        <v/>
      </c>
      <c r="F240" s="6" t="str">
        <f>IF(SEFAZ!F224="","",VALUE(SUBSTITUTE(SEFAZ!F224,"'","")))</f>
        <v/>
      </c>
      <c r="G240" t="str">
        <f>IF(SEFAZ!H224="","",SEFAZ!H224)</f>
        <v/>
      </c>
      <c r="H240" t="str">
        <f>IF(SEFAZ!L224="","",SEFAZ!L224)</f>
        <v/>
      </c>
      <c r="I240" t="str">
        <f>IF(SEFAZ!N224="","",SEFAZ!N224)</f>
        <v/>
      </c>
      <c r="J240" t="str">
        <f>IF(SEFAZ!O224="","",SEFAZ!O224)</f>
        <v/>
      </c>
      <c r="K240" s="11" t="str">
        <f>IF(SEFAZ!P224="","",SEFAZ!P224)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hidden="1" x14ac:dyDescent="0.3">
      <c r="B241" t="str">
        <f>IF(SEFAZ!A225="","",SEFAZ!A225)</f>
        <v/>
      </c>
      <c r="C241" t="str">
        <f>IF(SEFAZ!C225="","",SEFAZ!C225)</f>
        <v/>
      </c>
      <c r="D241" t="str">
        <f>IF(SEFAZ!D225="","",SEFAZ!D225)</f>
        <v/>
      </c>
      <c r="E241" s="7" t="str">
        <f>IF(SEFAZ!E225="","",SEFAZ!E225)</f>
        <v/>
      </c>
      <c r="F241" s="6" t="str">
        <f>IF(SEFAZ!F225="","",VALUE(SUBSTITUTE(SEFAZ!F225,"'","")))</f>
        <v/>
      </c>
      <c r="G241" t="str">
        <f>IF(SEFAZ!H225="","",SEFAZ!H225)</f>
        <v/>
      </c>
      <c r="H241" t="str">
        <f>IF(SEFAZ!L225="","",SEFAZ!L225)</f>
        <v/>
      </c>
      <c r="I241" t="str">
        <f>IF(SEFAZ!N225="","",SEFAZ!N225)</f>
        <v/>
      </c>
      <c r="J241" t="str">
        <f>IF(SEFAZ!O225="","",SEFAZ!O225)</f>
        <v/>
      </c>
      <c r="K241" s="11" t="str">
        <f>IF(SEFAZ!P225="","",SEFAZ!P225)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hidden="1" x14ac:dyDescent="0.3">
      <c r="B242" t="str">
        <f>IF(SEFAZ!A226="","",SEFAZ!A226)</f>
        <v/>
      </c>
      <c r="C242" t="str">
        <f>IF(SEFAZ!C226="","",SEFAZ!C226)</f>
        <v/>
      </c>
      <c r="D242" t="str">
        <f>IF(SEFAZ!D226="","",SEFAZ!D226)</f>
        <v/>
      </c>
      <c r="E242" s="7" t="str">
        <f>IF(SEFAZ!E226="","",SEFAZ!E226)</f>
        <v/>
      </c>
      <c r="F242" s="6" t="str">
        <f>IF(SEFAZ!F226="","",VALUE(SUBSTITUTE(SEFAZ!F226,"'","")))</f>
        <v/>
      </c>
      <c r="G242" t="str">
        <f>IF(SEFAZ!H226="","",SEFAZ!H226)</f>
        <v/>
      </c>
      <c r="H242" t="str">
        <f>IF(SEFAZ!L226="","",SEFAZ!L226)</f>
        <v/>
      </c>
      <c r="I242" t="str">
        <f>IF(SEFAZ!N226="","",SEFAZ!N226)</f>
        <v/>
      </c>
      <c r="J242" t="str">
        <f>IF(SEFAZ!O226="","",SEFAZ!O226)</f>
        <v/>
      </c>
      <c r="K242" s="11" t="str">
        <f>IF(SEFAZ!P226="","",SEFAZ!P226)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hidden="1" x14ac:dyDescent="0.3">
      <c r="B243" t="str">
        <f>IF(SEFAZ!A227="","",SEFAZ!A227)</f>
        <v/>
      </c>
      <c r="C243" t="str">
        <f>IF(SEFAZ!C227="","",SEFAZ!C227)</f>
        <v/>
      </c>
      <c r="D243" t="str">
        <f>IF(SEFAZ!D227="","",SEFAZ!D227)</f>
        <v/>
      </c>
      <c r="E243" s="7" t="str">
        <f>IF(SEFAZ!E227="","",SEFAZ!E227)</f>
        <v/>
      </c>
      <c r="F243" s="6" t="str">
        <f>IF(SEFAZ!F227="","",VALUE(SUBSTITUTE(SEFAZ!F227,"'","")))</f>
        <v/>
      </c>
      <c r="G243" t="str">
        <f>IF(SEFAZ!H227="","",SEFAZ!H227)</f>
        <v/>
      </c>
      <c r="H243" t="str">
        <f>IF(SEFAZ!L227="","",SEFAZ!L227)</f>
        <v/>
      </c>
      <c r="I243" t="str">
        <f>IF(SEFAZ!N227="","",SEFAZ!N227)</f>
        <v/>
      </c>
      <c r="J243" t="str">
        <f>IF(SEFAZ!O227="","",SEFAZ!O227)</f>
        <v/>
      </c>
      <c r="K243" s="11" t="str">
        <f>IF(SEFAZ!P227="","",SEFAZ!P227)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hidden="1" x14ac:dyDescent="0.3">
      <c r="B244" t="str">
        <f>IF(SEFAZ!A228="","",SEFAZ!A228)</f>
        <v/>
      </c>
      <c r="C244" t="str">
        <f>IF(SEFAZ!C228="","",SEFAZ!C228)</f>
        <v/>
      </c>
      <c r="D244" t="str">
        <f>IF(SEFAZ!D228="","",SEFAZ!D228)</f>
        <v/>
      </c>
      <c r="E244" s="7" t="str">
        <f>IF(SEFAZ!E228="","",SEFAZ!E228)</f>
        <v/>
      </c>
      <c r="F244" s="6" t="str">
        <f>IF(SEFAZ!F228="","",VALUE(SUBSTITUTE(SEFAZ!F228,"'","")))</f>
        <v/>
      </c>
      <c r="G244" t="str">
        <f>IF(SEFAZ!H228="","",SEFAZ!H228)</f>
        <v/>
      </c>
      <c r="H244" t="str">
        <f>IF(SEFAZ!L228="","",SEFAZ!L228)</f>
        <v/>
      </c>
      <c r="I244" t="str">
        <f>IF(SEFAZ!N228="","",SEFAZ!N228)</f>
        <v/>
      </c>
      <c r="J244" t="str">
        <f>IF(SEFAZ!O228="","",SEFAZ!O228)</f>
        <v/>
      </c>
      <c r="K244" s="11" t="str">
        <f>IF(SEFAZ!P228="","",SEFAZ!P228)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hidden="1" x14ac:dyDescent="0.3">
      <c r="B245" t="str">
        <f>IF(SEFAZ!A229="","",SEFAZ!A229)</f>
        <v/>
      </c>
      <c r="C245" t="str">
        <f>IF(SEFAZ!C229="","",SEFAZ!C229)</f>
        <v/>
      </c>
      <c r="D245" t="str">
        <f>IF(SEFAZ!D229="","",SEFAZ!D229)</f>
        <v/>
      </c>
      <c r="E245" s="7" t="str">
        <f>IF(SEFAZ!E229="","",SEFAZ!E229)</f>
        <v/>
      </c>
      <c r="F245" s="6" t="str">
        <f>IF(SEFAZ!F229="","",VALUE(SUBSTITUTE(SEFAZ!F229,"'","")))</f>
        <v/>
      </c>
      <c r="G245" t="str">
        <f>IF(SEFAZ!H229="","",SEFAZ!H229)</f>
        <v/>
      </c>
      <c r="H245" t="str">
        <f>IF(SEFAZ!L229="","",SEFAZ!L229)</f>
        <v/>
      </c>
      <c r="I245" t="str">
        <f>IF(SEFAZ!N229="","",SEFAZ!N229)</f>
        <v/>
      </c>
      <c r="J245" t="str">
        <f>IF(SEFAZ!O229="","",SEFAZ!O229)</f>
        <v/>
      </c>
      <c r="K245" s="11" t="str">
        <f>IF(SEFAZ!P229="","",SEFAZ!P229)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hidden="1" x14ac:dyDescent="0.3">
      <c r="B246" t="str">
        <f>IF(SEFAZ!A230="","",SEFAZ!A230)</f>
        <v/>
      </c>
      <c r="C246" t="str">
        <f>IF(SEFAZ!C230="","",SEFAZ!C230)</f>
        <v/>
      </c>
      <c r="D246" t="str">
        <f>IF(SEFAZ!D230="","",SEFAZ!D230)</f>
        <v/>
      </c>
      <c r="E246" s="7" t="str">
        <f>IF(SEFAZ!E230="","",SEFAZ!E230)</f>
        <v/>
      </c>
      <c r="F246" s="6" t="str">
        <f>IF(SEFAZ!F230="","",VALUE(SUBSTITUTE(SEFAZ!F230,"'","")))</f>
        <v/>
      </c>
      <c r="G246" t="str">
        <f>IF(SEFAZ!H230="","",SEFAZ!H230)</f>
        <v/>
      </c>
      <c r="H246" t="str">
        <f>IF(SEFAZ!L230="","",SEFAZ!L230)</f>
        <v/>
      </c>
      <c r="I246" t="str">
        <f>IF(SEFAZ!N230="","",SEFAZ!N230)</f>
        <v/>
      </c>
      <c r="J246" t="str">
        <f>IF(SEFAZ!O230="","",SEFAZ!O230)</f>
        <v/>
      </c>
      <c r="K246" s="11" t="str">
        <f>IF(SEFAZ!P230="","",SEFAZ!P230)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hidden="1" x14ac:dyDescent="0.3">
      <c r="B247" t="str">
        <f>IF(SEFAZ!A231="","",SEFAZ!A231)</f>
        <v/>
      </c>
      <c r="C247" t="str">
        <f>IF(SEFAZ!C231="","",SEFAZ!C231)</f>
        <v/>
      </c>
      <c r="D247" t="str">
        <f>IF(SEFAZ!D231="","",SEFAZ!D231)</f>
        <v/>
      </c>
      <c r="E247" s="7" t="str">
        <f>IF(SEFAZ!E231="","",SEFAZ!E231)</f>
        <v/>
      </c>
      <c r="F247" s="6" t="str">
        <f>IF(SEFAZ!F231="","",VALUE(SUBSTITUTE(SEFAZ!F231,"'","")))</f>
        <v/>
      </c>
      <c r="G247" t="str">
        <f>IF(SEFAZ!H231="","",SEFAZ!H231)</f>
        <v/>
      </c>
      <c r="H247" t="str">
        <f>IF(SEFAZ!L231="","",SEFAZ!L231)</f>
        <v/>
      </c>
      <c r="I247" t="str">
        <f>IF(SEFAZ!N231="","",SEFAZ!N231)</f>
        <v/>
      </c>
      <c r="J247" t="str">
        <f>IF(SEFAZ!O231="","",SEFAZ!O231)</f>
        <v/>
      </c>
      <c r="K247" s="11" t="str">
        <f>IF(SEFAZ!P231="","",SEFAZ!P231)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hidden="1" x14ac:dyDescent="0.3">
      <c r="B248" t="str">
        <f>IF(SEFAZ!A232="","",SEFAZ!A232)</f>
        <v/>
      </c>
      <c r="C248" t="str">
        <f>IF(SEFAZ!C232="","",SEFAZ!C232)</f>
        <v/>
      </c>
      <c r="D248" t="str">
        <f>IF(SEFAZ!D232="","",SEFAZ!D232)</f>
        <v/>
      </c>
      <c r="E248" s="7" t="str">
        <f>IF(SEFAZ!E232="","",SEFAZ!E232)</f>
        <v/>
      </c>
      <c r="F248" s="6" t="str">
        <f>IF(SEFAZ!F232="","",VALUE(SUBSTITUTE(SEFAZ!F232,"'","")))</f>
        <v/>
      </c>
      <c r="G248" t="str">
        <f>IF(SEFAZ!H232="","",SEFAZ!H232)</f>
        <v/>
      </c>
      <c r="H248" t="str">
        <f>IF(SEFAZ!L232="","",SEFAZ!L232)</f>
        <v/>
      </c>
      <c r="I248" t="str">
        <f>IF(SEFAZ!N232="","",SEFAZ!N232)</f>
        <v/>
      </c>
      <c r="J248" t="str">
        <f>IF(SEFAZ!O232="","",SEFAZ!O232)</f>
        <v/>
      </c>
      <c r="K248" s="11" t="str">
        <f>IF(SEFAZ!P232="","",SEFAZ!P232)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hidden="1" x14ac:dyDescent="0.3">
      <c r="B249" t="str">
        <f>IF(SEFAZ!A233="","",SEFAZ!A233)</f>
        <v/>
      </c>
      <c r="C249" t="str">
        <f>IF(SEFAZ!C233="","",SEFAZ!C233)</f>
        <v/>
      </c>
      <c r="D249" t="str">
        <f>IF(SEFAZ!D233="","",SEFAZ!D233)</f>
        <v/>
      </c>
      <c r="E249" s="7" t="str">
        <f>IF(SEFAZ!E233="","",SEFAZ!E233)</f>
        <v/>
      </c>
      <c r="F249" s="6" t="str">
        <f>IF(SEFAZ!F233="","",VALUE(SUBSTITUTE(SEFAZ!F233,"'","")))</f>
        <v/>
      </c>
      <c r="G249" t="str">
        <f>IF(SEFAZ!H233="","",SEFAZ!H233)</f>
        <v/>
      </c>
      <c r="H249" t="str">
        <f>IF(SEFAZ!L233="","",SEFAZ!L233)</f>
        <v/>
      </c>
      <c r="I249" t="str">
        <f>IF(SEFAZ!N233="","",SEFAZ!N233)</f>
        <v/>
      </c>
      <c r="J249" t="str">
        <f>IF(SEFAZ!O233="","",SEFAZ!O233)</f>
        <v/>
      </c>
      <c r="K249" s="11" t="str">
        <f>IF(SEFAZ!P233="","",SEFAZ!P233)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hidden="1" x14ac:dyDescent="0.3">
      <c r="B250" t="str">
        <f>IF(SEFAZ!A234="","",SEFAZ!A234)</f>
        <v/>
      </c>
      <c r="C250" t="str">
        <f>IF(SEFAZ!C234="","",SEFAZ!C234)</f>
        <v/>
      </c>
      <c r="D250" t="str">
        <f>IF(SEFAZ!D234="","",SEFAZ!D234)</f>
        <v/>
      </c>
      <c r="E250" s="7" t="str">
        <f>IF(SEFAZ!E234="","",SEFAZ!E234)</f>
        <v/>
      </c>
      <c r="F250" s="6" t="str">
        <f>IF(SEFAZ!F234="","",VALUE(SUBSTITUTE(SEFAZ!F234,"'","")))</f>
        <v/>
      </c>
      <c r="G250" t="str">
        <f>IF(SEFAZ!H234="","",SEFAZ!H234)</f>
        <v/>
      </c>
      <c r="H250" t="str">
        <f>IF(SEFAZ!L234="","",SEFAZ!L234)</f>
        <v/>
      </c>
      <c r="I250" t="str">
        <f>IF(SEFAZ!N234="","",SEFAZ!N234)</f>
        <v/>
      </c>
      <c r="J250" t="str">
        <f>IF(SEFAZ!O234="","",SEFAZ!O234)</f>
        <v/>
      </c>
      <c r="K250" s="11" t="str">
        <f>IF(SEFAZ!P234="","",SEFAZ!P234)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hidden="1" x14ac:dyDescent="0.3">
      <c r="B251" t="str">
        <f>IF(SEFAZ!A235="","",SEFAZ!A235)</f>
        <v/>
      </c>
      <c r="C251" t="str">
        <f>IF(SEFAZ!C235="","",SEFAZ!C235)</f>
        <v/>
      </c>
      <c r="D251" t="str">
        <f>IF(SEFAZ!D235="","",SEFAZ!D235)</f>
        <v/>
      </c>
      <c r="E251" s="7" t="str">
        <f>IF(SEFAZ!E235="","",SEFAZ!E235)</f>
        <v/>
      </c>
      <c r="F251" s="6" t="str">
        <f>IF(SEFAZ!F235="","",VALUE(SUBSTITUTE(SEFAZ!F235,"'","")))</f>
        <v/>
      </c>
      <c r="G251" t="str">
        <f>IF(SEFAZ!H235="","",SEFAZ!H235)</f>
        <v/>
      </c>
      <c r="H251" t="str">
        <f>IF(SEFAZ!L235="","",SEFAZ!L235)</f>
        <v/>
      </c>
      <c r="I251" t="str">
        <f>IF(SEFAZ!N235="","",SEFAZ!N235)</f>
        <v/>
      </c>
      <c r="J251" t="str">
        <f>IF(SEFAZ!O235="","",SEFAZ!O235)</f>
        <v/>
      </c>
      <c r="K251" s="11" t="str">
        <f>IF(SEFAZ!P235="","",SEFAZ!P235)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hidden="1" x14ac:dyDescent="0.3">
      <c r="B252" t="str">
        <f>IF(SEFAZ!A236="","",SEFAZ!A236)</f>
        <v/>
      </c>
      <c r="C252" t="str">
        <f>IF(SEFAZ!C236="","",SEFAZ!C236)</f>
        <v/>
      </c>
      <c r="D252" t="str">
        <f>IF(SEFAZ!D236="","",SEFAZ!D236)</f>
        <v/>
      </c>
      <c r="E252" s="7" t="str">
        <f>IF(SEFAZ!E236="","",SEFAZ!E236)</f>
        <v/>
      </c>
      <c r="F252" s="6" t="str">
        <f>IF(SEFAZ!F236="","",VALUE(SUBSTITUTE(SEFAZ!F236,"'","")))</f>
        <v/>
      </c>
      <c r="G252" t="str">
        <f>IF(SEFAZ!H236="","",SEFAZ!H236)</f>
        <v/>
      </c>
      <c r="H252" t="str">
        <f>IF(SEFAZ!L236="","",SEFAZ!L236)</f>
        <v/>
      </c>
      <c r="I252" t="str">
        <f>IF(SEFAZ!N236="","",SEFAZ!N236)</f>
        <v/>
      </c>
      <c r="J252" t="str">
        <f>IF(SEFAZ!O236="","",SEFAZ!O236)</f>
        <v/>
      </c>
      <c r="K252" s="11" t="str">
        <f>IF(SEFAZ!P236="","",SEFAZ!P236)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hidden="1" x14ac:dyDescent="0.3">
      <c r="B253" t="str">
        <f>IF(SEFAZ!A237="","",SEFAZ!A237)</f>
        <v/>
      </c>
      <c r="C253" t="str">
        <f>IF(SEFAZ!C237="","",SEFAZ!C237)</f>
        <v/>
      </c>
      <c r="D253" t="str">
        <f>IF(SEFAZ!D237="","",SEFAZ!D237)</f>
        <v/>
      </c>
      <c r="E253" s="7" t="str">
        <f>IF(SEFAZ!E237="","",SEFAZ!E237)</f>
        <v/>
      </c>
      <c r="F253" s="6" t="str">
        <f>IF(SEFAZ!F237="","",VALUE(SUBSTITUTE(SEFAZ!F237,"'","")))</f>
        <v/>
      </c>
      <c r="G253" t="str">
        <f>IF(SEFAZ!H237="","",SEFAZ!H237)</f>
        <v/>
      </c>
      <c r="H253" t="str">
        <f>IF(SEFAZ!L237="","",SEFAZ!L237)</f>
        <v/>
      </c>
      <c r="I253" t="str">
        <f>IF(SEFAZ!N237="","",SEFAZ!N237)</f>
        <v/>
      </c>
      <c r="J253" t="str">
        <f>IF(SEFAZ!O237="","",SEFAZ!O237)</f>
        <v/>
      </c>
      <c r="K253" s="11" t="str">
        <f>IF(SEFAZ!P237="","",SEFAZ!P237)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hidden="1" x14ac:dyDescent="0.3">
      <c r="B254" t="str">
        <f>IF(SEFAZ!A238="","",SEFAZ!A238)</f>
        <v/>
      </c>
      <c r="C254" t="str">
        <f>IF(SEFAZ!C238="","",SEFAZ!C238)</f>
        <v/>
      </c>
      <c r="D254" t="str">
        <f>IF(SEFAZ!D238="","",SEFAZ!D238)</f>
        <v/>
      </c>
      <c r="E254" s="7" t="str">
        <f>IF(SEFAZ!E238="","",SEFAZ!E238)</f>
        <v/>
      </c>
      <c r="F254" s="6" t="str">
        <f>IF(SEFAZ!F238="","",VALUE(SUBSTITUTE(SEFAZ!F238,"'","")))</f>
        <v/>
      </c>
      <c r="G254" t="str">
        <f>IF(SEFAZ!H238="","",SEFAZ!H238)</f>
        <v/>
      </c>
      <c r="H254" t="str">
        <f>IF(SEFAZ!L238="","",SEFAZ!L238)</f>
        <v/>
      </c>
      <c r="I254" t="str">
        <f>IF(SEFAZ!N238="","",SEFAZ!N238)</f>
        <v/>
      </c>
      <c r="J254" t="str">
        <f>IF(SEFAZ!O238="","",SEFAZ!O238)</f>
        <v/>
      </c>
      <c r="K254" s="11" t="str">
        <f>IF(SEFAZ!P238="","",SEFAZ!P238)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hidden="1" x14ac:dyDescent="0.3">
      <c r="B255" t="str">
        <f>IF(SEFAZ!A239="","",SEFAZ!A239)</f>
        <v/>
      </c>
      <c r="C255" t="str">
        <f>IF(SEFAZ!C239="","",SEFAZ!C239)</f>
        <v/>
      </c>
      <c r="D255" t="str">
        <f>IF(SEFAZ!D239="","",SEFAZ!D239)</f>
        <v/>
      </c>
      <c r="E255" s="7" t="str">
        <f>IF(SEFAZ!E239="","",SEFAZ!E239)</f>
        <v/>
      </c>
      <c r="F255" s="6" t="str">
        <f>IF(SEFAZ!F239="","",VALUE(SUBSTITUTE(SEFAZ!F239,"'","")))</f>
        <v/>
      </c>
      <c r="G255" t="str">
        <f>IF(SEFAZ!H239="","",SEFAZ!H239)</f>
        <v/>
      </c>
      <c r="H255" t="str">
        <f>IF(SEFAZ!L239="","",SEFAZ!L239)</f>
        <v/>
      </c>
      <c r="I255" t="str">
        <f>IF(SEFAZ!N239="","",SEFAZ!N239)</f>
        <v/>
      </c>
      <c r="J255" t="str">
        <f>IF(SEFAZ!O239="","",SEFAZ!O239)</f>
        <v/>
      </c>
      <c r="K255" s="11" t="str">
        <f>IF(SEFAZ!P239="","",SEFAZ!P239)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hidden="1" x14ac:dyDescent="0.3">
      <c r="B256" t="str">
        <f>IF(SEFAZ!A240="","",SEFAZ!A240)</f>
        <v/>
      </c>
      <c r="C256" t="str">
        <f>IF(SEFAZ!C240="","",SEFAZ!C240)</f>
        <v/>
      </c>
      <c r="D256" t="str">
        <f>IF(SEFAZ!D240="","",SEFAZ!D240)</f>
        <v/>
      </c>
      <c r="E256" s="7" t="str">
        <f>IF(SEFAZ!E240="","",SEFAZ!E240)</f>
        <v/>
      </c>
      <c r="F256" s="6" t="str">
        <f>IF(SEFAZ!F240="","",VALUE(SUBSTITUTE(SEFAZ!F240,"'","")))</f>
        <v/>
      </c>
      <c r="G256" t="str">
        <f>IF(SEFAZ!H240="","",SEFAZ!H240)</f>
        <v/>
      </c>
      <c r="H256" t="str">
        <f>IF(SEFAZ!L240="","",SEFAZ!L240)</f>
        <v/>
      </c>
      <c r="I256" t="str">
        <f>IF(SEFAZ!N240="","",SEFAZ!N240)</f>
        <v/>
      </c>
      <c r="J256" t="str">
        <f>IF(SEFAZ!O240="","",SEFAZ!O240)</f>
        <v/>
      </c>
      <c r="K256" s="11" t="str">
        <f>IF(SEFAZ!P240="","",SEFAZ!P240)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hidden="1" x14ac:dyDescent="0.3">
      <c r="B257" t="str">
        <f>IF(SEFAZ!A241="","",SEFAZ!A241)</f>
        <v/>
      </c>
      <c r="C257" t="str">
        <f>IF(SEFAZ!C241="","",SEFAZ!C241)</f>
        <v/>
      </c>
      <c r="D257" t="str">
        <f>IF(SEFAZ!D241="","",SEFAZ!D241)</f>
        <v/>
      </c>
      <c r="E257" s="7" t="str">
        <f>IF(SEFAZ!E241="","",SEFAZ!E241)</f>
        <v/>
      </c>
      <c r="F257" s="6" t="str">
        <f>IF(SEFAZ!F241="","",VALUE(SUBSTITUTE(SEFAZ!F241,"'","")))</f>
        <v/>
      </c>
      <c r="G257" t="str">
        <f>IF(SEFAZ!H241="","",SEFAZ!H241)</f>
        <v/>
      </c>
      <c r="H257" t="str">
        <f>IF(SEFAZ!L241="","",SEFAZ!L241)</f>
        <v/>
      </c>
      <c r="I257" t="str">
        <f>IF(SEFAZ!N241="","",SEFAZ!N241)</f>
        <v/>
      </c>
      <c r="J257" t="str">
        <f>IF(SEFAZ!O241="","",SEFAZ!O241)</f>
        <v/>
      </c>
      <c r="K257" s="11" t="str">
        <f>IF(SEFAZ!P241="","",SEFAZ!P241)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hidden="1" x14ac:dyDescent="0.3">
      <c r="B258" t="str">
        <f>IF(SEFAZ!A242="","",SEFAZ!A242)</f>
        <v/>
      </c>
      <c r="C258" t="str">
        <f>IF(SEFAZ!C242="","",SEFAZ!C242)</f>
        <v/>
      </c>
      <c r="D258" t="str">
        <f>IF(SEFAZ!D242="","",SEFAZ!D242)</f>
        <v/>
      </c>
      <c r="E258" s="7" t="str">
        <f>IF(SEFAZ!E242="","",SEFAZ!E242)</f>
        <v/>
      </c>
      <c r="F258" s="6" t="str">
        <f>IF(SEFAZ!F242="","",VALUE(SUBSTITUTE(SEFAZ!F242,"'","")))</f>
        <v/>
      </c>
      <c r="G258" t="str">
        <f>IF(SEFAZ!H242="","",SEFAZ!H242)</f>
        <v/>
      </c>
      <c r="H258" t="str">
        <f>IF(SEFAZ!L242="","",SEFAZ!L242)</f>
        <v/>
      </c>
      <c r="I258" t="str">
        <f>IF(SEFAZ!N242="","",SEFAZ!N242)</f>
        <v/>
      </c>
      <c r="J258" t="str">
        <f>IF(SEFAZ!O242="","",SEFAZ!O242)</f>
        <v/>
      </c>
      <c r="K258" s="11" t="str">
        <f>IF(SEFAZ!P242="","",SEFAZ!P242)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hidden="1" x14ac:dyDescent="0.3">
      <c r="B259" t="str">
        <f>IF(SEFAZ!A243="","",SEFAZ!A243)</f>
        <v/>
      </c>
      <c r="C259" t="str">
        <f>IF(SEFAZ!C243="","",SEFAZ!C243)</f>
        <v/>
      </c>
      <c r="D259" t="str">
        <f>IF(SEFAZ!D243="","",SEFAZ!D243)</f>
        <v/>
      </c>
      <c r="E259" s="7" t="str">
        <f>IF(SEFAZ!E243="","",SEFAZ!E243)</f>
        <v/>
      </c>
      <c r="F259" s="6" t="str">
        <f>IF(SEFAZ!F243="","",VALUE(SUBSTITUTE(SEFAZ!F243,"'","")))</f>
        <v/>
      </c>
      <c r="G259" t="str">
        <f>IF(SEFAZ!H243="","",SEFAZ!H243)</f>
        <v/>
      </c>
      <c r="H259" t="str">
        <f>IF(SEFAZ!L243="","",SEFAZ!L243)</f>
        <v/>
      </c>
      <c r="I259" t="str">
        <f>IF(SEFAZ!N243="","",SEFAZ!N243)</f>
        <v/>
      </c>
      <c r="J259" t="str">
        <f>IF(SEFAZ!O243="","",SEFAZ!O243)</f>
        <v/>
      </c>
      <c r="K259" s="11" t="str">
        <f>IF(SEFAZ!P243="","",SEFAZ!P243)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hidden="1" x14ac:dyDescent="0.3">
      <c r="B260" t="str">
        <f>IF(SEFAZ!A244="","",SEFAZ!A244)</f>
        <v/>
      </c>
      <c r="C260" t="str">
        <f>IF(SEFAZ!C244="","",SEFAZ!C244)</f>
        <v/>
      </c>
      <c r="D260" t="str">
        <f>IF(SEFAZ!D244="","",SEFAZ!D244)</f>
        <v/>
      </c>
      <c r="E260" s="7" t="str">
        <f>IF(SEFAZ!E244="","",SEFAZ!E244)</f>
        <v/>
      </c>
      <c r="F260" s="6" t="str">
        <f>IF(SEFAZ!F244="","",VALUE(SUBSTITUTE(SEFAZ!F244,"'","")))</f>
        <v/>
      </c>
      <c r="G260" t="str">
        <f>IF(SEFAZ!H244="","",SEFAZ!H244)</f>
        <v/>
      </c>
      <c r="H260" t="str">
        <f>IF(SEFAZ!L244="","",SEFAZ!L244)</f>
        <v/>
      </c>
      <c r="I260" t="str">
        <f>IF(SEFAZ!N244="","",SEFAZ!N244)</f>
        <v/>
      </c>
      <c r="J260" t="str">
        <f>IF(SEFAZ!O244="","",SEFAZ!O244)</f>
        <v/>
      </c>
      <c r="K260" s="11" t="str">
        <f>IF(SEFAZ!P244="","",SEFAZ!P244)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hidden="1" x14ac:dyDescent="0.3">
      <c r="B261" t="str">
        <f>IF(SEFAZ!A245="","",SEFAZ!A245)</f>
        <v/>
      </c>
      <c r="C261" t="str">
        <f>IF(SEFAZ!C245="","",SEFAZ!C245)</f>
        <v/>
      </c>
      <c r="D261" t="str">
        <f>IF(SEFAZ!D245="","",SEFAZ!D245)</f>
        <v/>
      </c>
      <c r="E261" s="7" t="str">
        <f>IF(SEFAZ!E245="","",SEFAZ!E245)</f>
        <v/>
      </c>
      <c r="F261" s="6" t="str">
        <f>IF(SEFAZ!F245="","",VALUE(SUBSTITUTE(SEFAZ!F245,"'","")))</f>
        <v/>
      </c>
      <c r="G261" t="str">
        <f>IF(SEFAZ!H245="","",SEFAZ!H245)</f>
        <v/>
      </c>
      <c r="H261" t="str">
        <f>IF(SEFAZ!L245="","",SEFAZ!L245)</f>
        <v/>
      </c>
      <c r="I261" t="str">
        <f>IF(SEFAZ!N245="","",SEFAZ!N245)</f>
        <v/>
      </c>
      <c r="J261" t="str">
        <f>IF(SEFAZ!O245="","",SEFAZ!O245)</f>
        <v/>
      </c>
      <c r="K261" s="11" t="str">
        <f>IF(SEFAZ!P245="","",SEFAZ!P245)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hidden="1" x14ac:dyDescent="0.3">
      <c r="B262" t="str">
        <f>IF(SEFAZ!A246="","",SEFAZ!A246)</f>
        <v/>
      </c>
      <c r="C262" t="str">
        <f>IF(SEFAZ!C246="","",SEFAZ!C246)</f>
        <v/>
      </c>
      <c r="D262" t="str">
        <f>IF(SEFAZ!D246="","",SEFAZ!D246)</f>
        <v/>
      </c>
      <c r="E262" s="7" t="str">
        <f>IF(SEFAZ!E246="","",SEFAZ!E246)</f>
        <v/>
      </c>
      <c r="F262" s="6" t="str">
        <f>IF(SEFAZ!F246="","",VALUE(SUBSTITUTE(SEFAZ!F246,"'","")))</f>
        <v/>
      </c>
      <c r="G262" t="str">
        <f>IF(SEFAZ!H246="","",SEFAZ!H246)</f>
        <v/>
      </c>
      <c r="H262" t="str">
        <f>IF(SEFAZ!L246="","",SEFAZ!L246)</f>
        <v/>
      </c>
      <c r="I262" t="str">
        <f>IF(SEFAZ!N246="","",SEFAZ!N246)</f>
        <v/>
      </c>
      <c r="J262" t="str">
        <f>IF(SEFAZ!O246="","",SEFAZ!O246)</f>
        <v/>
      </c>
      <c r="K262" s="11" t="str">
        <f>IF(SEFAZ!P246="","",SEFAZ!P246)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hidden="1" x14ac:dyDescent="0.3">
      <c r="B263" t="str">
        <f>IF(SEFAZ!A247="","",SEFAZ!A247)</f>
        <v/>
      </c>
      <c r="C263" t="str">
        <f>IF(SEFAZ!C247="","",SEFAZ!C247)</f>
        <v/>
      </c>
      <c r="D263" t="str">
        <f>IF(SEFAZ!D247="","",SEFAZ!D247)</f>
        <v/>
      </c>
      <c r="E263" s="7" t="str">
        <f>IF(SEFAZ!E247="","",SEFAZ!E247)</f>
        <v/>
      </c>
      <c r="F263" s="6" t="str">
        <f>IF(SEFAZ!F247="","",VALUE(SUBSTITUTE(SEFAZ!F247,"'","")))</f>
        <v/>
      </c>
      <c r="G263" t="str">
        <f>IF(SEFAZ!H247="","",SEFAZ!H247)</f>
        <v/>
      </c>
      <c r="H263" t="str">
        <f>IF(SEFAZ!L247="","",SEFAZ!L247)</f>
        <v/>
      </c>
      <c r="I263" t="str">
        <f>IF(SEFAZ!N247="","",SEFAZ!N247)</f>
        <v/>
      </c>
      <c r="J263" t="str">
        <f>IF(SEFAZ!O247="","",SEFAZ!O247)</f>
        <v/>
      </c>
      <c r="K263" s="11" t="str">
        <f>IF(SEFAZ!P247="","",SEFAZ!P247)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hidden="1" x14ac:dyDescent="0.3">
      <c r="B264" t="str">
        <f>IF(SEFAZ!A248="","",SEFAZ!A248)</f>
        <v/>
      </c>
      <c r="C264" t="str">
        <f>IF(SEFAZ!C248="","",SEFAZ!C248)</f>
        <v/>
      </c>
      <c r="D264" t="str">
        <f>IF(SEFAZ!D248="","",SEFAZ!D248)</f>
        <v/>
      </c>
      <c r="E264" s="7" t="str">
        <f>IF(SEFAZ!E248="","",SEFAZ!E248)</f>
        <v/>
      </c>
      <c r="F264" s="6" t="str">
        <f>IF(SEFAZ!F248="","",VALUE(SUBSTITUTE(SEFAZ!F248,"'","")))</f>
        <v/>
      </c>
      <c r="G264" t="str">
        <f>IF(SEFAZ!H248="","",SEFAZ!H248)</f>
        <v/>
      </c>
      <c r="H264" t="str">
        <f>IF(SEFAZ!L248="","",SEFAZ!L248)</f>
        <v/>
      </c>
      <c r="I264" t="str">
        <f>IF(SEFAZ!N248="","",SEFAZ!N248)</f>
        <v/>
      </c>
      <c r="J264" t="str">
        <f>IF(SEFAZ!O248="","",SEFAZ!O248)</f>
        <v/>
      </c>
      <c r="K264" s="11" t="str">
        <f>IF(SEFAZ!P248="","",SEFAZ!P248)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hidden="1" x14ac:dyDescent="0.3">
      <c r="B265" t="str">
        <f>IF(SEFAZ!A249="","",SEFAZ!A249)</f>
        <v/>
      </c>
      <c r="C265" t="str">
        <f>IF(SEFAZ!C249="","",SEFAZ!C249)</f>
        <v/>
      </c>
      <c r="D265" t="str">
        <f>IF(SEFAZ!D249="","",SEFAZ!D249)</f>
        <v/>
      </c>
      <c r="E265" s="7" t="str">
        <f>IF(SEFAZ!E249="","",SEFAZ!E249)</f>
        <v/>
      </c>
      <c r="F265" s="6" t="str">
        <f>IF(SEFAZ!F249="","",VALUE(SUBSTITUTE(SEFAZ!F249,"'","")))</f>
        <v/>
      </c>
      <c r="G265" t="str">
        <f>IF(SEFAZ!H249="","",SEFAZ!H249)</f>
        <v/>
      </c>
      <c r="H265" t="str">
        <f>IF(SEFAZ!L249="","",SEFAZ!L249)</f>
        <v/>
      </c>
      <c r="I265" t="str">
        <f>IF(SEFAZ!N249="","",SEFAZ!N249)</f>
        <v/>
      </c>
      <c r="J265" t="str">
        <f>IF(SEFAZ!O249="","",SEFAZ!O249)</f>
        <v/>
      </c>
      <c r="K265" s="11" t="str">
        <f>IF(SEFAZ!P249="","",SEFAZ!P249)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hidden="1" x14ac:dyDescent="0.3">
      <c r="B266" t="str">
        <f>IF(SEFAZ!A250="","",SEFAZ!A250)</f>
        <v/>
      </c>
      <c r="C266" t="str">
        <f>IF(SEFAZ!C250="","",SEFAZ!C250)</f>
        <v/>
      </c>
      <c r="D266" t="str">
        <f>IF(SEFAZ!D250="","",SEFAZ!D250)</f>
        <v/>
      </c>
      <c r="E266" s="7" t="str">
        <f>IF(SEFAZ!E250="","",SEFAZ!E250)</f>
        <v/>
      </c>
      <c r="F266" s="6" t="str">
        <f>IF(SEFAZ!F250="","",VALUE(SUBSTITUTE(SEFAZ!F250,"'","")))</f>
        <v/>
      </c>
      <c r="G266" t="str">
        <f>IF(SEFAZ!H250="","",SEFAZ!H250)</f>
        <v/>
      </c>
      <c r="H266" t="str">
        <f>IF(SEFAZ!L250="","",SEFAZ!L250)</f>
        <v/>
      </c>
      <c r="I266" t="str">
        <f>IF(SEFAZ!N250="","",SEFAZ!N250)</f>
        <v/>
      </c>
      <c r="J266" t="str">
        <f>IF(SEFAZ!O250="","",SEFAZ!O250)</f>
        <v/>
      </c>
      <c r="K266" s="11" t="str">
        <f>IF(SEFAZ!P250="","",SEFAZ!P250)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hidden="1" x14ac:dyDescent="0.3">
      <c r="B267" t="str">
        <f>IF(SEFAZ!A251="","",SEFAZ!A251)</f>
        <v/>
      </c>
      <c r="C267" t="str">
        <f>IF(SEFAZ!C251="","",SEFAZ!C251)</f>
        <v/>
      </c>
      <c r="D267" t="str">
        <f>IF(SEFAZ!D251="","",SEFAZ!D251)</f>
        <v/>
      </c>
      <c r="E267" s="7" t="str">
        <f>IF(SEFAZ!E251="","",SEFAZ!E251)</f>
        <v/>
      </c>
      <c r="F267" s="6" t="str">
        <f>IF(SEFAZ!F251="","",VALUE(SUBSTITUTE(SEFAZ!F251,"'","")))</f>
        <v/>
      </c>
      <c r="G267" t="str">
        <f>IF(SEFAZ!H251="","",SEFAZ!H251)</f>
        <v/>
      </c>
      <c r="H267" t="str">
        <f>IF(SEFAZ!L251="","",SEFAZ!L251)</f>
        <v/>
      </c>
      <c r="I267" t="str">
        <f>IF(SEFAZ!N251="","",SEFAZ!N251)</f>
        <v/>
      </c>
      <c r="J267" t="str">
        <f>IF(SEFAZ!O251="","",SEFAZ!O251)</f>
        <v/>
      </c>
      <c r="K267" s="11" t="str">
        <f>IF(SEFAZ!P251="","",SEFAZ!P251)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hidden="1" x14ac:dyDescent="0.3">
      <c r="B268" t="str">
        <f>IF(SEFAZ!A252="","",SEFAZ!A252)</f>
        <v/>
      </c>
      <c r="C268" t="str">
        <f>IF(SEFAZ!C252="","",SEFAZ!C252)</f>
        <v/>
      </c>
      <c r="D268" t="str">
        <f>IF(SEFAZ!D252="","",SEFAZ!D252)</f>
        <v/>
      </c>
      <c r="E268" s="7" t="str">
        <f>IF(SEFAZ!E252="","",SEFAZ!E252)</f>
        <v/>
      </c>
      <c r="F268" s="6" t="str">
        <f>IF(SEFAZ!F252="","",VALUE(SUBSTITUTE(SEFAZ!F252,"'","")))</f>
        <v/>
      </c>
      <c r="G268" t="str">
        <f>IF(SEFAZ!H252="","",SEFAZ!H252)</f>
        <v/>
      </c>
      <c r="H268" t="str">
        <f>IF(SEFAZ!L252="","",SEFAZ!L252)</f>
        <v/>
      </c>
      <c r="I268" t="str">
        <f>IF(SEFAZ!N252="","",SEFAZ!N252)</f>
        <v/>
      </c>
      <c r="J268" t="str">
        <f>IF(SEFAZ!O252="","",SEFAZ!O252)</f>
        <v/>
      </c>
      <c r="K268" s="11" t="str">
        <f>IF(SEFAZ!P252="","",SEFAZ!P252)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hidden="1" x14ac:dyDescent="0.3">
      <c r="B269" t="str">
        <f>IF(SEFAZ!A253="","",SEFAZ!A253)</f>
        <v/>
      </c>
      <c r="C269" t="str">
        <f>IF(SEFAZ!C253="","",SEFAZ!C253)</f>
        <v/>
      </c>
      <c r="D269" t="str">
        <f>IF(SEFAZ!D253="","",SEFAZ!D253)</f>
        <v/>
      </c>
      <c r="E269" s="7" t="str">
        <f>IF(SEFAZ!E253="","",SEFAZ!E253)</f>
        <v/>
      </c>
      <c r="F269" s="6" t="str">
        <f>IF(SEFAZ!F253="","",VALUE(SUBSTITUTE(SEFAZ!F253,"'","")))</f>
        <v/>
      </c>
      <c r="G269" t="str">
        <f>IF(SEFAZ!H253="","",SEFAZ!H253)</f>
        <v/>
      </c>
      <c r="H269" t="str">
        <f>IF(SEFAZ!L253="","",SEFAZ!L253)</f>
        <v/>
      </c>
      <c r="I269" t="str">
        <f>IF(SEFAZ!N253="","",SEFAZ!N253)</f>
        <v/>
      </c>
      <c r="J269" t="str">
        <f>IF(SEFAZ!O253="","",SEFAZ!O253)</f>
        <v/>
      </c>
      <c r="K269" s="11" t="str">
        <f>IF(SEFAZ!P253="","",SEFAZ!P253)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hidden="1" x14ac:dyDescent="0.3">
      <c r="B270" t="str">
        <f>IF(SEFAZ!A254="","",SEFAZ!A254)</f>
        <v/>
      </c>
      <c r="C270" t="str">
        <f>IF(SEFAZ!C254="","",SEFAZ!C254)</f>
        <v/>
      </c>
      <c r="D270" t="str">
        <f>IF(SEFAZ!D254="","",SEFAZ!D254)</f>
        <v/>
      </c>
      <c r="E270" s="7" t="str">
        <f>IF(SEFAZ!E254="","",SEFAZ!E254)</f>
        <v/>
      </c>
      <c r="F270" s="6" t="str">
        <f>IF(SEFAZ!F254="","",VALUE(SUBSTITUTE(SEFAZ!F254,"'","")))</f>
        <v/>
      </c>
      <c r="G270" t="str">
        <f>IF(SEFAZ!H254="","",SEFAZ!H254)</f>
        <v/>
      </c>
      <c r="H270" t="str">
        <f>IF(SEFAZ!L254="","",SEFAZ!L254)</f>
        <v/>
      </c>
      <c r="I270" t="str">
        <f>IF(SEFAZ!N254="","",SEFAZ!N254)</f>
        <v/>
      </c>
      <c r="J270" t="str">
        <f>IF(SEFAZ!O254="","",SEFAZ!O254)</f>
        <v/>
      </c>
      <c r="K270" s="11" t="str">
        <f>IF(SEFAZ!P254="","",SEFAZ!P254)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hidden="1" x14ac:dyDescent="0.3">
      <c r="B271" t="str">
        <f>IF(SEFAZ!A255="","",SEFAZ!A255)</f>
        <v/>
      </c>
      <c r="C271" t="str">
        <f>IF(SEFAZ!C255="","",SEFAZ!C255)</f>
        <v/>
      </c>
      <c r="D271" t="str">
        <f>IF(SEFAZ!D255="","",SEFAZ!D255)</f>
        <v/>
      </c>
      <c r="E271" s="7" t="str">
        <f>IF(SEFAZ!E255="","",SEFAZ!E255)</f>
        <v/>
      </c>
      <c r="F271" s="6" t="str">
        <f>IF(SEFAZ!F255="","",VALUE(SUBSTITUTE(SEFAZ!F255,"'","")))</f>
        <v/>
      </c>
      <c r="G271" t="str">
        <f>IF(SEFAZ!H255="","",SEFAZ!H255)</f>
        <v/>
      </c>
      <c r="H271" t="str">
        <f>IF(SEFAZ!L255="","",SEFAZ!L255)</f>
        <v/>
      </c>
      <c r="I271" t="str">
        <f>IF(SEFAZ!N255="","",SEFAZ!N255)</f>
        <v/>
      </c>
      <c r="J271" t="str">
        <f>IF(SEFAZ!O255="","",SEFAZ!O255)</f>
        <v/>
      </c>
      <c r="K271" s="11" t="str">
        <f>IF(SEFAZ!P255="","",SEFAZ!P255)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hidden="1" x14ac:dyDescent="0.3">
      <c r="B272" t="str">
        <f>IF(SEFAZ!A256="","",SEFAZ!A256)</f>
        <v/>
      </c>
      <c r="C272" t="str">
        <f>IF(SEFAZ!C256="","",SEFAZ!C256)</f>
        <v/>
      </c>
      <c r="D272" t="str">
        <f>IF(SEFAZ!D256="","",SEFAZ!D256)</f>
        <v/>
      </c>
      <c r="E272" s="7" t="str">
        <f>IF(SEFAZ!E256="","",SEFAZ!E256)</f>
        <v/>
      </c>
      <c r="F272" s="6" t="str">
        <f>IF(SEFAZ!F256="","",VALUE(SUBSTITUTE(SEFAZ!F256,"'","")))</f>
        <v/>
      </c>
      <c r="G272" t="str">
        <f>IF(SEFAZ!H256="","",SEFAZ!H256)</f>
        <v/>
      </c>
      <c r="H272" t="str">
        <f>IF(SEFAZ!L256="","",SEFAZ!L256)</f>
        <v/>
      </c>
      <c r="I272" t="str">
        <f>IF(SEFAZ!N256="","",SEFAZ!N256)</f>
        <v/>
      </c>
      <c r="J272" t="str">
        <f>IF(SEFAZ!O256="","",SEFAZ!O256)</f>
        <v/>
      </c>
      <c r="K272" s="11" t="str">
        <f>IF(SEFAZ!P256="","",SEFAZ!P256)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hidden="1" x14ac:dyDescent="0.3">
      <c r="B273" t="str">
        <f>IF(SEFAZ!A257="","",SEFAZ!A257)</f>
        <v/>
      </c>
      <c r="C273" t="str">
        <f>IF(SEFAZ!C257="","",SEFAZ!C257)</f>
        <v/>
      </c>
      <c r="D273" t="str">
        <f>IF(SEFAZ!D257="","",SEFAZ!D257)</f>
        <v/>
      </c>
      <c r="E273" s="7" t="str">
        <f>IF(SEFAZ!E257="","",SEFAZ!E257)</f>
        <v/>
      </c>
      <c r="F273" s="6" t="str">
        <f>IF(SEFAZ!F257="","",VALUE(SUBSTITUTE(SEFAZ!F257,"'","")))</f>
        <v/>
      </c>
      <c r="G273" t="str">
        <f>IF(SEFAZ!H257="","",SEFAZ!H257)</f>
        <v/>
      </c>
      <c r="H273" t="str">
        <f>IF(SEFAZ!L257="","",SEFAZ!L257)</f>
        <v/>
      </c>
      <c r="I273" t="str">
        <f>IF(SEFAZ!N257="","",SEFAZ!N257)</f>
        <v/>
      </c>
      <c r="J273" t="str">
        <f>IF(SEFAZ!O257="","",SEFAZ!O257)</f>
        <v/>
      </c>
      <c r="K273" s="11" t="str">
        <f>IF(SEFAZ!P257="","",SEFAZ!P257)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hidden="1" x14ac:dyDescent="0.3">
      <c r="B274" t="str">
        <f>IF(SEFAZ!A258="","",SEFAZ!A258)</f>
        <v/>
      </c>
      <c r="C274" t="str">
        <f>IF(SEFAZ!C258="","",SEFAZ!C258)</f>
        <v/>
      </c>
      <c r="D274" t="str">
        <f>IF(SEFAZ!D258="","",SEFAZ!D258)</f>
        <v/>
      </c>
      <c r="E274" s="7" t="str">
        <f>IF(SEFAZ!E258="","",SEFAZ!E258)</f>
        <v/>
      </c>
      <c r="F274" s="6" t="str">
        <f>IF(SEFAZ!F258="","",VALUE(SUBSTITUTE(SEFAZ!F258,"'","")))</f>
        <v/>
      </c>
      <c r="G274" t="str">
        <f>IF(SEFAZ!H258="","",SEFAZ!H258)</f>
        <v/>
      </c>
      <c r="H274" t="str">
        <f>IF(SEFAZ!L258="","",SEFAZ!L258)</f>
        <v/>
      </c>
      <c r="I274" t="str">
        <f>IF(SEFAZ!N258="","",SEFAZ!N258)</f>
        <v/>
      </c>
      <c r="J274" t="str">
        <f>IF(SEFAZ!O258="","",SEFAZ!O258)</f>
        <v/>
      </c>
      <c r="K274" s="11" t="str">
        <f>IF(SEFAZ!P258="","",SEFAZ!P258)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hidden="1" x14ac:dyDescent="0.3">
      <c r="B275" t="str">
        <f>IF(SEFAZ!A259="","",SEFAZ!A259)</f>
        <v/>
      </c>
      <c r="C275" t="str">
        <f>IF(SEFAZ!C259="","",SEFAZ!C259)</f>
        <v/>
      </c>
      <c r="D275" t="str">
        <f>IF(SEFAZ!D259="","",SEFAZ!D259)</f>
        <v/>
      </c>
      <c r="E275" s="7" t="str">
        <f>IF(SEFAZ!E259="","",SEFAZ!E259)</f>
        <v/>
      </c>
      <c r="F275" s="6" t="str">
        <f>IF(SEFAZ!F259="","",VALUE(SUBSTITUTE(SEFAZ!F259,"'","")))</f>
        <v/>
      </c>
      <c r="G275" t="str">
        <f>IF(SEFAZ!H259="","",SEFAZ!H259)</f>
        <v/>
      </c>
      <c r="H275" t="str">
        <f>IF(SEFAZ!L259="","",SEFAZ!L259)</f>
        <v/>
      </c>
      <c r="I275" t="str">
        <f>IF(SEFAZ!N259="","",SEFAZ!N259)</f>
        <v/>
      </c>
      <c r="J275" t="str">
        <f>IF(SEFAZ!O259="","",SEFAZ!O259)</f>
        <v/>
      </c>
      <c r="K275" s="11" t="str">
        <f>IF(SEFAZ!P259="","",SEFAZ!P259)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hidden="1" x14ac:dyDescent="0.3">
      <c r="B276" t="str">
        <f>IF(SEFAZ!A260="","",SEFAZ!A260)</f>
        <v/>
      </c>
      <c r="C276" t="str">
        <f>IF(SEFAZ!C260="","",SEFAZ!C260)</f>
        <v/>
      </c>
      <c r="D276" t="str">
        <f>IF(SEFAZ!D260="","",SEFAZ!D260)</f>
        <v/>
      </c>
      <c r="E276" s="7" t="str">
        <f>IF(SEFAZ!E260="","",SEFAZ!E260)</f>
        <v/>
      </c>
      <c r="F276" s="6" t="str">
        <f>IF(SEFAZ!F260="","",VALUE(SUBSTITUTE(SEFAZ!F260,"'","")))</f>
        <v/>
      </c>
      <c r="G276" t="str">
        <f>IF(SEFAZ!H260="","",SEFAZ!H260)</f>
        <v/>
      </c>
      <c r="H276" t="str">
        <f>IF(SEFAZ!L260="","",SEFAZ!L260)</f>
        <v/>
      </c>
      <c r="I276" t="str">
        <f>IF(SEFAZ!N260="","",SEFAZ!N260)</f>
        <v/>
      </c>
      <c r="J276" t="str">
        <f>IF(SEFAZ!O260="","",SEFAZ!O260)</f>
        <v/>
      </c>
      <c r="K276" s="11" t="str">
        <f>IF(SEFAZ!P260="","",SEFAZ!P260)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hidden="1" x14ac:dyDescent="0.3">
      <c r="B277" t="str">
        <f>IF(SEFAZ!A261="","",SEFAZ!A261)</f>
        <v/>
      </c>
      <c r="C277" t="str">
        <f>IF(SEFAZ!C261="","",SEFAZ!C261)</f>
        <v/>
      </c>
      <c r="D277" t="str">
        <f>IF(SEFAZ!D261="","",SEFAZ!D261)</f>
        <v/>
      </c>
      <c r="E277" s="7" t="str">
        <f>IF(SEFAZ!E261="","",SEFAZ!E261)</f>
        <v/>
      </c>
      <c r="F277" s="6" t="str">
        <f>IF(SEFAZ!F261="","",VALUE(SUBSTITUTE(SEFAZ!F261,"'","")))</f>
        <v/>
      </c>
      <c r="G277" t="str">
        <f>IF(SEFAZ!H261="","",SEFAZ!H261)</f>
        <v/>
      </c>
      <c r="H277" t="str">
        <f>IF(SEFAZ!L261="","",SEFAZ!L261)</f>
        <v/>
      </c>
      <c r="I277" t="str">
        <f>IF(SEFAZ!N261="","",SEFAZ!N261)</f>
        <v/>
      </c>
      <c r="J277" t="str">
        <f>IF(SEFAZ!O261="","",SEFAZ!O261)</f>
        <v/>
      </c>
      <c r="K277" s="11" t="str">
        <f>IF(SEFAZ!P261="","",SEFAZ!P261)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hidden="1" x14ac:dyDescent="0.3">
      <c r="B278" t="str">
        <f>IF(SEFAZ!A262="","",SEFAZ!A262)</f>
        <v/>
      </c>
      <c r="C278" t="str">
        <f>IF(SEFAZ!C262="","",SEFAZ!C262)</f>
        <v/>
      </c>
      <c r="D278" t="str">
        <f>IF(SEFAZ!D262="","",SEFAZ!D262)</f>
        <v/>
      </c>
      <c r="E278" s="7" t="str">
        <f>IF(SEFAZ!E262="","",SEFAZ!E262)</f>
        <v/>
      </c>
      <c r="F278" s="6" t="str">
        <f>IF(SEFAZ!F262="","",VALUE(SUBSTITUTE(SEFAZ!F262,"'","")))</f>
        <v/>
      </c>
      <c r="G278" t="str">
        <f>IF(SEFAZ!H262="","",SEFAZ!H262)</f>
        <v/>
      </c>
      <c r="H278" t="str">
        <f>IF(SEFAZ!L262="","",SEFAZ!L262)</f>
        <v/>
      </c>
      <c r="I278" t="str">
        <f>IF(SEFAZ!N262="","",SEFAZ!N262)</f>
        <v/>
      </c>
      <c r="J278" t="str">
        <f>IF(SEFAZ!O262="","",SEFAZ!O262)</f>
        <v/>
      </c>
      <c r="K278" s="11" t="str">
        <f>IF(SEFAZ!P262="","",SEFAZ!P262)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hidden="1" x14ac:dyDescent="0.3">
      <c r="B279" t="str">
        <f>IF(SEFAZ!A263="","",SEFAZ!A263)</f>
        <v/>
      </c>
      <c r="C279" t="str">
        <f>IF(SEFAZ!C263="","",SEFAZ!C263)</f>
        <v/>
      </c>
      <c r="D279" t="str">
        <f>IF(SEFAZ!D263="","",SEFAZ!D263)</f>
        <v/>
      </c>
      <c r="E279" s="7" t="str">
        <f>IF(SEFAZ!E263="","",SEFAZ!E263)</f>
        <v/>
      </c>
      <c r="F279" s="6" t="str">
        <f>IF(SEFAZ!F263="","",VALUE(SUBSTITUTE(SEFAZ!F263,"'","")))</f>
        <v/>
      </c>
      <c r="G279" t="str">
        <f>IF(SEFAZ!H263="","",SEFAZ!H263)</f>
        <v/>
      </c>
      <c r="H279" t="str">
        <f>IF(SEFAZ!L263="","",SEFAZ!L263)</f>
        <v/>
      </c>
      <c r="I279" t="str">
        <f>IF(SEFAZ!N263="","",SEFAZ!N263)</f>
        <v/>
      </c>
      <c r="J279" t="str">
        <f>IF(SEFAZ!O263="","",SEFAZ!O263)</f>
        <v/>
      </c>
      <c r="K279" s="11" t="str">
        <f>IF(SEFAZ!P263="","",SEFAZ!P263)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hidden="1" x14ac:dyDescent="0.3">
      <c r="B280" t="str">
        <f>IF(SEFAZ!A264="","",SEFAZ!A264)</f>
        <v/>
      </c>
      <c r="C280" t="str">
        <f>IF(SEFAZ!C264="","",SEFAZ!C264)</f>
        <v/>
      </c>
      <c r="D280" t="str">
        <f>IF(SEFAZ!D264="","",SEFAZ!D264)</f>
        <v/>
      </c>
      <c r="E280" s="7" t="str">
        <f>IF(SEFAZ!E264="","",SEFAZ!E264)</f>
        <v/>
      </c>
      <c r="F280" s="6" t="str">
        <f>IF(SEFAZ!F264="","",VALUE(SUBSTITUTE(SEFAZ!F264,"'","")))</f>
        <v/>
      </c>
      <c r="G280" t="str">
        <f>IF(SEFAZ!H264="","",SEFAZ!H264)</f>
        <v/>
      </c>
      <c r="H280" t="str">
        <f>IF(SEFAZ!L264="","",SEFAZ!L264)</f>
        <v/>
      </c>
      <c r="I280" t="str">
        <f>IF(SEFAZ!N264="","",SEFAZ!N264)</f>
        <v/>
      </c>
      <c r="J280" t="str">
        <f>IF(SEFAZ!O264="","",SEFAZ!O264)</f>
        <v/>
      </c>
      <c r="K280" s="11" t="str">
        <f>IF(SEFAZ!P264="","",SEFAZ!P264)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hidden="1" x14ac:dyDescent="0.3">
      <c r="B281" t="str">
        <f>IF(SEFAZ!A265="","",SEFAZ!A265)</f>
        <v/>
      </c>
      <c r="C281" t="str">
        <f>IF(SEFAZ!C265="","",SEFAZ!C265)</f>
        <v/>
      </c>
      <c r="D281" t="str">
        <f>IF(SEFAZ!D265="","",SEFAZ!D265)</f>
        <v/>
      </c>
      <c r="E281" s="7" t="str">
        <f>IF(SEFAZ!E265="","",SEFAZ!E265)</f>
        <v/>
      </c>
      <c r="F281" s="6" t="str">
        <f>IF(SEFAZ!F265="","",VALUE(SUBSTITUTE(SEFAZ!F265,"'","")))</f>
        <v/>
      </c>
      <c r="G281" t="str">
        <f>IF(SEFAZ!H265="","",SEFAZ!H265)</f>
        <v/>
      </c>
      <c r="H281" t="str">
        <f>IF(SEFAZ!L265="","",SEFAZ!L265)</f>
        <v/>
      </c>
      <c r="I281" t="str">
        <f>IF(SEFAZ!N265="","",SEFAZ!N265)</f>
        <v/>
      </c>
      <c r="J281" t="str">
        <f>IF(SEFAZ!O265="","",SEFAZ!O265)</f>
        <v/>
      </c>
      <c r="K281" s="11" t="str">
        <f>IF(SEFAZ!P265="","",SEFAZ!P265)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hidden="1" x14ac:dyDescent="0.3">
      <c r="B282" t="str">
        <f>IF(SEFAZ!A266="","",SEFAZ!A266)</f>
        <v/>
      </c>
      <c r="C282" t="str">
        <f>IF(SEFAZ!C266="","",SEFAZ!C266)</f>
        <v/>
      </c>
      <c r="D282" t="str">
        <f>IF(SEFAZ!D266="","",SEFAZ!D266)</f>
        <v/>
      </c>
      <c r="E282" s="7" t="str">
        <f>IF(SEFAZ!E266="","",SEFAZ!E266)</f>
        <v/>
      </c>
      <c r="F282" s="6" t="str">
        <f>IF(SEFAZ!F266="","",VALUE(SUBSTITUTE(SEFAZ!F266,"'","")))</f>
        <v/>
      </c>
      <c r="G282" t="str">
        <f>IF(SEFAZ!H266="","",SEFAZ!H266)</f>
        <v/>
      </c>
      <c r="H282" t="str">
        <f>IF(SEFAZ!L266="","",SEFAZ!L266)</f>
        <v/>
      </c>
      <c r="I282" t="str">
        <f>IF(SEFAZ!N266="","",SEFAZ!N266)</f>
        <v/>
      </c>
      <c r="J282" t="str">
        <f>IF(SEFAZ!O266="","",SEFAZ!O266)</f>
        <v/>
      </c>
      <c r="K282" s="11" t="str">
        <f>IF(SEFAZ!P266="","",SEFAZ!P266)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hidden="1" x14ac:dyDescent="0.3">
      <c r="B283" t="str">
        <f>IF(SEFAZ!A267="","",SEFAZ!A267)</f>
        <v/>
      </c>
      <c r="C283" t="str">
        <f>IF(SEFAZ!C267="","",SEFAZ!C267)</f>
        <v/>
      </c>
      <c r="D283" t="str">
        <f>IF(SEFAZ!D267="","",SEFAZ!D267)</f>
        <v/>
      </c>
      <c r="E283" s="7" t="str">
        <f>IF(SEFAZ!E267="","",SEFAZ!E267)</f>
        <v/>
      </c>
      <c r="F283" s="6" t="str">
        <f>IF(SEFAZ!F267="","",VALUE(SUBSTITUTE(SEFAZ!F267,"'","")))</f>
        <v/>
      </c>
      <c r="G283" t="str">
        <f>IF(SEFAZ!H267="","",SEFAZ!H267)</f>
        <v/>
      </c>
      <c r="H283" t="str">
        <f>IF(SEFAZ!L267="","",SEFAZ!L267)</f>
        <v/>
      </c>
      <c r="I283" t="str">
        <f>IF(SEFAZ!N267="","",SEFAZ!N267)</f>
        <v/>
      </c>
      <c r="J283" t="str">
        <f>IF(SEFAZ!O267="","",SEFAZ!O267)</f>
        <v/>
      </c>
      <c r="K283" s="11" t="str">
        <f>IF(SEFAZ!P267="","",SEFAZ!P267)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hidden="1" x14ac:dyDescent="0.3">
      <c r="B284" t="str">
        <f>IF(SEFAZ!A268="","",SEFAZ!A268)</f>
        <v/>
      </c>
      <c r="C284" t="str">
        <f>IF(SEFAZ!C268="","",SEFAZ!C268)</f>
        <v/>
      </c>
      <c r="D284" t="str">
        <f>IF(SEFAZ!D268="","",SEFAZ!D268)</f>
        <v/>
      </c>
      <c r="E284" s="7" t="str">
        <f>IF(SEFAZ!E268="","",SEFAZ!E268)</f>
        <v/>
      </c>
      <c r="F284" s="6" t="str">
        <f>IF(SEFAZ!F268="","",VALUE(SUBSTITUTE(SEFAZ!F268,"'","")))</f>
        <v/>
      </c>
      <c r="G284" t="str">
        <f>IF(SEFAZ!H268="","",SEFAZ!H268)</f>
        <v/>
      </c>
      <c r="H284" t="str">
        <f>IF(SEFAZ!L268="","",SEFAZ!L268)</f>
        <v/>
      </c>
      <c r="I284" t="str">
        <f>IF(SEFAZ!N268="","",SEFAZ!N268)</f>
        <v/>
      </c>
      <c r="J284" t="str">
        <f>IF(SEFAZ!O268="","",SEFAZ!O268)</f>
        <v/>
      </c>
      <c r="K284" s="11" t="str">
        <f>IF(SEFAZ!P268="","",SEFAZ!P268)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hidden="1" x14ac:dyDescent="0.3">
      <c r="B285" t="str">
        <f>IF(SEFAZ!A269="","",SEFAZ!A269)</f>
        <v/>
      </c>
      <c r="C285" t="str">
        <f>IF(SEFAZ!C269="","",SEFAZ!C269)</f>
        <v/>
      </c>
      <c r="D285" t="str">
        <f>IF(SEFAZ!D269="","",SEFAZ!D269)</f>
        <v/>
      </c>
      <c r="E285" s="7" t="str">
        <f>IF(SEFAZ!E269="","",SEFAZ!E269)</f>
        <v/>
      </c>
      <c r="F285" s="6" t="str">
        <f>IF(SEFAZ!F269="","",VALUE(SUBSTITUTE(SEFAZ!F269,"'","")))</f>
        <v/>
      </c>
      <c r="G285" t="str">
        <f>IF(SEFAZ!H269="","",SEFAZ!H269)</f>
        <v/>
      </c>
      <c r="H285" t="str">
        <f>IF(SEFAZ!L269="","",SEFAZ!L269)</f>
        <v/>
      </c>
      <c r="I285" t="str">
        <f>IF(SEFAZ!N269="","",SEFAZ!N269)</f>
        <v/>
      </c>
      <c r="J285" t="str">
        <f>IF(SEFAZ!O269="","",SEFAZ!O269)</f>
        <v/>
      </c>
      <c r="K285" s="11" t="str">
        <f>IF(SEFAZ!P269="","",SEFAZ!P269)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hidden="1" x14ac:dyDescent="0.3">
      <c r="B286" t="str">
        <f>IF(SEFAZ!A270="","",SEFAZ!A270)</f>
        <v/>
      </c>
      <c r="C286" t="str">
        <f>IF(SEFAZ!C270="","",SEFAZ!C270)</f>
        <v/>
      </c>
      <c r="D286" t="str">
        <f>IF(SEFAZ!D270="","",SEFAZ!D270)</f>
        <v/>
      </c>
      <c r="E286" s="7" t="str">
        <f>IF(SEFAZ!E270="","",SEFAZ!E270)</f>
        <v/>
      </c>
      <c r="F286" s="6" t="str">
        <f>IF(SEFAZ!F270="","",VALUE(SUBSTITUTE(SEFAZ!F270,"'","")))</f>
        <v/>
      </c>
      <c r="G286" t="str">
        <f>IF(SEFAZ!H270="","",SEFAZ!H270)</f>
        <v/>
      </c>
      <c r="H286" t="str">
        <f>IF(SEFAZ!L270="","",SEFAZ!L270)</f>
        <v/>
      </c>
      <c r="I286" t="str">
        <f>IF(SEFAZ!N270="","",SEFAZ!N270)</f>
        <v/>
      </c>
      <c r="J286" t="str">
        <f>IF(SEFAZ!O270="","",SEFAZ!O270)</f>
        <v/>
      </c>
      <c r="K286" s="11" t="str">
        <f>IF(SEFAZ!P270="","",SEFAZ!P270)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hidden="1" x14ac:dyDescent="0.3">
      <c r="B287" t="str">
        <f>IF(SEFAZ!A271="","",SEFAZ!A271)</f>
        <v/>
      </c>
      <c r="C287" t="str">
        <f>IF(SEFAZ!C271="","",SEFAZ!C271)</f>
        <v/>
      </c>
      <c r="D287" t="str">
        <f>IF(SEFAZ!D271="","",SEFAZ!D271)</f>
        <v/>
      </c>
      <c r="E287" s="7" t="str">
        <f>IF(SEFAZ!E271="","",SEFAZ!E271)</f>
        <v/>
      </c>
      <c r="F287" s="6" t="str">
        <f>IF(SEFAZ!F271="","",VALUE(SUBSTITUTE(SEFAZ!F271,"'","")))</f>
        <v/>
      </c>
      <c r="G287" t="str">
        <f>IF(SEFAZ!H271="","",SEFAZ!H271)</f>
        <v/>
      </c>
      <c r="H287" t="str">
        <f>IF(SEFAZ!L271="","",SEFAZ!L271)</f>
        <v/>
      </c>
      <c r="I287" t="str">
        <f>IF(SEFAZ!N271="","",SEFAZ!N271)</f>
        <v/>
      </c>
      <c r="J287" t="str">
        <f>IF(SEFAZ!O271="","",SEFAZ!O271)</f>
        <v/>
      </c>
      <c r="K287" s="11" t="str">
        <f>IF(SEFAZ!P271="","",SEFAZ!P271)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hidden="1" x14ac:dyDescent="0.3">
      <c r="B288" t="str">
        <f>IF(SEFAZ!A272="","",SEFAZ!A272)</f>
        <v/>
      </c>
      <c r="C288" t="str">
        <f>IF(SEFAZ!C272="","",SEFAZ!C272)</f>
        <v/>
      </c>
      <c r="D288" t="str">
        <f>IF(SEFAZ!D272="","",SEFAZ!D272)</f>
        <v/>
      </c>
      <c r="E288" s="7" t="str">
        <f>IF(SEFAZ!E272="","",SEFAZ!E272)</f>
        <v/>
      </c>
      <c r="F288" s="6" t="str">
        <f>IF(SEFAZ!F272="","",VALUE(SUBSTITUTE(SEFAZ!F272,"'","")))</f>
        <v/>
      </c>
      <c r="G288" t="str">
        <f>IF(SEFAZ!H272="","",SEFAZ!H272)</f>
        <v/>
      </c>
      <c r="H288" t="str">
        <f>IF(SEFAZ!L272="","",SEFAZ!L272)</f>
        <v/>
      </c>
      <c r="I288" t="str">
        <f>IF(SEFAZ!N272="","",SEFAZ!N272)</f>
        <v/>
      </c>
      <c r="J288" t="str">
        <f>IF(SEFAZ!O272="","",SEFAZ!O272)</f>
        <v/>
      </c>
      <c r="K288" s="11" t="str">
        <f>IF(SEFAZ!P272="","",SEFAZ!P272)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hidden="1" x14ac:dyDescent="0.3">
      <c r="B289" t="str">
        <f>IF(SEFAZ!A273="","",SEFAZ!A273)</f>
        <v/>
      </c>
      <c r="C289" t="str">
        <f>IF(SEFAZ!C273="","",SEFAZ!C273)</f>
        <v/>
      </c>
      <c r="D289" t="str">
        <f>IF(SEFAZ!D273="","",SEFAZ!D273)</f>
        <v/>
      </c>
      <c r="E289" s="7" t="str">
        <f>IF(SEFAZ!E273="","",SEFAZ!E273)</f>
        <v/>
      </c>
      <c r="F289" s="6" t="str">
        <f>IF(SEFAZ!F273="","",VALUE(SUBSTITUTE(SEFAZ!F273,"'","")))</f>
        <v/>
      </c>
      <c r="G289" t="str">
        <f>IF(SEFAZ!H273="","",SEFAZ!H273)</f>
        <v/>
      </c>
      <c r="H289" t="str">
        <f>IF(SEFAZ!L273="","",SEFAZ!L273)</f>
        <v/>
      </c>
      <c r="I289" t="str">
        <f>IF(SEFAZ!N273="","",SEFAZ!N273)</f>
        <v/>
      </c>
      <c r="J289" t="str">
        <f>IF(SEFAZ!O273="","",SEFAZ!O273)</f>
        <v/>
      </c>
      <c r="K289" s="11" t="str">
        <f>IF(SEFAZ!P273="","",SEFAZ!P273)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hidden="1" x14ac:dyDescent="0.3">
      <c r="B290" t="str">
        <f>IF(SEFAZ!A274="","",SEFAZ!A274)</f>
        <v/>
      </c>
      <c r="C290" t="str">
        <f>IF(SEFAZ!C274="","",SEFAZ!C274)</f>
        <v/>
      </c>
      <c r="D290" t="str">
        <f>IF(SEFAZ!D274="","",SEFAZ!D274)</f>
        <v/>
      </c>
      <c r="E290" s="7" t="str">
        <f>IF(SEFAZ!E274="","",SEFAZ!E274)</f>
        <v/>
      </c>
      <c r="F290" s="6" t="str">
        <f>IF(SEFAZ!F274="","",VALUE(SUBSTITUTE(SEFAZ!F274,"'","")))</f>
        <v/>
      </c>
      <c r="G290" t="str">
        <f>IF(SEFAZ!H274="","",SEFAZ!H274)</f>
        <v/>
      </c>
      <c r="H290" t="str">
        <f>IF(SEFAZ!L274="","",SEFAZ!L274)</f>
        <v/>
      </c>
      <c r="I290" t="str">
        <f>IF(SEFAZ!N274="","",SEFAZ!N274)</f>
        <v/>
      </c>
      <c r="J290" t="str">
        <f>IF(SEFAZ!O274="","",SEFAZ!O274)</f>
        <v/>
      </c>
      <c r="K290" s="11" t="str">
        <f>IF(SEFAZ!P274="","",SEFAZ!P274)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hidden="1" x14ac:dyDescent="0.3">
      <c r="B291" t="str">
        <f>IF(SEFAZ!A275="","",SEFAZ!A275)</f>
        <v/>
      </c>
      <c r="C291" t="str">
        <f>IF(SEFAZ!C275="","",SEFAZ!C275)</f>
        <v/>
      </c>
      <c r="D291" t="str">
        <f>IF(SEFAZ!D275="","",SEFAZ!D275)</f>
        <v/>
      </c>
      <c r="E291" s="7" t="str">
        <f>IF(SEFAZ!E275="","",SEFAZ!E275)</f>
        <v/>
      </c>
      <c r="F291" s="6" t="str">
        <f>IF(SEFAZ!F275="","",VALUE(SUBSTITUTE(SEFAZ!F275,"'","")))</f>
        <v/>
      </c>
      <c r="G291" t="str">
        <f>IF(SEFAZ!H275="","",SEFAZ!H275)</f>
        <v/>
      </c>
      <c r="H291" t="str">
        <f>IF(SEFAZ!L275="","",SEFAZ!L275)</f>
        <v/>
      </c>
      <c r="I291" t="str">
        <f>IF(SEFAZ!N275="","",SEFAZ!N275)</f>
        <v/>
      </c>
      <c r="J291" t="str">
        <f>IF(SEFAZ!O275="","",SEFAZ!O275)</f>
        <v/>
      </c>
      <c r="K291" s="11" t="str">
        <f>IF(SEFAZ!P275="","",SEFAZ!P275)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hidden="1" x14ac:dyDescent="0.3">
      <c r="B292" t="str">
        <f>IF(SEFAZ!A276="","",SEFAZ!A276)</f>
        <v/>
      </c>
      <c r="C292" t="str">
        <f>IF(SEFAZ!C276="","",SEFAZ!C276)</f>
        <v/>
      </c>
      <c r="D292" t="str">
        <f>IF(SEFAZ!D276="","",SEFAZ!D276)</f>
        <v/>
      </c>
      <c r="E292" s="7" t="str">
        <f>IF(SEFAZ!E276="","",SEFAZ!E276)</f>
        <v/>
      </c>
      <c r="F292" s="6" t="str">
        <f>IF(SEFAZ!F276="","",VALUE(SUBSTITUTE(SEFAZ!F276,"'","")))</f>
        <v/>
      </c>
      <c r="G292" t="str">
        <f>IF(SEFAZ!H276="","",SEFAZ!H276)</f>
        <v/>
      </c>
      <c r="H292" t="str">
        <f>IF(SEFAZ!L276="","",SEFAZ!L276)</f>
        <v/>
      </c>
      <c r="I292" t="str">
        <f>IF(SEFAZ!N276="","",SEFAZ!N276)</f>
        <v/>
      </c>
      <c r="J292" t="str">
        <f>IF(SEFAZ!O276="","",SEFAZ!O276)</f>
        <v/>
      </c>
      <c r="K292" s="11" t="str">
        <f>IF(SEFAZ!P276="","",SEFAZ!P276)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hidden="1" x14ac:dyDescent="0.3">
      <c r="B293" t="str">
        <f>IF(SEFAZ!A277="","",SEFAZ!A277)</f>
        <v/>
      </c>
      <c r="C293" t="str">
        <f>IF(SEFAZ!C277="","",SEFAZ!C277)</f>
        <v/>
      </c>
      <c r="D293" t="str">
        <f>IF(SEFAZ!D277="","",SEFAZ!D277)</f>
        <v/>
      </c>
      <c r="E293" s="7" t="str">
        <f>IF(SEFAZ!E277="","",SEFAZ!E277)</f>
        <v/>
      </c>
      <c r="F293" s="6" t="str">
        <f>IF(SEFAZ!F277="","",VALUE(SUBSTITUTE(SEFAZ!F277,"'","")))</f>
        <v/>
      </c>
      <c r="G293" t="str">
        <f>IF(SEFAZ!H277="","",SEFAZ!H277)</f>
        <v/>
      </c>
      <c r="H293" t="str">
        <f>IF(SEFAZ!L277="","",SEFAZ!L277)</f>
        <v/>
      </c>
      <c r="I293" t="str">
        <f>IF(SEFAZ!N277="","",SEFAZ!N277)</f>
        <v/>
      </c>
      <c r="J293" t="str">
        <f>IF(SEFAZ!O277="","",SEFAZ!O277)</f>
        <v/>
      </c>
      <c r="K293" s="11" t="str">
        <f>IF(SEFAZ!P277="","",SEFAZ!P277)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hidden="1" x14ac:dyDescent="0.3">
      <c r="B294" t="str">
        <f>IF(SEFAZ!A278="","",SEFAZ!A278)</f>
        <v/>
      </c>
      <c r="C294" t="str">
        <f>IF(SEFAZ!C278="","",SEFAZ!C278)</f>
        <v/>
      </c>
      <c r="D294" t="str">
        <f>IF(SEFAZ!D278="","",SEFAZ!D278)</f>
        <v/>
      </c>
      <c r="E294" s="7" t="str">
        <f>IF(SEFAZ!E278="","",SEFAZ!E278)</f>
        <v/>
      </c>
      <c r="F294" s="6" t="str">
        <f>IF(SEFAZ!F278="","",VALUE(SUBSTITUTE(SEFAZ!F278,"'","")))</f>
        <v/>
      </c>
      <c r="G294" t="str">
        <f>IF(SEFAZ!H278="","",SEFAZ!H278)</f>
        <v/>
      </c>
      <c r="H294" t="str">
        <f>IF(SEFAZ!L278="","",SEFAZ!L278)</f>
        <v/>
      </c>
      <c r="I294" t="str">
        <f>IF(SEFAZ!N278="","",SEFAZ!N278)</f>
        <v/>
      </c>
      <c r="J294" t="str">
        <f>IF(SEFAZ!O278="","",SEFAZ!O278)</f>
        <v/>
      </c>
      <c r="K294" s="11" t="str">
        <f>IF(SEFAZ!P278="","",SEFAZ!P278)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hidden="1" x14ac:dyDescent="0.3">
      <c r="B295" t="str">
        <f>IF(SEFAZ!A279="","",SEFAZ!A279)</f>
        <v/>
      </c>
      <c r="C295" t="str">
        <f>IF(SEFAZ!C279="","",SEFAZ!C279)</f>
        <v/>
      </c>
      <c r="D295" t="str">
        <f>IF(SEFAZ!D279="","",SEFAZ!D279)</f>
        <v/>
      </c>
      <c r="E295" s="7" t="str">
        <f>IF(SEFAZ!E279="","",SEFAZ!E279)</f>
        <v/>
      </c>
      <c r="F295" s="6" t="str">
        <f>IF(SEFAZ!F279="","",VALUE(SUBSTITUTE(SEFAZ!F279,"'","")))</f>
        <v/>
      </c>
      <c r="G295" t="str">
        <f>IF(SEFAZ!H279="","",SEFAZ!H279)</f>
        <v/>
      </c>
      <c r="H295" t="str">
        <f>IF(SEFAZ!L279="","",SEFAZ!L279)</f>
        <v/>
      </c>
      <c r="I295" t="str">
        <f>IF(SEFAZ!N279="","",SEFAZ!N279)</f>
        <v/>
      </c>
      <c r="J295" t="str">
        <f>IF(SEFAZ!O279="","",SEFAZ!O279)</f>
        <v/>
      </c>
      <c r="K295" s="11" t="str">
        <f>IF(SEFAZ!P279="","",SEFAZ!P279)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hidden="1" x14ac:dyDescent="0.3">
      <c r="B296" t="str">
        <f>IF(SEFAZ!A280="","",SEFAZ!A280)</f>
        <v/>
      </c>
      <c r="C296" t="str">
        <f>IF(SEFAZ!C280="","",SEFAZ!C280)</f>
        <v/>
      </c>
      <c r="D296" t="str">
        <f>IF(SEFAZ!D280="","",SEFAZ!D280)</f>
        <v/>
      </c>
      <c r="E296" s="7" t="str">
        <f>IF(SEFAZ!E280="","",SEFAZ!E280)</f>
        <v/>
      </c>
      <c r="F296" s="6" t="str">
        <f>IF(SEFAZ!F280="","",VALUE(SUBSTITUTE(SEFAZ!F280,"'","")))</f>
        <v/>
      </c>
      <c r="G296" t="str">
        <f>IF(SEFAZ!H280="","",SEFAZ!H280)</f>
        <v/>
      </c>
      <c r="H296" t="str">
        <f>IF(SEFAZ!L280="","",SEFAZ!L280)</f>
        <v/>
      </c>
      <c r="I296" t="str">
        <f>IF(SEFAZ!N280="","",SEFAZ!N280)</f>
        <v/>
      </c>
      <c r="J296" t="str">
        <f>IF(SEFAZ!O280="","",SEFAZ!O280)</f>
        <v/>
      </c>
      <c r="K296" s="11" t="str">
        <f>IF(SEFAZ!P280="","",SEFAZ!P280)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hidden="1" x14ac:dyDescent="0.3">
      <c r="B297" t="str">
        <f>IF(SEFAZ!A281="","",SEFAZ!A281)</f>
        <v/>
      </c>
      <c r="C297" t="str">
        <f>IF(SEFAZ!C281="","",SEFAZ!C281)</f>
        <v/>
      </c>
      <c r="D297" t="str">
        <f>IF(SEFAZ!D281="","",SEFAZ!D281)</f>
        <v/>
      </c>
      <c r="E297" s="7" t="str">
        <f>IF(SEFAZ!E281="","",SEFAZ!E281)</f>
        <v/>
      </c>
      <c r="F297" s="6" t="str">
        <f>IF(SEFAZ!F281="","",VALUE(SUBSTITUTE(SEFAZ!F281,"'","")))</f>
        <v/>
      </c>
      <c r="G297" t="str">
        <f>IF(SEFAZ!H281="","",SEFAZ!H281)</f>
        <v/>
      </c>
      <c r="H297" t="str">
        <f>IF(SEFAZ!L281="","",SEFAZ!L281)</f>
        <v/>
      </c>
      <c r="I297" t="str">
        <f>IF(SEFAZ!N281="","",SEFAZ!N281)</f>
        <v/>
      </c>
      <c r="J297" t="str">
        <f>IF(SEFAZ!O281="","",SEFAZ!O281)</f>
        <v/>
      </c>
      <c r="K297" s="11" t="str">
        <f>IF(SEFAZ!P281="","",SEFAZ!P281)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hidden="1" x14ac:dyDescent="0.3">
      <c r="B298" t="str">
        <f>IF(SEFAZ!A282="","",SEFAZ!A282)</f>
        <v/>
      </c>
      <c r="C298" t="str">
        <f>IF(SEFAZ!C282="","",SEFAZ!C282)</f>
        <v/>
      </c>
      <c r="D298" t="str">
        <f>IF(SEFAZ!D282="","",SEFAZ!D282)</f>
        <v/>
      </c>
      <c r="E298" s="7" t="str">
        <f>IF(SEFAZ!E282="","",SEFAZ!E282)</f>
        <v/>
      </c>
      <c r="F298" s="6" t="str">
        <f>IF(SEFAZ!F282="","",VALUE(SUBSTITUTE(SEFAZ!F282,"'","")))</f>
        <v/>
      </c>
      <c r="G298" t="str">
        <f>IF(SEFAZ!H282="","",SEFAZ!H282)</f>
        <v/>
      </c>
      <c r="H298" t="str">
        <f>IF(SEFAZ!L282="","",SEFAZ!L282)</f>
        <v/>
      </c>
      <c r="I298" t="str">
        <f>IF(SEFAZ!N282="","",SEFAZ!N282)</f>
        <v/>
      </c>
      <c r="J298" t="str">
        <f>IF(SEFAZ!O282="","",SEFAZ!O282)</f>
        <v/>
      </c>
      <c r="K298" s="11" t="str">
        <f>IF(SEFAZ!P282="","",SEFAZ!P282)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hidden="1" x14ac:dyDescent="0.3">
      <c r="B299" t="str">
        <f>IF(SEFAZ!A283="","",SEFAZ!A283)</f>
        <v/>
      </c>
      <c r="C299" t="str">
        <f>IF(SEFAZ!C283="","",SEFAZ!C283)</f>
        <v/>
      </c>
      <c r="D299" t="str">
        <f>IF(SEFAZ!D283="","",SEFAZ!D283)</f>
        <v/>
      </c>
      <c r="E299" s="7" t="str">
        <f>IF(SEFAZ!E283="","",SEFAZ!E283)</f>
        <v/>
      </c>
      <c r="F299" s="6" t="str">
        <f>IF(SEFAZ!F283="","",VALUE(SUBSTITUTE(SEFAZ!F283,"'","")))</f>
        <v/>
      </c>
      <c r="G299" t="str">
        <f>IF(SEFAZ!H283="","",SEFAZ!H283)</f>
        <v/>
      </c>
      <c r="H299" t="str">
        <f>IF(SEFAZ!L283="","",SEFAZ!L283)</f>
        <v/>
      </c>
      <c r="I299" t="str">
        <f>IF(SEFAZ!N283="","",SEFAZ!N283)</f>
        <v/>
      </c>
      <c r="J299" t="str">
        <f>IF(SEFAZ!O283="","",SEFAZ!O283)</f>
        <v/>
      </c>
      <c r="K299" s="11" t="str">
        <f>IF(SEFAZ!P283="","",SEFAZ!P283)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hidden="1" x14ac:dyDescent="0.3">
      <c r="B300" t="str">
        <f>IF(SEFAZ!A284="","",SEFAZ!A284)</f>
        <v/>
      </c>
      <c r="C300" t="str">
        <f>IF(SEFAZ!C284="","",SEFAZ!C284)</f>
        <v/>
      </c>
      <c r="D300" t="str">
        <f>IF(SEFAZ!D284="","",SEFAZ!D284)</f>
        <v/>
      </c>
      <c r="E300" s="7" t="str">
        <f>IF(SEFAZ!E284="","",SEFAZ!E284)</f>
        <v/>
      </c>
      <c r="F300" s="6" t="str">
        <f>IF(SEFAZ!F284="","",VALUE(SUBSTITUTE(SEFAZ!F284,"'","")))</f>
        <v/>
      </c>
      <c r="G300" t="str">
        <f>IF(SEFAZ!H284="","",SEFAZ!H284)</f>
        <v/>
      </c>
      <c r="H300" t="str">
        <f>IF(SEFAZ!L284="","",SEFAZ!L284)</f>
        <v/>
      </c>
      <c r="I300" t="str">
        <f>IF(SEFAZ!N284="","",SEFAZ!N284)</f>
        <v/>
      </c>
      <c r="J300" t="str">
        <f>IF(SEFAZ!O284="","",SEFAZ!O284)</f>
        <v/>
      </c>
      <c r="K300" s="11" t="str">
        <f>IF(SEFAZ!P284="","",SEFAZ!P284)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hidden="1" x14ac:dyDescent="0.3">
      <c r="B301" t="str">
        <f>IF(SEFAZ!A285="","",SEFAZ!A285)</f>
        <v/>
      </c>
      <c r="C301" t="str">
        <f>IF(SEFAZ!C285="","",SEFAZ!C285)</f>
        <v/>
      </c>
      <c r="D301" t="str">
        <f>IF(SEFAZ!D285="","",SEFAZ!D285)</f>
        <v/>
      </c>
      <c r="E301" s="7" t="str">
        <f>IF(SEFAZ!E285="","",SEFAZ!E285)</f>
        <v/>
      </c>
      <c r="F301" s="6" t="str">
        <f>IF(SEFAZ!F285="","",VALUE(SUBSTITUTE(SEFAZ!F285,"'","")))</f>
        <v/>
      </c>
      <c r="G301" t="str">
        <f>IF(SEFAZ!H285="","",SEFAZ!H285)</f>
        <v/>
      </c>
      <c r="H301" t="str">
        <f>IF(SEFAZ!L285="","",SEFAZ!L285)</f>
        <v/>
      </c>
      <c r="I301" t="str">
        <f>IF(SEFAZ!N285="","",SEFAZ!N285)</f>
        <v/>
      </c>
      <c r="J301" t="str">
        <f>IF(SEFAZ!O285="","",SEFAZ!O285)</f>
        <v/>
      </c>
      <c r="K301" s="11" t="str">
        <f>IF(SEFAZ!P285="","",SEFAZ!P285)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hidden="1" x14ac:dyDescent="0.3">
      <c r="B302" t="str">
        <f>IF(SEFAZ!A286="","",SEFAZ!A286)</f>
        <v/>
      </c>
      <c r="C302" t="str">
        <f>IF(SEFAZ!C286="","",SEFAZ!C286)</f>
        <v/>
      </c>
      <c r="D302" t="str">
        <f>IF(SEFAZ!D286="","",SEFAZ!D286)</f>
        <v/>
      </c>
      <c r="E302" s="7" t="str">
        <f>IF(SEFAZ!E286="","",SEFAZ!E286)</f>
        <v/>
      </c>
      <c r="F302" s="6" t="str">
        <f>IF(SEFAZ!F286="","",VALUE(SUBSTITUTE(SEFAZ!F286,"'","")))</f>
        <v/>
      </c>
      <c r="G302" t="str">
        <f>IF(SEFAZ!H286="","",SEFAZ!H286)</f>
        <v/>
      </c>
      <c r="H302" t="str">
        <f>IF(SEFAZ!L286="","",SEFAZ!L286)</f>
        <v/>
      </c>
      <c r="I302" t="str">
        <f>IF(SEFAZ!N286="","",SEFAZ!N286)</f>
        <v/>
      </c>
      <c r="J302" t="str">
        <f>IF(SEFAZ!O286="","",SEFAZ!O286)</f>
        <v/>
      </c>
      <c r="K302" s="11" t="str">
        <f>IF(SEFAZ!P286="","",SEFAZ!P286)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hidden="1" x14ac:dyDescent="0.3">
      <c r="B303" t="str">
        <f>IF(SEFAZ!A287="","",SEFAZ!A287)</f>
        <v/>
      </c>
      <c r="C303" t="str">
        <f>IF(SEFAZ!C287="","",SEFAZ!C287)</f>
        <v/>
      </c>
      <c r="D303" t="str">
        <f>IF(SEFAZ!D287="","",SEFAZ!D287)</f>
        <v/>
      </c>
      <c r="E303" s="7" t="str">
        <f>IF(SEFAZ!E287="","",SEFAZ!E287)</f>
        <v/>
      </c>
      <c r="F303" s="6" t="str">
        <f>IF(SEFAZ!F287="","",VALUE(SUBSTITUTE(SEFAZ!F287,"'","")))</f>
        <v/>
      </c>
      <c r="G303" t="str">
        <f>IF(SEFAZ!H287="","",SEFAZ!H287)</f>
        <v/>
      </c>
      <c r="H303" t="str">
        <f>IF(SEFAZ!L287="","",SEFAZ!L287)</f>
        <v/>
      </c>
      <c r="I303" t="str">
        <f>IF(SEFAZ!N287="","",SEFAZ!N287)</f>
        <v/>
      </c>
      <c r="J303" t="str">
        <f>IF(SEFAZ!O287="","",SEFAZ!O287)</f>
        <v/>
      </c>
      <c r="K303" s="11" t="str">
        <f>IF(SEFAZ!P287="","",SEFAZ!P287)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hidden="1" x14ac:dyDescent="0.3">
      <c r="B304" t="str">
        <f>IF(SEFAZ!A288="","",SEFAZ!A288)</f>
        <v/>
      </c>
      <c r="C304" t="str">
        <f>IF(SEFAZ!C288="","",SEFAZ!C288)</f>
        <v/>
      </c>
      <c r="D304" t="str">
        <f>IF(SEFAZ!D288="","",SEFAZ!D288)</f>
        <v/>
      </c>
      <c r="E304" s="7" t="str">
        <f>IF(SEFAZ!E288="","",SEFAZ!E288)</f>
        <v/>
      </c>
      <c r="F304" s="6" t="str">
        <f>IF(SEFAZ!F288="","",VALUE(SUBSTITUTE(SEFAZ!F288,"'","")))</f>
        <v/>
      </c>
      <c r="G304" t="str">
        <f>IF(SEFAZ!H288="","",SEFAZ!H288)</f>
        <v/>
      </c>
      <c r="H304" t="str">
        <f>IF(SEFAZ!L288="","",SEFAZ!L288)</f>
        <v/>
      </c>
      <c r="I304" t="str">
        <f>IF(SEFAZ!N288="","",SEFAZ!N288)</f>
        <v/>
      </c>
      <c r="J304" t="str">
        <f>IF(SEFAZ!O288="","",SEFAZ!O288)</f>
        <v/>
      </c>
      <c r="K304" s="11" t="str">
        <f>IF(SEFAZ!P288="","",SEFAZ!P288)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hidden="1" x14ac:dyDescent="0.3">
      <c r="B305" t="str">
        <f>IF(SEFAZ!A289="","",SEFAZ!A289)</f>
        <v/>
      </c>
      <c r="C305" t="str">
        <f>IF(SEFAZ!C289="","",SEFAZ!C289)</f>
        <v/>
      </c>
      <c r="D305" t="str">
        <f>IF(SEFAZ!D289="","",SEFAZ!D289)</f>
        <v/>
      </c>
      <c r="E305" s="7" t="str">
        <f>IF(SEFAZ!E289="","",SEFAZ!E289)</f>
        <v/>
      </c>
      <c r="F305" s="6" t="str">
        <f>IF(SEFAZ!F289="","",VALUE(SUBSTITUTE(SEFAZ!F289,"'","")))</f>
        <v/>
      </c>
      <c r="G305" t="str">
        <f>IF(SEFAZ!H289="","",SEFAZ!H289)</f>
        <v/>
      </c>
      <c r="H305" t="str">
        <f>IF(SEFAZ!L289="","",SEFAZ!L289)</f>
        <v/>
      </c>
      <c r="I305" t="str">
        <f>IF(SEFAZ!N289="","",SEFAZ!N289)</f>
        <v/>
      </c>
      <c r="J305" t="str">
        <f>IF(SEFAZ!O289="","",SEFAZ!O289)</f>
        <v/>
      </c>
      <c r="K305" s="11" t="str">
        <f>IF(SEFAZ!P289="","",SEFAZ!P289)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hidden="1" x14ac:dyDescent="0.3">
      <c r="B306" t="str">
        <f>IF(SEFAZ!A290="","",SEFAZ!A290)</f>
        <v/>
      </c>
      <c r="C306" t="str">
        <f>IF(SEFAZ!C290="","",SEFAZ!C290)</f>
        <v/>
      </c>
      <c r="D306" t="str">
        <f>IF(SEFAZ!D290="","",SEFAZ!D290)</f>
        <v/>
      </c>
      <c r="E306" s="7" t="str">
        <f>IF(SEFAZ!E290="","",SEFAZ!E290)</f>
        <v/>
      </c>
      <c r="F306" s="6" t="str">
        <f>IF(SEFAZ!F290="","",VALUE(SUBSTITUTE(SEFAZ!F290,"'","")))</f>
        <v/>
      </c>
      <c r="G306" t="str">
        <f>IF(SEFAZ!H290="","",SEFAZ!H290)</f>
        <v/>
      </c>
      <c r="H306" t="str">
        <f>IF(SEFAZ!L290="","",SEFAZ!L290)</f>
        <v/>
      </c>
      <c r="I306" t="str">
        <f>IF(SEFAZ!N290="","",SEFAZ!N290)</f>
        <v/>
      </c>
      <c r="J306" t="str">
        <f>IF(SEFAZ!O290="","",SEFAZ!O290)</f>
        <v/>
      </c>
      <c r="K306" s="11" t="str">
        <f>IF(SEFAZ!P290="","",SEFAZ!P290)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hidden="1" x14ac:dyDescent="0.3">
      <c r="B307" t="str">
        <f>IF(SEFAZ!A291="","",SEFAZ!A291)</f>
        <v/>
      </c>
      <c r="C307" t="str">
        <f>IF(SEFAZ!C291="","",SEFAZ!C291)</f>
        <v/>
      </c>
      <c r="D307" t="str">
        <f>IF(SEFAZ!D291="","",SEFAZ!D291)</f>
        <v/>
      </c>
      <c r="E307" s="7" t="str">
        <f>IF(SEFAZ!E291="","",SEFAZ!E291)</f>
        <v/>
      </c>
      <c r="F307" s="6" t="str">
        <f>IF(SEFAZ!F291="","",VALUE(SUBSTITUTE(SEFAZ!F291,"'","")))</f>
        <v/>
      </c>
      <c r="G307" t="str">
        <f>IF(SEFAZ!H291="","",SEFAZ!H291)</f>
        <v/>
      </c>
      <c r="H307" t="str">
        <f>IF(SEFAZ!L291="","",SEFAZ!L291)</f>
        <v/>
      </c>
      <c r="I307" t="str">
        <f>IF(SEFAZ!N291="","",SEFAZ!N291)</f>
        <v/>
      </c>
      <c r="J307" t="str">
        <f>IF(SEFAZ!O291="","",SEFAZ!O291)</f>
        <v/>
      </c>
      <c r="K307" s="11" t="str">
        <f>IF(SEFAZ!P291="","",SEFAZ!P291)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hidden="1" x14ac:dyDescent="0.3">
      <c r="B308" t="str">
        <f>IF(SEFAZ!A292="","",SEFAZ!A292)</f>
        <v/>
      </c>
      <c r="C308" t="str">
        <f>IF(SEFAZ!C292="","",SEFAZ!C292)</f>
        <v/>
      </c>
      <c r="D308" t="str">
        <f>IF(SEFAZ!D292="","",SEFAZ!D292)</f>
        <v/>
      </c>
      <c r="E308" s="7" t="str">
        <f>IF(SEFAZ!E292="","",SEFAZ!E292)</f>
        <v/>
      </c>
      <c r="F308" s="6" t="str">
        <f>IF(SEFAZ!F292="","",VALUE(SUBSTITUTE(SEFAZ!F292,"'","")))</f>
        <v/>
      </c>
      <c r="G308" t="str">
        <f>IF(SEFAZ!H292="","",SEFAZ!H292)</f>
        <v/>
      </c>
      <c r="H308" t="str">
        <f>IF(SEFAZ!L292="","",SEFAZ!L292)</f>
        <v/>
      </c>
      <c r="I308" t="str">
        <f>IF(SEFAZ!N292="","",SEFAZ!N292)</f>
        <v/>
      </c>
      <c r="J308" t="str">
        <f>IF(SEFAZ!O292="","",SEFAZ!O292)</f>
        <v/>
      </c>
      <c r="K308" s="11" t="str">
        <f>IF(SEFAZ!P292="","",SEFAZ!P292)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hidden="1" x14ac:dyDescent="0.3">
      <c r="B309" t="str">
        <f>IF(SEFAZ!A293="","",SEFAZ!A293)</f>
        <v/>
      </c>
      <c r="C309" t="str">
        <f>IF(SEFAZ!C293="","",SEFAZ!C293)</f>
        <v/>
      </c>
      <c r="D309" t="str">
        <f>IF(SEFAZ!D293="","",SEFAZ!D293)</f>
        <v/>
      </c>
      <c r="E309" s="7" t="str">
        <f>IF(SEFAZ!E293="","",SEFAZ!E293)</f>
        <v/>
      </c>
      <c r="F309" s="6" t="str">
        <f>IF(SEFAZ!F293="","",VALUE(SUBSTITUTE(SEFAZ!F293,"'","")))</f>
        <v/>
      </c>
      <c r="G309" t="str">
        <f>IF(SEFAZ!H293="","",SEFAZ!H293)</f>
        <v/>
      </c>
      <c r="H309" t="str">
        <f>IF(SEFAZ!L293="","",SEFAZ!L293)</f>
        <v/>
      </c>
      <c r="I309" t="str">
        <f>IF(SEFAZ!N293="","",SEFAZ!N293)</f>
        <v/>
      </c>
      <c r="J309" t="str">
        <f>IF(SEFAZ!O293="","",SEFAZ!O293)</f>
        <v/>
      </c>
      <c r="K309" s="11" t="str">
        <f>IF(SEFAZ!P293="","",SEFAZ!P293)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hidden="1" x14ac:dyDescent="0.3">
      <c r="B310" t="str">
        <f>IF(SEFAZ!A294="","",SEFAZ!A294)</f>
        <v/>
      </c>
      <c r="C310" t="str">
        <f>IF(SEFAZ!C294="","",SEFAZ!C294)</f>
        <v/>
      </c>
      <c r="D310" t="str">
        <f>IF(SEFAZ!D294="","",SEFAZ!D294)</f>
        <v/>
      </c>
      <c r="E310" s="7" t="str">
        <f>IF(SEFAZ!E294="","",SEFAZ!E294)</f>
        <v/>
      </c>
      <c r="F310" s="6" t="str">
        <f>IF(SEFAZ!F294="","",VALUE(SUBSTITUTE(SEFAZ!F294,"'","")))</f>
        <v/>
      </c>
      <c r="G310" t="str">
        <f>IF(SEFAZ!H294="","",SEFAZ!H294)</f>
        <v/>
      </c>
      <c r="H310" t="str">
        <f>IF(SEFAZ!L294="","",SEFAZ!L294)</f>
        <v/>
      </c>
      <c r="I310" t="str">
        <f>IF(SEFAZ!N294="","",SEFAZ!N294)</f>
        <v/>
      </c>
      <c r="J310" t="str">
        <f>IF(SEFAZ!O294="","",SEFAZ!O294)</f>
        <v/>
      </c>
      <c r="K310" s="11" t="str">
        <f>IF(SEFAZ!P294="","",SEFAZ!P294)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hidden="1" x14ac:dyDescent="0.3">
      <c r="B311" t="str">
        <f>IF(SEFAZ!A295="","",SEFAZ!A295)</f>
        <v/>
      </c>
      <c r="C311" t="str">
        <f>IF(SEFAZ!C295="","",SEFAZ!C295)</f>
        <v/>
      </c>
      <c r="D311" t="str">
        <f>IF(SEFAZ!D295="","",SEFAZ!D295)</f>
        <v/>
      </c>
      <c r="E311" s="7" t="str">
        <f>IF(SEFAZ!E295="","",SEFAZ!E295)</f>
        <v/>
      </c>
      <c r="F311" s="6" t="str">
        <f>IF(SEFAZ!F295="","",VALUE(SUBSTITUTE(SEFAZ!F295,"'","")))</f>
        <v/>
      </c>
      <c r="G311" t="str">
        <f>IF(SEFAZ!H295="","",SEFAZ!H295)</f>
        <v/>
      </c>
      <c r="H311" t="str">
        <f>IF(SEFAZ!L295="","",SEFAZ!L295)</f>
        <v/>
      </c>
      <c r="I311" t="str">
        <f>IF(SEFAZ!N295="","",SEFAZ!N295)</f>
        <v/>
      </c>
      <c r="J311" t="str">
        <f>IF(SEFAZ!O295="","",SEFAZ!O295)</f>
        <v/>
      </c>
      <c r="K311" s="11" t="str">
        <f>IF(SEFAZ!P295="","",SEFAZ!P295)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hidden="1" x14ac:dyDescent="0.3">
      <c r="B312" t="str">
        <f>IF(SEFAZ!A296="","",SEFAZ!A296)</f>
        <v/>
      </c>
      <c r="C312" t="str">
        <f>IF(SEFAZ!C296="","",SEFAZ!C296)</f>
        <v/>
      </c>
      <c r="D312" t="str">
        <f>IF(SEFAZ!D296="","",SEFAZ!D296)</f>
        <v/>
      </c>
      <c r="E312" s="7" t="str">
        <f>IF(SEFAZ!E296="","",SEFAZ!E296)</f>
        <v/>
      </c>
      <c r="F312" s="6" t="str">
        <f>IF(SEFAZ!F296="","",VALUE(SUBSTITUTE(SEFAZ!F296,"'","")))</f>
        <v/>
      </c>
      <c r="G312" t="str">
        <f>IF(SEFAZ!H296="","",SEFAZ!H296)</f>
        <v/>
      </c>
      <c r="H312" t="str">
        <f>IF(SEFAZ!L296="","",SEFAZ!L296)</f>
        <v/>
      </c>
      <c r="I312" t="str">
        <f>IF(SEFAZ!N296="","",SEFAZ!N296)</f>
        <v/>
      </c>
      <c r="J312" t="str">
        <f>IF(SEFAZ!O296="","",SEFAZ!O296)</f>
        <v/>
      </c>
      <c r="K312" s="11" t="str">
        <f>IF(SEFAZ!P296="","",SEFAZ!P296)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hidden="1" x14ac:dyDescent="0.3">
      <c r="B313" t="str">
        <f>IF(SEFAZ!A297="","",SEFAZ!A297)</f>
        <v/>
      </c>
      <c r="C313" t="str">
        <f>IF(SEFAZ!C297="","",SEFAZ!C297)</f>
        <v/>
      </c>
      <c r="D313" t="str">
        <f>IF(SEFAZ!D297="","",SEFAZ!D297)</f>
        <v/>
      </c>
      <c r="E313" s="7" t="str">
        <f>IF(SEFAZ!E297="","",SEFAZ!E297)</f>
        <v/>
      </c>
      <c r="F313" s="6" t="str">
        <f>IF(SEFAZ!F297="","",VALUE(SUBSTITUTE(SEFAZ!F297,"'","")))</f>
        <v/>
      </c>
      <c r="G313" t="str">
        <f>IF(SEFAZ!H297="","",SEFAZ!H297)</f>
        <v/>
      </c>
      <c r="H313" t="str">
        <f>IF(SEFAZ!L297="","",SEFAZ!L297)</f>
        <v/>
      </c>
      <c r="I313" t="str">
        <f>IF(SEFAZ!N297="","",SEFAZ!N297)</f>
        <v/>
      </c>
      <c r="J313" t="str">
        <f>IF(SEFAZ!O297="","",SEFAZ!O297)</f>
        <v/>
      </c>
      <c r="K313" s="11" t="str">
        <f>IF(SEFAZ!P297="","",SEFAZ!P297)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hidden="1" x14ac:dyDescent="0.3">
      <c r="B314" t="str">
        <f>IF(SEFAZ!A298="","",SEFAZ!A298)</f>
        <v/>
      </c>
      <c r="C314" t="str">
        <f>IF(SEFAZ!C298="","",SEFAZ!C298)</f>
        <v/>
      </c>
      <c r="D314" t="str">
        <f>IF(SEFAZ!D298="","",SEFAZ!D298)</f>
        <v/>
      </c>
      <c r="E314" s="7" t="str">
        <f>IF(SEFAZ!E298="","",SEFAZ!E298)</f>
        <v/>
      </c>
      <c r="F314" s="6" t="str">
        <f>IF(SEFAZ!F298="","",VALUE(SUBSTITUTE(SEFAZ!F298,"'","")))</f>
        <v/>
      </c>
      <c r="G314" t="str">
        <f>IF(SEFAZ!H298="","",SEFAZ!H298)</f>
        <v/>
      </c>
      <c r="H314" t="str">
        <f>IF(SEFAZ!L298="","",SEFAZ!L298)</f>
        <v/>
      </c>
      <c r="I314" t="str">
        <f>IF(SEFAZ!N298="","",SEFAZ!N298)</f>
        <v/>
      </c>
      <c r="J314" t="str">
        <f>IF(SEFAZ!O298="","",SEFAZ!O298)</f>
        <v/>
      </c>
      <c r="K314" s="11" t="str">
        <f>IF(SEFAZ!P298="","",SEFAZ!P298)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hidden="1" x14ac:dyDescent="0.3">
      <c r="B315" t="str">
        <f>IF(SEFAZ!A299="","",SEFAZ!A299)</f>
        <v/>
      </c>
      <c r="C315" t="str">
        <f>IF(SEFAZ!C299="","",SEFAZ!C299)</f>
        <v/>
      </c>
      <c r="D315" t="str">
        <f>IF(SEFAZ!D299="","",SEFAZ!D299)</f>
        <v/>
      </c>
      <c r="E315" s="7" t="str">
        <f>IF(SEFAZ!E299="","",SEFAZ!E299)</f>
        <v/>
      </c>
      <c r="F315" s="6" t="str">
        <f>IF(SEFAZ!F299="","",VALUE(SUBSTITUTE(SEFAZ!F299,"'","")))</f>
        <v/>
      </c>
      <c r="G315" t="str">
        <f>IF(SEFAZ!H299="","",SEFAZ!H299)</f>
        <v/>
      </c>
      <c r="H315" t="str">
        <f>IF(SEFAZ!L299="","",SEFAZ!L299)</f>
        <v/>
      </c>
      <c r="I315" t="str">
        <f>IF(SEFAZ!N299="","",SEFAZ!N299)</f>
        <v/>
      </c>
      <c r="J315" t="str">
        <f>IF(SEFAZ!O299="","",SEFAZ!O299)</f>
        <v/>
      </c>
      <c r="K315" s="11" t="str">
        <f>IF(SEFAZ!P299="","",SEFAZ!P299)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hidden="1" x14ac:dyDescent="0.3">
      <c r="B316" t="str">
        <f>IF(SEFAZ!A300="","",SEFAZ!A300)</f>
        <v/>
      </c>
      <c r="C316" t="str">
        <f>IF(SEFAZ!C300="","",SEFAZ!C300)</f>
        <v/>
      </c>
      <c r="D316" t="str">
        <f>IF(SEFAZ!D300="","",SEFAZ!D300)</f>
        <v/>
      </c>
      <c r="E316" s="7" t="str">
        <f>IF(SEFAZ!E300="","",SEFAZ!E300)</f>
        <v/>
      </c>
      <c r="F316" s="6" t="str">
        <f>IF(SEFAZ!F300="","",VALUE(SUBSTITUTE(SEFAZ!F300,"'","")))</f>
        <v/>
      </c>
      <c r="G316" t="str">
        <f>IF(SEFAZ!H300="","",SEFAZ!H300)</f>
        <v/>
      </c>
      <c r="H316" t="str">
        <f>IF(SEFAZ!L300="","",SEFAZ!L300)</f>
        <v/>
      </c>
      <c r="I316" t="str">
        <f>IF(SEFAZ!N300="","",SEFAZ!N300)</f>
        <v/>
      </c>
      <c r="J316" t="str">
        <f>IF(SEFAZ!O300="","",SEFAZ!O300)</f>
        <v/>
      </c>
      <c r="K316" s="11" t="str">
        <f>IF(SEFAZ!P300="","",SEFAZ!P300)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hidden="1" x14ac:dyDescent="0.3">
      <c r="B317" t="str">
        <f>IF(SEFAZ!A301="","",SEFAZ!A301)</f>
        <v/>
      </c>
      <c r="C317" t="str">
        <f>IF(SEFAZ!C301="","",SEFAZ!C301)</f>
        <v/>
      </c>
      <c r="D317" t="str">
        <f>IF(SEFAZ!D301="","",SEFAZ!D301)</f>
        <v/>
      </c>
      <c r="E317" s="7" t="str">
        <f>IF(SEFAZ!E301="","",SEFAZ!E301)</f>
        <v/>
      </c>
      <c r="F317" s="6" t="str">
        <f>IF(SEFAZ!F301="","",VALUE(SUBSTITUTE(SEFAZ!F301,"'","")))</f>
        <v/>
      </c>
      <c r="G317" t="str">
        <f>IF(SEFAZ!H301="","",SEFAZ!H301)</f>
        <v/>
      </c>
      <c r="H317" t="str">
        <f>IF(SEFAZ!L301="","",SEFAZ!L301)</f>
        <v/>
      </c>
      <c r="I317" t="str">
        <f>IF(SEFAZ!N301="","",SEFAZ!N301)</f>
        <v/>
      </c>
      <c r="J317" t="str">
        <f>IF(SEFAZ!O301="","",SEFAZ!O301)</f>
        <v/>
      </c>
      <c r="K317" s="11" t="str">
        <f>IF(SEFAZ!P301="","",SEFAZ!P301)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hidden="1" x14ac:dyDescent="0.3">
      <c r="B318" t="str">
        <f>IF(SEFAZ!A302="","",SEFAZ!A302)</f>
        <v/>
      </c>
      <c r="C318" t="str">
        <f>IF(SEFAZ!C302="","",SEFAZ!C302)</f>
        <v/>
      </c>
      <c r="D318" t="str">
        <f>IF(SEFAZ!D302="","",SEFAZ!D302)</f>
        <v/>
      </c>
      <c r="E318" s="7" t="str">
        <f>IF(SEFAZ!E302="","",SEFAZ!E302)</f>
        <v/>
      </c>
      <c r="F318" s="6" t="str">
        <f>IF(SEFAZ!F302="","",VALUE(SUBSTITUTE(SEFAZ!F302,"'","")))</f>
        <v/>
      </c>
      <c r="G318" t="str">
        <f>IF(SEFAZ!H302="","",SEFAZ!H302)</f>
        <v/>
      </c>
      <c r="H318" t="str">
        <f>IF(SEFAZ!L302="","",SEFAZ!L302)</f>
        <v/>
      </c>
      <c r="I318" t="str">
        <f>IF(SEFAZ!N302="","",SEFAZ!N302)</f>
        <v/>
      </c>
      <c r="J318" t="str">
        <f>IF(SEFAZ!O302="","",SEFAZ!O302)</f>
        <v/>
      </c>
      <c r="K318" s="11" t="str">
        <f>IF(SEFAZ!P302="","",SEFAZ!P302)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hidden="1" x14ac:dyDescent="0.3">
      <c r="B319" t="str">
        <f>IF(SEFAZ!A303="","",SEFAZ!A303)</f>
        <v/>
      </c>
      <c r="C319" t="str">
        <f>IF(SEFAZ!C303="","",SEFAZ!C303)</f>
        <v/>
      </c>
      <c r="D319" t="str">
        <f>IF(SEFAZ!D303="","",SEFAZ!D303)</f>
        <v/>
      </c>
      <c r="E319" s="7" t="str">
        <f>IF(SEFAZ!E303="","",SEFAZ!E303)</f>
        <v/>
      </c>
      <c r="F319" s="6" t="str">
        <f>IF(SEFAZ!F303="","",VALUE(SUBSTITUTE(SEFAZ!F303,"'","")))</f>
        <v/>
      </c>
      <c r="G319" t="str">
        <f>IF(SEFAZ!H303="","",SEFAZ!H303)</f>
        <v/>
      </c>
      <c r="H319" t="str">
        <f>IF(SEFAZ!L303="","",SEFAZ!L303)</f>
        <v/>
      </c>
      <c r="I319" t="str">
        <f>IF(SEFAZ!N303="","",SEFAZ!N303)</f>
        <v/>
      </c>
      <c r="J319" t="str">
        <f>IF(SEFAZ!O303="","",SEFAZ!O303)</f>
        <v/>
      </c>
      <c r="K319" s="11" t="str">
        <f>IF(SEFAZ!P303="","",SEFAZ!P303)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hidden="1" x14ac:dyDescent="0.3">
      <c r="B320" t="str">
        <f>IF(SEFAZ!A304="","",SEFAZ!A304)</f>
        <v/>
      </c>
      <c r="C320" t="str">
        <f>IF(SEFAZ!C304="","",SEFAZ!C304)</f>
        <v/>
      </c>
      <c r="D320" t="str">
        <f>IF(SEFAZ!D304="","",SEFAZ!D304)</f>
        <v/>
      </c>
      <c r="E320" s="7" t="str">
        <f>IF(SEFAZ!E304="","",SEFAZ!E304)</f>
        <v/>
      </c>
      <c r="F320" s="6" t="str">
        <f>IF(SEFAZ!F304="","",VALUE(SUBSTITUTE(SEFAZ!F304,"'","")))</f>
        <v/>
      </c>
      <c r="G320" t="str">
        <f>IF(SEFAZ!H304="","",SEFAZ!H304)</f>
        <v/>
      </c>
      <c r="H320" t="str">
        <f>IF(SEFAZ!L304="","",SEFAZ!L304)</f>
        <v/>
      </c>
      <c r="I320" t="str">
        <f>IF(SEFAZ!N304="","",SEFAZ!N304)</f>
        <v/>
      </c>
      <c r="J320" t="str">
        <f>IF(SEFAZ!O304="","",SEFAZ!O304)</f>
        <v/>
      </c>
      <c r="K320" s="11" t="str">
        <f>IF(SEFAZ!P304="","",SEFAZ!P304)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hidden="1" x14ac:dyDescent="0.3">
      <c r="B321" t="str">
        <f>IF(SEFAZ!A305="","",SEFAZ!A305)</f>
        <v/>
      </c>
      <c r="C321" t="str">
        <f>IF(SEFAZ!C305="","",SEFAZ!C305)</f>
        <v/>
      </c>
      <c r="D321" t="str">
        <f>IF(SEFAZ!D305="","",SEFAZ!D305)</f>
        <v/>
      </c>
      <c r="E321" s="7" t="str">
        <f>IF(SEFAZ!E305="","",SEFAZ!E305)</f>
        <v/>
      </c>
      <c r="F321" s="6" t="str">
        <f>IF(SEFAZ!F305="","",VALUE(SUBSTITUTE(SEFAZ!F305,"'","")))</f>
        <v/>
      </c>
      <c r="G321" t="str">
        <f>IF(SEFAZ!H305="","",SEFAZ!H305)</f>
        <v/>
      </c>
      <c r="H321" t="str">
        <f>IF(SEFAZ!L305="","",SEFAZ!L305)</f>
        <v/>
      </c>
      <c r="I321" t="str">
        <f>IF(SEFAZ!N305="","",SEFAZ!N305)</f>
        <v/>
      </c>
      <c r="J321" t="str">
        <f>IF(SEFAZ!O305="","",SEFAZ!O305)</f>
        <v/>
      </c>
      <c r="K321" s="11" t="str">
        <f>IF(SEFAZ!P305="","",SEFAZ!P305)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hidden="1" x14ac:dyDescent="0.3">
      <c r="B322" t="str">
        <f>IF(SEFAZ!A306="","",SEFAZ!A306)</f>
        <v/>
      </c>
      <c r="C322" t="str">
        <f>IF(SEFAZ!C306="","",SEFAZ!C306)</f>
        <v/>
      </c>
      <c r="D322" t="str">
        <f>IF(SEFAZ!D306="","",SEFAZ!D306)</f>
        <v/>
      </c>
      <c r="E322" s="7" t="str">
        <f>IF(SEFAZ!E306="","",SEFAZ!E306)</f>
        <v/>
      </c>
      <c r="F322" s="6" t="str">
        <f>IF(SEFAZ!F306="","",VALUE(SUBSTITUTE(SEFAZ!F306,"'","")))</f>
        <v/>
      </c>
      <c r="G322" t="str">
        <f>IF(SEFAZ!H306="","",SEFAZ!H306)</f>
        <v/>
      </c>
      <c r="H322" t="str">
        <f>IF(SEFAZ!L306="","",SEFAZ!L306)</f>
        <v/>
      </c>
      <c r="I322" t="str">
        <f>IF(SEFAZ!N306="","",SEFAZ!N306)</f>
        <v/>
      </c>
      <c r="J322" t="str">
        <f>IF(SEFAZ!O306="","",SEFAZ!O306)</f>
        <v/>
      </c>
      <c r="K322" s="11" t="str">
        <f>IF(SEFAZ!P306="","",SEFAZ!P306)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hidden="1" x14ac:dyDescent="0.3">
      <c r="B323" t="str">
        <f>IF(SEFAZ!A307="","",SEFAZ!A307)</f>
        <v/>
      </c>
      <c r="C323" t="str">
        <f>IF(SEFAZ!C307="","",SEFAZ!C307)</f>
        <v/>
      </c>
      <c r="D323" t="str">
        <f>IF(SEFAZ!D307="","",SEFAZ!D307)</f>
        <v/>
      </c>
      <c r="E323" s="7" t="str">
        <f>IF(SEFAZ!E307="","",SEFAZ!E307)</f>
        <v/>
      </c>
      <c r="F323" s="6" t="str">
        <f>IF(SEFAZ!F307="","",VALUE(SUBSTITUTE(SEFAZ!F307,"'","")))</f>
        <v/>
      </c>
      <c r="G323" t="str">
        <f>IF(SEFAZ!H307="","",SEFAZ!H307)</f>
        <v/>
      </c>
      <c r="H323" t="str">
        <f>IF(SEFAZ!L307="","",SEFAZ!L307)</f>
        <v/>
      </c>
      <c r="I323" t="str">
        <f>IF(SEFAZ!N307="","",SEFAZ!N307)</f>
        <v/>
      </c>
      <c r="J323" t="str">
        <f>IF(SEFAZ!O307="","",SEFAZ!O307)</f>
        <v/>
      </c>
      <c r="K323" s="11" t="str">
        <f>IF(SEFAZ!P307="","",SEFAZ!P307)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hidden="1" x14ac:dyDescent="0.3">
      <c r="B324" t="str">
        <f>IF(SEFAZ!A308="","",SEFAZ!A308)</f>
        <v/>
      </c>
      <c r="C324" t="str">
        <f>IF(SEFAZ!C308="","",SEFAZ!C308)</f>
        <v/>
      </c>
      <c r="D324" t="str">
        <f>IF(SEFAZ!D308="","",SEFAZ!D308)</f>
        <v/>
      </c>
      <c r="E324" s="7" t="str">
        <f>IF(SEFAZ!E308="","",SEFAZ!E308)</f>
        <v/>
      </c>
      <c r="F324" s="6" t="str">
        <f>IF(SEFAZ!F308="","",VALUE(SUBSTITUTE(SEFAZ!F308,"'","")))</f>
        <v/>
      </c>
      <c r="G324" t="str">
        <f>IF(SEFAZ!H308="","",SEFAZ!H308)</f>
        <v/>
      </c>
      <c r="H324" t="str">
        <f>IF(SEFAZ!L308="","",SEFAZ!L308)</f>
        <v/>
      </c>
      <c r="I324" t="str">
        <f>IF(SEFAZ!N308="","",SEFAZ!N308)</f>
        <v/>
      </c>
      <c r="J324" t="str">
        <f>IF(SEFAZ!O308="","",SEFAZ!O308)</f>
        <v/>
      </c>
      <c r="K324" s="11" t="str">
        <f>IF(SEFAZ!P308="","",SEFAZ!P308)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hidden="1" x14ac:dyDescent="0.3">
      <c r="B325" t="str">
        <f>IF(SEFAZ!A309="","",SEFAZ!A309)</f>
        <v/>
      </c>
      <c r="C325" t="str">
        <f>IF(SEFAZ!C309="","",SEFAZ!C309)</f>
        <v/>
      </c>
      <c r="D325" t="str">
        <f>IF(SEFAZ!D309="","",SEFAZ!D309)</f>
        <v/>
      </c>
      <c r="E325" s="7" t="str">
        <f>IF(SEFAZ!E309="","",SEFAZ!E309)</f>
        <v/>
      </c>
      <c r="F325" s="6" t="str">
        <f>IF(SEFAZ!F309="","",VALUE(SUBSTITUTE(SEFAZ!F309,"'","")))</f>
        <v/>
      </c>
      <c r="G325" t="str">
        <f>IF(SEFAZ!H309="","",SEFAZ!H309)</f>
        <v/>
      </c>
      <c r="H325" t="str">
        <f>IF(SEFAZ!L309="","",SEFAZ!L309)</f>
        <v/>
      </c>
      <c r="I325" t="str">
        <f>IF(SEFAZ!N309="","",SEFAZ!N309)</f>
        <v/>
      </c>
      <c r="J325" t="str">
        <f>IF(SEFAZ!O309="","",SEFAZ!O309)</f>
        <v/>
      </c>
      <c r="K325" s="11" t="str">
        <f>IF(SEFAZ!P309="","",SEFAZ!P309)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hidden="1" x14ac:dyDescent="0.3">
      <c r="B326" t="str">
        <f>IF(SEFAZ!A310="","",SEFAZ!A310)</f>
        <v/>
      </c>
      <c r="C326" t="str">
        <f>IF(SEFAZ!C310="","",SEFAZ!C310)</f>
        <v/>
      </c>
      <c r="D326" t="str">
        <f>IF(SEFAZ!D310="","",SEFAZ!D310)</f>
        <v/>
      </c>
      <c r="E326" s="7" t="str">
        <f>IF(SEFAZ!E310="","",SEFAZ!E310)</f>
        <v/>
      </c>
      <c r="F326" s="6" t="str">
        <f>IF(SEFAZ!F310="","",VALUE(SUBSTITUTE(SEFAZ!F310,"'","")))</f>
        <v/>
      </c>
      <c r="G326" t="str">
        <f>IF(SEFAZ!H310="","",SEFAZ!H310)</f>
        <v/>
      </c>
      <c r="H326" t="str">
        <f>IF(SEFAZ!L310="","",SEFAZ!L310)</f>
        <v/>
      </c>
      <c r="I326" t="str">
        <f>IF(SEFAZ!N310="","",SEFAZ!N310)</f>
        <v/>
      </c>
      <c r="J326" t="str">
        <f>IF(SEFAZ!O310="","",SEFAZ!O310)</f>
        <v/>
      </c>
      <c r="K326" s="11" t="str">
        <f>IF(SEFAZ!P310="","",SEFAZ!P310)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hidden="1" x14ac:dyDescent="0.3">
      <c r="B327" t="str">
        <f>IF(SEFAZ!A311="","",SEFAZ!A311)</f>
        <v/>
      </c>
      <c r="C327" t="str">
        <f>IF(SEFAZ!C311="","",SEFAZ!C311)</f>
        <v/>
      </c>
      <c r="D327" t="str">
        <f>IF(SEFAZ!D311="","",SEFAZ!D311)</f>
        <v/>
      </c>
      <c r="E327" s="7" t="str">
        <f>IF(SEFAZ!E311="","",SEFAZ!E311)</f>
        <v/>
      </c>
      <c r="F327" s="6" t="str">
        <f>IF(SEFAZ!F311="","",VALUE(SUBSTITUTE(SEFAZ!F311,"'","")))</f>
        <v/>
      </c>
      <c r="G327" t="str">
        <f>IF(SEFAZ!H311="","",SEFAZ!H311)</f>
        <v/>
      </c>
      <c r="H327" t="str">
        <f>IF(SEFAZ!L311="","",SEFAZ!L311)</f>
        <v/>
      </c>
      <c r="I327" t="str">
        <f>IF(SEFAZ!N311="","",SEFAZ!N311)</f>
        <v/>
      </c>
      <c r="J327" t="str">
        <f>IF(SEFAZ!O311="","",SEFAZ!O311)</f>
        <v/>
      </c>
      <c r="K327" s="11" t="str">
        <f>IF(SEFAZ!P311="","",SEFAZ!P311)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hidden="1" x14ac:dyDescent="0.3">
      <c r="B328" t="str">
        <f>IF(SEFAZ!A312="","",SEFAZ!A312)</f>
        <v/>
      </c>
      <c r="C328" t="str">
        <f>IF(SEFAZ!C312="","",SEFAZ!C312)</f>
        <v/>
      </c>
      <c r="D328" t="str">
        <f>IF(SEFAZ!D312="","",SEFAZ!D312)</f>
        <v/>
      </c>
      <c r="E328" s="7" t="str">
        <f>IF(SEFAZ!E312="","",SEFAZ!E312)</f>
        <v/>
      </c>
      <c r="F328" s="6" t="str">
        <f>IF(SEFAZ!F312="","",VALUE(SUBSTITUTE(SEFAZ!F312,"'","")))</f>
        <v/>
      </c>
      <c r="G328" t="str">
        <f>IF(SEFAZ!H312="","",SEFAZ!H312)</f>
        <v/>
      </c>
      <c r="H328" t="str">
        <f>IF(SEFAZ!L312="","",SEFAZ!L312)</f>
        <v/>
      </c>
      <c r="I328" t="str">
        <f>IF(SEFAZ!N312="","",SEFAZ!N312)</f>
        <v/>
      </c>
      <c r="J328" t="str">
        <f>IF(SEFAZ!O312="","",SEFAZ!O312)</f>
        <v/>
      </c>
      <c r="K328" s="11" t="str">
        <f>IF(SEFAZ!P312="","",SEFAZ!P312)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hidden="1" x14ac:dyDescent="0.3">
      <c r="B329" t="str">
        <f>IF(SEFAZ!A313="","",SEFAZ!A313)</f>
        <v/>
      </c>
      <c r="C329" t="str">
        <f>IF(SEFAZ!C313="","",SEFAZ!C313)</f>
        <v/>
      </c>
      <c r="D329" t="str">
        <f>IF(SEFAZ!D313="","",SEFAZ!D313)</f>
        <v/>
      </c>
      <c r="E329" s="7" t="str">
        <f>IF(SEFAZ!E313="","",SEFAZ!E313)</f>
        <v/>
      </c>
      <c r="F329" s="6" t="str">
        <f>IF(SEFAZ!F313="","",VALUE(SUBSTITUTE(SEFAZ!F313,"'","")))</f>
        <v/>
      </c>
      <c r="G329" t="str">
        <f>IF(SEFAZ!H313="","",SEFAZ!H313)</f>
        <v/>
      </c>
      <c r="H329" t="str">
        <f>IF(SEFAZ!L313="","",SEFAZ!L313)</f>
        <v/>
      </c>
      <c r="I329" t="str">
        <f>IF(SEFAZ!N313="","",SEFAZ!N313)</f>
        <v/>
      </c>
      <c r="J329" t="str">
        <f>IF(SEFAZ!O313="","",SEFAZ!O313)</f>
        <v/>
      </c>
      <c r="K329" s="11" t="str">
        <f>IF(SEFAZ!P313="","",SEFAZ!P313)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hidden="1" x14ac:dyDescent="0.3">
      <c r="B330" t="str">
        <f>IF(SEFAZ!A314="","",SEFAZ!A314)</f>
        <v/>
      </c>
      <c r="C330" t="str">
        <f>IF(SEFAZ!C314="","",SEFAZ!C314)</f>
        <v/>
      </c>
      <c r="D330" t="str">
        <f>IF(SEFAZ!D314="","",SEFAZ!D314)</f>
        <v/>
      </c>
      <c r="E330" s="7" t="str">
        <f>IF(SEFAZ!E314="","",SEFAZ!E314)</f>
        <v/>
      </c>
      <c r="F330" s="6" t="str">
        <f>IF(SEFAZ!F314="","",VALUE(SUBSTITUTE(SEFAZ!F314,"'","")))</f>
        <v/>
      </c>
      <c r="G330" t="str">
        <f>IF(SEFAZ!H314="","",SEFAZ!H314)</f>
        <v/>
      </c>
      <c r="H330" t="str">
        <f>IF(SEFAZ!L314="","",SEFAZ!L314)</f>
        <v/>
      </c>
      <c r="I330" t="str">
        <f>IF(SEFAZ!N314="","",SEFAZ!N314)</f>
        <v/>
      </c>
      <c r="J330" t="str">
        <f>IF(SEFAZ!O314="","",SEFAZ!O314)</f>
        <v/>
      </c>
      <c r="K330" s="11" t="str">
        <f>IF(SEFAZ!P314="","",SEFAZ!P314)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hidden="1" x14ac:dyDescent="0.3">
      <c r="B331" t="str">
        <f>IF(SEFAZ!A315="","",SEFAZ!A315)</f>
        <v/>
      </c>
      <c r="C331" t="str">
        <f>IF(SEFAZ!C315="","",SEFAZ!C315)</f>
        <v/>
      </c>
      <c r="D331" t="str">
        <f>IF(SEFAZ!D315="","",SEFAZ!D315)</f>
        <v/>
      </c>
      <c r="E331" s="7" t="str">
        <f>IF(SEFAZ!E315="","",SEFAZ!E315)</f>
        <v/>
      </c>
      <c r="F331" s="6" t="str">
        <f>IF(SEFAZ!F315="","",VALUE(SUBSTITUTE(SEFAZ!F315,"'","")))</f>
        <v/>
      </c>
      <c r="G331" t="str">
        <f>IF(SEFAZ!H315="","",SEFAZ!H315)</f>
        <v/>
      </c>
      <c r="H331" t="str">
        <f>IF(SEFAZ!L315="","",SEFAZ!L315)</f>
        <v/>
      </c>
      <c r="I331" t="str">
        <f>IF(SEFAZ!N315="","",SEFAZ!N315)</f>
        <v/>
      </c>
      <c r="J331" t="str">
        <f>IF(SEFAZ!O315="","",SEFAZ!O315)</f>
        <v/>
      </c>
      <c r="K331" s="11" t="str">
        <f>IF(SEFAZ!P315="","",SEFAZ!P315)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hidden="1" x14ac:dyDescent="0.3">
      <c r="B332" t="str">
        <f>IF(SEFAZ!A316="","",SEFAZ!A316)</f>
        <v/>
      </c>
      <c r="C332" t="str">
        <f>IF(SEFAZ!C316="","",SEFAZ!C316)</f>
        <v/>
      </c>
      <c r="D332" t="str">
        <f>IF(SEFAZ!D316="","",SEFAZ!D316)</f>
        <v/>
      </c>
      <c r="E332" s="7" t="str">
        <f>IF(SEFAZ!E316="","",SEFAZ!E316)</f>
        <v/>
      </c>
      <c r="F332" s="6" t="str">
        <f>IF(SEFAZ!F316="","",VALUE(SUBSTITUTE(SEFAZ!F316,"'","")))</f>
        <v/>
      </c>
      <c r="G332" t="str">
        <f>IF(SEFAZ!H316="","",SEFAZ!H316)</f>
        <v/>
      </c>
      <c r="H332" t="str">
        <f>IF(SEFAZ!L316="","",SEFAZ!L316)</f>
        <v/>
      </c>
      <c r="I332" t="str">
        <f>IF(SEFAZ!N316="","",SEFAZ!N316)</f>
        <v/>
      </c>
      <c r="J332" t="str">
        <f>IF(SEFAZ!O316="","",SEFAZ!O316)</f>
        <v/>
      </c>
      <c r="K332" s="11" t="str">
        <f>IF(SEFAZ!P316="","",SEFAZ!P316)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hidden="1" x14ac:dyDescent="0.3">
      <c r="B333" t="str">
        <f>IF(SEFAZ!A317="","",SEFAZ!A317)</f>
        <v/>
      </c>
      <c r="C333" t="str">
        <f>IF(SEFAZ!C317="","",SEFAZ!C317)</f>
        <v/>
      </c>
      <c r="D333" t="str">
        <f>IF(SEFAZ!D317="","",SEFAZ!D317)</f>
        <v/>
      </c>
      <c r="E333" s="7" t="str">
        <f>IF(SEFAZ!E317="","",SEFAZ!E317)</f>
        <v/>
      </c>
      <c r="F333" s="6" t="str">
        <f>IF(SEFAZ!F317="","",VALUE(SUBSTITUTE(SEFAZ!F317,"'","")))</f>
        <v/>
      </c>
      <c r="G333" t="str">
        <f>IF(SEFAZ!H317="","",SEFAZ!H317)</f>
        <v/>
      </c>
      <c r="H333" t="str">
        <f>IF(SEFAZ!L317="","",SEFAZ!L317)</f>
        <v/>
      </c>
      <c r="I333" t="str">
        <f>IF(SEFAZ!N317="","",SEFAZ!N317)</f>
        <v/>
      </c>
      <c r="J333" t="str">
        <f>IF(SEFAZ!O317="","",SEFAZ!O317)</f>
        <v/>
      </c>
      <c r="K333" s="11" t="str">
        <f>IF(SEFAZ!P317="","",SEFAZ!P317)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hidden="1" x14ac:dyDescent="0.3">
      <c r="B334" t="str">
        <f>IF(SEFAZ!A318="","",SEFAZ!A318)</f>
        <v/>
      </c>
      <c r="C334" t="str">
        <f>IF(SEFAZ!C318="","",SEFAZ!C318)</f>
        <v/>
      </c>
      <c r="D334" t="str">
        <f>IF(SEFAZ!D318="","",SEFAZ!D318)</f>
        <v/>
      </c>
      <c r="E334" s="7" t="str">
        <f>IF(SEFAZ!E318="","",SEFAZ!E318)</f>
        <v/>
      </c>
      <c r="F334" s="6" t="str">
        <f>IF(SEFAZ!F318="","",VALUE(SUBSTITUTE(SEFAZ!F318,"'","")))</f>
        <v/>
      </c>
      <c r="G334" t="str">
        <f>IF(SEFAZ!H318="","",SEFAZ!H318)</f>
        <v/>
      </c>
      <c r="H334" t="str">
        <f>IF(SEFAZ!L318="","",SEFAZ!L318)</f>
        <v/>
      </c>
      <c r="I334" t="str">
        <f>IF(SEFAZ!N318="","",SEFAZ!N318)</f>
        <v/>
      </c>
      <c r="J334" t="str">
        <f>IF(SEFAZ!O318="","",SEFAZ!O318)</f>
        <v/>
      </c>
      <c r="K334" s="11" t="str">
        <f>IF(SEFAZ!P318="","",SEFAZ!P318)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hidden="1" x14ac:dyDescent="0.3">
      <c r="B335" t="str">
        <f>IF(SEFAZ!A319="","",SEFAZ!A319)</f>
        <v/>
      </c>
      <c r="C335" t="str">
        <f>IF(SEFAZ!C319="","",SEFAZ!C319)</f>
        <v/>
      </c>
      <c r="D335" t="str">
        <f>IF(SEFAZ!D319="","",SEFAZ!D319)</f>
        <v/>
      </c>
      <c r="E335" s="7" t="str">
        <f>IF(SEFAZ!E319="","",SEFAZ!E319)</f>
        <v/>
      </c>
      <c r="F335" s="6" t="str">
        <f>IF(SEFAZ!F319="","",VALUE(SUBSTITUTE(SEFAZ!F319,"'","")))</f>
        <v/>
      </c>
      <c r="G335" t="str">
        <f>IF(SEFAZ!H319="","",SEFAZ!H319)</f>
        <v/>
      </c>
      <c r="H335" t="str">
        <f>IF(SEFAZ!L319="","",SEFAZ!L319)</f>
        <v/>
      </c>
      <c r="I335" t="str">
        <f>IF(SEFAZ!N319="","",SEFAZ!N319)</f>
        <v/>
      </c>
      <c r="J335" t="str">
        <f>IF(SEFAZ!O319="","",SEFAZ!O319)</f>
        <v/>
      </c>
      <c r="K335" s="11" t="str">
        <f>IF(SEFAZ!P319="","",SEFAZ!P319)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hidden="1" x14ac:dyDescent="0.3">
      <c r="B336" t="str">
        <f>IF(SEFAZ!A320="","",SEFAZ!A320)</f>
        <v/>
      </c>
      <c r="C336" t="str">
        <f>IF(SEFAZ!C320="","",SEFAZ!C320)</f>
        <v/>
      </c>
      <c r="D336" t="str">
        <f>IF(SEFAZ!D320="","",SEFAZ!D320)</f>
        <v/>
      </c>
      <c r="E336" s="7" t="str">
        <f>IF(SEFAZ!E320="","",SEFAZ!E320)</f>
        <v/>
      </c>
      <c r="F336" s="6" t="str">
        <f>IF(SEFAZ!F320="","",VALUE(SUBSTITUTE(SEFAZ!F320,"'","")))</f>
        <v/>
      </c>
      <c r="G336" t="str">
        <f>IF(SEFAZ!H320="","",SEFAZ!H320)</f>
        <v/>
      </c>
      <c r="H336" t="str">
        <f>IF(SEFAZ!L320="","",SEFAZ!L320)</f>
        <v/>
      </c>
      <c r="I336" t="str">
        <f>IF(SEFAZ!N320="","",SEFAZ!N320)</f>
        <v/>
      </c>
      <c r="J336" t="str">
        <f>IF(SEFAZ!O320="","",SEFAZ!O320)</f>
        <v/>
      </c>
      <c r="K336" s="11" t="str">
        <f>IF(SEFAZ!P320="","",SEFAZ!P320)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hidden="1" x14ac:dyDescent="0.3">
      <c r="B337" t="str">
        <f>IF(SEFAZ!A321="","",SEFAZ!A321)</f>
        <v/>
      </c>
      <c r="C337" t="str">
        <f>IF(SEFAZ!C321="","",SEFAZ!C321)</f>
        <v/>
      </c>
      <c r="D337" t="str">
        <f>IF(SEFAZ!D321="","",SEFAZ!D321)</f>
        <v/>
      </c>
      <c r="E337" s="7" t="str">
        <f>IF(SEFAZ!E321="","",SEFAZ!E321)</f>
        <v/>
      </c>
      <c r="F337" s="6" t="str">
        <f>IF(SEFAZ!F321="","",VALUE(SUBSTITUTE(SEFAZ!F321,"'","")))</f>
        <v/>
      </c>
      <c r="G337" t="str">
        <f>IF(SEFAZ!H321="","",SEFAZ!H321)</f>
        <v/>
      </c>
      <c r="H337" t="str">
        <f>IF(SEFAZ!L321="","",SEFAZ!L321)</f>
        <v/>
      </c>
      <c r="I337" t="str">
        <f>IF(SEFAZ!N321="","",SEFAZ!N321)</f>
        <v/>
      </c>
      <c r="J337" t="str">
        <f>IF(SEFAZ!O321="","",SEFAZ!O321)</f>
        <v/>
      </c>
      <c r="K337" s="11" t="str">
        <f>IF(SEFAZ!P321="","",SEFAZ!P321)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hidden="1" x14ac:dyDescent="0.3">
      <c r="B338" t="str">
        <f>IF(SEFAZ!A322="","",SEFAZ!A322)</f>
        <v/>
      </c>
      <c r="C338" t="str">
        <f>IF(SEFAZ!C322="","",SEFAZ!C322)</f>
        <v/>
      </c>
      <c r="D338" t="str">
        <f>IF(SEFAZ!D322="","",SEFAZ!D322)</f>
        <v/>
      </c>
      <c r="E338" s="7" t="str">
        <f>IF(SEFAZ!E322="","",SEFAZ!E322)</f>
        <v/>
      </c>
      <c r="F338" s="6" t="str">
        <f>IF(SEFAZ!F322="","",VALUE(SUBSTITUTE(SEFAZ!F322,"'","")))</f>
        <v/>
      </c>
      <c r="G338" t="str">
        <f>IF(SEFAZ!H322="","",SEFAZ!H322)</f>
        <v/>
      </c>
      <c r="H338" t="str">
        <f>IF(SEFAZ!L322="","",SEFAZ!L322)</f>
        <v/>
      </c>
      <c r="I338" t="str">
        <f>IF(SEFAZ!N322="","",SEFAZ!N322)</f>
        <v/>
      </c>
      <c r="J338" t="str">
        <f>IF(SEFAZ!O322="","",SEFAZ!O322)</f>
        <v/>
      </c>
      <c r="K338" s="11" t="str">
        <f>IF(SEFAZ!P322="","",SEFAZ!P322)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hidden="1" x14ac:dyDescent="0.3">
      <c r="B339" t="str">
        <f>IF(SEFAZ!A323="","",SEFAZ!A323)</f>
        <v/>
      </c>
      <c r="C339" t="str">
        <f>IF(SEFAZ!C323="","",SEFAZ!C323)</f>
        <v/>
      </c>
      <c r="D339" t="str">
        <f>IF(SEFAZ!D323="","",SEFAZ!D323)</f>
        <v/>
      </c>
      <c r="E339" s="7" t="str">
        <f>IF(SEFAZ!E323="","",SEFAZ!E323)</f>
        <v/>
      </c>
      <c r="F339" s="6" t="str">
        <f>IF(SEFAZ!F323="","",VALUE(SUBSTITUTE(SEFAZ!F323,"'","")))</f>
        <v/>
      </c>
      <c r="G339" t="str">
        <f>IF(SEFAZ!H323="","",SEFAZ!H323)</f>
        <v/>
      </c>
      <c r="H339" t="str">
        <f>IF(SEFAZ!L323="","",SEFAZ!L323)</f>
        <v/>
      </c>
      <c r="I339" t="str">
        <f>IF(SEFAZ!N323="","",SEFAZ!N323)</f>
        <v/>
      </c>
      <c r="J339" t="str">
        <f>IF(SEFAZ!O323="","",SEFAZ!O323)</f>
        <v/>
      </c>
      <c r="K339" s="11" t="str">
        <f>IF(SEFAZ!P323="","",SEFAZ!P323)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hidden="1" x14ac:dyDescent="0.3">
      <c r="B340" t="str">
        <f>IF(SEFAZ!A324="","",SEFAZ!A324)</f>
        <v/>
      </c>
      <c r="C340" t="str">
        <f>IF(SEFAZ!C324="","",SEFAZ!C324)</f>
        <v/>
      </c>
      <c r="D340" t="str">
        <f>IF(SEFAZ!D324="","",SEFAZ!D324)</f>
        <v/>
      </c>
      <c r="E340" s="7" t="str">
        <f>IF(SEFAZ!E324="","",SEFAZ!E324)</f>
        <v/>
      </c>
      <c r="F340" s="6" t="str">
        <f>IF(SEFAZ!F324="","",VALUE(SUBSTITUTE(SEFAZ!F324,"'","")))</f>
        <v/>
      </c>
      <c r="G340" t="str">
        <f>IF(SEFAZ!H324="","",SEFAZ!H324)</f>
        <v/>
      </c>
      <c r="H340" t="str">
        <f>IF(SEFAZ!L324="","",SEFAZ!L324)</f>
        <v/>
      </c>
      <c r="I340" t="str">
        <f>IF(SEFAZ!N324="","",SEFAZ!N324)</f>
        <v/>
      </c>
      <c r="J340" t="str">
        <f>IF(SEFAZ!O324="","",SEFAZ!O324)</f>
        <v/>
      </c>
      <c r="K340" s="11" t="str">
        <f>IF(SEFAZ!P324="","",SEFAZ!P324)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hidden="1" x14ac:dyDescent="0.3">
      <c r="B341" t="str">
        <f>IF(SEFAZ!A325="","",SEFAZ!A325)</f>
        <v/>
      </c>
      <c r="C341" t="str">
        <f>IF(SEFAZ!C325="","",SEFAZ!C325)</f>
        <v/>
      </c>
      <c r="D341" t="str">
        <f>IF(SEFAZ!D325="","",SEFAZ!D325)</f>
        <v/>
      </c>
      <c r="E341" s="7" t="str">
        <f>IF(SEFAZ!E325="","",SEFAZ!E325)</f>
        <v/>
      </c>
      <c r="F341" s="6" t="str">
        <f>IF(SEFAZ!F325="","",VALUE(SUBSTITUTE(SEFAZ!F325,"'","")))</f>
        <v/>
      </c>
      <c r="G341" t="str">
        <f>IF(SEFAZ!H325="","",SEFAZ!H325)</f>
        <v/>
      </c>
      <c r="H341" t="str">
        <f>IF(SEFAZ!L325="","",SEFAZ!L325)</f>
        <v/>
      </c>
      <c r="I341" t="str">
        <f>IF(SEFAZ!N325="","",SEFAZ!N325)</f>
        <v/>
      </c>
      <c r="J341" t="str">
        <f>IF(SEFAZ!O325="","",SEFAZ!O325)</f>
        <v/>
      </c>
      <c r="K341" s="11" t="str">
        <f>IF(SEFAZ!P325="","",SEFAZ!P325)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hidden="1" x14ac:dyDescent="0.3">
      <c r="B342" t="str">
        <f>IF(SEFAZ!A326="","",SEFAZ!A326)</f>
        <v/>
      </c>
      <c r="C342" t="str">
        <f>IF(SEFAZ!C326="","",SEFAZ!C326)</f>
        <v/>
      </c>
      <c r="D342" t="str">
        <f>IF(SEFAZ!D326="","",SEFAZ!D326)</f>
        <v/>
      </c>
      <c r="E342" s="7" t="str">
        <f>IF(SEFAZ!E326="","",SEFAZ!E326)</f>
        <v/>
      </c>
      <c r="F342" s="6" t="str">
        <f>IF(SEFAZ!F326="","",VALUE(SUBSTITUTE(SEFAZ!F326,"'","")))</f>
        <v/>
      </c>
      <c r="G342" t="str">
        <f>IF(SEFAZ!H326="","",SEFAZ!H326)</f>
        <v/>
      </c>
      <c r="H342" t="str">
        <f>IF(SEFAZ!L326="","",SEFAZ!L326)</f>
        <v/>
      </c>
      <c r="I342" t="str">
        <f>IF(SEFAZ!N326="","",SEFAZ!N326)</f>
        <v/>
      </c>
      <c r="J342" t="str">
        <f>IF(SEFAZ!O326="","",SEFAZ!O326)</f>
        <v/>
      </c>
      <c r="K342" s="11" t="str">
        <f>IF(SEFAZ!P326="","",SEFAZ!P326)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hidden="1" x14ac:dyDescent="0.3">
      <c r="B343" t="str">
        <f>IF(SEFAZ!A327="","",SEFAZ!A327)</f>
        <v/>
      </c>
      <c r="C343" t="str">
        <f>IF(SEFAZ!C327="","",SEFAZ!C327)</f>
        <v/>
      </c>
      <c r="D343" t="str">
        <f>IF(SEFAZ!D327="","",SEFAZ!D327)</f>
        <v/>
      </c>
      <c r="E343" s="7" t="str">
        <f>IF(SEFAZ!E327="","",SEFAZ!E327)</f>
        <v/>
      </c>
      <c r="F343" s="6" t="str">
        <f>IF(SEFAZ!F327="","",VALUE(SUBSTITUTE(SEFAZ!F327,"'","")))</f>
        <v/>
      </c>
      <c r="G343" t="str">
        <f>IF(SEFAZ!H327="","",SEFAZ!H327)</f>
        <v/>
      </c>
      <c r="H343" t="str">
        <f>IF(SEFAZ!L327="","",SEFAZ!L327)</f>
        <v/>
      </c>
      <c r="I343" t="str">
        <f>IF(SEFAZ!N327="","",SEFAZ!N327)</f>
        <v/>
      </c>
      <c r="J343" t="str">
        <f>IF(SEFAZ!O327="","",SEFAZ!O327)</f>
        <v/>
      </c>
      <c r="K343" s="11" t="str">
        <f>IF(SEFAZ!P327="","",SEFAZ!P327)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hidden="1" x14ac:dyDescent="0.3">
      <c r="B344" t="str">
        <f>IF(SEFAZ!A328="","",SEFAZ!A328)</f>
        <v/>
      </c>
      <c r="C344" t="str">
        <f>IF(SEFAZ!C328="","",SEFAZ!C328)</f>
        <v/>
      </c>
      <c r="D344" t="str">
        <f>IF(SEFAZ!D328="","",SEFAZ!D328)</f>
        <v/>
      </c>
      <c r="E344" s="7" t="str">
        <f>IF(SEFAZ!E328="","",SEFAZ!E328)</f>
        <v/>
      </c>
      <c r="F344" s="6" t="str">
        <f>IF(SEFAZ!F328="","",VALUE(SUBSTITUTE(SEFAZ!F328,"'","")))</f>
        <v/>
      </c>
      <c r="G344" t="str">
        <f>IF(SEFAZ!H328="","",SEFAZ!H328)</f>
        <v/>
      </c>
      <c r="H344" t="str">
        <f>IF(SEFAZ!L328="","",SEFAZ!L328)</f>
        <v/>
      </c>
      <c r="I344" t="str">
        <f>IF(SEFAZ!N328="","",SEFAZ!N328)</f>
        <v/>
      </c>
      <c r="J344" t="str">
        <f>IF(SEFAZ!O328="","",SEFAZ!O328)</f>
        <v/>
      </c>
      <c r="K344" s="11" t="str">
        <f>IF(SEFAZ!P328="","",SEFAZ!P328)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hidden="1" x14ac:dyDescent="0.3">
      <c r="B345" t="str">
        <f>IF(SEFAZ!A329="","",SEFAZ!A329)</f>
        <v/>
      </c>
      <c r="C345" t="str">
        <f>IF(SEFAZ!C329="","",SEFAZ!C329)</f>
        <v/>
      </c>
      <c r="D345" t="str">
        <f>IF(SEFAZ!D329="","",SEFAZ!D329)</f>
        <v/>
      </c>
      <c r="E345" s="7" t="str">
        <f>IF(SEFAZ!E329="","",SEFAZ!E329)</f>
        <v/>
      </c>
      <c r="F345" s="6" t="str">
        <f>IF(SEFAZ!F329="","",VALUE(SUBSTITUTE(SEFAZ!F329,"'","")))</f>
        <v/>
      </c>
      <c r="G345" t="str">
        <f>IF(SEFAZ!H329="","",SEFAZ!H329)</f>
        <v/>
      </c>
      <c r="H345" t="str">
        <f>IF(SEFAZ!L329="","",SEFAZ!L329)</f>
        <v/>
      </c>
      <c r="I345" t="str">
        <f>IF(SEFAZ!N329="","",SEFAZ!N329)</f>
        <v/>
      </c>
      <c r="J345" t="str">
        <f>IF(SEFAZ!O329="","",SEFAZ!O329)</f>
        <v/>
      </c>
      <c r="K345" s="11" t="str">
        <f>IF(SEFAZ!P329="","",SEFAZ!P329)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hidden="1" x14ac:dyDescent="0.3">
      <c r="B346" t="str">
        <f>IF(SEFAZ!A330="","",SEFAZ!A330)</f>
        <v/>
      </c>
      <c r="C346" t="str">
        <f>IF(SEFAZ!C330="","",SEFAZ!C330)</f>
        <v/>
      </c>
      <c r="D346" t="str">
        <f>IF(SEFAZ!D330="","",SEFAZ!D330)</f>
        <v/>
      </c>
      <c r="E346" s="7" t="str">
        <f>IF(SEFAZ!E330="","",SEFAZ!E330)</f>
        <v/>
      </c>
      <c r="F346" s="6" t="str">
        <f>IF(SEFAZ!F330="","",VALUE(SUBSTITUTE(SEFAZ!F330,"'","")))</f>
        <v/>
      </c>
      <c r="G346" t="str">
        <f>IF(SEFAZ!H330="","",SEFAZ!H330)</f>
        <v/>
      </c>
      <c r="H346" t="str">
        <f>IF(SEFAZ!L330="","",SEFAZ!L330)</f>
        <v/>
      </c>
      <c r="I346" t="str">
        <f>IF(SEFAZ!N330="","",SEFAZ!N330)</f>
        <v/>
      </c>
      <c r="J346" t="str">
        <f>IF(SEFAZ!O330="","",SEFAZ!O330)</f>
        <v/>
      </c>
      <c r="K346" s="11" t="str">
        <f>IF(SEFAZ!P330="","",SEFAZ!P330)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hidden="1" x14ac:dyDescent="0.3">
      <c r="B347" t="str">
        <f>IF(SEFAZ!A331="","",SEFAZ!A331)</f>
        <v/>
      </c>
      <c r="C347" t="str">
        <f>IF(SEFAZ!C331="","",SEFAZ!C331)</f>
        <v/>
      </c>
      <c r="D347" t="str">
        <f>IF(SEFAZ!D331="","",SEFAZ!D331)</f>
        <v/>
      </c>
      <c r="E347" s="7" t="str">
        <f>IF(SEFAZ!E331="","",SEFAZ!E331)</f>
        <v/>
      </c>
      <c r="F347" s="6" t="str">
        <f>IF(SEFAZ!F331="","",VALUE(SUBSTITUTE(SEFAZ!F331,"'","")))</f>
        <v/>
      </c>
      <c r="G347" t="str">
        <f>IF(SEFAZ!H331="","",SEFAZ!H331)</f>
        <v/>
      </c>
      <c r="H347" t="str">
        <f>IF(SEFAZ!L331="","",SEFAZ!L331)</f>
        <v/>
      </c>
      <c r="I347" t="str">
        <f>IF(SEFAZ!N331="","",SEFAZ!N331)</f>
        <v/>
      </c>
      <c r="J347" t="str">
        <f>IF(SEFAZ!O331="","",SEFAZ!O331)</f>
        <v/>
      </c>
      <c r="K347" s="11" t="str">
        <f>IF(SEFAZ!P331="","",SEFAZ!P331)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hidden="1" x14ac:dyDescent="0.3">
      <c r="B348" t="str">
        <f>IF(SEFAZ!A332="","",SEFAZ!A332)</f>
        <v/>
      </c>
      <c r="C348" t="str">
        <f>IF(SEFAZ!C332="","",SEFAZ!C332)</f>
        <v/>
      </c>
      <c r="D348" t="str">
        <f>IF(SEFAZ!D332="","",SEFAZ!D332)</f>
        <v/>
      </c>
      <c r="E348" s="7" t="str">
        <f>IF(SEFAZ!E332="","",SEFAZ!E332)</f>
        <v/>
      </c>
      <c r="F348" s="6" t="str">
        <f>IF(SEFAZ!F332="","",VALUE(SUBSTITUTE(SEFAZ!F332,"'","")))</f>
        <v/>
      </c>
      <c r="G348" t="str">
        <f>IF(SEFAZ!H332="","",SEFAZ!H332)</f>
        <v/>
      </c>
      <c r="H348" t="str">
        <f>IF(SEFAZ!L332="","",SEFAZ!L332)</f>
        <v/>
      </c>
      <c r="I348" t="str">
        <f>IF(SEFAZ!N332="","",SEFAZ!N332)</f>
        <v/>
      </c>
      <c r="J348" t="str">
        <f>IF(SEFAZ!O332="","",SEFAZ!O332)</f>
        <v/>
      </c>
      <c r="K348" s="11" t="str">
        <f>IF(SEFAZ!P332="","",SEFAZ!P332)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hidden="1" x14ac:dyDescent="0.3">
      <c r="B349" t="str">
        <f>IF(SEFAZ!A333="","",SEFAZ!A333)</f>
        <v/>
      </c>
      <c r="C349" t="str">
        <f>IF(SEFAZ!C333="","",SEFAZ!C333)</f>
        <v/>
      </c>
      <c r="D349" t="str">
        <f>IF(SEFAZ!D333="","",SEFAZ!D333)</f>
        <v/>
      </c>
      <c r="E349" s="7" t="str">
        <f>IF(SEFAZ!E333="","",SEFAZ!E333)</f>
        <v/>
      </c>
      <c r="F349" s="6" t="str">
        <f>IF(SEFAZ!F333="","",VALUE(SUBSTITUTE(SEFAZ!F333,"'","")))</f>
        <v/>
      </c>
      <c r="G349" t="str">
        <f>IF(SEFAZ!H333="","",SEFAZ!H333)</f>
        <v/>
      </c>
      <c r="H349" t="str">
        <f>IF(SEFAZ!L333="","",SEFAZ!L333)</f>
        <v/>
      </c>
      <c r="I349" t="str">
        <f>IF(SEFAZ!N333="","",SEFAZ!N333)</f>
        <v/>
      </c>
      <c r="J349" t="str">
        <f>IF(SEFAZ!O333="","",SEFAZ!O333)</f>
        <v/>
      </c>
      <c r="K349" s="11" t="str">
        <f>IF(SEFAZ!P333="","",SEFAZ!P333)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hidden="1" x14ac:dyDescent="0.3">
      <c r="B350" t="str">
        <f>IF(SEFAZ!A334="","",SEFAZ!A334)</f>
        <v/>
      </c>
      <c r="C350" t="str">
        <f>IF(SEFAZ!C334="","",SEFAZ!C334)</f>
        <v/>
      </c>
      <c r="D350" t="str">
        <f>IF(SEFAZ!D334="","",SEFAZ!D334)</f>
        <v/>
      </c>
      <c r="E350" s="7" t="str">
        <f>IF(SEFAZ!E334="","",SEFAZ!E334)</f>
        <v/>
      </c>
      <c r="F350" s="6" t="str">
        <f>IF(SEFAZ!F334="","",VALUE(SUBSTITUTE(SEFAZ!F334,"'","")))</f>
        <v/>
      </c>
      <c r="G350" t="str">
        <f>IF(SEFAZ!H334="","",SEFAZ!H334)</f>
        <v/>
      </c>
      <c r="H350" t="str">
        <f>IF(SEFAZ!L334="","",SEFAZ!L334)</f>
        <v/>
      </c>
      <c r="I350" t="str">
        <f>IF(SEFAZ!N334="","",SEFAZ!N334)</f>
        <v/>
      </c>
      <c r="J350" t="str">
        <f>IF(SEFAZ!O334="","",SEFAZ!O334)</f>
        <v/>
      </c>
      <c r="K350" s="11" t="str">
        <f>IF(SEFAZ!P334="","",SEFAZ!P334)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hidden="1" x14ac:dyDescent="0.3">
      <c r="B351" t="str">
        <f>IF(SEFAZ!A335="","",SEFAZ!A335)</f>
        <v/>
      </c>
      <c r="C351" t="str">
        <f>IF(SEFAZ!C335="","",SEFAZ!C335)</f>
        <v/>
      </c>
      <c r="D351" t="str">
        <f>IF(SEFAZ!D335="","",SEFAZ!D335)</f>
        <v/>
      </c>
      <c r="E351" s="7" t="str">
        <f>IF(SEFAZ!E335="","",SEFAZ!E335)</f>
        <v/>
      </c>
      <c r="F351" s="6" t="str">
        <f>IF(SEFAZ!F335="","",VALUE(SUBSTITUTE(SEFAZ!F335,"'","")))</f>
        <v/>
      </c>
      <c r="G351" t="str">
        <f>IF(SEFAZ!H335="","",SEFAZ!H335)</f>
        <v/>
      </c>
      <c r="H351" t="str">
        <f>IF(SEFAZ!L335="","",SEFAZ!L335)</f>
        <v/>
      </c>
      <c r="I351" t="str">
        <f>IF(SEFAZ!N335="","",SEFAZ!N335)</f>
        <v/>
      </c>
      <c r="J351" t="str">
        <f>IF(SEFAZ!O335="","",SEFAZ!O335)</f>
        <v/>
      </c>
      <c r="K351" s="11" t="str">
        <f>IF(SEFAZ!P335="","",SEFAZ!P335)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hidden="1" x14ac:dyDescent="0.3">
      <c r="B352" t="str">
        <f>IF(SEFAZ!A336="","",SEFAZ!A336)</f>
        <v/>
      </c>
      <c r="C352" t="str">
        <f>IF(SEFAZ!C336="","",SEFAZ!C336)</f>
        <v/>
      </c>
      <c r="D352" t="str">
        <f>IF(SEFAZ!D336="","",SEFAZ!D336)</f>
        <v/>
      </c>
      <c r="E352" s="7" t="str">
        <f>IF(SEFAZ!E336="","",SEFAZ!E336)</f>
        <v/>
      </c>
      <c r="F352" s="6" t="str">
        <f>IF(SEFAZ!F336="","",VALUE(SUBSTITUTE(SEFAZ!F336,"'","")))</f>
        <v/>
      </c>
      <c r="G352" t="str">
        <f>IF(SEFAZ!H336="","",SEFAZ!H336)</f>
        <v/>
      </c>
      <c r="H352" t="str">
        <f>IF(SEFAZ!L336="","",SEFAZ!L336)</f>
        <v/>
      </c>
      <c r="I352" t="str">
        <f>IF(SEFAZ!N336="","",SEFAZ!N336)</f>
        <v/>
      </c>
      <c r="J352" t="str">
        <f>IF(SEFAZ!O336="","",SEFAZ!O336)</f>
        <v/>
      </c>
      <c r="K352" s="11" t="str">
        <f>IF(SEFAZ!P336="","",SEFAZ!P336)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IF(SEFAZ!A337="","",SEFAZ!A337)</f>
        <v/>
      </c>
      <c r="C353" t="str">
        <f>IF(SEFAZ!C337="","",SEFAZ!C337)</f>
        <v/>
      </c>
      <c r="D353" t="str">
        <f>IF(SEFAZ!D337="","",SEFAZ!D337)</f>
        <v/>
      </c>
      <c r="E353" s="7" t="str">
        <f>IF(SEFAZ!E337="","",SEFAZ!E337)</f>
        <v/>
      </c>
      <c r="F353" s="6" t="str">
        <f>IF(SEFAZ!F337="","",VALUE(SUBSTITUTE(SEFAZ!F337,"'","")))</f>
        <v/>
      </c>
      <c r="G353" t="str">
        <f>IF(SEFAZ!H337="","",SEFAZ!H337)</f>
        <v/>
      </c>
      <c r="H353" t="str">
        <f>IF(SEFAZ!L337="","",SEFAZ!L337)</f>
        <v/>
      </c>
      <c r="I353" t="str">
        <f>IF(SEFAZ!N337="","",SEFAZ!N337)</f>
        <v/>
      </c>
      <c r="J353" t="str">
        <f>IF(SEFAZ!O337="","",SEFAZ!O337)</f>
        <v/>
      </c>
      <c r="K353" s="11" t="str">
        <f>IF(SEFAZ!P337="","",SEFAZ!P337)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IF(SEFAZ!A338="","",SEFAZ!A338)</f>
        <v/>
      </c>
      <c r="C354" t="str">
        <f>IF(SEFAZ!C338="","",SEFAZ!C338)</f>
        <v/>
      </c>
      <c r="D354" t="str">
        <f>IF(SEFAZ!D338="","",SEFAZ!D338)</f>
        <v/>
      </c>
      <c r="E354" s="7" t="str">
        <f>IF(SEFAZ!E338="","",SEFAZ!E338)</f>
        <v/>
      </c>
      <c r="F354" s="6" t="str">
        <f>IF(SEFAZ!F338="","",VALUE(SUBSTITUTE(SEFAZ!F338,"'","")))</f>
        <v/>
      </c>
      <c r="G354" t="str">
        <f>IF(SEFAZ!H338="","",SEFAZ!H338)</f>
        <v/>
      </c>
      <c r="H354" t="str">
        <f>IF(SEFAZ!L338="","",SEFAZ!L338)</f>
        <v/>
      </c>
      <c r="I354" t="str">
        <f>IF(SEFAZ!N338="","",SEFAZ!N338)</f>
        <v/>
      </c>
      <c r="J354" t="str">
        <f>IF(SEFAZ!O338="","",SEFAZ!O338)</f>
        <v/>
      </c>
      <c r="K354" s="11" t="str">
        <f>IF(SEFAZ!P338="","",SEFAZ!P338)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IF(SEFAZ!A339="","",SEFAZ!A339)</f>
        <v/>
      </c>
      <c r="C355" t="str">
        <f>IF(SEFAZ!C339="","",SEFAZ!C339)</f>
        <v/>
      </c>
      <c r="D355" t="str">
        <f>IF(SEFAZ!D339="","",SEFAZ!D339)</f>
        <v/>
      </c>
      <c r="E355" s="7" t="str">
        <f>IF(SEFAZ!E339="","",SEFAZ!E339)</f>
        <v/>
      </c>
      <c r="F355" s="6" t="str">
        <f>IF(SEFAZ!F339="","",VALUE(SUBSTITUTE(SEFAZ!F339,"'","")))</f>
        <v/>
      </c>
      <c r="G355" t="str">
        <f>IF(SEFAZ!H339="","",SEFAZ!H339)</f>
        <v/>
      </c>
      <c r="H355" t="str">
        <f>IF(SEFAZ!L339="","",SEFAZ!L339)</f>
        <v/>
      </c>
      <c r="I355" t="str">
        <f>IF(SEFAZ!N339="","",SEFAZ!N339)</f>
        <v/>
      </c>
      <c r="J355" t="str">
        <f>IF(SEFAZ!O339="","",SEFAZ!O339)</f>
        <v/>
      </c>
      <c r="K355" s="11" t="str">
        <f>IF(SEFAZ!P339="","",SEFAZ!P339)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IF(SEFAZ!A340="","",SEFAZ!A340)</f>
        <v/>
      </c>
      <c r="C356" t="str">
        <f>IF(SEFAZ!C340="","",SEFAZ!C340)</f>
        <v/>
      </c>
      <c r="D356" t="str">
        <f>IF(SEFAZ!D340="","",SEFAZ!D340)</f>
        <v/>
      </c>
      <c r="E356" s="7" t="str">
        <f>IF(SEFAZ!E340="","",SEFAZ!E340)</f>
        <v/>
      </c>
      <c r="F356" s="6" t="str">
        <f>IF(SEFAZ!F340="","",VALUE(SUBSTITUTE(SEFAZ!F340,"'","")))</f>
        <v/>
      </c>
      <c r="G356" t="str">
        <f>IF(SEFAZ!H340="","",SEFAZ!H340)</f>
        <v/>
      </c>
      <c r="H356" t="str">
        <f>IF(SEFAZ!L340="","",SEFAZ!L340)</f>
        <v/>
      </c>
      <c r="I356" t="str">
        <f>IF(SEFAZ!N340="","",SEFAZ!N340)</f>
        <v/>
      </c>
      <c r="J356" t="str">
        <f>IF(SEFAZ!O340="","",SEFAZ!O340)</f>
        <v/>
      </c>
      <c r="K356" s="11" t="str">
        <f>IF(SEFAZ!P340="","",SEFAZ!P340)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hidden="1" x14ac:dyDescent="0.3">
      <c r="B357" t="str">
        <f>IF(SEFAZ!A341="","",SEFAZ!A341)</f>
        <v/>
      </c>
      <c r="C357" t="str">
        <f>IF(SEFAZ!C341="","",SEFAZ!C341)</f>
        <v/>
      </c>
      <c r="D357" t="str">
        <f>IF(SEFAZ!D341="","",SEFAZ!D341)</f>
        <v/>
      </c>
      <c r="E357" s="7" t="str">
        <f>IF(SEFAZ!E341="","",SEFAZ!E341)</f>
        <v/>
      </c>
      <c r="F357" s="6" t="str">
        <f>IF(SEFAZ!F341="","",VALUE(SUBSTITUTE(SEFAZ!F341,"'","")))</f>
        <v/>
      </c>
      <c r="G357" t="str">
        <f>IF(SEFAZ!H341="","",SEFAZ!H341)</f>
        <v/>
      </c>
      <c r="H357" t="str">
        <f>IF(SEFAZ!L341="","",SEFAZ!L341)</f>
        <v/>
      </c>
      <c r="I357" t="str">
        <f>IF(SEFAZ!N341="","",SEFAZ!N341)</f>
        <v/>
      </c>
      <c r="J357" t="str">
        <f>IF(SEFAZ!O341="","",SEFAZ!O341)</f>
        <v/>
      </c>
      <c r="K357" s="11" t="str">
        <f>IF(SEFAZ!P341="","",SEFAZ!P341)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hidden="1" x14ac:dyDescent="0.3">
      <c r="B358" t="str">
        <f>IF(SEFAZ!A342="","",SEFAZ!A342)</f>
        <v/>
      </c>
      <c r="C358" t="str">
        <f>IF(SEFAZ!C342="","",SEFAZ!C342)</f>
        <v/>
      </c>
      <c r="D358" t="str">
        <f>IF(SEFAZ!D342="","",SEFAZ!D342)</f>
        <v/>
      </c>
      <c r="E358" s="7" t="str">
        <f>IF(SEFAZ!E342="","",SEFAZ!E342)</f>
        <v/>
      </c>
      <c r="F358" s="6" t="str">
        <f>IF(SEFAZ!F342="","",VALUE(SUBSTITUTE(SEFAZ!F342,"'","")))</f>
        <v/>
      </c>
      <c r="G358" t="str">
        <f>IF(SEFAZ!H342="","",SEFAZ!H342)</f>
        <v/>
      </c>
      <c r="H358" t="str">
        <f>IF(SEFAZ!L342="","",SEFAZ!L342)</f>
        <v/>
      </c>
      <c r="I358" t="str">
        <f>IF(SEFAZ!N342="","",SEFAZ!N342)</f>
        <v/>
      </c>
      <c r="J358" t="str">
        <f>IF(SEFAZ!O342="","",SEFAZ!O342)</f>
        <v/>
      </c>
      <c r="K358" s="11" t="str">
        <f>IF(SEFAZ!P342="","",SEFAZ!P342)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hidden="1" x14ac:dyDescent="0.3">
      <c r="B359" t="str">
        <f>IF(SEFAZ!A343="","",SEFAZ!A343)</f>
        <v/>
      </c>
      <c r="C359" t="str">
        <f>IF(SEFAZ!C343="","",SEFAZ!C343)</f>
        <v/>
      </c>
      <c r="D359" t="str">
        <f>IF(SEFAZ!D343="","",SEFAZ!D343)</f>
        <v/>
      </c>
      <c r="E359" s="7" t="str">
        <f>IF(SEFAZ!E343="","",SEFAZ!E343)</f>
        <v/>
      </c>
      <c r="F359" s="6" t="str">
        <f>IF(SEFAZ!F343="","",VALUE(SUBSTITUTE(SEFAZ!F343,"'","")))</f>
        <v/>
      </c>
      <c r="G359" t="str">
        <f>IF(SEFAZ!H343="","",SEFAZ!H343)</f>
        <v/>
      </c>
      <c r="H359" t="str">
        <f>IF(SEFAZ!L343="","",SEFAZ!L343)</f>
        <v/>
      </c>
      <c r="I359" t="str">
        <f>IF(SEFAZ!N343="","",SEFAZ!N343)</f>
        <v/>
      </c>
      <c r="J359" t="str">
        <f>IF(SEFAZ!O343="","",SEFAZ!O343)</f>
        <v/>
      </c>
      <c r="K359" s="11" t="str">
        <f>IF(SEFAZ!P343="","",SEFAZ!P343)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hidden="1" x14ac:dyDescent="0.3">
      <c r="B360" t="str">
        <f>IF(SEFAZ!A344="","",SEFAZ!A344)</f>
        <v/>
      </c>
      <c r="C360" t="str">
        <f>IF(SEFAZ!C344="","",SEFAZ!C344)</f>
        <v/>
      </c>
      <c r="D360" t="str">
        <f>IF(SEFAZ!D344="","",SEFAZ!D344)</f>
        <v/>
      </c>
      <c r="E360" s="7" t="str">
        <f>IF(SEFAZ!E344="","",SEFAZ!E344)</f>
        <v/>
      </c>
      <c r="F360" s="6" t="str">
        <f>IF(SEFAZ!F344="","",VALUE(SUBSTITUTE(SEFAZ!F344,"'","")))</f>
        <v/>
      </c>
      <c r="G360" t="str">
        <f>IF(SEFAZ!H344="","",SEFAZ!H344)</f>
        <v/>
      </c>
      <c r="H360" t="str">
        <f>IF(SEFAZ!L344="","",SEFAZ!L344)</f>
        <v/>
      </c>
      <c r="I360" t="str">
        <f>IF(SEFAZ!N344="","",SEFAZ!N344)</f>
        <v/>
      </c>
      <c r="J360" t="str">
        <f>IF(SEFAZ!O344="","",SEFAZ!O344)</f>
        <v/>
      </c>
      <c r="K360" s="11" t="str">
        <f>IF(SEFAZ!P344="","",SEFAZ!P344)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hidden="1" x14ac:dyDescent="0.3">
      <c r="B361" t="str">
        <f>IF(SEFAZ!A345="","",SEFAZ!A345)</f>
        <v/>
      </c>
      <c r="C361" t="str">
        <f>IF(SEFAZ!C345="","",SEFAZ!C345)</f>
        <v/>
      </c>
      <c r="D361" t="str">
        <f>IF(SEFAZ!D345="","",SEFAZ!D345)</f>
        <v/>
      </c>
      <c r="E361" s="7" t="str">
        <f>IF(SEFAZ!E345="","",SEFAZ!E345)</f>
        <v/>
      </c>
      <c r="F361" s="6" t="str">
        <f>IF(SEFAZ!F345="","",VALUE(SUBSTITUTE(SEFAZ!F345,"'","")))</f>
        <v/>
      </c>
      <c r="G361" t="str">
        <f>IF(SEFAZ!H345="","",SEFAZ!H345)</f>
        <v/>
      </c>
      <c r="H361" t="str">
        <f>IF(SEFAZ!L345="","",SEFAZ!L345)</f>
        <v/>
      </c>
      <c r="I361" t="str">
        <f>IF(SEFAZ!N345="","",SEFAZ!N345)</f>
        <v/>
      </c>
      <c r="J361" t="str">
        <f>IF(SEFAZ!O345="","",SEFAZ!O345)</f>
        <v/>
      </c>
      <c r="K361" s="11" t="str">
        <f>IF(SEFAZ!P345="","",SEFAZ!P345)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hidden="1" x14ac:dyDescent="0.3">
      <c r="B362" t="str">
        <f>IF(SEFAZ!A346="","",SEFAZ!A346)</f>
        <v/>
      </c>
      <c r="C362" t="str">
        <f>IF(SEFAZ!C346="","",SEFAZ!C346)</f>
        <v/>
      </c>
      <c r="D362" t="str">
        <f>IF(SEFAZ!D346="","",SEFAZ!D346)</f>
        <v/>
      </c>
      <c r="E362" s="7" t="str">
        <f>IF(SEFAZ!E346="","",SEFAZ!E346)</f>
        <v/>
      </c>
      <c r="F362" s="6" t="str">
        <f>IF(SEFAZ!F346="","",VALUE(SUBSTITUTE(SEFAZ!F346,"'","")))</f>
        <v/>
      </c>
      <c r="G362" t="str">
        <f>IF(SEFAZ!H346="","",SEFAZ!H346)</f>
        <v/>
      </c>
      <c r="H362" t="str">
        <f>IF(SEFAZ!L346="","",SEFAZ!L346)</f>
        <v/>
      </c>
      <c r="I362" t="str">
        <f>IF(SEFAZ!N346="","",SEFAZ!N346)</f>
        <v/>
      </c>
      <c r="J362" t="str">
        <f>IF(SEFAZ!O346="","",SEFAZ!O346)</f>
        <v/>
      </c>
      <c r="K362" s="11" t="str">
        <f>IF(SEFAZ!P346="","",SEFAZ!P346)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hidden="1" x14ac:dyDescent="0.3">
      <c r="B363" t="str">
        <f>IF(SEFAZ!A347="","",SEFAZ!A347)</f>
        <v/>
      </c>
      <c r="C363" t="str">
        <f>IF(SEFAZ!C347="","",SEFAZ!C347)</f>
        <v/>
      </c>
      <c r="D363" t="str">
        <f>IF(SEFAZ!D347="","",SEFAZ!D347)</f>
        <v/>
      </c>
      <c r="E363" s="7" t="str">
        <f>IF(SEFAZ!E347="","",SEFAZ!E347)</f>
        <v/>
      </c>
      <c r="F363" s="6" t="str">
        <f>IF(SEFAZ!F347="","",VALUE(SUBSTITUTE(SEFAZ!F347,"'","")))</f>
        <v/>
      </c>
      <c r="G363" t="str">
        <f>IF(SEFAZ!H347="","",SEFAZ!H347)</f>
        <v/>
      </c>
      <c r="H363" t="str">
        <f>IF(SEFAZ!L347="","",SEFAZ!L347)</f>
        <v/>
      </c>
      <c r="I363" t="str">
        <f>IF(SEFAZ!N347="","",SEFAZ!N347)</f>
        <v/>
      </c>
      <c r="J363" t="str">
        <f>IF(SEFAZ!O347="","",SEFAZ!O347)</f>
        <v/>
      </c>
      <c r="K363" s="11" t="str">
        <f>IF(SEFAZ!P347="","",SEFAZ!P347)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hidden="1" x14ac:dyDescent="0.3">
      <c r="B364" t="str">
        <f>IF(SEFAZ!A348="","",SEFAZ!A348)</f>
        <v/>
      </c>
      <c r="C364" t="str">
        <f>IF(SEFAZ!C348="","",SEFAZ!C348)</f>
        <v/>
      </c>
      <c r="D364" t="str">
        <f>IF(SEFAZ!D348="","",SEFAZ!D348)</f>
        <v/>
      </c>
      <c r="E364" s="7" t="str">
        <f>IF(SEFAZ!E348="","",SEFAZ!E348)</f>
        <v/>
      </c>
      <c r="F364" s="6" t="str">
        <f>IF(SEFAZ!F348="","",VALUE(SUBSTITUTE(SEFAZ!F348,"'","")))</f>
        <v/>
      </c>
      <c r="G364" t="str">
        <f>IF(SEFAZ!H348="","",SEFAZ!H348)</f>
        <v/>
      </c>
      <c r="H364" t="str">
        <f>IF(SEFAZ!L348="","",SEFAZ!L348)</f>
        <v/>
      </c>
      <c r="I364" t="str">
        <f>IF(SEFAZ!N348="","",SEFAZ!N348)</f>
        <v/>
      </c>
      <c r="J364" t="str">
        <f>IF(SEFAZ!O348="","",SEFAZ!O348)</f>
        <v/>
      </c>
      <c r="K364" s="11" t="str">
        <f>IF(SEFAZ!P348="","",SEFAZ!P348)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hidden="1" x14ac:dyDescent="0.3">
      <c r="B365" t="str">
        <f>IF(SEFAZ!A349="","",SEFAZ!A349)</f>
        <v/>
      </c>
      <c r="C365" t="str">
        <f>IF(SEFAZ!C349="","",SEFAZ!C349)</f>
        <v/>
      </c>
      <c r="D365" t="str">
        <f>IF(SEFAZ!D349="","",SEFAZ!D349)</f>
        <v/>
      </c>
      <c r="E365" s="7" t="str">
        <f>IF(SEFAZ!E349="","",SEFAZ!E349)</f>
        <v/>
      </c>
      <c r="F365" s="6" t="str">
        <f>IF(SEFAZ!F349="","",VALUE(SUBSTITUTE(SEFAZ!F349,"'","")))</f>
        <v/>
      </c>
      <c r="G365" t="str">
        <f>IF(SEFAZ!H349="","",SEFAZ!H349)</f>
        <v/>
      </c>
      <c r="H365" t="str">
        <f>IF(SEFAZ!L349="","",SEFAZ!L349)</f>
        <v/>
      </c>
      <c r="I365" t="str">
        <f>IF(SEFAZ!N349="","",SEFAZ!N349)</f>
        <v/>
      </c>
      <c r="J365" t="str">
        <f>IF(SEFAZ!O349="","",SEFAZ!O349)</f>
        <v/>
      </c>
      <c r="K365" s="11" t="str">
        <f>IF(SEFAZ!P349="","",SEFAZ!P349)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hidden="1" x14ac:dyDescent="0.3">
      <c r="B366" t="str">
        <f>IF(SEFAZ!A350="","",SEFAZ!A350)</f>
        <v/>
      </c>
      <c r="C366" t="str">
        <f>IF(SEFAZ!C350="","",SEFAZ!C350)</f>
        <v/>
      </c>
      <c r="D366" t="str">
        <f>IF(SEFAZ!D350="","",SEFAZ!D350)</f>
        <v/>
      </c>
      <c r="E366" s="7" t="str">
        <f>IF(SEFAZ!E350="","",SEFAZ!E350)</f>
        <v/>
      </c>
      <c r="F366" s="6" t="str">
        <f>IF(SEFAZ!F350="","",VALUE(SUBSTITUTE(SEFAZ!F350,"'","")))</f>
        <v/>
      </c>
      <c r="G366" t="str">
        <f>IF(SEFAZ!H350="","",SEFAZ!H350)</f>
        <v/>
      </c>
      <c r="H366" t="str">
        <f>IF(SEFAZ!L350="","",SEFAZ!L350)</f>
        <v/>
      </c>
      <c r="I366" t="str">
        <f>IF(SEFAZ!N350="","",SEFAZ!N350)</f>
        <v/>
      </c>
      <c r="J366" t="str">
        <f>IF(SEFAZ!O350="","",SEFAZ!O350)</f>
        <v/>
      </c>
      <c r="K366" s="11" t="str">
        <f>IF(SEFAZ!P350="","",SEFAZ!P350)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hidden="1" x14ac:dyDescent="0.3">
      <c r="B367" t="str">
        <f>IF(SEFAZ!A351="","",SEFAZ!A351)</f>
        <v/>
      </c>
      <c r="C367" t="str">
        <f>IF(SEFAZ!C351="","",SEFAZ!C351)</f>
        <v/>
      </c>
      <c r="D367" t="str">
        <f>IF(SEFAZ!D351="","",SEFAZ!D351)</f>
        <v/>
      </c>
      <c r="E367" s="7" t="str">
        <f>IF(SEFAZ!E351="","",SEFAZ!E351)</f>
        <v/>
      </c>
      <c r="F367" s="6" t="str">
        <f>IF(SEFAZ!F351="","",VALUE(SUBSTITUTE(SEFAZ!F351,"'","")))</f>
        <v/>
      </c>
      <c r="G367" t="str">
        <f>IF(SEFAZ!H351="","",SEFAZ!H351)</f>
        <v/>
      </c>
      <c r="H367" t="str">
        <f>IF(SEFAZ!L351="","",SEFAZ!L351)</f>
        <v/>
      </c>
      <c r="I367" t="str">
        <f>IF(SEFAZ!N351="","",SEFAZ!N351)</f>
        <v/>
      </c>
      <c r="J367" t="str">
        <f>IF(SEFAZ!O351="","",SEFAZ!O351)</f>
        <v/>
      </c>
      <c r="K367" s="11" t="str">
        <f>IF(SEFAZ!P351="","",SEFAZ!P351)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hidden="1" x14ac:dyDescent="0.3">
      <c r="B368" t="str">
        <f>IF(SEFAZ!A352="","",SEFAZ!A352)</f>
        <v/>
      </c>
      <c r="C368" t="str">
        <f>IF(SEFAZ!C352="","",SEFAZ!C352)</f>
        <v/>
      </c>
      <c r="D368" t="str">
        <f>IF(SEFAZ!D352="","",SEFAZ!D352)</f>
        <v/>
      </c>
      <c r="E368" s="7" t="str">
        <f>IF(SEFAZ!E352="","",SEFAZ!E352)</f>
        <v/>
      </c>
      <c r="F368" s="6" t="str">
        <f>IF(SEFAZ!F352="","",VALUE(SUBSTITUTE(SEFAZ!F352,"'","")))</f>
        <v/>
      </c>
      <c r="G368" t="str">
        <f>IF(SEFAZ!H352="","",SEFAZ!H352)</f>
        <v/>
      </c>
      <c r="H368" t="str">
        <f>IF(SEFAZ!L352="","",SEFAZ!L352)</f>
        <v/>
      </c>
      <c r="I368" t="str">
        <f>IF(SEFAZ!N352="","",SEFAZ!N352)</f>
        <v/>
      </c>
      <c r="J368" t="str">
        <f>IF(SEFAZ!O352="","",SEFAZ!O352)</f>
        <v/>
      </c>
      <c r="K368" s="11" t="str">
        <f>IF(SEFAZ!P352="","",SEFAZ!P352)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hidden="1" x14ac:dyDescent="0.3">
      <c r="B369" t="str">
        <f>IF(SEFAZ!A353="","",SEFAZ!A353)</f>
        <v/>
      </c>
      <c r="C369" t="str">
        <f>IF(SEFAZ!C353="","",SEFAZ!C353)</f>
        <v/>
      </c>
      <c r="D369" t="str">
        <f>IF(SEFAZ!D353="","",SEFAZ!D353)</f>
        <v/>
      </c>
      <c r="E369" s="7" t="str">
        <f>IF(SEFAZ!E353="","",SEFAZ!E353)</f>
        <v/>
      </c>
      <c r="F369" s="6" t="str">
        <f>IF(SEFAZ!F353="","",VALUE(SUBSTITUTE(SEFAZ!F353,"'","")))</f>
        <v/>
      </c>
      <c r="G369" t="str">
        <f>IF(SEFAZ!H353="","",SEFAZ!H353)</f>
        <v/>
      </c>
      <c r="H369" t="str">
        <f>IF(SEFAZ!L353="","",SEFAZ!L353)</f>
        <v/>
      </c>
      <c r="I369" t="str">
        <f>IF(SEFAZ!N353="","",SEFAZ!N353)</f>
        <v/>
      </c>
      <c r="J369" t="str">
        <f>IF(SEFAZ!O353="","",SEFAZ!O353)</f>
        <v/>
      </c>
      <c r="K369" s="11" t="str">
        <f>IF(SEFAZ!P353="","",SEFAZ!P353)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hidden="1" x14ac:dyDescent="0.3">
      <c r="B370" t="str">
        <f>IF(SEFAZ!A354="","",SEFAZ!A354)</f>
        <v/>
      </c>
      <c r="C370" t="str">
        <f>IF(SEFAZ!C354="","",SEFAZ!C354)</f>
        <v/>
      </c>
      <c r="D370" t="str">
        <f>IF(SEFAZ!D354="","",SEFAZ!D354)</f>
        <v/>
      </c>
      <c r="E370" s="7" t="str">
        <f>IF(SEFAZ!E354="","",SEFAZ!E354)</f>
        <v/>
      </c>
      <c r="F370" s="6" t="str">
        <f>IF(SEFAZ!F354="","",VALUE(SUBSTITUTE(SEFAZ!F354,"'","")))</f>
        <v/>
      </c>
      <c r="G370" t="str">
        <f>IF(SEFAZ!H354="","",SEFAZ!H354)</f>
        <v/>
      </c>
      <c r="H370" t="str">
        <f>IF(SEFAZ!L354="","",SEFAZ!L354)</f>
        <v/>
      </c>
      <c r="I370" t="str">
        <f>IF(SEFAZ!N354="","",SEFAZ!N354)</f>
        <v/>
      </c>
      <c r="J370" t="str">
        <f>IF(SEFAZ!O354="","",SEFAZ!O354)</f>
        <v/>
      </c>
      <c r="K370" s="11" t="str">
        <f>IF(SEFAZ!P354="","",SEFAZ!P354)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hidden="1" x14ac:dyDescent="0.3">
      <c r="B371" t="str">
        <f>IF(SEFAZ!A355="","",SEFAZ!A355)</f>
        <v/>
      </c>
      <c r="C371" t="str">
        <f>IF(SEFAZ!C355="","",SEFAZ!C355)</f>
        <v/>
      </c>
      <c r="D371" t="str">
        <f>IF(SEFAZ!D355="","",SEFAZ!D355)</f>
        <v/>
      </c>
      <c r="E371" s="7" t="str">
        <f>IF(SEFAZ!E355="","",SEFAZ!E355)</f>
        <v/>
      </c>
      <c r="F371" s="6" t="str">
        <f>IF(SEFAZ!F355="","",VALUE(SUBSTITUTE(SEFAZ!F355,"'","")))</f>
        <v/>
      </c>
      <c r="G371" t="str">
        <f>IF(SEFAZ!H355="","",SEFAZ!H355)</f>
        <v/>
      </c>
      <c r="H371" t="str">
        <f>IF(SEFAZ!L355="","",SEFAZ!L355)</f>
        <v/>
      </c>
      <c r="I371" t="str">
        <f>IF(SEFAZ!N355="","",SEFAZ!N355)</f>
        <v/>
      </c>
      <c r="J371" t="str">
        <f>IF(SEFAZ!O355="","",SEFAZ!O355)</f>
        <v/>
      </c>
      <c r="K371" s="11" t="str">
        <f>IF(SEFAZ!P355="","",SEFAZ!P355)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hidden="1" x14ac:dyDescent="0.3">
      <c r="B372" t="str">
        <f>IF(SEFAZ!A356="","",SEFAZ!A356)</f>
        <v/>
      </c>
      <c r="C372" t="str">
        <f>IF(SEFAZ!C356="","",SEFAZ!C356)</f>
        <v/>
      </c>
      <c r="D372" t="str">
        <f>IF(SEFAZ!D356="","",SEFAZ!D356)</f>
        <v/>
      </c>
      <c r="E372" s="7" t="str">
        <f>IF(SEFAZ!E356="","",SEFAZ!E356)</f>
        <v/>
      </c>
      <c r="F372" s="6" t="str">
        <f>IF(SEFAZ!F356="","",VALUE(SUBSTITUTE(SEFAZ!F356,"'","")))</f>
        <v/>
      </c>
      <c r="G372" t="str">
        <f>IF(SEFAZ!H356="","",SEFAZ!H356)</f>
        <v/>
      </c>
      <c r="H372" t="str">
        <f>IF(SEFAZ!L356="","",SEFAZ!L356)</f>
        <v/>
      </c>
      <c r="I372" t="str">
        <f>IF(SEFAZ!N356="","",SEFAZ!N356)</f>
        <v/>
      </c>
      <c r="J372" t="str">
        <f>IF(SEFAZ!O356="","",SEFAZ!O356)</f>
        <v/>
      </c>
      <c r="K372" s="11" t="str">
        <f>IF(SEFAZ!P356="","",SEFAZ!P356)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hidden="1" x14ac:dyDescent="0.3">
      <c r="B373" t="str">
        <f>IF(SEFAZ!A357="","",SEFAZ!A357)</f>
        <v/>
      </c>
      <c r="C373" t="str">
        <f>IF(SEFAZ!C357="","",SEFAZ!C357)</f>
        <v/>
      </c>
      <c r="D373" t="str">
        <f>IF(SEFAZ!D357="","",SEFAZ!D357)</f>
        <v/>
      </c>
      <c r="E373" s="7" t="str">
        <f>IF(SEFAZ!E357="","",SEFAZ!E357)</f>
        <v/>
      </c>
      <c r="F373" s="6" t="str">
        <f>IF(SEFAZ!F357="","",VALUE(SUBSTITUTE(SEFAZ!F357,"'","")))</f>
        <v/>
      </c>
      <c r="G373" t="str">
        <f>IF(SEFAZ!H357="","",SEFAZ!H357)</f>
        <v/>
      </c>
      <c r="H373" t="str">
        <f>IF(SEFAZ!L357="","",SEFAZ!L357)</f>
        <v/>
      </c>
      <c r="I373" t="str">
        <f>IF(SEFAZ!N357="","",SEFAZ!N357)</f>
        <v/>
      </c>
      <c r="J373" t="str">
        <f>IF(SEFAZ!O357="","",SEFAZ!O357)</f>
        <v/>
      </c>
      <c r="K373" s="11" t="str">
        <f>IF(SEFAZ!P357="","",SEFAZ!P357)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hidden="1" x14ac:dyDescent="0.3">
      <c r="B374" t="str">
        <f>IF(SEFAZ!A358="","",SEFAZ!A358)</f>
        <v/>
      </c>
      <c r="C374" t="str">
        <f>IF(SEFAZ!C358="","",SEFAZ!C358)</f>
        <v/>
      </c>
      <c r="D374" t="str">
        <f>IF(SEFAZ!D358="","",SEFAZ!D358)</f>
        <v/>
      </c>
      <c r="E374" s="7" t="str">
        <f>IF(SEFAZ!E358="","",SEFAZ!E358)</f>
        <v/>
      </c>
      <c r="F374" s="6" t="str">
        <f>IF(SEFAZ!F358="","",VALUE(SUBSTITUTE(SEFAZ!F358,"'","")))</f>
        <v/>
      </c>
      <c r="G374" t="str">
        <f>IF(SEFAZ!H358="","",SEFAZ!H358)</f>
        <v/>
      </c>
      <c r="H374" t="str">
        <f>IF(SEFAZ!L358="","",SEFAZ!L358)</f>
        <v/>
      </c>
      <c r="I374" t="str">
        <f>IF(SEFAZ!N358="","",SEFAZ!N358)</f>
        <v/>
      </c>
      <c r="J374" t="str">
        <f>IF(SEFAZ!O358="","",SEFAZ!O358)</f>
        <v/>
      </c>
      <c r="K374" s="11" t="str">
        <f>IF(SEFAZ!P358="","",SEFAZ!P358)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hidden="1" x14ac:dyDescent="0.3">
      <c r="B375" t="str">
        <f>IF(SEFAZ!A359="","",SEFAZ!A359)</f>
        <v/>
      </c>
      <c r="C375" t="str">
        <f>IF(SEFAZ!C359="","",SEFAZ!C359)</f>
        <v/>
      </c>
      <c r="D375" t="str">
        <f>IF(SEFAZ!D359="","",SEFAZ!D359)</f>
        <v/>
      </c>
      <c r="E375" s="7" t="str">
        <f>IF(SEFAZ!E359="","",SEFAZ!E359)</f>
        <v/>
      </c>
      <c r="F375" s="6" t="str">
        <f>IF(SEFAZ!F359="","",VALUE(SUBSTITUTE(SEFAZ!F359,"'","")))</f>
        <v/>
      </c>
      <c r="G375" t="str">
        <f>IF(SEFAZ!H359="","",SEFAZ!H359)</f>
        <v/>
      </c>
      <c r="H375" t="str">
        <f>IF(SEFAZ!L359="","",SEFAZ!L359)</f>
        <v/>
      </c>
      <c r="I375" t="str">
        <f>IF(SEFAZ!N359="","",SEFAZ!N359)</f>
        <v/>
      </c>
      <c r="J375" t="str">
        <f>IF(SEFAZ!O359="","",SEFAZ!O359)</f>
        <v/>
      </c>
      <c r="K375" s="11" t="str">
        <f>IF(SEFAZ!P359="","",SEFAZ!P359)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hidden="1" x14ac:dyDescent="0.3">
      <c r="B376" t="str">
        <f>IF(SEFAZ!A360="","",SEFAZ!A360)</f>
        <v/>
      </c>
      <c r="C376" t="str">
        <f>IF(SEFAZ!C360="","",SEFAZ!C360)</f>
        <v/>
      </c>
      <c r="D376" t="str">
        <f>IF(SEFAZ!D360="","",SEFAZ!D360)</f>
        <v/>
      </c>
      <c r="E376" s="7" t="str">
        <f>IF(SEFAZ!E360="","",SEFAZ!E360)</f>
        <v/>
      </c>
      <c r="F376" s="6" t="str">
        <f>IF(SEFAZ!F360="","",VALUE(SUBSTITUTE(SEFAZ!F360,"'","")))</f>
        <v/>
      </c>
      <c r="G376" t="str">
        <f>IF(SEFAZ!H360="","",SEFAZ!H360)</f>
        <v/>
      </c>
      <c r="H376" t="str">
        <f>IF(SEFAZ!L360="","",SEFAZ!L360)</f>
        <v/>
      </c>
      <c r="I376" t="str">
        <f>IF(SEFAZ!N360="","",SEFAZ!N360)</f>
        <v/>
      </c>
      <c r="J376" t="str">
        <f>IF(SEFAZ!O360="","",SEFAZ!O360)</f>
        <v/>
      </c>
      <c r="K376" s="11" t="str">
        <f>IF(SEFAZ!P360="","",SEFAZ!P360)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hidden="1" x14ac:dyDescent="0.3">
      <c r="B377" t="str">
        <f>IF(SEFAZ!A361="","",SEFAZ!A361)</f>
        <v/>
      </c>
      <c r="C377" t="str">
        <f>IF(SEFAZ!C361="","",SEFAZ!C361)</f>
        <v/>
      </c>
      <c r="D377" t="str">
        <f>IF(SEFAZ!D361="","",SEFAZ!D361)</f>
        <v/>
      </c>
      <c r="E377" s="7" t="str">
        <f>IF(SEFAZ!E361="","",SEFAZ!E361)</f>
        <v/>
      </c>
      <c r="F377" s="6" t="str">
        <f>IF(SEFAZ!F361="","",VALUE(SUBSTITUTE(SEFAZ!F361,"'","")))</f>
        <v/>
      </c>
      <c r="G377" t="str">
        <f>IF(SEFAZ!H361="","",SEFAZ!H361)</f>
        <v/>
      </c>
      <c r="H377" t="str">
        <f>IF(SEFAZ!L361="","",SEFAZ!L361)</f>
        <v/>
      </c>
      <c r="I377" t="str">
        <f>IF(SEFAZ!N361="","",SEFAZ!N361)</f>
        <v/>
      </c>
      <c r="J377" t="str">
        <f>IF(SEFAZ!O361="","",SEFAZ!O361)</f>
        <v/>
      </c>
      <c r="K377" s="11" t="str">
        <f>IF(SEFAZ!P361="","",SEFAZ!P361)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hidden="1" x14ac:dyDescent="0.3">
      <c r="B378" t="str">
        <f>IF(SEFAZ!A362="","",SEFAZ!A362)</f>
        <v/>
      </c>
      <c r="C378" t="str">
        <f>IF(SEFAZ!C362="","",SEFAZ!C362)</f>
        <v/>
      </c>
      <c r="D378" t="str">
        <f>IF(SEFAZ!D362="","",SEFAZ!D362)</f>
        <v/>
      </c>
      <c r="E378" s="7" t="str">
        <f>IF(SEFAZ!E362="","",SEFAZ!E362)</f>
        <v/>
      </c>
      <c r="F378" s="6" t="str">
        <f>IF(SEFAZ!F362="","",VALUE(SUBSTITUTE(SEFAZ!F362,"'","")))</f>
        <v/>
      </c>
      <c r="G378" t="str">
        <f>IF(SEFAZ!H362="","",SEFAZ!H362)</f>
        <v/>
      </c>
      <c r="H378" t="str">
        <f>IF(SEFAZ!L362="","",SEFAZ!L362)</f>
        <v/>
      </c>
      <c r="I378" t="str">
        <f>IF(SEFAZ!N362="","",SEFAZ!N362)</f>
        <v/>
      </c>
      <c r="J378" t="str">
        <f>IF(SEFAZ!O362="","",SEFAZ!O362)</f>
        <v/>
      </c>
      <c r="K378" s="11" t="str">
        <f>IF(SEFAZ!P362="","",SEFAZ!P362)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hidden="1" x14ac:dyDescent="0.3">
      <c r="B379" t="str">
        <f>IF(SEFAZ!A363="","",SEFAZ!A363)</f>
        <v/>
      </c>
      <c r="C379" t="str">
        <f>IF(SEFAZ!C363="","",SEFAZ!C363)</f>
        <v/>
      </c>
      <c r="D379" t="str">
        <f>IF(SEFAZ!D363="","",SEFAZ!D363)</f>
        <v/>
      </c>
      <c r="E379" s="7" t="str">
        <f>IF(SEFAZ!E363="","",SEFAZ!E363)</f>
        <v/>
      </c>
      <c r="F379" s="6" t="str">
        <f>IF(SEFAZ!F363="","",VALUE(SUBSTITUTE(SEFAZ!F363,"'","")))</f>
        <v/>
      </c>
      <c r="G379" t="str">
        <f>IF(SEFAZ!H363="","",SEFAZ!H363)</f>
        <v/>
      </c>
      <c r="H379" t="str">
        <f>IF(SEFAZ!L363="","",SEFAZ!L363)</f>
        <v/>
      </c>
      <c r="I379" t="str">
        <f>IF(SEFAZ!N363="","",SEFAZ!N363)</f>
        <v/>
      </c>
      <c r="J379" t="str">
        <f>IF(SEFAZ!O363="","",SEFAZ!O363)</f>
        <v/>
      </c>
      <c r="K379" s="11" t="str">
        <f>IF(SEFAZ!P363="","",SEFAZ!P363)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hidden="1" x14ac:dyDescent="0.3">
      <c r="B380" t="str">
        <f>IF(SEFAZ!A364="","",SEFAZ!A364)</f>
        <v/>
      </c>
      <c r="C380" t="str">
        <f>IF(SEFAZ!C364="","",SEFAZ!C364)</f>
        <v/>
      </c>
      <c r="D380" t="str">
        <f>IF(SEFAZ!D364="","",SEFAZ!D364)</f>
        <v/>
      </c>
      <c r="E380" s="7" t="str">
        <f>IF(SEFAZ!E364="","",SEFAZ!E364)</f>
        <v/>
      </c>
      <c r="F380" s="6" t="str">
        <f>IF(SEFAZ!F364="","",VALUE(SUBSTITUTE(SEFAZ!F364,"'","")))</f>
        <v/>
      </c>
      <c r="G380" t="str">
        <f>IF(SEFAZ!H364="","",SEFAZ!H364)</f>
        <v/>
      </c>
      <c r="H380" t="str">
        <f>IF(SEFAZ!L364="","",SEFAZ!L364)</f>
        <v/>
      </c>
      <c r="I380" t="str">
        <f>IF(SEFAZ!N364="","",SEFAZ!N364)</f>
        <v/>
      </c>
      <c r="J380" t="str">
        <f>IF(SEFAZ!O364="","",SEFAZ!O364)</f>
        <v/>
      </c>
      <c r="K380" s="11" t="str">
        <f>IF(SEFAZ!P364="","",SEFAZ!P364)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hidden="1" x14ac:dyDescent="0.3">
      <c r="B381" t="str">
        <f>IF(SEFAZ!A365="","",SEFAZ!A365)</f>
        <v/>
      </c>
      <c r="C381" t="str">
        <f>IF(SEFAZ!C365="","",SEFAZ!C365)</f>
        <v/>
      </c>
      <c r="D381" t="str">
        <f>IF(SEFAZ!D365="","",SEFAZ!D365)</f>
        <v/>
      </c>
      <c r="E381" s="7" t="str">
        <f>IF(SEFAZ!E365="","",SEFAZ!E365)</f>
        <v/>
      </c>
      <c r="F381" s="6" t="str">
        <f>IF(SEFAZ!F365="","",VALUE(SUBSTITUTE(SEFAZ!F365,"'","")))</f>
        <v/>
      </c>
      <c r="G381" t="str">
        <f>IF(SEFAZ!H365="","",SEFAZ!H365)</f>
        <v/>
      </c>
      <c r="H381" t="str">
        <f>IF(SEFAZ!L365="","",SEFAZ!L365)</f>
        <v/>
      </c>
      <c r="I381" t="str">
        <f>IF(SEFAZ!N365="","",SEFAZ!N365)</f>
        <v/>
      </c>
      <c r="J381" t="str">
        <f>IF(SEFAZ!O365="","",SEFAZ!O365)</f>
        <v/>
      </c>
      <c r="K381" s="11" t="str">
        <f>IF(SEFAZ!P365="","",SEFAZ!P365)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hidden="1" x14ac:dyDescent="0.3">
      <c r="B382" t="str">
        <f>IF(SEFAZ!A366="","",SEFAZ!A366)</f>
        <v/>
      </c>
      <c r="C382" t="str">
        <f>IF(SEFAZ!C366="","",SEFAZ!C366)</f>
        <v/>
      </c>
      <c r="D382" t="str">
        <f>IF(SEFAZ!D366="","",SEFAZ!D366)</f>
        <v/>
      </c>
      <c r="E382" s="7" t="str">
        <f>IF(SEFAZ!E366="","",SEFAZ!E366)</f>
        <v/>
      </c>
      <c r="F382" s="6" t="str">
        <f>IF(SEFAZ!F366="","",VALUE(SUBSTITUTE(SEFAZ!F366,"'","")))</f>
        <v/>
      </c>
      <c r="G382" t="str">
        <f>IF(SEFAZ!H366="","",SEFAZ!H366)</f>
        <v/>
      </c>
      <c r="H382" t="str">
        <f>IF(SEFAZ!L366="","",SEFAZ!L366)</f>
        <v/>
      </c>
      <c r="I382" t="str">
        <f>IF(SEFAZ!N366="","",SEFAZ!N366)</f>
        <v/>
      </c>
      <c r="J382" t="str">
        <f>IF(SEFAZ!O366="","",SEFAZ!O366)</f>
        <v/>
      </c>
      <c r="K382" s="11" t="str">
        <f>IF(SEFAZ!P366="","",SEFAZ!P366)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hidden="1" x14ac:dyDescent="0.3">
      <c r="B383" t="str">
        <f>IF(SEFAZ!A367="","",SEFAZ!A367)</f>
        <v/>
      </c>
      <c r="C383" t="str">
        <f>IF(SEFAZ!C367="","",SEFAZ!C367)</f>
        <v/>
      </c>
      <c r="D383" t="str">
        <f>IF(SEFAZ!D367="","",SEFAZ!D367)</f>
        <v/>
      </c>
      <c r="E383" s="7" t="str">
        <f>IF(SEFAZ!E367="","",SEFAZ!E367)</f>
        <v/>
      </c>
      <c r="F383" s="6" t="str">
        <f>IF(SEFAZ!F367="","",VALUE(SUBSTITUTE(SEFAZ!F367,"'","")))</f>
        <v/>
      </c>
      <c r="G383" t="str">
        <f>IF(SEFAZ!H367="","",SEFAZ!H367)</f>
        <v/>
      </c>
      <c r="H383" t="str">
        <f>IF(SEFAZ!L367="","",SEFAZ!L367)</f>
        <v/>
      </c>
      <c r="I383" t="str">
        <f>IF(SEFAZ!N367="","",SEFAZ!N367)</f>
        <v/>
      </c>
      <c r="J383" t="str">
        <f>IF(SEFAZ!O367="","",SEFAZ!O367)</f>
        <v/>
      </c>
      <c r="K383" s="11" t="str">
        <f>IF(SEFAZ!P367="","",SEFAZ!P367)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hidden="1" x14ac:dyDescent="0.3">
      <c r="B384" t="str">
        <f>IF(SEFAZ!A368="","",SEFAZ!A368)</f>
        <v/>
      </c>
      <c r="C384" t="str">
        <f>IF(SEFAZ!C368="","",SEFAZ!C368)</f>
        <v/>
      </c>
      <c r="D384" t="str">
        <f>IF(SEFAZ!D368="","",SEFAZ!D368)</f>
        <v/>
      </c>
      <c r="E384" s="7" t="str">
        <f>IF(SEFAZ!E368="","",SEFAZ!E368)</f>
        <v/>
      </c>
      <c r="F384" s="6" t="str">
        <f>IF(SEFAZ!F368="","",VALUE(SUBSTITUTE(SEFAZ!F368,"'","")))</f>
        <v/>
      </c>
      <c r="G384" t="str">
        <f>IF(SEFAZ!H368="","",SEFAZ!H368)</f>
        <v/>
      </c>
      <c r="H384" t="str">
        <f>IF(SEFAZ!L368="","",SEFAZ!L368)</f>
        <v/>
      </c>
      <c r="I384" t="str">
        <f>IF(SEFAZ!N368="","",SEFAZ!N368)</f>
        <v/>
      </c>
      <c r="J384" t="str">
        <f>IF(SEFAZ!O368="","",SEFAZ!O368)</f>
        <v/>
      </c>
      <c r="K384" s="11" t="str">
        <f>IF(SEFAZ!P368="","",SEFAZ!P368)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hidden="1" x14ac:dyDescent="0.3">
      <c r="B385" t="str">
        <f>IF(SEFAZ!A369="","",SEFAZ!A369)</f>
        <v/>
      </c>
      <c r="C385" t="str">
        <f>IF(SEFAZ!C369="","",SEFAZ!C369)</f>
        <v/>
      </c>
      <c r="D385" t="str">
        <f>IF(SEFAZ!D369="","",SEFAZ!D369)</f>
        <v/>
      </c>
      <c r="E385" s="7" t="str">
        <f>IF(SEFAZ!E369="","",SEFAZ!E369)</f>
        <v/>
      </c>
      <c r="F385" s="6" t="str">
        <f>IF(SEFAZ!F369="","",VALUE(SUBSTITUTE(SEFAZ!F369,"'","")))</f>
        <v/>
      </c>
      <c r="G385" t="str">
        <f>IF(SEFAZ!H369="","",SEFAZ!H369)</f>
        <v/>
      </c>
      <c r="H385" t="str">
        <f>IF(SEFAZ!L369="","",SEFAZ!L369)</f>
        <v/>
      </c>
      <c r="I385" t="str">
        <f>IF(SEFAZ!N369="","",SEFAZ!N369)</f>
        <v/>
      </c>
      <c r="J385" t="str">
        <f>IF(SEFAZ!O369="","",SEFAZ!O369)</f>
        <v/>
      </c>
      <c r="K385" s="11" t="str">
        <f>IF(SEFAZ!P369="","",SEFAZ!P369)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hidden="1" x14ac:dyDescent="0.3">
      <c r="B386" t="str">
        <f>IF(SEFAZ!A370="","",SEFAZ!A370)</f>
        <v/>
      </c>
      <c r="C386" t="str">
        <f>IF(SEFAZ!C370="","",SEFAZ!C370)</f>
        <v/>
      </c>
      <c r="D386" t="str">
        <f>IF(SEFAZ!D370="","",SEFAZ!D370)</f>
        <v/>
      </c>
      <c r="E386" s="7" t="str">
        <f>IF(SEFAZ!E370="","",SEFAZ!E370)</f>
        <v/>
      </c>
      <c r="F386" s="6" t="str">
        <f>IF(SEFAZ!F370="","",VALUE(SUBSTITUTE(SEFAZ!F370,"'","")))</f>
        <v/>
      </c>
      <c r="G386" t="str">
        <f>IF(SEFAZ!H370="","",SEFAZ!H370)</f>
        <v/>
      </c>
      <c r="H386" t="str">
        <f>IF(SEFAZ!L370="","",SEFAZ!L370)</f>
        <v/>
      </c>
      <c r="I386" t="str">
        <f>IF(SEFAZ!N370="","",SEFAZ!N370)</f>
        <v/>
      </c>
      <c r="J386" t="str">
        <f>IF(SEFAZ!O370="","",SEFAZ!O370)</f>
        <v/>
      </c>
      <c r="K386" s="11" t="str">
        <f>IF(SEFAZ!P370="","",SEFAZ!P370)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hidden="1" x14ac:dyDescent="0.3">
      <c r="B387" t="str">
        <f>IF(SEFAZ!A371="","",SEFAZ!A371)</f>
        <v/>
      </c>
      <c r="C387" t="str">
        <f>IF(SEFAZ!C371="","",SEFAZ!C371)</f>
        <v/>
      </c>
      <c r="D387" t="str">
        <f>IF(SEFAZ!D371="","",SEFAZ!D371)</f>
        <v/>
      </c>
      <c r="E387" s="7" t="str">
        <f>IF(SEFAZ!E371="","",SEFAZ!E371)</f>
        <v/>
      </c>
      <c r="F387" s="6" t="str">
        <f>IF(SEFAZ!F371="","",VALUE(SUBSTITUTE(SEFAZ!F371,"'","")))</f>
        <v/>
      </c>
      <c r="G387" t="str">
        <f>IF(SEFAZ!H371="","",SEFAZ!H371)</f>
        <v/>
      </c>
      <c r="H387" t="str">
        <f>IF(SEFAZ!L371="","",SEFAZ!L371)</f>
        <v/>
      </c>
      <c r="I387" t="str">
        <f>IF(SEFAZ!N371="","",SEFAZ!N371)</f>
        <v/>
      </c>
      <c r="J387" t="str">
        <f>IF(SEFAZ!O371="","",SEFAZ!O371)</f>
        <v/>
      </c>
      <c r="K387" s="11" t="str">
        <f>IF(SEFAZ!P371="","",SEFAZ!P371)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hidden="1" x14ac:dyDescent="0.3">
      <c r="B388" t="str">
        <f>IF(SEFAZ!A372="","",SEFAZ!A372)</f>
        <v/>
      </c>
      <c r="C388" t="str">
        <f>IF(SEFAZ!C372="","",SEFAZ!C372)</f>
        <v/>
      </c>
      <c r="D388" t="str">
        <f>IF(SEFAZ!D372="","",SEFAZ!D372)</f>
        <v/>
      </c>
      <c r="E388" s="7" t="str">
        <f>IF(SEFAZ!E372="","",SEFAZ!E372)</f>
        <v/>
      </c>
      <c r="F388" s="6" t="str">
        <f>IF(SEFAZ!F372="","",VALUE(SUBSTITUTE(SEFAZ!F372,"'","")))</f>
        <v/>
      </c>
      <c r="G388" t="str">
        <f>IF(SEFAZ!H372="","",SEFAZ!H372)</f>
        <v/>
      </c>
      <c r="H388" t="str">
        <f>IF(SEFAZ!L372="","",SEFAZ!L372)</f>
        <v/>
      </c>
      <c r="I388" t="str">
        <f>IF(SEFAZ!N372="","",SEFAZ!N372)</f>
        <v/>
      </c>
      <c r="J388" t="str">
        <f>IF(SEFAZ!O372="","",SEFAZ!O372)</f>
        <v/>
      </c>
      <c r="K388" s="11" t="str">
        <f>IF(SEFAZ!P372="","",SEFAZ!P372)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hidden="1" x14ac:dyDescent="0.3">
      <c r="B389" t="str">
        <f>IF(SEFAZ!A373="","",SEFAZ!A373)</f>
        <v/>
      </c>
      <c r="C389" t="str">
        <f>IF(SEFAZ!C373="","",SEFAZ!C373)</f>
        <v/>
      </c>
      <c r="D389" t="str">
        <f>IF(SEFAZ!D373="","",SEFAZ!D373)</f>
        <v/>
      </c>
      <c r="E389" s="7" t="str">
        <f>IF(SEFAZ!E373="","",SEFAZ!E373)</f>
        <v/>
      </c>
      <c r="F389" s="6" t="str">
        <f>IF(SEFAZ!F373="","",VALUE(SUBSTITUTE(SEFAZ!F373,"'","")))</f>
        <v/>
      </c>
      <c r="G389" t="str">
        <f>IF(SEFAZ!H373="","",SEFAZ!H373)</f>
        <v/>
      </c>
      <c r="H389" t="str">
        <f>IF(SEFAZ!L373="","",SEFAZ!L373)</f>
        <v/>
      </c>
      <c r="I389" t="str">
        <f>IF(SEFAZ!N373="","",SEFAZ!N373)</f>
        <v/>
      </c>
      <c r="J389" t="str">
        <f>IF(SEFAZ!O373="","",SEFAZ!O373)</f>
        <v/>
      </c>
      <c r="K389" s="11" t="str">
        <f>IF(SEFAZ!P373="","",SEFAZ!P373)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hidden="1" x14ac:dyDescent="0.3">
      <c r="B390" t="str">
        <f>IF(SEFAZ!A374="","",SEFAZ!A374)</f>
        <v/>
      </c>
      <c r="C390" t="str">
        <f>IF(SEFAZ!C374="","",SEFAZ!C374)</f>
        <v/>
      </c>
      <c r="D390" t="str">
        <f>IF(SEFAZ!D374="","",SEFAZ!D374)</f>
        <v/>
      </c>
      <c r="E390" s="7" t="str">
        <f>IF(SEFAZ!E374="","",SEFAZ!E374)</f>
        <v/>
      </c>
      <c r="F390" s="6" t="str">
        <f>IF(SEFAZ!F374="","",VALUE(SUBSTITUTE(SEFAZ!F374,"'","")))</f>
        <v/>
      </c>
      <c r="G390" t="str">
        <f>IF(SEFAZ!H374="","",SEFAZ!H374)</f>
        <v/>
      </c>
      <c r="H390" t="str">
        <f>IF(SEFAZ!L374="","",SEFAZ!L374)</f>
        <v/>
      </c>
      <c r="I390" t="str">
        <f>IF(SEFAZ!N374="","",SEFAZ!N374)</f>
        <v/>
      </c>
      <c r="J390" t="str">
        <f>IF(SEFAZ!O374="","",SEFAZ!O374)</f>
        <v/>
      </c>
      <c r="K390" s="11" t="str">
        <f>IF(SEFAZ!P374="","",SEFAZ!P374)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hidden="1" x14ac:dyDescent="0.3">
      <c r="B391" t="str">
        <f>IF(SEFAZ!A375="","",SEFAZ!A375)</f>
        <v/>
      </c>
      <c r="C391" t="str">
        <f>IF(SEFAZ!C375="","",SEFAZ!C375)</f>
        <v/>
      </c>
      <c r="D391" t="str">
        <f>IF(SEFAZ!D375="","",SEFAZ!D375)</f>
        <v/>
      </c>
      <c r="E391" s="7" t="str">
        <f>IF(SEFAZ!E375="","",SEFAZ!E375)</f>
        <v/>
      </c>
      <c r="F391" s="6" t="str">
        <f>IF(SEFAZ!F375="","",VALUE(SUBSTITUTE(SEFAZ!F375,"'","")))</f>
        <v/>
      </c>
      <c r="G391" t="str">
        <f>IF(SEFAZ!H375="","",SEFAZ!H375)</f>
        <v/>
      </c>
      <c r="H391" t="str">
        <f>IF(SEFAZ!L375="","",SEFAZ!L375)</f>
        <v/>
      </c>
      <c r="I391" t="str">
        <f>IF(SEFAZ!N375="","",SEFAZ!N375)</f>
        <v/>
      </c>
      <c r="J391" t="str">
        <f>IF(SEFAZ!O375="","",SEFAZ!O375)</f>
        <v/>
      </c>
      <c r="K391" s="11" t="str">
        <f>IF(SEFAZ!P375="","",SEFAZ!P375)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hidden="1" x14ac:dyDescent="0.3">
      <c r="B392" t="str">
        <f>IF(SEFAZ!A376="","",SEFAZ!A376)</f>
        <v/>
      </c>
      <c r="C392" t="str">
        <f>IF(SEFAZ!C376="","",SEFAZ!C376)</f>
        <v/>
      </c>
      <c r="D392" t="str">
        <f>IF(SEFAZ!D376="","",SEFAZ!D376)</f>
        <v/>
      </c>
      <c r="E392" s="7" t="str">
        <f>IF(SEFAZ!E376="","",SEFAZ!E376)</f>
        <v/>
      </c>
      <c r="F392" s="6" t="str">
        <f>IF(SEFAZ!F376="","",VALUE(SUBSTITUTE(SEFAZ!F376,"'","")))</f>
        <v/>
      </c>
      <c r="G392" t="str">
        <f>IF(SEFAZ!H376="","",SEFAZ!H376)</f>
        <v/>
      </c>
      <c r="H392" t="str">
        <f>IF(SEFAZ!L376="","",SEFAZ!L376)</f>
        <v/>
      </c>
      <c r="I392" t="str">
        <f>IF(SEFAZ!N376="","",SEFAZ!N376)</f>
        <v/>
      </c>
      <c r="J392" t="str">
        <f>IF(SEFAZ!O376="","",SEFAZ!O376)</f>
        <v/>
      </c>
      <c r="K392" s="11" t="str">
        <f>IF(SEFAZ!P376="","",SEFAZ!P376)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hidden="1" x14ac:dyDescent="0.3">
      <c r="B393" t="str">
        <f>IF(SEFAZ!A377="","",SEFAZ!A377)</f>
        <v/>
      </c>
      <c r="C393" t="str">
        <f>IF(SEFAZ!C377="","",SEFAZ!C377)</f>
        <v/>
      </c>
      <c r="D393" t="str">
        <f>IF(SEFAZ!D377="","",SEFAZ!D377)</f>
        <v/>
      </c>
      <c r="E393" s="7" t="str">
        <f>IF(SEFAZ!E377="","",SEFAZ!E377)</f>
        <v/>
      </c>
      <c r="F393" s="6" t="str">
        <f>IF(SEFAZ!F377="","",VALUE(SUBSTITUTE(SEFAZ!F377,"'","")))</f>
        <v/>
      </c>
      <c r="G393" t="str">
        <f>IF(SEFAZ!H377="","",SEFAZ!H377)</f>
        <v/>
      </c>
      <c r="H393" t="str">
        <f>IF(SEFAZ!L377="","",SEFAZ!L377)</f>
        <v/>
      </c>
      <c r="I393" t="str">
        <f>IF(SEFAZ!N377="","",SEFAZ!N377)</f>
        <v/>
      </c>
      <c r="J393" t="str">
        <f>IF(SEFAZ!O377="","",SEFAZ!O377)</f>
        <v/>
      </c>
      <c r="K393" s="11" t="str">
        <f>IF(SEFAZ!P377="","",SEFAZ!P377)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hidden="1" x14ac:dyDescent="0.3">
      <c r="B394" t="str">
        <f>IF(SEFAZ!A378="","",SEFAZ!A378)</f>
        <v/>
      </c>
      <c r="C394" t="str">
        <f>IF(SEFAZ!C378="","",SEFAZ!C378)</f>
        <v/>
      </c>
      <c r="D394" t="str">
        <f>IF(SEFAZ!D378="","",SEFAZ!D378)</f>
        <v/>
      </c>
      <c r="E394" s="7" t="str">
        <f>IF(SEFAZ!E378="","",SEFAZ!E378)</f>
        <v/>
      </c>
      <c r="F394" s="6" t="str">
        <f>IF(SEFAZ!F378="","",VALUE(SUBSTITUTE(SEFAZ!F378,"'","")))</f>
        <v/>
      </c>
      <c r="G394" t="str">
        <f>IF(SEFAZ!H378="","",SEFAZ!H378)</f>
        <v/>
      </c>
      <c r="H394" t="str">
        <f>IF(SEFAZ!L378="","",SEFAZ!L378)</f>
        <v/>
      </c>
      <c r="I394" t="str">
        <f>IF(SEFAZ!N378="","",SEFAZ!N378)</f>
        <v/>
      </c>
      <c r="J394" t="str">
        <f>IF(SEFAZ!O378="","",SEFAZ!O378)</f>
        <v/>
      </c>
      <c r="K394" s="11" t="str">
        <f>IF(SEFAZ!P378="","",SEFAZ!P378)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hidden="1" x14ac:dyDescent="0.3">
      <c r="B395" t="str">
        <f>IF(SEFAZ!A379="","",SEFAZ!A379)</f>
        <v/>
      </c>
      <c r="C395" t="str">
        <f>IF(SEFAZ!C379="","",SEFAZ!C379)</f>
        <v/>
      </c>
      <c r="D395" t="str">
        <f>IF(SEFAZ!D379="","",SEFAZ!D379)</f>
        <v/>
      </c>
      <c r="E395" s="7" t="str">
        <f>IF(SEFAZ!E379="","",SEFAZ!E379)</f>
        <v/>
      </c>
      <c r="F395" s="6" t="str">
        <f>IF(SEFAZ!F379="","",VALUE(SUBSTITUTE(SEFAZ!F379,"'","")))</f>
        <v/>
      </c>
      <c r="G395" t="str">
        <f>IF(SEFAZ!H379="","",SEFAZ!H379)</f>
        <v/>
      </c>
      <c r="H395" t="str">
        <f>IF(SEFAZ!L379="","",SEFAZ!L379)</f>
        <v/>
      </c>
      <c r="I395" t="str">
        <f>IF(SEFAZ!N379="","",SEFAZ!N379)</f>
        <v/>
      </c>
      <c r="J395" t="str">
        <f>IF(SEFAZ!O379="","",SEFAZ!O379)</f>
        <v/>
      </c>
      <c r="K395" s="11" t="str">
        <f>IF(SEFAZ!P379="","",SEFAZ!P379)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hidden="1" x14ac:dyDescent="0.3">
      <c r="B396" t="str">
        <f>IF(SEFAZ!A380="","",SEFAZ!A380)</f>
        <v/>
      </c>
      <c r="C396" t="str">
        <f>IF(SEFAZ!C380="","",SEFAZ!C380)</f>
        <v/>
      </c>
      <c r="D396" t="str">
        <f>IF(SEFAZ!D380="","",SEFAZ!D380)</f>
        <v/>
      </c>
      <c r="E396" s="7" t="str">
        <f>IF(SEFAZ!E380="","",SEFAZ!E380)</f>
        <v/>
      </c>
      <c r="F396" s="6" t="str">
        <f>IF(SEFAZ!F380="","",VALUE(SUBSTITUTE(SEFAZ!F380,"'","")))</f>
        <v/>
      </c>
      <c r="G396" t="str">
        <f>IF(SEFAZ!H380="","",SEFAZ!H380)</f>
        <v/>
      </c>
      <c r="H396" t="str">
        <f>IF(SEFAZ!L380="","",SEFAZ!L380)</f>
        <v/>
      </c>
      <c r="I396" t="str">
        <f>IF(SEFAZ!N380="","",SEFAZ!N380)</f>
        <v/>
      </c>
      <c r="J396" t="str">
        <f>IF(SEFAZ!O380="","",SEFAZ!O380)</f>
        <v/>
      </c>
      <c r="K396" s="11" t="str">
        <f>IF(SEFAZ!P380="","",SEFAZ!P380)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hidden="1" x14ac:dyDescent="0.3">
      <c r="B397" t="str">
        <f>IF(SEFAZ!A381="","",SEFAZ!A381)</f>
        <v/>
      </c>
      <c r="C397" t="str">
        <f>IF(SEFAZ!C381="","",SEFAZ!C381)</f>
        <v/>
      </c>
      <c r="D397" t="str">
        <f>IF(SEFAZ!D381="","",SEFAZ!D381)</f>
        <v/>
      </c>
      <c r="E397" s="7" t="str">
        <f>IF(SEFAZ!E381="","",SEFAZ!E381)</f>
        <v/>
      </c>
      <c r="F397" s="6" t="str">
        <f>IF(SEFAZ!F381="","",VALUE(SUBSTITUTE(SEFAZ!F381,"'","")))</f>
        <v/>
      </c>
      <c r="G397" t="str">
        <f>IF(SEFAZ!H381="","",SEFAZ!H381)</f>
        <v/>
      </c>
      <c r="H397" t="str">
        <f>IF(SEFAZ!L381="","",SEFAZ!L381)</f>
        <v/>
      </c>
      <c r="I397" t="str">
        <f>IF(SEFAZ!N381="","",SEFAZ!N381)</f>
        <v/>
      </c>
      <c r="J397" t="str">
        <f>IF(SEFAZ!O381="","",SEFAZ!O381)</f>
        <v/>
      </c>
      <c r="K397" s="11" t="str">
        <f>IF(SEFAZ!P381="","",SEFAZ!P381)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hidden="1" x14ac:dyDescent="0.3">
      <c r="B398" t="str">
        <f>IF(SEFAZ!A382="","",SEFAZ!A382)</f>
        <v/>
      </c>
      <c r="C398" t="str">
        <f>IF(SEFAZ!C382="","",SEFAZ!C382)</f>
        <v/>
      </c>
      <c r="D398" t="str">
        <f>IF(SEFAZ!D382="","",SEFAZ!D382)</f>
        <v/>
      </c>
      <c r="E398" s="7" t="str">
        <f>IF(SEFAZ!E382="","",SEFAZ!E382)</f>
        <v/>
      </c>
      <c r="F398" s="6" t="str">
        <f>IF(SEFAZ!F382="","",VALUE(SUBSTITUTE(SEFAZ!F382,"'","")))</f>
        <v/>
      </c>
      <c r="G398" t="str">
        <f>IF(SEFAZ!H382="","",SEFAZ!H382)</f>
        <v/>
      </c>
      <c r="H398" t="str">
        <f>IF(SEFAZ!L382="","",SEFAZ!L382)</f>
        <v/>
      </c>
      <c r="I398" t="str">
        <f>IF(SEFAZ!N382="","",SEFAZ!N382)</f>
        <v/>
      </c>
      <c r="J398" t="str">
        <f>IF(SEFAZ!O382="","",SEFAZ!O382)</f>
        <v/>
      </c>
      <c r="K398" s="11" t="str">
        <f>IF(SEFAZ!P382="","",SEFAZ!P382)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hidden="1" x14ac:dyDescent="0.3">
      <c r="B399" t="str">
        <f>IF(SEFAZ!A383="","",SEFAZ!A383)</f>
        <v/>
      </c>
      <c r="C399" t="str">
        <f>IF(SEFAZ!C383="","",SEFAZ!C383)</f>
        <v/>
      </c>
      <c r="D399" t="str">
        <f>IF(SEFAZ!D383="","",SEFAZ!D383)</f>
        <v/>
      </c>
      <c r="E399" s="7" t="str">
        <f>IF(SEFAZ!E383="","",SEFAZ!E383)</f>
        <v/>
      </c>
      <c r="F399" s="6" t="str">
        <f>IF(SEFAZ!F383="","",VALUE(SUBSTITUTE(SEFAZ!F383,"'","")))</f>
        <v/>
      </c>
      <c r="G399" t="str">
        <f>IF(SEFAZ!H383="","",SEFAZ!H383)</f>
        <v/>
      </c>
      <c r="H399" t="str">
        <f>IF(SEFAZ!L383="","",SEFAZ!L383)</f>
        <v/>
      </c>
      <c r="I399" t="str">
        <f>IF(SEFAZ!N383="","",SEFAZ!N383)</f>
        <v/>
      </c>
      <c r="J399" t="str">
        <f>IF(SEFAZ!O383="","",SEFAZ!O383)</f>
        <v/>
      </c>
      <c r="K399" s="11" t="str">
        <f>IF(SEFAZ!P383="","",SEFAZ!P383)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hidden="1" x14ac:dyDescent="0.3">
      <c r="B400" t="str">
        <f>IF(SEFAZ!A384="","",SEFAZ!A384)</f>
        <v/>
      </c>
      <c r="C400" t="str">
        <f>IF(SEFAZ!C384="","",SEFAZ!C384)</f>
        <v/>
      </c>
      <c r="D400" t="str">
        <f>IF(SEFAZ!D384="","",SEFAZ!D384)</f>
        <v/>
      </c>
      <c r="E400" s="7" t="str">
        <f>IF(SEFAZ!E384="","",SEFAZ!E384)</f>
        <v/>
      </c>
      <c r="F400" s="6" t="str">
        <f>IF(SEFAZ!F384="","",VALUE(SUBSTITUTE(SEFAZ!F384,"'","")))</f>
        <v/>
      </c>
      <c r="G400" t="str">
        <f>IF(SEFAZ!H384="","",SEFAZ!H384)</f>
        <v/>
      </c>
      <c r="H400" t="str">
        <f>IF(SEFAZ!L384="","",SEFAZ!L384)</f>
        <v/>
      </c>
      <c r="I400" t="str">
        <f>IF(SEFAZ!N384="","",SEFAZ!N384)</f>
        <v/>
      </c>
      <c r="J400" t="str">
        <f>IF(SEFAZ!O384="","",SEFAZ!O384)</f>
        <v/>
      </c>
      <c r="K400" s="11" t="str">
        <f>IF(SEFAZ!P384="","",SEFAZ!P384)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hidden="1" x14ac:dyDescent="0.3">
      <c r="B401" t="str">
        <f>IF(SEFAZ!A385="","",SEFAZ!A385)</f>
        <v/>
      </c>
      <c r="C401" t="str">
        <f>IF(SEFAZ!C385="","",SEFAZ!C385)</f>
        <v/>
      </c>
      <c r="D401" t="str">
        <f>IF(SEFAZ!D385="","",SEFAZ!D385)</f>
        <v/>
      </c>
      <c r="E401" s="7" t="str">
        <f>IF(SEFAZ!E385="","",SEFAZ!E385)</f>
        <v/>
      </c>
      <c r="F401" s="6" t="str">
        <f>IF(SEFAZ!F385="","",VALUE(SUBSTITUTE(SEFAZ!F385,"'","")))</f>
        <v/>
      </c>
      <c r="G401" t="str">
        <f>IF(SEFAZ!H385="","",SEFAZ!H385)</f>
        <v/>
      </c>
      <c r="H401" t="str">
        <f>IF(SEFAZ!L385="","",SEFAZ!L385)</f>
        <v/>
      </c>
      <c r="I401" t="str">
        <f>IF(SEFAZ!N385="","",SEFAZ!N385)</f>
        <v/>
      </c>
      <c r="J401" t="str">
        <f>IF(SEFAZ!O385="","",SEFAZ!O385)</f>
        <v/>
      </c>
      <c r="K401" s="11" t="str">
        <f>IF(SEFAZ!P385="","",SEFAZ!P385)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hidden="1" x14ac:dyDescent="0.3">
      <c r="B402" t="str">
        <f>IF(SEFAZ!A386="","",SEFAZ!A386)</f>
        <v/>
      </c>
      <c r="C402" t="str">
        <f>IF(SEFAZ!C386="","",SEFAZ!C386)</f>
        <v/>
      </c>
      <c r="D402" t="str">
        <f>IF(SEFAZ!D386="","",SEFAZ!D386)</f>
        <v/>
      </c>
      <c r="E402" s="7" t="str">
        <f>IF(SEFAZ!E386="","",SEFAZ!E386)</f>
        <v/>
      </c>
      <c r="F402" s="6" t="str">
        <f>IF(SEFAZ!F386="","",VALUE(SUBSTITUTE(SEFAZ!F386,"'","")))</f>
        <v/>
      </c>
      <c r="G402" t="str">
        <f>IF(SEFAZ!H386="","",SEFAZ!H386)</f>
        <v/>
      </c>
      <c r="H402" t="str">
        <f>IF(SEFAZ!L386="","",SEFAZ!L386)</f>
        <v/>
      </c>
      <c r="I402" t="str">
        <f>IF(SEFAZ!N386="","",SEFAZ!N386)</f>
        <v/>
      </c>
      <c r="J402" t="str">
        <f>IF(SEFAZ!O386="","",SEFAZ!O386)</f>
        <v/>
      </c>
      <c r="K402" s="11" t="str">
        <f>IF(SEFAZ!P386="","",SEFAZ!P386)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hidden="1" x14ac:dyDescent="0.3">
      <c r="B403" t="str">
        <f>IF(SEFAZ!A387="","",SEFAZ!A387)</f>
        <v/>
      </c>
      <c r="C403" t="str">
        <f>IF(SEFAZ!C387="","",SEFAZ!C387)</f>
        <v/>
      </c>
      <c r="D403" t="str">
        <f>IF(SEFAZ!D387="","",SEFAZ!D387)</f>
        <v/>
      </c>
      <c r="E403" s="7" t="str">
        <f>IF(SEFAZ!E387="","",SEFAZ!E387)</f>
        <v/>
      </c>
      <c r="F403" s="6" t="str">
        <f>IF(SEFAZ!F387="","",VALUE(SUBSTITUTE(SEFAZ!F387,"'","")))</f>
        <v/>
      </c>
      <c r="G403" t="str">
        <f>IF(SEFAZ!H387="","",SEFAZ!H387)</f>
        <v/>
      </c>
      <c r="H403" t="str">
        <f>IF(SEFAZ!L387="","",SEFAZ!L387)</f>
        <v/>
      </c>
      <c r="I403" t="str">
        <f>IF(SEFAZ!N387="","",SEFAZ!N387)</f>
        <v/>
      </c>
      <c r="J403" t="str">
        <f>IF(SEFAZ!O387="","",SEFAZ!O387)</f>
        <v/>
      </c>
      <c r="K403" s="11" t="str">
        <f>IF(SEFAZ!P387="","",SEFAZ!P387)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hidden="1" x14ac:dyDescent="0.3">
      <c r="B404" t="str">
        <f>IF(SEFAZ!A388="","",SEFAZ!A388)</f>
        <v/>
      </c>
      <c r="C404" t="str">
        <f>IF(SEFAZ!C388="","",SEFAZ!C388)</f>
        <v/>
      </c>
      <c r="D404" t="str">
        <f>IF(SEFAZ!D388="","",SEFAZ!D388)</f>
        <v/>
      </c>
      <c r="E404" s="7" t="str">
        <f>IF(SEFAZ!E388="","",SEFAZ!E388)</f>
        <v/>
      </c>
      <c r="F404" s="6" t="str">
        <f>IF(SEFAZ!F388="","",VALUE(SUBSTITUTE(SEFAZ!F388,"'","")))</f>
        <v/>
      </c>
      <c r="G404" t="str">
        <f>IF(SEFAZ!H388="","",SEFAZ!H388)</f>
        <v/>
      </c>
      <c r="H404" t="str">
        <f>IF(SEFAZ!L388="","",SEFAZ!L388)</f>
        <v/>
      </c>
      <c r="I404" t="str">
        <f>IF(SEFAZ!N388="","",SEFAZ!N388)</f>
        <v/>
      </c>
      <c r="J404" t="str">
        <f>IF(SEFAZ!O388="","",SEFAZ!O388)</f>
        <v/>
      </c>
      <c r="K404" s="11" t="str">
        <f>IF(SEFAZ!P388="","",SEFAZ!P388)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hidden="1" x14ac:dyDescent="0.3">
      <c r="B405" t="str">
        <f>IF(SEFAZ!A389="","",SEFAZ!A389)</f>
        <v/>
      </c>
      <c r="C405" t="str">
        <f>IF(SEFAZ!C389="","",SEFAZ!C389)</f>
        <v/>
      </c>
      <c r="D405" t="str">
        <f>IF(SEFAZ!D389="","",SEFAZ!D389)</f>
        <v/>
      </c>
      <c r="E405" s="7" t="str">
        <f>IF(SEFAZ!E389="","",SEFAZ!E389)</f>
        <v/>
      </c>
      <c r="F405" s="6" t="str">
        <f>IF(SEFAZ!F389="","",VALUE(SUBSTITUTE(SEFAZ!F389,"'","")))</f>
        <v/>
      </c>
      <c r="G405" t="str">
        <f>IF(SEFAZ!H389="","",SEFAZ!H389)</f>
        <v/>
      </c>
      <c r="H405" t="str">
        <f>IF(SEFAZ!L389="","",SEFAZ!L389)</f>
        <v/>
      </c>
      <c r="I405" t="str">
        <f>IF(SEFAZ!N389="","",SEFAZ!N389)</f>
        <v/>
      </c>
      <c r="J405" t="str">
        <f>IF(SEFAZ!O389="","",SEFAZ!O389)</f>
        <v/>
      </c>
      <c r="K405" s="11" t="str">
        <f>IF(SEFAZ!P389="","",SEFAZ!P389)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hidden="1" x14ac:dyDescent="0.3">
      <c r="B406" t="str">
        <f>IF(SEFAZ!A390="","",SEFAZ!A390)</f>
        <v/>
      </c>
      <c r="C406" t="str">
        <f>IF(SEFAZ!C390="","",SEFAZ!C390)</f>
        <v/>
      </c>
      <c r="D406" t="str">
        <f>IF(SEFAZ!D390="","",SEFAZ!D390)</f>
        <v/>
      </c>
      <c r="E406" s="7" t="str">
        <f>IF(SEFAZ!E390="","",SEFAZ!E390)</f>
        <v/>
      </c>
      <c r="F406" s="6" t="str">
        <f>IF(SEFAZ!F390="","",VALUE(SUBSTITUTE(SEFAZ!F390,"'","")))</f>
        <v/>
      </c>
      <c r="G406" t="str">
        <f>IF(SEFAZ!H390="","",SEFAZ!H390)</f>
        <v/>
      </c>
      <c r="H406" t="str">
        <f>IF(SEFAZ!L390="","",SEFAZ!L390)</f>
        <v/>
      </c>
      <c r="I406" t="str">
        <f>IF(SEFAZ!N390="","",SEFAZ!N390)</f>
        <v/>
      </c>
      <c r="J406" t="str">
        <f>IF(SEFAZ!O390="","",SEFAZ!O390)</f>
        <v/>
      </c>
      <c r="K406" s="11" t="str">
        <f>IF(SEFAZ!P390="","",SEFAZ!P390)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hidden="1" x14ac:dyDescent="0.3">
      <c r="B407" t="str">
        <f>IF(SEFAZ!A391="","",SEFAZ!A391)</f>
        <v/>
      </c>
      <c r="C407" t="str">
        <f>IF(SEFAZ!C391="","",SEFAZ!C391)</f>
        <v/>
      </c>
      <c r="D407" t="str">
        <f>IF(SEFAZ!D391="","",SEFAZ!D391)</f>
        <v/>
      </c>
      <c r="E407" s="7" t="str">
        <f>IF(SEFAZ!E391="","",SEFAZ!E391)</f>
        <v/>
      </c>
      <c r="F407" s="6" t="str">
        <f>IF(SEFAZ!F391="","",VALUE(SUBSTITUTE(SEFAZ!F391,"'","")))</f>
        <v/>
      </c>
      <c r="G407" t="str">
        <f>IF(SEFAZ!H391="","",SEFAZ!H391)</f>
        <v/>
      </c>
      <c r="H407" t="str">
        <f>IF(SEFAZ!L391="","",SEFAZ!L391)</f>
        <v/>
      </c>
      <c r="I407" t="str">
        <f>IF(SEFAZ!N391="","",SEFAZ!N391)</f>
        <v/>
      </c>
      <c r="J407" t="str">
        <f>IF(SEFAZ!O391="","",SEFAZ!O391)</f>
        <v/>
      </c>
      <c r="K407" s="11" t="str">
        <f>IF(SEFAZ!P391="","",SEFAZ!P391)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hidden="1" x14ac:dyDescent="0.3">
      <c r="B408" t="str">
        <f>IF(SEFAZ!A392="","",SEFAZ!A392)</f>
        <v/>
      </c>
      <c r="C408" t="str">
        <f>IF(SEFAZ!C392="","",SEFAZ!C392)</f>
        <v/>
      </c>
      <c r="D408" t="str">
        <f>IF(SEFAZ!D392="","",SEFAZ!D392)</f>
        <v/>
      </c>
      <c r="E408" s="7" t="str">
        <f>IF(SEFAZ!E392="","",SEFAZ!E392)</f>
        <v/>
      </c>
      <c r="F408" s="6" t="str">
        <f>IF(SEFAZ!F392="","",VALUE(SUBSTITUTE(SEFAZ!F392,"'","")))</f>
        <v/>
      </c>
      <c r="G408" t="str">
        <f>IF(SEFAZ!H392="","",SEFAZ!H392)</f>
        <v/>
      </c>
      <c r="H408" t="str">
        <f>IF(SEFAZ!L392="","",SEFAZ!L392)</f>
        <v/>
      </c>
      <c r="I408" t="str">
        <f>IF(SEFAZ!N392="","",SEFAZ!N392)</f>
        <v/>
      </c>
      <c r="J408" t="str">
        <f>IF(SEFAZ!O392="","",SEFAZ!O392)</f>
        <v/>
      </c>
      <c r="K408" s="11" t="str">
        <f>IF(SEFAZ!P392="","",SEFAZ!P392)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hidden="1" x14ac:dyDescent="0.3">
      <c r="B409" t="str">
        <f>IF(SEFAZ!A393="","",SEFAZ!A393)</f>
        <v/>
      </c>
      <c r="C409" t="str">
        <f>IF(SEFAZ!C393="","",SEFAZ!C393)</f>
        <v/>
      </c>
      <c r="D409" t="str">
        <f>IF(SEFAZ!D393="","",SEFAZ!D393)</f>
        <v/>
      </c>
      <c r="E409" s="7" t="str">
        <f>IF(SEFAZ!E393="","",SEFAZ!E393)</f>
        <v/>
      </c>
      <c r="F409" s="6" t="str">
        <f>IF(SEFAZ!F393="","",VALUE(SUBSTITUTE(SEFAZ!F393,"'","")))</f>
        <v/>
      </c>
      <c r="G409" t="str">
        <f>IF(SEFAZ!H393="","",SEFAZ!H393)</f>
        <v/>
      </c>
      <c r="H409" t="str">
        <f>IF(SEFAZ!L393="","",SEFAZ!L393)</f>
        <v/>
      </c>
      <c r="I409" t="str">
        <f>IF(SEFAZ!N393="","",SEFAZ!N393)</f>
        <v/>
      </c>
      <c r="J409" t="str">
        <f>IF(SEFAZ!O393="","",SEFAZ!O393)</f>
        <v/>
      </c>
      <c r="K409" s="11" t="str">
        <f>IF(SEFAZ!P393="","",SEFAZ!P393)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hidden="1" x14ac:dyDescent="0.3">
      <c r="B410" t="str">
        <f>IF(SEFAZ!A394="","",SEFAZ!A394)</f>
        <v/>
      </c>
      <c r="C410" t="str">
        <f>IF(SEFAZ!C394="","",SEFAZ!C394)</f>
        <v/>
      </c>
      <c r="D410" t="str">
        <f>IF(SEFAZ!D394="","",SEFAZ!D394)</f>
        <v/>
      </c>
      <c r="E410" s="7" t="str">
        <f>IF(SEFAZ!E394="","",SEFAZ!E394)</f>
        <v/>
      </c>
      <c r="F410" s="6" t="str">
        <f>IF(SEFAZ!F394="","",VALUE(SUBSTITUTE(SEFAZ!F394,"'","")))</f>
        <v/>
      </c>
      <c r="G410" t="str">
        <f>IF(SEFAZ!H394="","",SEFAZ!H394)</f>
        <v/>
      </c>
      <c r="H410" t="str">
        <f>IF(SEFAZ!L394="","",SEFAZ!L394)</f>
        <v/>
      </c>
      <c r="I410" t="str">
        <f>IF(SEFAZ!N394="","",SEFAZ!N394)</f>
        <v/>
      </c>
      <c r="J410" t="str">
        <f>IF(SEFAZ!O394="","",SEFAZ!O394)</f>
        <v/>
      </c>
      <c r="K410" s="11" t="str">
        <f>IF(SEFAZ!P394="","",SEFAZ!P394)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hidden="1" x14ac:dyDescent="0.3">
      <c r="B411" t="str">
        <f>IF(SEFAZ!A395="","",SEFAZ!A395)</f>
        <v/>
      </c>
      <c r="C411" t="str">
        <f>IF(SEFAZ!C395="","",SEFAZ!C395)</f>
        <v/>
      </c>
      <c r="D411" t="str">
        <f>IF(SEFAZ!D395="","",SEFAZ!D395)</f>
        <v/>
      </c>
      <c r="E411" s="7" t="str">
        <f>IF(SEFAZ!E395="","",SEFAZ!E395)</f>
        <v/>
      </c>
      <c r="F411" s="6" t="str">
        <f>IF(SEFAZ!F395="","",VALUE(SUBSTITUTE(SEFAZ!F395,"'","")))</f>
        <v/>
      </c>
      <c r="G411" t="str">
        <f>IF(SEFAZ!H395="","",SEFAZ!H395)</f>
        <v/>
      </c>
      <c r="H411" t="str">
        <f>IF(SEFAZ!L395="","",SEFAZ!L395)</f>
        <v/>
      </c>
      <c r="I411" t="str">
        <f>IF(SEFAZ!N395="","",SEFAZ!N395)</f>
        <v/>
      </c>
      <c r="J411" t="str">
        <f>IF(SEFAZ!O395="","",SEFAZ!O395)</f>
        <v/>
      </c>
      <c r="K411" s="11" t="str">
        <f>IF(SEFAZ!P395="","",SEFAZ!P395)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hidden="1" x14ac:dyDescent="0.3">
      <c r="B412" t="str">
        <f>IF(SEFAZ!A396="","",SEFAZ!A396)</f>
        <v/>
      </c>
      <c r="C412" t="str">
        <f>IF(SEFAZ!C396="","",SEFAZ!C396)</f>
        <v/>
      </c>
      <c r="D412" t="str">
        <f>IF(SEFAZ!D396="","",SEFAZ!D396)</f>
        <v/>
      </c>
      <c r="E412" s="7" t="str">
        <f>IF(SEFAZ!E396="","",SEFAZ!E396)</f>
        <v/>
      </c>
      <c r="F412" s="6" t="str">
        <f>IF(SEFAZ!F396="","",VALUE(SUBSTITUTE(SEFAZ!F396,"'","")))</f>
        <v/>
      </c>
      <c r="G412" t="str">
        <f>IF(SEFAZ!H396="","",SEFAZ!H396)</f>
        <v/>
      </c>
      <c r="H412" t="str">
        <f>IF(SEFAZ!L396="","",SEFAZ!L396)</f>
        <v/>
      </c>
      <c r="I412" t="str">
        <f>IF(SEFAZ!N396="","",SEFAZ!N396)</f>
        <v/>
      </c>
      <c r="J412" t="str">
        <f>IF(SEFAZ!O396="","",SEFAZ!O396)</f>
        <v/>
      </c>
      <c r="K412" s="11" t="str">
        <f>IF(SEFAZ!P396="","",SEFAZ!P396)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hidden="1" x14ac:dyDescent="0.3">
      <c r="B413" t="str">
        <f>IF(SEFAZ!A397="","",SEFAZ!A397)</f>
        <v/>
      </c>
      <c r="C413" t="str">
        <f>IF(SEFAZ!C397="","",SEFAZ!C397)</f>
        <v/>
      </c>
      <c r="D413" t="str">
        <f>IF(SEFAZ!D397="","",SEFAZ!D397)</f>
        <v/>
      </c>
      <c r="E413" s="7" t="str">
        <f>IF(SEFAZ!E397="","",SEFAZ!E397)</f>
        <v/>
      </c>
      <c r="F413" s="6" t="str">
        <f>IF(SEFAZ!F397="","",VALUE(SUBSTITUTE(SEFAZ!F397,"'","")))</f>
        <v/>
      </c>
      <c r="G413" t="str">
        <f>IF(SEFAZ!H397="","",SEFAZ!H397)</f>
        <v/>
      </c>
      <c r="H413" t="str">
        <f>IF(SEFAZ!L397="","",SEFAZ!L397)</f>
        <v/>
      </c>
      <c r="I413" t="str">
        <f>IF(SEFAZ!N397="","",SEFAZ!N397)</f>
        <v/>
      </c>
      <c r="J413" t="str">
        <f>IF(SEFAZ!O397="","",SEFAZ!O397)</f>
        <v/>
      </c>
      <c r="K413" s="11" t="str">
        <f>IF(SEFAZ!P397="","",SEFAZ!P397)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hidden="1" x14ac:dyDescent="0.3">
      <c r="B414" t="str">
        <f>IF(SEFAZ!A398="","",SEFAZ!A398)</f>
        <v/>
      </c>
      <c r="C414" t="str">
        <f>IF(SEFAZ!C398="","",SEFAZ!C398)</f>
        <v/>
      </c>
      <c r="D414" t="str">
        <f>IF(SEFAZ!D398="","",SEFAZ!D398)</f>
        <v/>
      </c>
      <c r="E414" s="7" t="str">
        <f>IF(SEFAZ!E398="","",SEFAZ!E398)</f>
        <v/>
      </c>
      <c r="F414" s="6" t="str">
        <f>IF(SEFAZ!F398="","",VALUE(SUBSTITUTE(SEFAZ!F398,"'","")))</f>
        <v/>
      </c>
      <c r="G414" t="str">
        <f>IF(SEFAZ!H398="","",SEFAZ!H398)</f>
        <v/>
      </c>
      <c r="H414" t="str">
        <f>IF(SEFAZ!L398="","",SEFAZ!L398)</f>
        <v/>
      </c>
      <c r="I414" t="str">
        <f>IF(SEFAZ!N398="","",SEFAZ!N398)</f>
        <v/>
      </c>
      <c r="J414" t="str">
        <f>IF(SEFAZ!O398="","",SEFAZ!O398)</f>
        <v/>
      </c>
      <c r="K414" s="11" t="str">
        <f>IF(SEFAZ!P398="","",SEFAZ!P398)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hidden="1" x14ac:dyDescent="0.3">
      <c r="B415" t="str">
        <f>IF(SEFAZ!A399="","",SEFAZ!A399)</f>
        <v/>
      </c>
      <c r="C415" t="str">
        <f>IF(SEFAZ!C399="","",SEFAZ!C399)</f>
        <v/>
      </c>
      <c r="D415" t="str">
        <f>IF(SEFAZ!D399="","",SEFAZ!D399)</f>
        <v/>
      </c>
      <c r="E415" s="7" t="str">
        <f>IF(SEFAZ!E399="","",SEFAZ!E399)</f>
        <v/>
      </c>
      <c r="F415" s="6" t="str">
        <f>IF(SEFAZ!F399="","",VALUE(SUBSTITUTE(SEFAZ!F399,"'","")))</f>
        <v/>
      </c>
      <c r="G415" t="str">
        <f>IF(SEFAZ!H399="","",SEFAZ!H399)</f>
        <v/>
      </c>
      <c r="H415" t="str">
        <f>IF(SEFAZ!L399="","",SEFAZ!L399)</f>
        <v/>
      </c>
      <c r="I415" t="str">
        <f>IF(SEFAZ!N399="","",SEFAZ!N399)</f>
        <v/>
      </c>
      <c r="J415" t="str">
        <f>IF(SEFAZ!O399="","",SEFAZ!O399)</f>
        <v/>
      </c>
      <c r="K415" s="11" t="str">
        <f>IF(SEFAZ!P399="","",SEFAZ!P399)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hidden="1" x14ac:dyDescent="0.3">
      <c r="B416" t="str">
        <f>IF(SEFAZ!A400="","",SEFAZ!A400)</f>
        <v/>
      </c>
      <c r="C416" t="str">
        <f>IF(SEFAZ!C400="","",SEFAZ!C400)</f>
        <v/>
      </c>
      <c r="D416" t="str">
        <f>IF(SEFAZ!D400="","",SEFAZ!D400)</f>
        <v/>
      </c>
      <c r="E416" s="7" t="str">
        <f>IF(SEFAZ!E400="","",SEFAZ!E400)</f>
        <v/>
      </c>
      <c r="F416" s="6" t="str">
        <f>IF(SEFAZ!F400="","",VALUE(SUBSTITUTE(SEFAZ!F400,"'","")))</f>
        <v/>
      </c>
      <c r="G416" t="str">
        <f>IF(SEFAZ!H400="","",SEFAZ!H400)</f>
        <v/>
      </c>
      <c r="H416" t="str">
        <f>IF(SEFAZ!L400="","",SEFAZ!L400)</f>
        <v/>
      </c>
      <c r="I416" t="str">
        <f>IF(SEFAZ!N400="","",SEFAZ!N400)</f>
        <v/>
      </c>
      <c r="J416" t="str">
        <f>IF(SEFAZ!O400="","",SEFAZ!O400)</f>
        <v/>
      </c>
      <c r="K416" s="11" t="str">
        <f>IF(SEFAZ!P400="","",SEFAZ!P400)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hidden="1" x14ac:dyDescent="0.3">
      <c r="B417" t="str">
        <f>IF(SEFAZ!A401="","",SEFAZ!A401)</f>
        <v/>
      </c>
      <c r="C417" t="str">
        <f>IF(SEFAZ!C401="","",SEFAZ!C401)</f>
        <v/>
      </c>
      <c r="D417" t="str">
        <f>IF(SEFAZ!D401="","",SEFAZ!D401)</f>
        <v/>
      </c>
      <c r="E417" s="7" t="str">
        <f>IF(SEFAZ!E401="","",SEFAZ!E401)</f>
        <v/>
      </c>
      <c r="F417" s="6" t="str">
        <f>IF(SEFAZ!F401="","",VALUE(SUBSTITUTE(SEFAZ!F401,"'","")))</f>
        <v/>
      </c>
      <c r="G417" t="str">
        <f>IF(SEFAZ!H401="","",SEFAZ!H401)</f>
        <v/>
      </c>
      <c r="H417" t="str">
        <f>IF(SEFAZ!L401="","",SEFAZ!L401)</f>
        <v/>
      </c>
      <c r="I417" t="str">
        <f>IF(SEFAZ!N401="","",SEFAZ!N401)</f>
        <v/>
      </c>
      <c r="J417" t="str">
        <f>IF(SEFAZ!O401="","",SEFAZ!O401)</f>
        <v/>
      </c>
      <c r="K417" s="11" t="str">
        <f>IF(SEFAZ!P401="","",SEFAZ!P401)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hidden="1" x14ac:dyDescent="0.3">
      <c r="B418" t="str">
        <f>IF(SEFAZ!A402="","",SEFAZ!A402)</f>
        <v/>
      </c>
      <c r="C418" t="str">
        <f>IF(SEFAZ!C402="","",SEFAZ!C402)</f>
        <v/>
      </c>
      <c r="D418" t="str">
        <f>IF(SEFAZ!D402="","",SEFAZ!D402)</f>
        <v/>
      </c>
      <c r="E418" s="7" t="str">
        <f>IF(SEFAZ!E402="","",SEFAZ!E402)</f>
        <v/>
      </c>
      <c r="F418" s="6" t="str">
        <f>IF(SEFAZ!F402="","",VALUE(SUBSTITUTE(SEFAZ!F402,"'","")))</f>
        <v/>
      </c>
      <c r="G418" t="str">
        <f>IF(SEFAZ!H402="","",SEFAZ!H402)</f>
        <v/>
      </c>
      <c r="H418" t="str">
        <f>IF(SEFAZ!L402="","",SEFAZ!L402)</f>
        <v/>
      </c>
      <c r="I418" t="str">
        <f>IF(SEFAZ!N402="","",SEFAZ!N402)</f>
        <v/>
      </c>
      <c r="J418" t="str">
        <f>IF(SEFAZ!O402="","",SEFAZ!O402)</f>
        <v/>
      </c>
      <c r="K418" s="11" t="str">
        <f>IF(SEFAZ!P402="","",SEFAZ!P402)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hidden="1" x14ac:dyDescent="0.3">
      <c r="B419" t="str">
        <f>IF(SEFAZ!A403="","",SEFAZ!A403)</f>
        <v/>
      </c>
      <c r="C419" t="str">
        <f>IF(SEFAZ!C403="","",SEFAZ!C403)</f>
        <v/>
      </c>
      <c r="D419" t="str">
        <f>IF(SEFAZ!D403="","",SEFAZ!D403)</f>
        <v/>
      </c>
      <c r="E419" s="7" t="str">
        <f>IF(SEFAZ!E403="","",SEFAZ!E403)</f>
        <v/>
      </c>
      <c r="F419" s="6" t="str">
        <f>IF(SEFAZ!F403="","",VALUE(SUBSTITUTE(SEFAZ!F403,"'","")))</f>
        <v/>
      </c>
      <c r="G419" t="str">
        <f>IF(SEFAZ!H403="","",SEFAZ!H403)</f>
        <v/>
      </c>
      <c r="H419" t="str">
        <f>IF(SEFAZ!L403="","",SEFAZ!L403)</f>
        <v/>
      </c>
      <c r="I419" t="str">
        <f>IF(SEFAZ!N403="","",SEFAZ!N403)</f>
        <v/>
      </c>
      <c r="J419" t="str">
        <f>IF(SEFAZ!O403="","",SEFAZ!O403)</f>
        <v/>
      </c>
      <c r="K419" s="11" t="str">
        <f>IF(SEFAZ!P403="","",SEFAZ!P403)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hidden="1" x14ac:dyDescent="0.3">
      <c r="B420" t="str">
        <f>IF(SEFAZ!A404="","",SEFAZ!A404)</f>
        <v/>
      </c>
      <c r="C420" t="str">
        <f>IF(SEFAZ!C404="","",SEFAZ!C404)</f>
        <v/>
      </c>
      <c r="D420" t="str">
        <f>IF(SEFAZ!D404="","",SEFAZ!D404)</f>
        <v/>
      </c>
      <c r="E420" s="7" t="str">
        <f>IF(SEFAZ!E404="","",SEFAZ!E404)</f>
        <v/>
      </c>
      <c r="F420" s="6" t="str">
        <f>IF(SEFAZ!F404="","",VALUE(SUBSTITUTE(SEFAZ!F404,"'","")))</f>
        <v/>
      </c>
      <c r="G420" t="str">
        <f>IF(SEFAZ!H404="","",SEFAZ!H404)</f>
        <v/>
      </c>
      <c r="H420" t="str">
        <f>IF(SEFAZ!L404="","",SEFAZ!L404)</f>
        <v/>
      </c>
      <c r="I420" t="str">
        <f>IF(SEFAZ!N404="","",SEFAZ!N404)</f>
        <v/>
      </c>
      <c r="J420" t="str">
        <f>IF(SEFAZ!O404="","",SEFAZ!O404)</f>
        <v/>
      </c>
      <c r="K420" s="11" t="str">
        <f>IF(SEFAZ!P404="","",SEFAZ!P404)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hidden="1" x14ac:dyDescent="0.3">
      <c r="B421" t="str">
        <f>IF(SEFAZ!A405="","",SEFAZ!A405)</f>
        <v/>
      </c>
      <c r="C421" t="str">
        <f>IF(SEFAZ!C405="","",SEFAZ!C405)</f>
        <v/>
      </c>
      <c r="D421" t="str">
        <f>IF(SEFAZ!D405="","",SEFAZ!D405)</f>
        <v/>
      </c>
      <c r="E421" s="7" t="str">
        <f>IF(SEFAZ!E405="","",SEFAZ!E405)</f>
        <v/>
      </c>
      <c r="F421" s="6" t="str">
        <f>IF(SEFAZ!F405="","",VALUE(SUBSTITUTE(SEFAZ!F405,"'","")))</f>
        <v/>
      </c>
      <c r="G421" t="str">
        <f>IF(SEFAZ!H405="","",SEFAZ!H405)</f>
        <v/>
      </c>
      <c r="H421" t="str">
        <f>IF(SEFAZ!L405="","",SEFAZ!L405)</f>
        <v/>
      </c>
      <c r="I421" t="str">
        <f>IF(SEFAZ!N405="","",SEFAZ!N405)</f>
        <v/>
      </c>
      <c r="J421" t="str">
        <f>IF(SEFAZ!O405="","",SEFAZ!O405)</f>
        <v/>
      </c>
      <c r="K421" s="11" t="str">
        <f>IF(SEFAZ!P405="","",SEFAZ!P405)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hidden="1" x14ac:dyDescent="0.3">
      <c r="B422" t="str">
        <f>IF(SEFAZ!A406="","",SEFAZ!A406)</f>
        <v/>
      </c>
      <c r="C422" t="str">
        <f>IF(SEFAZ!C406="","",SEFAZ!C406)</f>
        <v/>
      </c>
      <c r="D422" t="str">
        <f>IF(SEFAZ!D406="","",SEFAZ!D406)</f>
        <v/>
      </c>
      <c r="E422" s="7" t="str">
        <f>IF(SEFAZ!E406="","",SEFAZ!E406)</f>
        <v/>
      </c>
      <c r="F422" s="6" t="str">
        <f>IF(SEFAZ!F406="","",VALUE(SUBSTITUTE(SEFAZ!F406,"'","")))</f>
        <v/>
      </c>
      <c r="G422" t="str">
        <f>IF(SEFAZ!H406="","",SEFAZ!H406)</f>
        <v/>
      </c>
      <c r="H422" t="str">
        <f>IF(SEFAZ!L406="","",SEFAZ!L406)</f>
        <v/>
      </c>
      <c r="I422" t="str">
        <f>IF(SEFAZ!N406="","",SEFAZ!N406)</f>
        <v/>
      </c>
      <c r="J422" t="str">
        <f>IF(SEFAZ!O406="","",SEFAZ!O406)</f>
        <v/>
      </c>
      <c r="K422" s="11" t="str">
        <f>IF(SEFAZ!P406="","",SEFAZ!P406)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hidden="1" x14ac:dyDescent="0.3">
      <c r="B423" t="str">
        <f>IF(SEFAZ!A407="","",SEFAZ!A407)</f>
        <v/>
      </c>
      <c r="C423" t="str">
        <f>IF(SEFAZ!C407="","",SEFAZ!C407)</f>
        <v/>
      </c>
      <c r="D423" t="str">
        <f>IF(SEFAZ!D407="","",SEFAZ!D407)</f>
        <v/>
      </c>
      <c r="E423" s="7" t="str">
        <f>IF(SEFAZ!E407="","",SEFAZ!E407)</f>
        <v/>
      </c>
      <c r="F423" s="6" t="str">
        <f>IF(SEFAZ!F407="","",VALUE(SUBSTITUTE(SEFAZ!F407,"'","")))</f>
        <v/>
      </c>
      <c r="G423" t="str">
        <f>IF(SEFAZ!H407="","",SEFAZ!H407)</f>
        <v/>
      </c>
      <c r="H423" t="str">
        <f>IF(SEFAZ!L407="","",SEFAZ!L407)</f>
        <v/>
      </c>
      <c r="I423" t="str">
        <f>IF(SEFAZ!N407="","",SEFAZ!N407)</f>
        <v/>
      </c>
      <c r="J423" t="str">
        <f>IF(SEFAZ!O407="","",SEFAZ!O407)</f>
        <v/>
      </c>
      <c r="K423" s="11" t="str">
        <f>IF(SEFAZ!P407="","",SEFAZ!P407)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hidden="1" x14ac:dyDescent="0.3">
      <c r="B424" t="str">
        <f>IF(SEFAZ!A408="","",SEFAZ!A408)</f>
        <v/>
      </c>
      <c r="C424" t="str">
        <f>IF(SEFAZ!C408="","",SEFAZ!C408)</f>
        <v/>
      </c>
      <c r="D424" t="str">
        <f>IF(SEFAZ!D408="","",SEFAZ!D408)</f>
        <v/>
      </c>
      <c r="E424" s="7" t="str">
        <f>IF(SEFAZ!E408="","",SEFAZ!E408)</f>
        <v/>
      </c>
      <c r="F424" s="6" t="str">
        <f>IF(SEFAZ!F408="","",VALUE(SUBSTITUTE(SEFAZ!F408,"'","")))</f>
        <v/>
      </c>
      <c r="G424" t="str">
        <f>IF(SEFAZ!H408="","",SEFAZ!H408)</f>
        <v/>
      </c>
      <c r="H424" t="str">
        <f>IF(SEFAZ!L408="","",SEFAZ!L408)</f>
        <v/>
      </c>
      <c r="I424" t="str">
        <f>IF(SEFAZ!N408="","",SEFAZ!N408)</f>
        <v/>
      </c>
      <c r="J424" t="str">
        <f>IF(SEFAZ!O408="","",SEFAZ!O408)</f>
        <v/>
      </c>
      <c r="K424" s="11" t="str">
        <f>IF(SEFAZ!P408="","",SEFAZ!P408)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hidden="1" x14ac:dyDescent="0.3">
      <c r="B425" t="str">
        <f>IF(SEFAZ!A409="","",SEFAZ!A409)</f>
        <v/>
      </c>
      <c r="C425" t="str">
        <f>IF(SEFAZ!C409="","",SEFAZ!C409)</f>
        <v/>
      </c>
      <c r="D425" t="str">
        <f>IF(SEFAZ!D409="","",SEFAZ!D409)</f>
        <v/>
      </c>
      <c r="E425" s="7" t="str">
        <f>IF(SEFAZ!E409="","",SEFAZ!E409)</f>
        <v/>
      </c>
      <c r="F425" s="6" t="str">
        <f>IF(SEFAZ!F409="","",VALUE(SUBSTITUTE(SEFAZ!F409,"'","")))</f>
        <v/>
      </c>
      <c r="G425" t="str">
        <f>IF(SEFAZ!H409="","",SEFAZ!H409)</f>
        <v/>
      </c>
      <c r="H425" t="str">
        <f>IF(SEFAZ!L409="","",SEFAZ!L409)</f>
        <v/>
      </c>
      <c r="I425" t="str">
        <f>IF(SEFAZ!N409="","",SEFAZ!N409)</f>
        <v/>
      </c>
      <c r="J425" t="str">
        <f>IF(SEFAZ!O409="","",SEFAZ!O409)</f>
        <v/>
      </c>
      <c r="K425" s="11" t="str">
        <f>IF(SEFAZ!P409="","",SEFAZ!P409)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hidden="1" x14ac:dyDescent="0.3">
      <c r="B426" t="str">
        <f>IF(SEFAZ!A410="","",SEFAZ!A410)</f>
        <v/>
      </c>
      <c r="C426" t="str">
        <f>IF(SEFAZ!C410="","",SEFAZ!C410)</f>
        <v/>
      </c>
      <c r="D426" t="str">
        <f>IF(SEFAZ!D410="","",SEFAZ!D410)</f>
        <v/>
      </c>
      <c r="E426" s="7" t="str">
        <f>IF(SEFAZ!E410="","",SEFAZ!E410)</f>
        <v/>
      </c>
      <c r="F426" s="6" t="str">
        <f>IF(SEFAZ!F410="","",VALUE(SUBSTITUTE(SEFAZ!F410,"'","")))</f>
        <v/>
      </c>
      <c r="G426" t="str">
        <f>IF(SEFAZ!H410="","",SEFAZ!H410)</f>
        <v/>
      </c>
      <c r="H426" t="str">
        <f>IF(SEFAZ!L410="","",SEFAZ!L410)</f>
        <v/>
      </c>
      <c r="I426" t="str">
        <f>IF(SEFAZ!N410="","",SEFAZ!N410)</f>
        <v/>
      </c>
      <c r="J426" t="str">
        <f>IF(SEFAZ!O410="","",SEFAZ!O410)</f>
        <v/>
      </c>
      <c r="K426" s="11" t="str">
        <f>IF(SEFAZ!P410="","",SEFAZ!P410)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hidden="1" x14ac:dyDescent="0.3">
      <c r="B427" t="str">
        <f>IF(SEFAZ!A411="","",SEFAZ!A411)</f>
        <v/>
      </c>
      <c r="C427" t="str">
        <f>IF(SEFAZ!C411="","",SEFAZ!C411)</f>
        <v/>
      </c>
      <c r="D427" t="str">
        <f>IF(SEFAZ!D411="","",SEFAZ!D411)</f>
        <v/>
      </c>
      <c r="E427" s="7" t="str">
        <f>IF(SEFAZ!E411="","",SEFAZ!E411)</f>
        <v/>
      </c>
      <c r="F427" s="6" t="str">
        <f>IF(SEFAZ!F411="","",VALUE(SUBSTITUTE(SEFAZ!F411,"'","")))</f>
        <v/>
      </c>
      <c r="G427" t="str">
        <f>IF(SEFAZ!H411="","",SEFAZ!H411)</f>
        <v/>
      </c>
      <c r="H427" t="str">
        <f>IF(SEFAZ!L411="","",SEFAZ!L411)</f>
        <v/>
      </c>
      <c r="I427" t="str">
        <f>IF(SEFAZ!N411="","",SEFAZ!N411)</f>
        <v/>
      </c>
      <c r="J427" t="str">
        <f>IF(SEFAZ!O411="","",SEFAZ!O411)</f>
        <v/>
      </c>
      <c r="K427" s="11" t="str">
        <f>IF(SEFAZ!P411="","",SEFAZ!P411)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hidden="1" x14ac:dyDescent="0.3">
      <c r="B428" t="str">
        <f>IF(SEFAZ!A412="","",SEFAZ!A412)</f>
        <v/>
      </c>
      <c r="C428" t="str">
        <f>IF(SEFAZ!C412="","",SEFAZ!C412)</f>
        <v/>
      </c>
      <c r="D428" t="str">
        <f>IF(SEFAZ!D412="","",SEFAZ!D412)</f>
        <v/>
      </c>
      <c r="E428" s="7" t="str">
        <f>IF(SEFAZ!E412="","",SEFAZ!E412)</f>
        <v/>
      </c>
      <c r="F428" s="6" t="str">
        <f>IF(SEFAZ!F412="","",VALUE(SUBSTITUTE(SEFAZ!F412,"'","")))</f>
        <v/>
      </c>
      <c r="G428" t="str">
        <f>IF(SEFAZ!H412="","",SEFAZ!H412)</f>
        <v/>
      </c>
      <c r="H428" t="str">
        <f>IF(SEFAZ!L412="","",SEFAZ!L412)</f>
        <v/>
      </c>
      <c r="I428" t="str">
        <f>IF(SEFAZ!N412="","",SEFAZ!N412)</f>
        <v/>
      </c>
      <c r="J428" t="str">
        <f>IF(SEFAZ!O412="","",SEFAZ!O412)</f>
        <v/>
      </c>
      <c r="K428" s="11" t="str">
        <f>IF(SEFAZ!P412="","",SEFAZ!P412)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hidden="1" x14ac:dyDescent="0.3">
      <c r="B429" t="str">
        <f>IF(SEFAZ!A413="","",SEFAZ!A413)</f>
        <v/>
      </c>
      <c r="C429" t="str">
        <f>IF(SEFAZ!C413="","",SEFAZ!C413)</f>
        <v/>
      </c>
      <c r="D429" t="str">
        <f>IF(SEFAZ!D413="","",SEFAZ!D413)</f>
        <v/>
      </c>
      <c r="E429" s="7" t="str">
        <f>IF(SEFAZ!E413="","",SEFAZ!E413)</f>
        <v/>
      </c>
      <c r="F429" s="6" t="str">
        <f>IF(SEFAZ!F413="","",VALUE(SUBSTITUTE(SEFAZ!F413,"'","")))</f>
        <v/>
      </c>
      <c r="G429" t="str">
        <f>IF(SEFAZ!H413="","",SEFAZ!H413)</f>
        <v/>
      </c>
      <c r="H429" t="str">
        <f>IF(SEFAZ!L413="","",SEFAZ!L413)</f>
        <v/>
      </c>
      <c r="I429" t="str">
        <f>IF(SEFAZ!N413="","",SEFAZ!N413)</f>
        <v/>
      </c>
      <c r="J429" t="str">
        <f>IF(SEFAZ!O413="","",SEFAZ!O413)</f>
        <v/>
      </c>
      <c r="K429" s="11" t="str">
        <f>IF(SEFAZ!P413="","",SEFAZ!P413)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hidden="1" x14ac:dyDescent="0.3">
      <c r="B430" t="str">
        <f>IF(SEFAZ!A414="","",SEFAZ!A414)</f>
        <v/>
      </c>
      <c r="C430" t="str">
        <f>IF(SEFAZ!C414="","",SEFAZ!C414)</f>
        <v/>
      </c>
      <c r="D430" t="str">
        <f>IF(SEFAZ!D414="","",SEFAZ!D414)</f>
        <v/>
      </c>
      <c r="E430" s="7" t="str">
        <f>IF(SEFAZ!E414="","",SEFAZ!E414)</f>
        <v/>
      </c>
      <c r="F430" s="6" t="str">
        <f>IF(SEFAZ!F414="","",VALUE(SUBSTITUTE(SEFAZ!F414,"'","")))</f>
        <v/>
      </c>
      <c r="G430" t="str">
        <f>IF(SEFAZ!H414="","",SEFAZ!H414)</f>
        <v/>
      </c>
      <c r="H430" t="str">
        <f>IF(SEFAZ!L414="","",SEFAZ!L414)</f>
        <v/>
      </c>
      <c r="I430" t="str">
        <f>IF(SEFAZ!N414="","",SEFAZ!N414)</f>
        <v/>
      </c>
      <c r="J430" t="str">
        <f>IF(SEFAZ!O414="","",SEFAZ!O414)</f>
        <v/>
      </c>
      <c r="K430" s="11" t="str">
        <f>IF(SEFAZ!P414="","",SEFAZ!P414)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hidden="1" x14ac:dyDescent="0.3">
      <c r="B431" t="str">
        <f>IF(SEFAZ!A415="","",SEFAZ!A415)</f>
        <v/>
      </c>
      <c r="C431" t="str">
        <f>IF(SEFAZ!C415="","",SEFAZ!C415)</f>
        <v/>
      </c>
      <c r="D431" t="str">
        <f>IF(SEFAZ!D415="","",SEFAZ!D415)</f>
        <v/>
      </c>
      <c r="E431" s="7" t="str">
        <f>IF(SEFAZ!E415="","",SEFAZ!E415)</f>
        <v/>
      </c>
      <c r="F431" s="6" t="str">
        <f>IF(SEFAZ!F415="","",VALUE(SUBSTITUTE(SEFAZ!F415,"'","")))</f>
        <v/>
      </c>
      <c r="G431" t="str">
        <f>IF(SEFAZ!H415="","",SEFAZ!H415)</f>
        <v/>
      </c>
      <c r="H431" t="str">
        <f>IF(SEFAZ!L415="","",SEFAZ!L415)</f>
        <v/>
      </c>
      <c r="I431" t="str">
        <f>IF(SEFAZ!N415="","",SEFAZ!N415)</f>
        <v/>
      </c>
      <c r="J431" t="str">
        <f>IF(SEFAZ!O415="","",SEFAZ!O415)</f>
        <v/>
      </c>
      <c r="K431" s="11" t="str">
        <f>IF(SEFAZ!P415="","",SEFAZ!P415)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hidden="1" x14ac:dyDescent="0.3">
      <c r="B432" t="str">
        <f>IF(SEFAZ!A416="","",SEFAZ!A416)</f>
        <v/>
      </c>
      <c r="C432" t="str">
        <f>IF(SEFAZ!C416="","",SEFAZ!C416)</f>
        <v/>
      </c>
      <c r="D432" t="str">
        <f>IF(SEFAZ!D416="","",SEFAZ!D416)</f>
        <v/>
      </c>
      <c r="E432" s="7" t="str">
        <f>IF(SEFAZ!E416="","",SEFAZ!E416)</f>
        <v/>
      </c>
      <c r="F432" s="6" t="str">
        <f>IF(SEFAZ!F416="","",VALUE(SUBSTITUTE(SEFAZ!F416,"'","")))</f>
        <v/>
      </c>
      <c r="G432" t="str">
        <f>IF(SEFAZ!H416="","",SEFAZ!H416)</f>
        <v/>
      </c>
      <c r="H432" t="str">
        <f>IF(SEFAZ!L416="","",SEFAZ!L416)</f>
        <v/>
      </c>
      <c r="I432" t="str">
        <f>IF(SEFAZ!N416="","",SEFAZ!N416)</f>
        <v/>
      </c>
      <c r="J432" t="str">
        <f>IF(SEFAZ!O416="","",SEFAZ!O416)</f>
        <v/>
      </c>
      <c r="K432" s="11" t="str">
        <f>IF(SEFAZ!P416="","",SEFAZ!P416)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hidden="1" x14ac:dyDescent="0.3">
      <c r="B433" t="str">
        <f>IF(SEFAZ!A417="","",SEFAZ!A417)</f>
        <v/>
      </c>
      <c r="C433" t="str">
        <f>IF(SEFAZ!C417="","",SEFAZ!C417)</f>
        <v/>
      </c>
      <c r="D433" t="str">
        <f>IF(SEFAZ!D417="","",SEFAZ!D417)</f>
        <v/>
      </c>
      <c r="E433" s="7" t="str">
        <f>IF(SEFAZ!E417="","",SEFAZ!E417)</f>
        <v/>
      </c>
      <c r="F433" s="6" t="str">
        <f>IF(SEFAZ!F417="","",VALUE(SUBSTITUTE(SEFAZ!F417,"'","")))</f>
        <v/>
      </c>
      <c r="G433" t="str">
        <f>IF(SEFAZ!H417="","",SEFAZ!H417)</f>
        <v/>
      </c>
      <c r="H433" t="str">
        <f>IF(SEFAZ!L417="","",SEFAZ!L417)</f>
        <v/>
      </c>
      <c r="I433" t="str">
        <f>IF(SEFAZ!N417="","",SEFAZ!N417)</f>
        <v/>
      </c>
      <c r="J433" t="str">
        <f>IF(SEFAZ!O417="","",SEFAZ!O417)</f>
        <v/>
      </c>
      <c r="K433" s="11" t="str">
        <f>IF(SEFAZ!P417="","",SEFAZ!P417)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hidden="1" x14ac:dyDescent="0.3">
      <c r="B434" t="str">
        <f>IF(SEFAZ!A418="","",SEFAZ!A418)</f>
        <v/>
      </c>
      <c r="C434" t="str">
        <f>IF(SEFAZ!C418="","",SEFAZ!C418)</f>
        <v/>
      </c>
      <c r="D434" t="str">
        <f>IF(SEFAZ!D418="","",SEFAZ!D418)</f>
        <v/>
      </c>
      <c r="E434" s="7" t="str">
        <f>IF(SEFAZ!E418="","",SEFAZ!E418)</f>
        <v/>
      </c>
      <c r="F434" s="6" t="str">
        <f>IF(SEFAZ!F418="","",VALUE(SUBSTITUTE(SEFAZ!F418,"'","")))</f>
        <v/>
      </c>
      <c r="G434" t="str">
        <f>IF(SEFAZ!H418="","",SEFAZ!H418)</f>
        <v/>
      </c>
      <c r="H434" t="str">
        <f>IF(SEFAZ!L418="","",SEFAZ!L418)</f>
        <v/>
      </c>
      <c r="I434" t="str">
        <f>IF(SEFAZ!N418="","",SEFAZ!N418)</f>
        <v/>
      </c>
      <c r="J434" t="str">
        <f>IF(SEFAZ!O418="","",SEFAZ!O418)</f>
        <v/>
      </c>
      <c r="K434" s="11" t="str">
        <f>IF(SEFAZ!P418="","",SEFAZ!P418)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hidden="1" x14ac:dyDescent="0.3">
      <c r="B435" t="str">
        <f>IF(SEFAZ!A419="","",SEFAZ!A419)</f>
        <v/>
      </c>
      <c r="C435" t="str">
        <f>IF(SEFAZ!C419="","",SEFAZ!C419)</f>
        <v/>
      </c>
      <c r="D435" t="str">
        <f>IF(SEFAZ!D419="","",SEFAZ!D419)</f>
        <v/>
      </c>
      <c r="E435" s="7" t="str">
        <f>IF(SEFAZ!E419="","",SEFAZ!E419)</f>
        <v/>
      </c>
      <c r="F435" s="6" t="str">
        <f>IF(SEFAZ!F419="","",VALUE(SUBSTITUTE(SEFAZ!F419,"'","")))</f>
        <v/>
      </c>
      <c r="G435" t="str">
        <f>IF(SEFAZ!H419="","",SEFAZ!H419)</f>
        <v/>
      </c>
      <c r="H435" t="str">
        <f>IF(SEFAZ!L419="","",SEFAZ!L419)</f>
        <v/>
      </c>
      <c r="I435" t="str">
        <f>IF(SEFAZ!N419="","",SEFAZ!N419)</f>
        <v/>
      </c>
      <c r="J435" t="str">
        <f>IF(SEFAZ!O419="","",SEFAZ!O419)</f>
        <v/>
      </c>
      <c r="K435" s="11" t="str">
        <f>IF(SEFAZ!P419="","",SEFAZ!P419)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hidden="1" x14ac:dyDescent="0.3">
      <c r="B436" t="str">
        <f>IF(SEFAZ!A420="","",SEFAZ!A420)</f>
        <v/>
      </c>
      <c r="C436" t="str">
        <f>IF(SEFAZ!C420="","",SEFAZ!C420)</f>
        <v/>
      </c>
      <c r="D436" t="str">
        <f>IF(SEFAZ!D420="","",SEFAZ!D420)</f>
        <v/>
      </c>
      <c r="E436" s="7" t="str">
        <f>IF(SEFAZ!E420="","",SEFAZ!E420)</f>
        <v/>
      </c>
      <c r="F436" s="6" t="str">
        <f>IF(SEFAZ!F420="","",VALUE(SUBSTITUTE(SEFAZ!F420,"'","")))</f>
        <v/>
      </c>
      <c r="G436" t="str">
        <f>IF(SEFAZ!H420="","",SEFAZ!H420)</f>
        <v/>
      </c>
      <c r="H436" t="str">
        <f>IF(SEFAZ!L420="","",SEFAZ!L420)</f>
        <v/>
      </c>
      <c r="I436" t="str">
        <f>IF(SEFAZ!N420="","",SEFAZ!N420)</f>
        <v/>
      </c>
      <c r="J436" t="str">
        <f>IF(SEFAZ!O420="","",SEFAZ!O420)</f>
        <v/>
      </c>
      <c r="K436" s="11" t="str">
        <f>IF(SEFAZ!P420="","",SEFAZ!P420)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hidden="1" x14ac:dyDescent="0.3">
      <c r="B437" t="str">
        <f>IF(SEFAZ!A421="","",SEFAZ!A421)</f>
        <v/>
      </c>
      <c r="C437" t="str">
        <f>IF(SEFAZ!C421="","",SEFAZ!C421)</f>
        <v/>
      </c>
      <c r="D437" t="str">
        <f>IF(SEFAZ!D421="","",SEFAZ!D421)</f>
        <v/>
      </c>
      <c r="E437" s="7" t="str">
        <f>IF(SEFAZ!E421="","",SEFAZ!E421)</f>
        <v/>
      </c>
      <c r="F437" s="6" t="str">
        <f>IF(SEFAZ!F421="","",VALUE(SUBSTITUTE(SEFAZ!F421,"'","")))</f>
        <v/>
      </c>
      <c r="G437" t="str">
        <f>IF(SEFAZ!H421="","",SEFAZ!H421)</f>
        <v/>
      </c>
      <c r="H437" t="str">
        <f>IF(SEFAZ!L421="","",SEFAZ!L421)</f>
        <v/>
      </c>
      <c r="I437" t="str">
        <f>IF(SEFAZ!N421="","",SEFAZ!N421)</f>
        <v/>
      </c>
      <c r="J437" t="str">
        <f>IF(SEFAZ!O421="","",SEFAZ!O421)</f>
        <v/>
      </c>
      <c r="K437" s="11" t="str">
        <f>IF(SEFAZ!P421="","",SEFAZ!P421)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hidden="1" x14ac:dyDescent="0.3">
      <c r="B438" t="str">
        <f>IF(SEFAZ!A422="","",SEFAZ!A422)</f>
        <v/>
      </c>
      <c r="C438" t="str">
        <f>IF(SEFAZ!C422="","",SEFAZ!C422)</f>
        <v/>
      </c>
      <c r="D438" t="str">
        <f>IF(SEFAZ!D422="","",SEFAZ!D422)</f>
        <v/>
      </c>
      <c r="E438" s="7" t="str">
        <f>IF(SEFAZ!E422="","",SEFAZ!E422)</f>
        <v/>
      </c>
      <c r="F438" s="6" t="str">
        <f>IF(SEFAZ!F422="","",VALUE(SUBSTITUTE(SEFAZ!F422,"'","")))</f>
        <v/>
      </c>
      <c r="G438" t="str">
        <f>IF(SEFAZ!H422="","",SEFAZ!H422)</f>
        <v/>
      </c>
      <c r="H438" t="str">
        <f>IF(SEFAZ!L422="","",SEFAZ!L422)</f>
        <v/>
      </c>
      <c r="I438" t="str">
        <f>IF(SEFAZ!N422="","",SEFAZ!N422)</f>
        <v/>
      </c>
      <c r="J438" t="str">
        <f>IF(SEFAZ!O422="","",SEFAZ!O422)</f>
        <v/>
      </c>
      <c r="K438" s="11" t="str">
        <f>IF(SEFAZ!P422="","",SEFAZ!P422)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hidden="1" x14ac:dyDescent="0.3">
      <c r="B439" t="str">
        <f>IF(SEFAZ!A423="","",SEFAZ!A423)</f>
        <v/>
      </c>
      <c r="C439" t="str">
        <f>IF(SEFAZ!C423="","",SEFAZ!C423)</f>
        <v/>
      </c>
      <c r="D439" t="str">
        <f>IF(SEFAZ!D423="","",SEFAZ!D423)</f>
        <v/>
      </c>
      <c r="E439" s="7" t="str">
        <f>IF(SEFAZ!E423="","",SEFAZ!E423)</f>
        <v/>
      </c>
      <c r="F439" s="6" t="str">
        <f>IF(SEFAZ!F423="","",VALUE(SUBSTITUTE(SEFAZ!F423,"'","")))</f>
        <v/>
      </c>
      <c r="G439" t="str">
        <f>IF(SEFAZ!H423="","",SEFAZ!H423)</f>
        <v/>
      </c>
      <c r="H439" t="str">
        <f>IF(SEFAZ!L423="","",SEFAZ!L423)</f>
        <v/>
      </c>
      <c r="I439" t="str">
        <f>IF(SEFAZ!N423="","",SEFAZ!N423)</f>
        <v/>
      </c>
      <c r="J439" t="str">
        <f>IF(SEFAZ!O423="","",SEFAZ!O423)</f>
        <v/>
      </c>
      <c r="K439" s="11" t="str">
        <f>IF(SEFAZ!P423="","",SEFAZ!P423)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hidden="1" x14ac:dyDescent="0.3">
      <c r="B440" t="str">
        <f>IF(SEFAZ!A424="","",SEFAZ!A424)</f>
        <v/>
      </c>
      <c r="C440" t="str">
        <f>IF(SEFAZ!C424="","",SEFAZ!C424)</f>
        <v/>
      </c>
      <c r="D440" t="str">
        <f>IF(SEFAZ!D424="","",SEFAZ!D424)</f>
        <v/>
      </c>
      <c r="E440" s="7" t="str">
        <f>IF(SEFAZ!E424="","",SEFAZ!E424)</f>
        <v/>
      </c>
      <c r="F440" s="6" t="str">
        <f>IF(SEFAZ!F424="","",VALUE(SUBSTITUTE(SEFAZ!F424,"'","")))</f>
        <v/>
      </c>
      <c r="G440" t="str">
        <f>IF(SEFAZ!H424="","",SEFAZ!H424)</f>
        <v/>
      </c>
      <c r="H440" t="str">
        <f>IF(SEFAZ!L424="","",SEFAZ!L424)</f>
        <v/>
      </c>
      <c r="I440" t="str">
        <f>IF(SEFAZ!N424="","",SEFAZ!N424)</f>
        <v/>
      </c>
      <c r="J440" t="str">
        <f>IF(SEFAZ!O424="","",SEFAZ!O424)</f>
        <v/>
      </c>
      <c r="K440" s="11" t="str">
        <f>IF(SEFAZ!P424="","",SEFAZ!P424)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hidden="1" x14ac:dyDescent="0.3">
      <c r="B441" t="str">
        <f>IF(SEFAZ!A425="","",SEFAZ!A425)</f>
        <v/>
      </c>
      <c r="C441" t="str">
        <f>IF(SEFAZ!C425="","",SEFAZ!C425)</f>
        <v/>
      </c>
      <c r="D441" t="str">
        <f>IF(SEFAZ!D425="","",SEFAZ!D425)</f>
        <v/>
      </c>
      <c r="E441" s="7" t="str">
        <f>IF(SEFAZ!E425="","",SEFAZ!E425)</f>
        <v/>
      </c>
      <c r="F441" s="6" t="str">
        <f>IF(SEFAZ!F425="","",VALUE(SUBSTITUTE(SEFAZ!F425,"'","")))</f>
        <v/>
      </c>
      <c r="G441" t="str">
        <f>IF(SEFAZ!H425="","",SEFAZ!H425)</f>
        <v/>
      </c>
      <c r="H441" t="str">
        <f>IF(SEFAZ!L425="","",SEFAZ!L425)</f>
        <v/>
      </c>
      <c r="I441" t="str">
        <f>IF(SEFAZ!N425="","",SEFAZ!N425)</f>
        <v/>
      </c>
      <c r="J441" t="str">
        <f>IF(SEFAZ!O425="","",SEFAZ!O425)</f>
        <v/>
      </c>
      <c r="K441" s="11" t="str">
        <f>IF(SEFAZ!P425="","",SEFAZ!P425)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hidden="1" x14ac:dyDescent="0.3">
      <c r="B442" t="str">
        <f>IF(SEFAZ!A426="","",SEFAZ!A426)</f>
        <v/>
      </c>
      <c r="C442" t="str">
        <f>IF(SEFAZ!C426="","",SEFAZ!C426)</f>
        <v/>
      </c>
      <c r="D442" t="str">
        <f>IF(SEFAZ!D426="","",SEFAZ!D426)</f>
        <v/>
      </c>
      <c r="E442" s="7" t="str">
        <f>IF(SEFAZ!E426="","",SEFAZ!E426)</f>
        <v/>
      </c>
      <c r="F442" s="6" t="str">
        <f>IF(SEFAZ!F426="","",VALUE(SUBSTITUTE(SEFAZ!F426,"'","")))</f>
        <v/>
      </c>
      <c r="G442" t="str">
        <f>IF(SEFAZ!H426="","",SEFAZ!H426)</f>
        <v/>
      </c>
      <c r="H442" t="str">
        <f>IF(SEFAZ!L426="","",SEFAZ!L426)</f>
        <v/>
      </c>
      <c r="I442" t="str">
        <f>IF(SEFAZ!N426="","",SEFAZ!N426)</f>
        <v/>
      </c>
      <c r="J442" t="str">
        <f>IF(SEFAZ!O426="","",SEFAZ!O426)</f>
        <v/>
      </c>
      <c r="K442" s="11" t="str">
        <f>IF(SEFAZ!P426="","",SEFAZ!P426)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hidden="1" x14ac:dyDescent="0.3">
      <c r="B443" t="str">
        <f>IF(SEFAZ!A427="","",SEFAZ!A427)</f>
        <v/>
      </c>
      <c r="C443" t="str">
        <f>IF(SEFAZ!C427="","",SEFAZ!C427)</f>
        <v/>
      </c>
      <c r="D443" t="str">
        <f>IF(SEFAZ!D427="","",SEFAZ!D427)</f>
        <v/>
      </c>
      <c r="E443" s="7" t="str">
        <f>IF(SEFAZ!E427="","",SEFAZ!E427)</f>
        <v/>
      </c>
      <c r="F443" s="6" t="str">
        <f>IF(SEFAZ!F427="","",VALUE(SUBSTITUTE(SEFAZ!F427,"'","")))</f>
        <v/>
      </c>
      <c r="G443" t="str">
        <f>IF(SEFAZ!H427="","",SEFAZ!H427)</f>
        <v/>
      </c>
      <c r="H443" t="str">
        <f>IF(SEFAZ!L427="","",SEFAZ!L427)</f>
        <v/>
      </c>
      <c r="I443" t="str">
        <f>IF(SEFAZ!N427="","",SEFAZ!N427)</f>
        <v/>
      </c>
      <c r="J443" t="str">
        <f>IF(SEFAZ!O427="","",SEFAZ!O427)</f>
        <v/>
      </c>
      <c r="K443" s="11" t="str">
        <f>IF(SEFAZ!P427="","",SEFAZ!P427)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hidden="1" x14ac:dyDescent="0.3">
      <c r="B444" t="str">
        <f>IF(SEFAZ!A428="","",SEFAZ!A428)</f>
        <v/>
      </c>
      <c r="C444" t="str">
        <f>IF(SEFAZ!C428="","",SEFAZ!C428)</f>
        <v/>
      </c>
      <c r="D444" t="str">
        <f>IF(SEFAZ!D428="","",SEFAZ!D428)</f>
        <v/>
      </c>
      <c r="E444" s="7" t="str">
        <f>IF(SEFAZ!E428="","",SEFAZ!E428)</f>
        <v/>
      </c>
      <c r="F444" s="6" t="str">
        <f>IF(SEFAZ!F428="","",VALUE(SUBSTITUTE(SEFAZ!F428,"'","")))</f>
        <v/>
      </c>
      <c r="G444" t="str">
        <f>IF(SEFAZ!H428="","",SEFAZ!H428)</f>
        <v/>
      </c>
      <c r="H444" t="str">
        <f>IF(SEFAZ!L428="","",SEFAZ!L428)</f>
        <v/>
      </c>
      <c r="I444" t="str">
        <f>IF(SEFAZ!N428="","",SEFAZ!N428)</f>
        <v/>
      </c>
      <c r="J444" t="str">
        <f>IF(SEFAZ!O428="","",SEFAZ!O428)</f>
        <v/>
      </c>
      <c r="K444" s="11" t="str">
        <f>IF(SEFAZ!P428="","",SEFAZ!P428)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hidden="1" x14ac:dyDescent="0.3">
      <c r="B445" t="str">
        <f>IF(SEFAZ!A429="","",SEFAZ!A429)</f>
        <v/>
      </c>
      <c r="C445" t="str">
        <f>IF(SEFAZ!C429="","",SEFAZ!C429)</f>
        <v/>
      </c>
      <c r="D445" t="str">
        <f>IF(SEFAZ!D429="","",SEFAZ!D429)</f>
        <v/>
      </c>
      <c r="E445" s="7" t="str">
        <f>IF(SEFAZ!E429="","",SEFAZ!E429)</f>
        <v/>
      </c>
      <c r="F445" s="6" t="str">
        <f>IF(SEFAZ!F429="","",VALUE(SUBSTITUTE(SEFAZ!F429,"'","")))</f>
        <v/>
      </c>
      <c r="G445" t="str">
        <f>IF(SEFAZ!H429="","",SEFAZ!H429)</f>
        <v/>
      </c>
      <c r="H445" t="str">
        <f>IF(SEFAZ!L429="","",SEFAZ!L429)</f>
        <v/>
      </c>
      <c r="I445" t="str">
        <f>IF(SEFAZ!N429="","",SEFAZ!N429)</f>
        <v/>
      </c>
      <c r="J445" t="str">
        <f>IF(SEFAZ!O429="","",SEFAZ!O429)</f>
        <v/>
      </c>
      <c r="K445" s="11" t="str">
        <f>IF(SEFAZ!P429="","",SEFAZ!P429)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hidden="1" x14ac:dyDescent="0.3">
      <c r="B446" t="str">
        <f>IF(SEFAZ!A430="","",SEFAZ!A430)</f>
        <v/>
      </c>
      <c r="C446" t="str">
        <f>IF(SEFAZ!C430="","",SEFAZ!C430)</f>
        <v/>
      </c>
      <c r="D446" t="str">
        <f>IF(SEFAZ!D430="","",SEFAZ!D430)</f>
        <v/>
      </c>
      <c r="E446" s="7" t="str">
        <f>IF(SEFAZ!E430="","",SEFAZ!E430)</f>
        <v/>
      </c>
      <c r="F446" s="6" t="str">
        <f>IF(SEFAZ!F430="","",VALUE(SUBSTITUTE(SEFAZ!F430,"'","")))</f>
        <v/>
      </c>
      <c r="G446" t="str">
        <f>IF(SEFAZ!H430="","",SEFAZ!H430)</f>
        <v/>
      </c>
      <c r="H446" t="str">
        <f>IF(SEFAZ!L430="","",SEFAZ!L430)</f>
        <v/>
      </c>
      <c r="I446" t="str">
        <f>IF(SEFAZ!N430="","",SEFAZ!N430)</f>
        <v/>
      </c>
      <c r="J446" t="str">
        <f>IF(SEFAZ!O430="","",SEFAZ!O430)</f>
        <v/>
      </c>
      <c r="K446" s="11" t="str">
        <f>IF(SEFAZ!P430="","",SEFAZ!P430)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hidden="1" x14ac:dyDescent="0.3">
      <c r="B447" t="str">
        <f>IF(SEFAZ!A431="","",SEFAZ!A431)</f>
        <v/>
      </c>
      <c r="C447" t="str">
        <f>IF(SEFAZ!C431="","",SEFAZ!C431)</f>
        <v/>
      </c>
      <c r="D447" t="str">
        <f>IF(SEFAZ!D431="","",SEFAZ!D431)</f>
        <v/>
      </c>
      <c r="E447" s="7" t="str">
        <f>IF(SEFAZ!E431="","",SEFAZ!E431)</f>
        <v/>
      </c>
      <c r="F447" s="6" t="str">
        <f>IF(SEFAZ!F431="","",VALUE(SUBSTITUTE(SEFAZ!F431,"'","")))</f>
        <v/>
      </c>
      <c r="G447" t="str">
        <f>IF(SEFAZ!H431="","",SEFAZ!H431)</f>
        <v/>
      </c>
      <c r="H447" t="str">
        <f>IF(SEFAZ!L431="","",SEFAZ!L431)</f>
        <v/>
      </c>
      <c r="I447" t="str">
        <f>IF(SEFAZ!N431="","",SEFAZ!N431)</f>
        <v/>
      </c>
      <c r="J447" t="str">
        <f>IF(SEFAZ!O431="","",SEFAZ!O431)</f>
        <v/>
      </c>
      <c r="K447" s="11" t="str">
        <f>IF(SEFAZ!P431="","",SEFAZ!P431)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hidden="1" x14ac:dyDescent="0.3">
      <c r="B448" t="str">
        <f>IF(SEFAZ!A432="","",SEFAZ!A432)</f>
        <v/>
      </c>
      <c r="C448" t="str">
        <f>IF(SEFAZ!C432="","",SEFAZ!C432)</f>
        <v/>
      </c>
      <c r="D448" t="str">
        <f>IF(SEFAZ!D432="","",SEFAZ!D432)</f>
        <v/>
      </c>
      <c r="E448" s="7" t="str">
        <f>IF(SEFAZ!E432="","",SEFAZ!E432)</f>
        <v/>
      </c>
      <c r="F448" s="6" t="str">
        <f>IF(SEFAZ!F432="","",VALUE(SUBSTITUTE(SEFAZ!F432,"'","")))</f>
        <v/>
      </c>
      <c r="G448" t="str">
        <f>IF(SEFAZ!H432="","",SEFAZ!H432)</f>
        <v/>
      </c>
      <c r="H448" t="str">
        <f>IF(SEFAZ!L432="","",SEFAZ!L432)</f>
        <v/>
      </c>
      <c r="I448" t="str">
        <f>IF(SEFAZ!N432="","",SEFAZ!N432)</f>
        <v/>
      </c>
      <c r="J448" t="str">
        <f>IF(SEFAZ!O432="","",SEFAZ!O432)</f>
        <v/>
      </c>
      <c r="K448" s="11" t="str">
        <f>IF(SEFAZ!P432="","",SEFAZ!P432)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hidden="1" x14ac:dyDescent="0.3">
      <c r="B449" t="str">
        <f>IF(SEFAZ!A433="","",SEFAZ!A433)</f>
        <v/>
      </c>
      <c r="C449" t="str">
        <f>IF(SEFAZ!C433="","",SEFAZ!C433)</f>
        <v/>
      </c>
      <c r="D449" t="str">
        <f>IF(SEFAZ!D433="","",SEFAZ!D433)</f>
        <v/>
      </c>
      <c r="E449" s="7" t="str">
        <f>IF(SEFAZ!E433="","",SEFAZ!E433)</f>
        <v/>
      </c>
      <c r="F449" s="6" t="str">
        <f>IF(SEFAZ!F433="","",VALUE(SUBSTITUTE(SEFAZ!F433,"'","")))</f>
        <v/>
      </c>
      <c r="G449" t="str">
        <f>IF(SEFAZ!H433="","",SEFAZ!H433)</f>
        <v/>
      </c>
      <c r="H449" t="str">
        <f>IF(SEFAZ!L433="","",SEFAZ!L433)</f>
        <v/>
      </c>
      <c r="I449" t="str">
        <f>IF(SEFAZ!N433="","",SEFAZ!N433)</f>
        <v/>
      </c>
      <c r="J449" t="str">
        <f>IF(SEFAZ!O433="","",SEFAZ!O433)</f>
        <v/>
      </c>
      <c r="K449" s="11" t="str">
        <f>IF(SEFAZ!P433="","",SEFAZ!P433)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hidden="1" x14ac:dyDescent="0.3">
      <c r="B450" t="str">
        <f>IF(SEFAZ!A434="","",SEFAZ!A434)</f>
        <v/>
      </c>
      <c r="C450" t="str">
        <f>IF(SEFAZ!C434="","",SEFAZ!C434)</f>
        <v/>
      </c>
      <c r="D450" t="str">
        <f>IF(SEFAZ!D434="","",SEFAZ!D434)</f>
        <v/>
      </c>
      <c r="E450" s="7" t="str">
        <f>IF(SEFAZ!E434="","",SEFAZ!E434)</f>
        <v/>
      </c>
      <c r="F450" s="6" t="str">
        <f>IF(SEFAZ!F434="","",VALUE(SUBSTITUTE(SEFAZ!F434,"'","")))</f>
        <v/>
      </c>
      <c r="G450" t="str">
        <f>IF(SEFAZ!H434="","",SEFAZ!H434)</f>
        <v/>
      </c>
      <c r="H450" t="str">
        <f>IF(SEFAZ!L434="","",SEFAZ!L434)</f>
        <v/>
      </c>
      <c r="I450" t="str">
        <f>IF(SEFAZ!N434="","",SEFAZ!N434)</f>
        <v/>
      </c>
      <c r="J450" t="str">
        <f>IF(SEFAZ!O434="","",SEFAZ!O434)</f>
        <v/>
      </c>
      <c r="K450" s="11" t="str">
        <f>IF(SEFAZ!P434="","",SEFAZ!P434)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hidden="1" x14ac:dyDescent="0.3">
      <c r="B451" t="str">
        <f>IF(SEFAZ!A435="","",SEFAZ!A435)</f>
        <v/>
      </c>
      <c r="C451" t="str">
        <f>IF(SEFAZ!C435="","",SEFAZ!C435)</f>
        <v/>
      </c>
      <c r="D451" t="str">
        <f>IF(SEFAZ!D435="","",SEFAZ!D435)</f>
        <v/>
      </c>
      <c r="E451" s="7" t="str">
        <f>IF(SEFAZ!E435="","",SEFAZ!E435)</f>
        <v/>
      </c>
      <c r="F451" s="6" t="str">
        <f>IF(SEFAZ!F435="","",VALUE(SUBSTITUTE(SEFAZ!F435,"'","")))</f>
        <v/>
      </c>
      <c r="G451" t="str">
        <f>IF(SEFAZ!H435="","",SEFAZ!H435)</f>
        <v/>
      </c>
      <c r="H451" t="str">
        <f>IF(SEFAZ!L435="","",SEFAZ!L435)</f>
        <v/>
      </c>
      <c r="I451" t="str">
        <f>IF(SEFAZ!N435="","",SEFAZ!N435)</f>
        <v/>
      </c>
      <c r="J451" t="str">
        <f>IF(SEFAZ!O435="","",SEFAZ!O435)</f>
        <v/>
      </c>
      <c r="K451" s="11" t="str">
        <f>IF(SEFAZ!P435="","",SEFAZ!P435)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hidden="1" x14ac:dyDescent="0.3">
      <c r="B452" t="str">
        <f>IF(SEFAZ!A436="","",SEFAZ!A436)</f>
        <v/>
      </c>
      <c r="C452" t="str">
        <f>IF(SEFAZ!C436="","",SEFAZ!C436)</f>
        <v/>
      </c>
      <c r="D452" t="str">
        <f>IF(SEFAZ!D436="","",SEFAZ!D436)</f>
        <v/>
      </c>
      <c r="E452" s="7" t="str">
        <f>IF(SEFAZ!E436="","",SEFAZ!E436)</f>
        <v/>
      </c>
      <c r="F452" s="6" t="str">
        <f>IF(SEFAZ!F436="","",VALUE(SUBSTITUTE(SEFAZ!F436,"'","")))</f>
        <v/>
      </c>
      <c r="G452" t="str">
        <f>IF(SEFAZ!H436="","",SEFAZ!H436)</f>
        <v/>
      </c>
      <c r="H452" t="str">
        <f>IF(SEFAZ!L436="","",SEFAZ!L436)</f>
        <v/>
      </c>
      <c r="I452" t="str">
        <f>IF(SEFAZ!N436="","",SEFAZ!N436)</f>
        <v/>
      </c>
      <c r="J452" t="str">
        <f>IF(SEFAZ!O436="","",SEFAZ!O436)</f>
        <v/>
      </c>
      <c r="K452" s="11" t="str">
        <f>IF(SEFAZ!P436="","",SEFAZ!P436)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hidden="1" x14ac:dyDescent="0.3">
      <c r="B453" t="str">
        <f>IF(SEFAZ!A437="","",SEFAZ!A437)</f>
        <v/>
      </c>
      <c r="C453" t="str">
        <f>IF(SEFAZ!C437="","",SEFAZ!C437)</f>
        <v/>
      </c>
      <c r="D453" t="str">
        <f>IF(SEFAZ!D437="","",SEFAZ!D437)</f>
        <v/>
      </c>
      <c r="E453" s="7" t="str">
        <f>IF(SEFAZ!E437="","",SEFAZ!E437)</f>
        <v/>
      </c>
      <c r="F453" s="6" t="str">
        <f>IF(SEFAZ!F437="","",VALUE(SUBSTITUTE(SEFAZ!F437,"'","")))</f>
        <v/>
      </c>
      <c r="G453" t="str">
        <f>IF(SEFAZ!H437="","",SEFAZ!H437)</f>
        <v/>
      </c>
      <c r="H453" t="str">
        <f>IF(SEFAZ!L437="","",SEFAZ!L437)</f>
        <v/>
      </c>
      <c r="I453" t="str">
        <f>IF(SEFAZ!N437="","",SEFAZ!N437)</f>
        <v/>
      </c>
      <c r="J453" t="str">
        <f>IF(SEFAZ!O437="","",SEFAZ!O437)</f>
        <v/>
      </c>
      <c r="K453" s="11" t="str">
        <f>IF(SEFAZ!P437="","",SEFAZ!P437)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hidden="1" x14ac:dyDescent="0.3">
      <c r="B454" t="str">
        <f>IF(SEFAZ!A438="","",SEFAZ!A438)</f>
        <v/>
      </c>
      <c r="C454" t="str">
        <f>IF(SEFAZ!C438="","",SEFAZ!C438)</f>
        <v/>
      </c>
      <c r="D454" t="str">
        <f>IF(SEFAZ!D438="","",SEFAZ!D438)</f>
        <v/>
      </c>
      <c r="E454" s="7" t="str">
        <f>IF(SEFAZ!E438="","",SEFAZ!E438)</f>
        <v/>
      </c>
      <c r="F454" s="6" t="str">
        <f>IF(SEFAZ!F438="","",VALUE(SUBSTITUTE(SEFAZ!F438,"'","")))</f>
        <v/>
      </c>
      <c r="G454" t="str">
        <f>IF(SEFAZ!H438="","",SEFAZ!H438)</f>
        <v/>
      </c>
      <c r="H454" t="str">
        <f>IF(SEFAZ!L438="","",SEFAZ!L438)</f>
        <v/>
      </c>
      <c r="I454" t="str">
        <f>IF(SEFAZ!N438="","",SEFAZ!N438)</f>
        <v/>
      </c>
      <c r="J454" t="str">
        <f>IF(SEFAZ!O438="","",SEFAZ!O438)</f>
        <v/>
      </c>
      <c r="K454" s="11" t="str">
        <f>IF(SEFAZ!P438="","",SEFAZ!P438)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hidden="1" x14ac:dyDescent="0.3">
      <c r="B455" t="str">
        <f>IF(SEFAZ!A439="","",SEFAZ!A439)</f>
        <v/>
      </c>
      <c r="C455" t="str">
        <f>IF(SEFAZ!C439="","",SEFAZ!C439)</f>
        <v/>
      </c>
      <c r="D455" t="str">
        <f>IF(SEFAZ!D439="","",SEFAZ!D439)</f>
        <v/>
      </c>
      <c r="E455" s="7" t="str">
        <f>IF(SEFAZ!E439="","",SEFAZ!E439)</f>
        <v/>
      </c>
      <c r="F455" s="6" t="str">
        <f>IF(SEFAZ!F439="","",VALUE(SUBSTITUTE(SEFAZ!F439,"'","")))</f>
        <v/>
      </c>
      <c r="G455" t="str">
        <f>IF(SEFAZ!H439="","",SEFAZ!H439)</f>
        <v/>
      </c>
      <c r="H455" t="str">
        <f>IF(SEFAZ!L439="","",SEFAZ!L439)</f>
        <v/>
      </c>
      <c r="I455" t="str">
        <f>IF(SEFAZ!N439="","",SEFAZ!N439)</f>
        <v/>
      </c>
      <c r="J455" t="str">
        <f>IF(SEFAZ!O439="","",SEFAZ!O439)</f>
        <v/>
      </c>
      <c r="K455" s="11" t="str">
        <f>IF(SEFAZ!P439="","",SEFAZ!P439)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hidden="1" x14ac:dyDescent="0.3">
      <c r="B456" t="str">
        <f>IF(SEFAZ!A440="","",SEFAZ!A440)</f>
        <v/>
      </c>
      <c r="C456" t="str">
        <f>IF(SEFAZ!C440="","",SEFAZ!C440)</f>
        <v/>
      </c>
      <c r="D456" t="str">
        <f>IF(SEFAZ!D440="","",SEFAZ!D440)</f>
        <v/>
      </c>
      <c r="E456" s="7" t="str">
        <f>IF(SEFAZ!E440="","",SEFAZ!E440)</f>
        <v/>
      </c>
      <c r="F456" s="6" t="str">
        <f>IF(SEFAZ!F440="","",VALUE(SUBSTITUTE(SEFAZ!F440,"'","")))</f>
        <v/>
      </c>
      <c r="G456" t="str">
        <f>IF(SEFAZ!H440="","",SEFAZ!H440)</f>
        <v/>
      </c>
      <c r="H456" t="str">
        <f>IF(SEFAZ!L440="","",SEFAZ!L440)</f>
        <v/>
      </c>
      <c r="I456" t="str">
        <f>IF(SEFAZ!N440="","",SEFAZ!N440)</f>
        <v/>
      </c>
      <c r="J456" t="str">
        <f>IF(SEFAZ!O440="","",SEFAZ!O440)</f>
        <v/>
      </c>
      <c r="K456" s="11" t="str">
        <f>IF(SEFAZ!P440="","",SEFAZ!P440)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hidden="1" x14ac:dyDescent="0.3">
      <c r="B457" t="str">
        <f>IF(SEFAZ!A441="","",SEFAZ!A441)</f>
        <v/>
      </c>
      <c r="C457" t="str">
        <f>IF(SEFAZ!C441="","",SEFAZ!C441)</f>
        <v/>
      </c>
      <c r="D457" t="str">
        <f>IF(SEFAZ!D441="","",SEFAZ!D441)</f>
        <v/>
      </c>
      <c r="E457" s="7" t="str">
        <f>IF(SEFAZ!E441="","",SEFAZ!E441)</f>
        <v/>
      </c>
      <c r="F457" s="6" t="str">
        <f>IF(SEFAZ!F441="","",VALUE(SUBSTITUTE(SEFAZ!F441,"'","")))</f>
        <v/>
      </c>
      <c r="G457" t="str">
        <f>IF(SEFAZ!H441="","",SEFAZ!H441)</f>
        <v/>
      </c>
      <c r="H457" t="str">
        <f>IF(SEFAZ!L441="","",SEFAZ!L441)</f>
        <v/>
      </c>
      <c r="I457" t="str">
        <f>IF(SEFAZ!N441="","",SEFAZ!N441)</f>
        <v/>
      </c>
      <c r="J457" t="str">
        <f>IF(SEFAZ!O441="","",SEFAZ!O441)</f>
        <v/>
      </c>
      <c r="K457" s="11" t="str">
        <f>IF(SEFAZ!P441="","",SEFAZ!P441)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hidden="1" x14ac:dyDescent="0.3">
      <c r="B458" t="str">
        <f>IF(SEFAZ!A442="","",SEFAZ!A442)</f>
        <v/>
      </c>
      <c r="C458" t="str">
        <f>IF(SEFAZ!C442="","",SEFAZ!C442)</f>
        <v/>
      </c>
      <c r="D458" t="str">
        <f>IF(SEFAZ!D442="","",SEFAZ!D442)</f>
        <v/>
      </c>
      <c r="E458" s="7" t="str">
        <f>IF(SEFAZ!E442="","",SEFAZ!E442)</f>
        <v/>
      </c>
      <c r="F458" s="6" t="str">
        <f>IF(SEFAZ!F442="","",VALUE(SUBSTITUTE(SEFAZ!F442,"'","")))</f>
        <v/>
      </c>
      <c r="G458" t="str">
        <f>IF(SEFAZ!H442="","",SEFAZ!H442)</f>
        <v/>
      </c>
      <c r="H458" t="str">
        <f>IF(SEFAZ!L442="","",SEFAZ!L442)</f>
        <v/>
      </c>
      <c r="I458" t="str">
        <f>IF(SEFAZ!N442="","",SEFAZ!N442)</f>
        <v/>
      </c>
      <c r="J458" t="str">
        <f>IF(SEFAZ!O442="","",SEFAZ!O442)</f>
        <v/>
      </c>
      <c r="K458" s="11" t="str">
        <f>IF(SEFAZ!P442="","",SEFAZ!P442)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hidden="1" x14ac:dyDescent="0.3">
      <c r="B459" t="str">
        <f>IF(SEFAZ!A443="","",SEFAZ!A443)</f>
        <v/>
      </c>
      <c r="C459" t="str">
        <f>IF(SEFAZ!C443="","",SEFAZ!C443)</f>
        <v/>
      </c>
      <c r="D459" t="str">
        <f>IF(SEFAZ!D443="","",SEFAZ!D443)</f>
        <v/>
      </c>
      <c r="E459" s="7" t="str">
        <f>IF(SEFAZ!E443="","",SEFAZ!E443)</f>
        <v/>
      </c>
      <c r="F459" s="6" t="str">
        <f>IF(SEFAZ!F443="","",VALUE(SUBSTITUTE(SEFAZ!F443,"'","")))</f>
        <v/>
      </c>
      <c r="G459" t="str">
        <f>IF(SEFAZ!H443="","",SEFAZ!H443)</f>
        <v/>
      </c>
      <c r="H459" t="str">
        <f>IF(SEFAZ!L443="","",SEFAZ!L443)</f>
        <v/>
      </c>
      <c r="I459" t="str">
        <f>IF(SEFAZ!N443="","",SEFAZ!N443)</f>
        <v/>
      </c>
      <c r="J459" t="str">
        <f>IF(SEFAZ!O443="","",SEFAZ!O443)</f>
        <v/>
      </c>
      <c r="K459" s="11" t="str">
        <f>IF(SEFAZ!P443="","",SEFAZ!P443)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hidden="1" x14ac:dyDescent="0.3">
      <c r="B460" t="str">
        <f>IF(SEFAZ!A444="","",SEFAZ!A444)</f>
        <v/>
      </c>
      <c r="C460" t="str">
        <f>IF(SEFAZ!C444="","",SEFAZ!C444)</f>
        <v/>
      </c>
      <c r="D460" t="str">
        <f>IF(SEFAZ!D444="","",SEFAZ!D444)</f>
        <v/>
      </c>
      <c r="E460" s="7" t="str">
        <f>IF(SEFAZ!E444="","",SEFAZ!E444)</f>
        <v/>
      </c>
      <c r="F460" s="6" t="str">
        <f>IF(SEFAZ!F444="","",VALUE(SUBSTITUTE(SEFAZ!F444,"'","")))</f>
        <v/>
      </c>
      <c r="G460" t="str">
        <f>IF(SEFAZ!H444="","",SEFAZ!H444)</f>
        <v/>
      </c>
      <c r="H460" t="str">
        <f>IF(SEFAZ!L444="","",SEFAZ!L444)</f>
        <v/>
      </c>
      <c r="I460" t="str">
        <f>IF(SEFAZ!N444="","",SEFAZ!N444)</f>
        <v/>
      </c>
      <c r="J460" t="str">
        <f>IF(SEFAZ!O444="","",SEFAZ!O444)</f>
        <v/>
      </c>
      <c r="K460" s="11" t="str">
        <f>IF(SEFAZ!P444="","",SEFAZ!P444)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hidden="1" x14ac:dyDescent="0.3">
      <c r="B461" t="str">
        <f>IF(SEFAZ!A445="","",SEFAZ!A445)</f>
        <v/>
      </c>
      <c r="C461" t="str">
        <f>IF(SEFAZ!C445="","",SEFAZ!C445)</f>
        <v/>
      </c>
      <c r="D461" t="str">
        <f>IF(SEFAZ!D445="","",SEFAZ!D445)</f>
        <v/>
      </c>
      <c r="E461" s="7" t="str">
        <f>IF(SEFAZ!E445="","",SEFAZ!E445)</f>
        <v/>
      </c>
      <c r="F461" s="6" t="str">
        <f>IF(SEFAZ!F445="","",VALUE(SUBSTITUTE(SEFAZ!F445,"'","")))</f>
        <v/>
      </c>
      <c r="G461" t="str">
        <f>IF(SEFAZ!H445="","",SEFAZ!H445)</f>
        <v/>
      </c>
      <c r="H461" t="str">
        <f>IF(SEFAZ!L445="","",SEFAZ!L445)</f>
        <v/>
      </c>
      <c r="I461" t="str">
        <f>IF(SEFAZ!N445="","",SEFAZ!N445)</f>
        <v/>
      </c>
      <c r="J461" t="str">
        <f>IF(SEFAZ!O445="","",SEFAZ!O445)</f>
        <v/>
      </c>
      <c r="K461" s="11" t="str">
        <f>IF(SEFAZ!P445="","",SEFAZ!P445)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hidden="1" x14ac:dyDescent="0.3">
      <c r="B462" t="str">
        <f>IF(SEFAZ!A446="","",SEFAZ!A446)</f>
        <v/>
      </c>
      <c r="C462" t="str">
        <f>IF(SEFAZ!C446="","",SEFAZ!C446)</f>
        <v/>
      </c>
      <c r="D462" t="str">
        <f>IF(SEFAZ!D446="","",SEFAZ!D446)</f>
        <v/>
      </c>
      <c r="E462" s="7" t="str">
        <f>IF(SEFAZ!E446="","",SEFAZ!E446)</f>
        <v/>
      </c>
      <c r="F462" s="6" t="str">
        <f>IF(SEFAZ!F446="","",VALUE(SUBSTITUTE(SEFAZ!F446,"'","")))</f>
        <v/>
      </c>
      <c r="G462" t="str">
        <f>IF(SEFAZ!H446="","",SEFAZ!H446)</f>
        <v/>
      </c>
      <c r="H462" t="str">
        <f>IF(SEFAZ!L446="","",SEFAZ!L446)</f>
        <v/>
      </c>
      <c r="I462" t="str">
        <f>IF(SEFAZ!N446="","",SEFAZ!N446)</f>
        <v/>
      </c>
      <c r="J462" t="str">
        <f>IF(SEFAZ!O446="","",SEFAZ!O446)</f>
        <v/>
      </c>
      <c r="K462" s="11" t="str">
        <f>IF(SEFAZ!P446="","",SEFAZ!P446)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hidden="1" x14ac:dyDescent="0.3">
      <c r="B463" t="str">
        <f>IF(SEFAZ!A447="","",SEFAZ!A447)</f>
        <v/>
      </c>
      <c r="C463" t="str">
        <f>IF(SEFAZ!C447="","",SEFAZ!C447)</f>
        <v/>
      </c>
      <c r="D463" t="str">
        <f>IF(SEFAZ!D447="","",SEFAZ!D447)</f>
        <v/>
      </c>
      <c r="E463" s="7" t="str">
        <f>IF(SEFAZ!E447="","",SEFAZ!E447)</f>
        <v/>
      </c>
      <c r="F463" s="6" t="str">
        <f>IF(SEFAZ!F447="","",VALUE(SUBSTITUTE(SEFAZ!F447,"'","")))</f>
        <v/>
      </c>
      <c r="G463" t="str">
        <f>IF(SEFAZ!H447="","",SEFAZ!H447)</f>
        <v/>
      </c>
      <c r="H463" t="str">
        <f>IF(SEFAZ!L447="","",SEFAZ!L447)</f>
        <v/>
      </c>
      <c r="I463" t="str">
        <f>IF(SEFAZ!N447="","",SEFAZ!N447)</f>
        <v/>
      </c>
      <c r="J463" t="str">
        <f>IF(SEFAZ!O447="","",SEFAZ!O447)</f>
        <v/>
      </c>
      <c r="K463" s="11" t="str">
        <f>IF(SEFAZ!P447="","",SEFAZ!P447)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hidden="1" x14ac:dyDescent="0.3">
      <c r="B464" t="str">
        <f>IF(SEFAZ!A448="","",SEFAZ!A448)</f>
        <v/>
      </c>
      <c r="C464" t="str">
        <f>IF(SEFAZ!C448="","",SEFAZ!C448)</f>
        <v/>
      </c>
      <c r="D464" t="str">
        <f>IF(SEFAZ!D448="","",SEFAZ!D448)</f>
        <v/>
      </c>
      <c r="E464" s="7" t="str">
        <f>IF(SEFAZ!E448="","",SEFAZ!E448)</f>
        <v/>
      </c>
      <c r="F464" s="6" t="str">
        <f>IF(SEFAZ!F448="","",VALUE(SUBSTITUTE(SEFAZ!F448,"'","")))</f>
        <v/>
      </c>
      <c r="G464" t="str">
        <f>IF(SEFAZ!H448="","",SEFAZ!H448)</f>
        <v/>
      </c>
      <c r="H464" t="str">
        <f>IF(SEFAZ!L448="","",SEFAZ!L448)</f>
        <v/>
      </c>
      <c r="I464" t="str">
        <f>IF(SEFAZ!N448="","",SEFAZ!N448)</f>
        <v/>
      </c>
      <c r="J464" t="str">
        <f>IF(SEFAZ!O448="","",SEFAZ!O448)</f>
        <v/>
      </c>
      <c r="K464" s="11" t="str">
        <f>IF(SEFAZ!P448="","",SEFAZ!P448)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hidden="1" x14ac:dyDescent="0.3">
      <c r="B465" t="str">
        <f>IF(SEFAZ!A449="","",SEFAZ!A449)</f>
        <v/>
      </c>
      <c r="C465" t="str">
        <f>IF(SEFAZ!C449="","",SEFAZ!C449)</f>
        <v/>
      </c>
      <c r="D465" t="str">
        <f>IF(SEFAZ!D449="","",SEFAZ!D449)</f>
        <v/>
      </c>
      <c r="E465" s="7" t="str">
        <f>IF(SEFAZ!E449="","",SEFAZ!E449)</f>
        <v/>
      </c>
      <c r="F465" s="6" t="str">
        <f>IF(SEFAZ!F449="","",VALUE(SUBSTITUTE(SEFAZ!F449,"'","")))</f>
        <v/>
      </c>
      <c r="G465" t="str">
        <f>IF(SEFAZ!H449="","",SEFAZ!H449)</f>
        <v/>
      </c>
      <c r="H465" t="str">
        <f>IF(SEFAZ!L449="","",SEFAZ!L449)</f>
        <v/>
      </c>
      <c r="I465" t="str">
        <f>IF(SEFAZ!N449="","",SEFAZ!N449)</f>
        <v/>
      </c>
      <c r="J465" t="str">
        <f>IF(SEFAZ!O449="","",SEFAZ!O449)</f>
        <v/>
      </c>
      <c r="K465" s="11" t="str">
        <f>IF(SEFAZ!P449="","",SEFAZ!P449)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hidden="1" x14ac:dyDescent="0.3">
      <c r="B466" t="str">
        <f>IF(SEFAZ!A450="","",SEFAZ!A450)</f>
        <v/>
      </c>
      <c r="C466" t="str">
        <f>IF(SEFAZ!C450="","",SEFAZ!C450)</f>
        <v/>
      </c>
      <c r="D466" t="str">
        <f>IF(SEFAZ!D450="","",SEFAZ!D450)</f>
        <v/>
      </c>
      <c r="E466" s="7" t="str">
        <f>IF(SEFAZ!E450="","",SEFAZ!E450)</f>
        <v/>
      </c>
      <c r="F466" s="6" t="str">
        <f>IF(SEFAZ!F450="","",VALUE(SUBSTITUTE(SEFAZ!F450,"'","")))</f>
        <v/>
      </c>
      <c r="G466" t="str">
        <f>IF(SEFAZ!H450="","",SEFAZ!H450)</f>
        <v/>
      </c>
      <c r="H466" t="str">
        <f>IF(SEFAZ!L450="","",SEFAZ!L450)</f>
        <v/>
      </c>
      <c r="I466" t="str">
        <f>IF(SEFAZ!N450="","",SEFAZ!N450)</f>
        <v/>
      </c>
      <c r="J466" t="str">
        <f>IF(SEFAZ!O450="","",SEFAZ!O450)</f>
        <v/>
      </c>
      <c r="K466" s="11" t="str">
        <f>IF(SEFAZ!P450="","",SEFAZ!P450)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hidden="1" x14ac:dyDescent="0.3">
      <c r="B467" t="str">
        <f>IF(SEFAZ!A451="","",SEFAZ!A451)</f>
        <v/>
      </c>
      <c r="C467" t="str">
        <f>IF(SEFAZ!C451="","",SEFAZ!C451)</f>
        <v/>
      </c>
      <c r="D467" t="str">
        <f>IF(SEFAZ!D451="","",SEFAZ!D451)</f>
        <v/>
      </c>
      <c r="E467" s="7" t="str">
        <f>IF(SEFAZ!E451="","",SEFAZ!E451)</f>
        <v/>
      </c>
      <c r="F467" s="6" t="str">
        <f>IF(SEFAZ!F451="","",VALUE(SUBSTITUTE(SEFAZ!F451,"'","")))</f>
        <v/>
      </c>
      <c r="G467" t="str">
        <f>IF(SEFAZ!H451="","",SEFAZ!H451)</f>
        <v/>
      </c>
      <c r="H467" t="str">
        <f>IF(SEFAZ!L451="","",SEFAZ!L451)</f>
        <v/>
      </c>
      <c r="I467" t="str">
        <f>IF(SEFAZ!N451="","",SEFAZ!N451)</f>
        <v/>
      </c>
      <c r="J467" t="str">
        <f>IF(SEFAZ!O451="","",SEFAZ!O451)</f>
        <v/>
      </c>
      <c r="K467" s="11" t="str">
        <f>IF(SEFAZ!P451="","",SEFAZ!P451)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hidden="1" x14ac:dyDescent="0.3">
      <c r="B468" t="str">
        <f>IF(SEFAZ!A452="","",SEFAZ!A452)</f>
        <v/>
      </c>
      <c r="C468" t="str">
        <f>IF(SEFAZ!C452="","",SEFAZ!C452)</f>
        <v/>
      </c>
      <c r="D468" t="str">
        <f>IF(SEFAZ!D452="","",SEFAZ!D452)</f>
        <v/>
      </c>
      <c r="E468" s="7" t="str">
        <f>IF(SEFAZ!E452="","",SEFAZ!E452)</f>
        <v/>
      </c>
      <c r="F468" s="6" t="str">
        <f>IF(SEFAZ!F452="","",VALUE(SUBSTITUTE(SEFAZ!F452,"'","")))</f>
        <v/>
      </c>
      <c r="G468" t="str">
        <f>IF(SEFAZ!H452="","",SEFAZ!H452)</f>
        <v/>
      </c>
      <c r="H468" t="str">
        <f>IF(SEFAZ!L452="","",SEFAZ!L452)</f>
        <v/>
      </c>
      <c r="I468" t="str">
        <f>IF(SEFAZ!N452="","",SEFAZ!N452)</f>
        <v/>
      </c>
      <c r="J468" t="str">
        <f>IF(SEFAZ!O452="","",SEFAZ!O452)</f>
        <v/>
      </c>
      <c r="K468" s="11" t="str">
        <f>IF(SEFAZ!P452="","",SEFAZ!P452)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hidden="1" x14ac:dyDescent="0.3">
      <c r="B469" t="str">
        <f>IF(SEFAZ!A453="","",SEFAZ!A453)</f>
        <v/>
      </c>
      <c r="C469" t="str">
        <f>IF(SEFAZ!C453="","",SEFAZ!C453)</f>
        <v/>
      </c>
      <c r="D469" t="str">
        <f>IF(SEFAZ!D453="","",SEFAZ!D453)</f>
        <v/>
      </c>
      <c r="E469" s="7" t="str">
        <f>IF(SEFAZ!E453="","",SEFAZ!E453)</f>
        <v/>
      </c>
      <c r="F469" s="6" t="str">
        <f>IF(SEFAZ!F453="","",VALUE(SUBSTITUTE(SEFAZ!F453,"'","")))</f>
        <v/>
      </c>
      <c r="G469" t="str">
        <f>IF(SEFAZ!H453="","",SEFAZ!H453)</f>
        <v/>
      </c>
      <c r="H469" t="str">
        <f>IF(SEFAZ!L453="","",SEFAZ!L453)</f>
        <v/>
      </c>
      <c r="I469" t="str">
        <f>IF(SEFAZ!N453="","",SEFAZ!N453)</f>
        <v/>
      </c>
      <c r="J469" t="str">
        <f>IF(SEFAZ!O453="","",SEFAZ!O453)</f>
        <v/>
      </c>
      <c r="K469" s="11" t="str">
        <f>IF(SEFAZ!P453="","",SEFAZ!P453)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hidden="1" x14ac:dyDescent="0.3">
      <c r="B470" t="str">
        <f>IF(SEFAZ!A454="","",SEFAZ!A454)</f>
        <v/>
      </c>
      <c r="C470" t="str">
        <f>IF(SEFAZ!C454="","",SEFAZ!C454)</f>
        <v/>
      </c>
      <c r="D470" t="str">
        <f>IF(SEFAZ!D454="","",SEFAZ!D454)</f>
        <v/>
      </c>
      <c r="E470" s="7" t="str">
        <f>IF(SEFAZ!E454="","",SEFAZ!E454)</f>
        <v/>
      </c>
      <c r="F470" s="6" t="str">
        <f>IF(SEFAZ!F454="","",VALUE(SUBSTITUTE(SEFAZ!F454,"'","")))</f>
        <v/>
      </c>
      <c r="G470" t="str">
        <f>IF(SEFAZ!H454="","",SEFAZ!H454)</f>
        <v/>
      </c>
      <c r="H470" t="str">
        <f>IF(SEFAZ!L454="","",SEFAZ!L454)</f>
        <v/>
      </c>
      <c r="I470" t="str">
        <f>IF(SEFAZ!N454="","",SEFAZ!N454)</f>
        <v/>
      </c>
      <c r="J470" t="str">
        <f>IF(SEFAZ!O454="","",SEFAZ!O454)</f>
        <v/>
      </c>
      <c r="K470" s="11" t="str">
        <f>IF(SEFAZ!P454="","",SEFAZ!P454)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hidden="1" x14ac:dyDescent="0.3">
      <c r="B471" t="str">
        <f>IF(SEFAZ!A455="","",SEFAZ!A455)</f>
        <v/>
      </c>
      <c r="C471" t="str">
        <f>IF(SEFAZ!C455="","",SEFAZ!C455)</f>
        <v/>
      </c>
      <c r="D471" t="str">
        <f>IF(SEFAZ!D455="","",SEFAZ!D455)</f>
        <v/>
      </c>
      <c r="E471" s="7" t="str">
        <f>IF(SEFAZ!E455="","",SEFAZ!E455)</f>
        <v/>
      </c>
      <c r="F471" s="6" t="str">
        <f>IF(SEFAZ!F455="","",VALUE(SUBSTITUTE(SEFAZ!F455,"'","")))</f>
        <v/>
      </c>
      <c r="G471" t="str">
        <f>IF(SEFAZ!H455="","",SEFAZ!H455)</f>
        <v/>
      </c>
      <c r="H471" t="str">
        <f>IF(SEFAZ!L455="","",SEFAZ!L455)</f>
        <v/>
      </c>
      <c r="I471" t="str">
        <f>IF(SEFAZ!N455="","",SEFAZ!N455)</f>
        <v/>
      </c>
      <c r="J471" t="str">
        <f>IF(SEFAZ!O455="","",SEFAZ!O455)</f>
        <v/>
      </c>
      <c r="K471" s="11" t="str">
        <f>IF(SEFAZ!P455="","",SEFAZ!P455)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hidden="1" x14ac:dyDescent="0.3">
      <c r="B472" t="str">
        <f>IF(SEFAZ!A456="","",SEFAZ!A456)</f>
        <v/>
      </c>
      <c r="C472" t="str">
        <f>IF(SEFAZ!C456="","",SEFAZ!C456)</f>
        <v/>
      </c>
      <c r="D472" t="str">
        <f>IF(SEFAZ!D456="","",SEFAZ!D456)</f>
        <v/>
      </c>
      <c r="E472" s="7" t="str">
        <f>IF(SEFAZ!E456="","",SEFAZ!E456)</f>
        <v/>
      </c>
      <c r="F472" s="6" t="str">
        <f>IF(SEFAZ!F456="","",VALUE(SUBSTITUTE(SEFAZ!F456,"'","")))</f>
        <v/>
      </c>
      <c r="G472" t="str">
        <f>IF(SEFAZ!H456="","",SEFAZ!H456)</f>
        <v/>
      </c>
      <c r="H472" t="str">
        <f>IF(SEFAZ!L456="","",SEFAZ!L456)</f>
        <v/>
      </c>
      <c r="I472" t="str">
        <f>IF(SEFAZ!N456="","",SEFAZ!N456)</f>
        <v/>
      </c>
      <c r="J472" t="str">
        <f>IF(SEFAZ!O456="","",SEFAZ!O456)</f>
        <v/>
      </c>
      <c r="K472" s="11" t="str">
        <f>IF(SEFAZ!P456="","",SEFAZ!P456)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hidden="1" x14ac:dyDescent="0.3">
      <c r="B473" t="str">
        <f>IF(SEFAZ!A457="","",SEFAZ!A457)</f>
        <v/>
      </c>
      <c r="C473" t="str">
        <f>IF(SEFAZ!C457="","",SEFAZ!C457)</f>
        <v/>
      </c>
      <c r="D473" t="str">
        <f>IF(SEFAZ!D457="","",SEFAZ!D457)</f>
        <v/>
      </c>
      <c r="E473" s="7" t="str">
        <f>IF(SEFAZ!E457="","",SEFAZ!E457)</f>
        <v/>
      </c>
      <c r="F473" s="6" t="str">
        <f>IF(SEFAZ!F457="","",VALUE(SUBSTITUTE(SEFAZ!F457,"'","")))</f>
        <v/>
      </c>
      <c r="G473" t="str">
        <f>IF(SEFAZ!H457="","",SEFAZ!H457)</f>
        <v/>
      </c>
      <c r="H473" t="str">
        <f>IF(SEFAZ!L457="","",SEFAZ!L457)</f>
        <v/>
      </c>
      <c r="I473" t="str">
        <f>IF(SEFAZ!N457="","",SEFAZ!N457)</f>
        <v/>
      </c>
      <c r="J473" t="str">
        <f>IF(SEFAZ!O457="","",SEFAZ!O457)</f>
        <v/>
      </c>
      <c r="K473" s="11" t="str">
        <f>IF(SEFAZ!P457="","",SEFAZ!P457)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hidden="1" x14ac:dyDescent="0.3">
      <c r="B474" t="str">
        <f>IF(SEFAZ!A458="","",SEFAZ!A458)</f>
        <v/>
      </c>
      <c r="C474" t="str">
        <f>IF(SEFAZ!C458="","",SEFAZ!C458)</f>
        <v/>
      </c>
      <c r="D474" t="str">
        <f>IF(SEFAZ!D458="","",SEFAZ!D458)</f>
        <v/>
      </c>
      <c r="E474" s="7" t="str">
        <f>IF(SEFAZ!E458="","",SEFAZ!E458)</f>
        <v/>
      </c>
      <c r="F474" s="6" t="str">
        <f>IF(SEFAZ!F458="","",VALUE(SUBSTITUTE(SEFAZ!F458,"'","")))</f>
        <v/>
      </c>
      <c r="G474" t="str">
        <f>IF(SEFAZ!H458="","",SEFAZ!H458)</f>
        <v/>
      </c>
      <c r="H474" t="str">
        <f>IF(SEFAZ!L458="","",SEFAZ!L458)</f>
        <v/>
      </c>
      <c r="I474" t="str">
        <f>IF(SEFAZ!N458="","",SEFAZ!N458)</f>
        <v/>
      </c>
      <c r="J474" t="str">
        <f>IF(SEFAZ!O458="","",SEFAZ!O458)</f>
        <v/>
      </c>
      <c r="K474" s="11" t="str">
        <f>IF(SEFAZ!P458="","",SEFAZ!P458)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hidden="1" x14ac:dyDescent="0.3">
      <c r="B475" t="str">
        <f>IF(SEFAZ!A459="","",SEFAZ!A459)</f>
        <v/>
      </c>
      <c r="C475" t="str">
        <f>IF(SEFAZ!C459="","",SEFAZ!C459)</f>
        <v/>
      </c>
      <c r="D475" t="str">
        <f>IF(SEFAZ!D459="","",SEFAZ!D459)</f>
        <v/>
      </c>
      <c r="E475" s="7" t="str">
        <f>IF(SEFAZ!E459="","",SEFAZ!E459)</f>
        <v/>
      </c>
      <c r="F475" s="6" t="str">
        <f>IF(SEFAZ!F459="","",VALUE(SUBSTITUTE(SEFAZ!F459,"'","")))</f>
        <v/>
      </c>
      <c r="G475" t="str">
        <f>IF(SEFAZ!H459="","",SEFAZ!H459)</f>
        <v/>
      </c>
      <c r="H475" t="str">
        <f>IF(SEFAZ!L459="","",SEFAZ!L459)</f>
        <v/>
      </c>
      <c r="I475" t="str">
        <f>IF(SEFAZ!N459="","",SEFAZ!N459)</f>
        <v/>
      </c>
      <c r="J475" t="str">
        <f>IF(SEFAZ!O459="","",SEFAZ!O459)</f>
        <v/>
      </c>
      <c r="K475" s="11" t="str">
        <f>IF(SEFAZ!P459="","",SEFAZ!P459)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hidden="1" x14ac:dyDescent="0.3">
      <c r="B476" t="str">
        <f>IF(SEFAZ!A460="","",SEFAZ!A460)</f>
        <v/>
      </c>
      <c r="C476" t="str">
        <f>IF(SEFAZ!C460="","",SEFAZ!C460)</f>
        <v/>
      </c>
      <c r="D476" t="str">
        <f>IF(SEFAZ!D460="","",SEFAZ!D460)</f>
        <v/>
      </c>
      <c r="E476" s="7" t="str">
        <f>IF(SEFAZ!E460="","",SEFAZ!E460)</f>
        <v/>
      </c>
      <c r="F476" s="6" t="str">
        <f>IF(SEFAZ!F460="","",VALUE(SUBSTITUTE(SEFAZ!F460,"'","")))</f>
        <v/>
      </c>
      <c r="G476" t="str">
        <f>IF(SEFAZ!H460="","",SEFAZ!H460)</f>
        <v/>
      </c>
      <c r="H476" t="str">
        <f>IF(SEFAZ!L460="","",SEFAZ!L460)</f>
        <v/>
      </c>
      <c r="I476" t="str">
        <f>IF(SEFAZ!N460="","",SEFAZ!N460)</f>
        <v/>
      </c>
      <c r="J476" t="str">
        <f>IF(SEFAZ!O460="","",SEFAZ!O460)</f>
        <v/>
      </c>
      <c r="K476" s="11" t="str">
        <f>IF(SEFAZ!P460="","",SEFAZ!P460)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hidden="1" x14ac:dyDescent="0.3">
      <c r="B477" t="str">
        <f>IF(SEFAZ!A461="","",SEFAZ!A461)</f>
        <v/>
      </c>
      <c r="C477" t="str">
        <f>IF(SEFAZ!C461="","",SEFAZ!C461)</f>
        <v/>
      </c>
      <c r="D477" t="str">
        <f>IF(SEFAZ!D461="","",SEFAZ!D461)</f>
        <v/>
      </c>
      <c r="E477" s="7" t="str">
        <f>IF(SEFAZ!E461="","",SEFAZ!E461)</f>
        <v/>
      </c>
      <c r="F477" s="6" t="str">
        <f>IF(SEFAZ!F461="","",VALUE(SUBSTITUTE(SEFAZ!F461,"'","")))</f>
        <v/>
      </c>
      <c r="G477" t="str">
        <f>IF(SEFAZ!H461="","",SEFAZ!H461)</f>
        <v/>
      </c>
      <c r="H477" t="str">
        <f>IF(SEFAZ!L461="","",SEFAZ!L461)</f>
        <v/>
      </c>
      <c r="I477" t="str">
        <f>IF(SEFAZ!N461="","",SEFAZ!N461)</f>
        <v/>
      </c>
      <c r="J477" t="str">
        <f>IF(SEFAZ!O461="","",SEFAZ!O461)</f>
        <v/>
      </c>
      <c r="K477" s="11" t="str">
        <f>IF(SEFAZ!P461="","",SEFAZ!P461)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hidden="1" x14ac:dyDescent="0.3">
      <c r="B478" t="str">
        <f>IF(SEFAZ!A462="","",SEFAZ!A462)</f>
        <v/>
      </c>
      <c r="C478" t="str">
        <f>IF(SEFAZ!C462="","",SEFAZ!C462)</f>
        <v/>
      </c>
      <c r="D478" t="str">
        <f>IF(SEFAZ!D462="","",SEFAZ!D462)</f>
        <v/>
      </c>
      <c r="E478" s="7" t="str">
        <f>IF(SEFAZ!E462="","",SEFAZ!E462)</f>
        <v/>
      </c>
      <c r="F478" s="6" t="str">
        <f>IF(SEFAZ!F462="","",VALUE(SUBSTITUTE(SEFAZ!F462,"'","")))</f>
        <v/>
      </c>
      <c r="G478" t="str">
        <f>IF(SEFAZ!H462="","",SEFAZ!H462)</f>
        <v/>
      </c>
      <c r="H478" t="str">
        <f>IF(SEFAZ!L462="","",SEFAZ!L462)</f>
        <v/>
      </c>
      <c r="I478" t="str">
        <f>IF(SEFAZ!N462="","",SEFAZ!N462)</f>
        <v/>
      </c>
      <c r="J478" t="str">
        <f>IF(SEFAZ!O462="","",SEFAZ!O462)</f>
        <v/>
      </c>
      <c r="K478" s="11" t="str">
        <f>IF(SEFAZ!P462="","",SEFAZ!P462)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hidden="1" x14ac:dyDescent="0.3">
      <c r="B479" t="str">
        <f>IF(SEFAZ!A463="","",SEFAZ!A463)</f>
        <v/>
      </c>
      <c r="C479" t="str">
        <f>IF(SEFAZ!C463="","",SEFAZ!C463)</f>
        <v/>
      </c>
      <c r="D479" t="str">
        <f>IF(SEFAZ!D463="","",SEFAZ!D463)</f>
        <v/>
      </c>
      <c r="E479" s="7" t="str">
        <f>IF(SEFAZ!E463="","",SEFAZ!E463)</f>
        <v/>
      </c>
      <c r="F479" s="6" t="str">
        <f>IF(SEFAZ!F463="","",VALUE(SUBSTITUTE(SEFAZ!F463,"'","")))</f>
        <v/>
      </c>
      <c r="G479" t="str">
        <f>IF(SEFAZ!H463="","",SEFAZ!H463)</f>
        <v/>
      </c>
      <c r="H479" t="str">
        <f>IF(SEFAZ!L463="","",SEFAZ!L463)</f>
        <v/>
      </c>
      <c r="I479" t="str">
        <f>IF(SEFAZ!N463="","",SEFAZ!N463)</f>
        <v/>
      </c>
      <c r="J479" t="str">
        <f>IF(SEFAZ!O463="","",SEFAZ!O463)</f>
        <v/>
      </c>
      <c r="K479" s="11" t="str">
        <f>IF(SEFAZ!P463="","",SEFAZ!P463)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hidden="1" x14ac:dyDescent="0.3">
      <c r="B480" t="str">
        <f>IF(SEFAZ!A464="","",SEFAZ!A464)</f>
        <v/>
      </c>
      <c r="C480" t="str">
        <f>IF(SEFAZ!C464="","",SEFAZ!C464)</f>
        <v/>
      </c>
      <c r="D480" t="str">
        <f>IF(SEFAZ!D464="","",SEFAZ!D464)</f>
        <v/>
      </c>
      <c r="E480" s="7" t="str">
        <f>IF(SEFAZ!E464="","",SEFAZ!E464)</f>
        <v/>
      </c>
      <c r="F480" s="6" t="str">
        <f>IF(SEFAZ!F464="","",VALUE(SUBSTITUTE(SEFAZ!F464,"'","")))</f>
        <v/>
      </c>
      <c r="G480" t="str">
        <f>IF(SEFAZ!H464="","",SEFAZ!H464)</f>
        <v/>
      </c>
      <c r="H480" t="str">
        <f>IF(SEFAZ!L464="","",SEFAZ!L464)</f>
        <v/>
      </c>
      <c r="I480" t="str">
        <f>IF(SEFAZ!N464="","",SEFAZ!N464)</f>
        <v/>
      </c>
      <c r="J480" t="str">
        <f>IF(SEFAZ!O464="","",SEFAZ!O464)</f>
        <v/>
      </c>
      <c r="K480" s="11" t="str">
        <f>IF(SEFAZ!P464="","",SEFAZ!P464)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hidden="1" x14ac:dyDescent="0.3">
      <c r="B481" t="str">
        <f>IF(SEFAZ!A465="","",SEFAZ!A465)</f>
        <v/>
      </c>
      <c r="C481" t="str">
        <f>IF(SEFAZ!C465="","",SEFAZ!C465)</f>
        <v/>
      </c>
      <c r="D481" t="str">
        <f>IF(SEFAZ!D465="","",SEFAZ!D465)</f>
        <v/>
      </c>
      <c r="E481" s="7" t="str">
        <f>IF(SEFAZ!E465="","",SEFAZ!E465)</f>
        <v/>
      </c>
      <c r="F481" s="6" t="str">
        <f>IF(SEFAZ!F465="","",VALUE(SUBSTITUTE(SEFAZ!F465,"'","")))</f>
        <v/>
      </c>
      <c r="G481" t="str">
        <f>IF(SEFAZ!H465="","",SEFAZ!H465)</f>
        <v/>
      </c>
      <c r="H481" t="str">
        <f>IF(SEFAZ!L465="","",SEFAZ!L465)</f>
        <v/>
      </c>
      <c r="I481" t="str">
        <f>IF(SEFAZ!N465="","",SEFAZ!N465)</f>
        <v/>
      </c>
      <c r="J481" t="str">
        <f>IF(SEFAZ!O465="","",SEFAZ!O465)</f>
        <v/>
      </c>
      <c r="K481" s="11" t="str">
        <f>IF(SEFAZ!P465="","",SEFAZ!P465)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hidden="1" x14ac:dyDescent="0.3">
      <c r="B482" t="str">
        <f>IF(SEFAZ!A466="","",SEFAZ!A466)</f>
        <v/>
      </c>
      <c r="C482" t="str">
        <f>IF(SEFAZ!C466="","",SEFAZ!C466)</f>
        <v/>
      </c>
      <c r="D482" t="str">
        <f>IF(SEFAZ!D466="","",SEFAZ!D466)</f>
        <v/>
      </c>
      <c r="E482" s="7" t="str">
        <f>IF(SEFAZ!E466="","",SEFAZ!E466)</f>
        <v/>
      </c>
      <c r="F482" s="6" t="str">
        <f>IF(SEFAZ!F466="","",VALUE(SUBSTITUTE(SEFAZ!F466,"'","")))</f>
        <v/>
      </c>
      <c r="G482" t="str">
        <f>IF(SEFAZ!H466="","",SEFAZ!H466)</f>
        <v/>
      </c>
      <c r="H482" t="str">
        <f>IF(SEFAZ!L466="","",SEFAZ!L466)</f>
        <v/>
      </c>
      <c r="I482" t="str">
        <f>IF(SEFAZ!N466="","",SEFAZ!N466)</f>
        <v/>
      </c>
      <c r="J482" t="str">
        <f>IF(SEFAZ!O466="","",SEFAZ!O466)</f>
        <v/>
      </c>
      <c r="K482" s="11" t="str">
        <f>IF(SEFAZ!P466="","",SEFAZ!P466)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hidden="1" x14ac:dyDescent="0.3">
      <c r="B483" t="str">
        <f>IF(SEFAZ!A467="","",SEFAZ!A467)</f>
        <v/>
      </c>
      <c r="C483" t="str">
        <f>IF(SEFAZ!C467="","",SEFAZ!C467)</f>
        <v/>
      </c>
      <c r="D483" t="str">
        <f>IF(SEFAZ!D467="","",SEFAZ!D467)</f>
        <v/>
      </c>
      <c r="E483" s="7" t="str">
        <f>IF(SEFAZ!E467="","",SEFAZ!E467)</f>
        <v/>
      </c>
      <c r="F483" s="6" t="str">
        <f>IF(SEFAZ!F467="","",VALUE(SUBSTITUTE(SEFAZ!F467,"'","")))</f>
        <v/>
      </c>
      <c r="G483" t="str">
        <f>IF(SEFAZ!H467="","",SEFAZ!H467)</f>
        <v/>
      </c>
      <c r="H483" t="str">
        <f>IF(SEFAZ!L467="","",SEFAZ!L467)</f>
        <v/>
      </c>
      <c r="I483" t="str">
        <f>IF(SEFAZ!N467="","",SEFAZ!N467)</f>
        <v/>
      </c>
      <c r="J483" t="str">
        <f>IF(SEFAZ!O467="","",SEFAZ!O467)</f>
        <v/>
      </c>
      <c r="K483" s="11" t="str">
        <f>IF(SEFAZ!P467="","",SEFAZ!P467)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hidden="1" x14ac:dyDescent="0.3">
      <c r="B484" t="str">
        <f>IF(SEFAZ!A468="","",SEFAZ!A468)</f>
        <v/>
      </c>
      <c r="C484" t="str">
        <f>IF(SEFAZ!C468="","",SEFAZ!C468)</f>
        <v/>
      </c>
      <c r="D484" t="str">
        <f>IF(SEFAZ!D468="","",SEFAZ!D468)</f>
        <v/>
      </c>
      <c r="E484" s="7" t="str">
        <f>IF(SEFAZ!E468="","",SEFAZ!E468)</f>
        <v/>
      </c>
      <c r="F484" s="6" t="str">
        <f>IF(SEFAZ!F468="","",VALUE(SUBSTITUTE(SEFAZ!F468,"'","")))</f>
        <v/>
      </c>
      <c r="G484" t="str">
        <f>IF(SEFAZ!H468="","",SEFAZ!H468)</f>
        <v/>
      </c>
      <c r="H484" t="str">
        <f>IF(SEFAZ!L468="","",SEFAZ!L468)</f>
        <v/>
      </c>
      <c r="I484" t="str">
        <f>IF(SEFAZ!N468="","",SEFAZ!N468)</f>
        <v/>
      </c>
      <c r="J484" t="str">
        <f>IF(SEFAZ!O468="","",SEFAZ!O468)</f>
        <v/>
      </c>
      <c r="K484" s="11" t="str">
        <f>IF(SEFAZ!P468="","",SEFAZ!P468)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hidden="1" x14ac:dyDescent="0.3">
      <c r="B485" t="str">
        <f>IF(SEFAZ!A469="","",SEFAZ!A469)</f>
        <v/>
      </c>
      <c r="C485" t="str">
        <f>IF(SEFAZ!C469="","",SEFAZ!C469)</f>
        <v/>
      </c>
      <c r="D485" t="str">
        <f>IF(SEFAZ!D469="","",SEFAZ!D469)</f>
        <v/>
      </c>
      <c r="E485" s="7" t="str">
        <f>IF(SEFAZ!E469="","",SEFAZ!E469)</f>
        <v/>
      </c>
      <c r="F485" s="6" t="str">
        <f>IF(SEFAZ!F469="","",VALUE(SUBSTITUTE(SEFAZ!F469,"'","")))</f>
        <v/>
      </c>
      <c r="G485" t="str">
        <f>IF(SEFAZ!H469="","",SEFAZ!H469)</f>
        <v/>
      </c>
      <c r="H485" t="str">
        <f>IF(SEFAZ!L469="","",SEFAZ!L469)</f>
        <v/>
      </c>
      <c r="I485" t="str">
        <f>IF(SEFAZ!N469="","",SEFAZ!N469)</f>
        <v/>
      </c>
      <c r="J485" t="str">
        <f>IF(SEFAZ!O469="","",SEFAZ!O469)</f>
        <v/>
      </c>
      <c r="K485" s="11" t="str">
        <f>IF(SEFAZ!P469="","",SEFAZ!P469)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hidden="1" x14ac:dyDescent="0.3">
      <c r="B486" t="str">
        <f>IF(SEFAZ!A470="","",SEFAZ!A470)</f>
        <v/>
      </c>
      <c r="C486" t="str">
        <f>IF(SEFAZ!C470="","",SEFAZ!C470)</f>
        <v/>
      </c>
      <c r="D486" t="str">
        <f>IF(SEFAZ!D470="","",SEFAZ!D470)</f>
        <v/>
      </c>
      <c r="E486" s="7" t="str">
        <f>IF(SEFAZ!E470="","",SEFAZ!E470)</f>
        <v/>
      </c>
      <c r="F486" s="6" t="str">
        <f>IF(SEFAZ!F470="","",VALUE(SUBSTITUTE(SEFAZ!F470,"'","")))</f>
        <v/>
      </c>
      <c r="G486" t="str">
        <f>IF(SEFAZ!H470="","",SEFAZ!H470)</f>
        <v/>
      </c>
      <c r="H486" t="str">
        <f>IF(SEFAZ!L470="","",SEFAZ!L470)</f>
        <v/>
      </c>
      <c r="I486" t="str">
        <f>IF(SEFAZ!N470="","",SEFAZ!N470)</f>
        <v/>
      </c>
      <c r="J486" t="str">
        <f>IF(SEFAZ!O470="","",SEFAZ!O470)</f>
        <v/>
      </c>
      <c r="K486" s="11" t="str">
        <f>IF(SEFAZ!P470="","",SEFAZ!P470)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hidden="1" x14ac:dyDescent="0.3">
      <c r="B487" t="str">
        <f>IF(SEFAZ!A471="","",SEFAZ!A471)</f>
        <v/>
      </c>
      <c r="C487" t="str">
        <f>IF(SEFAZ!C471="","",SEFAZ!C471)</f>
        <v/>
      </c>
      <c r="D487" t="str">
        <f>IF(SEFAZ!D471="","",SEFAZ!D471)</f>
        <v/>
      </c>
      <c r="E487" s="7" t="str">
        <f>IF(SEFAZ!E471="","",SEFAZ!E471)</f>
        <v/>
      </c>
      <c r="F487" s="6" t="str">
        <f>IF(SEFAZ!F471="","",VALUE(SUBSTITUTE(SEFAZ!F471,"'","")))</f>
        <v/>
      </c>
      <c r="G487" t="str">
        <f>IF(SEFAZ!H471="","",SEFAZ!H471)</f>
        <v/>
      </c>
      <c r="H487" t="str">
        <f>IF(SEFAZ!L471="","",SEFAZ!L471)</f>
        <v/>
      </c>
      <c r="I487" t="str">
        <f>IF(SEFAZ!N471="","",SEFAZ!N471)</f>
        <v/>
      </c>
      <c r="J487" t="str">
        <f>IF(SEFAZ!O471="","",SEFAZ!O471)</f>
        <v/>
      </c>
      <c r="K487" s="11" t="str">
        <f>IF(SEFAZ!P471="","",SEFAZ!P471)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hidden="1" x14ac:dyDescent="0.3">
      <c r="B488" t="str">
        <f>IF(SEFAZ!A472="","",SEFAZ!A472)</f>
        <v/>
      </c>
      <c r="C488" t="str">
        <f>IF(SEFAZ!C472="","",SEFAZ!C472)</f>
        <v/>
      </c>
      <c r="D488" t="str">
        <f>IF(SEFAZ!D472="","",SEFAZ!D472)</f>
        <v/>
      </c>
      <c r="E488" s="7" t="str">
        <f>IF(SEFAZ!E472="","",SEFAZ!E472)</f>
        <v/>
      </c>
      <c r="F488" s="6" t="str">
        <f>IF(SEFAZ!F472="","",VALUE(SUBSTITUTE(SEFAZ!F472,"'","")))</f>
        <v/>
      </c>
      <c r="G488" t="str">
        <f>IF(SEFAZ!H472="","",SEFAZ!H472)</f>
        <v/>
      </c>
      <c r="H488" t="str">
        <f>IF(SEFAZ!L472="","",SEFAZ!L472)</f>
        <v/>
      </c>
      <c r="I488" t="str">
        <f>IF(SEFAZ!N472="","",SEFAZ!N472)</f>
        <v/>
      </c>
      <c r="J488" t="str">
        <f>IF(SEFAZ!O472="","",SEFAZ!O472)</f>
        <v/>
      </c>
      <c r="K488" s="11" t="str">
        <f>IF(SEFAZ!P472="","",SEFAZ!P472)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hidden="1" x14ac:dyDescent="0.3">
      <c r="B489" t="str">
        <f>IF(SEFAZ!A473="","",SEFAZ!A473)</f>
        <v/>
      </c>
      <c r="C489" t="str">
        <f>IF(SEFAZ!C473="","",SEFAZ!C473)</f>
        <v/>
      </c>
      <c r="D489" t="str">
        <f>IF(SEFAZ!D473="","",SEFAZ!D473)</f>
        <v/>
      </c>
      <c r="E489" s="7" t="str">
        <f>IF(SEFAZ!E473="","",SEFAZ!E473)</f>
        <v/>
      </c>
      <c r="F489" s="6" t="str">
        <f>IF(SEFAZ!F473="","",VALUE(SUBSTITUTE(SEFAZ!F473,"'","")))</f>
        <v/>
      </c>
      <c r="G489" t="str">
        <f>IF(SEFAZ!H473="","",SEFAZ!H473)</f>
        <v/>
      </c>
      <c r="H489" t="str">
        <f>IF(SEFAZ!L473="","",SEFAZ!L473)</f>
        <v/>
      </c>
      <c r="I489" t="str">
        <f>IF(SEFAZ!N473="","",SEFAZ!N473)</f>
        <v/>
      </c>
      <c r="J489" t="str">
        <f>IF(SEFAZ!O473="","",SEFAZ!O473)</f>
        <v/>
      </c>
      <c r="K489" s="11" t="str">
        <f>IF(SEFAZ!P473="","",SEFAZ!P473)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hidden="1" x14ac:dyDescent="0.3">
      <c r="B490" t="str">
        <f>IF(SEFAZ!A474="","",SEFAZ!A474)</f>
        <v/>
      </c>
      <c r="C490" t="str">
        <f>IF(SEFAZ!C474="","",SEFAZ!C474)</f>
        <v/>
      </c>
      <c r="D490" t="str">
        <f>IF(SEFAZ!D474="","",SEFAZ!D474)</f>
        <v/>
      </c>
      <c r="E490" s="7" t="str">
        <f>IF(SEFAZ!E474="","",SEFAZ!E474)</f>
        <v/>
      </c>
      <c r="F490" s="6" t="str">
        <f>IF(SEFAZ!F474="","",VALUE(SUBSTITUTE(SEFAZ!F474,"'","")))</f>
        <v/>
      </c>
      <c r="G490" t="str">
        <f>IF(SEFAZ!H474="","",SEFAZ!H474)</f>
        <v/>
      </c>
      <c r="H490" t="str">
        <f>IF(SEFAZ!L474="","",SEFAZ!L474)</f>
        <v/>
      </c>
      <c r="I490" t="str">
        <f>IF(SEFAZ!N474="","",SEFAZ!N474)</f>
        <v/>
      </c>
      <c r="J490" t="str">
        <f>IF(SEFAZ!O474="","",SEFAZ!O474)</f>
        <v/>
      </c>
      <c r="K490" s="11" t="str">
        <f>IF(SEFAZ!P474="","",SEFAZ!P474)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hidden="1" x14ac:dyDescent="0.3">
      <c r="B491" t="str">
        <f>IF(SEFAZ!A475="","",SEFAZ!A475)</f>
        <v/>
      </c>
      <c r="C491" t="str">
        <f>IF(SEFAZ!C475="","",SEFAZ!C475)</f>
        <v/>
      </c>
      <c r="D491" t="str">
        <f>IF(SEFAZ!D475="","",SEFAZ!D475)</f>
        <v/>
      </c>
      <c r="E491" s="7" t="str">
        <f>IF(SEFAZ!E475="","",SEFAZ!E475)</f>
        <v/>
      </c>
      <c r="F491" s="6" t="str">
        <f>IF(SEFAZ!F475="","",VALUE(SUBSTITUTE(SEFAZ!F475,"'","")))</f>
        <v/>
      </c>
      <c r="G491" t="str">
        <f>IF(SEFAZ!H475="","",SEFAZ!H475)</f>
        <v/>
      </c>
      <c r="H491" t="str">
        <f>IF(SEFAZ!L475="","",SEFAZ!L475)</f>
        <v/>
      </c>
      <c r="I491" t="str">
        <f>IF(SEFAZ!N475="","",SEFAZ!N475)</f>
        <v/>
      </c>
      <c r="J491" t="str">
        <f>IF(SEFAZ!O475="","",SEFAZ!O475)</f>
        <v/>
      </c>
      <c r="K491" s="11" t="str">
        <f>IF(SEFAZ!P475="","",SEFAZ!P475)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hidden="1" x14ac:dyDescent="0.3">
      <c r="B492" t="str">
        <f>IF(SEFAZ!A476="","",SEFAZ!A476)</f>
        <v/>
      </c>
      <c r="C492" t="str">
        <f>IF(SEFAZ!C476="","",SEFAZ!C476)</f>
        <v/>
      </c>
      <c r="D492" t="str">
        <f>IF(SEFAZ!D476="","",SEFAZ!D476)</f>
        <v/>
      </c>
      <c r="E492" s="7" t="str">
        <f>IF(SEFAZ!E476="","",SEFAZ!E476)</f>
        <v/>
      </c>
      <c r="F492" s="6" t="str">
        <f>IF(SEFAZ!F476="","",VALUE(SUBSTITUTE(SEFAZ!F476,"'","")))</f>
        <v/>
      </c>
      <c r="G492" t="str">
        <f>IF(SEFAZ!H476="","",SEFAZ!H476)</f>
        <v/>
      </c>
      <c r="H492" t="str">
        <f>IF(SEFAZ!L476="","",SEFAZ!L476)</f>
        <v/>
      </c>
      <c r="I492" t="str">
        <f>IF(SEFAZ!N476="","",SEFAZ!N476)</f>
        <v/>
      </c>
      <c r="J492" t="str">
        <f>IF(SEFAZ!O476="","",SEFAZ!O476)</f>
        <v/>
      </c>
      <c r="K492" s="11" t="str">
        <f>IF(SEFAZ!P476="","",SEFAZ!P476)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hidden="1" x14ac:dyDescent="0.3">
      <c r="B493" t="str">
        <f>IF(SEFAZ!A477="","",SEFAZ!A477)</f>
        <v/>
      </c>
      <c r="C493" t="str">
        <f>IF(SEFAZ!C477="","",SEFAZ!C477)</f>
        <v/>
      </c>
      <c r="D493" t="str">
        <f>IF(SEFAZ!D477="","",SEFAZ!D477)</f>
        <v/>
      </c>
      <c r="E493" s="7" t="str">
        <f>IF(SEFAZ!E477="","",SEFAZ!E477)</f>
        <v/>
      </c>
      <c r="F493" s="6" t="str">
        <f>IF(SEFAZ!F477="","",VALUE(SUBSTITUTE(SEFAZ!F477,"'","")))</f>
        <v/>
      </c>
      <c r="G493" t="str">
        <f>IF(SEFAZ!H477="","",SEFAZ!H477)</f>
        <v/>
      </c>
      <c r="H493" t="str">
        <f>IF(SEFAZ!L477="","",SEFAZ!L477)</f>
        <v/>
      </c>
      <c r="I493" t="str">
        <f>IF(SEFAZ!N477="","",SEFAZ!N477)</f>
        <v/>
      </c>
      <c r="J493" t="str">
        <f>IF(SEFAZ!O477="","",SEFAZ!O477)</f>
        <v/>
      </c>
      <c r="K493" s="11" t="str">
        <f>IF(SEFAZ!P477="","",SEFAZ!P477)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hidden="1" x14ac:dyDescent="0.3">
      <c r="B494" t="str">
        <f>IF(SEFAZ!A478="","",SEFAZ!A478)</f>
        <v/>
      </c>
      <c r="C494" t="str">
        <f>IF(SEFAZ!C478="","",SEFAZ!C478)</f>
        <v/>
      </c>
      <c r="D494" t="str">
        <f>IF(SEFAZ!D478="","",SEFAZ!D478)</f>
        <v/>
      </c>
      <c r="E494" s="7" t="str">
        <f>IF(SEFAZ!E478="","",SEFAZ!E478)</f>
        <v/>
      </c>
      <c r="F494" s="6" t="str">
        <f>IF(SEFAZ!F478="","",VALUE(SUBSTITUTE(SEFAZ!F478,"'","")))</f>
        <v/>
      </c>
      <c r="G494" t="str">
        <f>IF(SEFAZ!H478="","",SEFAZ!H478)</f>
        <v/>
      </c>
      <c r="H494" t="str">
        <f>IF(SEFAZ!L478="","",SEFAZ!L478)</f>
        <v/>
      </c>
      <c r="I494" t="str">
        <f>IF(SEFAZ!N478="","",SEFAZ!N478)</f>
        <v/>
      </c>
      <c r="J494" t="str">
        <f>IF(SEFAZ!O478="","",SEFAZ!O478)</f>
        <v/>
      </c>
      <c r="K494" s="11" t="str">
        <f>IF(SEFAZ!P478="","",SEFAZ!P478)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hidden="1" x14ac:dyDescent="0.3">
      <c r="B495" t="str">
        <f>IF(SEFAZ!A479="","",SEFAZ!A479)</f>
        <v/>
      </c>
      <c r="C495" t="str">
        <f>IF(SEFAZ!C479="","",SEFAZ!C479)</f>
        <v/>
      </c>
      <c r="D495" t="str">
        <f>IF(SEFAZ!D479="","",SEFAZ!D479)</f>
        <v/>
      </c>
      <c r="E495" s="7" t="str">
        <f>IF(SEFAZ!E479="","",SEFAZ!E479)</f>
        <v/>
      </c>
      <c r="F495" s="6" t="str">
        <f>IF(SEFAZ!F479="","",VALUE(SUBSTITUTE(SEFAZ!F479,"'","")))</f>
        <v/>
      </c>
      <c r="G495" t="str">
        <f>IF(SEFAZ!H479="","",SEFAZ!H479)</f>
        <v/>
      </c>
      <c r="H495" t="str">
        <f>IF(SEFAZ!L479="","",SEFAZ!L479)</f>
        <v/>
      </c>
      <c r="I495" t="str">
        <f>IF(SEFAZ!N479="","",SEFAZ!N479)</f>
        <v/>
      </c>
      <c r="J495" t="str">
        <f>IF(SEFAZ!O479="","",SEFAZ!O479)</f>
        <v/>
      </c>
      <c r="K495" s="11" t="str">
        <f>IF(SEFAZ!P479="","",SEFAZ!P479)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hidden="1" x14ac:dyDescent="0.3">
      <c r="B496" t="str">
        <f>IF(SEFAZ!A480="","",SEFAZ!A480)</f>
        <v/>
      </c>
      <c r="C496" t="str">
        <f>IF(SEFAZ!C480="","",SEFAZ!C480)</f>
        <v/>
      </c>
      <c r="D496" t="str">
        <f>IF(SEFAZ!D480="","",SEFAZ!D480)</f>
        <v/>
      </c>
      <c r="E496" s="7" t="str">
        <f>IF(SEFAZ!E480="","",SEFAZ!E480)</f>
        <v/>
      </c>
      <c r="F496" s="6" t="str">
        <f>IF(SEFAZ!F480="","",VALUE(SUBSTITUTE(SEFAZ!F480,"'","")))</f>
        <v/>
      </c>
      <c r="G496" t="str">
        <f>IF(SEFAZ!H480="","",SEFAZ!H480)</f>
        <v/>
      </c>
      <c r="H496" t="str">
        <f>IF(SEFAZ!L480="","",SEFAZ!L480)</f>
        <v/>
      </c>
      <c r="I496" t="str">
        <f>IF(SEFAZ!N480="","",SEFAZ!N480)</f>
        <v/>
      </c>
      <c r="J496" t="str">
        <f>IF(SEFAZ!O480="","",SEFAZ!O480)</f>
        <v/>
      </c>
      <c r="K496" s="11" t="str">
        <f>IF(SEFAZ!P480="","",SEFAZ!P480)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hidden="1" x14ac:dyDescent="0.3">
      <c r="B497" t="str">
        <f>IF(SEFAZ!A481="","",SEFAZ!A481)</f>
        <v/>
      </c>
      <c r="C497" t="str">
        <f>IF(SEFAZ!C481="","",SEFAZ!C481)</f>
        <v/>
      </c>
      <c r="D497" t="str">
        <f>IF(SEFAZ!D481="","",SEFAZ!D481)</f>
        <v/>
      </c>
      <c r="E497" s="7" t="str">
        <f>IF(SEFAZ!E481="","",SEFAZ!E481)</f>
        <v/>
      </c>
      <c r="F497" s="6" t="str">
        <f>IF(SEFAZ!F481="","",VALUE(SUBSTITUTE(SEFAZ!F481,"'","")))</f>
        <v/>
      </c>
      <c r="G497" t="str">
        <f>IF(SEFAZ!H481="","",SEFAZ!H481)</f>
        <v/>
      </c>
      <c r="H497" t="str">
        <f>IF(SEFAZ!L481="","",SEFAZ!L481)</f>
        <v/>
      </c>
      <c r="I497" t="str">
        <f>IF(SEFAZ!N481="","",SEFAZ!N481)</f>
        <v/>
      </c>
      <c r="J497" t="str">
        <f>IF(SEFAZ!O481="","",SEFAZ!O481)</f>
        <v/>
      </c>
      <c r="K497" s="11" t="str">
        <f>IF(SEFAZ!P481="","",SEFAZ!P481)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hidden="1" x14ac:dyDescent="0.3">
      <c r="B498" t="str">
        <f>IF(SEFAZ!A482="","",SEFAZ!A482)</f>
        <v/>
      </c>
      <c r="C498" t="str">
        <f>IF(SEFAZ!C482="","",SEFAZ!C482)</f>
        <v/>
      </c>
      <c r="D498" t="str">
        <f>IF(SEFAZ!D482="","",SEFAZ!D482)</f>
        <v/>
      </c>
      <c r="E498" s="7" t="str">
        <f>IF(SEFAZ!E482="","",SEFAZ!E482)</f>
        <v/>
      </c>
      <c r="F498" s="6" t="str">
        <f>IF(SEFAZ!F482="","",VALUE(SUBSTITUTE(SEFAZ!F482,"'","")))</f>
        <v/>
      </c>
      <c r="G498" t="str">
        <f>IF(SEFAZ!H482="","",SEFAZ!H482)</f>
        <v/>
      </c>
      <c r="H498" t="str">
        <f>IF(SEFAZ!L482="","",SEFAZ!L482)</f>
        <v/>
      </c>
      <c r="I498" t="str">
        <f>IF(SEFAZ!N482="","",SEFAZ!N482)</f>
        <v/>
      </c>
      <c r="J498" t="str">
        <f>IF(SEFAZ!O482="","",SEFAZ!O482)</f>
        <v/>
      </c>
      <c r="K498" s="11" t="str">
        <f>IF(SEFAZ!P482="","",SEFAZ!P482)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hidden="1" x14ac:dyDescent="0.3">
      <c r="B499" t="str">
        <f>IF(SEFAZ!A483="","",SEFAZ!A483)</f>
        <v/>
      </c>
      <c r="C499" t="str">
        <f>IF(SEFAZ!C483="","",SEFAZ!C483)</f>
        <v/>
      </c>
      <c r="D499" t="str">
        <f>IF(SEFAZ!D483="","",SEFAZ!D483)</f>
        <v/>
      </c>
      <c r="E499" s="7" t="str">
        <f>IF(SEFAZ!E483="","",SEFAZ!E483)</f>
        <v/>
      </c>
      <c r="F499" s="6" t="str">
        <f>IF(SEFAZ!F483="","",VALUE(SUBSTITUTE(SEFAZ!F483,"'","")))</f>
        <v/>
      </c>
      <c r="G499" t="str">
        <f>IF(SEFAZ!H483="","",SEFAZ!H483)</f>
        <v/>
      </c>
      <c r="H499" t="str">
        <f>IF(SEFAZ!L483="","",SEFAZ!L483)</f>
        <v/>
      </c>
      <c r="I499" t="str">
        <f>IF(SEFAZ!N483="","",SEFAZ!N483)</f>
        <v/>
      </c>
      <c r="J499" t="str">
        <f>IF(SEFAZ!O483="","",SEFAZ!O483)</f>
        <v/>
      </c>
      <c r="K499" s="11" t="str">
        <f>IF(SEFAZ!P483="","",SEFAZ!P483)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hidden="1" x14ac:dyDescent="0.3">
      <c r="B500" t="str">
        <f>IF(SEFAZ!A484="","",SEFAZ!A484)</f>
        <v/>
      </c>
      <c r="C500" t="str">
        <f>IF(SEFAZ!C484="","",SEFAZ!C484)</f>
        <v/>
      </c>
      <c r="D500" t="str">
        <f>IF(SEFAZ!D484="","",SEFAZ!D484)</f>
        <v/>
      </c>
      <c r="E500" s="7" t="str">
        <f>IF(SEFAZ!E484="","",SEFAZ!E484)</f>
        <v/>
      </c>
      <c r="F500" s="6" t="str">
        <f>IF(SEFAZ!F484="","",VALUE(SUBSTITUTE(SEFAZ!F484,"'","")))</f>
        <v/>
      </c>
      <c r="G500" t="str">
        <f>IF(SEFAZ!H484="","",SEFAZ!H484)</f>
        <v/>
      </c>
      <c r="H500" t="str">
        <f>IF(SEFAZ!L484="","",SEFAZ!L484)</f>
        <v/>
      </c>
      <c r="I500" t="str">
        <f>IF(SEFAZ!N484="","",SEFAZ!N484)</f>
        <v/>
      </c>
      <c r="J500" t="str">
        <f>IF(SEFAZ!O484="","",SEFAZ!O484)</f>
        <v/>
      </c>
      <c r="K500" s="11" t="str">
        <f>IF(SEFAZ!P484="","",SEFAZ!P484)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hidden="1" x14ac:dyDescent="0.3">
      <c r="B501" t="str">
        <f>IF(SEFAZ!A485="","",SEFAZ!A485)</f>
        <v/>
      </c>
      <c r="C501" t="str">
        <f>IF(SEFAZ!C485="","",SEFAZ!C485)</f>
        <v/>
      </c>
      <c r="D501" t="str">
        <f>IF(SEFAZ!D485="","",SEFAZ!D485)</f>
        <v/>
      </c>
      <c r="E501" s="7" t="str">
        <f>IF(SEFAZ!E485="","",SEFAZ!E485)</f>
        <v/>
      </c>
      <c r="F501" s="6" t="str">
        <f>IF(SEFAZ!F485="","",VALUE(SUBSTITUTE(SEFAZ!F485,"'","")))</f>
        <v/>
      </c>
      <c r="G501" t="str">
        <f>IF(SEFAZ!H485="","",SEFAZ!H485)</f>
        <v/>
      </c>
      <c r="H501" t="str">
        <f>IF(SEFAZ!L485="","",SEFAZ!L485)</f>
        <v/>
      </c>
      <c r="I501" t="str">
        <f>IF(SEFAZ!N485="","",SEFAZ!N485)</f>
        <v/>
      </c>
      <c r="J501" t="str">
        <f>IF(SEFAZ!O485="","",SEFAZ!O485)</f>
        <v/>
      </c>
      <c r="K501" s="11" t="str">
        <f>IF(SEFAZ!P485="","",SEFAZ!P485)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hidden="1" x14ac:dyDescent="0.3">
      <c r="B502" t="str">
        <f>IF(SEFAZ!A486="","",SEFAZ!A486)</f>
        <v/>
      </c>
      <c r="C502" t="str">
        <f>IF(SEFAZ!C486="","",SEFAZ!C486)</f>
        <v/>
      </c>
      <c r="D502" t="str">
        <f>IF(SEFAZ!D486="","",SEFAZ!D486)</f>
        <v/>
      </c>
      <c r="E502" s="7" t="str">
        <f>IF(SEFAZ!E486="","",SEFAZ!E486)</f>
        <v/>
      </c>
      <c r="F502" s="6" t="str">
        <f>IF(SEFAZ!F486="","",VALUE(SUBSTITUTE(SEFAZ!F486,"'","")))</f>
        <v/>
      </c>
      <c r="G502" t="str">
        <f>IF(SEFAZ!H486="","",SEFAZ!H486)</f>
        <v/>
      </c>
      <c r="H502" t="str">
        <f>IF(SEFAZ!L486="","",SEFAZ!L486)</f>
        <v/>
      </c>
      <c r="I502" t="str">
        <f>IF(SEFAZ!N486="","",SEFAZ!N486)</f>
        <v/>
      </c>
      <c r="J502" t="str">
        <f>IF(SEFAZ!O486="","",SEFAZ!O486)</f>
        <v/>
      </c>
      <c r="K502" s="11" t="str">
        <f>IF(SEFAZ!P486="","",SEFAZ!P486)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hidden="1" x14ac:dyDescent="0.3">
      <c r="B503" t="str">
        <f>IF(SEFAZ!A487="","",SEFAZ!A487)</f>
        <v/>
      </c>
      <c r="C503" t="str">
        <f>IF(SEFAZ!C487="","",SEFAZ!C487)</f>
        <v/>
      </c>
      <c r="D503" t="str">
        <f>IF(SEFAZ!D487="","",SEFAZ!D487)</f>
        <v/>
      </c>
      <c r="E503" s="7" t="str">
        <f>IF(SEFAZ!E487="","",SEFAZ!E487)</f>
        <v/>
      </c>
      <c r="F503" s="6" t="str">
        <f>IF(SEFAZ!F487="","",VALUE(SUBSTITUTE(SEFAZ!F487,"'","")))</f>
        <v/>
      </c>
      <c r="G503" t="str">
        <f>IF(SEFAZ!H487="","",SEFAZ!H487)</f>
        <v/>
      </c>
      <c r="H503" t="str">
        <f>IF(SEFAZ!L487="","",SEFAZ!L487)</f>
        <v/>
      </c>
      <c r="I503" t="str">
        <f>IF(SEFAZ!N487="","",SEFAZ!N487)</f>
        <v/>
      </c>
      <c r="J503" t="str">
        <f>IF(SEFAZ!O487="","",SEFAZ!O487)</f>
        <v/>
      </c>
      <c r="K503" s="11" t="str">
        <f>IF(SEFAZ!P487="","",SEFAZ!P487)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hidden="1" x14ac:dyDescent="0.3">
      <c r="B504" t="str">
        <f>IF(SEFAZ!A488="","",SEFAZ!A488)</f>
        <v/>
      </c>
      <c r="C504" t="str">
        <f>IF(SEFAZ!C488="","",SEFAZ!C488)</f>
        <v/>
      </c>
      <c r="D504" t="str">
        <f>IF(SEFAZ!D488="","",SEFAZ!D488)</f>
        <v/>
      </c>
      <c r="E504" s="7" t="str">
        <f>IF(SEFAZ!E488="","",SEFAZ!E488)</f>
        <v/>
      </c>
      <c r="F504" s="6" t="str">
        <f>IF(SEFAZ!F488="","",VALUE(SUBSTITUTE(SEFAZ!F488,"'","")))</f>
        <v/>
      </c>
      <c r="G504" t="str">
        <f>IF(SEFAZ!H488="","",SEFAZ!H488)</f>
        <v/>
      </c>
      <c r="H504" t="str">
        <f>IF(SEFAZ!L488="","",SEFAZ!L488)</f>
        <v/>
      </c>
      <c r="I504" t="str">
        <f>IF(SEFAZ!N488="","",SEFAZ!N488)</f>
        <v/>
      </c>
      <c r="J504" t="str">
        <f>IF(SEFAZ!O488="","",SEFAZ!O488)</f>
        <v/>
      </c>
      <c r="K504" s="11" t="str">
        <f>IF(SEFAZ!P488="","",SEFAZ!P488)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hidden="1" x14ac:dyDescent="0.3">
      <c r="B505" t="str">
        <f>IF(SEFAZ!A489="","",SEFAZ!A489)</f>
        <v/>
      </c>
      <c r="C505" t="str">
        <f>IF(SEFAZ!C489="","",SEFAZ!C489)</f>
        <v/>
      </c>
      <c r="D505" t="str">
        <f>IF(SEFAZ!D489="","",SEFAZ!D489)</f>
        <v/>
      </c>
      <c r="E505" s="7" t="str">
        <f>IF(SEFAZ!E489="","",SEFAZ!E489)</f>
        <v/>
      </c>
      <c r="F505" s="6" t="str">
        <f>IF(SEFAZ!F489="","",VALUE(SUBSTITUTE(SEFAZ!F489,"'","")))</f>
        <v/>
      </c>
      <c r="G505" t="str">
        <f>IF(SEFAZ!H489="","",SEFAZ!H489)</f>
        <v/>
      </c>
      <c r="H505" t="str">
        <f>IF(SEFAZ!L489="","",SEFAZ!L489)</f>
        <v/>
      </c>
      <c r="I505" t="str">
        <f>IF(SEFAZ!N489="","",SEFAZ!N489)</f>
        <v/>
      </c>
      <c r="J505" t="str">
        <f>IF(SEFAZ!O489="","",SEFAZ!O489)</f>
        <v/>
      </c>
      <c r="K505" s="11" t="str">
        <f>IF(SEFAZ!P489="","",SEFAZ!P489)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hidden="1" x14ac:dyDescent="0.3">
      <c r="B506" t="str">
        <f>IF(SEFAZ!A490="","",SEFAZ!A490)</f>
        <v/>
      </c>
      <c r="C506" t="str">
        <f>IF(SEFAZ!C490="","",SEFAZ!C490)</f>
        <v/>
      </c>
      <c r="D506" t="str">
        <f>IF(SEFAZ!D490="","",SEFAZ!D490)</f>
        <v/>
      </c>
      <c r="E506" s="7" t="str">
        <f>IF(SEFAZ!E490="","",SEFAZ!E490)</f>
        <v/>
      </c>
      <c r="F506" s="6" t="str">
        <f>IF(SEFAZ!F490="","",VALUE(SUBSTITUTE(SEFAZ!F490,"'","")))</f>
        <v/>
      </c>
      <c r="G506" t="str">
        <f>IF(SEFAZ!H490="","",SEFAZ!H490)</f>
        <v/>
      </c>
      <c r="H506" t="str">
        <f>IF(SEFAZ!L490="","",SEFAZ!L490)</f>
        <v/>
      </c>
      <c r="I506" t="str">
        <f>IF(SEFAZ!N490="","",SEFAZ!N490)</f>
        <v/>
      </c>
      <c r="J506" t="str">
        <f>IF(SEFAZ!O490="","",SEFAZ!O490)</f>
        <v/>
      </c>
      <c r="K506" s="11" t="str">
        <f>IF(SEFAZ!P490="","",SEFAZ!P490)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hidden="1" x14ac:dyDescent="0.3">
      <c r="B507" t="str">
        <f>IF(SEFAZ!A491="","",SEFAZ!A491)</f>
        <v/>
      </c>
      <c r="C507" t="str">
        <f>IF(SEFAZ!C491="","",SEFAZ!C491)</f>
        <v/>
      </c>
      <c r="D507" t="str">
        <f>IF(SEFAZ!D491="","",SEFAZ!D491)</f>
        <v/>
      </c>
      <c r="E507" s="7" t="str">
        <f>IF(SEFAZ!E491="","",SEFAZ!E491)</f>
        <v/>
      </c>
      <c r="F507" s="6" t="str">
        <f>IF(SEFAZ!F491="","",VALUE(SUBSTITUTE(SEFAZ!F491,"'","")))</f>
        <v/>
      </c>
      <c r="G507" t="str">
        <f>IF(SEFAZ!H491="","",SEFAZ!H491)</f>
        <v/>
      </c>
      <c r="H507" t="str">
        <f>IF(SEFAZ!L491="","",SEFAZ!L491)</f>
        <v/>
      </c>
      <c r="I507" t="str">
        <f>IF(SEFAZ!N491="","",SEFAZ!N491)</f>
        <v/>
      </c>
      <c r="J507" t="str">
        <f>IF(SEFAZ!O491="","",SEFAZ!O491)</f>
        <v/>
      </c>
      <c r="K507" s="11" t="str">
        <f>IF(SEFAZ!P491="","",SEFAZ!P491)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hidden="1" x14ac:dyDescent="0.3">
      <c r="B508" t="str">
        <f>IF(SEFAZ!A492="","",SEFAZ!A492)</f>
        <v/>
      </c>
      <c r="C508" t="str">
        <f>IF(SEFAZ!C492="","",SEFAZ!C492)</f>
        <v/>
      </c>
      <c r="D508" t="str">
        <f>IF(SEFAZ!D492="","",SEFAZ!D492)</f>
        <v/>
      </c>
      <c r="E508" s="7" t="str">
        <f>IF(SEFAZ!E492="","",SEFAZ!E492)</f>
        <v/>
      </c>
      <c r="F508" s="6" t="str">
        <f>IF(SEFAZ!F492="","",VALUE(SUBSTITUTE(SEFAZ!F492,"'","")))</f>
        <v/>
      </c>
      <c r="G508" t="str">
        <f>IF(SEFAZ!H492="","",SEFAZ!H492)</f>
        <v/>
      </c>
      <c r="H508" t="str">
        <f>IF(SEFAZ!L492="","",SEFAZ!L492)</f>
        <v/>
      </c>
      <c r="I508" t="str">
        <f>IF(SEFAZ!N492="","",SEFAZ!N492)</f>
        <v/>
      </c>
      <c r="J508" t="str">
        <f>IF(SEFAZ!O492="","",SEFAZ!O492)</f>
        <v/>
      </c>
      <c r="K508" s="11" t="str">
        <f>IF(SEFAZ!P492="","",SEFAZ!P492)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hidden="1" x14ac:dyDescent="0.3">
      <c r="B509" t="str">
        <f>IF(SEFAZ!A493="","",SEFAZ!A493)</f>
        <v/>
      </c>
      <c r="C509" t="str">
        <f>IF(SEFAZ!C493="","",SEFAZ!C493)</f>
        <v/>
      </c>
      <c r="D509" t="str">
        <f>IF(SEFAZ!D493="","",SEFAZ!D493)</f>
        <v/>
      </c>
      <c r="E509" s="7" t="str">
        <f>IF(SEFAZ!E493="","",SEFAZ!E493)</f>
        <v/>
      </c>
      <c r="F509" s="6" t="str">
        <f>IF(SEFAZ!F493="","",VALUE(SUBSTITUTE(SEFAZ!F493,"'","")))</f>
        <v/>
      </c>
      <c r="G509" t="str">
        <f>IF(SEFAZ!H493="","",SEFAZ!H493)</f>
        <v/>
      </c>
      <c r="H509" t="str">
        <f>IF(SEFAZ!L493="","",SEFAZ!L493)</f>
        <v/>
      </c>
      <c r="I509" t="str">
        <f>IF(SEFAZ!N493="","",SEFAZ!N493)</f>
        <v/>
      </c>
      <c r="J509" t="str">
        <f>IF(SEFAZ!O493="","",SEFAZ!O493)</f>
        <v/>
      </c>
      <c r="K509" s="11" t="str">
        <f>IF(SEFAZ!P493="","",SEFAZ!P493)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hidden="1" x14ac:dyDescent="0.3">
      <c r="B510" t="str">
        <f>IF(SEFAZ!A494="","",SEFAZ!A494)</f>
        <v/>
      </c>
      <c r="C510" t="str">
        <f>IF(SEFAZ!C494="","",SEFAZ!C494)</f>
        <v/>
      </c>
      <c r="D510" t="str">
        <f>IF(SEFAZ!D494="","",SEFAZ!D494)</f>
        <v/>
      </c>
      <c r="E510" s="7" t="str">
        <f>IF(SEFAZ!E494="","",SEFAZ!E494)</f>
        <v/>
      </c>
      <c r="F510" s="6" t="str">
        <f>IF(SEFAZ!F494="","",VALUE(SUBSTITUTE(SEFAZ!F494,"'","")))</f>
        <v/>
      </c>
      <c r="G510" t="str">
        <f>IF(SEFAZ!H494="","",SEFAZ!H494)</f>
        <v/>
      </c>
      <c r="H510" t="str">
        <f>IF(SEFAZ!L494="","",SEFAZ!L494)</f>
        <v/>
      </c>
      <c r="I510" t="str">
        <f>IF(SEFAZ!N494="","",SEFAZ!N494)</f>
        <v/>
      </c>
      <c r="J510" t="str">
        <f>IF(SEFAZ!O494="","",SEFAZ!O494)</f>
        <v/>
      </c>
      <c r="K510" s="11" t="str">
        <f>IF(SEFAZ!P494="","",SEFAZ!P494)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hidden="1" x14ac:dyDescent="0.3">
      <c r="B511" t="str">
        <f>IF(SEFAZ!A495="","",SEFAZ!A495)</f>
        <v/>
      </c>
      <c r="C511" t="str">
        <f>IF(SEFAZ!C495="","",SEFAZ!C495)</f>
        <v/>
      </c>
      <c r="D511" t="str">
        <f>IF(SEFAZ!D495="","",SEFAZ!D495)</f>
        <v/>
      </c>
      <c r="E511" s="7" t="str">
        <f>IF(SEFAZ!E495="","",SEFAZ!E495)</f>
        <v/>
      </c>
      <c r="F511" s="6" t="str">
        <f>IF(SEFAZ!F495="","",VALUE(SUBSTITUTE(SEFAZ!F495,"'","")))</f>
        <v/>
      </c>
      <c r="G511" t="str">
        <f>IF(SEFAZ!H495="","",SEFAZ!H495)</f>
        <v/>
      </c>
      <c r="H511" t="str">
        <f>IF(SEFAZ!L495="","",SEFAZ!L495)</f>
        <v/>
      </c>
      <c r="I511" t="str">
        <f>IF(SEFAZ!N495="","",SEFAZ!N495)</f>
        <v/>
      </c>
      <c r="J511" t="str">
        <f>IF(SEFAZ!O495="","",SEFAZ!O495)</f>
        <v/>
      </c>
      <c r="K511" s="11" t="str">
        <f>IF(SEFAZ!P495="","",SEFAZ!P495)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hidden="1" x14ac:dyDescent="0.3">
      <c r="B512" t="str">
        <f>IF(SEFAZ!A496="","",SEFAZ!A496)</f>
        <v/>
      </c>
      <c r="C512" t="str">
        <f>IF(SEFAZ!C496="","",SEFAZ!C496)</f>
        <v/>
      </c>
      <c r="D512" t="str">
        <f>IF(SEFAZ!D496="","",SEFAZ!D496)</f>
        <v/>
      </c>
      <c r="E512" s="7" t="str">
        <f>IF(SEFAZ!E496="","",SEFAZ!E496)</f>
        <v/>
      </c>
      <c r="F512" s="6" t="str">
        <f>IF(SEFAZ!F496="","",VALUE(SUBSTITUTE(SEFAZ!F496,"'","")))</f>
        <v/>
      </c>
      <c r="G512" t="str">
        <f>IF(SEFAZ!H496="","",SEFAZ!H496)</f>
        <v/>
      </c>
      <c r="H512" t="str">
        <f>IF(SEFAZ!L496="","",SEFAZ!L496)</f>
        <v/>
      </c>
      <c r="I512" t="str">
        <f>IF(SEFAZ!N496="","",SEFAZ!N496)</f>
        <v/>
      </c>
      <c r="J512" t="str">
        <f>IF(SEFAZ!O496="","",SEFAZ!O496)</f>
        <v/>
      </c>
      <c r="K512" s="11" t="str">
        <f>IF(SEFAZ!P496="","",SEFAZ!P496)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hidden="1" x14ac:dyDescent="0.3">
      <c r="B513" t="str">
        <f>IF(SEFAZ!A497="","",SEFAZ!A497)</f>
        <v/>
      </c>
      <c r="C513" t="str">
        <f>IF(SEFAZ!C497="","",SEFAZ!C497)</f>
        <v/>
      </c>
      <c r="D513" t="str">
        <f>IF(SEFAZ!D497="","",SEFAZ!D497)</f>
        <v/>
      </c>
      <c r="E513" s="7" t="str">
        <f>IF(SEFAZ!E497="","",SEFAZ!E497)</f>
        <v/>
      </c>
      <c r="F513" s="6" t="str">
        <f>IF(SEFAZ!F497="","",VALUE(SUBSTITUTE(SEFAZ!F497,"'","")))</f>
        <v/>
      </c>
      <c r="G513" t="str">
        <f>IF(SEFAZ!H497="","",SEFAZ!H497)</f>
        <v/>
      </c>
      <c r="H513" t="str">
        <f>IF(SEFAZ!L497="","",SEFAZ!L497)</f>
        <v/>
      </c>
      <c r="I513" t="str">
        <f>IF(SEFAZ!N497="","",SEFAZ!N497)</f>
        <v/>
      </c>
      <c r="J513" t="str">
        <f>IF(SEFAZ!O497="","",SEFAZ!O497)</f>
        <v/>
      </c>
      <c r="K513" s="11" t="str">
        <f>IF(SEFAZ!P497="","",SEFAZ!P497)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hidden="1" x14ac:dyDescent="0.3">
      <c r="B514" t="str">
        <f>IF(SEFAZ!A498="","",SEFAZ!A498)</f>
        <v/>
      </c>
      <c r="C514" t="str">
        <f>IF(SEFAZ!C498="","",SEFAZ!C498)</f>
        <v/>
      </c>
      <c r="D514" t="str">
        <f>IF(SEFAZ!D498="","",SEFAZ!D498)</f>
        <v/>
      </c>
      <c r="E514" s="7" t="str">
        <f>IF(SEFAZ!E498="","",SEFAZ!E498)</f>
        <v/>
      </c>
      <c r="F514" s="6" t="str">
        <f>IF(SEFAZ!F498="","",VALUE(SUBSTITUTE(SEFAZ!F498,"'","")))</f>
        <v/>
      </c>
      <c r="G514" t="str">
        <f>IF(SEFAZ!H498="","",SEFAZ!H498)</f>
        <v/>
      </c>
      <c r="H514" t="str">
        <f>IF(SEFAZ!L498="","",SEFAZ!L498)</f>
        <v/>
      </c>
      <c r="I514" t="str">
        <f>IF(SEFAZ!N498="","",SEFAZ!N498)</f>
        <v/>
      </c>
      <c r="J514" t="str">
        <f>IF(SEFAZ!O498="","",SEFAZ!O498)</f>
        <v/>
      </c>
      <c r="K514" s="11" t="str">
        <f>IF(SEFAZ!P498="","",SEFAZ!P498)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hidden="1" x14ac:dyDescent="0.3">
      <c r="B515" t="str">
        <f>IF(SEFAZ!A499="","",SEFAZ!A499)</f>
        <v/>
      </c>
      <c r="C515" t="str">
        <f>IF(SEFAZ!C499="","",SEFAZ!C499)</f>
        <v/>
      </c>
      <c r="D515" t="str">
        <f>IF(SEFAZ!D499="","",SEFAZ!D499)</f>
        <v/>
      </c>
      <c r="E515" s="7" t="str">
        <f>IF(SEFAZ!E499="","",SEFAZ!E499)</f>
        <v/>
      </c>
      <c r="F515" s="6" t="str">
        <f>IF(SEFAZ!F499="","",VALUE(SUBSTITUTE(SEFAZ!F499,"'","")))</f>
        <v/>
      </c>
      <c r="G515" t="str">
        <f>IF(SEFAZ!H499="","",SEFAZ!H499)</f>
        <v/>
      </c>
      <c r="H515" t="str">
        <f>IF(SEFAZ!L499="","",SEFAZ!L499)</f>
        <v/>
      </c>
      <c r="I515" t="str">
        <f>IF(SEFAZ!N499="","",SEFAZ!N499)</f>
        <v/>
      </c>
      <c r="J515" t="str">
        <f>IF(SEFAZ!O499="","",SEFAZ!O499)</f>
        <v/>
      </c>
      <c r="K515" s="11" t="str">
        <f>IF(SEFAZ!P499="","",SEFAZ!P499)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hidden="1" x14ac:dyDescent="0.3">
      <c r="B516" t="str">
        <f>IF(SEFAZ!A500="","",SEFAZ!A500)</f>
        <v/>
      </c>
      <c r="C516" t="str">
        <f>IF(SEFAZ!C500="","",SEFAZ!C500)</f>
        <v/>
      </c>
      <c r="D516" t="str">
        <f>IF(SEFAZ!D500="","",SEFAZ!D500)</f>
        <v/>
      </c>
      <c r="E516" s="7" t="str">
        <f>IF(SEFAZ!E500="","",SEFAZ!E500)</f>
        <v/>
      </c>
      <c r="F516" s="6" t="str">
        <f>IF(SEFAZ!F500="","",VALUE(SUBSTITUTE(SEFAZ!F500,"'","")))</f>
        <v/>
      </c>
      <c r="G516" t="str">
        <f>IF(SEFAZ!H500="","",SEFAZ!H500)</f>
        <v/>
      </c>
      <c r="H516" t="str">
        <f>IF(SEFAZ!L500="","",SEFAZ!L500)</f>
        <v/>
      </c>
      <c r="I516" t="str">
        <f>IF(SEFAZ!N500="","",SEFAZ!N500)</f>
        <v/>
      </c>
      <c r="J516" t="str">
        <f>IF(SEFAZ!O500="","",SEFAZ!O500)</f>
        <v/>
      </c>
      <c r="K516" s="11" t="str">
        <f>IF(SEFAZ!P500="","",SEFAZ!P500)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hidden="1" x14ac:dyDescent="0.3">
      <c r="B517" t="str">
        <f>IF(SEFAZ!A501="","",SEFAZ!A501)</f>
        <v/>
      </c>
      <c r="C517" t="str">
        <f>IF(SEFAZ!C501="","",SEFAZ!C501)</f>
        <v/>
      </c>
      <c r="D517" t="str">
        <f>IF(SEFAZ!D501="","",SEFAZ!D501)</f>
        <v/>
      </c>
      <c r="E517" s="7" t="str">
        <f>IF(SEFAZ!E501="","",SEFAZ!E501)</f>
        <v/>
      </c>
      <c r="F517" s="6" t="str">
        <f>IF(SEFAZ!F501="","",VALUE(SUBSTITUTE(SEFAZ!F501,"'","")))</f>
        <v/>
      </c>
      <c r="G517" t="str">
        <f>IF(SEFAZ!H501="","",SEFAZ!H501)</f>
        <v/>
      </c>
      <c r="H517" t="str">
        <f>IF(SEFAZ!L501="","",SEFAZ!L501)</f>
        <v/>
      </c>
      <c r="I517" t="str">
        <f>IF(SEFAZ!N501="","",SEFAZ!N501)</f>
        <v/>
      </c>
      <c r="J517" t="str">
        <f>IF(SEFAZ!O501="","",SEFAZ!O501)</f>
        <v/>
      </c>
      <c r="K517" s="11" t="str">
        <f>IF(SEFAZ!P501="","",SEFAZ!P501)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hidden="1" x14ac:dyDescent="0.3">
      <c r="B518" t="str">
        <f>IF(SEFAZ!A502="","",SEFAZ!A502)</f>
        <v/>
      </c>
      <c r="C518" t="str">
        <f>IF(SEFAZ!C502="","",SEFAZ!C502)</f>
        <v/>
      </c>
      <c r="D518" t="str">
        <f>IF(SEFAZ!D502="","",SEFAZ!D502)</f>
        <v/>
      </c>
      <c r="E518" s="7" t="str">
        <f>IF(SEFAZ!E502="","",SEFAZ!E502)</f>
        <v/>
      </c>
      <c r="F518" s="6" t="str">
        <f>IF(SEFAZ!F502="","",VALUE(SUBSTITUTE(SEFAZ!F502,"'","")))</f>
        <v/>
      </c>
      <c r="G518" t="str">
        <f>IF(SEFAZ!H502="","",SEFAZ!H502)</f>
        <v/>
      </c>
      <c r="H518" t="str">
        <f>IF(SEFAZ!L502="","",SEFAZ!L502)</f>
        <v/>
      </c>
      <c r="I518" t="str">
        <f>IF(SEFAZ!N502="","",SEFAZ!N502)</f>
        <v/>
      </c>
      <c r="J518" t="str">
        <f>IF(SEFAZ!O502="","",SEFAZ!O502)</f>
        <v/>
      </c>
      <c r="K518" s="11" t="str">
        <f>IF(SEFAZ!P502="","",SEFAZ!P502)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hidden="1" x14ac:dyDescent="0.3">
      <c r="B519" t="str">
        <f>IF(SEFAZ!A503="","",SEFAZ!A503)</f>
        <v/>
      </c>
      <c r="C519" t="str">
        <f>IF(SEFAZ!C503="","",SEFAZ!C503)</f>
        <v/>
      </c>
      <c r="D519" t="str">
        <f>IF(SEFAZ!D503="","",SEFAZ!D503)</f>
        <v/>
      </c>
      <c r="E519" s="7" t="str">
        <f>IF(SEFAZ!E503="","",SEFAZ!E503)</f>
        <v/>
      </c>
      <c r="F519" s="6" t="str">
        <f>IF(SEFAZ!F503="","",VALUE(SUBSTITUTE(SEFAZ!F503,"'","")))</f>
        <v/>
      </c>
      <c r="G519" t="str">
        <f>IF(SEFAZ!H503="","",SEFAZ!H503)</f>
        <v/>
      </c>
      <c r="H519" t="str">
        <f>IF(SEFAZ!L503="","",SEFAZ!L503)</f>
        <v/>
      </c>
      <c r="I519" t="str">
        <f>IF(SEFAZ!N503="","",SEFAZ!N503)</f>
        <v/>
      </c>
      <c r="J519" t="str">
        <f>IF(SEFAZ!O503="","",SEFAZ!O503)</f>
        <v/>
      </c>
      <c r="K519" s="11" t="str">
        <f>IF(SEFAZ!P503="","",SEFAZ!P503)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hidden="1" x14ac:dyDescent="0.3">
      <c r="B520" t="str">
        <f>IF(SEFAZ!A504="","",SEFAZ!A504)</f>
        <v/>
      </c>
      <c r="C520" t="str">
        <f>IF(SEFAZ!C504="","",SEFAZ!C504)</f>
        <v/>
      </c>
      <c r="D520" t="str">
        <f>IF(SEFAZ!D504="","",SEFAZ!D504)</f>
        <v/>
      </c>
      <c r="E520" s="7" t="str">
        <f>IF(SEFAZ!E504="","",SEFAZ!E504)</f>
        <v/>
      </c>
      <c r="F520" s="6" t="str">
        <f>IF(SEFAZ!F504="","",VALUE(SUBSTITUTE(SEFAZ!F504,"'","")))</f>
        <v/>
      </c>
      <c r="G520" t="str">
        <f>IF(SEFAZ!H504="","",SEFAZ!H504)</f>
        <v/>
      </c>
      <c r="H520" t="str">
        <f>IF(SEFAZ!L504="","",SEFAZ!L504)</f>
        <v/>
      </c>
      <c r="I520" t="str">
        <f>IF(SEFAZ!N504="","",SEFAZ!N504)</f>
        <v/>
      </c>
      <c r="J520" t="str">
        <f>IF(SEFAZ!O504="","",SEFAZ!O504)</f>
        <v/>
      </c>
      <c r="K520" s="11" t="str">
        <f>IF(SEFAZ!P504="","",SEFAZ!P504)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hidden="1" x14ac:dyDescent="0.3">
      <c r="B521" t="str">
        <f>IF(SEFAZ!A505="","",SEFAZ!A505)</f>
        <v/>
      </c>
      <c r="C521" t="str">
        <f>IF(SEFAZ!C505="","",SEFAZ!C505)</f>
        <v/>
      </c>
      <c r="D521" t="str">
        <f>IF(SEFAZ!D505="","",SEFAZ!D505)</f>
        <v/>
      </c>
      <c r="E521" s="7" t="str">
        <f>IF(SEFAZ!E505="","",SEFAZ!E505)</f>
        <v/>
      </c>
      <c r="F521" s="6" t="str">
        <f>IF(SEFAZ!F505="","",VALUE(SUBSTITUTE(SEFAZ!F505,"'","")))</f>
        <v/>
      </c>
      <c r="G521" t="str">
        <f>IF(SEFAZ!H505="","",SEFAZ!H505)</f>
        <v/>
      </c>
      <c r="H521" t="str">
        <f>IF(SEFAZ!L505="","",SEFAZ!L505)</f>
        <v/>
      </c>
      <c r="I521" t="str">
        <f>IF(SEFAZ!N505="","",SEFAZ!N505)</f>
        <v/>
      </c>
      <c r="J521" t="str">
        <f>IF(SEFAZ!O505="","",SEFAZ!O505)</f>
        <v/>
      </c>
      <c r="K521" s="11" t="str">
        <f>IF(SEFAZ!P505="","",SEFAZ!P505)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hidden="1" x14ac:dyDescent="0.3">
      <c r="B522" t="str">
        <f>IF(SEFAZ!A506="","",SEFAZ!A506)</f>
        <v/>
      </c>
      <c r="C522" t="str">
        <f>IF(SEFAZ!C506="","",SEFAZ!C506)</f>
        <v/>
      </c>
      <c r="D522" t="str">
        <f>IF(SEFAZ!D506="","",SEFAZ!D506)</f>
        <v/>
      </c>
      <c r="E522" s="7" t="str">
        <f>IF(SEFAZ!E506="","",SEFAZ!E506)</f>
        <v/>
      </c>
      <c r="F522" s="6" t="str">
        <f>IF(SEFAZ!F506="","",VALUE(SUBSTITUTE(SEFAZ!F506,"'","")))</f>
        <v/>
      </c>
      <c r="G522" t="str">
        <f>IF(SEFAZ!H506="","",SEFAZ!H506)</f>
        <v/>
      </c>
      <c r="H522" t="str">
        <f>IF(SEFAZ!L506="","",SEFAZ!L506)</f>
        <v/>
      </c>
      <c r="I522" t="str">
        <f>IF(SEFAZ!N506="","",SEFAZ!N506)</f>
        <v/>
      </c>
      <c r="J522" t="str">
        <f>IF(SEFAZ!O506="","",SEFAZ!O506)</f>
        <v/>
      </c>
      <c r="K522" s="11" t="str">
        <f>IF(SEFAZ!P506="","",SEFAZ!P506)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hidden="1" x14ac:dyDescent="0.3">
      <c r="B523" t="str">
        <f>IF(SEFAZ!A507="","",SEFAZ!A507)</f>
        <v/>
      </c>
      <c r="C523" t="str">
        <f>IF(SEFAZ!C507="","",SEFAZ!C507)</f>
        <v/>
      </c>
      <c r="D523" t="str">
        <f>IF(SEFAZ!D507="","",SEFAZ!D507)</f>
        <v/>
      </c>
      <c r="E523" s="7" t="str">
        <f>IF(SEFAZ!E507="","",SEFAZ!E507)</f>
        <v/>
      </c>
      <c r="F523" s="6" t="str">
        <f>IF(SEFAZ!F507="","",VALUE(SUBSTITUTE(SEFAZ!F507,"'","")))</f>
        <v/>
      </c>
      <c r="G523" t="str">
        <f>IF(SEFAZ!H507="","",SEFAZ!H507)</f>
        <v/>
      </c>
      <c r="H523" t="str">
        <f>IF(SEFAZ!L507="","",SEFAZ!L507)</f>
        <v/>
      </c>
      <c r="I523" t="str">
        <f>IF(SEFAZ!N507="","",SEFAZ!N507)</f>
        <v/>
      </c>
      <c r="J523" t="str">
        <f>IF(SEFAZ!O507="","",SEFAZ!O507)</f>
        <v/>
      </c>
      <c r="K523" s="11" t="str">
        <f>IF(SEFAZ!P507="","",SEFAZ!P507)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hidden="1" x14ac:dyDescent="0.3">
      <c r="B524" t="str">
        <f>IF(SEFAZ!A508="","",SEFAZ!A508)</f>
        <v/>
      </c>
      <c r="C524" t="str">
        <f>IF(SEFAZ!C508="","",SEFAZ!C508)</f>
        <v/>
      </c>
      <c r="D524" t="str">
        <f>IF(SEFAZ!D508="","",SEFAZ!D508)</f>
        <v/>
      </c>
      <c r="E524" s="7" t="str">
        <f>IF(SEFAZ!E508="","",SEFAZ!E508)</f>
        <v/>
      </c>
      <c r="F524" s="6" t="str">
        <f>IF(SEFAZ!F508="","",VALUE(SUBSTITUTE(SEFAZ!F508,"'","")))</f>
        <v/>
      </c>
      <c r="G524" t="str">
        <f>IF(SEFAZ!H508="","",SEFAZ!H508)</f>
        <v/>
      </c>
      <c r="H524" t="str">
        <f>IF(SEFAZ!L508="","",SEFAZ!L508)</f>
        <v/>
      </c>
      <c r="I524" t="str">
        <f>IF(SEFAZ!N508="","",SEFAZ!N508)</f>
        <v/>
      </c>
      <c r="J524" t="str">
        <f>IF(SEFAZ!O508="","",SEFAZ!O508)</f>
        <v/>
      </c>
      <c r="K524" s="11" t="str">
        <f>IF(SEFAZ!P508="","",SEFAZ!P508)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hidden="1" x14ac:dyDescent="0.3">
      <c r="B525" t="str">
        <f>IF(SEFAZ!A509="","",SEFAZ!A509)</f>
        <v/>
      </c>
      <c r="C525" t="str">
        <f>IF(SEFAZ!C509="","",SEFAZ!C509)</f>
        <v/>
      </c>
      <c r="D525" t="str">
        <f>IF(SEFAZ!D509="","",SEFAZ!D509)</f>
        <v/>
      </c>
      <c r="E525" s="7" t="str">
        <f>IF(SEFAZ!E509="","",SEFAZ!E509)</f>
        <v/>
      </c>
      <c r="F525" s="6" t="str">
        <f>IF(SEFAZ!F509="","",VALUE(SUBSTITUTE(SEFAZ!F509,"'","")))</f>
        <v/>
      </c>
      <c r="G525" t="str">
        <f>IF(SEFAZ!H509="","",SEFAZ!H509)</f>
        <v/>
      </c>
      <c r="H525" t="str">
        <f>IF(SEFAZ!L509="","",SEFAZ!L509)</f>
        <v/>
      </c>
      <c r="I525" t="str">
        <f>IF(SEFAZ!N509="","",SEFAZ!N509)</f>
        <v/>
      </c>
      <c r="J525" t="str">
        <f>IF(SEFAZ!O509="","",SEFAZ!O509)</f>
        <v/>
      </c>
      <c r="K525" s="11" t="str">
        <f>IF(SEFAZ!P509="","",SEFAZ!P509)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hidden="1" x14ac:dyDescent="0.3">
      <c r="B526" t="str">
        <f>IF(SEFAZ!A510="","",SEFAZ!A510)</f>
        <v/>
      </c>
      <c r="C526" t="str">
        <f>IF(SEFAZ!C510="","",SEFAZ!C510)</f>
        <v/>
      </c>
      <c r="D526" t="str">
        <f>IF(SEFAZ!D510="","",SEFAZ!D510)</f>
        <v/>
      </c>
      <c r="E526" s="7" t="str">
        <f>IF(SEFAZ!E510="","",SEFAZ!E510)</f>
        <v/>
      </c>
      <c r="F526" s="6" t="str">
        <f>IF(SEFAZ!F510="","",VALUE(SUBSTITUTE(SEFAZ!F510,"'","")))</f>
        <v/>
      </c>
      <c r="G526" t="str">
        <f>IF(SEFAZ!H510="","",SEFAZ!H510)</f>
        <v/>
      </c>
      <c r="H526" t="str">
        <f>IF(SEFAZ!L510="","",SEFAZ!L510)</f>
        <v/>
      </c>
      <c r="I526" t="str">
        <f>IF(SEFAZ!N510="","",SEFAZ!N510)</f>
        <v/>
      </c>
      <c r="J526" t="str">
        <f>IF(SEFAZ!O510="","",SEFAZ!O510)</f>
        <v/>
      </c>
      <c r="K526" s="11" t="str">
        <f>IF(SEFAZ!P510="","",SEFAZ!P510)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hidden="1" x14ac:dyDescent="0.3">
      <c r="B527" t="str">
        <f>IF(SEFAZ!A511="","",SEFAZ!A511)</f>
        <v/>
      </c>
      <c r="C527" t="str">
        <f>IF(SEFAZ!C511="","",SEFAZ!C511)</f>
        <v/>
      </c>
      <c r="D527" t="str">
        <f>IF(SEFAZ!D511="","",SEFAZ!D511)</f>
        <v/>
      </c>
      <c r="E527" s="7" t="str">
        <f>IF(SEFAZ!E511="","",SEFAZ!E511)</f>
        <v/>
      </c>
      <c r="F527" s="6" t="str">
        <f>IF(SEFAZ!F511="","",VALUE(SUBSTITUTE(SEFAZ!F511,"'","")))</f>
        <v/>
      </c>
      <c r="G527" t="str">
        <f>IF(SEFAZ!H511="","",SEFAZ!H511)</f>
        <v/>
      </c>
      <c r="H527" t="str">
        <f>IF(SEFAZ!L511="","",SEFAZ!L511)</f>
        <v/>
      </c>
      <c r="I527" t="str">
        <f>IF(SEFAZ!N511="","",SEFAZ!N511)</f>
        <v/>
      </c>
      <c r="J527" t="str">
        <f>IF(SEFAZ!O511="","",SEFAZ!O511)</f>
        <v/>
      </c>
      <c r="K527" s="11" t="str">
        <f>IF(SEFAZ!P511="","",SEFAZ!P511)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hidden="1" x14ac:dyDescent="0.3">
      <c r="B528" t="str">
        <f>IF(SEFAZ!A512="","",SEFAZ!A512)</f>
        <v/>
      </c>
      <c r="C528" t="str">
        <f>IF(SEFAZ!C512="","",SEFAZ!C512)</f>
        <v/>
      </c>
      <c r="D528" t="str">
        <f>IF(SEFAZ!D512="","",SEFAZ!D512)</f>
        <v/>
      </c>
      <c r="E528" s="7" t="str">
        <f>IF(SEFAZ!E512="","",SEFAZ!E512)</f>
        <v/>
      </c>
      <c r="F528" s="6" t="str">
        <f>IF(SEFAZ!F512="","",VALUE(SUBSTITUTE(SEFAZ!F512,"'","")))</f>
        <v/>
      </c>
      <c r="G528" t="str">
        <f>IF(SEFAZ!H512="","",SEFAZ!H512)</f>
        <v/>
      </c>
      <c r="H528" t="str">
        <f>IF(SEFAZ!L512="","",SEFAZ!L512)</f>
        <v/>
      </c>
      <c r="I528" t="str">
        <f>IF(SEFAZ!N512="","",SEFAZ!N512)</f>
        <v/>
      </c>
      <c r="J528" t="str">
        <f>IF(SEFAZ!O512="","",SEFAZ!O512)</f>
        <v/>
      </c>
      <c r="K528" s="11" t="str">
        <f>IF(SEFAZ!P512="","",SEFAZ!P512)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hidden="1" x14ac:dyDescent="0.3">
      <c r="B529" t="str">
        <f>IF(SEFAZ!A513="","",SEFAZ!A513)</f>
        <v/>
      </c>
      <c r="C529" t="str">
        <f>IF(SEFAZ!C513="","",SEFAZ!C513)</f>
        <v/>
      </c>
      <c r="D529" t="str">
        <f>IF(SEFAZ!D513="","",SEFAZ!D513)</f>
        <v/>
      </c>
      <c r="E529" s="7" t="str">
        <f>IF(SEFAZ!E513="","",SEFAZ!E513)</f>
        <v/>
      </c>
      <c r="F529" s="6" t="str">
        <f>IF(SEFAZ!F513="","",VALUE(SUBSTITUTE(SEFAZ!F513,"'","")))</f>
        <v/>
      </c>
      <c r="G529" t="str">
        <f>IF(SEFAZ!H513="","",SEFAZ!H513)</f>
        <v/>
      </c>
      <c r="H529" t="str">
        <f>IF(SEFAZ!L513="","",SEFAZ!L513)</f>
        <v/>
      </c>
      <c r="I529" t="str">
        <f>IF(SEFAZ!N513="","",SEFAZ!N513)</f>
        <v/>
      </c>
      <c r="J529" t="str">
        <f>IF(SEFAZ!O513="","",SEFAZ!O513)</f>
        <v/>
      </c>
      <c r="K529" s="11" t="str">
        <f>IF(SEFAZ!P513="","",SEFAZ!P513)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hidden="1" x14ac:dyDescent="0.3">
      <c r="B530" t="str">
        <f>IF(SEFAZ!A514="","",SEFAZ!A514)</f>
        <v/>
      </c>
      <c r="C530" t="str">
        <f>IF(SEFAZ!C514="","",SEFAZ!C514)</f>
        <v/>
      </c>
      <c r="D530" t="str">
        <f>IF(SEFAZ!D514="","",SEFAZ!D514)</f>
        <v/>
      </c>
      <c r="E530" s="7" t="str">
        <f>IF(SEFAZ!E514="","",SEFAZ!E514)</f>
        <v/>
      </c>
      <c r="F530" s="6" t="str">
        <f>IF(SEFAZ!F514="","",VALUE(SUBSTITUTE(SEFAZ!F514,"'","")))</f>
        <v/>
      </c>
      <c r="G530" t="str">
        <f>IF(SEFAZ!H514="","",SEFAZ!H514)</f>
        <v/>
      </c>
      <c r="H530" t="str">
        <f>IF(SEFAZ!L514="","",SEFAZ!L514)</f>
        <v/>
      </c>
      <c r="I530" t="str">
        <f>IF(SEFAZ!N514="","",SEFAZ!N514)</f>
        <v/>
      </c>
      <c r="J530" t="str">
        <f>IF(SEFAZ!O514="","",SEFAZ!O514)</f>
        <v/>
      </c>
      <c r="K530" s="11" t="str">
        <f>IF(SEFAZ!P514="","",SEFAZ!P514)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hidden="1" x14ac:dyDescent="0.3">
      <c r="B531" t="str">
        <f>IF(SEFAZ!A515="","",SEFAZ!A515)</f>
        <v/>
      </c>
      <c r="C531" t="str">
        <f>IF(SEFAZ!C515="","",SEFAZ!C515)</f>
        <v/>
      </c>
      <c r="D531" t="str">
        <f>IF(SEFAZ!D515="","",SEFAZ!D515)</f>
        <v/>
      </c>
      <c r="E531" s="7" t="str">
        <f>IF(SEFAZ!E515="","",SEFAZ!E515)</f>
        <v/>
      </c>
      <c r="F531" s="6" t="str">
        <f>IF(SEFAZ!F515="","",VALUE(SUBSTITUTE(SEFAZ!F515,"'","")))</f>
        <v/>
      </c>
      <c r="G531" t="str">
        <f>IF(SEFAZ!H515="","",SEFAZ!H515)</f>
        <v/>
      </c>
      <c r="H531" t="str">
        <f>IF(SEFAZ!L515="","",SEFAZ!L515)</f>
        <v/>
      </c>
      <c r="I531" t="str">
        <f>IF(SEFAZ!N515="","",SEFAZ!N515)</f>
        <v/>
      </c>
      <c r="J531" t="str">
        <f>IF(SEFAZ!O515="","",SEFAZ!O515)</f>
        <v/>
      </c>
      <c r="K531" s="11" t="str">
        <f>IF(SEFAZ!P515="","",SEFAZ!P515)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hidden="1" x14ac:dyDescent="0.3">
      <c r="B532" t="str">
        <f>IF(SEFAZ!A516="","",SEFAZ!A516)</f>
        <v/>
      </c>
      <c r="C532" t="str">
        <f>IF(SEFAZ!C516="","",SEFAZ!C516)</f>
        <v/>
      </c>
      <c r="D532" t="str">
        <f>IF(SEFAZ!D516="","",SEFAZ!D516)</f>
        <v/>
      </c>
      <c r="E532" s="7" t="str">
        <f>IF(SEFAZ!E516="","",SEFAZ!E516)</f>
        <v/>
      </c>
      <c r="F532" s="6" t="str">
        <f>IF(SEFAZ!F516="","",VALUE(SUBSTITUTE(SEFAZ!F516,"'","")))</f>
        <v/>
      </c>
      <c r="G532" t="str">
        <f>IF(SEFAZ!H516="","",SEFAZ!H516)</f>
        <v/>
      </c>
      <c r="H532" t="str">
        <f>IF(SEFAZ!L516="","",SEFAZ!L516)</f>
        <v/>
      </c>
      <c r="I532" t="str">
        <f>IF(SEFAZ!N516="","",SEFAZ!N516)</f>
        <v/>
      </c>
      <c r="J532" t="str">
        <f>IF(SEFAZ!O516="","",SEFAZ!O516)</f>
        <v/>
      </c>
      <c r="K532" s="11" t="str">
        <f>IF(SEFAZ!P516="","",SEFAZ!P516)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hidden="1" x14ac:dyDescent="0.3">
      <c r="B533" t="str">
        <f>IF(SEFAZ!A517="","",SEFAZ!A517)</f>
        <v/>
      </c>
      <c r="C533" t="str">
        <f>IF(SEFAZ!C517="","",SEFAZ!C517)</f>
        <v/>
      </c>
      <c r="D533" t="str">
        <f>IF(SEFAZ!D517="","",SEFAZ!D517)</f>
        <v/>
      </c>
      <c r="E533" s="7" t="str">
        <f>IF(SEFAZ!E517="","",SEFAZ!E517)</f>
        <v/>
      </c>
      <c r="F533" s="6" t="str">
        <f>IF(SEFAZ!F517="","",VALUE(SUBSTITUTE(SEFAZ!F517,"'","")))</f>
        <v/>
      </c>
      <c r="G533" t="str">
        <f>IF(SEFAZ!H517="","",SEFAZ!H517)</f>
        <v/>
      </c>
      <c r="H533" t="str">
        <f>IF(SEFAZ!L517="","",SEFAZ!L517)</f>
        <v/>
      </c>
      <c r="I533" t="str">
        <f>IF(SEFAZ!N517="","",SEFAZ!N517)</f>
        <v/>
      </c>
      <c r="J533" t="str">
        <f>IF(SEFAZ!O517="","",SEFAZ!O517)</f>
        <v/>
      </c>
      <c r="K533" s="11" t="str">
        <f>IF(SEFAZ!P517="","",SEFAZ!P517)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hidden="1" x14ac:dyDescent="0.3">
      <c r="B534" t="str">
        <f>IF(SEFAZ!A518="","",SEFAZ!A518)</f>
        <v/>
      </c>
      <c r="C534" t="str">
        <f>IF(SEFAZ!C518="","",SEFAZ!C518)</f>
        <v/>
      </c>
      <c r="D534" t="str">
        <f>IF(SEFAZ!D518="","",SEFAZ!D518)</f>
        <v/>
      </c>
      <c r="E534" s="7" t="str">
        <f>IF(SEFAZ!E518="","",SEFAZ!E518)</f>
        <v/>
      </c>
      <c r="F534" s="6" t="str">
        <f>IF(SEFAZ!F518="","",VALUE(SUBSTITUTE(SEFAZ!F518,"'","")))</f>
        <v/>
      </c>
      <c r="G534" t="str">
        <f>IF(SEFAZ!H518="","",SEFAZ!H518)</f>
        <v/>
      </c>
      <c r="H534" t="str">
        <f>IF(SEFAZ!L518="","",SEFAZ!L518)</f>
        <v/>
      </c>
      <c r="I534" t="str">
        <f>IF(SEFAZ!N518="","",SEFAZ!N518)</f>
        <v/>
      </c>
      <c r="J534" t="str">
        <f>IF(SEFAZ!O518="","",SEFAZ!O518)</f>
        <v/>
      </c>
      <c r="K534" s="11" t="str">
        <f>IF(SEFAZ!P518="","",SEFAZ!P518)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hidden="1" x14ac:dyDescent="0.3">
      <c r="B535" t="str">
        <f>IF(SEFAZ!A519="","",SEFAZ!A519)</f>
        <v/>
      </c>
      <c r="C535" t="str">
        <f>IF(SEFAZ!C519="","",SEFAZ!C519)</f>
        <v/>
      </c>
      <c r="D535" t="str">
        <f>IF(SEFAZ!D519="","",SEFAZ!D519)</f>
        <v/>
      </c>
      <c r="E535" s="7" t="str">
        <f>IF(SEFAZ!E519="","",SEFAZ!E519)</f>
        <v/>
      </c>
      <c r="F535" s="6" t="str">
        <f>IF(SEFAZ!F519="","",VALUE(SUBSTITUTE(SEFAZ!F519,"'","")))</f>
        <v/>
      </c>
      <c r="G535" t="str">
        <f>IF(SEFAZ!H519="","",SEFAZ!H519)</f>
        <v/>
      </c>
      <c r="H535" t="str">
        <f>IF(SEFAZ!L519="","",SEFAZ!L519)</f>
        <v/>
      </c>
      <c r="I535" t="str">
        <f>IF(SEFAZ!N519="","",SEFAZ!N519)</f>
        <v/>
      </c>
      <c r="J535" t="str">
        <f>IF(SEFAZ!O519="","",SEFAZ!O519)</f>
        <v/>
      </c>
      <c r="K535" s="11" t="str">
        <f>IF(SEFAZ!P519="","",SEFAZ!P519)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hidden="1" x14ac:dyDescent="0.3">
      <c r="B536" t="str">
        <f>IF(SEFAZ!A520="","",SEFAZ!A520)</f>
        <v/>
      </c>
      <c r="C536" t="str">
        <f>IF(SEFAZ!C520="","",SEFAZ!C520)</f>
        <v/>
      </c>
      <c r="D536" t="str">
        <f>IF(SEFAZ!D520="","",SEFAZ!D520)</f>
        <v/>
      </c>
      <c r="E536" s="7" t="str">
        <f>IF(SEFAZ!E520="","",SEFAZ!E520)</f>
        <v/>
      </c>
      <c r="F536" s="6" t="str">
        <f>IF(SEFAZ!F520="","",VALUE(SUBSTITUTE(SEFAZ!F520,"'","")))</f>
        <v/>
      </c>
      <c r="G536" t="str">
        <f>IF(SEFAZ!H520="","",SEFAZ!H520)</f>
        <v/>
      </c>
      <c r="H536" t="str">
        <f>IF(SEFAZ!L520="","",SEFAZ!L520)</f>
        <v/>
      </c>
      <c r="I536" t="str">
        <f>IF(SEFAZ!N520="","",SEFAZ!N520)</f>
        <v/>
      </c>
      <c r="J536" t="str">
        <f>IF(SEFAZ!O520="","",SEFAZ!O520)</f>
        <v/>
      </c>
      <c r="K536" s="11" t="str">
        <f>IF(SEFAZ!P520="","",SEFAZ!P520)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hidden="1" x14ac:dyDescent="0.3">
      <c r="B537" t="str">
        <f>IF(SEFAZ!A521="","",SEFAZ!A521)</f>
        <v/>
      </c>
      <c r="C537" t="str">
        <f>IF(SEFAZ!C521="","",SEFAZ!C521)</f>
        <v/>
      </c>
      <c r="D537" t="str">
        <f>IF(SEFAZ!D521="","",SEFAZ!D521)</f>
        <v/>
      </c>
      <c r="E537" s="7" t="str">
        <f>IF(SEFAZ!E521="","",SEFAZ!E521)</f>
        <v/>
      </c>
      <c r="F537" s="6" t="str">
        <f>IF(SEFAZ!F521="","",VALUE(SUBSTITUTE(SEFAZ!F521,"'","")))</f>
        <v/>
      </c>
      <c r="G537" t="str">
        <f>IF(SEFAZ!H521="","",SEFAZ!H521)</f>
        <v/>
      </c>
      <c r="H537" t="str">
        <f>IF(SEFAZ!L521="","",SEFAZ!L521)</f>
        <v/>
      </c>
      <c r="I537" t="str">
        <f>IF(SEFAZ!N521="","",SEFAZ!N521)</f>
        <v/>
      </c>
      <c r="J537" t="str">
        <f>IF(SEFAZ!O521="","",SEFAZ!O521)</f>
        <v/>
      </c>
      <c r="K537" s="11" t="str">
        <f>IF(SEFAZ!P521="","",SEFAZ!P521)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hidden="1" x14ac:dyDescent="0.3">
      <c r="B538" t="str">
        <f>IF(SEFAZ!A522="","",SEFAZ!A522)</f>
        <v/>
      </c>
      <c r="C538" t="str">
        <f>IF(SEFAZ!C522="","",SEFAZ!C522)</f>
        <v/>
      </c>
      <c r="D538" t="str">
        <f>IF(SEFAZ!D522="","",SEFAZ!D522)</f>
        <v/>
      </c>
      <c r="E538" s="7" t="str">
        <f>IF(SEFAZ!E522="","",SEFAZ!E522)</f>
        <v/>
      </c>
      <c r="F538" s="6" t="str">
        <f>IF(SEFAZ!F522="","",VALUE(SUBSTITUTE(SEFAZ!F522,"'","")))</f>
        <v/>
      </c>
      <c r="G538" t="str">
        <f>IF(SEFAZ!H522="","",SEFAZ!H522)</f>
        <v/>
      </c>
      <c r="H538" t="str">
        <f>IF(SEFAZ!L522="","",SEFAZ!L522)</f>
        <v/>
      </c>
      <c r="I538" t="str">
        <f>IF(SEFAZ!N522="","",SEFAZ!N522)</f>
        <v/>
      </c>
      <c r="J538" t="str">
        <f>IF(SEFAZ!O522="","",SEFAZ!O522)</f>
        <v/>
      </c>
      <c r="K538" s="11" t="str">
        <f>IF(SEFAZ!P522="","",SEFAZ!P522)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hidden="1" x14ac:dyDescent="0.3">
      <c r="B539" t="str">
        <f>IF(SEFAZ!A523="","",SEFAZ!A523)</f>
        <v/>
      </c>
      <c r="C539" t="str">
        <f>IF(SEFAZ!C523="","",SEFAZ!C523)</f>
        <v/>
      </c>
      <c r="D539" t="str">
        <f>IF(SEFAZ!D523="","",SEFAZ!D523)</f>
        <v/>
      </c>
      <c r="E539" s="7" t="str">
        <f>IF(SEFAZ!E523="","",SEFAZ!E523)</f>
        <v/>
      </c>
      <c r="F539" s="6" t="str">
        <f>IF(SEFAZ!F523="","",VALUE(SUBSTITUTE(SEFAZ!F523,"'","")))</f>
        <v/>
      </c>
      <c r="G539" t="str">
        <f>IF(SEFAZ!H523="","",SEFAZ!H523)</f>
        <v/>
      </c>
      <c r="H539" t="str">
        <f>IF(SEFAZ!L523="","",SEFAZ!L523)</f>
        <v/>
      </c>
      <c r="I539" t="str">
        <f>IF(SEFAZ!N523="","",SEFAZ!N523)</f>
        <v/>
      </c>
      <c r="J539" t="str">
        <f>IF(SEFAZ!O523="","",SEFAZ!O523)</f>
        <v/>
      </c>
      <c r="K539" s="11" t="str">
        <f>IF(SEFAZ!P523="","",SEFAZ!P523)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hidden="1" x14ac:dyDescent="0.3">
      <c r="B540" t="str">
        <f>IF(SEFAZ!A524="","",SEFAZ!A524)</f>
        <v/>
      </c>
      <c r="C540" t="str">
        <f>IF(SEFAZ!C524="","",SEFAZ!C524)</f>
        <v/>
      </c>
      <c r="D540" t="str">
        <f>IF(SEFAZ!D524="","",SEFAZ!D524)</f>
        <v/>
      </c>
      <c r="E540" s="7" t="str">
        <f>IF(SEFAZ!E524="","",SEFAZ!E524)</f>
        <v/>
      </c>
      <c r="F540" s="6" t="str">
        <f>IF(SEFAZ!F524="","",VALUE(SUBSTITUTE(SEFAZ!F524,"'","")))</f>
        <v/>
      </c>
      <c r="G540" t="str">
        <f>IF(SEFAZ!H524="","",SEFAZ!H524)</f>
        <v/>
      </c>
      <c r="H540" t="str">
        <f>IF(SEFAZ!L524="","",SEFAZ!L524)</f>
        <v/>
      </c>
      <c r="I540" t="str">
        <f>IF(SEFAZ!N524="","",SEFAZ!N524)</f>
        <v/>
      </c>
      <c r="J540" t="str">
        <f>IF(SEFAZ!O524="","",SEFAZ!O524)</f>
        <v/>
      </c>
      <c r="K540" s="11" t="str">
        <f>IF(SEFAZ!P524="","",SEFAZ!P524)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hidden="1" x14ac:dyDescent="0.3">
      <c r="B541" t="str">
        <f>IF(SEFAZ!A525="","",SEFAZ!A525)</f>
        <v/>
      </c>
      <c r="C541" t="str">
        <f>IF(SEFAZ!C525="","",SEFAZ!C525)</f>
        <v/>
      </c>
      <c r="D541" t="str">
        <f>IF(SEFAZ!D525="","",SEFAZ!D525)</f>
        <v/>
      </c>
      <c r="E541" s="7" t="str">
        <f>IF(SEFAZ!E525="","",SEFAZ!E525)</f>
        <v/>
      </c>
      <c r="F541" s="6" t="str">
        <f>IF(SEFAZ!F525="","",VALUE(SUBSTITUTE(SEFAZ!F525,"'","")))</f>
        <v/>
      </c>
      <c r="G541" t="str">
        <f>IF(SEFAZ!H525="","",SEFAZ!H525)</f>
        <v/>
      </c>
      <c r="H541" t="str">
        <f>IF(SEFAZ!L525="","",SEFAZ!L525)</f>
        <v/>
      </c>
      <c r="I541" t="str">
        <f>IF(SEFAZ!N525="","",SEFAZ!N525)</f>
        <v/>
      </c>
      <c r="J541" t="str">
        <f>IF(SEFAZ!O525="","",SEFAZ!O525)</f>
        <v/>
      </c>
      <c r="K541" s="11" t="str">
        <f>IF(SEFAZ!P525="","",SEFAZ!P525)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hidden="1" x14ac:dyDescent="0.3">
      <c r="B542" t="str">
        <f>IF(SEFAZ!A526="","",SEFAZ!A526)</f>
        <v/>
      </c>
      <c r="C542" t="str">
        <f>IF(SEFAZ!C526="","",SEFAZ!C526)</f>
        <v/>
      </c>
      <c r="D542" t="str">
        <f>IF(SEFAZ!D526="","",SEFAZ!D526)</f>
        <v/>
      </c>
      <c r="E542" s="7" t="str">
        <f>IF(SEFAZ!E526="","",SEFAZ!E526)</f>
        <v/>
      </c>
      <c r="F542" s="6" t="str">
        <f>IF(SEFAZ!F526="","",VALUE(SUBSTITUTE(SEFAZ!F526,"'","")))</f>
        <v/>
      </c>
      <c r="G542" t="str">
        <f>IF(SEFAZ!H526="","",SEFAZ!H526)</f>
        <v/>
      </c>
      <c r="H542" t="str">
        <f>IF(SEFAZ!L526="","",SEFAZ!L526)</f>
        <v/>
      </c>
      <c r="I542" t="str">
        <f>IF(SEFAZ!N526="","",SEFAZ!N526)</f>
        <v/>
      </c>
      <c r="J542" t="str">
        <f>IF(SEFAZ!O526="","",SEFAZ!O526)</f>
        <v/>
      </c>
      <c r="K542" s="11" t="str">
        <f>IF(SEFAZ!P526="","",SEFAZ!P526)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hidden="1" x14ac:dyDescent="0.3">
      <c r="B543" t="str">
        <f>IF(SEFAZ!A527="","",SEFAZ!A527)</f>
        <v/>
      </c>
      <c r="C543" t="str">
        <f>IF(SEFAZ!C527="","",SEFAZ!C527)</f>
        <v/>
      </c>
      <c r="D543" t="str">
        <f>IF(SEFAZ!D527="","",SEFAZ!D527)</f>
        <v/>
      </c>
      <c r="E543" s="7" t="str">
        <f>IF(SEFAZ!E527="","",SEFAZ!E527)</f>
        <v/>
      </c>
      <c r="F543" s="6" t="str">
        <f>IF(SEFAZ!F527="","",VALUE(SUBSTITUTE(SEFAZ!F527,"'","")))</f>
        <v/>
      </c>
      <c r="G543" t="str">
        <f>IF(SEFAZ!H527="","",SEFAZ!H527)</f>
        <v/>
      </c>
      <c r="H543" t="str">
        <f>IF(SEFAZ!L527="","",SEFAZ!L527)</f>
        <v/>
      </c>
      <c r="I543" t="str">
        <f>IF(SEFAZ!N527="","",SEFAZ!N527)</f>
        <v/>
      </c>
      <c r="J543" t="str">
        <f>IF(SEFAZ!O527="","",SEFAZ!O527)</f>
        <v/>
      </c>
      <c r="K543" s="11" t="str">
        <f>IF(SEFAZ!P527="","",SEFAZ!P527)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hidden="1" x14ac:dyDescent="0.3">
      <c r="B544" t="str">
        <f>IF(SEFAZ!A528="","",SEFAZ!A528)</f>
        <v/>
      </c>
      <c r="C544" t="str">
        <f>IF(SEFAZ!C528="","",SEFAZ!C528)</f>
        <v/>
      </c>
      <c r="D544" t="str">
        <f>IF(SEFAZ!D528="","",SEFAZ!D528)</f>
        <v/>
      </c>
      <c r="E544" s="7" t="str">
        <f>IF(SEFAZ!E528="","",SEFAZ!E528)</f>
        <v/>
      </c>
      <c r="F544" s="6" t="str">
        <f>IF(SEFAZ!F528="","",VALUE(SUBSTITUTE(SEFAZ!F528,"'","")))</f>
        <v/>
      </c>
      <c r="G544" t="str">
        <f>IF(SEFAZ!H528="","",SEFAZ!H528)</f>
        <v/>
      </c>
      <c r="H544" t="str">
        <f>IF(SEFAZ!L528="","",SEFAZ!L528)</f>
        <v/>
      </c>
      <c r="I544" t="str">
        <f>IF(SEFAZ!N528="","",SEFAZ!N528)</f>
        <v/>
      </c>
      <c r="J544" t="str">
        <f>IF(SEFAZ!O528="","",SEFAZ!O528)</f>
        <v/>
      </c>
      <c r="K544" s="11" t="str">
        <f>IF(SEFAZ!P528="","",SEFAZ!P528)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hidden="1" x14ac:dyDescent="0.3">
      <c r="B545" t="str">
        <f>IF(SEFAZ!A529="","",SEFAZ!A529)</f>
        <v/>
      </c>
      <c r="C545" t="str">
        <f>IF(SEFAZ!C529="","",SEFAZ!C529)</f>
        <v/>
      </c>
      <c r="D545" t="str">
        <f>IF(SEFAZ!D529="","",SEFAZ!D529)</f>
        <v/>
      </c>
      <c r="E545" s="7" t="str">
        <f>IF(SEFAZ!E529="","",SEFAZ!E529)</f>
        <v/>
      </c>
      <c r="F545" s="6" t="str">
        <f>IF(SEFAZ!F529="","",VALUE(SUBSTITUTE(SEFAZ!F529,"'","")))</f>
        <v/>
      </c>
      <c r="G545" t="str">
        <f>IF(SEFAZ!H529="","",SEFAZ!H529)</f>
        <v/>
      </c>
      <c r="H545" t="str">
        <f>IF(SEFAZ!L529="","",SEFAZ!L529)</f>
        <v/>
      </c>
      <c r="I545" t="str">
        <f>IF(SEFAZ!N529="","",SEFAZ!N529)</f>
        <v/>
      </c>
      <c r="J545" t="str">
        <f>IF(SEFAZ!O529="","",SEFAZ!O529)</f>
        <v/>
      </c>
      <c r="K545" s="11" t="str">
        <f>IF(SEFAZ!P529="","",SEFAZ!P529)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hidden="1" x14ac:dyDescent="0.3">
      <c r="B546" t="str">
        <f>IF(SEFAZ!A530="","",SEFAZ!A530)</f>
        <v/>
      </c>
      <c r="C546" t="str">
        <f>IF(SEFAZ!C530="","",SEFAZ!C530)</f>
        <v/>
      </c>
      <c r="D546" t="str">
        <f>IF(SEFAZ!D530="","",SEFAZ!D530)</f>
        <v/>
      </c>
      <c r="E546" s="7" t="str">
        <f>IF(SEFAZ!E530="","",SEFAZ!E530)</f>
        <v/>
      </c>
      <c r="F546" s="6" t="str">
        <f>IF(SEFAZ!F530="","",VALUE(SUBSTITUTE(SEFAZ!F530,"'","")))</f>
        <v/>
      </c>
      <c r="G546" t="str">
        <f>IF(SEFAZ!H530="","",SEFAZ!H530)</f>
        <v/>
      </c>
      <c r="H546" t="str">
        <f>IF(SEFAZ!L530="","",SEFAZ!L530)</f>
        <v/>
      </c>
      <c r="I546" t="str">
        <f>IF(SEFAZ!N530="","",SEFAZ!N530)</f>
        <v/>
      </c>
      <c r="J546" t="str">
        <f>IF(SEFAZ!O530="","",SEFAZ!O530)</f>
        <v/>
      </c>
      <c r="K546" s="11" t="str">
        <f>IF(SEFAZ!P530="","",SEFAZ!P530)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hidden="1" x14ac:dyDescent="0.3">
      <c r="B547" t="str">
        <f>IF(SEFAZ!A531="","",SEFAZ!A531)</f>
        <v/>
      </c>
      <c r="C547" t="str">
        <f>IF(SEFAZ!C531="","",SEFAZ!C531)</f>
        <v/>
      </c>
      <c r="D547" t="str">
        <f>IF(SEFAZ!D531="","",SEFAZ!D531)</f>
        <v/>
      </c>
      <c r="E547" s="7" t="str">
        <f>IF(SEFAZ!E531="","",SEFAZ!E531)</f>
        <v/>
      </c>
      <c r="F547" s="6" t="str">
        <f>IF(SEFAZ!F531="","",VALUE(SUBSTITUTE(SEFAZ!F531,"'","")))</f>
        <v/>
      </c>
      <c r="G547" t="str">
        <f>IF(SEFAZ!H531="","",SEFAZ!H531)</f>
        <v/>
      </c>
      <c r="H547" t="str">
        <f>IF(SEFAZ!L531="","",SEFAZ!L531)</f>
        <v/>
      </c>
      <c r="I547" t="str">
        <f>IF(SEFAZ!N531="","",SEFAZ!N531)</f>
        <v/>
      </c>
      <c r="J547" t="str">
        <f>IF(SEFAZ!O531="","",SEFAZ!O531)</f>
        <v/>
      </c>
      <c r="K547" s="11" t="str">
        <f>IF(SEFAZ!P531="","",SEFAZ!P531)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hidden="1" x14ac:dyDescent="0.3">
      <c r="B548" t="str">
        <f>IF(SEFAZ!A532="","",SEFAZ!A532)</f>
        <v/>
      </c>
      <c r="C548" t="str">
        <f>IF(SEFAZ!C532="","",SEFAZ!C532)</f>
        <v/>
      </c>
      <c r="D548" t="str">
        <f>IF(SEFAZ!D532="","",SEFAZ!D532)</f>
        <v/>
      </c>
      <c r="E548" s="7" t="str">
        <f>IF(SEFAZ!E532="","",SEFAZ!E532)</f>
        <v/>
      </c>
      <c r="F548" s="6" t="str">
        <f>IF(SEFAZ!F532="","",VALUE(SUBSTITUTE(SEFAZ!F532,"'","")))</f>
        <v/>
      </c>
      <c r="G548" t="str">
        <f>IF(SEFAZ!H532="","",SEFAZ!H532)</f>
        <v/>
      </c>
      <c r="H548" t="str">
        <f>IF(SEFAZ!L532="","",SEFAZ!L532)</f>
        <v/>
      </c>
      <c r="I548" t="str">
        <f>IF(SEFAZ!N532="","",SEFAZ!N532)</f>
        <v/>
      </c>
      <c r="J548" t="str">
        <f>IF(SEFAZ!O532="","",SEFAZ!O532)</f>
        <v/>
      </c>
      <c r="K548" s="11" t="str">
        <f>IF(SEFAZ!P532="","",SEFAZ!P532)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hidden="1" x14ac:dyDescent="0.3">
      <c r="B549" t="str">
        <f>IF(SEFAZ!A533="","",SEFAZ!A533)</f>
        <v/>
      </c>
      <c r="C549" t="str">
        <f>IF(SEFAZ!C533="","",SEFAZ!C533)</f>
        <v/>
      </c>
      <c r="D549" t="str">
        <f>IF(SEFAZ!D533="","",SEFAZ!D533)</f>
        <v/>
      </c>
      <c r="E549" s="7" t="str">
        <f>IF(SEFAZ!E533="","",SEFAZ!E533)</f>
        <v/>
      </c>
      <c r="F549" s="6" t="str">
        <f>IF(SEFAZ!F533="","",VALUE(SUBSTITUTE(SEFAZ!F533,"'","")))</f>
        <v/>
      </c>
      <c r="G549" t="str">
        <f>IF(SEFAZ!H533="","",SEFAZ!H533)</f>
        <v/>
      </c>
      <c r="H549" t="str">
        <f>IF(SEFAZ!L533="","",SEFAZ!L533)</f>
        <v/>
      </c>
      <c r="I549" t="str">
        <f>IF(SEFAZ!N533="","",SEFAZ!N533)</f>
        <v/>
      </c>
      <c r="J549" t="str">
        <f>IF(SEFAZ!O533="","",SEFAZ!O533)</f>
        <v/>
      </c>
      <c r="K549" s="11" t="str">
        <f>IF(SEFAZ!P533="","",SEFAZ!P533)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hidden="1" x14ac:dyDescent="0.3">
      <c r="B550" t="str">
        <f>IF(SEFAZ!A534="","",SEFAZ!A534)</f>
        <v/>
      </c>
      <c r="C550" t="str">
        <f>IF(SEFAZ!C534="","",SEFAZ!C534)</f>
        <v/>
      </c>
      <c r="D550" t="str">
        <f>IF(SEFAZ!D534="","",SEFAZ!D534)</f>
        <v/>
      </c>
      <c r="E550" s="7" t="str">
        <f>IF(SEFAZ!E534="","",SEFAZ!E534)</f>
        <v/>
      </c>
      <c r="F550" s="6" t="str">
        <f>IF(SEFAZ!F534="","",VALUE(SUBSTITUTE(SEFAZ!F534,"'","")))</f>
        <v/>
      </c>
      <c r="G550" t="str">
        <f>IF(SEFAZ!H534="","",SEFAZ!H534)</f>
        <v/>
      </c>
      <c r="H550" t="str">
        <f>IF(SEFAZ!L534="","",SEFAZ!L534)</f>
        <v/>
      </c>
      <c r="I550" t="str">
        <f>IF(SEFAZ!N534="","",SEFAZ!N534)</f>
        <v/>
      </c>
      <c r="J550" t="str">
        <f>IF(SEFAZ!O534="","",SEFAZ!O534)</f>
        <v/>
      </c>
      <c r="K550" s="11" t="str">
        <f>IF(SEFAZ!P534="","",SEFAZ!P534)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hidden="1" x14ac:dyDescent="0.3">
      <c r="B551" t="str">
        <f>IF(SEFAZ!A535="","",SEFAZ!A535)</f>
        <v/>
      </c>
      <c r="C551" t="str">
        <f>IF(SEFAZ!C535="","",SEFAZ!C535)</f>
        <v/>
      </c>
      <c r="D551" t="str">
        <f>IF(SEFAZ!D535="","",SEFAZ!D535)</f>
        <v/>
      </c>
      <c r="E551" s="7" t="str">
        <f>IF(SEFAZ!E535="","",SEFAZ!E535)</f>
        <v/>
      </c>
      <c r="F551" s="6" t="str">
        <f>IF(SEFAZ!F535="","",VALUE(SUBSTITUTE(SEFAZ!F535,"'","")))</f>
        <v/>
      </c>
      <c r="G551" t="str">
        <f>IF(SEFAZ!H535="","",SEFAZ!H535)</f>
        <v/>
      </c>
      <c r="H551" t="str">
        <f>IF(SEFAZ!L535="","",SEFAZ!L535)</f>
        <v/>
      </c>
      <c r="I551" t="str">
        <f>IF(SEFAZ!N535="","",SEFAZ!N535)</f>
        <v/>
      </c>
      <c r="J551" t="str">
        <f>IF(SEFAZ!O535="","",SEFAZ!O535)</f>
        <v/>
      </c>
      <c r="K551" s="11" t="str">
        <f>IF(SEFAZ!P535="","",SEFAZ!P535)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hidden="1" x14ac:dyDescent="0.3">
      <c r="B552" t="str">
        <f>IF(SEFAZ!A536="","",SEFAZ!A536)</f>
        <v/>
      </c>
      <c r="C552" t="str">
        <f>IF(SEFAZ!C536="","",SEFAZ!C536)</f>
        <v/>
      </c>
      <c r="D552" t="str">
        <f>IF(SEFAZ!D536="","",SEFAZ!D536)</f>
        <v/>
      </c>
      <c r="E552" s="7" t="str">
        <f>IF(SEFAZ!E536="","",SEFAZ!E536)</f>
        <v/>
      </c>
      <c r="F552" s="6" t="str">
        <f>IF(SEFAZ!F536="","",VALUE(SUBSTITUTE(SEFAZ!F536,"'","")))</f>
        <v/>
      </c>
      <c r="G552" t="str">
        <f>IF(SEFAZ!H536="","",SEFAZ!H536)</f>
        <v/>
      </c>
      <c r="H552" t="str">
        <f>IF(SEFAZ!L536="","",SEFAZ!L536)</f>
        <v/>
      </c>
      <c r="I552" t="str">
        <f>IF(SEFAZ!N536="","",SEFAZ!N536)</f>
        <v/>
      </c>
      <c r="J552" t="str">
        <f>IF(SEFAZ!O536="","",SEFAZ!O536)</f>
        <v/>
      </c>
      <c r="K552" s="11" t="str">
        <f>IF(SEFAZ!P536="","",SEFAZ!P536)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hidden="1" x14ac:dyDescent="0.3">
      <c r="B553" t="str">
        <f>IF(SEFAZ!A537="","",SEFAZ!A537)</f>
        <v/>
      </c>
      <c r="C553" t="str">
        <f>IF(SEFAZ!C537="","",SEFAZ!C537)</f>
        <v/>
      </c>
      <c r="D553" t="str">
        <f>IF(SEFAZ!D537="","",SEFAZ!D537)</f>
        <v/>
      </c>
      <c r="E553" s="7" t="str">
        <f>IF(SEFAZ!E537="","",SEFAZ!E537)</f>
        <v/>
      </c>
      <c r="F553" s="6" t="str">
        <f>IF(SEFAZ!F537="","",VALUE(SUBSTITUTE(SEFAZ!F537,"'","")))</f>
        <v/>
      </c>
      <c r="G553" t="str">
        <f>IF(SEFAZ!H537="","",SEFAZ!H537)</f>
        <v/>
      </c>
      <c r="H553" t="str">
        <f>IF(SEFAZ!L537="","",SEFAZ!L537)</f>
        <v/>
      </c>
      <c r="I553" t="str">
        <f>IF(SEFAZ!N537="","",SEFAZ!N537)</f>
        <v/>
      </c>
      <c r="J553" t="str">
        <f>IF(SEFAZ!O537="","",SEFAZ!O537)</f>
        <v/>
      </c>
      <c r="K553" s="11" t="str">
        <f>IF(SEFAZ!P537="","",SEFAZ!P537)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hidden="1" x14ac:dyDescent="0.3">
      <c r="B554" t="str">
        <f>IF(SEFAZ!A538="","",SEFAZ!A538)</f>
        <v/>
      </c>
      <c r="C554" t="str">
        <f>IF(SEFAZ!C538="","",SEFAZ!C538)</f>
        <v/>
      </c>
      <c r="D554" t="str">
        <f>IF(SEFAZ!D538="","",SEFAZ!D538)</f>
        <v/>
      </c>
      <c r="E554" s="7" t="str">
        <f>IF(SEFAZ!E538="","",SEFAZ!E538)</f>
        <v/>
      </c>
      <c r="F554" s="6" t="str">
        <f>IF(SEFAZ!F538="","",VALUE(SUBSTITUTE(SEFAZ!F538,"'","")))</f>
        <v/>
      </c>
      <c r="G554" t="str">
        <f>IF(SEFAZ!H538="","",SEFAZ!H538)</f>
        <v/>
      </c>
      <c r="H554" t="str">
        <f>IF(SEFAZ!L538="","",SEFAZ!L538)</f>
        <v/>
      </c>
      <c r="I554" t="str">
        <f>IF(SEFAZ!N538="","",SEFAZ!N538)</f>
        <v/>
      </c>
      <c r="J554" t="str">
        <f>IF(SEFAZ!O538="","",SEFAZ!O538)</f>
        <v/>
      </c>
      <c r="K554" s="11" t="str">
        <f>IF(SEFAZ!P538="","",SEFAZ!P538)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hidden="1" x14ac:dyDescent="0.3">
      <c r="B555" t="str">
        <f>IF(SEFAZ!A539="","",SEFAZ!A539)</f>
        <v/>
      </c>
      <c r="C555" t="str">
        <f>IF(SEFAZ!C539="","",SEFAZ!C539)</f>
        <v/>
      </c>
      <c r="D555" t="str">
        <f>IF(SEFAZ!D539="","",SEFAZ!D539)</f>
        <v/>
      </c>
      <c r="E555" s="7" t="str">
        <f>IF(SEFAZ!E539="","",SEFAZ!E539)</f>
        <v/>
      </c>
      <c r="F555" s="6" t="str">
        <f>IF(SEFAZ!F539="","",VALUE(SUBSTITUTE(SEFAZ!F539,"'","")))</f>
        <v/>
      </c>
      <c r="G555" t="str">
        <f>IF(SEFAZ!H539="","",SEFAZ!H539)</f>
        <v/>
      </c>
      <c r="H555" t="str">
        <f>IF(SEFAZ!L539="","",SEFAZ!L539)</f>
        <v/>
      </c>
      <c r="I555" t="str">
        <f>IF(SEFAZ!N539="","",SEFAZ!N539)</f>
        <v/>
      </c>
      <c r="J555" t="str">
        <f>IF(SEFAZ!O539="","",SEFAZ!O539)</f>
        <v/>
      </c>
      <c r="K555" s="11" t="str">
        <f>IF(SEFAZ!P539="","",SEFAZ!P539)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hidden="1" x14ac:dyDescent="0.3">
      <c r="B556" t="str">
        <f>IF(SEFAZ!A540="","",SEFAZ!A540)</f>
        <v/>
      </c>
      <c r="C556" t="str">
        <f>IF(SEFAZ!C540="","",SEFAZ!C540)</f>
        <v/>
      </c>
      <c r="D556" t="str">
        <f>IF(SEFAZ!D540="","",SEFAZ!D540)</f>
        <v/>
      </c>
      <c r="E556" s="7" t="str">
        <f>IF(SEFAZ!E540="","",SEFAZ!E540)</f>
        <v/>
      </c>
      <c r="F556" s="6" t="str">
        <f>IF(SEFAZ!F540="","",VALUE(SUBSTITUTE(SEFAZ!F540,"'","")))</f>
        <v/>
      </c>
      <c r="G556" t="str">
        <f>IF(SEFAZ!H540="","",SEFAZ!H540)</f>
        <v/>
      </c>
      <c r="H556" t="str">
        <f>IF(SEFAZ!L540="","",SEFAZ!L540)</f>
        <v/>
      </c>
      <c r="I556" t="str">
        <f>IF(SEFAZ!N540="","",SEFAZ!N540)</f>
        <v/>
      </c>
      <c r="J556" t="str">
        <f>IF(SEFAZ!O540="","",SEFAZ!O540)</f>
        <v/>
      </c>
      <c r="K556" s="11" t="str">
        <f>IF(SEFAZ!P540="","",SEFAZ!P540)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hidden="1" x14ac:dyDescent="0.3">
      <c r="B557" t="str">
        <f>IF(SEFAZ!A541="","",SEFAZ!A541)</f>
        <v/>
      </c>
      <c r="C557" t="str">
        <f>IF(SEFAZ!C541="","",SEFAZ!C541)</f>
        <v/>
      </c>
      <c r="D557" t="str">
        <f>IF(SEFAZ!D541="","",SEFAZ!D541)</f>
        <v/>
      </c>
      <c r="E557" s="7" t="str">
        <f>IF(SEFAZ!E541="","",SEFAZ!E541)</f>
        <v/>
      </c>
      <c r="F557" s="6" t="str">
        <f>IF(SEFAZ!F541="","",VALUE(SUBSTITUTE(SEFAZ!F541,"'","")))</f>
        <v/>
      </c>
      <c r="G557" t="str">
        <f>IF(SEFAZ!H541="","",SEFAZ!H541)</f>
        <v/>
      </c>
      <c r="H557" t="str">
        <f>IF(SEFAZ!L541="","",SEFAZ!L541)</f>
        <v/>
      </c>
      <c r="I557" t="str">
        <f>IF(SEFAZ!N541="","",SEFAZ!N541)</f>
        <v/>
      </c>
      <c r="J557" t="str">
        <f>IF(SEFAZ!O541="","",SEFAZ!O541)</f>
        <v/>
      </c>
      <c r="K557" s="11" t="str">
        <f>IF(SEFAZ!P541="","",SEFAZ!P541)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hidden="1" x14ac:dyDescent="0.3">
      <c r="B558" t="str">
        <f>IF(SEFAZ!A542="","",SEFAZ!A542)</f>
        <v/>
      </c>
      <c r="C558" t="str">
        <f>IF(SEFAZ!C542="","",SEFAZ!C542)</f>
        <v/>
      </c>
      <c r="D558" t="str">
        <f>IF(SEFAZ!D542="","",SEFAZ!D542)</f>
        <v/>
      </c>
      <c r="E558" s="7" t="str">
        <f>IF(SEFAZ!E542="","",SEFAZ!E542)</f>
        <v/>
      </c>
      <c r="F558" s="6" t="str">
        <f>IF(SEFAZ!F542="","",VALUE(SUBSTITUTE(SEFAZ!F542,"'","")))</f>
        <v/>
      </c>
      <c r="G558" t="str">
        <f>IF(SEFAZ!H542="","",SEFAZ!H542)</f>
        <v/>
      </c>
      <c r="H558" t="str">
        <f>IF(SEFAZ!L542="","",SEFAZ!L542)</f>
        <v/>
      </c>
      <c r="I558" t="str">
        <f>IF(SEFAZ!N542="","",SEFAZ!N542)</f>
        <v/>
      </c>
      <c r="J558" t="str">
        <f>IF(SEFAZ!O542="","",SEFAZ!O542)</f>
        <v/>
      </c>
      <c r="K558" s="11" t="str">
        <f>IF(SEFAZ!P542="","",SEFAZ!P542)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hidden="1" x14ac:dyDescent="0.3">
      <c r="B559" t="str">
        <f>IF(SEFAZ!A543="","",SEFAZ!A543)</f>
        <v/>
      </c>
      <c r="C559" t="str">
        <f>IF(SEFAZ!C543="","",SEFAZ!C543)</f>
        <v/>
      </c>
      <c r="D559" t="str">
        <f>IF(SEFAZ!D543="","",SEFAZ!D543)</f>
        <v/>
      </c>
      <c r="E559" s="7" t="str">
        <f>IF(SEFAZ!E543="","",SEFAZ!E543)</f>
        <v/>
      </c>
      <c r="F559" s="6" t="str">
        <f>IF(SEFAZ!F543="","",VALUE(SUBSTITUTE(SEFAZ!F543,"'","")))</f>
        <v/>
      </c>
      <c r="G559" t="str">
        <f>IF(SEFAZ!H543="","",SEFAZ!H543)</f>
        <v/>
      </c>
      <c r="H559" t="str">
        <f>IF(SEFAZ!L543="","",SEFAZ!L543)</f>
        <v/>
      </c>
      <c r="I559" t="str">
        <f>IF(SEFAZ!N543="","",SEFAZ!N543)</f>
        <v/>
      </c>
      <c r="J559" t="str">
        <f>IF(SEFAZ!O543="","",SEFAZ!O543)</f>
        <v/>
      </c>
      <c r="K559" s="11" t="str">
        <f>IF(SEFAZ!P543="","",SEFAZ!P543)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hidden="1" x14ac:dyDescent="0.3">
      <c r="B560" t="str">
        <f>IF(SEFAZ!A544="","",SEFAZ!A544)</f>
        <v/>
      </c>
      <c r="C560" t="str">
        <f>IF(SEFAZ!C544="","",SEFAZ!C544)</f>
        <v/>
      </c>
      <c r="D560" t="str">
        <f>IF(SEFAZ!D544="","",SEFAZ!D544)</f>
        <v/>
      </c>
      <c r="E560" s="7" t="str">
        <f>IF(SEFAZ!E544="","",SEFAZ!E544)</f>
        <v/>
      </c>
      <c r="F560" s="6" t="str">
        <f>IF(SEFAZ!F544="","",VALUE(SUBSTITUTE(SEFAZ!F544,"'","")))</f>
        <v/>
      </c>
      <c r="G560" t="str">
        <f>IF(SEFAZ!H544="","",SEFAZ!H544)</f>
        <v/>
      </c>
      <c r="H560" t="str">
        <f>IF(SEFAZ!L544="","",SEFAZ!L544)</f>
        <v/>
      </c>
      <c r="I560" t="str">
        <f>IF(SEFAZ!N544="","",SEFAZ!N544)</f>
        <v/>
      </c>
      <c r="J560" t="str">
        <f>IF(SEFAZ!O544="","",SEFAZ!O544)</f>
        <v/>
      </c>
      <c r="K560" s="11" t="str">
        <f>IF(SEFAZ!P544="","",SEFAZ!P544)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hidden="1" x14ac:dyDescent="0.3">
      <c r="B561" t="str">
        <f>IF(SEFAZ!A545="","",SEFAZ!A545)</f>
        <v/>
      </c>
      <c r="C561" t="str">
        <f>IF(SEFAZ!C545="","",SEFAZ!C545)</f>
        <v/>
      </c>
      <c r="D561" t="str">
        <f>IF(SEFAZ!D545="","",SEFAZ!D545)</f>
        <v/>
      </c>
      <c r="E561" s="7" t="str">
        <f>IF(SEFAZ!E545="","",SEFAZ!E545)</f>
        <v/>
      </c>
      <c r="F561" s="6" t="str">
        <f>IF(SEFAZ!F545="","",VALUE(SUBSTITUTE(SEFAZ!F545,"'","")))</f>
        <v/>
      </c>
      <c r="G561" t="str">
        <f>IF(SEFAZ!H545="","",SEFAZ!H545)</f>
        <v/>
      </c>
      <c r="H561" t="str">
        <f>IF(SEFAZ!L545="","",SEFAZ!L545)</f>
        <v/>
      </c>
      <c r="I561" t="str">
        <f>IF(SEFAZ!N545="","",SEFAZ!N545)</f>
        <v/>
      </c>
      <c r="J561" t="str">
        <f>IF(SEFAZ!O545="","",SEFAZ!O545)</f>
        <v/>
      </c>
      <c r="K561" s="11" t="str">
        <f>IF(SEFAZ!P545="","",SEFAZ!P545)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hidden="1" x14ac:dyDescent="0.3">
      <c r="B562" t="str">
        <f>IF(SEFAZ!A546="","",SEFAZ!A546)</f>
        <v/>
      </c>
      <c r="C562" t="str">
        <f>IF(SEFAZ!C546="","",SEFAZ!C546)</f>
        <v/>
      </c>
      <c r="D562" t="str">
        <f>IF(SEFAZ!D546="","",SEFAZ!D546)</f>
        <v/>
      </c>
      <c r="E562" s="7" t="str">
        <f>IF(SEFAZ!E546="","",SEFAZ!E546)</f>
        <v/>
      </c>
      <c r="F562" s="6" t="str">
        <f>IF(SEFAZ!F546="","",VALUE(SUBSTITUTE(SEFAZ!F546,"'","")))</f>
        <v/>
      </c>
      <c r="G562" t="str">
        <f>IF(SEFAZ!H546="","",SEFAZ!H546)</f>
        <v/>
      </c>
      <c r="H562" t="str">
        <f>IF(SEFAZ!L546="","",SEFAZ!L546)</f>
        <v/>
      </c>
      <c r="I562" t="str">
        <f>IF(SEFAZ!N546="","",SEFAZ!N546)</f>
        <v/>
      </c>
      <c r="J562" t="str">
        <f>IF(SEFAZ!O546="","",SEFAZ!O546)</f>
        <v/>
      </c>
      <c r="K562" s="11" t="str">
        <f>IF(SEFAZ!P546="","",SEFAZ!P546)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hidden="1" x14ac:dyDescent="0.3">
      <c r="B563" t="str">
        <f>IF(SEFAZ!A547="","",SEFAZ!A547)</f>
        <v/>
      </c>
      <c r="C563" t="str">
        <f>IF(SEFAZ!C547="","",SEFAZ!C547)</f>
        <v/>
      </c>
      <c r="D563" t="str">
        <f>IF(SEFAZ!D547="","",SEFAZ!D547)</f>
        <v/>
      </c>
      <c r="E563" s="7" t="str">
        <f>IF(SEFAZ!E547="","",SEFAZ!E547)</f>
        <v/>
      </c>
      <c r="F563" s="6" t="str">
        <f>IF(SEFAZ!F547="","",VALUE(SUBSTITUTE(SEFAZ!F547,"'","")))</f>
        <v/>
      </c>
      <c r="G563" t="str">
        <f>IF(SEFAZ!H547="","",SEFAZ!H547)</f>
        <v/>
      </c>
      <c r="H563" t="str">
        <f>IF(SEFAZ!L547="","",SEFAZ!L547)</f>
        <v/>
      </c>
      <c r="I563" t="str">
        <f>IF(SEFAZ!N547="","",SEFAZ!N547)</f>
        <v/>
      </c>
      <c r="J563" t="str">
        <f>IF(SEFAZ!O547="","",SEFAZ!O547)</f>
        <v/>
      </c>
      <c r="K563" s="11" t="str">
        <f>IF(SEFAZ!P547="","",SEFAZ!P547)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hidden="1" x14ac:dyDescent="0.3">
      <c r="B564" t="str">
        <f>IF(SEFAZ!A548="","",SEFAZ!A548)</f>
        <v/>
      </c>
      <c r="C564" t="str">
        <f>IF(SEFAZ!C548="","",SEFAZ!C548)</f>
        <v/>
      </c>
      <c r="D564" t="str">
        <f>IF(SEFAZ!D548="","",SEFAZ!D548)</f>
        <v/>
      </c>
      <c r="E564" s="7" t="str">
        <f>IF(SEFAZ!E548="","",SEFAZ!E548)</f>
        <v/>
      </c>
      <c r="F564" s="6" t="str">
        <f>IF(SEFAZ!F548="","",VALUE(SUBSTITUTE(SEFAZ!F548,"'","")))</f>
        <v/>
      </c>
      <c r="G564" t="str">
        <f>IF(SEFAZ!H548="","",SEFAZ!H548)</f>
        <v/>
      </c>
      <c r="H564" t="str">
        <f>IF(SEFAZ!L548="","",SEFAZ!L548)</f>
        <v/>
      </c>
      <c r="I564" t="str">
        <f>IF(SEFAZ!N548="","",SEFAZ!N548)</f>
        <v/>
      </c>
      <c r="J564" t="str">
        <f>IF(SEFAZ!O548="","",SEFAZ!O548)</f>
        <v/>
      </c>
      <c r="K564" s="11" t="str">
        <f>IF(SEFAZ!P548="","",SEFAZ!P548)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hidden="1" x14ac:dyDescent="0.3">
      <c r="B565" t="str">
        <f>IF(SEFAZ!A549="","",SEFAZ!A549)</f>
        <v/>
      </c>
      <c r="C565" t="str">
        <f>IF(SEFAZ!C549="","",SEFAZ!C549)</f>
        <v/>
      </c>
      <c r="D565" t="str">
        <f>IF(SEFAZ!D549="","",SEFAZ!D549)</f>
        <v/>
      </c>
      <c r="E565" s="7" t="str">
        <f>IF(SEFAZ!E549="","",SEFAZ!E549)</f>
        <v/>
      </c>
      <c r="F565" s="6" t="str">
        <f>IF(SEFAZ!F549="","",VALUE(SUBSTITUTE(SEFAZ!F549,"'","")))</f>
        <v/>
      </c>
      <c r="G565" t="str">
        <f>IF(SEFAZ!H549="","",SEFAZ!H549)</f>
        <v/>
      </c>
      <c r="H565" t="str">
        <f>IF(SEFAZ!L549="","",SEFAZ!L549)</f>
        <v/>
      </c>
      <c r="I565" t="str">
        <f>IF(SEFAZ!N549="","",SEFAZ!N549)</f>
        <v/>
      </c>
      <c r="J565" t="str">
        <f>IF(SEFAZ!O549="","",SEFAZ!O549)</f>
        <v/>
      </c>
      <c r="K565" s="11" t="str">
        <f>IF(SEFAZ!P549="","",SEFAZ!P549)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hidden="1" x14ac:dyDescent="0.3">
      <c r="B566" t="str">
        <f>IF(SEFAZ!A550="","",SEFAZ!A550)</f>
        <v/>
      </c>
      <c r="C566" t="str">
        <f>IF(SEFAZ!C550="","",SEFAZ!C550)</f>
        <v/>
      </c>
      <c r="D566" t="str">
        <f>IF(SEFAZ!D550="","",SEFAZ!D550)</f>
        <v/>
      </c>
      <c r="E566" s="7" t="str">
        <f>IF(SEFAZ!E550="","",SEFAZ!E550)</f>
        <v/>
      </c>
      <c r="F566" s="6" t="str">
        <f>IF(SEFAZ!F550="","",VALUE(SUBSTITUTE(SEFAZ!F550,"'","")))</f>
        <v/>
      </c>
      <c r="G566" t="str">
        <f>IF(SEFAZ!H550="","",SEFAZ!H550)</f>
        <v/>
      </c>
      <c r="H566" t="str">
        <f>IF(SEFAZ!L550="","",SEFAZ!L550)</f>
        <v/>
      </c>
      <c r="I566" t="str">
        <f>IF(SEFAZ!N550="","",SEFAZ!N550)</f>
        <v/>
      </c>
      <c r="J566" t="str">
        <f>IF(SEFAZ!O550="","",SEFAZ!O550)</f>
        <v/>
      </c>
      <c r="K566" s="11" t="str">
        <f>IF(SEFAZ!P550="","",SEFAZ!P550)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hidden="1" x14ac:dyDescent="0.3">
      <c r="B567" t="str">
        <f>IF(SEFAZ!A551="","",SEFAZ!A551)</f>
        <v/>
      </c>
      <c r="C567" t="str">
        <f>IF(SEFAZ!C551="","",SEFAZ!C551)</f>
        <v/>
      </c>
      <c r="D567" t="str">
        <f>IF(SEFAZ!D551="","",SEFAZ!D551)</f>
        <v/>
      </c>
      <c r="E567" s="7" t="str">
        <f>IF(SEFAZ!E551="","",SEFAZ!E551)</f>
        <v/>
      </c>
      <c r="F567" s="6" t="str">
        <f>IF(SEFAZ!F551="","",VALUE(SUBSTITUTE(SEFAZ!F551,"'","")))</f>
        <v/>
      </c>
      <c r="G567" t="str">
        <f>IF(SEFAZ!H551="","",SEFAZ!H551)</f>
        <v/>
      </c>
      <c r="H567" t="str">
        <f>IF(SEFAZ!L551="","",SEFAZ!L551)</f>
        <v/>
      </c>
      <c r="I567" t="str">
        <f>IF(SEFAZ!N551="","",SEFAZ!N551)</f>
        <v/>
      </c>
      <c r="J567" t="str">
        <f>IF(SEFAZ!O551="","",SEFAZ!O551)</f>
        <v/>
      </c>
      <c r="K567" s="11" t="str">
        <f>IF(SEFAZ!P551="","",SEFAZ!P551)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hidden="1" x14ac:dyDescent="0.3">
      <c r="B568" t="str">
        <f>IF(SEFAZ!A552="","",SEFAZ!A552)</f>
        <v/>
      </c>
      <c r="C568" t="str">
        <f>IF(SEFAZ!C552="","",SEFAZ!C552)</f>
        <v/>
      </c>
      <c r="D568" t="str">
        <f>IF(SEFAZ!D552="","",SEFAZ!D552)</f>
        <v/>
      </c>
      <c r="E568" s="7" t="str">
        <f>IF(SEFAZ!E552="","",SEFAZ!E552)</f>
        <v/>
      </c>
      <c r="F568" s="6" t="str">
        <f>IF(SEFAZ!F552="","",VALUE(SUBSTITUTE(SEFAZ!F552,"'","")))</f>
        <v/>
      </c>
      <c r="G568" t="str">
        <f>IF(SEFAZ!H552="","",SEFAZ!H552)</f>
        <v/>
      </c>
      <c r="H568" t="str">
        <f>IF(SEFAZ!L552="","",SEFAZ!L552)</f>
        <v/>
      </c>
      <c r="I568" t="str">
        <f>IF(SEFAZ!N552="","",SEFAZ!N552)</f>
        <v/>
      </c>
      <c r="J568" t="str">
        <f>IF(SEFAZ!O552="","",SEFAZ!O552)</f>
        <v/>
      </c>
      <c r="K568" s="11" t="str">
        <f>IF(SEFAZ!P552="","",SEFAZ!P552)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hidden="1" x14ac:dyDescent="0.3">
      <c r="B569" t="str">
        <f>IF(SEFAZ!A553="","",SEFAZ!A553)</f>
        <v/>
      </c>
      <c r="C569" t="str">
        <f>IF(SEFAZ!C553="","",SEFAZ!C553)</f>
        <v/>
      </c>
      <c r="D569" t="str">
        <f>IF(SEFAZ!D553="","",SEFAZ!D553)</f>
        <v/>
      </c>
      <c r="E569" s="7" t="str">
        <f>IF(SEFAZ!E553="","",SEFAZ!E553)</f>
        <v/>
      </c>
      <c r="F569" s="6" t="str">
        <f>IF(SEFAZ!F553="","",VALUE(SUBSTITUTE(SEFAZ!F553,"'","")))</f>
        <v/>
      </c>
      <c r="G569" t="str">
        <f>IF(SEFAZ!H553="","",SEFAZ!H553)</f>
        <v/>
      </c>
      <c r="H569" t="str">
        <f>IF(SEFAZ!L553="","",SEFAZ!L553)</f>
        <v/>
      </c>
      <c r="I569" t="str">
        <f>IF(SEFAZ!N553="","",SEFAZ!N553)</f>
        <v/>
      </c>
      <c r="J569" t="str">
        <f>IF(SEFAZ!O553="","",SEFAZ!O553)</f>
        <v/>
      </c>
      <c r="K569" s="11" t="str">
        <f>IF(SEFAZ!P553="","",SEFAZ!P553)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hidden="1" x14ac:dyDescent="0.3">
      <c r="B570" t="str">
        <f>IF(SEFAZ!A554="","",SEFAZ!A554)</f>
        <v/>
      </c>
      <c r="C570" t="str">
        <f>IF(SEFAZ!C554="","",SEFAZ!C554)</f>
        <v/>
      </c>
      <c r="D570" t="str">
        <f>IF(SEFAZ!D554="","",SEFAZ!D554)</f>
        <v/>
      </c>
      <c r="E570" s="7" t="str">
        <f>IF(SEFAZ!E554="","",SEFAZ!E554)</f>
        <v/>
      </c>
      <c r="F570" s="6" t="str">
        <f>IF(SEFAZ!F554="","",VALUE(SUBSTITUTE(SEFAZ!F554,"'","")))</f>
        <v/>
      </c>
      <c r="G570" t="str">
        <f>IF(SEFAZ!H554="","",SEFAZ!H554)</f>
        <v/>
      </c>
      <c r="H570" t="str">
        <f>IF(SEFAZ!L554="","",SEFAZ!L554)</f>
        <v/>
      </c>
      <c r="I570" t="str">
        <f>IF(SEFAZ!N554="","",SEFAZ!N554)</f>
        <v/>
      </c>
      <c r="J570" t="str">
        <f>IF(SEFAZ!O554="","",SEFAZ!O554)</f>
        <v/>
      </c>
      <c r="K570" s="11" t="str">
        <f>IF(SEFAZ!P554="","",SEFAZ!P554)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hidden="1" x14ac:dyDescent="0.3">
      <c r="B571" t="str">
        <f>IF(SEFAZ!A555="","",SEFAZ!A555)</f>
        <v/>
      </c>
      <c r="C571" t="str">
        <f>IF(SEFAZ!C555="","",SEFAZ!C555)</f>
        <v/>
      </c>
      <c r="D571" t="str">
        <f>IF(SEFAZ!D555="","",SEFAZ!D555)</f>
        <v/>
      </c>
      <c r="E571" s="7" t="str">
        <f>IF(SEFAZ!E555="","",SEFAZ!E555)</f>
        <v/>
      </c>
      <c r="F571" s="6" t="str">
        <f>IF(SEFAZ!F555="","",VALUE(SUBSTITUTE(SEFAZ!F555,"'","")))</f>
        <v/>
      </c>
      <c r="G571" t="str">
        <f>IF(SEFAZ!H555="","",SEFAZ!H555)</f>
        <v/>
      </c>
      <c r="H571" t="str">
        <f>IF(SEFAZ!L555="","",SEFAZ!L555)</f>
        <v/>
      </c>
      <c r="I571" t="str">
        <f>IF(SEFAZ!N555="","",SEFAZ!N555)</f>
        <v/>
      </c>
      <c r="J571" t="str">
        <f>IF(SEFAZ!O555="","",SEFAZ!O555)</f>
        <v/>
      </c>
      <c r="K571" s="11" t="str">
        <f>IF(SEFAZ!P555="","",SEFAZ!P555)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hidden="1" x14ac:dyDescent="0.3">
      <c r="B572" t="str">
        <f>IF(SEFAZ!A556="","",SEFAZ!A556)</f>
        <v/>
      </c>
      <c r="C572" t="str">
        <f>IF(SEFAZ!C556="","",SEFAZ!C556)</f>
        <v/>
      </c>
      <c r="D572" t="str">
        <f>IF(SEFAZ!D556="","",SEFAZ!D556)</f>
        <v/>
      </c>
      <c r="E572" s="7" t="str">
        <f>IF(SEFAZ!E556="","",SEFAZ!E556)</f>
        <v/>
      </c>
      <c r="F572" s="6" t="str">
        <f>IF(SEFAZ!F556="","",VALUE(SUBSTITUTE(SEFAZ!F556,"'","")))</f>
        <v/>
      </c>
      <c r="G572" t="str">
        <f>IF(SEFAZ!H556="","",SEFAZ!H556)</f>
        <v/>
      </c>
      <c r="H572" t="str">
        <f>IF(SEFAZ!L556="","",SEFAZ!L556)</f>
        <v/>
      </c>
      <c r="I572" t="str">
        <f>IF(SEFAZ!N556="","",SEFAZ!N556)</f>
        <v/>
      </c>
      <c r="J572" t="str">
        <f>IF(SEFAZ!O556="","",SEFAZ!O556)</f>
        <v/>
      </c>
      <c r="K572" s="11" t="str">
        <f>IF(SEFAZ!P556="","",SEFAZ!P556)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hidden="1" x14ac:dyDescent="0.3">
      <c r="B573" t="str">
        <f>IF(SEFAZ!A557="","",SEFAZ!A557)</f>
        <v/>
      </c>
      <c r="C573" t="str">
        <f>IF(SEFAZ!C557="","",SEFAZ!C557)</f>
        <v/>
      </c>
      <c r="D573" t="str">
        <f>IF(SEFAZ!D557="","",SEFAZ!D557)</f>
        <v/>
      </c>
      <c r="E573" s="7" t="str">
        <f>IF(SEFAZ!E557="","",SEFAZ!E557)</f>
        <v/>
      </c>
      <c r="F573" s="6" t="str">
        <f>IF(SEFAZ!F557="","",VALUE(SUBSTITUTE(SEFAZ!F557,"'","")))</f>
        <v/>
      </c>
      <c r="G573" t="str">
        <f>IF(SEFAZ!H557="","",SEFAZ!H557)</f>
        <v/>
      </c>
      <c r="H573" t="str">
        <f>IF(SEFAZ!L557="","",SEFAZ!L557)</f>
        <v/>
      </c>
      <c r="I573" t="str">
        <f>IF(SEFAZ!N557="","",SEFAZ!N557)</f>
        <v/>
      </c>
      <c r="J573" t="str">
        <f>IF(SEFAZ!O557="","",SEFAZ!O557)</f>
        <v/>
      </c>
      <c r="K573" s="11" t="str">
        <f>IF(SEFAZ!P557="","",SEFAZ!P557)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hidden="1" x14ac:dyDescent="0.3">
      <c r="B574" t="str">
        <f>IF(SEFAZ!A558="","",SEFAZ!A558)</f>
        <v/>
      </c>
      <c r="C574" t="str">
        <f>IF(SEFAZ!C558="","",SEFAZ!C558)</f>
        <v/>
      </c>
      <c r="D574" t="str">
        <f>IF(SEFAZ!D558="","",SEFAZ!D558)</f>
        <v/>
      </c>
      <c r="E574" s="7" t="str">
        <f>IF(SEFAZ!E558="","",SEFAZ!E558)</f>
        <v/>
      </c>
      <c r="F574" s="6" t="str">
        <f>IF(SEFAZ!F558="","",VALUE(SUBSTITUTE(SEFAZ!F558,"'","")))</f>
        <v/>
      </c>
      <c r="G574" t="str">
        <f>IF(SEFAZ!H558="","",SEFAZ!H558)</f>
        <v/>
      </c>
      <c r="H574" t="str">
        <f>IF(SEFAZ!L558="","",SEFAZ!L558)</f>
        <v/>
      </c>
      <c r="I574" t="str">
        <f>IF(SEFAZ!N558="","",SEFAZ!N558)</f>
        <v/>
      </c>
      <c r="J574" t="str">
        <f>IF(SEFAZ!O558="","",SEFAZ!O558)</f>
        <v/>
      </c>
      <c r="K574" s="11" t="str">
        <f>IF(SEFAZ!P558="","",SEFAZ!P558)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hidden="1" x14ac:dyDescent="0.3">
      <c r="B575" t="str">
        <f>IF(SEFAZ!A559="","",SEFAZ!A559)</f>
        <v/>
      </c>
      <c r="C575" t="str">
        <f>IF(SEFAZ!C559="","",SEFAZ!C559)</f>
        <v/>
      </c>
      <c r="D575" t="str">
        <f>IF(SEFAZ!D559="","",SEFAZ!D559)</f>
        <v/>
      </c>
      <c r="E575" s="7" t="str">
        <f>IF(SEFAZ!E559="","",SEFAZ!E559)</f>
        <v/>
      </c>
      <c r="F575" s="6" t="str">
        <f>IF(SEFAZ!F559="","",VALUE(SUBSTITUTE(SEFAZ!F559,"'","")))</f>
        <v/>
      </c>
      <c r="G575" t="str">
        <f>IF(SEFAZ!H559="","",SEFAZ!H559)</f>
        <v/>
      </c>
      <c r="H575" t="str">
        <f>IF(SEFAZ!L559="","",SEFAZ!L559)</f>
        <v/>
      </c>
      <c r="I575" t="str">
        <f>IF(SEFAZ!N559="","",SEFAZ!N559)</f>
        <v/>
      </c>
      <c r="J575" t="str">
        <f>IF(SEFAZ!O559="","",SEFAZ!O559)</f>
        <v/>
      </c>
      <c r="K575" s="11" t="str">
        <f>IF(SEFAZ!P559="","",SEFAZ!P559)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hidden="1" x14ac:dyDescent="0.3">
      <c r="B576" t="str">
        <f>IF(SEFAZ!A560="","",SEFAZ!A560)</f>
        <v/>
      </c>
      <c r="C576" t="str">
        <f>IF(SEFAZ!C560="","",SEFAZ!C560)</f>
        <v/>
      </c>
      <c r="D576" t="str">
        <f>IF(SEFAZ!D560="","",SEFAZ!D560)</f>
        <v/>
      </c>
      <c r="E576" s="7" t="str">
        <f>IF(SEFAZ!E560="","",SEFAZ!E560)</f>
        <v/>
      </c>
      <c r="F576" s="6" t="str">
        <f>IF(SEFAZ!F560="","",VALUE(SUBSTITUTE(SEFAZ!F560,"'","")))</f>
        <v/>
      </c>
      <c r="G576" t="str">
        <f>IF(SEFAZ!H560="","",SEFAZ!H560)</f>
        <v/>
      </c>
      <c r="H576" t="str">
        <f>IF(SEFAZ!L560="","",SEFAZ!L560)</f>
        <v/>
      </c>
      <c r="I576" t="str">
        <f>IF(SEFAZ!N560="","",SEFAZ!N560)</f>
        <v/>
      </c>
      <c r="J576" t="str">
        <f>IF(SEFAZ!O560="","",SEFAZ!O560)</f>
        <v/>
      </c>
      <c r="K576" s="11" t="str">
        <f>IF(SEFAZ!P560="","",SEFAZ!P560)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hidden="1" x14ac:dyDescent="0.3">
      <c r="B577" t="str">
        <f>IF(SEFAZ!A561="","",SEFAZ!A561)</f>
        <v/>
      </c>
      <c r="C577" t="str">
        <f>IF(SEFAZ!C561="","",SEFAZ!C561)</f>
        <v/>
      </c>
      <c r="D577" t="str">
        <f>IF(SEFAZ!D561="","",SEFAZ!D561)</f>
        <v/>
      </c>
      <c r="E577" s="7" t="str">
        <f>IF(SEFAZ!E561="","",SEFAZ!E561)</f>
        <v/>
      </c>
      <c r="F577" s="6" t="str">
        <f>IF(SEFAZ!F561="","",VALUE(SUBSTITUTE(SEFAZ!F561,"'","")))</f>
        <v/>
      </c>
      <c r="G577" t="str">
        <f>IF(SEFAZ!H561="","",SEFAZ!H561)</f>
        <v/>
      </c>
      <c r="H577" t="str">
        <f>IF(SEFAZ!L561="","",SEFAZ!L561)</f>
        <v/>
      </c>
      <c r="I577" t="str">
        <f>IF(SEFAZ!N561="","",SEFAZ!N561)</f>
        <v/>
      </c>
      <c r="J577" t="str">
        <f>IF(SEFAZ!O561="","",SEFAZ!O561)</f>
        <v/>
      </c>
      <c r="K577" s="11" t="str">
        <f>IF(SEFAZ!P561="","",SEFAZ!P561)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hidden="1" x14ac:dyDescent="0.3">
      <c r="B578" t="str">
        <f>IF(SEFAZ!A562="","",SEFAZ!A562)</f>
        <v/>
      </c>
      <c r="C578" t="str">
        <f>IF(SEFAZ!C562="","",SEFAZ!C562)</f>
        <v/>
      </c>
      <c r="D578" t="str">
        <f>IF(SEFAZ!D562="","",SEFAZ!D562)</f>
        <v/>
      </c>
      <c r="E578" s="7" t="str">
        <f>IF(SEFAZ!E562="","",SEFAZ!E562)</f>
        <v/>
      </c>
      <c r="F578" s="6" t="str">
        <f>IF(SEFAZ!F562="","",VALUE(SUBSTITUTE(SEFAZ!F562,"'","")))</f>
        <v/>
      </c>
      <c r="G578" t="str">
        <f>IF(SEFAZ!H562="","",SEFAZ!H562)</f>
        <v/>
      </c>
      <c r="H578" t="str">
        <f>IF(SEFAZ!L562="","",SEFAZ!L562)</f>
        <v/>
      </c>
      <c r="I578" t="str">
        <f>IF(SEFAZ!N562="","",SEFAZ!N562)</f>
        <v/>
      </c>
      <c r="J578" t="str">
        <f>IF(SEFAZ!O562="","",SEFAZ!O562)</f>
        <v/>
      </c>
      <c r="K578" s="11" t="str">
        <f>IF(SEFAZ!P562="","",SEFAZ!P562)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hidden="1" x14ac:dyDescent="0.3">
      <c r="B579" t="str">
        <f>IF(SEFAZ!A563="","",SEFAZ!A563)</f>
        <v/>
      </c>
      <c r="C579" t="str">
        <f>IF(SEFAZ!C563="","",SEFAZ!C563)</f>
        <v/>
      </c>
      <c r="D579" t="str">
        <f>IF(SEFAZ!D563="","",SEFAZ!D563)</f>
        <v/>
      </c>
      <c r="E579" s="7" t="str">
        <f>IF(SEFAZ!E563="","",SEFAZ!E563)</f>
        <v/>
      </c>
      <c r="F579" s="6" t="str">
        <f>IF(SEFAZ!F563="","",VALUE(SUBSTITUTE(SEFAZ!F563,"'","")))</f>
        <v/>
      </c>
      <c r="G579" t="str">
        <f>IF(SEFAZ!H563="","",SEFAZ!H563)</f>
        <v/>
      </c>
      <c r="H579" t="str">
        <f>IF(SEFAZ!L563="","",SEFAZ!L563)</f>
        <v/>
      </c>
      <c r="I579" t="str">
        <f>IF(SEFAZ!N563="","",SEFAZ!N563)</f>
        <v/>
      </c>
      <c r="J579" t="str">
        <f>IF(SEFAZ!O563="","",SEFAZ!O563)</f>
        <v/>
      </c>
      <c r="K579" s="11" t="str">
        <f>IF(SEFAZ!P563="","",SEFAZ!P563)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hidden="1" x14ac:dyDescent="0.3">
      <c r="B580" t="str">
        <f>IF(SEFAZ!A564="","",SEFAZ!A564)</f>
        <v/>
      </c>
      <c r="C580" t="str">
        <f>IF(SEFAZ!C564="","",SEFAZ!C564)</f>
        <v/>
      </c>
      <c r="D580" t="str">
        <f>IF(SEFAZ!D564="","",SEFAZ!D564)</f>
        <v/>
      </c>
      <c r="E580" s="7" t="str">
        <f>IF(SEFAZ!E564="","",SEFAZ!E564)</f>
        <v/>
      </c>
      <c r="F580" s="6" t="str">
        <f>IF(SEFAZ!F564="","",VALUE(SUBSTITUTE(SEFAZ!F564,"'","")))</f>
        <v/>
      </c>
      <c r="G580" t="str">
        <f>IF(SEFAZ!H564="","",SEFAZ!H564)</f>
        <v/>
      </c>
      <c r="H580" t="str">
        <f>IF(SEFAZ!L564="","",SEFAZ!L564)</f>
        <v/>
      </c>
      <c r="I580" t="str">
        <f>IF(SEFAZ!N564="","",SEFAZ!N564)</f>
        <v/>
      </c>
      <c r="J580" t="str">
        <f>IF(SEFAZ!O564="","",SEFAZ!O564)</f>
        <v/>
      </c>
      <c r="K580" s="11" t="str">
        <f>IF(SEFAZ!P564="","",SEFAZ!P564)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hidden="1" x14ac:dyDescent="0.3">
      <c r="B581" t="str">
        <f>IF(SEFAZ!A565="","",SEFAZ!A565)</f>
        <v/>
      </c>
      <c r="C581" t="str">
        <f>IF(SEFAZ!C565="","",SEFAZ!C565)</f>
        <v/>
      </c>
      <c r="D581" t="str">
        <f>IF(SEFAZ!D565="","",SEFAZ!D565)</f>
        <v/>
      </c>
      <c r="E581" s="7" t="str">
        <f>IF(SEFAZ!E565="","",SEFAZ!E565)</f>
        <v/>
      </c>
      <c r="F581" s="6" t="str">
        <f>IF(SEFAZ!F565="","",VALUE(SUBSTITUTE(SEFAZ!F565,"'","")))</f>
        <v/>
      </c>
      <c r="G581" t="str">
        <f>IF(SEFAZ!H565="","",SEFAZ!H565)</f>
        <v/>
      </c>
      <c r="H581" t="str">
        <f>IF(SEFAZ!L565="","",SEFAZ!L565)</f>
        <v/>
      </c>
      <c r="I581" t="str">
        <f>IF(SEFAZ!N565="","",SEFAZ!N565)</f>
        <v/>
      </c>
      <c r="J581" t="str">
        <f>IF(SEFAZ!O565="","",SEFAZ!O565)</f>
        <v/>
      </c>
      <c r="K581" s="11" t="str">
        <f>IF(SEFAZ!P565="","",SEFAZ!P565)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hidden="1" x14ac:dyDescent="0.3">
      <c r="B582" t="str">
        <f>IF(SEFAZ!A566="","",SEFAZ!A566)</f>
        <v/>
      </c>
      <c r="C582" t="str">
        <f>IF(SEFAZ!C566="","",SEFAZ!C566)</f>
        <v/>
      </c>
      <c r="D582" t="str">
        <f>IF(SEFAZ!D566="","",SEFAZ!D566)</f>
        <v/>
      </c>
      <c r="E582" s="7" t="str">
        <f>IF(SEFAZ!E566="","",SEFAZ!E566)</f>
        <v/>
      </c>
      <c r="F582" s="6" t="str">
        <f>IF(SEFAZ!F566="","",VALUE(SUBSTITUTE(SEFAZ!F566,"'","")))</f>
        <v/>
      </c>
      <c r="G582" t="str">
        <f>IF(SEFAZ!H566="","",SEFAZ!H566)</f>
        <v/>
      </c>
      <c r="H582" t="str">
        <f>IF(SEFAZ!L566="","",SEFAZ!L566)</f>
        <v/>
      </c>
      <c r="I582" t="str">
        <f>IF(SEFAZ!N566="","",SEFAZ!N566)</f>
        <v/>
      </c>
      <c r="J582" t="str">
        <f>IF(SEFAZ!O566="","",SEFAZ!O566)</f>
        <v/>
      </c>
      <c r="K582" s="11" t="str">
        <f>IF(SEFAZ!P566="","",SEFAZ!P566)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hidden="1" x14ac:dyDescent="0.3">
      <c r="B583" t="str">
        <f>IF(SEFAZ!A567="","",SEFAZ!A567)</f>
        <v/>
      </c>
      <c r="C583" t="str">
        <f>IF(SEFAZ!C567="","",SEFAZ!C567)</f>
        <v/>
      </c>
      <c r="D583" t="str">
        <f>IF(SEFAZ!D567="","",SEFAZ!D567)</f>
        <v/>
      </c>
      <c r="E583" s="7" t="str">
        <f>IF(SEFAZ!E567="","",SEFAZ!E567)</f>
        <v/>
      </c>
      <c r="F583" s="6" t="str">
        <f>IF(SEFAZ!F567="","",VALUE(SUBSTITUTE(SEFAZ!F567,"'","")))</f>
        <v/>
      </c>
      <c r="G583" t="str">
        <f>IF(SEFAZ!H567="","",SEFAZ!H567)</f>
        <v/>
      </c>
      <c r="H583" t="str">
        <f>IF(SEFAZ!L567="","",SEFAZ!L567)</f>
        <v/>
      </c>
      <c r="I583" t="str">
        <f>IF(SEFAZ!N567="","",SEFAZ!N567)</f>
        <v/>
      </c>
      <c r="J583" t="str">
        <f>IF(SEFAZ!O567="","",SEFAZ!O567)</f>
        <v/>
      </c>
      <c r="K583" s="11" t="str">
        <f>IF(SEFAZ!P567="","",SEFAZ!P567)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hidden="1" x14ac:dyDescent="0.3">
      <c r="B584" t="str">
        <f>IF(SEFAZ!A568="","",SEFAZ!A568)</f>
        <v/>
      </c>
      <c r="C584" t="str">
        <f>IF(SEFAZ!C568="","",SEFAZ!C568)</f>
        <v/>
      </c>
      <c r="D584" t="str">
        <f>IF(SEFAZ!D568="","",SEFAZ!D568)</f>
        <v/>
      </c>
      <c r="E584" s="7" t="str">
        <f>IF(SEFAZ!E568="","",SEFAZ!E568)</f>
        <v/>
      </c>
      <c r="F584" s="6" t="str">
        <f>IF(SEFAZ!F568="","",VALUE(SUBSTITUTE(SEFAZ!F568,"'","")))</f>
        <v/>
      </c>
      <c r="G584" t="str">
        <f>IF(SEFAZ!H568="","",SEFAZ!H568)</f>
        <v/>
      </c>
      <c r="H584" t="str">
        <f>IF(SEFAZ!L568="","",SEFAZ!L568)</f>
        <v/>
      </c>
      <c r="I584" t="str">
        <f>IF(SEFAZ!N568="","",SEFAZ!N568)</f>
        <v/>
      </c>
      <c r="J584" t="str">
        <f>IF(SEFAZ!O568="","",SEFAZ!O568)</f>
        <v/>
      </c>
      <c r="K584" s="11" t="str">
        <f>IF(SEFAZ!P568="","",SEFAZ!P568)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hidden="1" x14ac:dyDescent="0.3">
      <c r="B585" t="str">
        <f>IF(SEFAZ!A569="","",SEFAZ!A569)</f>
        <v/>
      </c>
      <c r="C585" t="str">
        <f>IF(SEFAZ!C569="","",SEFAZ!C569)</f>
        <v/>
      </c>
      <c r="D585" t="str">
        <f>IF(SEFAZ!D569="","",SEFAZ!D569)</f>
        <v/>
      </c>
      <c r="E585" s="7" t="str">
        <f>IF(SEFAZ!E569="","",SEFAZ!E569)</f>
        <v/>
      </c>
      <c r="F585" s="6" t="str">
        <f>IF(SEFAZ!F569="","",VALUE(SUBSTITUTE(SEFAZ!F569,"'","")))</f>
        <v/>
      </c>
      <c r="G585" t="str">
        <f>IF(SEFAZ!H569="","",SEFAZ!H569)</f>
        <v/>
      </c>
      <c r="H585" t="str">
        <f>IF(SEFAZ!L569="","",SEFAZ!L569)</f>
        <v/>
      </c>
      <c r="I585" t="str">
        <f>IF(SEFAZ!N569="","",SEFAZ!N569)</f>
        <v/>
      </c>
      <c r="J585" t="str">
        <f>IF(SEFAZ!O569="","",SEFAZ!O569)</f>
        <v/>
      </c>
      <c r="K585" s="11" t="str">
        <f>IF(SEFAZ!P569="","",SEFAZ!P569)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hidden="1" x14ac:dyDescent="0.3">
      <c r="B586" t="str">
        <f>IF(SEFAZ!A570="","",SEFAZ!A570)</f>
        <v/>
      </c>
      <c r="C586" t="str">
        <f>IF(SEFAZ!C570="","",SEFAZ!C570)</f>
        <v/>
      </c>
      <c r="D586" t="str">
        <f>IF(SEFAZ!D570="","",SEFAZ!D570)</f>
        <v/>
      </c>
      <c r="E586" s="7" t="str">
        <f>IF(SEFAZ!E570="","",SEFAZ!E570)</f>
        <v/>
      </c>
      <c r="F586" s="6" t="str">
        <f>IF(SEFAZ!F570="","",VALUE(SUBSTITUTE(SEFAZ!F570,"'","")))</f>
        <v/>
      </c>
      <c r="G586" t="str">
        <f>IF(SEFAZ!H570="","",SEFAZ!H570)</f>
        <v/>
      </c>
      <c r="H586" t="str">
        <f>IF(SEFAZ!L570="","",SEFAZ!L570)</f>
        <v/>
      </c>
      <c r="I586" t="str">
        <f>IF(SEFAZ!N570="","",SEFAZ!N570)</f>
        <v/>
      </c>
      <c r="J586" t="str">
        <f>IF(SEFAZ!O570="","",SEFAZ!O570)</f>
        <v/>
      </c>
      <c r="K586" s="11" t="str">
        <f>IF(SEFAZ!P570="","",SEFAZ!P570)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hidden="1" x14ac:dyDescent="0.3">
      <c r="B587" t="str">
        <f>IF(SEFAZ!A571="","",SEFAZ!A571)</f>
        <v/>
      </c>
      <c r="C587" t="str">
        <f>IF(SEFAZ!C571="","",SEFAZ!C571)</f>
        <v/>
      </c>
      <c r="D587" t="str">
        <f>IF(SEFAZ!D571="","",SEFAZ!D571)</f>
        <v/>
      </c>
      <c r="E587" s="7" t="str">
        <f>IF(SEFAZ!E571="","",SEFAZ!E571)</f>
        <v/>
      </c>
      <c r="F587" s="6" t="str">
        <f>IF(SEFAZ!F571="","",VALUE(SUBSTITUTE(SEFAZ!F571,"'","")))</f>
        <v/>
      </c>
      <c r="G587" t="str">
        <f>IF(SEFAZ!H571="","",SEFAZ!H571)</f>
        <v/>
      </c>
      <c r="H587" t="str">
        <f>IF(SEFAZ!L571="","",SEFAZ!L571)</f>
        <v/>
      </c>
      <c r="I587" t="str">
        <f>IF(SEFAZ!N571="","",SEFAZ!N571)</f>
        <v/>
      </c>
      <c r="J587" t="str">
        <f>IF(SEFAZ!O571="","",SEFAZ!O571)</f>
        <v/>
      </c>
      <c r="K587" s="11" t="str">
        <f>IF(SEFAZ!P571="","",SEFAZ!P571)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hidden="1" x14ac:dyDescent="0.3">
      <c r="B588" t="str">
        <f>IF(SEFAZ!A572="","",SEFAZ!A572)</f>
        <v/>
      </c>
      <c r="C588" t="str">
        <f>IF(SEFAZ!C572="","",SEFAZ!C572)</f>
        <v/>
      </c>
      <c r="D588" t="str">
        <f>IF(SEFAZ!D572="","",SEFAZ!D572)</f>
        <v/>
      </c>
      <c r="E588" s="7" t="str">
        <f>IF(SEFAZ!E572="","",SEFAZ!E572)</f>
        <v/>
      </c>
      <c r="F588" s="6" t="str">
        <f>IF(SEFAZ!F572="","",VALUE(SUBSTITUTE(SEFAZ!F572,"'","")))</f>
        <v/>
      </c>
      <c r="G588" t="str">
        <f>IF(SEFAZ!H572="","",SEFAZ!H572)</f>
        <v/>
      </c>
      <c r="H588" t="str">
        <f>IF(SEFAZ!L572="","",SEFAZ!L572)</f>
        <v/>
      </c>
      <c r="I588" t="str">
        <f>IF(SEFAZ!N572="","",SEFAZ!N572)</f>
        <v/>
      </c>
      <c r="J588" t="str">
        <f>IF(SEFAZ!O572="","",SEFAZ!O572)</f>
        <v/>
      </c>
      <c r="K588" s="11" t="str">
        <f>IF(SEFAZ!P572="","",SEFAZ!P572)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hidden="1" x14ac:dyDescent="0.3">
      <c r="B589" t="str">
        <f>IF(SEFAZ!A573="","",SEFAZ!A573)</f>
        <v/>
      </c>
      <c r="C589" t="str">
        <f>IF(SEFAZ!C573="","",SEFAZ!C573)</f>
        <v/>
      </c>
      <c r="D589" t="str">
        <f>IF(SEFAZ!D573="","",SEFAZ!D573)</f>
        <v/>
      </c>
      <c r="E589" s="7" t="str">
        <f>IF(SEFAZ!E573="","",SEFAZ!E573)</f>
        <v/>
      </c>
      <c r="F589" s="6" t="str">
        <f>IF(SEFAZ!F573="","",VALUE(SUBSTITUTE(SEFAZ!F573,"'","")))</f>
        <v/>
      </c>
      <c r="G589" t="str">
        <f>IF(SEFAZ!H573="","",SEFAZ!H573)</f>
        <v/>
      </c>
      <c r="H589" t="str">
        <f>IF(SEFAZ!L573="","",SEFAZ!L573)</f>
        <v/>
      </c>
      <c r="I589" t="str">
        <f>IF(SEFAZ!N573="","",SEFAZ!N573)</f>
        <v/>
      </c>
      <c r="J589" t="str">
        <f>IF(SEFAZ!O573="","",SEFAZ!O573)</f>
        <v/>
      </c>
      <c r="K589" s="11" t="str">
        <f>IF(SEFAZ!P573="","",SEFAZ!P573)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hidden="1" x14ac:dyDescent="0.3">
      <c r="B590" t="str">
        <f>IF(SEFAZ!A574="","",SEFAZ!A574)</f>
        <v/>
      </c>
      <c r="C590" t="str">
        <f>IF(SEFAZ!C574="","",SEFAZ!C574)</f>
        <v/>
      </c>
      <c r="D590" t="str">
        <f>IF(SEFAZ!D574="","",SEFAZ!D574)</f>
        <v/>
      </c>
      <c r="E590" s="7" t="str">
        <f>IF(SEFAZ!E574="","",SEFAZ!E574)</f>
        <v/>
      </c>
      <c r="F590" s="6" t="str">
        <f>IF(SEFAZ!F574="","",VALUE(SUBSTITUTE(SEFAZ!F574,"'","")))</f>
        <v/>
      </c>
      <c r="G590" t="str">
        <f>IF(SEFAZ!H574="","",SEFAZ!H574)</f>
        <v/>
      </c>
      <c r="H590" t="str">
        <f>IF(SEFAZ!L574="","",SEFAZ!L574)</f>
        <v/>
      </c>
      <c r="I590" t="str">
        <f>IF(SEFAZ!N574="","",SEFAZ!N574)</f>
        <v/>
      </c>
      <c r="J590" t="str">
        <f>IF(SEFAZ!O574="","",SEFAZ!O574)</f>
        <v/>
      </c>
      <c r="K590" s="11" t="str">
        <f>IF(SEFAZ!P574="","",SEFAZ!P574)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hidden="1" x14ac:dyDescent="0.3">
      <c r="B591" t="str">
        <f>IF(SEFAZ!A575="","",SEFAZ!A575)</f>
        <v/>
      </c>
      <c r="C591" t="str">
        <f>IF(SEFAZ!C575="","",SEFAZ!C575)</f>
        <v/>
      </c>
      <c r="D591" t="str">
        <f>IF(SEFAZ!D575="","",SEFAZ!D575)</f>
        <v/>
      </c>
      <c r="E591" s="7" t="str">
        <f>IF(SEFAZ!E575="","",SEFAZ!E575)</f>
        <v/>
      </c>
      <c r="F591" s="6" t="str">
        <f>IF(SEFAZ!F575="","",VALUE(SUBSTITUTE(SEFAZ!F575,"'","")))</f>
        <v/>
      </c>
      <c r="G591" t="str">
        <f>IF(SEFAZ!H575="","",SEFAZ!H575)</f>
        <v/>
      </c>
      <c r="H591" t="str">
        <f>IF(SEFAZ!L575="","",SEFAZ!L575)</f>
        <v/>
      </c>
      <c r="I591" t="str">
        <f>IF(SEFAZ!N575="","",SEFAZ!N575)</f>
        <v/>
      </c>
      <c r="J591" t="str">
        <f>IF(SEFAZ!O575="","",SEFAZ!O575)</f>
        <v/>
      </c>
      <c r="K591" s="11" t="str">
        <f>IF(SEFAZ!P575="","",SEFAZ!P575)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hidden="1" x14ac:dyDescent="0.3">
      <c r="B592" t="str">
        <f>IF(SEFAZ!A576="","",SEFAZ!A576)</f>
        <v/>
      </c>
      <c r="C592" t="str">
        <f>IF(SEFAZ!C576="","",SEFAZ!C576)</f>
        <v/>
      </c>
      <c r="D592" t="str">
        <f>IF(SEFAZ!D576="","",SEFAZ!D576)</f>
        <v/>
      </c>
      <c r="E592" s="7" t="str">
        <f>IF(SEFAZ!E576="","",SEFAZ!E576)</f>
        <v/>
      </c>
      <c r="F592" s="6" t="str">
        <f>IF(SEFAZ!F576="","",VALUE(SUBSTITUTE(SEFAZ!F576,"'","")))</f>
        <v/>
      </c>
      <c r="G592" t="str">
        <f>IF(SEFAZ!H576="","",SEFAZ!H576)</f>
        <v/>
      </c>
      <c r="H592" t="str">
        <f>IF(SEFAZ!L576="","",SEFAZ!L576)</f>
        <v/>
      </c>
      <c r="I592" t="str">
        <f>IF(SEFAZ!N576="","",SEFAZ!N576)</f>
        <v/>
      </c>
      <c r="J592" t="str">
        <f>IF(SEFAZ!O576="","",SEFAZ!O576)</f>
        <v/>
      </c>
      <c r="K592" s="11" t="str">
        <f>IF(SEFAZ!P576="","",SEFAZ!P576)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hidden="1" x14ac:dyDescent="0.3">
      <c r="B593" t="str">
        <f>IF(SEFAZ!A577="","",SEFAZ!A577)</f>
        <v/>
      </c>
      <c r="C593" t="str">
        <f>IF(SEFAZ!C577="","",SEFAZ!C577)</f>
        <v/>
      </c>
      <c r="D593" t="str">
        <f>IF(SEFAZ!D577="","",SEFAZ!D577)</f>
        <v/>
      </c>
      <c r="E593" s="7" t="str">
        <f>IF(SEFAZ!E577="","",SEFAZ!E577)</f>
        <v/>
      </c>
      <c r="F593" s="6" t="str">
        <f>IF(SEFAZ!F577="","",VALUE(SUBSTITUTE(SEFAZ!F577,"'","")))</f>
        <v/>
      </c>
      <c r="G593" t="str">
        <f>IF(SEFAZ!H577="","",SEFAZ!H577)</f>
        <v/>
      </c>
      <c r="H593" t="str">
        <f>IF(SEFAZ!L577="","",SEFAZ!L577)</f>
        <v/>
      </c>
      <c r="I593" t="str">
        <f>IF(SEFAZ!N577="","",SEFAZ!N577)</f>
        <v/>
      </c>
      <c r="J593" t="str">
        <f>IF(SEFAZ!O577="","",SEFAZ!O577)</f>
        <v/>
      </c>
      <c r="K593" s="11" t="str">
        <f>IF(SEFAZ!P577="","",SEFAZ!P577)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hidden="1" x14ac:dyDescent="0.3">
      <c r="B594" t="str">
        <f>IF(SEFAZ!A578="","",SEFAZ!A578)</f>
        <v/>
      </c>
      <c r="C594" t="str">
        <f>IF(SEFAZ!C578="","",SEFAZ!C578)</f>
        <v/>
      </c>
      <c r="D594" t="str">
        <f>IF(SEFAZ!D578="","",SEFAZ!D578)</f>
        <v/>
      </c>
      <c r="E594" s="7" t="str">
        <f>IF(SEFAZ!E578="","",SEFAZ!E578)</f>
        <v/>
      </c>
      <c r="F594" s="6" t="str">
        <f>IF(SEFAZ!F578="","",VALUE(SUBSTITUTE(SEFAZ!F578,"'","")))</f>
        <v/>
      </c>
      <c r="G594" t="str">
        <f>IF(SEFAZ!H578="","",SEFAZ!H578)</f>
        <v/>
      </c>
      <c r="H594" t="str">
        <f>IF(SEFAZ!L578="","",SEFAZ!L578)</f>
        <v/>
      </c>
      <c r="I594" t="str">
        <f>IF(SEFAZ!N578="","",SEFAZ!N578)</f>
        <v/>
      </c>
      <c r="J594" t="str">
        <f>IF(SEFAZ!O578="","",SEFAZ!O578)</f>
        <v/>
      </c>
      <c r="K594" s="11" t="str">
        <f>IF(SEFAZ!P578="","",SEFAZ!P578)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hidden="1" x14ac:dyDescent="0.3">
      <c r="B595" t="str">
        <f>IF(SEFAZ!A579="","",SEFAZ!A579)</f>
        <v/>
      </c>
      <c r="C595" t="str">
        <f>IF(SEFAZ!C579="","",SEFAZ!C579)</f>
        <v/>
      </c>
      <c r="D595" t="str">
        <f>IF(SEFAZ!D579="","",SEFAZ!D579)</f>
        <v/>
      </c>
      <c r="E595" s="7" t="str">
        <f>IF(SEFAZ!E579="","",SEFAZ!E579)</f>
        <v/>
      </c>
      <c r="F595" s="6" t="str">
        <f>IF(SEFAZ!F579="","",VALUE(SUBSTITUTE(SEFAZ!F579,"'","")))</f>
        <v/>
      </c>
      <c r="G595" t="str">
        <f>IF(SEFAZ!H579="","",SEFAZ!H579)</f>
        <v/>
      </c>
      <c r="H595" t="str">
        <f>IF(SEFAZ!L579="","",SEFAZ!L579)</f>
        <v/>
      </c>
      <c r="I595" t="str">
        <f>IF(SEFAZ!N579="","",SEFAZ!N579)</f>
        <v/>
      </c>
      <c r="J595" t="str">
        <f>IF(SEFAZ!O579="","",SEFAZ!O579)</f>
        <v/>
      </c>
      <c r="K595" s="11" t="str">
        <f>IF(SEFAZ!P579="","",SEFAZ!P579)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hidden="1" x14ac:dyDescent="0.3">
      <c r="B596" t="str">
        <f>IF(SEFAZ!A580="","",SEFAZ!A580)</f>
        <v/>
      </c>
      <c r="C596" t="str">
        <f>IF(SEFAZ!C580="","",SEFAZ!C580)</f>
        <v/>
      </c>
      <c r="D596" t="str">
        <f>IF(SEFAZ!D580="","",SEFAZ!D580)</f>
        <v/>
      </c>
      <c r="E596" s="7" t="str">
        <f>IF(SEFAZ!E580="","",SEFAZ!E580)</f>
        <v/>
      </c>
      <c r="F596" s="6" t="str">
        <f>IF(SEFAZ!F580="","",VALUE(SUBSTITUTE(SEFAZ!F580,"'","")))</f>
        <v/>
      </c>
      <c r="G596" t="str">
        <f>IF(SEFAZ!H580="","",SEFAZ!H580)</f>
        <v/>
      </c>
      <c r="H596" t="str">
        <f>IF(SEFAZ!L580="","",SEFAZ!L580)</f>
        <v/>
      </c>
      <c r="I596" t="str">
        <f>IF(SEFAZ!N580="","",SEFAZ!N580)</f>
        <v/>
      </c>
      <c r="J596" t="str">
        <f>IF(SEFAZ!O580="","",SEFAZ!O580)</f>
        <v/>
      </c>
      <c r="K596" s="11" t="str">
        <f>IF(SEFAZ!P580="","",SEFAZ!P580)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hidden="1" x14ac:dyDescent="0.3">
      <c r="B597" t="str">
        <f>IF(SEFAZ!A581="","",SEFAZ!A581)</f>
        <v/>
      </c>
      <c r="C597" t="str">
        <f>IF(SEFAZ!C581="","",SEFAZ!C581)</f>
        <v/>
      </c>
      <c r="D597" t="str">
        <f>IF(SEFAZ!D581="","",SEFAZ!D581)</f>
        <v/>
      </c>
      <c r="E597" s="7" t="str">
        <f>IF(SEFAZ!E581="","",SEFAZ!E581)</f>
        <v/>
      </c>
      <c r="F597" s="6" t="str">
        <f>IF(SEFAZ!F581="","",VALUE(SUBSTITUTE(SEFAZ!F581,"'","")))</f>
        <v/>
      </c>
      <c r="G597" t="str">
        <f>IF(SEFAZ!H581="","",SEFAZ!H581)</f>
        <v/>
      </c>
      <c r="H597" t="str">
        <f>IF(SEFAZ!L581="","",SEFAZ!L581)</f>
        <v/>
      </c>
      <c r="I597" t="str">
        <f>IF(SEFAZ!N581="","",SEFAZ!N581)</f>
        <v/>
      </c>
      <c r="J597" t="str">
        <f>IF(SEFAZ!O581="","",SEFAZ!O581)</f>
        <v/>
      </c>
      <c r="K597" s="11" t="str">
        <f>IF(SEFAZ!P581="","",SEFAZ!P581)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hidden="1" x14ac:dyDescent="0.3">
      <c r="B598" t="str">
        <f>IF(SEFAZ!A582="","",SEFAZ!A582)</f>
        <v/>
      </c>
      <c r="C598" t="str">
        <f>IF(SEFAZ!C582="","",SEFAZ!C582)</f>
        <v/>
      </c>
      <c r="D598" t="str">
        <f>IF(SEFAZ!D582="","",SEFAZ!D582)</f>
        <v/>
      </c>
      <c r="E598" s="7" t="str">
        <f>IF(SEFAZ!E582="","",SEFAZ!E582)</f>
        <v/>
      </c>
      <c r="F598" s="6" t="str">
        <f>IF(SEFAZ!F582="","",VALUE(SUBSTITUTE(SEFAZ!F582,"'","")))</f>
        <v/>
      </c>
      <c r="G598" t="str">
        <f>IF(SEFAZ!H582="","",SEFAZ!H582)</f>
        <v/>
      </c>
      <c r="H598" t="str">
        <f>IF(SEFAZ!L582="","",SEFAZ!L582)</f>
        <v/>
      </c>
      <c r="I598" t="str">
        <f>IF(SEFAZ!N582="","",SEFAZ!N582)</f>
        <v/>
      </c>
      <c r="J598" t="str">
        <f>IF(SEFAZ!O582="","",SEFAZ!O582)</f>
        <v/>
      </c>
      <c r="K598" s="11" t="str">
        <f>IF(SEFAZ!P582="","",SEFAZ!P582)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hidden="1" x14ac:dyDescent="0.3">
      <c r="B599" t="str">
        <f>IF(SEFAZ!A583="","",SEFAZ!A583)</f>
        <v/>
      </c>
      <c r="C599" t="str">
        <f>IF(SEFAZ!C583="","",SEFAZ!C583)</f>
        <v/>
      </c>
      <c r="D599" t="str">
        <f>IF(SEFAZ!D583="","",SEFAZ!D583)</f>
        <v/>
      </c>
      <c r="E599" s="7" t="str">
        <f>IF(SEFAZ!E583="","",SEFAZ!E583)</f>
        <v/>
      </c>
      <c r="F599" s="6" t="str">
        <f>IF(SEFAZ!F583="","",VALUE(SUBSTITUTE(SEFAZ!F583,"'","")))</f>
        <v/>
      </c>
      <c r="G599" t="str">
        <f>IF(SEFAZ!H583="","",SEFAZ!H583)</f>
        <v/>
      </c>
      <c r="H599" t="str">
        <f>IF(SEFAZ!L583="","",SEFAZ!L583)</f>
        <v/>
      </c>
      <c r="I599" t="str">
        <f>IF(SEFAZ!N583="","",SEFAZ!N583)</f>
        <v/>
      </c>
      <c r="J599" t="str">
        <f>IF(SEFAZ!O583="","",SEFAZ!O583)</f>
        <v/>
      </c>
      <c r="K599" s="11" t="str">
        <f>IF(SEFAZ!P583="","",SEFAZ!P583)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hidden="1" x14ac:dyDescent="0.3">
      <c r="B600" t="str">
        <f>IF(SEFAZ!A584="","",SEFAZ!A584)</f>
        <v/>
      </c>
      <c r="C600" t="str">
        <f>IF(SEFAZ!C584="","",SEFAZ!C584)</f>
        <v/>
      </c>
      <c r="D600" t="str">
        <f>IF(SEFAZ!D584="","",SEFAZ!D584)</f>
        <v/>
      </c>
      <c r="E600" s="7" t="str">
        <f>IF(SEFAZ!E584="","",SEFAZ!E584)</f>
        <v/>
      </c>
      <c r="F600" s="6" t="str">
        <f>IF(SEFAZ!F584="","",VALUE(SUBSTITUTE(SEFAZ!F584,"'","")))</f>
        <v/>
      </c>
      <c r="G600" t="str">
        <f>IF(SEFAZ!H584="","",SEFAZ!H584)</f>
        <v/>
      </c>
      <c r="H600" t="str">
        <f>IF(SEFAZ!L584="","",SEFAZ!L584)</f>
        <v/>
      </c>
      <c r="I600" t="str">
        <f>IF(SEFAZ!N584="","",SEFAZ!N584)</f>
        <v/>
      </c>
      <c r="J600" t="str">
        <f>IF(SEFAZ!O584="","",SEFAZ!O584)</f>
        <v/>
      </c>
      <c r="K600" s="11" t="str">
        <f>IF(SEFAZ!P584="","",SEFAZ!P584)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hidden="1" x14ac:dyDescent="0.3">
      <c r="B601" t="str">
        <f>IF(SEFAZ!A585="","",SEFAZ!A585)</f>
        <v/>
      </c>
      <c r="C601" t="str">
        <f>IF(SEFAZ!C585="","",SEFAZ!C585)</f>
        <v/>
      </c>
      <c r="D601" t="str">
        <f>IF(SEFAZ!D585="","",SEFAZ!D585)</f>
        <v/>
      </c>
      <c r="E601" s="7" t="str">
        <f>IF(SEFAZ!E585="","",SEFAZ!E585)</f>
        <v/>
      </c>
      <c r="F601" s="6" t="str">
        <f>IF(SEFAZ!F585="","",VALUE(SUBSTITUTE(SEFAZ!F585,"'","")))</f>
        <v/>
      </c>
      <c r="G601" t="str">
        <f>IF(SEFAZ!H585="","",SEFAZ!H585)</f>
        <v/>
      </c>
      <c r="H601" t="str">
        <f>IF(SEFAZ!L585="","",SEFAZ!L585)</f>
        <v/>
      </c>
      <c r="I601" t="str">
        <f>IF(SEFAZ!N585="","",SEFAZ!N585)</f>
        <v/>
      </c>
      <c r="J601" t="str">
        <f>IF(SEFAZ!O585="","",SEFAZ!O585)</f>
        <v/>
      </c>
      <c r="K601" s="11" t="str">
        <f>IF(SEFAZ!P585="","",SEFAZ!P585)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hidden="1" x14ac:dyDescent="0.3">
      <c r="B602" t="str">
        <f>IF(SEFAZ!A586="","",SEFAZ!A586)</f>
        <v/>
      </c>
      <c r="C602" t="str">
        <f>IF(SEFAZ!C586="","",SEFAZ!C586)</f>
        <v/>
      </c>
      <c r="D602" t="str">
        <f>IF(SEFAZ!D586="","",SEFAZ!D586)</f>
        <v/>
      </c>
      <c r="E602" s="7" t="str">
        <f>IF(SEFAZ!E586="","",SEFAZ!E586)</f>
        <v/>
      </c>
      <c r="F602" s="6" t="str">
        <f>IF(SEFAZ!F586="","",VALUE(SUBSTITUTE(SEFAZ!F586,"'","")))</f>
        <v/>
      </c>
      <c r="G602" t="str">
        <f>IF(SEFAZ!H586="","",SEFAZ!H586)</f>
        <v/>
      </c>
      <c r="H602" t="str">
        <f>IF(SEFAZ!L586="","",SEFAZ!L586)</f>
        <v/>
      </c>
      <c r="I602" t="str">
        <f>IF(SEFAZ!N586="","",SEFAZ!N586)</f>
        <v/>
      </c>
      <c r="J602" t="str">
        <f>IF(SEFAZ!O586="","",SEFAZ!O586)</f>
        <v/>
      </c>
      <c r="K602" s="11" t="str">
        <f>IF(SEFAZ!P586="","",SEFAZ!P586)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hidden="1" x14ac:dyDescent="0.3">
      <c r="B603" t="str">
        <f>IF(SEFAZ!A587="","",SEFAZ!A587)</f>
        <v/>
      </c>
      <c r="C603" t="str">
        <f>IF(SEFAZ!C587="","",SEFAZ!C587)</f>
        <v/>
      </c>
      <c r="D603" t="str">
        <f>IF(SEFAZ!D587="","",SEFAZ!D587)</f>
        <v/>
      </c>
      <c r="E603" s="7" t="str">
        <f>IF(SEFAZ!E587="","",SEFAZ!E587)</f>
        <v/>
      </c>
      <c r="F603" s="6" t="str">
        <f>IF(SEFAZ!F587="","",VALUE(SUBSTITUTE(SEFAZ!F587,"'","")))</f>
        <v/>
      </c>
      <c r="G603" t="str">
        <f>IF(SEFAZ!H587="","",SEFAZ!H587)</f>
        <v/>
      </c>
      <c r="H603" t="str">
        <f>IF(SEFAZ!L587="","",SEFAZ!L587)</f>
        <v/>
      </c>
      <c r="I603" t="str">
        <f>IF(SEFAZ!N587="","",SEFAZ!N587)</f>
        <v/>
      </c>
      <c r="J603" t="str">
        <f>IF(SEFAZ!O587="","",SEFAZ!O587)</f>
        <v/>
      </c>
      <c r="K603" s="11" t="str">
        <f>IF(SEFAZ!P587="","",SEFAZ!P587)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hidden="1" x14ac:dyDescent="0.3">
      <c r="B604" t="str">
        <f>IF(SEFAZ!A588="","",SEFAZ!A588)</f>
        <v/>
      </c>
      <c r="C604" t="str">
        <f>IF(SEFAZ!C588="","",SEFAZ!C588)</f>
        <v/>
      </c>
      <c r="D604" t="str">
        <f>IF(SEFAZ!D588="","",SEFAZ!D588)</f>
        <v/>
      </c>
      <c r="E604" s="7" t="str">
        <f>IF(SEFAZ!E588="","",SEFAZ!E588)</f>
        <v/>
      </c>
      <c r="F604" s="6" t="str">
        <f>IF(SEFAZ!F588="","",VALUE(SUBSTITUTE(SEFAZ!F588,"'","")))</f>
        <v/>
      </c>
      <c r="G604" t="str">
        <f>IF(SEFAZ!H588="","",SEFAZ!H588)</f>
        <v/>
      </c>
      <c r="H604" t="str">
        <f>IF(SEFAZ!L588="","",SEFAZ!L588)</f>
        <v/>
      </c>
      <c r="I604" t="str">
        <f>IF(SEFAZ!N588="","",SEFAZ!N588)</f>
        <v/>
      </c>
      <c r="J604" t="str">
        <f>IF(SEFAZ!O588="","",SEFAZ!O588)</f>
        <v/>
      </c>
      <c r="K604" s="11" t="str">
        <f>IF(SEFAZ!P588="","",SEFAZ!P588)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hidden="1" x14ac:dyDescent="0.3">
      <c r="B605" t="str">
        <f>IF(SEFAZ!A589="","",SEFAZ!A589)</f>
        <v/>
      </c>
      <c r="C605" t="str">
        <f>IF(SEFAZ!C589="","",SEFAZ!C589)</f>
        <v/>
      </c>
      <c r="D605" t="str">
        <f>IF(SEFAZ!D589="","",SEFAZ!D589)</f>
        <v/>
      </c>
      <c r="E605" s="7" t="str">
        <f>IF(SEFAZ!E589="","",SEFAZ!E589)</f>
        <v/>
      </c>
      <c r="F605" s="6" t="str">
        <f>IF(SEFAZ!F589="","",VALUE(SUBSTITUTE(SEFAZ!F589,"'","")))</f>
        <v/>
      </c>
      <c r="G605" t="str">
        <f>IF(SEFAZ!H589="","",SEFAZ!H589)</f>
        <v/>
      </c>
      <c r="H605" t="str">
        <f>IF(SEFAZ!L589="","",SEFAZ!L589)</f>
        <v/>
      </c>
      <c r="I605" t="str">
        <f>IF(SEFAZ!N589="","",SEFAZ!N589)</f>
        <v/>
      </c>
      <c r="J605" t="str">
        <f>IF(SEFAZ!O589="","",SEFAZ!O589)</f>
        <v/>
      </c>
      <c r="K605" s="11" t="str">
        <f>IF(SEFAZ!P589="","",SEFAZ!P589)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hidden="1" x14ac:dyDescent="0.3">
      <c r="B606" t="str">
        <f>IF(SEFAZ!A590="","",SEFAZ!A590)</f>
        <v/>
      </c>
      <c r="C606" t="str">
        <f>IF(SEFAZ!C590="","",SEFAZ!C590)</f>
        <v/>
      </c>
      <c r="D606" t="str">
        <f>IF(SEFAZ!D590="","",SEFAZ!D590)</f>
        <v/>
      </c>
      <c r="E606" s="7" t="str">
        <f>IF(SEFAZ!E590="","",SEFAZ!E590)</f>
        <v/>
      </c>
      <c r="F606" s="6" t="str">
        <f>IF(SEFAZ!F590="","",VALUE(SUBSTITUTE(SEFAZ!F590,"'","")))</f>
        <v/>
      </c>
      <c r="G606" t="str">
        <f>IF(SEFAZ!H590="","",SEFAZ!H590)</f>
        <v/>
      </c>
      <c r="H606" t="str">
        <f>IF(SEFAZ!L590="","",SEFAZ!L590)</f>
        <v/>
      </c>
      <c r="I606" t="str">
        <f>IF(SEFAZ!N590="","",SEFAZ!N590)</f>
        <v/>
      </c>
      <c r="J606" t="str">
        <f>IF(SEFAZ!O590="","",SEFAZ!O590)</f>
        <v/>
      </c>
      <c r="K606" s="11" t="str">
        <f>IF(SEFAZ!P590="","",SEFAZ!P590)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hidden="1" x14ac:dyDescent="0.3">
      <c r="B607" t="str">
        <f>IF(SEFAZ!A591="","",SEFAZ!A591)</f>
        <v/>
      </c>
      <c r="C607" t="str">
        <f>IF(SEFAZ!C591="","",SEFAZ!C591)</f>
        <v/>
      </c>
      <c r="D607" t="str">
        <f>IF(SEFAZ!D591="","",SEFAZ!D591)</f>
        <v/>
      </c>
      <c r="E607" s="7" t="str">
        <f>IF(SEFAZ!E591="","",SEFAZ!E591)</f>
        <v/>
      </c>
      <c r="F607" s="6" t="str">
        <f>IF(SEFAZ!F591="","",VALUE(SUBSTITUTE(SEFAZ!F591,"'","")))</f>
        <v/>
      </c>
      <c r="G607" t="str">
        <f>IF(SEFAZ!H591="","",SEFAZ!H591)</f>
        <v/>
      </c>
      <c r="H607" t="str">
        <f>IF(SEFAZ!L591="","",SEFAZ!L591)</f>
        <v/>
      </c>
      <c r="I607" t="str">
        <f>IF(SEFAZ!N591="","",SEFAZ!N591)</f>
        <v/>
      </c>
      <c r="J607" t="str">
        <f>IF(SEFAZ!O591="","",SEFAZ!O591)</f>
        <v/>
      </c>
      <c r="K607" s="11" t="str">
        <f>IF(SEFAZ!P591="","",SEFAZ!P591)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hidden="1" x14ac:dyDescent="0.3">
      <c r="B608" t="str">
        <f>IF(SEFAZ!A592="","",SEFAZ!A592)</f>
        <v/>
      </c>
      <c r="C608" t="str">
        <f>IF(SEFAZ!C592="","",SEFAZ!C592)</f>
        <v/>
      </c>
      <c r="D608" t="str">
        <f>IF(SEFAZ!D592="","",SEFAZ!D592)</f>
        <v/>
      </c>
      <c r="E608" s="7" t="str">
        <f>IF(SEFAZ!E592="","",SEFAZ!E592)</f>
        <v/>
      </c>
      <c r="F608" s="6" t="str">
        <f>IF(SEFAZ!F592="","",VALUE(SUBSTITUTE(SEFAZ!F592,"'","")))</f>
        <v/>
      </c>
      <c r="G608" t="str">
        <f>IF(SEFAZ!H592="","",SEFAZ!H592)</f>
        <v/>
      </c>
      <c r="H608" t="str">
        <f>IF(SEFAZ!L592="","",SEFAZ!L592)</f>
        <v/>
      </c>
      <c r="I608" t="str">
        <f>IF(SEFAZ!N592="","",SEFAZ!N592)</f>
        <v/>
      </c>
      <c r="J608" t="str">
        <f>IF(SEFAZ!O592="","",SEFAZ!O592)</f>
        <v/>
      </c>
      <c r="K608" s="11" t="str">
        <f>IF(SEFAZ!P592="","",SEFAZ!P592)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hidden="1" x14ac:dyDescent="0.3">
      <c r="B609" t="str">
        <f>IF(SEFAZ!A593="","",SEFAZ!A593)</f>
        <v/>
      </c>
      <c r="C609" t="str">
        <f>IF(SEFAZ!C593="","",SEFAZ!C593)</f>
        <v/>
      </c>
      <c r="D609" t="str">
        <f>IF(SEFAZ!D593="","",SEFAZ!D593)</f>
        <v/>
      </c>
      <c r="E609" s="7" t="str">
        <f>IF(SEFAZ!E593="","",SEFAZ!E593)</f>
        <v/>
      </c>
      <c r="F609" s="6" t="str">
        <f>IF(SEFAZ!F593="","",VALUE(SUBSTITUTE(SEFAZ!F593,"'","")))</f>
        <v/>
      </c>
      <c r="G609" t="str">
        <f>IF(SEFAZ!H593="","",SEFAZ!H593)</f>
        <v/>
      </c>
      <c r="H609" t="str">
        <f>IF(SEFAZ!L593="","",SEFAZ!L593)</f>
        <v/>
      </c>
      <c r="I609" t="str">
        <f>IF(SEFAZ!N593="","",SEFAZ!N593)</f>
        <v/>
      </c>
      <c r="J609" t="str">
        <f>IF(SEFAZ!O593="","",SEFAZ!O593)</f>
        <v/>
      </c>
      <c r="K609" s="11" t="str">
        <f>IF(SEFAZ!P593="","",SEFAZ!P593)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hidden="1" x14ac:dyDescent="0.3">
      <c r="B610" t="str">
        <f>IF(SEFAZ!A594="","",SEFAZ!A594)</f>
        <v/>
      </c>
      <c r="C610" t="str">
        <f>IF(SEFAZ!C594="","",SEFAZ!C594)</f>
        <v/>
      </c>
      <c r="D610" t="str">
        <f>IF(SEFAZ!D594="","",SEFAZ!D594)</f>
        <v/>
      </c>
      <c r="E610" s="7" t="str">
        <f>IF(SEFAZ!E594="","",SEFAZ!E594)</f>
        <v/>
      </c>
      <c r="F610" s="6" t="str">
        <f>IF(SEFAZ!F594="","",VALUE(SUBSTITUTE(SEFAZ!F594,"'","")))</f>
        <v/>
      </c>
      <c r="G610" t="str">
        <f>IF(SEFAZ!H594="","",SEFAZ!H594)</f>
        <v/>
      </c>
      <c r="H610" t="str">
        <f>IF(SEFAZ!L594="","",SEFAZ!L594)</f>
        <v/>
      </c>
      <c r="I610" t="str">
        <f>IF(SEFAZ!N594="","",SEFAZ!N594)</f>
        <v/>
      </c>
      <c r="J610" t="str">
        <f>IF(SEFAZ!O594="","",SEFAZ!O594)</f>
        <v/>
      </c>
      <c r="K610" s="11" t="str">
        <f>IF(SEFAZ!P594="","",SEFAZ!P594)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hidden="1" x14ac:dyDescent="0.3">
      <c r="B611" t="str">
        <f>IF(SEFAZ!A595="","",SEFAZ!A595)</f>
        <v/>
      </c>
      <c r="C611" t="str">
        <f>IF(SEFAZ!C595="","",SEFAZ!C595)</f>
        <v/>
      </c>
      <c r="D611" t="str">
        <f>IF(SEFAZ!D595="","",SEFAZ!D595)</f>
        <v/>
      </c>
      <c r="E611" s="7" t="str">
        <f>IF(SEFAZ!E595="","",SEFAZ!E595)</f>
        <v/>
      </c>
      <c r="F611" s="6" t="str">
        <f>IF(SEFAZ!F595="","",VALUE(SUBSTITUTE(SEFAZ!F595,"'","")))</f>
        <v/>
      </c>
      <c r="G611" t="str">
        <f>IF(SEFAZ!H595="","",SEFAZ!H595)</f>
        <v/>
      </c>
      <c r="H611" t="str">
        <f>IF(SEFAZ!L595="","",SEFAZ!L595)</f>
        <v/>
      </c>
      <c r="I611" t="str">
        <f>IF(SEFAZ!N595="","",SEFAZ!N595)</f>
        <v/>
      </c>
      <c r="J611" t="str">
        <f>IF(SEFAZ!O595="","",SEFAZ!O595)</f>
        <v/>
      </c>
      <c r="K611" s="11" t="str">
        <f>IF(SEFAZ!P595="","",SEFAZ!P595)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hidden="1" x14ac:dyDescent="0.3">
      <c r="B612" t="str">
        <f>IF(SEFAZ!A596="","",SEFAZ!A596)</f>
        <v/>
      </c>
      <c r="C612" t="str">
        <f>IF(SEFAZ!C596="","",SEFAZ!C596)</f>
        <v/>
      </c>
      <c r="D612" t="str">
        <f>IF(SEFAZ!D596="","",SEFAZ!D596)</f>
        <v/>
      </c>
      <c r="E612" s="7" t="str">
        <f>IF(SEFAZ!E596="","",SEFAZ!E596)</f>
        <v/>
      </c>
      <c r="F612" s="6" t="str">
        <f>IF(SEFAZ!F596="","",VALUE(SUBSTITUTE(SEFAZ!F596,"'","")))</f>
        <v/>
      </c>
      <c r="G612" t="str">
        <f>IF(SEFAZ!H596="","",SEFAZ!H596)</f>
        <v/>
      </c>
      <c r="H612" t="str">
        <f>IF(SEFAZ!L596="","",SEFAZ!L596)</f>
        <v/>
      </c>
      <c r="I612" t="str">
        <f>IF(SEFAZ!N596="","",SEFAZ!N596)</f>
        <v/>
      </c>
      <c r="J612" t="str">
        <f>IF(SEFAZ!O596="","",SEFAZ!O596)</f>
        <v/>
      </c>
      <c r="K612" s="11" t="str">
        <f>IF(SEFAZ!P596="","",SEFAZ!P596)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hidden="1" x14ac:dyDescent="0.3">
      <c r="B613" t="str">
        <f>IF(SEFAZ!A597="","",SEFAZ!A597)</f>
        <v/>
      </c>
      <c r="C613" t="str">
        <f>IF(SEFAZ!C597="","",SEFAZ!C597)</f>
        <v/>
      </c>
      <c r="D613" t="str">
        <f>IF(SEFAZ!D597="","",SEFAZ!D597)</f>
        <v/>
      </c>
      <c r="E613" s="7" t="str">
        <f>IF(SEFAZ!E597="","",SEFAZ!E597)</f>
        <v/>
      </c>
      <c r="F613" s="6" t="str">
        <f>IF(SEFAZ!F597="","",VALUE(SUBSTITUTE(SEFAZ!F597,"'","")))</f>
        <v/>
      </c>
      <c r="G613" t="str">
        <f>IF(SEFAZ!H597="","",SEFAZ!H597)</f>
        <v/>
      </c>
      <c r="H613" t="str">
        <f>IF(SEFAZ!L597="","",SEFAZ!L597)</f>
        <v/>
      </c>
      <c r="I613" t="str">
        <f>IF(SEFAZ!N597="","",SEFAZ!N597)</f>
        <v/>
      </c>
      <c r="J613" t="str">
        <f>IF(SEFAZ!O597="","",SEFAZ!O597)</f>
        <v/>
      </c>
      <c r="K613" s="11" t="str">
        <f>IF(SEFAZ!P597="","",SEFAZ!P597)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hidden="1" x14ac:dyDescent="0.3">
      <c r="B614" t="str">
        <f>IF(SEFAZ!A598="","",SEFAZ!A598)</f>
        <v/>
      </c>
      <c r="C614" t="str">
        <f>IF(SEFAZ!C598="","",SEFAZ!C598)</f>
        <v/>
      </c>
      <c r="D614" t="str">
        <f>IF(SEFAZ!D598="","",SEFAZ!D598)</f>
        <v/>
      </c>
      <c r="E614" s="7" t="str">
        <f>IF(SEFAZ!E598="","",SEFAZ!E598)</f>
        <v/>
      </c>
      <c r="F614" s="6" t="str">
        <f>IF(SEFAZ!F598="","",VALUE(SUBSTITUTE(SEFAZ!F598,"'","")))</f>
        <v/>
      </c>
      <c r="G614" t="str">
        <f>IF(SEFAZ!H598="","",SEFAZ!H598)</f>
        <v/>
      </c>
      <c r="H614" t="str">
        <f>IF(SEFAZ!L598="","",SEFAZ!L598)</f>
        <v/>
      </c>
      <c r="I614" t="str">
        <f>IF(SEFAZ!N598="","",SEFAZ!N598)</f>
        <v/>
      </c>
      <c r="J614" t="str">
        <f>IF(SEFAZ!O598="","",SEFAZ!O598)</f>
        <v/>
      </c>
      <c r="K614" s="11" t="str">
        <f>IF(SEFAZ!P598="","",SEFAZ!P598)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hidden="1" x14ac:dyDescent="0.3">
      <c r="B615" t="str">
        <f>IF(SEFAZ!A599="","",SEFAZ!A599)</f>
        <v/>
      </c>
      <c r="C615" t="str">
        <f>IF(SEFAZ!C599="","",SEFAZ!C599)</f>
        <v/>
      </c>
      <c r="D615" t="str">
        <f>IF(SEFAZ!D599="","",SEFAZ!D599)</f>
        <v/>
      </c>
      <c r="E615" s="7" t="str">
        <f>IF(SEFAZ!E599="","",SEFAZ!E599)</f>
        <v/>
      </c>
      <c r="F615" s="6" t="str">
        <f>IF(SEFAZ!F599="","",VALUE(SUBSTITUTE(SEFAZ!F599,"'","")))</f>
        <v/>
      </c>
      <c r="G615" t="str">
        <f>IF(SEFAZ!H599="","",SEFAZ!H599)</f>
        <v/>
      </c>
      <c r="H615" t="str">
        <f>IF(SEFAZ!L599="","",SEFAZ!L599)</f>
        <v/>
      </c>
      <c r="I615" t="str">
        <f>IF(SEFAZ!N599="","",SEFAZ!N599)</f>
        <v/>
      </c>
      <c r="J615" t="str">
        <f>IF(SEFAZ!O599="","",SEFAZ!O599)</f>
        <v/>
      </c>
      <c r="K615" s="11" t="str">
        <f>IF(SEFAZ!P599="","",SEFAZ!P599)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hidden="1" x14ac:dyDescent="0.3">
      <c r="B616" t="str">
        <f>IF(SEFAZ!A600="","",SEFAZ!A600)</f>
        <v/>
      </c>
      <c r="C616" t="str">
        <f>IF(SEFAZ!C600="","",SEFAZ!C600)</f>
        <v/>
      </c>
      <c r="D616" t="str">
        <f>IF(SEFAZ!D600="","",SEFAZ!D600)</f>
        <v/>
      </c>
      <c r="E616" s="7" t="str">
        <f>IF(SEFAZ!E600="","",SEFAZ!E600)</f>
        <v/>
      </c>
      <c r="F616" s="6" t="str">
        <f>IF(SEFAZ!F600="","",VALUE(SUBSTITUTE(SEFAZ!F600,"'","")))</f>
        <v/>
      </c>
      <c r="G616" t="str">
        <f>IF(SEFAZ!H600="","",SEFAZ!H600)</f>
        <v/>
      </c>
      <c r="H616" t="str">
        <f>IF(SEFAZ!L600="","",SEFAZ!L600)</f>
        <v/>
      </c>
      <c r="I616" t="str">
        <f>IF(SEFAZ!N600="","",SEFAZ!N600)</f>
        <v/>
      </c>
      <c r="J616" t="str">
        <f>IF(SEFAZ!O600="","",SEFAZ!O600)</f>
        <v/>
      </c>
      <c r="K616" s="11" t="str">
        <f>IF(SEFAZ!P600="","",SEFAZ!P600)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hidden="1" x14ac:dyDescent="0.3">
      <c r="B617" t="str">
        <f>IF(SEFAZ!A601="","",SEFAZ!A601)</f>
        <v/>
      </c>
      <c r="C617" t="str">
        <f>IF(SEFAZ!C601="","",SEFAZ!C601)</f>
        <v/>
      </c>
      <c r="D617" t="str">
        <f>IF(SEFAZ!D601="","",SEFAZ!D601)</f>
        <v/>
      </c>
      <c r="E617" s="7" t="str">
        <f>IF(SEFAZ!E601="","",SEFAZ!E601)</f>
        <v/>
      </c>
      <c r="F617" s="6" t="str">
        <f>IF(SEFAZ!F601="","",VALUE(SUBSTITUTE(SEFAZ!F601,"'","")))</f>
        <v/>
      </c>
      <c r="G617" t="str">
        <f>IF(SEFAZ!H601="","",SEFAZ!H601)</f>
        <v/>
      </c>
      <c r="H617" t="str">
        <f>IF(SEFAZ!L601="","",SEFAZ!L601)</f>
        <v/>
      </c>
      <c r="I617" t="str">
        <f>IF(SEFAZ!N601="","",SEFAZ!N601)</f>
        <v/>
      </c>
      <c r="J617" t="str">
        <f>IF(SEFAZ!O601="","",SEFAZ!O601)</f>
        <v/>
      </c>
      <c r="K617" s="11" t="str">
        <f>IF(SEFAZ!P601="","",SEFAZ!P601)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hidden="1" x14ac:dyDescent="0.3">
      <c r="B618" t="str">
        <f>IF(SEFAZ!A602="","",SEFAZ!A602)</f>
        <v/>
      </c>
      <c r="C618" t="str">
        <f>IF(SEFAZ!C602="","",SEFAZ!C602)</f>
        <v/>
      </c>
      <c r="D618" t="str">
        <f>IF(SEFAZ!D602="","",SEFAZ!D602)</f>
        <v/>
      </c>
      <c r="E618" s="7" t="str">
        <f>IF(SEFAZ!E602="","",SEFAZ!E602)</f>
        <v/>
      </c>
      <c r="F618" s="6" t="str">
        <f>IF(SEFAZ!F602="","",VALUE(SUBSTITUTE(SEFAZ!F602,"'","")))</f>
        <v/>
      </c>
      <c r="G618" t="str">
        <f>IF(SEFAZ!H602="","",SEFAZ!H602)</f>
        <v/>
      </c>
      <c r="H618" t="str">
        <f>IF(SEFAZ!L602="","",SEFAZ!L602)</f>
        <v/>
      </c>
      <c r="I618" t="str">
        <f>IF(SEFAZ!N602="","",SEFAZ!N602)</f>
        <v/>
      </c>
      <c r="J618" t="str">
        <f>IF(SEFAZ!O602="","",SEFAZ!O602)</f>
        <v/>
      </c>
      <c r="K618" s="11" t="str">
        <f>IF(SEFAZ!P602="","",SEFAZ!P602)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hidden="1" x14ac:dyDescent="0.3">
      <c r="B619" t="str">
        <f>IF(SEFAZ!A603="","",SEFAZ!A603)</f>
        <v/>
      </c>
      <c r="C619" t="str">
        <f>IF(SEFAZ!C603="","",SEFAZ!C603)</f>
        <v/>
      </c>
      <c r="D619" t="str">
        <f>IF(SEFAZ!D603="","",SEFAZ!D603)</f>
        <v/>
      </c>
      <c r="E619" s="7" t="str">
        <f>IF(SEFAZ!E603="","",SEFAZ!E603)</f>
        <v/>
      </c>
      <c r="F619" s="6" t="str">
        <f>IF(SEFAZ!F603="","",VALUE(SUBSTITUTE(SEFAZ!F603,"'","")))</f>
        <v/>
      </c>
      <c r="G619" t="str">
        <f>IF(SEFAZ!H603="","",SEFAZ!H603)</f>
        <v/>
      </c>
      <c r="H619" t="str">
        <f>IF(SEFAZ!L603="","",SEFAZ!L603)</f>
        <v/>
      </c>
      <c r="I619" t="str">
        <f>IF(SEFAZ!N603="","",SEFAZ!N603)</f>
        <v/>
      </c>
      <c r="J619" t="str">
        <f>IF(SEFAZ!O603="","",SEFAZ!O603)</f>
        <v/>
      </c>
      <c r="K619" s="11" t="str">
        <f>IF(SEFAZ!P603="","",SEFAZ!P603)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hidden="1" x14ac:dyDescent="0.3">
      <c r="B620" t="str">
        <f>IF(SEFAZ!A604="","",SEFAZ!A604)</f>
        <v/>
      </c>
      <c r="C620" t="str">
        <f>IF(SEFAZ!C604="","",SEFAZ!C604)</f>
        <v/>
      </c>
      <c r="D620" t="str">
        <f>IF(SEFAZ!D604="","",SEFAZ!D604)</f>
        <v/>
      </c>
      <c r="E620" s="7" t="str">
        <f>IF(SEFAZ!E604="","",SEFAZ!E604)</f>
        <v/>
      </c>
      <c r="F620" s="6" t="str">
        <f>IF(SEFAZ!F604="","",VALUE(SUBSTITUTE(SEFAZ!F604,"'","")))</f>
        <v/>
      </c>
      <c r="G620" t="str">
        <f>IF(SEFAZ!H604="","",SEFAZ!H604)</f>
        <v/>
      </c>
      <c r="H620" t="str">
        <f>IF(SEFAZ!L604="","",SEFAZ!L604)</f>
        <v/>
      </c>
      <c r="I620" t="str">
        <f>IF(SEFAZ!N604="","",SEFAZ!N604)</f>
        <v/>
      </c>
      <c r="J620" t="str">
        <f>IF(SEFAZ!O604="","",SEFAZ!O604)</f>
        <v/>
      </c>
      <c r="K620" s="11" t="str">
        <f>IF(SEFAZ!P604="","",SEFAZ!P604)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hidden="1" x14ac:dyDescent="0.3">
      <c r="B621" t="str">
        <f>IF(SEFAZ!A605="","",SEFAZ!A605)</f>
        <v/>
      </c>
      <c r="C621" t="str">
        <f>IF(SEFAZ!C605="","",SEFAZ!C605)</f>
        <v/>
      </c>
      <c r="D621" t="str">
        <f>IF(SEFAZ!D605="","",SEFAZ!D605)</f>
        <v/>
      </c>
      <c r="E621" s="7" t="str">
        <f>IF(SEFAZ!E605="","",SEFAZ!E605)</f>
        <v/>
      </c>
      <c r="F621" s="6" t="str">
        <f>IF(SEFAZ!F605="","",VALUE(SUBSTITUTE(SEFAZ!F605,"'","")))</f>
        <v/>
      </c>
      <c r="G621" t="str">
        <f>IF(SEFAZ!H605="","",SEFAZ!H605)</f>
        <v/>
      </c>
      <c r="H621" t="str">
        <f>IF(SEFAZ!L605="","",SEFAZ!L605)</f>
        <v/>
      </c>
      <c r="I621" t="str">
        <f>IF(SEFAZ!N605="","",SEFAZ!N605)</f>
        <v/>
      </c>
      <c r="J621" t="str">
        <f>IF(SEFAZ!O605="","",SEFAZ!O605)</f>
        <v/>
      </c>
      <c r="K621" s="11" t="str">
        <f>IF(SEFAZ!P605="","",SEFAZ!P605)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hidden="1" x14ac:dyDescent="0.3">
      <c r="B622" t="str">
        <f>IF(SEFAZ!A606="","",SEFAZ!A606)</f>
        <v/>
      </c>
      <c r="C622" t="str">
        <f>IF(SEFAZ!C606="","",SEFAZ!C606)</f>
        <v/>
      </c>
      <c r="D622" t="str">
        <f>IF(SEFAZ!D606="","",SEFAZ!D606)</f>
        <v/>
      </c>
      <c r="E622" s="7" t="str">
        <f>IF(SEFAZ!E606="","",SEFAZ!E606)</f>
        <v/>
      </c>
      <c r="F622" s="6" t="str">
        <f>IF(SEFAZ!F606="","",VALUE(SUBSTITUTE(SEFAZ!F606,"'","")))</f>
        <v/>
      </c>
      <c r="G622" t="str">
        <f>IF(SEFAZ!H606="","",SEFAZ!H606)</f>
        <v/>
      </c>
      <c r="H622" t="str">
        <f>IF(SEFAZ!L606="","",SEFAZ!L606)</f>
        <v/>
      </c>
      <c r="I622" t="str">
        <f>IF(SEFAZ!N606="","",SEFAZ!N606)</f>
        <v/>
      </c>
      <c r="J622" t="str">
        <f>IF(SEFAZ!O606="","",SEFAZ!O606)</f>
        <v/>
      </c>
      <c r="K622" s="11" t="str">
        <f>IF(SEFAZ!P606="","",SEFAZ!P606)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hidden="1" x14ac:dyDescent="0.3">
      <c r="B623" t="str">
        <f>IF(SEFAZ!A607="","",SEFAZ!A607)</f>
        <v/>
      </c>
      <c r="C623" t="str">
        <f>IF(SEFAZ!C607="","",SEFAZ!C607)</f>
        <v/>
      </c>
      <c r="D623" t="str">
        <f>IF(SEFAZ!D607="","",SEFAZ!D607)</f>
        <v/>
      </c>
      <c r="E623" s="7" t="str">
        <f>IF(SEFAZ!E607="","",SEFAZ!E607)</f>
        <v/>
      </c>
      <c r="F623" s="6" t="str">
        <f>IF(SEFAZ!F607="","",VALUE(SUBSTITUTE(SEFAZ!F607,"'","")))</f>
        <v/>
      </c>
      <c r="G623" t="str">
        <f>IF(SEFAZ!H607="","",SEFAZ!H607)</f>
        <v/>
      </c>
      <c r="H623" t="str">
        <f>IF(SEFAZ!L607="","",SEFAZ!L607)</f>
        <v/>
      </c>
      <c r="I623" t="str">
        <f>IF(SEFAZ!N607="","",SEFAZ!N607)</f>
        <v/>
      </c>
      <c r="J623" t="str">
        <f>IF(SEFAZ!O607="","",SEFAZ!O607)</f>
        <v/>
      </c>
      <c r="K623" s="11" t="str">
        <f>IF(SEFAZ!P607="","",SEFAZ!P607)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hidden="1" x14ac:dyDescent="0.3">
      <c r="B624" t="str">
        <f>IF(SEFAZ!A608="","",SEFAZ!A608)</f>
        <v/>
      </c>
      <c r="C624" t="str">
        <f>IF(SEFAZ!C608="","",SEFAZ!C608)</f>
        <v/>
      </c>
      <c r="D624" t="str">
        <f>IF(SEFAZ!D608="","",SEFAZ!D608)</f>
        <v/>
      </c>
      <c r="E624" s="7" t="str">
        <f>IF(SEFAZ!E608="","",SEFAZ!E608)</f>
        <v/>
      </c>
      <c r="F624" s="6" t="str">
        <f>IF(SEFAZ!F608="","",VALUE(SUBSTITUTE(SEFAZ!F608,"'","")))</f>
        <v/>
      </c>
      <c r="G624" t="str">
        <f>IF(SEFAZ!H608="","",SEFAZ!H608)</f>
        <v/>
      </c>
      <c r="H624" t="str">
        <f>IF(SEFAZ!L608="","",SEFAZ!L608)</f>
        <v/>
      </c>
      <c r="I624" t="str">
        <f>IF(SEFAZ!N608="","",SEFAZ!N608)</f>
        <v/>
      </c>
      <c r="J624" t="str">
        <f>IF(SEFAZ!O608="","",SEFAZ!O608)</f>
        <v/>
      </c>
      <c r="K624" s="11" t="str">
        <f>IF(SEFAZ!P608="","",SEFAZ!P608)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hidden="1" x14ac:dyDescent="0.3">
      <c r="B625" t="str">
        <f>IF(SEFAZ!A609="","",SEFAZ!A609)</f>
        <v/>
      </c>
      <c r="C625" t="str">
        <f>IF(SEFAZ!C609="","",SEFAZ!C609)</f>
        <v/>
      </c>
      <c r="D625" t="str">
        <f>IF(SEFAZ!D609="","",SEFAZ!D609)</f>
        <v/>
      </c>
      <c r="E625" s="7" t="str">
        <f>IF(SEFAZ!E609="","",SEFAZ!E609)</f>
        <v/>
      </c>
      <c r="F625" s="6" t="str">
        <f>IF(SEFAZ!F609="","",VALUE(SUBSTITUTE(SEFAZ!F609,"'","")))</f>
        <v/>
      </c>
      <c r="G625" t="str">
        <f>IF(SEFAZ!H609="","",SEFAZ!H609)</f>
        <v/>
      </c>
      <c r="H625" t="str">
        <f>IF(SEFAZ!L609="","",SEFAZ!L609)</f>
        <v/>
      </c>
      <c r="I625" t="str">
        <f>IF(SEFAZ!N609="","",SEFAZ!N609)</f>
        <v/>
      </c>
      <c r="J625" t="str">
        <f>IF(SEFAZ!O609="","",SEFAZ!O609)</f>
        <v/>
      </c>
      <c r="K625" s="11" t="str">
        <f>IF(SEFAZ!P609="","",SEFAZ!P609)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hidden="1" x14ac:dyDescent="0.3">
      <c r="B626" t="str">
        <f>IF(SEFAZ!A610="","",SEFAZ!A610)</f>
        <v/>
      </c>
      <c r="C626" t="str">
        <f>IF(SEFAZ!C610="","",SEFAZ!C610)</f>
        <v/>
      </c>
      <c r="D626" t="str">
        <f>IF(SEFAZ!D610="","",SEFAZ!D610)</f>
        <v/>
      </c>
      <c r="E626" s="7" t="str">
        <f>IF(SEFAZ!E610="","",SEFAZ!E610)</f>
        <v/>
      </c>
      <c r="F626" s="6" t="str">
        <f>IF(SEFAZ!F610="","",VALUE(SUBSTITUTE(SEFAZ!F610,"'","")))</f>
        <v/>
      </c>
      <c r="G626" t="str">
        <f>IF(SEFAZ!H610="","",SEFAZ!H610)</f>
        <v/>
      </c>
      <c r="H626" t="str">
        <f>IF(SEFAZ!L610="","",SEFAZ!L610)</f>
        <v/>
      </c>
      <c r="I626" t="str">
        <f>IF(SEFAZ!N610="","",SEFAZ!N610)</f>
        <v/>
      </c>
      <c r="J626" t="str">
        <f>IF(SEFAZ!O610="","",SEFAZ!O610)</f>
        <v/>
      </c>
      <c r="K626" s="11" t="str">
        <f>IF(SEFAZ!P610="","",SEFAZ!P610)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hidden="1" x14ac:dyDescent="0.3">
      <c r="B627" t="str">
        <f>IF(SEFAZ!A611="","",SEFAZ!A611)</f>
        <v/>
      </c>
      <c r="C627" t="str">
        <f>IF(SEFAZ!C611="","",SEFAZ!C611)</f>
        <v/>
      </c>
      <c r="D627" t="str">
        <f>IF(SEFAZ!D611="","",SEFAZ!D611)</f>
        <v/>
      </c>
      <c r="E627" s="7" t="str">
        <f>IF(SEFAZ!E611="","",SEFAZ!E611)</f>
        <v/>
      </c>
      <c r="F627" s="6" t="str">
        <f>IF(SEFAZ!F611="","",VALUE(SUBSTITUTE(SEFAZ!F611,"'","")))</f>
        <v/>
      </c>
      <c r="G627" t="str">
        <f>IF(SEFAZ!H611="","",SEFAZ!H611)</f>
        <v/>
      </c>
      <c r="H627" t="str">
        <f>IF(SEFAZ!L611="","",SEFAZ!L611)</f>
        <v/>
      </c>
      <c r="I627" t="str">
        <f>IF(SEFAZ!N611="","",SEFAZ!N611)</f>
        <v/>
      </c>
      <c r="J627" t="str">
        <f>IF(SEFAZ!O611="","",SEFAZ!O611)</f>
        <v/>
      </c>
      <c r="K627" s="11" t="str">
        <f>IF(SEFAZ!P611="","",SEFAZ!P611)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hidden="1" x14ac:dyDescent="0.3">
      <c r="B628" t="str">
        <f>IF(SEFAZ!A612="","",SEFAZ!A612)</f>
        <v/>
      </c>
      <c r="C628" t="str">
        <f>IF(SEFAZ!C612="","",SEFAZ!C612)</f>
        <v/>
      </c>
      <c r="D628" t="str">
        <f>IF(SEFAZ!D612="","",SEFAZ!D612)</f>
        <v/>
      </c>
      <c r="E628" s="7" t="str">
        <f>IF(SEFAZ!E612="","",SEFAZ!E612)</f>
        <v/>
      </c>
      <c r="F628" s="6" t="str">
        <f>IF(SEFAZ!F612="","",VALUE(SUBSTITUTE(SEFAZ!F612,"'","")))</f>
        <v/>
      </c>
      <c r="G628" t="str">
        <f>IF(SEFAZ!H612="","",SEFAZ!H612)</f>
        <v/>
      </c>
      <c r="H628" t="str">
        <f>IF(SEFAZ!L612="","",SEFAZ!L612)</f>
        <v/>
      </c>
      <c r="I628" t="str">
        <f>IF(SEFAZ!N612="","",SEFAZ!N612)</f>
        <v/>
      </c>
      <c r="J628" t="str">
        <f>IF(SEFAZ!O612="","",SEFAZ!O612)</f>
        <v/>
      </c>
      <c r="K628" s="11" t="str">
        <f>IF(SEFAZ!P612="","",SEFAZ!P612)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hidden="1" x14ac:dyDescent="0.3">
      <c r="B629" t="str">
        <f>IF(SEFAZ!A613="","",SEFAZ!A613)</f>
        <v/>
      </c>
      <c r="C629" t="str">
        <f>IF(SEFAZ!C613="","",SEFAZ!C613)</f>
        <v/>
      </c>
      <c r="D629" t="str">
        <f>IF(SEFAZ!D613="","",SEFAZ!D613)</f>
        <v/>
      </c>
      <c r="E629" s="7" t="str">
        <f>IF(SEFAZ!E613="","",SEFAZ!E613)</f>
        <v/>
      </c>
      <c r="F629" s="6" t="str">
        <f>IF(SEFAZ!F613="","",VALUE(SUBSTITUTE(SEFAZ!F613,"'","")))</f>
        <v/>
      </c>
      <c r="G629" t="str">
        <f>IF(SEFAZ!H613="","",SEFAZ!H613)</f>
        <v/>
      </c>
      <c r="H629" t="str">
        <f>IF(SEFAZ!L613="","",SEFAZ!L613)</f>
        <v/>
      </c>
      <c r="I629" t="str">
        <f>IF(SEFAZ!N613="","",SEFAZ!N613)</f>
        <v/>
      </c>
      <c r="J629" t="str">
        <f>IF(SEFAZ!O613="","",SEFAZ!O613)</f>
        <v/>
      </c>
      <c r="K629" s="11" t="str">
        <f>IF(SEFAZ!P613="","",SEFAZ!P613)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hidden="1" x14ac:dyDescent="0.3">
      <c r="B630" t="str">
        <f>IF(SEFAZ!A614="","",SEFAZ!A614)</f>
        <v/>
      </c>
      <c r="C630" t="str">
        <f>IF(SEFAZ!C614="","",SEFAZ!C614)</f>
        <v/>
      </c>
      <c r="D630" t="str">
        <f>IF(SEFAZ!D614="","",SEFAZ!D614)</f>
        <v/>
      </c>
      <c r="E630" s="7" t="str">
        <f>IF(SEFAZ!E614="","",SEFAZ!E614)</f>
        <v/>
      </c>
      <c r="F630" s="6" t="str">
        <f>IF(SEFAZ!F614="","",VALUE(SUBSTITUTE(SEFAZ!F614,"'","")))</f>
        <v/>
      </c>
      <c r="G630" t="str">
        <f>IF(SEFAZ!H614="","",SEFAZ!H614)</f>
        <v/>
      </c>
      <c r="H630" t="str">
        <f>IF(SEFAZ!L614="","",SEFAZ!L614)</f>
        <v/>
      </c>
      <c r="I630" t="str">
        <f>IF(SEFAZ!N614="","",SEFAZ!N614)</f>
        <v/>
      </c>
      <c r="J630" t="str">
        <f>IF(SEFAZ!O614="","",SEFAZ!O614)</f>
        <v/>
      </c>
      <c r="K630" s="11" t="str">
        <f>IF(SEFAZ!P614="","",SEFAZ!P614)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hidden="1" x14ac:dyDescent="0.3">
      <c r="B631" t="str">
        <f>IF(SEFAZ!A615="","",SEFAZ!A615)</f>
        <v/>
      </c>
      <c r="C631" t="str">
        <f>IF(SEFAZ!C615="","",SEFAZ!C615)</f>
        <v/>
      </c>
      <c r="D631" t="str">
        <f>IF(SEFAZ!D615="","",SEFAZ!D615)</f>
        <v/>
      </c>
      <c r="E631" s="7" t="str">
        <f>IF(SEFAZ!E615="","",SEFAZ!E615)</f>
        <v/>
      </c>
      <c r="F631" s="6" t="str">
        <f>IF(SEFAZ!F615="","",VALUE(SUBSTITUTE(SEFAZ!F615,"'","")))</f>
        <v/>
      </c>
      <c r="G631" t="str">
        <f>IF(SEFAZ!H615="","",SEFAZ!H615)</f>
        <v/>
      </c>
      <c r="H631" t="str">
        <f>IF(SEFAZ!L615="","",SEFAZ!L615)</f>
        <v/>
      </c>
      <c r="I631" t="str">
        <f>IF(SEFAZ!N615="","",SEFAZ!N615)</f>
        <v/>
      </c>
      <c r="J631" t="str">
        <f>IF(SEFAZ!O615="","",SEFAZ!O615)</f>
        <v/>
      </c>
      <c r="K631" s="11" t="str">
        <f>IF(SEFAZ!P615="","",SEFAZ!P615)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hidden="1" x14ac:dyDescent="0.3">
      <c r="B632" t="str">
        <f>IF(SEFAZ!A616="","",SEFAZ!A616)</f>
        <v/>
      </c>
      <c r="C632" t="str">
        <f>IF(SEFAZ!C616="","",SEFAZ!C616)</f>
        <v/>
      </c>
      <c r="D632" t="str">
        <f>IF(SEFAZ!D616="","",SEFAZ!D616)</f>
        <v/>
      </c>
      <c r="E632" s="7" t="str">
        <f>IF(SEFAZ!E616="","",SEFAZ!E616)</f>
        <v/>
      </c>
      <c r="F632" s="6" t="str">
        <f>IF(SEFAZ!F616="","",VALUE(SUBSTITUTE(SEFAZ!F616,"'","")))</f>
        <v/>
      </c>
      <c r="G632" t="str">
        <f>IF(SEFAZ!H616="","",SEFAZ!H616)</f>
        <v/>
      </c>
      <c r="H632" t="str">
        <f>IF(SEFAZ!L616="","",SEFAZ!L616)</f>
        <v/>
      </c>
      <c r="I632" t="str">
        <f>IF(SEFAZ!N616="","",SEFAZ!N616)</f>
        <v/>
      </c>
      <c r="J632" t="str">
        <f>IF(SEFAZ!O616="","",SEFAZ!O616)</f>
        <v/>
      </c>
      <c r="K632" s="11" t="str">
        <f>IF(SEFAZ!P616="","",SEFAZ!P616)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hidden="1" x14ac:dyDescent="0.3">
      <c r="B633" t="str">
        <f>IF(SEFAZ!A617="","",SEFAZ!A617)</f>
        <v/>
      </c>
      <c r="C633" t="str">
        <f>IF(SEFAZ!C617="","",SEFAZ!C617)</f>
        <v/>
      </c>
      <c r="D633" t="str">
        <f>IF(SEFAZ!D617="","",SEFAZ!D617)</f>
        <v/>
      </c>
      <c r="E633" s="7" t="str">
        <f>IF(SEFAZ!E617="","",SEFAZ!E617)</f>
        <v/>
      </c>
      <c r="F633" s="6" t="str">
        <f>IF(SEFAZ!F617="","",VALUE(SUBSTITUTE(SEFAZ!F617,"'","")))</f>
        <v/>
      </c>
      <c r="G633" t="str">
        <f>IF(SEFAZ!H617="","",SEFAZ!H617)</f>
        <v/>
      </c>
      <c r="H633" t="str">
        <f>IF(SEFAZ!L617="","",SEFAZ!L617)</f>
        <v/>
      </c>
      <c r="I633" t="str">
        <f>IF(SEFAZ!N617="","",SEFAZ!N617)</f>
        <v/>
      </c>
      <c r="J633" t="str">
        <f>IF(SEFAZ!O617="","",SEFAZ!O617)</f>
        <v/>
      </c>
      <c r="K633" s="11" t="str">
        <f>IF(SEFAZ!P617="","",SEFAZ!P617)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hidden="1" x14ac:dyDescent="0.3">
      <c r="B634" t="str">
        <f>IF(SEFAZ!A618="","",SEFAZ!A618)</f>
        <v/>
      </c>
      <c r="C634" t="str">
        <f>IF(SEFAZ!C618="","",SEFAZ!C618)</f>
        <v/>
      </c>
      <c r="D634" t="str">
        <f>IF(SEFAZ!D618="","",SEFAZ!D618)</f>
        <v/>
      </c>
      <c r="E634" s="7" t="str">
        <f>IF(SEFAZ!E618="","",SEFAZ!E618)</f>
        <v/>
      </c>
      <c r="F634" s="6" t="str">
        <f>IF(SEFAZ!F618="","",VALUE(SUBSTITUTE(SEFAZ!F618,"'","")))</f>
        <v/>
      </c>
      <c r="G634" t="str">
        <f>IF(SEFAZ!H618="","",SEFAZ!H618)</f>
        <v/>
      </c>
      <c r="H634" t="str">
        <f>IF(SEFAZ!L618="","",SEFAZ!L618)</f>
        <v/>
      </c>
      <c r="I634" t="str">
        <f>IF(SEFAZ!N618="","",SEFAZ!N618)</f>
        <v/>
      </c>
      <c r="J634" t="str">
        <f>IF(SEFAZ!O618="","",SEFAZ!O618)</f>
        <v/>
      </c>
      <c r="K634" s="11" t="str">
        <f>IF(SEFAZ!P618="","",SEFAZ!P618)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hidden="1" x14ac:dyDescent="0.3">
      <c r="B635" t="str">
        <f>IF(SEFAZ!A619="","",SEFAZ!A619)</f>
        <v/>
      </c>
      <c r="C635" t="str">
        <f>IF(SEFAZ!C619="","",SEFAZ!C619)</f>
        <v/>
      </c>
      <c r="D635" t="str">
        <f>IF(SEFAZ!D619="","",SEFAZ!D619)</f>
        <v/>
      </c>
      <c r="E635" s="7" t="str">
        <f>IF(SEFAZ!E619="","",SEFAZ!E619)</f>
        <v/>
      </c>
      <c r="F635" s="6" t="str">
        <f>IF(SEFAZ!F619="","",VALUE(SUBSTITUTE(SEFAZ!F619,"'","")))</f>
        <v/>
      </c>
      <c r="G635" t="str">
        <f>IF(SEFAZ!H619="","",SEFAZ!H619)</f>
        <v/>
      </c>
      <c r="H635" t="str">
        <f>IF(SEFAZ!L619="","",SEFAZ!L619)</f>
        <v/>
      </c>
      <c r="I635" t="str">
        <f>IF(SEFAZ!N619="","",SEFAZ!N619)</f>
        <v/>
      </c>
      <c r="J635" t="str">
        <f>IF(SEFAZ!O619="","",SEFAZ!O619)</f>
        <v/>
      </c>
      <c r="K635" s="11" t="str">
        <f>IF(SEFAZ!P619="","",SEFAZ!P619)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hidden="1" x14ac:dyDescent="0.3">
      <c r="B636" t="str">
        <f>IF(SEFAZ!A620="","",SEFAZ!A620)</f>
        <v/>
      </c>
      <c r="C636" t="str">
        <f>IF(SEFAZ!C620="","",SEFAZ!C620)</f>
        <v/>
      </c>
      <c r="D636" t="str">
        <f>IF(SEFAZ!D620="","",SEFAZ!D620)</f>
        <v/>
      </c>
      <c r="E636" s="7" t="str">
        <f>IF(SEFAZ!E620="","",SEFAZ!E620)</f>
        <v/>
      </c>
      <c r="F636" s="6" t="str">
        <f>IF(SEFAZ!F620="","",VALUE(SUBSTITUTE(SEFAZ!F620,"'","")))</f>
        <v/>
      </c>
      <c r="G636" t="str">
        <f>IF(SEFAZ!H620="","",SEFAZ!H620)</f>
        <v/>
      </c>
      <c r="H636" t="str">
        <f>IF(SEFAZ!L620="","",SEFAZ!L620)</f>
        <v/>
      </c>
      <c r="I636" t="str">
        <f>IF(SEFAZ!N620="","",SEFAZ!N620)</f>
        <v/>
      </c>
      <c r="J636" t="str">
        <f>IF(SEFAZ!O620="","",SEFAZ!O620)</f>
        <v/>
      </c>
      <c r="K636" s="11" t="str">
        <f>IF(SEFAZ!P620="","",SEFAZ!P620)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hidden="1" x14ac:dyDescent="0.3">
      <c r="B637" t="str">
        <f>IF(SEFAZ!A621="","",SEFAZ!A621)</f>
        <v/>
      </c>
      <c r="C637" t="str">
        <f>IF(SEFAZ!C621="","",SEFAZ!C621)</f>
        <v/>
      </c>
      <c r="D637" t="str">
        <f>IF(SEFAZ!D621="","",SEFAZ!D621)</f>
        <v/>
      </c>
      <c r="E637" s="7" t="str">
        <f>IF(SEFAZ!E621="","",SEFAZ!E621)</f>
        <v/>
      </c>
      <c r="F637" s="6" t="str">
        <f>IF(SEFAZ!F621="","",VALUE(SUBSTITUTE(SEFAZ!F621,"'","")))</f>
        <v/>
      </c>
      <c r="G637" t="str">
        <f>IF(SEFAZ!H621="","",SEFAZ!H621)</f>
        <v/>
      </c>
      <c r="H637" t="str">
        <f>IF(SEFAZ!L621="","",SEFAZ!L621)</f>
        <v/>
      </c>
      <c r="I637" t="str">
        <f>IF(SEFAZ!N621="","",SEFAZ!N621)</f>
        <v/>
      </c>
      <c r="J637" t="str">
        <f>IF(SEFAZ!O621="","",SEFAZ!O621)</f>
        <v/>
      </c>
      <c r="K637" s="11" t="str">
        <f>IF(SEFAZ!P621="","",SEFAZ!P621)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hidden="1" x14ac:dyDescent="0.3">
      <c r="B638" t="str">
        <f>IF(SEFAZ!A622="","",SEFAZ!A622)</f>
        <v/>
      </c>
      <c r="C638" t="str">
        <f>IF(SEFAZ!C622="","",SEFAZ!C622)</f>
        <v/>
      </c>
      <c r="D638" t="str">
        <f>IF(SEFAZ!D622="","",SEFAZ!D622)</f>
        <v/>
      </c>
      <c r="E638" s="7" t="str">
        <f>IF(SEFAZ!E622="","",SEFAZ!E622)</f>
        <v/>
      </c>
      <c r="F638" s="6" t="str">
        <f>IF(SEFAZ!F622="","",VALUE(SUBSTITUTE(SEFAZ!F622,"'","")))</f>
        <v/>
      </c>
      <c r="G638" t="str">
        <f>IF(SEFAZ!H622="","",SEFAZ!H622)</f>
        <v/>
      </c>
      <c r="H638" t="str">
        <f>IF(SEFAZ!L622="","",SEFAZ!L622)</f>
        <v/>
      </c>
      <c r="I638" t="str">
        <f>IF(SEFAZ!N622="","",SEFAZ!N622)</f>
        <v/>
      </c>
      <c r="J638" t="str">
        <f>IF(SEFAZ!O622="","",SEFAZ!O622)</f>
        <v/>
      </c>
      <c r="K638" s="11" t="str">
        <f>IF(SEFAZ!P622="","",SEFAZ!P622)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hidden="1" x14ac:dyDescent="0.3">
      <c r="B639" t="str">
        <f>IF(SEFAZ!A623="","",SEFAZ!A623)</f>
        <v/>
      </c>
      <c r="C639" t="str">
        <f>IF(SEFAZ!C623="","",SEFAZ!C623)</f>
        <v/>
      </c>
      <c r="D639" t="str">
        <f>IF(SEFAZ!D623="","",SEFAZ!D623)</f>
        <v/>
      </c>
      <c r="E639" s="7" t="str">
        <f>IF(SEFAZ!E623="","",SEFAZ!E623)</f>
        <v/>
      </c>
      <c r="F639" s="6" t="str">
        <f>IF(SEFAZ!F623="","",VALUE(SUBSTITUTE(SEFAZ!F623,"'","")))</f>
        <v/>
      </c>
      <c r="G639" t="str">
        <f>IF(SEFAZ!H623="","",SEFAZ!H623)</f>
        <v/>
      </c>
      <c r="H639" t="str">
        <f>IF(SEFAZ!L623="","",SEFAZ!L623)</f>
        <v/>
      </c>
      <c r="I639" t="str">
        <f>IF(SEFAZ!N623="","",SEFAZ!N623)</f>
        <v/>
      </c>
      <c r="J639" t="str">
        <f>IF(SEFAZ!O623="","",SEFAZ!O623)</f>
        <v/>
      </c>
      <c r="K639" s="11" t="str">
        <f>IF(SEFAZ!P623="","",SEFAZ!P623)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hidden="1" x14ac:dyDescent="0.3">
      <c r="B640" t="str">
        <f>IF(SEFAZ!A624="","",SEFAZ!A624)</f>
        <v/>
      </c>
      <c r="C640" t="str">
        <f>IF(SEFAZ!C624="","",SEFAZ!C624)</f>
        <v/>
      </c>
      <c r="D640" t="str">
        <f>IF(SEFAZ!D624="","",SEFAZ!D624)</f>
        <v/>
      </c>
      <c r="E640" s="7" t="str">
        <f>IF(SEFAZ!E624="","",SEFAZ!E624)</f>
        <v/>
      </c>
      <c r="F640" s="6" t="str">
        <f>IF(SEFAZ!F624="","",VALUE(SUBSTITUTE(SEFAZ!F624,"'","")))</f>
        <v/>
      </c>
      <c r="G640" t="str">
        <f>IF(SEFAZ!H624="","",SEFAZ!H624)</f>
        <v/>
      </c>
      <c r="H640" t="str">
        <f>IF(SEFAZ!L624="","",SEFAZ!L624)</f>
        <v/>
      </c>
      <c r="I640" t="str">
        <f>IF(SEFAZ!N624="","",SEFAZ!N624)</f>
        <v/>
      </c>
      <c r="J640" t="str">
        <f>IF(SEFAZ!O624="","",SEFAZ!O624)</f>
        <v/>
      </c>
      <c r="K640" s="11" t="str">
        <f>IF(SEFAZ!P624="","",SEFAZ!P624)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hidden="1" x14ac:dyDescent="0.3">
      <c r="B641" t="str">
        <f>IF(SEFAZ!A625="","",SEFAZ!A625)</f>
        <v/>
      </c>
      <c r="C641" t="str">
        <f>IF(SEFAZ!C625="","",SEFAZ!C625)</f>
        <v/>
      </c>
      <c r="D641" t="str">
        <f>IF(SEFAZ!D625="","",SEFAZ!D625)</f>
        <v/>
      </c>
      <c r="E641" s="7" t="str">
        <f>IF(SEFAZ!E625="","",SEFAZ!E625)</f>
        <v/>
      </c>
      <c r="F641" s="6" t="str">
        <f>IF(SEFAZ!F625="","",VALUE(SUBSTITUTE(SEFAZ!F625,"'","")))</f>
        <v/>
      </c>
      <c r="G641" t="str">
        <f>IF(SEFAZ!H625="","",SEFAZ!H625)</f>
        <v/>
      </c>
      <c r="H641" t="str">
        <f>IF(SEFAZ!L625="","",SEFAZ!L625)</f>
        <v/>
      </c>
      <c r="I641" t="str">
        <f>IF(SEFAZ!N625="","",SEFAZ!N625)</f>
        <v/>
      </c>
      <c r="J641" t="str">
        <f>IF(SEFAZ!O625="","",SEFAZ!O625)</f>
        <v/>
      </c>
      <c r="K641" s="11" t="str">
        <f>IF(SEFAZ!P625="","",SEFAZ!P625)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hidden="1" x14ac:dyDescent="0.3">
      <c r="B642" t="str">
        <f>IF(SEFAZ!A626="","",SEFAZ!A626)</f>
        <v/>
      </c>
      <c r="C642" t="str">
        <f>IF(SEFAZ!C626="","",SEFAZ!C626)</f>
        <v/>
      </c>
      <c r="D642" t="str">
        <f>IF(SEFAZ!D626="","",SEFAZ!D626)</f>
        <v/>
      </c>
      <c r="E642" s="7" t="str">
        <f>IF(SEFAZ!E626="","",SEFAZ!E626)</f>
        <v/>
      </c>
      <c r="F642" s="6" t="str">
        <f>IF(SEFAZ!F626="","",VALUE(SUBSTITUTE(SEFAZ!F626,"'","")))</f>
        <v/>
      </c>
      <c r="G642" t="str">
        <f>IF(SEFAZ!H626="","",SEFAZ!H626)</f>
        <v/>
      </c>
      <c r="H642" t="str">
        <f>IF(SEFAZ!L626="","",SEFAZ!L626)</f>
        <v/>
      </c>
      <c r="I642" t="str">
        <f>IF(SEFAZ!N626="","",SEFAZ!N626)</f>
        <v/>
      </c>
      <c r="J642" t="str">
        <f>IF(SEFAZ!O626="","",SEFAZ!O626)</f>
        <v/>
      </c>
      <c r="K642" s="11" t="str">
        <f>IF(SEFAZ!P626="","",SEFAZ!P626)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hidden="1" x14ac:dyDescent="0.3">
      <c r="B643" t="str">
        <f>IF(SEFAZ!A627="","",SEFAZ!A627)</f>
        <v/>
      </c>
      <c r="C643" t="str">
        <f>IF(SEFAZ!C627="","",SEFAZ!C627)</f>
        <v/>
      </c>
      <c r="D643" t="str">
        <f>IF(SEFAZ!D627="","",SEFAZ!D627)</f>
        <v/>
      </c>
      <c r="E643" s="7" t="str">
        <f>IF(SEFAZ!E627="","",SEFAZ!E627)</f>
        <v/>
      </c>
      <c r="F643" s="6" t="str">
        <f>IF(SEFAZ!F627="","",VALUE(SUBSTITUTE(SEFAZ!F627,"'","")))</f>
        <v/>
      </c>
      <c r="G643" t="str">
        <f>IF(SEFAZ!H627="","",SEFAZ!H627)</f>
        <v/>
      </c>
      <c r="H643" t="str">
        <f>IF(SEFAZ!L627="","",SEFAZ!L627)</f>
        <v/>
      </c>
      <c r="I643" t="str">
        <f>IF(SEFAZ!N627="","",SEFAZ!N627)</f>
        <v/>
      </c>
      <c r="J643" t="str">
        <f>IF(SEFAZ!O627="","",SEFAZ!O627)</f>
        <v/>
      </c>
      <c r="K643" s="11" t="str">
        <f>IF(SEFAZ!P627="","",SEFAZ!P627)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hidden="1" x14ac:dyDescent="0.3">
      <c r="B644" t="str">
        <f>IF(SEFAZ!A628="","",SEFAZ!A628)</f>
        <v/>
      </c>
      <c r="C644" t="str">
        <f>IF(SEFAZ!C628="","",SEFAZ!C628)</f>
        <v/>
      </c>
      <c r="D644" t="str">
        <f>IF(SEFAZ!D628="","",SEFAZ!D628)</f>
        <v/>
      </c>
      <c r="E644" s="7" t="str">
        <f>IF(SEFAZ!E628="","",SEFAZ!E628)</f>
        <v/>
      </c>
      <c r="F644" s="6" t="str">
        <f>IF(SEFAZ!F628="","",VALUE(SUBSTITUTE(SEFAZ!F628,"'","")))</f>
        <v/>
      </c>
      <c r="G644" t="str">
        <f>IF(SEFAZ!H628="","",SEFAZ!H628)</f>
        <v/>
      </c>
      <c r="H644" t="str">
        <f>IF(SEFAZ!L628="","",SEFAZ!L628)</f>
        <v/>
      </c>
      <c r="I644" t="str">
        <f>IF(SEFAZ!N628="","",SEFAZ!N628)</f>
        <v/>
      </c>
      <c r="J644" t="str">
        <f>IF(SEFAZ!O628="","",SEFAZ!O628)</f>
        <v/>
      </c>
      <c r="K644" s="11" t="str">
        <f>IF(SEFAZ!P628="","",SEFAZ!P628)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hidden="1" x14ac:dyDescent="0.3">
      <c r="B645" t="str">
        <f>IF(SEFAZ!A629="","",SEFAZ!A629)</f>
        <v/>
      </c>
      <c r="C645" t="str">
        <f>IF(SEFAZ!C629="","",SEFAZ!C629)</f>
        <v/>
      </c>
      <c r="D645" t="str">
        <f>IF(SEFAZ!D629="","",SEFAZ!D629)</f>
        <v/>
      </c>
      <c r="E645" s="7" t="str">
        <f>IF(SEFAZ!E629="","",SEFAZ!E629)</f>
        <v/>
      </c>
      <c r="F645" s="6" t="str">
        <f>IF(SEFAZ!F629="","",VALUE(SUBSTITUTE(SEFAZ!F629,"'","")))</f>
        <v/>
      </c>
      <c r="G645" t="str">
        <f>IF(SEFAZ!H629="","",SEFAZ!H629)</f>
        <v/>
      </c>
      <c r="H645" t="str">
        <f>IF(SEFAZ!L629="","",SEFAZ!L629)</f>
        <v/>
      </c>
      <c r="I645" t="str">
        <f>IF(SEFAZ!N629="","",SEFAZ!N629)</f>
        <v/>
      </c>
      <c r="J645" t="str">
        <f>IF(SEFAZ!O629="","",SEFAZ!O629)</f>
        <v/>
      </c>
      <c r="K645" s="11" t="str">
        <f>IF(SEFAZ!P629="","",SEFAZ!P629)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hidden="1" x14ac:dyDescent="0.3">
      <c r="B646" t="str">
        <f>IF(SEFAZ!A630="","",SEFAZ!A630)</f>
        <v/>
      </c>
      <c r="C646" t="str">
        <f>IF(SEFAZ!C630="","",SEFAZ!C630)</f>
        <v/>
      </c>
      <c r="D646" t="str">
        <f>IF(SEFAZ!D630="","",SEFAZ!D630)</f>
        <v/>
      </c>
      <c r="E646" s="7" t="str">
        <f>IF(SEFAZ!E630="","",SEFAZ!E630)</f>
        <v/>
      </c>
      <c r="F646" s="6" t="str">
        <f>IF(SEFAZ!F630="","",VALUE(SUBSTITUTE(SEFAZ!F630,"'","")))</f>
        <v/>
      </c>
      <c r="G646" t="str">
        <f>IF(SEFAZ!H630="","",SEFAZ!H630)</f>
        <v/>
      </c>
      <c r="H646" t="str">
        <f>IF(SEFAZ!L630="","",SEFAZ!L630)</f>
        <v/>
      </c>
      <c r="I646" t="str">
        <f>IF(SEFAZ!N630="","",SEFAZ!N630)</f>
        <v/>
      </c>
      <c r="J646" t="str">
        <f>IF(SEFAZ!O630="","",SEFAZ!O630)</f>
        <v/>
      </c>
      <c r="K646" s="11" t="str">
        <f>IF(SEFAZ!P630="","",SEFAZ!P630)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hidden="1" x14ac:dyDescent="0.3">
      <c r="B647" t="str">
        <f>IF(SEFAZ!A631="","",SEFAZ!A631)</f>
        <v/>
      </c>
      <c r="C647" t="str">
        <f>IF(SEFAZ!C631="","",SEFAZ!C631)</f>
        <v/>
      </c>
      <c r="D647" t="str">
        <f>IF(SEFAZ!D631="","",SEFAZ!D631)</f>
        <v/>
      </c>
      <c r="E647" s="7" t="str">
        <f>IF(SEFAZ!E631="","",SEFAZ!E631)</f>
        <v/>
      </c>
      <c r="F647" s="6" t="str">
        <f>IF(SEFAZ!F631="","",VALUE(SUBSTITUTE(SEFAZ!F631,"'","")))</f>
        <v/>
      </c>
      <c r="G647" t="str">
        <f>IF(SEFAZ!H631="","",SEFAZ!H631)</f>
        <v/>
      </c>
      <c r="H647" t="str">
        <f>IF(SEFAZ!L631="","",SEFAZ!L631)</f>
        <v/>
      </c>
      <c r="I647" t="str">
        <f>IF(SEFAZ!N631="","",SEFAZ!N631)</f>
        <v/>
      </c>
      <c r="J647" t="str">
        <f>IF(SEFAZ!O631="","",SEFAZ!O631)</f>
        <v/>
      </c>
      <c r="K647" s="11" t="str">
        <f>IF(SEFAZ!P631="","",SEFAZ!P631)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hidden="1" x14ac:dyDescent="0.3">
      <c r="B648" t="str">
        <f>IF(SEFAZ!A632="","",SEFAZ!A632)</f>
        <v/>
      </c>
      <c r="C648" t="str">
        <f>IF(SEFAZ!C632="","",SEFAZ!C632)</f>
        <v/>
      </c>
      <c r="D648" t="str">
        <f>IF(SEFAZ!D632="","",SEFAZ!D632)</f>
        <v/>
      </c>
      <c r="E648" s="7" t="str">
        <f>IF(SEFAZ!E632="","",SEFAZ!E632)</f>
        <v/>
      </c>
      <c r="F648" s="6" t="str">
        <f>IF(SEFAZ!F632="","",VALUE(SUBSTITUTE(SEFAZ!F632,"'","")))</f>
        <v/>
      </c>
      <c r="G648" t="str">
        <f>IF(SEFAZ!H632="","",SEFAZ!H632)</f>
        <v/>
      </c>
      <c r="H648" t="str">
        <f>IF(SEFAZ!L632="","",SEFAZ!L632)</f>
        <v/>
      </c>
      <c r="I648" t="str">
        <f>IF(SEFAZ!N632="","",SEFAZ!N632)</f>
        <v/>
      </c>
      <c r="J648" t="str">
        <f>IF(SEFAZ!O632="","",SEFAZ!O632)</f>
        <v/>
      </c>
      <c r="K648" s="11" t="str">
        <f>IF(SEFAZ!P632="","",SEFAZ!P632)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hidden="1" x14ac:dyDescent="0.3">
      <c r="B649" t="str">
        <f>IF(SEFAZ!A633="","",SEFAZ!A633)</f>
        <v/>
      </c>
      <c r="C649" t="str">
        <f>IF(SEFAZ!C633="","",SEFAZ!C633)</f>
        <v/>
      </c>
      <c r="D649" t="str">
        <f>IF(SEFAZ!D633="","",SEFAZ!D633)</f>
        <v/>
      </c>
      <c r="E649" s="7" t="str">
        <f>IF(SEFAZ!E633="","",SEFAZ!E633)</f>
        <v/>
      </c>
      <c r="F649" s="6" t="str">
        <f>IF(SEFAZ!F633="","",VALUE(SUBSTITUTE(SEFAZ!F633,"'","")))</f>
        <v/>
      </c>
      <c r="G649" t="str">
        <f>IF(SEFAZ!H633="","",SEFAZ!H633)</f>
        <v/>
      </c>
      <c r="H649" t="str">
        <f>IF(SEFAZ!L633="","",SEFAZ!L633)</f>
        <v/>
      </c>
      <c r="I649" t="str">
        <f>IF(SEFAZ!N633="","",SEFAZ!N633)</f>
        <v/>
      </c>
      <c r="J649" t="str">
        <f>IF(SEFAZ!O633="","",SEFAZ!O633)</f>
        <v/>
      </c>
      <c r="K649" s="11" t="str">
        <f>IF(SEFAZ!P633="","",SEFAZ!P633)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hidden="1" x14ac:dyDescent="0.3">
      <c r="B650" t="str">
        <f>IF(SEFAZ!A634="","",SEFAZ!A634)</f>
        <v/>
      </c>
      <c r="C650" t="str">
        <f>IF(SEFAZ!C634="","",SEFAZ!C634)</f>
        <v/>
      </c>
      <c r="D650" t="str">
        <f>IF(SEFAZ!D634="","",SEFAZ!D634)</f>
        <v/>
      </c>
      <c r="E650" s="7" t="str">
        <f>IF(SEFAZ!E634="","",SEFAZ!E634)</f>
        <v/>
      </c>
      <c r="F650" s="6" t="str">
        <f>IF(SEFAZ!F634="","",VALUE(SUBSTITUTE(SEFAZ!F634,"'","")))</f>
        <v/>
      </c>
      <c r="G650" t="str">
        <f>IF(SEFAZ!H634="","",SEFAZ!H634)</f>
        <v/>
      </c>
      <c r="H650" t="str">
        <f>IF(SEFAZ!L634="","",SEFAZ!L634)</f>
        <v/>
      </c>
      <c r="I650" t="str">
        <f>IF(SEFAZ!N634="","",SEFAZ!N634)</f>
        <v/>
      </c>
      <c r="J650" t="str">
        <f>IF(SEFAZ!O634="","",SEFAZ!O634)</f>
        <v/>
      </c>
      <c r="K650" s="11" t="str">
        <f>IF(SEFAZ!P634="","",SEFAZ!P634)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hidden="1" x14ac:dyDescent="0.3">
      <c r="B651" t="str">
        <f>IF(SEFAZ!A635="","",SEFAZ!A635)</f>
        <v/>
      </c>
      <c r="C651" t="str">
        <f>IF(SEFAZ!C635="","",SEFAZ!C635)</f>
        <v/>
      </c>
      <c r="D651" t="str">
        <f>IF(SEFAZ!D635="","",SEFAZ!D635)</f>
        <v/>
      </c>
      <c r="E651" s="7" t="str">
        <f>IF(SEFAZ!E635="","",SEFAZ!E635)</f>
        <v/>
      </c>
      <c r="F651" s="6" t="str">
        <f>IF(SEFAZ!F635="","",VALUE(SUBSTITUTE(SEFAZ!F635,"'","")))</f>
        <v/>
      </c>
      <c r="G651" t="str">
        <f>IF(SEFAZ!H635="","",SEFAZ!H635)</f>
        <v/>
      </c>
      <c r="H651" t="str">
        <f>IF(SEFAZ!L635="","",SEFAZ!L635)</f>
        <v/>
      </c>
      <c r="I651" t="str">
        <f>IF(SEFAZ!N635="","",SEFAZ!N635)</f>
        <v/>
      </c>
      <c r="J651" t="str">
        <f>IF(SEFAZ!O635="","",SEFAZ!O635)</f>
        <v/>
      </c>
      <c r="K651" s="11" t="str">
        <f>IF(SEFAZ!P635="","",SEFAZ!P635)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hidden="1" x14ac:dyDescent="0.3">
      <c r="B652" t="str">
        <f>IF(SEFAZ!A636="","",SEFAZ!A636)</f>
        <v/>
      </c>
      <c r="C652" t="str">
        <f>IF(SEFAZ!C636="","",SEFAZ!C636)</f>
        <v/>
      </c>
      <c r="D652" t="str">
        <f>IF(SEFAZ!D636="","",SEFAZ!D636)</f>
        <v/>
      </c>
      <c r="E652" s="7" t="str">
        <f>IF(SEFAZ!E636="","",SEFAZ!E636)</f>
        <v/>
      </c>
      <c r="F652" s="6" t="str">
        <f>IF(SEFAZ!F636="","",VALUE(SUBSTITUTE(SEFAZ!F636,"'","")))</f>
        <v/>
      </c>
      <c r="G652" t="str">
        <f>IF(SEFAZ!H636="","",SEFAZ!H636)</f>
        <v/>
      </c>
      <c r="H652" t="str">
        <f>IF(SEFAZ!L636="","",SEFAZ!L636)</f>
        <v/>
      </c>
      <c r="I652" t="str">
        <f>IF(SEFAZ!N636="","",SEFAZ!N636)</f>
        <v/>
      </c>
      <c r="J652" t="str">
        <f>IF(SEFAZ!O636="","",SEFAZ!O636)</f>
        <v/>
      </c>
      <c r="K652" s="11" t="str">
        <f>IF(SEFAZ!P636="","",SEFAZ!P636)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hidden="1" x14ac:dyDescent="0.3">
      <c r="B653" t="str">
        <f>IF(SEFAZ!A637="","",SEFAZ!A637)</f>
        <v/>
      </c>
      <c r="C653" t="str">
        <f>IF(SEFAZ!C637="","",SEFAZ!C637)</f>
        <v/>
      </c>
      <c r="D653" t="str">
        <f>IF(SEFAZ!D637="","",SEFAZ!D637)</f>
        <v/>
      </c>
      <c r="E653" s="7" t="str">
        <f>IF(SEFAZ!E637="","",SEFAZ!E637)</f>
        <v/>
      </c>
      <c r="F653" s="6" t="str">
        <f>IF(SEFAZ!F637="","",VALUE(SUBSTITUTE(SEFAZ!F637,"'","")))</f>
        <v/>
      </c>
      <c r="G653" t="str">
        <f>IF(SEFAZ!H637="","",SEFAZ!H637)</f>
        <v/>
      </c>
      <c r="H653" t="str">
        <f>IF(SEFAZ!L637="","",SEFAZ!L637)</f>
        <v/>
      </c>
      <c r="I653" t="str">
        <f>IF(SEFAZ!N637="","",SEFAZ!N637)</f>
        <v/>
      </c>
      <c r="J653" t="str">
        <f>IF(SEFAZ!O637="","",SEFAZ!O637)</f>
        <v/>
      </c>
      <c r="K653" s="11" t="str">
        <f>IF(SEFAZ!P637="","",SEFAZ!P637)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hidden="1" x14ac:dyDescent="0.3">
      <c r="B654" t="str">
        <f>IF(SEFAZ!A638="","",SEFAZ!A638)</f>
        <v/>
      </c>
      <c r="C654" t="str">
        <f>IF(SEFAZ!C638="","",SEFAZ!C638)</f>
        <v/>
      </c>
      <c r="D654" t="str">
        <f>IF(SEFAZ!D638="","",SEFAZ!D638)</f>
        <v/>
      </c>
      <c r="E654" s="7" t="str">
        <f>IF(SEFAZ!E638="","",SEFAZ!E638)</f>
        <v/>
      </c>
      <c r="F654" s="6" t="str">
        <f>IF(SEFAZ!F638="","",VALUE(SUBSTITUTE(SEFAZ!F638,"'","")))</f>
        <v/>
      </c>
      <c r="G654" t="str">
        <f>IF(SEFAZ!H638="","",SEFAZ!H638)</f>
        <v/>
      </c>
      <c r="H654" t="str">
        <f>IF(SEFAZ!L638="","",SEFAZ!L638)</f>
        <v/>
      </c>
      <c r="I654" t="str">
        <f>IF(SEFAZ!N638="","",SEFAZ!N638)</f>
        <v/>
      </c>
      <c r="J654" t="str">
        <f>IF(SEFAZ!O638="","",SEFAZ!O638)</f>
        <v/>
      </c>
      <c r="K654" s="11" t="str">
        <f>IF(SEFAZ!P638="","",SEFAZ!P638)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hidden="1" x14ac:dyDescent="0.3">
      <c r="B655" t="str">
        <f>IF(SEFAZ!A639="","",SEFAZ!A639)</f>
        <v/>
      </c>
      <c r="C655" t="str">
        <f>IF(SEFAZ!C639="","",SEFAZ!C639)</f>
        <v/>
      </c>
      <c r="D655" t="str">
        <f>IF(SEFAZ!D639="","",SEFAZ!D639)</f>
        <v/>
      </c>
      <c r="E655" s="7" t="str">
        <f>IF(SEFAZ!E639="","",SEFAZ!E639)</f>
        <v/>
      </c>
      <c r="F655" s="6" t="str">
        <f>IF(SEFAZ!F639="","",VALUE(SUBSTITUTE(SEFAZ!F639,"'","")))</f>
        <v/>
      </c>
      <c r="G655" t="str">
        <f>IF(SEFAZ!H639="","",SEFAZ!H639)</f>
        <v/>
      </c>
      <c r="H655" t="str">
        <f>IF(SEFAZ!L639="","",SEFAZ!L639)</f>
        <v/>
      </c>
      <c r="I655" t="str">
        <f>IF(SEFAZ!N639="","",SEFAZ!N639)</f>
        <v/>
      </c>
      <c r="J655" t="str">
        <f>IF(SEFAZ!O639="","",SEFAZ!O639)</f>
        <v/>
      </c>
      <c r="K655" s="11" t="str">
        <f>IF(SEFAZ!P639="","",SEFAZ!P639)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hidden="1" x14ac:dyDescent="0.3">
      <c r="B656" t="str">
        <f>IF(SEFAZ!A640="","",SEFAZ!A640)</f>
        <v/>
      </c>
      <c r="C656" t="str">
        <f>IF(SEFAZ!C640="","",SEFAZ!C640)</f>
        <v/>
      </c>
      <c r="D656" t="str">
        <f>IF(SEFAZ!D640="","",SEFAZ!D640)</f>
        <v/>
      </c>
      <c r="E656" s="7" t="str">
        <f>IF(SEFAZ!E640="","",SEFAZ!E640)</f>
        <v/>
      </c>
      <c r="F656" s="6" t="str">
        <f>IF(SEFAZ!F640="","",VALUE(SUBSTITUTE(SEFAZ!F640,"'","")))</f>
        <v/>
      </c>
      <c r="G656" t="str">
        <f>IF(SEFAZ!H640="","",SEFAZ!H640)</f>
        <v/>
      </c>
      <c r="H656" t="str">
        <f>IF(SEFAZ!L640="","",SEFAZ!L640)</f>
        <v/>
      </c>
      <c r="I656" t="str">
        <f>IF(SEFAZ!N640="","",SEFAZ!N640)</f>
        <v/>
      </c>
      <c r="J656" t="str">
        <f>IF(SEFAZ!O640="","",SEFAZ!O640)</f>
        <v/>
      </c>
      <c r="K656" s="11" t="str">
        <f>IF(SEFAZ!P640="","",SEFAZ!P640)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hidden="1" x14ac:dyDescent="0.3">
      <c r="B657" t="str">
        <f>IF(SEFAZ!A641="","",SEFAZ!A641)</f>
        <v/>
      </c>
      <c r="C657" t="str">
        <f>IF(SEFAZ!C641="","",SEFAZ!C641)</f>
        <v/>
      </c>
      <c r="D657" t="str">
        <f>IF(SEFAZ!D641="","",SEFAZ!D641)</f>
        <v/>
      </c>
      <c r="E657" s="7" t="str">
        <f>IF(SEFAZ!E641="","",SEFAZ!E641)</f>
        <v/>
      </c>
      <c r="F657" s="6" t="str">
        <f>IF(SEFAZ!F641="","",VALUE(SUBSTITUTE(SEFAZ!F641,"'","")))</f>
        <v/>
      </c>
      <c r="G657" t="str">
        <f>IF(SEFAZ!H641="","",SEFAZ!H641)</f>
        <v/>
      </c>
      <c r="H657" t="str">
        <f>IF(SEFAZ!L641="","",SEFAZ!L641)</f>
        <v/>
      </c>
      <c r="I657" t="str">
        <f>IF(SEFAZ!N641="","",SEFAZ!N641)</f>
        <v/>
      </c>
      <c r="J657" t="str">
        <f>IF(SEFAZ!O641="","",SEFAZ!O641)</f>
        <v/>
      </c>
      <c r="K657" s="11" t="str">
        <f>IF(SEFAZ!P641="","",SEFAZ!P641)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hidden="1" x14ac:dyDescent="0.3">
      <c r="B658" t="str">
        <f>IF(SEFAZ!A642="","",SEFAZ!A642)</f>
        <v/>
      </c>
      <c r="C658" t="str">
        <f>IF(SEFAZ!C642="","",SEFAZ!C642)</f>
        <v/>
      </c>
      <c r="D658" t="str">
        <f>IF(SEFAZ!D642="","",SEFAZ!D642)</f>
        <v/>
      </c>
      <c r="E658" s="7" t="str">
        <f>IF(SEFAZ!E642="","",SEFAZ!E642)</f>
        <v/>
      </c>
      <c r="F658" s="6" t="str">
        <f>IF(SEFAZ!F642="","",VALUE(SUBSTITUTE(SEFAZ!F642,"'","")))</f>
        <v/>
      </c>
      <c r="G658" t="str">
        <f>IF(SEFAZ!H642="","",SEFAZ!H642)</f>
        <v/>
      </c>
      <c r="H658" t="str">
        <f>IF(SEFAZ!L642="","",SEFAZ!L642)</f>
        <v/>
      </c>
      <c r="I658" t="str">
        <f>IF(SEFAZ!N642="","",SEFAZ!N642)</f>
        <v/>
      </c>
      <c r="J658" t="str">
        <f>IF(SEFAZ!O642="","",SEFAZ!O642)</f>
        <v/>
      </c>
      <c r="K658" s="11" t="str">
        <f>IF(SEFAZ!P642="","",SEFAZ!P642)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hidden="1" x14ac:dyDescent="0.3">
      <c r="B659" t="str">
        <f>IF(SEFAZ!A643="","",SEFAZ!A643)</f>
        <v/>
      </c>
      <c r="C659" t="str">
        <f>IF(SEFAZ!C643="","",SEFAZ!C643)</f>
        <v/>
      </c>
      <c r="D659" t="str">
        <f>IF(SEFAZ!D643="","",SEFAZ!D643)</f>
        <v/>
      </c>
      <c r="E659" s="7" t="str">
        <f>IF(SEFAZ!E643="","",SEFAZ!E643)</f>
        <v/>
      </c>
      <c r="F659" s="6" t="str">
        <f>IF(SEFAZ!F643="","",VALUE(SUBSTITUTE(SEFAZ!F643,"'","")))</f>
        <v/>
      </c>
      <c r="G659" t="str">
        <f>IF(SEFAZ!H643="","",SEFAZ!H643)</f>
        <v/>
      </c>
      <c r="H659" t="str">
        <f>IF(SEFAZ!L643="","",SEFAZ!L643)</f>
        <v/>
      </c>
      <c r="I659" t="str">
        <f>IF(SEFAZ!N643="","",SEFAZ!N643)</f>
        <v/>
      </c>
      <c r="J659" t="str">
        <f>IF(SEFAZ!O643="","",SEFAZ!O643)</f>
        <v/>
      </c>
      <c r="K659" s="11" t="str">
        <f>IF(SEFAZ!P643="","",SEFAZ!P643)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hidden="1" x14ac:dyDescent="0.3">
      <c r="B660" t="str">
        <f>IF(SEFAZ!A644="","",SEFAZ!A644)</f>
        <v/>
      </c>
      <c r="C660" t="str">
        <f>IF(SEFAZ!C644="","",SEFAZ!C644)</f>
        <v/>
      </c>
      <c r="D660" t="str">
        <f>IF(SEFAZ!D644="","",SEFAZ!D644)</f>
        <v/>
      </c>
      <c r="E660" s="7" t="str">
        <f>IF(SEFAZ!E644="","",SEFAZ!E644)</f>
        <v/>
      </c>
      <c r="F660" s="6" t="str">
        <f>IF(SEFAZ!F644="","",VALUE(SUBSTITUTE(SEFAZ!F644,"'","")))</f>
        <v/>
      </c>
      <c r="G660" t="str">
        <f>IF(SEFAZ!H644="","",SEFAZ!H644)</f>
        <v/>
      </c>
      <c r="H660" t="str">
        <f>IF(SEFAZ!L644="","",SEFAZ!L644)</f>
        <v/>
      </c>
      <c r="I660" t="str">
        <f>IF(SEFAZ!N644="","",SEFAZ!N644)</f>
        <v/>
      </c>
      <c r="J660" t="str">
        <f>IF(SEFAZ!O644="","",SEFAZ!O644)</f>
        <v/>
      </c>
      <c r="K660" s="11" t="str">
        <f>IF(SEFAZ!P644="","",SEFAZ!P644)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hidden="1" x14ac:dyDescent="0.3">
      <c r="B661" t="str">
        <f>IF(SEFAZ!A645="","",SEFAZ!A645)</f>
        <v/>
      </c>
      <c r="C661" t="str">
        <f>IF(SEFAZ!C645="","",SEFAZ!C645)</f>
        <v/>
      </c>
      <c r="D661" t="str">
        <f>IF(SEFAZ!D645="","",SEFAZ!D645)</f>
        <v/>
      </c>
      <c r="E661" s="7" t="str">
        <f>IF(SEFAZ!E645="","",SEFAZ!E645)</f>
        <v/>
      </c>
      <c r="F661" s="6" t="str">
        <f>IF(SEFAZ!F645="","",VALUE(SUBSTITUTE(SEFAZ!F645,"'","")))</f>
        <v/>
      </c>
      <c r="G661" t="str">
        <f>IF(SEFAZ!H645="","",SEFAZ!H645)</f>
        <v/>
      </c>
      <c r="H661" t="str">
        <f>IF(SEFAZ!L645="","",SEFAZ!L645)</f>
        <v/>
      </c>
      <c r="I661" t="str">
        <f>IF(SEFAZ!N645="","",SEFAZ!N645)</f>
        <v/>
      </c>
      <c r="J661" t="str">
        <f>IF(SEFAZ!O645="","",SEFAZ!O645)</f>
        <v/>
      </c>
      <c r="K661" s="11" t="str">
        <f>IF(SEFAZ!P645="","",SEFAZ!P645)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hidden="1" x14ac:dyDescent="0.3">
      <c r="B662" t="str">
        <f>IF(SEFAZ!A646="","",SEFAZ!A646)</f>
        <v/>
      </c>
      <c r="C662" t="str">
        <f>IF(SEFAZ!C646="","",SEFAZ!C646)</f>
        <v/>
      </c>
      <c r="D662" t="str">
        <f>IF(SEFAZ!D646="","",SEFAZ!D646)</f>
        <v/>
      </c>
      <c r="E662" s="7" t="str">
        <f>IF(SEFAZ!E646="","",SEFAZ!E646)</f>
        <v/>
      </c>
      <c r="F662" s="6" t="str">
        <f>IF(SEFAZ!F646="","",VALUE(SUBSTITUTE(SEFAZ!F646,"'","")))</f>
        <v/>
      </c>
      <c r="G662" t="str">
        <f>IF(SEFAZ!H646="","",SEFAZ!H646)</f>
        <v/>
      </c>
      <c r="H662" t="str">
        <f>IF(SEFAZ!L646="","",SEFAZ!L646)</f>
        <v/>
      </c>
      <c r="I662" t="str">
        <f>IF(SEFAZ!N646="","",SEFAZ!N646)</f>
        <v/>
      </c>
      <c r="J662" t="str">
        <f>IF(SEFAZ!O646="","",SEFAZ!O646)</f>
        <v/>
      </c>
      <c r="K662" s="11" t="str">
        <f>IF(SEFAZ!P646="","",SEFAZ!P646)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hidden="1" x14ac:dyDescent="0.3">
      <c r="B663" t="str">
        <f>IF(SEFAZ!A647="","",SEFAZ!A647)</f>
        <v/>
      </c>
      <c r="C663" t="str">
        <f>IF(SEFAZ!C647="","",SEFAZ!C647)</f>
        <v/>
      </c>
      <c r="D663" t="str">
        <f>IF(SEFAZ!D647="","",SEFAZ!D647)</f>
        <v/>
      </c>
      <c r="E663" s="7" t="str">
        <f>IF(SEFAZ!E647="","",SEFAZ!E647)</f>
        <v/>
      </c>
      <c r="F663" s="6" t="str">
        <f>IF(SEFAZ!F647="","",VALUE(SUBSTITUTE(SEFAZ!F647,"'","")))</f>
        <v/>
      </c>
      <c r="G663" t="str">
        <f>IF(SEFAZ!H647="","",SEFAZ!H647)</f>
        <v/>
      </c>
      <c r="H663" t="str">
        <f>IF(SEFAZ!L647="","",SEFAZ!L647)</f>
        <v/>
      </c>
      <c r="I663" t="str">
        <f>IF(SEFAZ!N647="","",SEFAZ!N647)</f>
        <v/>
      </c>
      <c r="J663" t="str">
        <f>IF(SEFAZ!O647="","",SEFAZ!O647)</f>
        <v/>
      </c>
      <c r="K663" s="11" t="str">
        <f>IF(SEFAZ!P647="","",SEFAZ!P647)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hidden="1" x14ac:dyDescent="0.3">
      <c r="B664" t="str">
        <f>IF(SEFAZ!A648="","",SEFAZ!A648)</f>
        <v/>
      </c>
      <c r="C664" t="str">
        <f>IF(SEFAZ!C648="","",SEFAZ!C648)</f>
        <v/>
      </c>
      <c r="D664" t="str">
        <f>IF(SEFAZ!D648="","",SEFAZ!D648)</f>
        <v/>
      </c>
      <c r="E664" s="7" t="str">
        <f>IF(SEFAZ!E648="","",SEFAZ!E648)</f>
        <v/>
      </c>
      <c r="F664" s="6" t="str">
        <f>IF(SEFAZ!F648="","",VALUE(SUBSTITUTE(SEFAZ!F648,"'","")))</f>
        <v/>
      </c>
      <c r="G664" t="str">
        <f>IF(SEFAZ!H648="","",SEFAZ!H648)</f>
        <v/>
      </c>
      <c r="H664" t="str">
        <f>IF(SEFAZ!L648="","",SEFAZ!L648)</f>
        <v/>
      </c>
      <c r="I664" t="str">
        <f>IF(SEFAZ!N648="","",SEFAZ!N648)</f>
        <v/>
      </c>
      <c r="J664" t="str">
        <f>IF(SEFAZ!O648="","",SEFAZ!O648)</f>
        <v/>
      </c>
      <c r="K664" s="11" t="str">
        <f>IF(SEFAZ!P648="","",SEFAZ!P648)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hidden="1" x14ac:dyDescent="0.3">
      <c r="B665" t="str">
        <f>IF(SEFAZ!A649="","",SEFAZ!A649)</f>
        <v/>
      </c>
      <c r="C665" t="str">
        <f>IF(SEFAZ!C649="","",SEFAZ!C649)</f>
        <v/>
      </c>
      <c r="D665" t="str">
        <f>IF(SEFAZ!D649="","",SEFAZ!D649)</f>
        <v/>
      </c>
      <c r="E665" s="7" t="str">
        <f>IF(SEFAZ!E649="","",SEFAZ!E649)</f>
        <v/>
      </c>
      <c r="F665" s="6" t="str">
        <f>IF(SEFAZ!F649="","",VALUE(SUBSTITUTE(SEFAZ!F649,"'","")))</f>
        <v/>
      </c>
      <c r="G665" t="str">
        <f>IF(SEFAZ!H649="","",SEFAZ!H649)</f>
        <v/>
      </c>
      <c r="H665" t="str">
        <f>IF(SEFAZ!L649="","",SEFAZ!L649)</f>
        <v/>
      </c>
      <c r="I665" t="str">
        <f>IF(SEFAZ!N649="","",SEFAZ!N649)</f>
        <v/>
      </c>
      <c r="J665" t="str">
        <f>IF(SEFAZ!O649="","",SEFAZ!O649)</f>
        <v/>
      </c>
      <c r="K665" s="11" t="str">
        <f>IF(SEFAZ!P649="","",SEFAZ!P649)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hidden="1" x14ac:dyDescent="0.3">
      <c r="B666" t="str">
        <f>IF(SEFAZ!A650="","",SEFAZ!A650)</f>
        <v/>
      </c>
      <c r="C666" t="str">
        <f>IF(SEFAZ!C650="","",SEFAZ!C650)</f>
        <v/>
      </c>
      <c r="D666" t="str">
        <f>IF(SEFAZ!D650="","",SEFAZ!D650)</f>
        <v/>
      </c>
      <c r="E666" s="7" t="str">
        <f>IF(SEFAZ!E650="","",SEFAZ!E650)</f>
        <v/>
      </c>
      <c r="F666" s="6" t="str">
        <f>IF(SEFAZ!F650="","",VALUE(SUBSTITUTE(SEFAZ!F650,"'","")))</f>
        <v/>
      </c>
      <c r="G666" t="str">
        <f>IF(SEFAZ!H650="","",SEFAZ!H650)</f>
        <v/>
      </c>
      <c r="H666" t="str">
        <f>IF(SEFAZ!L650="","",SEFAZ!L650)</f>
        <v/>
      </c>
      <c r="I666" t="str">
        <f>IF(SEFAZ!N650="","",SEFAZ!N650)</f>
        <v/>
      </c>
      <c r="J666" t="str">
        <f>IF(SEFAZ!O650="","",SEFAZ!O650)</f>
        <v/>
      </c>
      <c r="K666" s="11" t="str">
        <f>IF(SEFAZ!P650="","",SEFAZ!P650)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hidden="1" x14ac:dyDescent="0.3">
      <c r="B667" t="str">
        <f>IF(SEFAZ!A651="","",SEFAZ!A651)</f>
        <v/>
      </c>
      <c r="C667" t="str">
        <f>IF(SEFAZ!C651="","",SEFAZ!C651)</f>
        <v/>
      </c>
      <c r="D667" t="str">
        <f>IF(SEFAZ!D651="","",SEFAZ!D651)</f>
        <v/>
      </c>
      <c r="E667" s="7" t="str">
        <f>IF(SEFAZ!E651="","",SEFAZ!E651)</f>
        <v/>
      </c>
      <c r="F667" s="6" t="str">
        <f>IF(SEFAZ!F651="","",VALUE(SUBSTITUTE(SEFAZ!F651,"'","")))</f>
        <v/>
      </c>
      <c r="G667" t="str">
        <f>IF(SEFAZ!H651="","",SEFAZ!H651)</f>
        <v/>
      </c>
      <c r="H667" t="str">
        <f>IF(SEFAZ!L651="","",SEFAZ!L651)</f>
        <v/>
      </c>
      <c r="I667" t="str">
        <f>IF(SEFAZ!N651="","",SEFAZ!N651)</f>
        <v/>
      </c>
      <c r="J667" t="str">
        <f>IF(SEFAZ!O651="","",SEFAZ!O651)</f>
        <v/>
      </c>
      <c r="K667" s="11" t="str">
        <f>IF(SEFAZ!P651="","",SEFAZ!P651)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hidden="1" x14ac:dyDescent="0.3">
      <c r="B668" t="str">
        <f>IF(SEFAZ!A652="","",SEFAZ!A652)</f>
        <v/>
      </c>
      <c r="C668" t="str">
        <f>IF(SEFAZ!C652="","",SEFAZ!C652)</f>
        <v/>
      </c>
      <c r="D668" t="str">
        <f>IF(SEFAZ!D652="","",SEFAZ!D652)</f>
        <v/>
      </c>
      <c r="E668" s="7" t="str">
        <f>IF(SEFAZ!E652="","",SEFAZ!E652)</f>
        <v/>
      </c>
      <c r="F668" s="6" t="str">
        <f>IF(SEFAZ!F652="","",VALUE(SUBSTITUTE(SEFAZ!F652,"'","")))</f>
        <v/>
      </c>
      <c r="G668" t="str">
        <f>IF(SEFAZ!H652="","",SEFAZ!H652)</f>
        <v/>
      </c>
      <c r="H668" t="str">
        <f>IF(SEFAZ!L652="","",SEFAZ!L652)</f>
        <v/>
      </c>
      <c r="I668" t="str">
        <f>IF(SEFAZ!N652="","",SEFAZ!N652)</f>
        <v/>
      </c>
      <c r="J668" t="str">
        <f>IF(SEFAZ!O652="","",SEFAZ!O652)</f>
        <v/>
      </c>
      <c r="K668" s="11" t="str">
        <f>IF(SEFAZ!P652="","",SEFAZ!P652)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hidden="1" x14ac:dyDescent="0.3">
      <c r="B669" t="str">
        <f>IF(SEFAZ!A653="","",SEFAZ!A653)</f>
        <v/>
      </c>
      <c r="C669" t="str">
        <f>IF(SEFAZ!C653="","",SEFAZ!C653)</f>
        <v/>
      </c>
      <c r="D669" t="str">
        <f>IF(SEFAZ!D653="","",SEFAZ!D653)</f>
        <v/>
      </c>
      <c r="E669" s="7" t="str">
        <f>IF(SEFAZ!E653="","",SEFAZ!E653)</f>
        <v/>
      </c>
      <c r="F669" s="6" t="str">
        <f>IF(SEFAZ!F653="","",VALUE(SUBSTITUTE(SEFAZ!F653,"'","")))</f>
        <v/>
      </c>
      <c r="G669" t="str">
        <f>IF(SEFAZ!H653="","",SEFAZ!H653)</f>
        <v/>
      </c>
      <c r="H669" t="str">
        <f>IF(SEFAZ!L653="","",SEFAZ!L653)</f>
        <v/>
      </c>
      <c r="I669" t="str">
        <f>IF(SEFAZ!N653="","",SEFAZ!N653)</f>
        <v/>
      </c>
      <c r="J669" t="str">
        <f>IF(SEFAZ!O653="","",SEFAZ!O653)</f>
        <v/>
      </c>
      <c r="K669" s="11" t="str">
        <f>IF(SEFAZ!P653="","",SEFAZ!P653)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hidden="1" x14ac:dyDescent="0.3">
      <c r="B670" t="str">
        <f>IF(SEFAZ!A654="","",SEFAZ!A654)</f>
        <v/>
      </c>
      <c r="C670" t="str">
        <f>IF(SEFAZ!C654="","",SEFAZ!C654)</f>
        <v/>
      </c>
      <c r="D670" t="str">
        <f>IF(SEFAZ!D654="","",SEFAZ!D654)</f>
        <v/>
      </c>
      <c r="E670" s="7" t="str">
        <f>IF(SEFAZ!E654="","",SEFAZ!E654)</f>
        <v/>
      </c>
      <c r="F670" s="6" t="str">
        <f>IF(SEFAZ!F654="","",VALUE(SUBSTITUTE(SEFAZ!F654,"'","")))</f>
        <v/>
      </c>
      <c r="G670" t="str">
        <f>IF(SEFAZ!H654="","",SEFAZ!H654)</f>
        <v/>
      </c>
      <c r="H670" t="str">
        <f>IF(SEFAZ!L654="","",SEFAZ!L654)</f>
        <v/>
      </c>
      <c r="I670" t="str">
        <f>IF(SEFAZ!N654="","",SEFAZ!N654)</f>
        <v/>
      </c>
      <c r="J670" t="str">
        <f>IF(SEFAZ!O654="","",SEFAZ!O654)</f>
        <v/>
      </c>
      <c r="K670" s="11" t="str">
        <f>IF(SEFAZ!P654="","",SEFAZ!P654)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hidden="1" x14ac:dyDescent="0.3">
      <c r="B671" t="str">
        <f>IF(SEFAZ!A655="","",SEFAZ!A655)</f>
        <v/>
      </c>
      <c r="C671" t="str">
        <f>IF(SEFAZ!C655="","",SEFAZ!C655)</f>
        <v/>
      </c>
      <c r="D671" t="str">
        <f>IF(SEFAZ!D655="","",SEFAZ!D655)</f>
        <v/>
      </c>
      <c r="E671" s="7" t="str">
        <f>IF(SEFAZ!E655="","",SEFAZ!E655)</f>
        <v/>
      </c>
      <c r="F671" s="6" t="str">
        <f>IF(SEFAZ!F655="","",VALUE(SUBSTITUTE(SEFAZ!F655,"'","")))</f>
        <v/>
      </c>
      <c r="G671" t="str">
        <f>IF(SEFAZ!H655="","",SEFAZ!H655)</f>
        <v/>
      </c>
      <c r="H671" t="str">
        <f>IF(SEFAZ!L655="","",SEFAZ!L655)</f>
        <v/>
      </c>
      <c r="I671" t="str">
        <f>IF(SEFAZ!N655="","",SEFAZ!N655)</f>
        <v/>
      </c>
      <c r="J671" t="str">
        <f>IF(SEFAZ!O655="","",SEFAZ!O655)</f>
        <v/>
      </c>
      <c r="K671" s="11" t="str">
        <f>IF(SEFAZ!P655="","",SEFAZ!P655)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hidden="1" x14ac:dyDescent="0.3">
      <c r="B672" t="str">
        <f>IF(SEFAZ!A656="","",SEFAZ!A656)</f>
        <v/>
      </c>
      <c r="C672" t="str">
        <f>IF(SEFAZ!C656="","",SEFAZ!C656)</f>
        <v/>
      </c>
      <c r="D672" t="str">
        <f>IF(SEFAZ!D656="","",SEFAZ!D656)</f>
        <v/>
      </c>
      <c r="E672" s="7" t="str">
        <f>IF(SEFAZ!E656="","",SEFAZ!E656)</f>
        <v/>
      </c>
      <c r="F672" s="6" t="str">
        <f>IF(SEFAZ!F656="","",VALUE(SUBSTITUTE(SEFAZ!F656,"'","")))</f>
        <v/>
      </c>
      <c r="G672" t="str">
        <f>IF(SEFAZ!H656="","",SEFAZ!H656)</f>
        <v/>
      </c>
      <c r="H672" t="str">
        <f>IF(SEFAZ!L656="","",SEFAZ!L656)</f>
        <v/>
      </c>
      <c r="I672" t="str">
        <f>IF(SEFAZ!N656="","",SEFAZ!N656)</f>
        <v/>
      </c>
      <c r="J672" t="str">
        <f>IF(SEFAZ!O656="","",SEFAZ!O656)</f>
        <v/>
      </c>
      <c r="K672" s="11" t="str">
        <f>IF(SEFAZ!P656="","",SEFAZ!P656)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hidden="1" x14ac:dyDescent="0.3">
      <c r="B673" t="str">
        <f>IF(SEFAZ!A657="","",SEFAZ!A657)</f>
        <v/>
      </c>
      <c r="C673" t="str">
        <f>IF(SEFAZ!C657="","",SEFAZ!C657)</f>
        <v/>
      </c>
      <c r="D673" t="str">
        <f>IF(SEFAZ!D657="","",SEFAZ!D657)</f>
        <v/>
      </c>
      <c r="E673" s="7" t="str">
        <f>IF(SEFAZ!E657="","",SEFAZ!E657)</f>
        <v/>
      </c>
      <c r="F673" s="6" t="str">
        <f>IF(SEFAZ!F657="","",VALUE(SUBSTITUTE(SEFAZ!F657,"'","")))</f>
        <v/>
      </c>
      <c r="G673" t="str">
        <f>IF(SEFAZ!H657="","",SEFAZ!H657)</f>
        <v/>
      </c>
      <c r="H673" t="str">
        <f>IF(SEFAZ!L657="","",SEFAZ!L657)</f>
        <v/>
      </c>
      <c r="I673" t="str">
        <f>IF(SEFAZ!N657="","",SEFAZ!N657)</f>
        <v/>
      </c>
      <c r="J673" t="str">
        <f>IF(SEFAZ!O657="","",SEFAZ!O657)</f>
        <v/>
      </c>
      <c r="K673" s="11" t="str">
        <f>IF(SEFAZ!P657="","",SEFAZ!P657)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hidden="1" x14ac:dyDescent="0.3">
      <c r="B674" t="str">
        <f>IF(SEFAZ!A658="","",SEFAZ!A658)</f>
        <v/>
      </c>
      <c r="C674" t="str">
        <f>IF(SEFAZ!C658="","",SEFAZ!C658)</f>
        <v/>
      </c>
      <c r="D674" t="str">
        <f>IF(SEFAZ!D658="","",SEFAZ!D658)</f>
        <v/>
      </c>
      <c r="E674" s="7" t="str">
        <f>IF(SEFAZ!E658="","",SEFAZ!E658)</f>
        <v/>
      </c>
      <c r="F674" s="6" t="str">
        <f>IF(SEFAZ!F658="","",VALUE(SUBSTITUTE(SEFAZ!F658,"'","")))</f>
        <v/>
      </c>
      <c r="G674" t="str">
        <f>IF(SEFAZ!H658="","",SEFAZ!H658)</f>
        <v/>
      </c>
      <c r="H674" t="str">
        <f>IF(SEFAZ!L658="","",SEFAZ!L658)</f>
        <v/>
      </c>
      <c r="I674" t="str">
        <f>IF(SEFAZ!N658="","",SEFAZ!N658)</f>
        <v/>
      </c>
      <c r="J674" t="str">
        <f>IF(SEFAZ!O658="","",SEFAZ!O658)</f>
        <v/>
      </c>
      <c r="K674" s="11" t="str">
        <f>IF(SEFAZ!P658="","",SEFAZ!P658)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hidden="1" x14ac:dyDescent="0.3">
      <c r="B675" t="str">
        <f>IF(SEFAZ!A659="","",SEFAZ!A659)</f>
        <v/>
      </c>
      <c r="C675" t="str">
        <f>IF(SEFAZ!C659="","",SEFAZ!C659)</f>
        <v/>
      </c>
      <c r="D675" t="str">
        <f>IF(SEFAZ!D659="","",SEFAZ!D659)</f>
        <v/>
      </c>
      <c r="E675" s="7" t="str">
        <f>IF(SEFAZ!E659="","",SEFAZ!E659)</f>
        <v/>
      </c>
      <c r="F675" s="6" t="str">
        <f>IF(SEFAZ!F659="","",VALUE(SUBSTITUTE(SEFAZ!F659,"'","")))</f>
        <v/>
      </c>
      <c r="G675" t="str">
        <f>IF(SEFAZ!H659="","",SEFAZ!H659)</f>
        <v/>
      </c>
      <c r="H675" t="str">
        <f>IF(SEFAZ!L659="","",SEFAZ!L659)</f>
        <v/>
      </c>
      <c r="I675" t="str">
        <f>IF(SEFAZ!N659="","",SEFAZ!N659)</f>
        <v/>
      </c>
      <c r="J675" t="str">
        <f>IF(SEFAZ!O659="","",SEFAZ!O659)</f>
        <v/>
      </c>
      <c r="K675" s="11" t="str">
        <f>IF(SEFAZ!P659="","",SEFAZ!P659)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hidden="1" x14ac:dyDescent="0.3">
      <c r="B676" t="str">
        <f>IF(SEFAZ!A660="","",SEFAZ!A660)</f>
        <v/>
      </c>
      <c r="C676" t="str">
        <f>IF(SEFAZ!C660="","",SEFAZ!C660)</f>
        <v/>
      </c>
      <c r="D676" t="str">
        <f>IF(SEFAZ!D660="","",SEFAZ!D660)</f>
        <v/>
      </c>
      <c r="E676" s="7" t="str">
        <f>IF(SEFAZ!E660="","",SEFAZ!E660)</f>
        <v/>
      </c>
      <c r="F676" s="6" t="str">
        <f>IF(SEFAZ!F660="","",VALUE(SUBSTITUTE(SEFAZ!F660,"'","")))</f>
        <v/>
      </c>
      <c r="G676" t="str">
        <f>IF(SEFAZ!H660="","",SEFAZ!H660)</f>
        <v/>
      </c>
      <c r="H676" t="str">
        <f>IF(SEFAZ!L660="","",SEFAZ!L660)</f>
        <v/>
      </c>
      <c r="I676" t="str">
        <f>IF(SEFAZ!N660="","",SEFAZ!N660)</f>
        <v/>
      </c>
      <c r="J676" t="str">
        <f>IF(SEFAZ!O660="","",SEFAZ!O660)</f>
        <v/>
      </c>
      <c r="K676" s="11" t="str">
        <f>IF(SEFAZ!P660="","",SEFAZ!P660)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hidden="1" x14ac:dyDescent="0.3">
      <c r="B677" t="str">
        <f>IF(SEFAZ!A661="","",SEFAZ!A661)</f>
        <v/>
      </c>
      <c r="C677" t="str">
        <f>IF(SEFAZ!C661="","",SEFAZ!C661)</f>
        <v/>
      </c>
      <c r="D677" t="str">
        <f>IF(SEFAZ!D661="","",SEFAZ!D661)</f>
        <v/>
      </c>
      <c r="E677" s="7" t="str">
        <f>IF(SEFAZ!E661="","",SEFAZ!E661)</f>
        <v/>
      </c>
      <c r="F677" s="6" t="str">
        <f>IF(SEFAZ!F661="","",VALUE(SUBSTITUTE(SEFAZ!F661,"'","")))</f>
        <v/>
      </c>
      <c r="G677" t="str">
        <f>IF(SEFAZ!H661="","",SEFAZ!H661)</f>
        <v/>
      </c>
      <c r="H677" t="str">
        <f>IF(SEFAZ!L661="","",SEFAZ!L661)</f>
        <v/>
      </c>
      <c r="I677" t="str">
        <f>IF(SEFAZ!N661="","",SEFAZ!N661)</f>
        <v/>
      </c>
      <c r="J677" t="str">
        <f>IF(SEFAZ!O661="","",SEFAZ!O661)</f>
        <v/>
      </c>
      <c r="K677" s="11" t="str">
        <f>IF(SEFAZ!P661="","",SEFAZ!P661)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hidden="1" x14ac:dyDescent="0.3">
      <c r="B678" t="str">
        <f>IF(SEFAZ!A662="","",SEFAZ!A662)</f>
        <v/>
      </c>
      <c r="C678" t="str">
        <f>IF(SEFAZ!C662="","",SEFAZ!C662)</f>
        <v/>
      </c>
      <c r="D678" t="str">
        <f>IF(SEFAZ!D662="","",SEFAZ!D662)</f>
        <v/>
      </c>
      <c r="E678" s="7" t="str">
        <f>IF(SEFAZ!E662="","",SEFAZ!E662)</f>
        <v/>
      </c>
      <c r="F678" s="6" t="str">
        <f>IF(SEFAZ!F662="","",VALUE(SUBSTITUTE(SEFAZ!F662,"'","")))</f>
        <v/>
      </c>
      <c r="G678" t="str">
        <f>IF(SEFAZ!H662="","",SEFAZ!H662)</f>
        <v/>
      </c>
      <c r="H678" t="str">
        <f>IF(SEFAZ!L662="","",SEFAZ!L662)</f>
        <v/>
      </c>
      <c r="I678" t="str">
        <f>IF(SEFAZ!N662="","",SEFAZ!N662)</f>
        <v/>
      </c>
      <c r="J678" t="str">
        <f>IF(SEFAZ!O662="","",SEFAZ!O662)</f>
        <v/>
      </c>
      <c r="K678" s="11" t="str">
        <f>IF(SEFAZ!P662="","",SEFAZ!P662)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hidden="1" x14ac:dyDescent="0.3">
      <c r="B679" t="str">
        <f>IF(SEFAZ!A663="","",SEFAZ!A663)</f>
        <v/>
      </c>
      <c r="C679" t="str">
        <f>IF(SEFAZ!C663="","",SEFAZ!C663)</f>
        <v/>
      </c>
      <c r="D679" t="str">
        <f>IF(SEFAZ!D663="","",SEFAZ!D663)</f>
        <v/>
      </c>
      <c r="E679" s="7" t="str">
        <f>IF(SEFAZ!E663="","",SEFAZ!E663)</f>
        <v/>
      </c>
      <c r="F679" s="6" t="str">
        <f>IF(SEFAZ!F663="","",VALUE(SUBSTITUTE(SEFAZ!F663,"'","")))</f>
        <v/>
      </c>
      <c r="G679" t="str">
        <f>IF(SEFAZ!H663="","",SEFAZ!H663)</f>
        <v/>
      </c>
      <c r="H679" t="str">
        <f>IF(SEFAZ!L663="","",SEFAZ!L663)</f>
        <v/>
      </c>
      <c r="I679" t="str">
        <f>IF(SEFAZ!N663="","",SEFAZ!N663)</f>
        <v/>
      </c>
      <c r="J679" t="str">
        <f>IF(SEFAZ!O663="","",SEFAZ!O663)</f>
        <v/>
      </c>
      <c r="K679" s="11" t="str">
        <f>IF(SEFAZ!P663="","",SEFAZ!P663)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hidden="1" x14ac:dyDescent="0.3">
      <c r="B680" t="str">
        <f>IF(SEFAZ!A664="","",SEFAZ!A664)</f>
        <v/>
      </c>
      <c r="C680" t="str">
        <f>IF(SEFAZ!C664="","",SEFAZ!C664)</f>
        <v/>
      </c>
      <c r="D680" t="str">
        <f>IF(SEFAZ!D664="","",SEFAZ!D664)</f>
        <v/>
      </c>
      <c r="E680" s="7" t="str">
        <f>IF(SEFAZ!E664="","",SEFAZ!E664)</f>
        <v/>
      </c>
      <c r="F680" s="6" t="str">
        <f>IF(SEFAZ!F664="","",VALUE(SUBSTITUTE(SEFAZ!F664,"'","")))</f>
        <v/>
      </c>
      <c r="G680" t="str">
        <f>IF(SEFAZ!H664="","",SEFAZ!H664)</f>
        <v/>
      </c>
      <c r="H680" t="str">
        <f>IF(SEFAZ!L664="","",SEFAZ!L664)</f>
        <v/>
      </c>
      <c r="I680" t="str">
        <f>IF(SEFAZ!N664="","",SEFAZ!N664)</f>
        <v/>
      </c>
      <c r="J680" t="str">
        <f>IF(SEFAZ!O664="","",SEFAZ!O664)</f>
        <v/>
      </c>
      <c r="K680" s="11" t="str">
        <f>IF(SEFAZ!P664="","",SEFAZ!P664)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hidden="1" x14ac:dyDescent="0.3">
      <c r="B681" t="str">
        <f>IF(SEFAZ!A665="","",SEFAZ!A665)</f>
        <v/>
      </c>
      <c r="C681" t="str">
        <f>IF(SEFAZ!C665="","",SEFAZ!C665)</f>
        <v/>
      </c>
      <c r="D681" t="str">
        <f>IF(SEFAZ!D665="","",SEFAZ!D665)</f>
        <v/>
      </c>
      <c r="E681" s="7" t="str">
        <f>IF(SEFAZ!E665="","",SEFAZ!E665)</f>
        <v/>
      </c>
      <c r="F681" s="6" t="str">
        <f>IF(SEFAZ!F665="","",VALUE(SUBSTITUTE(SEFAZ!F665,"'","")))</f>
        <v/>
      </c>
      <c r="G681" t="str">
        <f>IF(SEFAZ!H665="","",SEFAZ!H665)</f>
        <v/>
      </c>
      <c r="H681" t="str">
        <f>IF(SEFAZ!L665="","",SEFAZ!L665)</f>
        <v/>
      </c>
      <c r="I681" t="str">
        <f>IF(SEFAZ!N665="","",SEFAZ!N665)</f>
        <v/>
      </c>
      <c r="J681" t="str">
        <f>IF(SEFAZ!O665="","",SEFAZ!O665)</f>
        <v/>
      </c>
      <c r="K681" s="11" t="str">
        <f>IF(SEFAZ!P665="","",SEFAZ!P665)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hidden="1" x14ac:dyDescent="0.3">
      <c r="B682" t="str">
        <f>IF(SEFAZ!A666="","",SEFAZ!A666)</f>
        <v/>
      </c>
      <c r="C682" t="str">
        <f>IF(SEFAZ!C666="","",SEFAZ!C666)</f>
        <v/>
      </c>
      <c r="D682" t="str">
        <f>IF(SEFAZ!D666="","",SEFAZ!D666)</f>
        <v/>
      </c>
      <c r="E682" s="7" t="str">
        <f>IF(SEFAZ!E666="","",SEFAZ!E666)</f>
        <v/>
      </c>
      <c r="F682" s="6" t="str">
        <f>IF(SEFAZ!F666="","",VALUE(SUBSTITUTE(SEFAZ!F666,"'","")))</f>
        <v/>
      </c>
      <c r="G682" t="str">
        <f>IF(SEFAZ!H666="","",SEFAZ!H666)</f>
        <v/>
      </c>
      <c r="H682" t="str">
        <f>IF(SEFAZ!L666="","",SEFAZ!L666)</f>
        <v/>
      </c>
      <c r="I682" t="str">
        <f>IF(SEFAZ!N666="","",SEFAZ!N666)</f>
        <v/>
      </c>
      <c r="J682" t="str">
        <f>IF(SEFAZ!O666="","",SEFAZ!O666)</f>
        <v/>
      </c>
      <c r="K682" s="11" t="str">
        <f>IF(SEFAZ!P666="","",SEFAZ!P666)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hidden="1" x14ac:dyDescent="0.3">
      <c r="B683" t="str">
        <f>IF(SEFAZ!A667="","",SEFAZ!A667)</f>
        <v/>
      </c>
      <c r="C683" t="str">
        <f>IF(SEFAZ!C667="","",SEFAZ!C667)</f>
        <v/>
      </c>
      <c r="D683" t="str">
        <f>IF(SEFAZ!D667="","",SEFAZ!D667)</f>
        <v/>
      </c>
      <c r="E683" s="7" t="str">
        <f>IF(SEFAZ!E667="","",SEFAZ!E667)</f>
        <v/>
      </c>
      <c r="F683" s="6" t="str">
        <f>IF(SEFAZ!F667="","",VALUE(SUBSTITUTE(SEFAZ!F667,"'","")))</f>
        <v/>
      </c>
      <c r="G683" t="str">
        <f>IF(SEFAZ!H667="","",SEFAZ!H667)</f>
        <v/>
      </c>
      <c r="H683" t="str">
        <f>IF(SEFAZ!L667="","",SEFAZ!L667)</f>
        <v/>
      </c>
      <c r="I683" t="str">
        <f>IF(SEFAZ!N667="","",SEFAZ!N667)</f>
        <v/>
      </c>
      <c r="J683" t="str">
        <f>IF(SEFAZ!O667="","",SEFAZ!O667)</f>
        <v/>
      </c>
      <c r="K683" s="11" t="str">
        <f>IF(SEFAZ!P667="","",SEFAZ!P667)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hidden="1" x14ac:dyDescent="0.3">
      <c r="B684" t="str">
        <f>IF(SEFAZ!A668="","",SEFAZ!A668)</f>
        <v/>
      </c>
      <c r="C684" t="str">
        <f>IF(SEFAZ!C668="","",SEFAZ!C668)</f>
        <v/>
      </c>
      <c r="D684" t="str">
        <f>IF(SEFAZ!D668="","",SEFAZ!D668)</f>
        <v/>
      </c>
      <c r="E684" s="7" t="str">
        <f>IF(SEFAZ!E668="","",SEFAZ!E668)</f>
        <v/>
      </c>
      <c r="F684" s="6" t="str">
        <f>IF(SEFAZ!F668="","",VALUE(SUBSTITUTE(SEFAZ!F668,"'","")))</f>
        <v/>
      </c>
      <c r="G684" t="str">
        <f>IF(SEFAZ!H668="","",SEFAZ!H668)</f>
        <v/>
      </c>
      <c r="H684" t="str">
        <f>IF(SEFAZ!L668="","",SEFAZ!L668)</f>
        <v/>
      </c>
      <c r="I684" t="str">
        <f>IF(SEFAZ!N668="","",SEFAZ!N668)</f>
        <v/>
      </c>
      <c r="J684" t="str">
        <f>IF(SEFAZ!O668="","",SEFAZ!O668)</f>
        <v/>
      </c>
      <c r="K684" s="11" t="str">
        <f>IF(SEFAZ!P668="","",SEFAZ!P668)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hidden="1" x14ac:dyDescent="0.3">
      <c r="B685" t="str">
        <f>IF(SEFAZ!A669="","",SEFAZ!A669)</f>
        <v/>
      </c>
      <c r="C685" t="str">
        <f>IF(SEFAZ!C669="","",SEFAZ!C669)</f>
        <v/>
      </c>
      <c r="D685" t="str">
        <f>IF(SEFAZ!D669="","",SEFAZ!D669)</f>
        <v/>
      </c>
      <c r="E685" s="7" t="str">
        <f>IF(SEFAZ!E669="","",SEFAZ!E669)</f>
        <v/>
      </c>
      <c r="F685" s="6" t="str">
        <f>IF(SEFAZ!F669="","",VALUE(SUBSTITUTE(SEFAZ!F669,"'","")))</f>
        <v/>
      </c>
      <c r="G685" t="str">
        <f>IF(SEFAZ!H669="","",SEFAZ!H669)</f>
        <v/>
      </c>
      <c r="H685" t="str">
        <f>IF(SEFAZ!L669="","",SEFAZ!L669)</f>
        <v/>
      </c>
      <c r="I685" t="str">
        <f>IF(SEFAZ!N669="","",SEFAZ!N669)</f>
        <v/>
      </c>
      <c r="J685" t="str">
        <f>IF(SEFAZ!O669="","",SEFAZ!O669)</f>
        <v/>
      </c>
      <c r="K685" s="11" t="str">
        <f>IF(SEFAZ!P669="","",SEFAZ!P669)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hidden="1" x14ac:dyDescent="0.3">
      <c r="B686" t="str">
        <f>IF(SEFAZ!A670="","",SEFAZ!A670)</f>
        <v/>
      </c>
      <c r="C686" t="str">
        <f>IF(SEFAZ!C670="","",SEFAZ!C670)</f>
        <v/>
      </c>
      <c r="D686" t="str">
        <f>IF(SEFAZ!D670="","",SEFAZ!D670)</f>
        <v/>
      </c>
      <c r="E686" s="7" t="str">
        <f>IF(SEFAZ!E670="","",SEFAZ!E670)</f>
        <v/>
      </c>
      <c r="F686" s="6" t="str">
        <f>IF(SEFAZ!F670="","",VALUE(SUBSTITUTE(SEFAZ!F670,"'","")))</f>
        <v/>
      </c>
      <c r="G686" t="str">
        <f>IF(SEFAZ!H670="","",SEFAZ!H670)</f>
        <v/>
      </c>
      <c r="H686" t="str">
        <f>IF(SEFAZ!L670="","",SEFAZ!L670)</f>
        <v/>
      </c>
      <c r="I686" t="str">
        <f>IF(SEFAZ!N670="","",SEFAZ!N670)</f>
        <v/>
      </c>
      <c r="J686" t="str">
        <f>IF(SEFAZ!O670="","",SEFAZ!O670)</f>
        <v/>
      </c>
      <c r="K686" s="11" t="str">
        <f>IF(SEFAZ!P670="","",SEFAZ!P670)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hidden="1" x14ac:dyDescent="0.3">
      <c r="B687" t="str">
        <f>IF(SEFAZ!A671="","",SEFAZ!A671)</f>
        <v/>
      </c>
      <c r="C687" t="str">
        <f>IF(SEFAZ!C671="","",SEFAZ!C671)</f>
        <v/>
      </c>
      <c r="D687" t="str">
        <f>IF(SEFAZ!D671="","",SEFAZ!D671)</f>
        <v/>
      </c>
      <c r="E687" s="7" t="str">
        <f>IF(SEFAZ!E671="","",SEFAZ!E671)</f>
        <v/>
      </c>
      <c r="F687" s="6" t="str">
        <f>IF(SEFAZ!F671="","",VALUE(SUBSTITUTE(SEFAZ!F671,"'","")))</f>
        <v/>
      </c>
      <c r="G687" t="str">
        <f>IF(SEFAZ!H671="","",SEFAZ!H671)</f>
        <v/>
      </c>
      <c r="H687" t="str">
        <f>IF(SEFAZ!L671="","",SEFAZ!L671)</f>
        <v/>
      </c>
      <c r="I687" t="str">
        <f>IF(SEFAZ!N671="","",SEFAZ!N671)</f>
        <v/>
      </c>
      <c r="J687" t="str">
        <f>IF(SEFAZ!O671="","",SEFAZ!O671)</f>
        <v/>
      </c>
      <c r="K687" s="11" t="str">
        <f>IF(SEFAZ!P671="","",SEFAZ!P671)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hidden="1" x14ac:dyDescent="0.3">
      <c r="B688" t="str">
        <f>IF(SEFAZ!A672="","",SEFAZ!A672)</f>
        <v/>
      </c>
      <c r="C688" t="str">
        <f>IF(SEFAZ!C672="","",SEFAZ!C672)</f>
        <v/>
      </c>
      <c r="D688" t="str">
        <f>IF(SEFAZ!D672="","",SEFAZ!D672)</f>
        <v/>
      </c>
      <c r="E688" s="7" t="str">
        <f>IF(SEFAZ!E672="","",SEFAZ!E672)</f>
        <v/>
      </c>
      <c r="F688" s="6" t="str">
        <f>IF(SEFAZ!F672="","",VALUE(SUBSTITUTE(SEFAZ!F672,"'","")))</f>
        <v/>
      </c>
      <c r="G688" t="str">
        <f>IF(SEFAZ!H672="","",SEFAZ!H672)</f>
        <v/>
      </c>
      <c r="H688" t="str">
        <f>IF(SEFAZ!L672="","",SEFAZ!L672)</f>
        <v/>
      </c>
      <c r="I688" t="str">
        <f>IF(SEFAZ!N672="","",SEFAZ!N672)</f>
        <v/>
      </c>
      <c r="J688" t="str">
        <f>IF(SEFAZ!O672="","",SEFAZ!O672)</f>
        <v/>
      </c>
      <c r="K688" s="11" t="str">
        <f>IF(SEFAZ!P672="","",SEFAZ!P672)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hidden="1" x14ac:dyDescent="0.3">
      <c r="B689" t="str">
        <f>IF(SEFAZ!A673="","",SEFAZ!A673)</f>
        <v/>
      </c>
      <c r="C689" t="str">
        <f>IF(SEFAZ!C673="","",SEFAZ!C673)</f>
        <v/>
      </c>
      <c r="D689" t="str">
        <f>IF(SEFAZ!D673="","",SEFAZ!D673)</f>
        <v/>
      </c>
      <c r="E689" s="7" t="str">
        <f>IF(SEFAZ!E673="","",SEFAZ!E673)</f>
        <v/>
      </c>
      <c r="F689" s="6" t="str">
        <f>IF(SEFAZ!F673="","",VALUE(SUBSTITUTE(SEFAZ!F673,"'","")))</f>
        <v/>
      </c>
      <c r="G689" t="str">
        <f>IF(SEFAZ!H673="","",SEFAZ!H673)</f>
        <v/>
      </c>
      <c r="H689" t="str">
        <f>IF(SEFAZ!L673="","",SEFAZ!L673)</f>
        <v/>
      </c>
      <c r="I689" t="str">
        <f>IF(SEFAZ!N673="","",SEFAZ!N673)</f>
        <v/>
      </c>
      <c r="J689" t="str">
        <f>IF(SEFAZ!O673="","",SEFAZ!O673)</f>
        <v/>
      </c>
      <c r="K689" s="11" t="str">
        <f>IF(SEFAZ!P673="","",SEFAZ!P673)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hidden="1" x14ac:dyDescent="0.3">
      <c r="B690" t="str">
        <f>IF(SEFAZ!A674="","",SEFAZ!A674)</f>
        <v/>
      </c>
      <c r="C690" t="str">
        <f>IF(SEFAZ!C674="","",SEFAZ!C674)</f>
        <v/>
      </c>
      <c r="D690" t="str">
        <f>IF(SEFAZ!D674="","",SEFAZ!D674)</f>
        <v/>
      </c>
      <c r="E690" s="7" t="str">
        <f>IF(SEFAZ!E674="","",SEFAZ!E674)</f>
        <v/>
      </c>
      <c r="F690" s="6" t="str">
        <f>IF(SEFAZ!F674="","",VALUE(SUBSTITUTE(SEFAZ!F674,"'","")))</f>
        <v/>
      </c>
      <c r="G690" t="str">
        <f>IF(SEFAZ!H674="","",SEFAZ!H674)</f>
        <v/>
      </c>
      <c r="H690" t="str">
        <f>IF(SEFAZ!L674="","",SEFAZ!L674)</f>
        <v/>
      </c>
      <c r="I690" t="str">
        <f>IF(SEFAZ!N674="","",SEFAZ!N674)</f>
        <v/>
      </c>
      <c r="J690" t="str">
        <f>IF(SEFAZ!O674="","",SEFAZ!O674)</f>
        <v/>
      </c>
      <c r="K690" s="11" t="str">
        <f>IF(SEFAZ!P674="","",SEFAZ!P674)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hidden="1" x14ac:dyDescent="0.3">
      <c r="B691" t="str">
        <f>IF(SEFAZ!A675="","",SEFAZ!A675)</f>
        <v/>
      </c>
      <c r="C691" t="str">
        <f>IF(SEFAZ!C675="","",SEFAZ!C675)</f>
        <v/>
      </c>
      <c r="D691" t="str">
        <f>IF(SEFAZ!D675="","",SEFAZ!D675)</f>
        <v/>
      </c>
      <c r="E691" s="7" t="str">
        <f>IF(SEFAZ!E675="","",SEFAZ!E675)</f>
        <v/>
      </c>
      <c r="F691" s="6" t="str">
        <f>IF(SEFAZ!F675="","",VALUE(SUBSTITUTE(SEFAZ!F675,"'","")))</f>
        <v/>
      </c>
      <c r="G691" t="str">
        <f>IF(SEFAZ!H675="","",SEFAZ!H675)</f>
        <v/>
      </c>
      <c r="H691" t="str">
        <f>IF(SEFAZ!L675="","",SEFAZ!L675)</f>
        <v/>
      </c>
      <c r="I691" t="str">
        <f>IF(SEFAZ!N675="","",SEFAZ!N675)</f>
        <v/>
      </c>
      <c r="J691" t="str">
        <f>IF(SEFAZ!O675="","",SEFAZ!O675)</f>
        <v/>
      </c>
      <c r="K691" s="11" t="str">
        <f>IF(SEFAZ!P675="","",SEFAZ!P675)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hidden="1" x14ac:dyDescent="0.3">
      <c r="B692" t="str">
        <f>IF(SEFAZ!A676="","",SEFAZ!A676)</f>
        <v/>
      </c>
      <c r="C692" t="str">
        <f>IF(SEFAZ!C676="","",SEFAZ!C676)</f>
        <v/>
      </c>
      <c r="D692" t="str">
        <f>IF(SEFAZ!D676="","",SEFAZ!D676)</f>
        <v/>
      </c>
      <c r="E692" s="7" t="str">
        <f>IF(SEFAZ!E676="","",SEFAZ!E676)</f>
        <v/>
      </c>
      <c r="F692" s="6" t="str">
        <f>IF(SEFAZ!F676="","",VALUE(SUBSTITUTE(SEFAZ!F676,"'","")))</f>
        <v/>
      </c>
      <c r="G692" t="str">
        <f>IF(SEFAZ!H676="","",SEFAZ!H676)</f>
        <v/>
      </c>
      <c r="H692" t="str">
        <f>IF(SEFAZ!L676="","",SEFAZ!L676)</f>
        <v/>
      </c>
      <c r="I692" t="str">
        <f>IF(SEFAZ!N676="","",SEFAZ!N676)</f>
        <v/>
      </c>
      <c r="J692" t="str">
        <f>IF(SEFAZ!O676="","",SEFAZ!O676)</f>
        <v/>
      </c>
      <c r="K692" s="11" t="str">
        <f>IF(SEFAZ!P676="","",SEFAZ!P676)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hidden="1" x14ac:dyDescent="0.3">
      <c r="B693" t="str">
        <f>IF(SEFAZ!A677="","",SEFAZ!A677)</f>
        <v/>
      </c>
      <c r="C693" t="str">
        <f>IF(SEFAZ!C677="","",SEFAZ!C677)</f>
        <v/>
      </c>
      <c r="D693" t="str">
        <f>IF(SEFAZ!D677="","",SEFAZ!D677)</f>
        <v/>
      </c>
      <c r="E693" s="7" t="str">
        <f>IF(SEFAZ!E677="","",SEFAZ!E677)</f>
        <v/>
      </c>
      <c r="F693" s="6" t="str">
        <f>IF(SEFAZ!F677="","",VALUE(SUBSTITUTE(SEFAZ!F677,"'","")))</f>
        <v/>
      </c>
      <c r="G693" t="str">
        <f>IF(SEFAZ!H677="","",SEFAZ!H677)</f>
        <v/>
      </c>
      <c r="H693" t="str">
        <f>IF(SEFAZ!L677="","",SEFAZ!L677)</f>
        <v/>
      </c>
      <c r="I693" t="str">
        <f>IF(SEFAZ!N677="","",SEFAZ!N677)</f>
        <v/>
      </c>
      <c r="J693" t="str">
        <f>IF(SEFAZ!O677="","",SEFAZ!O677)</f>
        <v/>
      </c>
      <c r="K693" s="11" t="str">
        <f>IF(SEFAZ!P677="","",SEFAZ!P677)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hidden="1" x14ac:dyDescent="0.3">
      <c r="B694" t="str">
        <f>IF(SEFAZ!A678="","",SEFAZ!A678)</f>
        <v/>
      </c>
      <c r="C694" t="str">
        <f>IF(SEFAZ!C678="","",SEFAZ!C678)</f>
        <v/>
      </c>
      <c r="D694" t="str">
        <f>IF(SEFAZ!D678="","",SEFAZ!D678)</f>
        <v/>
      </c>
      <c r="E694" s="7" t="str">
        <f>IF(SEFAZ!E678="","",SEFAZ!E678)</f>
        <v/>
      </c>
      <c r="F694" s="6" t="str">
        <f>IF(SEFAZ!F678="","",VALUE(SUBSTITUTE(SEFAZ!F678,"'","")))</f>
        <v/>
      </c>
      <c r="G694" t="str">
        <f>IF(SEFAZ!H678="","",SEFAZ!H678)</f>
        <v/>
      </c>
      <c r="H694" t="str">
        <f>IF(SEFAZ!L678="","",SEFAZ!L678)</f>
        <v/>
      </c>
      <c r="I694" t="str">
        <f>IF(SEFAZ!N678="","",SEFAZ!N678)</f>
        <v/>
      </c>
      <c r="J694" t="str">
        <f>IF(SEFAZ!O678="","",SEFAZ!O678)</f>
        <v/>
      </c>
      <c r="K694" s="11" t="str">
        <f>IF(SEFAZ!P678="","",SEFAZ!P678)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hidden="1" x14ac:dyDescent="0.3">
      <c r="B695" t="str">
        <f>IF(SEFAZ!A679="","",SEFAZ!A679)</f>
        <v/>
      </c>
      <c r="C695" t="str">
        <f>IF(SEFAZ!C679="","",SEFAZ!C679)</f>
        <v/>
      </c>
      <c r="D695" t="str">
        <f>IF(SEFAZ!D679="","",SEFAZ!D679)</f>
        <v/>
      </c>
      <c r="E695" s="7" t="str">
        <f>IF(SEFAZ!E679="","",SEFAZ!E679)</f>
        <v/>
      </c>
      <c r="F695" s="6" t="str">
        <f>IF(SEFAZ!F679="","",VALUE(SUBSTITUTE(SEFAZ!F679,"'","")))</f>
        <v/>
      </c>
      <c r="G695" t="str">
        <f>IF(SEFAZ!H679="","",SEFAZ!H679)</f>
        <v/>
      </c>
      <c r="H695" t="str">
        <f>IF(SEFAZ!L679="","",SEFAZ!L679)</f>
        <v/>
      </c>
      <c r="I695" t="str">
        <f>IF(SEFAZ!N679="","",SEFAZ!N679)</f>
        <v/>
      </c>
      <c r="J695" t="str">
        <f>IF(SEFAZ!O679="","",SEFAZ!O679)</f>
        <v/>
      </c>
      <c r="K695" s="11" t="str">
        <f>IF(SEFAZ!P679="","",SEFAZ!P679)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hidden="1" x14ac:dyDescent="0.3">
      <c r="B696" t="str">
        <f>IF(SEFAZ!A680="","",SEFAZ!A680)</f>
        <v/>
      </c>
      <c r="C696" t="str">
        <f>IF(SEFAZ!C680="","",SEFAZ!C680)</f>
        <v/>
      </c>
      <c r="D696" t="str">
        <f>IF(SEFAZ!D680="","",SEFAZ!D680)</f>
        <v/>
      </c>
      <c r="E696" s="7" t="str">
        <f>IF(SEFAZ!E680="","",SEFAZ!E680)</f>
        <v/>
      </c>
      <c r="F696" s="6" t="str">
        <f>IF(SEFAZ!F680="","",VALUE(SUBSTITUTE(SEFAZ!F680,"'","")))</f>
        <v/>
      </c>
      <c r="G696" t="str">
        <f>IF(SEFAZ!H680="","",SEFAZ!H680)</f>
        <v/>
      </c>
      <c r="H696" t="str">
        <f>IF(SEFAZ!L680="","",SEFAZ!L680)</f>
        <v/>
      </c>
      <c r="I696" t="str">
        <f>IF(SEFAZ!N680="","",SEFAZ!N680)</f>
        <v/>
      </c>
      <c r="J696" t="str">
        <f>IF(SEFAZ!O680="","",SEFAZ!O680)</f>
        <v/>
      </c>
      <c r="K696" s="11" t="str">
        <f>IF(SEFAZ!P680="","",SEFAZ!P680)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hidden="1" x14ac:dyDescent="0.3">
      <c r="B697" t="str">
        <f>IF(SEFAZ!A681="","",SEFAZ!A681)</f>
        <v/>
      </c>
      <c r="C697" t="str">
        <f>IF(SEFAZ!C681="","",SEFAZ!C681)</f>
        <v/>
      </c>
      <c r="D697" t="str">
        <f>IF(SEFAZ!D681="","",SEFAZ!D681)</f>
        <v/>
      </c>
      <c r="E697" s="7" t="str">
        <f>IF(SEFAZ!E681="","",SEFAZ!E681)</f>
        <v/>
      </c>
      <c r="F697" s="6" t="str">
        <f>IF(SEFAZ!F681="","",VALUE(SUBSTITUTE(SEFAZ!F681,"'","")))</f>
        <v/>
      </c>
      <c r="G697" t="str">
        <f>IF(SEFAZ!H681="","",SEFAZ!H681)</f>
        <v/>
      </c>
      <c r="H697" t="str">
        <f>IF(SEFAZ!L681="","",SEFAZ!L681)</f>
        <v/>
      </c>
      <c r="I697" t="str">
        <f>IF(SEFAZ!N681="","",SEFAZ!N681)</f>
        <v/>
      </c>
      <c r="J697" t="str">
        <f>IF(SEFAZ!O681="","",SEFAZ!O681)</f>
        <v/>
      </c>
      <c r="K697" s="11" t="str">
        <f>IF(SEFAZ!P681="","",SEFAZ!P681)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hidden="1" x14ac:dyDescent="0.3">
      <c r="B698" t="str">
        <f>IF(SEFAZ!A682="","",SEFAZ!A682)</f>
        <v/>
      </c>
      <c r="C698" t="str">
        <f>IF(SEFAZ!C682="","",SEFAZ!C682)</f>
        <v/>
      </c>
      <c r="D698" t="str">
        <f>IF(SEFAZ!D682="","",SEFAZ!D682)</f>
        <v/>
      </c>
      <c r="E698" s="7" t="str">
        <f>IF(SEFAZ!E682="","",SEFAZ!E682)</f>
        <v/>
      </c>
      <c r="F698" s="6" t="str">
        <f>IF(SEFAZ!F682="","",VALUE(SUBSTITUTE(SEFAZ!F682,"'","")))</f>
        <v/>
      </c>
      <c r="G698" t="str">
        <f>IF(SEFAZ!H682="","",SEFAZ!H682)</f>
        <v/>
      </c>
      <c r="H698" t="str">
        <f>IF(SEFAZ!L682="","",SEFAZ!L682)</f>
        <v/>
      </c>
      <c r="I698" t="str">
        <f>IF(SEFAZ!N682="","",SEFAZ!N682)</f>
        <v/>
      </c>
      <c r="J698" t="str">
        <f>IF(SEFAZ!O682="","",SEFAZ!O682)</f>
        <v/>
      </c>
      <c r="K698" s="11" t="str">
        <f>IF(SEFAZ!P682="","",SEFAZ!P682)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hidden="1" x14ac:dyDescent="0.3">
      <c r="B699" t="str">
        <f>IF(SEFAZ!A683="","",SEFAZ!A683)</f>
        <v/>
      </c>
      <c r="C699" t="str">
        <f>IF(SEFAZ!C683="","",SEFAZ!C683)</f>
        <v/>
      </c>
      <c r="D699" t="str">
        <f>IF(SEFAZ!D683="","",SEFAZ!D683)</f>
        <v/>
      </c>
      <c r="E699" s="7" t="str">
        <f>IF(SEFAZ!E683="","",SEFAZ!E683)</f>
        <v/>
      </c>
      <c r="F699" s="6" t="str">
        <f>IF(SEFAZ!F683="","",VALUE(SUBSTITUTE(SEFAZ!F683,"'","")))</f>
        <v/>
      </c>
      <c r="G699" t="str">
        <f>IF(SEFAZ!H683="","",SEFAZ!H683)</f>
        <v/>
      </c>
      <c r="H699" t="str">
        <f>IF(SEFAZ!L683="","",SEFAZ!L683)</f>
        <v/>
      </c>
      <c r="I699" t="str">
        <f>IF(SEFAZ!N683="","",SEFAZ!N683)</f>
        <v/>
      </c>
      <c r="J699" t="str">
        <f>IF(SEFAZ!O683="","",SEFAZ!O683)</f>
        <v/>
      </c>
      <c r="K699" s="11" t="str">
        <f>IF(SEFAZ!P683="","",SEFAZ!P683)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hidden="1" x14ac:dyDescent="0.3">
      <c r="B700" t="str">
        <f>IF(SEFAZ!A684="","",SEFAZ!A684)</f>
        <v/>
      </c>
      <c r="C700" t="str">
        <f>IF(SEFAZ!C684="","",SEFAZ!C684)</f>
        <v/>
      </c>
      <c r="D700" t="str">
        <f>IF(SEFAZ!D684="","",SEFAZ!D684)</f>
        <v/>
      </c>
      <c r="E700" s="7" t="str">
        <f>IF(SEFAZ!E684="","",SEFAZ!E684)</f>
        <v/>
      </c>
      <c r="F700" s="6" t="str">
        <f>IF(SEFAZ!F684="","",VALUE(SUBSTITUTE(SEFAZ!F684,"'","")))</f>
        <v/>
      </c>
      <c r="G700" t="str">
        <f>IF(SEFAZ!H684="","",SEFAZ!H684)</f>
        <v/>
      </c>
      <c r="H700" t="str">
        <f>IF(SEFAZ!L684="","",SEFAZ!L684)</f>
        <v/>
      </c>
      <c r="I700" t="str">
        <f>IF(SEFAZ!N684="","",SEFAZ!N684)</f>
        <v/>
      </c>
      <c r="J700" t="str">
        <f>IF(SEFAZ!O684="","",SEFAZ!O684)</f>
        <v/>
      </c>
      <c r="K700" s="11" t="str">
        <f>IF(SEFAZ!P684="","",SEFAZ!P684)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hidden="1" x14ac:dyDescent="0.3">
      <c r="B701" t="str">
        <f>IF(SEFAZ!A685="","",SEFAZ!A685)</f>
        <v/>
      </c>
      <c r="C701" t="str">
        <f>IF(SEFAZ!C685="","",SEFAZ!C685)</f>
        <v/>
      </c>
      <c r="D701" t="str">
        <f>IF(SEFAZ!D685="","",SEFAZ!D685)</f>
        <v/>
      </c>
      <c r="E701" s="7" t="str">
        <f>IF(SEFAZ!E685="","",SEFAZ!E685)</f>
        <v/>
      </c>
      <c r="F701" s="6" t="str">
        <f>IF(SEFAZ!F685="","",VALUE(SUBSTITUTE(SEFAZ!F685,"'","")))</f>
        <v/>
      </c>
      <c r="G701" t="str">
        <f>IF(SEFAZ!H685="","",SEFAZ!H685)</f>
        <v/>
      </c>
      <c r="H701" t="str">
        <f>IF(SEFAZ!L685="","",SEFAZ!L685)</f>
        <v/>
      </c>
      <c r="I701" t="str">
        <f>IF(SEFAZ!N685="","",SEFAZ!N685)</f>
        <v/>
      </c>
      <c r="J701" t="str">
        <f>IF(SEFAZ!O685="","",SEFAZ!O685)</f>
        <v/>
      </c>
      <c r="K701" s="11" t="str">
        <f>IF(SEFAZ!P685="","",SEFAZ!P685)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hidden="1" x14ac:dyDescent="0.3">
      <c r="B702" t="str">
        <f>IF(SEFAZ!A686="","",SEFAZ!A686)</f>
        <v/>
      </c>
      <c r="C702" t="str">
        <f>IF(SEFAZ!C686="","",SEFAZ!C686)</f>
        <v/>
      </c>
      <c r="D702" t="str">
        <f>IF(SEFAZ!D686="","",SEFAZ!D686)</f>
        <v/>
      </c>
      <c r="E702" s="7" t="str">
        <f>IF(SEFAZ!E686="","",SEFAZ!E686)</f>
        <v/>
      </c>
      <c r="F702" s="6" t="str">
        <f>IF(SEFAZ!F686="","",VALUE(SUBSTITUTE(SEFAZ!F686,"'","")))</f>
        <v/>
      </c>
      <c r="G702" t="str">
        <f>IF(SEFAZ!H686="","",SEFAZ!H686)</f>
        <v/>
      </c>
      <c r="H702" t="str">
        <f>IF(SEFAZ!L686="","",SEFAZ!L686)</f>
        <v/>
      </c>
      <c r="I702" t="str">
        <f>IF(SEFAZ!N686="","",SEFAZ!N686)</f>
        <v/>
      </c>
      <c r="J702" t="str">
        <f>IF(SEFAZ!O686="","",SEFAZ!O686)</f>
        <v/>
      </c>
      <c r="K702" s="11" t="str">
        <f>IF(SEFAZ!P686="","",SEFAZ!P686)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hidden="1" x14ac:dyDescent="0.3">
      <c r="B703" t="str">
        <f>IF(SEFAZ!A687="","",SEFAZ!A687)</f>
        <v/>
      </c>
      <c r="C703" t="str">
        <f>IF(SEFAZ!C687="","",SEFAZ!C687)</f>
        <v/>
      </c>
      <c r="D703" t="str">
        <f>IF(SEFAZ!D687="","",SEFAZ!D687)</f>
        <v/>
      </c>
      <c r="E703" s="7" t="str">
        <f>IF(SEFAZ!E687="","",SEFAZ!E687)</f>
        <v/>
      </c>
      <c r="F703" s="6" t="str">
        <f>IF(SEFAZ!F687="","",VALUE(SUBSTITUTE(SEFAZ!F687,"'","")))</f>
        <v/>
      </c>
      <c r="G703" t="str">
        <f>IF(SEFAZ!H687="","",SEFAZ!H687)</f>
        <v/>
      </c>
      <c r="H703" t="str">
        <f>IF(SEFAZ!L687="","",SEFAZ!L687)</f>
        <v/>
      </c>
      <c r="I703" t="str">
        <f>IF(SEFAZ!N687="","",SEFAZ!N687)</f>
        <v/>
      </c>
      <c r="J703" t="str">
        <f>IF(SEFAZ!O687="","",SEFAZ!O687)</f>
        <v/>
      </c>
      <c r="K703" s="11" t="str">
        <f>IF(SEFAZ!P687="","",SEFAZ!P687)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hidden="1" x14ac:dyDescent="0.3">
      <c r="B704" t="str">
        <f>IF(SEFAZ!A688="","",SEFAZ!A688)</f>
        <v/>
      </c>
      <c r="C704" t="str">
        <f>IF(SEFAZ!C688="","",SEFAZ!C688)</f>
        <v/>
      </c>
      <c r="D704" t="str">
        <f>IF(SEFAZ!D688="","",SEFAZ!D688)</f>
        <v/>
      </c>
      <c r="E704" s="7" t="str">
        <f>IF(SEFAZ!E688="","",SEFAZ!E688)</f>
        <v/>
      </c>
      <c r="F704" s="6" t="str">
        <f>IF(SEFAZ!F688="","",VALUE(SUBSTITUTE(SEFAZ!F688,"'","")))</f>
        <v/>
      </c>
      <c r="G704" t="str">
        <f>IF(SEFAZ!H688="","",SEFAZ!H688)</f>
        <v/>
      </c>
      <c r="H704" t="str">
        <f>IF(SEFAZ!L688="","",SEFAZ!L688)</f>
        <v/>
      </c>
      <c r="I704" t="str">
        <f>IF(SEFAZ!N688="","",SEFAZ!N688)</f>
        <v/>
      </c>
      <c r="J704" t="str">
        <f>IF(SEFAZ!O688="","",SEFAZ!O688)</f>
        <v/>
      </c>
      <c r="K704" s="11" t="str">
        <f>IF(SEFAZ!P688="","",SEFAZ!P688)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hidden="1" x14ac:dyDescent="0.3">
      <c r="B705" t="str">
        <f>IF(SEFAZ!A689="","",SEFAZ!A689)</f>
        <v/>
      </c>
      <c r="C705" t="str">
        <f>IF(SEFAZ!C689="","",SEFAZ!C689)</f>
        <v/>
      </c>
      <c r="D705" t="str">
        <f>IF(SEFAZ!D689="","",SEFAZ!D689)</f>
        <v/>
      </c>
      <c r="E705" s="7" t="str">
        <f>IF(SEFAZ!E689="","",SEFAZ!E689)</f>
        <v/>
      </c>
      <c r="F705" s="6" t="str">
        <f>IF(SEFAZ!F689="","",VALUE(SUBSTITUTE(SEFAZ!F689,"'","")))</f>
        <v/>
      </c>
      <c r="G705" t="str">
        <f>IF(SEFAZ!H689="","",SEFAZ!H689)</f>
        <v/>
      </c>
      <c r="H705" t="str">
        <f>IF(SEFAZ!L689="","",SEFAZ!L689)</f>
        <v/>
      </c>
      <c r="I705" t="str">
        <f>IF(SEFAZ!N689="","",SEFAZ!N689)</f>
        <v/>
      </c>
      <c r="J705" t="str">
        <f>IF(SEFAZ!O689="","",SEFAZ!O689)</f>
        <v/>
      </c>
      <c r="K705" s="11" t="str">
        <f>IF(SEFAZ!P689="","",SEFAZ!P689)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hidden="1" x14ac:dyDescent="0.3">
      <c r="B706" t="str">
        <f>IF(SEFAZ!A690="","",SEFAZ!A690)</f>
        <v/>
      </c>
      <c r="C706" t="str">
        <f>IF(SEFAZ!C690="","",SEFAZ!C690)</f>
        <v/>
      </c>
      <c r="D706" t="str">
        <f>IF(SEFAZ!D690="","",SEFAZ!D690)</f>
        <v/>
      </c>
      <c r="E706" s="7" t="str">
        <f>IF(SEFAZ!E690="","",SEFAZ!E690)</f>
        <v/>
      </c>
      <c r="F706" s="6" t="str">
        <f>IF(SEFAZ!F690="","",VALUE(SUBSTITUTE(SEFAZ!F690,"'","")))</f>
        <v/>
      </c>
      <c r="G706" t="str">
        <f>IF(SEFAZ!H690="","",SEFAZ!H690)</f>
        <v/>
      </c>
      <c r="H706" t="str">
        <f>IF(SEFAZ!L690="","",SEFAZ!L690)</f>
        <v/>
      </c>
      <c r="I706" t="str">
        <f>IF(SEFAZ!N690="","",SEFAZ!N690)</f>
        <v/>
      </c>
      <c r="J706" t="str">
        <f>IF(SEFAZ!O690="","",SEFAZ!O690)</f>
        <v/>
      </c>
      <c r="K706" s="11" t="str">
        <f>IF(SEFAZ!P690="","",SEFAZ!P690)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hidden="1" x14ac:dyDescent="0.3">
      <c r="B707" t="str">
        <f>IF(SEFAZ!A691="","",SEFAZ!A691)</f>
        <v/>
      </c>
      <c r="C707" t="str">
        <f>IF(SEFAZ!C691="","",SEFAZ!C691)</f>
        <v/>
      </c>
      <c r="D707" t="str">
        <f>IF(SEFAZ!D691="","",SEFAZ!D691)</f>
        <v/>
      </c>
      <c r="E707" s="7" t="str">
        <f>IF(SEFAZ!E691="","",SEFAZ!E691)</f>
        <v/>
      </c>
      <c r="F707" s="6" t="str">
        <f>IF(SEFAZ!F691="","",VALUE(SUBSTITUTE(SEFAZ!F691,"'","")))</f>
        <v/>
      </c>
      <c r="G707" t="str">
        <f>IF(SEFAZ!H691="","",SEFAZ!H691)</f>
        <v/>
      </c>
      <c r="H707" t="str">
        <f>IF(SEFAZ!L691="","",SEFAZ!L691)</f>
        <v/>
      </c>
      <c r="I707" t="str">
        <f>IF(SEFAZ!N691="","",SEFAZ!N691)</f>
        <v/>
      </c>
      <c r="J707" t="str">
        <f>IF(SEFAZ!O691="","",SEFAZ!O691)</f>
        <v/>
      </c>
      <c r="K707" s="11" t="str">
        <f>IF(SEFAZ!P691="","",SEFAZ!P691)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hidden="1" x14ac:dyDescent="0.3">
      <c r="B708" t="str">
        <f>IF(SEFAZ!A692="","",SEFAZ!A692)</f>
        <v/>
      </c>
      <c r="C708" t="str">
        <f>IF(SEFAZ!C692="","",SEFAZ!C692)</f>
        <v/>
      </c>
      <c r="D708" t="str">
        <f>IF(SEFAZ!D692="","",SEFAZ!D692)</f>
        <v/>
      </c>
      <c r="E708" s="7" t="str">
        <f>IF(SEFAZ!E692="","",SEFAZ!E692)</f>
        <v/>
      </c>
      <c r="F708" s="6" t="str">
        <f>IF(SEFAZ!F692="","",VALUE(SUBSTITUTE(SEFAZ!F692,"'","")))</f>
        <v/>
      </c>
      <c r="G708" t="str">
        <f>IF(SEFAZ!H692="","",SEFAZ!H692)</f>
        <v/>
      </c>
      <c r="H708" t="str">
        <f>IF(SEFAZ!L692="","",SEFAZ!L692)</f>
        <v/>
      </c>
      <c r="I708" t="str">
        <f>IF(SEFAZ!N692="","",SEFAZ!N692)</f>
        <v/>
      </c>
      <c r="J708" t="str">
        <f>IF(SEFAZ!O692="","",SEFAZ!O692)</f>
        <v/>
      </c>
      <c r="K708" s="11" t="str">
        <f>IF(SEFAZ!P692="","",SEFAZ!P692)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hidden="1" x14ac:dyDescent="0.3">
      <c r="B709" t="str">
        <f>IF(SEFAZ!A693="","",SEFAZ!A693)</f>
        <v/>
      </c>
      <c r="C709" t="str">
        <f>IF(SEFAZ!C693="","",SEFAZ!C693)</f>
        <v/>
      </c>
      <c r="D709" t="str">
        <f>IF(SEFAZ!D693="","",SEFAZ!D693)</f>
        <v/>
      </c>
      <c r="E709" s="7" t="str">
        <f>IF(SEFAZ!E693="","",SEFAZ!E693)</f>
        <v/>
      </c>
      <c r="F709" s="6" t="str">
        <f>IF(SEFAZ!F693="","",VALUE(SUBSTITUTE(SEFAZ!F693,"'","")))</f>
        <v/>
      </c>
      <c r="G709" t="str">
        <f>IF(SEFAZ!H693="","",SEFAZ!H693)</f>
        <v/>
      </c>
      <c r="H709" t="str">
        <f>IF(SEFAZ!L693="","",SEFAZ!L693)</f>
        <v/>
      </c>
      <c r="I709" t="str">
        <f>IF(SEFAZ!N693="","",SEFAZ!N693)</f>
        <v/>
      </c>
      <c r="J709" t="str">
        <f>IF(SEFAZ!O693="","",SEFAZ!O693)</f>
        <v/>
      </c>
      <c r="K709" s="11" t="str">
        <f>IF(SEFAZ!P693="","",SEFAZ!P693)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hidden="1" x14ac:dyDescent="0.3">
      <c r="B710" t="str">
        <f>IF(SEFAZ!A694="","",SEFAZ!A694)</f>
        <v/>
      </c>
      <c r="C710" t="str">
        <f>IF(SEFAZ!C694="","",SEFAZ!C694)</f>
        <v/>
      </c>
      <c r="D710" t="str">
        <f>IF(SEFAZ!D694="","",SEFAZ!D694)</f>
        <v/>
      </c>
      <c r="E710" s="7" t="str">
        <f>IF(SEFAZ!E694="","",SEFAZ!E694)</f>
        <v/>
      </c>
      <c r="F710" s="6" t="str">
        <f>IF(SEFAZ!F694="","",VALUE(SUBSTITUTE(SEFAZ!F694,"'","")))</f>
        <v/>
      </c>
      <c r="G710" t="str">
        <f>IF(SEFAZ!H694="","",SEFAZ!H694)</f>
        <v/>
      </c>
      <c r="H710" t="str">
        <f>IF(SEFAZ!L694="","",SEFAZ!L694)</f>
        <v/>
      </c>
      <c r="I710" t="str">
        <f>IF(SEFAZ!N694="","",SEFAZ!N694)</f>
        <v/>
      </c>
      <c r="J710" t="str">
        <f>IF(SEFAZ!O694="","",SEFAZ!O694)</f>
        <v/>
      </c>
      <c r="K710" s="11" t="str">
        <f>IF(SEFAZ!P694="","",SEFAZ!P694)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hidden="1" x14ac:dyDescent="0.3">
      <c r="B711" t="str">
        <f>IF(SEFAZ!A695="","",SEFAZ!A695)</f>
        <v/>
      </c>
      <c r="C711" t="str">
        <f>IF(SEFAZ!C695="","",SEFAZ!C695)</f>
        <v/>
      </c>
      <c r="D711" t="str">
        <f>IF(SEFAZ!D695="","",SEFAZ!D695)</f>
        <v/>
      </c>
      <c r="E711" s="7" t="str">
        <f>IF(SEFAZ!E695="","",SEFAZ!E695)</f>
        <v/>
      </c>
      <c r="F711" s="6" t="str">
        <f>IF(SEFAZ!F695="","",VALUE(SUBSTITUTE(SEFAZ!F695,"'","")))</f>
        <v/>
      </c>
      <c r="G711" t="str">
        <f>IF(SEFAZ!H695="","",SEFAZ!H695)</f>
        <v/>
      </c>
      <c r="H711" t="str">
        <f>IF(SEFAZ!L695="","",SEFAZ!L695)</f>
        <v/>
      </c>
      <c r="I711" t="str">
        <f>IF(SEFAZ!N695="","",SEFAZ!N695)</f>
        <v/>
      </c>
      <c r="J711" t="str">
        <f>IF(SEFAZ!O695="","",SEFAZ!O695)</f>
        <v/>
      </c>
      <c r="K711" s="11" t="str">
        <f>IF(SEFAZ!P695="","",SEFAZ!P695)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hidden="1" x14ac:dyDescent="0.3">
      <c r="B712" t="str">
        <f>IF(SEFAZ!A696="","",SEFAZ!A696)</f>
        <v/>
      </c>
      <c r="C712" t="str">
        <f>IF(SEFAZ!C696="","",SEFAZ!C696)</f>
        <v/>
      </c>
      <c r="D712" t="str">
        <f>IF(SEFAZ!D696="","",SEFAZ!D696)</f>
        <v/>
      </c>
      <c r="E712" s="7" t="str">
        <f>IF(SEFAZ!E696="","",SEFAZ!E696)</f>
        <v/>
      </c>
      <c r="F712" s="6" t="str">
        <f>IF(SEFAZ!F696="","",VALUE(SUBSTITUTE(SEFAZ!F696,"'","")))</f>
        <v/>
      </c>
      <c r="G712" t="str">
        <f>IF(SEFAZ!H696="","",SEFAZ!H696)</f>
        <v/>
      </c>
      <c r="H712" t="str">
        <f>IF(SEFAZ!L696="","",SEFAZ!L696)</f>
        <v/>
      </c>
      <c r="I712" t="str">
        <f>IF(SEFAZ!N696="","",SEFAZ!N696)</f>
        <v/>
      </c>
      <c r="J712" t="str">
        <f>IF(SEFAZ!O696="","",SEFAZ!O696)</f>
        <v/>
      </c>
      <c r="K712" s="11" t="str">
        <f>IF(SEFAZ!P696="","",SEFAZ!P696)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hidden="1" x14ac:dyDescent="0.3">
      <c r="B713" t="str">
        <f>IF(SEFAZ!A697="","",SEFAZ!A697)</f>
        <v/>
      </c>
      <c r="C713" t="str">
        <f>IF(SEFAZ!C697="","",SEFAZ!C697)</f>
        <v/>
      </c>
      <c r="D713" t="str">
        <f>IF(SEFAZ!D697="","",SEFAZ!D697)</f>
        <v/>
      </c>
      <c r="E713" s="7" t="str">
        <f>IF(SEFAZ!E697="","",SEFAZ!E697)</f>
        <v/>
      </c>
      <c r="F713" s="6" t="str">
        <f>IF(SEFAZ!F697="","",VALUE(SUBSTITUTE(SEFAZ!F697,"'","")))</f>
        <v/>
      </c>
      <c r="G713" t="str">
        <f>IF(SEFAZ!H697="","",SEFAZ!H697)</f>
        <v/>
      </c>
      <c r="H713" t="str">
        <f>IF(SEFAZ!L697="","",SEFAZ!L697)</f>
        <v/>
      </c>
      <c r="I713" t="str">
        <f>IF(SEFAZ!N697="","",SEFAZ!N697)</f>
        <v/>
      </c>
      <c r="J713" t="str">
        <f>IF(SEFAZ!O697="","",SEFAZ!O697)</f>
        <v/>
      </c>
      <c r="K713" s="11" t="str">
        <f>IF(SEFAZ!P697="","",SEFAZ!P697)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hidden="1" x14ac:dyDescent="0.3">
      <c r="B714" t="str">
        <f>IF(SEFAZ!A698="","",SEFAZ!A698)</f>
        <v/>
      </c>
      <c r="C714" t="str">
        <f>IF(SEFAZ!C698="","",SEFAZ!C698)</f>
        <v/>
      </c>
      <c r="D714" t="str">
        <f>IF(SEFAZ!D698="","",SEFAZ!D698)</f>
        <v/>
      </c>
      <c r="E714" s="7" t="str">
        <f>IF(SEFAZ!E698="","",SEFAZ!E698)</f>
        <v/>
      </c>
      <c r="F714" s="6" t="str">
        <f>IF(SEFAZ!F698="","",VALUE(SUBSTITUTE(SEFAZ!F698,"'","")))</f>
        <v/>
      </c>
      <c r="G714" t="str">
        <f>IF(SEFAZ!H698="","",SEFAZ!H698)</f>
        <v/>
      </c>
      <c r="H714" t="str">
        <f>IF(SEFAZ!L698="","",SEFAZ!L698)</f>
        <v/>
      </c>
      <c r="I714" t="str">
        <f>IF(SEFAZ!N698="","",SEFAZ!N698)</f>
        <v/>
      </c>
      <c r="J714" t="str">
        <f>IF(SEFAZ!O698="","",SEFAZ!O698)</f>
        <v/>
      </c>
      <c r="K714" s="11" t="str">
        <f>IF(SEFAZ!P698="","",SEFAZ!P698)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hidden="1" x14ac:dyDescent="0.3">
      <c r="B715" t="str">
        <f>IF(SEFAZ!A699="","",SEFAZ!A699)</f>
        <v/>
      </c>
      <c r="C715" t="str">
        <f>IF(SEFAZ!C699="","",SEFAZ!C699)</f>
        <v/>
      </c>
      <c r="D715" t="str">
        <f>IF(SEFAZ!D699="","",SEFAZ!D699)</f>
        <v/>
      </c>
      <c r="E715" s="7" t="str">
        <f>IF(SEFAZ!E699="","",SEFAZ!E699)</f>
        <v/>
      </c>
      <c r="F715" s="6" t="str">
        <f>IF(SEFAZ!F699="","",VALUE(SUBSTITUTE(SEFAZ!F699,"'","")))</f>
        <v/>
      </c>
      <c r="G715" t="str">
        <f>IF(SEFAZ!H699="","",SEFAZ!H699)</f>
        <v/>
      </c>
      <c r="H715" t="str">
        <f>IF(SEFAZ!L699="","",SEFAZ!L699)</f>
        <v/>
      </c>
      <c r="I715" t="str">
        <f>IF(SEFAZ!N699="","",SEFAZ!N699)</f>
        <v/>
      </c>
      <c r="J715" t="str">
        <f>IF(SEFAZ!O699="","",SEFAZ!O699)</f>
        <v/>
      </c>
      <c r="K715" s="11" t="str">
        <f>IF(SEFAZ!P699="","",SEFAZ!P699)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hidden="1" x14ac:dyDescent="0.3">
      <c r="B716" t="str">
        <f>IF(SEFAZ!A700="","",SEFAZ!A700)</f>
        <v/>
      </c>
      <c r="C716" t="str">
        <f>IF(SEFAZ!C700="","",SEFAZ!C700)</f>
        <v/>
      </c>
      <c r="D716" t="str">
        <f>IF(SEFAZ!D700="","",SEFAZ!D700)</f>
        <v/>
      </c>
      <c r="E716" s="7" t="str">
        <f>IF(SEFAZ!E700="","",SEFAZ!E700)</f>
        <v/>
      </c>
      <c r="F716" s="6" t="str">
        <f>IF(SEFAZ!F700="","",VALUE(SUBSTITUTE(SEFAZ!F700,"'","")))</f>
        <v/>
      </c>
      <c r="G716" t="str">
        <f>IF(SEFAZ!H700="","",SEFAZ!H700)</f>
        <v/>
      </c>
      <c r="H716" t="str">
        <f>IF(SEFAZ!L700="","",SEFAZ!L700)</f>
        <v/>
      </c>
      <c r="I716" t="str">
        <f>IF(SEFAZ!N700="","",SEFAZ!N700)</f>
        <v/>
      </c>
      <c r="J716" t="str">
        <f>IF(SEFAZ!O700="","",SEFAZ!O700)</f>
        <v/>
      </c>
      <c r="K716" s="11" t="str">
        <f>IF(SEFAZ!P700="","",SEFAZ!P700)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hidden="1" x14ac:dyDescent="0.3">
      <c r="B717" t="str">
        <f>IF(SEFAZ!A701="","",SEFAZ!A701)</f>
        <v/>
      </c>
      <c r="C717" t="str">
        <f>IF(SEFAZ!C701="","",SEFAZ!C701)</f>
        <v/>
      </c>
      <c r="D717" t="str">
        <f>IF(SEFAZ!D701="","",SEFAZ!D701)</f>
        <v/>
      </c>
      <c r="E717" s="7" t="str">
        <f>IF(SEFAZ!E701="","",SEFAZ!E701)</f>
        <v/>
      </c>
      <c r="F717" s="6" t="str">
        <f>IF(SEFAZ!F701="","",VALUE(SUBSTITUTE(SEFAZ!F701,"'","")))</f>
        <v/>
      </c>
      <c r="G717" t="str">
        <f>IF(SEFAZ!H701="","",SEFAZ!H701)</f>
        <v/>
      </c>
      <c r="H717" t="str">
        <f>IF(SEFAZ!L701="","",SEFAZ!L701)</f>
        <v/>
      </c>
      <c r="I717" t="str">
        <f>IF(SEFAZ!N701="","",SEFAZ!N701)</f>
        <v/>
      </c>
      <c r="J717" t="str">
        <f>IF(SEFAZ!O701="","",SEFAZ!O701)</f>
        <v/>
      </c>
      <c r="K717" s="11" t="str">
        <f>IF(SEFAZ!P701="","",SEFAZ!P701)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hidden="1" x14ac:dyDescent="0.3">
      <c r="B718" t="str">
        <f>IF(SEFAZ!A702="","",SEFAZ!A702)</f>
        <v/>
      </c>
      <c r="C718" t="str">
        <f>IF(SEFAZ!C702="","",SEFAZ!C702)</f>
        <v/>
      </c>
      <c r="D718" t="str">
        <f>IF(SEFAZ!D702="","",SEFAZ!D702)</f>
        <v/>
      </c>
      <c r="E718" s="7" t="str">
        <f>IF(SEFAZ!E702="","",SEFAZ!E702)</f>
        <v/>
      </c>
      <c r="F718" s="6" t="str">
        <f>IF(SEFAZ!F702="","",VALUE(SUBSTITUTE(SEFAZ!F702,"'","")))</f>
        <v/>
      </c>
      <c r="G718" t="str">
        <f>IF(SEFAZ!H702="","",SEFAZ!H702)</f>
        <v/>
      </c>
      <c r="H718" t="str">
        <f>IF(SEFAZ!L702="","",SEFAZ!L702)</f>
        <v/>
      </c>
      <c r="I718" t="str">
        <f>IF(SEFAZ!N702="","",SEFAZ!N702)</f>
        <v/>
      </c>
      <c r="J718" t="str">
        <f>IF(SEFAZ!O702="","",SEFAZ!O702)</f>
        <v/>
      </c>
      <c r="K718" s="11" t="str">
        <f>IF(SEFAZ!P702="","",SEFAZ!P702)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hidden="1" x14ac:dyDescent="0.3">
      <c r="B719" t="str">
        <f>IF(SEFAZ!A703="","",SEFAZ!A703)</f>
        <v/>
      </c>
      <c r="C719" t="str">
        <f>IF(SEFAZ!C703="","",SEFAZ!C703)</f>
        <v/>
      </c>
      <c r="D719" t="str">
        <f>IF(SEFAZ!D703="","",SEFAZ!D703)</f>
        <v/>
      </c>
      <c r="E719" s="7" t="str">
        <f>IF(SEFAZ!E703="","",SEFAZ!E703)</f>
        <v/>
      </c>
      <c r="F719" s="6" t="str">
        <f>IF(SEFAZ!F703="","",VALUE(SUBSTITUTE(SEFAZ!F703,"'","")))</f>
        <v/>
      </c>
      <c r="G719" t="str">
        <f>IF(SEFAZ!H703="","",SEFAZ!H703)</f>
        <v/>
      </c>
      <c r="H719" t="str">
        <f>IF(SEFAZ!L703="","",SEFAZ!L703)</f>
        <v/>
      </c>
      <c r="I719" t="str">
        <f>IF(SEFAZ!N703="","",SEFAZ!N703)</f>
        <v/>
      </c>
      <c r="J719" t="str">
        <f>IF(SEFAZ!O703="","",SEFAZ!O703)</f>
        <v/>
      </c>
      <c r="K719" s="11" t="str">
        <f>IF(SEFAZ!P703="","",SEFAZ!P703)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hidden="1" x14ac:dyDescent="0.3">
      <c r="B720" t="str">
        <f>IF(SEFAZ!A704="","",SEFAZ!A704)</f>
        <v/>
      </c>
      <c r="C720" t="str">
        <f>IF(SEFAZ!C704="","",SEFAZ!C704)</f>
        <v/>
      </c>
      <c r="D720" t="str">
        <f>IF(SEFAZ!D704="","",SEFAZ!D704)</f>
        <v/>
      </c>
      <c r="E720" s="7" t="str">
        <f>IF(SEFAZ!E704="","",SEFAZ!E704)</f>
        <v/>
      </c>
      <c r="F720" s="6" t="str">
        <f>IF(SEFAZ!F704="","",VALUE(SUBSTITUTE(SEFAZ!F704,"'","")))</f>
        <v/>
      </c>
      <c r="G720" t="str">
        <f>IF(SEFAZ!H704="","",SEFAZ!H704)</f>
        <v/>
      </c>
      <c r="H720" t="str">
        <f>IF(SEFAZ!L704="","",SEFAZ!L704)</f>
        <v/>
      </c>
      <c r="I720" t="str">
        <f>IF(SEFAZ!N704="","",SEFAZ!N704)</f>
        <v/>
      </c>
      <c r="J720" t="str">
        <f>IF(SEFAZ!O704="","",SEFAZ!O704)</f>
        <v/>
      </c>
      <c r="K720" s="11" t="str">
        <f>IF(SEFAZ!P704="","",SEFAZ!P704)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hidden="1" x14ac:dyDescent="0.3">
      <c r="B721" t="str">
        <f>IF(SEFAZ!A705="","",SEFAZ!A705)</f>
        <v/>
      </c>
      <c r="C721" t="str">
        <f>IF(SEFAZ!C705="","",SEFAZ!C705)</f>
        <v/>
      </c>
      <c r="D721" t="str">
        <f>IF(SEFAZ!D705="","",SEFAZ!D705)</f>
        <v/>
      </c>
      <c r="E721" s="7" t="str">
        <f>IF(SEFAZ!E705="","",SEFAZ!E705)</f>
        <v/>
      </c>
      <c r="F721" s="6" t="str">
        <f>IF(SEFAZ!F705="","",VALUE(SUBSTITUTE(SEFAZ!F705,"'","")))</f>
        <v/>
      </c>
      <c r="G721" t="str">
        <f>IF(SEFAZ!H705="","",SEFAZ!H705)</f>
        <v/>
      </c>
      <c r="H721" t="str">
        <f>IF(SEFAZ!L705="","",SEFAZ!L705)</f>
        <v/>
      </c>
      <c r="I721" t="str">
        <f>IF(SEFAZ!N705="","",SEFAZ!N705)</f>
        <v/>
      </c>
      <c r="J721" t="str">
        <f>IF(SEFAZ!O705="","",SEFAZ!O705)</f>
        <v/>
      </c>
      <c r="K721" s="11" t="str">
        <f>IF(SEFAZ!P705="","",SEFAZ!P705)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hidden="1" x14ac:dyDescent="0.3">
      <c r="B722" t="str">
        <f>IF(SEFAZ!A706="","",SEFAZ!A706)</f>
        <v/>
      </c>
      <c r="C722" t="str">
        <f>IF(SEFAZ!C706="","",SEFAZ!C706)</f>
        <v/>
      </c>
      <c r="D722" t="str">
        <f>IF(SEFAZ!D706="","",SEFAZ!D706)</f>
        <v/>
      </c>
      <c r="E722" s="7" t="str">
        <f>IF(SEFAZ!E706="","",SEFAZ!E706)</f>
        <v/>
      </c>
      <c r="F722" s="6" t="str">
        <f>IF(SEFAZ!F706="","",VALUE(SUBSTITUTE(SEFAZ!F706,"'","")))</f>
        <v/>
      </c>
      <c r="G722" t="str">
        <f>IF(SEFAZ!H706="","",SEFAZ!H706)</f>
        <v/>
      </c>
      <c r="H722" t="str">
        <f>IF(SEFAZ!L706="","",SEFAZ!L706)</f>
        <v/>
      </c>
      <c r="I722" t="str">
        <f>IF(SEFAZ!N706="","",SEFAZ!N706)</f>
        <v/>
      </c>
      <c r="J722" t="str">
        <f>IF(SEFAZ!O706="","",SEFAZ!O706)</f>
        <v/>
      </c>
      <c r="K722" s="11" t="str">
        <f>IF(SEFAZ!P706="","",SEFAZ!P706)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hidden="1" x14ac:dyDescent="0.3">
      <c r="B723" t="str">
        <f>IF(SEFAZ!A707="","",SEFAZ!A707)</f>
        <v/>
      </c>
      <c r="C723" t="str">
        <f>IF(SEFAZ!C707="","",SEFAZ!C707)</f>
        <v/>
      </c>
      <c r="D723" t="str">
        <f>IF(SEFAZ!D707="","",SEFAZ!D707)</f>
        <v/>
      </c>
      <c r="E723" s="7" t="str">
        <f>IF(SEFAZ!E707="","",SEFAZ!E707)</f>
        <v/>
      </c>
      <c r="F723" s="6" t="str">
        <f>IF(SEFAZ!F707="","",VALUE(SUBSTITUTE(SEFAZ!F707,"'","")))</f>
        <v/>
      </c>
      <c r="G723" t="str">
        <f>IF(SEFAZ!H707="","",SEFAZ!H707)</f>
        <v/>
      </c>
      <c r="H723" t="str">
        <f>IF(SEFAZ!L707="","",SEFAZ!L707)</f>
        <v/>
      </c>
      <c r="I723" t="str">
        <f>IF(SEFAZ!N707="","",SEFAZ!N707)</f>
        <v/>
      </c>
      <c r="J723" t="str">
        <f>IF(SEFAZ!O707="","",SEFAZ!O707)</f>
        <v/>
      </c>
      <c r="K723" s="11" t="str">
        <f>IF(SEFAZ!P707="","",SEFAZ!P707)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hidden="1" x14ac:dyDescent="0.3">
      <c r="B724" t="str">
        <f>IF(SEFAZ!A708="","",SEFAZ!A708)</f>
        <v/>
      </c>
      <c r="C724" t="str">
        <f>IF(SEFAZ!C708="","",SEFAZ!C708)</f>
        <v/>
      </c>
      <c r="D724" t="str">
        <f>IF(SEFAZ!D708="","",SEFAZ!D708)</f>
        <v/>
      </c>
      <c r="E724" s="7" t="str">
        <f>IF(SEFAZ!E708="","",SEFAZ!E708)</f>
        <v/>
      </c>
      <c r="F724" s="6" t="str">
        <f>IF(SEFAZ!F708="","",VALUE(SUBSTITUTE(SEFAZ!F708,"'","")))</f>
        <v/>
      </c>
      <c r="G724" t="str">
        <f>IF(SEFAZ!H708="","",SEFAZ!H708)</f>
        <v/>
      </c>
      <c r="H724" t="str">
        <f>IF(SEFAZ!L708="","",SEFAZ!L708)</f>
        <v/>
      </c>
      <c r="I724" t="str">
        <f>IF(SEFAZ!N708="","",SEFAZ!N708)</f>
        <v/>
      </c>
      <c r="J724" t="str">
        <f>IF(SEFAZ!O708="","",SEFAZ!O708)</f>
        <v/>
      </c>
      <c r="K724" s="11" t="str">
        <f>IF(SEFAZ!P708="","",SEFAZ!P708)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hidden="1" x14ac:dyDescent="0.3">
      <c r="B725" t="str">
        <f>IF(SEFAZ!A709="","",SEFAZ!A709)</f>
        <v/>
      </c>
      <c r="C725" t="str">
        <f>IF(SEFAZ!C709="","",SEFAZ!C709)</f>
        <v/>
      </c>
      <c r="D725" t="str">
        <f>IF(SEFAZ!D709="","",SEFAZ!D709)</f>
        <v/>
      </c>
      <c r="E725" s="7" t="str">
        <f>IF(SEFAZ!E709="","",SEFAZ!E709)</f>
        <v/>
      </c>
      <c r="F725" s="6" t="str">
        <f>IF(SEFAZ!F709="","",VALUE(SUBSTITUTE(SEFAZ!F709,"'","")))</f>
        <v/>
      </c>
      <c r="G725" t="str">
        <f>IF(SEFAZ!H709="","",SEFAZ!H709)</f>
        <v/>
      </c>
      <c r="H725" t="str">
        <f>IF(SEFAZ!L709="","",SEFAZ!L709)</f>
        <v/>
      </c>
      <c r="I725" t="str">
        <f>IF(SEFAZ!N709="","",SEFAZ!N709)</f>
        <v/>
      </c>
      <c r="J725" t="str">
        <f>IF(SEFAZ!O709="","",SEFAZ!O709)</f>
        <v/>
      </c>
      <c r="K725" s="11" t="str">
        <f>IF(SEFAZ!P709="","",SEFAZ!P709)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hidden="1" x14ac:dyDescent="0.3">
      <c r="B726" t="str">
        <f>IF(SEFAZ!A710="","",SEFAZ!A710)</f>
        <v/>
      </c>
      <c r="C726" t="str">
        <f>IF(SEFAZ!C710="","",SEFAZ!C710)</f>
        <v/>
      </c>
      <c r="D726" t="str">
        <f>IF(SEFAZ!D710="","",SEFAZ!D710)</f>
        <v/>
      </c>
      <c r="E726" s="7" t="str">
        <f>IF(SEFAZ!E710="","",SEFAZ!E710)</f>
        <v/>
      </c>
      <c r="F726" s="6" t="str">
        <f>IF(SEFAZ!F710="","",VALUE(SUBSTITUTE(SEFAZ!F710,"'","")))</f>
        <v/>
      </c>
      <c r="G726" t="str">
        <f>IF(SEFAZ!H710="","",SEFAZ!H710)</f>
        <v/>
      </c>
      <c r="H726" t="str">
        <f>IF(SEFAZ!L710="","",SEFAZ!L710)</f>
        <v/>
      </c>
      <c r="I726" t="str">
        <f>IF(SEFAZ!N710="","",SEFAZ!N710)</f>
        <v/>
      </c>
      <c r="J726" t="str">
        <f>IF(SEFAZ!O710="","",SEFAZ!O710)</f>
        <v/>
      </c>
      <c r="K726" s="11" t="str">
        <f>IF(SEFAZ!P710="","",SEFAZ!P710)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hidden="1" x14ac:dyDescent="0.3">
      <c r="B727" t="str">
        <f>IF(SEFAZ!A711="","",SEFAZ!A711)</f>
        <v/>
      </c>
      <c r="C727" t="str">
        <f>IF(SEFAZ!C711="","",SEFAZ!C711)</f>
        <v/>
      </c>
      <c r="D727" t="str">
        <f>IF(SEFAZ!D711="","",SEFAZ!D711)</f>
        <v/>
      </c>
      <c r="E727" s="7" t="str">
        <f>IF(SEFAZ!E711="","",SEFAZ!E711)</f>
        <v/>
      </c>
      <c r="F727" s="6" t="str">
        <f>IF(SEFAZ!F711="","",VALUE(SUBSTITUTE(SEFAZ!F711,"'","")))</f>
        <v/>
      </c>
      <c r="G727" t="str">
        <f>IF(SEFAZ!H711="","",SEFAZ!H711)</f>
        <v/>
      </c>
      <c r="H727" t="str">
        <f>IF(SEFAZ!L711="","",SEFAZ!L711)</f>
        <v/>
      </c>
      <c r="I727" t="str">
        <f>IF(SEFAZ!N711="","",SEFAZ!N711)</f>
        <v/>
      </c>
      <c r="J727" t="str">
        <f>IF(SEFAZ!O711="","",SEFAZ!O711)</f>
        <v/>
      </c>
      <c r="K727" s="11" t="str">
        <f>IF(SEFAZ!P711="","",SEFAZ!P711)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hidden="1" x14ac:dyDescent="0.3">
      <c r="B728" t="str">
        <f>IF(SEFAZ!A712="","",SEFAZ!A712)</f>
        <v/>
      </c>
      <c r="C728" t="str">
        <f>IF(SEFAZ!C712="","",SEFAZ!C712)</f>
        <v/>
      </c>
      <c r="D728" t="str">
        <f>IF(SEFAZ!D712="","",SEFAZ!D712)</f>
        <v/>
      </c>
      <c r="E728" s="7" t="str">
        <f>IF(SEFAZ!E712="","",SEFAZ!E712)</f>
        <v/>
      </c>
      <c r="F728" s="6" t="str">
        <f>IF(SEFAZ!F712="","",VALUE(SUBSTITUTE(SEFAZ!F712,"'","")))</f>
        <v/>
      </c>
      <c r="G728" t="str">
        <f>IF(SEFAZ!H712="","",SEFAZ!H712)</f>
        <v/>
      </c>
      <c r="H728" t="str">
        <f>IF(SEFAZ!L712="","",SEFAZ!L712)</f>
        <v/>
      </c>
      <c r="I728" t="str">
        <f>IF(SEFAZ!N712="","",SEFAZ!N712)</f>
        <v/>
      </c>
      <c r="J728" t="str">
        <f>IF(SEFAZ!O712="","",SEFAZ!O712)</f>
        <v/>
      </c>
      <c r="K728" s="11" t="str">
        <f>IF(SEFAZ!P712="","",SEFAZ!P712)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hidden="1" x14ac:dyDescent="0.3">
      <c r="B729" t="str">
        <f>IF(SEFAZ!A713="","",SEFAZ!A713)</f>
        <v/>
      </c>
      <c r="C729" t="str">
        <f>IF(SEFAZ!C713="","",SEFAZ!C713)</f>
        <v/>
      </c>
      <c r="D729" t="str">
        <f>IF(SEFAZ!D713="","",SEFAZ!D713)</f>
        <v/>
      </c>
      <c r="E729" s="7" t="str">
        <f>IF(SEFAZ!E713="","",SEFAZ!E713)</f>
        <v/>
      </c>
      <c r="F729" s="6" t="str">
        <f>IF(SEFAZ!F713="","",VALUE(SUBSTITUTE(SEFAZ!F713,"'","")))</f>
        <v/>
      </c>
      <c r="G729" t="str">
        <f>IF(SEFAZ!H713="","",SEFAZ!H713)</f>
        <v/>
      </c>
      <c r="H729" t="str">
        <f>IF(SEFAZ!L713="","",SEFAZ!L713)</f>
        <v/>
      </c>
      <c r="I729" t="str">
        <f>IF(SEFAZ!N713="","",SEFAZ!N713)</f>
        <v/>
      </c>
      <c r="J729" t="str">
        <f>IF(SEFAZ!O713="","",SEFAZ!O713)</f>
        <v/>
      </c>
      <c r="K729" s="11" t="str">
        <f>IF(SEFAZ!P713="","",SEFAZ!P713)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hidden="1" x14ac:dyDescent="0.3">
      <c r="B730" t="str">
        <f>IF(SEFAZ!A714="","",SEFAZ!A714)</f>
        <v/>
      </c>
      <c r="C730" t="str">
        <f>IF(SEFAZ!C714="","",SEFAZ!C714)</f>
        <v/>
      </c>
      <c r="D730" t="str">
        <f>IF(SEFAZ!D714="","",SEFAZ!D714)</f>
        <v/>
      </c>
      <c r="E730" s="7" t="str">
        <f>IF(SEFAZ!E714="","",SEFAZ!E714)</f>
        <v/>
      </c>
      <c r="F730" s="6" t="str">
        <f>IF(SEFAZ!F714="","",VALUE(SUBSTITUTE(SEFAZ!F714,"'","")))</f>
        <v/>
      </c>
      <c r="G730" t="str">
        <f>IF(SEFAZ!H714="","",SEFAZ!H714)</f>
        <v/>
      </c>
      <c r="H730" t="str">
        <f>IF(SEFAZ!L714="","",SEFAZ!L714)</f>
        <v/>
      </c>
      <c r="I730" t="str">
        <f>IF(SEFAZ!N714="","",SEFAZ!N714)</f>
        <v/>
      </c>
      <c r="J730" t="str">
        <f>IF(SEFAZ!O714="","",SEFAZ!O714)</f>
        <v/>
      </c>
      <c r="K730" s="11" t="str">
        <f>IF(SEFAZ!P714="","",SEFAZ!P714)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hidden="1" x14ac:dyDescent="0.3">
      <c r="B731" t="str">
        <f>IF(SEFAZ!A715="","",SEFAZ!A715)</f>
        <v/>
      </c>
      <c r="C731" t="str">
        <f>IF(SEFAZ!C715="","",SEFAZ!C715)</f>
        <v/>
      </c>
      <c r="D731" t="str">
        <f>IF(SEFAZ!D715="","",SEFAZ!D715)</f>
        <v/>
      </c>
      <c r="E731" s="7" t="str">
        <f>IF(SEFAZ!E715="","",SEFAZ!E715)</f>
        <v/>
      </c>
      <c r="F731" s="6" t="str">
        <f>IF(SEFAZ!F715="","",VALUE(SUBSTITUTE(SEFAZ!F715,"'","")))</f>
        <v/>
      </c>
      <c r="G731" t="str">
        <f>IF(SEFAZ!H715="","",SEFAZ!H715)</f>
        <v/>
      </c>
      <c r="H731" t="str">
        <f>IF(SEFAZ!L715="","",SEFAZ!L715)</f>
        <v/>
      </c>
      <c r="I731" t="str">
        <f>IF(SEFAZ!N715="","",SEFAZ!N715)</f>
        <v/>
      </c>
      <c r="J731" t="str">
        <f>IF(SEFAZ!O715="","",SEFAZ!O715)</f>
        <v/>
      </c>
      <c r="K731" s="11" t="str">
        <f>IF(SEFAZ!P715="","",SEFAZ!P715)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hidden="1" x14ac:dyDescent="0.3">
      <c r="B732" t="str">
        <f>IF(SEFAZ!A716="","",SEFAZ!A716)</f>
        <v/>
      </c>
      <c r="C732" t="str">
        <f>IF(SEFAZ!C716="","",SEFAZ!C716)</f>
        <v/>
      </c>
      <c r="D732" t="str">
        <f>IF(SEFAZ!D716="","",SEFAZ!D716)</f>
        <v/>
      </c>
      <c r="E732" s="7" t="str">
        <f>IF(SEFAZ!E716="","",SEFAZ!E716)</f>
        <v/>
      </c>
      <c r="F732" s="6" t="str">
        <f>IF(SEFAZ!F716="","",VALUE(SUBSTITUTE(SEFAZ!F716,"'","")))</f>
        <v/>
      </c>
      <c r="G732" t="str">
        <f>IF(SEFAZ!H716="","",SEFAZ!H716)</f>
        <v/>
      </c>
      <c r="H732" t="str">
        <f>IF(SEFAZ!L716="","",SEFAZ!L716)</f>
        <v/>
      </c>
      <c r="I732" t="str">
        <f>IF(SEFAZ!N716="","",SEFAZ!N716)</f>
        <v/>
      </c>
      <c r="J732" t="str">
        <f>IF(SEFAZ!O716="","",SEFAZ!O716)</f>
        <v/>
      </c>
      <c r="K732" s="11" t="str">
        <f>IF(SEFAZ!P716="","",SEFAZ!P716)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hidden="1" x14ac:dyDescent="0.3">
      <c r="B733" t="str">
        <f>IF(SEFAZ!A717="","",SEFAZ!A717)</f>
        <v/>
      </c>
      <c r="C733" t="str">
        <f>IF(SEFAZ!C717="","",SEFAZ!C717)</f>
        <v/>
      </c>
      <c r="D733" t="str">
        <f>IF(SEFAZ!D717="","",SEFAZ!D717)</f>
        <v/>
      </c>
      <c r="E733" s="7" t="str">
        <f>IF(SEFAZ!E717="","",SEFAZ!E717)</f>
        <v/>
      </c>
      <c r="F733" s="6" t="str">
        <f>IF(SEFAZ!F717="","",VALUE(SUBSTITUTE(SEFAZ!F717,"'","")))</f>
        <v/>
      </c>
      <c r="G733" t="str">
        <f>IF(SEFAZ!H717="","",SEFAZ!H717)</f>
        <v/>
      </c>
      <c r="H733" t="str">
        <f>IF(SEFAZ!L717="","",SEFAZ!L717)</f>
        <v/>
      </c>
      <c r="I733" t="str">
        <f>IF(SEFAZ!N717="","",SEFAZ!N717)</f>
        <v/>
      </c>
      <c r="J733" t="str">
        <f>IF(SEFAZ!O717="","",SEFAZ!O717)</f>
        <v/>
      </c>
      <c r="K733" s="11" t="str">
        <f>IF(SEFAZ!P717="","",SEFAZ!P717)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hidden="1" x14ac:dyDescent="0.3">
      <c r="B734" t="str">
        <f>IF(SEFAZ!A718="","",SEFAZ!A718)</f>
        <v/>
      </c>
      <c r="C734" t="str">
        <f>IF(SEFAZ!C718="","",SEFAZ!C718)</f>
        <v/>
      </c>
      <c r="D734" t="str">
        <f>IF(SEFAZ!D718="","",SEFAZ!D718)</f>
        <v/>
      </c>
      <c r="E734" s="7" t="str">
        <f>IF(SEFAZ!E718="","",SEFAZ!E718)</f>
        <v/>
      </c>
      <c r="F734" s="6" t="str">
        <f>IF(SEFAZ!F718="","",VALUE(SUBSTITUTE(SEFAZ!F718,"'","")))</f>
        <v/>
      </c>
      <c r="G734" t="str">
        <f>IF(SEFAZ!H718="","",SEFAZ!H718)</f>
        <v/>
      </c>
      <c r="H734" t="str">
        <f>IF(SEFAZ!L718="","",SEFAZ!L718)</f>
        <v/>
      </c>
      <c r="I734" t="str">
        <f>IF(SEFAZ!N718="","",SEFAZ!N718)</f>
        <v/>
      </c>
      <c r="J734" t="str">
        <f>IF(SEFAZ!O718="","",SEFAZ!O718)</f>
        <v/>
      </c>
      <c r="K734" s="11" t="str">
        <f>IF(SEFAZ!P718="","",SEFAZ!P718)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hidden="1" x14ac:dyDescent="0.3">
      <c r="B735" t="str">
        <f>IF(SEFAZ!A719="","",SEFAZ!A719)</f>
        <v/>
      </c>
      <c r="C735" t="str">
        <f>IF(SEFAZ!C719="","",SEFAZ!C719)</f>
        <v/>
      </c>
      <c r="D735" t="str">
        <f>IF(SEFAZ!D719="","",SEFAZ!D719)</f>
        <v/>
      </c>
      <c r="E735" s="7" t="str">
        <f>IF(SEFAZ!E719="","",SEFAZ!E719)</f>
        <v/>
      </c>
      <c r="F735" s="6" t="str">
        <f>IF(SEFAZ!F719="","",VALUE(SUBSTITUTE(SEFAZ!F719,"'","")))</f>
        <v/>
      </c>
      <c r="G735" t="str">
        <f>IF(SEFAZ!H719="","",SEFAZ!H719)</f>
        <v/>
      </c>
      <c r="H735" t="str">
        <f>IF(SEFAZ!L719="","",SEFAZ!L719)</f>
        <v/>
      </c>
      <c r="I735" t="str">
        <f>IF(SEFAZ!N719="","",SEFAZ!N719)</f>
        <v/>
      </c>
      <c r="J735" t="str">
        <f>IF(SEFAZ!O719="","",SEFAZ!O719)</f>
        <v/>
      </c>
      <c r="K735" s="11" t="str">
        <f>IF(SEFAZ!P719="","",SEFAZ!P719)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hidden="1" x14ac:dyDescent="0.3">
      <c r="B736" t="str">
        <f>IF(SEFAZ!A720="","",SEFAZ!A720)</f>
        <v/>
      </c>
      <c r="C736" t="str">
        <f>IF(SEFAZ!C720="","",SEFAZ!C720)</f>
        <v/>
      </c>
      <c r="D736" t="str">
        <f>IF(SEFAZ!D720="","",SEFAZ!D720)</f>
        <v/>
      </c>
      <c r="E736" s="7" t="str">
        <f>IF(SEFAZ!E720="","",SEFAZ!E720)</f>
        <v/>
      </c>
      <c r="F736" s="6" t="str">
        <f>IF(SEFAZ!F720="","",VALUE(SUBSTITUTE(SEFAZ!F720,"'","")))</f>
        <v/>
      </c>
      <c r="G736" t="str">
        <f>IF(SEFAZ!H720="","",SEFAZ!H720)</f>
        <v/>
      </c>
      <c r="H736" t="str">
        <f>IF(SEFAZ!L720="","",SEFAZ!L720)</f>
        <v/>
      </c>
      <c r="I736" t="str">
        <f>IF(SEFAZ!N720="","",SEFAZ!N720)</f>
        <v/>
      </c>
      <c r="J736" t="str">
        <f>IF(SEFAZ!O720="","",SEFAZ!O720)</f>
        <v/>
      </c>
      <c r="K736" s="11" t="str">
        <f>IF(SEFAZ!P720="","",SEFAZ!P720)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hidden="1" x14ac:dyDescent="0.3">
      <c r="B737" t="str">
        <f>IF(SEFAZ!A721="","",SEFAZ!A721)</f>
        <v/>
      </c>
      <c r="C737" t="str">
        <f>IF(SEFAZ!C721="","",SEFAZ!C721)</f>
        <v/>
      </c>
      <c r="D737" t="str">
        <f>IF(SEFAZ!D721="","",SEFAZ!D721)</f>
        <v/>
      </c>
      <c r="E737" s="7" t="str">
        <f>IF(SEFAZ!E721="","",SEFAZ!E721)</f>
        <v/>
      </c>
      <c r="F737" s="6" t="str">
        <f>IF(SEFAZ!F721="","",VALUE(SUBSTITUTE(SEFAZ!F721,"'","")))</f>
        <v/>
      </c>
      <c r="G737" t="str">
        <f>IF(SEFAZ!H721="","",SEFAZ!H721)</f>
        <v/>
      </c>
      <c r="H737" t="str">
        <f>IF(SEFAZ!L721="","",SEFAZ!L721)</f>
        <v/>
      </c>
      <c r="I737" t="str">
        <f>IF(SEFAZ!N721="","",SEFAZ!N721)</f>
        <v/>
      </c>
      <c r="J737" t="str">
        <f>IF(SEFAZ!O721="","",SEFAZ!O721)</f>
        <v/>
      </c>
      <c r="K737" s="11" t="str">
        <f>IF(SEFAZ!P721="","",SEFAZ!P721)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hidden="1" x14ac:dyDescent="0.3">
      <c r="B738" t="str">
        <f>IF(SEFAZ!A722="","",SEFAZ!A722)</f>
        <v/>
      </c>
      <c r="C738" t="str">
        <f>IF(SEFAZ!C722="","",SEFAZ!C722)</f>
        <v/>
      </c>
      <c r="D738" t="str">
        <f>IF(SEFAZ!D722="","",SEFAZ!D722)</f>
        <v/>
      </c>
      <c r="E738" s="7" t="str">
        <f>IF(SEFAZ!E722="","",SEFAZ!E722)</f>
        <v/>
      </c>
      <c r="F738" s="6" t="str">
        <f>IF(SEFAZ!F722="","",VALUE(SUBSTITUTE(SEFAZ!F722,"'","")))</f>
        <v/>
      </c>
      <c r="G738" t="str">
        <f>IF(SEFAZ!H722="","",SEFAZ!H722)</f>
        <v/>
      </c>
      <c r="H738" t="str">
        <f>IF(SEFAZ!L722="","",SEFAZ!L722)</f>
        <v/>
      </c>
      <c r="I738" t="str">
        <f>IF(SEFAZ!N722="","",SEFAZ!N722)</f>
        <v/>
      </c>
      <c r="J738" t="str">
        <f>IF(SEFAZ!O722="","",SEFAZ!O722)</f>
        <v/>
      </c>
      <c r="K738" s="11" t="str">
        <f>IF(SEFAZ!P722="","",SEFAZ!P722)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hidden="1" x14ac:dyDescent="0.3">
      <c r="B739" t="str">
        <f>IF(SEFAZ!A723="","",SEFAZ!A723)</f>
        <v/>
      </c>
      <c r="C739" t="str">
        <f>IF(SEFAZ!C723="","",SEFAZ!C723)</f>
        <v/>
      </c>
      <c r="D739" t="str">
        <f>IF(SEFAZ!D723="","",SEFAZ!D723)</f>
        <v/>
      </c>
      <c r="E739" s="7" t="str">
        <f>IF(SEFAZ!E723="","",SEFAZ!E723)</f>
        <v/>
      </c>
      <c r="F739" s="6" t="str">
        <f>IF(SEFAZ!F723="","",VALUE(SUBSTITUTE(SEFAZ!F723,"'","")))</f>
        <v/>
      </c>
      <c r="G739" t="str">
        <f>IF(SEFAZ!H723="","",SEFAZ!H723)</f>
        <v/>
      </c>
      <c r="H739" t="str">
        <f>IF(SEFAZ!L723="","",SEFAZ!L723)</f>
        <v/>
      </c>
      <c r="I739" t="str">
        <f>IF(SEFAZ!N723="","",SEFAZ!N723)</f>
        <v/>
      </c>
      <c r="J739" t="str">
        <f>IF(SEFAZ!O723="","",SEFAZ!O723)</f>
        <v/>
      </c>
      <c r="K739" s="11" t="str">
        <f>IF(SEFAZ!P723="","",SEFAZ!P723)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hidden="1" x14ac:dyDescent="0.3">
      <c r="B740" t="str">
        <f>IF(SEFAZ!A724="","",SEFAZ!A724)</f>
        <v/>
      </c>
      <c r="C740" t="str">
        <f>IF(SEFAZ!C724="","",SEFAZ!C724)</f>
        <v/>
      </c>
      <c r="D740" t="str">
        <f>IF(SEFAZ!D724="","",SEFAZ!D724)</f>
        <v/>
      </c>
      <c r="E740" s="7" t="str">
        <f>IF(SEFAZ!E724="","",SEFAZ!E724)</f>
        <v/>
      </c>
      <c r="F740" s="6" t="str">
        <f>IF(SEFAZ!F724="","",VALUE(SUBSTITUTE(SEFAZ!F724,"'","")))</f>
        <v/>
      </c>
      <c r="G740" t="str">
        <f>IF(SEFAZ!H724="","",SEFAZ!H724)</f>
        <v/>
      </c>
      <c r="H740" t="str">
        <f>IF(SEFAZ!L724="","",SEFAZ!L724)</f>
        <v/>
      </c>
      <c r="I740" t="str">
        <f>IF(SEFAZ!N724="","",SEFAZ!N724)</f>
        <v/>
      </c>
      <c r="J740" t="str">
        <f>IF(SEFAZ!O724="","",SEFAZ!O724)</f>
        <v/>
      </c>
      <c r="K740" s="11" t="str">
        <f>IF(SEFAZ!P724="","",SEFAZ!P724)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hidden="1" x14ac:dyDescent="0.3">
      <c r="B741" t="str">
        <f>IF(SEFAZ!A725="","",SEFAZ!A725)</f>
        <v/>
      </c>
      <c r="C741" t="str">
        <f>IF(SEFAZ!C725="","",SEFAZ!C725)</f>
        <v/>
      </c>
      <c r="D741" t="str">
        <f>IF(SEFAZ!D725="","",SEFAZ!D725)</f>
        <v/>
      </c>
      <c r="E741" s="7" t="str">
        <f>IF(SEFAZ!E725="","",SEFAZ!E725)</f>
        <v/>
      </c>
      <c r="F741" s="6" t="str">
        <f>IF(SEFAZ!F725="","",VALUE(SUBSTITUTE(SEFAZ!F725,"'","")))</f>
        <v/>
      </c>
      <c r="G741" t="str">
        <f>IF(SEFAZ!H725="","",SEFAZ!H725)</f>
        <v/>
      </c>
      <c r="H741" t="str">
        <f>IF(SEFAZ!L725="","",SEFAZ!L725)</f>
        <v/>
      </c>
      <c r="I741" t="str">
        <f>IF(SEFAZ!N725="","",SEFAZ!N725)</f>
        <v/>
      </c>
      <c r="J741" t="str">
        <f>IF(SEFAZ!O725="","",SEFAZ!O725)</f>
        <v/>
      </c>
      <c r="K741" s="11" t="str">
        <f>IF(SEFAZ!P725="","",SEFAZ!P725)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hidden="1" x14ac:dyDescent="0.3">
      <c r="B742" t="str">
        <f>IF(SEFAZ!A726="","",SEFAZ!A726)</f>
        <v/>
      </c>
      <c r="C742" t="str">
        <f>IF(SEFAZ!C726="","",SEFAZ!C726)</f>
        <v/>
      </c>
      <c r="D742" t="str">
        <f>IF(SEFAZ!D726="","",SEFAZ!D726)</f>
        <v/>
      </c>
      <c r="E742" s="7" t="str">
        <f>IF(SEFAZ!E726="","",SEFAZ!E726)</f>
        <v/>
      </c>
      <c r="F742" s="6" t="str">
        <f>IF(SEFAZ!F726="","",VALUE(SUBSTITUTE(SEFAZ!F726,"'","")))</f>
        <v/>
      </c>
      <c r="G742" t="str">
        <f>IF(SEFAZ!H726="","",SEFAZ!H726)</f>
        <v/>
      </c>
      <c r="H742" t="str">
        <f>IF(SEFAZ!L726="","",SEFAZ!L726)</f>
        <v/>
      </c>
      <c r="I742" t="str">
        <f>IF(SEFAZ!N726="","",SEFAZ!N726)</f>
        <v/>
      </c>
      <c r="J742" t="str">
        <f>IF(SEFAZ!O726="","",SEFAZ!O726)</f>
        <v/>
      </c>
      <c r="K742" s="11" t="str">
        <f>IF(SEFAZ!P726="","",SEFAZ!P726)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hidden="1" x14ac:dyDescent="0.3">
      <c r="B743" t="str">
        <f>IF(SEFAZ!A727="","",SEFAZ!A727)</f>
        <v/>
      </c>
      <c r="C743" t="str">
        <f>IF(SEFAZ!C727="","",SEFAZ!C727)</f>
        <v/>
      </c>
      <c r="D743" t="str">
        <f>IF(SEFAZ!D727="","",SEFAZ!D727)</f>
        <v/>
      </c>
      <c r="E743" s="7" t="str">
        <f>IF(SEFAZ!E727="","",SEFAZ!E727)</f>
        <v/>
      </c>
      <c r="F743" s="6" t="str">
        <f>IF(SEFAZ!F727="","",VALUE(SUBSTITUTE(SEFAZ!F727,"'","")))</f>
        <v/>
      </c>
      <c r="G743" t="str">
        <f>IF(SEFAZ!H727="","",SEFAZ!H727)</f>
        <v/>
      </c>
      <c r="H743" t="str">
        <f>IF(SEFAZ!L727="","",SEFAZ!L727)</f>
        <v/>
      </c>
      <c r="I743" t="str">
        <f>IF(SEFAZ!N727="","",SEFAZ!N727)</f>
        <v/>
      </c>
      <c r="J743" t="str">
        <f>IF(SEFAZ!O727="","",SEFAZ!O727)</f>
        <v/>
      </c>
      <c r="K743" s="11" t="str">
        <f>IF(SEFAZ!P727="","",SEFAZ!P727)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hidden="1" x14ac:dyDescent="0.3">
      <c r="B744" t="str">
        <f>IF(SEFAZ!A728="","",SEFAZ!A728)</f>
        <v/>
      </c>
      <c r="C744" t="str">
        <f>IF(SEFAZ!C728="","",SEFAZ!C728)</f>
        <v/>
      </c>
      <c r="D744" t="str">
        <f>IF(SEFAZ!D728="","",SEFAZ!D728)</f>
        <v/>
      </c>
      <c r="E744" s="7" t="str">
        <f>IF(SEFAZ!E728="","",SEFAZ!E728)</f>
        <v/>
      </c>
      <c r="F744" s="6" t="str">
        <f>IF(SEFAZ!F728="","",VALUE(SUBSTITUTE(SEFAZ!F728,"'","")))</f>
        <v/>
      </c>
      <c r="G744" t="str">
        <f>IF(SEFAZ!H728="","",SEFAZ!H728)</f>
        <v/>
      </c>
      <c r="H744" t="str">
        <f>IF(SEFAZ!L728="","",SEFAZ!L728)</f>
        <v/>
      </c>
      <c r="I744" t="str">
        <f>IF(SEFAZ!N728="","",SEFAZ!N728)</f>
        <v/>
      </c>
      <c r="J744" t="str">
        <f>IF(SEFAZ!O728="","",SEFAZ!O728)</f>
        <v/>
      </c>
      <c r="K744" s="11" t="str">
        <f>IF(SEFAZ!P728="","",SEFAZ!P728)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hidden="1" x14ac:dyDescent="0.3">
      <c r="B745" t="str">
        <f>IF(SEFAZ!A729="","",SEFAZ!A729)</f>
        <v/>
      </c>
      <c r="C745" t="str">
        <f>IF(SEFAZ!C729="","",SEFAZ!C729)</f>
        <v/>
      </c>
      <c r="D745" t="str">
        <f>IF(SEFAZ!D729="","",SEFAZ!D729)</f>
        <v/>
      </c>
      <c r="E745" s="7" t="str">
        <f>IF(SEFAZ!E729="","",SEFAZ!E729)</f>
        <v/>
      </c>
      <c r="F745" s="6" t="str">
        <f>IF(SEFAZ!F729="","",VALUE(SUBSTITUTE(SEFAZ!F729,"'","")))</f>
        <v/>
      </c>
      <c r="G745" t="str">
        <f>IF(SEFAZ!H729="","",SEFAZ!H729)</f>
        <v/>
      </c>
      <c r="H745" t="str">
        <f>IF(SEFAZ!L729="","",SEFAZ!L729)</f>
        <v/>
      </c>
      <c r="I745" t="str">
        <f>IF(SEFAZ!N729="","",SEFAZ!N729)</f>
        <v/>
      </c>
      <c r="J745" t="str">
        <f>IF(SEFAZ!O729="","",SEFAZ!O729)</f>
        <v/>
      </c>
      <c r="K745" s="11" t="str">
        <f>IF(SEFAZ!P729="","",SEFAZ!P729)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hidden="1" x14ac:dyDescent="0.3">
      <c r="B746" t="str">
        <f>IF(SEFAZ!A730="","",SEFAZ!A730)</f>
        <v/>
      </c>
      <c r="C746" t="str">
        <f>IF(SEFAZ!C730="","",SEFAZ!C730)</f>
        <v/>
      </c>
      <c r="D746" t="str">
        <f>IF(SEFAZ!D730="","",SEFAZ!D730)</f>
        <v/>
      </c>
      <c r="E746" s="7" t="str">
        <f>IF(SEFAZ!E730="","",SEFAZ!E730)</f>
        <v/>
      </c>
      <c r="F746" s="6" t="str">
        <f>IF(SEFAZ!F730="","",VALUE(SUBSTITUTE(SEFAZ!F730,"'","")))</f>
        <v/>
      </c>
      <c r="G746" t="str">
        <f>IF(SEFAZ!H730="","",SEFAZ!H730)</f>
        <v/>
      </c>
      <c r="H746" t="str">
        <f>IF(SEFAZ!L730="","",SEFAZ!L730)</f>
        <v/>
      </c>
      <c r="I746" t="str">
        <f>IF(SEFAZ!N730="","",SEFAZ!N730)</f>
        <v/>
      </c>
      <c r="J746" t="str">
        <f>IF(SEFAZ!O730="","",SEFAZ!O730)</f>
        <v/>
      </c>
      <c r="K746" s="11" t="str">
        <f>IF(SEFAZ!P730="","",SEFAZ!P730)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hidden="1" x14ac:dyDescent="0.3">
      <c r="B747" t="str">
        <f>IF(SEFAZ!A731="","",SEFAZ!A731)</f>
        <v/>
      </c>
      <c r="C747" t="str">
        <f>IF(SEFAZ!C731="","",SEFAZ!C731)</f>
        <v/>
      </c>
      <c r="D747" t="str">
        <f>IF(SEFAZ!D731="","",SEFAZ!D731)</f>
        <v/>
      </c>
      <c r="E747" s="7" t="str">
        <f>IF(SEFAZ!E731="","",SEFAZ!E731)</f>
        <v/>
      </c>
      <c r="F747" s="6" t="str">
        <f>IF(SEFAZ!F731="","",VALUE(SUBSTITUTE(SEFAZ!F731,"'","")))</f>
        <v/>
      </c>
      <c r="G747" t="str">
        <f>IF(SEFAZ!H731="","",SEFAZ!H731)</f>
        <v/>
      </c>
      <c r="H747" t="str">
        <f>IF(SEFAZ!L731="","",SEFAZ!L731)</f>
        <v/>
      </c>
      <c r="I747" t="str">
        <f>IF(SEFAZ!N731="","",SEFAZ!N731)</f>
        <v/>
      </c>
      <c r="J747" t="str">
        <f>IF(SEFAZ!O731="","",SEFAZ!O731)</f>
        <v/>
      </c>
      <c r="K747" s="11" t="str">
        <f>IF(SEFAZ!P731="","",SEFAZ!P731)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hidden="1" x14ac:dyDescent="0.3">
      <c r="B748" t="str">
        <f>IF(SEFAZ!A732="","",SEFAZ!A732)</f>
        <v/>
      </c>
      <c r="C748" t="str">
        <f>IF(SEFAZ!C732="","",SEFAZ!C732)</f>
        <v/>
      </c>
      <c r="D748" t="str">
        <f>IF(SEFAZ!D732="","",SEFAZ!D732)</f>
        <v/>
      </c>
      <c r="E748" s="7" t="str">
        <f>IF(SEFAZ!E732="","",SEFAZ!E732)</f>
        <v/>
      </c>
      <c r="F748" s="6" t="str">
        <f>IF(SEFAZ!F732="","",VALUE(SUBSTITUTE(SEFAZ!F732,"'","")))</f>
        <v/>
      </c>
      <c r="G748" t="str">
        <f>IF(SEFAZ!H732="","",SEFAZ!H732)</f>
        <v/>
      </c>
      <c r="H748" t="str">
        <f>IF(SEFAZ!L732="","",SEFAZ!L732)</f>
        <v/>
      </c>
      <c r="I748" t="str">
        <f>IF(SEFAZ!N732="","",SEFAZ!N732)</f>
        <v/>
      </c>
      <c r="J748" t="str">
        <f>IF(SEFAZ!O732="","",SEFAZ!O732)</f>
        <v/>
      </c>
      <c r="K748" s="11" t="str">
        <f>IF(SEFAZ!P732="","",SEFAZ!P732)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hidden="1" x14ac:dyDescent="0.3">
      <c r="B749" t="str">
        <f>IF(SEFAZ!A733="","",SEFAZ!A733)</f>
        <v/>
      </c>
      <c r="C749" t="str">
        <f>IF(SEFAZ!C733="","",SEFAZ!C733)</f>
        <v/>
      </c>
      <c r="D749" t="str">
        <f>IF(SEFAZ!D733="","",SEFAZ!D733)</f>
        <v/>
      </c>
      <c r="E749" s="7" t="str">
        <f>IF(SEFAZ!E733="","",SEFAZ!E733)</f>
        <v/>
      </c>
      <c r="F749" s="6" t="str">
        <f>IF(SEFAZ!F733="","",VALUE(SUBSTITUTE(SEFAZ!F733,"'","")))</f>
        <v/>
      </c>
      <c r="G749" t="str">
        <f>IF(SEFAZ!H733="","",SEFAZ!H733)</f>
        <v/>
      </c>
      <c r="H749" t="str">
        <f>IF(SEFAZ!L733="","",SEFAZ!L733)</f>
        <v/>
      </c>
      <c r="I749" t="str">
        <f>IF(SEFAZ!N733="","",SEFAZ!N733)</f>
        <v/>
      </c>
      <c r="J749" t="str">
        <f>IF(SEFAZ!O733="","",SEFAZ!O733)</f>
        <v/>
      </c>
      <c r="K749" s="11" t="str">
        <f>IF(SEFAZ!P733="","",SEFAZ!P733)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hidden="1" x14ac:dyDescent="0.3">
      <c r="B750" t="str">
        <f>IF(SEFAZ!A734="","",SEFAZ!A734)</f>
        <v/>
      </c>
      <c r="C750" t="str">
        <f>IF(SEFAZ!C734="","",SEFAZ!C734)</f>
        <v/>
      </c>
      <c r="D750" t="str">
        <f>IF(SEFAZ!D734="","",SEFAZ!D734)</f>
        <v/>
      </c>
      <c r="E750" s="7" t="str">
        <f>IF(SEFAZ!E734="","",SEFAZ!E734)</f>
        <v/>
      </c>
      <c r="F750" s="6" t="str">
        <f>IF(SEFAZ!F734="","",VALUE(SUBSTITUTE(SEFAZ!F734,"'","")))</f>
        <v/>
      </c>
      <c r="G750" t="str">
        <f>IF(SEFAZ!H734="","",SEFAZ!H734)</f>
        <v/>
      </c>
      <c r="H750" t="str">
        <f>IF(SEFAZ!L734="","",SEFAZ!L734)</f>
        <v/>
      </c>
      <c r="I750" t="str">
        <f>IF(SEFAZ!N734="","",SEFAZ!N734)</f>
        <v/>
      </c>
      <c r="J750" t="str">
        <f>IF(SEFAZ!O734="","",SEFAZ!O734)</f>
        <v/>
      </c>
      <c r="K750" s="11" t="str">
        <f>IF(SEFAZ!P734="","",SEFAZ!P734)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hidden="1" x14ac:dyDescent="0.3">
      <c r="B751" t="str">
        <f>IF(SEFAZ!A735="","",SEFAZ!A735)</f>
        <v/>
      </c>
      <c r="C751" t="str">
        <f>IF(SEFAZ!C735="","",SEFAZ!C735)</f>
        <v/>
      </c>
      <c r="D751" t="str">
        <f>IF(SEFAZ!D735="","",SEFAZ!D735)</f>
        <v/>
      </c>
      <c r="E751" s="7" t="str">
        <f>IF(SEFAZ!E735="","",SEFAZ!E735)</f>
        <v/>
      </c>
      <c r="F751" s="6" t="str">
        <f>IF(SEFAZ!F735="","",VALUE(SUBSTITUTE(SEFAZ!F735,"'","")))</f>
        <v/>
      </c>
      <c r="G751" t="str">
        <f>IF(SEFAZ!H735="","",SEFAZ!H735)</f>
        <v/>
      </c>
      <c r="H751" t="str">
        <f>IF(SEFAZ!L735="","",SEFAZ!L735)</f>
        <v/>
      </c>
      <c r="I751" t="str">
        <f>IF(SEFAZ!N735="","",SEFAZ!N735)</f>
        <v/>
      </c>
      <c r="J751" t="str">
        <f>IF(SEFAZ!O735="","",SEFAZ!O735)</f>
        <v/>
      </c>
      <c r="K751" s="11" t="str">
        <f>IF(SEFAZ!P735="","",SEFAZ!P735)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hidden="1" x14ac:dyDescent="0.3">
      <c r="B752" t="str">
        <f>IF(SEFAZ!A736="","",SEFAZ!A736)</f>
        <v/>
      </c>
      <c r="C752" t="str">
        <f>IF(SEFAZ!C736="","",SEFAZ!C736)</f>
        <v/>
      </c>
      <c r="D752" t="str">
        <f>IF(SEFAZ!D736="","",SEFAZ!D736)</f>
        <v/>
      </c>
      <c r="E752" s="7" t="str">
        <f>IF(SEFAZ!E736="","",SEFAZ!E736)</f>
        <v/>
      </c>
      <c r="F752" s="6" t="str">
        <f>IF(SEFAZ!F736="","",VALUE(SUBSTITUTE(SEFAZ!F736,"'","")))</f>
        <v/>
      </c>
      <c r="G752" t="str">
        <f>IF(SEFAZ!H736="","",SEFAZ!H736)</f>
        <v/>
      </c>
      <c r="H752" t="str">
        <f>IF(SEFAZ!L736="","",SEFAZ!L736)</f>
        <v/>
      </c>
      <c r="I752" t="str">
        <f>IF(SEFAZ!N736="","",SEFAZ!N736)</f>
        <v/>
      </c>
      <c r="J752" t="str">
        <f>IF(SEFAZ!O736="","",SEFAZ!O736)</f>
        <v/>
      </c>
      <c r="K752" s="11" t="str">
        <f>IF(SEFAZ!P736="","",SEFAZ!P736)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hidden="1" x14ac:dyDescent="0.3">
      <c r="B753" t="str">
        <f>IF(SEFAZ!A737="","",SEFAZ!A737)</f>
        <v/>
      </c>
      <c r="C753" t="str">
        <f>IF(SEFAZ!C737="","",SEFAZ!C737)</f>
        <v/>
      </c>
      <c r="D753" t="str">
        <f>IF(SEFAZ!D737="","",SEFAZ!D737)</f>
        <v/>
      </c>
      <c r="E753" s="7" t="str">
        <f>IF(SEFAZ!E737="","",SEFAZ!E737)</f>
        <v/>
      </c>
      <c r="F753" s="6" t="str">
        <f>IF(SEFAZ!F737="","",VALUE(SUBSTITUTE(SEFAZ!F737,"'","")))</f>
        <v/>
      </c>
      <c r="G753" t="str">
        <f>IF(SEFAZ!H737="","",SEFAZ!H737)</f>
        <v/>
      </c>
      <c r="H753" t="str">
        <f>IF(SEFAZ!L737="","",SEFAZ!L737)</f>
        <v/>
      </c>
      <c r="I753" t="str">
        <f>IF(SEFAZ!N737="","",SEFAZ!N737)</f>
        <v/>
      </c>
      <c r="J753" t="str">
        <f>IF(SEFAZ!O737="","",SEFAZ!O737)</f>
        <v/>
      </c>
      <c r="K753" s="11" t="str">
        <f>IF(SEFAZ!P737="","",SEFAZ!P737)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hidden="1" x14ac:dyDescent="0.3">
      <c r="B754" t="str">
        <f>IF(SEFAZ!A738="","",SEFAZ!A738)</f>
        <v/>
      </c>
      <c r="C754" t="str">
        <f>IF(SEFAZ!C738="","",SEFAZ!C738)</f>
        <v/>
      </c>
      <c r="D754" t="str">
        <f>IF(SEFAZ!D738="","",SEFAZ!D738)</f>
        <v/>
      </c>
      <c r="E754" s="7" t="str">
        <f>IF(SEFAZ!E738="","",SEFAZ!E738)</f>
        <v/>
      </c>
      <c r="F754" s="6" t="str">
        <f>IF(SEFAZ!F738="","",VALUE(SUBSTITUTE(SEFAZ!F738,"'","")))</f>
        <v/>
      </c>
      <c r="G754" t="str">
        <f>IF(SEFAZ!H738="","",SEFAZ!H738)</f>
        <v/>
      </c>
      <c r="H754" t="str">
        <f>IF(SEFAZ!L738="","",SEFAZ!L738)</f>
        <v/>
      </c>
      <c r="I754" t="str">
        <f>IF(SEFAZ!N738="","",SEFAZ!N738)</f>
        <v/>
      </c>
      <c r="J754" t="str">
        <f>IF(SEFAZ!O738="","",SEFAZ!O738)</f>
        <v/>
      </c>
      <c r="K754" s="11" t="str">
        <f>IF(SEFAZ!P738="","",SEFAZ!P738)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hidden="1" x14ac:dyDescent="0.3">
      <c r="B755" t="str">
        <f>IF(SEFAZ!A739="","",SEFAZ!A739)</f>
        <v/>
      </c>
      <c r="C755" t="str">
        <f>IF(SEFAZ!C739="","",SEFAZ!C739)</f>
        <v/>
      </c>
      <c r="D755" t="str">
        <f>IF(SEFAZ!D739="","",SEFAZ!D739)</f>
        <v/>
      </c>
      <c r="E755" s="7" t="str">
        <f>IF(SEFAZ!E739="","",SEFAZ!E739)</f>
        <v/>
      </c>
      <c r="F755" s="6" t="str">
        <f>IF(SEFAZ!F739="","",VALUE(SUBSTITUTE(SEFAZ!F739,"'","")))</f>
        <v/>
      </c>
      <c r="G755" t="str">
        <f>IF(SEFAZ!H739="","",SEFAZ!H739)</f>
        <v/>
      </c>
      <c r="H755" t="str">
        <f>IF(SEFAZ!L739="","",SEFAZ!L739)</f>
        <v/>
      </c>
      <c r="I755" t="str">
        <f>IF(SEFAZ!N739="","",SEFAZ!N739)</f>
        <v/>
      </c>
      <c r="J755" t="str">
        <f>IF(SEFAZ!O739="","",SEFAZ!O739)</f>
        <v/>
      </c>
      <c r="K755" s="11" t="str">
        <f>IF(SEFAZ!P739="","",SEFAZ!P739)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hidden="1" x14ac:dyDescent="0.3">
      <c r="B756" t="str">
        <f>IF(SEFAZ!A740="","",SEFAZ!A740)</f>
        <v/>
      </c>
      <c r="C756" t="str">
        <f>IF(SEFAZ!C740="","",SEFAZ!C740)</f>
        <v/>
      </c>
      <c r="D756" t="str">
        <f>IF(SEFAZ!D740="","",SEFAZ!D740)</f>
        <v/>
      </c>
      <c r="E756" s="7" t="str">
        <f>IF(SEFAZ!E740="","",SEFAZ!E740)</f>
        <v/>
      </c>
      <c r="F756" s="6" t="str">
        <f>IF(SEFAZ!F740="","",VALUE(SUBSTITUTE(SEFAZ!F740,"'","")))</f>
        <v/>
      </c>
      <c r="G756" t="str">
        <f>IF(SEFAZ!H740="","",SEFAZ!H740)</f>
        <v/>
      </c>
      <c r="H756" t="str">
        <f>IF(SEFAZ!L740="","",SEFAZ!L740)</f>
        <v/>
      </c>
      <c r="I756" t="str">
        <f>IF(SEFAZ!N740="","",SEFAZ!N740)</f>
        <v/>
      </c>
      <c r="J756" t="str">
        <f>IF(SEFAZ!O740="","",SEFAZ!O740)</f>
        <v/>
      </c>
      <c r="K756" s="11" t="str">
        <f>IF(SEFAZ!P740="","",SEFAZ!P740)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hidden="1" x14ac:dyDescent="0.3">
      <c r="B757" t="str">
        <f>IF(SEFAZ!A741="","",SEFAZ!A741)</f>
        <v/>
      </c>
      <c r="C757" t="str">
        <f>IF(SEFAZ!C741="","",SEFAZ!C741)</f>
        <v/>
      </c>
      <c r="D757" t="str">
        <f>IF(SEFAZ!D741="","",SEFAZ!D741)</f>
        <v/>
      </c>
      <c r="E757" s="7" t="str">
        <f>IF(SEFAZ!E741="","",SEFAZ!E741)</f>
        <v/>
      </c>
      <c r="F757" s="6" t="str">
        <f>IF(SEFAZ!F741="","",VALUE(SUBSTITUTE(SEFAZ!F741,"'","")))</f>
        <v/>
      </c>
      <c r="G757" t="str">
        <f>IF(SEFAZ!H741="","",SEFAZ!H741)</f>
        <v/>
      </c>
      <c r="H757" t="str">
        <f>IF(SEFAZ!L741="","",SEFAZ!L741)</f>
        <v/>
      </c>
      <c r="I757" t="str">
        <f>IF(SEFAZ!N741="","",SEFAZ!N741)</f>
        <v/>
      </c>
      <c r="J757" t="str">
        <f>IF(SEFAZ!O741="","",SEFAZ!O741)</f>
        <v/>
      </c>
      <c r="K757" s="11" t="str">
        <f>IF(SEFAZ!P741="","",SEFAZ!P741)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hidden="1" x14ac:dyDescent="0.3">
      <c r="B758" t="str">
        <f>IF(SEFAZ!A742="","",SEFAZ!A742)</f>
        <v/>
      </c>
      <c r="C758" t="str">
        <f>IF(SEFAZ!C742="","",SEFAZ!C742)</f>
        <v/>
      </c>
      <c r="D758" t="str">
        <f>IF(SEFAZ!D742="","",SEFAZ!D742)</f>
        <v/>
      </c>
      <c r="E758" s="7" t="str">
        <f>IF(SEFAZ!E742="","",SEFAZ!E742)</f>
        <v/>
      </c>
      <c r="F758" s="6" t="str">
        <f>IF(SEFAZ!F742="","",VALUE(SUBSTITUTE(SEFAZ!F742,"'","")))</f>
        <v/>
      </c>
      <c r="G758" t="str">
        <f>IF(SEFAZ!H742="","",SEFAZ!H742)</f>
        <v/>
      </c>
      <c r="H758" t="str">
        <f>IF(SEFAZ!L742="","",SEFAZ!L742)</f>
        <v/>
      </c>
      <c r="I758" t="str">
        <f>IF(SEFAZ!N742="","",SEFAZ!N742)</f>
        <v/>
      </c>
      <c r="J758" t="str">
        <f>IF(SEFAZ!O742="","",SEFAZ!O742)</f>
        <v/>
      </c>
      <c r="K758" s="11" t="str">
        <f>IF(SEFAZ!P742="","",SEFAZ!P742)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hidden="1" x14ac:dyDescent="0.3">
      <c r="B759" t="str">
        <f>IF(SEFAZ!A743="","",SEFAZ!A743)</f>
        <v/>
      </c>
      <c r="C759" t="str">
        <f>IF(SEFAZ!C743="","",SEFAZ!C743)</f>
        <v/>
      </c>
      <c r="D759" t="str">
        <f>IF(SEFAZ!D743="","",SEFAZ!D743)</f>
        <v/>
      </c>
      <c r="E759" s="7" t="str">
        <f>IF(SEFAZ!E743="","",SEFAZ!E743)</f>
        <v/>
      </c>
      <c r="F759" s="6" t="str">
        <f>IF(SEFAZ!F743="","",VALUE(SUBSTITUTE(SEFAZ!F743,"'","")))</f>
        <v/>
      </c>
      <c r="G759" t="str">
        <f>IF(SEFAZ!H743="","",SEFAZ!H743)</f>
        <v/>
      </c>
      <c r="H759" t="str">
        <f>IF(SEFAZ!L743="","",SEFAZ!L743)</f>
        <v/>
      </c>
      <c r="I759" t="str">
        <f>IF(SEFAZ!N743="","",SEFAZ!N743)</f>
        <v/>
      </c>
      <c r="J759" t="str">
        <f>IF(SEFAZ!O743="","",SEFAZ!O743)</f>
        <v/>
      </c>
      <c r="K759" s="11" t="str">
        <f>IF(SEFAZ!P743="","",SEFAZ!P743)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hidden="1" x14ac:dyDescent="0.3">
      <c r="B760" t="str">
        <f>IF(SEFAZ!A744="","",SEFAZ!A744)</f>
        <v/>
      </c>
      <c r="C760" t="str">
        <f>IF(SEFAZ!C744="","",SEFAZ!C744)</f>
        <v/>
      </c>
      <c r="D760" t="str">
        <f>IF(SEFAZ!D744="","",SEFAZ!D744)</f>
        <v/>
      </c>
      <c r="E760" s="7" t="str">
        <f>IF(SEFAZ!E744="","",SEFAZ!E744)</f>
        <v/>
      </c>
      <c r="F760" s="6" t="str">
        <f>IF(SEFAZ!F744="","",VALUE(SUBSTITUTE(SEFAZ!F744,"'","")))</f>
        <v/>
      </c>
      <c r="G760" t="str">
        <f>IF(SEFAZ!H744="","",SEFAZ!H744)</f>
        <v/>
      </c>
      <c r="H760" t="str">
        <f>IF(SEFAZ!L744="","",SEFAZ!L744)</f>
        <v/>
      </c>
      <c r="I760" t="str">
        <f>IF(SEFAZ!N744="","",SEFAZ!N744)</f>
        <v/>
      </c>
      <c r="J760" t="str">
        <f>IF(SEFAZ!O744="","",SEFAZ!O744)</f>
        <v/>
      </c>
      <c r="K760" s="11" t="str">
        <f>IF(SEFAZ!P744="","",SEFAZ!P744)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hidden="1" x14ac:dyDescent="0.3">
      <c r="B761" t="str">
        <f>IF(SEFAZ!A745="","",SEFAZ!A745)</f>
        <v/>
      </c>
      <c r="C761" t="str">
        <f>IF(SEFAZ!C745="","",SEFAZ!C745)</f>
        <v/>
      </c>
      <c r="D761" t="str">
        <f>IF(SEFAZ!D745="","",SEFAZ!D745)</f>
        <v/>
      </c>
      <c r="E761" s="7" t="str">
        <f>IF(SEFAZ!E745="","",SEFAZ!E745)</f>
        <v/>
      </c>
      <c r="F761" s="6" t="str">
        <f>IF(SEFAZ!F745="","",VALUE(SUBSTITUTE(SEFAZ!F745,"'","")))</f>
        <v/>
      </c>
      <c r="G761" t="str">
        <f>IF(SEFAZ!H745="","",SEFAZ!H745)</f>
        <v/>
      </c>
      <c r="H761" t="str">
        <f>IF(SEFAZ!L745="","",SEFAZ!L745)</f>
        <v/>
      </c>
      <c r="I761" t="str">
        <f>IF(SEFAZ!N745="","",SEFAZ!N745)</f>
        <v/>
      </c>
      <c r="J761" t="str">
        <f>IF(SEFAZ!O745="","",SEFAZ!O745)</f>
        <v/>
      </c>
      <c r="K761" s="11" t="str">
        <f>IF(SEFAZ!P745="","",SEFAZ!P745)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hidden="1" x14ac:dyDescent="0.3">
      <c r="B762" t="str">
        <f>IF(SEFAZ!A746="","",SEFAZ!A746)</f>
        <v/>
      </c>
      <c r="C762" t="str">
        <f>IF(SEFAZ!C746="","",SEFAZ!C746)</f>
        <v/>
      </c>
      <c r="D762" t="str">
        <f>IF(SEFAZ!D746="","",SEFAZ!D746)</f>
        <v/>
      </c>
      <c r="E762" s="7" t="str">
        <f>IF(SEFAZ!E746="","",SEFAZ!E746)</f>
        <v/>
      </c>
      <c r="F762" s="6" t="str">
        <f>IF(SEFAZ!F746="","",VALUE(SUBSTITUTE(SEFAZ!F746,"'","")))</f>
        <v/>
      </c>
      <c r="G762" t="str">
        <f>IF(SEFAZ!H746="","",SEFAZ!H746)</f>
        <v/>
      </c>
      <c r="H762" t="str">
        <f>IF(SEFAZ!L746="","",SEFAZ!L746)</f>
        <v/>
      </c>
      <c r="I762" t="str">
        <f>IF(SEFAZ!N746="","",SEFAZ!N746)</f>
        <v/>
      </c>
      <c r="J762" t="str">
        <f>IF(SEFAZ!O746="","",SEFAZ!O746)</f>
        <v/>
      </c>
      <c r="K762" s="11" t="str">
        <f>IF(SEFAZ!P746="","",SEFAZ!P746)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hidden="1" x14ac:dyDescent="0.3">
      <c r="B763" t="str">
        <f>IF(SEFAZ!A747="","",SEFAZ!A747)</f>
        <v/>
      </c>
      <c r="C763" t="str">
        <f>IF(SEFAZ!C747="","",SEFAZ!C747)</f>
        <v/>
      </c>
      <c r="D763" t="str">
        <f>IF(SEFAZ!D747="","",SEFAZ!D747)</f>
        <v/>
      </c>
      <c r="E763" s="7" t="str">
        <f>IF(SEFAZ!E747="","",SEFAZ!E747)</f>
        <v/>
      </c>
      <c r="F763" s="6" t="str">
        <f>IF(SEFAZ!F747="","",VALUE(SUBSTITUTE(SEFAZ!F747,"'","")))</f>
        <v/>
      </c>
      <c r="G763" t="str">
        <f>IF(SEFAZ!H747="","",SEFAZ!H747)</f>
        <v/>
      </c>
      <c r="H763" t="str">
        <f>IF(SEFAZ!L747="","",SEFAZ!L747)</f>
        <v/>
      </c>
      <c r="I763" t="str">
        <f>IF(SEFAZ!N747="","",SEFAZ!N747)</f>
        <v/>
      </c>
      <c r="J763" t="str">
        <f>IF(SEFAZ!O747="","",SEFAZ!O747)</f>
        <v/>
      </c>
      <c r="K763" s="11" t="str">
        <f>IF(SEFAZ!P747="","",SEFAZ!P747)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hidden="1" x14ac:dyDescent="0.3">
      <c r="B764" t="str">
        <f>IF(SEFAZ!A748="","",SEFAZ!A748)</f>
        <v/>
      </c>
      <c r="C764" t="str">
        <f>IF(SEFAZ!C748="","",SEFAZ!C748)</f>
        <v/>
      </c>
      <c r="D764" t="str">
        <f>IF(SEFAZ!D748="","",SEFAZ!D748)</f>
        <v/>
      </c>
      <c r="E764" s="7" t="str">
        <f>IF(SEFAZ!E748="","",SEFAZ!E748)</f>
        <v/>
      </c>
      <c r="F764" s="6" t="str">
        <f>IF(SEFAZ!F748="","",VALUE(SUBSTITUTE(SEFAZ!F748,"'","")))</f>
        <v/>
      </c>
      <c r="G764" t="str">
        <f>IF(SEFAZ!H748="","",SEFAZ!H748)</f>
        <v/>
      </c>
      <c r="H764" t="str">
        <f>IF(SEFAZ!L748="","",SEFAZ!L748)</f>
        <v/>
      </c>
      <c r="I764" t="str">
        <f>IF(SEFAZ!N748="","",SEFAZ!N748)</f>
        <v/>
      </c>
      <c r="J764" t="str">
        <f>IF(SEFAZ!O748="","",SEFAZ!O748)</f>
        <v/>
      </c>
      <c r="K764" s="11" t="str">
        <f>IF(SEFAZ!P748="","",SEFAZ!P748)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hidden="1" x14ac:dyDescent="0.3">
      <c r="B765" t="str">
        <f>IF(SEFAZ!A749="","",SEFAZ!A749)</f>
        <v/>
      </c>
      <c r="C765" t="str">
        <f>IF(SEFAZ!C749="","",SEFAZ!C749)</f>
        <v/>
      </c>
      <c r="D765" t="str">
        <f>IF(SEFAZ!D749="","",SEFAZ!D749)</f>
        <v/>
      </c>
      <c r="E765" s="7" t="str">
        <f>IF(SEFAZ!E749="","",SEFAZ!E749)</f>
        <v/>
      </c>
      <c r="F765" s="6" t="str">
        <f>IF(SEFAZ!F749="","",VALUE(SUBSTITUTE(SEFAZ!F749,"'","")))</f>
        <v/>
      </c>
      <c r="G765" t="str">
        <f>IF(SEFAZ!H749="","",SEFAZ!H749)</f>
        <v/>
      </c>
      <c r="H765" t="str">
        <f>IF(SEFAZ!L749="","",SEFAZ!L749)</f>
        <v/>
      </c>
      <c r="I765" t="str">
        <f>IF(SEFAZ!N749="","",SEFAZ!N749)</f>
        <v/>
      </c>
      <c r="J765" t="str">
        <f>IF(SEFAZ!O749="","",SEFAZ!O749)</f>
        <v/>
      </c>
      <c r="K765" s="11" t="str">
        <f>IF(SEFAZ!P749="","",SEFAZ!P749)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hidden="1" x14ac:dyDescent="0.3">
      <c r="B766" t="str">
        <f>IF(SEFAZ!A750="","",SEFAZ!A750)</f>
        <v/>
      </c>
      <c r="C766" t="str">
        <f>IF(SEFAZ!C750="","",SEFAZ!C750)</f>
        <v/>
      </c>
      <c r="D766" t="str">
        <f>IF(SEFAZ!D750="","",SEFAZ!D750)</f>
        <v/>
      </c>
      <c r="E766" s="7" t="str">
        <f>IF(SEFAZ!E750="","",SEFAZ!E750)</f>
        <v/>
      </c>
      <c r="F766" s="6" t="str">
        <f>IF(SEFAZ!F750="","",VALUE(SUBSTITUTE(SEFAZ!F750,"'","")))</f>
        <v/>
      </c>
      <c r="G766" t="str">
        <f>IF(SEFAZ!H750="","",SEFAZ!H750)</f>
        <v/>
      </c>
      <c r="H766" t="str">
        <f>IF(SEFAZ!L750="","",SEFAZ!L750)</f>
        <v/>
      </c>
      <c r="I766" t="str">
        <f>IF(SEFAZ!N750="","",SEFAZ!N750)</f>
        <v/>
      </c>
      <c r="J766" t="str">
        <f>IF(SEFAZ!O750="","",SEFAZ!O750)</f>
        <v/>
      </c>
      <c r="K766" s="11" t="str">
        <f>IF(SEFAZ!P750="","",SEFAZ!P750)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hidden="1" x14ac:dyDescent="0.3">
      <c r="B767" t="str">
        <f>IF(SEFAZ!A751="","",SEFAZ!A751)</f>
        <v/>
      </c>
      <c r="C767" t="str">
        <f>IF(SEFAZ!C751="","",SEFAZ!C751)</f>
        <v/>
      </c>
      <c r="D767" t="str">
        <f>IF(SEFAZ!D751="","",SEFAZ!D751)</f>
        <v/>
      </c>
      <c r="E767" s="7" t="str">
        <f>IF(SEFAZ!E751="","",SEFAZ!E751)</f>
        <v/>
      </c>
      <c r="F767" s="6" t="str">
        <f>IF(SEFAZ!F751="","",VALUE(SUBSTITUTE(SEFAZ!F751,"'","")))</f>
        <v/>
      </c>
      <c r="G767" t="str">
        <f>IF(SEFAZ!H751="","",SEFAZ!H751)</f>
        <v/>
      </c>
      <c r="H767" t="str">
        <f>IF(SEFAZ!L751="","",SEFAZ!L751)</f>
        <v/>
      </c>
      <c r="I767" t="str">
        <f>IF(SEFAZ!N751="","",SEFAZ!N751)</f>
        <v/>
      </c>
      <c r="J767" t="str">
        <f>IF(SEFAZ!O751="","",SEFAZ!O751)</f>
        <v/>
      </c>
      <c r="K767" s="11" t="str">
        <f>IF(SEFAZ!P751="","",SEFAZ!P751)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hidden="1" x14ac:dyDescent="0.3">
      <c r="B768" t="str">
        <f>IF(SEFAZ!A752="","",SEFAZ!A752)</f>
        <v/>
      </c>
      <c r="C768" t="str">
        <f>IF(SEFAZ!C752="","",SEFAZ!C752)</f>
        <v/>
      </c>
      <c r="D768" t="str">
        <f>IF(SEFAZ!D752="","",SEFAZ!D752)</f>
        <v/>
      </c>
      <c r="E768" s="7" t="str">
        <f>IF(SEFAZ!E752="","",SEFAZ!E752)</f>
        <v/>
      </c>
      <c r="F768" s="6" t="str">
        <f>IF(SEFAZ!F752="","",VALUE(SUBSTITUTE(SEFAZ!F752,"'","")))</f>
        <v/>
      </c>
      <c r="G768" t="str">
        <f>IF(SEFAZ!H752="","",SEFAZ!H752)</f>
        <v/>
      </c>
      <c r="H768" t="str">
        <f>IF(SEFAZ!L752="","",SEFAZ!L752)</f>
        <v/>
      </c>
      <c r="I768" t="str">
        <f>IF(SEFAZ!N752="","",SEFAZ!N752)</f>
        <v/>
      </c>
      <c r="J768" t="str">
        <f>IF(SEFAZ!O752="","",SEFAZ!O752)</f>
        <v/>
      </c>
      <c r="K768" s="11" t="str">
        <f>IF(SEFAZ!P752="","",SEFAZ!P752)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hidden="1" x14ac:dyDescent="0.3">
      <c r="B769" t="str">
        <f>IF(SEFAZ!A753="","",SEFAZ!A753)</f>
        <v/>
      </c>
      <c r="C769" t="str">
        <f>IF(SEFAZ!C753="","",SEFAZ!C753)</f>
        <v/>
      </c>
      <c r="D769" t="str">
        <f>IF(SEFAZ!D753="","",SEFAZ!D753)</f>
        <v/>
      </c>
      <c r="E769" s="7" t="str">
        <f>IF(SEFAZ!E753="","",SEFAZ!E753)</f>
        <v/>
      </c>
      <c r="F769" s="6" t="str">
        <f>IF(SEFAZ!F753="","",VALUE(SUBSTITUTE(SEFAZ!F753,"'","")))</f>
        <v/>
      </c>
      <c r="G769" t="str">
        <f>IF(SEFAZ!H753="","",SEFAZ!H753)</f>
        <v/>
      </c>
      <c r="H769" t="str">
        <f>IF(SEFAZ!L753="","",SEFAZ!L753)</f>
        <v/>
      </c>
      <c r="I769" t="str">
        <f>IF(SEFAZ!N753="","",SEFAZ!N753)</f>
        <v/>
      </c>
      <c r="J769" t="str">
        <f>IF(SEFAZ!O753="","",SEFAZ!O753)</f>
        <v/>
      </c>
      <c r="K769" s="11" t="str">
        <f>IF(SEFAZ!P753="","",SEFAZ!P753)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hidden="1" x14ac:dyDescent="0.3">
      <c r="B770" t="str">
        <f>IF(SEFAZ!A754="","",SEFAZ!A754)</f>
        <v/>
      </c>
      <c r="C770" t="str">
        <f>IF(SEFAZ!C754="","",SEFAZ!C754)</f>
        <v/>
      </c>
      <c r="D770" t="str">
        <f>IF(SEFAZ!D754="","",SEFAZ!D754)</f>
        <v/>
      </c>
      <c r="E770" s="7" t="str">
        <f>IF(SEFAZ!E754="","",SEFAZ!E754)</f>
        <v/>
      </c>
      <c r="F770" s="6" t="str">
        <f>IF(SEFAZ!F754="","",VALUE(SUBSTITUTE(SEFAZ!F754,"'","")))</f>
        <v/>
      </c>
      <c r="G770" t="str">
        <f>IF(SEFAZ!H754="","",SEFAZ!H754)</f>
        <v/>
      </c>
      <c r="H770" t="str">
        <f>IF(SEFAZ!L754="","",SEFAZ!L754)</f>
        <v/>
      </c>
      <c r="I770" t="str">
        <f>IF(SEFAZ!N754="","",SEFAZ!N754)</f>
        <v/>
      </c>
      <c r="J770" t="str">
        <f>IF(SEFAZ!O754="","",SEFAZ!O754)</f>
        <v/>
      </c>
      <c r="K770" s="11" t="str">
        <f>IF(SEFAZ!P754="","",SEFAZ!P754)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hidden="1" x14ac:dyDescent="0.3">
      <c r="B771" t="str">
        <f>IF(SEFAZ!A755="","",SEFAZ!A755)</f>
        <v/>
      </c>
      <c r="C771" t="str">
        <f>IF(SEFAZ!C755="","",SEFAZ!C755)</f>
        <v/>
      </c>
      <c r="D771" t="str">
        <f>IF(SEFAZ!D755="","",SEFAZ!D755)</f>
        <v/>
      </c>
      <c r="E771" s="7" t="str">
        <f>IF(SEFAZ!E755="","",SEFAZ!E755)</f>
        <v/>
      </c>
      <c r="F771" s="6" t="str">
        <f>IF(SEFAZ!F755="","",VALUE(SUBSTITUTE(SEFAZ!F755,"'","")))</f>
        <v/>
      </c>
      <c r="G771" t="str">
        <f>IF(SEFAZ!H755="","",SEFAZ!H755)</f>
        <v/>
      </c>
      <c r="H771" t="str">
        <f>IF(SEFAZ!L755="","",SEFAZ!L755)</f>
        <v/>
      </c>
      <c r="I771" t="str">
        <f>IF(SEFAZ!N755="","",SEFAZ!N755)</f>
        <v/>
      </c>
      <c r="J771" t="str">
        <f>IF(SEFAZ!O755="","",SEFAZ!O755)</f>
        <v/>
      </c>
      <c r="K771" s="11" t="str">
        <f>IF(SEFAZ!P755="","",SEFAZ!P755)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hidden="1" x14ac:dyDescent="0.3">
      <c r="B772" t="str">
        <f>IF(SEFAZ!A756="","",SEFAZ!A756)</f>
        <v/>
      </c>
      <c r="C772" t="str">
        <f>IF(SEFAZ!C756="","",SEFAZ!C756)</f>
        <v/>
      </c>
      <c r="D772" t="str">
        <f>IF(SEFAZ!D756="","",SEFAZ!D756)</f>
        <v/>
      </c>
      <c r="E772" s="7" t="str">
        <f>IF(SEFAZ!E756="","",SEFAZ!E756)</f>
        <v/>
      </c>
      <c r="F772" s="6" t="str">
        <f>IF(SEFAZ!F756="","",VALUE(SUBSTITUTE(SEFAZ!F756,"'","")))</f>
        <v/>
      </c>
      <c r="G772" t="str">
        <f>IF(SEFAZ!H756="","",SEFAZ!H756)</f>
        <v/>
      </c>
      <c r="H772" t="str">
        <f>IF(SEFAZ!L756="","",SEFAZ!L756)</f>
        <v/>
      </c>
      <c r="I772" t="str">
        <f>IF(SEFAZ!N756="","",SEFAZ!N756)</f>
        <v/>
      </c>
      <c r="J772" t="str">
        <f>IF(SEFAZ!O756="","",SEFAZ!O756)</f>
        <v/>
      </c>
      <c r="K772" s="11" t="str">
        <f>IF(SEFAZ!P756="","",SEFAZ!P756)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hidden="1" x14ac:dyDescent="0.3">
      <c r="B773" t="str">
        <f>IF(SEFAZ!A757="","",SEFAZ!A757)</f>
        <v/>
      </c>
      <c r="C773" t="str">
        <f>IF(SEFAZ!C757="","",SEFAZ!C757)</f>
        <v/>
      </c>
      <c r="D773" t="str">
        <f>IF(SEFAZ!D757="","",SEFAZ!D757)</f>
        <v/>
      </c>
      <c r="E773" s="7" t="str">
        <f>IF(SEFAZ!E757="","",SEFAZ!E757)</f>
        <v/>
      </c>
      <c r="F773" s="6" t="str">
        <f>IF(SEFAZ!F757="","",VALUE(SUBSTITUTE(SEFAZ!F757,"'","")))</f>
        <v/>
      </c>
      <c r="G773" t="str">
        <f>IF(SEFAZ!H757="","",SEFAZ!H757)</f>
        <v/>
      </c>
      <c r="H773" t="str">
        <f>IF(SEFAZ!L757="","",SEFAZ!L757)</f>
        <v/>
      </c>
      <c r="I773" t="str">
        <f>IF(SEFAZ!N757="","",SEFAZ!N757)</f>
        <v/>
      </c>
      <c r="J773" t="str">
        <f>IF(SEFAZ!O757="","",SEFAZ!O757)</f>
        <v/>
      </c>
      <c r="K773" s="11" t="str">
        <f>IF(SEFAZ!P757="","",SEFAZ!P757)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hidden="1" x14ac:dyDescent="0.3">
      <c r="B774" t="str">
        <f>IF(SEFAZ!A758="","",SEFAZ!A758)</f>
        <v/>
      </c>
      <c r="C774" t="str">
        <f>IF(SEFAZ!C758="","",SEFAZ!C758)</f>
        <v/>
      </c>
      <c r="D774" t="str">
        <f>IF(SEFAZ!D758="","",SEFAZ!D758)</f>
        <v/>
      </c>
      <c r="E774" s="7" t="str">
        <f>IF(SEFAZ!E758="","",SEFAZ!E758)</f>
        <v/>
      </c>
      <c r="F774" s="6" t="str">
        <f>IF(SEFAZ!F758="","",VALUE(SUBSTITUTE(SEFAZ!F758,"'","")))</f>
        <v/>
      </c>
      <c r="G774" t="str">
        <f>IF(SEFAZ!H758="","",SEFAZ!H758)</f>
        <v/>
      </c>
      <c r="H774" t="str">
        <f>IF(SEFAZ!L758="","",SEFAZ!L758)</f>
        <v/>
      </c>
      <c r="I774" t="str">
        <f>IF(SEFAZ!N758="","",SEFAZ!N758)</f>
        <v/>
      </c>
      <c r="J774" t="str">
        <f>IF(SEFAZ!O758="","",SEFAZ!O758)</f>
        <v/>
      </c>
      <c r="K774" s="11" t="str">
        <f>IF(SEFAZ!P758="","",SEFAZ!P758)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hidden="1" x14ac:dyDescent="0.3">
      <c r="B775" t="str">
        <f>IF(SEFAZ!A759="","",SEFAZ!A759)</f>
        <v/>
      </c>
      <c r="C775" t="str">
        <f>IF(SEFAZ!C759="","",SEFAZ!C759)</f>
        <v/>
      </c>
      <c r="D775" t="str">
        <f>IF(SEFAZ!D759="","",SEFAZ!D759)</f>
        <v/>
      </c>
      <c r="E775" s="7" t="str">
        <f>IF(SEFAZ!E759="","",SEFAZ!E759)</f>
        <v/>
      </c>
      <c r="F775" s="6" t="str">
        <f>IF(SEFAZ!F759="","",VALUE(SUBSTITUTE(SEFAZ!F759,"'","")))</f>
        <v/>
      </c>
      <c r="G775" t="str">
        <f>IF(SEFAZ!H759="","",SEFAZ!H759)</f>
        <v/>
      </c>
      <c r="H775" t="str">
        <f>IF(SEFAZ!L759="","",SEFAZ!L759)</f>
        <v/>
      </c>
      <c r="I775" t="str">
        <f>IF(SEFAZ!N759="","",SEFAZ!N759)</f>
        <v/>
      </c>
      <c r="J775" t="str">
        <f>IF(SEFAZ!O759="","",SEFAZ!O759)</f>
        <v/>
      </c>
      <c r="K775" s="11" t="str">
        <f>IF(SEFAZ!P759="","",SEFAZ!P759)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hidden="1" x14ac:dyDescent="0.3">
      <c r="B776" t="str">
        <f>IF(SEFAZ!A760="","",SEFAZ!A760)</f>
        <v/>
      </c>
      <c r="C776" t="str">
        <f>IF(SEFAZ!C760="","",SEFAZ!C760)</f>
        <v/>
      </c>
      <c r="D776" t="str">
        <f>IF(SEFAZ!D760="","",SEFAZ!D760)</f>
        <v/>
      </c>
      <c r="E776" s="7" t="str">
        <f>IF(SEFAZ!E760="","",SEFAZ!E760)</f>
        <v/>
      </c>
      <c r="F776" s="6" t="str">
        <f>IF(SEFAZ!F760="","",VALUE(SUBSTITUTE(SEFAZ!F760,"'","")))</f>
        <v/>
      </c>
      <c r="G776" t="str">
        <f>IF(SEFAZ!H760="","",SEFAZ!H760)</f>
        <v/>
      </c>
      <c r="H776" t="str">
        <f>IF(SEFAZ!L760="","",SEFAZ!L760)</f>
        <v/>
      </c>
      <c r="I776" t="str">
        <f>IF(SEFAZ!N760="","",SEFAZ!N760)</f>
        <v/>
      </c>
      <c r="J776" t="str">
        <f>IF(SEFAZ!O760="","",SEFAZ!O760)</f>
        <v/>
      </c>
      <c r="K776" s="11" t="str">
        <f>IF(SEFAZ!P760="","",SEFAZ!P760)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hidden="1" x14ac:dyDescent="0.3">
      <c r="B777" t="str">
        <f>IF(SEFAZ!A761="","",SEFAZ!A761)</f>
        <v/>
      </c>
      <c r="C777" t="str">
        <f>IF(SEFAZ!C761="","",SEFAZ!C761)</f>
        <v/>
      </c>
      <c r="D777" t="str">
        <f>IF(SEFAZ!D761="","",SEFAZ!D761)</f>
        <v/>
      </c>
      <c r="E777" s="7" t="str">
        <f>IF(SEFAZ!E761="","",SEFAZ!E761)</f>
        <v/>
      </c>
      <c r="F777" s="6" t="str">
        <f>IF(SEFAZ!F761="","",VALUE(SUBSTITUTE(SEFAZ!F761,"'","")))</f>
        <v/>
      </c>
      <c r="G777" t="str">
        <f>IF(SEFAZ!H761="","",SEFAZ!H761)</f>
        <v/>
      </c>
      <c r="H777" t="str">
        <f>IF(SEFAZ!L761="","",SEFAZ!L761)</f>
        <v/>
      </c>
      <c r="I777" t="str">
        <f>IF(SEFAZ!N761="","",SEFAZ!N761)</f>
        <v/>
      </c>
      <c r="J777" t="str">
        <f>IF(SEFAZ!O761="","",SEFAZ!O761)</f>
        <v/>
      </c>
      <c r="K777" s="11" t="str">
        <f>IF(SEFAZ!P761="","",SEFAZ!P761)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hidden="1" x14ac:dyDescent="0.3">
      <c r="B778" t="str">
        <f>IF(SEFAZ!A762="","",SEFAZ!A762)</f>
        <v/>
      </c>
      <c r="C778" t="str">
        <f>IF(SEFAZ!C762="","",SEFAZ!C762)</f>
        <v/>
      </c>
      <c r="D778" t="str">
        <f>IF(SEFAZ!D762="","",SEFAZ!D762)</f>
        <v/>
      </c>
      <c r="E778" s="7" t="str">
        <f>IF(SEFAZ!E762="","",SEFAZ!E762)</f>
        <v/>
      </c>
      <c r="F778" s="6" t="str">
        <f>IF(SEFAZ!F762="","",VALUE(SUBSTITUTE(SEFAZ!F762,"'","")))</f>
        <v/>
      </c>
      <c r="G778" t="str">
        <f>IF(SEFAZ!H762="","",SEFAZ!H762)</f>
        <v/>
      </c>
      <c r="H778" t="str">
        <f>IF(SEFAZ!L762="","",SEFAZ!L762)</f>
        <v/>
      </c>
      <c r="I778" t="str">
        <f>IF(SEFAZ!N762="","",SEFAZ!N762)</f>
        <v/>
      </c>
      <c r="J778" t="str">
        <f>IF(SEFAZ!O762="","",SEFAZ!O762)</f>
        <v/>
      </c>
      <c r="K778" s="11" t="str">
        <f>IF(SEFAZ!P762="","",SEFAZ!P762)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hidden="1" x14ac:dyDescent="0.3">
      <c r="B779" t="str">
        <f>IF(SEFAZ!A763="","",SEFAZ!A763)</f>
        <v/>
      </c>
      <c r="C779" t="str">
        <f>IF(SEFAZ!C763="","",SEFAZ!C763)</f>
        <v/>
      </c>
      <c r="D779" t="str">
        <f>IF(SEFAZ!D763="","",SEFAZ!D763)</f>
        <v/>
      </c>
      <c r="E779" s="7" t="str">
        <f>IF(SEFAZ!E763="","",SEFAZ!E763)</f>
        <v/>
      </c>
      <c r="F779" s="6" t="str">
        <f>IF(SEFAZ!F763="","",VALUE(SUBSTITUTE(SEFAZ!F763,"'","")))</f>
        <v/>
      </c>
      <c r="G779" t="str">
        <f>IF(SEFAZ!H763="","",SEFAZ!H763)</f>
        <v/>
      </c>
      <c r="H779" t="str">
        <f>IF(SEFAZ!L763="","",SEFAZ!L763)</f>
        <v/>
      </c>
      <c r="I779" t="str">
        <f>IF(SEFAZ!N763="","",SEFAZ!N763)</f>
        <v/>
      </c>
      <c r="J779" t="str">
        <f>IF(SEFAZ!O763="","",SEFAZ!O763)</f>
        <v/>
      </c>
      <c r="K779" s="11" t="str">
        <f>IF(SEFAZ!P763="","",SEFAZ!P763)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hidden="1" x14ac:dyDescent="0.3">
      <c r="B780" t="str">
        <f>IF(SEFAZ!A764="","",SEFAZ!A764)</f>
        <v/>
      </c>
      <c r="C780" t="str">
        <f>IF(SEFAZ!C764="","",SEFAZ!C764)</f>
        <v/>
      </c>
      <c r="D780" t="str">
        <f>IF(SEFAZ!D764="","",SEFAZ!D764)</f>
        <v/>
      </c>
      <c r="E780" s="7" t="str">
        <f>IF(SEFAZ!E764="","",SEFAZ!E764)</f>
        <v/>
      </c>
      <c r="F780" s="6" t="str">
        <f>IF(SEFAZ!F764="","",VALUE(SUBSTITUTE(SEFAZ!F764,"'","")))</f>
        <v/>
      </c>
      <c r="G780" t="str">
        <f>IF(SEFAZ!H764="","",SEFAZ!H764)</f>
        <v/>
      </c>
      <c r="H780" t="str">
        <f>IF(SEFAZ!L764="","",SEFAZ!L764)</f>
        <v/>
      </c>
      <c r="I780" t="str">
        <f>IF(SEFAZ!N764="","",SEFAZ!N764)</f>
        <v/>
      </c>
      <c r="J780" t="str">
        <f>IF(SEFAZ!O764="","",SEFAZ!O764)</f>
        <v/>
      </c>
      <c r="K780" s="11" t="str">
        <f>IF(SEFAZ!P764="","",SEFAZ!P764)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hidden="1" x14ac:dyDescent="0.3">
      <c r="B781" t="str">
        <f>IF(SEFAZ!A765="","",SEFAZ!A765)</f>
        <v/>
      </c>
      <c r="C781" t="str">
        <f>IF(SEFAZ!C765="","",SEFAZ!C765)</f>
        <v/>
      </c>
      <c r="D781" t="str">
        <f>IF(SEFAZ!D765="","",SEFAZ!D765)</f>
        <v/>
      </c>
      <c r="E781" s="7" t="str">
        <f>IF(SEFAZ!E765="","",SEFAZ!E765)</f>
        <v/>
      </c>
      <c r="F781" s="6" t="str">
        <f>IF(SEFAZ!F765="","",VALUE(SUBSTITUTE(SEFAZ!F765,"'","")))</f>
        <v/>
      </c>
      <c r="G781" t="str">
        <f>IF(SEFAZ!H765="","",SEFAZ!H765)</f>
        <v/>
      </c>
      <c r="H781" t="str">
        <f>IF(SEFAZ!L765="","",SEFAZ!L765)</f>
        <v/>
      </c>
      <c r="I781" t="str">
        <f>IF(SEFAZ!N765="","",SEFAZ!N765)</f>
        <v/>
      </c>
      <c r="J781" t="str">
        <f>IF(SEFAZ!O765="","",SEFAZ!O765)</f>
        <v/>
      </c>
      <c r="K781" s="11" t="str">
        <f>IF(SEFAZ!P765="","",SEFAZ!P765)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hidden="1" x14ac:dyDescent="0.3">
      <c r="B782" t="str">
        <f>IF(SEFAZ!A766="","",SEFAZ!A766)</f>
        <v/>
      </c>
      <c r="C782" t="str">
        <f>IF(SEFAZ!C766="","",SEFAZ!C766)</f>
        <v/>
      </c>
      <c r="D782" t="str">
        <f>IF(SEFAZ!D766="","",SEFAZ!D766)</f>
        <v/>
      </c>
      <c r="E782" s="7" t="str">
        <f>IF(SEFAZ!E766="","",SEFAZ!E766)</f>
        <v/>
      </c>
      <c r="F782" s="6" t="str">
        <f>IF(SEFAZ!F766="","",VALUE(SUBSTITUTE(SEFAZ!F766,"'","")))</f>
        <v/>
      </c>
      <c r="G782" t="str">
        <f>IF(SEFAZ!H766="","",SEFAZ!H766)</f>
        <v/>
      </c>
      <c r="H782" t="str">
        <f>IF(SEFAZ!L766="","",SEFAZ!L766)</f>
        <v/>
      </c>
      <c r="I782" t="str">
        <f>IF(SEFAZ!N766="","",SEFAZ!N766)</f>
        <v/>
      </c>
      <c r="J782" t="str">
        <f>IF(SEFAZ!O766="","",SEFAZ!O766)</f>
        <v/>
      </c>
      <c r="K782" s="11" t="str">
        <f>IF(SEFAZ!P766="","",SEFAZ!P766)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hidden="1" x14ac:dyDescent="0.3">
      <c r="B783" t="str">
        <f>IF(SEFAZ!A767="","",SEFAZ!A767)</f>
        <v/>
      </c>
      <c r="C783" t="str">
        <f>IF(SEFAZ!C767="","",SEFAZ!C767)</f>
        <v/>
      </c>
      <c r="D783" t="str">
        <f>IF(SEFAZ!D767="","",SEFAZ!D767)</f>
        <v/>
      </c>
      <c r="E783" s="7" t="str">
        <f>IF(SEFAZ!E767="","",SEFAZ!E767)</f>
        <v/>
      </c>
      <c r="F783" s="6" t="str">
        <f>IF(SEFAZ!F767="","",VALUE(SUBSTITUTE(SEFAZ!F767,"'","")))</f>
        <v/>
      </c>
      <c r="G783" t="str">
        <f>IF(SEFAZ!H767="","",SEFAZ!H767)</f>
        <v/>
      </c>
      <c r="H783" t="str">
        <f>IF(SEFAZ!L767="","",SEFAZ!L767)</f>
        <v/>
      </c>
      <c r="I783" t="str">
        <f>IF(SEFAZ!N767="","",SEFAZ!N767)</f>
        <v/>
      </c>
      <c r="J783" t="str">
        <f>IF(SEFAZ!O767="","",SEFAZ!O767)</f>
        <v/>
      </c>
      <c r="K783" s="11" t="str">
        <f>IF(SEFAZ!P767="","",SEFAZ!P767)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hidden="1" x14ac:dyDescent="0.3">
      <c r="B784" t="str">
        <f>IF(SEFAZ!A768="","",SEFAZ!A768)</f>
        <v/>
      </c>
      <c r="C784" t="str">
        <f>IF(SEFAZ!C768="","",SEFAZ!C768)</f>
        <v/>
      </c>
      <c r="D784" t="str">
        <f>IF(SEFAZ!D768="","",SEFAZ!D768)</f>
        <v/>
      </c>
      <c r="E784" s="7" t="str">
        <f>IF(SEFAZ!E768="","",SEFAZ!E768)</f>
        <v/>
      </c>
      <c r="F784" s="6" t="str">
        <f>IF(SEFAZ!F768="","",VALUE(SUBSTITUTE(SEFAZ!F768,"'","")))</f>
        <v/>
      </c>
      <c r="G784" t="str">
        <f>IF(SEFAZ!H768="","",SEFAZ!H768)</f>
        <v/>
      </c>
      <c r="H784" t="str">
        <f>IF(SEFAZ!L768="","",SEFAZ!L768)</f>
        <v/>
      </c>
      <c r="I784" t="str">
        <f>IF(SEFAZ!N768="","",SEFAZ!N768)</f>
        <v/>
      </c>
      <c r="J784" t="str">
        <f>IF(SEFAZ!O768="","",SEFAZ!O768)</f>
        <v/>
      </c>
      <c r="K784" s="11" t="str">
        <f>IF(SEFAZ!P768="","",SEFAZ!P768)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hidden="1" x14ac:dyDescent="0.3">
      <c r="B785" t="str">
        <f>IF(SEFAZ!A769="","",SEFAZ!A769)</f>
        <v/>
      </c>
      <c r="C785" t="str">
        <f>IF(SEFAZ!C769="","",SEFAZ!C769)</f>
        <v/>
      </c>
      <c r="D785" t="str">
        <f>IF(SEFAZ!D769="","",SEFAZ!D769)</f>
        <v/>
      </c>
      <c r="E785" s="7" t="str">
        <f>IF(SEFAZ!E769="","",SEFAZ!E769)</f>
        <v/>
      </c>
      <c r="F785" s="6" t="str">
        <f>IF(SEFAZ!F769="","",VALUE(SUBSTITUTE(SEFAZ!F769,"'","")))</f>
        <v/>
      </c>
      <c r="G785" t="str">
        <f>IF(SEFAZ!H769="","",SEFAZ!H769)</f>
        <v/>
      </c>
      <c r="H785" t="str">
        <f>IF(SEFAZ!L769="","",SEFAZ!L769)</f>
        <v/>
      </c>
      <c r="I785" t="str">
        <f>IF(SEFAZ!N769="","",SEFAZ!N769)</f>
        <v/>
      </c>
      <c r="J785" t="str">
        <f>IF(SEFAZ!O769="","",SEFAZ!O769)</f>
        <v/>
      </c>
      <c r="K785" s="11" t="str">
        <f>IF(SEFAZ!P769="","",SEFAZ!P769)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hidden="1" x14ac:dyDescent="0.3">
      <c r="B786" t="str">
        <f>IF(SEFAZ!A770="","",SEFAZ!A770)</f>
        <v/>
      </c>
      <c r="C786" t="str">
        <f>IF(SEFAZ!C770="","",SEFAZ!C770)</f>
        <v/>
      </c>
      <c r="D786" t="str">
        <f>IF(SEFAZ!D770="","",SEFAZ!D770)</f>
        <v/>
      </c>
      <c r="E786" s="7" t="str">
        <f>IF(SEFAZ!E770="","",SEFAZ!E770)</f>
        <v/>
      </c>
      <c r="F786" s="6" t="str">
        <f>IF(SEFAZ!F770="","",VALUE(SUBSTITUTE(SEFAZ!F770,"'","")))</f>
        <v/>
      </c>
      <c r="G786" t="str">
        <f>IF(SEFAZ!H770="","",SEFAZ!H770)</f>
        <v/>
      </c>
      <c r="H786" t="str">
        <f>IF(SEFAZ!L770="","",SEFAZ!L770)</f>
        <v/>
      </c>
      <c r="I786" t="str">
        <f>IF(SEFAZ!N770="","",SEFAZ!N770)</f>
        <v/>
      </c>
      <c r="J786" t="str">
        <f>IF(SEFAZ!O770="","",SEFAZ!O770)</f>
        <v/>
      </c>
      <c r="K786" s="11" t="str">
        <f>IF(SEFAZ!P770="","",SEFAZ!P770)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hidden="1" x14ac:dyDescent="0.3">
      <c r="B787" t="str">
        <f>IF(SEFAZ!A771="","",SEFAZ!A771)</f>
        <v/>
      </c>
      <c r="C787" t="str">
        <f>IF(SEFAZ!C771="","",SEFAZ!C771)</f>
        <v/>
      </c>
      <c r="D787" t="str">
        <f>IF(SEFAZ!D771="","",SEFAZ!D771)</f>
        <v/>
      </c>
      <c r="E787" s="7" t="str">
        <f>IF(SEFAZ!E771="","",SEFAZ!E771)</f>
        <v/>
      </c>
      <c r="F787" s="6" t="str">
        <f>IF(SEFAZ!F771="","",VALUE(SUBSTITUTE(SEFAZ!F771,"'","")))</f>
        <v/>
      </c>
      <c r="G787" t="str">
        <f>IF(SEFAZ!H771="","",SEFAZ!H771)</f>
        <v/>
      </c>
      <c r="H787" t="str">
        <f>IF(SEFAZ!L771="","",SEFAZ!L771)</f>
        <v/>
      </c>
      <c r="I787" t="str">
        <f>IF(SEFAZ!N771="","",SEFAZ!N771)</f>
        <v/>
      </c>
      <c r="J787" t="str">
        <f>IF(SEFAZ!O771="","",SEFAZ!O771)</f>
        <v/>
      </c>
      <c r="K787" s="11" t="str">
        <f>IF(SEFAZ!P771="","",SEFAZ!P771)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hidden="1" x14ac:dyDescent="0.3">
      <c r="B788" t="str">
        <f>IF(SEFAZ!A772="","",SEFAZ!A772)</f>
        <v/>
      </c>
      <c r="C788" t="str">
        <f>IF(SEFAZ!C772="","",SEFAZ!C772)</f>
        <v/>
      </c>
      <c r="D788" t="str">
        <f>IF(SEFAZ!D772="","",SEFAZ!D772)</f>
        <v/>
      </c>
      <c r="E788" s="7" t="str">
        <f>IF(SEFAZ!E772="","",SEFAZ!E772)</f>
        <v/>
      </c>
      <c r="F788" s="6" t="str">
        <f>IF(SEFAZ!F772="","",VALUE(SUBSTITUTE(SEFAZ!F772,"'","")))</f>
        <v/>
      </c>
      <c r="G788" t="str">
        <f>IF(SEFAZ!H772="","",SEFAZ!H772)</f>
        <v/>
      </c>
      <c r="H788" t="str">
        <f>IF(SEFAZ!L772="","",SEFAZ!L772)</f>
        <v/>
      </c>
      <c r="I788" t="str">
        <f>IF(SEFAZ!N772="","",SEFAZ!N772)</f>
        <v/>
      </c>
      <c r="J788" t="str">
        <f>IF(SEFAZ!O772="","",SEFAZ!O772)</f>
        <v/>
      </c>
      <c r="K788" s="11" t="str">
        <f>IF(SEFAZ!P772="","",SEFAZ!P772)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hidden="1" x14ac:dyDescent="0.3">
      <c r="B789" t="str">
        <f>IF(SEFAZ!A773="","",SEFAZ!A773)</f>
        <v/>
      </c>
      <c r="C789" t="str">
        <f>IF(SEFAZ!C773="","",SEFAZ!C773)</f>
        <v/>
      </c>
      <c r="D789" t="str">
        <f>IF(SEFAZ!D773="","",SEFAZ!D773)</f>
        <v/>
      </c>
      <c r="E789" s="7" t="str">
        <f>IF(SEFAZ!E773="","",SEFAZ!E773)</f>
        <v/>
      </c>
      <c r="F789" s="6" t="str">
        <f>IF(SEFAZ!F773="","",VALUE(SUBSTITUTE(SEFAZ!F773,"'","")))</f>
        <v/>
      </c>
      <c r="G789" t="str">
        <f>IF(SEFAZ!H773="","",SEFAZ!H773)</f>
        <v/>
      </c>
      <c r="H789" t="str">
        <f>IF(SEFAZ!L773="","",SEFAZ!L773)</f>
        <v/>
      </c>
      <c r="I789" t="str">
        <f>IF(SEFAZ!N773="","",SEFAZ!N773)</f>
        <v/>
      </c>
      <c r="J789" t="str">
        <f>IF(SEFAZ!O773="","",SEFAZ!O773)</f>
        <v/>
      </c>
      <c r="K789" s="11" t="str">
        <f>IF(SEFAZ!P773="","",SEFAZ!P773)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hidden="1" x14ac:dyDescent="0.3">
      <c r="B790" t="str">
        <f>IF(SEFAZ!A774="","",SEFAZ!A774)</f>
        <v/>
      </c>
      <c r="C790" t="str">
        <f>IF(SEFAZ!C774="","",SEFAZ!C774)</f>
        <v/>
      </c>
      <c r="D790" t="str">
        <f>IF(SEFAZ!D774="","",SEFAZ!D774)</f>
        <v/>
      </c>
      <c r="E790" s="7" t="str">
        <f>IF(SEFAZ!E774="","",SEFAZ!E774)</f>
        <v/>
      </c>
      <c r="F790" s="6" t="str">
        <f>IF(SEFAZ!F774="","",VALUE(SUBSTITUTE(SEFAZ!F774,"'","")))</f>
        <v/>
      </c>
      <c r="G790" t="str">
        <f>IF(SEFAZ!H774="","",SEFAZ!H774)</f>
        <v/>
      </c>
      <c r="H790" t="str">
        <f>IF(SEFAZ!L774="","",SEFAZ!L774)</f>
        <v/>
      </c>
      <c r="I790" t="str">
        <f>IF(SEFAZ!N774="","",SEFAZ!N774)</f>
        <v/>
      </c>
      <c r="J790" t="str">
        <f>IF(SEFAZ!O774="","",SEFAZ!O774)</f>
        <v/>
      </c>
      <c r="K790" s="11" t="str">
        <f>IF(SEFAZ!P774="","",SEFAZ!P774)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hidden="1" x14ac:dyDescent="0.3">
      <c r="B791" t="str">
        <f>IF(SEFAZ!A775="","",SEFAZ!A775)</f>
        <v/>
      </c>
      <c r="C791" t="str">
        <f>IF(SEFAZ!C775="","",SEFAZ!C775)</f>
        <v/>
      </c>
      <c r="D791" t="str">
        <f>IF(SEFAZ!D775="","",SEFAZ!D775)</f>
        <v/>
      </c>
      <c r="E791" s="7" t="str">
        <f>IF(SEFAZ!E775="","",SEFAZ!E775)</f>
        <v/>
      </c>
      <c r="F791" s="6" t="str">
        <f>IF(SEFAZ!F775="","",VALUE(SUBSTITUTE(SEFAZ!F775,"'","")))</f>
        <v/>
      </c>
      <c r="G791" t="str">
        <f>IF(SEFAZ!H775="","",SEFAZ!H775)</f>
        <v/>
      </c>
      <c r="H791" t="str">
        <f>IF(SEFAZ!L775="","",SEFAZ!L775)</f>
        <v/>
      </c>
      <c r="I791" t="str">
        <f>IF(SEFAZ!N775="","",SEFAZ!N775)</f>
        <v/>
      </c>
      <c r="J791" t="str">
        <f>IF(SEFAZ!O775="","",SEFAZ!O775)</f>
        <v/>
      </c>
      <c r="K791" s="11" t="str">
        <f>IF(SEFAZ!P775="","",SEFAZ!P775)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hidden="1" x14ac:dyDescent="0.3">
      <c r="B792" t="str">
        <f>IF(SEFAZ!A776="","",SEFAZ!A776)</f>
        <v/>
      </c>
      <c r="C792" t="str">
        <f>IF(SEFAZ!C776="","",SEFAZ!C776)</f>
        <v/>
      </c>
      <c r="D792" t="str">
        <f>IF(SEFAZ!D776="","",SEFAZ!D776)</f>
        <v/>
      </c>
      <c r="E792" s="7" t="str">
        <f>IF(SEFAZ!E776="","",SEFAZ!E776)</f>
        <v/>
      </c>
      <c r="F792" s="6" t="str">
        <f>IF(SEFAZ!F776="","",VALUE(SUBSTITUTE(SEFAZ!F776,"'","")))</f>
        <v/>
      </c>
      <c r="G792" t="str">
        <f>IF(SEFAZ!H776="","",SEFAZ!H776)</f>
        <v/>
      </c>
      <c r="H792" t="str">
        <f>IF(SEFAZ!L776="","",SEFAZ!L776)</f>
        <v/>
      </c>
      <c r="I792" t="str">
        <f>IF(SEFAZ!N776="","",SEFAZ!N776)</f>
        <v/>
      </c>
      <c r="J792" t="str">
        <f>IF(SEFAZ!O776="","",SEFAZ!O776)</f>
        <v/>
      </c>
      <c r="K792" s="11" t="str">
        <f>IF(SEFAZ!P776="","",SEFAZ!P776)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hidden="1" x14ac:dyDescent="0.3">
      <c r="B793" t="str">
        <f>IF(SEFAZ!A777="","",SEFAZ!A777)</f>
        <v/>
      </c>
      <c r="C793" t="str">
        <f>IF(SEFAZ!C777="","",SEFAZ!C777)</f>
        <v/>
      </c>
      <c r="D793" t="str">
        <f>IF(SEFAZ!D777="","",SEFAZ!D777)</f>
        <v/>
      </c>
      <c r="E793" s="7" t="str">
        <f>IF(SEFAZ!E777="","",SEFAZ!E777)</f>
        <v/>
      </c>
      <c r="F793" s="6" t="str">
        <f>IF(SEFAZ!F777="","",VALUE(SUBSTITUTE(SEFAZ!F777,"'","")))</f>
        <v/>
      </c>
      <c r="G793" t="str">
        <f>IF(SEFAZ!H777="","",SEFAZ!H777)</f>
        <v/>
      </c>
      <c r="H793" t="str">
        <f>IF(SEFAZ!L777="","",SEFAZ!L777)</f>
        <v/>
      </c>
      <c r="I793" t="str">
        <f>IF(SEFAZ!N777="","",SEFAZ!N777)</f>
        <v/>
      </c>
      <c r="J793" t="str">
        <f>IF(SEFAZ!O777="","",SEFAZ!O777)</f>
        <v/>
      </c>
      <c r="K793" s="11" t="str">
        <f>IF(SEFAZ!P777="","",SEFAZ!P777)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hidden="1" x14ac:dyDescent="0.3">
      <c r="B794" t="str">
        <f>IF(SEFAZ!A778="","",SEFAZ!A778)</f>
        <v/>
      </c>
      <c r="C794" t="str">
        <f>IF(SEFAZ!C778="","",SEFAZ!C778)</f>
        <v/>
      </c>
      <c r="D794" t="str">
        <f>IF(SEFAZ!D778="","",SEFAZ!D778)</f>
        <v/>
      </c>
      <c r="E794" s="7" t="str">
        <f>IF(SEFAZ!E778="","",SEFAZ!E778)</f>
        <v/>
      </c>
      <c r="F794" s="6" t="str">
        <f>IF(SEFAZ!F778="","",VALUE(SUBSTITUTE(SEFAZ!F778,"'","")))</f>
        <v/>
      </c>
      <c r="G794" t="str">
        <f>IF(SEFAZ!H778="","",SEFAZ!H778)</f>
        <v/>
      </c>
      <c r="H794" t="str">
        <f>IF(SEFAZ!L778="","",SEFAZ!L778)</f>
        <v/>
      </c>
      <c r="I794" t="str">
        <f>IF(SEFAZ!N778="","",SEFAZ!N778)</f>
        <v/>
      </c>
      <c r="J794" t="str">
        <f>IF(SEFAZ!O778="","",SEFAZ!O778)</f>
        <v/>
      </c>
      <c r="K794" s="11" t="str">
        <f>IF(SEFAZ!P778="","",SEFAZ!P778)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hidden="1" x14ac:dyDescent="0.3">
      <c r="B795" t="str">
        <f>IF(SEFAZ!A779="","",SEFAZ!A779)</f>
        <v/>
      </c>
      <c r="C795" t="str">
        <f>IF(SEFAZ!C779="","",SEFAZ!C779)</f>
        <v/>
      </c>
      <c r="D795" t="str">
        <f>IF(SEFAZ!D779="","",SEFAZ!D779)</f>
        <v/>
      </c>
      <c r="E795" s="7" t="str">
        <f>IF(SEFAZ!E779="","",SEFAZ!E779)</f>
        <v/>
      </c>
      <c r="F795" s="6" t="str">
        <f>IF(SEFAZ!F779="","",VALUE(SUBSTITUTE(SEFAZ!F779,"'","")))</f>
        <v/>
      </c>
      <c r="G795" t="str">
        <f>IF(SEFAZ!H779="","",SEFAZ!H779)</f>
        <v/>
      </c>
      <c r="H795" t="str">
        <f>IF(SEFAZ!L779="","",SEFAZ!L779)</f>
        <v/>
      </c>
      <c r="I795" t="str">
        <f>IF(SEFAZ!N779="","",SEFAZ!N779)</f>
        <v/>
      </c>
      <c r="J795" t="str">
        <f>IF(SEFAZ!O779="","",SEFAZ!O779)</f>
        <v/>
      </c>
      <c r="K795" s="11" t="str">
        <f>IF(SEFAZ!P779="","",SEFAZ!P779)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hidden="1" x14ac:dyDescent="0.3">
      <c r="B796" t="str">
        <f>IF(SEFAZ!A780="","",SEFAZ!A780)</f>
        <v/>
      </c>
      <c r="C796" t="str">
        <f>IF(SEFAZ!C780="","",SEFAZ!C780)</f>
        <v/>
      </c>
      <c r="D796" t="str">
        <f>IF(SEFAZ!D780="","",SEFAZ!D780)</f>
        <v/>
      </c>
      <c r="E796" s="7" t="str">
        <f>IF(SEFAZ!E780="","",SEFAZ!E780)</f>
        <v/>
      </c>
      <c r="F796" s="6" t="str">
        <f>IF(SEFAZ!F780="","",VALUE(SUBSTITUTE(SEFAZ!F780,"'","")))</f>
        <v/>
      </c>
      <c r="G796" t="str">
        <f>IF(SEFAZ!H780="","",SEFAZ!H780)</f>
        <v/>
      </c>
      <c r="H796" t="str">
        <f>IF(SEFAZ!L780="","",SEFAZ!L780)</f>
        <v/>
      </c>
      <c r="I796" t="str">
        <f>IF(SEFAZ!N780="","",SEFAZ!N780)</f>
        <v/>
      </c>
      <c r="J796" t="str">
        <f>IF(SEFAZ!O780="","",SEFAZ!O780)</f>
        <v/>
      </c>
      <c r="K796" s="11" t="str">
        <f>IF(SEFAZ!P780="","",SEFAZ!P780)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hidden="1" x14ac:dyDescent="0.3">
      <c r="B797" t="str">
        <f>IF(SEFAZ!A781="","",SEFAZ!A781)</f>
        <v/>
      </c>
      <c r="C797" t="str">
        <f>IF(SEFAZ!C781="","",SEFAZ!C781)</f>
        <v/>
      </c>
      <c r="D797" t="str">
        <f>IF(SEFAZ!D781="","",SEFAZ!D781)</f>
        <v/>
      </c>
      <c r="E797" s="7" t="str">
        <f>IF(SEFAZ!E781="","",SEFAZ!E781)</f>
        <v/>
      </c>
      <c r="F797" s="6" t="str">
        <f>IF(SEFAZ!F781="","",VALUE(SUBSTITUTE(SEFAZ!F781,"'","")))</f>
        <v/>
      </c>
      <c r="G797" t="str">
        <f>IF(SEFAZ!H781="","",SEFAZ!H781)</f>
        <v/>
      </c>
      <c r="H797" t="str">
        <f>IF(SEFAZ!L781="","",SEFAZ!L781)</f>
        <v/>
      </c>
      <c r="I797" t="str">
        <f>IF(SEFAZ!N781="","",SEFAZ!N781)</f>
        <v/>
      </c>
      <c r="J797" t="str">
        <f>IF(SEFAZ!O781="","",SEFAZ!O781)</f>
        <v/>
      </c>
      <c r="K797" s="11" t="str">
        <f>IF(SEFAZ!P781="","",SEFAZ!P781)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hidden="1" x14ac:dyDescent="0.3">
      <c r="B798" t="str">
        <f>IF(SEFAZ!A782="","",SEFAZ!A782)</f>
        <v/>
      </c>
      <c r="C798" t="str">
        <f>IF(SEFAZ!C782="","",SEFAZ!C782)</f>
        <v/>
      </c>
      <c r="D798" t="str">
        <f>IF(SEFAZ!D782="","",SEFAZ!D782)</f>
        <v/>
      </c>
      <c r="E798" s="7" t="str">
        <f>IF(SEFAZ!E782="","",SEFAZ!E782)</f>
        <v/>
      </c>
      <c r="F798" s="6" t="str">
        <f>IF(SEFAZ!F782="","",VALUE(SUBSTITUTE(SEFAZ!F782,"'","")))</f>
        <v/>
      </c>
      <c r="G798" t="str">
        <f>IF(SEFAZ!H782="","",SEFAZ!H782)</f>
        <v/>
      </c>
      <c r="H798" t="str">
        <f>IF(SEFAZ!L782="","",SEFAZ!L782)</f>
        <v/>
      </c>
      <c r="I798" t="str">
        <f>IF(SEFAZ!N782="","",SEFAZ!N782)</f>
        <v/>
      </c>
      <c r="J798" t="str">
        <f>IF(SEFAZ!O782="","",SEFAZ!O782)</f>
        <v/>
      </c>
      <c r="K798" s="11" t="str">
        <f>IF(SEFAZ!P782="","",SEFAZ!P782)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hidden="1" x14ac:dyDescent="0.3">
      <c r="B799" t="str">
        <f>IF(SEFAZ!A783="","",SEFAZ!A783)</f>
        <v/>
      </c>
      <c r="C799" t="str">
        <f>IF(SEFAZ!C783="","",SEFAZ!C783)</f>
        <v/>
      </c>
      <c r="D799" t="str">
        <f>IF(SEFAZ!D783="","",SEFAZ!D783)</f>
        <v/>
      </c>
      <c r="E799" s="7" t="str">
        <f>IF(SEFAZ!E783="","",SEFAZ!E783)</f>
        <v/>
      </c>
      <c r="F799" s="6" t="str">
        <f>IF(SEFAZ!F783="","",VALUE(SUBSTITUTE(SEFAZ!F783,"'","")))</f>
        <v/>
      </c>
      <c r="G799" t="str">
        <f>IF(SEFAZ!H783="","",SEFAZ!H783)</f>
        <v/>
      </c>
      <c r="H799" t="str">
        <f>IF(SEFAZ!L783="","",SEFAZ!L783)</f>
        <v/>
      </c>
      <c r="I799" t="str">
        <f>IF(SEFAZ!N783="","",SEFAZ!N783)</f>
        <v/>
      </c>
      <c r="J799" t="str">
        <f>IF(SEFAZ!O783="","",SEFAZ!O783)</f>
        <v/>
      </c>
      <c r="K799" s="11" t="str">
        <f>IF(SEFAZ!P783="","",SEFAZ!P783)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hidden="1" x14ac:dyDescent="0.3">
      <c r="B800" t="str">
        <f>IF(SEFAZ!A784="","",SEFAZ!A784)</f>
        <v/>
      </c>
      <c r="C800" t="str">
        <f>IF(SEFAZ!C784="","",SEFAZ!C784)</f>
        <v/>
      </c>
      <c r="D800" t="str">
        <f>IF(SEFAZ!D784="","",SEFAZ!D784)</f>
        <v/>
      </c>
      <c r="E800" s="7" t="str">
        <f>IF(SEFAZ!E784="","",SEFAZ!E784)</f>
        <v/>
      </c>
      <c r="F800" s="6" t="str">
        <f>IF(SEFAZ!F784="","",VALUE(SUBSTITUTE(SEFAZ!F784,"'","")))</f>
        <v/>
      </c>
      <c r="G800" t="str">
        <f>IF(SEFAZ!H784="","",SEFAZ!H784)</f>
        <v/>
      </c>
      <c r="H800" t="str">
        <f>IF(SEFAZ!L784="","",SEFAZ!L784)</f>
        <v/>
      </c>
      <c r="I800" t="str">
        <f>IF(SEFAZ!N784="","",SEFAZ!N784)</f>
        <v/>
      </c>
      <c r="J800" t="str">
        <f>IF(SEFAZ!O784="","",SEFAZ!O784)</f>
        <v/>
      </c>
      <c r="K800" s="11" t="str">
        <f>IF(SEFAZ!P784="","",SEFAZ!P784)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hidden="1" x14ac:dyDescent="0.3">
      <c r="B801" t="str">
        <f>IF(SEFAZ!A785="","",SEFAZ!A785)</f>
        <v/>
      </c>
      <c r="C801" t="str">
        <f>IF(SEFAZ!C785="","",SEFAZ!C785)</f>
        <v/>
      </c>
      <c r="D801" t="str">
        <f>IF(SEFAZ!D785="","",SEFAZ!D785)</f>
        <v/>
      </c>
      <c r="E801" s="7" t="str">
        <f>IF(SEFAZ!E785="","",SEFAZ!E785)</f>
        <v/>
      </c>
      <c r="F801" s="6" t="str">
        <f>IF(SEFAZ!F785="","",VALUE(SUBSTITUTE(SEFAZ!F785,"'","")))</f>
        <v/>
      </c>
      <c r="G801" t="str">
        <f>IF(SEFAZ!H785="","",SEFAZ!H785)</f>
        <v/>
      </c>
      <c r="H801" t="str">
        <f>IF(SEFAZ!L785="","",SEFAZ!L785)</f>
        <v/>
      </c>
      <c r="I801" t="str">
        <f>IF(SEFAZ!N785="","",SEFAZ!N785)</f>
        <v/>
      </c>
      <c r="J801" t="str">
        <f>IF(SEFAZ!O785="","",SEFAZ!O785)</f>
        <v/>
      </c>
      <c r="K801" s="11" t="str">
        <f>IF(SEFAZ!P785="","",SEFAZ!P785)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hidden="1" x14ac:dyDescent="0.3">
      <c r="B802" t="str">
        <f>IF(SEFAZ!A786="","",SEFAZ!A786)</f>
        <v/>
      </c>
      <c r="C802" t="str">
        <f>IF(SEFAZ!C786="","",SEFAZ!C786)</f>
        <v/>
      </c>
      <c r="D802" t="str">
        <f>IF(SEFAZ!D786="","",SEFAZ!D786)</f>
        <v/>
      </c>
      <c r="E802" s="7" t="str">
        <f>IF(SEFAZ!E786="","",SEFAZ!E786)</f>
        <v/>
      </c>
      <c r="F802" s="6" t="str">
        <f>IF(SEFAZ!F786="","",VALUE(SUBSTITUTE(SEFAZ!F786,"'","")))</f>
        <v/>
      </c>
      <c r="G802" t="str">
        <f>IF(SEFAZ!H786="","",SEFAZ!H786)</f>
        <v/>
      </c>
      <c r="H802" t="str">
        <f>IF(SEFAZ!L786="","",SEFAZ!L786)</f>
        <v/>
      </c>
      <c r="I802" t="str">
        <f>IF(SEFAZ!N786="","",SEFAZ!N786)</f>
        <v/>
      </c>
      <c r="J802" t="str">
        <f>IF(SEFAZ!O786="","",SEFAZ!O786)</f>
        <v/>
      </c>
      <c r="K802" s="11" t="str">
        <f>IF(SEFAZ!P786="","",SEFAZ!P786)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hidden="1" x14ac:dyDescent="0.3">
      <c r="B803" t="str">
        <f>IF(SEFAZ!A787="","",SEFAZ!A787)</f>
        <v/>
      </c>
      <c r="C803" t="str">
        <f>IF(SEFAZ!C787="","",SEFAZ!C787)</f>
        <v/>
      </c>
      <c r="D803" t="str">
        <f>IF(SEFAZ!D787="","",SEFAZ!D787)</f>
        <v/>
      </c>
      <c r="E803" s="7" t="str">
        <f>IF(SEFAZ!E787="","",SEFAZ!E787)</f>
        <v/>
      </c>
      <c r="F803" s="6" t="str">
        <f>IF(SEFAZ!F787="","",VALUE(SUBSTITUTE(SEFAZ!F787,"'","")))</f>
        <v/>
      </c>
      <c r="G803" t="str">
        <f>IF(SEFAZ!H787="","",SEFAZ!H787)</f>
        <v/>
      </c>
      <c r="H803" t="str">
        <f>IF(SEFAZ!L787="","",SEFAZ!L787)</f>
        <v/>
      </c>
      <c r="I803" t="str">
        <f>IF(SEFAZ!N787="","",SEFAZ!N787)</f>
        <v/>
      </c>
      <c r="J803" t="str">
        <f>IF(SEFAZ!O787="","",SEFAZ!O787)</f>
        <v/>
      </c>
      <c r="K803" s="11" t="str">
        <f>IF(SEFAZ!P787="","",SEFAZ!P787)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hidden="1" x14ac:dyDescent="0.3">
      <c r="B804" t="str">
        <f>IF(SEFAZ!A788="","",SEFAZ!A788)</f>
        <v/>
      </c>
      <c r="C804" t="str">
        <f>IF(SEFAZ!C788="","",SEFAZ!C788)</f>
        <v/>
      </c>
      <c r="D804" t="str">
        <f>IF(SEFAZ!D788="","",SEFAZ!D788)</f>
        <v/>
      </c>
      <c r="E804" s="7" t="str">
        <f>IF(SEFAZ!E788="","",SEFAZ!E788)</f>
        <v/>
      </c>
      <c r="F804" s="6" t="str">
        <f>IF(SEFAZ!F788="","",VALUE(SUBSTITUTE(SEFAZ!F788,"'","")))</f>
        <v/>
      </c>
      <c r="G804" t="str">
        <f>IF(SEFAZ!H788="","",SEFAZ!H788)</f>
        <v/>
      </c>
      <c r="H804" t="str">
        <f>IF(SEFAZ!L788="","",SEFAZ!L788)</f>
        <v/>
      </c>
      <c r="I804" t="str">
        <f>IF(SEFAZ!N788="","",SEFAZ!N788)</f>
        <v/>
      </c>
      <c r="J804" t="str">
        <f>IF(SEFAZ!O788="","",SEFAZ!O788)</f>
        <v/>
      </c>
      <c r="K804" s="11" t="str">
        <f>IF(SEFAZ!P788="","",SEFAZ!P788)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hidden="1" x14ac:dyDescent="0.3">
      <c r="B805" t="str">
        <f>IF(SEFAZ!A789="","",SEFAZ!A789)</f>
        <v/>
      </c>
      <c r="C805" t="str">
        <f>IF(SEFAZ!C789="","",SEFAZ!C789)</f>
        <v/>
      </c>
      <c r="D805" t="str">
        <f>IF(SEFAZ!D789="","",SEFAZ!D789)</f>
        <v/>
      </c>
      <c r="E805" s="7" t="str">
        <f>IF(SEFAZ!E789="","",SEFAZ!E789)</f>
        <v/>
      </c>
      <c r="F805" s="6" t="str">
        <f>IF(SEFAZ!F789="","",VALUE(SUBSTITUTE(SEFAZ!F789,"'","")))</f>
        <v/>
      </c>
      <c r="G805" t="str">
        <f>IF(SEFAZ!H789="","",SEFAZ!H789)</f>
        <v/>
      </c>
      <c r="H805" t="str">
        <f>IF(SEFAZ!L789="","",SEFAZ!L789)</f>
        <v/>
      </c>
      <c r="I805" t="str">
        <f>IF(SEFAZ!N789="","",SEFAZ!N789)</f>
        <v/>
      </c>
      <c r="J805" t="str">
        <f>IF(SEFAZ!O789="","",SEFAZ!O789)</f>
        <v/>
      </c>
      <c r="K805" s="11" t="str">
        <f>IF(SEFAZ!P789="","",SEFAZ!P789)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hidden="1" x14ac:dyDescent="0.3">
      <c r="B806" t="str">
        <f>IF(SEFAZ!A790="","",SEFAZ!A790)</f>
        <v/>
      </c>
      <c r="C806" t="str">
        <f>IF(SEFAZ!C790="","",SEFAZ!C790)</f>
        <v/>
      </c>
      <c r="D806" t="str">
        <f>IF(SEFAZ!D790="","",SEFAZ!D790)</f>
        <v/>
      </c>
      <c r="E806" s="7" t="str">
        <f>IF(SEFAZ!E790="","",SEFAZ!E790)</f>
        <v/>
      </c>
      <c r="F806" s="6" t="str">
        <f>IF(SEFAZ!F790="","",VALUE(SUBSTITUTE(SEFAZ!F790,"'","")))</f>
        <v/>
      </c>
      <c r="G806" t="str">
        <f>IF(SEFAZ!H790="","",SEFAZ!H790)</f>
        <v/>
      </c>
      <c r="H806" t="str">
        <f>IF(SEFAZ!L790="","",SEFAZ!L790)</f>
        <v/>
      </c>
      <c r="I806" t="str">
        <f>IF(SEFAZ!N790="","",SEFAZ!N790)</f>
        <v/>
      </c>
      <c r="J806" t="str">
        <f>IF(SEFAZ!O790="","",SEFAZ!O790)</f>
        <v/>
      </c>
      <c r="K806" s="11" t="str">
        <f>IF(SEFAZ!P790="","",SEFAZ!P790)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hidden="1" x14ac:dyDescent="0.3">
      <c r="B807" t="str">
        <f>IF(SEFAZ!A791="","",SEFAZ!A791)</f>
        <v/>
      </c>
      <c r="C807" t="str">
        <f>IF(SEFAZ!C791="","",SEFAZ!C791)</f>
        <v/>
      </c>
      <c r="D807" t="str">
        <f>IF(SEFAZ!D791="","",SEFAZ!D791)</f>
        <v/>
      </c>
      <c r="E807" s="7" t="str">
        <f>IF(SEFAZ!E791="","",SEFAZ!E791)</f>
        <v/>
      </c>
      <c r="F807" s="6" t="str">
        <f>IF(SEFAZ!F791="","",VALUE(SUBSTITUTE(SEFAZ!F791,"'","")))</f>
        <v/>
      </c>
      <c r="G807" t="str">
        <f>IF(SEFAZ!H791="","",SEFAZ!H791)</f>
        <v/>
      </c>
      <c r="H807" t="str">
        <f>IF(SEFAZ!L791="","",SEFAZ!L791)</f>
        <v/>
      </c>
      <c r="I807" t="str">
        <f>IF(SEFAZ!N791="","",SEFAZ!N791)</f>
        <v/>
      </c>
      <c r="J807" t="str">
        <f>IF(SEFAZ!O791="","",SEFAZ!O791)</f>
        <v/>
      </c>
      <c r="K807" s="11" t="str">
        <f>IF(SEFAZ!P791="","",SEFAZ!P791)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hidden="1" x14ac:dyDescent="0.3">
      <c r="B808" t="str">
        <f>IF(SEFAZ!A792="","",SEFAZ!A792)</f>
        <v/>
      </c>
      <c r="C808" t="str">
        <f>IF(SEFAZ!C792="","",SEFAZ!C792)</f>
        <v/>
      </c>
      <c r="D808" t="str">
        <f>IF(SEFAZ!D792="","",SEFAZ!D792)</f>
        <v/>
      </c>
      <c r="E808" s="7" t="str">
        <f>IF(SEFAZ!E792="","",SEFAZ!E792)</f>
        <v/>
      </c>
      <c r="F808" s="6" t="str">
        <f>IF(SEFAZ!F792="","",VALUE(SUBSTITUTE(SEFAZ!F792,"'","")))</f>
        <v/>
      </c>
      <c r="G808" t="str">
        <f>IF(SEFAZ!H792="","",SEFAZ!H792)</f>
        <v/>
      </c>
      <c r="H808" t="str">
        <f>IF(SEFAZ!L792="","",SEFAZ!L792)</f>
        <v/>
      </c>
      <c r="I808" t="str">
        <f>IF(SEFAZ!N792="","",SEFAZ!N792)</f>
        <v/>
      </c>
      <c r="J808" t="str">
        <f>IF(SEFAZ!O792="","",SEFAZ!O792)</f>
        <v/>
      </c>
      <c r="K808" s="11" t="str">
        <f>IF(SEFAZ!P792="","",SEFAZ!P792)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hidden="1" x14ac:dyDescent="0.3">
      <c r="B809" t="str">
        <f>IF(SEFAZ!A793="","",SEFAZ!A793)</f>
        <v/>
      </c>
      <c r="C809" t="str">
        <f>IF(SEFAZ!C793="","",SEFAZ!C793)</f>
        <v/>
      </c>
      <c r="D809" t="str">
        <f>IF(SEFAZ!D793="","",SEFAZ!D793)</f>
        <v/>
      </c>
      <c r="E809" s="7" t="str">
        <f>IF(SEFAZ!E793="","",SEFAZ!E793)</f>
        <v/>
      </c>
      <c r="F809" s="6" t="str">
        <f>IF(SEFAZ!F793="","",VALUE(SUBSTITUTE(SEFAZ!F793,"'","")))</f>
        <v/>
      </c>
      <c r="G809" t="str">
        <f>IF(SEFAZ!H793="","",SEFAZ!H793)</f>
        <v/>
      </c>
      <c r="H809" t="str">
        <f>IF(SEFAZ!L793="","",SEFAZ!L793)</f>
        <v/>
      </c>
      <c r="I809" t="str">
        <f>IF(SEFAZ!N793="","",SEFAZ!N793)</f>
        <v/>
      </c>
      <c r="J809" t="str">
        <f>IF(SEFAZ!O793="","",SEFAZ!O793)</f>
        <v/>
      </c>
      <c r="K809" s="11" t="str">
        <f>IF(SEFAZ!P793="","",SEFAZ!P793)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hidden="1" x14ac:dyDescent="0.3">
      <c r="B810" t="str">
        <f>IF(SEFAZ!A794="","",SEFAZ!A794)</f>
        <v/>
      </c>
      <c r="C810" t="str">
        <f>IF(SEFAZ!C794="","",SEFAZ!C794)</f>
        <v/>
      </c>
      <c r="D810" t="str">
        <f>IF(SEFAZ!D794="","",SEFAZ!D794)</f>
        <v/>
      </c>
      <c r="E810" s="7" t="str">
        <f>IF(SEFAZ!E794="","",SEFAZ!E794)</f>
        <v/>
      </c>
      <c r="F810" s="6" t="str">
        <f>IF(SEFAZ!F794="","",VALUE(SUBSTITUTE(SEFAZ!F794,"'","")))</f>
        <v/>
      </c>
      <c r="G810" t="str">
        <f>IF(SEFAZ!H794="","",SEFAZ!H794)</f>
        <v/>
      </c>
      <c r="H810" t="str">
        <f>IF(SEFAZ!L794="","",SEFAZ!L794)</f>
        <v/>
      </c>
      <c r="I810" t="str">
        <f>IF(SEFAZ!N794="","",SEFAZ!N794)</f>
        <v/>
      </c>
      <c r="J810" t="str">
        <f>IF(SEFAZ!O794="","",SEFAZ!O794)</f>
        <v/>
      </c>
      <c r="K810" s="11" t="str">
        <f>IF(SEFAZ!P794="","",SEFAZ!P794)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hidden="1" x14ac:dyDescent="0.3">
      <c r="B811" t="str">
        <f>IF(SEFAZ!A795="","",SEFAZ!A795)</f>
        <v/>
      </c>
      <c r="C811" t="str">
        <f>IF(SEFAZ!C795="","",SEFAZ!C795)</f>
        <v/>
      </c>
      <c r="D811" t="str">
        <f>IF(SEFAZ!D795="","",SEFAZ!D795)</f>
        <v/>
      </c>
      <c r="E811" s="7" t="str">
        <f>IF(SEFAZ!E795="","",SEFAZ!E795)</f>
        <v/>
      </c>
      <c r="F811" s="6" t="str">
        <f>IF(SEFAZ!F795="","",VALUE(SUBSTITUTE(SEFAZ!F795,"'","")))</f>
        <v/>
      </c>
      <c r="G811" t="str">
        <f>IF(SEFAZ!H795="","",SEFAZ!H795)</f>
        <v/>
      </c>
      <c r="H811" t="str">
        <f>IF(SEFAZ!L795="","",SEFAZ!L795)</f>
        <v/>
      </c>
      <c r="I811" t="str">
        <f>IF(SEFAZ!N795="","",SEFAZ!N795)</f>
        <v/>
      </c>
      <c r="J811" t="str">
        <f>IF(SEFAZ!O795="","",SEFAZ!O795)</f>
        <v/>
      </c>
      <c r="K811" s="11" t="str">
        <f>IF(SEFAZ!P795="","",SEFAZ!P795)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hidden="1" x14ac:dyDescent="0.3">
      <c r="B812" t="str">
        <f>IF(SEFAZ!A796="","",SEFAZ!A796)</f>
        <v/>
      </c>
      <c r="C812" t="str">
        <f>IF(SEFAZ!C796="","",SEFAZ!C796)</f>
        <v/>
      </c>
      <c r="D812" t="str">
        <f>IF(SEFAZ!D796="","",SEFAZ!D796)</f>
        <v/>
      </c>
      <c r="E812" s="7" t="str">
        <f>IF(SEFAZ!E796="","",SEFAZ!E796)</f>
        <v/>
      </c>
      <c r="F812" s="6" t="str">
        <f>IF(SEFAZ!F796="","",VALUE(SUBSTITUTE(SEFAZ!F796,"'","")))</f>
        <v/>
      </c>
      <c r="G812" t="str">
        <f>IF(SEFAZ!H796="","",SEFAZ!H796)</f>
        <v/>
      </c>
      <c r="H812" t="str">
        <f>IF(SEFAZ!L796="","",SEFAZ!L796)</f>
        <v/>
      </c>
      <c r="I812" t="str">
        <f>IF(SEFAZ!N796="","",SEFAZ!N796)</f>
        <v/>
      </c>
      <c r="J812" t="str">
        <f>IF(SEFAZ!O796="","",SEFAZ!O796)</f>
        <v/>
      </c>
      <c r="K812" s="11" t="str">
        <f>IF(SEFAZ!P796="","",SEFAZ!P796)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hidden="1" x14ac:dyDescent="0.3">
      <c r="B813" t="str">
        <f>IF(SEFAZ!A797="","",SEFAZ!A797)</f>
        <v/>
      </c>
      <c r="C813" t="str">
        <f>IF(SEFAZ!C797="","",SEFAZ!C797)</f>
        <v/>
      </c>
      <c r="D813" t="str">
        <f>IF(SEFAZ!D797="","",SEFAZ!D797)</f>
        <v/>
      </c>
      <c r="E813" s="7" t="str">
        <f>IF(SEFAZ!E797="","",SEFAZ!E797)</f>
        <v/>
      </c>
      <c r="F813" s="6" t="str">
        <f>IF(SEFAZ!F797="","",VALUE(SUBSTITUTE(SEFAZ!F797,"'","")))</f>
        <v/>
      </c>
      <c r="G813" t="str">
        <f>IF(SEFAZ!H797="","",SEFAZ!H797)</f>
        <v/>
      </c>
      <c r="H813" t="str">
        <f>IF(SEFAZ!L797="","",SEFAZ!L797)</f>
        <v/>
      </c>
      <c r="I813" t="str">
        <f>IF(SEFAZ!N797="","",SEFAZ!N797)</f>
        <v/>
      </c>
      <c r="J813" t="str">
        <f>IF(SEFAZ!O797="","",SEFAZ!O797)</f>
        <v/>
      </c>
      <c r="K813" s="11" t="str">
        <f>IF(SEFAZ!P797="","",SEFAZ!P797)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hidden="1" x14ac:dyDescent="0.3">
      <c r="B814" t="str">
        <f>IF(SEFAZ!A798="","",SEFAZ!A798)</f>
        <v/>
      </c>
      <c r="C814" t="str">
        <f>IF(SEFAZ!C798="","",SEFAZ!C798)</f>
        <v/>
      </c>
      <c r="D814" t="str">
        <f>IF(SEFAZ!D798="","",SEFAZ!D798)</f>
        <v/>
      </c>
      <c r="E814" s="7" t="str">
        <f>IF(SEFAZ!E798="","",SEFAZ!E798)</f>
        <v/>
      </c>
      <c r="F814" s="6" t="str">
        <f>IF(SEFAZ!F798="","",VALUE(SUBSTITUTE(SEFAZ!F798,"'","")))</f>
        <v/>
      </c>
      <c r="G814" t="str">
        <f>IF(SEFAZ!H798="","",SEFAZ!H798)</f>
        <v/>
      </c>
      <c r="H814" t="str">
        <f>IF(SEFAZ!L798="","",SEFAZ!L798)</f>
        <v/>
      </c>
      <c r="I814" t="str">
        <f>IF(SEFAZ!N798="","",SEFAZ!N798)</f>
        <v/>
      </c>
      <c r="J814" t="str">
        <f>IF(SEFAZ!O798="","",SEFAZ!O798)</f>
        <v/>
      </c>
      <c r="K814" s="11" t="str">
        <f>IF(SEFAZ!P798="","",SEFAZ!P798)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hidden="1" x14ac:dyDescent="0.3">
      <c r="B815" t="str">
        <f>IF(SEFAZ!A799="","",SEFAZ!A799)</f>
        <v/>
      </c>
      <c r="C815" t="str">
        <f>IF(SEFAZ!C799="","",SEFAZ!C799)</f>
        <v/>
      </c>
      <c r="D815" t="str">
        <f>IF(SEFAZ!D799="","",SEFAZ!D799)</f>
        <v/>
      </c>
      <c r="E815" s="7" t="str">
        <f>IF(SEFAZ!E799="","",SEFAZ!E799)</f>
        <v/>
      </c>
      <c r="F815" s="6" t="str">
        <f>IF(SEFAZ!F799="","",VALUE(SUBSTITUTE(SEFAZ!F799,"'","")))</f>
        <v/>
      </c>
      <c r="G815" t="str">
        <f>IF(SEFAZ!H799="","",SEFAZ!H799)</f>
        <v/>
      </c>
      <c r="H815" t="str">
        <f>IF(SEFAZ!L799="","",SEFAZ!L799)</f>
        <v/>
      </c>
      <c r="I815" t="str">
        <f>IF(SEFAZ!N799="","",SEFAZ!N799)</f>
        <v/>
      </c>
      <c r="J815" t="str">
        <f>IF(SEFAZ!O799="","",SEFAZ!O799)</f>
        <v/>
      </c>
      <c r="K815" s="11" t="str">
        <f>IF(SEFAZ!P799="","",SEFAZ!P799)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hidden="1" x14ac:dyDescent="0.3">
      <c r="B816" t="str">
        <f>IF(SEFAZ!A800="","",SEFAZ!A800)</f>
        <v/>
      </c>
      <c r="C816" t="str">
        <f>IF(SEFAZ!C800="","",SEFAZ!C800)</f>
        <v/>
      </c>
      <c r="D816" t="str">
        <f>IF(SEFAZ!D800="","",SEFAZ!D800)</f>
        <v/>
      </c>
      <c r="E816" s="7" t="str">
        <f>IF(SEFAZ!E800="","",SEFAZ!E800)</f>
        <v/>
      </c>
      <c r="F816" s="6" t="str">
        <f>IF(SEFAZ!F800="","",VALUE(SUBSTITUTE(SEFAZ!F800,"'","")))</f>
        <v/>
      </c>
      <c r="G816" t="str">
        <f>IF(SEFAZ!H800="","",SEFAZ!H800)</f>
        <v/>
      </c>
      <c r="H816" t="str">
        <f>IF(SEFAZ!L800="","",SEFAZ!L800)</f>
        <v/>
      </c>
      <c r="I816" t="str">
        <f>IF(SEFAZ!N800="","",SEFAZ!N800)</f>
        <v/>
      </c>
      <c r="J816" t="str">
        <f>IF(SEFAZ!O800="","",SEFAZ!O800)</f>
        <v/>
      </c>
      <c r="K816" s="11" t="str">
        <f>IF(SEFAZ!P800="","",SEFAZ!P800)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hidden="1" x14ac:dyDescent="0.3">
      <c r="B817" t="str">
        <f>IF(SEFAZ!A801="","",SEFAZ!A801)</f>
        <v/>
      </c>
      <c r="C817" t="str">
        <f>IF(SEFAZ!C801="","",SEFAZ!C801)</f>
        <v/>
      </c>
      <c r="D817" t="str">
        <f>IF(SEFAZ!D801="","",SEFAZ!D801)</f>
        <v/>
      </c>
      <c r="E817" s="7" t="str">
        <f>IF(SEFAZ!E801="","",SEFAZ!E801)</f>
        <v/>
      </c>
      <c r="F817" s="6" t="str">
        <f>IF(SEFAZ!F801="","",VALUE(SUBSTITUTE(SEFAZ!F801,"'","")))</f>
        <v/>
      </c>
      <c r="G817" t="str">
        <f>IF(SEFAZ!H801="","",SEFAZ!H801)</f>
        <v/>
      </c>
      <c r="H817" t="str">
        <f>IF(SEFAZ!L801="","",SEFAZ!L801)</f>
        <v/>
      </c>
      <c r="I817" t="str">
        <f>IF(SEFAZ!N801="","",SEFAZ!N801)</f>
        <v/>
      </c>
      <c r="J817" t="str">
        <f>IF(SEFAZ!O801="","",SEFAZ!O801)</f>
        <v/>
      </c>
      <c r="K817" s="11" t="str">
        <f>IF(SEFAZ!P801="","",SEFAZ!P801)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hidden="1" x14ac:dyDescent="0.3">
      <c r="B818" t="str">
        <f>IF(SEFAZ!A802="","",SEFAZ!A802)</f>
        <v/>
      </c>
      <c r="C818" t="str">
        <f>IF(SEFAZ!C802="","",SEFAZ!C802)</f>
        <v/>
      </c>
      <c r="D818" t="str">
        <f>IF(SEFAZ!D802="","",SEFAZ!D802)</f>
        <v/>
      </c>
      <c r="E818" s="7" t="str">
        <f>IF(SEFAZ!E802="","",SEFAZ!E802)</f>
        <v/>
      </c>
      <c r="F818" s="6" t="str">
        <f>IF(SEFAZ!F802="","",VALUE(SUBSTITUTE(SEFAZ!F802,"'","")))</f>
        <v/>
      </c>
      <c r="G818" t="str">
        <f>IF(SEFAZ!H802="","",SEFAZ!H802)</f>
        <v/>
      </c>
      <c r="H818" t="str">
        <f>IF(SEFAZ!L802="","",SEFAZ!L802)</f>
        <v/>
      </c>
      <c r="I818" t="str">
        <f>IF(SEFAZ!N802="","",SEFAZ!N802)</f>
        <v/>
      </c>
      <c r="J818" t="str">
        <f>IF(SEFAZ!O802="","",SEFAZ!O802)</f>
        <v/>
      </c>
      <c r="K818" s="11" t="str">
        <f>IF(SEFAZ!P802="","",SEFAZ!P802)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hidden="1" x14ac:dyDescent="0.3">
      <c r="B819" t="str">
        <f>IF(SEFAZ!A803="","",SEFAZ!A803)</f>
        <v/>
      </c>
      <c r="C819" t="str">
        <f>IF(SEFAZ!C803="","",SEFAZ!C803)</f>
        <v/>
      </c>
      <c r="D819" t="str">
        <f>IF(SEFAZ!D803="","",SEFAZ!D803)</f>
        <v/>
      </c>
      <c r="E819" s="7" t="str">
        <f>IF(SEFAZ!E803="","",SEFAZ!E803)</f>
        <v/>
      </c>
      <c r="F819" s="6" t="str">
        <f>IF(SEFAZ!F803="","",VALUE(SUBSTITUTE(SEFAZ!F803,"'","")))</f>
        <v/>
      </c>
      <c r="G819" t="str">
        <f>IF(SEFAZ!H803="","",SEFAZ!H803)</f>
        <v/>
      </c>
      <c r="H819" t="str">
        <f>IF(SEFAZ!L803="","",SEFAZ!L803)</f>
        <v/>
      </c>
      <c r="I819" t="str">
        <f>IF(SEFAZ!N803="","",SEFAZ!N803)</f>
        <v/>
      </c>
      <c r="J819" t="str">
        <f>IF(SEFAZ!O803="","",SEFAZ!O803)</f>
        <v/>
      </c>
      <c r="K819" s="11" t="str">
        <f>IF(SEFAZ!P803="","",SEFAZ!P803)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hidden="1" x14ac:dyDescent="0.3">
      <c r="B820" t="str">
        <f>IF(SEFAZ!A804="","",SEFAZ!A804)</f>
        <v/>
      </c>
      <c r="C820" t="str">
        <f>IF(SEFAZ!C804="","",SEFAZ!C804)</f>
        <v/>
      </c>
      <c r="D820" t="str">
        <f>IF(SEFAZ!D804="","",SEFAZ!D804)</f>
        <v/>
      </c>
      <c r="E820" s="7" t="str">
        <f>IF(SEFAZ!E804="","",SEFAZ!E804)</f>
        <v/>
      </c>
      <c r="F820" s="6" t="str">
        <f>IF(SEFAZ!F804="","",VALUE(SUBSTITUTE(SEFAZ!F804,"'","")))</f>
        <v/>
      </c>
      <c r="G820" t="str">
        <f>IF(SEFAZ!H804="","",SEFAZ!H804)</f>
        <v/>
      </c>
      <c r="H820" t="str">
        <f>IF(SEFAZ!L804="","",SEFAZ!L804)</f>
        <v/>
      </c>
      <c r="I820" t="str">
        <f>IF(SEFAZ!N804="","",SEFAZ!N804)</f>
        <v/>
      </c>
      <c r="J820" t="str">
        <f>IF(SEFAZ!O804="","",SEFAZ!O804)</f>
        <v/>
      </c>
      <c r="K820" s="11" t="str">
        <f>IF(SEFAZ!P804="","",SEFAZ!P804)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hidden="1" x14ac:dyDescent="0.3">
      <c r="B821" t="str">
        <f>IF(SEFAZ!A805="","",SEFAZ!A805)</f>
        <v/>
      </c>
      <c r="C821" t="str">
        <f>IF(SEFAZ!C805="","",SEFAZ!C805)</f>
        <v/>
      </c>
      <c r="D821" t="str">
        <f>IF(SEFAZ!D805="","",SEFAZ!D805)</f>
        <v/>
      </c>
      <c r="E821" s="7" t="str">
        <f>IF(SEFAZ!E805="","",SEFAZ!E805)</f>
        <v/>
      </c>
      <c r="F821" s="6" t="str">
        <f>IF(SEFAZ!F805="","",VALUE(SUBSTITUTE(SEFAZ!F805,"'","")))</f>
        <v/>
      </c>
      <c r="G821" t="str">
        <f>IF(SEFAZ!H805="","",SEFAZ!H805)</f>
        <v/>
      </c>
      <c r="H821" t="str">
        <f>IF(SEFAZ!L805="","",SEFAZ!L805)</f>
        <v/>
      </c>
      <c r="I821" t="str">
        <f>IF(SEFAZ!N805="","",SEFAZ!N805)</f>
        <v/>
      </c>
      <c r="J821" t="str">
        <f>IF(SEFAZ!O805="","",SEFAZ!O805)</f>
        <v/>
      </c>
      <c r="K821" s="11" t="str">
        <f>IF(SEFAZ!P805="","",SEFAZ!P805)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hidden="1" x14ac:dyDescent="0.3">
      <c r="B822" t="str">
        <f>IF(SEFAZ!A806="","",SEFAZ!A806)</f>
        <v/>
      </c>
      <c r="C822" t="str">
        <f>IF(SEFAZ!C806="","",SEFAZ!C806)</f>
        <v/>
      </c>
      <c r="D822" t="str">
        <f>IF(SEFAZ!D806="","",SEFAZ!D806)</f>
        <v/>
      </c>
      <c r="E822" s="7" t="str">
        <f>IF(SEFAZ!E806="","",SEFAZ!E806)</f>
        <v/>
      </c>
      <c r="F822" s="6" t="str">
        <f>IF(SEFAZ!F806="","",VALUE(SUBSTITUTE(SEFAZ!F806,"'","")))</f>
        <v/>
      </c>
      <c r="G822" t="str">
        <f>IF(SEFAZ!H806="","",SEFAZ!H806)</f>
        <v/>
      </c>
      <c r="H822" t="str">
        <f>IF(SEFAZ!L806="","",SEFAZ!L806)</f>
        <v/>
      </c>
      <c r="I822" t="str">
        <f>IF(SEFAZ!N806="","",SEFAZ!N806)</f>
        <v/>
      </c>
      <c r="J822" t="str">
        <f>IF(SEFAZ!O806="","",SEFAZ!O806)</f>
        <v/>
      </c>
      <c r="K822" s="11" t="str">
        <f>IF(SEFAZ!P806="","",SEFAZ!P806)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hidden="1" x14ac:dyDescent="0.3">
      <c r="B823" t="str">
        <f>IF(SEFAZ!A807="","",SEFAZ!A807)</f>
        <v/>
      </c>
      <c r="C823" t="str">
        <f>IF(SEFAZ!C807="","",SEFAZ!C807)</f>
        <v/>
      </c>
      <c r="D823" t="str">
        <f>IF(SEFAZ!D807="","",SEFAZ!D807)</f>
        <v/>
      </c>
      <c r="E823" s="7" t="str">
        <f>IF(SEFAZ!E807="","",SEFAZ!E807)</f>
        <v/>
      </c>
      <c r="F823" s="6" t="str">
        <f>IF(SEFAZ!F807="","",VALUE(SUBSTITUTE(SEFAZ!F807,"'","")))</f>
        <v/>
      </c>
      <c r="G823" t="str">
        <f>IF(SEFAZ!H807="","",SEFAZ!H807)</f>
        <v/>
      </c>
      <c r="H823" t="str">
        <f>IF(SEFAZ!L807="","",SEFAZ!L807)</f>
        <v/>
      </c>
      <c r="I823" t="str">
        <f>IF(SEFAZ!N807="","",SEFAZ!N807)</f>
        <v/>
      </c>
      <c r="J823" t="str">
        <f>IF(SEFAZ!O807="","",SEFAZ!O807)</f>
        <v/>
      </c>
      <c r="K823" s="11" t="str">
        <f>IF(SEFAZ!P807="","",SEFAZ!P807)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hidden="1" x14ac:dyDescent="0.3">
      <c r="B824" t="str">
        <f>IF(SEFAZ!A808="","",SEFAZ!A808)</f>
        <v/>
      </c>
      <c r="C824" t="str">
        <f>IF(SEFAZ!C808="","",SEFAZ!C808)</f>
        <v/>
      </c>
      <c r="D824" t="str">
        <f>IF(SEFAZ!D808="","",SEFAZ!D808)</f>
        <v/>
      </c>
      <c r="E824" s="7" t="str">
        <f>IF(SEFAZ!E808="","",SEFAZ!E808)</f>
        <v/>
      </c>
      <c r="F824" s="6" t="str">
        <f>IF(SEFAZ!F808="","",VALUE(SUBSTITUTE(SEFAZ!F808,"'","")))</f>
        <v/>
      </c>
      <c r="G824" t="str">
        <f>IF(SEFAZ!H808="","",SEFAZ!H808)</f>
        <v/>
      </c>
      <c r="H824" t="str">
        <f>IF(SEFAZ!L808="","",SEFAZ!L808)</f>
        <v/>
      </c>
      <c r="I824" t="str">
        <f>IF(SEFAZ!N808="","",SEFAZ!N808)</f>
        <v/>
      </c>
      <c r="J824" t="str">
        <f>IF(SEFAZ!O808="","",SEFAZ!O808)</f>
        <v/>
      </c>
      <c r="K824" s="11" t="str">
        <f>IF(SEFAZ!P808="","",SEFAZ!P808)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hidden="1" x14ac:dyDescent="0.3">
      <c r="B825" t="str">
        <f>IF(SEFAZ!A809="","",SEFAZ!A809)</f>
        <v/>
      </c>
      <c r="C825" t="str">
        <f>IF(SEFAZ!C809="","",SEFAZ!C809)</f>
        <v/>
      </c>
      <c r="D825" t="str">
        <f>IF(SEFAZ!D809="","",SEFAZ!D809)</f>
        <v/>
      </c>
      <c r="E825" s="7" t="str">
        <f>IF(SEFAZ!E809="","",SEFAZ!E809)</f>
        <v/>
      </c>
      <c r="F825" s="6" t="str">
        <f>IF(SEFAZ!F809="","",VALUE(SUBSTITUTE(SEFAZ!F809,"'","")))</f>
        <v/>
      </c>
      <c r="G825" t="str">
        <f>IF(SEFAZ!H809="","",SEFAZ!H809)</f>
        <v/>
      </c>
      <c r="H825" t="str">
        <f>IF(SEFAZ!L809="","",SEFAZ!L809)</f>
        <v/>
      </c>
      <c r="I825" t="str">
        <f>IF(SEFAZ!N809="","",SEFAZ!N809)</f>
        <v/>
      </c>
      <c r="J825" t="str">
        <f>IF(SEFAZ!O809="","",SEFAZ!O809)</f>
        <v/>
      </c>
      <c r="K825" s="11" t="str">
        <f>IF(SEFAZ!P809="","",SEFAZ!P809)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hidden="1" x14ac:dyDescent="0.3">
      <c r="B826" t="str">
        <f>IF(SEFAZ!A810="","",SEFAZ!A810)</f>
        <v/>
      </c>
      <c r="C826" t="str">
        <f>IF(SEFAZ!C810="","",SEFAZ!C810)</f>
        <v/>
      </c>
      <c r="D826" t="str">
        <f>IF(SEFAZ!D810="","",SEFAZ!D810)</f>
        <v/>
      </c>
      <c r="E826" s="7" t="str">
        <f>IF(SEFAZ!E810="","",SEFAZ!E810)</f>
        <v/>
      </c>
      <c r="F826" s="6" t="str">
        <f>IF(SEFAZ!F810="","",VALUE(SUBSTITUTE(SEFAZ!F810,"'","")))</f>
        <v/>
      </c>
      <c r="G826" t="str">
        <f>IF(SEFAZ!H810="","",SEFAZ!H810)</f>
        <v/>
      </c>
      <c r="H826" t="str">
        <f>IF(SEFAZ!L810="","",SEFAZ!L810)</f>
        <v/>
      </c>
      <c r="I826" t="str">
        <f>IF(SEFAZ!N810="","",SEFAZ!N810)</f>
        <v/>
      </c>
      <c r="J826" t="str">
        <f>IF(SEFAZ!O810="","",SEFAZ!O810)</f>
        <v/>
      </c>
      <c r="K826" s="11" t="str">
        <f>IF(SEFAZ!P810="","",SEFAZ!P810)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hidden="1" x14ac:dyDescent="0.3">
      <c r="B827" t="str">
        <f>IF(SEFAZ!A811="","",SEFAZ!A811)</f>
        <v/>
      </c>
      <c r="C827" t="str">
        <f>IF(SEFAZ!C811="","",SEFAZ!C811)</f>
        <v/>
      </c>
      <c r="D827" t="str">
        <f>IF(SEFAZ!D811="","",SEFAZ!D811)</f>
        <v/>
      </c>
      <c r="E827" s="7" t="str">
        <f>IF(SEFAZ!E811="","",SEFAZ!E811)</f>
        <v/>
      </c>
      <c r="F827" s="6" t="str">
        <f>IF(SEFAZ!F811="","",VALUE(SUBSTITUTE(SEFAZ!F811,"'","")))</f>
        <v/>
      </c>
      <c r="G827" t="str">
        <f>IF(SEFAZ!H811="","",SEFAZ!H811)</f>
        <v/>
      </c>
      <c r="H827" t="str">
        <f>IF(SEFAZ!L811="","",SEFAZ!L811)</f>
        <v/>
      </c>
      <c r="I827" t="str">
        <f>IF(SEFAZ!N811="","",SEFAZ!N811)</f>
        <v/>
      </c>
      <c r="J827" t="str">
        <f>IF(SEFAZ!O811="","",SEFAZ!O811)</f>
        <v/>
      </c>
      <c r="K827" s="11" t="str">
        <f>IF(SEFAZ!P811="","",SEFAZ!P811)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hidden="1" x14ac:dyDescent="0.3">
      <c r="B828" t="str">
        <f>IF(SEFAZ!A812="","",SEFAZ!A812)</f>
        <v/>
      </c>
      <c r="C828" t="str">
        <f>IF(SEFAZ!C812="","",SEFAZ!C812)</f>
        <v/>
      </c>
      <c r="D828" t="str">
        <f>IF(SEFAZ!D812="","",SEFAZ!D812)</f>
        <v/>
      </c>
      <c r="E828" s="7" t="str">
        <f>IF(SEFAZ!E812="","",SEFAZ!E812)</f>
        <v/>
      </c>
      <c r="F828" s="6" t="str">
        <f>IF(SEFAZ!F812="","",VALUE(SUBSTITUTE(SEFAZ!F812,"'","")))</f>
        <v/>
      </c>
      <c r="G828" t="str">
        <f>IF(SEFAZ!H812="","",SEFAZ!H812)</f>
        <v/>
      </c>
      <c r="H828" t="str">
        <f>IF(SEFAZ!L812="","",SEFAZ!L812)</f>
        <v/>
      </c>
      <c r="I828" t="str">
        <f>IF(SEFAZ!N812="","",SEFAZ!N812)</f>
        <v/>
      </c>
      <c r="J828" t="str">
        <f>IF(SEFAZ!O812="","",SEFAZ!O812)</f>
        <v/>
      </c>
      <c r="K828" s="11" t="str">
        <f>IF(SEFAZ!P812="","",SEFAZ!P812)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hidden="1" x14ac:dyDescent="0.3">
      <c r="B829" t="str">
        <f>IF(SEFAZ!A813="","",SEFAZ!A813)</f>
        <v/>
      </c>
      <c r="C829" t="str">
        <f>IF(SEFAZ!C813="","",SEFAZ!C813)</f>
        <v/>
      </c>
      <c r="D829" t="str">
        <f>IF(SEFAZ!D813="","",SEFAZ!D813)</f>
        <v/>
      </c>
      <c r="E829" s="7" t="str">
        <f>IF(SEFAZ!E813="","",SEFAZ!E813)</f>
        <v/>
      </c>
      <c r="F829" s="6" t="str">
        <f>IF(SEFAZ!F813="","",VALUE(SUBSTITUTE(SEFAZ!F813,"'","")))</f>
        <v/>
      </c>
      <c r="G829" t="str">
        <f>IF(SEFAZ!H813="","",SEFAZ!H813)</f>
        <v/>
      </c>
      <c r="H829" t="str">
        <f>IF(SEFAZ!L813="","",SEFAZ!L813)</f>
        <v/>
      </c>
      <c r="I829" t="str">
        <f>IF(SEFAZ!N813="","",SEFAZ!N813)</f>
        <v/>
      </c>
      <c r="J829" t="str">
        <f>IF(SEFAZ!O813="","",SEFAZ!O813)</f>
        <v/>
      </c>
      <c r="K829" s="11" t="str">
        <f>IF(SEFAZ!P813="","",SEFAZ!P813)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hidden="1" x14ac:dyDescent="0.3">
      <c r="B830" t="str">
        <f>IF(SEFAZ!A814="","",SEFAZ!A814)</f>
        <v/>
      </c>
      <c r="C830" t="str">
        <f>IF(SEFAZ!C814="","",SEFAZ!C814)</f>
        <v/>
      </c>
      <c r="D830" t="str">
        <f>IF(SEFAZ!D814="","",SEFAZ!D814)</f>
        <v/>
      </c>
      <c r="E830" s="7" t="str">
        <f>IF(SEFAZ!E814="","",SEFAZ!E814)</f>
        <v/>
      </c>
      <c r="F830" s="6" t="str">
        <f>IF(SEFAZ!F814="","",VALUE(SUBSTITUTE(SEFAZ!F814,"'","")))</f>
        <v/>
      </c>
      <c r="G830" t="str">
        <f>IF(SEFAZ!H814="","",SEFAZ!H814)</f>
        <v/>
      </c>
      <c r="H830" t="str">
        <f>IF(SEFAZ!L814="","",SEFAZ!L814)</f>
        <v/>
      </c>
      <c r="I830" t="str">
        <f>IF(SEFAZ!N814="","",SEFAZ!N814)</f>
        <v/>
      </c>
      <c r="J830" t="str">
        <f>IF(SEFAZ!O814="","",SEFAZ!O814)</f>
        <v/>
      </c>
      <c r="K830" s="11" t="str">
        <f>IF(SEFAZ!P814="","",SEFAZ!P814)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hidden="1" x14ac:dyDescent="0.3">
      <c r="B831" t="str">
        <f>IF(SEFAZ!A815="","",SEFAZ!A815)</f>
        <v/>
      </c>
      <c r="C831" t="str">
        <f>IF(SEFAZ!C815="","",SEFAZ!C815)</f>
        <v/>
      </c>
      <c r="D831" t="str">
        <f>IF(SEFAZ!D815="","",SEFAZ!D815)</f>
        <v/>
      </c>
      <c r="E831" s="7" t="str">
        <f>IF(SEFAZ!E815="","",SEFAZ!E815)</f>
        <v/>
      </c>
      <c r="F831" s="6" t="str">
        <f>IF(SEFAZ!F815="","",VALUE(SUBSTITUTE(SEFAZ!F815,"'","")))</f>
        <v/>
      </c>
      <c r="G831" t="str">
        <f>IF(SEFAZ!H815="","",SEFAZ!H815)</f>
        <v/>
      </c>
      <c r="H831" t="str">
        <f>IF(SEFAZ!L815="","",SEFAZ!L815)</f>
        <v/>
      </c>
      <c r="I831" t="str">
        <f>IF(SEFAZ!N815="","",SEFAZ!N815)</f>
        <v/>
      </c>
      <c r="J831" t="str">
        <f>IF(SEFAZ!O815="","",SEFAZ!O815)</f>
        <v/>
      </c>
      <c r="K831" s="11" t="str">
        <f>IF(SEFAZ!P815="","",SEFAZ!P815)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hidden="1" x14ac:dyDescent="0.3">
      <c r="B832" t="str">
        <f>IF(SEFAZ!A816="","",SEFAZ!A816)</f>
        <v/>
      </c>
      <c r="C832" t="str">
        <f>IF(SEFAZ!C816="","",SEFAZ!C816)</f>
        <v/>
      </c>
      <c r="D832" t="str">
        <f>IF(SEFAZ!D816="","",SEFAZ!D816)</f>
        <v/>
      </c>
      <c r="E832" s="7" t="str">
        <f>IF(SEFAZ!E816="","",SEFAZ!E816)</f>
        <v/>
      </c>
      <c r="F832" s="6" t="str">
        <f>IF(SEFAZ!F816="","",VALUE(SUBSTITUTE(SEFAZ!F816,"'","")))</f>
        <v/>
      </c>
      <c r="G832" t="str">
        <f>IF(SEFAZ!H816="","",SEFAZ!H816)</f>
        <v/>
      </c>
      <c r="H832" t="str">
        <f>IF(SEFAZ!L816="","",SEFAZ!L816)</f>
        <v/>
      </c>
      <c r="I832" t="str">
        <f>IF(SEFAZ!N816="","",SEFAZ!N816)</f>
        <v/>
      </c>
      <c r="J832" t="str">
        <f>IF(SEFAZ!O816="","",SEFAZ!O816)</f>
        <v/>
      </c>
      <c r="K832" s="11" t="str">
        <f>IF(SEFAZ!P816="","",SEFAZ!P816)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hidden="1" x14ac:dyDescent="0.3">
      <c r="B833" t="str">
        <f>IF(SEFAZ!A817="","",SEFAZ!A817)</f>
        <v/>
      </c>
      <c r="C833" t="str">
        <f>IF(SEFAZ!C817="","",SEFAZ!C817)</f>
        <v/>
      </c>
      <c r="D833" t="str">
        <f>IF(SEFAZ!D817="","",SEFAZ!D817)</f>
        <v/>
      </c>
      <c r="E833" s="7" t="str">
        <f>IF(SEFAZ!E817="","",SEFAZ!E817)</f>
        <v/>
      </c>
      <c r="F833" s="6" t="str">
        <f>IF(SEFAZ!F817="","",VALUE(SUBSTITUTE(SEFAZ!F817,"'","")))</f>
        <v/>
      </c>
      <c r="G833" t="str">
        <f>IF(SEFAZ!H817="","",SEFAZ!H817)</f>
        <v/>
      </c>
      <c r="H833" t="str">
        <f>IF(SEFAZ!L817="","",SEFAZ!L817)</f>
        <v/>
      </c>
      <c r="I833" t="str">
        <f>IF(SEFAZ!N817="","",SEFAZ!N817)</f>
        <v/>
      </c>
      <c r="J833" t="str">
        <f>IF(SEFAZ!O817="","",SEFAZ!O817)</f>
        <v/>
      </c>
      <c r="K833" s="11" t="str">
        <f>IF(SEFAZ!P817="","",SEFAZ!P817)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hidden="1" x14ac:dyDescent="0.3">
      <c r="B834" t="str">
        <f>IF(SEFAZ!A818="","",SEFAZ!A818)</f>
        <v/>
      </c>
      <c r="C834" t="str">
        <f>IF(SEFAZ!C818="","",SEFAZ!C818)</f>
        <v/>
      </c>
      <c r="D834" t="str">
        <f>IF(SEFAZ!D818="","",SEFAZ!D818)</f>
        <v/>
      </c>
      <c r="E834" s="7" t="str">
        <f>IF(SEFAZ!E818="","",SEFAZ!E818)</f>
        <v/>
      </c>
      <c r="F834" s="6" t="str">
        <f>IF(SEFAZ!F818="","",VALUE(SUBSTITUTE(SEFAZ!F818,"'","")))</f>
        <v/>
      </c>
      <c r="G834" t="str">
        <f>IF(SEFAZ!H818="","",SEFAZ!H818)</f>
        <v/>
      </c>
      <c r="H834" t="str">
        <f>IF(SEFAZ!L818="","",SEFAZ!L818)</f>
        <v/>
      </c>
      <c r="I834" t="str">
        <f>IF(SEFAZ!N818="","",SEFAZ!N818)</f>
        <v/>
      </c>
      <c r="J834" t="str">
        <f>IF(SEFAZ!O818="","",SEFAZ!O818)</f>
        <v/>
      </c>
      <c r="K834" s="11" t="str">
        <f>IF(SEFAZ!P818="","",SEFAZ!P818)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hidden="1" x14ac:dyDescent="0.3">
      <c r="B835" t="str">
        <f>IF(SEFAZ!A819="","",SEFAZ!A819)</f>
        <v/>
      </c>
      <c r="C835" t="str">
        <f>IF(SEFAZ!C819="","",SEFAZ!C819)</f>
        <v/>
      </c>
      <c r="D835" t="str">
        <f>IF(SEFAZ!D819="","",SEFAZ!D819)</f>
        <v/>
      </c>
      <c r="E835" s="7" t="str">
        <f>IF(SEFAZ!E819="","",SEFAZ!E819)</f>
        <v/>
      </c>
      <c r="F835" s="6" t="str">
        <f>IF(SEFAZ!F819="","",VALUE(SUBSTITUTE(SEFAZ!F819,"'","")))</f>
        <v/>
      </c>
      <c r="G835" t="str">
        <f>IF(SEFAZ!H819="","",SEFAZ!H819)</f>
        <v/>
      </c>
      <c r="H835" t="str">
        <f>IF(SEFAZ!L819="","",SEFAZ!L819)</f>
        <v/>
      </c>
      <c r="I835" t="str">
        <f>IF(SEFAZ!N819="","",SEFAZ!N819)</f>
        <v/>
      </c>
      <c r="J835" t="str">
        <f>IF(SEFAZ!O819="","",SEFAZ!O819)</f>
        <v/>
      </c>
      <c r="K835" s="11" t="str">
        <f>IF(SEFAZ!P819="","",SEFAZ!P819)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hidden="1" x14ac:dyDescent="0.3">
      <c r="B836" t="str">
        <f>IF(SEFAZ!A820="","",SEFAZ!A820)</f>
        <v/>
      </c>
      <c r="C836" t="str">
        <f>IF(SEFAZ!C820="","",SEFAZ!C820)</f>
        <v/>
      </c>
      <c r="D836" t="str">
        <f>IF(SEFAZ!D820="","",SEFAZ!D820)</f>
        <v/>
      </c>
      <c r="E836" s="7" t="str">
        <f>IF(SEFAZ!E820="","",SEFAZ!E820)</f>
        <v/>
      </c>
      <c r="F836" s="6" t="str">
        <f>IF(SEFAZ!F820="","",VALUE(SUBSTITUTE(SEFAZ!F820,"'","")))</f>
        <v/>
      </c>
      <c r="G836" t="str">
        <f>IF(SEFAZ!H820="","",SEFAZ!H820)</f>
        <v/>
      </c>
      <c r="H836" t="str">
        <f>IF(SEFAZ!L820="","",SEFAZ!L820)</f>
        <v/>
      </c>
      <c r="I836" t="str">
        <f>IF(SEFAZ!N820="","",SEFAZ!N820)</f>
        <v/>
      </c>
      <c r="J836" t="str">
        <f>IF(SEFAZ!O820="","",SEFAZ!O820)</f>
        <v/>
      </c>
      <c r="K836" s="11" t="str">
        <f>IF(SEFAZ!P820="","",SEFAZ!P820)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hidden="1" x14ac:dyDescent="0.3">
      <c r="B837" t="str">
        <f>IF(SEFAZ!A821="","",SEFAZ!A821)</f>
        <v/>
      </c>
      <c r="C837" t="str">
        <f>IF(SEFAZ!C821="","",SEFAZ!C821)</f>
        <v/>
      </c>
      <c r="D837" t="str">
        <f>IF(SEFAZ!D821="","",SEFAZ!D821)</f>
        <v/>
      </c>
      <c r="E837" s="7" t="str">
        <f>IF(SEFAZ!E821="","",SEFAZ!E821)</f>
        <v/>
      </c>
      <c r="F837" s="6" t="str">
        <f>IF(SEFAZ!F821="","",VALUE(SUBSTITUTE(SEFAZ!F821,"'","")))</f>
        <v/>
      </c>
      <c r="G837" t="str">
        <f>IF(SEFAZ!H821="","",SEFAZ!H821)</f>
        <v/>
      </c>
      <c r="H837" t="str">
        <f>IF(SEFAZ!L821="","",SEFAZ!L821)</f>
        <v/>
      </c>
      <c r="I837" t="str">
        <f>IF(SEFAZ!N821="","",SEFAZ!N821)</f>
        <v/>
      </c>
      <c r="J837" t="str">
        <f>IF(SEFAZ!O821="","",SEFAZ!O821)</f>
        <v/>
      </c>
      <c r="K837" s="11" t="str">
        <f>IF(SEFAZ!P821="","",SEFAZ!P821)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hidden="1" x14ac:dyDescent="0.3">
      <c r="B838" t="str">
        <f>IF(SEFAZ!A822="","",SEFAZ!A822)</f>
        <v/>
      </c>
      <c r="C838" t="str">
        <f>IF(SEFAZ!C822="","",SEFAZ!C822)</f>
        <v/>
      </c>
      <c r="D838" t="str">
        <f>IF(SEFAZ!D822="","",SEFAZ!D822)</f>
        <v/>
      </c>
      <c r="E838" s="7" t="str">
        <f>IF(SEFAZ!E822="","",SEFAZ!E822)</f>
        <v/>
      </c>
      <c r="F838" s="6" t="str">
        <f>IF(SEFAZ!F822="","",VALUE(SUBSTITUTE(SEFAZ!F822,"'","")))</f>
        <v/>
      </c>
      <c r="G838" t="str">
        <f>IF(SEFAZ!H822="","",SEFAZ!H822)</f>
        <v/>
      </c>
      <c r="H838" t="str">
        <f>IF(SEFAZ!L822="","",SEFAZ!L822)</f>
        <v/>
      </c>
      <c r="I838" t="str">
        <f>IF(SEFAZ!N822="","",SEFAZ!N822)</f>
        <v/>
      </c>
      <c r="J838" t="str">
        <f>IF(SEFAZ!O822="","",SEFAZ!O822)</f>
        <v/>
      </c>
      <c r="K838" s="11" t="str">
        <f>IF(SEFAZ!P822="","",SEFAZ!P822)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hidden="1" x14ac:dyDescent="0.3">
      <c r="B839" t="str">
        <f>IF(SEFAZ!A823="","",SEFAZ!A823)</f>
        <v/>
      </c>
      <c r="C839" t="str">
        <f>IF(SEFAZ!C823="","",SEFAZ!C823)</f>
        <v/>
      </c>
      <c r="D839" t="str">
        <f>IF(SEFAZ!D823="","",SEFAZ!D823)</f>
        <v/>
      </c>
      <c r="E839" s="7" t="str">
        <f>IF(SEFAZ!E823="","",SEFAZ!E823)</f>
        <v/>
      </c>
      <c r="F839" s="6" t="str">
        <f>IF(SEFAZ!F823="","",VALUE(SUBSTITUTE(SEFAZ!F823,"'","")))</f>
        <v/>
      </c>
      <c r="G839" t="str">
        <f>IF(SEFAZ!H823="","",SEFAZ!H823)</f>
        <v/>
      </c>
      <c r="H839" t="str">
        <f>IF(SEFAZ!L823="","",SEFAZ!L823)</f>
        <v/>
      </c>
      <c r="I839" t="str">
        <f>IF(SEFAZ!N823="","",SEFAZ!N823)</f>
        <v/>
      </c>
      <c r="J839" t="str">
        <f>IF(SEFAZ!O823="","",SEFAZ!O823)</f>
        <v/>
      </c>
      <c r="K839" s="11" t="str">
        <f>IF(SEFAZ!P823="","",SEFAZ!P823)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hidden="1" x14ac:dyDescent="0.3">
      <c r="B840" t="str">
        <f>IF(SEFAZ!A824="","",SEFAZ!A824)</f>
        <v/>
      </c>
      <c r="C840" t="str">
        <f>IF(SEFAZ!C824="","",SEFAZ!C824)</f>
        <v/>
      </c>
      <c r="D840" t="str">
        <f>IF(SEFAZ!D824="","",SEFAZ!D824)</f>
        <v/>
      </c>
      <c r="E840" s="7" t="str">
        <f>IF(SEFAZ!E824="","",SEFAZ!E824)</f>
        <v/>
      </c>
      <c r="F840" s="6" t="str">
        <f>IF(SEFAZ!F824="","",VALUE(SUBSTITUTE(SEFAZ!F824,"'","")))</f>
        <v/>
      </c>
      <c r="G840" t="str">
        <f>IF(SEFAZ!H824="","",SEFAZ!H824)</f>
        <v/>
      </c>
      <c r="H840" t="str">
        <f>IF(SEFAZ!L824="","",SEFAZ!L824)</f>
        <v/>
      </c>
      <c r="I840" t="str">
        <f>IF(SEFAZ!N824="","",SEFAZ!N824)</f>
        <v/>
      </c>
      <c r="J840" t="str">
        <f>IF(SEFAZ!O824="","",SEFAZ!O824)</f>
        <v/>
      </c>
      <c r="K840" s="11" t="str">
        <f>IF(SEFAZ!P824="","",SEFAZ!P824)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hidden="1" x14ac:dyDescent="0.3">
      <c r="B841" t="str">
        <f>IF(SEFAZ!A825="","",SEFAZ!A825)</f>
        <v/>
      </c>
      <c r="C841" t="str">
        <f>IF(SEFAZ!C825="","",SEFAZ!C825)</f>
        <v/>
      </c>
      <c r="D841" t="str">
        <f>IF(SEFAZ!D825="","",SEFAZ!D825)</f>
        <v/>
      </c>
      <c r="E841" s="7" t="str">
        <f>IF(SEFAZ!E825="","",SEFAZ!E825)</f>
        <v/>
      </c>
      <c r="F841" s="6" t="str">
        <f>IF(SEFAZ!F825="","",VALUE(SUBSTITUTE(SEFAZ!F825,"'","")))</f>
        <v/>
      </c>
      <c r="G841" t="str">
        <f>IF(SEFAZ!H825="","",SEFAZ!H825)</f>
        <v/>
      </c>
      <c r="H841" t="str">
        <f>IF(SEFAZ!L825="","",SEFAZ!L825)</f>
        <v/>
      </c>
      <c r="I841" t="str">
        <f>IF(SEFAZ!N825="","",SEFAZ!N825)</f>
        <v/>
      </c>
      <c r="J841" t="str">
        <f>IF(SEFAZ!O825="","",SEFAZ!O825)</f>
        <v/>
      </c>
      <c r="K841" s="11" t="str">
        <f>IF(SEFAZ!P825="","",SEFAZ!P825)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hidden="1" x14ac:dyDescent="0.3">
      <c r="B842" t="str">
        <f>IF(SEFAZ!A826="","",SEFAZ!A826)</f>
        <v/>
      </c>
      <c r="C842" t="str">
        <f>IF(SEFAZ!C826="","",SEFAZ!C826)</f>
        <v/>
      </c>
      <c r="D842" t="str">
        <f>IF(SEFAZ!D826="","",SEFAZ!D826)</f>
        <v/>
      </c>
      <c r="E842" s="7" t="str">
        <f>IF(SEFAZ!E826="","",SEFAZ!E826)</f>
        <v/>
      </c>
      <c r="F842" s="6" t="str">
        <f>IF(SEFAZ!F826="","",VALUE(SUBSTITUTE(SEFAZ!F826,"'","")))</f>
        <v/>
      </c>
      <c r="G842" t="str">
        <f>IF(SEFAZ!H826="","",SEFAZ!H826)</f>
        <v/>
      </c>
      <c r="H842" t="str">
        <f>IF(SEFAZ!L826="","",SEFAZ!L826)</f>
        <v/>
      </c>
      <c r="I842" t="str">
        <f>IF(SEFAZ!N826="","",SEFAZ!N826)</f>
        <v/>
      </c>
      <c r="J842" t="str">
        <f>IF(SEFAZ!O826="","",SEFAZ!O826)</f>
        <v/>
      </c>
      <c r="K842" s="11" t="str">
        <f>IF(SEFAZ!P826="","",SEFAZ!P826)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hidden="1" x14ac:dyDescent="0.3">
      <c r="B843" t="str">
        <f>IF(SEFAZ!A827="","",SEFAZ!A827)</f>
        <v/>
      </c>
      <c r="C843" t="str">
        <f>IF(SEFAZ!C827="","",SEFAZ!C827)</f>
        <v/>
      </c>
      <c r="D843" t="str">
        <f>IF(SEFAZ!D827="","",SEFAZ!D827)</f>
        <v/>
      </c>
      <c r="E843" s="7" t="str">
        <f>IF(SEFAZ!E827="","",SEFAZ!E827)</f>
        <v/>
      </c>
      <c r="F843" s="6" t="str">
        <f>IF(SEFAZ!F827="","",VALUE(SUBSTITUTE(SEFAZ!F827,"'","")))</f>
        <v/>
      </c>
      <c r="G843" t="str">
        <f>IF(SEFAZ!H827="","",SEFAZ!H827)</f>
        <v/>
      </c>
      <c r="H843" t="str">
        <f>IF(SEFAZ!L827="","",SEFAZ!L827)</f>
        <v/>
      </c>
      <c r="I843" t="str">
        <f>IF(SEFAZ!N827="","",SEFAZ!N827)</f>
        <v/>
      </c>
      <c r="J843" t="str">
        <f>IF(SEFAZ!O827="","",SEFAZ!O827)</f>
        <v/>
      </c>
      <c r="K843" s="11" t="str">
        <f>IF(SEFAZ!P827="","",SEFAZ!P827)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hidden="1" x14ac:dyDescent="0.3">
      <c r="B844" t="str">
        <f>IF(SEFAZ!A828="","",SEFAZ!A828)</f>
        <v/>
      </c>
      <c r="C844" t="str">
        <f>IF(SEFAZ!C828="","",SEFAZ!C828)</f>
        <v/>
      </c>
      <c r="D844" t="str">
        <f>IF(SEFAZ!D828="","",SEFAZ!D828)</f>
        <v/>
      </c>
      <c r="E844" s="7" t="str">
        <f>IF(SEFAZ!E828="","",SEFAZ!E828)</f>
        <v/>
      </c>
      <c r="F844" s="6" t="str">
        <f>IF(SEFAZ!F828="","",VALUE(SUBSTITUTE(SEFAZ!F828,"'","")))</f>
        <v/>
      </c>
      <c r="G844" t="str">
        <f>IF(SEFAZ!H828="","",SEFAZ!H828)</f>
        <v/>
      </c>
      <c r="H844" t="str">
        <f>IF(SEFAZ!L828="","",SEFAZ!L828)</f>
        <v/>
      </c>
      <c r="I844" t="str">
        <f>IF(SEFAZ!N828="","",SEFAZ!N828)</f>
        <v/>
      </c>
      <c r="J844" t="str">
        <f>IF(SEFAZ!O828="","",SEFAZ!O828)</f>
        <v/>
      </c>
      <c r="K844" s="11" t="str">
        <f>IF(SEFAZ!P828="","",SEFAZ!P828)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hidden="1" x14ac:dyDescent="0.3">
      <c r="B845" t="str">
        <f>IF(SEFAZ!A829="","",SEFAZ!A829)</f>
        <v/>
      </c>
      <c r="C845" t="str">
        <f>IF(SEFAZ!C829="","",SEFAZ!C829)</f>
        <v/>
      </c>
      <c r="D845" t="str">
        <f>IF(SEFAZ!D829="","",SEFAZ!D829)</f>
        <v/>
      </c>
      <c r="E845" s="7" t="str">
        <f>IF(SEFAZ!E829="","",SEFAZ!E829)</f>
        <v/>
      </c>
      <c r="F845" s="6" t="str">
        <f>IF(SEFAZ!F829="","",VALUE(SUBSTITUTE(SEFAZ!F829,"'","")))</f>
        <v/>
      </c>
      <c r="G845" t="str">
        <f>IF(SEFAZ!H829="","",SEFAZ!H829)</f>
        <v/>
      </c>
      <c r="H845" t="str">
        <f>IF(SEFAZ!L829="","",SEFAZ!L829)</f>
        <v/>
      </c>
      <c r="I845" t="str">
        <f>IF(SEFAZ!N829="","",SEFAZ!N829)</f>
        <v/>
      </c>
      <c r="J845" t="str">
        <f>IF(SEFAZ!O829="","",SEFAZ!O829)</f>
        <v/>
      </c>
      <c r="K845" s="11" t="str">
        <f>IF(SEFAZ!P829="","",SEFAZ!P829)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hidden="1" x14ac:dyDescent="0.3">
      <c r="B846" t="str">
        <f>IF(SEFAZ!A830="","",SEFAZ!A830)</f>
        <v/>
      </c>
      <c r="C846" t="str">
        <f>IF(SEFAZ!C830="","",SEFAZ!C830)</f>
        <v/>
      </c>
      <c r="D846" t="str">
        <f>IF(SEFAZ!D830="","",SEFAZ!D830)</f>
        <v/>
      </c>
      <c r="E846" s="7" t="str">
        <f>IF(SEFAZ!E830="","",SEFAZ!E830)</f>
        <v/>
      </c>
      <c r="F846" s="6" t="str">
        <f>IF(SEFAZ!F830="","",VALUE(SUBSTITUTE(SEFAZ!F830,"'","")))</f>
        <v/>
      </c>
      <c r="G846" t="str">
        <f>IF(SEFAZ!H830="","",SEFAZ!H830)</f>
        <v/>
      </c>
      <c r="H846" t="str">
        <f>IF(SEFAZ!L830="","",SEFAZ!L830)</f>
        <v/>
      </c>
      <c r="I846" t="str">
        <f>IF(SEFAZ!N830="","",SEFAZ!N830)</f>
        <v/>
      </c>
      <c r="J846" t="str">
        <f>IF(SEFAZ!O830="","",SEFAZ!O830)</f>
        <v/>
      </c>
      <c r="K846" s="11" t="str">
        <f>IF(SEFAZ!P830="","",SEFAZ!P830)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hidden="1" x14ac:dyDescent="0.3">
      <c r="B847" t="str">
        <f>IF(SEFAZ!A831="","",SEFAZ!A831)</f>
        <v/>
      </c>
      <c r="C847" t="str">
        <f>IF(SEFAZ!C831="","",SEFAZ!C831)</f>
        <v/>
      </c>
      <c r="D847" t="str">
        <f>IF(SEFAZ!D831="","",SEFAZ!D831)</f>
        <v/>
      </c>
      <c r="E847" s="7" t="str">
        <f>IF(SEFAZ!E831="","",SEFAZ!E831)</f>
        <v/>
      </c>
      <c r="F847" s="6" t="str">
        <f>IF(SEFAZ!F831="","",VALUE(SUBSTITUTE(SEFAZ!F831,"'","")))</f>
        <v/>
      </c>
      <c r="G847" t="str">
        <f>IF(SEFAZ!H831="","",SEFAZ!H831)</f>
        <v/>
      </c>
      <c r="H847" t="str">
        <f>IF(SEFAZ!L831="","",SEFAZ!L831)</f>
        <v/>
      </c>
      <c r="I847" t="str">
        <f>IF(SEFAZ!N831="","",SEFAZ!N831)</f>
        <v/>
      </c>
      <c r="J847" t="str">
        <f>IF(SEFAZ!O831="","",SEFAZ!O831)</f>
        <v/>
      </c>
      <c r="K847" s="11" t="str">
        <f>IF(SEFAZ!P831="","",SEFAZ!P831)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hidden="1" x14ac:dyDescent="0.3">
      <c r="B848" t="str">
        <f>IF(SEFAZ!A832="","",SEFAZ!A832)</f>
        <v/>
      </c>
      <c r="C848" t="str">
        <f>IF(SEFAZ!C832="","",SEFAZ!C832)</f>
        <v/>
      </c>
      <c r="D848" t="str">
        <f>IF(SEFAZ!D832="","",SEFAZ!D832)</f>
        <v/>
      </c>
      <c r="E848" s="7" t="str">
        <f>IF(SEFAZ!E832="","",SEFAZ!E832)</f>
        <v/>
      </c>
      <c r="F848" s="6" t="str">
        <f>IF(SEFAZ!F832="","",VALUE(SUBSTITUTE(SEFAZ!F832,"'","")))</f>
        <v/>
      </c>
      <c r="G848" t="str">
        <f>IF(SEFAZ!H832="","",SEFAZ!H832)</f>
        <v/>
      </c>
      <c r="H848" t="str">
        <f>IF(SEFAZ!L832="","",SEFAZ!L832)</f>
        <v/>
      </c>
      <c r="I848" t="str">
        <f>IF(SEFAZ!N832="","",SEFAZ!N832)</f>
        <v/>
      </c>
      <c r="J848" t="str">
        <f>IF(SEFAZ!O832="","",SEFAZ!O832)</f>
        <v/>
      </c>
      <c r="K848" s="11" t="str">
        <f>IF(SEFAZ!P832="","",SEFAZ!P832)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hidden="1" x14ac:dyDescent="0.3">
      <c r="B849" t="str">
        <f>IF(SEFAZ!A833="","",SEFAZ!A833)</f>
        <v/>
      </c>
      <c r="C849" t="str">
        <f>IF(SEFAZ!C833="","",SEFAZ!C833)</f>
        <v/>
      </c>
      <c r="D849" t="str">
        <f>IF(SEFAZ!D833="","",SEFAZ!D833)</f>
        <v/>
      </c>
      <c r="E849" s="7" t="str">
        <f>IF(SEFAZ!E833="","",SEFAZ!E833)</f>
        <v/>
      </c>
      <c r="F849" s="6" t="str">
        <f>IF(SEFAZ!F833="","",VALUE(SUBSTITUTE(SEFAZ!F833,"'","")))</f>
        <v/>
      </c>
      <c r="G849" t="str">
        <f>IF(SEFAZ!H833="","",SEFAZ!H833)</f>
        <v/>
      </c>
      <c r="H849" t="str">
        <f>IF(SEFAZ!L833="","",SEFAZ!L833)</f>
        <v/>
      </c>
      <c r="I849" t="str">
        <f>IF(SEFAZ!N833="","",SEFAZ!N833)</f>
        <v/>
      </c>
      <c r="J849" t="str">
        <f>IF(SEFAZ!O833="","",SEFAZ!O833)</f>
        <v/>
      </c>
      <c r="K849" s="11" t="str">
        <f>IF(SEFAZ!P833="","",SEFAZ!P833)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hidden="1" x14ac:dyDescent="0.3">
      <c r="B850" t="str">
        <f>IF(SEFAZ!A834="","",SEFAZ!A834)</f>
        <v/>
      </c>
      <c r="C850" t="str">
        <f>IF(SEFAZ!C834="","",SEFAZ!C834)</f>
        <v/>
      </c>
      <c r="D850" t="str">
        <f>IF(SEFAZ!D834="","",SEFAZ!D834)</f>
        <v/>
      </c>
      <c r="E850" s="7" t="str">
        <f>IF(SEFAZ!E834="","",SEFAZ!E834)</f>
        <v/>
      </c>
      <c r="F850" s="6" t="str">
        <f>IF(SEFAZ!F834="","",VALUE(SUBSTITUTE(SEFAZ!F834,"'","")))</f>
        <v/>
      </c>
      <c r="G850" t="str">
        <f>IF(SEFAZ!H834="","",SEFAZ!H834)</f>
        <v/>
      </c>
      <c r="H850" t="str">
        <f>IF(SEFAZ!L834="","",SEFAZ!L834)</f>
        <v/>
      </c>
      <c r="I850" t="str">
        <f>IF(SEFAZ!N834="","",SEFAZ!N834)</f>
        <v/>
      </c>
      <c r="J850" t="str">
        <f>IF(SEFAZ!O834="","",SEFAZ!O834)</f>
        <v/>
      </c>
      <c r="K850" s="11" t="str">
        <f>IF(SEFAZ!P834="","",SEFAZ!P834)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hidden="1" x14ac:dyDescent="0.3">
      <c r="B851" t="str">
        <f>IF(SEFAZ!A835="","",SEFAZ!A835)</f>
        <v/>
      </c>
      <c r="C851" t="str">
        <f>IF(SEFAZ!C835="","",SEFAZ!C835)</f>
        <v/>
      </c>
      <c r="D851" t="str">
        <f>IF(SEFAZ!D835="","",SEFAZ!D835)</f>
        <v/>
      </c>
      <c r="E851" s="7" t="str">
        <f>IF(SEFAZ!E835="","",SEFAZ!E835)</f>
        <v/>
      </c>
      <c r="F851" s="6" t="str">
        <f>IF(SEFAZ!F835="","",VALUE(SUBSTITUTE(SEFAZ!F835,"'","")))</f>
        <v/>
      </c>
      <c r="G851" t="str">
        <f>IF(SEFAZ!H835="","",SEFAZ!H835)</f>
        <v/>
      </c>
      <c r="H851" t="str">
        <f>IF(SEFAZ!L835="","",SEFAZ!L835)</f>
        <v/>
      </c>
      <c r="I851" t="str">
        <f>IF(SEFAZ!N835="","",SEFAZ!N835)</f>
        <v/>
      </c>
      <c r="J851" t="str">
        <f>IF(SEFAZ!O835="","",SEFAZ!O835)</f>
        <v/>
      </c>
      <c r="K851" s="11" t="str">
        <f>IF(SEFAZ!P835="","",SEFAZ!P835)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hidden="1" x14ac:dyDescent="0.3">
      <c r="B852" t="str">
        <f>IF(SEFAZ!A836="","",SEFAZ!A836)</f>
        <v/>
      </c>
      <c r="C852" t="str">
        <f>IF(SEFAZ!C836="","",SEFAZ!C836)</f>
        <v/>
      </c>
      <c r="D852" t="str">
        <f>IF(SEFAZ!D836="","",SEFAZ!D836)</f>
        <v/>
      </c>
      <c r="E852" s="7" t="str">
        <f>IF(SEFAZ!E836="","",SEFAZ!E836)</f>
        <v/>
      </c>
      <c r="F852" s="6" t="str">
        <f>IF(SEFAZ!F836="","",VALUE(SUBSTITUTE(SEFAZ!F836,"'","")))</f>
        <v/>
      </c>
      <c r="G852" t="str">
        <f>IF(SEFAZ!H836="","",SEFAZ!H836)</f>
        <v/>
      </c>
      <c r="H852" t="str">
        <f>IF(SEFAZ!L836="","",SEFAZ!L836)</f>
        <v/>
      </c>
      <c r="I852" t="str">
        <f>IF(SEFAZ!N836="","",SEFAZ!N836)</f>
        <v/>
      </c>
      <c r="J852" t="str">
        <f>IF(SEFAZ!O836="","",SEFAZ!O836)</f>
        <v/>
      </c>
      <c r="K852" s="11" t="str">
        <f>IF(SEFAZ!P836="","",SEFAZ!P836)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hidden="1" x14ac:dyDescent="0.3">
      <c r="B853" t="str">
        <f>IF(SEFAZ!A837="","",SEFAZ!A837)</f>
        <v/>
      </c>
      <c r="C853" t="str">
        <f>IF(SEFAZ!C837="","",SEFAZ!C837)</f>
        <v/>
      </c>
      <c r="D853" t="str">
        <f>IF(SEFAZ!D837="","",SEFAZ!D837)</f>
        <v/>
      </c>
      <c r="E853" s="7" t="str">
        <f>IF(SEFAZ!E837="","",SEFAZ!E837)</f>
        <v/>
      </c>
      <c r="F853" s="6" t="str">
        <f>IF(SEFAZ!F837="","",VALUE(SUBSTITUTE(SEFAZ!F837,"'","")))</f>
        <v/>
      </c>
      <c r="G853" t="str">
        <f>IF(SEFAZ!H837="","",SEFAZ!H837)</f>
        <v/>
      </c>
      <c r="H853" t="str">
        <f>IF(SEFAZ!L837="","",SEFAZ!L837)</f>
        <v/>
      </c>
      <c r="I853" t="str">
        <f>IF(SEFAZ!N837="","",SEFAZ!N837)</f>
        <v/>
      </c>
      <c r="J853" t="str">
        <f>IF(SEFAZ!O837="","",SEFAZ!O837)</f>
        <v/>
      </c>
      <c r="K853" s="11" t="str">
        <f>IF(SEFAZ!P837="","",SEFAZ!P837)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hidden="1" x14ac:dyDescent="0.3">
      <c r="B854" t="str">
        <f>IF(SEFAZ!A838="","",SEFAZ!A838)</f>
        <v/>
      </c>
      <c r="C854" t="str">
        <f>IF(SEFAZ!C838="","",SEFAZ!C838)</f>
        <v/>
      </c>
      <c r="D854" t="str">
        <f>IF(SEFAZ!D838="","",SEFAZ!D838)</f>
        <v/>
      </c>
      <c r="E854" s="7" t="str">
        <f>IF(SEFAZ!E838="","",SEFAZ!E838)</f>
        <v/>
      </c>
      <c r="F854" s="6" t="str">
        <f>IF(SEFAZ!F838="","",VALUE(SUBSTITUTE(SEFAZ!F838,"'","")))</f>
        <v/>
      </c>
      <c r="G854" t="str">
        <f>IF(SEFAZ!H838="","",SEFAZ!H838)</f>
        <v/>
      </c>
      <c r="H854" t="str">
        <f>IF(SEFAZ!L838="","",SEFAZ!L838)</f>
        <v/>
      </c>
      <c r="I854" t="str">
        <f>IF(SEFAZ!N838="","",SEFAZ!N838)</f>
        <v/>
      </c>
      <c r="J854" t="str">
        <f>IF(SEFAZ!O838="","",SEFAZ!O838)</f>
        <v/>
      </c>
      <c r="K854" s="11" t="str">
        <f>IF(SEFAZ!P838="","",SEFAZ!P838)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hidden="1" x14ac:dyDescent="0.3">
      <c r="B855" t="str">
        <f>IF(SEFAZ!A839="","",SEFAZ!A839)</f>
        <v/>
      </c>
      <c r="C855" t="str">
        <f>IF(SEFAZ!C839="","",SEFAZ!C839)</f>
        <v/>
      </c>
      <c r="D855" t="str">
        <f>IF(SEFAZ!D839="","",SEFAZ!D839)</f>
        <v/>
      </c>
      <c r="E855" s="7" t="str">
        <f>IF(SEFAZ!E839="","",SEFAZ!E839)</f>
        <v/>
      </c>
      <c r="F855" s="6" t="str">
        <f>IF(SEFAZ!F839="","",VALUE(SUBSTITUTE(SEFAZ!F839,"'","")))</f>
        <v/>
      </c>
      <c r="G855" t="str">
        <f>IF(SEFAZ!H839="","",SEFAZ!H839)</f>
        <v/>
      </c>
      <c r="H855" t="str">
        <f>IF(SEFAZ!L839="","",SEFAZ!L839)</f>
        <v/>
      </c>
      <c r="I855" t="str">
        <f>IF(SEFAZ!N839="","",SEFAZ!N839)</f>
        <v/>
      </c>
      <c r="J855" t="str">
        <f>IF(SEFAZ!O839="","",SEFAZ!O839)</f>
        <v/>
      </c>
      <c r="K855" s="11" t="str">
        <f>IF(SEFAZ!P839="","",SEFAZ!P839)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hidden="1" x14ac:dyDescent="0.3">
      <c r="B856" t="str">
        <f>IF(SEFAZ!A840="","",SEFAZ!A840)</f>
        <v/>
      </c>
      <c r="C856" t="str">
        <f>IF(SEFAZ!C840="","",SEFAZ!C840)</f>
        <v/>
      </c>
      <c r="D856" t="str">
        <f>IF(SEFAZ!D840="","",SEFAZ!D840)</f>
        <v/>
      </c>
      <c r="E856" s="7" t="str">
        <f>IF(SEFAZ!E840="","",SEFAZ!E840)</f>
        <v/>
      </c>
      <c r="F856" s="6" t="str">
        <f>IF(SEFAZ!F840="","",VALUE(SUBSTITUTE(SEFAZ!F840,"'","")))</f>
        <v/>
      </c>
      <c r="G856" t="str">
        <f>IF(SEFAZ!H840="","",SEFAZ!H840)</f>
        <v/>
      </c>
      <c r="H856" t="str">
        <f>IF(SEFAZ!L840="","",SEFAZ!L840)</f>
        <v/>
      </c>
      <c r="I856" t="str">
        <f>IF(SEFAZ!N840="","",SEFAZ!N840)</f>
        <v/>
      </c>
      <c r="J856" t="str">
        <f>IF(SEFAZ!O840="","",SEFAZ!O840)</f>
        <v/>
      </c>
      <c r="K856" s="11" t="str">
        <f>IF(SEFAZ!P840="","",SEFAZ!P840)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hidden="1" x14ac:dyDescent="0.3">
      <c r="B857" t="str">
        <f>IF(SEFAZ!A841="","",SEFAZ!A841)</f>
        <v/>
      </c>
      <c r="C857" t="str">
        <f>IF(SEFAZ!C841="","",SEFAZ!C841)</f>
        <v/>
      </c>
      <c r="D857" t="str">
        <f>IF(SEFAZ!D841="","",SEFAZ!D841)</f>
        <v/>
      </c>
      <c r="E857" s="7" t="str">
        <f>IF(SEFAZ!E841="","",SEFAZ!E841)</f>
        <v/>
      </c>
      <c r="F857" s="6" t="str">
        <f>IF(SEFAZ!F841="","",VALUE(SUBSTITUTE(SEFAZ!F841,"'","")))</f>
        <v/>
      </c>
      <c r="G857" t="str">
        <f>IF(SEFAZ!H841="","",SEFAZ!H841)</f>
        <v/>
      </c>
      <c r="H857" t="str">
        <f>IF(SEFAZ!L841="","",SEFAZ!L841)</f>
        <v/>
      </c>
      <c r="I857" t="str">
        <f>IF(SEFAZ!N841="","",SEFAZ!N841)</f>
        <v/>
      </c>
      <c r="J857" t="str">
        <f>IF(SEFAZ!O841="","",SEFAZ!O841)</f>
        <v/>
      </c>
      <c r="K857" s="11" t="str">
        <f>IF(SEFAZ!P841="","",SEFAZ!P841)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hidden="1" x14ac:dyDescent="0.3">
      <c r="B858" t="str">
        <f>IF(SEFAZ!A842="","",SEFAZ!A842)</f>
        <v/>
      </c>
      <c r="C858" t="str">
        <f>IF(SEFAZ!C842="","",SEFAZ!C842)</f>
        <v/>
      </c>
      <c r="D858" t="str">
        <f>IF(SEFAZ!D842="","",SEFAZ!D842)</f>
        <v/>
      </c>
      <c r="E858" s="7" t="str">
        <f>IF(SEFAZ!E842="","",SEFAZ!E842)</f>
        <v/>
      </c>
      <c r="F858" s="6" t="str">
        <f>IF(SEFAZ!F842="","",VALUE(SUBSTITUTE(SEFAZ!F842,"'","")))</f>
        <v/>
      </c>
      <c r="G858" t="str">
        <f>IF(SEFAZ!H842="","",SEFAZ!H842)</f>
        <v/>
      </c>
      <c r="H858" t="str">
        <f>IF(SEFAZ!L842="","",SEFAZ!L842)</f>
        <v/>
      </c>
      <c r="I858" t="str">
        <f>IF(SEFAZ!N842="","",SEFAZ!N842)</f>
        <v/>
      </c>
      <c r="J858" t="str">
        <f>IF(SEFAZ!O842="","",SEFAZ!O842)</f>
        <v/>
      </c>
      <c r="K858" s="11" t="str">
        <f>IF(SEFAZ!P842="","",SEFAZ!P842)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hidden="1" x14ac:dyDescent="0.3">
      <c r="B859" t="str">
        <f>IF(SEFAZ!A843="","",SEFAZ!A843)</f>
        <v/>
      </c>
      <c r="C859" t="str">
        <f>IF(SEFAZ!C843="","",SEFAZ!C843)</f>
        <v/>
      </c>
      <c r="D859" t="str">
        <f>IF(SEFAZ!D843="","",SEFAZ!D843)</f>
        <v/>
      </c>
      <c r="E859" s="7" t="str">
        <f>IF(SEFAZ!E843="","",SEFAZ!E843)</f>
        <v/>
      </c>
      <c r="F859" s="6" t="str">
        <f>IF(SEFAZ!F843="","",VALUE(SUBSTITUTE(SEFAZ!F843,"'","")))</f>
        <v/>
      </c>
      <c r="G859" t="str">
        <f>IF(SEFAZ!H843="","",SEFAZ!H843)</f>
        <v/>
      </c>
      <c r="H859" t="str">
        <f>IF(SEFAZ!L843="","",SEFAZ!L843)</f>
        <v/>
      </c>
      <c r="I859" t="str">
        <f>IF(SEFAZ!N843="","",SEFAZ!N843)</f>
        <v/>
      </c>
      <c r="J859" t="str">
        <f>IF(SEFAZ!O843="","",SEFAZ!O843)</f>
        <v/>
      </c>
      <c r="K859" s="11" t="str">
        <f>IF(SEFAZ!P843="","",SEFAZ!P843)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hidden="1" x14ac:dyDescent="0.3">
      <c r="B860" t="str">
        <f>IF(SEFAZ!A844="","",SEFAZ!A844)</f>
        <v/>
      </c>
      <c r="C860" t="str">
        <f>IF(SEFAZ!C844="","",SEFAZ!C844)</f>
        <v/>
      </c>
      <c r="D860" t="str">
        <f>IF(SEFAZ!D844="","",SEFAZ!D844)</f>
        <v/>
      </c>
      <c r="E860" s="7" t="str">
        <f>IF(SEFAZ!E844="","",SEFAZ!E844)</f>
        <v/>
      </c>
      <c r="F860" s="6" t="str">
        <f>IF(SEFAZ!F844="","",VALUE(SUBSTITUTE(SEFAZ!F844,"'","")))</f>
        <v/>
      </c>
      <c r="G860" t="str">
        <f>IF(SEFAZ!H844="","",SEFAZ!H844)</f>
        <v/>
      </c>
      <c r="H860" t="str">
        <f>IF(SEFAZ!L844="","",SEFAZ!L844)</f>
        <v/>
      </c>
      <c r="I860" t="str">
        <f>IF(SEFAZ!N844="","",SEFAZ!N844)</f>
        <v/>
      </c>
      <c r="J860" t="str">
        <f>IF(SEFAZ!O844="","",SEFAZ!O844)</f>
        <v/>
      </c>
      <c r="K860" s="11" t="str">
        <f>IF(SEFAZ!P844="","",SEFAZ!P844)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hidden="1" x14ac:dyDescent="0.3">
      <c r="B861" t="str">
        <f>IF(SEFAZ!A845="","",SEFAZ!A845)</f>
        <v/>
      </c>
      <c r="C861" t="str">
        <f>IF(SEFAZ!C845="","",SEFAZ!C845)</f>
        <v/>
      </c>
      <c r="D861" t="str">
        <f>IF(SEFAZ!D845="","",SEFAZ!D845)</f>
        <v/>
      </c>
      <c r="E861" s="7" t="str">
        <f>IF(SEFAZ!E845="","",SEFAZ!E845)</f>
        <v/>
      </c>
      <c r="F861" s="6" t="str">
        <f>IF(SEFAZ!F845="","",VALUE(SUBSTITUTE(SEFAZ!F845,"'","")))</f>
        <v/>
      </c>
      <c r="G861" t="str">
        <f>IF(SEFAZ!H845="","",SEFAZ!H845)</f>
        <v/>
      </c>
      <c r="H861" t="str">
        <f>IF(SEFAZ!L845="","",SEFAZ!L845)</f>
        <v/>
      </c>
      <c r="I861" t="str">
        <f>IF(SEFAZ!N845="","",SEFAZ!N845)</f>
        <v/>
      </c>
      <c r="J861" t="str">
        <f>IF(SEFAZ!O845="","",SEFAZ!O845)</f>
        <v/>
      </c>
      <c r="K861" s="11" t="str">
        <f>IF(SEFAZ!P845="","",SEFAZ!P845)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hidden="1" x14ac:dyDescent="0.3">
      <c r="B862" t="str">
        <f>IF(SEFAZ!A846="","",SEFAZ!A846)</f>
        <v/>
      </c>
      <c r="C862" t="str">
        <f>IF(SEFAZ!C846="","",SEFAZ!C846)</f>
        <v/>
      </c>
      <c r="D862" t="str">
        <f>IF(SEFAZ!D846="","",SEFAZ!D846)</f>
        <v/>
      </c>
      <c r="E862" s="7" t="str">
        <f>IF(SEFAZ!E846="","",SEFAZ!E846)</f>
        <v/>
      </c>
      <c r="F862" s="6" t="str">
        <f>IF(SEFAZ!F846="","",VALUE(SUBSTITUTE(SEFAZ!F846,"'","")))</f>
        <v/>
      </c>
      <c r="G862" t="str">
        <f>IF(SEFAZ!H846="","",SEFAZ!H846)</f>
        <v/>
      </c>
      <c r="H862" t="str">
        <f>IF(SEFAZ!L846="","",SEFAZ!L846)</f>
        <v/>
      </c>
      <c r="I862" t="str">
        <f>IF(SEFAZ!N846="","",SEFAZ!N846)</f>
        <v/>
      </c>
      <c r="J862" t="str">
        <f>IF(SEFAZ!O846="","",SEFAZ!O846)</f>
        <v/>
      </c>
      <c r="K862" s="11" t="str">
        <f>IF(SEFAZ!P846="","",SEFAZ!P846)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hidden="1" x14ac:dyDescent="0.3">
      <c r="B863" t="str">
        <f>IF(SEFAZ!A847="","",SEFAZ!A847)</f>
        <v/>
      </c>
      <c r="C863" t="str">
        <f>IF(SEFAZ!C847="","",SEFAZ!C847)</f>
        <v/>
      </c>
      <c r="D863" t="str">
        <f>IF(SEFAZ!D847="","",SEFAZ!D847)</f>
        <v/>
      </c>
      <c r="E863" s="7" t="str">
        <f>IF(SEFAZ!E847="","",SEFAZ!E847)</f>
        <v/>
      </c>
      <c r="F863" s="6" t="str">
        <f>IF(SEFAZ!F847="","",VALUE(SUBSTITUTE(SEFAZ!F847,"'","")))</f>
        <v/>
      </c>
      <c r="G863" t="str">
        <f>IF(SEFAZ!H847="","",SEFAZ!H847)</f>
        <v/>
      </c>
      <c r="H863" t="str">
        <f>IF(SEFAZ!L847="","",SEFAZ!L847)</f>
        <v/>
      </c>
      <c r="I863" t="str">
        <f>IF(SEFAZ!N847="","",SEFAZ!N847)</f>
        <v/>
      </c>
      <c r="J863" t="str">
        <f>IF(SEFAZ!O847="","",SEFAZ!O847)</f>
        <v/>
      </c>
      <c r="K863" s="11" t="str">
        <f>IF(SEFAZ!P847="","",SEFAZ!P847)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hidden="1" x14ac:dyDescent="0.3">
      <c r="B864" t="str">
        <f>IF(SEFAZ!A848="","",SEFAZ!A848)</f>
        <v/>
      </c>
      <c r="C864" t="str">
        <f>IF(SEFAZ!C848="","",SEFAZ!C848)</f>
        <v/>
      </c>
      <c r="D864" t="str">
        <f>IF(SEFAZ!D848="","",SEFAZ!D848)</f>
        <v/>
      </c>
      <c r="E864" s="7" t="str">
        <f>IF(SEFAZ!E848="","",SEFAZ!E848)</f>
        <v/>
      </c>
      <c r="F864" s="6" t="str">
        <f>IF(SEFAZ!F848="","",VALUE(SUBSTITUTE(SEFAZ!F848,"'","")))</f>
        <v/>
      </c>
      <c r="G864" t="str">
        <f>IF(SEFAZ!H848="","",SEFAZ!H848)</f>
        <v/>
      </c>
      <c r="H864" t="str">
        <f>IF(SEFAZ!L848="","",SEFAZ!L848)</f>
        <v/>
      </c>
      <c r="I864" t="str">
        <f>IF(SEFAZ!N848="","",SEFAZ!N848)</f>
        <v/>
      </c>
      <c r="J864" t="str">
        <f>IF(SEFAZ!O848="","",SEFAZ!O848)</f>
        <v/>
      </c>
      <c r="K864" s="11" t="str">
        <f>IF(SEFAZ!P848="","",SEFAZ!P848)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hidden="1" x14ac:dyDescent="0.3">
      <c r="B865" t="str">
        <f>IF(SEFAZ!A849="","",SEFAZ!A849)</f>
        <v/>
      </c>
      <c r="C865" t="str">
        <f>IF(SEFAZ!C849="","",SEFAZ!C849)</f>
        <v/>
      </c>
      <c r="D865" t="str">
        <f>IF(SEFAZ!D849="","",SEFAZ!D849)</f>
        <v/>
      </c>
      <c r="E865" s="7" t="str">
        <f>IF(SEFAZ!E849="","",SEFAZ!E849)</f>
        <v/>
      </c>
      <c r="F865" s="6" t="str">
        <f>IF(SEFAZ!F849="","",VALUE(SUBSTITUTE(SEFAZ!F849,"'","")))</f>
        <v/>
      </c>
      <c r="G865" t="str">
        <f>IF(SEFAZ!H849="","",SEFAZ!H849)</f>
        <v/>
      </c>
      <c r="H865" t="str">
        <f>IF(SEFAZ!L849="","",SEFAZ!L849)</f>
        <v/>
      </c>
      <c r="I865" t="str">
        <f>IF(SEFAZ!N849="","",SEFAZ!N849)</f>
        <v/>
      </c>
      <c r="J865" t="str">
        <f>IF(SEFAZ!O849="","",SEFAZ!O849)</f>
        <v/>
      </c>
      <c r="K865" s="11" t="str">
        <f>IF(SEFAZ!P849="","",SEFAZ!P849)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hidden="1" x14ac:dyDescent="0.3">
      <c r="B866" t="str">
        <f>IF(SEFAZ!A850="","",SEFAZ!A850)</f>
        <v/>
      </c>
      <c r="C866" t="str">
        <f>IF(SEFAZ!C850="","",SEFAZ!C850)</f>
        <v/>
      </c>
      <c r="D866" t="str">
        <f>IF(SEFAZ!D850="","",SEFAZ!D850)</f>
        <v/>
      </c>
      <c r="E866" s="7" t="str">
        <f>IF(SEFAZ!E850="","",SEFAZ!E850)</f>
        <v/>
      </c>
      <c r="F866" s="6" t="str">
        <f>IF(SEFAZ!F850="","",VALUE(SUBSTITUTE(SEFAZ!F850,"'","")))</f>
        <v/>
      </c>
      <c r="G866" t="str">
        <f>IF(SEFAZ!H850="","",SEFAZ!H850)</f>
        <v/>
      </c>
      <c r="H866" t="str">
        <f>IF(SEFAZ!L850="","",SEFAZ!L850)</f>
        <v/>
      </c>
      <c r="I866" t="str">
        <f>IF(SEFAZ!N850="","",SEFAZ!N850)</f>
        <v/>
      </c>
      <c r="J866" t="str">
        <f>IF(SEFAZ!O850="","",SEFAZ!O850)</f>
        <v/>
      </c>
      <c r="K866" s="11" t="str">
        <f>IF(SEFAZ!P850="","",SEFAZ!P850)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hidden="1" x14ac:dyDescent="0.3">
      <c r="B867" t="str">
        <f>IF(SEFAZ!A851="","",SEFAZ!A851)</f>
        <v/>
      </c>
      <c r="C867" t="str">
        <f>IF(SEFAZ!C851="","",SEFAZ!C851)</f>
        <v/>
      </c>
      <c r="D867" t="str">
        <f>IF(SEFAZ!D851="","",SEFAZ!D851)</f>
        <v/>
      </c>
      <c r="E867" s="7" t="str">
        <f>IF(SEFAZ!E851="","",SEFAZ!E851)</f>
        <v/>
      </c>
      <c r="F867" s="6" t="str">
        <f>IF(SEFAZ!F851="","",VALUE(SUBSTITUTE(SEFAZ!F851,"'","")))</f>
        <v/>
      </c>
      <c r="G867" t="str">
        <f>IF(SEFAZ!H851="","",SEFAZ!H851)</f>
        <v/>
      </c>
      <c r="H867" t="str">
        <f>IF(SEFAZ!L851="","",SEFAZ!L851)</f>
        <v/>
      </c>
      <c r="I867" t="str">
        <f>IF(SEFAZ!N851="","",SEFAZ!N851)</f>
        <v/>
      </c>
      <c r="J867" t="str">
        <f>IF(SEFAZ!O851="","",SEFAZ!O851)</f>
        <v/>
      </c>
      <c r="K867" s="11" t="str">
        <f>IF(SEFAZ!P851="","",SEFAZ!P851)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hidden="1" x14ac:dyDescent="0.3">
      <c r="B868" t="str">
        <f>IF(SEFAZ!A852="","",SEFAZ!A852)</f>
        <v/>
      </c>
      <c r="C868" t="str">
        <f>IF(SEFAZ!C852="","",SEFAZ!C852)</f>
        <v/>
      </c>
      <c r="D868" t="str">
        <f>IF(SEFAZ!D852="","",SEFAZ!D852)</f>
        <v/>
      </c>
      <c r="E868" s="7" t="str">
        <f>IF(SEFAZ!E852="","",SEFAZ!E852)</f>
        <v/>
      </c>
      <c r="F868" s="6" t="str">
        <f>IF(SEFAZ!F852="","",VALUE(SUBSTITUTE(SEFAZ!F852,"'","")))</f>
        <v/>
      </c>
      <c r="G868" t="str">
        <f>IF(SEFAZ!H852="","",SEFAZ!H852)</f>
        <v/>
      </c>
      <c r="H868" t="str">
        <f>IF(SEFAZ!L852="","",SEFAZ!L852)</f>
        <v/>
      </c>
      <c r="I868" t="str">
        <f>IF(SEFAZ!N852="","",SEFAZ!N852)</f>
        <v/>
      </c>
      <c r="J868" t="str">
        <f>IF(SEFAZ!O852="","",SEFAZ!O852)</f>
        <v/>
      </c>
      <c r="K868" s="11" t="str">
        <f>IF(SEFAZ!P852="","",SEFAZ!P852)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hidden="1" x14ac:dyDescent="0.3">
      <c r="B869" t="str">
        <f>IF(SEFAZ!A853="","",SEFAZ!A853)</f>
        <v/>
      </c>
      <c r="C869" t="str">
        <f>IF(SEFAZ!C853="","",SEFAZ!C853)</f>
        <v/>
      </c>
      <c r="D869" t="str">
        <f>IF(SEFAZ!D853="","",SEFAZ!D853)</f>
        <v/>
      </c>
      <c r="E869" s="7" t="str">
        <f>IF(SEFAZ!E853="","",SEFAZ!E853)</f>
        <v/>
      </c>
      <c r="F869" s="6" t="str">
        <f>IF(SEFAZ!F853="","",VALUE(SUBSTITUTE(SEFAZ!F853,"'","")))</f>
        <v/>
      </c>
      <c r="G869" t="str">
        <f>IF(SEFAZ!H853="","",SEFAZ!H853)</f>
        <v/>
      </c>
      <c r="H869" t="str">
        <f>IF(SEFAZ!L853="","",SEFAZ!L853)</f>
        <v/>
      </c>
      <c r="I869" t="str">
        <f>IF(SEFAZ!N853="","",SEFAZ!N853)</f>
        <v/>
      </c>
      <c r="J869" t="str">
        <f>IF(SEFAZ!O853="","",SEFAZ!O853)</f>
        <v/>
      </c>
      <c r="K869" s="11" t="str">
        <f>IF(SEFAZ!P853="","",SEFAZ!P853)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hidden="1" x14ac:dyDescent="0.3">
      <c r="B870" t="str">
        <f>IF(SEFAZ!A854="","",SEFAZ!A854)</f>
        <v/>
      </c>
      <c r="C870" t="str">
        <f>IF(SEFAZ!C854="","",SEFAZ!C854)</f>
        <v/>
      </c>
      <c r="D870" t="str">
        <f>IF(SEFAZ!D854="","",SEFAZ!D854)</f>
        <v/>
      </c>
      <c r="E870" s="7" t="str">
        <f>IF(SEFAZ!E854="","",SEFAZ!E854)</f>
        <v/>
      </c>
      <c r="F870" s="6" t="str">
        <f>IF(SEFAZ!F854="","",VALUE(SUBSTITUTE(SEFAZ!F854,"'","")))</f>
        <v/>
      </c>
      <c r="G870" t="str">
        <f>IF(SEFAZ!H854="","",SEFAZ!H854)</f>
        <v/>
      </c>
      <c r="H870" t="str">
        <f>IF(SEFAZ!L854="","",SEFAZ!L854)</f>
        <v/>
      </c>
      <c r="I870" t="str">
        <f>IF(SEFAZ!N854="","",SEFAZ!N854)</f>
        <v/>
      </c>
      <c r="J870" t="str">
        <f>IF(SEFAZ!O854="","",SEFAZ!O854)</f>
        <v/>
      </c>
      <c r="K870" s="11" t="str">
        <f>IF(SEFAZ!P854="","",SEFAZ!P854)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hidden="1" x14ac:dyDescent="0.3">
      <c r="B871" t="str">
        <f>IF(SEFAZ!A855="","",SEFAZ!A855)</f>
        <v/>
      </c>
      <c r="C871" t="str">
        <f>IF(SEFAZ!C855="","",SEFAZ!C855)</f>
        <v/>
      </c>
      <c r="D871" t="str">
        <f>IF(SEFAZ!D855="","",SEFAZ!D855)</f>
        <v/>
      </c>
      <c r="E871" s="7" t="str">
        <f>IF(SEFAZ!E855="","",SEFAZ!E855)</f>
        <v/>
      </c>
      <c r="F871" s="6" t="str">
        <f>IF(SEFAZ!F855="","",VALUE(SUBSTITUTE(SEFAZ!F855,"'","")))</f>
        <v/>
      </c>
      <c r="G871" t="str">
        <f>IF(SEFAZ!H855="","",SEFAZ!H855)</f>
        <v/>
      </c>
      <c r="H871" t="str">
        <f>IF(SEFAZ!L855="","",SEFAZ!L855)</f>
        <v/>
      </c>
      <c r="I871" t="str">
        <f>IF(SEFAZ!N855="","",SEFAZ!N855)</f>
        <v/>
      </c>
      <c r="J871" t="str">
        <f>IF(SEFAZ!O855="","",SEFAZ!O855)</f>
        <v/>
      </c>
      <c r="K871" s="11" t="str">
        <f>IF(SEFAZ!P855="","",SEFAZ!P855)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hidden="1" x14ac:dyDescent="0.3">
      <c r="B872" t="str">
        <f>IF(SEFAZ!A856="","",SEFAZ!A856)</f>
        <v/>
      </c>
      <c r="C872" t="str">
        <f>IF(SEFAZ!C856="","",SEFAZ!C856)</f>
        <v/>
      </c>
      <c r="D872" t="str">
        <f>IF(SEFAZ!D856="","",SEFAZ!D856)</f>
        <v/>
      </c>
      <c r="E872" s="7" t="str">
        <f>IF(SEFAZ!E856="","",SEFAZ!E856)</f>
        <v/>
      </c>
      <c r="F872" s="6" t="str">
        <f>IF(SEFAZ!F856="","",VALUE(SUBSTITUTE(SEFAZ!F856,"'","")))</f>
        <v/>
      </c>
      <c r="G872" t="str">
        <f>IF(SEFAZ!H856="","",SEFAZ!H856)</f>
        <v/>
      </c>
      <c r="H872" t="str">
        <f>IF(SEFAZ!L856="","",SEFAZ!L856)</f>
        <v/>
      </c>
      <c r="I872" t="str">
        <f>IF(SEFAZ!N856="","",SEFAZ!N856)</f>
        <v/>
      </c>
      <c r="J872" t="str">
        <f>IF(SEFAZ!O856="","",SEFAZ!O856)</f>
        <v/>
      </c>
      <c r="K872" s="11" t="str">
        <f>IF(SEFAZ!P856="","",SEFAZ!P856)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hidden="1" x14ac:dyDescent="0.3">
      <c r="B873" t="str">
        <f>IF(SEFAZ!A857="","",SEFAZ!A857)</f>
        <v/>
      </c>
      <c r="C873" t="str">
        <f>IF(SEFAZ!C857="","",SEFAZ!C857)</f>
        <v/>
      </c>
      <c r="D873" t="str">
        <f>IF(SEFAZ!D857="","",SEFAZ!D857)</f>
        <v/>
      </c>
      <c r="E873" s="7" t="str">
        <f>IF(SEFAZ!E857="","",SEFAZ!E857)</f>
        <v/>
      </c>
      <c r="F873" s="6" t="str">
        <f>IF(SEFAZ!F857="","",VALUE(SUBSTITUTE(SEFAZ!F857,"'","")))</f>
        <v/>
      </c>
      <c r="G873" t="str">
        <f>IF(SEFAZ!H857="","",SEFAZ!H857)</f>
        <v/>
      </c>
      <c r="H873" t="str">
        <f>IF(SEFAZ!L857="","",SEFAZ!L857)</f>
        <v/>
      </c>
      <c r="I873" t="str">
        <f>IF(SEFAZ!N857="","",SEFAZ!N857)</f>
        <v/>
      </c>
      <c r="J873" t="str">
        <f>IF(SEFAZ!O857="","",SEFAZ!O857)</f>
        <v/>
      </c>
      <c r="K873" s="11" t="str">
        <f>IF(SEFAZ!P857="","",SEFAZ!P857)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hidden="1" x14ac:dyDescent="0.3">
      <c r="B874" t="str">
        <f>IF(SEFAZ!A858="","",SEFAZ!A858)</f>
        <v/>
      </c>
      <c r="C874" t="str">
        <f>IF(SEFAZ!C858="","",SEFAZ!C858)</f>
        <v/>
      </c>
      <c r="D874" t="str">
        <f>IF(SEFAZ!D858="","",SEFAZ!D858)</f>
        <v/>
      </c>
      <c r="E874" s="7" t="str">
        <f>IF(SEFAZ!E858="","",SEFAZ!E858)</f>
        <v/>
      </c>
      <c r="F874" s="6" t="str">
        <f>IF(SEFAZ!F858="","",VALUE(SUBSTITUTE(SEFAZ!F858,"'","")))</f>
        <v/>
      </c>
      <c r="G874" t="str">
        <f>IF(SEFAZ!H858="","",SEFAZ!H858)</f>
        <v/>
      </c>
      <c r="H874" t="str">
        <f>IF(SEFAZ!L858="","",SEFAZ!L858)</f>
        <v/>
      </c>
      <c r="I874" t="str">
        <f>IF(SEFAZ!N858="","",SEFAZ!N858)</f>
        <v/>
      </c>
      <c r="J874" t="str">
        <f>IF(SEFAZ!O858="","",SEFAZ!O858)</f>
        <v/>
      </c>
      <c r="K874" s="11" t="str">
        <f>IF(SEFAZ!P858="","",SEFAZ!P858)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hidden="1" x14ac:dyDescent="0.3">
      <c r="B875" t="str">
        <f>IF(SEFAZ!A859="","",SEFAZ!A859)</f>
        <v/>
      </c>
      <c r="C875" t="str">
        <f>IF(SEFAZ!C859="","",SEFAZ!C859)</f>
        <v/>
      </c>
      <c r="D875" t="str">
        <f>IF(SEFAZ!D859="","",SEFAZ!D859)</f>
        <v/>
      </c>
      <c r="E875" s="7" t="str">
        <f>IF(SEFAZ!E859="","",SEFAZ!E859)</f>
        <v/>
      </c>
      <c r="F875" s="6" t="str">
        <f>IF(SEFAZ!F859="","",VALUE(SUBSTITUTE(SEFAZ!F859,"'","")))</f>
        <v/>
      </c>
      <c r="G875" t="str">
        <f>IF(SEFAZ!H859="","",SEFAZ!H859)</f>
        <v/>
      </c>
      <c r="H875" t="str">
        <f>IF(SEFAZ!L859="","",SEFAZ!L859)</f>
        <v/>
      </c>
      <c r="I875" t="str">
        <f>IF(SEFAZ!N859="","",SEFAZ!N859)</f>
        <v/>
      </c>
      <c r="J875" t="str">
        <f>IF(SEFAZ!O859="","",SEFAZ!O859)</f>
        <v/>
      </c>
      <c r="K875" s="11" t="str">
        <f>IF(SEFAZ!P859="","",SEFAZ!P859)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hidden="1" x14ac:dyDescent="0.3">
      <c r="B876" t="str">
        <f>IF(SEFAZ!A860="","",SEFAZ!A860)</f>
        <v/>
      </c>
      <c r="C876" t="str">
        <f>IF(SEFAZ!C860="","",SEFAZ!C860)</f>
        <v/>
      </c>
      <c r="D876" t="str">
        <f>IF(SEFAZ!D860="","",SEFAZ!D860)</f>
        <v/>
      </c>
      <c r="E876" s="7" t="str">
        <f>IF(SEFAZ!E860="","",SEFAZ!E860)</f>
        <v/>
      </c>
      <c r="F876" s="6" t="str">
        <f>IF(SEFAZ!F860="","",VALUE(SUBSTITUTE(SEFAZ!F860,"'","")))</f>
        <v/>
      </c>
      <c r="G876" t="str">
        <f>IF(SEFAZ!H860="","",SEFAZ!H860)</f>
        <v/>
      </c>
      <c r="H876" t="str">
        <f>IF(SEFAZ!L860="","",SEFAZ!L860)</f>
        <v/>
      </c>
      <c r="I876" t="str">
        <f>IF(SEFAZ!N860="","",SEFAZ!N860)</f>
        <v/>
      </c>
      <c r="J876" t="str">
        <f>IF(SEFAZ!O860="","",SEFAZ!O860)</f>
        <v/>
      </c>
      <c r="K876" s="11" t="str">
        <f>IF(SEFAZ!P860="","",SEFAZ!P860)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hidden="1" x14ac:dyDescent="0.3">
      <c r="B877" t="str">
        <f>IF(SEFAZ!A861="","",SEFAZ!A861)</f>
        <v/>
      </c>
      <c r="C877" t="str">
        <f>IF(SEFAZ!C861="","",SEFAZ!C861)</f>
        <v/>
      </c>
      <c r="D877" t="str">
        <f>IF(SEFAZ!D861="","",SEFAZ!D861)</f>
        <v/>
      </c>
      <c r="E877" s="7" t="str">
        <f>IF(SEFAZ!E861="","",SEFAZ!E861)</f>
        <v/>
      </c>
      <c r="F877" s="6" t="str">
        <f>IF(SEFAZ!F861="","",VALUE(SUBSTITUTE(SEFAZ!F861,"'","")))</f>
        <v/>
      </c>
      <c r="G877" t="str">
        <f>IF(SEFAZ!H861="","",SEFAZ!H861)</f>
        <v/>
      </c>
      <c r="H877" t="str">
        <f>IF(SEFAZ!L861="","",SEFAZ!L861)</f>
        <v/>
      </c>
      <c r="I877" t="str">
        <f>IF(SEFAZ!N861="","",SEFAZ!N861)</f>
        <v/>
      </c>
      <c r="J877" t="str">
        <f>IF(SEFAZ!O861="","",SEFAZ!O861)</f>
        <v/>
      </c>
      <c r="K877" s="11" t="str">
        <f>IF(SEFAZ!P861="","",SEFAZ!P861)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hidden="1" x14ac:dyDescent="0.3">
      <c r="B878" t="str">
        <f>IF(SEFAZ!A862="","",SEFAZ!A862)</f>
        <v/>
      </c>
      <c r="C878" t="str">
        <f>IF(SEFAZ!C862="","",SEFAZ!C862)</f>
        <v/>
      </c>
      <c r="D878" t="str">
        <f>IF(SEFAZ!D862="","",SEFAZ!D862)</f>
        <v/>
      </c>
      <c r="E878" s="7" t="str">
        <f>IF(SEFAZ!E862="","",SEFAZ!E862)</f>
        <v/>
      </c>
      <c r="F878" s="6" t="str">
        <f>IF(SEFAZ!F862="","",VALUE(SUBSTITUTE(SEFAZ!F862,"'","")))</f>
        <v/>
      </c>
      <c r="G878" t="str">
        <f>IF(SEFAZ!H862="","",SEFAZ!H862)</f>
        <v/>
      </c>
      <c r="H878" t="str">
        <f>IF(SEFAZ!L862="","",SEFAZ!L862)</f>
        <v/>
      </c>
      <c r="I878" t="str">
        <f>IF(SEFAZ!N862="","",SEFAZ!N862)</f>
        <v/>
      </c>
      <c r="J878" t="str">
        <f>IF(SEFAZ!O862="","",SEFAZ!O862)</f>
        <v/>
      </c>
      <c r="K878" s="11" t="str">
        <f>IF(SEFAZ!P862="","",SEFAZ!P862)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hidden="1" x14ac:dyDescent="0.3">
      <c r="B879" t="str">
        <f>IF(SEFAZ!A863="","",SEFAZ!A863)</f>
        <v/>
      </c>
      <c r="C879" t="str">
        <f>IF(SEFAZ!C863="","",SEFAZ!C863)</f>
        <v/>
      </c>
      <c r="D879" t="str">
        <f>IF(SEFAZ!D863="","",SEFAZ!D863)</f>
        <v/>
      </c>
      <c r="E879" s="7" t="str">
        <f>IF(SEFAZ!E863="","",SEFAZ!E863)</f>
        <v/>
      </c>
      <c r="F879" s="6" t="str">
        <f>IF(SEFAZ!F863="","",VALUE(SUBSTITUTE(SEFAZ!F863,"'","")))</f>
        <v/>
      </c>
      <c r="G879" t="str">
        <f>IF(SEFAZ!H863="","",SEFAZ!H863)</f>
        <v/>
      </c>
      <c r="H879" t="str">
        <f>IF(SEFAZ!L863="","",SEFAZ!L863)</f>
        <v/>
      </c>
      <c r="I879" t="str">
        <f>IF(SEFAZ!N863="","",SEFAZ!N863)</f>
        <v/>
      </c>
      <c r="J879" t="str">
        <f>IF(SEFAZ!O863="","",SEFAZ!O863)</f>
        <v/>
      </c>
      <c r="K879" s="11" t="str">
        <f>IF(SEFAZ!P863="","",SEFAZ!P863)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hidden="1" x14ac:dyDescent="0.3">
      <c r="B880" t="str">
        <f>IF(SEFAZ!A864="","",SEFAZ!A864)</f>
        <v/>
      </c>
      <c r="C880" t="str">
        <f>IF(SEFAZ!C864="","",SEFAZ!C864)</f>
        <v/>
      </c>
      <c r="D880" t="str">
        <f>IF(SEFAZ!D864="","",SEFAZ!D864)</f>
        <v/>
      </c>
      <c r="E880" s="7" t="str">
        <f>IF(SEFAZ!E864="","",SEFAZ!E864)</f>
        <v/>
      </c>
      <c r="F880" s="6" t="str">
        <f>IF(SEFAZ!F864="","",VALUE(SUBSTITUTE(SEFAZ!F864,"'","")))</f>
        <v/>
      </c>
      <c r="G880" t="str">
        <f>IF(SEFAZ!H864="","",SEFAZ!H864)</f>
        <v/>
      </c>
      <c r="H880" t="str">
        <f>IF(SEFAZ!L864="","",SEFAZ!L864)</f>
        <v/>
      </c>
      <c r="I880" t="str">
        <f>IF(SEFAZ!N864="","",SEFAZ!N864)</f>
        <v/>
      </c>
      <c r="J880" t="str">
        <f>IF(SEFAZ!O864="","",SEFAZ!O864)</f>
        <v/>
      </c>
      <c r="K880" s="11" t="str">
        <f>IF(SEFAZ!P864="","",SEFAZ!P864)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hidden="1" x14ac:dyDescent="0.3">
      <c r="B881" t="str">
        <f>IF(SEFAZ!A865="","",SEFAZ!A865)</f>
        <v/>
      </c>
      <c r="C881" t="str">
        <f>IF(SEFAZ!C865="","",SEFAZ!C865)</f>
        <v/>
      </c>
      <c r="D881" t="str">
        <f>IF(SEFAZ!D865="","",SEFAZ!D865)</f>
        <v/>
      </c>
      <c r="E881" s="7" t="str">
        <f>IF(SEFAZ!E865="","",SEFAZ!E865)</f>
        <v/>
      </c>
      <c r="F881" s="6" t="str">
        <f>IF(SEFAZ!F865="","",VALUE(SUBSTITUTE(SEFAZ!F865,"'","")))</f>
        <v/>
      </c>
      <c r="G881" t="str">
        <f>IF(SEFAZ!H865="","",SEFAZ!H865)</f>
        <v/>
      </c>
      <c r="H881" t="str">
        <f>IF(SEFAZ!L865="","",SEFAZ!L865)</f>
        <v/>
      </c>
      <c r="I881" t="str">
        <f>IF(SEFAZ!N865="","",SEFAZ!N865)</f>
        <v/>
      </c>
      <c r="J881" t="str">
        <f>IF(SEFAZ!O865="","",SEFAZ!O865)</f>
        <v/>
      </c>
      <c r="K881" s="11" t="str">
        <f>IF(SEFAZ!P865="","",SEFAZ!P865)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hidden="1" x14ac:dyDescent="0.3">
      <c r="B882" t="str">
        <f>IF(SEFAZ!A866="","",SEFAZ!A866)</f>
        <v/>
      </c>
      <c r="C882" t="str">
        <f>IF(SEFAZ!C866="","",SEFAZ!C866)</f>
        <v/>
      </c>
      <c r="D882" t="str">
        <f>IF(SEFAZ!D866="","",SEFAZ!D866)</f>
        <v/>
      </c>
      <c r="E882" s="7" t="str">
        <f>IF(SEFAZ!E866="","",SEFAZ!E866)</f>
        <v/>
      </c>
      <c r="F882" s="6" t="str">
        <f>IF(SEFAZ!F866="","",VALUE(SUBSTITUTE(SEFAZ!F866,"'","")))</f>
        <v/>
      </c>
      <c r="G882" t="str">
        <f>IF(SEFAZ!H866="","",SEFAZ!H866)</f>
        <v/>
      </c>
      <c r="H882" t="str">
        <f>IF(SEFAZ!L866="","",SEFAZ!L866)</f>
        <v/>
      </c>
      <c r="I882" t="str">
        <f>IF(SEFAZ!N866="","",SEFAZ!N866)</f>
        <v/>
      </c>
      <c r="J882" t="str">
        <f>IF(SEFAZ!O866="","",SEFAZ!O866)</f>
        <v/>
      </c>
      <c r="K882" s="11" t="str">
        <f>IF(SEFAZ!P866="","",SEFAZ!P866)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hidden="1" x14ac:dyDescent="0.3">
      <c r="B883" t="str">
        <f>IF(SEFAZ!A867="","",SEFAZ!A867)</f>
        <v/>
      </c>
      <c r="C883" t="str">
        <f>IF(SEFAZ!C867="","",SEFAZ!C867)</f>
        <v/>
      </c>
      <c r="D883" t="str">
        <f>IF(SEFAZ!D867="","",SEFAZ!D867)</f>
        <v/>
      </c>
      <c r="E883" s="7" t="str">
        <f>IF(SEFAZ!E867="","",SEFAZ!E867)</f>
        <v/>
      </c>
      <c r="F883" s="6" t="str">
        <f>IF(SEFAZ!F867="","",VALUE(SUBSTITUTE(SEFAZ!F867,"'","")))</f>
        <v/>
      </c>
      <c r="G883" t="str">
        <f>IF(SEFAZ!H867="","",SEFAZ!H867)</f>
        <v/>
      </c>
      <c r="H883" t="str">
        <f>IF(SEFAZ!L867="","",SEFAZ!L867)</f>
        <v/>
      </c>
      <c r="I883" t="str">
        <f>IF(SEFAZ!N867="","",SEFAZ!N867)</f>
        <v/>
      </c>
      <c r="J883" t="str">
        <f>IF(SEFAZ!O867="","",SEFAZ!O867)</f>
        <v/>
      </c>
      <c r="K883" s="11" t="str">
        <f>IF(SEFAZ!P867="","",SEFAZ!P867)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hidden="1" x14ac:dyDescent="0.3">
      <c r="B884" t="str">
        <f>IF(SEFAZ!A868="","",SEFAZ!A868)</f>
        <v/>
      </c>
      <c r="C884" t="str">
        <f>IF(SEFAZ!C868="","",SEFAZ!C868)</f>
        <v/>
      </c>
      <c r="D884" t="str">
        <f>IF(SEFAZ!D868="","",SEFAZ!D868)</f>
        <v/>
      </c>
      <c r="E884" s="7" t="str">
        <f>IF(SEFAZ!E868="","",SEFAZ!E868)</f>
        <v/>
      </c>
      <c r="F884" s="6" t="str">
        <f>IF(SEFAZ!F868="","",VALUE(SUBSTITUTE(SEFAZ!F868,"'","")))</f>
        <v/>
      </c>
      <c r="G884" t="str">
        <f>IF(SEFAZ!H868="","",SEFAZ!H868)</f>
        <v/>
      </c>
      <c r="H884" t="str">
        <f>IF(SEFAZ!L868="","",SEFAZ!L868)</f>
        <v/>
      </c>
      <c r="I884" t="str">
        <f>IF(SEFAZ!N868="","",SEFAZ!N868)</f>
        <v/>
      </c>
      <c r="J884" t="str">
        <f>IF(SEFAZ!O868="","",SEFAZ!O868)</f>
        <v/>
      </c>
      <c r="K884" s="11" t="str">
        <f>IF(SEFAZ!P868="","",SEFAZ!P868)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hidden="1" x14ac:dyDescent="0.3">
      <c r="B885" t="str">
        <f>IF(SEFAZ!A869="","",SEFAZ!A869)</f>
        <v/>
      </c>
      <c r="C885" t="str">
        <f>IF(SEFAZ!C869="","",SEFAZ!C869)</f>
        <v/>
      </c>
      <c r="D885" t="str">
        <f>IF(SEFAZ!D869="","",SEFAZ!D869)</f>
        <v/>
      </c>
      <c r="E885" s="7" t="str">
        <f>IF(SEFAZ!E869="","",SEFAZ!E869)</f>
        <v/>
      </c>
      <c r="F885" s="6" t="str">
        <f>IF(SEFAZ!F869="","",VALUE(SUBSTITUTE(SEFAZ!F869,"'","")))</f>
        <v/>
      </c>
      <c r="G885" t="str">
        <f>IF(SEFAZ!H869="","",SEFAZ!H869)</f>
        <v/>
      </c>
      <c r="H885" t="str">
        <f>IF(SEFAZ!L869="","",SEFAZ!L869)</f>
        <v/>
      </c>
      <c r="I885" t="str">
        <f>IF(SEFAZ!N869="","",SEFAZ!N869)</f>
        <v/>
      </c>
      <c r="J885" t="str">
        <f>IF(SEFAZ!O869="","",SEFAZ!O869)</f>
        <v/>
      </c>
      <c r="K885" s="11" t="str">
        <f>IF(SEFAZ!P869="","",SEFAZ!P869)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hidden="1" x14ac:dyDescent="0.3">
      <c r="B886" t="str">
        <f>IF(SEFAZ!A870="","",SEFAZ!A870)</f>
        <v/>
      </c>
      <c r="C886" t="str">
        <f>IF(SEFAZ!C870="","",SEFAZ!C870)</f>
        <v/>
      </c>
      <c r="D886" t="str">
        <f>IF(SEFAZ!D870="","",SEFAZ!D870)</f>
        <v/>
      </c>
      <c r="E886" s="7" t="str">
        <f>IF(SEFAZ!E870="","",SEFAZ!E870)</f>
        <v/>
      </c>
      <c r="F886" s="6" t="str">
        <f>IF(SEFAZ!F870="","",VALUE(SUBSTITUTE(SEFAZ!F870,"'","")))</f>
        <v/>
      </c>
      <c r="G886" t="str">
        <f>IF(SEFAZ!H870="","",SEFAZ!H870)</f>
        <v/>
      </c>
      <c r="H886" t="str">
        <f>IF(SEFAZ!L870="","",SEFAZ!L870)</f>
        <v/>
      </c>
      <c r="I886" t="str">
        <f>IF(SEFAZ!N870="","",SEFAZ!N870)</f>
        <v/>
      </c>
      <c r="J886" t="str">
        <f>IF(SEFAZ!O870="","",SEFAZ!O870)</f>
        <v/>
      </c>
      <c r="K886" s="11" t="str">
        <f>IF(SEFAZ!P870="","",SEFAZ!P870)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hidden="1" x14ac:dyDescent="0.3">
      <c r="B887" t="str">
        <f>IF(SEFAZ!A871="","",SEFAZ!A871)</f>
        <v/>
      </c>
      <c r="C887" t="str">
        <f>IF(SEFAZ!C871="","",SEFAZ!C871)</f>
        <v/>
      </c>
      <c r="D887" t="str">
        <f>IF(SEFAZ!D871="","",SEFAZ!D871)</f>
        <v/>
      </c>
      <c r="E887" s="7" t="str">
        <f>IF(SEFAZ!E871="","",SEFAZ!E871)</f>
        <v/>
      </c>
      <c r="F887" s="6" t="str">
        <f>IF(SEFAZ!F871="","",VALUE(SUBSTITUTE(SEFAZ!F871,"'","")))</f>
        <v/>
      </c>
      <c r="G887" t="str">
        <f>IF(SEFAZ!H871="","",SEFAZ!H871)</f>
        <v/>
      </c>
      <c r="H887" t="str">
        <f>IF(SEFAZ!L871="","",SEFAZ!L871)</f>
        <v/>
      </c>
      <c r="I887" t="str">
        <f>IF(SEFAZ!N871="","",SEFAZ!N871)</f>
        <v/>
      </c>
      <c r="J887" t="str">
        <f>IF(SEFAZ!O871="","",SEFAZ!O871)</f>
        <v/>
      </c>
      <c r="K887" s="11" t="str">
        <f>IF(SEFAZ!P871="","",SEFAZ!P871)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hidden="1" x14ac:dyDescent="0.3">
      <c r="B888" t="str">
        <f>IF(SEFAZ!A872="","",SEFAZ!A872)</f>
        <v/>
      </c>
      <c r="C888" t="str">
        <f>IF(SEFAZ!C872="","",SEFAZ!C872)</f>
        <v/>
      </c>
      <c r="D888" t="str">
        <f>IF(SEFAZ!D872="","",SEFAZ!D872)</f>
        <v/>
      </c>
      <c r="E888" s="7" t="str">
        <f>IF(SEFAZ!E872="","",SEFAZ!E872)</f>
        <v/>
      </c>
      <c r="F888" s="6" t="str">
        <f>IF(SEFAZ!F872="","",VALUE(SUBSTITUTE(SEFAZ!F872,"'","")))</f>
        <v/>
      </c>
      <c r="G888" t="str">
        <f>IF(SEFAZ!H872="","",SEFAZ!H872)</f>
        <v/>
      </c>
      <c r="H888" t="str">
        <f>IF(SEFAZ!L872="","",SEFAZ!L872)</f>
        <v/>
      </c>
      <c r="I888" t="str">
        <f>IF(SEFAZ!N872="","",SEFAZ!N872)</f>
        <v/>
      </c>
      <c r="J888" t="str">
        <f>IF(SEFAZ!O872="","",SEFAZ!O872)</f>
        <v/>
      </c>
      <c r="K888" s="11" t="str">
        <f>IF(SEFAZ!P872="","",SEFAZ!P872)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hidden="1" x14ac:dyDescent="0.3">
      <c r="B889" t="str">
        <f>IF(SEFAZ!A873="","",SEFAZ!A873)</f>
        <v/>
      </c>
      <c r="C889" t="str">
        <f>IF(SEFAZ!C873="","",SEFAZ!C873)</f>
        <v/>
      </c>
      <c r="D889" t="str">
        <f>IF(SEFAZ!D873="","",SEFAZ!D873)</f>
        <v/>
      </c>
      <c r="E889" s="7" t="str">
        <f>IF(SEFAZ!E873="","",SEFAZ!E873)</f>
        <v/>
      </c>
      <c r="F889" s="6" t="str">
        <f>IF(SEFAZ!F873="","",VALUE(SUBSTITUTE(SEFAZ!F873,"'","")))</f>
        <v/>
      </c>
      <c r="G889" t="str">
        <f>IF(SEFAZ!H873="","",SEFAZ!H873)</f>
        <v/>
      </c>
      <c r="H889" t="str">
        <f>IF(SEFAZ!L873="","",SEFAZ!L873)</f>
        <v/>
      </c>
      <c r="I889" t="str">
        <f>IF(SEFAZ!N873="","",SEFAZ!N873)</f>
        <v/>
      </c>
      <c r="J889" t="str">
        <f>IF(SEFAZ!O873="","",SEFAZ!O873)</f>
        <v/>
      </c>
      <c r="K889" s="11" t="str">
        <f>IF(SEFAZ!P873="","",SEFAZ!P873)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hidden="1" x14ac:dyDescent="0.3">
      <c r="B890" t="str">
        <f>IF(SEFAZ!A874="","",SEFAZ!A874)</f>
        <v/>
      </c>
      <c r="C890" t="str">
        <f>IF(SEFAZ!C874="","",SEFAZ!C874)</f>
        <v/>
      </c>
      <c r="D890" t="str">
        <f>IF(SEFAZ!D874="","",SEFAZ!D874)</f>
        <v/>
      </c>
      <c r="E890" s="7" t="str">
        <f>IF(SEFAZ!E874="","",SEFAZ!E874)</f>
        <v/>
      </c>
      <c r="F890" s="6" t="str">
        <f>IF(SEFAZ!F874="","",VALUE(SUBSTITUTE(SEFAZ!F874,"'","")))</f>
        <v/>
      </c>
      <c r="G890" t="str">
        <f>IF(SEFAZ!H874="","",SEFAZ!H874)</f>
        <v/>
      </c>
      <c r="H890" t="str">
        <f>IF(SEFAZ!L874="","",SEFAZ!L874)</f>
        <v/>
      </c>
      <c r="I890" t="str">
        <f>IF(SEFAZ!N874="","",SEFAZ!N874)</f>
        <v/>
      </c>
      <c r="J890" t="str">
        <f>IF(SEFAZ!O874="","",SEFAZ!O874)</f>
        <v/>
      </c>
      <c r="K890" s="11" t="str">
        <f>IF(SEFAZ!P874="","",SEFAZ!P874)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hidden="1" x14ac:dyDescent="0.3">
      <c r="B891" t="str">
        <f>IF(SEFAZ!A875="","",SEFAZ!A875)</f>
        <v/>
      </c>
      <c r="C891" t="str">
        <f>IF(SEFAZ!C875="","",SEFAZ!C875)</f>
        <v/>
      </c>
      <c r="D891" t="str">
        <f>IF(SEFAZ!D875="","",SEFAZ!D875)</f>
        <v/>
      </c>
      <c r="E891" s="7" t="str">
        <f>IF(SEFAZ!E875="","",SEFAZ!E875)</f>
        <v/>
      </c>
      <c r="F891" s="6" t="str">
        <f>IF(SEFAZ!F875="","",VALUE(SUBSTITUTE(SEFAZ!F875,"'","")))</f>
        <v/>
      </c>
      <c r="G891" t="str">
        <f>IF(SEFAZ!H875="","",SEFAZ!H875)</f>
        <v/>
      </c>
      <c r="H891" t="str">
        <f>IF(SEFAZ!L875="","",SEFAZ!L875)</f>
        <v/>
      </c>
      <c r="I891" t="str">
        <f>IF(SEFAZ!N875="","",SEFAZ!N875)</f>
        <v/>
      </c>
      <c r="J891" t="str">
        <f>IF(SEFAZ!O875="","",SEFAZ!O875)</f>
        <v/>
      </c>
      <c r="K891" s="11" t="str">
        <f>IF(SEFAZ!P875="","",SEFAZ!P875)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hidden="1" x14ac:dyDescent="0.3">
      <c r="B892" t="str">
        <f>IF(SEFAZ!A876="","",SEFAZ!A876)</f>
        <v/>
      </c>
      <c r="C892" t="str">
        <f>IF(SEFAZ!C876="","",SEFAZ!C876)</f>
        <v/>
      </c>
      <c r="D892" t="str">
        <f>IF(SEFAZ!D876="","",SEFAZ!D876)</f>
        <v/>
      </c>
      <c r="E892" s="7" t="str">
        <f>IF(SEFAZ!E876="","",SEFAZ!E876)</f>
        <v/>
      </c>
      <c r="F892" s="6" t="str">
        <f>IF(SEFAZ!F876="","",VALUE(SUBSTITUTE(SEFAZ!F876,"'","")))</f>
        <v/>
      </c>
      <c r="G892" t="str">
        <f>IF(SEFAZ!H876="","",SEFAZ!H876)</f>
        <v/>
      </c>
      <c r="H892" t="str">
        <f>IF(SEFAZ!L876="","",SEFAZ!L876)</f>
        <v/>
      </c>
      <c r="I892" t="str">
        <f>IF(SEFAZ!N876="","",SEFAZ!N876)</f>
        <v/>
      </c>
      <c r="J892" t="str">
        <f>IF(SEFAZ!O876="","",SEFAZ!O876)</f>
        <v/>
      </c>
      <c r="K892" s="11" t="str">
        <f>IF(SEFAZ!P876="","",SEFAZ!P876)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hidden="1" x14ac:dyDescent="0.3">
      <c r="B893" t="str">
        <f>IF(SEFAZ!A877="","",SEFAZ!A877)</f>
        <v/>
      </c>
      <c r="C893" t="str">
        <f>IF(SEFAZ!C877="","",SEFAZ!C877)</f>
        <v/>
      </c>
      <c r="D893" t="str">
        <f>IF(SEFAZ!D877="","",SEFAZ!D877)</f>
        <v/>
      </c>
      <c r="E893" s="7" t="str">
        <f>IF(SEFAZ!E877="","",SEFAZ!E877)</f>
        <v/>
      </c>
      <c r="F893" s="6" t="str">
        <f>IF(SEFAZ!F877="","",VALUE(SUBSTITUTE(SEFAZ!F877,"'","")))</f>
        <v/>
      </c>
      <c r="G893" t="str">
        <f>IF(SEFAZ!H877="","",SEFAZ!H877)</f>
        <v/>
      </c>
      <c r="H893" t="str">
        <f>IF(SEFAZ!L877="","",SEFAZ!L877)</f>
        <v/>
      </c>
      <c r="I893" t="str">
        <f>IF(SEFAZ!N877="","",SEFAZ!N877)</f>
        <v/>
      </c>
      <c r="J893" t="str">
        <f>IF(SEFAZ!O877="","",SEFAZ!O877)</f>
        <v/>
      </c>
      <c r="K893" s="11" t="str">
        <f>IF(SEFAZ!P877="","",SEFAZ!P877)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hidden="1" x14ac:dyDescent="0.3">
      <c r="B894" t="str">
        <f>IF(SEFAZ!A878="","",SEFAZ!A878)</f>
        <v/>
      </c>
      <c r="C894" t="str">
        <f>IF(SEFAZ!C878="","",SEFAZ!C878)</f>
        <v/>
      </c>
      <c r="D894" t="str">
        <f>IF(SEFAZ!D878="","",SEFAZ!D878)</f>
        <v/>
      </c>
      <c r="E894" s="7" t="str">
        <f>IF(SEFAZ!E878="","",SEFAZ!E878)</f>
        <v/>
      </c>
      <c r="F894" s="6" t="str">
        <f>IF(SEFAZ!F878="","",VALUE(SUBSTITUTE(SEFAZ!F878,"'","")))</f>
        <v/>
      </c>
      <c r="G894" t="str">
        <f>IF(SEFAZ!H878="","",SEFAZ!H878)</f>
        <v/>
      </c>
      <c r="H894" t="str">
        <f>IF(SEFAZ!L878="","",SEFAZ!L878)</f>
        <v/>
      </c>
      <c r="I894" t="str">
        <f>IF(SEFAZ!N878="","",SEFAZ!N878)</f>
        <v/>
      </c>
      <c r="J894" t="str">
        <f>IF(SEFAZ!O878="","",SEFAZ!O878)</f>
        <v/>
      </c>
      <c r="K894" s="11" t="str">
        <f>IF(SEFAZ!P878="","",SEFAZ!P878)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hidden="1" x14ac:dyDescent="0.3">
      <c r="B895" t="str">
        <f>IF(SEFAZ!A879="","",SEFAZ!A879)</f>
        <v/>
      </c>
      <c r="C895" t="str">
        <f>IF(SEFAZ!C879="","",SEFAZ!C879)</f>
        <v/>
      </c>
      <c r="D895" t="str">
        <f>IF(SEFAZ!D879="","",SEFAZ!D879)</f>
        <v/>
      </c>
      <c r="E895" s="7" t="str">
        <f>IF(SEFAZ!E879="","",SEFAZ!E879)</f>
        <v/>
      </c>
      <c r="F895" s="6" t="str">
        <f>IF(SEFAZ!F879="","",VALUE(SUBSTITUTE(SEFAZ!F879,"'","")))</f>
        <v/>
      </c>
      <c r="G895" t="str">
        <f>IF(SEFAZ!H879="","",SEFAZ!H879)</f>
        <v/>
      </c>
      <c r="H895" t="str">
        <f>IF(SEFAZ!L879="","",SEFAZ!L879)</f>
        <v/>
      </c>
      <c r="I895" t="str">
        <f>IF(SEFAZ!N879="","",SEFAZ!N879)</f>
        <v/>
      </c>
      <c r="J895" t="str">
        <f>IF(SEFAZ!O879="","",SEFAZ!O879)</f>
        <v/>
      </c>
      <c r="K895" s="11" t="str">
        <f>IF(SEFAZ!P879="","",SEFAZ!P879)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hidden="1" x14ac:dyDescent="0.3">
      <c r="B896" t="str">
        <f>IF(SEFAZ!A880="","",SEFAZ!A880)</f>
        <v/>
      </c>
      <c r="C896" t="str">
        <f>IF(SEFAZ!C880="","",SEFAZ!C880)</f>
        <v/>
      </c>
      <c r="D896" t="str">
        <f>IF(SEFAZ!D880="","",SEFAZ!D880)</f>
        <v/>
      </c>
      <c r="E896" s="7" t="str">
        <f>IF(SEFAZ!E880="","",SEFAZ!E880)</f>
        <v/>
      </c>
      <c r="F896" s="6" t="str">
        <f>IF(SEFAZ!F880="","",VALUE(SUBSTITUTE(SEFAZ!F880,"'","")))</f>
        <v/>
      </c>
      <c r="G896" t="str">
        <f>IF(SEFAZ!H880="","",SEFAZ!H880)</f>
        <v/>
      </c>
      <c r="H896" t="str">
        <f>IF(SEFAZ!L880="","",SEFAZ!L880)</f>
        <v/>
      </c>
      <c r="I896" t="str">
        <f>IF(SEFAZ!N880="","",SEFAZ!N880)</f>
        <v/>
      </c>
      <c r="J896" t="str">
        <f>IF(SEFAZ!O880="","",SEFAZ!O880)</f>
        <v/>
      </c>
      <c r="K896" s="11" t="str">
        <f>IF(SEFAZ!P880="","",SEFAZ!P880)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hidden="1" x14ac:dyDescent="0.3">
      <c r="B897" t="str">
        <f>IF(SEFAZ!A881="","",SEFAZ!A881)</f>
        <v/>
      </c>
      <c r="C897" t="str">
        <f>IF(SEFAZ!C881="","",SEFAZ!C881)</f>
        <v/>
      </c>
      <c r="D897" t="str">
        <f>IF(SEFAZ!D881="","",SEFAZ!D881)</f>
        <v/>
      </c>
      <c r="E897" s="7" t="str">
        <f>IF(SEFAZ!E881="","",SEFAZ!E881)</f>
        <v/>
      </c>
      <c r="F897" s="6" t="str">
        <f>IF(SEFAZ!F881="","",VALUE(SUBSTITUTE(SEFAZ!F881,"'","")))</f>
        <v/>
      </c>
      <c r="G897" t="str">
        <f>IF(SEFAZ!H881="","",SEFAZ!H881)</f>
        <v/>
      </c>
      <c r="H897" t="str">
        <f>IF(SEFAZ!L881="","",SEFAZ!L881)</f>
        <v/>
      </c>
      <c r="I897" t="str">
        <f>IF(SEFAZ!N881="","",SEFAZ!N881)</f>
        <v/>
      </c>
      <c r="J897" t="str">
        <f>IF(SEFAZ!O881="","",SEFAZ!O881)</f>
        <v/>
      </c>
      <c r="K897" s="11" t="str">
        <f>IF(SEFAZ!P881="","",SEFAZ!P881)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hidden="1" x14ac:dyDescent="0.3">
      <c r="B898" t="str">
        <f>IF(SEFAZ!A882="","",SEFAZ!A882)</f>
        <v/>
      </c>
      <c r="C898" t="str">
        <f>IF(SEFAZ!C882="","",SEFAZ!C882)</f>
        <v/>
      </c>
      <c r="D898" t="str">
        <f>IF(SEFAZ!D882="","",SEFAZ!D882)</f>
        <v/>
      </c>
      <c r="E898" s="7" t="str">
        <f>IF(SEFAZ!E882="","",SEFAZ!E882)</f>
        <v/>
      </c>
      <c r="F898" s="6" t="str">
        <f>IF(SEFAZ!F882="","",VALUE(SUBSTITUTE(SEFAZ!F882,"'","")))</f>
        <v/>
      </c>
      <c r="G898" t="str">
        <f>IF(SEFAZ!H882="","",SEFAZ!H882)</f>
        <v/>
      </c>
      <c r="H898" t="str">
        <f>IF(SEFAZ!L882="","",SEFAZ!L882)</f>
        <v/>
      </c>
      <c r="I898" t="str">
        <f>IF(SEFAZ!N882="","",SEFAZ!N882)</f>
        <v/>
      </c>
      <c r="J898" t="str">
        <f>IF(SEFAZ!O882="","",SEFAZ!O882)</f>
        <v/>
      </c>
      <c r="K898" s="11" t="str">
        <f>IF(SEFAZ!P882="","",SEFAZ!P882)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hidden="1" x14ac:dyDescent="0.3">
      <c r="B899" t="str">
        <f>IF(SEFAZ!A883="","",SEFAZ!A883)</f>
        <v/>
      </c>
      <c r="C899" t="str">
        <f>IF(SEFAZ!C883="","",SEFAZ!C883)</f>
        <v/>
      </c>
      <c r="D899" t="str">
        <f>IF(SEFAZ!D883="","",SEFAZ!D883)</f>
        <v/>
      </c>
      <c r="E899" s="7" t="str">
        <f>IF(SEFAZ!E883="","",SEFAZ!E883)</f>
        <v/>
      </c>
      <c r="F899" s="6" t="str">
        <f>IF(SEFAZ!F883="","",VALUE(SUBSTITUTE(SEFAZ!F883,"'","")))</f>
        <v/>
      </c>
      <c r="G899" t="str">
        <f>IF(SEFAZ!H883="","",SEFAZ!H883)</f>
        <v/>
      </c>
      <c r="H899" t="str">
        <f>IF(SEFAZ!L883="","",SEFAZ!L883)</f>
        <v/>
      </c>
      <c r="I899" t="str">
        <f>IF(SEFAZ!N883="","",SEFAZ!N883)</f>
        <v/>
      </c>
      <c r="J899" t="str">
        <f>IF(SEFAZ!O883="","",SEFAZ!O883)</f>
        <v/>
      </c>
      <c r="K899" s="11" t="str">
        <f>IF(SEFAZ!P883="","",SEFAZ!P883)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hidden="1" x14ac:dyDescent="0.3">
      <c r="B900" t="str">
        <f>IF(SEFAZ!A884="","",SEFAZ!A884)</f>
        <v/>
      </c>
      <c r="C900" t="str">
        <f>IF(SEFAZ!C884="","",SEFAZ!C884)</f>
        <v/>
      </c>
      <c r="D900" t="str">
        <f>IF(SEFAZ!D884="","",SEFAZ!D884)</f>
        <v/>
      </c>
      <c r="E900" s="7" t="str">
        <f>IF(SEFAZ!E884="","",SEFAZ!E884)</f>
        <v/>
      </c>
      <c r="F900" s="6" t="str">
        <f>IF(SEFAZ!F884="","",VALUE(SUBSTITUTE(SEFAZ!F884,"'","")))</f>
        <v/>
      </c>
      <c r="G900" t="str">
        <f>IF(SEFAZ!H884="","",SEFAZ!H884)</f>
        <v/>
      </c>
      <c r="H900" t="str">
        <f>IF(SEFAZ!L884="","",SEFAZ!L884)</f>
        <v/>
      </c>
      <c r="I900" t="str">
        <f>IF(SEFAZ!N884="","",SEFAZ!N884)</f>
        <v/>
      </c>
      <c r="J900" t="str">
        <f>IF(SEFAZ!O884="","",SEFAZ!O884)</f>
        <v/>
      </c>
      <c r="K900" s="11" t="str">
        <f>IF(SEFAZ!P884="","",SEFAZ!P884)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hidden="1" x14ac:dyDescent="0.3">
      <c r="B901" t="str">
        <f>IF(SEFAZ!A885="","",SEFAZ!A885)</f>
        <v/>
      </c>
      <c r="C901" t="str">
        <f>IF(SEFAZ!C885="","",SEFAZ!C885)</f>
        <v/>
      </c>
      <c r="D901" t="str">
        <f>IF(SEFAZ!D885="","",SEFAZ!D885)</f>
        <v/>
      </c>
      <c r="E901" s="7" t="str">
        <f>IF(SEFAZ!E885="","",SEFAZ!E885)</f>
        <v/>
      </c>
      <c r="F901" s="6" t="str">
        <f>IF(SEFAZ!F885="","",VALUE(SUBSTITUTE(SEFAZ!F885,"'","")))</f>
        <v/>
      </c>
      <c r="G901" t="str">
        <f>IF(SEFAZ!H885="","",SEFAZ!H885)</f>
        <v/>
      </c>
      <c r="H901" t="str">
        <f>IF(SEFAZ!L885="","",SEFAZ!L885)</f>
        <v/>
      </c>
      <c r="I901" t="str">
        <f>IF(SEFAZ!N885="","",SEFAZ!N885)</f>
        <v/>
      </c>
      <c r="J901" t="str">
        <f>IF(SEFAZ!O885="","",SEFAZ!O885)</f>
        <v/>
      </c>
      <c r="K901" s="11" t="str">
        <f>IF(SEFAZ!P885="","",SEFAZ!P885)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hidden="1" x14ac:dyDescent="0.3">
      <c r="B902" t="str">
        <f>IF(SEFAZ!A886="","",SEFAZ!A886)</f>
        <v/>
      </c>
      <c r="C902" t="str">
        <f>IF(SEFAZ!C886="","",SEFAZ!C886)</f>
        <v/>
      </c>
      <c r="D902" t="str">
        <f>IF(SEFAZ!D886="","",SEFAZ!D886)</f>
        <v/>
      </c>
      <c r="E902" s="7" t="str">
        <f>IF(SEFAZ!E886="","",SEFAZ!E886)</f>
        <v/>
      </c>
      <c r="F902" s="6" t="str">
        <f>IF(SEFAZ!F886="","",VALUE(SUBSTITUTE(SEFAZ!F886,"'","")))</f>
        <v/>
      </c>
      <c r="G902" t="str">
        <f>IF(SEFAZ!H886="","",SEFAZ!H886)</f>
        <v/>
      </c>
      <c r="H902" t="str">
        <f>IF(SEFAZ!L886="","",SEFAZ!L886)</f>
        <v/>
      </c>
      <c r="I902" t="str">
        <f>IF(SEFAZ!N886="","",SEFAZ!N886)</f>
        <v/>
      </c>
      <c r="J902" t="str">
        <f>IF(SEFAZ!O886="","",SEFAZ!O886)</f>
        <v/>
      </c>
      <c r="K902" s="11" t="str">
        <f>IF(SEFAZ!P886="","",SEFAZ!P886)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hidden="1" x14ac:dyDescent="0.3">
      <c r="B903" t="str">
        <f>IF(SEFAZ!A887="","",SEFAZ!A887)</f>
        <v/>
      </c>
      <c r="C903" t="str">
        <f>IF(SEFAZ!C887="","",SEFAZ!C887)</f>
        <v/>
      </c>
      <c r="D903" t="str">
        <f>IF(SEFAZ!D887="","",SEFAZ!D887)</f>
        <v/>
      </c>
      <c r="E903" s="7" t="str">
        <f>IF(SEFAZ!E887="","",SEFAZ!E887)</f>
        <v/>
      </c>
      <c r="F903" s="6" t="str">
        <f>IF(SEFAZ!F887="","",VALUE(SUBSTITUTE(SEFAZ!F887,"'","")))</f>
        <v/>
      </c>
      <c r="G903" t="str">
        <f>IF(SEFAZ!H887="","",SEFAZ!H887)</f>
        <v/>
      </c>
      <c r="H903" t="str">
        <f>IF(SEFAZ!L887="","",SEFAZ!L887)</f>
        <v/>
      </c>
      <c r="I903" t="str">
        <f>IF(SEFAZ!N887="","",SEFAZ!N887)</f>
        <v/>
      </c>
      <c r="J903" t="str">
        <f>IF(SEFAZ!O887="","",SEFAZ!O887)</f>
        <v/>
      </c>
      <c r="K903" s="11" t="str">
        <f>IF(SEFAZ!P887="","",SEFAZ!P887)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hidden="1" x14ac:dyDescent="0.3">
      <c r="B904" t="str">
        <f>IF(SEFAZ!A888="","",SEFAZ!A888)</f>
        <v/>
      </c>
      <c r="C904" t="str">
        <f>IF(SEFAZ!C888="","",SEFAZ!C888)</f>
        <v/>
      </c>
      <c r="D904" t="str">
        <f>IF(SEFAZ!D888="","",SEFAZ!D888)</f>
        <v/>
      </c>
      <c r="E904" s="7" t="str">
        <f>IF(SEFAZ!E888="","",SEFAZ!E888)</f>
        <v/>
      </c>
      <c r="F904" s="6" t="str">
        <f>IF(SEFAZ!F888="","",VALUE(SUBSTITUTE(SEFAZ!F888,"'","")))</f>
        <v/>
      </c>
      <c r="G904" t="str">
        <f>IF(SEFAZ!H888="","",SEFAZ!H888)</f>
        <v/>
      </c>
      <c r="H904" t="str">
        <f>IF(SEFAZ!L888="","",SEFAZ!L888)</f>
        <v/>
      </c>
      <c r="I904" t="str">
        <f>IF(SEFAZ!N888="","",SEFAZ!N888)</f>
        <v/>
      </c>
      <c r="J904" t="str">
        <f>IF(SEFAZ!O888="","",SEFAZ!O888)</f>
        <v/>
      </c>
      <c r="K904" s="11" t="str">
        <f>IF(SEFAZ!P888="","",SEFAZ!P888)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hidden="1" x14ac:dyDescent="0.3">
      <c r="B905" t="str">
        <f>IF(SEFAZ!A889="","",SEFAZ!A889)</f>
        <v/>
      </c>
      <c r="C905" t="str">
        <f>IF(SEFAZ!C889="","",SEFAZ!C889)</f>
        <v/>
      </c>
      <c r="D905" t="str">
        <f>IF(SEFAZ!D889="","",SEFAZ!D889)</f>
        <v/>
      </c>
      <c r="E905" s="7" t="str">
        <f>IF(SEFAZ!E889="","",SEFAZ!E889)</f>
        <v/>
      </c>
      <c r="F905" s="6" t="str">
        <f>IF(SEFAZ!F889="","",VALUE(SUBSTITUTE(SEFAZ!F889,"'","")))</f>
        <v/>
      </c>
      <c r="G905" t="str">
        <f>IF(SEFAZ!H889="","",SEFAZ!H889)</f>
        <v/>
      </c>
      <c r="H905" t="str">
        <f>IF(SEFAZ!L889="","",SEFAZ!L889)</f>
        <v/>
      </c>
      <c r="I905" t="str">
        <f>IF(SEFAZ!N889="","",SEFAZ!N889)</f>
        <v/>
      </c>
      <c r="J905" t="str">
        <f>IF(SEFAZ!O889="","",SEFAZ!O889)</f>
        <v/>
      </c>
      <c r="K905" s="11" t="str">
        <f>IF(SEFAZ!P889="","",SEFAZ!P889)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hidden="1" x14ac:dyDescent="0.3">
      <c r="B906" t="str">
        <f>IF(SEFAZ!A890="","",SEFAZ!A890)</f>
        <v/>
      </c>
      <c r="C906" t="str">
        <f>IF(SEFAZ!C890="","",SEFAZ!C890)</f>
        <v/>
      </c>
      <c r="D906" t="str">
        <f>IF(SEFAZ!D890="","",SEFAZ!D890)</f>
        <v/>
      </c>
      <c r="E906" s="7" t="str">
        <f>IF(SEFAZ!E890="","",SEFAZ!E890)</f>
        <v/>
      </c>
      <c r="F906" s="6" t="str">
        <f>IF(SEFAZ!F890="","",VALUE(SUBSTITUTE(SEFAZ!F890,"'","")))</f>
        <v/>
      </c>
      <c r="G906" t="str">
        <f>IF(SEFAZ!H890="","",SEFAZ!H890)</f>
        <v/>
      </c>
      <c r="H906" t="str">
        <f>IF(SEFAZ!L890="","",SEFAZ!L890)</f>
        <v/>
      </c>
      <c r="I906" t="str">
        <f>IF(SEFAZ!N890="","",SEFAZ!N890)</f>
        <v/>
      </c>
      <c r="J906" t="str">
        <f>IF(SEFAZ!O890="","",SEFAZ!O890)</f>
        <v/>
      </c>
      <c r="K906" s="11" t="str">
        <f>IF(SEFAZ!P890="","",SEFAZ!P890)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hidden="1" x14ac:dyDescent="0.3">
      <c r="B907" t="str">
        <f>IF(SEFAZ!A891="","",SEFAZ!A891)</f>
        <v/>
      </c>
      <c r="C907" t="str">
        <f>IF(SEFAZ!C891="","",SEFAZ!C891)</f>
        <v/>
      </c>
      <c r="D907" t="str">
        <f>IF(SEFAZ!D891="","",SEFAZ!D891)</f>
        <v/>
      </c>
      <c r="E907" s="7" t="str">
        <f>IF(SEFAZ!E891="","",SEFAZ!E891)</f>
        <v/>
      </c>
      <c r="F907" s="6" t="str">
        <f>IF(SEFAZ!F891="","",VALUE(SUBSTITUTE(SEFAZ!F891,"'","")))</f>
        <v/>
      </c>
      <c r="G907" t="str">
        <f>IF(SEFAZ!H891="","",SEFAZ!H891)</f>
        <v/>
      </c>
      <c r="H907" t="str">
        <f>IF(SEFAZ!L891="","",SEFAZ!L891)</f>
        <v/>
      </c>
      <c r="I907" t="str">
        <f>IF(SEFAZ!N891="","",SEFAZ!N891)</f>
        <v/>
      </c>
      <c r="J907" t="str">
        <f>IF(SEFAZ!O891="","",SEFAZ!O891)</f>
        <v/>
      </c>
      <c r="K907" s="11" t="str">
        <f>IF(SEFAZ!P891="","",SEFAZ!P891)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hidden="1" x14ac:dyDescent="0.3">
      <c r="B908" t="str">
        <f>IF(SEFAZ!A892="","",SEFAZ!A892)</f>
        <v/>
      </c>
      <c r="C908" t="str">
        <f>IF(SEFAZ!C892="","",SEFAZ!C892)</f>
        <v/>
      </c>
      <c r="D908" t="str">
        <f>IF(SEFAZ!D892="","",SEFAZ!D892)</f>
        <v/>
      </c>
      <c r="E908" s="7" t="str">
        <f>IF(SEFAZ!E892="","",SEFAZ!E892)</f>
        <v/>
      </c>
      <c r="F908" s="6" t="str">
        <f>IF(SEFAZ!F892="","",VALUE(SUBSTITUTE(SEFAZ!F892,"'","")))</f>
        <v/>
      </c>
      <c r="G908" t="str">
        <f>IF(SEFAZ!H892="","",SEFAZ!H892)</f>
        <v/>
      </c>
      <c r="H908" t="str">
        <f>IF(SEFAZ!L892="","",SEFAZ!L892)</f>
        <v/>
      </c>
      <c r="I908" t="str">
        <f>IF(SEFAZ!N892="","",SEFAZ!N892)</f>
        <v/>
      </c>
      <c r="J908" t="str">
        <f>IF(SEFAZ!O892="","",SEFAZ!O892)</f>
        <v/>
      </c>
      <c r="K908" s="11" t="str">
        <f>IF(SEFAZ!P892="","",SEFAZ!P892)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hidden="1" x14ac:dyDescent="0.3">
      <c r="B909" t="str">
        <f>IF(SEFAZ!A893="","",SEFAZ!A893)</f>
        <v/>
      </c>
      <c r="C909" t="str">
        <f>IF(SEFAZ!C893="","",SEFAZ!C893)</f>
        <v/>
      </c>
      <c r="D909" t="str">
        <f>IF(SEFAZ!D893="","",SEFAZ!D893)</f>
        <v/>
      </c>
      <c r="E909" s="7" t="str">
        <f>IF(SEFAZ!E893="","",SEFAZ!E893)</f>
        <v/>
      </c>
      <c r="F909" s="6" t="str">
        <f>IF(SEFAZ!F893="","",VALUE(SUBSTITUTE(SEFAZ!F893,"'","")))</f>
        <v/>
      </c>
      <c r="G909" t="str">
        <f>IF(SEFAZ!H893="","",SEFAZ!H893)</f>
        <v/>
      </c>
      <c r="H909" t="str">
        <f>IF(SEFAZ!L893="","",SEFAZ!L893)</f>
        <v/>
      </c>
      <c r="I909" t="str">
        <f>IF(SEFAZ!N893="","",SEFAZ!N893)</f>
        <v/>
      </c>
      <c r="J909" t="str">
        <f>IF(SEFAZ!O893="","",SEFAZ!O893)</f>
        <v/>
      </c>
      <c r="K909" s="11" t="str">
        <f>IF(SEFAZ!P893="","",SEFAZ!P893)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hidden="1" x14ac:dyDescent="0.3">
      <c r="B910" t="str">
        <f>IF(SEFAZ!A894="","",SEFAZ!A894)</f>
        <v/>
      </c>
      <c r="C910" t="str">
        <f>IF(SEFAZ!C894="","",SEFAZ!C894)</f>
        <v/>
      </c>
      <c r="D910" t="str">
        <f>IF(SEFAZ!D894="","",SEFAZ!D894)</f>
        <v/>
      </c>
      <c r="E910" s="7" t="str">
        <f>IF(SEFAZ!E894="","",SEFAZ!E894)</f>
        <v/>
      </c>
      <c r="F910" s="6" t="str">
        <f>IF(SEFAZ!F894="","",VALUE(SUBSTITUTE(SEFAZ!F894,"'","")))</f>
        <v/>
      </c>
      <c r="G910" t="str">
        <f>IF(SEFAZ!H894="","",SEFAZ!H894)</f>
        <v/>
      </c>
      <c r="H910" t="str">
        <f>IF(SEFAZ!L894="","",SEFAZ!L894)</f>
        <v/>
      </c>
      <c r="I910" t="str">
        <f>IF(SEFAZ!N894="","",SEFAZ!N894)</f>
        <v/>
      </c>
      <c r="J910" t="str">
        <f>IF(SEFAZ!O894="","",SEFAZ!O894)</f>
        <v/>
      </c>
      <c r="K910" s="11" t="str">
        <f>IF(SEFAZ!P894="","",SEFAZ!P894)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hidden="1" x14ac:dyDescent="0.3">
      <c r="B911" t="str">
        <f>IF(SEFAZ!A895="","",SEFAZ!A895)</f>
        <v/>
      </c>
      <c r="C911" t="str">
        <f>IF(SEFAZ!C895="","",SEFAZ!C895)</f>
        <v/>
      </c>
      <c r="D911" t="str">
        <f>IF(SEFAZ!D895="","",SEFAZ!D895)</f>
        <v/>
      </c>
      <c r="E911" s="7" t="str">
        <f>IF(SEFAZ!E895="","",SEFAZ!E895)</f>
        <v/>
      </c>
      <c r="F911" s="6" t="str">
        <f>IF(SEFAZ!F895="","",VALUE(SUBSTITUTE(SEFAZ!F895,"'","")))</f>
        <v/>
      </c>
      <c r="G911" t="str">
        <f>IF(SEFAZ!H895="","",SEFAZ!H895)</f>
        <v/>
      </c>
      <c r="H911" t="str">
        <f>IF(SEFAZ!L895="","",SEFAZ!L895)</f>
        <v/>
      </c>
      <c r="I911" t="str">
        <f>IF(SEFAZ!N895="","",SEFAZ!N895)</f>
        <v/>
      </c>
      <c r="J911" t="str">
        <f>IF(SEFAZ!O895="","",SEFAZ!O895)</f>
        <v/>
      </c>
      <c r="K911" s="11" t="str">
        <f>IF(SEFAZ!P895="","",SEFAZ!P895)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hidden="1" x14ac:dyDescent="0.3">
      <c r="B912" t="str">
        <f>IF(SEFAZ!A896="","",SEFAZ!A896)</f>
        <v/>
      </c>
      <c r="C912" t="str">
        <f>IF(SEFAZ!C896="","",SEFAZ!C896)</f>
        <v/>
      </c>
      <c r="D912" t="str">
        <f>IF(SEFAZ!D896="","",SEFAZ!D896)</f>
        <v/>
      </c>
      <c r="E912" s="7" t="str">
        <f>IF(SEFAZ!E896="","",SEFAZ!E896)</f>
        <v/>
      </c>
      <c r="F912" s="6" t="str">
        <f>IF(SEFAZ!F896="","",VALUE(SUBSTITUTE(SEFAZ!F896,"'","")))</f>
        <v/>
      </c>
      <c r="G912" t="str">
        <f>IF(SEFAZ!H896="","",SEFAZ!H896)</f>
        <v/>
      </c>
      <c r="H912" t="str">
        <f>IF(SEFAZ!L896="","",SEFAZ!L896)</f>
        <v/>
      </c>
      <c r="I912" t="str">
        <f>IF(SEFAZ!N896="","",SEFAZ!N896)</f>
        <v/>
      </c>
      <c r="J912" t="str">
        <f>IF(SEFAZ!O896="","",SEFAZ!O896)</f>
        <v/>
      </c>
      <c r="K912" s="11" t="str">
        <f>IF(SEFAZ!P896="","",SEFAZ!P896)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hidden="1" x14ac:dyDescent="0.3">
      <c r="B913" t="str">
        <f>IF(SEFAZ!A897="","",SEFAZ!A897)</f>
        <v/>
      </c>
      <c r="C913" t="str">
        <f>IF(SEFAZ!C897="","",SEFAZ!C897)</f>
        <v/>
      </c>
      <c r="D913" t="str">
        <f>IF(SEFAZ!D897="","",SEFAZ!D897)</f>
        <v/>
      </c>
      <c r="E913" s="7" t="str">
        <f>IF(SEFAZ!E897="","",SEFAZ!E897)</f>
        <v/>
      </c>
      <c r="F913" s="6" t="str">
        <f>IF(SEFAZ!F897="","",VALUE(SUBSTITUTE(SEFAZ!F897,"'","")))</f>
        <v/>
      </c>
      <c r="G913" t="str">
        <f>IF(SEFAZ!H897="","",SEFAZ!H897)</f>
        <v/>
      </c>
      <c r="H913" t="str">
        <f>IF(SEFAZ!L897="","",SEFAZ!L897)</f>
        <v/>
      </c>
      <c r="I913" t="str">
        <f>IF(SEFAZ!N897="","",SEFAZ!N897)</f>
        <v/>
      </c>
      <c r="J913" t="str">
        <f>IF(SEFAZ!O897="","",SEFAZ!O897)</f>
        <v/>
      </c>
      <c r="K913" s="11" t="str">
        <f>IF(SEFAZ!P897="","",SEFAZ!P897)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hidden="1" x14ac:dyDescent="0.3">
      <c r="B914" t="str">
        <f>IF(SEFAZ!A898="","",SEFAZ!A898)</f>
        <v/>
      </c>
      <c r="C914" t="str">
        <f>IF(SEFAZ!C898="","",SEFAZ!C898)</f>
        <v/>
      </c>
      <c r="D914" t="str">
        <f>IF(SEFAZ!D898="","",SEFAZ!D898)</f>
        <v/>
      </c>
      <c r="E914" s="7" t="str">
        <f>IF(SEFAZ!E898="","",SEFAZ!E898)</f>
        <v/>
      </c>
      <c r="F914" s="6" t="str">
        <f>IF(SEFAZ!F898="","",VALUE(SUBSTITUTE(SEFAZ!F898,"'","")))</f>
        <v/>
      </c>
      <c r="G914" t="str">
        <f>IF(SEFAZ!H898="","",SEFAZ!H898)</f>
        <v/>
      </c>
      <c r="H914" t="str">
        <f>IF(SEFAZ!L898="","",SEFAZ!L898)</f>
        <v/>
      </c>
      <c r="I914" t="str">
        <f>IF(SEFAZ!N898="","",SEFAZ!N898)</f>
        <v/>
      </c>
      <c r="J914" t="str">
        <f>IF(SEFAZ!O898="","",SEFAZ!O898)</f>
        <v/>
      </c>
      <c r="K914" s="11" t="str">
        <f>IF(SEFAZ!P898="","",SEFAZ!P898)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hidden="1" x14ac:dyDescent="0.3">
      <c r="B915" t="str">
        <f>IF(SEFAZ!A899="","",SEFAZ!A899)</f>
        <v/>
      </c>
      <c r="C915" t="str">
        <f>IF(SEFAZ!C899="","",SEFAZ!C899)</f>
        <v/>
      </c>
      <c r="D915" t="str">
        <f>IF(SEFAZ!D899="","",SEFAZ!D899)</f>
        <v/>
      </c>
      <c r="E915" s="7" t="str">
        <f>IF(SEFAZ!E899="","",SEFAZ!E899)</f>
        <v/>
      </c>
      <c r="F915" s="6" t="str">
        <f>IF(SEFAZ!F899="","",VALUE(SUBSTITUTE(SEFAZ!F899,"'","")))</f>
        <v/>
      </c>
      <c r="G915" t="str">
        <f>IF(SEFAZ!H899="","",SEFAZ!H899)</f>
        <v/>
      </c>
      <c r="H915" t="str">
        <f>IF(SEFAZ!L899="","",SEFAZ!L899)</f>
        <v/>
      </c>
      <c r="I915" t="str">
        <f>IF(SEFAZ!N899="","",SEFAZ!N899)</f>
        <v/>
      </c>
      <c r="J915" t="str">
        <f>IF(SEFAZ!O899="","",SEFAZ!O899)</f>
        <v/>
      </c>
      <c r="K915" s="11" t="str">
        <f>IF(SEFAZ!P899="","",SEFAZ!P899)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hidden="1" x14ac:dyDescent="0.3">
      <c r="B916" t="str">
        <f>IF(SEFAZ!A900="","",SEFAZ!A900)</f>
        <v/>
      </c>
      <c r="C916" t="str">
        <f>IF(SEFAZ!C900="","",SEFAZ!C900)</f>
        <v/>
      </c>
      <c r="D916" t="str">
        <f>IF(SEFAZ!D900="","",SEFAZ!D900)</f>
        <v/>
      </c>
      <c r="E916" s="7" t="str">
        <f>IF(SEFAZ!E900="","",SEFAZ!E900)</f>
        <v/>
      </c>
      <c r="F916" s="6" t="str">
        <f>IF(SEFAZ!F900="","",VALUE(SUBSTITUTE(SEFAZ!F900,"'","")))</f>
        <v/>
      </c>
      <c r="G916" t="str">
        <f>IF(SEFAZ!H900="","",SEFAZ!H900)</f>
        <v/>
      </c>
      <c r="H916" t="str">
        <f>IF(SEFAZ!L900="","",SEFAZ!L900)</f>
        <v/>
      </c>
      <c r="I916" t="str">
        <f>IF(SEFAZ!N900="","",SEFAZ!N900)</f>
        <v/>
      </c>
      <c r="J916" t="str">
        <f>IF(SEFAZ!O900="","",SEFAZ!O900)</f>
        <v/>
      </c>
      <c r="K916" s="11" t="str">
        <f>IF(SEFAZ!P900="","",SEFAZ!P900)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hidden="1" x14ac:dyDescent="0.3">
      <c r="B917" t="str">
        <f>IF(SEFAZ!A901="","",SEFAZ!A901)</f>
        <v/>
      </c>
      <c r="C917" t="str">
        <f>IF(SEFAZ!C901="","",SEFAZ!C901)</f>
        <v/>
      </c>
      <c r="D917" t="str">
        <f>IF(SEFAZ!D901="","",SEFAZ!D901)</f>
        <v/>
      </c>
      <c r="E917" s="7" t="str">
        <f>IF(SEFAZ!E901="","",SEFAZ!E901)</f>
        <v/>
      </c>
      <c r="F917" s="6" t="str">
        <f>IF(SEFAZ!F901="","",VALUE(SUBSTITUTE(SEFAZ!F901,"'","")))</f>
        <v/>
      </c>
      <c r="G917" t="str">
        <f>IF(SEFAZ!H901="","",SEFAZ!H901)</f>
        <v/>
      </c>
      <c r="H917" t="str">
        <f>IF(SEFAZ!L901="","",SEFAZ!L901)</f>
        <v/>
      </c>
      <c r="I917" t="str">
        <f>IF(SEFAZ!N901="","",SEFAZ!N901)</f>
        <v/>
      </c>
      <c r="J917" t="str">
        <f>IF(SEFAZ!O901="","",SEFAZ!O901)</f>
        <v/>
      </c>
      <c r="K917" s="11" t="str">
        <f>IF(SEFAZ!P901="","",SEFAZ!P901)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hidden="1" x14ac:dyDescent="0.3">
      <c r="B918" t="str">
        <f>IF(SEFAZ!A902="","",SEFAZ!A902)</f>
        <v/>
      </c>
      <c r="C918" t="str">
        <f>IF(SEFAZ!C902="","",SEFAZ!C902)</f>
        <v/>
      </c>
      <c r="D918" t="str">
        <f>IF(SEFAZ!D902="","",SEFAZ!D902)</f>
        <v/>
      </c>
      <c r="E918" s="7" t="str">
        <f>IF(SEFAZ!E902="","",SEFAZ!E902)</f>
        <v/>
      </c>
      <c r="F918" s="6" t="str">
        <f>IF(SEFAZ!F902="","",VALUE(SUBSTITUTE(SEFAZ!F902,"'","")))</f>
        <v/>
      </c>
      <c r="G918" t="str">
        <f>IF(SEFAZ!H902="","",SEFAZ!H902)</f>
        <v/>
      </c>
      <c r="H918" t="str">
        <f>IF(SEFAZ!L902="","",SEFAZ!L902)</f>
        <v/>
      </c>
      <c r="I918" t="str">
        <f>IF(SEFAZ!N902="","",SEFAZ!N902)</f>
        <v/>
      </c>
      <c r="J918" t="str">
        <f>IF(SEFAZ!O902="","",SEFAZ!O902)</f>
        <v/>
      </c>
      <c r="K918" s="11" t="str">
        <f>IF(SEFAZ!P902="","",SEFAZ!P902)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hidden="1" x14ac:dyDescent="0.3">
      <c r="B919" t="str">
        <f>IF(SEFAZ!A903="","",SEFAZ!A903)</f>
        <v/>
      </c>
      <c r="C919" t="str">
        <f>IF(SEFAZ!C903="","",SEFAZ!C903)</f>
        <v/>
      </c>
      <c r="D919" t="str">
        <f>IF(SEFAZ!D903="","",SEFAZ!D903)</f>
        <v/>
      </c>
      <c r="E919" s="7" t="str">
        <f>IF(SEFAZ!E903="","",SEFAZ!E903)</f>
        <v/>
      </c>
      <c r="F919" s="6" t="str">
        <f>IF(SEFAZ!F903="","",VALUE(SUBSTITUTE(SEFAZ!F903,"'","")))</f>
        <v/>
      </c>
      <c r="G919" t="str">
        <f>IF(SEFAZ!H903="","",SEFAZ!H903)</f>
        <v/>
      </c>
      <c r="H919" t="str">
        <f>IF(SEFAZ!L903="","",SEFAZ!L903)</f>
        <v/>
      </c>
      <c r="I919" t="str">
        <f>IF(SEFAZ!N903="","",SEFAZ!N903)</f>
        <v/>
      </c>
      <c r="J919" t="str">
        <f>IF(SEFAZ!O903="","",SEFAZ!O903)</f>
        <v/>
      </c>
      <c r="K919" s="11" t="str">
        <f>IF(SEFAZ!P903="","",SEFAZ!P903)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hidden="1" x14ac:dyDescent="0.3">
      <c r="B920" t="str">
        <f>IF(SEFAZ!A904="","",SEFAZ!A904)</f>
        <v/>
      </c>
      <c r="C920" t="str">
        <f>IF(SEFAZ!C904="","",SEFAZ!C904)</f>
        <v/>
      </c>
      <c r="D920" t="str">
        <f>IF(SEFAZ!D904="","",SEFAZ!D904)</f>
        <v/>
      </c>
      <c r="E920" s="7" t="str">
        <f>IF(SEFAZ!E904="","",SEFAZ!E904)</f>
        <v/>
      </c>
      <c r="F920" s="6" t="str">
        <f>IF(SEFAZ!F904="","",VALUE(SUBSTITUTE(SEFAZ!F904,"'","")))</f>
        <v/>
      </c>
      <c r="G920" t="str">
        <f>IF(SEFAZ!H904="","",SEFAZ!H904)</f>
        <v/>
      </c>
      <c r="H920" t="str">
        <f>IF(SEFAZ!L904="","",SEFAZ!L904)</f>
        <v/>
      </c>
      <c r="I920" t="str">
        <f>IF(SEFAZ!N904="","",SEFAZ!N904)</f>
        <v/>
      </c>
      <c r="J920" t="str">
        <f>IF(SEFAZ!O904="","",SEFAZ!O904)</f>
        <v/>
      </c>
      <c r="K920" s="11" t="str">
        <f>IF(SEFAZ!P904="","",SEFAZ!P904)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hidden="1" x14ac:dyDescent="0.3">
      <c r="B921" t="str">
        <f>IF(SEFAZ!A905="","",SEFAZ!A905)</f>
        <v/>
      </c>
      <c r="C921" t="str">
        <f>IF(SEFAZ!C905="","",SEFAZ!C905)</f>
        <v/>
      </c>
      <c r="D921" t="str">
        <f>IF(SEFAZ!D905="","",SEFAZ!D905)</f>
        <v/>
      </c>
      <c r="E921" s="7" t="str">
        <f>IF(SEFAZ!E905="","",SEFAZ!E905)</f>
        <v/>
      </c>
      <c r="F921" s="6" t="str">
        <f>IF(SEFAZ!F905="","",VALUE(SUBSTITUTE(SEFAZ!F905,"'","")))</f>
        <v/>
      </c>
      <c r="G921" t="str">
        <f>IF(SEFAZ!H905="","",SEFAZ!H905)</f>
        <v/>
      </c>
      <c r="H921" t="str">
        <f>IF(SEFAZ!L905="","",SEFAZ!L905)</f>
        <v/>
      </c>
      <c r="I921" t="str">
        <f>IF(SEFAZ!N905="","",SEFAZ!N905)</f>
        <v/>
      </c>
      <c r="J921" t="str">
        <f>IF(SEFAZ!O905="","",SEFAZ!O905)</f>
        <v/>
      </c>
      <c r="K921" s="11" t="str">
        <f>IF(SEFAZ!P905="","",SEFAZ!P905)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hidden="1" x14ac:dyDescent="0.3">
      <c r="B922" t="str">
        <f>IF(SEFAZ!A906="","",SEFAZ!A906)</f>
        <v/>
      </c>
      <c r="C922" t="str">
        <f>IF(SEFAZ!C906="","",SEFAZ!C906)</f>
        <v/>
      </c>
      <c r="D922" t="str">
        <f>IF(SEFAZ!D906="","",SEFAZ!D906)</f>
        <v/>
      </c>
      <c r="E922" s="7" t="str">
        <f>IF(SEFAZ!E906="","",SEFAZ!E906)</f>
        <v/>
      </c>
      <c r="F922" s="6" t="str">
        <f>IF(SEFAZ!F906="","",VALUE(SUBSTITUTE(SEFAZ!F906,"'","")))</f>
        <v/>
      </c>
      <c r="G922" t="str">
        <f>IF(SEFAZ!H906="","",SEFAZ!H906)</f>
        <v/>
      </c>
      <c r="H922" t="str">
        <f>IF(SEFAZ!L906="","",SEFAZ!L906)</f>
        <v/>
      </c>
      <c r="I922" t="str">
        <f>IF(SEFAZ!N906="","",SEFAZ!N906)</f>
        <v/>
      </c>
      <c r="J922" t="str">
        <f>IF(SEFAZ!O906="","",SEFAZ!O906)</f>
        <v/>
      </c>
      <c r="K922" s="11" t="str">
        <f>IF(SEFAZ!P906="","",SEFAZ!P906)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hidden="1" x14ac:dyDescent="0.3">
      <c r="B923" t="str">
        <f>IF(SEFAZ!A907="","",SEFAZ!A907)</f>
        <v/>
      </c>
      <c r="C923" t="str">
        <f>IF(SEFAZ!C907="","",SEFAZ!C907)</f>
        <v/>
      </c>
      <c r="D923" t="str">
        <f>IF(SEFAZ!D907="","",SEFAZ!D907)</f>
        <v/>
      </c>
      <c r="E923" s="7" t="str">
        <f>IF(SEFAZ!E907="","",SEFAZ!E907)</f>
        <v/>
      </c>
      <c r="F923" s="6" t="str">
        <f>IF(SEFAZ!F907="","",VALUE(SUBSTITUTE(SEFAZ!F907,"'","")))</f>
        <v/>
      </c>
      <c r="G923" t="str">
        <f>IF(SEFAZ!H907="","",SEFAZ!H907)</f>
        <v/>
      </c>
      <c r="H923" t="str">
        <f>IF(SEFAZ!L907="","",SEFAZ!L907)</f>
        <v/>
      </c>
      <c r="I923" t="str">
        <f>IF(SEFAZ!N907="","",SEFAZ!N907)</f>
        <v/>
      </c>
      <c r="J923" t="str">
        <f>IF(SEFAZ!O907="","",SEFAZ!O907)</f>
        <v/>
      </c>
      <c r="K923" s="11" t="str">
        <f>IF(SEFAZ!P907="","",SEFAZ!P907)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hidden="1" x14ac:dyDescent="0.3">
      <c r="B924" t="str">
        <f>IF(SEFAZ!A908="","",SEFAZ!A908)</f>
        <v/>
      </c>
      <c r="C924" t="str">
        <f>IF(SEFAZ!C908="","",SEFAZ!C908)</f>
        <v/>
      </c>
      <c r="D924" t="str">
        <f>IF(SEFAZ!D908="","",SEFAZ!D908)</f>
        <v/>
      </c>
      <c r="E924" s="7" t="str">
        <f>IF(SEFAZ!E908="","",SEFAZ!E908)</f>
        <v/>
      </c>
      <c r="F924" s="6" t="str">
        <f>IF(SEFAZ!F908="","",VALUE(SUBSTITUTE(SEFAZ!F908,"'","")))</f>
        <v/>
      </c>
      <c r="G924" t="str">
        <f>IF(SEFAZ!H908="","",SEFAZ!H908)</f>
        <v/>
      </c>
      <c r="H924" t="str">
        <f>IF(SEFAZ!L908="","",SEFAZ!L908)</f>
        <v/>
      </c>
      <c r="I924" t="str">
        <f>IF(SEFAZ!N908="","",SEFAZ!N908)</f>
        <v/>
      </c>
      <c r="J924" t="str">
        <f>IF(SEFAZ!O908="","",SEFAZ!O908)</f>
        <v/>
      </c>
      <c r="K924" s="11" t="str">
        <f>IF(SEFAZ!P908="","",SEFAZ!P908)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hidden="1" x14ac:dyDescent="0.3">
      <c r="B925" t="str">
        <f>IF(SEFAZ!A909="","",SEFAZ!A909)</f>
        <v/>
      </c>
      <c r="C925" t="str">
        <f>IF(SEFAZ!C909="","",SEFAZ!C909)</f>
        <v/>
      </c>
      <c r="D925" t="str">
        <f>IF(SEFAZ!D909="","",SEFAZ!D909)</f>
        <v/>
      </c>
      <c r="E925" s="7" t="str">
        <f>IF(SEFAZ!E909="","",SEFAZ!E909)</f>
        <v/>
      </c>
      <c r="F925" s="6" t="str">
        <f>IF(SEFAZ!F909="","",VALUE(SUBSTITUTE(SEFAZ!F909,"'","")))</f>
        <v/>
      </c>
      <c r="G925" t="str">
        <f>IF(SEFAZ!H909="","",SEFAZ!H909)</f>
        <v/>
      </c>
      <c r="H925" t="str">
        <f>IF(SEFAZ!L909="","",SEFAZ!L909)</f>
        <v/>
      </c>
      <c r="I925" t="str">
        <f>IF(SEFAZ!N909="","",SEFAZ!N909)</f>
        <v/>
      </c>
      <c r="J925" t="str">
        <f>IF(SEFAZ!O909="","",SEFAZ!O909)</f>
        <v/>
      </c>
      <c r="K925" s="11" t="str">
        <f>IF(SEFAZ!P909="","",SEFAZ!P909)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hidden="1" x14ac:dyDescent="0.3">
      <c r="B926" t="str">
        <f>IF(SEFAZ!A910="","",SEFAZ!A910)</f>
        <v/>
      </c>
      <c r="C926" t="str">
        <f>IF(SEFAZ!C910="","",SEFAZ!C910)</f>
        <v/>
      </c>
      <c r="D926" t="str">
        <f>IF(SEFAZ!D910="","",SEFAZ!D910)</f>
        <v/>
      </c>
      <c r="E926" s="7" t="str">
        <f>IF(SEFAZ!E910="","",SEFAZ!E910)</f>
        <v/>
      </c>
      <c r="F926" s="6" t="str">
        <f>IF(SEFAZ!F910="","",VALUE(SUBSTITUTE(SEFAZ!F910,"'","")))</f>
        <v/>
      </c>
      <c r="G926" t="str">
        <f>IF(SEFAZ!H910="","",SEFAZ!H910)</f>
        <v/>
      </c>
      <c r="H926" t="str">
        <f>IF(SEFAZ!L910="","",SEFAZ!L910)</f>
        <v/>
      </c>
      <c r="I926" t="str">
        <f>IF(SEFAZ!N910="","",SEFAZ!N910)</f>
        <v/>
      </c>
      <c r="J926" t="str">
        <f>IF(SEFAZ!O910="","",SEFAZ!O910)</f>
        <v/>
      </c>
      <c r="K926" s="11" t="str">
        <f>IF(SEFAZ!P910="","",SEFAZ!P910)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hidden="1" x14ac:dyDescent="0.3">
      <c r="B927" t="str">
        <f>IF(SEFAZ!A911="","",SEFAZ!A911)</f>
        <v/>
      </c>
      <c r="C927" t="str">
        <f>IF(SEFAZ!C911="","",SEFAZ!C911)</f>
        <v/>
      </c>
      <c r="D927" t="str">
        <f>IF(SEFAZ!D911="","",SEFAZ!D911)</f>
        <v/>
      </c>
      <c r="E927" s="7" t="str">
        <f>IF(SEFAZ!E911="","",SEFAZ!E911)</f>
        <v/>
      </c>
      <c r="F927" s="6" t="str">
        <f>IF(SEFAZ!F911="","",VALUE(SUBSTITUTE(SEFAZ!F911,"'","")))</f>
        <v/>
      </c>
      <c r="G927" t="str">
        <f>IF(SEFAZ!H911="","",SEFAZ!H911)</f>
        <v/>
      </c>
      <c r="H927" t="str">
        <f>IF(SEFAZ!L911="","",SEFAZ!L911)</f>
        <v/>
      </c>
      <c r="I927" t="str">
        <f>IF(SEFAZ!N911="","",SEFAZ!N911)</f>
        <v/>
      </c>
      <c r="J927" t="str">
        <f>IF(SEFAZ!O911="","",SEFAZ!O911)</f>
        <v/>
      </c>
      <c r="K927" s="11" t="str">
        <f>IF(SEFAZ!P911="","",SEFAZ!P911)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hidden="1" x14ac:dyDescent="0.3">
      <c r="B928" t="str">
        <f>IF(SEFAZ!A912="","",SEFAZ!A912)</f>
        <v/>
      </c>
      <c r="C928" t="str">
        <f>IF(SEFAZ!C912="","",SEFAZ!C912)</f>
        <v/>
      </c>
      <c r="D928" t="str">
        <f>IF(SEFAZ!D912="","",SEFAZ!D912)</f>
        <v/>
      </c>
      <c r="E928" s="7" t="str">
        <f>IF(SEFAZ!E912="","",SEFAZ!E912)</f>
        <v/>
      </c>
      <c r="F928" s="6" t="str">
        <f>IF(SEFAZ!F912="","",VALUE(SUBSTITUTE(SEFAZ!F912,"'","")))</f>
        <v/>
      </c>
      <c r="G928" t="str">
        <f>IF(SEFAZ!H912="","",SEFAZ!H912)</f>
        <v/>
      </c>
      <c r="H928" t="str">
        <f>IF(SEFAZ!L912="","",SEFAZ!L912)</f>
        <v/>
      </c>
      <c r="I928" t="str">
        <f>IF(SEFAZ!N912="","",SEFAZ!N912)</f>
        <v/>
      </c>
      <c r="J928" t="str">
        <f>IF(SEFAZ!O912="","",SEFAZ!O912)</f>
        <v/>
      </c>
      <c r="K928" s="11" t="str">
        <f>IF(SEFAZ!P912="","",SEFAZ!P912)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hidden="1" x14ac:dyDescent="0.3">
      <c r="B929" t="str">
        <f>IF(SEFAZ!A913="","",SEFAZ!A913)</f>
        <v/>
      </c>
      <c r="C929" t="str">
        <f>IF(SEFAZ!C913="","",SEFAZ!C913)</f>
        <v/>
      </c>
      <c r="D929" t="str">
        <f>IF(SEFAZ!D913="","",SEFAZ!D913)</f>
        <v/>
      </c>
      <c r="E929" s="7" t="str">
        <f>IF(SEFAZ!E913="","",SEFAZ!E913)</f>
        <v/>
      </c>
      <c r="F929" s="6" t="str">
        <f>IF(SEFAZ!F913="","",VALUE(SUBSTITUTE(SEFAZ!F913,"'","")))</f>
        <v/>
      </c>
      <c r="G929" t="str">
        <f>IF(SEFAZ!H913="","",SEFAZ!H913)</f>
        <v/>
      </c>
      <c r="H929" t="str">
        <f>IF(SEFAZ!L913="","",SEFAZ!L913)</f>
        <v/>
      </c>
      <c r="I929" t="str">
        <f>IF(SEFAZ!N913="","",SEFAZ!N913)</f>
        <v/>
      </c>
      <c r="J929" t="str">
        <f>IF(SEFAZ!O913="","",SEFAZ!O913)</f>
        <v/>
      </c>
      <c r="K929" s="11" t="str">
        <f>IF(SEFAZ!P913="","",SEFAZ!P913)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hidden="1" x14ac:dyDescent="0.3">
      <c r="B930" t="str">
        <f>IF(SEFAZ!A914="","",SEFAZ!A914)</f>
        <v/>
      </c>
      <c r="C930" t="str">
        <f>IF(SEFAZ!C914="","",SEFAZ!C914)</f>
        <v/>
      </c>
      <c r="D930" t="str">
        <f>IF(SEFAZ!D914="","",SEFAZ!D914)</f>
        <v/>
      </c>
      <c r="E930" s="7" t="str">
        <f>IF(SEFAZ!E914="","",SEFAZ!E914)</f>
        <v/>
      </c>
      <c r="F930" s="6" t="str">
        <f>IF(SEFAZ!F914="","",VALUE(SUBSTITUTE(SEFAZ!F914,"'","")))</f>
        <v/>
      </c>
      <c r="G930" t="str">
        <f>IF(SEFAZ!H914="","",SEFAZ!H914)</f>
        <v/>
      </c>
      <c r="H930" t="str">
        <f>IF(SEFAZ!L914="","",SEFAZ!L914)</f>
        <v/>
      </c>
      <c r="I930" t="str">
        <f>IF(SEFAZ!N914="","",SEFAZ!N914)</f>
        <v/>
      </c>
      <c r="J930" t="str">
        <f>IF(SEFAZ!O914="","",SEFAZ!O914)</f>
        <v/>
      </c>
      <c r="K930" s="11" t="str">
        <f>IF(SEFAZ!P914="","",SEFAZ!P914)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hidden="1" x14ac:dyDescent="0.3">
      <c r="B931" t="str">
        <f>IF(SEFAZ!A915="","",SEFAZ!A915)</f>
        <v/>
      </c>
      <c r="C931" t="str">
        <f>IF(SEFAZ!C915="","",SEFAZ!C915)</f>
        <v/>
      </c>
      <c r="D931" t="str">
        <f>IF(SEFAZ!D915="","",SEFAZ!D915)</f>
        <v/>
      </c>
      <c r="E931" s="7" t="str">
        <f>IF(SEFAZ!E915="","",SEFAZ!E915)</f>
        <v/>
      </c>
      <c r="F931" s="6" t="str">
        <f>IF(SEFAZ!F915="","",VALUE(SUBSTITUTE(SEFAZ!F915,"'","")))</f>
        <v/>
      </c>
      <c r="G931" t="str">
        <f>IF(SEFAZ!H915="","",SEFAZ!H915)</f>
        <v/>
      </c>
      <c r="H931" t="str">
        <f>IF(SEFAZ!L915="","",SEFAZ!L915)</f>
        <v/>
      </c>
      <c r="I931" t="str">
        <f>IF(SEFAZ!N915="","",SEFAZ!N915)</f>
        <v/>
      </c>
      <c r="J931" t="str">
        <f>IF(SEFAZ!O915="","",SEFAZ!O915)</f>
        <v/>
      </c>
      <c r="K931" s="11" t="str">
        <f>IF(SEFAZ!P915="","",SEFAZ!P915)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hidden="1" x14ac:dyDescent="0.3">
      <c r="B932" t="str">
        <f>IF(SEFAZ!A916="","",SEFAZ!A916)</f>
        <v/>
      </c>
      <c r="C932" t="str">
        <f>IF(SEFAZ!C916="","",SEFAZ!C916)</f>
        <v/>
      </c>
      <c r="D932" t="str">
        <f>IF(SEFAZ!D916="","",SEFAZ!D916)</f>
        <v/>
      </c>
      <c r="E932" s="7" t="str">
        <f>IF(SEFAZ!E916="","",SEFAZ!E916)</f>
        <v/>
      </c>
      <c r="F932" s="6" t="str">
        <f>IF(SEFAZ!F916="","",VALUE(SUBSTITUTE(SEFAZ!F916,"'","")))</f>
        <v/>
      </c>
      <c r="G932" t="str">
        <f>IF(SEFAZ!H916="","",SEFAZ!H916)</f>
        <v/>
      </c>
      <c r="H932" t="str">
        <f>IF(SEFAZ!L916="","",SEFAZ!L916)</f>
        <v/>
      </c>
      <c r="I932" t="str">
        <f>IF(SEFAZ!N916="","",SEFAZ!N916)</f>
        <v/>
      </c>
      <c r="J932" t="str">
        <f>IF(SEFAZ!O916="","",SEFAZ!O916)</f>
        <v/>
      </c>
      <c r="K932" s="11" t="str">
        <f>IF(SEFAZ!P916="","",SEFAZ!P916)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hidden="1" x14ac:dyDescent="0.3">
      <c r="B933" t="str">
        <f>IF(SEFAZ!A917="","",SEFAZ!A917)</f>
        <v/>
      </c>
      <c r="C933" t="str">
        <f>IF(SEFAZ!C917="","",SEFAZ!C917)</f>
        <v/>
      </c>
      <c r="D933" t="str">
        <f>IF(SEFAZ!D917="","",SEFAZ!D917)</f>
        <v/>
      </c>
      <c r="E933" s="7" t="str">
        <f>IF(SEFAZ!E917="","",SEFAZ!E917)</f>
        <v/>
      </c>
      <c r="F933" s="6" t="str">
        <f>IF(SEFAZ!F917="","",VALUE(SUBSTITUTE(SEFAZ!F917,"'","")))</f>
        <v/>
      </c>
      <c r="G933" t="str">
        <f>IF(SEFAZ!H917="","",SEFAZ!H917)</f>
        <v/>
      </c>
      <c r="H933" t="str">
        <f>IF(SEFAZ!L917="","",SEFAZ!L917)</f>
        <v/>
      </c>
      <c r="I933" t="str">
        <f>IF(SEFAZ!N917="","",SEFAZ!N917)</f>
        <v/>
      </c>
      <c r="J933" t="str">
        <f>IF(SEFAZ!O917="","",SEFAZ!O917)</f>
        <v/>
      </c>
      <c r="K933" s="11" t="str">
        <f>IF(SEFAZ!P917="","",SEFAZ!P917)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hidden="1" x14ac:dyDescent="0.3">
      <c r="B934" t="str">
        <f>IF(SEFAZ!A918="","",SEFAZ!A918)</f>
        <v/>
      </c>
      <c r="C934" t="str">
        <f>IF(SEFAZ!C918="","",SEFAZ!C918)</f>
        <v/>
      </c>
      <c r="D934" t="str">
        <f>IF(SEFAZ!D918="","",SEFAZ!D918)</f>
        <v/>
      </c>
      <c r="E934" s="7" t="str">
        <f>IF(SEFAZ!E918="","",SEFAZ!E918)</f>
        <v/>
      </c>
      <c r="F934" s="6" t="str">
        <f>IF(SEFAZ!F918="","",VALUE(SUBSTITUTE(SEFAZ!F918,"'","")))</f>
        <v/>
      </c>
      <c r="G934" t="str">
        <f>IF(SEFAZ!H918="","",SEFAZ!H918)</f>
        <v/>
      </c>
      <c r="H934" t="str">
        <f>IF(SEFAZ!L918="","",SEFAZ!L918)</f>
        <v/>
      </c>
      <c r="I934" t="str">
        <f>IF(SEFAZ!N918="","",SEFAZ!N918)</f>
        <v/>
      </c>
      <c r="J934" t="str">
        <f>IF(SEFAZ!O918="","",SEFAZ!O918)</f>
        <v/>
      </c>
      <c r="K934" s="11" t="str">
        <f>IF(SEFAZ!P918="","",SEFAZ!P918)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hidden="1" x14ac:dyDescent="0.3">
      <c r="B935" t="str">
        <f>IF(SEFAZ!A919="","",SEFAZ!A919)</f>
        <v/>
      </c>
      <c r="C935" t="str">
        <f>IF(SEFAZ!C919="","",SEFAZ!C919)</f>
        <v/>
      </c>
      <c r="D935" t="str">
        <f>IF(SEFAZ!D919="","",SEFAZ!D919)</f>
        <v/>
      </c>
      <c r="E935" s="7" t="str">
        <f>IF(SEFAZ!E919="","",SEFAZ!E919)</f>
        <v/>
      </c>
      <c r="F935" s="6" t="str">
        <f>IF(SEFAZ!F919="","",VALUE(SUBSTITUTE(SEFAZ!F919,"'","")))</f>
        <v/>
      </c>
      <c r="G935" t="str">
        <f>IF(SEFAZ!H919="","",SEFAZ!H919)</f>
        <v/>
      </c>
      <c r="H935" t="str">
        <f>IF(SEFAZ!L919="","",SEFAZ!L919)</f>
        <v/>
      </c>
      <c r="I935" t="str">
        <f>IF(SEFAZ!N919="","",SEFAZ!N919)</f>
        <v/>
      </c>
      <c r="J935" t="str">
        <f>IF(SEFAZ!O919="","",SEFAZ!O919)</f>
        <v/>
      </c>
      <c r="K935" s="11" t="str">
        <f>IF(SEFAZ!P919="","",SEFAZ!P919)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hidden="1" x14ac:dyDescent="0.3">
      <c r="B936" t="str">
        <f>IF(SEFAZ!A920="","",SEFAZ!A920)</f>
        <v/>
      </c>
      <c r="C936" t="str">
        <f>IF(SEFAZ!C920="","",SEFAZ!C920)</f>
        <v/>
      </c>
      <c r="D936" t="str">
        <f>IF(SEFAZ!D920="","",SEFAZ!D920)</f>
        <v/>
      </c>
      <c r="E936" s="7" t="str">
        <f>IF(SEFAZ!E920="","",SEFAZ!E920)</f>
        <v/>
      </c>
      <c r="F936" s="6" t="str">
        <f>IF(SEFAZ!F920="","",VALUE(SUBSTITUTE(SEFAZ!F920,"'","")))</f>
        <v/>
      </c>
      <c r="G936" t="str">
        <f>IF(SEFAZ!H920="","",SEFAZ!H920)</f>
        <v/>
      </c>
      <c r="H936" t="str">
        <f>IF(SEFAZ!L920="","",SEFAZ!L920)</f>
        <v/>
      </c>
      <c r="I936" t="str">
        <f>IF(SEFAZ!N920="","",SEFAZ!N920)</f>
        <v/>
      </c>
      <c r="J936" t="str">
        <f>IF(SEFAZ!O920="","",SEFAZ!O920)</f>
        <v/>
      </c>
      <c r="K936" s="11" t="str">
        <f>IF(SEFAZ!P920="","",SEFAZ!P920)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hidden="1" x14ac:dyDescent="0.3">
      <c r="B937" t="str">
        <f>IF(SEFAZ!A921="","",SEFAZ!A921)</f>
        <v/>
      </c>
      <c r="C937" t="str">
        <f>IF(SEFAZ!C921="","",SEFAZ!C921)</f>
        <v/>
      </c>
      <c r="D937" t="str">
        <f>IF(SEFAZ!D921="","",SEFAZ!D921)</f>
        <v/>
      </c>
      <c r="E937" s="7" t="str">
        <f>IF(SEFAZ!E921="","",SEFAZ!E921)</f>
        <v/>
      </c>
      <c r="F937" s="6" t="str">
        <f>IF(SEFAZ!F921="","",VALUE(SUBSTITUTE(SEFAZ!F921,"'","")))</f>
        <v/>
      </c>
      <c r="G937" t="str">
        <f>IF(SEFAZ!H921="","",SEFAZ!H921)</f>
        <v/>
      </c>
      <c r="H937" t="str">
        <f>IF(SEFAZ!L921="","",SEFAZ!L921)</f>
        <v/>
      </c>
      <c r="I937" t="str">
        <f>IF(SEFAZ!N921="","",SEFAZ!N921)</f>
        <v/>
      </c>
      <c r="J937" t="str">
        <f>IF(SEFAZ!O921="","",SEFAZ!O921)</f>
        <v/>
      </c>
      <c r="K937" s="11" t="str">
        <f>IF(SEFAZ!P921="","",SEFAZ!P921)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hidden="1" x14ac:dyDescent="0.3">
      <c r="B938" t="str">
        <f>IF(SEFAZ!A922="","",SEFAZ!A922)</f>
        <v/>
      </c>
      <c r="C938" t="str">
        <f>IF(SEFAZ!C922="","",SEFAZ!C922)</f>
        <v/>
      </c>
      <c r="D938" t="str">
        <f>IF(SEFAZ!D922="","",SEFAZ!D922)</f>
        <v/>
      </c>
      <c r="E938" s="7" t="str">
        <f>IF(SEFAZ!E922="","",SEFAZ!E922)</f>
        <v/>
      </c>
      <c r="F938" s="6" t="str">
        <f>IF(SEFAZ!F922="","",VALUE(SUBSTITUTE(SEFAZ!F922,"'","")))</f>
        <v/>
      </c>
      <c r="G938" t="str">
        <f>IF(SEFAZ!H922="","",SEFAZ!H922)</f>
        <v/>
      </c>
      <c r="H938" t="str">
        <f>IF(SEFAZ!L922="","",SEFAZ!L922)</f>
        <v/>
      </c>
      <c r="I938" t="str">
        <f>IF(SEFAZ!N922="","",SEFAZ!N922)</f>
        <v/>
      </c>
      <c r="J938" t="str">
        <f>IF(SEFAZ!O922="","",SEFAZ!O922)</f>
        <v/>
      </c>
      <c r="K938" s="11" t="str">
        <f>IF(SEFAZ!P922="","",SEFAZ!P922)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hidden="1" x14ac:dyDescent="0.3">
      <c r="B939" t="str">
        <f>IF(SEFAZ!A923="","",SEFAZ!A923)</f>
        <v/>
      </c>
      <c r="C939" t="str">
        <f>IF(SEFAZ!C923="","",SEFAZ!C923)</f>
        <v/>
      </c>
      <c r="D939" t="str">
        <f>IF(SEFAZ!D923="","",SEFAZ!D923)</f>
        <v/>
      </c>
      <c r="E939" s="7" t="str">
        <f>IF(SEFAZ!E923="","",SEFAZ!E923)</f>
        <v/>
      </c>
      <c r="F939" s="6" t="str">
        <f>IF(SEFAZ!F923="","",VALUE(SUBSTITUTE(SEFAZ!F923,"'","")))</f>
        <v/>
      </c>
      <c r="G939" t="str">
        <f>IF(SEFAZ!H923="","",SEFAZ!H923)</f>
        <v/>
      </c>
      <c r="H939" t="str">
        <f>IF(SEFAZ!L923="","",SEFAZ!L923)</f>
        <v/>
      </c>
      <c r="I939" t="str">
        <f>IF(SEFAZ!N923="","",SEFAZ!N923)</f>
        <v/>
      </c>
      <c r="J939" t="str">
        <f>IF(SEFAZ!O923="","",SEFAZ!O923)</f>
        <v/>
      </c>
      <c r="K939" s="11" t="str">
        <f>IF(SEFAZ!P923="","",SEFAZ!P923)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hidden="1" x14ac:dyDescent="0.3">
      <c r="B940" t="str">
        <f>IF(SEFAZ!A924="","",SEFAZ!A924)</f>
        <v/>
      </c>
      <c r="C940" t="str">
        <f>IF(SEFAZ!C924="","",SEFAZ!C924)</f>
        <v/>
      </c>
      <c r="D940" t="str">
        <f>IF(SEFAZ!D924="","",SEFAZ!D924)</f>
        <v/>
      </c>
      <c r="E940" s="7" t="str">
        <f>IF(SEFAZ!E924="","",SEFAZ!E924)</f>
        <v/>
      </c>
      <c r="F940" s="6" t="str">
        <f>IF(SEFAZ!F924="","",VALUE(SUBSTITUTE(SEFAZ!F924,"'","")))</f>
        <v/>
      </c>
      <c r="G940" t="str">
        <f>IF(SEFAZ!H924="","",SEFAZ!H924)</f>
        <v/>
      </c>
      <c r="H940" t="str">
        <f>IF(SEFAZ!L924="","",SEFAZ!L924)</f>
        <v/>
      </c>
      <c r="I940" t="str">
        <f>IF(SEFAZ!N924="","",SEFAZ!N924)</f>
        <v/>
      </c>
      <c r="J940" t="str">
        <f>IF(SEFAZ!O924="","",SEFAZ!O924)</f>
        <v/>
      </c>
      <c r="K940" s="11" t="str">
        <f>IF(SEFAZ!P924="","",SEFAZ!P924)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hidden="1" x14ac:dyDescent="0.3">
      <c r="B941" t="str">
        <f>IF(SEFAZ!A925="","",SEFAZ!A925)</f>
        <v/>
      </c>
      <c r="C941" t="str">
        <f>IF(SEFAZ!C925="","",SEFAZ!C925)</f>
        <v/>
      </c>
      <c r="D941" t="str">
        <f>IF(SEFAZ!D925="","",SEFAZ!D925)</f>
        <v/>
      </c>
      <c r="E941" s="7" t="str">
        <f>IF(SEFAZ!E925="","",SEFAZ!E925)</f>
        <v/>
      </c>
      <c r="F941" s="6" t="str">
        <f>IF(SEFAZ!F925="","",VALUE(SUBSTITUTE(SEFAZ!F925,"'","")))</f>
        <v/>
      </c>
      <c r="G941" t="str">
        <f>IF(SEFAZ!H925="","",SEFAZ!H925)</f>
        <v/>
      </c>
      <c r="H941" t="str">
        <f>IF(SEFAZ!L925="","",SEFAZ!L925)</f>
        <v/>
      </c>
      <c r="I941" t="str">
        <f>IF(SEFAZ!N925="","",SEFAZ!N925)</f>
        <v/>
      </c>
      <c r="J941" t="str">
        <f>IF(SEFAZ!O925="","",SEFAZ!O925)</f>
        <v/>
      </c>
      <c r="K941" s="11" t="str">
        <f>IF(SEFAZ!P925="","",SEFAZ!P925)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hidden="1" x14ac:dyDescent="0.3">
      <c r="B942" t="str">
        <f>IF(SEFAZ!A926="","",SEFAZ!A926)</f>
        <v/>
      </c>
      <c r="C942" t="str">
        <f>IF(SEFAZ!C926="","",SEFAZ!C926)</f>
        <v/>
      </c>
      <c r="D942" t="str">
        <f>IF(SEFAZ!D926="","",SEFAZ!D926)</f>
        <v/>
      </c>
      <c r="E942" s="7" t="str">
        <f>IF(SEFAZ!E926="","",SEFAZ!E926)</f>
        <v/>
      </c>
      <c r="F942" s="6" t="str">
        <f>IF(SEFAZ!F926="","",VALUE(SUBSTITUTE(SEFAZ!F926,"'","")))</f>
        <v/>
      </c>
      <c r="G942" t="str">
        <f>IF(SEFAZ!H926="","",SEFAZ!H926)</f>
        <v/>
      </c>
      <c r="H942" t="str">
        <f>IF(SEFAZ!L926="","",SEFAZ!L926)</f>
        <v/>
      </c>
      <c r="I942" t="str">
        <f>IF(SEFAZ!N926="","",SEFAZ!N926)</f>
        <v/>
      </c>
      <c r="J942" t="str">
        <f>IF(SEFAZ!O926="","",SEFAZ!O926)</f>
        <v/>
      </c>
      <c r="K942" s="11" t="str">
        <f>IF(SEFAZ!P926="","",SEFAZ!P926)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hidden="1" x14ac:dyDescent="0.3">
      <c r="B943" t="str">
        <f>IF(SEFAZ!A927="","",SEFAZ!A927)</f>
        <v/>
      </c>
      <c r="C943" t="str">
        <f>IF(SEFAZ!C927="","",SEFAZ!C927)</f>
        <v/>
      </c>
      <c r="D943" t="str">
        <f>IF(SEFAZ!D927="","",SEFAZ!D927)</f>
        <v/>
      </c>
      <c r="E943" s="7" t="str">
        <f>IF(SEFAZ!E927="","",SEFAZ!E927)</f>
        <v/>
      </c>
      <c r="F943" s="6" t="str">
        <f>IF(SEFAZ!F927="","",VALUE(SUBSTITUTE(SEFAZ!F927,"'","")))</f>
        <v/>
      </c>
      <c r="G943" t="str">
        <f>IF(SEFAZ!H927="","",SEFAZ!H927)</f>
        <v/>
      </c>
      <c r="H943" t="str">
        <f>IF(SEFAZ!L927="","",SEFAZ!L927)</f>
        <v/>
      </c>
      <c r="I943" t="str">
        <f>IF(SEFAZ!N927="","",SEFAZ!N927)</f>
        <v/>
      </c>
      <c r="J943" t="str">
        <f>IF(SEFAZ!O927="","",SEFAZ!O927)</f>
        <v/>
      </c>
      <c r="K943" s="11" t="str">
        <f>IF(SEFAZ!P927="","",SEFAZ!P927)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hidden="1" x14ac:dyDescent="0.3">
      <c r="B944" t="str">
        <f>IF(SEFAZ!A928="","",SEFAZ!A928)</f>
        <v/>
      </c>
      <c r="C944" t="str">
        <f>IF(SEFAZ!C928="","",SEFAZ!C928)</f>
        <v/>
      </c>
      <c r="D944" t="str">
        <f>IF(SEFAZ!D928="","",SEFAZ!D928)</f>
        <v/>
      </c>
      <c r="E944" s="7" t="str">
        <f>IF(SEFAZ!E928="","",SEFAZ!E928)</f>
        <v/>
      </c>
      <c r="F944" s="6" t="str">
        <f>IF(SEFAZ!F928="","",VALUE(SUBSTITUTE(SEFAZ!F928,"'","")))</f>
        <v/>
      </c>
      <c r="G944" t="str">
        <f>IF(SEFAZ!H928="","",SEFAZ!H928)</f>
        <v/>
      </c>
      <c r="H944" t="str">
        <f>IF(SEFAZ!L928="","",SEFAZ!L928)</f>
        <v/>
      </c>
      <c r="I944" t="str">
        <f>IF(SEFAZ!N928="","",SEFAZ!N928)</f>
        <v/>
      </c>
      <c r="J944" t="str">
        <f>IF(SEFAZ!O928="","",SEFAZ!O928)</f>
        <v/>
      </c>
      <c r="K944" s="11" t="str">
        <f>IF(SEFAZ!P928="","",SEFAZ!P928)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hidden="1" x14ac:dyDescent="0.3">
      <c r="B945" t="str">
        <f>IF(SEFAZ!A929="","",SEFAZ!A929)</f>
        <v/>
      </c>
      <c r="C945" t="str">
        <f>IF(SEFAZ!C929="","",SEFAZ!C929)</f>
        <v/>
      </c>
      <c r="D945" t="str">
        <f>IF(SEFAZ!D929="","",SEFAZ!D929)</f>
        <v/>
      </c>
      <c r="E945" s="7" t="str">
        <f>IF(SEFAZ!E929="","",SEFAZ!E929)</f>
        <v/>
      </c>
      <c r="F945" s="6" t="str">
        <f>IF(SEFAZ!F929="","",VALUE(SUBSTITUTE(SEFAZ!F929,"'","")))</f>
        <v/>
      </c>
      <c r="G945" t="str">
        <f>IF(SEFAZ!H929="","",SEFAZ!H929)</f>
        <v/>
      </c>
      <c r="H945" t="str">
        <f>IF(SEFAZ!L929="","",SEFAZ!L929)</f>
        <v/>
      </c>
      <c r="I945" t="str">
        <f>IF(SEFAZ!N929="","",SEFAZ!N929)</f>
        <v/>
      </c>
      <c r="J945" t="str">
        <f>IF(SEFAZ!O929="","",SEFAZ!O929)</f>
        <v/>
      </c>
      <c r="K945" s="11" t="str">
        <f>IF(SEFAZ!P929="","",SEFAZ!P929)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hidden="1" x14ac:dyDescent="0.3">
      <c r="B946" t="str">
        <f>IF(SEFAZ!A930="","",SEFAZ!A930)</f>
        <v/>
      </c>
      <c r="C946" t="str">
        <f>IF(SEFAZ!C930="","",SEFAZ!C930)</f>
        <v/>
      </c>
      <c r="D946" t="str">
        <f>IF(SEFAZ!D930="","",SEFAZ!D930)</f>
        <v/>
      </c>
      <c r="E946" s="7" t="str">
        <f>IF(SEFAZ!E930="","",SEFAZ!E930)</f>
        <v/>
      </c>
      <c r="F946" s="6" t="str">
        <f>IF(SEFAZ!F930="","",VALUE(SUBSTITUTE(SEFAZ!F930,"'","")))</f>
        <v/>
      </c>
      <c r="G946" t="str">
        <f>IF(SEFAZ!H930="","",SEFAZ!H930)</f>
        <v/>
      </c>
      <c r="H946" t="str">
        <f>IF(SEFAZ!L930="","",SEFAZ!L930)</f>
        <v/>
      </c>
      <c r="I946" t="str">
        <f>IF(SEFAZ!N930="","",SEFAZ!N930)</f>
        <v/>
      </c>
      <c r="J946" t="str">
        <f>IF(SEFAZ!O930="","",SEFAZ!O930)</f>
        <v/>
      </c>
      <c r="K946" s="11" t="str">
        <f>IF(SEFAZ!P930="","",SEFAZ!P930)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hidden="1" x14ac:dyDescent="0.3">
      <c r="B947" t="str">
        <f>IF(SEFAZ!A931="","",SEFAZ!A931)</f>
        <v/>
      </c>
      <c r="C947" t="str">
        <f>IF(SEFAZ!C931="","",SEFAZ!C931)</f>
        <v/>
      </c>
      <c r="D947" t="str">
        <f>IF(SEFAZ!D931="","",SEFAZ!D931)</f>
        <v/>
      </c>
      <c r="E947" s="7" t="str">
        <f>IF(SEFAZ!E931="","",SEFAZ!E931)</f>
        <v/>
      </c>
      <c r="F947" s="6" t="str">
        <f>IF(SEFAZ!F931="","",VALUE(SUBSTITUTE(SEFAZ!F931,"'","")))</f>
        <v/>
      </c>
      <c r="G947" t="str">
        <f>IF(SEFAZ!H931="","",SEFAZ!H931)</f>
        <v/>
      </c>
      <c r="H947" t="str">
        <f>IF(SEFAZ!L931="","",SEFAZ!L931)</f>
        <v/>
      </c>
      <c r="I947" t="str">
        <f>IF(SEFAZ!N931="","",SEFAZ!N931)</f>
        <v/>
      </c>
      <c r="J947" t="str">
        <f>IF(SEFAZ!O931="","",SEFAZ!O931)</f>
        <v/>
      </c>
      <c r="K947" s="11" t="str">
        <f>IF(SEFAZ!P931="","",SEFAZ!P931)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hidden="1" x14ac:dyDescent="0.3">
      <c r="B948" t="str">
        <f>IF(SEFAZ!A932="","",SEFAZ!A932)</f>
        <v/>
      </c>
      <c r="C948" t="str">
        <f>IF(SEFAZ!C932="","",SEFAZ!C932)</f>
        <v/>
      </c>
      <c r="D948" t="str">
        <f>IF(SEFAZ!D932="","",SEFAZ!D932)</f>
        <v/>
      </c>
      <c r="E948" s="7" t="str">
        <f>IF(SEFAZ!E932="","",SEFAZ!E932)</f>
        <v/>
      </c>
      <c r="F948" s="6" t="str">
        <f>IF(SEFAZ!F932="","",VALUE(SUBSTITUTE(SEFAZ!F932,"'","")))</f>
        <v/>
      </c>
      <c r="G948" t="str">
        <f>IF(SEFAZ!H932="","",SEFAZ!H932)</f>
        <v/>
      </c>
      <c r="H948" t="str">
        <f>IF(SEFAZ!L932="","",SEFAZ!L932)</f>
        <v/>
      </c>
      <c r="I948" t="str">
        <f>IF(SEFAZ!N932="","",SEFAZ!N932)</f>
        <v/>
      </c>
      <c r="J948" t="str">
        <f>IF(SEFAZ!O932="","",SEFAZ!O932)</f>
        <v/>
      </c>
      <c r="K948" s="11" t="str">
        <f>IF(SEFAZ!P932="","",SEFAZ!P932)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hidden="1" x14ac:dyDescent="0.3">
      <c r="B949" t="str">
        <f>IF(SEFAZ!A933="","",SEFAZ!A933)</f>
        <v/>
      </c>
      <c r="C949" t="str">
        <f>IF(SEFAZ!C933="","",SEFAZ!C933)</f>
        <v/>
      </c>
      <c r="D949" t="str">
        <f>IF(SEFAZ!D933="","",SEFAZ!D933)</f>
        <v/>
      </c>
      <c r="E949" s="7" t="str">
        <f>IF(SEFAZ!E933="","",SEFAZ!E933)</f>
        <v/>
      </c>
      <c r="F949" s="6" t="str">
        <f>IF(SEFAZ!F933="","",VALUE(SUBSTITUTE(SEFAZ!F933,"'","")))</f>
        <v/>
      </c>
      <c r="G949" t="str">
        <f>IF(SEFAZ!H933="","",SEFAZ!H933)</f>
        <v/>
      </c>
      <c r="H949" t="str">
        <f>IF(SEFAZ!L933="","",SEFAZ!L933)</f>
        <v/>
      </c>
      <c r="I949" t="str">
        <f>IF(SEFAZ!N933="","",SEFAZ!N933)</f>
        <v/>
      </c>
      <c r="J949" t="str">
        <f>IF(SEFAZ!O933="","",SEFAZ!O933)</f>
        <v/>
      </c>
      <c r="K949" s="11" t="str">
        <f>IF(SEFAZ!P933="","",SEFAZ!P933)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hidden="1" x14ac:dyDescent="0.3">
      <c r="B950" t="str">
        <f>IF(SEFAZ!A934="","",SEFAZ!A934)</f>
        <v/>
      </c>
      <c r="C950" t="str">
        <f>IF(SEFAZ!C934="","",SEFAZ!C934)</f>
        <v/>
      </c>
      <c r="D950" t="str">
        <f>IF(SEFAZ!D934="","",SEFAZ!D934)</f>
        <v/>
      </c>
      <c r="E950" s="7" t="str">
        <f>IF(SEFAZ!E934="","",SEFAZ!E934)</f>
        <v/>
      </c>
      <c r="F950" s="6" t="str">
        <f>IF(SEFAZ!F934="","",VALUE(SUBSTITUTE(SEFAZ!F934,"'","")))</f>
        <v/>
      </c>
      <c r="G950" t="str">
        <f>IF(SEFAZ!H934="","",SEFAZ!H934)</f>
        <v/>
      </c>
      <c r="H950" t="str">
        <f>IF(SEFAZ!L934="","",SEFAZ!L934)</f>
        <v/>
      </c>
      <c r="I950" t="str">
        <f>IF(SEFAZ!N934="","",SEFAZ!N934)</f>
        <v/>
      </c>
      <c r="J950" t="str">
        <f>IF(SEFAZ!O934="","",SEFAZ!O934)</f>
        <v/>
      </c>
      <c r="K950" s="11" t="str">
        <f>IF(SEFAZ!P934="","",SEFAZ!P934)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hidden="1" x14ac:dyDescent="0.3">
      <c r="B951" t="str">
        <f>IF(SEFAZ!A935="","",SEFAZ!A935)</f>
        <v/>
      </c>
      <c r="C951" t="str">
        <f>IF(SEFAZ!C935="","",SEFAZ!C935)</f>
        <v/>
      </c>
      <c r="D951" t="str">
        <f>IF(SEFAZ!D935="","",SEFAZ!D935)</f>
        <v/>
      </c>
      <c r="E951" s="7" t="str">
        <f>IF(SEFAZ!E935="","",SEFAZ!E935)</f>
        <v/>
      </c>
      <c r="F951" s="6" t="str">
        <f>IF(SEFAZ!F935="","",VALUE(SUBSTITUTE(SEFAZ!F935,"'","")))</f>
        <v/>
      </c>
      <c r="G951" t="str">
        <f>IF(SEFAZ!H935="","",SEFAZ!H935)</f>
        <v/>
      </c>
      <c r="H951" t="str">
        <f>IF(SEFAZ!L935="","",SEFAZ!L935)</f>
        <v/>
      </c>
      <c r="I951" t="str">
        <f>IF(SEFAZ!N935="","",SEFAZ!N935)</f>
        <v/>
      </c>
      <c r="J951" t="str">
        <f>IF(SEFAZ!O935="","",SEFAZ!O935)</f>
        <v/>
      </c>
      <c r="K951" s="11" t="str">
        <f>IF(SEFAZ!P935="","",SEFAZ!P935)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hidden="1" x14ac:dyDescent="0.3">
      <c r="B952" t="str">
        <f>IF(SEFAZ!A936="","",SEFAZ!A936)</f>
        <v/>
      </c>
      <c r="C952" t="str">
        <f>IF(SEFAZ!C936="","",SEFAZ!C936)</f>
        <v/>
      </c>
      <c r="D952" t="str">
        <f>IF(SEFAZ!D936="","",SEFAZ!D936)</f>
        <v/>
      </c>
      <c r="E952" s="7" t="str">
        <f>IF(SEFAZ!E936="","",SEFAZ!E936)</f>
        <v/>
      </c>
      <c r="F952" s="6" t="str">
        <f>IF(SEFAZ!F936="","",VALUE(SUBSTITUTE(SEFAZ!F936,"'","")))</f>
        <v/>
      </c>
      <c r="G952" t="str">
        <f>IF(SEFAZ!H936="","",SEFAZ!H936)</f>
        <v/>
      </c>
      <c r="H952" t="str">
        <f>IF(SEFAZ!L936="","",SEFAZ!L936)</f>
        <v/>
      </c>
      <c r="I952" t="str">
        <f>IF(SEFAZ!N936="","",SEFAZ!N936)</f>
        <v/>
      </c>
      <c r="J952" t="str">
        <f>IF(SEFAZ!O936="","",SEFAZ!O936)</f>
        <v/>
      </c>
      <c r="K952" s="11" t="str">
        <f>IF(SEFAZ!P936="","",SEFAZ!P936)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hidden="1" x14ac:dyDescent="0.3">
      <c r="B953" t="str">
        <f>IF(SEFAZ!A937="","",SEFAZ!A937)</f>
        <v/>
      </c>
      <c r="C953" t="str">
        <f>IF(SEFAZ!C937="","",SEFAZ!C937)</f>
        <v/>
      </c>
      <c r="D953" t="str">
        <f>IF(SEFAZ!D937="","",SEFAZ!D937)</f>
        <v/>
      </c>
      <c r="E953" s="7" t="str">
        <f>IF(SEFAZ!E937="","",SEFAZ!E937)</f>
        <v/>
      </c>
      <c r="F953" s="6" t="str">
        <f>IF(SEFAZ!F937="","",VALUE(SUBSTITUTE(SEFAZ!F937,"'","")))</f>
        <v/>
      </c>
      <c r="G953" t="str">
        <f>IF(SEFAZ!H937="","",SEFAZ!H937)</f>
        <v/>
      </c>
      <c r="H953" t="str">
        <f>IF(SEFAZ!L937="","",SEFAZ!L937)</f>
        <v/>
      </c>
      <c r="I953" t="str">
        <f>IF(SEFAZ!N937="","",SEFAZ!N937)</f>
        <v/>
      </c>
      <c r="J953" t="str">
        <f>IF(SEFAZ!O937="","",SEFAZ!O937)</f>
        <v/>
      </c>
      <c r="K953" s="11" t="str">
        <f>IF(SEFAZ!P937="","",SEFAZ!P937)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hidden="1" x14ac:dyDescent="0.3">
      <c r="B954" t="str">
        <f>IF(SEFAZ!A938="","",SEFAZ!A938)</f>
        <v/>
      </c>
      <c r="C954" t="str">
        <f>IF(SEFAZ!C938="","",SEFAZ!C938)</f>
        <v/>
      </c>
      <c r="D954" t="str">
        <f>IF(SEFAZ!D938="","",SEFAZ!D938)</f>
        <v/>
      </c>
      <c r="E954" s="7" t="str">
        <f>IF(SEFAZ!E938="","",SEFAZ!E938)</f>
        <v/>
      </c>
      <c r="F954" s="6" t="str">
        <f>IF(SEFAZ!F938="","",VALUE(SUBSTITUTE(SEFAZ!F938,"'","")))</f>
        <v/>
      </c>
      <c r="G954" t="str">
        <f>IF(SEFAZ!H938="","",SEFAZ!H938)</f>
        <v/>
      </c>
      <c r="H954" t="str">
        <f>IF(SEFAZ!L938="","",SEFAZ!L938)</f>
        <v/>
      </c>
      <c r="I954" t="str">
        <f>IF(SEFAZ!N938="","",SEFAZ!N938)</f>
        <v/>
      </c>
      <c r="J954" t="str">
        <f>IF(SEFAZ!O938="","",SEFAZ!O938)</f>
        <v/>
      </c>
      <c r="K954" s="11" t="str">
        <f>IF(SEFAZ!P938="","",SEFAZ!P938)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hidden="1" x14ac:dyDescent="0.3">
      <c r="B955" t="str">
        <f>IF(SEFAZ!A939="","",SEFAZ!A939)</f>
        <v/>
      </c>
      <c r="C955" t="str">
        <f>IF(SEFAZ!C939="","",SEFAZ!C939)</f>
        <v/>
      </c>
      <c r="D955" t="str">
        <f>IF(SEFAZ!D939="","",SEFAZ!D939)</f>
        <v/>
      </c>
      <c r="E955" s="7" t="str">
        <f>IF(SEFAZ!E939="","",SEFAZ!E939)</f>
        <v/>
      </c>
      <c r="F955" s="6" t="str">
        <f>IF(SEFAZ!F939="","",VALUE(SUBSTITUTE(SEFAZ!F939,"'","")))</f>
        <v/>
      </c>
      <c r="G955" t="str">
        <f>IF(SEFAZ!H939="","",SEFAZ!H939)</f>
        <v/>
      </c>
      <c r="H955" t="str">
        <f>IF(SEFAZ!L939="","",SEFAZ!L939)</f>
        <v/>
      </c>
      <c r="I955" t="str">
        <f>IF(SEFAZ!N939="","",SEFAZ!N939)</f>
        <v/>
      </c>
      <c r="J955" t="str">
        <f>IF(SEFAZ!O939="","",SEFAZ!O939)</f>
        <v/>
      </c>
      <c r="K955" s="11" t="str">
        <f>IF(SEFAZ!P939="","",SEFAZ!P939)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hidden="1" x14ac:dyDescent="0.3">
      <c r="B956" t="str">
        <f>IF(SEFAZ!A940="","",SEFAZ!A940)</f>
        <v/>
      </c>
      <c r="C956" t="str">
        <f>IF(SEFAZ!C940="","",SEFAZ!C940)</f>
        <v/>
      </c>
      <c r="D956" t="str">
        <f>IF(SEFAZ!D940="","",SEFAZ!D940)</f>
        <v/>
      </c>
      <c r="E956" s="7" t="str">
        <f>IF(SEFAZ!E940="","",SEFAZ!E940)</f>
        <v/>
      </c>
      <c r="F956" s="6" t="str">
        <f>IF(SEFAZ!F940="","",VALUE(SUBSTITUTE(SEFAZ!F940,"'","")))</f>
        <v/>
      </c>
      <c r="G956" t="str">
        <f>IF(SEFAZ!H940="","",SEFAZ!H940)</f>
        <v/>
      </c>
      <c r="H956" t="str">
        <f>IF(SEFAZ!L940="","",SEFAZ!L940)</f>
        <v/>
      </c>
      <c r="I956" t="str">
        <f>IF(SEFAZ!N940="","",SEFAZ!N940)</f>
        <v/>
      </c>
      <c r="J956" t="str">
        <f>IF(SEFAZ!O940="","",SEFAZ!O940)</f>
        <v/>
      </c>
      <c r="K956" s="11" t="str">
        <f>IF(SEFAZ!P940="","",SEFAZ!P940)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hidden="1" x14ac:dyDescent="0.3">
      <c r="B957" t="str">
        <f>IF(SEFAZ!A941="","",SEFAZ!A941)</f>
        <v/>
      </c>
      <c r="C957" t="str">
        <f>IF(SEFAZ!C941="","",SEFAZ!C941)</f>
        <v/>
      </c>
      <c r="D957" t="str">
        <f>IF(SEFAZ!D941="","",SEFAZ!D941)</f>
        <v/>
      </c>
      <c r="E957" s="7" t="str">
        <f>IF(SEFAZ!E941="","",SEFAZ!E941)</f>
        <v/>
      </c>
      <c r="F957" s="6" t="str">
        <f>IF(SEFAZ!F941="","",VALUE(SUBSTITUTE(SEFAZ!F941,"'","")))</f>
        <v/>
      </c>
      <c r="G957" t="str">
        <f>IF(SEFAZ!H941="","",SEFAZ!H941)</f>
        <v/>
      </c>
      <c r="H957" t="str">
        <f>IF(SEFAZ!L941="","",SEFAZ!L941)</f>
        <v/>
      </c>
      <c r="I957" t="str">
        <f>IF(SEFAZ!N941="","",SEFAZ!N941)</f>
        <v/>
      </c>
      <c r="J957" t="str">
        <f>IF(SEFAZ!O941="","",SEFAZ!O941)</f>
        <v/>
      </c>
      <c r="K957" s="11" t="str">
        <f>IF(SEFAZ!P941="","",SEFAZ!P941)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hidden="1" x14ac:dyDescent="0.3">
      <c r="B958" t="str">
        <f>IF(SEFAZ!A942="","",SEFAZ!A942)</f>
        <v/>
      </c>
      <c r="C958" t="str">
        <f>IF(SEFAZ!C942="","",SEFAZ!C942)</f>
        <v/>
      </c>
      <c r="D958" t="str">
        <f>IF(SEFAZ!D942="","",SEFAZ!D942)</f>
        <v/>
      </c>
      <c r="E958" s="7" t="str">
        <f>IF(SEFAZ!E942="","",SEFAZ!E942)</f>
        <v/>
      </c>
      <c r="F958" s="6" t="str">
        <f>IF(SEFAZ!F942="","",VALUE(SUBSTITUTE(SEFAZ!F942,"'","")))</f>
        <v/>
      </c>
      <c r="G958" t="str">
        <f>IF(SEFAZ!H942="","",SEFAZ!H942)</f>
        <v/>
      </c>
      <c r="H958" t="str">
        <f>IF(SEFAZ!L942="","",SEFAZ!L942)</f>
        <v/>
      </c>
      <c r="I958" t="str">
        <f>IF(SEFAZ!N942="","",SEFAZ!N942)</f>
        <v/>
      </c>
      <c r="J958" t="str">
        <f>IF(SEFAZ!O942="","",SEFAZ!O942)</f>
        <v/>
      </c>
      <c r="K958" s="11" t="str">
        <f>IF(SEFAZ!P942="","",SEFAZ!P942)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hidden="1" x14ac:dyDescent="0.3">
      <c r="B959" t="str">
        <f>IF(SEFAZ!A943="","",SEFAZ!A943)</f>
        <v/>
      </c>
      <c r="C959" t="str">
        <f>IF(SEFAZ!C943="","",SEFAZ!C943)</f>
        <v/>
      </c>
      <c r="D959" t="str">
        <f>IF(SEFAZ!D943="","",SEFAZ!D943)</f>
        <v/>
      </c>
      <c r="E959" s="7" t="str">
        <f>IF(SEFAZ!E943="","",SEFAZ!E943)</f>
        <v/>
      </c>
      <c r="F959" s="6" t="str">
        <f>IF(SEFAZ!F943="","",VALUE(SUBSTITUTE(SEFAZ!F943,"'","")))</f>
        <v/>
      </c>
      <c r="G959" t="str">
        <f>IF(SEFAZ!H943="","",SEFAZ!H943)</f>
        <v/>
      </c>
      <c r="H959" t="str">
        <f>IF(SEFAZ!L943="","",SEFAZ!L943)</f>
        <v/>
      </c>
      <c r="I959" t="str">
        <f>IF(SEFAZ!N943="","",SEFAZ!N943)</f>
        <v/>
      </c>
      <c r="J959" t="str">
        <f>IF(SEFAZ!O943="","",SEFAZ!O943)</f>
        <v/>
      </c>
      <c r="K959" s="11" t="str">
        <f>IF(SEFAZ!P943="","",SEFAZ!P943)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hidden="1" x14ac:dyDescent="0.3">
      <c r="B960" t="str">
        <f>IF(SEFAZ!A944="","",SEFAZ!A944)</f>
        <v/>
      </c>
      <c r="C960" t="str">
        <f>IF(SEFAZ!C944="","",SEFAZ!C944)</f>
        <v/>
      </c>
      <c r="D960" t="str">
        <f>IF(SEFAZ!D944="","",SEFAZ!D944)</f>
        <v/>
      </c>
      <c r="E960" s="7" t="str">
        <f>IF(SEFAZ!E944="","",SEFAZ!E944)</f>
        <v/>
      </c>
      <c r="F960" s="6" t="str">
        <f>IF(SEFAZ!F944="","",VALUE(SUBSTITUTE(SEFAZ!F944,"'","")))</f>
        <v/>
      </c>
      <c r="G960" t="str">
        <f>IF(SEFAZ!H944="","",SEFAZ!H944)</f>
        <v/>
      </c>
      <c r="H960" t="str">
        <f>IF(SEFAZ!L944="","",SEFAZ!L944)</f>
        <v/>
      </c>
      <c r="I960" t="str">
        <f>IF(SEFAZ!N944="","",SEFAZ!N944)</f>
        <v/>
      </c>
      <c r="J960" t="str">
        <f>IF(SEFAZ!O944="","",SEFAZ!O944)</f>
        <v/>
      </c>
      <c r="K960" s="11" t="str">
        <f>IF(SEFAZ!P944="","",SEFAZ!P944)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hidden="1" x14ac:dyDescent="0.3">
      <c r="B961" t="str">
        <f>IF(SEFAZ!A945="","",SEFAZ!A945)</f>
        <v/>
      </c>
      <c r="C961" t="str">
        <f>IF(SEFAZ!C945="","",SEFAZ!C945)</f>
        <v/>
      </c>
      <c r="D961" t="str">
        <f>IF(SEFAZ!D945="","",SEFAZ!D945)</f>
        <v/>
      </c>
      <c r="E961" s="7" t="str">
        <f>IF(SEFAZ!E945="","",SEFAZ!E945)</f>
        <v/>
      </c>
      <c r="F961" s="6" t="str">
        <f>IF(SEFAZ!F945="","",VALUE(SUBSTITUTE(SEFAZ!F945,"'","")))</f>
        <v/>
      </c>
      <c r="G961" t="str">
        <f>IF(SEFAZ!H945="","",SEFAZ!H945)</f>
        <v/>
      </c>
      <c r="H961" t="str">
        <f>IF(SEFAZ!L945="","",SEFAZ!L945)</f>
        <v/>
      </c>
      <c r="I961" t="str">
        <f>IF(SEFAZ!N945="","",SEFAZ!N945)</f>
        <v/>
      </c>
      <c r="J961" t="str">
        <f>IF(SEFAZ!O945="","",SEFAZ!O945)</f>
        <v/>
      </c>
      <c r="K961" s="11" t="str">
        <f>IF(SEFAZ!P945="","",SEFAZ!P945)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hidden="1" x14ac:dyDescent="0.3">
      <c r="B962" t="str">
        <f>IF(SEFAZ!A946="","",SEFAZ!A946)</f>
        <v/>
      </c>
      <c r="C962" t="str">
        <f>IF(SEFAZ!C946="","",SEFAZ!C946)</f>
        <v/>
      </c>
      <c r="D962" t="str">
        <f>IF(SEFAZ!D946="","",SEFAZ!D946)</f>
        <v/>
      </c>
      <c r="E962" s="7" t="str">
        <f>IF(SEFAZ!E946="","",SEFAZ!E946)</f>
        <v/>
      </c>
      <c r="F962" s="6" t="str">
        <f>IF(SEFAZ!F946="","",VALUE(SUBSTITUTE(SEFAZ!F946,"'","")))</f>
        <v/>
      </c>
      <c r="G962" t="str">
        <f>IF(SEFAZ!H946="","",SEFAZ!H946)</f>
        <v/>
      </c>
      <c r="H962" t="str">
        <f>IF(SEFAZ!L946="","",SEFAZ!L946)</f>
        <v/>
      </c>
      <c r="I962" t="str">
        <f>IF(SEFAZ!N946="","",SEFAZ!N946)</f>
        <v/>
      </c>
      <c r="J962" t="str">
        <f>IF(SEFAZ!O946="","",SEFAZ!O946)</f>
        <v/>
      </c>
      <c r="K962" s="11" t="str">
        <f>IF(SEFAZ!P946="","",SEFAZ!P946)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hidden="1" x14ac:dyDescent="0.3">
      <c r="B963" t="str">
        <f>IF(SEFAZ!A947="","",SEFAZ!A947)</f>
        <v/>
      </c>
      <c r="C963" t="str">
        <f>IF(SEFAZ!C947="","",SEFAZ!C947)</f>
        <v/>
      </c>
      <c r="D963" t="str">
        <f>IF(SEFAZ!D947="","",SEFAZ!D947)</f>
        <v/>
      </c>
      <c r="E963" s="7" t="str">
        <f>IF(SEFAZ!E947="","",SEFAZ!E947)</f>
        <v/>
      </c>
      <c r="F963" s="6" t="str">
        <f>IF(SEFAZ!F947="","",VALUE(SUBSTITUTE(SEFAZ!F947,"'","")))</f>
        <v/>
      </c>
      <c r="G963" t="str">
        <f>IF(SEFAZ!H947="","",SEFAZ!H947)</f>
        <v/>
      </c>
      <c r="H963" t="str">
        <f>IF(SEFAZ!L947="","",SEFAZ!L947)</f>
        <v/>
      </c>
      <c r="I963" t="str">
        <f>IF(SEFAZ!N947="","",SEFAZ!N947)</f>
        <v/>
      </c>
      <c r="J963" t="str">
        <f>IF(SEFAZ!O947="","",SEFAZ!O947)</f>
        <v/>
      </c>
      <c r="K963" s="11" t="str">
        <f>IF(SEFAZ!P947="","",SEFAZ!P947)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hidden="1" x14ac:dyDescent="0.3">
      <c r="B964" t="str">
        <f>IF(SEFAZ!A948="","",SEFAZ!A948)</f>
        <v/>
      </c>
      <c r="C964" t="str">
        <f>IF(SEFAZ!C948="","",SEFAZ!C948)</f>
        <v/>
      </c>
      <c r="D964" t="str">
        <f>IF(SEFAZ!D948="","",SEFAZ!D948)</f>
        <v/>
      </c>
      <c r="E964" s="7" t="str">
        <f>IF(SEFAZ!E948="","",SEFAZ!E948)</f>
        <v/>
      </c>
      <c r="F964" s="6" t="str">
        <f>IF(SEFAZ!F948="","",VALUE(SUBSTITUTE(SEFAZ!F948,"'","")))</f>
        <v/>
      </c>
      <c r="G964" t="str">
        <f>IF(SEFAZ!H948="","",SEFAZ!H948)</f>
        <v/>
      </c>
      <c r="H964" t="str">
        <f>IF(SEFAZ!L948="","",SEFAZ!L948)</f>
        <v/>
      </c>
      <c r="I964" t="str">
        <f>IF(SEFAZ!N948="","",SEFAZ!N948)</f>
        <v/>
      </c>
      <c r="J964" t="str">
        <f>IF(SEFAZ!O948="","",SEFAZ!O948)</f>
        <v/>
      </c>
      <c r="K964" s="11" t="str">
        <f>IF(SEFAZ!P948="","",SEFAZ!P948)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hidden="1" x14ac:dyDescent="0.3">
      <c r="B965" t="str">
        <f>IF(SEFAZ!A949="","",SEFAZ!A949)</f>
        <v/>
      </c>
      <c r="C965" t="str">
        <f>IF(SEFAZ!C949="","",SEFAZ!C949)</f>
        <v/>
      </c>
      <c r="D965" t="str">
        <f>IF(SEFAZ!D949="","",SEFAZ!D949)</f>
        <v/>
      </c>
      <c r="E965" s="7" t="str">
        <f>IF(SEFAZ!E949="","",SEFAZ!E949)</f>
        <v/>
      </c>
      <c r="F965" s="6" t="str">
        <f>IF(SEFAZ!F949="","",VALUE(SUBSTITUTE(SEFAZ!F949,"'","")))</f>
        <v/>
      </c>
      <c r="G965" t="str">
        <f>IF(SEFAZ!H949="","",SEFAZ!H949)</f>
        <v/>
      </c>
      <c r="H965" t="str">
        <f>IF(SEFAZ!L949="","",SEFAZ!L949)</f>
        <v/>
      </c>
      <c r="I965" t="str">
        <f>IF(SEFAZ!N949="","",SEFAZ!N949)</f>
        <v/>
      </c>
      <c r="J965" t="str">
        <f>IF(SEFAZ!O949="","",SEFAZ!O949)</f>
        <v/>
      </c>
      <c r="K965" s="11" t="str">
        <f>IF(SEFAZ!P949="","",SEFAZ!P949)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hidden="1" x14ac:dyDescent="0.3">
      <c r="B966" t="str">
        <f>IF(SEFAZ!A950="","",SEFAZ!A950)</f>
        <v/>
      </c>
      <c r="C966" t="str">
        <f>IF(SEFAZ!C950="","",SEFAZ!C950)</f>
        <v/>
      </c>
      <c r="D966" t="str">
        <f>IF(SEFAZ!D950="","",SEFAZ!D950)</f>
        <v/>
      </c>
      <c r="E966" s="7" t="str">
        <f>IF(SEFAZ!E950="","",SEFAZ!E950)</f>
        <v/>
      </c>
      <c r="F966" s="6" t="str">
        <f>IF(SEFAZ!F950="","",VALUE(SUBSTITUTE(SEFAZ!F950,"'","")))</f>
        <v/>
      </c>
      <c r="G966" t="str">
        <f>IF(SEFAZ!H950="","",SEFAZ!H950)</f>
        <v/>
      </c>
      <c r="H966" t="str">
        <f>IF(SEFAZ!L950="","",SEFAZ!L950)</f>
        <v/>
      </c>
      <c r="I966" t="str">
        <f>IF(SEFAZ!N950="","",SEFAZ!N950)</f>
        <v/>
      </c>
      <c r="J966" t="str">
        <f>IF(SEFAZ!O950="","",SEFAZ!O950)</f>
        <v/>
      </c>
      <c r="K966" s="11" t="str">
        <f>IF(SEFAZ!P950="","",SEFAZ!P950)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hidden="1" x14ac:dyDescent="0.3">
      <c r="B967" t="str">
        <f>IF(SEFAZ!A951="","",SEFAZ!A951)</f>
        <v/>
      </c>
      <c r="C967" t="str">
        <f>IF(SEFAZ!C951="","",SEFAZ!C951)</f>
        <v/>
      </c>
      <c r="D967" t="str">
        <f>IF(SEFAZ!D951="","",SEFAZ!D951)</f>
        <v/>
      </c>
      <c r="E967" s="7" t="str">
        <f>IF(SEFAZ!E951="","",SEFAZ!E951)</f>
        <v/>
      </c>
      <c r="F967" s="6" t="str">
        <f>IF(SEFAZ!F951="","",VALUE(SUBSTITUTE(SEFAZ!F951,"'","")))</f>
        <v/>
      </c>
      <c r="G967" t="str">
        <f>IF(SEFAZ!H951="","",SEFAZ!H951)</f>
        <v/>
      </c>
      <c r="H967" t="str">
        <f>IF(SEFAZ!L951="","",SEFAZ!L951)</f>
        <v/>
      </c>
      <c r="I967" t="str">
        <f>IF(SEFAZ!N951="","",SEFAZ!N951)</f>
        <v/>
      </c>
      <c r="J967" t="str">
        <f>IF(SEFAZ!O951="","",SEFAZ!O951)</f>
        <v/>
      </c>
      <c r="K967" s="11" t="str">
        <f>IF(SEFAZ!P951="","",SEFAZ!P951)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hidden="1" x14ac:dyDescent="0.3">
      <c r="B968" t="str">
        <f>IF(SEFAZ!A952="","",SEFAZ!A952)</f>
        <v/>
      </c>
      <c r="C968" t="str">
        <f>IF(SEFAZ!C952="","",SEFAZ!C952)</f>
        <v/>
      </c>
      <c r="D968" t="str">
        <f>IF(SEFAZ!D952="","",SEFAZ!D952)</f>
        <v/>
      </c>
      <c r="E968" s="7" t="str">
        <f>IF(SEFAZ!E952="","",SEFAZ!E952)</f>
        <v/>
      </c>
      <c r="F968" s="6" t="str">
        <f>IF(SEFAZ!F952="","",VALUE(SUBSTITUTE(SEFAZ!F952,"'","")))</f>
        <v/>
      </c>
      <c r="G968" t="str">
        <f>IF(SEFAZ!H952="","",SEFAZ!H952)</f>
        <v/>
      </c>
      <c r="H968" t="str">
        <f>IF(SEFAZ!L952="","",SEFAZ!L952)</f>
        <v/>
      </c>
      <c r="I968" t="str">
        <f>IF(SEFAZ!N952="","",SEFAZ!N952)</f>
        <v/>
      </c>
      <c r="J968" t="str">
        <f>IF(SEFAZ!O952="","",SEFAZ!O952)</f>
        <v/>
      </c>
      <c r="K968" s="11" t="str">
        <f>IF(SEFAZ!P952="","",SEFAZ!P952)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hidden="1" x14ac:dyDescent="0.3">
      <c r="B969" t="str">
        <f>IF(SEFAZ!A953="","",SEFAZ!A953)</f>
        <v/>
      </c>
      <c r="C969" t="str">
        <f>IF(SEFAZ!C953="","",SEFAZ!C953)</f>
        <v/>
      </c>
      <c r="D969" t="str">
        <f>IF(SEFAZ!D953="","",SEFAZ!D953)</f>
        <v/>
      </c>
      <c r="E969" s="7" t="str">
        <f>IF(SEFAZ!E953="","",SEFAZ!E953)</f>
        <v/>
      </c>
      <c r="F969" s="6" t="str">
        <f>IF(SEFAZ!F953="","",VALUE(SUBSTITUTE(SEFAZ!F953,"'","")))</f>
        <v/>
      </c>
      <c r="G969" t="str">
        <f>IF(SEFAZ!H953="","",SEFAZ!H953)</f>
        <v/>
      </c>
      <c r="H969" t="str">
        <f>IF(SEFAZ!L953="","",SEFAZ!L953)</f>
        <v/>
      </c>
      <c r="I969" t="str">
        <f>IF(SEFAZ!N953="","",SEFAZ!N953)</f>
        <v/>
      </c>
      <c r="J969" t="str">
        <f>IF(SEFAZ!O953="","",SEFAZ!O953)</f>
        <v/>
      </c>
      <c r="K969" s="11" t="str">
        <f>IF(SEFAZ!P953="","",SEFAZ!P953)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hidden="1" x14ac:dyDescent="0.3">
      <c r="B970" t="str">
        <f>IF(SEFAZ!A954="","",SEFAZ!A954)</f>
        <v/>
      </c>
      <c r="C970" t="str">
        <f>IF(SEFAZ!C954="","",SEFAZ!C954)</f>
        <v/>
      </c>
      <c r="D970" t="str">
        <f>IF(SEFAZ!D954="","",SEFAZ!D954)</f>
        <v/>
      </c>
      <c r="E970" s="7" t="str">
        <f>IF(SEFAZ!E954="","",SEFAZ!E954)</f>
        <v/>
      </c>
      <c r="F970" s="6" t="str">
        <f>IF(SEFAZ!F954="","",VALUE(SUBSTITUTE(SEFAZ!F954,"'","")))</f>
        <v/>
      </c>
      <c r="G970" t="str">
        <f>IF(SEFAZ!H954="","",SEFAZ!H954)</f>
        <v/>
      </c>
      <c r="H970" t="str">
        <f>IF(SEFAZ!L954="","",SEFAZ!L954)</f>
        <v/>
      </c>
      <c r="I970" t="str">
        <f>IF(SEFAZ!N954="","",SEFAZ!N954)</f>
        <v/>
      </c>
      <c r="J970" t="str">
        <f>IF(SEFAZ!O954="","",SEFAZ!O954)</f>
        <v/>
      </c>
      <c r="K970" s="11" t="str">
        <f>IF(SEFAZ!P954="","",SEFAZ!P954)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hidden="1" x14ac:dyDescent="0.3">
      <c r="B971" t="str">
        <f>IF(SEFAZ!A955="","",SEFAZ!A955)</f>
        <v/>
      </c>
      <c r="C971" t="str">
        <f>IF(SEFAZ!C955="","",SEFAZ!C955)</f>
        <v/>
      </c>
      <c r="D971" t="str">
        <f>IF(SEFAZ!D955="","",SEFAZ!D955)</f>
        <v/>
      </c>
      <c r="E971" s="7" t="str">
        <f>IF(SEFAZ!E955="","",SEFAZ!E955)</f>
        <v/>
      </c>
      <c r="F971" s="6" t="str">
        <f>IF(SEFAZ!F955="","",VALUE(SUBSTITUTE(SEFAZ!F955,"'","")))</f>
        <v/>
      </c>
      <c r="G971" t="str">
        <f>IF(SEFAZ!H955="","",SEFAZ!H955)</f>
        <v/>
      </c>
      <c r="H971" t="str">
        <f>IF(SEFAZ!L955="","",SEFAZ!L955)</f>
        <v/>
      </c>
      <c r="I971" t="str">
        <f>IF(SEFAZ!N955="","",SEFAZ!N955)</f>
        <v/>
      </c>
      <c r="J971" t="str">
        <f>IF(SEFAZ!O955="","",SEFAZ!O955)</f>
        <v/>
      </c>
      <c r="K971" s="11" t="str">
        <f>IF(SEFAZ!P955="","",SEFAZ!P955)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hidden="1" x14ac:dyDescent="0.3">
      <c r="B972" t="str">
        <f>IF(SEFAZ!A956="","",SEFAZ!A956)</f>
        <v/>
      </c>
      <c r="C972" t="str">
        <f>IF(SEFAZ!C956="","",SEFAZ!C956)</f>
        <v/>
      </c>
      <c r="D972" t="str">
        <f>IF(SEFAZ!D956="","",SEFAZ!D956)</f>
        <v/>
      </c>
      <c r="E972" s="7" t="str">
        <f>IF(SEFAZ!E956="","",SEFAZ!E956)</f>
        <v/>
      </c>
      <c r="F972" s="6" t="str">
        <f>IF(SEFAZ!F956="","",VALUE(SUBSTITUTE(SEFAZ!F956,"'","")))</f>
        <v/>
      </c>
      <c r="G972" t="str">
        <f>IF(SEFAZ!H956="","",SEFAZ!H956)</f>
        <v/>
      </c>
      <c r="H972" t="str">
        <f>IF(SEFAZ!L956="","",SEFAZ!L956)</f>
        <v/>
      </c>
      <c r="I972" t="str">
        <f>IF(SEFAZ!N956="","",SEFAZ!N956)</f>
        <v/>
      </c>
      <c r="J972" t="str">
        <f>IF(SEFAZ!O956="","",SEFAZ!O956)</f>
        <v/>
      </c>
      <c r="K972" s="11" t="str">
        <f>IF(SEFAZ!P956="","",SEFAZ!P956)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hidden="1" x14ac:dyDescent="0.3">
      <c r="B973" t="str">
        <f>IF(SEFAZ!A957="","",SEFAZ!A957)</f>
        <v/>
      </c>
      <c r="C973" t="str">
        <f>IF(SEFAZ!C957="","",SEFAZ!C957)</f>
        <v/>
      </c>
      <c r="D973" t="str">
        <f>IF(SEFAZ!D957="","",SEFAZ!D957)</f>
        <v/>
      </c>
      <c r="E973" s="7" t="str">
        <f>IF(SEFAZ!E957="","",SEFAZ!E957)</f>
        <v/>
      </c>
      <c r="F973" s="6" t="str">
        <f>IF(SEFAZ!F957="","",VALUE(SUBSTITUTE(SEFAZ!F957,"'","")))</f>
        <v/>
      </c>
      <c r="G973" t="str">
        <f>IF(SEFAZ!H957="","",SEFAZ!H957)</f>
        <v/>
      </c>
      <c r="H973" t="str">
        <f>IF(SEFAZ!L957="","",SEFAZ!L957)</f>
        <v/>
      </c>
      <c r="I973" t="str">
        <f>IF(SEFAZ!N957="","",SEFAZ!N957)</f>
        <v/>
      </c>
      <c r="J973" t="str">
        <f>IF(SEFAZ!O957="","",SEFAZ!O957)</f>
        <v/>
      </c>
      <c r="K973" s="11" t="str">
        <f>IF(SEFAZ!P957="","",SEFAZ!P957)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hidden="1" x14ac:dyDescent="0.3">
      <c r="B974" t="str">
        <f>IF(SEFAZ!A958="","",SEFAZ!A958)</f>
        <v/>
      </c>
      <c r="C974" t="str">
        <f>IF(SEFAZ!C958="","",SEFAZ!C958)</f>
        <v/>
      </c>
      <c r="D974" t="str">
        <f>IF(SEFAZ!D958="","",SEFAZ!D958)</f>
        <v/>
      </c>
      <c r="E974" s="7" t="str">
        <f>IF(SEFAZ!E958="","",SEFAZ!E958)</f>
        <v/>
      </c>
      <c r="F974" s="6" t="str">
        <f>IF(SEFAZ!F958="","",VALUE(SUBSTITUTE(SEFAZ!F958,"'","")))</f>
        <v/>
      </c>
      <c r="G974" t="str">
        <f>IF(SEFAZ!H958="","",SEFAZ!H958)</f>
        <v/>
      </c>
      <c r="H974" t="str">
        <f>IF(SEFAZ!L958="","",SEFAZ!L958)</f>
        <v/>
      </c>
      <c r="I974" t="str">
        <f>IF(SEFAZ!N958="","",SEFAZ!N958)</f>
        <v/>
      </c>
      <c r="J974" t="str">
        <f>IF(SEFAZ!O958="","",SEFAZ!O958)</f>
        <v/>
      </c>
      <c r="K974" s="11" t="str">
        <f>IF(SEFAZ!P958="","",SEFAZ!P958)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hidden="1" x14ac:dyDescent="0.3">
      <c r="B975" t="str">
        <f>IF(SEFAZ!A959="","",SEFAZ!A959)</f>
        <v/>
      </c>
      <c r="C975" t="str">
        <f>IF(SEFAZ!C959="","",SEFAZ!C959)</f>
        <v/>
      </c>
      <c r="D975" t="str">
        <f>IF(SEFAZ!D959="","",SEFAZ!D959)</f>
        <v/>
      </c>
      <c r="E975" s="7" t="str">
        <f>IF(SEFAZ!E959="","",SEFAZ!E959)</f>
        <v/>
      </c>
      <c r="F975" s="6" t="str">
        <f>IF(SEFAZ!F959="","",VALUE(SUBSTITUTE(SEFAZ!F959,"'","")))</f>
        <v/>
      </c>
      <c r="G975" t="str">
        <f>IF(SEFAZ!H959="","",SEFAZ!H959)</f>
        <v/>
      </c>
      <c r="H975" t="str">
        <f>IF(SEFAZ!L959="","",SEFAZ!L959)</f>
        <v/>
      </c>
      <c r="I975" t="str">
        <f>IF(SEFAZ!N959="","",SEFAZ!N959)</f>
        <v/>
      </c>
      <c r="J975" t="str">
        <f>IF(SEFAZ!O959="","",SEFAZ!O959)</f>
        <v/>
      </c>
      <c r="K975" s="11" t="str">
        <f>IF(SEFAZ!P959="","",SEFAZ!P959)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hidden="1" x14ac:dyDescent="0.3">
      <c r="B976" t="str">
        <f>IF(SEFAZ!A960="","",SEFAZ!A960)</f>
        <v/>
      </c>
      <c r="C976" t="str">
        <f>IF(SEFAZ!C960="","",SEFAZ!C960)</f>
        <v/>
      </c>
      <c r="D976" t="str">
        <f>IF(SEFAZ!D960="","",SEFAZ!D960)</f>
        <v/>
      </c>
      <c r="E976" s="7" t="str">
        <f>IF(SEFAZ!E960="","",SEFAZ!E960)</f>
        <v/>
      </c>
      <c r="F976" s="6" t="str">
        <f>IF(SEFAZ!F960="","",VALUE(SUBSTITUTE(SEFAZ!F960,"'","")))</f>
        <v/>
      </c>
      <c r="G976" t="str">
        <f>IF(SEFAZ!H960="","",SEFAZ!H960)</f>
        <v/>
      </c>
      <c r="H976" t="str">
        <f>IF(SEFAZ!L960="","",SEFAZ!L960)</f>
        <v/>
      </c>
      <c r="I976" t="str">
        <f>IF(SEFAZ!N960="","",SEFAZ!N960)</f>
        <v/>
      </c>
      <c r="J976" t="str">
        <f>IF(SEFAZ!O960="","",SEFAZ!O960)</f>
        <v/>
      </c>
      <c r="K976" s="11" t="str">
        <f>IF(SEFAZ!P960="","",SEFAZ!P960)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hidden="1" x14ac:dyDescent="0.3">
      <c r="B977" t="str">
        <f>IF(SEFAZ!A961="","",SEFAZ!A961)</f>
        <v/>
      </c>
      <c r="C977" t="str">
        <f>IF(SEFAZ!C961="","",SEFAZ!C961)</f>
        <v/>
      </c>
      <c r="D977" t="str">
        <f>IF(SEFAZ!D961="","",SEFAZ!D961)</f>
        <v/>
      </c>
      <c r="E977" s="7" t="str">
        <f>IF(SEFAZ!E961="","",SEFAZ!E961)</f>
        <v/>
      </c>
      <c r="F977" s="6" t="str">
        <f>IF(SEFAZ!F961="","",VALUE(SUBSTITUTE(SEFAZ!F961,"'","")))</f>
        <v/>
      </c>
      <c r="G977" t="str">
        <f>IF(SEFAZ!H961="","",SEFAZ!H961)</f>
        <v/>
      </c>
      <c r="H977" t="str">
        <f>IF(SEFAZ!L961="","",SEFAZ!L961)</f>
        <v/>
      </c>
      <c r="I977" t="str">
        <f>IF(SEFAZ!N961="","",SEFAZ!N961)</f>
        <v/>
      </c>
      <c r="J977" t="str">
        <f>IF(SEFAZ!O961="","",SEFAZ!O961)</f>
        <v/>
      </c>
      <c r="K977" s="11" t="str">
        <f>IF(SEFAZ!P961="","",SEFAZ!P961)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hidden="1" x14ac:dyDescent="0.3">
      <c r="B978" t="str">
        <f>IF(SEFAZ!A962="","",SEFAZ!A962)</f>
        <v/>
      </c>
      <c r="C978" t="str">
        <f>IF(SEFAZ!C962="","",SEFAZ!C962)</f>
        <v/>
      </c>
      <c r="D978" t="str">
        <f>IF(SEFAZ!D962="","",SEFAZ!D962)</f>
        <v/>
      </c>
      <c r="E978" s="7" t="str">
        <f>IF(SEFAZ!E962="","",SEFAZ!E962)</f>
        <v/>
      </c>
      <c r="F978" s="6" t="str">
        <f>IF(SEFAZ!F962="","",VALUE(SUBSTITUTE(SEFAZ!F962,"'","")))</f>
        <v/>
      </c>
      <c r="G978" t="str">
        <f>IF(SEFAZ!H962="","",SEFAZ!H962)</f>
        <v/>
      </c>
      <c r="H978" t="str">
        <f>IF(SEFAZ!L962="","",SEFAZ!L962)</f>
        <v/>
      </c>
      <c r="I978" t="str">
        <f>IF(SEFAZ!N962="","",SEFAZ!N962)</f>
        <v/>
      </c>
      <c r="J978" t="str">
        <f>IF(SEFAZ!O962="","",SEFAZ!O962)</f>
        <v/>
      </c>
      <c r="K978" s="11" t="str">
        <f>IF(SEFAZ!P962="","",SEFAZ!P962)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hidden="1" x14ac:dyDescent="0.3">
      <c r="B979" t="str">
        <f>IF(SEFAZ!A963="","",SEFAZ!A963)</f>
        <v/>
      </c>
      <c r="C979" t="str">
        <f>IF(SEFAZ!C963="","",SEFAZ!C963)</f>
        <v/>
      </c>
      <c r="D979" t="str">
        <f>IF(SEFAZ!D963="","",SEFAZ!D963)</f>
        <v/>
      </c>
      <c r="E979" s="7" t="str">
        <f>IF(SEFAZ!E963="","",SEFAZ!E963)</f>
        <v/>
      </c>
      <c r="F979" s="6" t="str">
        <f>IF(SEFAZ!F963="","",VALUE(SUBSTITUTE(SEFAZ!F963,"'","")))</f>
        <v/>
      </c>
      <c r="G979" t="str">
        <f>IF(SEFAZ!H963="","",SEFAZ!H963)</f>
        <v/>
      </c>
      <c r="H979" t="str">
        <f>IF(SEFAZ!L963="","",SEFAZ!L963)</f>
        <v/>
      </c>
      <c r="I979" t="str">
        <f>IF(SEFAZ!N963="","",SEFAZ!N963)</f>
        <v/>
      </c>
      <c r="J979" t="str">
        <f>IF(SEFAZ!O963="","",SEFAZ!O963)</f>
        <v/>
      </c>
      <c r="K979" s="11" t="str">
        <f>IF(SEFAZ!P963="","",SEFAZ!P963)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hidden="1" x14ac:dyDescent="0.3">
      <c r="B980" t="str">
        <f>IF(SEFAZ!A964="","",SEFAZ!A964)</f>
        <v/>
      </c>
      <c r="C980" t="str">
        <f>IF(SEFAZ!C964="","",SEFAZ!C964)</f>
        <v/>
      </c>
      <c r="D980" t="str">
        <f>IF(SEFAZ!D964="","",SEFAZ!D964)</f>
        <v/>
      </c>
      <c r="E980" s="7" t="str">
        <f>IF(SEFAZ!E964="","",SEFAZ!E964)</f>
        <v/>
      </c>
      <c r="F980" s="6" t="str">
        <f>IF(SEFAZ!F964="","",VALUE(SUBSTITUTE(SEFAZ!F964,"'","")))</f>
        <v/>
      </c>
      <c r="G980" t="str">
        <f>IF(SEFAZ!H964="","",SEFAZ!H964)</f>
        <v/>
      </c>
      <c r="H980" t="str">
        <f>IF(SEFAZ!L964="","",SEFAZ!L964)</f>
        <v/>
      </c>
      <c r="I980" t="str">
        <f>IF(SEFAZ!N964="","",SEFAZ!N964)</f>
        <v/>
      </c>
      <c r="J980" t="str">
        <f>IF(SEFAZ!O964="","",SEFAZ!O964)</f>
        <v/>
      </c>
      <c r="K980" s="11" t="str">
        <f>IF(SEFAZ!P964="","",SEFAZ!P964)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hidden="1" x14ac:dyDescent="0.3">
      <c r="B981" t="str">
        <f>IF(SEFAZ!A965="","",SEFAZ!A965)</f>
        <v/>
      </c>
      <c r="C981" t="str">
        <f>IF(SEFAZ!C965="","",SEFAZ!C965)</f>
        <v/>
      </c>
      <c r="D981" t="str">
        <f>IF(SEFAZ!D965="","",SEFAZ!D965)</f>
        <v/>
      </c>
      <c r="E981" s="7" t="str">
        <f>IF(SEFAZ!E965="","",SEFAZ!E965)</f>
        <v/>
      </c>
      <c r="F981" s="6" t="str">
        <f>IF(SEFAZ!F965="","",VALUE(SUBSTITUTE(SEFAZ!F965,"'","")))</f>
        <v/>
      </c>
      <c r="G981" t="str">
        <f>IF(SEFAZ!H965="","",SEFAZ!H965)</f>
        <v/>
      </c>
      <c r="H981" t="str">
        <f>IF(SEFAZ!L965="","",SEFAZ!L965)</f>
        <v/>
      </c>
      <c r="I981" t="str">
        <f>IF(SEFAZ!N965="","",SEFAZ!N965)</f>
        <v/>
      </c>
      <c r="J981" t="str">
        <f>IF(SEFAZ!O965="","",SEFAZ!O965)</f>
        <v/>
      </c>
      <c r="K981" s="11" t="str">
        <f>IF(SEFAZ!P965="","",SEFAZ!P965)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hidden="1" x14ac:dyDescent="0.3">
      <c r="B982" t="str">
        <f>IF(SEFAZ!A966="","",SEFAZ!A966)</f>
        <v/>
      </c>
      <c r="C982" t="str">
        <f>IF(SEFAZ!C966="","",SEFAZ!C966)</f>
        <v/>
      </c>
      <c r="D982" t="str">
        <f>IF(SEFAZ!D966="","",SEFAZ!D966)</f>
        <v/>
      </c>
      <c r="E982" s="7" t="str">
        <f>IF(SEFAZ!E966="","",SEFAZ!E966)</f>
        <v/>
      </c>
      <c r="F982" s="6" t="str">
        <f>IF(SEFAZ!F966="","",VALUE(SUBSTITUTE(SEFAZ!F966,"'","")))</f>
        <v/>
      </c>
      <c r="G982" t="str">
        <f>IF(SEFAZ!H966="","",SEFAZ!H966)</f>
        <v/>
      </c>
      <c r="H982" t="str">
        <f>IF(SEFAZ!L966="","",SEFAZ!L966)</f>
        <v/>
      </c>
      <c r="I982" t="str">
        <f>IF(SEFAZ!N966="","",SEFAZ!N966)</f>
        <v/>
      </c>
      <c r="J982" t="str">
        <f>IF(SEFAZ!O966="","",SEFAZ!O966)</f>
        <v/>
      </c>
      <c r="K982" s="11" t="str">
        <f>IF(SEFAZ!P966="","",SEFAZ!P966)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hidden="1" x14ac:dyDescent="0.3">
      <c r="B983" t="str">
        <f>IF(SEFAZ!A967="","",SEFAZ!A967)</f>
        <v/>
      </c>
      <c r="C983" t="str">
        <f>IF(SEFAZ!C967="","",SEFAZ!C967)</f>
        <v/>
      </c>
      <c r="D983" t="str">
        <f>IF(SEFAZ!D967="","",SEFAZ!D967)</f>
        <v/>
      </c>
      <c r="E983" s="7" t="str">
        <f>IF(SEFAZ!E967="","",SEFAZ!E967)</f>
        <v/>
      </c>
      <c r="F983" s="6" t="str">
        <f>IF(SEFAZ!F967="","",VALUE(SUBSTITUTE(SEFAZ!F967,"'","")))</f>
        <v/>
      </c>
      <c r="G983" t="str">
        <f>IF(SEFAZ!H967="","",SEFAZ!H967)</f>
        <v/>
      </c>
      <c r="H983" t="str">
        <f>IF(SEFAZ!L967="","",SEFAZ!L967)</f>
        <v/>
      </c>
      <c r="I983" t="str">
        <f>IF(SEFAZ!N967="","",SEFAZ!N967)</f>
        <v/>
      </c>
      <c r="J983" t="str">
        <f>IF(SEFAZ!O967="","",SEFAZ!O967)</f>
        <v/>
      </c>
      <c r="K983" s="11" t="str">
        <f>IF(SEFAZ!P967="","",SEFAZ!P967)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hidden="1" x14ac:dyDescent="0.3">
      <c r="B984" t="str">
        <f>IF(SEFAZ!A968="","",SEFAZ!A968)</f>
        <v/>
      </c>
      <c r="C984" t="str">
        <f>IF(SEFAZ!C968="","",SEFAZ!C968)</f>
        <v/>
      </c>
      <c r="D984" t="str">
        <f>IF(SEFAZ!D968="","",SEFAZ!D968)</f>
        <v/>
      </c>
      <c r="E984" s="7" t="str">
        <f>IF(SEFAZ!E968="","",SEFAZ!E968)</f>
        <v/>
      </c>
      <c r="F984" s="6" t="str">
        <f>IF(SEFAZ!F968="","",VALUE(SUBSTITUTE(SEFAZ!F968,"'","")))</f>
        <v/>
      </c>
      <c r="G984" t="str">
        <f>IF(SEFAZ!H968="","",SEFAZ!H968)</f>
        <v/>
      </c>
      <c r="H984" t="str">
        <f>IF(SEFAZ!L968="","",SEFAZ!L968)</f>
        <v/>
      </c>
      <c r="I984" t="str">
        <f>IF(SEFAZ!N968="","",SEFAZ!N968)</f>
        <v/>
      </c>
      <c r="J984" t="str">
        <f>IF(SEFAZ!O968="","",SEFAZ!O968)</f>
        <v/>
      </c>
      <c r="K984" s="11" t="str">
        <f>IF(SEFAZ!P968="","",SEFAZ!P968)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hidden="1" x14ac:dyDescent="0.3">
      <c r="B985" t="str">
        <f>IF(SEFAZ!A969="","",SEFAZ!A969)</f>
        <v/>
      </c>
      <c r="C985" t="str">
        <f>IF(SEFAZ!C969="","",SEFAZ!C969)</f>
        <v/>
      </c>
      <c r="D985" t="str">
        <f>IF(SEFAZ!D969="","",SEFAZ!D969)</f>
        <v/>
      </c>
      <c r="E985" s="7" t="str">
        <f>IF(SEFAZ!E969="","",SEFAZ!E969)</f>
        <v/>
      </c>
      <c r="F985" s="6" t="str">
        <f>IF(SEFAZ!F969="","",VALUE(SUBSTITUTE(SEFAZ!F969,"'","")))</f>
        <v/>
      </c>
      <c r="G985" t="str">
        <f>IF(SEFAZ!H969="","",SEFAZ!H969)</f>
        <v/>
      </c>
      <c r="H985" t="str">
        <f>IF(SEFAZ!L969="","",SEFAZ!L969)</f>
        <v/>
      </c>
      <c r="I985" t="str">
        <f>IF(SEFAZ!N969="","",SEFAZ!N969)</f>
        <v/>
      </c>
      <c r="J985" t="str">
        <f>IF(SEFAZ!O969="","",SEFAZ!O969)</f>
        <v/>
      </c>
      <c r="K985" s="11" t="str">
        <f>IF(SEFAZ!P969="","",SEFAZ!P969)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hidden="1" x14ac:dyDescent="0.3">
      <c r="B986" t="str">
        <f>IF(SEFAZ!A970="","",SEFAZ!A970)</f>
        <v/>
      </c>
      <c r="C986" t="str">
        <f>IF(SEFAZ!C970="","",SEFAZ!C970)</f>
        <v/>
      </c>
      <c r="D986" t="str">
        <f>IF(SEFAZ!D970="","",SEFAZ!D970)</f>
        <v/>
      </c>
      <c r="E986" s="7" t="str">
        <f>IF(SEFAZ!E970="","",SEFAZ!E970)</f>
        <v/>
      </c>
      <c r="F986" s="6" t="str">
        <f>IF(SEFAZ!F970="","",VALUE(SUBSTITUTE(SEFAZ!F970,"'","")))</f>
        <v/>
      </c>
      <c r="G986" t="str">
        <f>IF(SEFAZ!H970="","",SEFAZ!H970)</f>
        <v/>
      </c>
      <c r="H986" t="str">
        <f>IF(SEFAZ!L970="","",SEFAZ!L970)</f>
        <v/>
      </c>
      <c r="I986" t="str">
        <f>IF(SEFAZ!N970="","",SEFAZ!N970)</f>
        <v/>
      </c>
      <c r="J986" t="str">
        <f>IF(SEFAZ!O970="","",SEFAZ!O970)</f>
        <v/>
      </c>
      <c r="K986" s="11" t="str">
        <f>IF(SEFAZ!P970="","",SEFAZ!P970)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hidden="1" x14ac:dyDescent="0.3">
      <c r="B987" t="str">
        <f>IF(SEFAZ!A971="","",SEFAZ!A971)</f>
        <v/>
      </c>
      <c r="C987" t="str">
        <f>IF(SEFAZ!C971="","",SEFAZ!C971)</f>
        <v/>
      </c>
      <c r="D987" t="str">
        <f>IF(SEFAZ!D971="","",SEFAZ!D971)</f>
        <v/>
      </c>
      <c r="E987" s="7" t="str">
        <f>IF(SEFAZ!E971="","",SEFAZ!E971)</f>
        <v/>
      </c>
      <c r="F987" s="6" t="str">
        <f>IF(SEFAZ!F971="","",VALUE(SUBSTITUTE(SEFAZ!F971,"'","")))</f>
        <v/>
      </c>
      <c r="G987" t="str">
        <f>IF(SEFAZ!H971="","",SEFAZ!H971)</f>
        <v/>
      </c>
      <c r="H987" t="str">
        <f>IF(SEFAZ!L971="","",SEFAZ!L971)</f>
        <v/>
      </c>
      <c r="I987" t="str">
        <f>IF(SEFAZ!N971="","",SEFAZ!N971)</f>
        <v/>
      </c>
      <c r="J987" t="str">
        <f>IF(SEFAZ!O971="","",SEFAZ!O971)</f>
        <v/>
      </c>
      <c r="K987" s="11" t="str">
        <f>IF(SEFAZ!P971="","",SEFAZ!P971)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hidden="1" x14ac:dyDescent="0.3">
      <c r="B988" t="str">
        <f>IF(SEFAZ!A972="","",SEFAZ!A972)</f>
        <v/>
      </c>
      <c r="C988" t="str">
        <f>IF(SEFAZ!C972="","",SEFAZ!C972)</f>
        <v/>
      </c>
      <c r="D988" t="str">
        <f>IF(SEFAZ!D972="","",SEFAZ!D972)</f>
        <v/>
      </c>
      <c r="E988" s="7" t="str">
        <f>IF(SEFAZ!E972="","",SEFAZ!E972)</f>
        <v/>
      </c>
      <c r="F988" s="6" t="str">
        <f>IF(SEFAZ!F972="","",VALUE(SUBSTITUTE(SEFAZ!F972,"'","")))</f>
        <v/>
      </c>
      <c r="G988" t="str">
        <f>IF(SEFAZ!H972="","",SEFAZ!H972)</f>
        <v/>
      </c>
      <c r="H988" t="str">
        <f>IF(SEFAZ!L972="","",SEFAZ!L972)</f>
        <v/>
      </c>
      <c r="I988" t="str">
        <f>IF(SEFAZ!N972="","",SEFAZ!N972)</f>
        <v/>
      </c>
      <c r="J988" t="str">
        <f>IF(SEFAZ!O972="","",SEFAZ!O972)</f>
        <v/>
      </c>
      <c r="K988" s="11" t="str">
        <f>IF(SEFAZ!P972="","",SEFAZ!P972)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hidden="1" x14ac:dyDescent="0.3">
      <c r="B989" t="str">
        <f>IF(SEFAZ!A973="","",SEFAZ!A973)</f>
        <v/>
      </c>
      <c r="C989" t="str">
        <f>IF(SEFAZ!C973="","",SEFAZ!C973)</f>
        <v/>
      </c>
      <c r="D989" t="str">
        <f>IF(SEFAZ!D973="","",SEFAZ!D973)</f>
        <v/>
      </c>
      <c r="E989" s="7" t="str">
        <f>IF(SEFAZ!E973="","",SEFAZ!E973)</f>
        <v/>
      </c>
      <c r="F989" s="6" t="str">
        <f>IF(SEFAZ!F973="","",VALUE(SUBSTITUTE(SEFAZ!F973,"'","")))</f>
        <v/>
      </c>
      <c r="G989" t="str">
        <f>IF(SEFAZ!H973="","",SEFAZ!H973)</f>
        <v/>
      </c>
      <c r="H989" t="str">
        <f>IF(SEFAZ!L973="","",SEFAZ!L973)</f>
        <v/>
      </c>
      <c r="I989" t="str">
        <f>IF(SEFAZ!N973="","",SEFAZ!N973)</f>
        <v/>
      </c>
      <c r="J989" t="str">
        <f>IF(SEFAZ!O973="","",SEFAZ!O973)</f>
        <v/>
      </c>
      <c r="K989" s="11" t="str">
        <f>IF(SEFAZ!P973="","",SEFAZ!P973)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hidden="1" x14ac:dyDescent="0.3">
      <c r="B990" t="str">
        <f>IF(SEFAZ!A974="","",SEFAZ!A974)</f>
        <v/>
      </c>
      <c r="C990" t="str">
        <f>IF(SEFAZ!C974="","",SEFAZ!C974)</f>
        <v/>
      </c>
      <c r="D990" t="str">
        <f>IF(SEFAZ!D974="","",SEFAZ!D974)</f>
        <v/>
      </c>
      <c r="E990" s="7" t="str">
        <f>IF(SEFAZ!E974="","",SEFAZ!E974)</f>
        <v/>
      </c>
      <c r="F990" s="6" t="str">
        <f>IF(SEFAZ!F974="","",VALUE(SUBSTITUTE(SEFAZ!F974,"'","")))</f>
        <v/>
      </c>
      <c r="G990" t="str">
        <f>IF(SEFAZ!H974="","",SEFAZ!H974)</f>
        <v/>
      </c>
      <c r="H990" t="str">
        <f>IF(SEFAZ!L974="","",SEFAZ!L974)</f>
        <v/>
      </c>
      <c r="I990" t="str">
        <f>IF(SEFAZ!N974="","",SEFAZ!N974)</f>
        <v/>
      </c>
      <c r="J990" t="str">
        <f>IF(SEFAZ!O974="","",SEFAZ!O974)</f>
        <v/>
      </c>
      <c r="K990" s="11" t="str">
        <f>IF(SEFAZ!P974="","",SEFAZ!P974)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hidden="1" x14ac:dyDescent="0.3">
      <c r="B991" t="str">
        <f>IF(SEFAZ!A975="","",SEFAZ!A975)</f>
        <v/>
      </c>
      <c r="C991" t="str">
        <f>IF(SEFAZ!C975="","",SEFAZ!C975)</f>
        <v/>
      </c>
      <c r="D991" t="str">
        <f>IF(SEFAZ!D975="","",SEFAZ!D975)</f>
        <v/>
      </c>
      <c r="E991" s="7" t="str">
        <f>IF(SEFAZ!E975="","",SEFAZ!E975)</f>
        <v/>
      </c>
      <c r="F991" s="6" t="str">
        <f>IF(SEFAZ!F975="","",VALUE(SUBSTITUTE(SEFAZ!F975,"'","")))</f>
        <v/>
      </c>
      <c r="G991" t="str">
        <f>IF(SEFAZ!H975="","",SEFAZ!H975)</f>
        <v/>
      </c>
      <c r="H991" t="str">
        <f>IF(SEFAZ!L975="","",SEFAZ!L975)</f>
        <v/>
      </c>
      <c r="I991" t="str">
        <f>IF(SEFAZ!N975="","",SEFAZ!N975)</f>
        <v/>
      </c>
      <c r="J991" t="str">
        <f>IF(SEFAZ!O975="","",SEFAZ!O975)</f>
        <v/>
      </c>
      <c r="K991" s="11" t="str">
        <f>IF(SEFAZ!P975="","",SEFAZ!P975)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hidden="1" x14ac:dyDescent="0.3">
      <c r="B992" t="str">
        <f>IF(SEFAZ!A976="","",SEFAZ!A976)</f>
        <v/>
      </c>
      <c r="C992" t="str">
        <f>IF(SEFAZ!C976="","",SEFAZ!C976)</f>
        <v/>
      </c>
      <c r="D992" t="str">
        <f>IF(SEFAZ!D976="","",SEFAZ!D976)</f>
        <v/>
      </c>
      <c r="E992" s="7" t="str">
        <f>IF(SEFAZ!E976="","",SEFAZ!E976)</f>
        <v/>
      </c>
      <c r="F992" s="6" t="str">
        <f>IF(SEFAZ!F976="","",VALUE(SUBSTITUTE(SEFAZ!F976,"'","")))</f>
        <v/>
      </c>
      <c r="G992" t="str">
        <f>IF(SEFAZ!H976="","",SEFAZ!H976)</f>
        <v/>
      </c>
      <c r="H992" t="str">
        <f>IF(SEFAZ!L976="","",SEFAZ!L976)</f>
        <v/>
      </c>
      <c r="I992" t="str">
        <f>IF(SEFAZ!N976="","",SEFAZ!N976)</f>
        <v/>
      </c>
      <c r="J992" t="str">
        <f>IF(SEFAZ!O976="","",SEFAZ!O976)</f>
        <v/>
      </c>
      <c r="K992" s="11" t="str">
        <f>IF(SEFAZ!P976="","",SEFAZ!P976)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hidden="1" x14ac:dyDescent="0.3">
      <c r="B993" t="str">
        <f>IF(SEFAZ!A977="","",SEFAZ!A977)</f>
        <v/>
      </c>
      <c r="C993" t="str">
        <f>IF(SEFAZ!C977="","",SEFAZ!C977)</f>
        <v/>
      </c>
      <c r="D993" t="str">
        <f>IF(SEFAZ!D977="","",SEFAZ!D977)</f>
        <v/>
      </c>
      <c r="E993" s="7" t="str">
        <f>IF(SEFAZ!E977="","",SEFAZ!E977)</f>
        <v/>
      </c>
      <c r="F993" s="6" t="str">
        <f>IF(SEFAZ!F977="","",VALUE(SUBSTITUTE(SEFAZ!F977,"'","")))</f>
        <v/>
      </c>
      <c r="G993" t="str">
        <f>IF(SEFAZ!H977="","",SEFAZ!H977)</f>
        <v/>
      </c>
      <c r="H993" t="str">
        <f>IF(SEFAZ!L977="","",SEFAZ!L977)</f>
        <v/>
      </c>
      <c r="I993" t="str">
        <f>IF(SEFAZ!N977="","",SEFAZ!N977)</f>
        <v/>
      </c>
      <c r="J993" t="str">
        <f>IF(SEFAZ!O977="","",SEFAZ!O977)</f>
        <v/>
      </c>
      <c r="K993" s="11" t="str">
        <f>IF(SEFAZ!P977="","",SEFAZ!P977)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hidden="1" x14ac:dyDescent="0.3">
      <c r="B994" t="str">
        <f>IF(SEFAZ!A978="","",SEFAZ!A978)</f>
        <v/>
      </c>
      <c r="C994" t="str">
        <f>IF(SEFAZ!C978="","",SEFAZ!C978)</f>
        <v/>
      </c>
      <c r="D994" t="str">
        <f>IF(SEFAZ!D978="","",SEFAZ!D978)</f>
        <v/>
      </c>
      <c r="E994" s="7" t="str">
        <f>IF(SEFAZ!E978="","",SEFAZ!E978)</f>
        <v/>
      </c>
      <c r="F994" s="6" t="str">
        <f>IF(SEFAZ!F978="","",VALUE(SUBSTITUTE(SEFAZ!F978,"'","")))</f>
        <v/>
      </c>
      <c r="G994" t="str">
        <f>IF(SEFAZ!H978="","",SEFAZ!H978)</f>
        <v/>
      </c>
      <c r="H994" t="str">
        <f>IF(SEFAZ!L978="","",SEFAZ!L978)</f>
        <v/>
      </c>
      <c r="I994" t="str">
        <f>IF(SEFAZ!N978="","",SEFAZ!N978)</f>
        <v/>
      </c>
      <c r="J994" t="str">
        <f>IF(SEFAZ!O978="","",SEFAZ!O978)</f>
        <v/>
      </c>
      <c r="K994" s="11" t="str">
        <f>IF(SEFAZ!P978="","",SEFAZ!P978)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hidden="1" x14ac:dyDescent="0.3">
      <c r="B995" t="str">
        <f>IF(SEFAZ!A979="","",SEFAZ!A979)</f>
        <v/>
      </c>
      <c r="C995" t="str">
        <f>IF(SEFAZ!C979="","",SEFAZ!C979)</f>
        <v/>
      </c>
      <c r="D995" t="str">
        <f>IF(SEFAZ!D979="","",SEFAZ!D979)</f>
        <v/>
      </c>
      <c r="E995" s="7" t="str">
        <f>IF(SEFAZ!E979="","",SEFAZ!E979)</f>
        <v/>
      </c>
      <c r="F995" s="6" t="str">
        <f>IF(SEFAZ!F979="","",VALUE(SUBSTITUTE(SEFAZ!F979,"'","")))</f>
        <v/>
      </c>
      <c r="G995" t="str">
        <f>IF(SEFAZ!H979="","",SEFAZ!H979)</f>
        <v/>
      </c>
      <c r="H995" t="str">
        <f>IF(SEFAZ!L979="","",SEFAZ!L979)</f>
        <v/>
      </c>
      <c r="I995" t="str">
        <f>IF(SEFAZ!N979="","",SEFAZ!N979)</f>
        <v/>
      </c>
      <c r="J995" t="str">
        <f>IF(SEFAZ!O979="","",SEFAZ!O979)</f>
        <v/>
      </c>
      <c r="K995" s="11" t="str">
        <f>IF(SEFAZ!P979="","",SEFAZ!P979)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hidden="1" x14ac:dyDescent="0.3">
      <c r="B996" t="str">
        <f>IF(SEFAZ!A980="","",SEFAZ!A980)</f>
        <v/>
      </c>
      <c r="C996" t="str">
        <f>IF(SEFAZ!C980="","",SEFAZ!C980)</f>
        <v/>
      </c>
      <c r="D996" t="str">
        <f>IF(SEFAZ!D980="","",SEFAZ!D980)</f>
        <v/>
      </c>
      <c r="E996" s="7" t="str">
        <f>IF(SEFAZ!E980="","",SEFAZ!E980)</f>
        <v/>
      </c>
      <c r="F996" s="6" t="str">
        <f>IF(SEFAZ!F980="","",VALUE(SUBSTITUTE(SEFAZ!F980,"'","")))</f>
        <v/>
      </c>
      <c r="G996" t="str">
        <f>IF(SEFAZ!H980="","",SEFAZ!H980)</f>
        <v/>
      </c>
      <c r="H996" t="str">
        <f>IF(SEFAZ!L980="","",SEFAZ!L980)</f>
        <v/>
      </c>
      <c r="I996" t="str">
        <f>IF(SEFAZ!N980="","",SEFAZ!N980)</f>
        <v/>
      </c>
      <c r="J996" t="str">
        <f>IF(SEFAZ!O980="","",SEFAZ!O980)</f>
        <v/>
      </c>
      <c r="K996" s="11" t="str">
        <f>IF(SEFAZ!P980="","",SEFAZ!P980)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hidden="1" x14ac:dyDescent="0.3">
      <c r="B997" t="str">
        <f>IF(SEFAZ!A981="","",SEFAZ!A981)</f>
        <v/>
      </c>
      <c r="C997" t="str">
        <f>IF(SEFAZ!C981="","",SEFAZ!C981)</f>
        <v/>
      </c>
      <c r="D997" t="str">
        <f>IF(SEFAZ!D981="","",SEFAZ!D981)</f>
        <v/>
      </c>
      <c r="E997" s="7" t="str">
        <f>IF(SEFAZ!E981="","",SEFAZ!E981)</f>
        <v/>
      </c>
      <c r="F997" s="6" t="str">
        <f>IF(SEFAZ!F981="","",VALUE(SUBSTITUTE(SEFAZ!F981,"'","")))</f>
        <v/>
      </c>
      <c r="G997" t="str">
        <f>IF(SEFAZ!H981="","",SEFAZ!H981)</f>
        <v/>
      </c>
      <c r="H997" t="str">
        <f>IF(SEFAZ!L981="","",SEFAZ!L981)</f>
        <v/>
      </c>
      <c r="I997" t="str">
        <f>IF(SEFAZ!N981="","",SEFAZ!N981)</f>
        <v/>
      </c>
      <c r="J997" t="str">
        <f>IF(SEFAZ!O981="","",SEFAZ!O981)</f>
        <v/>
      </c>
      <c r="K997" s="11" t="str">
        <f>IF(SEFAZ!P981="","",SEFAZ!P981)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hidden="1" x14ac:dyDescent="0.3">
      <c r="B998" t="str">
        <f>IF(SEFAZ!A982="","",SEFAZ!A982)</f>
        <v/>
      </c>
      <c r="C998" t="str">
        <f>IF(SEFAZ!C982="","",SEFAZ!C982)</f>
        <v/>
      </c>
      <c r="D998" t="str">
        <f>IF(SEFAZ!D982="","",SEFAZ!D982)</f>
        <v/>
      </c>
      <c r="E998" s="7" t="str">
        <f>IF(SEFAZ!E982="","",SEFAZ!E982)</f>
        <v/>
      </c>
      <c r="F998" s="6" t="str">
        <f>IF(SEFAZ!F982="","",VALUE(SUBSTITUTE(SEFAZ!F982,"'","")))</f>
        <v/>
      </c>
      <c r="G998" t="str">
        <f>IF(SEFAZ!H982="","",SEFAZ!H982)</f>
        <v/>
      </c>
      <c r="H998" t="str">
        <f>IF(SEFAZ!L982="","",SEFAZ!L982)</f>
        <v/>
      </c>
      <c r="I998" t="str">
        <f>IF(SEFAZ!N982="","",SEFAZ!N982)</f>
        <v/>
      </c>
      <c r="J998" t="str">
        <f>IF(SEFAZ!O982="","",SEFAZ!O982)</f>
        <v/>
      </c>
      <c r="K998" s="11" t="str">
        <f>IF(SEFAZ!P982="","",SEFAZ!P982)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hidden="1" x14ac:dyDescent="0.3">
      <c r="B999" t="str">
        <f>IF(SEFAZ!A983="","",SEFAZ!A983)</f>
        <v/>
      </c>
      <c r="C999" t="str">
        <f>IF(SEFAZ!C983="","",SEFAZ!C983)</f>
        <v/>
      </c>
      <c r="D999" t="str">
        <f>IF(SEFAZ!D983="","",SEFAZ!D983)</f>
        <v/>
      </c>
      <c r="E999" s="7" t="str">
        <f>IF(SEFAZ!E983="","",SEFAZ!E983)</f>
        <v/>
      </c>
      <c r="F999" s="6" t="str">
        <f>IF(SEFAZ!F983="","",VALUE(SUBSTITUTE(SEFAZ!F983,"'","")))</f>
        <v/>
      </c>
      <c r="G999" t="str">
        <f>IF(SEFAZ!H983="","",SEFAZ!H983)</f>
        <v/>
      </c>
      <c r="H999" t="str">
        <f>IF(SEFAZ!L983="","",SEFAZ!L983)</f>
        <v/>
      </c>
      <c r="I999" t="str">
        <f>IF(SEFAZ!N983="","",SEFAZ!N983)</f>
        <v/>
      </c>
      <c r="J999" t="str">
        <f>IF(SEFAZ!O983="","",SEFAZ!O983)</f>
        <v/>
      </c>
      <c r="K999" s="11" t="str">
        <f>IF(SEFAZ!P983="","",SEFAZ!P983)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hidden="1" x14ac:dyDescent="0.3">
      <c r="B1000" t="str">
        <f>IF(SEFAZ!A984="","",SEFAZ!A984)</f>
        <v/>
      </c>
      <c r="C1000" t="str">
        <f>IF(SEFAZ!C984="","",SEFAZ!C984)</f>
        <v/>
      </c>
      <c r="D1000" t="str">
        <f>IF(SEFAZ!D984="","",SEFAZ!D984)</f>
        <v/>
      </c>
      <c r="E1000" s="7" t="str">
        <f>IF(SEFAZ!E984="","",SEFAZ!E984)</f>
        <v/>
      </c>
      <c r="F1000" s="6" t="str">
        <f>IF(SEFAZ!F984="","",VALUE(SUBSTITUTE(SEFAZ!F984,"'","")))</f>
        <v/>
      </c>
      <c r="G1000" t="str">
        <f>IF(SEFAZ!H984="","",SEFAZ!H984)</f>
        <v/>
      </c>
      <c r="H1000" t="str">
        <f>IF(SEFAZ!L984="","",SEFAZ!L984)</f>
        <v/>
      </c>
      <c r="I1000" t="str">
        <f>IF(SEFAZ!N984="","",SEFAZ!N984)</f>
        <v/>
      </c>
      <c r="J1000" t="str">
        <f>IF(SEFAZ!O984="","",SEFAZ!O984)</f>
        <v/>
      </c>
      <c r="K1000" s="11" t="str">
        <f>IF(SEFAZ!P984="","",SEFAZ!P984)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hidden="1" x14ac:dyDescent="0.3">
      <c r="B1001" t="str">
        <f>IF(SEFAZ!A985="","",SEFAZ!A985)</f>
        <v/>
      </c>
      <c r="C1001" t="str">
        <f>IF(SEFAZ!C985="","",SEFAZ!C985)</f>
        <v/>
      </c>
      <c r="D1001" t="str">
        <f>IF(SEFAZ!D985="","",SEFAZ!D985)</f>
        <v/>
      </c>
      <c r="E1001" s="7" t="str">
        <f>IF(SEFAZ!E985="","",SEFAZ!E985)</f>
        <v/>
      </c>
      <c r="F1001" s="6" t="str">
        <f>IF(SEFAZ!F985="","",VALUE(SUBSTITUTE(SEFAZ!F985,"'","")))</f>
        <v/>
      </c>
      <c r="G1001" t="str">
        <f>IF(SEFAZ!H985="","",SEFAZ!H985)</f>
        <v/>
      </c>
      <c r="H1001" t="str">
        <f>IF(SEFAZ!L985="","",SEFAZ!L985)</f>
        <v/>
      </c>
      <c r="I1001" t="str">
        <f>IF(SEFAZ!N985="","",SEFAZ!N985)</f>
        <v/>
      </c>
      <c r="J1001" t="str">
        <f>IF(SEFAZ!O985="","",SEFAZ!O985)</f>
        <v/>
      </c>
      <c r="K1001" s="11" t="str">
        <f>IF(SEFAZ!P985="","",SEFAZ!P985)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hidden="1" x14ac:dyDescent="0.3">
      <c r="B1002" t="str">
        <f>IF(SEFAZ!A986="","",SEFAZ!A986)</f>
        <v/>
      </c>
      <c r="C1002" t="str">
        <f>IF(SEFAZ!C986="","",SEFAZ!C986)</f>
        <v/>
      </c>
      <c r="D1002" t="str">
        <f>IF(SEFAZ!D986="","",SEFAZ!D986)</f>
        <v/>
      </c>
      <c r="E1002" s="7" t="str">
        <f>IF(SEFAZ!E986="","",SEFAZ!E986)</f>
        <v/>
      </c>
      <c r="F1002" s="6" t="str">
        <f>IF(SEFAZ!F986="","",VALUE(SUBSTITUTE(SEFAZ!F986,"'","")))</f>
        <v/>
      </c>
      <c r="G1002" t="str">
        <f>IF(SEFAZ!H986="","",SEFAZ!H986)</f>
        <v/>
      </c>
      <c r="H1002" t="str">
        <f>IF(SEFAZ!L986="","",SEFAZ!L986)</f>
        <v/>
      </c>
      <c r="I1002" t="str">
        <f>IF(SEFAZ!N986="","",SEFAZ!N986)</f>
        <v/>
      </c>
      <c r="J1002" t="str">
        <f>IF(SEFAZ!O986="","",SEFAZ!O986)</f>
        <v/>
      </c>
      <c r="K1002" s="11" t="str">
        <f>IF(SEFAZ!P986="","",SEFAZ!P986)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hidden="1" x14ac:dyDescent="0.3">
      <c r="B1003" t="str">
        <f>IF(SEFAZ!A987="","",SEFAZ!A987)</f>
        <v/>
      </c>
      <c r="C1003" t="str">
        <f>IF(SEFAZ!C987="","",SEFAZ!C987)</f>
        <v/>
      </c>
      <c r="D1003" t="str">
        <f>IF(SEFAZ!D987="","",SEFAZ!D987)</f>
        <v/>
      </c>
      <c r="E1003" s="7" t="str">
        <f>IF(SEFAZ!E987="","",SEFAZ!E987)</f>
        <v/>
      </c>
      <c r="F1003" s="6" t="str">
        <f>IF(SEFAZ!F987="","",VALUE(SUBSTITUTE(SEFAZ!F987,"'","")))</f>
        <v/>
      </c>
      <c r="G1003" t="str">
        <f>IF(SEFAZ!H987="","",SEFAZ!H987)</f>
        <v/>
      </c>
      <c r="H1003" t="str">
        <f>IF(SEFAZ!L987="","",SEFAZ!L987)</f>
        <v/>
      </c>
      <c r="I1003" t="str">
        <f>IF(SEFAZ!N987="","",SEFAZ!N987)</f>
        <v/>
      </c>
      <c r="J1003" t="str">
        <f>IF(SEFAZ!O987="","",SEFAZ!O987)</f>
        <v/>
      </c>
      <c r="K1003" s="11" t="str">
        <f>IF(SEFAZ!P987="","",SEFAZ!P987)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hidden="1" x14ac:dyDescent="0.3">
      <c r="B1004" t="str">
        <f>IF(SEFAZ!A988="","",SEFAZ!A988)</f>
        <v/>
      </c>
      <c r="C1004" t="str">
        <f>IF(SEFAZ!C988="","",SEFAZ!C988)</f>
        <v/>
      </c>
      <c r="D1004" t="str">
        <f>IF(SEFAZ!D988="","",SEFAZ!D988)</f>
        <v/>
      </c>
      <c r="E1004" s="7" t="str">
        <f>IF(SEFAZ!E988="","",SEFAZ!E988)</f>
        <v/>
      </c>
      <c r="F1004" s="6" t="str">
        <f>IF(SEFAZ!F988="","",VALUE(SUBSTITUTE(SEFAZ!F988,"'","")))</f>
        <v/>
      </c>
      <c r="G1004" t="str">
        <f>IF(SEFAZ!H988="","",SEFAZ!H988)</f>
        <v/>
      </c>
      <c r="H1004" t="str">
        <f>IF(SEFAZ!L988="","",SEFAZ!L988)</f>
        <v/>
      </c>
      <c r="I1004" t="str">
        <f>IF(SEFAZ!N988="","",SEFAZ!N988)</f>
        <v/>
      </c>
      <c r="J1004" t="str">
        <f>IF(SEFAZ!O988="","",SEFAZ!O988)</f>
        <v/>
      </c>
      <c r="K1004" s="11" t="str">
        <f>IF(SEFAZ!P988="","",SEFAZ!P988)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hidden="1" x14ac:dyDescent="0.3">
      <c r="B1005" t="str">
        <f>IF(SEFAZ!A989="","",SEFAZ!A989)</f>
        <v/>
      </c>
      <c r="C1005" t="str">
        <f>IF(SEFAZ!C989="","",SEFAZ!C989)</f>
        <v/>
      </c>
      <c r="D1005" t="str">
        <f>IF(SEFAZ!D989="","",SEFAZ!D989)</f>
        <v/>
      </c>
      <c r="E1005" s="7" t="str">
        <f>IF(SEFAZ!E989="","",SEFAZ!E989)</f>
        <v/>
      </c>
      <c r="F1005" s="6" t="str">
        <f>IF(SEFAZ!F989="","",VALUE(SUBSTITUTE(SEFAZ!F989,"'","")))</f>
        <v/>
      </c>
      <c r="G1005" t="str">
        <f>IF(SEFAZ!H989="","",SEFAZ!H989)</f>
        <v/>
      </c>
      <c r="H1005" t="str">
        <f>IF(SEFAZ!L989="","",SEFAZ!L989)</f>
        <v/>
      </c>
      <c r="I1005" t="str">
        <f>IF(SEFAZ!N989="","",SEFAZ!N989)</f>
        <v/>
      </c>
      <c r="J1005" t="str">
        <f>IF(SEFAZ!O989="","",SEFAZ!O989)</f>
        <v/>
      </c>
      <c r="K1005" s="11" t="str">
        <f>IF(SEFAZ!P989="","",SEFAZ!P989)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hidden="1" x14ac:dyDescent="0.3">
      <c r="B1006" t="str">
        <f>IF(SEFAZ!A990="","",SEFAZ!A990)</f>
        <v/>
      </c>
      <c r="C1006" t="str">
        <f>IF(SEFAZ!C990="","",SEFAZ!C990)</f>
        <v/>
      </c>
      <c r="D1006" t="str">
        <f>IF(SEFAZ!D990="","",SEFAZ!D990)</f>
        <v/>
      </c>
      <c r="E1006" s="7" t="str">
        <f>IF(SEFAZ!E990="","",SEFAZ!E990)</f>
        <v/>
      </c>
      <c r="F1006" s="6" t="str">
        <f>IF(SEFAZ!F990="","",VALUE(SUBSTITUTE(SEFAZ!F990,"'","")))</f>
        <v/>
      </c>
      <c r="G1006" t="str">
        <f>IF(SEFAZ!H990="","",SEFAZ!H990)</f>
        <v/>
      </c>
      <c r="H1006" t="str">
        <f>IF(SEFAZ!L990="","",SEFAZ!L990)</f>
        <v/>
      </c>
      <c r="I1006" t="str">
        <f>IF(SEFAZ!N990="","",SEFAZ!N990)</f>
        <v/>
      </c>
      <c r="J1006" t="str">
        <f>IF(SEFAZ!O990="","",SEFAZ!O990)</f>
        <v/>
      </c>
      <c r="K1006" s="11" t="str">
        <f>IF(SEFAZ!P990="","",SEFAZ!P990)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hidden="1" x14ac:dyDescent="0.3">
      <c r="B1007" t="str">
        <f>IF(SEFAZ!A991="","",SEFAZ!A991)</f>
        <v/>
      </c>
      <c r="C1007" t="str">
        <f>IF(SEFAZ!C991="","",SEFAZ!C991)</f>
        <v/>
      </c>
      <c r="D1007" t="str">
        <f>IF(SEFAZ!D991="","",SEFAZ!D991)</f>
        <v/>
      </c>
      <c r="E1007" s="7" t="str">
        <f>IF(SEFAZ!E991="","",SEFAZ!E991)</f>
        <v/>
      </c>
      <c r="F1007" s="6" t="str">
        <f>IF(SEFAZ!F991="","",VALUE(SUBSTITUTE(SEFAZ!F991,"'","")))</f>
        <v/>
      </c>
      <c r="G1007" t="str">
        <f>IF(SEFAZ!H991="","",SEFAZ!H991)</f>
        <v/>
      </c>
      <c r="H1007" t="str">
        <f>IF(SEFAZ!L991="","",SEFAZ!L991)</f>
        <v/>
      </c>
      <c r="I1007" t="str">
        <f>IF(SEFAZ!N991="","",SEFAZ!N991)</f>
        <v/>
      </c>
      <c r="J1007" t="str">
        <f>IF(SEFAZ!O991="","",SEFAZ!O991)</f>
        <v/>
      </c>
      <c r="K1007" s="11" t="str">
        <f>IF(SEFAZ!P991="","",SEFAZ!P991)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hidden="1" x14ac:dyDescent="0.3">
      <c r="B1008" t="str">
        <f>IF(SEFAZ!A992="","",SEFAZ!A992)</f>
        <v/>
      </c>
      <c r="C1008" t="str">
        <f>IF(SEFAZ!C992="","",SEFAZ!C992)</f>
        <v/>
      </c>
      <c r="D1008" t="str">
        <f>IF(SEFAZ!D992="","",SEFAZ!D992)</f>
        <v/>
      </c>
      <c r="E1008" s="7" t="str">
        <f>IF(SEFAZ!E992="","",SEFAZ!E992)</f>
        <v/>
      </c>
      <c r="F1008" s="6" t="str">
        <f>IF(SEFAZ!F992="","",VALUE(SUBSTITUTE(SEFAZ!F992,"'","")))</f>
        <v/>
      </c>
      <c r="G1008" t="str">
        <f>IF(SEFAZ!H992="","",SEFAZ!H992)</f>
        <v/>
      </c>
      <c r="H1008" t="str">
        <f>IF(SEFAZ!L992="","",SEFAZ!L992)</f>
        <v/>
      </c>
      <c r="I1008" t="str">
        <f>IF(SEFAZ!N992="","",SEFAZ!N992)</f>
        <v/>
      </c>
      <c r="J1008" t="str">
        <f>IF(SEFAZ!O992="","",SEFAZ!O992)</f>
        <v/>
      </c>
      <c r="K1008" s="11" t="str">
        <f>IF(SEFAZ!P992="","",SEFAZ!P992)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hidden="1" x14ac:dyDescent="0.3">
      <c r="B1009" t="str">
        <f>IF(SEFAZ!A993="","",SEFAZ!A993)</f>
        <v/>
      </c>
      <c r="C1009" t="str">
        <f>IF(SEFAZ!C993="","",SEFAZ!C993)</f>
        <v/>
      </c>
      <c r="D1009" t="str">
        <f>IF(SEFAZ!D993="","",SEFAZ!D993)</f>
        <v/>
      </c>
      <c r="E1009" s="7" t="str">
        <f>IF(SEFAZ!E993="","",SEFAZ!E993)</f>
        <v/>
      </c>
      <c r="F1009" s="6" t="str">
        <f>IF(SEFAZ!F993="","",VALUE(SUBSTITUTE(SEFAZ!F993,"'","")))</f>
        <v/>
      </c>
      <c r="G1009" t="str">
        <f>IF(SEFAZ!H993="","",SEFAZ!H993)</f>
        <v/>
      </c>
      <c r="H1009" t="str">
        <f>IF(SEFAZ!L993="","",SEFAZ!L993)</f>
        <v/>
      </c>
      <c r="I1009" t="str">
        <f>IF(SEFAZ!N993="","",SEFAZ!N993)</f>
        <v/>
      </c>
      <c r="J1009" t="str">
        <f>IF(SEFAZ!O993="","",SEFAZ!O993)</f>
        <v/>
      </c>
      <c r="K1009" s="11" t="str">
        <f>IF(SEFAZ!P993="","",SEFAZ!P993)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hidden="1" x14ac:dyDescent="0.3">
      <c r="B1010" t="str">
        <f>IF(SEFAZ!A994="","",SEFAZ!A994)</f>
        <v/>
      </c>
      <c r="C1010" t="str">
        <f>IF(SEFAZ!C994="","",SEFAZ!C994)</f>
        <v/>
      </c>
      <c r="D1010" t="str">
        <f>IF(SEFAZ!D994="","",SEFAZ!D994)</f>
        <v/>
      </c>
      <c r="E1010" s="7" t="str">
        <f>IF(SEFAZ!E994="","",SEFAZ!E994)</f>
        <v/>
      </c>
      <c r="F1010" s="6" t="str">
        <f>IF(SEFAZ!F994="","",VALUE(SUBSTITUTE(SEFAZ!F994,"'","")))</f>
        <v/>
      </c>
      <c r="G1010" t="str">
        <f>IF(SEFAZ!H994="","",SEFAZ!H994)</f>
        <v/>
      </c>
      <c r="H1010" t="str">
        <f>IF(SEFAZ!L994="","",SEFAZ!L994)</f>
        <v/>
      </c>
      <c r="I1010" t="str">
        <f>IF(SEFAZ!N994="","",SEFAZ!N994)</f>
        <v/>
      </c>
      <c r="J1010" t="str">
        <f>IF(SEFAZ!O994="","",SEFAZ!O994)</f>
        <v/>
      </c>
      <c r="K1010" s="11" t="str">
        <f>IF(SEFAZ!P994="","",SEFAZ!P994)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hidden="1" x14ac:dyDescent="0.3">
      <c r="B1011" t="str">
        <f>IF(SEFAZ!A995="","",SEFAZ!A995)</f>
        <v/>
      </c>
      <c r="C1011" t="str">
        <f>IF(SEFAZ!C995="","",SEFAZ!C995)</f>
        <v/>
      </c>
      <c r="D1011" t="str">
        <f>IF(SEFAZ!D995="","",SEFAZ!D995)</f>
        <v/>
      </c>
      <c r="E1011" s="7" t="str">
        <f>IF(SEFAZ!E995="","",SEFAZ!E995)</f>
        <v/>
      </c>
      <c r="F1011" s="6" t="str">
        <f>IF(SEFAZ!F995="","",VALUE(SUBSTITUTE(SEFAZ!F995,"'","")))</f>
        <v/>
      </c>
      <c r="G1011" t="str">
        <f>IF(SEFAZ!H995="","",SEFAZ!H995)</f>
        <v/>
      </c>
      <c r="H1011" t="str">
        <f>IF(SEFAZ!L995="","",SEFAZ!L995)</f>
        <v/>
      </c>
      <c r="I1011" t="str">
        <f>IF(SEFAZ!N995="","",SEFAZ!N995)</f>
        <v/>
      </c>
      <c r="J1011" t="str">
        <f>IF(SEFAZ!O995="","",SEFAZ!O995)</f>
        <v/>
      </c>
      <c r="K1011" s="11" t="str">
        <f>IF(SEFAZ!P995="","",SEFAZ!P995)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hidden="1" x14ac:dyDescent="0.3">
      <c r="B1012" t="str">
        <f>IF(SEFAZ!A996="","",SEFAZ!A996)</f>
        <v/>
      </c>
      <c r="C1012" t="str">
        <f>IF(SEFAZ!C996="","",SEFAZ!C996)</f>
        <v/>
      </c>
      <c r="D1012" t="str">
        <f>IF(SEFAZ!D996="","",SEFAZ!D996)</f>
        <v/>
      </c>
      <c r="E1012" s="7" t="str">
        <f>IF(SEFAZ!E996="","",SEFAZ!E996)</f>
        <v/>
      </c>
      <c r="F1012" s="6" t="str">
        <f>IF(SEFAZ!F996="","",VALUE(SUBSTITUTE(SEFAZ!F996,"'","")))</f>
        <v/>
      </c>
      <c r="G1012" t="str">
        <f>IF(SEFAZ!H996="","",SEFAZ!H996)</f>
        <v/>
      </c>
      <c r="H1012" t="str">
        <f>IF(SEFAZ!L996="","",SEFAZ!L996)</f>
        <v/>
      </c>
      <c r="I1012" t="str">
        <f>IF(SEFAZ!N996="","",SEFAZ!N996)</f>
        <v/>
      </c>
      <c r="J1012" t="str">
        <f>IF(SEFAZ!O996="","",SEFAZ!O996)</f>
        <v/>
      </c>
      <c r="K1012" s="11" t="str">
        <f>IF(SEFAZ!P996="","",SEFAZ!P996)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hidden="1" x14ac:dyDescent="0.3">
      <c r="B1013" t="str">
        <f>IF(SEFAZ!A997="","",SEFAZ!A997)</f>
        <v/>
      </c>
      <c r="C1013" t="str">
        <f>IF(SEFAZ!C997="","",SEFAZ!C997)</f>
        <v/>
      </c>
      <c r="D1013" t="str">
        <f>IF(SEFAZ!D997="","",SEFAZ!D997)</f>
        <v/>
      </c>
      <c r="E1013" s="7" t="str">
        <f>IF(SEFAZ!E997="","",SEFAZ!E997)</f>
        <v/>
      </c>
      <c r="F1013" s="6" t="str">
        <f>IF(SEFAZ!F997="","",VALUE(SUBSTITUTE(SEFAZ!F997,"'","")))</f>
        <v/>
      </c>
      <c r="G1013" t="str">
        <f>IF(SEFAZ!H997="","",SEFAZ!H997)</f>
        <v/>
      </c>
      <c r="H1013" t="str">
        <f>IF(SEFAZ!L997="","",SEFAZ!L997)</f>
        <v/>
      </c>
      <c r="I1013" t="str">
        <f>IF(SEFAZ!N997="","",SEFAZ!N997)</f>
        <v/>
      </c>
      <c r="J1013" t="str">
        <f>IF(SEFAZ!O997="","",SEFAZ!O997)</f>
        <v/>
      </c>
      <c r="K1013" s="11" t="str">
        <f>IF(SEFAZ!P997="","",SEFAZ!P997)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hidden="1" x14ac:dyDescent="0.3">
      <c r="B1014" t="str">
        <f>IF(SEFAZ!A998="","",SEFAZ!A998)</f>
        <v/>
      </c>
      <c r="C1014" t="str">
        <f>IF(SEFAZ!C998="","",SEFAZ!C998)</f>
        <v/>
      </c>
      <c r="D1014" t="str">
        <f>IF(SEFAZ!D998="","",SEFAZ!D998)</f>
        <v/>
      </c>
      <c r="E1014" s="7" t="str">
        <f>IF(SEFAZ!E998="","",SEFAZ!E998)</f>
        <v/>
      </c>
      <c r="F1014" s="6" t="str">
        <f>IF(SEFAZ!F998="","",VALUE(SUBSTITUTE(SEFAZ!F998,"'","")))</f>
        <v/>
      </c>
      <c r="G1014" t="str">
        <f>IF(SEFAZ!H998="","",SEFAZ!H998)</f>
        <v/>
      </c>
      <c r="H1014" t="str">
        <f>IF(SEFAZ!L998="","",SEFAZ!L998)</f>
        <v/>
      </c>
      <c r="I1014" t="str">
        <f>IF(SEFAZ!N998="","",SEFAZ!N998)</f>
        <v/>
      </c>
      <c r="J1014" t="str">
        <f>IF(SEFAZ!O998="","",SEFAZ!O998)</f>
        <v/>
      </c>
      <c r="K1014" s="11" t="str">
        <f>IF(SEFAZ!P998="","",SEFAZ!P998)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hidden="1" x14ac:dyDescent="0.3">
      <c r="B1015" t="str">
        <f>IF(SEFAZ!A999="","",SEFAZ!A999)</f>
        <v/>
      </c>
      <c r="C1015" t="str">
        <f>IF(SEFAZ!C999="","",SEFAZ!C999)</f>
        <v/>
      </c>
      <c r="D1015" t="str">
        <f>IF(SEFAZ!D999="","",SEFAZ!D999)</f>
        <v/>
      </c>
      <c r="E1015" s="7" t="str">
        <f>IF(SEFAZ!E999="","",SEFAZ!E999)</f>
        <v/>
      </c>
      <c r="F1015" s="6" t="str">
        <f>IF(SEFAZ!F999="","",VALUE(SUBSTITUTE(SEFAZ!F999,"'","")))</f>
        <v/>
      </c>
      <c r="G1015" t="str">
        <f>IF(SEFAZ!H999="","",SEFAZ!H999)</f>
        <v/>
      </c>
      <c r="H1015" t="str">
        <f>IF(SEFAZ!L999="","",SEFAZ!L999)</f>
        <v/>
      </c>
      <c r="I1015" t="str">
        <f>IF(SEFAZ!N999="","",SEFAZ!N999)</f>
        <v/>
      </c>
      <c r="J1015" t="str">
        <f>IF(SEFAZ!O999="","",SEFAZ!O999)</f>
        <v/>
      </c>
      <c r="K1015" s="11" t="str">
        <f>IF(SEFAZ!P999="","",SEFAZ!P999)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hidden="1" x14ac:dyDescent="0.3">
      <c r="B1016" t="str">
        <f>IF(SEFAZ!A1000="","",SEFAZ!A1000)</f>
        <v/>
      </c>
      <c r="C1016" t="str">
        <f>IF(SEFAZ!C1000="","",SEFAZ!C1000)</f>
        <v/>
      </c>
      <c r="D1016" t="str">
        <f>IF(SEFAZ!D1000="","",SEFAZ!D1000)</f>
        <v/>
      </c>
      <c r="E1016" s="7" t="str">
        <f>IF(SEFAZ!E1000="","",SEFAZ!E1000)</f>
        <v/>
      </c>
      <c r="F1016" s="6" t="str">
        <f>IF(SEFAZ!F1000="","",VALUE(SUBSTITUTE(SEFAZ!F1000,"'","")))</f>
        <v/>
      </c>
      <c r="G1016" t="str">
        <f>IF(SEFAZ!H1000="","",SEFAZ!H1000)</f>
        <v/>
      </c>
      <c r="H1016" t="str">
        <f>IF(SEFAZ!L1000="","",SEFAZ!L1000)</f>
        <v/>
      </c>
      <c r="I1016" t="str">
        <f>IF(SEFAZ!N1000="","",SEFAZ!N1000)</f>
        <v/>
      </c>
      <c r="J1016" t="str">
        <f>IF(SEFAZ!O1000="","",SEFAZ!O1000)</f>
        <v/>
      </c>
      <c r="K1016" s="11" t="str">
        <f>IF(SEFAZ!P1000="","",SEFAZ!P1000)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hidden="1" x14ac:dyDescent="0.3">
      <c r="B1017" t="str">
        <f>IF(SEFAZ!A1001="","",SEFAZ!A1001)</f>
        <v/>
      </c>
      <c r="C1017" t="str">
        <f>IF(SEFAZ!C1001="","",SEFAZ!C1001)</f>
        <v/>
      </c>
      <c r="D1017" t="str">
        <f>IF(SEFAZ!D1001="","",SEFAZ!D1001)</f>
        <v/>
      </c>
      <c r="E1017" s="7" t="str">
        <f>IF(SEFAZ!E1001="","",SEFAZ!E1001)</f>
        <v/>
      </c>
      <c r="F1017" s="6" t="str">
        <f>IF(SEFAZ!F1001="","",VALUE(SUBSTITUTE(SEFAZ!F1001,"'","")))</f>
        <v/>
      </c>
      <c r="G1017" t="str">
        <f>IF(SEFAZ!H1001="","",SEFAZ!H1001)</f>
        <v/>
      </c>
      <c r="H1017" t="str">
        <f>IF(SEFAZ!L1001="","",SEFAZ!L1001)</f>
        <v/>
      </c>
      <c r="I1017" t="str">
        <f>IF(SEFAZ!N1001="","",SEFAZ!N1001)</f>
        <v/>
      </c>
      <c r="J1017" t="str">
        <f>IF(SEFAZ!O1001="","",SEFAZ!O1001)</f>
        <v/>
      </c>
      <c r="K1017" s="11" t="str">
        <f>IF(SEFAZ!P1001="","",SEFAZ!P1001)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hidden="1" x14ac:dyDescent="0.3">
      <c r="B1018" t="str">
        <f>IF(SEFAZ!A1002="","",SEFAZ!A1002)</f>
        <v/>
      </c>
      <c r="C1018" t="str">
        <f>IF(SEFAZ!C1002="","",SEFAZ!C1002)</f>
        <v/>
      </c>
      <c r="D1018" t="str">
        <f>IF(SEFAZ!D1002="","",SEFAZ!D1002)</f>
        <v/>
      </c>
      <c r="E1018" s="7" t="str">
        <f>IF(SEFAZ!E1002="","",SEFAZ!E1002)</f>
        <v/>
      </c>
      <c r="F1018" s="6" t="str">
        <f>IF(SEFAZ!F1002="","",VALUE(SUBSTITUTE(SEFAZ!F1002,"'","")))</f>
        <v/>
      </c>
      <c r="G1018" t="str">
        <f>IF(SEFAZ!H1002="","",SEFAZ!H1002)</f>
        <v/>
      </c>
      <c r="H1018" t="str">
        <f>IF(SEFAZ!L1002="","",SEFAZ!L1002)</f>
        <v/>
      </c>
      <c r="I1018" t="str">
        <f>IF(SEFAZ!N1002="","",SEFAZ!N1002)</f>
        <v/>
      </c>
      <c r="J1018" t="str">
        <f>IF(SEFAZ!O1002="","",SEFAZ!O1002)</f>
        <v/>
      </c>
      <c r="K1018" s="11" t="str">
        <f>IF(SEFAZ!P1002="","",SEFAZ!P1002)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hidden="1" x14ac:dyDescent="0.3">
      <c r="B1019" t="str">
        <f>IF(SEFAZ!A1003="","",SEFAZ!A1003)</f>
        <v/>
      </c>
      <c r="C1019" t="str">
        <f>IF(SEFAZ!C1003="","",SEFAZ!C1003)</f>
        <v/>
      </c>
      <c r="D1019" t="str">
        <f>IF(SEFAZ!D1003="","",SEFAZ!D1003)</f>
        <v/>
      </c>
      <c r="E1019" s="7" t="str">
        <f>IF(SEFAZ!E1003="","",SEFAZ!E1003)</f>
        <v/>
      </c>
      <c r="F1019" s="6" t="str">
        <f>IF(SEFAZ!F1003="","",VALUE(SUBSTITUTE(SEFAZ!F1003,"'","")))</f>
        <v/>
      </c>
      <c r="G1019" t="str">
        <f>IF(SEFAZ!H1003="","",SEFAZ!H1003)</f>
        <v/>
      </c>
      <c r="H1019" t="str">
        <f>IF(SEFAZ!L1003="","",SEFAZ!L1003)</f>
        <v/>
      </c>
      <c r="I1019" t="str">
        <f>IF(SEFAZ!N1003="","",SEFAZ!N1003)</f>
        <v/>
      </c>
      <c r="J1019" t="str">
        <f>IF(SEFAZ!O1003="","",SEFAZ!O1003)</f>
        <v/>
      </c>
      <c r="K1019" s="11" t="str">
        <f>IF(SEFAZ!P1003="","",SEFAZ!P1003)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hidden="1" x14ac:dyDescent="0.3">
      <c r="B1020" t="str">
        <f>IF(SEFAZ!A1004="","",SEFAZ!A1004)</f>
        <v/>
      </c>
      <c r="C1020" t="str">
        <f>IF(SEFAZ!C1004="","",SEFAZ!C1004)</f>
        <v/>
      </c>
      <c r="D1020" t="str">
        <f>IF(SEFAZ!D1004="","",SEFAZ!D1004)</f>
        <v/>
      </c>
      <c r="E1020" s="7" t="str">
        <f>IF(SEFAZ!E1004="","",SEFAZ!E1004)</f>
        <v/>
      </c>
      <c r="F1020" s="6" t="str">
        <f>IF(SEFAZ!F1004="","",VALUE(SUBSTITUTE(SEFAZ!F1004,"'","")))</f>
        <v/>
      </c>
      <c r="G1020" t="str">
        <f>IF(SEFAZ!H1004="","",SEFAZ!H1004)</f>
        <v/>
      </c>
      <c r="H1020" t="str">
        <f>IF(SEFAZ!L1004="","",SEFAZ!L1004)</f>
        <v/>
      </c>
      <c r="I1020" t="str">
        <f>IF(SEFAZ!N1004="","",SEFAZ!N1004)</f>
        <v/>
      </c>
      <c r="J1020" t="str">
        <f>IF(SEFAZ!O1004="","",SEFAZ!O1004)</f>
        <v/>
      </c>
      <c r="K1020" s="11" t="str">
        <f>IF(SEFAZ!P1004="","",SEFAZ!P1004)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hidden="1" x14ac:dyDescent="0.3">
      <c r="B1021" t="str">
        <f>IF(SEFAZ!A1005="","",SEFAZ!A1005)</f>
        <v/>
      </c>
      <c r="C1021" t="str">
        <f>IF(SEFAZ!C1005="","",SEFAZ!C1005)</f>
        <v/>
      </c>
      <c r="D1021" t="str">
        <f>IF(SEFAZ!D1005="","",SEFAZ!D1005)</f>
        <v/>
      </c>
      <c r="E1021" s="7" t="str">
        <f>IF(SEFAZ!E1005="","",SEFAZ!E1005)</f>
        <v/>
      </c>
      <c r="F1021" s="6" t="str">
        <f>IF(SEFAZ!F1005="","",VALUE(SUBSTITUTE(SEFAZ!F1005,"'","")))</f>
        <v/>
      </c>
      <c r="G1021" t="str">
        <f>IF(SEFAZ!H1005="","",SEFAZ!H1005)</f>
        <v/>
      </c>
      <c r="H1021" t="str">
        <f>IF(SEFAZ!L1005="","",SEFAZ!L1005)</f>
        <v/>
      </c>
      <c r="I1021" t="str">
        <f>IF(SEFAZ!N1005="","",SEFAZ!N1005)</f>
        <v/>
      </c>
      <c r="J1021" t="str">
        <f>IF(SEFAZ!O1005="","",SEFAZ!O1005)</f>
        <v/>
      </c>
      <c r="K1021" s="11" t="str">
        <f>IF(SEFAZ!P1005="","",SEFAZ!P1005)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hidden="1" x14ac:dyDescent="0.3">
      <c r="B1022" t="str">
        <f>IF(SEFAZ!A1006="","",SEFAZ!A1006)</f>
        <v/>
      </c>
      <c r="C1022" t="str">
        <f>IF(SEFAZ!C1006="","",SEFAZ!C1006)</f>
        <v/>
      </c>
      <c r="D1022" t="str">
        <f>IF(SEFAZ!D1006="","",SEFAZ!D1006)</f>
        <v/>
      </c>
      <c r="E1022" s="7" t="str">
        <f>IF(SEFAZ!E1006="","",SEFAZ!E1006)</f>
        <v/>
      </c>
      <c r="F1022" s="6" t="str">
        <f>IF(SEFAZ!F1006="","",VALUE(SUBSTITUTE(SEFAZ!F1006,"'","")))</f>
        <v/>
      </c>
      <c r="G1022" t="str">
        <f>IF(SEFAZ!H1006="","",SEFAZ!H1006)</f>
        <v/>
      </c>
      <c r="H1022" t="str">
        <f>IF(SEFAZ!L1006="","",SEFAZ!L1006)</f>
        <v/>
      </c>
      <c r="I1022" t="str">
        <f>IF(SEFAZ!N1006="","",SEFAZ!N1006)</f>
        <v/>
      </c>
      <c r="J1022" t="str">
        <f>IF(SEFAZ!O1006="","",SEFAZ!O1006)</f>
        <v/>
      </c>
      <c r="K1022" s="11" t="str">
        <f>IF(SEFAZ!P1006="","",SEFAZ!P1006)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hidden="1" x14ac:dyDescent="0.3">
      <c r="B1023" t="str">
        <f>IF(SEFAZ!A1007="","",SEFAZ!A1007)</f>
        <v/>
      </c>
      <c r="C1023" t="str">
        <f>IF(SEFAZ!C1007="","",SEFAZ!C1007)</f>
        <v/>
      </c>
      <c r="D1023" t="str">
        <f>IF(SEFAZ!D1007="","",SEFAZ!D1007)</f>
        <v/>
      </c>
      <c r="E1023" s="7" t="str">
        <f>IF(SEFAZ!E1007="","",SEFAZ!E1007)</f>
        <v/>
      </c>
      <c r="F1023" s="6" t="str">
        <f>IF(SEFAZ!F1007="","",VALUE(SUBSTITUTE(SEFAZ!F1007,"'","")))</f>
        <v/>
      </c>
      <c r="G1023" t="str">
        <f>IF(SEFAZ!H1007="","",SEFAZ!H1007)</f>
        <v/>
      </c>
      <c r="H1023" t="str">
        <f>IF(SEFAZ!L1007="","",SEFAZ!L1007)</f>
        <v/>
      </c>
      <c r="I1023" t="str">
        <f>IF(SEFAZ!N1007="","",SEFAZ!N1007)</f>
        <v/>
      </c>
      <c r="J1023" t="str">
        <f>IF(SEFAZ!O1007="","",SEFAZ!O1007)</f>
        <v/>
      </c>
      <c r="K1023" s="11" t="str">
        <f>IF(SEFAZ!P1007="","",SEFAZ!P1007)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hidden="1" x14ac:dyDescent="0.3">
      <c r="B1024" t="str">
        <f>IF(SEFAZ!A1008="","",SEFAZ!A1008)</f>
        <v/>
      </c>
      <c r="C1024" t="str">
        <f>IF(SEFAZ!C1008="","",SEFAZ!C1008)</f>
        <v/>
      </c>
      <c r="D1024" t="str">
        <f>IF(SEFAZ!D1008="","",SEFAZ!D1008)</f>
        <v/>
      </c>
      <c r="E1024" s="7" t="str">
        <f>IF(SEFAZ!E1008="","",SEFAZ!E1008)</f>
        <v/>
      </c>
      <c r="F1024" s="6" t="str">
        <f>IF(SEFAZ!F1008="","",VALUE(SUBSTITUTE(SEFAZ!F1008,"'","")))</f>
        <v/>
      </c>
      <c r="G1024" t="str">
        <f>IF(SEFAZ!H1008="","",SEFAZ!H1008)</f>
        <v/>
      </c>
      <c r="H1024" t="str">
        <f>IF(SEFAZ!L1008="","",SEFAZ!L1008)</f>
        <v/>
      </c>
      <c r="I1024" t="str">
        <f>IF(SEFAZ!N1008="","",SEFAZ!N1008)</f>
        <v/>
      </c>
      <c r="J1024" t="str">
        <f>IF(SEFAZ!O1008="","",SEFAZ!O1008)</f>
        <v/>
      </c>
      <c r="K1024" s="11" t="str">
        <f>IF(SEFAZ!P1008="","",SEFAZ!P1008)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hidden="1" x14ac:dyDescent="0.3">
      <c r="B1025" t="str">
        <f>IF(SEFAZ!A1009="","",SEFAZ!A1009)</f>
        <v/>
      </c>
      <c r="C1025" t="str">
        <f>IF(SEFAZ!C1009="","",SEFAZ!C1009)</f>
        <v/>
      </c>
      <c r="D1025" t="str">
        <f>IF(SEFAZ!D1009="","",SEFAZ!D1009)</f>
        <v/>
      </c>
      <c r="E1025" s="7" t="str">
        <f>IF(SEFAZ!E1009="","",SEFAZ!E1009)</f>
        <v/>
      </c>
      <c r="F1025" s="6" t="str">
        <f>IF(SEFAZ!F1009="","",VALUE(SUBSTITUTE(SEFAZ!F1009,"'","")))</f>
        <v/>
      </c>
      <c r="G1025" t="str">
        <f>IF(SEFAZ!H1009="","",SEFAZ!H1009)</f>
        <v/>
      </c>
      <c r="H1025" t="str">
        <f>IF(SEFAZ!L1009="","",SEFAZ!L1009)</f>
        <v/>
      </c>
      <c r="I1025" t="str">
        <f>IF(SEFAZ!N1009="","",SEFAZ!N1009)</f>
        <v/>
      </c>
      <c r="J1025" t="str">
        <f>IF(SEFAZ!O1009="","",SEFAZ!O1009)</f>
        <v/>
      </c>
      <c r="K1025" s="11" t="str">
        <f>IF(SEFAZ!P1009="","",SEFAZ!P1009)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hidden="1" x14ac:dyDescent="0.3">
      <c r="B1026" t="str">
        <f>IF(SEFAZ!A1010="","",SEFAZ!A1010)</f>
        <v/>
      </c>
      <c r="C1026" t="str">
        <f>IF(SEFAZ!C1010="","",SEFAZ!C1010)</f>
        <v/>
      </c>
      <c r="D1026" t="str">
        <f>IF(SEFAZ!D1010="","",SEFAZ!D1010)</f>
        <v/>
      </c>
      <c r="E1026" s="7" t="str">
        <f>IF(SEFAZ!E1010="","",SEFAZ!E1010)</f>
        <v/>
      </c>
      <c r="F1026" s="6" t="str">
        <f>IF(SEFAZ!F1010="","",VALUE(SUBSTITUTE(SEFAZ!F1010,"'","")))</f>
        <v/>
      </c>
      <c r="G1026" t="str">
        <f>IF(SEFAZ!H1010="","",SEFAZ!H1010)</f>
        <v/>
      </c>
      <c r="H1026" t="str">
        <f>IF(SEFAZ!L1010="","",SEFAZ!L1010)</f>
        <v/>
      </c>
      <c r="I1026" t="str">
        <f>IF(SEFAZ!N1010="","",SEFAZ!N1010)</f>
        <v/>
      </c>
      <c r="J1026" t="str">
        <f>IF(SEFAZ!O1010="","",SEFAZ!O1010)</f>
        <v/>
      </c>
      <c r="K1026" s="11" t="str">
        <f>IF(SEFAZ!P1010="","",SEFAZ!P1010)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hidden="1" x14ac:dyDescent="0.3">
      <c r="B1027" t="str">
        <f>IF(SEFAZ!A1011="","",SEFAZ!A1011)</f>
        <v/>
      </c>
      <c r="C1027" t="str">
        <f>IF(SEFAZ!C1011="","",SEFAZ!C1011)</f>
        <v/>
      </c>
      <c r="D1027" t="str">
        <f>IF(SEFAZ!D1011="","",SEFAZ!D1011)</f>
        <v/>
      </c>
      <c r="E1027" s="7" t="str">
        <f>IF(SEFAZ!E1011="","",SEFAZ!E1011)</f>
        <v/>
      </c>
      <c r="F1027" s="6" t="str">
        <f>IF(SEFAZ!F1011="","",VALUE(SUBSTITUTE(SEFAZ!F1011,"'","")))</f>
        <v/>
      </c>
      <c r="G1027" t="str">
        <f>IF(SEFAZ!H1011="","",SEFAZ!H1011)</f>
        <v/>
      </c>
      <c r="H1027" t="str">
        <f>IF(SEFAZ!L1011="","",SEFAZ!L1011)</f>
        <v/>
      </c>
      <c r="I1027" t="str">
        <f>IF(SEFAZ!N1011="","",SEFAZ!N1011)</f>
        <v/>
      </c>
      <c r="J1027" t="str">
        <f>IF(SEFAZ!O1011="","",SEFAZ!O1011)</f>
        <v/>
      </c>
      <c r="K1027" s="11" t="str">
        <f>IF(SEFAZ!P1011="","",SEFAZ!P1011)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hidden="1" x14ac:dyDescent="0.3">
      <c r="B1028" t="str">
        <f>IF(SEFAZ!A1012="","",SEFAZ!A1012)</f>
        <v/>
      </c>
      <c r="C1028" t="str">
        <f>IF(SEFAZ!C1012="","",SEFAZ!C1012)</f>
        <v/>
      </c>
      <c r="D1028" t="str">
        <f>IF(SEFAZ!D1012="","",SEFAZ!D1012)</f>
        <v/>
      </c>
      <c r="E1028" s="7" t="str">
        <f>IF(SEFAZ!E1012="","",SEFAZ!E1012)</f>
        <v/>
      </c>
      <c r="F1028" s="6" t="str">
        <f>IF(SEFAZ!F1012="","",VALUE(SUBSTITUTE(SEFAZ!F1012,"'","")))</f>
        <v/>
      </c>
      <c r="G1028" t="str">
        <f>IF(SEFAZ!H1012="","",SEFAZ!H1012)</f>
        <v/>
      </c>
      <c r="H1028" t="str">
        <f>IF(SEFAZ!L1012="","",SEFAZ!L1012)</f>
        <v/>
      </c>
      <c r="I1028" t="str">
        <f>IF(SEFAZ!N1012="","",SEFAZ!N1012)</f>
        <v/>
      </c>
      <c r="J1028" t="str">
        <f>IF(SEFAZ!O1012="","",SEFAZ!O1012)</f>
        <v/>
      </c>
      <c r="K1028" s="11" t="str">
        <f>IF(SEFAZ!P1012="","",SEFAZ!P1012)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hidden="1" x14ac:dyDescent="0.3">
      <c r="B1029" t="str">
        <f>IF(SEFAZ!A1013="","",SEFAZ!A1013)</f>
        <v/>
      </c>
      <c r="C1029" t="str">
        <f>IF(SEFAZ!C1013="","",SEFAZ!C1013)</f>
        <v/>
      </c>
      <c r="D1029" t="str">
        <f>IF(SEFAZ!D1013="","",SEFAZ!D1013)</f>
        <v/>
      </c>
      <c r="E1029" s="7" t="str">
        <f>IF(SEFAZ!E1013="","",SEFAZ!E1013)</f>
        <v/>
      </c>
      <c r="F1029" s="6" t="str">
        <f>IF(SEFAZ!F1013="","",VALUE(SUBSTITUTE(SEFAZ!F1013,"'","")))</f>
        <v/>
      </c>
      <c r="G1029" t="str">
        <f>IF(SEFAZ!H1013="","",SEFAZ!H1013)</f>
        <v/>
      </c>
      <c r="H1029" t="str">
        <f>IF(SEFAZ!L1013="","",SEFAZ!L1013)</f>
        <v/>
      </c>
      <c r="I1029" t="str">
        <f>IF(SEFAZ!N1013="","",SEFAZ!N1013)</f>
        <v/>
      </c>
      <c r="J1029" t="str">
        <f>IF(SEFAZ!O1013="","",SEFAZ!O1013)</f>
        <v/>
      </c>
      <c r="K1029" s="11" t="str">
        <f>IF(SEFAZ!P1013="","",SEFAZ!P1013)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hidden="1" x14ac:dyDescent="0.3">
      <c r="B1030" t="str">
        <f>IF(SEFAZ!A1014="","",SEFAZ!A1014)</f>
        <v/>
      </c>
      <c r="C1030" t="str">
        <f>IF(SEFAZ!C1014="","",SEFAZ!C1014)</f>
        <v/>
      </c>
      <c r="D1030" t="str">
        <f>IF(SEFAZ!D1014="","",SEFAZ!D1014)</f>
        <v/>
      </c>
      <c r="E1030" s="7" t="str">
        <f>IF(SEFAZ!E1014="","",SEFAZ!E1014)</f>
        <v/>
      </c>
      <c r="F1030" s="6" t="str">
        <f>IF(SEFAZ!F1014="","",VALUE(SUBSTITUTE(SEFAZ!F1014,"'","")))</f>
        <v/>
      </c>
      <c r="G1030" t="str">
        <f>IF(SEFAZ!H1014="","",SEFAZ!H1014)</f>
        <v/>
      </c>
      <c r="H1030" t="str">
        <f>IF(SEFAZ!L1014="","",SEFAZ!L1014)</f>
        <v/>
      </c>
      <c r="I1030" t="str">
        <f>IF(SEFAZ!N1014="","",SEFAZ!N1014)</f>
        <v/>
      </c>
      <c r="J1030" t="str">
        <f>IF(SEFAZ!O1014="","",SEFAZ!O1014)</f>
        <v/>
      </c>
      <c r="K1030" s="11" t="str">
        <f>IF(SEFAZ!P1014="","",SEFAZ!P1014)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hidden="1" x14ac:dyDescent="0.3">
      <c r="B1031" t="str">
        <f>IF(SEFAZ!A1015="","",SEFAZ!A1015)</f>
        <v/>
      </c>
      <c r="C1031" t="str">
        <f>IF(SEFAZ!C1015="","",SEFAZ!C1015)</f>
        <v/>
      </c>
      <c r="D1031" t="str">
        <f>IF(SEFAZ!D1015="","",SEFAZ!D1015)</f>
        <v/>
      </c>
      <c r="E1031" s="7" t="str">
        <f>IF(SEFAZ!E1015="","",SEFAZ!E1015)</f>
        <v/>
      </c>
      <c r="F1031" s="6" t="str">
        <f>IF(SEFAZ!F1015="","",VALUE(SUBSTITUTE(SEFAZ!F1015,"'","")))</f>
        <v/>
      </c>
      <c r="G1031" t="str">
        <f>IF(SEFAZ!H1015="","",SEFAZ!H1015)</f>
        <v/>
      </c>
      <c r="H1031" t="str">
        <f>IF(SEFAZ!L1015="","",SEFAZ!L1015)</f>
        <v/>
      </c>
      <c r="I1031" t="str">
        <f>IF(SEFAZ!N1015="","",SEFAZ!N1015)</f>
        <v/>
      </c>
      <c r="J1031" t="str">
        <f>IF(SEFAZ!O1015="","",SEFAZ!O1015)</f>
        <v/>
      </c>
      <c r="K1031" s="11" t="str">
        <f>IF(SEFAZ!P1015="","",SEFAZ!P1015)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hidden="1" x14ac:dyDescent="0.3">
      <c r="B1032" t="str">
        <f>IF(SEFAZ!A1016="","",SEFAZ!A1016)</f>
        <v/>
      </c>
      <c r="C1032" t="str">
        <f>IF(SEFAZ!C1016="","",SEFAZ!C1016)</f>
        <v/>
      </c>
      <c r="D1032" t="str">
        <f>IF(SEFAZ!D1016="","",SEFAZ!D1016)</f>
        <v/>
      </c>
      <c r="E1032" s="7" t="str">
        <f>IF(SEFAZ!E1016="","",SEFAZ!E1016)</f>
        <v/>
      </c>
      <c r="F1032" s="6" t="str">
        <f>IF(SEFAZ!F1016="","",VALUE(SUBSTITUTE(SEFAZ!F1016,"'","")))</f>
        <v/>
      </c>
      <c r="G1032" t="str">
        <f>IF(SEFAZ!H1016="","",SEFAZ!H1016)</f>
        <v/>
      </c>
      <c r="H1032" t="str">
        <f>IF(SEFAZ!L1016="","",SEFAZ!L1016)</f>
        <v/>
      </c>
      <c r="I1032" t="str">
        <f>IF(SEFAZ!N1016="","",SEFAZ!N1016)</f>
        <v/>
      </c>
      <c r="J1032" t="str">
        <f>IF(SEFAZ!O1016="","",SEFAZ!O1016)</f>
        <v/>
      </c>
      <c r="K1032" s="11" t="str">
        <f>IF(SEFAZ!P1016="","",SEFAZ!P1016)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hidden="1" x14ac:dyDescent="0.3">
      <c r="B1033" t="str">
        <f>IF(SEFAZ!A1017="","",SEFAZ!A1017)</f>
        <v/>
      </c>
      <c r="C1033" t="str">
        <f>IF(SEFAZ!C1017="","",SEFAZ!C1017)</f>
        <v/>
      </c>
      <c r="D1033" t="str">
        <f>IF(SEFAZ!D1017="","",SEFAZ!D1017)</f>
        <v/>
      </c>
      <c r="E1033" s="7" t="str">
        <f>IF(SEFAZ!E1017="","",SEFAZ!E1017)</f>
        <v/>
      </c>
      <c r="F1033" s="6" t="str">
        <f>IF(SEFAZ!F1017="","",VALUE(SUBSTITUTE(SEFAZ!F1017,"'","")))</f>
        <v/>
      </c>
      <c r="G1033" t="str">
        <f>IF(SEFAZ!H1017="","",SEFAZ!H1017)</f>
        <v/>
      </c>
      <c r="H1033" t="str">
        <f>IF(SEFAZ!L1017="","",SEFAZ!L1017)</f>
        <v/>
      </c>
      <c r="I1033" t="str">
        <f>IF(SEFAZ!N1017="","",SEFAZ!N1017)</f>
        <v/>
      </c>
      <c r="J1033" t="str">
        <f>IF(SEFAZ!O1017="","",SEFAZ!O1017)</f>
        <v/>
      </c>
      <c r="K1033" s="11" t="str">
        <f>IF(SEFAZ!P1017="","",SEFAZ!P1017)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hidden="1" x14ac:dyDescent="0.3">
      <c r="B1034" t="str">
        <f>IF(SEFAZ!A1018="","",SEFAZ!A1018)</f>
        <v/>
      </c>
      <c r="C1034" t="str">
        <f>IF(SEFAZ!C1018="","",SEFAZ!C1018)</f>
        <v/>
      </c>
      <c r="D1034" t="str">
        <f>IF(SEFAZ!D1018="","",SEFAZ!D1018)</f>
        <v/>
      </c>
      <c r="E1034" s="7" t="str">
        <f>IF(SEFAZ!E1018="","",SEFAZ!E1018)</f>
        <v/>
      </c>
      <c r="F1034" s="6" t="str">
        <f>IF(SEFAZ!F1018="","",VALUE(SUBSTITUTE(SEFAZ!F1018,"'","")))</f>
        <v/>
      </c>
      <c r="G1034" t="str">
        <f>IF(SEFAZ!H1018="","",SEFAZ!H1018)</f>
        <v/>
      </c>
      <c r="H1034" t="str">
        <f>IF(SEFAZ!L1018="","",SEFAZ!L1018)</f>
        <v/>
      </c>
      <c r="I1034" t="str">
        <f>IF(SEFAZ!N1018="","",SEFAZ!N1018)</f>
        <v/>
      </c>
      <c r="J1034" t="str">
        <f>IF(SEFAZ!O1018="","",SEFAZ!O1018)</f>
        <v/>
      </c>
      <c r="K1034" s="11" t="str">
        <f>IF(SEFAZ!P1018="","",SEFAZ!P1018)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hidden="1" x14ac:dyDescent="0.3">
      <c r="B1035" t="str">
        <f>IF(SEFAZ!A1019="","",SEFAZ!A1019)</f>
        <v/>
      </c>
      <c r="C1035" t="str">
        <f>IF(SEFAZ!C1019="","",SEFAZ!C1019)</f>
        <v/>
      </c>
      <c r="D1035" t="str">
        <f>IF(SEFAZ!D1019="","",SEFAZ!D1019)</f>
        <v/>
      </c>
      <c r="E1035" s="7" t="str">
        <f>IF(SEFAZ!E1019="","",SEFAZ!E1019)</f>
        <v/>
      </c>
      <c r="F1035" s="6" t="str">
        <f>IF(SEFAZ!F1019="","",VALUE(SUBSTITUTE(SEFAZ!F1019,"'","")))</f>
        <v/>
      </c>
      <c r="G1035" t="str">
        <f>IF(SEFAZ!H1019="","",SEFAZ!H1019)</f>
        <v/>
      </c>
      <c r="H1035" t="str">
        <f>IF(SEFAZ!L1019="","",SEFAZ!L1019)</f>
        <v/>
      </c>
      <c r="I1035" t="str">
        <f>IF(SEFAZ!N1019="","",SEFAZ!N1019)</f>
        <v/>
      </c>
      <c r="J1035" t="str">
        <f>IF(SEFAZ!O1019="","",SEFAZ!O1019)</f>
        <v/>
      </c>
      <c r="K1035" s="11" t="str">
        <f>IF(SEFAZ!P1019="","",SEFAZ!P1019)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hidden="1" x14ac:dyDescent="0.3">
      <c r="B1036" t="str">
        <f>IF(SEFAZ!A1020="","",SEFAZ!A1020)</f>
        <v/>
      </c>
      <c r="C1036" t="str">
        <f>IF(SEFAZ!C1020="","",SEFAZ!C1020)</f>
        <v/>
      </c>
      <c r="D1036" t="str">
        <f>IF(SEFAZ!D1020="","",SEFAZ!D1020)</f>
        <v/>
      </c>
      <c r="E1036" s="7" t="str">
        <f>IF(SEFAZ!E1020="","",SEFAZ!E1020)</f>
        <v/>
      </c>
      <c r="F1036" s="6" t="str">
        <f>IF(SEFAZ!F1020="","",VALUE(SUBSTITUTE(SEFAZ!F1020,"'","")))</f>
        <v/>
      </c>
      <c r="G1036" t="str">
        <f>IF(SEFAZ!H1020="","",SEFAZ!H1020)</f>
        <v/>
      </c>
      <c r="H1036" t="str">
        <f>IF(SEFAZ!L1020="","",SEFAZ!L1020)</f>
        <v/>
      </c>
      <c r="I1036" t="str">
        <f>IF(SEFAZ!N1020="","",SEFAZ!N1020)</f>
        <v/>
      </c>
      <c r="J1036" t="str">
        <f>IF(SEFAZ!O1020="","",SEFAZ!O1020)</f>
        <v/>
      </c>
      <c r="K1036" s="11" t="str">
        <f>IF(SEFAZ!P1020="","",SEFAZ!P1020)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hidden="1" x14ac:dyDescent="0.3">
      <c r="B1037" t="str">
        <f>IF(SEFAZ!A1021="","",SEFAZ!A1021)</f>
        <v/>
      </c>
      <c r="C1037" t="str">
        <f>IF(SEFAZ!C1021="","",SEFAZ!C1021)</f>
        <v/>
      </c>
      <c r="D1037" t="str">
        <f>IF(SEFAZ!D1021="","",SEFAZ!D1021)</f>
        <v/>
      </c>
      <c r="E1037" s="7" t="str">
        <f>IF(SEFAZ!E1021="","",SEFAZ!E1021)</f>
        <v/>
      </c>
      <c r="F1037" s="6" t="str">
        <f>IF(SEFAZ!F1021="","",VALUE(SUBSTITUTE(SEFAZ!F1021,"'","")))</f>
        <v/>
      </c>
      <c r="G1037" t="str">
        <f>IF(SEFAZ!H1021="","",SEFAZ!H1021)</f>
        <v/>
      </c>
      <c r="H1037" t="str">
        <f>IF(SEFAZ!L1021="","",SEFAZ!L1021)</f>
        <v/>
      </c>
      <c r="I1037" t="str">
        <f>IF(SEFAZ!N1021="","",SEFAZ!N1021)</f>
        <v/>
      </c>
      <c r="J1037" t="str">
        <f>IF(SEFAZ!O1021="","",SEFAZ!O1021)</f>
        <v/>
      </c>
      <c r="K1037" s="11" t="str">
        <f>IF(SEFAZ!P1021="","",SEFAZ!P1021)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hidden="1" x14ac:dyDescent="0.3">
      <c r="B1038" t="str">
        <f>IF(SEFAZ!A1022="","",SEFAZ!A1022)</f>
        <v/>
      </c>
      <c r="C1038" t="str">
        <f>IF(SEFAZ!C1022="","",SEFAZ!C1022)</f>
        <v/>
      </c>
      <c r="D1038" t="str">
        <f>IF(SEFAZ!D1022="","",SEFAZ!D1022)</f>
        <v/>
      </c>
      <c r="E1038" s="7" t="str">
        <f>IF(SEFAZ!E1022="","",SEFAZ!E1022)</f>
        <v/>
      </c>
      <c r="F1038" s="6" t="str">
        <f>IF(SEFAZ!F1022="","",VALUE(SUBSTITUTE(SEFAZ!F1022,"'","")))</f>
        <v/>
      </c>
      <c r="G1038" t="str">
        <f>IF(SEFAZ!H1022="","",SEFAZ!H1022)</f>
        <v/>
      </c>
      <c r="H1038" t="str">
        <f>IF(SEFAZ!L1022="","",SEFAZ!L1022)</f>
        <v/>
      </c>
      <c r="I1038" t="str">
        <f>IF(SEFAZ!N1022="","",SEFAZ!N1022)</f>
        <v/>
      </c>
      <c r="J1038" t="str">
        <f>IF(SEFAZ!O1022="","",SEFAZ!O1022)</f>
        <v/>
      </c>
      <c r="K1038" s="11" t="str">
        <f>IF(SEFAZ!P1022="","",SEFAZ!P1022)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hidden="1" x14ac:dyDescent="0.3">
      <c r="B1039" t="str">
        <f>IF(SEFAZ!A1023="","",SEFAZ!A1023)</f>
        <v/>
      </c>
      <c r="C1039" t="str">
        <f>IF(SEFAZ!C1023="","",SEFAZ!C1023)</f>
        <v/>
      </c>
      <c r="D1039" t="str">
        <f>IF(SEFAZ!D1023="","",SEFAZ!D1023)</f>
        <v/>
      </c>
      <c r="E1039" s="7" t="str">
        <f>IF(SEFAZ!E1023="","",SEFAZ!E1023)</f>
        <v/>
      </c>
      <c r="F1039" s="6" t="str">
        <f>IF(SEFAZ!F1023="","",VALUE(SUBSTITUTE(SEFAZ!F1023,"'","")))</f>
        <v/>
      </c>
      <c r="G1039" t="str">
        <f>IF(SEFAZ!H1023="","",SEFAZ!H1023)</f>
        <v/>
      </c>
      <c r="H1039" t="str">
        <f>IF(SEFAZ!L1023="","",SEFAZ!L1023)</f>
        <v/>
      </c>
      <c r="I1039" t="str">
        <f>IF(SEFAZ!N1023="","",SEFAZ!N1023)</f>
        <v/>
      </c>
      <c r="J1039" t="str">
        <f>IF(SEFAZ!O1023="","",SEFAZ!O1023)</f>
        <v/>
      </c>
      <c r="K1039" s="11" t="str">
        <f>IF(SEFAZ!P1023="","",SEFAZ!P1023)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hidden="1" x14ac:dyDescent="0.3">
      <c r="B1040" t="str">
        <f>IF(SEFAZ!A1024="","",SEFAZ!A1024)</f>
        <v/>
      </c>
      <c r="C1040" t="str">
        <f>IF(SEFAZ!C1024="","",SEFAZ!C1024)</f>
        <v/>
      </c>
      <c r="D1040" t="str">
        <f>IF(SEFAZ!D1024="","",SEFAZ!D1024)</f>
        <v/>
      </c>
      <c r="E1040" s="7" t="str">
        <f>IF(SEFAZ!E1024="","",SEFAZ!E1024)</f>
        <v/>
      </c>
      <c r="F1040" s="6" t="str">
        <f>IF(SEFAZ!F1024="","",VALUE(SUBSTITUTE(SEFAZ!F1024,"'","")))</f>
        <v/>
      </c>
      <c r="G1040" t="str">
        <f>IF(SEFAZ!H1024="","",SEFAZ!H1024)</f>
        <v/>
      </c>
      <c r="H1040" t="str">
        <f>IF(SEFAZ!L1024="","",SEFAZ!L1024)</f>
        <v/>
      </c>
      <c r="I1040" t="str">
        <f>IF(SEFAZ!N1024="","",SEFAZ!N1024)</f>
        <v/>
      </c>
      <c r="J1040" t="str">
        <f>IF(SEFAZ!O1024="","",SEFAZ!O1024)</f>
        <v/>
      </c>
      <c r="K1040" s="11" t="str">
        <f>IF(SEFAZ!P1024="","",SEFAZ!P1024)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hidden="1" x14ac:dyDescent="0.3">
      <c r="B1041" t="str">
        <f>IF(SEFAZ!A1025="","",SEFAZ!A1025)</f>
        <v/>
      </c>
      <c r="C1041" t="str">
        <f>IF(SEFAZ!C1025="","",SEFAZ!C1025)</f>
        <v/>
      </c>
      <c r="D1041" t="str">
        <f>IF(SEFAZ!D1025="","",SEFAZ!D1025)</f>
        <v/>
      </c>
      <c r="E1041" s="7" t="str">
        <f>IF(SEFAZ!E1025="","",SEFAZ!E1025)</f>
        <v/>
      </c>
      <c r="F1041" s="6" t="str">
        <f>IF(SEFAZ!F1025="","",VALUE(SUBSTITUTE(SEFAZ!F1025,"'","")))</f>
        <v/>
      </c>
      <c r="G1041" t="str">
        <f>IF(SEFAZ!H1025="","",SEFAZ!H1025)</f>
        <v/>
      </c>
      <c r="H1041" t="str">
        <f>IF(SEFAZ!L1025="","",SEFAZ!L1025)</f>
        <v/>
      </c>
      <c r="I1041" t="str">
        <f>IF(SEFAZ!N1025="","",SEFAZ!N1025)</f>
        <v/>
      </c>
      <c r="J1041" t="str">
        <f>IF(SEFAZ!O1025="","",SEFAZ!O1025)</f>
        <v/>
      </c>
      <c r="K1041" s="11" t="str">
        <f>IF(SEFAZ!P1025="","",SEFAZ!P1025)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hidden="1" x14ac:dyDescent="0.3">
      <c r="B1042" t="str">
        <f>IF(SEFAZ!A1026="","",SEFAZ!A1026)</f>
        <v/>
      </c>
      <c r="C1042" t="str">
        <f>IF(SEFAZ!C1026="","",SEFAZ!C1026)</f>
        <v/>
      </c>
      <c r="D1042" t="str">
        <f>IF(SEFAZ!D1026="","",SEFAZ!D1026)</f>
        <v/>
      </c>
      <c r="E1042" s="7" t="str">
        <f>IF(SEFAZ!E1026="","",SEFAZ!E1026)</f>
        <v/>
      </c>
      <c r="F1042" s="6" t="str">
        <f>IF(SEFAZ!F1026="","",VALUE(SUBSTITUTE(SEFAZ!F1026,"'","")))</f>
        <v/>
      </c>
      <c r="G1042" t="str">
        <f>IF(SEFAZ!H1026="","",SEFAZ!H1026)</f>
        <v/>
      </c>
      <c r="H1042" t="str">
        <f>IF(SEFAZ!L1026="","",SEFAZ!L1026)</f>
        <v/>
      </c>
      <c r="I1042" t="str">
        <f>IF(SEFAZ!N1026="","",SEFAZ!N1026)</f>
        <v/>
      </c>
      <c r="J1042" t="str">
        <f>IF(SEFAZ!O1026="","",SEFAZ!O1026)</f>
        <v/>
      </c>
      <c r="K1042" s="11" t="str">
        <f>IF(SEFAZ!P1026="","",SEFAZ!P1026)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hidden="1" x14ac:dyDescent="0.3">
      <c r="B1043" t="str">
        <f>IF(SEFAZ!A1027="","",SEFAZ!A1027)</f>
        <v/>
      </c>
      <c r="C1043" t="str">
        <f>IF(SEFAZ!C1027="","",SEFAZ!C1027)</f>
        <v/>
      </c>
      <c r="D1043" t="str">
        <f>IF(SEFAZ!D1027="","",SEFAZ!D1027)</f>
        <v/>
      </c>
      <c r="E1043" s="7" t="str">
        <f>IF(SEFAZ!E1027="","",SEFAZ!E1027)</f>
        <v/>
      </c>
      <c r="F1043" s="6" t="str">
        <f>IF(SEFAZ!F1027="","",VALUE(SUBSTITUTE(SEFAZ!F1027,"'","")))</f>
        <v/>
      </c>
      <c r="G1043" t="str">
        <f>IF(SEFAZ!H1027="","",SEFAZ!H1027)</f>
        <v/>
      </c>
      <c r="H1043" t="str">
        <f>IF(SEFAZ!L1027="","",SEFAZ!L1027)</f>
        <v/>
      </c>
      <c r="I1043" t="str">
        <f>IF(SEFAZ!N1027="","",SEFAZ!N1027)</f>
        <v/>
      </c>
      <c r="J1043" t="str">
        <f>IF(SEFAZ!O1027="","",SEFAZ!O1027)</f>
        <v/>
      </c>
      <c r="K1043" s="11" t="str">
        <f>IF(SEFAZ!P1027="","",SEFAZ!P1027)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hidden="1" x14ac:dyDescent="0.3">
      <c r="B1044" t="str">
        <f>IF(SEFAZ!A1028="","",SEFAZ!A1028)</f>
        <v/>
      </c>
      <c r="C1044" t="str">
        <f>IF(SEFAZ!C1028="","",SEFAZ!C1028)</f>
        <v/>
      </c>
      <c r="D1044" t="str">
        <f>IF(SEFAZ!D1028="","",SEFAZ!D1028)</f>
        <v/>
      </c>
      <c r="E1044" s="7" t="str">
        <f>IF(SEFAZ!E1028="","",SEFAZ!E1028)</f>
        <v/>
      </c>
      <c r="F1044" s="6" t="str">
        <f>IF(SEFAZ!F1028="","",VALUE(SUBSTITUTE(SEFAZ!F1028,"'","")))</f>
        <v/>
      </c>
      <c r="G1044" t="str">
        <f>IF(SEFAZ!H1028="","",SEFAZ!H1028)</f>
        <v/>
      </c>
      <c r="H1044" t="str">
        <f>IF(SEFAZ!L1028="","",SEFAZ!L1028)</f>
        <v/>
      </c>
      <c r="I1044" t="str">
        <f>IF(SEFAZ!N1028="","",SEFAZ!N1028)</f>
        <v/>
      </c>
      <c r="J1044" t="str">
        <f>IF(SEFAZ!O1028="","",SEFAZ!O1028)</f>
        <v/>
      </c>
      <c r="K1044" s="11" t="str">
        <f>IF(SEFAZ!P1028="","",SEFAZ!P1028)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hidden="1" x14ac:dyDescent="0.3">
      <c r="B1045" t="str">
        <f>IF(SEFAZ!A1029="","",SEFAZ!A1029)</f>
        <v/>
      </c>
      <c r="C1045" t="str">
        <f>IF(SEFAZ!C1029="","",SEFAZ!C1029)</f>
        <v/>
      </c>
      <c r="D1045" t="str">
        <f>IF(SEFAZ!D1029="","",SEFAZ!D1029)</f>
        <v/>
      </c>
      <c r="E1045" s="7" t="str">
        <f>IF(SEFAZ!E1029="","",SEFAZ!E1029)</f>
        <v/>
      </c>
      <c r="F1045" s="6" t="str">
        <f>IF(SEFAZ!F1029="","",VALUE(SUBSTITUTE(SEFAZ!F1029,"'","")))</f>
        <v/>
      </c>
      <c r="G1045" t="str">
        <f>IF(SEFAZ!H1029="","",SEFAZ!H1029)</f>
        <v/>
      </c>
      <c r="H1045" t="str">
        <f>IF(SEFAZ!L1029="","",SEFAZ!L1029)</f>
        <v/>
      </c>
      <c r="I1045" t="str">
        <f>IF(SEFAZ!N1029="","",SEFAZ!N1029)</f>
        <v/>
      </c>
      <c r="J1045" t="str">
        <f>IF(SEFAZ!O1029="","",SEFAZ!O1029)</f>
        <v/>
      </c>
      <c r="K1045" s="11" t="str">
        <f>IF(SEFAZ!P1029="","",SEFAZ!P1029)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hidden="1" x14ac:dyDescent="0.3">
      <c r="B1046" t="str">
        <f>IF(SEFAZ!A1030="","",SEFAZ!A1030)</f>
        <v/>
      </c>
      <c r="C1046" t="str">
        <f>IF(SEFAZ!C1030="","",SEFAZ!C1030)</f>
        <v/>
      </c>
      <c r="D1046" t="str">
        <f>IF(SEFAZ!D1030="","",SEFAZ!D1030)</f>
        <v/>
      </c>
      <c r="E1046" s="7" t="str">
        <f>IF(SEFAZ!E1030="","",SEFAZ!E1030)</f>
        <v/>
      </c>
      <c r="F1046" s="6" t="str">
        <f>IF(SEFAZ!F1030="","",VALUE(SUBSTITUTE(SEFAZ!F1030,"'","")))</f>
        <v/>
      </c>
      <c r="G1046" t="str">
        <f>IF(SEFAZ!H1030="","",SEFAZ!H1030)</f>
        <v/>
      </c>
      <c r="H1046" t="str">
        <f>IF(SEFAZ!L1030="","",SEFAZ!L1030)</f>
        <v/>
      </c>
      <c r="I1046" t="str">
        <f>IF(SEFAZ!N1030="","",SEFAZ!N1030)</f>
        <v/>
      </c>
      <c r="J1046" t="str">
        <f>IF(SEFAZ!O1030="","",SEFAZ!O1030)</f>
        <v/>
      </c>
      <c r="K1046" s="11" t="str">
        <f>IF(SEFAZ!P1030="","",SEFAZ!P1030)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hidden="1" x14ac:dyDescent="0.3">
      <c r="B1047" t="str">
        <f>IF(SEFAZ!A1031="","",SEFAZ!A1031)</f>
        <v/>
      </c>
      <c r="C1047" t="str">
        <f>IF(SEFAZ!C1031="","",SEFAZ!C1031)</f>
        <v/>
      </c>
      <c r="D1047" t="str">
        <f>IF(SEFAZ!D1031="","",SEFAZ!D1031)</f>
        <v/>
      </c>
      <c r="E1047" s="7" t="str">
        <f>IF(SEFAZ!E1031="","",SEFAZ!E1031)</f>
        <v/>
      </c>
      <c r="F1047" s="6" t="str">
        <f>IF(SEFAZ!F1031="","",VALUE(SUBSTITUTE(SEFAZ!F1031,"'","")))</f>
        <v/>
      </c>
      <c r="G1047" t="str">
        <f>IF(SEFAZ!H1031="","",SEFAZ!H1031)</f>
        <v/>
      </c>
      <c r="H1047" t="str">
        <f>IF(SEFAZ!L1031="","",SEFAZ!L1031)</f>
        <v/>
      </c>
      <c r="I1047" t="str">
        <f>IF(SEFAZ!N1031="","",SEFAZ!N1031)</f>
        <v/>
      </c>
      <c r="J1047" t="str">
        <f>IF(SEFAZ!O1031="","",SEFAZ!O1031)</f>
        <v/>
      </c>
      <c r="K1047" s="11" t="str">
        <f>IF(SEFAZ!P1031="","",SEFAZ!P1031)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hidden="1" x14ac:dyDescent="0.3">
      <c r="B1048" t="str">
        <f>IF(SEFAZ!A1032="","",SEFAZ!A1032)</f>
        <v/>
      </c>
      <c r="C1048" t="str">
        <f>IF(SEFAZ!C1032="","",SEFAZ!C1032)</f>
        <v/>
      </c>
      <c r="D1048" t="str">
        <f>IF(SEFAZ!D1032="","",SEFAZ!D1032)</f>
        <v/>
      </c>
      <c r="E1048" s="7" t="str">
        <f>IF(SEFAZ!E1032="","",SEFAZ!E1032)</f>
        <v/>
      </c>
      <c r="F1048" s="6" t="str">
        <f>IF(SEFAZ!F1032="","",VALUE(SUBSTITUTE(SEFAZ!F1032,"'","")))</f>
        <v/>
      </c>
      <c r="G1048" t="str">
        <f>IF(SEFAZ!H1032="","",SEFAZ!H1032)</f>
        <v/>
      </c>
      <c r="H1048" t="str">
        <f>IF(SEFAZ!L1032="","",SEFAZ!L1032)</f>
        <v/>
      </c>
      <c r="I1048" t="str">
        <f>IF(SEFAZ!N1032="","",SEFAZ!N1032)</f>
        <v/>
      </c>
      <c r="J1048" t="str">
        <f>IF(SEFAZ!O1032="","",SEFAZ!O1032)</f>
        <v/>
      </c>
      <c r="K1048" s="11" t="str">
        <f>IF(SEFAZ!P1032="","",SEFAZ!P1032)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hidden="1" x14ac:dyDescent="0.3">
      <c r="B1049" t="str">
        <f>IF(SEFAZ!A1033="","",SEFAZ!A1033)</f>
        <v/>
      </c>
      <c r="C1049" t="str">
        <f>IF(SEFAZ!C1033="","",SEFAZ!C1033)</f>
        <v/>
      </c>
      <c r="D1049" t="str">
        <f>IF(SEFAZ!D1033="","",SEFAZ!D1033)</f>
        <v/>
      </c>
      <c r="E1049" s="7" t="str">
        <f>IF(SEFAZ!E1033="","",SEFAZ!E1033)</f>
        <v/>
      </c>
      <c r="F1049" s="6" t="str">
        <f>IF(SEFAZ!F1033="","",VALUE(SUBSTITUTE(SEFAZ!F1033,"'","")))</f>
        <v/>
      </c>
      <c r="G1049" t="str">
        <f>IF(SEFAZ!H1033="","",SEFAZ!H1033)</f>
        <v/>
      </c>
      <c r="H1049" t="str">
        <f>IF(SEFAZ!L1033="","",SEFAZ!L1033)</f>
        <v/>
      </c>
      <c r="I1049" t="str">
        <f>IF(SEFAZ!N1033="","",SEFAZ!N1033)</f>
        <v/>
      </c>
      <c r="J1049" t="str">
        <f>IF(SEFAZ!O1033="","",SEFAZ!O1033)</f>
        <v/>
      </c>
      <c r="K1049" s="11" t="str">
        <f>IF(SEFAZ!P1033="","",SEFAZ!P1033)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hidden="1" x14ac:dyDescent="0.3">
      <c r="B1050" t="str">
        <f>IF(SEFAZ!A1034="","",SEFAZ!A1034)</f>
        <v/>
      </c>
      <c r="C1050" t="str">
        <f>IF(SEFAZ!C1034="","",SEFAZ!C1034)</f>
        <v/>
      </c>
      <c r="D1050" t="str">
        <f>IF(SEFAZ!D1034="","",SEFAZ!D1034)</f>
        <v/>
      </c>
      <c r="E1050" s="7" t="str">
        <f>IF(SEFAZ!E1034="","",SEFAZ!E1034)</f>
        <v/>
      </c>
      <c r="F1050" s="6" t="str">
        <f>IF(SEFAZ!F1034="","",VALUE(SUBSTITUTE(SEFAZ!F1034,"'","")))</f>
        <v/>
      </c>
      <c r="G1050" t="str">
        <f>IF(SEFAZ!H1034="","",SEFAZ!H1034)</f>
        <v/>
      </c>
      <c r="H1050" t="str">
        <f>IF(SEFAZ!L1034="","",SEFAZ!L1034)</f>
        <v/>
      </c>
      <c r="I1050" t="str">
        <f>IF(SEFAZ!N1034="","",SEFAZ!N1034)</f>
        <v/>
      </c>
      <c r="J1050" t="str">
        <f>IF(SEFAZ!O1034="","",SEFAZ!O1034)</f>
        <v/>
      </c>
      <c r="K1050" s="11" t="str">
        <f>IF(SEFAZ!P1034="","",SEFAZ!P1034)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hidden="1" x14ac:dyDescent="0.3">
      <c r="B1051" t="str">
        <f>IF(SEFAZ!A1035="","",SEFAZ!A1035)</f>
        <v/>
      </c>
      <c r="C1051" t="str">
        <f>IF(SEFAZ!C1035="","",SEFAZ!C1035)</f>
        <v/>
      </c>
      <c r="D1051" t="str">
        <f>IF(SEFAZ!D1035="","",SEFAZ!D1035)</f>
        <v/>
      </c>
      <c r="E1051" s="7" t="str">
        <f>IF(SEFAZ!E1035="","",SEFAZ!E1035)</f>
        <v/>
      </c>
      <c r="F1051" s="6" t="str">
        <f>IF(SEFAZ!F1035="","",VALUE(SUBSTITUTE(SEFAZ!F1035,"'","")))</f>
        <v/>
      </c>
      <c r="G1051" t="str">
        <f>IF(SEFAZ!H1035="","",SEFAZ!H1035)</f>
        <v/>
      </c>
      <c r="H1051" t="str">
        <f>IF(SEFAZ!L1035="","",SEFAZ!L1035)</f>
        <v/>
      </c>
      <c r="I1051" t="str">
        <f>IF(SEFAZ!N1035="","",SEFAZ!N1035)</f>
        <v/>
      </c>
      <c r="J1051" t="str">
        <f>IF(SEFAZ!O1035="","",SEFAZ!O1035)</f>
        <v/>
      </c>
      <c r="K1051" s="11" t="str">
        <f>IF(SEFAZ!P1035="","",SEFAZ!P1035)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hidden="1" x14ac:dyDescent="0.3">
      <c r="B1052" t="str">
        <f>IF(SEFAZ!A1036="","",SEFAZ!A1036)</f>
        <v/>
      </c>
      <c r="C1052" t="str">
        <f>IF(SEFAZ!C1036="","",SEFAZ!C1036)</f>
        <v/>
      </c>
      <c r="D1052" t="str">
        <f>IF(SEFAZ!D1036="","",SEFAZ!D1036)</f>
        <v/>
      </c>
      <c r="E1052" s="7" t="str">
        <f>IF(SEFAZ!E1036="","",SEFAZ!E1036)</f>
        <v/>
      </c>
      <c r="F1052" s="6" t="str">
        <f>IF(SEFAZ!F1036="","",VALUE(SUBSTITUTE(SEFAZ!F1036,"'","")))</f>
        <v/>
      </c>
      <c r="G1052" t="str">
        <f>IF(SEFAZ!H1036="","",SEFAZ!H1036)</f>
        <v/>
      </c>
      <c r="H1052" t="str">
        <f>IF(SEFAZ!L1036="","",SEFAZ!L1036)</f>
        <v/>
      </c>
      <c r="I1052" t="str">
        <f>IF(SEFAZ!N1036="","",SEFAZ!N1036)</f>
        <v/>
      </c>
      <c r="J1052" t="str">
        <f>IF(SEFAZ!O1036="","",SEFAZ!O1036)</f>
        <v/>
      </c>
      <c r="K1052" s="11" t="str">
        <f>IF(SEFAZ!P1036="","",SEFAZ!P1036)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hidden="1" x14ac:dyDescent="0.3">
      <c r="B1053" t="str">
        <f>IF(SEFAZ!A1037="","",SEFAZ!A1037)</f>
        <v/>
      </c>
      <c r="C1053" t="str">
        <f>IF(SEFAZ!C1037="","",SEFAZ!C1037)</f>
        <v/>
      </c>
      <c r="D1053" t="str">
        <f>IF(SEFAZ!D1037="","",SEFAZ!D1037)</f>
        <v/>
      </c>
      <c r="E1053" s="7" t="str">
        <f>IF(SEFAZ!E1037="","",SEFAZ!E1037)</f>
        <v/>
      </c>
      <c r="F1053" s="6" t="str">
        <f>IF(SEFAZ!F1037="","",VALUE(SUBSTITUTE(SEFAZ!F1037,"'","")))</f>
        <v/>
      </c>
      <c r="G1053" t="str">
        <f>IF(SEFAZ!H1037="","",SEFAZ!H1037)</f>
        <v/>
      </c>
      <c r="H1053" t="str">
        <f>IF(SEFAZ!L1037="","",SEFAZ!L1037)</f>
        <v/>
      </c>
      <c r="I1053" t="str">
        <f>IF(SEFAZ!N1037="","",SEFAZ!N1037)</f>
        <v/>
      </c>
      <c r="J1053" t="str">
        <f>IF(SEFAZ!O1037="","",SEFAZ!O1037)</f>
        <v/>
      </c>
      <c r="K1053" s="11" t="str">
        <f>IF(SEFAZ!P1037="","",SEFAZ!P1037)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hidden="1" x14ac:dyDescent="0.3">
      <c r="B1054" t="str">
        <f>IF(SEFAZ!A1038="","",SEFAZ!A1038)</f>
        <v/>
      </c>
      <c r="C1054" t="str">
        <f>IF(SEFAZ!C1038="","",SEFAZ!C1038)</f>
        <v/>
      </c>
      <c r="D1054" t="str">
        <f>IF(SEFAZ!D1038="","",SEFAZ!D1038)</f>
        <v/>
      </c>
      <c r="E1054" s="7" t="str">
        <f>IF(SEFAZ!E1038="","",SEFAZ!E1038)</f>
        <v/>
      </c>
      <c r="F1054" s="6" t="str">
        <f>IF(SEFAZ!F1038="","",VALUE(SUBSTITUTE(SEFAZ!F1038,"'","")))</f>
        <v/>
      </c>
      <c r="G1054" t="str">
        <f>IF(SEFAZ!H1038="","",SEFAZ!H1038)</f>
        <v/>
      </c>
      <c r="H1054" t="str">
        <f>IF(SEFAZ!L1038="","",SEFAZ!L1038)</f>
        <v/>
      </c>
      <c r="I1054" t="str">
        <f>IF(SEFAZ!N1038="","",SEFAZ!N1038)</f>
        <v/>
      </c>
      <c r="J1054" t="str">
        <f>IF(SEFAZ!O1038="","",SEFAZ!O1038)</f>
        <v/>
      </c>
      <c r="K1054" s="11" t="str">
        <f>IF(SEFAZ!P1038="","",SEFAZ!P1038)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hidden="1" x14ac:dyDescent="0.3">
      <c r="B1055" t="str">
        <f>IF(SEFAZ!A1039="","",SEFAZ!A1039)</f>
        <v/>
      </c>
      <c r="C1055" t="str">
        <f>IF(SEFAZ!C1039="","",SEFAZ!C1039)</f>
        <v/>
      </c>
      <c r="D1055" t="str">
        <f>IF(SEFAZ!D1039="","",SEFAZ!D1039)</f>
        <v/>
      </c>
      <c r="E1055" s="7" t="str">
        <f>IF(SEFAZ!E1039="","",SEFAZ!E1039)</f>
        <v/>
      </c>
      <c r="F1055" s="6" t="str">
        <f>IF(SEFAZ!F1039="","",VALUE(SUBSTITUTE(SEFAZ!F1039,"'","")))</f>
        <v/>
      </c>
      <c r="G1055" t="str">
        <f>IF(SEFAZ!H1039="","",SEFAZ!H1039)</f>
        <v/>
      </c>
      <c r="H1055" t="str">
        <f>IF(SEFAZ!L1039="","",SEFAZ!L1039)</f>
        <v/>
      </c>
      <c r="I1055" t="str">
        <f>IF(SEFAZ!N1039="","",SEFAZ!N1039)</f>
        <v/>
      </c>
      <c r="J1055" t="str">
        <f>IF(SEFAZ!O1039="","",SEFAZ!O1039)</f>
        <v/>
      </c>
      <c r="K1055" s="11" t="str">
        <f>IF(SEFAZ!P1039="","",SEFAZ!P1039)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hidden="1" x14ac:dyDescent="0.3">
      <c r="B1056" t="str">
        <f>IF(SEFAZ!A1040="","",SEFAZ!A1040)</f>
        <v/>
      </c>
      <c r="C1056" t="str">
        <f>IF(SEFAZ!C1040="","",SEFAZ!C1040)</f>
        <v/>
      </c>
      <c r="D1056" t="str">
        <f>IF(SEFAZ!D1040="","",SEFAZ!D1040)</f>
        <v/>
      </c>
      <c r="E1056" s="7" t="str">
        <f>IF(SEFAZ!E1040="","",SEFAZ!E1040)</f>
        <v/>
      </c>
      <c r="F1056" s="6" t="str">
        <f>IF(SEFAZ!F1040="","",VALUE(SUBSTITUTE(SEFAZ!F1040,"'","")))</f>
        <v/>
      </c>
      <c r="G1056" t="str">
        <f>IF(SEFAZ!H1040="","",SEFAZ!H1040)</f>
        <v/>
      </c>
      <c r="H1056" t="str">
        <f>IF(SEFAZ!L1040="","",SEFAZ!L1040)</f>
        <v/>
      </c>
      <c r="I1056" t="str">
        <f>IF(SEFAZ!N1040="","",SEFAZ!N1040)</f>
        <v/>
      </c>
      <c r="J1056" t="str">
        <f>IF(SEFAZ!O1040="","",SEFAZ!O1040)</f>
        <v/>
      </c>
      <c r="K1056" s="11" t="str">
        <f>IF(SEFAZ!P1040="","",SEFAZ!P1040)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hidden="1" x14ac:dyDescent="0.3">
      <c r="B1057" t="str">
        <f>IF(SEFAZ!A1041="","",SEFAZ!A1041)</f>
        <v/>
      </c>
      <c r="C1057" t="str">
        <f>IF(SEFAZ!C1041="","",SEFAZ!C1041)</f>
        <v/>
      </c>
      <c r="D1057" t="str">
        <f>IF(SEFAZ!D1041="","",SEFAZ!D1041)</f>
        <v/>
      </c>
      <c r="E1057" s="7" t="str">
        <f>IF(SEFAZ!E1041="","",SEFAZ!E1041)</f>
        <v/>
      </c>
      <c r="F1057" s="6" t="str">
        <f>IF(SEFAZ!F1041="","",VALUE(SUBSTITUTE(SEFAZ!F1041,"'","")))</f>
        <v/>
      </c>
      <c r="G1057" t="str">
        <f>IF(SEFAZ!H1041="","",SEFAZ!H1041)</f>
        <v/>
      </c>
      <c r="H1057" t="str">
        <f>IF(SEFAZ!L1041="","",SEFAZ!L1041)</f>
        <v/>
      </c>
      <c r="I1057" t="str">
        <f>IF(SEFAZ!N1041="","",SEFAZ!N1041)</f>
        <v/>
      </c>
      <c r="J1057" t="str">
        <f>IF(SEFAZ!O1041="","",SEFAZ!O1041)</f>
        <v/>
      </c>
      <c r="K1057" s="11" t="str">
        <f>IF(SEFAZ!P1041="","",SEFAZ!P1041)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hidden="1" x14ac:dyDescent="0.3">
      <c r="B1058" t="str">
        <f>IF(SEFAZ!A1042="","",SEFAZ!A1042)</f>
        <v/>
      </c>
      <c r="C1058" t="str">
        <f>IF(SEFAZ!C1042="","",SEFAZ!C1042)</f>
        <v/>
      </c>
      <c r="D1058" t="str">
        <f>IF(SEFAZ!D1042="","",SEFAZ!D1042)</f>
        <v/>
      </c>
      <c r="E1058" s="7" t="str">
        <f>IF(SEFAZ!E1042="","",SEFAZ!E1042)</f>
        <v/>
      </c>
      <c r="F1058" s="6" t="str">
        <f>IF(SEFAZ!F1042="","",VALUE(SUBSTITUTE(SEFAZ!F1042,"'","")))</f>
        <v/>
      </c>
      <c r="G1058" t="str">
        <f>IF(SEFAZ!H1042="","",SEFAZ!H1042)</f>
        <v/>
      </c>
      <c r="H1058" t="str">
        <f>IF(SEFAZ!L1042="","",SEFAZ!L1042)</f>
        <v/>
      </c>
      <c r="I1058" t="str">
        <f>IF(SEFAZ!N1042="","",SEFAZ!N1042)</f>
        <v/>
      </c>
      <c r="J1058" t="str">
        <f>IF(SEFAZ!O1042="","",SEFAZ!O1042)</f>
        <v/>
      </c>
      <c r="K1058" s="11" t="str">
        <f>IF(SEFAZ!P1042="","",SEFAZ!P1042)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hidden="1" x14ac:dyDescent="0.3">
      <c r="B1059" t="str">
        <f>IF(SEFAZ!A1043="","",SEFAZ!A1043)</f>
        <v/>
      </c>
      <c r="C1059" t="str">
        <f>IF(SEFAZ!C1043="","",SEFAZ!C1043)</f>
        <v/>
      </c>
      <c r="D1059" t="str">
        <f>IF(SEFAZ!D1043="","",SEFAZ!D1043)</f>
        <v/>
      </c>
      <c r="E1059" s="7" t="str">
        <f>IF(SEFAZ!E1043="","",SEFAZ!E1043)</f>
        <v/>
      </c>
      <c r="F1059" s="6" t="str">
        <f>IF(SEFAZ!F1043="","",VALUE(SUBSTITUTE(SEFAZ!F1043,"'","")))</f>
        <v/>
      </c>
      <c r="G1059" t="str">
        <f>IF(SEFAZ!H1043="","",SEFAZ!H1043)</f>
        <v/>
      </c>
      <c r="H1059" t="str">
        <f>IF(SEFAZ!L1043="","",SEFAZ!L1043)</f>
        <v/>
      </c>
      <c r="I1059" t="str">
        <f>IF(SEFAZ!N1043="","",SEFAZ!N1043)</f>
        <v/>
      </c>
      <c r="J1059" t="str">
        <f>IF(SEFAZ!O1043="","",SEFAZ!O1043)</f>
        <v/>
      </c>
      <c r="K1059" s="11" t="str">
        <f>IF(SEFAZ!P1043="","",SEFAZ!P1043)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hidden="1" x14ac:dyDescent="0.3">
      <c r="B1060" t="str">
        <f>IF(SEFAZ!A1044="","",SEFAZ!A1044)</f>
        <v/>
      </c>
      <c r="C1060" t="str">
        <f>IF(SEFAZ!C1044="","",SEFAZ!C1044)</f>
        <v/>
      </c>
      <c r="D1060" t="str">
        <f>IF(SEFAZ!D1044="","",SEFAZ!D1044)</f>
        <v/>
      </c>
      <c r="E1060" s="7" t="str">
        <f>IF(SEFAZ!E1044="","",SEFAZ!E1044)</f>
        <v/>
      </c>
      <c r="F1060" s="6" t="str">
        <f>IF(SEFAZ!F1044="","",VALUE(SUBSTITUTE(SEFAZ!F1044,"'","")))</f>
        <v/>
      </c>
      <c r="G1060" t="str">
        <f>IF(SEFAZ!H1044="","",SEFAZ!H1044)</f>
        <v/>
      </c>
      <c r="H1060" t="str">
        <f>IF(SEFAZ!L1044="","",SEFAZ!L1044)</f>
        <v/>
      </c>
      <c r="I1060" t="str">
        <f>IF(SEFAZ!N1044="","",SEFAZ!N1044)</f>
        <v/>
      </c>
      <c r="J1060" t="str">
        <f>IF(SEFAZ!O1044="","",SEFAZ!O1044)</f>
        <v/>
      </c>
      <c r="K1060" s="11" t="str">
        <f>IF(SEFAZ!P1044="","",SEFAZ!P1044)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hidden="1" x14ac:dyDescent="0.3">
      <c r="B1061" t="str">
        <f>IF(SEFAZ!A1045="","",SEFAZ!A1045)</f>
        <v/>
      </c>
      <c r="C1061" t="str">
        <f>IF(SEFAZ!C1045="","",SEFAZ!C1045)</f>
        <v/>
      </c>
      <c r="D1061" t="str">
        <f>IF(SEFAZ!D1045="","",SEFAZ!D1045)</f>
        <v/>
      </c>
      <c r="E1061" s="7" t="str">
        <f>IF(SEFAZ!E1045="","",SEFAZ!E1045)</f>
        <v/>
      </c>
      <c r="F1061" s="6" t="str">
        <f>IF(SEFAZ!F1045="","",VALUE(SUBSTITUTE(SEFAZ!F1045,"'","")))</f>
        <v/>
      </c>
      <c r="G1061" t="str">
        <f>IF(SEFAZ!H1045="","",SEFAZ!H1045)</f>
        <v/>
      </c>
      <c r="H1061" t="str">
        <f>IF(SEFAZ!L1045="","",SEFAZ!L1045)</f>
        <v/>
      </c>
      <c r="I1061" t="str">
        <f>IF(SEFAZ!N1045="","",SEFAZ!N1045)</f>
        <v/>
      </c>
      <c r="J1061" t="str">
        <f>IF(SEFAZ!O1045="","",SEFAZ!O1045)</f>
        <v/>
      </c>
      <c r="K1061" s="11" t="str">
        <f>IF(SEFAZ!P1045="","",SEFAZ!P1045)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hidden="1" x14ac:dyDescent="0.3">
      <c r="B1062" t="str">
        <f>IF(SEFAZ!A1046="","",SEFAZ!A1046)</f>
        <v/>
      </c>
      <c r="C1062" t="str">
        <f>IF(SEFAZ!C1046="","",SEFAZ!C1046)</f>
        <v/>
      </c>
      <c r="D1062" t="str">
        <f>IF(SEFAZ!D1046="","",SEFAZ!D1046)</f>
        <v/>
      </c>
      <c r="E1062" s="7" t="str">
        <f>IF(SEFAZ!E1046="","",SEFAZ!E1046)</f>
        <v/>
      </c>
      <c r="F1062" s="6" t="str">
        <f>IF(SEFAZ!F1046="","",VALUE(SUBSTITUTE(SEFAZ!F1046,"'","")))</f>
        <v/>
      </c>
      <c r="G1062" t="str">
        <f>IF(SEFAZ!H1046="","",SEFAZ!H1046)</f>
        <v/>
      </c>
      <c r="H1062" t="str">
        <f>IF(SEFAZ!L1046="","",SEFAZ!L1046)</f>
        <v/>
      </c>
      <c r="I1062" t="str">
        <f>IF(SEFAZ!N1046="","",SEFAZ!N1046)</f>
        <v/>
      </c>
      <c r="J1062" t="str">
        <f>IF(SEFAZ!O1046="","",SEFAZ!O1046)</f>
        <v/>
      </c>
      <c r="K1062" s="11" t="str">
        <f>IF(SEFAZ!P1046="","",SEFAZ!P1046)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hidden="1" x14ac:dyDescent="0.3">
      <c r="B1063" t="str">
        <f>IF(SEFAZ!A1047="","",SEFAZ!A1047)</f>
        <v/>
      </c>
      <c r="C1063" t="str">
        <f>IF(SEFAZ!C1047="","",SEFAZ!C1047)</f>
        <v/>
      </c>
      <c r="D1063" t="str">
        <f>IF(SEFAZ!D1047="","",SEFAZ!D1047)</f>
        <v/>
      </c>
      <c r="E1063" s="7" t="str">
        <f>IF(SEFAZ!E1047="","",SEFAZ!E1047)</f>
        <v/>
      </c>
      <c r="F1063" s="6" t="str">
        <f>IF(SEFAZ!F1047="","",VALUE(SUBSTITUTE(SEFAZ!F1047,"'","")))</f>
        <v/>
      </c>
      <c r="G1063" t="str">
        <f>IF(SEFAZ!H1047="","",SEFAZ!H1047)</f>
        <v/>
      </c>
      <c r="H1063" t="str">
        <f>IF(SEFAZ!L1047="","",SEFAZ!L1047)</f>
        <v/>
      </c>
      <c r="I1063" t="str">
        <f>IF(SEFAZ!N1047="","",SEFAZ!N1047)</f>
        <v/>
      </c>
      <c r="J1063" t="str">
        <f>IF(SEFAZ!O1047="","",SEFAZ!O1047)</f>
        <v/>
      </c>
      <c r="K1063" s="11" t="str">
        <f>IF(SEFAZ!P1047="","",SEFAZ!P1047)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hidden="1" x14ac:dyDescent="0.3">
      <c r="B1064" t="str">
        <f>IF(SEFAZ!A1048="","",SEFAZ!A1048)</f>
        <v/>
      </c>
      <c r="C1064" t="str">
        <f>IF(SEFAZ!C1048="","",SEFAZ!C1048)</f>
        <v/>
      </c>
      <c r="D1064" t="str">
        <f>IF(SEFAZ!D1048="","",SEFAZ!D1048)</f>
        <v/>
      </c>
      <c r="E1064" s="7" t="str">
        <f>IF(SEFAZ!E1048="","",SEFAZ!E1048)</f>
        <v/>
      </c>
      <c r="F1064" s="6" t="str">
        <f>IF(SEFAZ!F1048="","",VALUE(SUBSTITUTE(SEFAZ!F1048,"'","")))</f>
        <v/>
      </c>
      <c r="G1064" t="str">
        <f>IF(SEFAZ!H1048="","",SEFAZ!H1048)</f>
        <v/>
      </c>
      <c r="H1064" t="str">
        <f>IF(SEFAZ!L1048="","",SEFAZ!L1048)</f>
        <v/>
      </c>
      <c r="I1064" t="str">
        <f>IF(SEFAZ!N1048="","",SEFAZ!N1048)</f>
        <v/>
      </c>
      <c r="J1064" t="str">
        <f>IF(SEFAZ!O1048="","",SEFAZ!O1048)</f>
        <v/>
      </c>
      <c r="K1064" s="11" t="str">
        <f>IF(SEFAZ!P1048="","",SEFAZ!P1048)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hidden="1" x14ac:dyDescent="0.3">
      <c r="B1065" t="str">
        <f>IF(SEFAZ!A1049="","",SEFAZ!A1049)</f>
        <v/>
      </c>
      <c r="C1065" t="str">
        <f>IF(SEFAZ!C1049="","",SEFAZ!C1049)</f>
        <v/>
      </c>
      <c r="D1065" t="str">
        <f>IF(SEFAZ!D1049="","",SEFAZ!D1049)</f>
        <v/>
      </c>
      <c r="E1065" s="7" t="str">
        <f>IF(SEFAZ!E1049="","",SEFAZ!E1049)</f>
        <v/>
      </c>
      <c r="F1065" s="6" t="str">
        <f>IF(SEFAZ!F1049="","",VALUE(SUBSTITUTE(SEFAZ!F1049,"'","")))</f>
        <v/>
      </c>
      <c r="G1065" t="str">
        <f>IF(SEFAZ!H1049="","",SEFAZ!H1049)</f>
        <v/>
      </c>
      <c r="H1065" t="str">
        <f>IF(SEFAZ!L1049="","",SEFAZ!L1049)</f>
        <v/>
      </c>
      <c r="I1065" t="str">
        <f>IF(SEFAZ!N1049="","",SEFAZ!N1049)</f>
        <v/>
      </c>
      <c r="J1065" t="str">
        <f>IF(SEFAZ!O1049="","",SEFAZ!O1049)</f>
        <v/>
      </c>
      <c r="K1065" s="11" t="str">
        <f>IF(SEFAZ!P1049="","",SEFAZ!P1049)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hidden="1" x14ac:dyDescent="0.3">
      <c r="B1066" t="str">
        <f>IF(SEFAZ!A1050="","",SEFAZ!A1050)</f>
        <v/>
      </c>
      <c r="C1066" t="str">
        <f>IF(SEFAZ!C1050="","",SEFAZ!C1050)</f>
        <v/>
      </c>
      <c r="D1066" t="str">
        <f>IF(SEFAZ!D1050="","",SEFAZ!D1050)</f>
        <v/>
      </c>
      <c r="E1066" s="7" t="str">
        <f>IF(SEFAZ!E1050="","",SEFAZ!E1050)</f>
        <v/>
      </c>
      <c r="F1066" s="6" t="str">
        <f>IF(SEFAZ!F1050="","",VALUE(SUBSTITUTE(SEFAZ!F1050,"'","")))</f>
        <v/>
      </c>
      <c r="G1066" t="str">
        <f>IF(SEFAZ!H1050="","",SEFAZ!H1050)</f>
        <v/>
      </c>
      <c r="H1066" t="str">
        <f>IF(SEFAZ!L1050="","",SEFAZ!L1050)</f>
        <v/>
      </c>
      <c r="I1066" t="str">
        <f>IF(SEFAZ!N1050="","",SEFAZ!N1050)</f>
        <v/>
      </c>
      <c r="J1066" t="str">
        <f>IF(SEFAZ!O1050="","",SEFAZ!O1050)</f>
        <v/>
      </c>
      <c r="K1066" s="11" t="str">
        <f>IF(SEFAZ!P1050="","",SEFAZ!P1050)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hidden="1" x14ac:dyDescent="0.3">
      <c r="B1067" t="str">
        <f>IF(SEFAZ!A1051="","",SEFAZ!A1051)</f>
        <v/>
      </c>
      <c r="C1067" t="str">
        <f>IF(SEFAZ!C1051="","",SEFAZ!C1051)</f>
        <v/>
      </c>
      <c r="D1067" t="str">
        <f>IF(SEFAZ!D1051="","",SEFAZ!D1051)</f>
        <v/>
      </c>
      <c r="E1067" s="7" t="str">
        <f>IF(SEFAZ!E1051="","",SEFAZ!E1051)</f>
        <v/>
      </c>
      <c r="F1067" s="6" t="str">
        <f>IF(SEFAZ!F1051="","",VALUE(SUBSTITUTE(SEFAZ!F1051,"'","")))</f>
        <v/>
      </c>
      <c r="G1067" t="str">
        <f>IF(SEFAZ!H1051="","",SEFAZ!H1051)</f>
        <v/>
      </c>
      <c r="H1067" t="str">
        <f>IF(SEFAZ!L1051="","",SEFAZ!L1051)</f>
        <v/>
      </c>
      <c r="I1067" t="str">
        <f>IF(SEFAZ!N1051="","",SEFAZ!N1051)</f>
        <v/>
      </c>
      <c r="J1067" t="str">
        <f>IF(SEFAZ!O1051="","",SEFAZ!O1051)</f>
        <v/>
      </c>
      <c r="K1067" s="11" t="str">
        <f>IF(SEFAZ!P1051="","",SEFAZ!P1051)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hidden="1" x14ac:dyDescent="0.3">
      <c r="B1068" t="str">
        <f>IF(SEFAZ!A1052="","",SEFAZ!A1052)</f>
        <v/>
      </c>
      <c r="C1068" t="str">
        <f>IF(SEFAZ!C1052="","",SEFAZ!C1052)</f>
        <v/>
      </c>
      <c r="D1068" t="str">
        <f>IF(SEFAZ!D1052="","",SEFAZ!D1052)</f>
        <v/>
      </c>
      <c r="E1068" s="7" t="str">
        <f>IF(SEFAZ!E1052="","",SEFAZ!E1052)</f>
        <v/>
      </c>
      <c r="F1068" s="6" t="str">
        <f>IF(SEFAZ!F1052="","",VALUE(SUBSTITUTE(SEFAZ!F1052,"'","")))</f>
        <v/>
      </c>
      <c r="G1068" t="str">
        <f>IF(SEFAZ!H1052="","",SEFAZ!H1052)</f>
        <v/>
      </c>
      <c r="H1068" t="str">
        <f>IF(SEFAZ!L1052="","",SEFAZ!L1052)</f>
        <v/>
      </c>
      <c r="I1068" t="str">
        <f>IF(SEFAZ!N1052="","",SEFAZ!N1052)</f>
        <v/>
      </c>
      <c r="J1068" t="str">
        <f>IF(SEFAZ!O1052="","",SEFAZ!O1052)</f>
        <v/>
      </c>
      <c r="K1068" s="11" t="str">
        <f>IF(SEFAZ!P1052="","",SEFAZ!P1052)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hidden="1" x14ac:dyDescent="0.3">
      <c r="B1069" t="str">
        <f>IF(SEFAZ!A1053="","",SEFAZ!A1053)</f>
        <v/>
      </c>
      <c r="C1069" t="str">
        <f>IF(SEFAZ!C1053="","",SEFAZ!C1053)</f>
        <v/>
      </c>
      <c r="D1069" t="str">
        <f>IF(SEFAZ!D1053="","",SEFAZ!D1053)</f>
        <v/>
      </c>
      <c r="E1069" s="7" t="str">
        <f>IF(SEFAZ!E1053="","",SEFAZ!E1053)</f>
        <v/>
      </c>
      <c r="F1069" s="6" t="str">
        <f>IF(SEFAZ!F1053="","",VALUE(SUBSTITUTE(SEFAZ!F1053,"'","")))</f>
        <v/>
      </c>
      <c r="G1069" t="str">
        <f>IF(SEFAZ!H1053="","",SEFAZ!H1053)</f>
        <v/>
      </c>
      <c r="H1069" t="str">
        <f>IF(SEFAZ!L1053="","",SEFAZ!L1053)</f>
        <v/>
      </c>
      <c r="I1069" t="str">
        <f>IF(SEFAZ!N1053="","",SEFAZ!N1053)</f>
        <v/>
      </c>
      <c r="J1069" t="str">
        <f>IF(SEFAZ!O1053="","",SEFAZ!O1053)</f>
        <v/>
      </c>
      <c r="K1069" s="11" t="str">
        <f>IF(SEFAZ!P1053="","",SEFAZ!P1053)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hidden="1" x14ac:dyDescent="0.3">
      <c r="B1070" t="str">
        <f>IF(SEFAZ!A1054="","",SEFAZ!A1054)</f>
        <v/>
      </c>
      <c r="C1070" t="str">
        <f>IF(SEFAZ!C1054="","",SEFAZ!C1054)</f>
        <v/>
      </c>
      <c r="D1070" t="str">
        <f>IF(SEFAZ!D1054="","",SEFAZ!D1054)</f>
        <v/>
      </c>
      <c r="E1070" s="7" t="str">
        <f>IF(SEFAZ!E1054="","",SEFAZ!E1054)</f>
        <v/>
      </c>
      <c r="F1070" s="6" t="str">
        <f>IF(SEFAZ!F1054="","",VALUE(SUBSTITUTE(SEFAZ!F1054,"'","")))</f>
        <v/>
      </c>
      <c r="G1070" t="str">
        <f>IF(SEFAZ!H1054="","",SEFAZ!H1054)</f>
        <v/>
      </c>
      <c r="H1070" t="str">
        <f>IF(SEFAZ!L1054="","",SEFAZ!L1054)</f>
        <v/>
      </c>
      <c r="I1070" t="str">
        <f>IF(SEFAZ!N1054="","",SEFAZ!N1054)</f>
        <v/>
      </c>
      <c r="J1070" t="str">
        <f>IF(SEFAZ!O1054="","",SEFAZ!O1054)</f>
        <v/>
      </c>
      <c r="K1070" s="11" t="str">
        <f>IF(SEFAZ!P1054="","",SEFAZ!P1054)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hidden="1" x14ac:dyDescent="0.3">
      <c r="B1071" t="str">
        <f>IF(SEFAZ!A1055="","",SEFAZ!A1055)</f>
        <v/>
      </c>
      <c r="C1071" t="str">
        <f>IF(SEFAZ!C1055="","",SEFAZ!C1055)</f>
        <v/>
      </c>
      <c r="D1071" t="str">
        <f>IF(SEFAZ!D1055="","",SEFAZ!D1055)</f>
        <v/>
      </c>
      <c r="E1071" s="7" t="str">
        <f>IF(SEFAZ!E1055="","",SEFAZ!E1055)</f>
        <v/>
      </c>
      <c r="F1071" s="6" t="str">
        <f>IF(SEFAZ!F1055="","",VALUE(SUBSTITUTE(SEFAZ!F1055,"'","")))</f>
        <v/>
      </c>
      <c r="G1071" t="str">
        <f>IF(SEFAZ!H1055="","",SEFAZ!H1055)</f>
        <v/>
      </c>
      <c r="H1071" t="str">
        <f>IF(SEFAZ!L1055="","",SEFAZ!L1055)</f>
        <v/>
      </c>
      <c r="I1071" t="str">
        <f>IF(SEFAZ!N1055="","",SEFAZ!N1055)</f>
        <v/>
      </c>
      <c r="J1071" t="str">
        <f>IF(SEFAZ!O1055="","",SEFAZ!O1055)</f>
        <v/>
      </c>
      <c r="K1071" s="11" t="str">
        <f>IF(SEFAZ!P1055="","",SEFAZ!P1055)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hidden="1" x14ac:dyDescent="0.3">
      <c r="B1072" t="str">
        <f>IF(SEFAZ!A1056="","",SEFAZ!A1056)</f>
        <v/>
      </c>
      <c r="C1072" t="str">
        <f>IF(SEFAZ!C1056="","",SEFAZ!C1056)</f>
        <v/>
      </c>
      <c r="D1072" t="str">
        <f>IF(SEFAZ!D1056="","",SEFAZ!D1056)</f>
        <v/>
      </c>
      <c r="E1072" s="7" t="str">
        <f>IF(SEFAZ!E1056="","",SEFAZ!E1056)</f>
        <v/>
      </c>
      <c r="F1072" s="6" t="str">
        <f>IF(SEFAZ!F1056="","",VALUE(SUBSTITUTE(SEFAZ!F1056,"'","")))</f>
        <v/>
      </c>
      <c r="G1072" t="str">
        <f>IF(SEFAZ!H1056="","",SEFAZ!H1056)</f>
        <v/>
      </c>
      <c r="H1072" t="str">
        <f>IF(SEFAZ!L1056="","",SEFAZ!L1056)</f>
        <v/>
      </c>
      <c r="I1072" t="str">
        <f>IF(SEFAZ!N1056="","",SEFAZ!N1056)</f>
        <v/>
      </c>
      <c r="J1072" t="str">
        <f>IF(SEFAZ!O1056="","",SEFAZ!O1056)</f>
        <v/>
      </c>
      <c r="K1072" s="11" t="str">
        <f>IF(SEFAZ!P1056="","",SEFAZ!P1056)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hidden="1" x14ac:dyDescent="0.3">
      <c r="B1073" t="str">
        <f>IF(SEFAZ!A1057="","",SEFAZ!A1057)</f>
        <v/>
      </c>
      <c r="C1073" t="str">
        <f>IF(SEFAZ!C1057="","",SEFAZ!C1057)</f>
        <v/>
      </c>
      <c r="D1073" t="str">
        <f>IF(SEFAZ!D1057="","",SEFAZ!D1057)</f>
        <v/>
      </c>
      <c r="E1073" s="7" t="str">
        <f>IF(SEFAZ!E1057="","",SEFAZ!E1057)</f>
        <v/>
      </c>
      <c r="F1073" s="6" t="str">
        <f>IF(SEFAZ!F1057="","",VALUE(SUBSTITUTE(SEFAZ!F1057,"'","")))</f>
        <v/>
      </c>
      <c r="G1073" t="str">
        <f>IF(SEFAZ!H1057="","",SEFAZ!H1057)</f>
        <v/>
      </c>
      <c r="H1073" t="str">
        <f>IF(SEFAZ!L1057="","",SEFAZ!L1057)</f>
        <v/>
      </c>
      <c r="I1073" t="str">
        <f>IF(SEFAZ!N1057="","",SEFAZ!N1057)</f>
        <v/>
      </c>
      <c r="J1073" t="str">
        <f>IF(SEFAZ!O1057="","",SEFAZ!O1057)</f>
        <v/>
      </c>
      <c r="K1073" s="11" t="str">
        <f>IF(SEFAZ!P1057="","",SEFAZ!P1057)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hidden="1" x14ac:dyDescent="0.3">
      <c r="B1074" t="str">
        <f>IF(SEFAZ!A1058="","",SEFAZ!A1058)</f>
        <v/>
      </c>
      <c r="C1074" t="str">
        <f>IF(SEFAZ!C1058="","",SEFAZ!C1058)</f>
        <v/>
      </c>
      <c r="D1074" t="str">
        <f>IF(SEFAZ!D1058="","",SEFAZ!D1058)</f>
        <v/>
      </c>
      <c r="E1074" s="7" t="str">
        <f>IF(SEFAZ!E1058="","",SEFAZ!E1058)</f>
        <v/>
      </c>
      <c r="F1074" s="6" t="str">
        <f>IF(SEFAZ!F1058="","",VALUE(SUBSTITUTE(SEFAZ!F1058,"'","")))</f>
        <v/>
      </c>
      <c r="G1074" t="str">
        <f>IF(SEFAZ!H1058="","",SEFAZ!H1058)</f>
        <v/>
      </c>
      <c r="H1074" t="str">
        <f>IF(SEFAZ!L1058="","",SEFAZ!L1058)</f>
        <v/>
      </c>
      <c r="I1074" t="str">
        <f>IF(SEFAZ!N1058="","",SEFAZ!N1058)</f>
        <v/>
      </c>
      <c r="J1074" t="str">
        <f>IF(SEFAZ!O1058="","",SEFAZ!O1058)</f>
        <v/>
      </c>
      <c r="K1074" s="11" t="str">
        <f>IF(SEFAZ!P1058="","",SEFAZ!P1058)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hidden="1" x14ac:dyDescent="0.3">
      <c r="B1075" t="str">
        <f>IF(SEFAZ!A1059="","",SEFAZ!A1059)</f>
        <v/>
      </c>
      <c r="C1075" t="str">
        <f>IF(SEFAZ!C1059="","",SEFAZ!C1059)</f>
        <v/>
      </c>
      <c r="D1075" t="str">
        <f>IF(SEFAZ!D1059="","",SEFAZ!D1059)</f>
        <v/>
      </c>
      <c r="E1075" s="7" t="str">
        <f>IF(SEFAZ!E1059="","",SEFAZ!E1059)</f>
        <v/>
      </c>
      <c r="F1075" s="6" t="str">
        <f>IF(SEFAZ!F1059="","",VALUE(SUBSTITUTE(SEFAZ!F1059,"'","")))</f>
        <v/>
      </c>
      <c r="G1075" t="str">
        <f>IF(SEFAZ!H1059="","",SEFAZ!H1059)</f>
        <v/>
      </c>
      <c r="H1075" t="str">
        <f>IF(SEFAZ!L1059="","",SEFAZ!L1059)</f>
        <v/>
      </c>
      <c r="I1075" t="str">
        <f>IF(SEFAZ!N1059="","",SEFAZ!N1059)</f>
        <v/>
      </c>
      <c r="J1075" t="str">
        <f>IF(SEFAZ!O1059="","",SEFAZ!O1059)</f>
        <v/>
      </c>
      <c r="K1075" s="11" t="str">
        <f>IF(SEFAZ!P1059="","",SEFAZ!P1059)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hidden="1" x14ac:dyDescent="0.3">
      <c r="B1076" t="str">
        <f>IF(SEFAZ!A1060="","",SEFAZ!A1060)</f>
        <v/>
      </c>
      <c r="C1076" t="str">
        <f>IF(SEFAZ!C1060="","",SEFAZ!C1060)</f>
        <v/>
      </c>
      <c r="D1076" t="str">
        <f>IF(SEFAZ!D1060="","",SEFAZ!D1060)</f>
        <v/>
      </c>
      <c r="E1076" s="7" t="str">
        <f>IF(SEFAZ!E1060="","",SEFAZ!E1060)</f>
        <v/>
      </c>
      <c r="F1076" s="6" t="str">
        <f>IF(SEFAZ!F1060="","",VALUE(SUBSTITUTE(SEFAZ!F1060,"'","")))</f>
        <v/>
      </c>
      <c r="G1076" t="str">
        <f>IF(SEFAZ!H1060="","",SEFAZ!H1060)</f>
        <v/>
      </c>
      <c r="H1076" t="str">
        <f>IF(SEFAZ!L1060="","",SEFAZ!L1060)</f>
        <v/>
      </c>
      <c r="I1076" t="str">
        <f>IF(SEFAZ!N1060="","",SEFAZ!N1060)</f>
        <v/>
      </c>
      <c r="J1076" t="str">
        <f>IF(SEFAZ!O1060="","",SEFAZ!O1060)</f>
        <v/>
      </c>
      <c r="K1076" s="11" t="str">
        <f>IF(SEFAZ!P1060="","",SEFAZ!P1060)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hidden="1" x14ac:dyDescent="0.3">
      <c r="B1077" t="str">
        <f>IF(SEFAZ!A1061="","",SEFAZ!A1061)</f>
        <v/>
      </c>
      <c r="C1077" t="str">
        <f>IF(SEFAZ!C1061="","",SEFAZ!C1061)</f>
        <v/>
      </c>
      <c r="D1077" t="str">
        <f>IF(SEFAZ!D1061="","",SEFAZ!D1061)</f>
        <v/>
      </c>
      <c r="E1077" s="7" t="str">
        <f>IF(SEFAZ!E1061="","",SEFAZ!E1061)</f>
        <v/>
      </c>
      <c r="F1077" s="6" t="str">
        <f>IF(SEFAZ!F1061="","",VALUE(SUBSTITUTE(SEFAZ!F1061,"'","")))</f>
        <v/>
      </c>
      <c r="G1077" t="str">
        <f>IF(SEFAZ!H1061="","",SEFAZ!H1061)</f>
        <v/>
      </c>
      <c r="H1077" t="str">
        <f>IF(SEFAZ!L1061="","",SEFAZ!L1061)</f>
        <v/>
      </c>
      <c r="I1077" t="str">
        <f>IF(SEFAZ!N1061="","",SEFAZ!N1061)</f>
        <v/>
      </c>
      <c r="J1077" t="str">
        <f>IF(SEFAZ!O1061="","",SEFAZ!O1061)</f>
        <v/>
      </c>
      <c r="K1077" s="11" t="str">
        <f>IF(SEFAZ!P1061="","",SEFAZ!P1061)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hidden="1" x14ac:dyDescent="0.3">
      <c r="B1078" t="str">
        <f>IF(SEFAZ!A1062="","",SEFAZ!A1062)</f>
        <v/>
      </c>
      <c r="C1078" t="str">
        <f>IF(SEFAZ!C1062="","",SEFAZ!C1062)</f>
        <v/>
      </c>
      <c r="D1078" t="str">
        <f>IF(SEFAZ!D1062="","",SEFAZ!D1062)</f>
        <v/>
      </c>
      <c r="E1078" s="7" t="str">
        <f>IF(SEFAZ!E1062="","",SEFAZ!E1062)</f>
        <v/>
      </c>
      <c r="F1078" s="6" t="str">
        <f>IF(SEFAZ!F1062="","",VALUE(SUBSTITUTE(SEFAZ!F1062,"'","")))</f>
        <v/>
      </c>
      <c r="G1078" t="str">
        <f>IF(SEFAZ!H1062="","",SEFAZ!H1062)</f>
        <v/>
      </c>
      <c r="H1078" t="str">
        <f>IF(SEFAZ!L1062="","",SEFAZ!L1062)</f>
        <v/>
      </c>
      <c r="I1078" t="str">
        <f>IF(SEFAZ!N1062="","",SEFAZ!N1062)</f>
        <v/>
      </c>
      <c r="J1078" t="str">
        <f>IF(SEFAZ!O1062="","",SEFAZ!O1062)</f>
        <v/>
      </c>
      <c r="K1078" s="11" t="str">
        <f>IF(SEFAZ!P1062="","",SEFAZ!P1062)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hidden="1" x14ac:dyDescent="0.3">
      <c r="B1079" t="str">
        <f>IF(SEFAZ!A1063="","",SEFAZ!A1063)</f>
        <v/>
      </c>
      <c r="C1079" t="str">
        <f>IF(SEFAZ!C1063="","",SEFAZ!C1063)</f>
        <v/>
      </c>
      <c r="D1079" t="str">
        <f>IF(SEFAZ!D1063="","",SEFAZ!D1063)</f>
        <v/>
      </c>
      <c r="E1079" s="7" t="str">
        <f>IF(SEFAZ!E1063="","",SEFAZ!E1063)</f>
        <v/>
      </c>
      <c r="F1079" s="6" t="str">
        <f>IF(SEFAZ!F1063="","",VALUE(SUBSTITUTE(SEFAZ!F1063,"'","")))</f>
        <v/>
      </c>
      <c r="G1079" t="str">
        <f>IF(SEFAZ!H1063="","",SEFAZ!H1063)</f>
        <v/>
      </c>
      <c r="H1079" t="str">
        <f>IF(SEFAZ!L1063="","",SEFAZ!L1063)</f>
        <v/>
      </c>
      <c r="I1079" t="str">
        <f>IF(SEFAZ!N1063="","",SEFAZ!N1063)</f>
        <v/>
      </c>
      <c r="J1079" t="str">
        <f>IF(SEFAZ!O1063="","",SEFAZ!O1063)</f>
        <v/>
      </c>
      <c r="K1079" s="11" t="str">
        <f>IF(SEFAZ!P1063="","",SEFAZ!P1063)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hidden="1" x14ac:dyDescent="0.3">
      <c r="B1080" t="str">
        <f>IF(SEFAZ!A1064="","",SEFAZ!A1064)</f>
        <v/>
      </c>
      <c r="C1080" t="str">
        <f>IF(SEFAZ!C1064="","",SEFAZ!C1064)</f>
        <v/>
      </c>
      <c r="D1080" t="str">
        <f>IF(SEFAZ!D1064="","",SEFAZ!D1064)</f>
        <v/>
      </c>
      <c r="E1080" s="7" t="str">
        <f>IF(SEFAZ!E1064="","",SEFAZ!E1064)</f>
        <v/>
      </c>
      <c r="F1080" s="6" t="str">
        <f>IF(SEFAZ!F1064="","",VALUE(SUBSTITUTE(SEFAZ!F1064,"'","")))</f>
        <v/>
      </c>
      <c r="G1080" t="str">
        <f>IF(SEFAZ!H1064="","",SEFAZ!H1064)</f>
        <v/>
      </c>
      <c r="H1080" t="str">
        <f>IF(SEFAZ!L1064="","",SEFAZ!L1064)</f>
        <v/>
      </c>
      <c r="I1080" t="str">
        <f>IF(SEFAZ!N1064="","",SEFAZ!N1064)</f>
        <v/>
      </c>
      <c r="J1080" t="str">
        <f>IF(SEFAZ!O1064="","",SEFAZ!O1064)</f>
        <v/>
      </c>
      <c r="K1080" s="11" t="str">
        <f>IF(SEFAZ!P1064="","",SEFAZ!P1064)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hidden="1" x14ac:dyDescent="0.3">
      <c r="B1081" t="str">
        <f>IF(SEFAZ!A1065="","",SEFAZ!A1065)</f>
        <v/>
      </c>
      <c r="C1081" t="str">
        <f>IF(SEFAZ!C1065="","",SEFAZ!C1065)</f>
        <v/>
      </c>
      <c r="D1081" t="str">
        <f>IF(SEFAZ!D1065="","",SEFAZ!D1065)</f>
        <v/>
      </c>
      <c r="E1081" s="7" t="str">
        <f>IF(SEFAZ!E1065="","",SEFAZ!E1065)</f>
        <v/>
      </c>
      <c r="F1081" s="6" t="str">
        <f>IF(SEFAZ!F1065="","",VALUE(SUBSTITUTE(SEFAZ!F1065,"'","")))</f>
        <v/>
      </c>
      <c r="G1081" t="str">
        <f>IF(SEFAZ!H1065="","",SEFAZ!H1065)</f>
        <v/>
      </c>
      <c r="H1081" t="str">
        <f>IF(SEFAZ!L1065="","",SEFAZ!L1065)</f>
        <v/>
      </c>
      <c r="I1081" t="str">
        <f>IF(SEFAZ!N1065="","",SEFAZ!N1065)</f>
        <v/>
      </c>
      <c r="J1081" t="str">
        <f>IF(SEFAZ!O1065="","",SEFAZ!O1065)</f>
        <v/>
      </c>
      <c r="K1081" s="11" t="str">
        <f>IF(SEFAZ!P1065="","",SEFAZ!P1065)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hidden="1" x14ac:dyDescent="0.3">
      <c r="B1082" t="str">
        <f>IF(SEFAZ!A1066="","",SEFAZ!A1066)</f>
        <v/>
      </c>
      <c r="C1082" t="str">
        <f>IF(SEFAZ!C1066="","",SEFAZ!C1066)</f>
        <v/>
      </c>
      <c r="D1082" t="str">
        <f>IF(SEFAZ!D1066="","",SEFAZ!D1066)</f>
        <v/>
      </c>
      <c r="E1082" s="7" t="str">
        <f>IF(SEFAZ!E1066="","",SEFAZ!E1066)</f>
        <v/>
      </c>
      <c r="F1082" s="6" t="str">
        <f>IF(SEFAZ!F1066="","",VALUE(SUBSTITUTE(SEFAZ!F1066,"'","")))</f>
        <v/>
      </c>
      <c r="G1082" t="str">
        <f>IF(SEFAZ!H1066="","",SEFAZ!H1066)</f>
        <v/>
      </c>
      <c r="H1082" t="str">
        <f>IF(SEFAZ!L1066="","",SEFAZ!L1066)</f>
        <v/>
      </c>
      <c r="I1082" t="str">
        <f>IF(SEFAZ!N1066="","",SEFAZ!N1066)</f>
        <v/>
      </c>
      <c r="J1082" t="str">
        <f>IF(SEFAZ!O1066="","",SEFAZ!O1066)</f>
        <v/>
      </c>
      <c r="K1082" s="11" t="str">
        <f>IF(SEFAZ!P1066="","",SEFAZ!P1066)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hidden="1" x14ac:dyDescent="0.3">
      <c r="B1083" t="str">
        <f>IF(SEFAZ!A1067="","",SEFAZ!A1067)</f>
        <v/>
      </c>
      <c r="C1083" t="str">
        <f>IF(SEFAZ!C1067="","",SEFAZ!C1067)</f>
        <v/>
      </c>
      <c r="D1083" t="str">
        <f>IF(SEFAZ!D1067="","",SEFAZ!D1067)</f>
        <v/>
      </c>
      <c r="E1083" s="7" t="str">
        <f>IF(SEFAZ!E1067="","",SEFAZ!E1067)</f>
        <v/>
      </c>
      <c r="F1083" s="6" t="str">
        <f>IF(SEFAZ!F1067="","",VALUE(SUBSTITUTE(SEFAZ!F1067,"'","")))</f>
        <v/>
      </c>
      <c r="G1083" t="str">
        <f>IF(SEFAZ!H1067="","",SEFAZ!H1067)</f>
        <v/>
      </c>
      <c r="H1083" t="str">
        <f>IF(SEFAZ!L1067="","",SEFAZ!L1067)</f>
        <v/>
      </c>
      <c r="I1083" t="str">
        <f>IF(SEFAZ!N1067="","",SEFAZ!N1067)</f>
        <v/>
      </c>
      <c r="J1083" t="str">
        <f>IF(SEFAZ!O1067="","",SEFAZ!O1067)</f>
        <v/>
      </c>
      <c r="K1083" s="11" t="str">
        <f>IF(SEFAZ!P1067="","",SEFAZ!P1067)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hidden="1" x14ac:dyDescent="0.3">
      <c r="B1084" t="str">
        <f>IF(SEFAZ!A1068="","",SEFAZ!A1068)</f>
        <v/>
      </c>
      <c r="C1084" t="str">
        <f>IF(SEFAZ!C1068="","",SEFAZ!C1068)</f>
        <v/>
      </c>
      <c r="D1084" t="str">
        <f>IF(SEFAZ!D1068="","",SEFAZ!D1068)</f>
        <v/>
      </c>
      <c r="E1084" s="7" t="str">
        <f>IF(SEFAZ!E1068="","",SEFAZ!E1068)</f>
        <v/>
      </c>
      <c r="F1084" s="6" t="str">
        <f>IF(SEFAZ!F1068="","",VALUE(SUBSTITUTE(SEFAZ!F1068,"'","")))</f>
        <v/>
      </c>
      <c r="G1084" t="str">
        <f>IF(SEFAZ!H1068="","",SEFAZ!H1068)</f>
        <v/>
      </c>
      <c r="H1084" t="str">
        <f>IF(SEFAZ!L1068="","",SEFAZ!L1068)</f>
        <v/>
      </c>
      <c r="I1084" t="str">
        <f>IF(SEFAZ!N1068="","",SEFAZ!N1068)</f>
        <v/>
      </c>
      <c r="J1084" t="str">
        <f>IF(SEFAZ!O1068="","",SEFAZ!O1068)</f>
        <v/>
      </c>
      <c r="K1084" s="11" t="str">
        <f>IF(SEFAZ!P1068="","",SEFAZ!P1068)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hidden="1" x14ac:dyDescent="0.3">
      <c r="B1085" t="str">
        <f>IF(SEFAZ!A1069="","",SEFAZ!A1069)</f>
        <v/>
      </c>
      <c r="C1085" t="str">
        <f>IF(SEFAZ!C1069="","",SEFAZ!C1069)</f>
        <v/>
      </c>
      <c r="D1085" t="str">
        <f>IF(SEFAZ!D1069="","",SEFAZ!D1069)</f>
        <v/>
      </c>
      <c r="E1085" s="7" t="str">
        <f>IF(SEFAZ!E1069="","",SEFAZ!E1069)</f>
        <v/>
      </c>
      <c r="F1085" s="6" t="str">
        <f>IF(SEFAZ!F1069="","",VALUE(SUBSTITUTE(SEFAZ!F1069,"'","")))</f>
        <v/>
      </c>
      <c r="G1085" t="str">
        <f>IF(SEFAZ!H1069="","",SEFAZ!H1069)</f>
        <v/>
      </c>
      <c r="H1085" t="str">
        <f>IF(SEFAZ!L1069="","",SEFAZ!L1069)</f>
        <v/>
      </c>
      <c r="I1085" t="str">
        <f>IF(SEFAZ!N1069="","",SEFAZ!N1069)</f>
        <v/>
      </c>
      <c r="J1085" t="str">
        <f>IF(SEFAZ!O1069="","",SEFAZ!O1069)</f>
        <v/>
      </c>
      <c r="K1085" s="11" t="str">
        <f>IF(SEFAZ!P1069="","",SEFAZ!P1069)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hidden="1" x14ac:dyDescent="0.3">
      <c r="B1086" t="str">
        <f>IF(SEFAZ!A1070="","",SEFAZ!A1070)</f>
        <v/>
      </c>
      <c r="C1086" t="str">
        <f>IF(SEFAZ!C1070="","",SEFAZ!C1070)</f>
        <v/>
      </c>
      <c r="D1086" t="str">
        <f>IF(SEFAZ!D1070="","",SEFAZ!D1070)</f>
        <v/>
      </c>
      <c r="E1086" s="7" t="str">
        <f>IF(SEFAZ!E1070="","",SEFAZ!E1070)</f>
        <v/>
      </c>
      <c r="F1086" s="6" t="str">
        <f>IF(SEFAZ!F1070="","",VALUE(SUBSTITUTE(SEFAZ!F1070,"'","")))</f>
        <v/>
      </c>
      <c r="G1086" t="str">
        <f>IF(SEFAZ!H1070="","",SEFAZ!H1070)</f>
        <v/>
      </c>
      <c r="H1086" t="str">
        <f>IF(SEFAZ!L1070="","",SEFAZ!L1070)</f>
        <v/>
      </c>
      <c r="I1086" t="str">
        <f>IF(SEFAZ!N1070="","",SEFAZ!N1070)</f>
        <v/>
      </c>
      <c r="J1086" t="str">
        <f>IF(SEFAZ!O1070="","",SEFAZ!O1070)</f>
        <v/>
      </c>
      <c r="K1086" s="11" t="str">
        <f>IF(SEFAZ!P1070="","",SEFAZ!P1070)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hidden="1" x14ac:dyDescent="0.3">
      <c r="B1087" t="str">
        <f>IF(SEFAZ!A1071="","",SEFAZ!A1071)</f>
        <v/>
      </c>
      <c r="C1087" t="str">
        <f>IF(SEFAZ!C1071="","",SEFAZ!C1071)</f>
        <v/>
      </c>
      <c r="D1087" t="str">
        <f>IF(SEFAZ!D1071="","",SEFAZ!D1071)</f>
        <v/>
      </c>
      <c r="E1087" s="7" t="str">
        <f>IF(SEFAZ!E1071="","",SEFAZ!E1071)</f>
        <v/>
      </c>
      <c r="F1087" s="6" t="str">
        <f>IF(SEFAZ!F1071="","",VALUE(SUBSTITUTE(SEFAZ!F1071,"'","")))</f>
        <v/>
      </c>
      <c r="G1087" t="str">
        <f>IF(SEFAZ!H1071="","",SEFAZ!H1071)</f>
        <v/>
      </c>
      <c r="H1087" t="str">
        <f>IF(SEFAZ!L1071="","",SEFAZ!L1071)</f>
        <v/>
      </c>
      <c r="I1087" t="str">
        <f>IF(SEFAZ!N1071="","",SEFAZ!N1071)</f>
        <v/>
      </c>
      <c r="J1087" t="str">
        <f>IF(SEFAZ!O1071="","",SEFAZ!O1071)</f>
        <v/>
      </c>
      <c r="K1087" s="11" t="str">
        <f>IF(SEFAZ!P1071="","",SEFAZ!P1071)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hidden="1" x14ac:dyDescent="0.3">
      <c r="B1088" t="str">
        <f>IF(SEFAZ!A1072="","",SEFAZ!A1072)</f>
        <v/>
      </c>
      <c r="C1088" t="str">
        <f>IF(SEFAZ!C1072="","",SEFAZ!C1072)</f>
        <v/>
      </c>
      <c r="D1088" t="str">
        <f>IF(SEFAZ!D1072="","",SEFAZ!D1072)</f>
        <v/>
      </c>
      <c r="E1088" s="7" t="str">
        <f>IF(SEFAZ!E1072="","",SEFAZ!E1072)</f>
        <v/>
      </c>
      <c r="F1088" s="6" t="str">
        <f>IF(SEFAZ!F1072="","",VALUE(SUBSTITUTE(SEFAZ!F1072,"'","")))</f>
        <v/>
      </c>
      <c r="G1088" t="str">
        <f>IF(SEFAZ!H1072="","",SEFAZ!H1072)</f>
        <v/>
      </c>
      <c r="H1088" t="str">
        <f>IF(SEFAZ!L1072="","",SEFAZ!L1072)</f>
        <v/>
      </c>
      <c r="I1088" t="str">
        <f>IF(SEFAZ!N1072="","",SEFAZ!N1072)</f>
        <v/>
      </c>
      <c r="J1088" t="str">
        <f>IF(SEFAZ!O1072="","",SEFAZ!O1072)</f>
        <v/>
      </c>
      <c r="K1088" s="11" t="str">
        <f>IF(SEFAZ!P1072="","",SEFAZ!P1072)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hidden="1" x14ac:dyDescent="0.3">
      <c r="B1089" t="str">
        <f>IF(SEFAZ!A1073="","",SEFAZ!A1073)</f>
        <v/>
      </c>
      <c r="C1089" t="str">
        <f>IF(SEFAZ!C1073="","",SEFAZ!C1073)</f>
        <v/>
      </c>
      <c r="D1089" t="str">
        <f>IF(SEFAZ!D1073="","",SEFAZ!D1073)</f>
        <v/>
      </c>
      <c r="E1089" s="7" t="str">
        <f>IF(SEFAZ!E1073="","",SEFAZ!E1073)</f>
        <v/>
      </c>
      <c r="F1089" s="6" t="str">
        <f>IF(SEFAZ!F1073="","",VALUE(SUBSTITUTE(SEFAZ!F1073,"'","")))</f>
        <v/>
      </c>
      <c r="G1089" t="str">
        <f>IF(SEFAZ!H1073="","",SEFAZ!H1073)</f>
        <v/>
      </c>
      <c r="H1089" t="str">
        <f>IF(SEFAZ!L1073="","",SEFAZ!L1073)</f>
        <v/>
      </c>
      <c r="I1089" t="str">
        <f>IF(SEFAZ!N1073="","",SEFAZ!N1073)</f>
        <v/>
      </c>
      <c r="J1089" t="str">
        <f>IF(SEFAZ!O1073="","",SEFAZ!O1073)</f>
        <v/>
      </c>
      <c r="K1089" s="11" t="str">
        <f>IF(SEFAZ!P1073="","",SEFAZ!P1073)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hidden="1" x14ac:dyDescent="0.3">
      <c r="B1090" t="str">
        <f>IF(SEFAZ!A1074="","",SEFAZ!A1074)</f>
        <v/>
      </c>
      <c r="C1090" t="str">
        <f>IF(SEFAZ!C1074="","",SEFAZ!C1074)</f>
        <v/>
      </c>
      <c r="D1090" t="str">
        <f>IF(SEFAZ!D1074="","",SEFAZ!D1074)</f>
        <v/>
      </c>
      <c r="E1090" s="7" t="str">
        <f>IF(SEFAZ!E1074="","",SEFAZ!E1074)</f>
        <v/>
      </c>
      <c r="F1090" s="6" t="str">
        <f>IF(SEFAZ!F1074="","",VALUE(SUBSTITUTE(SEFAZ!F1074,"'","")))</f>
        <v/>
      </c>
      <c r="G1090" t="str">
        <f>IF(SEFAZ!H1074="","",SEFAZ!H1074)</f>
        <v/>
      </c>
      <c r="H1090" t="str">
        <f>IF(SEFAZ!L1074="","",SEFAZ!L1074)</f>
        <v/>
      </c>
      <c r="I1090" t="str">
        <f>IF(SEFAZ!N1074="","",SEFAZ!N1074)</f>
        <v/>
      </c>
      <c r="J1090" t="str">
        <f>IF(SEFAZ!O1074="","",SEFAZ!O1074)</f>
        <v/>
      </c>
      <c r="K1090" s="11" t="str">
        <f>IF(SEFAZ!P1074="","",SEFAZ!P1074)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hidden="1" x14ac:dyDescent="0.3">
      <c r="B1091" t="str">
        <f>IF(SEFAZ!A1075="","",SEFAZ!A1075)</f>
        <v/>
      </c>
      <c r="C1091" t="str">
        <f>IF(SEFAZ!C1075="","",SEFAZ!C1075)</f>
        <v/>
      </c>
      <c r="D1091" t="str">
        <f>IF(SEFAZ!D1075="","",SEFAZ!D1075)</f>
        <v/>
      </c>
      <c r="E1091" s="7" t="str">
        <f>IF(SEFAZ!E1075="","",SEFAZ!E1075)</f>
        <v/>
      </c>
      <c r="F1091" s="6" t="str">
        <f>IF(SEFAZ!F1075="","",VALUE(SUBSTITUTE(SEFAZ!F1075,"'","")))</f>
        <v/>
      </c>
      <c r="G1091" t="str">
        <f>IF(SEFAZ!H1075="","",SEFAZ!H1075)</f>
        <v/>
      </c>
      <c r="H1091" t="str">
        <f>IF(SEFAZ!L1075="","",SEFAZ!L1075)</f>
        <v/>
      </c>
      <c r="I1091" t="str">
        <f>IF(SEFAZ!N1075="","",SEFAZ!N1075)</f>
        <v/>
      </c>
      <c r="J1091" t="str">
        <f>IF(SEFAZ!O1075="","",SEFAZ!O1075)</f>
        <v/>
      </c>
      <c r="K1091" s="11" t="str">
        <f>IF(SEFAZ!P1075="","",SEFAZ!P1075)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hidden="1" x14ac:dyDescent="0.3">
      <c r="B1092" t="str">
        <f>IF(SEFAZ!A1076="","",SEFAZ!A1076)</f>
        <v/>
      </c>
      <c r="C1092" t="str">
        <f>IF(SEFAZ!C1076="","",SEFAZ!C1076)</f>
        <v/>
      </c>
      <c r="D1092" t="str">
        <f>IF(SEFAZ!D1076="","",SEFAZ!D1076)</f>
        <v/>
      </c>
      <c r="E1092" s="7" t="str">
        <f>IF(SEFAZ!E1076="","",SEFAZ!E1076)</f>
        <v/>
      </c>
      <c r="F1092" s="6" t="str">
        <f>IF(SEFAZ!F1076="","",VALUE(SUBSTITUTE(SEFAZ!F1076,"'","")))</f>
        <v/>
      </c>
      <c r="G1092" t="str">
        <f>IF(SEFAZ!H1076="","",SEFAZ!H1076)</f>
        <v/>
      </c>
      <c r="H1092" t="str">
        <f>IF(SEFAZ!L1076="","",SEFAZ!L1076)</f>
        <v/>
      </c>
      <c r="I1092" t="str">
        <f>IF(SEFAZ!N1076="","",SEFAZ!N1076)</f>
        <v/>
      </c>
      <c r="J1092" t="str">
        <f>IF(SEFAZ!O1076="","",SEFAZ!O1076)</f>
        <v/>
      </c>
      <c r="K1092" s="11" t="str">
        <f>IF(SEFAZ!P1076="","",SEFAZ!P1076)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hidden="1" x14ac:dyDescent="0.3">
      <c r="B1093" t="str">
        <f>IF(SEFAZ!A1077="","",SEFAZ!A1077)</f>
        <v/>
      </c>
      <c r="C1093" t="str">
        <f>IF(SEFAZ!C1077="","",SEFAZ!C1077)</f>
        <v/>
      </c>
      <c r="D1093" t="str">
        <f>IF(SEFAZ!D1077="","",SEFAZ!D1077)</f>
        <v/>
      </c>
      <c r="E1093" s="7" t="str">
        <f>IF(SEFAZ!E1077="","",SEFAZ!E1077)</f>
        <v/>
      </c>
      <c r="F1093" s="6" t="str">
        <f>IF(SEFAZ!F1077="","",VALUE(SUBSTITUTE(SEFAZ!F1077,"'","")))</f>
        <v/>
      </c>
      <c r="G1093" t="str">
        <f>IF(SEFAZ!H1077="","",SEFAZ!H1077)</f>
        <v/>
      </c>
      <c r="H1093" t="str">
        <f>IF(SEFAZ!L1077="","",SEFAZ!L1077)</f>
        <v/>
      </c>
      <c r="I1093" t="str">
        <f>IF(SEFAZ!N1077="","",SEFAZ!N1077)</f>
        <v/>
      </c>
      <c r="J1093" t="str">
        <f>IF(SEFAZ!O1077="","",SEFAZ!O1077)</f>
        <v/>
      </c>
      <c r="K1093" s="11" t="str">
        <f>IF(SEFAZ!P1077="","",SEFAZ!P1077)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hidden="1" x14ac:dyDescent="0.3">
      <c r="B1094" t="str">
        <f>IF(SEFAZ!A1078="","",SEFAZ!A1078)</f>
        <v/>
      </c>
      <c r="C1094" t="str">
        <f>IF(SEFAZ!C1078="","",SEFAZ!C1078)</f>
        <v/>
      </c>
      <c r="D1094" t="str">
        <f>IF(SEFAZ!D1078="","",SEFAZ!D1078)</f>
        <v/>
      </c>
      <c r="E1094" s="7" t="str">
        <f>IF(SEFAZ!E1078="","",SEFAZ!E1078)</f>
        <v/>
      </c>
      <c r="F1094" s="6" t="str">
        <f>IF(SEFAZ!F1078="","",VALUE(SUBSTITUTE(SEFAZ!F1078,"'","")))</f>
        <v/>
      </c>
      <c r="G1094" t="str">
        <f>IF(SEFAZ!H1078="","",SEFAZ!H1078)</f>
        <v/>
      </c>
      <c r="H1094" t="str">
        <f>IF(SEFAZ!L1078="","",SEFAZ!L1078)</f>
        <v/>
      </c>
      <c r="I1094" t="str">
        <f>IF(SEFAZ!N1078="","",SEFAZ!N1078)</f>
        <v/>
      </c>
      <c r="J1094" t="str">
        <f>IF(SEFAZ!O1078="","",SEFAZ!O1078)</f>
        <v/>
      </c>
      <c r="K1094" s="11" t="str">
        <f>IF(SEFAZ!P1078="","",SEFAZ!P1078)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hidden="1" x14ac:dyDescent="0.3">
      <c r="B1095" t="str">
        <f>IF(SEFAZ!A1079="","",SEFAZ!A1079)</f>
        <v/>
      </c>
      <c r="C1095" t="str">
        <f>IF(SEFAZ!C1079="","",SEFAZ!C1079)</f>
        <v/>
      </c>
      <c r="D1095" t="str">
        <f>IF(SEFAZ!D1079="","",SEFAZ!D1079)</f>
        <v/>
      </c>
      <c r="E1095" s="7" t="str">
        <f>IF(SEFAZ!E1079="","",SEFAZ!E1079)</f>
        <v/>
      </c>
      <c r="F1095" s="6" t="str">
        <f>IF(SEFAZ!F1079="","",VALUE(SUBSTITUTE(SEFAZ!F1079,"'","")))</f>
        <v/>
      </c>
      <c r="G1095" t="str">
        <f>IF(SEFAZ!H1079="","",SEFAZ!H1079)</f>
        <v/>
      </c>
      <c r="H1095" t="str">
        <f>IF(SEFAZ!L1079="","",SEFAZ!L1079)</f>
        <v/>
      </c>
      <c r="I1095" t="str">
        <f>IF(SEFAZ!N1079="","",SEFAZ!N1079)</f>
        <v/>
      </c>
      <c r="J1095" t="str">
        <f>IF(SEFAZ!O1079="","",SEFAZ!O1079)</f>
        <v/>
      </c>
      <c r="K1095" s="11" t="str">
        <f>IF(SEFAZ!P1079="","",SEFAZ!P1079)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hidden="1" x14ac:dyDescent="0.3">
      <c r="B1096" t="str">
        <f>IF(SEFAZ!A1080="","",SEFAZ!A1080)</f>
        <v/>
      </c>
      <c r="C1096" t="str">
        <f>IF(SEFAZ!C1080="","",SEFAZ!C1080)</f>
        <v/>
      </c>
      <c r="D1096" t="str">
        <f>IF(SEFAZ!D1080="","",SEFAZ!D1080)</f>
        <v/>
      </c>
      <c r="E1096" s="7" t="str">
        <f>IF(SEFAZ!E1080="","",SEFAZ!E1080)</f>
        <v/>
      </c>
      <c r="F1096" s="6" t="str">
        <f>IF(SEFAZ!F1080="","",VALUE(SUBSTITUTE(SEFAZ!F1080,"'","")))</f>
        <v/>
      </c>
      <c r="G1096" t="str">
        <f>IF(SEFAZ!H1080="","",SEFAZ!H1080)</f>
        <v/>
      </c>
      <c r="H1096" t="str">
        <f>IF(SEFAZ!L1080="","",SEFAZ!L1080)</f>
        <v/>
      </c>
      <c r="I1096" t="str">
        <f>IF(SEFAZ!N1080="","",SEFAZ!N1080)</f>
        <v/>
      </c>
      <c r="J1096" t="str">
        <f>IF(SEFAZ!O1080="","",SEFAZ!O1080)</f>
        <v/>
      </c>
      <c r="K1096" s="11" t="str">
        <f>IF(SEFAZ!P1080="","",SEFAZ!P1080)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hidden="1" x14ac:dyDescent="0.3">
      <c r="B1097" t="str">
        <f>IF(SEFAZ!A1081="","",SEFAZ!A1081)</f>
        <v/>
      </c>
      <c r="C1097" t="str">
        <f>IF(SEFAZ!C1081="","",SEFAZ!C1081)</f>
        <v/>
      </c>
      <c r="D1097" t="str">
        <f>IF(SEFAZ!D1081="","",SEFAZ!D1081)</f>
        <v/>
      </c>
      <c r="E1097" s="7" t="str">
        <f>IF(SEFAZ!E1081="","",SEFAZ!E1081)</f>
        <v/>
      </c>
      <c r="F1097" s="6" t="str">
        <f>IF(SEFAZ!F1081="","",VALUE(SUBSTITUTE(SEFAZ!F1081,"'","")))</f>
        <v/>
      </c>
      <c r="G1097" t="str">
        <f>IF(SEFAZ!H1081="","",SEFAZ!H1081)</f>
        <v/>
      </c>
      <c r="H1097" t="str">
        <f>IF(SEFAZ!L1081="","",SEFAZ!L1081)</f>
        <v/>
      </c>
      <c r="I1097" t="str">
        <f>IF(SEFAZ!N1081="","",SEFAZ!N1081)</f>
        <v/>
      </c>
      <c r="J1097" t="str">
        <f>IF(SEFAZ!O1081="","",SEFAZ!O1081)</f>
        <v/>
      </c>
      <c r="K1097" s="11" t="str">
        <f>IF(SEFAZ!P1081="","",SEFAZ!P1081)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hidden="1" x14ac:dyDescent="0.3">
      <c r="B1098" t="str">
        <f>IF(SEFAZ!A1082="","",SEFAZ!A1082)</f>
        <v/>
      </c>
      <c r="C1098" t="str">
        <f>IF(SEFAZ!C1082="","",SEFAZ!C1082)</f>
        <v/>
      </c>
      <c r="D1098" t="str">
        <f>IF(SEFAZ!D1082="","",SEFAZ!D1082)</f>
        <v/>
      </c>
      <c r="E1098" s="7" t="str">
        <f>IF(SEFAZ!E1082="","",SEFAZ!E1082)</f>
        <v/>
      </c>
      <c r="F1098" s="6" t="str">
        <f>IF(SEFAZ!F1082="","",VALUE(SUBSTITUTE(SEFAZ!F1082,"'","")))</f>
        <v/>
      </c>
      <c r="G1098" t="str">
        <f>IF(SEFAZ!H1082="","",SEFAZ!H1082)</f>
        <v/>
      </c>
      <c r="H1098" t="str">
        <f>IF(SEFAZ!L1082="","",SEFAZ!L1082)</f>
        <v/>
      </c>
      <c r="I1098" t="str">
        <f>IF(SEFAZ!N1082="","",SEFAZ!N1082)</f>
        <v/>
      </c>
      <c r="J1098" t="str">
        <f>IF(SEFAZ!O1082="","",SEFAZ!O1082)</f>
        <v/>
      </c>
      <c r="K1098" s="11" t="str">
        <f>IF(SEFAZ!P1082="","",SEFAZ!P1082)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hidden="1" x14ac:dyDescent="0.3">
      <c r="B1099" t="str">
        <f>IF(SEFAZ!A1083="","",SEFAZ!A1083)</f>
        <v/>
      </c>
      <c r="C1099" t="str">
        <f>IF(SEFAZ!C1083="","",SEFAZ!C1083)</f>
        <v/>
      </c>
      <c r="D1099" t="str">
        <f>IF(SEFAZ!D1083="","",SEFAZ!D1083)</f>
        <v/>
      </c>
      <c r="E1099" s="7" t="str">
        <f>IF(SEFAZ!E1083="","",SEFAZ!E1083)</f>
        <v/>
      </c>
      <c r="F1099" s="6" t="str">
        <f>IF(SEFAZ!F1083="","",VALUE(SUBSTITUTE(SEFAZ!F1083,"'","")))</f>
        <v/>
      </c>
      <c r="G1099" t="str">
        <f>IF(SEFAZ!H1083="","",SEFAZ!H1083)</f>
        <v/>
      </c>
      <c r="H1099" t="str">
        <f>IF(SEFAZ!L1083="","",SEFAZ!L1083)</f>
        <v/>
      </c>
      <c r="I1099" t="str">
        <f>IF(SEFAZ!N1083="","",SEFAZ!N1083)</f>
        <v/>
      </c>
      <c r="J1099" t="str">
        <f>IF(SEFAZ!O1083="","",SEFAZ!O1083)</f>
        <v/>
      </c>
      <c r="K1099" s="11" t="str">
        <f>IF(SEFAZ!P1083="","",SEFAZ!P1083)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hidden="1" x14ac:dyDescent="0.3">
      <c r="B1100" t="str">
        <f>IF(SEFAZ!A1084="","",SEFAZ!A1084)</f>
        <v/>
      </c>
      <c r="C1100" t="str">
        <f>IF(SEFAZ!C1084="","",SEFAZ!C1084)</f>
        <v/>
      </c>
      <c r="D1100" t="str">
        <f>IF(SEFAZ!D1084="","",SEFAZ!D1084)</f>
        <v/>
      </c>
      <c r="E1100" s="7" t="str">
        <f>IF(SEFAZ!E1084="","",SEFAZ!E1084)</f>
        <v/>
      </c>
      <c r="F1100" s="6" t="str">
        <f>IF(SEFAZ!F1084="","",VALUE(SUBSTITUTE(SEFAZ!F1084,"'","")))</f>
        <v/>
      </c>
      <c r="G1100" t="str">
        <f>IF(SEFAZ!H1084="","",SEFAZ!H1084)</f>
        <v/>
      </c>
      <c r="H1100" t="str">
        <f>IF(SEFAZ!L1084="","",SEFAZ!L1084)</f>
        <v/>
      </c>
      <c r="I1100" t="str">
        <f>IF(SEFAZ!N1084="","",SEFAZ!N1084)</f>
        <v/>
      </c>
      <c r="J1100" t="str">
        <f>IF(SEFAZ!O1084="","",SEFAZ!O1084)</f>
        <v/>
      </c>
      <c r="K1100" s="11" t="str">
        <f>IF(SEFAZ!P1084="","",SEFAZ!P1084)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hidden="1" x14ac:dyDescent="0.3">
      <c r="B1101" t="str">
        <f>IF(SEFAZ!A1085="","",SEFAZ!A1085)</f>
        <v/>
      </c>
      <c r="C1101" t="str">
        <f>IF(SEFAZ!C1085="","",SEFAZ!C1085)</f>
        <v/>
      </c>
      <c r="D1101" t="str">
        <f>IF(SEFAZ!D1085="","",SEFAZ!D1085)</f>
        <v/>
      </c>
      <c r="E1101" s="7" t="str">
        <f>IF(SEFAZ!E1085="","",SEFAZ!E1085)</f>
        <v/>
      </c>
      <c r="F1101" s="6" t="str">
        <f>IF(SEFAZ!F1085="","",VALUE(SUBSTITUTE(SEFAZ!F1085,"'","")))</f>
        <v/>
      </c>
      <c r="G1101" t="str">
        <f>IF(SEFAZ!H1085="","",SEFAZ!H1085)</f>
        <v/>
      </c>
      <c r="H1101" t="str">
        <f>IF(SEFAZ!L1085="","",SEFAZ!L1085)</f>
        <v/>
      </c>
      <c r="I1101" t="str">
        <f>IF(SEFAZ!N1085="","",SEFAZ!N1085)</f>
        <v/>
      </c>
      <c r="J1101" t="str">
        <f>IF(SEFAZ!O1085="","",SEFAZ!O1085)</f>
        <v/>
      </c>
      <c r="K1101" s="11" t="str">
        <f>IF(SEFAZ!P1085="","",SEFAZ!P1085)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hidden="1" x14ac:dyDescent="0.3">
      <c r="B1102" t="str">
        <f>IF(SEFAZ!A1086="","",SEFAZ!A1086)</f>
        <v/>
      </c>
      <c r="C1102" t="str">
        <f>IF(SEFAZ!C1086="","",SEFAZ!C1086)</f>
        <v/>
      </c>
      <c r="D1102" t="str">
        <f>IF(SEFAZ!D1086="","",SEFAZ!D1086)</f>
        <v/>
      </c>
      <c r="E1102" s="7" t="str">
        <f>IF(SEFAZ!E1086="","",SEFAZ!E1086)</f>
        <v/>
      </c>
      <c r="F1102" s="6" t="str">
        <f>IF(SEFAZ!F1086="","",VALUE(SUBSTITUTE(SEFAZ!F1086,"'","")))</f>
        <v/>
      </c>
      <c r="G1102" t="str">
        <f>IF(SEFAZ!H1086="","",SEFAZ!H1086)</f>
        <v/>
      </c>
      <c r="H1102" t="str">
        <f>IF(SEFAZ!L1086="","",SEFAZ!L1086)</f>
        <v/>
      </c>
      <c r="I1102" t="str">
        <f>IF(SEFAZ!N1086="","",SEFAZ!N1086)</f>
        <v/>
      </c>
      <c r="J1102" t="str">
        <f>IF(SEFAZ!O1086="","",SEFAZ!O1086)</f>
        <v/>
      </c>
      <c r="K1102" s="11" t="str">
        <f>IF(SEFAZ!P1086="","",SEFAZ!P1086)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hidden="1" x14ac:dyDescent="0.3">
      <c r="B1103" t="str">
        <f>IF(SEFAZ!A1087="","",SEFAZ!A1087)</f>
        <v/>
      </c>
      <c r="C1103" t="str">
        <f>IF(SEFAZ!C1087="","",SEFAZ!C1087)</f>
        <v/>
      </c>
      <c r="D1103" t="str">
        <f>IF(SEFAZ!D1087="","",SEFAZ!D1087)</f>
        <v/>
      </c>
      <c r="E1103" s="7" t="str">
        <f>IF(SEFAZ!E1087="","",SEFAZ!E1087)</f>
        <v/>
      </c>
      <c r="F1103" s="6" t="str">
        <f>IF(SEFAZ!F1087="","",VALUE(SUBSTITUTE(SEFAZ!F1087,"'","")))</f>
        <v/>
      </c>
      <c r="G1103" t="str">
        <f>IF(SEFAZ!H1087="","",SEFAZ!H1087)</f>
        <v/>
      </c>
      <c r="H1103" t="str">
        <f>IF(SEFAZ!L1087="","",SEFAZ!L1087)</f>
        <v/>
      </c>
      <c r="I1103" t="str">
        <f>IF(SEFAZ!N1087="","",SEFAZ!N1087)</f>
        <v/>
      </c>
      <c r="J1103" t="str">
        <f>IF(SEFAZ!O1087="","",SEFAZ!O1087)</f>
        <v/>
      </c>
      <c r="K1103" s="11" t="str">
        <f>IF(SEFAZ!P1087="","",SEFAZ!P1087)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hidden="1" x14ac:dyDescent="0.3">
      <c r="B1104" t="str">
        <f>IF(SEFAZ!A1088="","",SEFAZ!A1088)</f>
        <v/>
      </c>
      <c r="C1104" t="str">
        <f>IF(SEFAZ!C1088="","",SEFAZ!C1088)</f>
        <v/>
      </c>
      <c r="D1104" t="str">
        <f>IF(SEFAZ!D1088="","",SEFAZ!D1088)</f>
        <v/>
      </c>
      <c r="E1104" s="7" t="str">
        <f>IF(SEFAZ!E1088="","",SEFAZ!E1088)</f>
        <v/>
      </c>
      <c r="F1104" s="6" t="str">
        <f>IF(SEFAZ!F1088="","",VALUE(SUBSTITUTE(SEFAZ!F1088,"'","")))</f>
        <v/>
      </c>
      <c r="G1104" t="str">
        <f>IF(SEFAZ!H1088="","",SEFAZ!H1088)</f>
        <v/>
      </c>
      <c r="H1104" t="str">
        <f>IF(SEFAZ!L1088="","",SEFAZ!L1088)</f>
        <v/>
      </c>
      <c r="I1104" t="str">
        <f>IF(SEFAZ!N1088="","",SEFAZ!N1088)</f>
        <v/>
      </c>
      <c r="J1104" t="str">
        <f>IF(SEFAZ!O1088="","",SEFAZ!O1088)</f>
        <v/>
      </c>
      <c r="K1104" s="11" t="str">
        <f>IF(SEFAZ!P1088="","",SEFAZ!P1088)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</sheetData>
  <mergeCells count="8">
    <mergeCell ref="B8:C8"/>
    <mergeCell ref="B10:C10"/>
    <mergeCell ref="B15:C15"/>
    <mergeCell ref="B7:C7"/>
    <mergeCell ref="C2:G3"/>
    <mergeCell ref="C4:G4"/>
    <mergeCell ref="B5:C5"/>
    <mergeCell ref="B6:C6"/>
  </mergeCells>
  <dataValidations count="1">
    <dataValidation type="list" allowBlank="1" showInputMessage="1" showErrorMessage="1" sqref="M18:M1104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sheetPr codeName="Planilha3"/>
  <dimension ref="B2:L1000"/>
  <sheetViews>
    <sheetView showGridLines="0" workbookViewId="0">
      <selection activeCell="L5" sqref="L5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sheetPr codeName="Planilha4"/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sheetPr codeName="Planilha5"/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sheetPr codeName="Planilha6"/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sheetPr codeName="Planilha7"/>
  <dimension ref="A1:K8"/>
  <sheetViews>
    <sheetView showGridLines="0" workbookViewId="0">
      <selection activeCell="A9" sqref="A9:K340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4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  <col min="10" max="10" width="6.44140625" hidden="1" customWidth="1"/>
    <col min="11" max="11" width="17.5546875" hidden="1" customWidth="1"/>
  </cols>
  <sheetData>
    <row r="1" spans="1:11" x14ac:dyDescent="0.3">
      <c r="A1" s="29" t="s">
        <v>37</v>
      </c>
      <c r="B1" s="29"/>
      <c r="C1" s="29"/>
      <c r="D1" s="29"/>
      <c r="E1" s="29"/>
      <c r="F1" s="29"/>
      <c r="G1" s="29"/>
      <c r="H1" s="29"/>
    </row>
    <row r="3" spans="1:11" x14ac:dyDescent="0.3">
      <c r="A3" s="30" t="s">
        <v>14</v>
      </c>
      <c r="B3" s="30"/>
      <c r="C3" s="30"/>
      <c r="D3" s="30"/>
      <c r="E3" s="30"/>
      <c r="F3" s="30"/>
      <c r="G3" s="30"/>
      <c r="H3" s="30"/>
    </row>
    <row r="4" spans="1:11" x14ac:dyDescent="0.3">
      <c r="A4" s="30" t="s">
        <v>15</v>
      </c>
      <c r="B4" s="30"/>
      <c r="C4" s="30"/>
      <c r="D4" s="30"/>
      <c r="E4" s="30"/>
      <c r="F4" s="30"/>
      <c r="G4" s="30"/>
      <c r="H4" s="30"/>
    </row>
    <row r="5" spans="1:11" x14ac:dyDescent="0.3">
      <c r="A5" t="s">
        <v>29</v>
      </c>
    </row>
    <row r="7" spans="1:11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  <c r="J7" s="2" t="s">
        <v>40</v>
      </c>
      <c r="K7" s="2" t="s">
        <v>41</v>
      </c>
    </row>
    <row r="8" spans="1:11" x14ac:dyDescent="0.3">
      <c r="A8" s="3"/>
      <c r="B8" s="35"/>
      <c r="C8" s="10"/>
      <c r="E8" s="5"/>
      <c r="F8" s="5"/>
      <c r="H8" s="4"/>
      <c r="I8" s="3"/>
      <c r="J8" t="str">
        <f>TEXT(tabela_compras[[#This Row],[Entrada]],"DD")</f>
        <v>00</v>
      </c>
      <c r="K8" t="str">
        <f>UPPER(TEXT(tabela_compras[[#This Row],[Entrada]],"DDD"))</f>
        <v>SÁB</v>
      </c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sheetPr codeName="Planilha8"/>
  <dimension ref="E2:M343"/>
  <sheetViews>
    <sheetView showGridLines="0" workbookViewId="0"/>
  </sheetViews>
  <sheetFormatPr defaultRowHeight="14.4" x14ac:dyDescent="0.3"/>
  <cols>
    <col min="5" max="5" width="10.332031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BD38B-9BDC-40A0-B4A0-11B6FC5ADEDC}">
  <sheetPr codeName="Planilha10"/>
  <dimension ref="A2:V18"/>
  <sheetViews>
    <sheetView showGridLines="0" workbookViewId="0">
      <selection activeCell="B9" sqref="B9"/>
    </sheetView>
  </sheetViews>
  <sheetFormatPr defaultRowHeight="14.4" x14ac:dyDescent="0.3"/>
  <cols>
    <col min="1" max="1" width="16.33203125" bestFit="1" customWidth="1"/>
    <col min="2" max="2" width="14.33203125" bestFit="1" customWidth="1"/>
    <col min="4" max="4" width="16.33203125" bestFit="1" customWidth="1"/>
    <col min="5" max="5" width="14.33203125" bestFit="1" customWidth="1"/>
    <col min="7" max="7" width="16" bestFit="1" customWidth="1"/>
    <col min="8" max="8" width="8.109375" customWidth="1"/>
    <col min="9" max="9" width="15.44140625" bestFit="1" customWidth="1"/>
    <col min="10" max="10" width="12.109375" bestFit="1" customWidth="1"/>
    <col min="12" max="12" width="13.109375" bestFit="1" customWidth="1"/>
    <col min="13" max="13" width="13.5546875" customWidth="1"/>
    <col min="14" max="14" width="17.44140625" customWidth="1"/>
    <col min="15" max="15" width="15.5546875" customWidth="1"/>
    <col min="16" max="16" width="15.6640625" customWidth="1"/>
    <col min="17" max="17" width="18.33203125" customWidth="1"/>
    <col min="18" max="18" width="19.5546875" customWidth="1"/>
    <col min="19" max="19" width="12.88671875" customWidth="1"/>
    <col min="20" max="20" width="13.88671875" customWidth="1"/>
    <col min="21" max="21" width="16.5546875" customWidth="1"/>
    <col min="22" max="22" width="16.6640625" customWidth="1"/>
  </cols>
  <sheetData>
    <row r="2" spans="1:22" x14ac:dyDescent="0.3">
      <c r="G2" s="31" t="s">
        <v>46</v>
      </c>
      <c r="H2" s="31"/>
      <c r="I2" s="31"/>
      <c r="J2" s="31"/>
      <c r="L2" s="1" t="s">
        <v>13</v>
      </c>
      <c r="M2" s="1" t="s">
        <v>22</v>
      </c>
      <c r="N2" s="1" t="s">
        <v>32</v>
      </c>
      <c r="O2" s="1" t="s">
        <v>25</v>
      </c>
      <c r="P2" s="1" t="s">
        <v>23</v>
      </c>
      <c r="Q2" s="1" t="s">
        <v>24</v>
      </c>
      <c r="R2" s="1" t="s">
        <v>26</v>
      </c>
      <c r="S2" s="1" t="s">
        <v>30</v>
      </c>
      <c r="T2" s="1" t="s">
        <v>31</v>
      </c>
      <c r="U2" s="1" t="s">
        <v>33</v>
      </c>
      <c r="V2" s="1" t="s">
        <v>34</v>
      </c>
    </row>
    <row r="3" spans="1:22" x14ac:dyDescent="0.3">
      <c r="A3" s="12" t="s">
        <v>38</v>
      </c>
      <c r="B3" t="s">
        <v>42</v>
      </c>
      <c r="D3" s="12" t="s">
        <v>38</v>
      </c>
      <c r="E3" t="s">
        <v>42</v>
      </c>
      <c r="G3" t="s">
        <v>13</v>
      </c>
      <c r="H3" t="s">
        <v>43</v>
      </c>
      <c r="I3" t="s">
        <v>44</v>
      </c>
      <c r="J3" t="s">
        <v>45</v>
      </c>
      <c r="L3" s="1" t="s">
        <v>43</v>
      </c>
      <c r="M3">
        <f>H4</f>
        <v>0</v>
      </c>
      <c r="N3">
        <f>H5</f>
        <v>0</v>
      </c>
      <c r="O3">
        <f>H6</f>
        <v>0</v>
      </c>
      <c r="P3">
        <f>H7</f>
        <v>0</v>
      </c>
      <c r="Q3">
        <f>H8</f>
        <v>0</v>
      </c>
      <c r="R3">
        <f>H9</f>
        <v>0</v>
      </c>
      <c r="S3">
        <f>H10</f>
        <v>0</v>
      </c>
      <c r="T3">
        <f>H11</f>
        <v>0</v>
      </c>
      <c r="U3">
        <f>H12</f>
        <v>0</v>
      </c>
      <c r="V3">
        <f>H13</f>
        <v>0</v>
      </c>
    </row>
    <row r="4" spans="1:22" x14ac:dyDescent="0.3">
      <c r="A4" s="9" t="s">
        <v>50</v>
      </c>
      <c r="B4" s="34"/>
      <c r="D4" s="9" t="s">
        <v>49</v>
      </c>
      <c r="E4" s="34"/>
      <c r="G4" t="str">
        <f>RELATÓRIO!B5</f>
        <v>RECEBIDAS</v>
      </c>
      <c r="H4">
        <f>RELATÓRIO!D5</f>
        <v>0</v>
      </c>
      <c r="I4" s="14" t="e">
        <f>Tabela1[[#This Row],[QTDE]]/Tabela1[[#Totals],[QTDE]]</f>
        <v>#DIV/0!</v>
      </c>
      <c r="J4" s="15" t="e">
        <f>1-Tabela1[[#This Row],[PERCENTUAL]]</f>
        <v>#DIV/0!</v>
      </c>
      <c r="L4" s="1" t="s">
        <v>44</v>
      </c>
      <c r="M4" s="13" t="e">
        <f>Tabela1[[#This Row],[PERCENTUAL]]</f>
        <v>#DIV/0!</v>
      </c>
      <c r="N4" s="13" t="e">
        <f>I5</f>
        <v>#DIV/0!</v>
      </c>
      <c r="O4" s="13" t="e">
        <f>I6</f>
        <v>#DIV/0!</v>
      </c>
      <c r="P4" s="13" t="e">
        <f>I7</f>
        <v>#DIV/0!</v>
      </c>
      <c r="Q4" s="13" t="e">
        <f>I8</f>
        <v>#DIV/0!</v>
      </c>
      <c r="R4" s="13" t="e">
        <f>I9</f>
        <v>#DIV/0!</v>
      </c>
      <c r="S4" s="13" t="e">
        <f>I10</f>
        <v>#DIV/0!</v>
      </c>
      <c r="T4" s="13">
        <f>H11</f>
        <v>0</v>
      </c>
      <c r="U4" s="13">
        <f>H12</f>
        <v>0</v>
      </c>
      <c r="V4" s="13">
        <f>H13</f>
        <v>0</v>
      </c>
    </row>
    <row r="5" spans="1:22" x14ac:dyDescent="0.3">
      <c r="A5" s="9" t="s">
        <v>39</v>
      </c>
      <c r="B5" s="34"/>
      <c r="D5" s="9" t="s">
        <v>39</v>
      </c>
      <c r="E5" s="34"/>
      <c r="G5" t="str">
        <f>RELATÓRIO!B6</f>
        <v>NÃO LANÇADAS</v>
      </c>
      <c r="H5">
        <f>RELATÓRIO!D6</f>
        <v>0</v>
      </c>
      <c r="I5" s="14" t="e">
        <f>Tabela1[[#This Row],[QTDE]]/Tabela1[[#Totals],[QTDE]]</f>
        <v>#DIV/0!</v>
      </c>
      <c r="J5" s="15" t="e">
        <f>1-Tabela1[[#This Row],[PERCENTUAL]]</f>
        <v>#DIV/0!</v>
      </c>
      <c r="L5" s="1" t="s">
        <v>45</v>
      </c>
      <c r="M5" s="13" t="e">
        <f>$J4</f>
        <v>#DIV/0!</v>
      </c>
      <c r="N5" s="13" t="e">
        <f>Tabela1[[#This Row],[FALTANTE]]</f>
        <v>#DIV/0!</v>
      </c>
      <c r="O5" s="13" t="e">
        <f>J6</f>
        <v>#DIV/0!</v>
      </c>
      <c r="P5" s="13" t="e">
        <f>J7</f>
        <v>#DIV/0!</v>
      </c>
      <c r="Q5" s="13" t="e">
        <f>J8</f>
        <v>#DIV/0!</v>
      </c>
      <c r="R5" s="13" t="e">
        <f>J9</f>
        <v>#DIV/0!</v>
      </c>
      <c r="S5" s="13" t="e">
        <f>J10</f>
        <v>#DIV/0!</v>
      </c>
      <c r="T5" s="13" t="e">
        <f>J11</f>
        <v>#DIV/0!</v>
      </c>
      <c r="U5" s="13" t="e">
        <f>J12</f>
        <v>#DIV/0!</v>
      </c>
      <c r="V5" s="13" t="e">
        <f>J13</f>
        <v>#DIV/0!</v>
      </c>
    </row>
    <row r="6" spans="1:22" x14ac:dyDescent="0.3">
      <c r="G6" t="str">
        <f>RELATÓRIO!B7</f>
        <v>CANCELADAS</v>
      </c>
      <c r="H6">
        <f>RELATÓRIO!D7</f>
        <v>0</v>
      </c>
      <c r="I6" s="14" t="e">
        <f>Tabela1[[#This Row],[QTDE]]/Tabela1[[#Totals],[QTDE]]</f>
        <v>#DIV/0!</v>
      </c>
      <c r="J6" s="15" t="e">
        <f>1-Tabela1[[#This Row],[PERCENTUAL]]</f>
        <v>#DIV/0!</v>
      </c>
    </row>
    <row r="7" spans="1:22" x14ac:dyDescent="0.3">
      <c r="G7" t="str">
        <f>RELATÓRIO!B8</f>
        <v>DEVOLUÇÕES</v>
      </c>
      <c r="H7">
        <f>RELATÓRIO!D8</f>
        <v>0</v>
      </c>
      <c r="I7" s="14" t="e">
        <f>Tabela1[[#This Row],[QTDE]]/Tabela1[[#Totals],[QTDE]]</f>
        <v>#DIV/0!</v>
      </c>
      <c r="J7" s="15" t="e">
        <f>1-Tabela1[[#This Row],[PERCENTUAL]]</f>
        <v>#DIV/0!</v>
      </c>
    </row>
    <row r="8" spans="1:22" x14ac:dyDescent="0.3">
      <c r="G8" t="str">
        <f>RELATÓRIO!B9</f>
        <v>EM TRANSPORTE</v>
      </c>
      <c r="H8">
        <f>RELATÓRIO!D9</f>
        <v>0</v>
      </c>
      <c r="I8" s="14" t="e">
        <f>Tabela1[[#This Row],[QTDE]]/Tabela1[[#Totals],[QTDE]]</f>
        <v>#DIV/0!</v>
      </c>
      <c r="J8" s="15" t="e">
        <f>1-Tabela1[[#This Row],[PERCENTUAL]]</f>
        <v>#DIV/0!</v>
      </c>
    </row>
    <row r="9" spans="1:22" x14ac:dyDescent="0.3">
      <c r="G9" t="str">
        <f>RELATÓRIO!B10</f>
        <v>DESAGREGAÇÕES</v>
      </c>
      <c r="H9">
        <f>RELATÓRIO!D10</f>
        <v>0</v>
      </c>
      <c r="I9" s="14" t="e">
        <f>Tabela1[[#This Row],[QTDE]]/Tabela1[[#Totals],[QTDE]]</f>
        <v>#DIV/0!</v>
      </c>
      <c r="J9" s="15" t="e">
        <f>1-Tabela1[[#This Row],[PERCENTUAL]]</f>
        <v>#DIV/0!</v>
      </c>
    </row>
    <row r="10" spans="1:22" x14ac:dyDescent="0.3">
      <c r="G10" t="str">
        <f>RELATÓRIO!B11</f>
        <v>DESCARTE</v>
      </c>
      <c r="H10">
        <f>RELATÓRIO!D11</f>
        <v>0</v>
      </c>
      <c r="I10" s="14" t="e">
        <f>Tabela1[[#This Row],[QTDE]]/Tabela1[[#Totals],[QTDE]]</f>
        <v>#DIV/0!</v>
      </c>
      <c r="J10" s="15" t="e">
        <f>1-Tabela1[[#This Row],[PERCENTUAL]]</f>
        <v>#DIV/0!</v>
      </c>
    </row>
    <row r="11" spans="1:22" x14ac:dyDescent="0.3">
      <c r="G11" t="str">
        <f>RELATÓRIO!B12</f>
        <v>REJEITADAS</v>
      </c>
      <c r="H11">
        <f>RELATÓRIO!D12</f>
        <v>0</v>
      </c>
      <c r="I11" s="14" t="e">
        <f>Tabela1[[#This Row],[QTDE]]/Tabela1[[#Totals],[QTDE]]</f>
        <v>#DIV/0!</v>
      </c>
      <c r="J11" s="15" t="e">
        <f>1-Tabela1[[#This Row],[PERCENTUAL]]</f>
        <v>#DIV/0!</v>
      </c>
    </row>
    <row r="12" spans="1:22" x14ac:dyDescent="0.3">
      <c r="G12" t="str">
        <f>RELATÓRIO!B13</f>
        <v>PARA REJEITAR</v>
      </c>
      <c r="H12">
        <f>RELATÓRIO!D13</f>
        <v>0</v>
      </c>
      <c r="I12" s="14" t="e">
        <f>Tabela1[[#This Row],[QTDE]]/Tabela1[[#Totals],[QTDE]]</f>
        <v>#DIV/0!</v>
      </c>
      <c r="J12" s="15" t="e">
        <f>1-Tabela1[[#This Row],[PERCENTUAL]]</f>
        <v>#DIV/0!</v>
      </c>
    </row>
    <row r="13" spans="1:22" x14ac:dyDescent="0.3">
      <c r="E13" s="23"/>
      <c r="G13" t="str">
        <f>RELATÓRIO!B14</f>
        <v>FALTA CHEGAR</v>
      </c>
      <c r="H13">
        <f>RELATÓRIO!D14</f>
        <v>0</v>
      </c>
      <c r="I13" s="14" t="e">
        <f>Tabela1[[#This Row],[QTDE]]/Tabela1[[#Totals],[QTDE]]</f>
        <v>#DIV/0!</v>
      </c>
      <c r="J13" s="15" t="e">
        <f>1-Tabela1[[#This Row],[PERCENTUAL]]</f>
        <v>#DIV/0!</v>
      </c>
    </row>
    <row r="14" spans="1:22" x14ac:dyDescent="0.3">
      <c r="D14" s="24" t="s">
        <v>47</v>
      </c>
      <c r="E14" s="22">
        <f>(SUM($B$4:$B$35)/2)/(COUNTA($B$4:$B$35)-1)</f>
        <v>0</v>
      </c>
      <c r="G14" t="s">
        <v>28</v>
      </c>
      <c r="H14">
        <f>SUBTOTAL(109,Tabela1[QTDE])</f>
        <v>0</v>
      </c>
    </row>
    <row r="17" spans="4:5" x14ac:dyDescent="0.3">
      <c r="D17" t="str">
        <f>"NOTAS LANÇADAS: "&amp;VLOOKUP("Total Geral",$D$4:$E$12,2,FALSE)</f>
        <v xml:space="preserve">NOTAS LANÇADAS: </v>
      </c>
      <c r="E17">
        <f>VLOOKUP("Total Geral",$D$4:$E$12,2,FALSE)</f>
        <v>0</v>
      </c>
    </row>
    <row r="18" spans="4:5" x14ac:dyDescent="0.3">
      <c r="D18" t="str">
        <f>"MÉDIA DE NOTAS LANÇADAS POR DIA: "&amp;ROUND(E14,0)</f>
        <v>MÉDIA DE NOTAS LANÇADAS POR DIA: 0</v>
      </c>
      <c r="E18" s="23">
        <f>ROUND(E14,0)</f>
        <v>0</v>
      </c>
    </row>
  </sheetData>
  <mergeCells count="1">
    <mergeCell ref="G2:J2"/>
  </mergeCells>
  <pageMargins left="0.511811024" right="0.511811024" top="0.78740157499999996" bottom="0.78740157499999996" header="0.31496062000000002" footer="0.31496062000000002"/>
  <pageSetup paperSize="9" orientation="portrait" verticalDpi="0" r:id="rId3"/>
  <tableParts count="2"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RELATÓRIO</vt:lpstr>
      <vt:lpstr>ENTRADAS</vt:lpstr>
      <vt:lpstr>ENTRADAS-BASE</vt:lpstr>
      <vt:lpstr>SAÍDAS</vt:lpstr>
      <vt:lpstr>SAÍDAS-BASE</vt:lpstr>
      <vt:lpstr>SISTEMA</vt:lpstr>
      <vt:lpstr>SEFAZ</vt:lpstr>
      <vt:lpstr>ANALISES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cp:lastPrinted>2025-09-22T14:45:38Z</cp:lastPrinted>
  <dcterms:created xsi:type="dcterms:W3CDTF">2025-05-08T12:24:04Z</dcterms:created>
  <dcterms:modified xsi:type="dcterms:W3CDTF">2026-02-20T17:40:51Z</dcterms:modified>
</cp:coreProperties>
</file>