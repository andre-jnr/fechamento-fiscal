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tur\Downloads\"/>
    </mc:Choice>
  </mc:AlternateContent>
  <xr:revisionPtr revIDLastSave="0" documentId="13_ncr:1_{A2B9441E-C14E-441E-94A4-B4D5B5BDFD37}" xr6:coauthVersionLast="47" xr6:coauthVersionMax="47" xr10:uidLastSave="{00000000-0000-0000-0000-000000000000}"/>
  <bookViews>
    <workbookView xWindow="-28920" yWindow="1605" windowWidth="29040" windowHeight="15720" tabRatio="500" xr2:uid="{00000000-000D-0000-FFFF-FFFF00000000}"/>
  </bookViews>
  <sheets>
    <sheet name="Fechamento NFS-e" sheetId="1" r:id="rId1"/>
    <sheet name="📘 Legenda &amp; Instruções" sheetId="2" r:id="rId2"/>
  </sheets>
  <definedNames>
    <definedName name="_xlnm._FilterDatabase" localSheetId="0" hidden="1">'Fechamento NFS-e'!$A$9:$M$49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1" l="1"/>
  <c r="J8" i="1"/>
  <c r="A8" i="1"/>
  <c r="D8" i="1"/>
  <c r="G8" i="1"/>
  <c r="I50" i="1"/>
  <c r="H50" i="1"/>
  <c r="M5" i="1"/>
</calcChain>
</file>

<file path=xl/sharedStrings.xml><?xml version="1.0" encoding="utf-8"?>
<sst xmlns="http://schemas.openxmlformats.org/spreadsheetml/2006/main" count="69" uniqueCount="67">
  <si>
    <t>🧾  RELATÓRIO DE FECHAMENTO — NOTAS FISCAIS DE SERVIÇO (NFS-e)</t>
  </si>
  <si>
    <t>Conferência, lançamento contábil e status mensal das notas de serviço tomadas/prestadas</t>
  </si>
  <si>
    <t>🏢 EMPRESA:</t>
  </si>
  <si>
    <t>[ preencher ]</t>
  </si>
  <si>
    <t>📆 COMPETÊNCIA:</t>
  </si>
  <si>
    <t>MM/AAAA</t>
  </si>
  <si>
    <t>👤 RESPONSÁVEL:</t>
  </si>
  <si>
    <t>🗓️ GERADO EM:</t>
  </si>
  <si>
    <t>🧾 TOTAL DE NOTAS</t>
  </si>
  <si>
    <t>💰 VALOR TOTAL</t>
  </si>
  <si>
    <t>📊 ISS TOTAL</t>
  </si>
  <si>
    <t>❌ NÃO LANÇADAS</t>
  </si>
  <si>
    <t>🚫 CANCELADAS</t>
  </si>
  <si>
    <t>🧾 Nº Nota</t>
  </si>
  <si>
    <t>🔢 Série</t>
  </si>
  <si>
    <t>📅 Emissão</t>
  </si>
  <si>
    <t>🏢 CNPJ Prestador</t>
  </si>
  <si>
    <t>👤 Prestador</t>
  </si>
  <si>
    <t>📍 Município</t>
  </si>
  <si>
    <t>🏷️ Cód. Serviço</t>
  </si>
  <si>
    <t>💰 Valor</t>
  </si>
  <si>
    <t>📊 ISS</t>
  </si>
  <si>
    <t>🚦 Status</t>
  </si>
  <si>
    <t>📝 Descrição do Serviço</t>
  </si>
  <si>
    <t>❓ Justificativa (Não Lançamento)</t>
  </si>
  <si>
    <t>💬 Observações</t>
  </si>
  <si>
    <t>Lançada</t>
  </si>
  <si>
    <t>Já lançada</t>
  </si>
  <si>
    <t>TOTAL DO MÊS</t>
  </si>
  <si>
    <t>📘  LEGENDA &amp; INSTRUÇÕES DE PREENCHIMENTO</t>
  </si>
  <si>
    <t>🚦 STATUS DA NOTA (coluna J)</t>
  </si>
  <si>
    <t>Nota emitida contra o CNPJ e já localizada/lançada no sistema.</t>
  </si>
  <si>
    <t>Cancelada</t>
  </si>
  <si>
    <t>Nota cancelada pelo prestador/prefeitura.</t>
  </si>
  <si>
    <t>Não Lançada</t>
  </si>
  <si>
    <t>Nota ainda não encontrada lançada no sistema — pendente de conferência/lançamento.</t>
  </si>
  <si>
    <t>❓ JUSTIFICATIVA DE NÃO LANÇAMENTO (coluna L)</t>
  </si>
  <si>
    <t>Não precisa</t>
  </si>
  <si>
    <t>Nota não requer lançamento contábil (ex.: fora do escopo).</t>
  </si>
  <si>
    <t>Nota já lançada no sistema contábil/ERP.</t>
  </si>
  <si>
    <t>A lançar</t>
  </si>
  <si>
    <t>Nota pendente, ainda será lançada.</t>
  </si>
  <si>
    <t>Para rejeitar</t>
  </si>
  <si>
    <t>Nota marcada para ser rejeitada — o Status (coluna J) muda para 'Para Rejeitar'.</t>
  </si>
  <si>
    <t>Nota cancelada — não haverá lançamento.</t>
  </si>
  <si>
    <t>🧭 COMO USAR ESTA PLANILHA</t>
  </si>
  <si>
    <t>1.</t>
  </si>
  <si>
    <t>Preencha o cabeçalho (Empresa, Competência e Responsável) na aba 'Fechamento NFS-e'.</t>
  </si>
  <si>
    <t>2.</t>
  </si>
  <si>
    <t>A linha cinza-itálico é apenas um MODELO — apague o conteúdo e insira seus dados reais nas linhas abaixo.</t>
  </si>
  <si>
    <t>3.</t>
  </si>
  <si>
    <t>As colunas Status e Justificativa possuem lista suspensa (clique na célula e escolha uma opção).</t>
  </si>
  <si>
    <t>4.</t>
  </si>
  <si>
    <t>Os cartões no topo (Total de Notas, Valor Total, ISS Total, A Lançar, Canceladas) são calculados automaticamente.</t>
  </si>
  <si>
    <t>5.</t>
  </si>
  <si>
    <t>Use o filtro no cabeçalho da tabela para visualizar apenas notas pendentes, canceladas etc.</t>
  </si>
  <si>
    <t>6.</t>
  </si>
  <si>
    <t>A linha TOTAL DO MÊS soma automaticamente Valor e ISS de todas as notas lançadas.</t>
  </si>
  <si>
    <t>🎨 PALETA &amp; IDENTIDADE VISUAL</t>
  </si>
  <si>
    <t>Azul-marinho</t>
  </si>
  <si>
    <t>Cor institucional — cabeçalhos e estrutura fixa.</t>
  </si>
  <si>
    <t>Turquesa</t>
  </si>
  <si>
    <t>Destaques e indicadores positivos.</t>
  </si>
  <si>
    <t>Dourado</t>
  </si>
  <si>
    <t>Detalhes de acabamento e ênfase.</t>
  </si>
  <si>
    <t xml:space="preserve">Para Rejeitar</t>
  </si>
  <si>
    <t xml:space="preserve">Nota será rejeitada/recusada — não será aceita para lançamento.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</si>
</sst>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i/>
      <sz val="11"/>
      <color rgb="FF0FB5A6"/>
      <name val="Calibri"/>
      <charset val="1"/>
    </font>
    <font>
      <b/>
      <sz val="9"/>
      <color rgb="FF5B6478"/>
      <name val="Calibri"/>
      <charset val="1"/>
    </font>
    <font>
      <i/>
      <sz val="9"/>
      <color rgb="FF1E2430"/>
      <name val="Calibri"/>
      <charset val="1"/>
    </font>
    <font>
      <b/>
      <sz val="8.5"/>
      <color rgb="FFFFFFFF"/>
      <name val="Calibri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1E2430"/>
      <name val="Calibri"/>
      <charset val="1"/>
    </font>
    <font>
      <b/>
      <sz val="11"/>
      <color rgb="FFFFFFFF"/>
      <name val="Calibri"/>
      <charset val="1"/>
    </font>
    <font>
      <b/>
      <sz val="11.5"/>
      <color rgb="FFFFFFFF"/>
      <name val="Calibri"/>
      <charset val="1"/>
    </font>
    <font>
      <b/>
      <sz val="10"/>
      <color rgb="FF166534"/>
      <name val="Calibri"/>
      <charset val="1"/>
    </font>
    <font>
      <b/>
      <sz val="10"/>
      <color rgb="FF991B1B"/>
      <name val="Calibri"/>
      <charset val="1"/>
    </font>
    <font>
      <b/>
      <sz val="10"/>
      <color rgb="FF92400E"/>
      <name val="Calibri"/>
      <charset val="1"/>
    </font>
    <font>
      <b/>
      <sz val="10"/>
      <color rgb="FF374151"/>
      <name val="Calibri"/>
      <charset val="1"/>
    </font>
    <font>
      <b/>
      <sz val="10"/>
      <color rgb="FF1E2430"/>
      <name val="Calibri"/>
      <charset val="1"/>
    </font>
    <font>
      <b/>
      <sz val="10"/>
      <color rgb="FF0F1C3F"/>
      <name val="Calibri"/>
      <charset val="1"/>
    </font>
    <font>
      <b/>
      <sz val="10"/>
      <color rgb="FF0FB5A6"/>
      <name val="Calibri"/>
      <charset val="1"/>
    </font>
    <font>
      <b/>
      <sz val="10"/>
      <color rgb="FFC9A227"/>
      <name val="Calibri"/>
      <charset val="1"/>
    </font>
    <font xmlns="http://schemas.openxmlformats.org/spreadsheetml/2006/main">
      <b/>
      <sz val="10"/>
      <color rgb="FFC2410C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C3F"/>
        <bgColor rgb="FF16264F"/>
      </patternFill>
    </fill>
    <fill>
      <patternFill patternType="solid">
        <fgColor rgb="FFC9A227"/>
        <bgColor rgb="FF99CC00"/>
      </patternFill>
    </fill>
    <fill>
      <patternFill patternType="solid">
        <fgColor rgb="FFE8ECF6"/>
        <bgColor rgb="FFE5E7EB"/>
      </patternFill>
    </fill>
    <fill>
      <patternFill patternType="solid">
        <fgColor rgb="FF0FB5A6"/>
        <bgColor rgb="FF00CCFF"/>
      </patternFill>
    </fill>
    <fill>
      <patternFill patternType="solid">
        <fgColor rgb="FF92400E"/>
        <bgColor rgb="FF991B1B"/>
      </patternFill>
    </fill>
    <fill>
      <patternFill patternType="solid">
        <fgColor rgb="FF991B1B"/>
        <bgColor rgb="FF800000"/>
      </patternFill>
    </fill>
    <fill>
      <patternFill patternType="solid">
        <fgColor rgb="FF16264F"/>
        <bgColor rgb="FF0F1C3F"/>
      </patternFill>
    </fill>
    <fill>
      <patternFill patternType="solid">
        <fgColor rgb="FFDCFCE7"/>
        <bgColor rgb="FFE8ECF6"/>
      </patternFill>
    </fill>
    <fill>
      <patternFill patternType="solid">
        <fgColor rgb="FFFEE2E2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E5E7EB"/>
        <bgColor rgb="FFE8ECF6"/>
      </patternFill>
    </fill>
    <fill xmlns="http://schemas.openxmlformats.org/spreadsheetml/2006/main">
      <patternFill patternType="solid">
        <fgColor rgb="FFFFE9E0"/>
        <bgColor rgb="FFE5E7EB"/>
      </patternFill>
    </fill>
  </fills>
  <borders count="3">
    <border>
      <left/>
      <right/>
      <top/>
      <bottom/>
      <diagonal/>
    </border>
    <border>
      <left style="thin">
        <color rgb="FF0F1C3F"/>
      </left>
      <right style="thin">
        <color rgb="FF0F1C3F"/>
      </right>
      <top style="medium">
        <color rgb="FF0F1C3F"/>
      </top>
      <bottom style="medium">
        <color rgb="FFC9A227"/>
      </bottom>
      <diagonal/>
    </border>
    <border>
      <left/>
      <right/>
      <top/>
      <bottom style="thin">
        <color rgb="FFD7DCEA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6" fillId="6" borderId="0" xfId="0" applyNumberFormat="1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left" vertical="center" indent="1"/>
    </xf>
    <xf numFmtId="164" fontId="6" fillId="5" borderId="0" xfId="0" applyNumberFormat="1" applyFont="1" applyFill="1" applyAlignment="1">
      <alignment horizontal="left" vertical="center" indent="1"/>
    </xf>
    <xf numFmtId="1" fontId="6" fillId="2" borderId="0" xfId="0" applyNumberFormat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0" fillId="3" borderId="0" xfId="0" applyFill="1"/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14" fontId="4" fillId="4" borderId="0" xfId="0" applyNumberFormat="1" applyFont="1" applyFill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indent="1"/>
    </xf>
    <xf numFmtId="14" fontId="8" fillId="0" borderId="2" xfId="0" applyNumberFormat="1" applyFont="1" applyBorder="1" applyAlignment="1">
      <alignment horizontal="left" vertical="center" indent="1"/>
    </xf>
    <xf numFmtId="164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164" fontId="9" fillId="2" borderId="0" xfId="0" applyNumberFormat="1" applyFont="1" applyFill="1" applyAlignment="1">
      <alignment horizontal="right" vertical="center" indent="1"/>
    </xf>
    <xf numFmtId="0" fontId="9" fillId="2" borderId="0" xfId="0" applyFont="1" applyFill="1"/>
    <xf numFmtId="0" fontId="11" fillId="9" borderId="0" xfId="0" applyFont="1" applyFill="1"/>
    <xf numFmtId="0" fontId="8" fillId="0" borderId="0" xfId="0" applyFont="1" applyAlignment="1">
      <alignment vertical="center" wrapText="1"/>
    </xf>
    <xf numFmtId="0" fontId="12" fillId="10" borderId="0" xfId="0" applyFont="1" applyFill="1"/>
    <xf numFmtId="0" fontId="13" fillId="11" borderId="0" xfId="0" applyFont="1" applyFill="1"/>
    <xf numFmtId="0" fontId="14" fillId="12" borderId="0" xfId="0" applyFont="1" applyFill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" fontId="6" fillId="7" borderId="0" xfId="0" applyNumberFormat="1" applyFont="1" applyFill="1" applyAlignment="1">
      <alignment horizontal="left" vertical="center" indent="1"/>
    </xf>
    <xf numFmtId="0" fontId="9" fillId="2" borderId="0" xfId="0" applyFont="1" applyFill="1" applyAlignment="1">
      <alignment horizontal="right" vertical="center" indent="1"/>
    </xf>
    <xf numFmtId="0" fontId="6" fillId="2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xmlns="http://schemas.openxmlformats.org/spreadsheetml/2006/main" numFmtId="0" fontId="19" fillId="13" borderId="0" xfId="0" applyFont="1" applyFill="1"/>
  </cellXfs>
  <cellStyles count="1">
    <cellStyle name="Normal" xfId="0" builtinId="0"/>
  </cellStyles>
  <dxfs count="11">
    <dxf>
      <fill>
        <patternFill>
          <bgColor rgb="FFF4F6FB"/>
        </patternFill>
      </fill>
    </dxf>
    <dxf>
      <font>
        <b/>
        <sz val="10"/>
        <color rgb="FF991B1B"/>
        <name val="Calibri"/>
        <charset val="1"/>
      </font>
      <fill>
        <patternFill>
          <bgColor rgb="FFFEE2E2"/>
        </patternFill>
      </fill>
    </dxf>
    <dxf>
      <font>
        <b/>
        <sz val="10"/>
        <color rgb="FF991B1B"/>
        <name val="Calibri"/>
        <charset val="1"/>
      </font>
      <fill>
        <patternFill>
          <bgColor rgb="FFFEE2E2"/>
        </patternFill>
      </fill>
    </dxf>
    <dxf>
      <font>
        <b/>
        <sz val="10"/>
        <color rgb="FF92400E"/>
        <name val="Calibri"/>
        <charset val="1"/>
      </font>
      <fill>
        <patternFill>
          <bgColor rgb="FFFEF3C7"/>
        </patternFill>
      </fill>
    </dxf>
    <dxf>
      <font>
        <b/>
        <sz val="10"/>
        <color rgb="FF166534"/>
        <name val="Calibri"/>
        <charset val="1"/>
      </font>
      <fill>
        <patternFill>
          <bgColor rgb="FFDCFCE7"/>
        </patternFill>
      </fill>
    </dxf>
    <dxf>
      <font>
        <b/>
        <sz val="10"/>
        <color rgb="FF374151"/>
        <name val="Calibri"/>
        <charset val="1"/>
      </font>
      <fill>
        <patternFill>
          <bgColor rgb="FFE5E7EB"/>
        </patternFill>
      </fill>
    </dxf>
    <dxf>
      <font>
        <b/>
        <sz val="10"/>
        <color rgb="FF92400E"/>
        <name val="Calibri"/>
        <charset val="1"/>
      </font>
      <fill>
        <patternFill>
          <bgColor rgb="FFFEF3C7"/>
        </patternFill>
      </fill>
    </dxf>
    <dxf>
      <font>
        <b/>
        <sz val="10"/>
        <color rgb="FF991B1B"/>
        <name val="Calibri"/>
        <charset val="1"/>
      </font>
      <fill>
        <patternFill>
          <bgColor rgb="FFFEE2E2"/>
        </patternFill>
      </fill>
    </dxf>
    <dxf>
      <font>
        <b/>
        <sz val="10"/>
        <color rgb="FF166534"/>
        <name val="Calibri"/>
        <charset val="1"/>
      </font>
      <fill>
        <patternFill>
          <bgColor rgb="FFDCFCE7"/>
        </patternFill>
      </fill>
    </dxf>
    <dxf>
      <fill>
        <patternFill>
          <bgColor rgb="FFF4F6FB"/>
        </patternFill>
      </fill>
    </dxf>
    <dxf xmlns="http://schemas.openxmlformats.org/spreadsheetml/2006/main">
      <font>
        <b/>
        <sz val="10"/>
        <color rgb="FFC2410C"/>
        <name val="Calibri"/>
        <charset val="1"/>
      </font>
      <fill>
        <patternFill>
          <bgColor rgb="FFFFE9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7DC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6"/>
      <rgbColor rgb="FFE5E7EB"/>
      <rgbColor rgb="FFF4F6FB"/>
      <rgbColor rgb="FF99CCFF"/>
      <rgbColor rgb="FFFF99CC"/>
      <rgbColor rgb="FFCC99FF"/>
      <rgbColor rgb="FFFEE2E2"/>
      <rgbColor rgb="FF3366FF"/>
      <rgbColor rgb="FF0FB5A6"/>
      <rgbColor rgb="FF99CC00"/>
      <rgbColor rgb="FFFFCC00"/>
      <rgbColor rgb="FFC9A227"/>
      <rgbColor rgb="FFFF6600"/>
      <rgbColor rgb="FF5B6478"/>
      <rgbColor rgb="FF969696"/>
      <rgbColor rgb="FF16264F"/>
      <rgbColor rgb="FF339966"/>
      <rgbColor rgb="FF0F1C3F"/>
      <rgbColor rgb="FF1E2430"/>
      <rgbColor rgb="FF92400E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C3F"/>
  </sheetPr>
  <dimension ref="A1:M50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11" sqref="A11"/>
      <selection pane="bottomRight" activeCell="A11" sqref="A11"/>
    </sheetView>
  </sheetViews>
  <sheetFormatPr defaultColWidth="8.6640625" defaultRowHeight="14.4" x14ac:dyDescent="0.3"/>
  <cols>
    <col min="1" max="1" width="11" customWidth="1"/>
    <col min="2" max="2" width="8" customWidth="1"/>
    <col min="3" max="3" width="12" customWidth="1"/>
    <col min="4" max="4" width="18" customWidth="1"/>
    <col min="5" max="5" width="26" customWidth="1"/>
    <col min="6" max="6" width="16" customWidth="1"/>
    <col min="7" max="7" width="12" customWidth="1"/>
    <col min="8" max="8" width="14" customWidth="1"/>
    <col min="9" max="9" width="12" customWidth="1"/>
    <col min="10" max="10" width="14" customWidth="1"/>
    <col min="11" max="11" width="30" customWidth="1"/>
    <col min="12" max="12" width="20" customWidth="1"/>
    <col min="13" max="13" width="26" customWidth="1"/>
  </cols>
  <sheetData>
    <row r="1" spans="1:13" ht="33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4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3.75" customHeight="1" x14ac:dyDescent="0.3"/>
    <row r="5" spans="1:13" ht="19.5" customHeight="1" x14ac:dyDescent="0.3">
      <c r="A5" s="11" t="s">
        <v>2</v>
      </c>
      <c r="B5" s="11"/>
      <c r="C5" s="11"/>
      <c r="D5" s="10" t="s">
        <v>3</v>
      </c>
      <c r="E5" s="10"/>
      <c r="F5" s="15" t="s">
        <v>4</v>
      </c>
      <c r="G5" s="16" t="s">
        <v>5</v>
      </c>
      <c r="H5" s="11" t="s">
        <v>6</v>
      </c>
      <c r="I5" s="11"/>
      <c r="J5" s="10" t="s">
        <v>3</v>
      </c>
      <c r="K5" s="10"/>
      <c r="L5" s="15" t="s">
        <v>7</v>
      </c>
      <c r="M5" s="17">
        <f ca="1">TODAY()</f>
        <v>46276</v>
      </c>
    </row>
    <row r="6" spans="1:13" ht="6" customHeight="1" x14ac:dyDescent="0.3"/>
    <row r="7" spans="1:13" ht="15.75" customHeight="1" x14ac:dyDescent="0.3">
      <c r="A7" s="9" t="s">
        <v>8</v>
      </c>
      <c r="B7" s="9"/>
      <c r="C7" s="9"/>
      <c r="D7" s="8" t="s">
        <v>9</v>
      </c>
      <c r="E7" s="8"/>
      <c r="F7" s="8"/>
      <c r="G7" s="7" t="s">
        <v>10</v>
      </c>
      <c r="H7" s="7"/>
      <c r="I7" s="7"/>
      <c r="J7" s="6" t="s">
        <v>11</v>
      </c>
      <c r="K7" s="6"/>
      <c r="L7" s="5" t="s">
        <v>12</v>
      </c>
      <c r="M7" s="5"/>
    </row>
    <row r="8" spans="1:13" ht="25.5" customHeight="1" x14ac:dyDescent="0.3">
      <c r="A8" s="4">
        <f>COUNTA(A10:A49)</f>
        <v>0</v>
      </c>
      <c r="B8" s="4"/>
      <c r="C8" s="4"/>
      <c r="D8" s="3">
        <f>SUM(H10:H49)</f>
        <v>0</v>
      </c>
      <c r="E8" s="3"/>
      <c r="F8" s="3"/>
      <c r="G8" s="2">
        <f>SUM(I10:I49)</f>
        <v>0</v>
      </c>
      <c r="H8" s="2"/>
      <c r="I8" s="2"/>
      <c r="J8" s="1">
        <f>COUNTIF(J10:J49,"Não Lançada")</f>
        <v>0</v>
      </c>
      <c r="K8" s="1"/>
      <c r="L8" s="34">
        <f>COUNTIF(J10:J49,"Cancelada")+COUNTIF(L10:L49,"Cancelada")</f>
        <v>0</v>
      </c>
      <c r="M8" s="34"/>
    </row>
    <row r="9" spans="1:13" ht="30" customHeight="1" x14ac:dyDescent="0.3">
      <c r="A9" s="18" t="s">
        <v>13</v>
      </c>
      <c r="B9" s="18" t="s">
        <v>14</v>
      </c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8" t="s">
        <v>24</v>
      </c>
      <c r="M9" s="18" t="s">
        <v>25</v>
      </c>
    </row>
    <row r="10" spans="1:13" ht="15.75" customHeight="1" x14ac:dyDescent="0.3">
      <c r="A10" s="19"/>
      <c r="B10" s="19"/>
      <c r="C10" s="20"/>
      <c r="D10" s="19"/>
      <c r="E10" s="19"/>
      <c r="F10" s="19"/>
      <c r="G10" s="19"/>
      <c r="H10" s="21"/>
      <c r="I10" s="21"/>
      <c r="J10" s="22"/>
      <c r="K10" s="19"/>
      <c r="L10" s="22"/>
      <c r="M10" s="19"/>
    </row>
    <row r="11" spans="1:13" ht="15.75" customHeight="1" x14ac:dyDescent="0.3">
      <c r="A11" s="19"/>
      <c r="B11" s="19"/>
      <c r="C11" s="20"/>
      <c r="D11" s="19"/>
      <c r="E11" s="19"/>
      <c r="F11" s="19"/>
      <c r="G11" s="19"/>
      <c r="H11" s="21"/>
      <c r="I11" s="21"/>
      <c r="J11" s="22"/>
      <c r="K11" s="19"/>
      <c r="L11" s="22"/>
      <c r="M11" s="19"/>
    </row>
    <row r="12" spans="1:13" ht="15.75" customHeight="1" x14ac:dyDescent="0.3">
      <c r="A12" s="19"/>
      <c r="B12" s="19"/>
      <c r="C12" s="20"/>
      <c r="D12" s="19"/>
      <c r="E12" s="19"/>
      <c r="F12" s="19"/>
      <c r="G12" s="19"/>
      <c r="H12" s="21"/>
      <c r="I12" s="21"/>
      <c r="J12" s="22"/>
      <c r="K12" s="19"/>
      <c r="L12" s="22"/>
      <c r="M12" s="19"/>
    </row>
    <row r="13" spans="1:13" ht="15.75" customHeight="1" x14ac:dyDescent="0.3">
      <c r="A13" s="19"/>
      <c r="B13" s="19"/>
      <c r="C13" s="20"/>
      <c r="D13" s="19"/>
      <c r="E13" s="19"/>
      <c r="F13" s="19"/>
      <c r="G13" s="19"/>
      <c r="H13" s="21"/>
      <c r="I13" s="21"/>
      <c r="J13" s="22"/>
      <c r="K13" s="19"/>
      <c r="L13" s="22"/>
      <c r="M13" s="19"/>
    </row>
    <row r="14" spans="1:13" ht="15.75" customHeight="1" x14ac:dyDescent="0.3">
      <c r="A14" s="19"/>
      <c r="B14" s="19"/>
      <c r="C14" s="20"/>
      <c r="D14" s="19"/>
      <c r="E14" s="19"/>
      <c r="F14" s="19"/>
      <c r="G14" s="19"/>
      <c r="H14" s="21"/>
      <c r="I14" s="21"/>
      <c r="J14" s="22"/>
      <c r="K14" s="19"/>
      <c r="L14" s="22"/>
      <c r="M14" s="19"/>
    </row>
    <row r="15" spans="1:13" ht="15.75" customHeight="1" x14ac:dyDescent="0.3">
      <c r="A15" s="19"/>
      <c r="B15" s="19"/>
      <c r="C15" s="20"/>
      <c r="D15" s="19"/>
      <c r="E15" s="19"/>
      <c r="F15" s="19"/>
      <c r="G15" s="19"/>
      <c r="H15" s="21"/>
      <c r="I15" s="21"/>
      <c r="J15" s="22"/>
      <c r="K15" s="19"/>
      <c r="L15" s="22"/>
      <c r="M15" s="19"/>
    </row>
    <row r="16" spans="1:13" ht="15.75" customHeight="1" x14ac:dyDescent="0.3">
      <c r="A16" s="19"/>
      <c r="B16" s="19"/>
      <c r="C16" s="20"/>
      <c r="D16" s="19"/>
      <c r="E16" s="19"/>
      <c r="F16" s="19"/>
      <c r="G16" s="19"/>
      <c r="H16" s="21"/>
      <c r="I16" s="21"/>
      <c r="J16" s="22"/>
      <c r="K16" s="19"/>
      <c r="L16" s="22"/>
      <c r="M16" s="19"/>
    </row>
    <row r="17" spans="1:13" ht="15.75" customHeight="1" x14ac:dyDescent="0.3">
      <c r="A17" s="19"/>
      <c r="B17" s="19"/>
      <c r="C17" s="20"/>
      <c r="D17" s="19"/>
      <c r="E17" s="19"/>
      <c r="F17" s="19"/>
      <c r="G17" s="19"/>
      <c r="H17" s="21"/>
      <c r="I17" s="21"/>
      <c r="J17" s="22"/>
      <c r="K17" s="19"/>
      <c r="L17" s="22"/>
      <c r="M17" s="19"/>
    </row>
    <row r="18" spans="1:13" ht="15.75" customHeight="1" x14ac:dyDescent="0.3">
      <c r="A18" s="19"/>
      <c r="B18" s="19"/>
      <c r="C18" s="20"/>
      <c r="D18" s="19"/>
      <c r="E18" s="19"/>
      <c r="F18" s="19"/>
      <c r="G18" s="19"/>
      <c r="H18" s="21"/>
      <c r="I18" s="21"/>
      <c r="J18" s="22"/>
      <c r="K18" s="19"/>
      <c r="L18" s="22"/>
      <c r="M18" s="19"/>
    </row>
    <row r="19" spans="1:13" ht="15.75" customHeight="1" x14ac:dyDescent="0.3">
      <c r="A19" s="19"/>
      <c r="B19" s="19"/>
      <c r="C19" s="20"/>
      <c r="D19" s="19"/>
      <c r="E19" s="19"/>
      <c r="F19" s="19"/>
      <c r="G19" s="19"/>
      <c r="H19" s="21"/>
      <c r="I19" s="21"/>
      <c r="J19" s="22"/>
      <c r="K19" s="19"/>
      <c r="L19" s="22"/>
      <c r="M19" s="19"/>
    </row>
    <row r="20" spans="1:13" ht="15.75" customHeight="1" x14ac:dyDescent="0.3">
      <c r="A20" s="19"/>
      <c r="B20" s="19"/>
      <c r="C20" s="20"/>
      <c r="D20" s="19"/>
      <c r="E20" s="19"/>
      <c r="F20" s="19"/>
      <c r="G20" s="19"/>
      <c r="H20" s="21"/>
      <c r="I20" s="21"/>
      <c r="J20" s="22"/>
      <c r="K20" s="19"/>
      <c r="L20" s="22"/>
      <c r="M20" s="19"/>
    </row>
    <row r="21" spans="1:13" ht="15.75" customHeight="1" x14ac:dyDescent="0.3">
      <c r="A21" s="19"/>
      <c r="B21" s="19"/>
      <c r="C21" s="20"/>
      <c r="D21" s="19"/>
      <c r="E21" s="19"/>
      <c r="F21" s="19"/>
      <c r="G21" s="19"/>
      <c r="H21" s="21"/>
      <c r="I21" s="21"/>
      <c r="J21" s="22"/>
      <c r="K21" s="19"/>
      <c r="L21" s="22"/>
      <c r="M21" s="19"/>
    </row>
    <row r="22" spans="1:13" ht="15.75" customHeight="1" x14ac:dyDescent="0.3">
      <c r="A22" s="19"/>
      <c r="B22" s="19"/>
      <c r="C22" s="20"/>
      <c r="D22" s="19"/>
      <c r="E22" s="19"/>
      <c r="F22" s="19"/>
      <c r="G22" s="19"/>
      <c r="H22" s="21"/>
      <c r="I22" s="21"/>
      <c r="J22" s="22"/>
      <c r="K22" s="19"/>
      <c r="L22" s="22"/>
      <c r="M22" s="19"/>
    </row>
    <row r="23" spans="1:13" ht="15.75" customHeight="1" x14ac:dyDescent="0.3">
      <c r="A23" s="19"/>
      <c r="B23" s="19"/>
      <c r="C23" s="20"/>
      <c r="D23" s="19"/>
      <c r="E23" s="19"/>
      <c r="F23" s="19"/>
      <c r="G23" s="19"/>
      <c r="H23" s="21"/>
      <c r="I23" s="21"/>
      <c r="J23" s="22"/>
      <c r="K23" s="19"/>
      <c r="L23" s="22"/>
      <c r="M23" s="19"/>
    </row>
    <row r="24" spans="1:13" ht="15.75" customHeight="1" x14ac:dyDescent="0.3">
      <c r="A24" s="19"/>
      <c r="B24" s="19"/>
      <c r="C24" s="20"/>
      <c r="D24" s="19"/>
      <c r="E24" s="19"/>
      <c r="F24" s="19"/>
      <c r="G24" s="19"/>
      <c r="H24" s="21"/>
      <c r="I24" s="21"/>
      <c r="J24" s="22"/>
      <c r="K24" s="19"/>
      <c r="L24" s="22"/>
      <c r="M24" s="19"/>
    </row>
    <row r="25" spans="1:13" ht="15.75" customHeight="1" x14ac:dyDescent="0.3">
      <c r="A25" s="19"/>
      <c r="B25" s="19"/>
      <c r="C25" s="20"/>
      <c r="D25" s="19"/>
      <c r="E25" s="19"/>
      <c r="F25" s="19"/>
      <c r="G25" s="19"/>
      <c r="H25" s="21"/>
      <c r="I25" s="21"/>
      <c r="J25" s="22"/>
      <c r="K25" s="19"/>
      <c r="L25" s="22"/>
      <c r="M25" s="19"/>
    </row>
    <row r="26" spans="1:13" ht="15.75" customHeight="1" x14ac:dyDescent="0.3">
      <c r="A26" s="19"/>
      <c r="B26" s="19"/>
      <c r="C26" s="20"/>
      <c r="D26" s="19"/>
      <c r="E26" s="19"/>
      <c r="F26" s="19"/>
      <c r="G26" s="19"/>
      <c r="H26" s="21"/>
      <c r="I26" s="21"/>
      <c r="J26" s="22"/>
      <c r="K26" s="19"/>
      <c r="L26" s="22"/>
      <c r="M26" s="19"/>
    </row>
    <row r="27" spans="1:13" ht="15.75" customHeight="1" x14ac:dyDescent="0.3">
      <c r="A27" s="19"/>
      <c r="B27" s="19"/>
      <c r="C27" s="20"/>
      <c r="D27" s="19"/>
      <c r="E27" s="19"/>
      <c r="F27" s="19"/>
      <c r="G27" s="19"/>
      <c r="H27" s="21"/>
      <c r="I27" s="21"/>
      <c r="J27" s="22"/>
      <c r="K27" s="19"/>
      <c r="L27" s="22"/>
      <c r="M27" s="19"/>
    </row>
    <row r="28" spans="1:13" ht="15.75" customHeight="1" x14ac:dyDescent="0.3">
      <c r="A28" s="19"/>
      <c r="B28" s="19"/>
      <c r="C28" s="20"/>
      <c r="D28" s="19"/>
      <c r="E28" s="19"/>
      <c r="F28" s="19"/>
      <c r="G28" s="19"/>
      <c r="H28" s="21"/>
      <c r="I28" s="21"/>
      <c r="J28" s="22"/>
      <c r="K28" s="19"/>
      <c r="L28" s="22"/>
      <c r="M28" s="19"/>
    </row>
    <row r="29" spans="1:13" ht="15.75" customHeight="1" x14ac:dyDescent="0.3">
      <c r="A29" s="19"/>
      <c r="B29" s="19"/>
      <c r="C29" s="20"/>
      <c r="D29" s="19"/>
      <c r="E29" s="19"/>
      <c r="F29" s="19"/>
      <c r="G29" s="19"/>
      <c r="H29" s="21"/>
      <c r="I29" s="21"/>
      <c r="J29" s="22"/>
      <c r="K29" s="19"/>
      <c r="L29" s="22"/>
      <c r="M29" s="19"/>
    </row>
    <row r="30" spans="1:13" ht="15.75" customHeight="1" x14ac:dyDescent="0.3">
      <c r="A30" s="19"/>
      <c r="B30" s="19"/>
      <c r="C30" s="20"/>
      <c r="D30" s="19"/>
      <c r="E30" s="19"/>
      <c r="F30" s="19"/>
      <c r="G30" s="19"/>
      <c r="H30" s="21"/>
      <c r="I30" s="21"/>
      <c r="J30" s="22"/>
      <c r="K30" s="19"/>
      <c r="L30" s="22"/>
      <c r="M30" s="19"/>
    </row>
    <row r="31" spans="1:13" ht="15.75" customHeight="1" x14ac:dyDescent="0.3">
      <c r="A31" s="19"/>
      <c r="B31" s="19"/>
      <c r="C31" s="20"/>
      <c r="D31" s="19"/>
      <c r="E31" s="19"/>
      <c r="F31" s="19"/>
      <c r="G31" s="19"/>
      <c r="H31" s="21"/>
      <c r="I31" s="21"/>
      <c r="J31" s="22"/>
      <c r="K31" s="19"/>
      <c r="L31" s="22"/>
      <c r="M31" s="19"/>
    </row>
    <row r="32" spans="1:13" ht="15.75" customHeight="1" x14ac:dyDescent="0.3">
      <c r="A32" s="19"/>
      <c r="B32" s="19"/>
      <c r="C32" s="20"/>
      <c r="D32" s="19"/>
      <c r="E32" s="19"/>
      <c r="F32" s="19"/>
      <c r="G32" s="19"/>
      <c r="H32" s="21"/>
      <c r="I32" s="21"/>
      <c r="J32" s="22"/>
      <c r="K32" s="19"/>
      <c r="L32" s="22"/>
      <c r="M32" s="19"/>
    </row>
    <row r="33" spans="1:13" ht="15.75" customHeight="1" x14ac:dyDescent="0.3">
      <c r="A33" s="19"/>
      <c r="B33" s="19"/>
      <c r="C33" s="20"/>
      <c r="D33" s="19"/>
      <c r="E33" s="19"/>
      <c r="F33" s="19"/>
      <c r="G33" s="19"/>
      <c r="H33" s="21"/>
      <c r="I33" s="21"/>
      <c r="J33" s="22"/>
      <c r="K33" s="19"/>
      <c r="L33" s="22"/>
      <c r="M33" s="19"/>
    </row>
    <row r="34" spans="1:13" ht="15.75" customHeight="1" x14ac:dyDescent="0.3">
      <c r="A34" s="19"/>
      <c r="B34" s="19"/>
      <c r="C34" s="20"/>
      <c r="D34" s="19"/>
      <c r="E34" s="19"/>
      <c r="F34" s="19"/>
      <c r="G34" s="19"/>
      <c r="H34" s="21"/>
      <c r="I34" s="21"/>
      <c r="J34" s="22"/>
      <c r="K34" s="19"/>
      <c r="L34" s="22"/>
      <c r="M34" s="19"/>
    </row>
    <row r="35" spans="1:13" ht="15.75" customHeight="1" x14ac:dyDescent="0.3">
      <c r="A35" s="19"/>
      <c r="B35" s="19"/>
      <c r="C35" s="20"/>
      <c r="D35" s="19"/>
      <c r="E35" s="19"/>
      <c r="F35" s="19"/>
      <c r="G35" s="19"/>
      <c r="H35" s="21"/>
      <c r="I35" s="21"/>
      <c r="J35" s="22"/>
      <c r="K35" s="19"/>
      <c r="L35" s="22"/>
      <c r="M35" s="19"/>
    </row>
    <row r="36" spans="1:13" ht="15.75" customHeight="1" x14ac:dyDescent="0.3">
      <c r="A36" s="19"/>
      <c r="B36" s="19"/>
      <c r="C36" s="20"/>
      <c r="D36" s="19"/>
      <c r="E36" s="19"/>
      <c r="F36" s="19"/>
      <c r="G36" s="19"/>
      <c r="H36" s="21"/>
      <c r="I36" s="21"/>
      <c r="J36" s="22"/>
      <c r="K36" s="19"/>
      <c r="L36" s="22"/>
      <c r="M36" s="19"/>
    </row>
    <row r="37" spans="1:13" ht="15.75" customHeight="1" x14ac:dyDescent="0.3">
      <c r="A37" s="19"/>
      <c r="B37" s="19"/>
      <c r="C37" s="20"/>
      <c r="D37" s="19"/>
      <c r="E37" s="19"/>
      <c r="F37" s="19"/>
      <c r="G37" s="19"/>
      <c r="H37" s="21"/>
      <c r="I37" s="21"/>
      <c r="J37" s="22"/>
      <c r="K37" s="19"/>
      <c r="L37" s="22"/>
      <c r="M37" s="19"/>
    </row>
    <row r="38" spans="1:13" ht="15.75" customHeight="1" x14ac:dyDescent="0.3">
      <c r="A38" s="19"/>
      <c r="B38" s="19"/>
      <c r="C38" s="20"/>
      <c r="D38" s="19"/>
      <c r="E38" s="19"/>
      <c r="F38" s="19"/>
      <c r="G38" s="19"/>
      <c r="H38" s="21"/>
      <c r="I38" s="21"/>
      <c r="J38" s="22"/>
      <c r="K38" s="19"/>
      <c r="L38" s="22"/>
      <c r="M38" s="19"/>
    </row>
    <row r="39" spans="1:13" ht="15.75" customHeight="1" x14ac:dyDescent="0.3">
      <c r="A39" s="19"/>
      <c r="B39" s="19"/>
      <c r="C39" s="20"/>
      <c r="D39" s="19"/>
      <c r="E39" s="19"/>
      <c r="F39" s="19"/>
      <c r="G39" s="19"/>
      <c r="H39" s="21"/>
      <c r="I39" s="21"/>
      <c r="J39" s="22"/>
      <c r="K39" s="19"/>
      <c r="L39" s="22"/>
      <c r="M39" s="19"/>
    </row>
    <row r="40" spans="1:13" ht="15.75" customHeight="1" x14ac:dyDescent="0.3">
      <c r="A40" s="19"/>
      <c r="B40" s="19"/>
      <c r="C40" s="20"/>
      <c r="D40" s="19"/>
      <c r="E40" s="19"/>
      <c r="F40" s="19"/>
      <c r="G40" s="19"/>
      <c r="H40" s="21"/>
      <c r="I40" s="21"/>
      <c r="J40" s="22"/>
      <c r="K40" s="19"/>
      <c r="L40" s="22"/>
      <c r="M40" s="19"/>
    </row>
    <row r="41" spans="1:13" ht="15.75" customHeight="1" x14ac:dyDescent="0.3">
      <c r="A41" s="19"/>
      <c r="B41" s="19"/>
      <c r="C41" s="20"/>
      <c r="D41" s="19"/>
      <c r="E41" s="19"/>
      <c r="F41" s="19"/>
      <c r="G41" s="19"/>
      <c r="H41" s="21"/>
      <c r="I41" s="21"/>
      <c r="J41" s="22"/>
      <c r="K41" s="19"/>
      <c r="L41" s="22"/>
      <c r="M41" s="19"/>
    </row>
    <row r="42" spans="1:13" ht="15.75" customHeight="1" x14ac:dyDescent="0.3">
      <c r="A42" s="19"/>
      <c r="B42" s="19"/>
      <c r="C42" s="20"/>
      <c r="D42" s="19"/>
      <c r="E42" s="19"/>
      <c r="F42" s="19"/>
      <c r="G42" s="19"/>
      <c r="H42" s="21"/>
      <c r="I42" s="21"/>
      <c r="J42" s="22"/>
      <c r="K42" s="19"/>
      <c r="L42" s="22"/>
      <c r="M42" s="19"/>
    </row>
    <row r="43" spans="1:13" ht="15.75" customHeight="1" x14ac:dyDescent="0.3">
      <c r="A43" s="19"/>
      <c r="B43" s="19"/>
      <c r="C43" s="20"/>
      <c r="D43" s="19"/>
      <c r="E43" s="19"/>
      <c r="F43" s="19"/>
      <c r="G43" s="19"/>
      <c r="H43" s="21"/>
      <c r="I43" s="21"/>
      <c r="J43" s="22"/>
      <c r="K43" s="19"/>
      <c r="L43" s="22"/>
      <c r="M43" s="19"/>
    </row>
    <row r="44" spans="1:13" ht="15.75" customHeight="1" x14ac:dyDescent="0.3">
      <c r="A44" s="19"/>
      <c r="B44" s="19"/>
      <c r="C44" s="20"/>
      <c r="D44" s="19"/>
      <c r="E44" s="19"/>
      <c r="F44" s="19"/>
      <c r="G44" s="19"/>
      <c r="H44" s="21"/>
      <c r="I44" s="21"/>
      <c r="J44" s="22"/>
      <c r="K44" s="19"/>
      <c r="L44" s="22"/>
      <c r="M44" s="19"/>
    </row>
    <row r="45" spans="1:13" ht="15.75" customHeight="1" x14ac:dyDescent="0.3">
      <c r="A45" s="19"/>
      <c r="B45" s="19"/>
      <c r="C45" s="20"/>
      <c r="D45" s="19"/>
      <c r="E45" s="19"/>
      <c r="F45" s="19"/>
      <c r="G45" s="19"/>
      <c r="H45" s="21"/>
      <c r="I45" s="21"/>
      <c r="J45" s="22"/>
      <c r="K45" s="19"/>
      <c r="L45" s="22"/>
      <c r="M45" s="19"/>
    </row>
    <row r="46" spans="1:13" ht="15.75" customHeight="1" x14ac:dyDescent="0.3">
      <c r="A46" s="19"/>
      <c r="B46" s="19"/>
      <c r="C46" s="20"/>
      <c r="D46" s="19"/>
      <c r="E46" s="19"/>
      <c r="F46" s="19"/>
      <c r="G46" s="19"/>
      <c r="H46" s="21"/>
      <c r="I46" s="21"/>
      <c r="J46" s="22"/>
      <c r="K46" s="19"/>
      <c r="L46" s="22"/>
      <c r="M46" s="19"/>
    </row>
    <row r="47" spans="1:13" ht="15.75" customHeight="1" x14ac:dyDescent="0.3">
      <c r="A47" s="19"/>
      <c r="B47" s="19"/>
      <c r="C47" s="20"/>
      <c r="D47" s="19"/>
      <c r="E47" s="19"/>
      <c r="F47" s="19"/>
      <c r="G47" s="19"/>
      <c r="H47" s="21"/>
      <c r="I47" s="21"/>
      <c r="J47" s="22"/>
      <c r="K47" s="19"/>
      <c r="L47" s="22"/>
      <c r="M47" s="19"/>
    </row>
    <row r="48" spans="1:13" ht="15.75" customHeight="1" x14ac:dyDescent="0.3">
      <c r="A48" s="19"/>
      <c r="B48" s="19"/>
      <c r="C48" s="20"/>
      <c r="D48" s="19"/>
      <c r="E48" s="19"/>
      <c r="F48" s="19"/>
      <c r="G48" s="19"/>
      <c r="H48" s="21"/>
      <c r="I48" s="21"/>
      <c r="J48" s="22"/>
      <c r="K48" s="19"/>
      <c r="L48" s="22"/>
      <c r="M48" s="19"/>
    </row>
    <row r="49" spans="1:13" ht="15.75" customHeight="1" x14ac:dyDescent="0.3">
      <c r="A49" s="19"/>
      <c r="B49" s="19"/>
      <c r="C49" s="20"/>
      <c r="D49" s="19"/>
      <c r="E49" s="19"/>
      <c r="F49" s="19"/>
      <c r="G49" s="19"/>
      <c r="H49" s="21"/>
      <c r="I49" s="21"/>
      <c r="J49" s="22"/>
      <c r="K49" s="19"/>
      <c r="L49" s="22"/>
      <c r="M49" s="19"/>
    </row>
    <row r="50" spans="1:13" ht="21.75" customHeight="1" x14ac:dyDescent="0.3">
      <c r="A50" s="35" t="s">
        <v>28</v>
      </c>
      <c r="B50" s="35"/>
      <c r="C50" s="35"/>
      <c r="D50" s="35"/>
      <c r="E50" s="35"/>
      <c r="F50" s="35"/>
      <c r="G50" s="35"/>
      <c r="H50" s="23">
        <f>SUM(H10:H49)</f>
        <v>0</v>
      </c>
      <c r="I50" s="23">
        <f>SUM(I10:I49)</f>
        <v>0</v>
      </c>
      <c r="J50" s="24"/>
      <c r="K50" s="24"/>
      <c r="L50" s="24"/>
      <c r="M50" s="24"/>
    </row>
  </sheetData>
  <autoFilter ref="A9:M49" xr:uid="{00000000-0009-0000-0000-000000000000}"/>
  <mergeCells count="18">
    <mergeCell ref="A50:G50"/>
    <mergeCell ref="A8:C8"/>
    <mergeCell ref="D8:F8"/>
    <mergeCell ref="G8:I8"/>
    <mergeCell ref="J8:K8"/>
    <mergeCell ref="L8:M8"/>
    <mergeCell ref="A7:C7"/>
    <mergeCell ref="D7:F7"/>
    <mergeCell ref="G7:I7"/>
    <mergeCell ref="J7:K7"/>
    <mergeCell ref="L7:M7"/>
    <mergeCell ref="A1:M1"/>
    <mergeCell ref="A2:M2"/>
    <mergeCell ref="A3:M3"/>
    <mergeCell ref="A5:C5"/>
    <mergeCell ref="D5:E5"/>
    <mergeCell ref="H5:I5"/>
    <mergeCell ref="J5:K5"/>
  </mergeCells>
  <conditionalFormatting sqref="A10:M49">
    <cfRule type="expression" dxfId="9" priority="2">
      <formula>MOD(ROW(),2)=0</formula>
    </cfRule>
  </conditionalFormatting>
  <conditionalFormatting sqref="H10:H49">
    <cfRule type="dataBar" priority="11">
      <dataBar>
        <cfvo type="min"/>
        <cfvo type="max"/>
        <color rgb="FF0FB5A6"/>
      </dataBar>
      <extLst>
        <ext xmlns:x14="http://schemas.microsoft.com/office/spreadsheetml/2009/9/main" uri="{B025F937-C7B1-47D3-B67F-A62EFF666E3E}">
          <x14:id>{38F56C7E-C347-48E4-8E88-6891BF46D2AB}</x14:id>
        </ext>
      </extLst>
    </cfRule>
  </conditionalFormatting>
  <conditionalFormatting sqref="J10:J49">
    <cfRule type="expression" dxfId="8" priority="3">
      <formula>$J10="Lançada"</formula>
    </cfRule>
    <cfRule type="expression" dxfId="7" priority="4">
      <formula>$J10="Cancelada"</formula>
    </cfRule>
    <cfRule type="expression" dxfId="6" priority="5">
      <formula>$J10="Não Lançada"</formula>
    </cfRule>
    <cfRule xmlns="http://schemas.openxmlformats.org/spreadsheetml/2006/main" type="expression" dxfId="10" priority="12">
      <formula>$J10="Para Rejeitar"</formula>
    </cfRule>
  </conditionalFormatting>
  <conditionalFormatting sqref="L10:L49">
    <cfRule type="expression" dxfId="5" priority="6">
      <formula>$L10="Não precisa"</formula>
    </cfRule>
    <cfRule type="expression" dxfId="4" priority="7">
      <formula>$L10="Já lançada"</formula>
    </cfRule>
    <cfRule type="expression" dxfId="3" priority="8">
      <formula>$L10="A lançar"</formula>
    </cfRule>
    <cfRule type="expression" dxfId="2" priority="9">
      <formula>$L10="Para rejeitar"</formula>
    </cfRule>
    <cfRule type="expression" dxfId="1" priority="10">
      <formula>$L10="Cancelada"</formula>
    </cfRule>
  </conditionalFormatting>
  <dataValidations count="2">
    <dataValidation type="list" allowBlank="1" errorTitle="Status inválido" error="Selecione um valor válido da lista." sqref="J10:J49" xr:uid="{00000000-0002-0000-0000-000000000000}">
      <formula1>"Lançada,Não Lançada,Cancelada,Para Rejeitar"</formula1>
      <formula2>0</formula2>
    </dataValidation>
    <dataValidation type="list" allowBlank="1" errorTitle="Justificativa inválida" error="Selecione um valor válido da lista." sqref="L10:L49" xr:uid="{00000000-0002-0000-0000-000001000000}">
      <formula1>"Não precisa,Já lançada,A lançar,Para rejeitar,Cancelada"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F56C7E-C347-48E4-8E88-6891BF46D2AB}">
            <x14:dataBar axisPosition="none">
              <x14:cfvo type="min"/>
              <x14:cfvo type="max"/>
              <x14:negativeFillColor rgb="FF0FB5A6"/>
            </x14:dataBar>
          </x14:cfRule>
          <xm:sqref>H10:H49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C26"/>
  <sheetViews>
    <sheetView showGridLines="0" zoomScaleNormal="100" workbookViewId="0">
      <selection activeCell="B28" sqref="B28"/>
    </sheetView>
  </sheetViews>
  <sheetFormatPr defaultColWidth="8.6640625" defaultRowHeight="14.4" x14ac:dyDescent="0.3"/>
  <cols>
    <col min="1" max="1" width="4" customWidth="1"/>
    <col min="2" max="2" width="28" customWidth="1"/>
    <col min="3" max="3" width="60" customWidth="1"/>
  </cols>
  <sheetData>
    <row r="1" spans="1:3" ht="30" customHeight="1" x14ac:dyDescent="0.3">
      <c r="A1" s="36" t="s">
        <v>29</v>
      </c>
      <c r="B1" s="36"/>
      <c r="C1" s="36"/>
    </row>
    <row r="3" spans="1:3" ht="19.5" customHeight="1" x14ac:dyDescent="0.3">
      <c r="A3" s="37" t="s">
        <v>30</v>
      </c>
      <c r="B3" s="37"/>
      <c r="C3" s="37"/>
    </row>
    <row r="4" spans="1:3" ht="18" customHeight="1" x14ac:dyDescent="0.3">
      <c r="B4" s="25" t="s">
        <v>26</v>
      </c>
      <c r="C4" s="26" t="s">
        <v>31</v>
      </c>
    </row>
    <row r="5" spans="1:3" ht="18" customHeight="1" x14ac:dyDescent="0.3">
      <c r="B5" s="27" t="s">
        <v>32</v>
      </c>
      <c r="C5" s="26" t="s">
        <v>33</v>
      </c>
    </row>
    <row r="6" spans="1:3" ht="18" customHeight="1" x14ac:dyDescent="0.3">
      <c r="B6" s="28" t="s">
        <v>34</v>
      </c>
      <c r="C6" s="26" t="s">
        <v>35</v>
      </c>
    </row>
    <row xmlns="http://schemas.openxmlformats.org/spreadsheetml/2006/main" r="7" spans="1:3" ht="18" customHeight="1">
      <c r="B7" s="38" t="s">
        <v>65</v>
      </c>
      <c r="C7" s="26" t="s">
        <v>66</v>
      </c>
    </row>
    <row r="8" spans="1:3" ht="19.5" customHeight="1" x14ac:dyDescent="0.3">
      <c r="A8" s="37" t="s">
        <v>36</v>
      </c>
      <c r="B8" s="37"/>
      <c r="C8" s="37"/>
    </row>
    <row r="9" spans="1:3" ht="18" customHeight="1" x14ac:dyDescent="0.3">
      <c r="B9" s="29" t="s">
        <v>37</v>
      </c>
      <c r="C9" s="26" t="s">
        <v>38</v>
      </c>
    </row>
    <row r="10" spans="1:3" ht="18" customHeight="1" x14ac:dyDescent="0.3">
      <c r="B10" s="25" t="s">
        <v>27</v>
      </c>
      <c r="C10" s="26" t="s">
        <v>39</v>
      </c>
    </row>
    <row r="11" spans="1:3" ht="18" customHeight="1" x14ac:dyDescent="0.3">
      <c r="B11" s="28" t="s">
        <v>40</v>
      </c>
      <c r="C11" s="26" t="s">
        <v>41</v>
      </c>
    </row>
    <row r="12" spans="1:3" ht="18" customHeight="1" x14ac:dyDescent="0.3">
      <c r="B12" s="27" t="s">
        <v>42</v>
      </c>
      <c r="C12" s="26" t="s">
        <v>43</v>
      </c>
    </row>
    <row r="13" spans="1:3" ht="18" customHeight="1" x14ac:dyDescent="0.3">
      <c r="B13" s="27" t="s">
        <v>32</v>
      </c>
      <c r="C13" s="26" t="s">
        <v>44</v>
      </c>
    </row>
    <row r="15" spans="1:3" ht="19.5" customHeight="1" x14ac:dyDescent="0.3">
      <c r="A15" s="37" t="s">
        <v>45</v>
      </c>
      <c r="B15" s="37"/>
      <c r="C15" s="37"/>
    </row>
    <row r="16" spans="1:3" ht="27.6" x14ac:dyDescent="0.3">
      <c r="B16" s="30" t="s">
        <v>46</v>
      </c>
      <c r="C16" s="26" t="s">
        <v>47</v>
      </c>
    </row>
    <row r="17" spans="1:3" ht="27.6" x14ac:dyDescent="0.3">
      <c r="B17" s="30" t="s">
        <v>48</v>
      </c>
      <c r="C17" s="26" t="s">
        <v>49</v>
      </c>
    </row>
    <row r="18" spans="1:3" ht="27.6" x14ac:dyDescent="0.3">
      <c r="B18" s="30" t="s">
        <v>50</v>
      </c>
      <c r="C18" s="26" t="s">
        <v>51</v>
      </c>
    </row>
    <row r="19" spans="1:3" ht="27.6" x14ac:dyDescent="0.3">
      <c r="B19" s="30" t="s">
        <v>52</v>
      </c>
      <c r="C19" s="26" t="s">
        <v>53</v>
      </c>
    </row>
    <row r="20" spans="1:3" ht="27.6" x14ac:dyDescent="0.3">
      <c r="B20" s="30" t="s">
        <v>54</v>
      </c>
      <c r="C20" s="26" t="s">
        <v>55</v>
      </c>
    </row>
    <row r="21" spans="1:3" ht="27.6" x14ac:dyDescent="0.3">
      <c r="B21" s="30" t="s">
        <v>56</v>
      </c>
      <c r="C21" s="26" t="s">
        <v>57</v>
      </c>
    </row>
    <row r="23" spans="1:3" ht="19.5" customHeight="1" x14ac:dyDescent="0.3">
      <c r="A23" s="37" t="s">
        <v>58</v>
      </c>
      <c r="B23" s="37"/>
      <c r="C23" s="37"/>
    </row>
    <row r="24" spans="1:3" ht="18" customHeight="1" x14ac:dyDescent="0.3">
      <c r="B24" s="31" t="s">
        <v>59</v>
      </c>
      <c r="C24" s="26" t="s">
        <v>60</v>
      </c>
    </row>
    <row r="25" spans="1:3" ht="18" customHeight="1" x14ac:dyDescent="0.3">
      <c r="B25" s="32" t="s">
        <v>61</v>
      </c>
      <c r="C25" s="26" t="s">
        <v>62</v>
      </c>
    </row>
    <row r="26" spans="1:3" ht="18" customHeight="1" x14ac:dyDescent="0.3">
      <c r="B26" s="33" t="s">
        <v>63</v>
      </c>
      <c r="C26" s="26" t="s">
        <v>64</v>
      </c>
    </row>
  </sheetData>
  <mergeCells count="5">
    <mergeCell ref="A1:C1"/>
    <mergeCell ref="A3:C3"/>
    <mergeCell ref="A8:C8"/>
    <mergeCell ref="A15:C15"/>
    <mergeCell ref="A23:C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Fechamento NFS-e</vt:lpstr>
      <vt:lpstr>📘 Legenda &amp; 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Frigorifico Amazonas</cp:lastModifiedBy>
  <cp:revision>0</cp:revision>
  <dcterms:created xsi:type="dcterms:W3CDTF">2026-09-11T13:39:17Z</dcterms:created>
  <dcterms:modified xsi:type="dcterms:W3CDTF">2026-09-11T13:43:43Z</dcterms:modified>
  <dc:language>en-US</dc:language>
</cp:coreProperties>
</file>