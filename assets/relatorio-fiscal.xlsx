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\Documents\sistemas-internos\fechamento-fiscal\"/>
    </mc:Choice>
  </mc:AlternateContent>
  <xr:revisionPtr revIDLastSave="0" documentId="13_ncr:1_{9343D51D-3270-4B75-BAB4-CC24A8D0735B}" xr6:coauthVersionLast="47" xr6:coauthVersionMax="47" xr10:uidLastSave="{00000000-0000-0000-0000-000000000000}"/>
  <bookViews>
    <workbookView xWindow="-28920" yWindow="1605" windowWidth="29040" windowHeight="15720" xr2:uid="{1168BAFD-7D97-4F20-857C-2639D9DD72D8}"/>
  </bookViews>
  <sheets>
    <sheet name="RELATÓRIO" sheetId="5" r:id="rId1"/>
    <sheet name="ENTRADAS" sheetId="4" state="hidden" r:id="rId2"/>
    <sheet name="ENTRADAS-BASE" sheetId="9" state="hidden" r:id="rId3"/>
    <sheet name="SAÍDAS" sheetId="3" state="hidden" r:id="rId4"/>
    <sheet name="SAÍDAS-BASE" sheetId="7" state="hidden" r:id="rId5"/>
    <sheet name="SISTEMA-AUX" sheetId="6" state="hidden" r:id="rId6"/>
    <sheet name="SISTEMA" sheetId="10" r:id="rId7"/>
    <sheet name="SEFAZ" sheetId="2" r:id="rId8"/>
  </sheets>
  <definedNames>
    <definedName name="_xlnm._FilterDatabase" localSheetId="7" hidden="1">SEFAZ!$A$1:$V$343</definedName>
    <definedName name="SegmentaçãodeDados_STATUS">#N/A</definedName>
    <definedName name="SegmentaçãodeDados_TIP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5" l="1" a="1"/>
  <c r="L20" i="5" s="1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C4" i="5" l="1" a="1"/>
  <c r="C4" i="5" s="1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B8" i="6"/>
  <c r="G8" i="6" s="1" a="1"/>
  <c r="G8" i="6" s="1"/>
  <c r="B9" i="6"/>
  <c r="B10" i="6"/>
  <c r="B11" i="6"/>
  <c r="B12" i="6"/>
  <c r="B13" i="6"/>
  <c r="F13" i="6" s="1" a="1"/>
  <c r="F13" i="6" s="1"/>
  <c r="B14" i="6"/>
  <c r="D14" i="6" s="1" a="1"/>
  <c r="D14" i="6" s="1"/>
  <c r="B15" i="6"/>
  <c r="G15" i="6" s="1" a="1"/>
  <c r="G15" i="6" s="1"/>
  <c r="B16" i="6"/>
  <c r="B17" i="6"/>
  <c r="B18" i="6"/>
  <c r="B19" i="6"/>
  <c r="E19" i="6" s="1" a="1"/>
  <c r="E19" i="6" s="1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D34" i="6" s="1" a="1"/>
  <c r="D34" i="6" s="1"/>
  <c r="B35" i="6"/>
  <c r="B36" i="6"/>
  <c r="B37" i="6"/>
  <c r="I37" i="6" s="1" a="1"/>
  <c r="I37" i="6" s="1"/>
  <c r="B38" i="6"/>
  <c r="B39" i="6"/>
  <c r="B40" i="6"/>
  <c r="D40" i="6" s="1" a="1"/>
  <c r="D40" i="6" s="1"/>
  <c r="B41" i="6"/>
  <c r="I41" i="6" s="1" a="1"/>
  <c r="I41" i="6" s="1"/>
  <c r="B42" i="6"/>
  <c r="B43" i="6"/>
  <c r="B44" i="6"/>
  <c r="B45" i="6"/>
  <c r="B46" i="6"/>
  <c r="F46" i="6" s="1" a="1"/>
  <c r="F46" i="6" s="1"/>
  <c r="B47" i="6"/>
  <c r="B48" i="6"/>
  <c r="D48" i="6" s="1" a="1"/>
  <c r="D48" i="6" s="1"/>
  <c r="B49" i="6"/>
  <c r="D49" i="6" s="1" a="1"/>
  <c r="D49" i="6" s="1"/>
  <c r="B50" i="6"/>
  <c r="F50" i="6" s="1" a="1"/>
  <c r="F50" i="6" s="1"/>
  <c r="B51" i="6"/>
  <c r="F51" i="6" s="1" a="1"/>
  <c r="F51" i="6" s="1"/>
  <c r="B52" i="6"/>
  <c r="D52" i="6" s="1" a="1"/>
  <c r="D52" i="6" s="1"/>
  <c r="B53" i="6"/>
  <c r="B54" i="6"/>
  <c r="B55" i="6"/>
  <c r="B56" i="6"/>
  <c r="F56" i="6" s="1" a="1"/>
  <c r="F56" i="6" s="1"/>
  <c r="B57" i="6"/>
  <c r="B58" i="6"/>
  <c r="B59" i="6"/>
  <c r="B60" i="6"/>
  <c r="B61" i="6"/>
  <c r="B62" i="6"/>
  <c r="B63" i="6"/>
  <c r="F63" i="6" s="1" a="1"/>
  <c r="F63" i="6" s="1"/>
  <c r="B64" i="6"/>
  <c r="D64" i="6" s="1" a="1"/>
  <c r="D64" i="6" s="1"/>
  <c r="B65" i="6"/>
  <c r="I65" i="6" s="1" a="1"/>
  <c r="I65" i="6" s="1"/>
  <c r="B66" i="6"/>
  <c r="B67" i="6"/>
  <c r="B68" i="6"/>
  <c r="B69" i="6"/>
  <c r="B70" i="6"/>
  <c r="B71" i="6"/>
  <c r="B72" i="6"/>
  <c r="B73" i="6"/>
  <c r="F73" i="6" s="1" a="1"/>
  <c r="F73" i="6" s="1"/>
  <c r="B74" i="6"/>
  <c r="B75" i="6"/>
  <c r="I75" i="6" s="1" a="1"/>
  <c r="I75" i="6" s="1"/>
  <c r="B76" i="6"/>
  <c r="F76" i="6" s="1" a="1"/>
  <c r="F76" i="6" s="1"/>
  <c r="B77" i="6"/>
  <c r="B78" i="6"/>
  <c r="B79" i="6"/>
  <c r="B80" i="6"/>
  <c r="B81" i="6"/>
  <c r="I81" i="6" s="1" a="1"/>
  <c r="I81" i="6" s="1"/>
  <c r="B82" i="6"/>
  <c r="B83" i="6"/>
  <c r="B84" i="6"/>
  <c r="B85" i="6"/>
  <c r="F85" i="6" s="1" a="1"/>
  <c r="F85" i="6" s="1"/>
  <c r="B86" i="6"/>
  <c r="B87" i="6"/>
  <c r="I87" i="6" s="1" a="1"/>
  <c r="I87" i="6" s="1"/>
  <c r="B88" i="6"/>
  <c r="I88" i="6" s="1" a="1"/>
  <c r="I88" i="6" s="1"/>
  <c r="B89" i="6"/>
  <c r="B90" i="6"/>
  <c r="B91" i="6"/>
  <c r="B92" i="6"/>
  <c r="B93" i="6"/>
  <c r="B94" i="6"/>
  <c r="B95" i="6"/>
  <c r="B96" i="6"/>
  <c r="B97" i="6"/>
  <c r="I97" i="6" s="1" a="1"/>
  <c r="I97" i="6" s="1"/>
  <c r="B98" i="6"/>
  <c r="B99" i="6"/>
  <c r="B100" i="6"/>
  <c r="B101" i="6"/>
  <c r="B102" i="6"/>
  <c r="B103" i="6"/>
  <c r="B104" i="6"/>
  <c r="B105" i="6"/>
  <c r="B106" i="6"/>
  <c r="F106" i="6" s="1" a="1"/>
  <c r="F106" i="6" s="1"/>
  <c r="B107" i="6"/>
  <c r="B108" i="6"/>
  <c r="B109" i="6"/>
  <c r="B110" i="6"/>
  <c r="I110" i="6" s="1" a="1"/>
  <c r="I110" i="6" s="1"/>
  <c r="B111" i="6"/>
  <c r="B112" i="6"/>
  <c r="D112" i="6" s="1" a="1"/>
  <c r="D112" i="6" s="1"/>
  <c r="B113" i="6"/>
  <c r="B114" i="6"/>
  <c r="B115" i="6"/>
  <c r="B116" i="6"/>
  <c r="B117" i="6"/>
  <c r="B118" i="6"/>
  <c r="G118" i="6" s="1" a="1"/>
  <c r="G118" i="6" s="1"/>
  <c r="B119" i="6"/>
  <c r="B120" i="6"/>
  <c r="B121" i="6"/>
  <c r="I121" i="6" s="1" a="1"/>
  <c r="I121" i="6" s="1"/>
  <c r="B122" i="6"/>
  <c r="B123" i="6"/>
  <c r="B124" i="6"/>
  <c r="B125" i="6"/>
  <c r="B126" i="6"/>
  <c r="B127" i="6"/>
  <c r="E127" i="6" s="1" a="1"/>
  <c r="E127" i="6" s="1"/>
  <c r="B128" i="6"/>
  <c r="E128" i="6" s="1" a="1"/>
  <c r="E128" i="6" s="1"/>
  <c r="B129" i="6"/>
  <c r="B130" i="6"/>
  <c r="B131" i="6"/>
  <c r="B132" i="6"/>
  <c r="B133" i="6"/>
  <c r="D133" i="6" s="1" a="1"/>
  <c r="D133" i="6" s="1"/>
  <c r="B134" i="6"/>
  <c r="B135" i="6"/>
  <c r="B136" i="6"/>
  <c r="F136" i="6" s="1" a="1"/>
  <c r="F136" i="6" s="1"/>
  <c r="B137" i="6"/>
  <c r="I137" i="6" s="1" a="1"/>
  <c r="I137" i="6" s="1"/>
  <c r="B138" i="6"/>
  <c r="B139" i="6"/>
  <c r="E139" i="6" s="1" a="1"/>
  <c r="E139" i="6" s="1"/>
  <c r="B140" i="6"/>
  <c r="F140" i="6" s="1" a="1"/>
  <c r="F140" i="6" s="1"/>
  <c r="B141" i="6"/>
  <c r="B142" i="6"/>
  <c r="B143" i="6"/>
  <c r="I143" i="6" s="1" a="1"/>
  <c r="I143" i="6" s="1"/>
  <c r="B144" i="6"/>
  <c r="B145" i="6"/>
  <c r="D145" i="6" s="1" a="1"/>
  <c r="D145" i="6" s="1"/>
  <c r="B146" i="6"/>
  <c r="F146" i="6" s="1" a="1"/>
  <c r="F146" i="6" s="1"/>
  <c r="B147" i="6"/>
  <c r="B148" i="6"/>
  <c r="B149" i="6"/>
  <c r="B150" i="6"/>
  <c r="G150" i="6" s="1" a="1"/>
  <c r="G150" i="6" s="1"/>
  <c r="B151" i="6"/>
  <c r="D151" i="6" s="1" a="1"/>
  <c r="D151" i="6" s="1"/>
  <c r="B152" i="6"/>
  <c r="B153" i="6"/>
  <c r="F153" i="6" s="1" a="1"/>
  <c r="F153" i="6" s="1"/>
  <c r="B154" i="6"/>
  <c r="B155" i="6"/>
  <c r="B156" i="6"/>
  <c r="B157" i="6"/>
  <c r="G157" i="6" s="1" a="1"/>
  <c r="G157" i="6" s="1"/>
  <c r="B158" i="6"/>
  <c r="F158" i="6" s="1" a="1"/>
  <c r="F158" i="6" s="1"/>
  <c r="B159" i="6"/>
  <c r="B160" i="6"/>
  <c r="B161" i="6"/>
  <c r="B162" i="6"/>
  <c r="B163" i="6"/>
  <c r="B164" i="6"/>
  <c r="E164" i="6" s="1" a="1"/>
  <c r="E164" i="6" s="1"/>
  <c r="B165" i="6"/>
  <c r="G165" i="6" s="1" a="1"/>
  <c r="G165" i="6" s="1"/>
  <c r="B166" i="6"/>
  <c r="I166" i="6" s="1" a="1"/>
  <c r="I166" i="6" s="1"/>
  <c r="B167" i="6"/>
  <c r="B168" i="6"/>
  <c r="B169" i="6"/>
  <c r="F169" i="6" s="1" a="1"/>
  <c r="F169" i="6" s="1"/>
  <c r="B170" i="6"/>
  <c r="F170" i="6" s="1" a="1"/>
  <c r="F170" i="6" s="1"/>
  <c r="B171" i="6"/>
  <c r="F171" i="6" s="1" a="1"/>
  <c r="F171" i="6" s="1"/>
  <c r="B172" i="6"/>
  <c r="B173" i="6"/>
  <c r="B174" i="6"/>
  <c r="B175" i="6"/>
  <c r="E175" i="6" s="1" a="1"/>
  <c r="E175" i="6" s="1"/>
  <c r="B176" i="6"/>
  <c r="B177" i="6"/>
  <c r="B178" i="6"/>
  <c r="F178" i="6" s="1" a="1"/>
  <c r="F178" i="6" s="1"/>
  <c r="B179" i="6"/>
  <c r="B180" i="6"/>
  <c r="B181" i="6"/>
  <c r="F181" i="6" s="1" a="1"/>
  <c r="F181" i="6" s="1"/>
  <c r="B182" i="6"/>
  <c r="B183" i="6"/>
  <c r="B184" i="6"/>
  <c r="B185" i="6"/>
  <c r="F185" i="6" s="1" a="1"/>
  <c r="F185" i="6" s="1"/>
  <c r="B186" i="6"/>
  <c r="B187" i="6"/>
  <c r="E187" i="6" s="1" a="1"/>
  <c r="E187" i="6" s="1"/>
  <c r="B188" i="6"/>
  <c r="B189" i="6"/>
  <c r="B190" i="6"/>
  <c r="B191" i="6"/>
  <c r="B192" i="6"/>
  <c r="B193" i="6"/>
  <c r="D193" i="6" s="1" a="1"/>
  <c r="D193" i="6" s="1"/>
  <c r="B194" i="6"/>
  <c r="F194" i="6" s="1" a="1"/>
  <c r="F194" i="6" s="1"/>
  <c r="B195" i="6"/>
  <c r="B196" i="6"/>
  <c r="F196" i="6" s="1" a="1"/>
  <c r="F196" i="6" s="1"/>
  <c r="B197" i="6"/>
  <c r="D197" i="6" s="1" a="1"/>
  <c r="D197" i="6" s="1"/>
  <c r="B198" i="6"/>
  <c r="B199" i="6"/>
  <c r="E199" i="6" s="1" a="1"/>
  <c r="E199" i="6" s="1"/>
  <c r="B200" i="6"/>
  <c r="E200" i="6" s="1" a="1"/>
  <c r="E200" i="6" s="1"/>
  <c r="B201" i="6"/>
  <c r="G201" i="6" s="1" a="1"/>
  <c r="G201" i="6" s="1"/>
  <c r="B202" i="6"/>
  <c r="F202" i="6" s="1" a="1"/>
  <c r="F202" i="6" s="1"/>
  <c r="B203" i="6"/>
  <c r="B204" i="6"/>
  <c r="B205" i="6"/>
  <c r="I205" i="6" s="1" a="1"/>
  <c r="I205" i="6" s="1"/>
  <c r="B206" i="6"/>
  <c r="F206" i="6" s="1" a="1"/>
  <c r="F206" i="6" s="1"/>
  <c r="B207" i="6"/>
  <c r="B208" i="6"/>
  <c r="D208" i="6" s="1" a="1"/>
  <c r="D208" i="6" s="1"/>
  <c r="B209" i="6"/>
  <c r="B210" i="6"/>
  <c r="B211" i="6"/>
  <c r="B212" i="6"/>
  <c r="B213" i="6"/>
  <c r="B214" i="6"/>
  <c r="B215" i="6"/>
  <c r="B216" i="6"/>
  <c r="B217" i="6"/>
  <c r="I217" i="6" s="1" a="1"/>
  <c r="I217" i="6" s="1"/>
  <c r="B218" i="6"/>
  <c r="B219" i="6"/>
  <c r="G219" i="6" s="1" a="1"/>
  <c r="G219" i="6" s="1"/>
  <c r="B220" i="6"/>
  <c r="F220" i="6" s="1" a="1"/>
  <c r="F220" i="6" s="1"/>
  <c r="B221" i="6"/>
  <c r="B222" i="6"/>
  <c r="B223" i="6"/>
  <c r="B224" i="6"/>
  <c r="B225" i="6"/>
  <c r="B226" i="6"/>
  <c r="B227" i="6"/>
  <c r="B228" i="6"/>
  <c r="B229" i="6"/>
  <c r="B230" i="6"/>
  <c r="F230" i="6" s="1" a="1"/>
  <c r="F230" i="6" s="1"/>
  <c r="B231" i="6"/>
  <c r="D231" i="6" s="1" a="1"/>
  <c r="D231" i="6" s="1"/>
  <c r="B232" i="6"/>
  <c r="D232" i="6" s="1" a="1"/>
  <c r="D232" i="6" s="1"/>
  <c r="B233" i="6"/>
  <c r="B234" i="6"/>
  <c r="B235" i="6"/>
  <c r="B236" i="6"/>
  <c r="B237" i="6"/>
  <c r="B238" i="6"/>
  <c r="G238" i="6" s="1" a="1"/>
  <c r="G238" i="6" s="1"/>
  <c r="B239" i="6"/>
  <c r="B240" i="6"/>
  <c r="B241" i="6"/>
  <c r="B242" i="6"/>
  <c r="I242" i="6" s="1" a="1"/>
  <c r="I242" i="6" s="1"/>
  <c r="B243" i="6"/>
  <c r="G243" i="6" s="1" a="1"/>
  <c r="G243" i="6" s="1"/>
  <c r="B244" i="6"/>
  <c r="D244" i="6" s="1" a="1"/>
  <c r="D244" i="6" s="1"/>
  <c r="B245" i="6"/>
  <c r="B246" i="6"/>
  <c r="B247" i="6"/>
  <c r="B248" i="6"/>
  <c r="B249" i="6"/>
  <c r="B250" i="6"/>
  <c r="D250" i="6" s="1" a="1"/>
  <c r="D250" i="6" s="1"/>
  <c r="B251" i="6"/>
  <c r="B252" i="6"/>
  <c r="B253" i="6"/>
  <c r="F253" i="6" s="1" a="1"/>
  <c r="F253" i="6" s="1"/>
  <c r="B254" i="6"/>
  <c r="B255" i="6"/>
  <c r="E255" i="6" s="1" a="1"/>
  <c r="E255" i="6" s="1"/>
  <c r="B256" i="6"/>
  <c r="B257" i="6"/>
  <c r="B258" i="6"/>
  <c r="B259" i="6"/>
  <c r="E259" i="6" s="1" a="1"/>
  <c r="E259" i="6" s="1"/>
  <c r="B260" i="6"/>
  <c r="E260" i="6" s="1" a="1"/>
  <c r="E260" i="6" s="1"/>
  <c r="B261" i="6"/>
  <c r="B262" i="6"/>
  <c r="G262" i="6" s="1" a="1"/>
  <c r="G262" i="6" s="1"/>
  <c r="B263" i="6"/>
  <c r="B264" i="6"/>
  <c r="B265" i="6"/>
  <c r="B266" i="6"/>
  <c r="D266" i="6" s="1" a="1"/>
  <c r="D266" i="6" s="1"/>
  <c r="B267" i="6"/>
  <c r="D267" i="6" s="1" a="1"/>
  <c r="D267" i="6" s="1"/>
  <c r="B268" i="6"/>
  <c r="D268" i="6" s="1" a="1"/>
  <c r="D268" i="6" s="1"/>
  <c r="B269" i="6"/>
  <c r="D269" i="6" s="1" a="1"/>
  <c r="D269" i="6" s="1"/>
  <c r="B270" i="6"/>
  <c r="B271" i="6"/>
  <c r="E271" i="6" s="1" a="1"/>
  <c r="E271" i="6" s="1"/>
  <c r="B272" i="6"/>
  <c r="E272" i="6" s="1" a="1"/>
  <c r="E272" i="6" s="1"/>
  <c r="B273" i="6"/>
  <c r="B274" i="6"/>
  <c r="B275" i="6"/>
  <c r="B276" i="6"/>
  <c r="B277" i="6"/>
  <c r="D277" i="6" s="1" a="1"/>
  <c r="D277" i="6" s="1"/>
  <c r="B278" i="6"/>
  <c r="F278" i="6" s="1" a="1"/>
  <c r="F278" i="6" s="1"/>
  <c r="B279" i="6"/>
  <c r="D279" i="6" s="1" a="1"/>
  <c r="D279" i="6" s="1"/>
  <c r="B280" i="6"/>
  <c r="D280" i="6" s="1" a="1"/>
  <c r="D280" i="6" s="1"/>
  <c r="B281" i="6"/>
  <c r="B282" i="6"/>
  <c r="B283" i="6"/>
  <c r="E283" i="6" s="1" a="1"/>
  <c r="E283" i="6" s="1"/>
  <c r="B284" i="6"/>
  <c r="B285" i="6"/>
  <c r="B286" i="6"/>
  <c r="B287" i="6"/>
  <c r="B288" i="6"/>
  <c r="B289" i="6"/>
  <c r="D289" i="6" s="1" a="1"/>
  <c r="D289" i="6" s="1"/>
  <c r="B290" i="6"/>
  <c r="B291" i="6"/>
  <c r="D291" i="6" s="1" a="1"/>
  <c r="D291" i="6" s="1"/>
  <c r="B292" i="6"/>
  <c r="D292" i="6" s="1" a="1"/>
  <c r="D292" i="6" s="1"/>
  <c r="B293" i="6"/>
  <c r="B294" i="6"/>
  <c r="B295" i="6"/>
  <c r="B296" i="6"/>
  <c r="B297" i="6"/>
  <c r="B298" i="6"/>
  <c r="B299" i="6"/>
  <c r="B300" i="6"/>
  <c r="B301" i="6"/>
  <c r="B302" i="6"/>
  <c r="G302" i="6" s="1" a="1"/>
  <c r="G302" i="6" s="1"/>
  <c r="B303" i="6"/>
  <c r="F303" i="6" s="1" a="1"/>
  <c r="F303" i="6" s="1"/>
  <c r="B304" i="6"/>
  <c r="D304" i="6" s="1" a="1"/>
  <c r="D304" i="6" s="1"/>
  <c r="B305" i="6"/>
  <c r="B306" i="6"/>
  <c r="B307" i="6"/>
  <c r="B308" i="6"/>
  <c r="B309" i="6"/>
  <c r="B310" i="6"/>
  <c r="I310" i="6" s="1" a="1"/>
  <c r="I310" i="6" s="1"/>
  <c r="B311" i="6"/>
  <c r="B312" i="6"/>
  <c r="B313" i="6"/>
  <c r="B314" i="6"/>
  <c r="D314" i="6" s="1" a="1"/>
  <c r="D314" i="6" s="1"/>
  <c r="B315" i="6"/>
  <c r="I315" i="6" s="1" a="1"/>
  <c r="I315" i="6" s="1"/>
  <c r="B316" i="6"/>
  <c r="D316" i="6" s="1" a="1"/>
  <c r="D316" i="6" s="1"/>
  <c r="B317" i="6"/>
  <c r="B318" i="6"/>
  <c r="B319" i="6"/>
  <c r="B320" i="6"/>
  <c r="B321" i="6"/>
  <c r="I321" i="6" s="1" a="1"/>
  <c r="I321" i="6" s="1"/>
  <c r="B322" i="6"/>
  <c r="B323" i="6"/>
  <c r="B324" i="6"/>
  <c r="B325" i="6"/>
  <c r="D325" i="6" s="1" a="1"/>
  <c r="D325" i="6" s="1"/>
  <c r="B326" i="6"/>
  <c r="I326" i="6" s="1" a="1"/>
  <c r="I326" i="6" s="1"/>
  <c r="B327" i="6"/>
  <c r="I327" i="6" s="1" a="1"/>
  <c r="I327" i="6" s="1"/>
  <c r="B328" i="6"/>
  <c r="D328" i="6" s="1" a="1"/>
  <c r="D328" i="6" s="1"/>
  <c r="B329" i="6"/>
  <c r="B330" i="6"/>
  <c r="B331" i="6"/>
  <c r="G331" i="6" s="1" a="1"/>
  <c r="G331" i="6" s="1"/>
  <c r="B332" i="6"/>
  <c r="B333" i="6"/>
  <c r="B334" i="6"/>
  <c r="B335" i="6"/>
  <c r="D335" i="6" s="1" a="1"/>
  <c r="D335" i="6" s="1"/>
  <c r="B336" i="6"/>
  <c r="B337" i="6"/>
  <c r="G337" i="6" s="1" a="1"/>
  <c r="G337" i="6" s="1"/>
  <c r="B338" i="6"/>
  <c r="I338" i="6" s="1" a="1"/>
  <c r="I338" i="6" s="1"/>
  <c r="B339" i="6"/>
  <c r="B340" i="6"/>
  <c r="D340" i="6" s="1" a="1"/>
  <c r="D340" i="6" s="1"/>
  <c r="B341" i="6"/>
  <c r="B342" i="6"/>
  <c r="B343" i="6"/>
  <c r="B344" i="6"/>
  <c r="B345" i="6"/>
  <c r="B346" i="6"/>
  <c r="B347" i="6"/>
  <c r="B348" i="6"/>
  <c r="B349" i="6"/>
  <c r="D349" i="6" s="1" a="1"/>
  <c r="D349" i="6" s="1"/>
  <c r="B350" i="6"/>
  <c r="F350" i="6" s="1" a="1"/>
  <c r="F350" i="6" s="1"/>
  <c r="B351" i="6"/>
  <c r="G351" i="6" s="1" a="1"/>
  <c r="G351" i="6" s="1"/>
  <c r="B352" i="6"/>
  <c r="E352" i="6" s="1" a="1"/>
  <c r="E352" i="6" s="1"/>
  <c r="B353" i="6"/>
  <c r="B354" i="6"/>
  <c r="B355" i="6"/>
  <c r="B356" i="6"/>
  <c r="B357" i="6"/>
  <c r="D357" i="6" s="1" a="1"/>
  <c r="D357" i="6" s="1"/>
  <c r="B358" i="6"/>
  <c r="B359" i="6"/>
  <c r="B360" i="6"/>
  <c r="B361" i="6"/>
  <c r="I361" i="6" s="1" a="1"/>
  <c r="I361" i="6" s="1"/>
  <c r="B362" i="6"/>
  <c r="B363" i="6"/>
  <c r="F363" i="6" s="1" a="1"/>
  <c r="F363" i="6" s="1"/>
  <c r="B364" i="6"/>
  <c r="E364" i="6" s="1" a="1"/>
  <c r="E364" i="6" s="1"/>
  <c r="B365" i="6"/>
  <c r="B366" i="6"/>
  <c r="B367" i="6"/>
  <c r="B368" i="6"/>
  <c r="B369" i="6"/>
  <c r="B370" i="6"/>
  <c r="B371" i="6"/>
  <c r="B372" i="6"/>
  <c r="G372" i="6" s="1" a="1"/>
  <c r="G372" i="6" s="1"/>
  <c r="B373" i="6"/>
  <c r="F373" i="6" s="1" a="1"/>
  <c r="F373" i="6" s="1"/>
  <c r="B374" i="6"/>
  <c r="F374" i="6" s="1" a="1"/>
  <c r="F374" i="6" s="1"/>
  <c r="B375" i="6"/>
  <c r="B376" i="6"/>
  <c r="E376" i="6" s="1" a="1"/>
  <c r="E376" i="6" s="1"/>
  <c r="B377" i="6"/>
  <c r="B378" i="6"/>
  <c r="B379" i="6"/>
  <c r="B380" i="6"/>
  <c r="B381" i="6"/>
  <c r="B382" i="6"/>
  <c r="B383" i="6"/>
  <c r="B384" i="6"/>
  <c r="B385" i="6"/>
  <c r="B386" i="6"/>
  <c r="I386" i="6" s="1" a="1"/>
  <c r="I386" i="6" s="1"/>
  <c r="B387" i="6"/>
  <c r="B388" i="6"/>
  <c r="E388" i="6" s="1" a="1"/>
  <c r="E388" i="6" s="1"/>
  <c r="B389" i="6"/>
  <c r="B390" i="6"/>
  <c r="B391" i="6"/>
  <c r="B392" i="6"/>
  <c r="B393" i="6"/>
  <c r="I393" i="6" s="1" a="1"/>
  <c r="I393" i="6" s="1"/>
  <c r="B394" i="6"/>
  <c r="B395" i="6"/>
  <c r="B396" i="6"/>
  <c r="G396" i="6" s="1" a="1"/>
  <c r="G396" i="6" s="1"/>
  <c r="B397" i="6"/>
  <c r="D397" i="6" s="1" a="1"/>
  <c r="D397" i="6" s="1"/>
  <c r="B398" i="6"/>
  <c r="D398" i="6" s="1" a="1"/>
  <c r="D398" i="6" s="1"/>
  <c r="B399" i="6"/>
  <c r="I399" i="6" s="1" a="1"/>
  <c r="I399" i="6" s="1"/>
  <c r="B400" i="6"/>
  <c r="E400" i="6" s="1" a="1"/>
  <c r="E400" i="6" s="1"/>
  <c r="B401" i="6"/>
  <c r="B402" i="6"/>
  <c r="F402" i="6" s="1" a="1"/>
  <c r="F402" i="6" s="1"/>
  <c r="B403" i="6"/>
  <c r="D403" i="6" s="1" a="1"/>
  <c r="D403" i="6" s="1"/>
  <c r="B404" i="6"/>
  <c r="B405" i="6"/>
  <c r="B406" i="6"/>
  <c r="B407" i="6"/>
  <c r="B408" i="6"/>
  <c r="B409" i="6"/>
  <c r="F409" i="6" s="1" a="1"/>
  <c r="F409" i="6" s="1"/>
  <c r="B410" i="6"/>
  <c r="I410" i="6" s="1" a="1"/>
  <c r="I410" i="6" s="1"/>
  <c r="B411" i="6"/>
  <c r="D411" i="6" s="1" a="1"/>
  <c r="D411" i="6" s="1"/>
  <c r="B412" i="6"/>
  <c r="E412" i="6" s="1" a="1"/>
  <c r="E412" i="6" s="1"/>
  <c r="B413" i="6"/>
  <c r="B414" i="6"/>
  <c r="B415" i="6"/>
  <c r="I415" i="6" s="1" a="1"/>
  <c r="I415" i="6" s="1"/>
  <c r="B416" i="6"/>
  <c r="B417" i="6"/>
  <c r="B418" i="6"/>
  <c r="G418" i="6" s="1" a="1"/>
  <c r="G418" i="6" s="1"/>
  <c r="B419" i="6"/>
  <c r="B420" i="6"/>
  <c r="B421" i="6"/>
  <c r="D421" i="6" s="1" a="1"/>
  <c r="D421" i="6" s="1"/>
  <c r="B422" i="6"/>
  <c r="F422" i="6" s="1" a="1"/>
  <c r="F422" i="6" s="1"/>
  <c r="B423" i="6"/>
  <c r="D423" i="6" s="1" a="1"/>
  <c r="D423" i="6" s="1"/>
  <c r="B424" i="6"/>
  <c r="E424" i="6" s="1" a="1"/>
  <c r="E424" i="6" s="1"/>
  <c r="B425" i="6"/>
  <c r="B426" i="6"/>
  <c r="B427" i="6"/>
  <c r="B428" i="6"/>
  <c r="E428" i="6" s="1" a="1"/>
  <c r="E428" i="6" s="1"/>
  <c r="B429" i="6"/>
  <c r="B430" i="6"/>
  <c r="I430" i="6" s="1" a="1"/>
  <c r="I430" i="6" s="1"/>
  <c r="B431" i="6"/>
  <c r="B432" i="6"/>
  <c r="D432" i="6" s="1" a="1"/>
  <c r="D432" i="6" s="1"/>
  <c r="B433" i="6"/>
  <c r="F433" i="6" s="1" a="1"/>
  <c r="F433" i="6" s="1"/>
  <c r="B434" i="6"/>
  <c r="B435" i="6"/>
  <c r="B436" i="6"/>
  <c r="E436" i="6" s="1" a="1"/>
  <c r="E436" i="6" s="1"/>
  <c r="B437" i="6"/>
  <c r="B438" i="6"/>
  <c r="B439" i="6"/>
  <c r="B440" i="6"/>
  <c r="B441" i="6"/>
  <c r="B442" i="6"/>
  <c r="B443" i="6"/>
  <c r="B444" i="6"/>
  <c r="B445" i="6"/>
  <c r="F445" i="6" s="1" a="1"/>
  <c r="F445" i="6" s="1"/>
  <c r="B446" i="6"/>
  <c r="D446" i="6" s="1" a="1"/>
  <c r="D446" i="6" s="1"/>
  <c r="B447" i="6"/>
  <c r="B448" i="6"/>
  <c r="E448" i="6" s="1" a="1"/>
  <c r="E448" i="6" s="1"/>
  <c r="B449" i="6"/>
  <c r="B450" i="6"/>
  <c r="B451" i="6"/>
  <c r="E451" i="6" s="1" a="1"/>
  <c r="E451" i="6" s="1"/>
  <c r="B452" i="6"/>
  <c r="E452" i="6" s="1" a="1"/>
  <c r="E452" i="6" s="1"/>
  <c r="B453" i="6"/>
  <c r="B454" i="6"/>
  <c r="F454" i="6" s="1" a="1"/>
  <c r="F454" i="6" s="1"/>
  <c r="B455" i="6"/>
  <c r="B456" i="6"/>
  <c r="B457" i="6"/>
  <c r="F457" i="6" s="1" a="1"/>
  <c r="F457" i="6" s="1"/>
  <c r="B458" i="6"/>
  <c r="B459" i="6"/>
  <c r="B460" i="6"/>
  <c r="E460" i="6" s="1" a="1"/>
  <c r="E460" i="6" s="1"/>
  <c r="B461" i="6"/>
  <c r="D461" i="6" s="1" a="1"/>
  <c r="D461" i="6" s="1"/>
  <c r="B462" i="6"/>
  <c r="B463" i="6"/>
  <c r="E463" i="6" s="1" a="1"/>
  <c r="E463" i="6" s="1"/>
  <c r="B464" i="6"/>
  <c r="E464" i="6" s="1" a="1"/>
  <c r="E464" i="6" s="1"/>
  <c r="B465" i="6"/>
  <c r="E465" i="6" s="1" a="1"/>
  <c r="E465" i="6" s="1"/>
  <c r="B466" i="6"/>
  <c r="B467" i="6"/>
  <c r="I467" i="6" s="1" a="1"/>
  <c r="I467" i="6" s="1"/>
  <c r="B468" i="6"/>
  <c r="B469" i="6"/>
  <c r="F469" i="6" s="1" a="1"/>
  <c r="F469" i="6" s="1"/>
  <c r="B470" i="6"/>
  <c r="D470" i="6" s="1" a="1"/>
  <c r="D470" i="6" s="1"/>
  <c r="B471" i="6"/>
  <c r="D471" i="6" s="1" a="1"/>
  <c r="D471" i="6" s="1"/>
  <c r="B472" i="6"/>
  <c r="E472" i="6" s="1" a="1"/>
  <c r="E472" i="6" s="1"/>
  <c r="B473" i="6"/>
  <c r="B474" i="6"/>
  <c r="B475" i="6"/>
  <c r="E475" i="6" s="1" a="1"/>
  <c r="E475" i="6" s="1"/>
  <c r="B476" i="6"/>
  <c r="E476" i="6" s="1" a="1"/>
  <c r="E476" i="6" s="1"/>
  <c r="B477" i="6"/>
  <c r="B478" i="6"/>
  <c r="B479" i="6"/>
  <c r="I479" i="6" s="1" a="1"/>
  <c r="I479" i="6" s="1"/>
  <c r="B480" i="6"/>
  <c r="B481" i="6"/>
  <c r="G481" i="6" s="1" a="1"/>
  <c r="G481" i="6" s="1"/>
  <c r="B482" i="6"/>
  <c r="D482" i="6" s="1" a="1"/>
  <c r="D482" i="6" s="1"/>
  <c r="B483" i="6"/>
  <c r="B484" i="6"/>
  <c r="E484" i="6" s="1" a="1"/>
  <c r="E484" i="6" s="1"/>
  <c r="B485" i="6"/>
  <c r="D485" i="6" s="1" a="1"/>
  <c r="D485" i="6" s="1"/>
  <c r="B486" i="6"/>
  <c r="B487" i="6"/>
  <c r="E487" i="6" s="1" a="1"/>
  <c r="E487" i="6" s="1"/>
  <c r="B488" i="6"/>
  <c r="B489" i="6"/>
  <c r="E489" i="6" s="1" a="1"/>
  <c r="E489" i="6" s="1"/>
  <c r="B490" i="6"/>
  <c r="B491" i="6"/>
  <c r="D491" i="6" s="1" a="1"/>
  <c r="D491" i="6" s="1"/>
  <c r="B492" i="6"/>
  <c r="B493" i="6"/>
  <c r="G493" i="6" s="1" a="1"/>
  <c r="G493" i="6" s="1"/>
  <c r="B494" i="6"/>
  <c r="D494" i="6" s="1" a="1"/>
  <c r="D494" i="6" s="1"/>
  <c r="B495" i="6"/>
  <c r="B496" i="6"/>
  <c r="F496" i="6" s="1" a="1"/>
  <c r="F496" i="6" s="1"/>
  <c r="B497" i="6"/>
  <c r="B498" i="6"/>
  <c r="G498" i="6" s="1" a="1"/>
  <c r="G498" i="6" s="1"/>
  <c r="B499" i="6"/>
  <c r="E499" i="6" s="1" a="1"/>
  <c r="E499" i="6" s="1"/>
  <c r="B500" i="6"/>
  <c r="E500" i="6" s="1" a="1"/>
  <c r="E500" i="6" s="1"/>
  <c r="B501" i="6"/>
  <c r="G501" i="6" s="1" a="1"/>
  <c r="G501" i="6" s="1"/>
  <c r="B502" i="6"/>
  <c r="B503" i="6"/>
  <c r="G503" i="6" s="1" a="1"/>
  <c r="G503" i="6" s="1"/>
  <c r="B504" i="6"/>
  <c r="F504" i="6" s="1" a="1"/>
  <c r="F504" i="6" s="1"/>
  <c r="B505" i="6"/>
  <c r="G505" i="6" s="1" a="1"/>
  <c r="G505" i="6" s="1"/>
  <c r="B506" i="6"/>
  <c r="D506" i="6" s="1" a="1"/>
  <c r="D506" i="6" s="1"/>
  <c r="B507" i="6"/>
  <c r="B508" i="6"/>
  <c r="F508" i="6" s="1" a="1"/>
  <c r="F508" i="6" s="1"/>
  <c r="B509" i="6"/>
  <c r="D509" i="6" s="1" a="1"/>
  <c r="D509" i="6" s="1"/>
  <c r="B510" i="6"/>
  <c r="E510" i="6" s="1" a="1"/>
  <c r="E510" i="6" s="1"/>
  <c r="B511" i="6"/>
  <c r="E511" i="6" s="1" a="1"/>
  <c r="E511" i="6" s="1"/>
  <c r="B512" i="6"/>
  <c r="E512" i="6" s="1" a="1"/>
  <c r="E512" i="6" s="1"/>
  <c r="B513" i="6"/>
  <c r="E513" i="6" s="1" a="1"/>
  <c r="E513" i="6" s="1"/>
  <c r="B514" i="6"/>
  <c r="B515" i="6"/>
  <c r="F515" i="6" s="1" a="1"/>
  <c r="F515" i="6" s="1"/>
  <c r="B516" i="6"/>
  <c r="B517" i="6"/>
  <c r="E517" i="6" s="1" a="1"/>
  <c r="E517" i="6" s="1"/>
  <c r="B518" i="6"/>
  <c r="E518" i="6" s="1" a="1"/>
  <c r="E518" i="6" s="1"/>
  <c r="B519" i="6"/>
  <c r="E519" i="6" s="1" a="1"/>
  <c r="E519" i="6" s="1"/>
  <c r="B520" i="6"/>
  <c r="E520" i="6" s="1" a="1"/>
  <c r="E520" i="6" s="1"/>
  <c r="B521" i="6"/>
  <c r="E521" i="6" s="1" a="1"/>
  <c r="E521" i="6" s="1"/>
  <c r="B522" i="6"/>
  <c r="E522" i="6" s="1" a="1"/>
  <c r="E522" i="6" s="1"/>
  <c r="B523" i="6"/>
  <c r="E523" i="6" s="1" a="1"/>
  <c r="E523" i="6" s="1"/>
  <c r="B524" i="6"/>
  <c r="E524" i="6" s="1" a="1"/>
  <c r="E524" i="6" s="1"/>
  <c r="B525" i="6"/>
  <c r="E525" i="6" s="1" a="1"/>
  <c r="E525" i="6" s="1"/>
  <c r="B526" i="6"/>
  <c r="B527" i="6"/>
  <c r="G527" i="6" s="1" a="1"/>
  <c r="G527" i="6" s="1"/>
  <c r="B528" i="6"/>
  <c r="B529" i="6"/>
  <c r="E529" i="6" s="1" a="1"/>
  <c r="E529" i="6" s="1"/>
  <c r="B530" i="6"/>
  <c r="E530" i="6" s="1" a="1"/>
  <c r="E530" i="6" s="1"/>
  <c r="B531" i="6"/>
  <c r="E531" i="6" s="1" a="1"/>
  <c r="E531" i="6" s="1"/>
  <c r="B532" i="6"/>
  <c r="E532" i="6" s="1" a="1"/>
  <c r="E532" i="6" s="1"/>
  <c r="B533" i="6"/>
  <c r="E533" i="6" s="1" a="1"/>
  <c r="E533" i="6" s="1"/>
  <c r="B534" i="6"/>
  <c r="E534" i="6" s="1" a="1"/>
  <c r="E534" i="6" s="1"/>
  <c r="B535" i="6"/>
  <c r="E535" i="6" s="1" a="1"/>
  <c r="E535" i="6" s="1"/>
  <c r="B536" i="6"/>
  <c r="E536" i="6" s="1" a="1"/>
  <c r="E536" i="6" s="1"/>
  <c r="B537" i="6"/>
  <c r="E537" i="6" s="1" a="1"/>
  <c r="E537" i="6" s="1"/>
  <c r="B538" i="6"/>
  <c r="B539" i="6"/>
  <c r="B540" i="6"/>
  <c r="B541" i="6"/>
  <c r="E541" i="6" s="1" a="1"/>
  <c r="E541" i="6" s="1"/>
  <c r="B542" i="6"/>
  <c r="E542" i="6" s="1" a="1"/>
  <c r="E542" i="6" s="1"/>
  <c r="B543" i="6"/>
  <c r="E543" i="6" s="1" a="1"/>
  <c r="E543" i="6" s="1"/>
  <c r="B544" i="6"/>
  <c r="E544" i="6" s="1" a="1"/>
  <c r="E544" i="6" s="1"/>
  <c r="B545" i="6"/>
  <c r="E545" i="6" s="1" a="1"/>
  <c r="E545" i="6" s="1"/>
  <c r="B546" i="6"/>
  <c r="E546" i="6" s="1" a="1"/>
  <c r="E546" i="6" s="1"/>
  <c r="B547" i="6"/>
  <c r="E547" i="6" s="1" a="1"/>
  <c r="E547" i="6" s="1"/>
  <c r="B548" i="6"/>
  <c r="E548" i="6" s="1" a="1"/>
  <c r="E548" i="6" s="1"/>
  <c r="B549" i="6"/>
  <c r="E549" i="6" s="1" a="1"/>
  <c r="E549" i="6" s="1"/>
  <c r="B550" i="6"/>
  <c r="B551" i="6"/>
  <c r="B552" i="6"/>
  <c r="B553" i="6"/>
  <c r="E553" i="6" s="1" a="1"/>
  <c r="E553" i="6" s="1"/>
  <c r="B554" i="6"/>
  <c r="E554" i="6" s="1" a="1"/>
  <c r="E554" i="6" s="1"/>
  <c r="B555" i="6"/>
  <c r="E555" i="6" s="1" a="1"/>
  <c r="E555" i="6" s="1"/>
  <c r="B556" i="6"/>
  <c r="E556" i="6" s="1" a="1"/>
  <c r="E556" i="6" s="1"/>
  <c r="B557" i="6"/>
  <c r="E557" i="6" s="1" a="1"/>
  <c r="E557" i="6" s="1"/>
  <c r="B558" i="6"/>
  <c r="E558" i="6" s="1" a="1"/>
  <c r="E558" i="6" s="1"/>
  <c r="B559" i="6"/>
  <c r="E559" i="6" s="1" a="1"/>
  <c r="E559" i="6" s="1"/>
  <c r="B560" i="6"/>
  <c r="E560" i="6" s="1" a="1"/>
  <c r="E560" i="6" s="1"/>
  <c r="B561" i="6"/>
  <c r="E561" i="6" s="1" a="1"/>
  <c r="E561" i="6" s="1"/>
  <c r="B562" i="6"/>
  <c r="B563" i="6"/>
  <c r="B564" i="6"/>
  <c r="B565" i="6"/>
  <c r="E565" i="6" s="1" a="1"/>
  <c r="E565" i="6" s="1"/>
  <c r="B566" i="6"/>
  <c r="E566" i="6" s="1" a="1"/>
  <c r="E566" i="6" s="1"/>
  <c r="B567" i="6"/>
  <c r="E567" i="6" s="1" a="1"/>
  <c r="E567" i="6" s="1"/>
  <c r="B568" i="6"/>
  <c r="E568" i="6" s="1" a="1"/>
  <c r="E568" i="6" s="1"/>
  <c r="B569" i="6"/>
  <c r="E569" i="6" s="1" a="1"/>
  <c r="E569" i="6" s="1"/>
  <c r="B570" i="6"/>
  <c r="E570" i="6" s="1" a="1"/>
  <c r="E570" i="6" s="1"/>
  <c r="B571" i="6"/>
  <c r="E571" i="6" s="1" a="1"/>
  <c r="E571" i="6" s="1"/>
  <c r="B572" i="6"/>
  <c r="E572" i="6" s="1" a="1"/>
  <c r="E572" i="6" s="1"/>
  <c r="B573" i="6"/>
  <c r="E573" i="6" s="1" a="1"/>
  <c r="E573" i="6" s="1"/>
  <c r="B574" i="6"/>
  <c r="B575" i="6"/>
  <c r="B576" i="6"/>
  <c r="B577" i="6"/>
  <c r="E577" i="6" s="1" a="1"/>
  <c r="E577" i="6" s="1"/>
  <c r="B578" i="6"/>
  <c r="E578" i="6" s="1" a="1"/>
  <c r="E578" i="6" s="1"/>
  <c r="B579" i="6"/>
  <c r="E579" i="6" s="1" a="1"/>
  <c r="E579" i="6" s="1"/>
  <c r="B580" i="6"/>
  <c r="E580" i="6" s="1" a="1"/>
  <c r="E580" i="6" s="1"/>
  <c r="B581" i="6"/>
  <c r="E581" i="6" s="1" a="1"/>
  <c r="E581" i="6" s="1"/>
  <c r="B582" i="6"/>
  <c r="E582" i="6" s="1" a="1"/>
  <c r="E582" i="6" s="1"/>
  <c r="B583" i="6"/>
  <c r="E583" i="6" s="1" a="1"/>
  <c r="E583" i="6" s="1"/>
  <c r="B584" i="6"/>
  <c r="E584" i="6" s="1" a="1"/>
  <c r="E584" i="6" s="1"/>
  <c r="B585" i="6"/>
  <c r="E585" i="6" s="1" a="1"/>
  <c r="E585" i="6" s="1"/>
  <c r="B586" i="6"/>
  <c r="B587" i="6"/>
  <c r="D587" i="6" s="1" a="1"/>
  <c r="D587" i="6" s="1"/>
  <c r="B588" i="6"/>
  <c r="B589" i="6"/>
  <c r="E589" i="6" s="1" a="1"/>
  <c r="E589" i="6" s="1"/>
  <c r="B590" i="6"/>
  <c r="E590" i="6" s="1" a="1"/>
  <c r="E590" i="6" s="1"/>
  <c r="B591" i="6"/>
  <c r="E591" i="6" s="1" a="1"/>
  <c r="E591" i="6" s="1"/>
  <c r="B592" i="6"/>
  <c r="E592" i="6" s="1" a="1"/>
  <c r="E592" i="6" s="1"/>
  <c r="B593" i="6"/>
  <c r="E593" i="6" s="1" a="1"/>
  <c r="E593" i="6" s="1"/>
  <c r="B594" i="6"/>
  <c r="E594" i="6" s="1" a="1"/>
  <c r="E594" i="6" s="1"/>
  <c r="B595" i="6"/>
  <c r="E595" i="6" s="1" a="1"/>
  <c r="E595" i="6" s="1"/>
  <c r="B596" i="6"/>
  <c r="E596" i="6" s="1" a="1"/>
  <c r="E596" i="6" s="1"/>
  <c r="B597" i="6"/>
  <c r="E597" i="6" s="1" a="1"/>
  <c r="E597" i="6" s="1"/>
  <c r="B598" i="6"/>
  <c r="B599" i="6"/>
  <c r="B600" i="6"/>
  <c r="B601" i="6"/>
  <c r="E601" i="6" s="1" a="1"/>
  <c r="E601" i="6" s="1"/>
  <c r="B602" i="6"/>
  <c r="E602" i="6" s="1" a="1"/>
  <c r="E602" i="6" s="1"/>
  <c r="B603" i="6"/>
  <c r="E603" i="6" s="1" a="1"/>
  <c r="E603" i="6" s="1"/>
  <c r="B604" i="6"/>
  <c r="E604" i="6" s="1" a="1"/>
  <c r="E604" i="6" s="1"/>
  <c r="B605" i="6"/>
  <c r="E605" i="6" s="1" a="1"/>
  <c r="E605" i="6" s="1"/>
  <c r="B606" i="6"/>
  <c r="E606" i="6" s="1" a="1"/>
  <c r="E606" i="6" s="1"/>
  <c r="B607" i="6"/>
  <c r="E607" i="6" s="1" a="1"/>
  <c r="E607" i="6" s="1"/>
  <c r="B608" i="6"/>
  <c r="E608" i="6" s="1" a="1"/>
  <c r="E608" i="6" s="1"/>
  <c r="B609" i="6"/>
  <c r="E609" i="6" s="1" a="1"/>
  <c r="E609" i="6" s="1"/>
  <c r="B610" i="6"/>
  <c r="B611" i="6"/>
  <c r="B612" i="6"/>
  <c r="B613" i="6"/>
  <c r="E613" i="6" s="1" a="1"/>
  <c r="E613" i="6" s="1"/>
  <c r="B614" i="6"/>
  <c r="E614" i="6" s="1" a="1"/>
  <c r="E614" i="6" s="1"/>
  <c r="B615" i="6"/>
  <c r="E615" i="6" s="1" a="1"/>
  <c r="E615" i="6" s="1"/>
  <c r="B616" i="6"/>
  <c r="E616" i="6" s="1" a="1"/>
  <c r="E616" i="6" s="1"/>
  <c r="B617" i="6"/>
  <c r="E617" i="6" s="1" a="1"/>
  <c r="E617" i="6" s="1"/>
  <c r="B618" i="6"/>
  <c r="E618" i="6" s="1" a="1"/>
  <c r="E618" i="6" s="1"/>
  <c r="B619" i="6"/>
  <c r="E619" i="6" s="1" a="1"/>
  <c r="E619" i="6" s="1"/>
  <c r="B620" i="6"/>
  <c r="E620" i="6" s="1" a="1"/>
  <c r="E620" i="6" s="1"/>
  <c r="B621" i="6"/>
  <c r="E621" i="6" s="1" a="1"/>
  <c r="E621" i="6" s="1"/>
  <c r="B622" i="6"/>
  <c r="B623" i="6"/>
  <c r="B624" i="6"/>
  <c r="B625" i="6"/>
  <c r="E625" i="6" s="1" a="1"/>
  <c r="E625" i="6" s="1"/>
  <c r="B626" i="6"/>
  <c r="E626" i="6" s="1" a="1"/>
  <c r="E626" i="6" s="1"/>
  <c r="B627" i="6"/>
  <c r="E627" i="6" s="1" a="1"/>
  <c r="E627" i="6" s="1"/>
  <c r="B628" i="6"/>
  <c r="E628" i="6" s="1" a="1"/>
  <c r="E628" i="6" s="1"/>
  <c r="B629" i="6"/>
  <c r="E629" i="6" s="1" a="1"/>
  <c r="E629" i="6" s="1"/>
  <c r="B630" i="6"/>
  <c r="E630" i="6" s="1" a="1"/>
  <c r="E630" i="6" s="1"/>
  <c r="B631" i="6"/>
  <c r="E631" i="6" s="1" a="1"/>
  <c r="E631" i="6" s="1"/>
  <c r="B632" i="6"/>
  <c r="E632" i="6" s="1" a="1"/>
  <c r="E632" i="6" s="1"/>
  <c r="B633" i="6"/>
  <c r="E633" i="6" s="1" a="1"/>
  <c r="E633" i="6" s="1"/>
  <c r="B634" i="6"/>
  <c r="B635" i="6"/>
  <c r="G635" i="6" s="1" a="1"/>
  <c r="G635" i="6" s="1"/>
  <c r="B636" i="6"/>
  <c r="B637" i="6"/>
  <c r="E637" i="6" s="1" a="1"/>
  <c r="E637" i="6" s="1"/>
  <c r="B638" i="6"/>
  <c r="E638" i="6" s="1" a="1"/>
  <c r="E638" i="6" s="1"/>
  <c r="B639" i="6"/>
  <c r="E639" i="6" s="1" a="1"/>
  <c r="E639" i="6" s="1"/>
  <c r="B640" i="6"/>
  <c r="E640" i="6" s="1" a="1"/>
  <c r="E640" i="6" s="1"/>
  <c r="B641" i="6"/>
  <c r="E641" i="6" s="1" a="1"/>
  <c r="E641" i="6" s="1"/>
  <c r="B642" i="6"/>
  <c r="E642" i="6" s="1" a="1"/>
  <c r="E642" i="6" s="1"/>
  <c r="B643" i="6"/>
  <c r="E643" i="6" s="1" a="1"/>
  <c r="E643" i="6" s="1"/>
  <c r="B644" i="6"/>
  <c r="E644" i="6" s="1" a="1"/>
  <c r="E644" i="6" s="1"/>
  <c r="B645" i="6"/>
  <c r="E645" i="6" s="1" a="1"/>
  <c r="E645" i="6" s="1"/>
  <c r="B646" i="6"/>
  <c r="B647" i="6"/>
  <c r="B648" i="6"/>
  <c r="B649" i="6"/>
  <c r="E649" i="6" s="1" a="1"/>
  <c r="E649" i="6" s="1"/>
  <c r="B650" i="6"/>
  <c r="E650" i="6" s="1" a="1"/>
  <c r="E650" i="6" s="1"/>
  <c r="B651" i="6"/>
  <c r="E651" i="6" s="1" a="1"/>
  <c r="E651" i="6" s="1"/>
  <c r="B652" i="6"/>
  <c r="E652" i="6" s="1" a="1"/>
  <c r="E652" i="6" s="1"/>
  <c r="B653" i="6"/>
  <c r="E653" i="6" s="1" a="1"/>
  <c r="E653" i="6" s="1"/>
  <c r="B654" i="6"/>
  <c r="E654" i="6" s="1" a="1"/>
  <c r="E654" i="6" s="1"/>
  <c r="B655" i="6"/>
  <c r="E655" i="6" s="1" a="1"/>
  <c r="E655" i="6" s="1"/>
  <c r="B656" i="6"/>
  <c r="E656" i="6" s="1" a="1"/>
  <c r="E656" i="6" s="1"/>
  <c r="B657" i="6"/>
  <c r="E657" i="6" s="1" a="1"/>
  <c r="E657" i="6" s="1"/>
  <c r="B658" i="6"/>
  <c r="B659" i="6"/>
  <c r="B660" i="6"/>
  <c r="B661" i="6"/>
  <c r="E661" i="6" s="1" a="1"/>
  <c r="E661" i="6" s="1"/>
  <c r="B662" i="6"/>
  <c r="E662" i="6" s="1" a="1"/>
  <c r="E662" i="6" s="1"/>
  <c r="B663" i="6"/>
  <c r="E663" i="6" s="1" a="1"/>
  <c r="E663" i="6" s="1"/>
  <c r="B664" i="6"/>
  <c r="E664" i="6" s="1" a="1"/>
  <c r="E664" i="6" s="1"/>
  <c r="B665" i="6"/>
  <c r="E665" i="6" s="1" a="1"/>
  <c r="E665" i="6" s="1"/>
  <c r="B666" i="6"/>
  <c r="E666" i="6" s="1" a="1"/>
  <c r="E666" i="6" s="1"/>
  <c r="B667" i="6"/>
  <c r="E667" i="6" s="1" a="1"/>
  <c r="E667" i="6" s="1"/>
  <c r="B668" i="6"/>
  <c r="E668" i="6" s="1" a="1"/>
  <c r="E668" i="6" s="1"/>
  <c r="B669" i="6"/>
  <c r="E669" i="6" s="1" a="1"/>
  <c r="E669" i="6" s="1"/>
  <c r="B670" i="6"/>
  <c r="B671" i="6"/>
  <c r="B672" i="6"/>
  <c r="B673" i="6"/>
  <c r="E673" i="6" s="1" a="1"/>
  <c r="E673" i="6" s="1"/>
  <c r="B674" i="6"/>
  <c r="E674" i="6" s="1" a="1"/>
  <c r="E674" i="6" s="1"/>
  <c r="B675" i="6"/>
  <c r="E675" i="6" s="1" a="1"/>
  <c r="E675" i="6" s="1"/>
  <c r="B676" i="6"/>
  <c r="E676" i="6" s="1" a="1"/>
  <c r="E676" i="6" s="1"/>
  <c r="B677" i="6"/>
  <c r="E677" i="6" s="1" a="1"/>
  <c r="E677" i="6" s="1"/>
  <c r="B678" i="6"/>
  <c r="E678" i="6" s="1" a="1"/>
  <c r="E678" i="6" s="1"/>
  <c r="B679" i="6"/>
  <c r="E679" i="6" s="1" a="1"/>
  <c r="E679" i="6" s="1"/>
  <c r="B680" i="6"/>
  <c r="E680" i="6" s="1" a="1"/>
  <c r="E680" i="6" s="1"/>
  <c r="B681" i="6"/>
  <c r="E681" i="6" s="1" a="1"/>
  <c r="E681" i="6" s="1"/>
  <c r="B682" i="6"/>
  <c r="B683" i="6"/>
  <c r="B684" i="6"/>
  <c r="B685" i="6"/>
  <c r="E685" i="6" s="1" a="1"/>
  <c r="E685" i="6" s="1"/>
  <c r="B686" i="6"/>
  <c r="E686" i="6" s="1" a="1"/>
  <c r="E686" i="6" s="1"/>
  <c r="B687" i="6"/>
  <c r="E687" i="6" s="1" a="1"/>
  <c r="E687" i="6" s="1"/>
  <c r="B688" i="6"/>
  <c r="E688" i="6" s="1" a="1"/>
  <c r="E688" i="6" s="1"/>
  <c r="B689" i="6"/>
  <c r="E689" i="6" s="1" a="1"/>
  <c r="E689" i="6" s="1"/>
  <c r="B690" i="6"/>
  <c r="E690" i="6" s="1" a="1"/>
  <c r="E690" i="6" s="1"/>
  <c r="B691" i="6"/>
  <c r="E691" i="6" s="1" a="1"/>
  <c r="E691" i="6" s="1"/>
  <c r="B692" i="6"/>
  <c r="E692" i="6" s="1" a="1"/>
  <c r="E692" i="6" s="1"/>
  <c r="B693" i="6"/>
  <c r="E693" i="6" s="1" a="1"/>
  <c r="E693" i="6" s="1"/>
  <c r="B694" i="6"/>
  <c r="B695" i="6"/>
  <c r="B696" i="6"/>
  <c r="B697" i="6"/>
  <c r="E697" i="6" s="1" a="1"/>
  <c r="E697" i="6" s="1"/>
  <c r="B698" i="6"/>
  <c r="E698" i="6" s="1" a="1"/>
  <c r="E698" i="6" s="1"/>
  <c r="B699" i="6"/>
  <c r="E699" i="6" s="1" a="1"/>
  <c r="E699" i="6" s="1"/>
  <c r="B700" i="6"/>
  <c r="E700" i="6" s="1" a="1"/>
  <c r="E700" i="6" s="1"/>
  <c r="B701" i="6"/>
  <c r="E701" i="6" s="1" a="1"/>
  <c r="E701" i="6" s="1"/>
  <c r="B702" i="6"/>
  <c r="E702" i="6" s="1" a="1"/>
  <c r="E702" i="6" s="1"/>
  <c r="B703" i="6"/>
  <c r="E703" i="6" s="1" a="1"/>
  <c r="E703" i="6" s="1"/>
  <c r="B704" i="6"/>
  <c r="E704" i="6" s="1" a="1"/>
  <c r="E704" i="6" s="1"/>
  <c r="B705" i="6"/>
  <c r="E705" i="6" s="1" a="1"/>
  <c r="E705" i="6" s="1"/>
  <c r="B706" i="6"/>
  <c r="B707" i="6"/>
  <c r="B708" i="6"/>
  <c r="B709" i="6"/>
  <c r="E709" i="6" s="1" a="1"/>
  <c r="E709" i="6" s="1"/>
  <c r="B710" i="6"/>
  <c r="E710" i="6" s="1" a="1"/>
  <c r="E710" i="6" s="1"/>
  <c r="B711" i="6"/>
  <c r="E711" i="6" s="1" a="1"/>
  <c r="E711" i="6" s="1"/>
  <c r="B712" i="6"/>
  <c r="E712" i="6" s="1" a="1"/>
  <c r="E712" i="6" s="1"/>
  <c r="B713" i="6"/>
  <c r="E713" i="6" s="1" a="1"/>
  <c r="E713" i="6" s="1"/>
  <c r="B714" i="6"/>
  <c r="E714" i="6" s="1" a="1"/>
  <c r="E714" i="6" s="1"/>
  <c r="B715" i="6"/>
  <c r="E715" i="6" s="1" a="1"/>
  <c r="E715" i="6" s="1"/>
  <c r="B716" i="6"/>
  <c r="E716" i="6" s="1" a="1"/>
  <c r="E716" i="6" s="1"/>
  <c r="B717" i="6"/>
  <c r="E717" i="6" s="1" a="1"/>
  <c r="E717" i="6" s="1"/>
  <c r="B718" i="6"/>
  <c r="B719" i="6"/>
  <c r="F719" i="6" s="1" a="1"/>
  <c r="F719" i="6" s="1"/>
  <c r="B720" i="6"/>
  <c r="B721" i="6"/>
  <c r="E721" i="6" s="1" a="1"/>
  <c r="E721" i="6" s="1"/>
  <c r="B722" i="6"/>
  <c r="E722" i="6" s="1" a="1"/>
  <c r="E722" i="6" s="1"/>
  <c r="B723" i="6"/>
  <c r="E723" i="6" s="1" a="1"/>
  <c r="E723" i="6" s="1"/>
  <c r="B724" i="6"/>
  <c r="E724" i="6" s="1" a="1"/>
  <c r="E724" i="6" s="1"/>
  <c r="B725" i="6"/>
  <c r="E725" i="6" s="1" a="1"/>
  <c r="E725" i="6" s="1"/>
  <c r="B726" i="6"/>
  <c r="E726" i="6" s="1" a="1"/>
  <c r="E726" i="6" s="1"/>
  <c r="B727" i="6"/>
  <c r="E727" i="6" s="1" a="1"/>
  <c r="E727" i="6" s="1"/>
  <c r="B728" i="6"/>
  <c r="E728" i="6" s="1" a="1"/>
  <c r="E728" i="6" s="1"/>
  <c r="B729" i="6"/>
  <c r="E729" i="6" s="1" a="1"/>
  <c r="E729" i="6" s="1"/>
  <c r="B730" i="6"/>
  <c r="B731" i="6"/>
  <c r="B732" i="6"/>
  <c r="B733" i="6"/>
  <c r="E733" i="6" s="1" a="1"/>
  <c r="E733" i="6" s="1"/>
  <c r="B734" i="6"/>
  <c r="E734" i="6" s="1" a="1"/>
  <c r="E734" i="6" s="1"/>
  <c r="B735" i="6"/>
  <c r="E735" i="6" s="1" a="1"/>
  <c r="E735" i="6" s="1"/>
  <c r="B736" i="6"/>
  <c r="E736" i="6" s="1" a="1"/>
  <c r="E736" i="6" s="1"/>
  <c r="B737" i="6"/>
  <c r="E737" i="6" s="1" a="1"/>
  <c r="E737" i="6" s="1"/>
  <c r="B738" i="6"/>
  <c r="E738" i="6" s="1" a="1"/>
  <c r="E738" i="6" s="1"/>
  <c r="B739" i="6"/>
  <c r="E739" i="6" s="1" a="1"/>
  <c r="E739" i="6" s="1"/>
  <c r="B740" i="6"/>
  <c r="E740" i="6" s="1" a="1"/>
  <c r="E740" i="6" s="1"/>
  <c r="B741" i="6"/>
  <c r="E741" i="6" s="1" a="1"/>
  <c r="E741" i="6" s="1"/>
  <c r="B742" i="6"/>
  <c r="B743" i="6"/>
  <c r="B744" i="6"/>
  <c r="B745" i="6"/>
  <c r="E745" i="6" s="1" a="1"/>
  <c r="E745" i="6" s="1"/>
  <c r="B746" i="6"/>
  <c r="E746" i="6" s="1" a="1"/>
  <c r="E746" i="6" s="1"/>
  <c r="B747" i="6"/>
  <c r="E747" i="6" s="1" a="1"/>
  <c r="E747" i="6" s="1"/>
  <c r="B748" i="6"/>
  <c r="E748" i="6" s="1" a="1"/>
  <c r="E748" i="6" s="1"/>
  <c r="B749" i="6"/>
  <c r="E749" i="6" s="1" a="1"/>
  <c r="E749" i="6" s="1"/>
  <c r="B750" i="6"/>
  <c r="E750" i="6" s="1" a="1"/>
  <c r="E750" i="6" s="1"/>
  <c r="B751" i="6"/>
  <c r="E751" i="6" s="1" a="1"/>
  <c r="E751" i="6" s="1"/>
  <c r="B752" i="6"/>
  <c r="E752" i="6" s="1" a="1"/>
  <c r="E752" i="6" s="1"/>
  <c r="B753" i="6"/>
  <c r="E753" i="6" s="1" a="1"/>
  <c r="E753" i="6" s="1"/>
  <c r="B754" i="6"/>
  <c r="D754" i="6" s="1" a="1"/>
  <c r="D754" i="6" s="1"/>
  <c r="B755" i="6"/>
  <c r="B756" i="6"/>
  <c r="B757" i="6"/>
  <c r="E757" i="6" s="1" a="1"/>
  <c r="E757" i="6" s="1"/>
  <c r="B758" i="6"/>
  <c r="E758" i="6" s="1" a="1"/>
  <c r="E758" i="6" s="1"/>
  <c r="B759" i="6"/>
  <c r="E759" i="6" s="1" a="1"/>
  <c r="E759" i="6" s="1"/>
  <c r="B760" i="6"/>
  <c r="E760" i="6" s="1" a="1"/>
  <c r="E760" i="6" s="1"/>
  <c r="B761" i="6"/>
  <c r="E761" i="6" s="1" a="1"/>
  <c r="E761" i="6" s="1"/>
  <c r="B762" i="6"/>
  <c r="E762" i="6" s="1" a="1"/>
  <c r="E762" i="6" s="1"/>
  <c r="B763" i="6"/>
  <c r="E763" i="6" s="1" a="1"/>
  <c r="E763" i="6" s="1"/>
  <c r="B764" i="6"/>
  <c r="E764" i="6" s="1" a="1"/>
  <c r="E764" i="6" s="1"/>
  <c r="B765" i="6"/>
  <c r="E765" i="6" s="1" a="1"/>
  <c r="E765" i="6" s="1"/>
  <c r="B766" i="6"/>
  <c r="B767" i="6"/>
  <c r="F767" i="6" s="1" a="1"/>
  <c r="F767" i="6" s="1"/>
  <c r="B768" i="6"/>
  <c r="B769" i="6"/>
  <c r="E769" i="6" s="1" a="1"/>
  <c r="E769" i="6" s="1"/>
  <c r="B770" i="6"/>
  <c r="E770" i="6" s="1" a="1"/>
  <c r="E770" i="6" s="1"/>
  <c r="B771" i="6"/>
  <c r="E771" i="6" s="1" a="1"/>
  <c r="E771" i="6" s="1"/>
  <c r="B772" i="6"/>
  <c r="E772" i="6" s="1" a="1"/>
  <c r="E772" i="6" s="1"/>
  <c r="B773" i="6"/>
  <c r="E773" i="6" s="1" a="1"/>
  <c r="E773" i="6" s="1"/>
  <c r="B774" i="6"/>
  <c r="E774" i="6" s="1" a="1"/>
  <c r="E774" i="6" s="1"/>
  <c r="B775" i="6"/>
  <c r="E775" i="6" s="1" a="1"/>
  <c r="E775" i="6" s="1"/>
  <c r="B776" i="6"/>
  <c r="E776" i="6" s="1" a="1"/>
  <c r="E776" i="6" s="1"/>
  <c r="B777" i="6"/>
  <c r="E777" i="6" s="1" a="1"/>
  <c r="E777" i="6" s="1"/>
  <c r="B778" i="6"/>
  <c r="B779" i="6"/>
  <c r="B780" i="6"/>
  <c r="B781" i="6"/>
  <c r="E781" i="6" s="1" a="1"/>
  <c r="E781" i="6" s="1"/>
  <c r="B782" i="6"/>
  <c r="E782" i="6" s="1" a="1"/>
  <c r="E782" i="6" s="1"/>
  <c r="B783" i="6"/>
  <c r="E783" i="6" s="1" a="1"/>
  <c r="E783" i="6" s="1"/>
  <c r="B784" i="6"/>
  <c r="E784" i="6" s="1" a="1"/>
  <c r="E784" i="6" s="1"/>
  <c r="B785" i="6"/>
  <c r="E785" i="6" s="1" a="1"/>
  <c r="E785" i="6" s="1"/>
  <c r="B786" i="6"/>
  <c r="E786" i="6" s="1" a="1"/>
  <c r="E786" i="6" s="1"/>
  <c r="B787" i="6"/>
  <c r="E787" i="6" s="1" a="1"/>
  <c r="E787" i="6" s="1"/>
  <c r="B788" i="6"/>
  <c r="E788" i="6" s="1" a="1"/>
  <c r="E788" i="6" s="1"/>
  <c r="B789" i="6"/>
  <c r="E789" i="6" s="1" a="1"/>
  <c r="E789" i="6" s="1"/>
  <c r="B790" i="6"/>
  <c r="B791" i="6"/>
  <c r="B792" i="6"/>
  <c r="B793" i="6"/>
  <c r="E793" i="6" s="1" a="1"/>
  <c r="E793" i="6" s="1"/>
  <c r="B794" i="6"/>
  <c r="E794" i="6" s="1" a="1"/>
  <c r="E794" i="6" s="1"/>
  <c r="B795" i="6"/>
  <c r="E795" i="6" s="1" a="1"/>
  <c r="E795" i="6" s="1"/>
  <c r="B796" i="6"/>
  <c r="E796" i="6" s="1" a="1"/>
  <c r="E796" i="6" s="1"/>
  <c r="B797" i="6"/>
  <c r="E797" i="6" s="1" a="1"/>
  <c r="E797" i="6" s="1"/>
  <c r="B798" i="6"/>
  <c r="E798" i="6" s="1" a="1"/>
  <c r="E798" i="6" s="1"/>
  <c r="B799" i="6"/>
  <c r="E799" i="6" s="1" a="1"/>
  <c r="E799" i="6" s="1"/>
  <c r="B800" i="6"/>
  <c r="E800" i="6" s="1" a="1"/>
  <c r="E800" i="6" s="1"/>
  <c r="B801" i="6"/>
  <c r="E801" i="6" s="1" a="1"/>
  <c r="E801" i="6" s="1"/>
  <c r="B802" i="6"/>
  <c r="B803" i="6"/>
  <c r="B804" i="6"/>
  <c r="B805" i="6"/>
  <c r="E805" i="6" s="1" a="1"/>
  <c r="E805" i="6" s="1"/>
  <c r="B806" i="6"/>
  <c r="E806" i="6" s="1" a="1"/>
  <c r="E806" i="6" s="1"/>
  <c r="B807" i="6"/>
  <c r="E807" i="6" s="1" a="1"/>
  <c r="E807" i="6" s="1"/>
  <c r="B808" i="6"/>
  <c r="E808" i="6" s="1" a="1"/>
  <c r="E808" i="6" s="1"/>
  <c r="B809" i="6"/>
  <c r="E809" i="6" s="1" a="1"/>
  <c r="E809" i="6" s="1"/>
  <c r="B810" i="6"/>
  <c r="E810" i="6" s="1" a="1"/>
  <c r="E810" i="6" s="1"/>
  <c r="B811" i="6"/>
  <c r="E811" i="6" s="1" a="1"/>
  <c r="E811" i="6" s="1"/>
  <c r="B812" i="6"/>
  <c r="E812" i="6" s="1" a="1"/>
  <c r="E812" i="6" s="1"/>
  <c r="B813" i="6"/>
  <c r="E813" i="6" s="1" a="1"/>
  <c r="E813" i="6" s="1"/>
  <c r="B814" i="6"/>
  <c r="B815" i="6"/>
  <c r="B816" i="6"/>
  <c r="B817" i="6"/>
  <c r="E817" i="6" s="1" a="1"/>
  <c r="E817" i="6" s="1"/>
  <c r="B818" i="6"/>
  <c r="E818" i="6" s="1" a="1"/>
  <c r="E818" i="6" s="1"/>
  <c r="B819" i="6"/>
  <c r="E819" i="6" s="1" a="1"/>
  <c r="E819" i="6" s="1"/>
  <c r="B820" i="6"/>
  <c r="E820" i="6" s="1" a="1"/>
  <c r="E820" i="6" s="1"/>
  <c r="B821" i="6"/>
  <c r="E821" i="6" s="1" a="1"/>
  <c r="E821" i="6" s="1"/>
  <c r="B822" i="6"/>
  <c r="E822" i="6" s="1" a="1"/>
  <c r="E822" i="6" s="1"/>
  <c r="B823" i="6"/>
  <c r="E823" i="6" s="1" a="1"/>
  <c r="E823" i="6" s="1"/>
  <c r="B824" i="6"/>
  <c r="E824" i="6" s="1" a="1"/>
  <c r="E824" i="6" s="1"/>
  <c r="B825" i="6"/>
  <c r="E825" i="6" s="1" a="1"/>
  <c r="E825" i="6" s="1"/>
  <c r="B826" i="6"/>
  <c r="I826" i="6" s="1" a="1"/>
  <c r="I826" i="6" s="1"/>
  <c r="B827" i="6"/>
  <c r="B828" i="6"/>
  <c r="B829" i="6"/>
  <c r="E829" i="6" s="1" a="1"/>
  <c r="E829" i="6" s="1"/>
  <c r="B830" i="6"/>
  <c r="E830" i="6" s="1" a="1"/>
  <c r="E830" i="6" s="1"/>
  <c r="B831" i="6"/>
  <c r="E831" i="6" s="1" a="1"/>
  <c r="E831" i="6" s="1"/>
  <c r="B832" i="6"/>
  <c r="E832" i="6" s="1" a="1"/>
  <c r="E832" i="6" s="1"/>
  <c r="B833" i="6"/>
  <c r="E833" i="6" s="1" a="1"/>
  <c r="E833" i="6" s="1"/>
  <c r="B834" i="6"/>
  <c r="E834" i="6" s="1" a="1"/>
  <c r="E834" i="6" s="1"/>
  <c r="B835" i="6"/>
  <c r="E835" i="6" s="1" a="1"/>
  <c r="E835" i="6" s="1"/>
  <c r="B836" i="6"/>
  <c r="E836" i="6" s="1" a="1"/>
  <c r="E836" i="6" s="1"/>
  <c r="B837" i="6"/>
  <c r="E837" i="6" s="1" a="1"/>
  <c r="E837" i="6" s="1"/>
  <c r="B838" i="6"/>
  <c r="B839" i="6"/>
  <c r="B840" i="6"/>
  <c r="B841" i="6"/>
  <c r="E841" i="6" s="1" a="1"/>
  <c r="E841" i="6" s="1"/>
  <c r="B842" i="6"/>
  <c r="E842" i="6" s="1" a="1"/>
  <c r="E842" i="6" s="1"/>
  <c r="B843" i="6"/>
  <c r="E843" i="6" s="1" a="1"/>
  <c r="E843" i="6" s="1"/>
  <c r="B844" i="6"/>
  <c r="E844" i="6" s="1" a="1"/>
  <c r="E844" i="6" s="1"/>
  <c r="B845" i="6"/>
  <c r="E845" i="6" s="1" a="1"/>
  <c r="E845" i="6" s="1"/>
  <c r="B846" i="6"/>
  <c r="E846" i="6" s="1" a="1"/>
  <c r="E846" i="6" s="1"/>
  <c r="B847" i="6"/>
  <c r="E847" i="6" s="1" a="1"/>
  <c r="E847" i="6" s="1"/>
  <c r="B848" i="6"/>
  <c r="E848" i="6" s="1" a="1"/>
  <c r="E848" i="6" s="1"/>
  <c r="B849" i="6"/>
  <c r="E849" i="6" s="1" a="1"/>
  <c r="E849" i="6" s="1"/>
  <c r="B850" i="6"/>
  <c r="B851" i="6"/>
  <c r="B852" i="6"/>
  <c r="B853" i="6"/>
  <c r="E853" i="6" s="1" a="1"/>
  <c r="E853" i="6" s="1"/>
  <c r="B854" i="6"/>
  <c r="E854" i="6" s="1" a="1"/>
  <c r="E854" i="6" s="1"/>
  <c r="B855" i="6"/>
  <c r="E855" i="6" s="1" a="1"/>
  <c r="E855" i="6" s="1"/>
  <c r="B856" i="6"/>
  <c r="E856" i="6" s="1" a="1"/>
  <c r="E856" i="6" s="1"/>
  <c r="B857" i="6"/>
  <c r="E857" i="6" s="1" a="1"/>
  <c r="E857" i="6" s="1"/>
  <c r="B858" i="6"/>
  <c r="E858" i="6" s="1" a="1"/>
  <c r="E858" i="6" s="1"/>
  <c r="B859" i="6"/>
  <c r="E859" i="6" s="1" a="1"/>
  <c r="E859" i="6" s="1"/>
  <c r="B860" i="6"/>
  <c r="E860" i="6" s="1" a="1"/>
  <c r="E860" i="6" s="1"/>
  <c r="B861" i="6"/>
  <c r="E861" i="6" s="1" a="1"/>
  <c r="E861" i="6" s="1"/>
  <c r="B862" i="6"/>
  <c r="B863" i="6"/>
  <c r="B864" i="6"/>
  <c r="E864" i="6" s="1" a="1"/>
  <c r="E864" i="6" s="1"/>
  <c r="B865" i="6"/>
  <c r="E865" i="6" s="1" a="1"/>
  <c r="E865" i="6" s="1"/>
  <c r="B866" i="6"/>
  <c r="E866" i="6" s="1" a="1"/>
  <c r="E866" i="6" s="1"/>
  <c r="B867" i="6"/>
  <c r="E867" i="6" s="1" a="1"/>
  <c r="E867" i="6" s="1"/>
  <c r="B868" i="6"/>
  <c r="E868" i="6" s="1" a="1"/>
  <c r="E868" i="6" s="1"/>
  <c r="B869" i="6"/>
  <c r="E869" i="6" s="1" a="1"/>
  <c r="E869" i="6" s="1"/>
  <c r="B870" i="6"/>
  <c r="E870" i="6" s="1" a="1"/>
  <c r="E870" i="6" s="1"/>
  <c r="B871" i="6"/>
  <c r="E871" i="6" s="1" a="1"/>
  <c r="E871" i="6" s="1"/>
  <c r="B872" i="6"/>
  <c r="E872" i="6" s="1" a="1"/>
  <c r="E872" i="6" s="1"/>
  <c r="B873" i="6"/>
  <c r="E873" i="6" s="1" a="1"/>
  <c r="E873" i="6" s="1"/>
  <c r="B874" i="6"/>
  <c r="I874" i="6" s="1" a="1"/>
  <c r="I874" i="6" s="1"/>
  <c r="B875" i="6"/>
  <c r="B876" i="6"/>
  <c r="E876" i="6" s="1" a="1"/>
  <c r="E876" i="6" s="1"/>
  <c r="B877" i="6"/>
  <c r="E877" i="6" s="1" a="1"/>
  <c r="E877" i="6" s="1"/>
  <c r="B878" i="6"/>
  <c r="E878" i="6" s="1" a="1"/>
  <c r="E878" i="6" s="1"/>
  <c r="B879" i="6"/>
  <c r="E879" i="6" s="1" a="1"/>
  <c r="E879" i="6" s="1"/>
  <c r="B880" i="6"/>
  <c r="E880" i="6" s="1" a="1"/>
  <c r="E880" i="6" s="1"/>
  <c r="B881" i="6"/>
  <c r="E881" i="6" s="1" a="1"/>
  <c r="E881" i="6" s="1"/>
  <c r="B882" i="6"/>
  <c r="E882" i="6" s="1" a="1"/>
  <c r="E882" i="6" s="1"/>
  <c r="B883" i="6"/>
  <c r="E883" i="6" s="1" a="1"/>
  <c r="E883" i="6" s="1"/>
  <c r="B884" i="6"/>
  <c r="E884" i="6" s="1" a="1"/>
  <c r="E884" i="6" s="1"/>
  <c r="B885" i="6"/>
  <c r="E885" i="6" s="1" a="1"/>
  <c r="E885" i="6" s="1"/>
  <c r="B886" i="6"/>
  <c r="G886" i="6" s="1" a="1"/>
  <c r="G886" i="6" s="1"/>
  <c r="B887" i="6"/>
  <c r="F887" i="6" s="1" a="1"/>
  <c r="F887" i="6" s="1"/>
  <c r="B888" i="6"/>
  <c r="E888" i="6" s="1" a="1"/>
  <c r="E888" i="6" s="1"/>
  <c r="B889" i="6"/>
  <c r="E889" i="6" s="1" a="1"/>
  <c r="E889" i="6" s="1"/>
  <c r="B890" i="6"/>
  <c r="E890" i="6" s="1" a="1"/>
  <c r="E890" i="6" s="1"/>
  <c r="B891" i="6"/>
  <c r="E891" i="6" s="1" a="1"/>
  <c r="E891" i="6" s="1"/>
  <c r="B892" i="6"/>
  <c r="E892" i="6" s="1" a="1"/>
  <c r="E892" i="6" s="1"/>
  <c r="B893" i="6"/>
  <c r="E893" i="6" s="1" a="1"/>
  <c r="E893" i="6" s="1"/>
  <c r="B894" i="6"/>
  <c r="E894" i="6" s="1" a="1"/>
  <c r="E894" i="6" s="1"/>
  <c r="B895" i="6"/>
  <c r="E895" i="6" s="1" a="1"/>
  <c r="E895" i="6" s="1"/>
  <c r="B896" i="6"/>
  <c r="E896" i="6" s="1" a="1"/>
  <c r="E896" i="6" s="1"/>
  <c r="B897" i="6"/>
  <c r="E897" i="6" s="1" a="1"/>
  <c r="E897" i="6" s="1"/>
  <c r="B898" i="6"/>
  <c r="B899" i="6"/>
  <c r="B900" i="6"/>
  <c r="E900" i="6" s="1" a="1"/>
  <c r="E900" i="6" s="1"/>
  <c r="B901" i="6"/>
  <c r="E901" i="6" s="1" a="1"/>
  <c r="E901" i="6" s="1"/>
  <c r="B902" i="6"/>
  <c r="E902" i="6" s="1" a="1"/>
  <c r="E902" i="6" s="1"/>
  <c r="B903" i="6"/>
  <c r="E903" i="6" s="1" a="1"/>
  <c r="E903" i="6" s="1"/>
  <c r="B904" i="6"/>
  <c r="E904" i="6" s="1" a="1"/>
  <c r="E904" i="6" s="1"/>
  <c r="B905" i="6"/>
  <c r="E905" i="6" s="1" a="1"/>
  <c r="E905" i="6" s="1"/>
  <c r="B906" i="6"/>
  <c r="E906" i="6" s="1" a="1"/>
  <c r="E906" i="6" s="1"/>
  <c r="B907" i="6"/>
  <c r="E907" i="6" s="1" a="1"/>
  <c r="E907" i="6" s="1"/>
  <c r="B908" i="6"/>
  <c r="E908" i="6" s="1" a="1"/>
  <c r="E908" i="6" s="1"/>
  <c r="B909" i="6"/>
  <c r="E909" i="6" s="1" a="1"/>
  <c r="E909" i="6" s="1"/>
  <c r="B910" i="6"/>
  <c r="I910" i="6" s="1" a="1"/>
  <c r="I910" i="6" s="1"/>
  <c r="B911" i="6"/>
  <c r="F911" i="6" s="1" a="1"/>
  <c r="F911" i="6" s="1"/>
  <c r="B912" i="6"/>
  <c r="E912" i="6" s="1" a="1"/>
  <c r="E912" i="6" s="1"/>
  <c r="B913" i="6"/>
  <c r="E913" i="6" s="1" a="1"/>
  <c r="E913" i="6" s="1"/>
  <c r="B914" i="6"/>
  <c r="E914" i="6" s="1" a="1"/>
  <c r="E914" i="6" s="1"/>
  <c r="B915" i="6"/>
  <c r="E915" i="6" s="1" a="1"/>
  <c r="E915" i="6" s="1"/>
  <c r="B916" i="6"/>
  <c r="E916" i="6" s="1" a="1"/>
  <c r="E916" i="6" s="1"/>
  <c r="B917" i="6"/>
  <c r="E917" i="6" s="1" a="1"/>
  <c r="E917" i="6" s="1"/>
  <c r="B918" i="6"/>
  <c r="E918" i="6" s="1" a="1"/>
  <c r="E918" i="6" s="1"/>
  <c r="B919" i="6"/>
  <c r="E919" i="6" s="1" a="1"/>
  <c r="E919" i="6" s="1"/>
  <c r="B920" i="6"/>
  <c r="E920" i="6" s="1" a="1"/>
  <c r="E920" i="6" s="1"/>
  <c r="B921" i="6"/>
  <c r="E921" i="6" s="1" a="1"/>
  <c r="E921" i="6" s="1"/>
  <c r="B922" i="6"/>
  <c r="B923" i="6"/>
  <c r="B924" i="6"/>
  <c r="E924" i="6" s="1" a="1"/>
  <c r="E924" i="6" s="1"/>
  <c r="B925" i="6"/>
  <c r="E925" i="6" s="1" a="1"/>
  <c r="E925" i="6" s="1"/>
  <c r="B926" i="6"/>
  <c r="E926" i="6" s="1" a="1"/>
  <c r="E926" i="6" s="1"/>
  <c r="B927" i="6"/>
  <c r="E927" i="6" s="1" a="1"/>
  <c r="E927" i="6" s="1"/>
  <c r="B928" i="6"/>
  <c r="E928" i="6" s="1" a="1"/>
  <c r="E928" i="6" s="1"/>
  <c r="B929" i="6"/>
  <c r="E929" i="6" s="1" a="1"/>
  <c r="E929" i="6" s="1"/>
  <c r="B930" i="6"/>
  <c r="E930" i="6" s="1" a="1"/>
  <c r="E930" i="6" s="1"/>
  <c r="B931" i="6"/>
  <c r="E931" i="6" s="1" a="1"/>
  <c r="E931" i="6" s="1"/>
  <c r="B932" i="6"/>
  <c r="E932" i="6" s="1" a="1"/>
  <c r="E932" i="6" s="1"/>
  <c r="B933" i="6"/>
  <c r="E933" i="6" s="1" a="1"/>
  <c r="E933" i="6" s="1"/>
  <c r="B934" i="6"/>
  <c r="B935" i="6"/>
  <c r="B936" i="6"/>
  <c r="E936" i="6" s="1" a="1"/>
  <c r="E936" i="6" s="1"/>
  <c r="B937" i="6"/>
  <c r="E937" i="6" s="1" a="1"/>
  <c r="E937" i="6" s="1"/>
  <c r="B938" i="6"/>
  <c r="E938" i="6" s="1" a="1"/>
  <c r="E938" i="6" s="1"/>
  <c r="B939" i="6"/>
  <c r="E939" i="6" s="1" a="1"/>
  <c r="E939" i="6" s="1"/>
  <c r="B940" i="6"/>
  <c r="E940" i="6" s="1" a="1"/>
  <c r="E940" i="6" s="1"/>
  <c r="B941" i="6"/>
  <c r="E941" i="6" s="1" a="1"/>
  <c r="E941" i="6" s="1"/>
  <c r="B942" i="6"/>
  <c r="E942" i="6" s="1" a="1"/>
  <c r="E942" i="6" s="1"/>
  <c r="B943" i="6"/>
  <c r="E943" i="6" s="1" a="1"/>
  <c r="E943" i="6" s="1"/>
  <c r="B944" i="6"/>
  <c r="E944" i="6" s="1" a="1"/>
  <c r="E944" i="6" s="1"/>
  <c r="B945" i="6"/>
  <c r="E945" i="6" s="1" a="1"/>
  <c r="E945" i="6" s="1"/>
  <c r="B946" i="6"/>
  <c r="B947" i="6"/>
  <c r="B948" i="6"/>
  <c r="E948" i="6" s="1" a="1"/>
  <c r="E948" i="6" s="1"/>
  <c r="B949" i="6"/>
  <c r="E949" i="6" s="1" a="1"/>
  <c r="E949" i="6" s="1"/>
  <c r="B950" i="6"/>
  <c r="E950" i="6" s="1" a="1"/>
  <c r="E950" i="6" s="1"/>
  <c r="B951" i="6"/>
  <c r="E951" i="6" s="1" a="1"/>
  <c r="E951" i="6" s="1"/>
  <c r="B952" i="6"/>
  <c r="E952" i="6" s="1" a="1"/>
  <c r="E952" i="6" s="1"/>
  <c r="B953" i="6"/>
  <c r="E953" i="6" s="1" a="1"/>
  <c r="E953" i="6" s="1"/>
  <c r="B954" i="6"/>
  <c r="E954" i="6" s="1" a="1"/>
  <c r="E954" i="6" s="1"/>
  <c r="B955" i="6"/>
  <c r="E955" i="6" s="1" a="1"/>
  <c r="E955" i="6" s="1"/>
  <c r="B956" i="6"/>
  <c r="E956" i="6" s="1" a="1"/>
  <c r="E956" i="6" s="1"/>
  <c r="B957" i="6"/>
  <c r="E957" i="6" s="1" a="1"/>
  <c r="E957" i="6" s="1"/>
  <c r="B958" i="6"/>
  <c r="B959" i="6"/>
  <c r="B960" i="6"/>
  <c r="E960" i="6" s="1" a="1"/>
  <c r="E960" i="6" s="1"/>
  <c r="B961" i="6"/>
  <c r="E961" i="6" s="1" a="1"/>
  <c r="E961" i="6" s="1"/>
  <c r="B962" i="6"/>
  <c r="E962" i="6" s="1" a="1"/>
  <c r="E962" i="6" s="1"/>
  <c r="B963" i="6"/>
  <c r="E963" i="6" s="1" a="1"/>
  <c r="E963" i="6" s="1"/>
  <c r="B964" i="6"/>
  <c r="E964" i="6" s="1" a="1"/>
  <c r="E964" i="6" s="1"/>
  <c r="B965" i="6"/>
  <c r="E965" i="6" s="1" a="1"/>
  <c r="E965" i="6" s="1"/>
  <c r="B966" i="6"/>
  <c r="E966" i="6" s="1" a="1"/>
  <c r="E966" i="6" s="1"/>
  <c r="B967" i="6"/>
  <c r="E967" i="6" s="1" a="1"/>
  <c r="E967" i="6" s="1"/>
  <c r="B968" i="6"/>
  <c r="E968" i="6" s="1" a="1"/>
  <c r="E968" i="6" s="1"/>
  <c r="B969" i="6"/>
  <c r="E969" i="6" s="1" a="1"/>
  <c r="E969" i="6" s="1"/>
  <c r="B970" i="6"/>
  <c r="B971" i="6"/>
  <c r="B972" i="6"/>
  <c r="E972" i="6" s="1" a="1"/>
  <c r="E972" i="6" s="1"/>
  <c r="B973" i="6"/>
  <c r="E973" i="6" s="1" a="1"/>
  <c r="E973" i="6" s="1"/>
  <c r="B974" i="6"/>
  <c r="E974" i="6" s="1" a="1"/>
  <c r="E974" i="6" s="1"/>
  <c r="B975" i="6"/>
  <c r="E975" i="6" s="1" a="1"/>
  <c r="E975" i="6" s="1"/>
  <c r="B976" i="6"/>
  <c r="E976" i="6" s="1" a="1"/>
  <c r="E976" i="6" s="1"/>
  <c r="B977" i="6"/>
  <c r="E977" i="6" s="1" a="1"/>
  <c r="E977" i="6" s="1"/>
  <c r="B978" i="6"/>
  <c r="E978" i="6" s="1" a="1"/>
  <c r="E978" i="6" s="1"/>
  <c r="B979" i="6"/>
  <c r="E979" i="6" s="1" a="1"/>
  <c r="E979" i="6" s="1"/>
  <c r="B980" i="6"/>
  <c r="E980" i="6" s="1" a="1"/>
  <c r="E980" i="6" s="1"/>
  <c r="B981" i="6"/>
  <c r="E981" i="6" s="1" a="1"/>
  <c r="E981" i="6" s="1"/>
  <c r="B982" i="6"/>
  <c r="B983" i="6"/>
  <c r="B984" i="6"/>
  <c r="E984" i="6" s="1" a="1"/>
  <c r="E984" i="6" s="1"/>
  <c r="B985" i="6"/>
  <c r="E985" i="6" s="1" a="1"/>
  <c r="E985" i="6" s="1"/>
  <c r="B986" i="6"/>
  <c r="E986" i="6" s="1" a="1"/>
  <c r="E986" i="6" s="1"/>
  <c r="B987" i="6"/>
  <c r="E987" i="6" s="1" a="1"/>
  <c r="E987" i="6" s="1"/>
  <c r="B988" i="6"/>
  <c r="E988" i="6" s="1" a="1"/>
  <c r="E988" i="6" s="1"/>
  <c r="B989" i="6"/>
  <c r="E989" i="6" s="1" a="1"/>
  <c r="E989" i="6" s="1"/>
  <c r="B990" i="6"/>
  <c r="E990" i="6" s="1" a="1"/>
  <c r="E990" i="6" s="1"/>
  <c r="B991" i="6"/>
  <c r="E991" i="6" s="1" a="1"/>
  <c r="E991" i="6" s="1"/>
  <c r="B992" i="6"/>
  <c r="E992" i="6" s="1" a="1"/>
  <c r="E992" i="6" s="1"/>
  <c r="B993" i="6"/>
  <c r="E993" i="6" s="1" a="1"/>
  <c r="E993" i="6" s="1"/>
  <c r="B994" i="6"/>
  <c r="I994" i="6" s="1" a="1"/>
  <c r="I994" i="6" s="1"/>
  <c r="B995" i="6"/>
  <c r="B996" i="6"/>
  <c r="E996" i="6" s="1" a="1"/>
  <c r="E996" i="6" s="1"/>
  <c r="B997" i="6"/>
  <c r="E997" i="6" s="1" a="1"/>
  <c r="E997" i="6" s="1"/>
  <c r="B998" i="6"/>
  <c r="E998" i="6" s="1" a="1"/>
  <c r="E998" i="6" s="1"/>
  <c r="B999" i="6"/>
  <c r="E999" i="6" s="1" a="1"/>
  <c r="E999" i="6" s="1"/>
  <c r="B1000" i="6"/>
  <c r="E1000" i="6" s="1" a="1"/>
  <c r="E1000" i="6" s="1"/>
  <c r="B1001" i="6"/>
  <c r="E1001" i="6" s="1" a="1"/>
  <c r="E1001" i="6" s="1"/>
  <c r="B1002" i="6"/>
  <c r="E1002" i="6" s="1" a="1"/>
  <c r="E1002" i="6" s="1"/>
  <c r="B1003" i="6"/>
  <c r="E1003" i="6" s="1" a="1"/>
  <c r="E1003" i="6" s="1"/>
  <c r="B1004" i="6"/>
  <c r="E1004" i="6" s="1" a="1"/>
  <c r="E1004" i="6" s="1"/>
  <c r="B1005" i="6"/>
  <c r="E1005" i="6" s="1" a="1"/>
  <c r="E1005" i="6" s="1"/>
  <c r="B1006" i="6"/>
  <c r="B1007" i="6"/>
  <c r="B1008" i="6"/>
  <c r="E1008" i="6" s="1" a="1"/>
  <c r="E1008" i="6" s="1"/>
  <c r="B1009" i="6"/>
  <c r="E1009" i="6" s="1" a="1"/>
  <c r="E1009" i="6" s="1"/>
  <c r="B1010" i="6"/>
  <c r="E1010" i="6" s="1" a="1"/>
  <c r="E1010" i="6" s="1"/>
  <c r="B1011" i="6"/>
  <c r="E1011" i="6" s="1" a="1"/>
  <c r="E1011" i="6" s="1"/>
  <c r="B1012" i="6"/>
  <c r="E1012" i="6" s="1" a="1"/>
  <c r="E1012" i="6" s="1"/>
  <c r="B1013" i="6"/>
  <c r="E1013" i="6" s="1" a="1"/>
  <c r="E1013" i="6" s="1"/>
  <c r="B1014" i="6"/>
  <c r="E1014" i="6" s="1" a="1"/>
  <c r="E1014" i="6" s="1"/>
  <c r="B1015" i="6"/>
  <c r="E1015" i="6" s="1" a="1"/>
  <c r="E1015" i="6" s="1"/>
  <c r="B1016" i="6"/>
  <c r="E1016" i="6" s="1" a="1"/>
  <c r="E1016" i="6" s="1"/>
  <c r="B1017" i="6"/>
  <c r="E1017" i="6" s="1" a="1"/>
  <c r="E1017" i="6" s="1"/>
  <c r="B1018" i="6"/>
  <c r="D1018" i="6" s="1" a="1"/>
  <c r="D1018" i="6" s="1"/>
  <c r="B1019" i="6"/>
  <c r="F1019" i="6" s="1" a="1"/>
  <c r="F1019" i="6" s="1"/>
  <c r="B1020" i="6"/>
  <c r="E1020" i="6" s="1" a="1"/>
  <c r="E1020" i="6" s="1"/>
  <c r="B1021" i="6"/>
  <c r="E1021" i="6" s="1" a="1"/>
  <c r="E1021" i="6" s="1"/>
  <c r="B1022" i="6"/>
  <c r="E1022" i="6" s="1" a="1"/>
  <c r="E1022" i="6" s="1"/>
  <c r="B1023" i="6"/>
  <c r="E1023" i="6" s="1" a="1"/>
  <c r="E1023" i="6" s="1"/>
  <c r="B1024" i="6"/>
  <c r="E1024" i="6" s="1" a="1"/>
  <c r="E1024" i="6" s="1"/>
  <c r="B1025" i="6"/>
  <c r="E1025" i="6" s="1" a="1"/>
  <c r="E1025" i="6" s="1"/>
  <c r="B1026" i="6"/>
  <c r="E1026" i="6" s="1" a="1"/>
  <c r="E1026" i="6" s="1"/>
  <c r="B1027" i="6"/>
  <c r="E1027" i="6" s="1" a="1"/>
  <c r="E1027" i="6" s="1"/>
  <c r="B1028" i="6"/>
  <c r="E1028" i="6" s="1" a="1"/>
  <c r="E1028" i="6" s="1"/>
  <c r="B1029" i="6"/>
  <c r="E1029" i="6" s="1" a="1"/>
  <c r="E1029" i="6" s="1"/>
  <c r="B1030" i="6"/>
  <c r="B1031" i="6"/>
  <c r="F1031" i="6" s="1" a="1"/>
  <c r="F1031" i="6" s="1"/>
  <c r="B1032" i="6"/>
  <c r="E1032" i="6" s="1" a="1"/>
  <c r="E1032" i="6" s="1"/>
  <c r="B1033" i="6"/>
  <c r="E1033" i="6" s="1" a="1"/>
  <c r="E1033" i="6" s="1"/>
  <c r="B1034" i="6"/>
  <c r="E1034" i="6" s="1" a="1"/>
  <c r="E1034" i="6" s="1"/>
  <c r="B1035" i="6"/>
  <c r="E1035" i="6" s="1" a="1"/>
  <c r="E1035" i="6" s="1"/>
  <c r="B1036" i="6"/>
  <c r="E1036" i="6" s="1" a="1"/>
  <c r="E1036" i="6" s="1"/>
  <c r="B1037" i="6"/>
  <c r="E1037" i="6" s="1" a="1"/>
  <c r="E1037" i="6" s="1"/>
  <c r="B1038" i="6"/>
  <c r="E1038" i="6" s="1" a="1"/>
  <c r="E1038" i="6" s="1"/>
  <c r="B1039" i="6"/>
  <c r="E1039" i="6" s="1" a="1"/>
  <c r="E1039" i="6" s="1"/>
  <c r="B1040" i="6"/>
  <c r="E1040" i="6" s="1" a="1"/>
  <c r="E1040" i="6" s="1"/>
  <c r="B1041" i="6"/>
  <c r="E1041" i="6" s="1" a="1"/>
  <c r="E1041" i="6" s="1"/>
  <c r="B1042" i="6"/>
  <c r="B1043" i="6"/>
  <c r="B1044" i="6"/>
  <c r="E1044" i="6" s="1" a="1"/>
  <c r="E1044" i="6" s="1"/>
  <c r="B1045" i="6"/>
  <c r="E1045" i="6" s="1" a="1"/>
  <c r="E1045" i="6" s="1"/>
  <c r="B1046" i="6"/>
  <c r="E1046" i="6" s="1" a="1"/>
  <c r="E1046" i="6" s="1"/>
  <c r="B1047" i="6"/>
  <c r="E1047" i="6" s="1" a="1"/>
  <c r="E1047" i="6" s="1"/>
  <c r="B1048" i="6"/>
  <c r="E1048" i="6" s="1" a="1"/>
  <c r="E1048" i="6" s="1"/>
  <c r="B1049" i="6"/>
  <c r="E1049" i="6" s="1" a="1"/>
  <c r="E1049" i="6" s="1"/>
  <c r="B1050" i="6"/>
  <c r="E1050" i="6" s="1" a="1"/>
  <c r="E1050" i="6" s="1"/>
  <c r="B1051" i="6"/>
  <c r="E1051" i="6" s="1" a="1"/>
  <c r="E1051" i="6" s="1"/>
  <c r="B1052" i="6"/>
  <c r="E1052" i="6" s="1" a="1"/>
  <c r="E1052" i="6" s="1"/>
  <c r="B1053" i="6"/>
  <c r="E1053" i="6" s="1" a="1"/>
  <c r="E1053" i="6" s="1"/>
  <c r="B1054" i="6"/>
  <c r="B1055" i="6"/>
  <c r="B1056" i="6"/>
  <c r="E1056" i="6" s="1" a="1"/>
  <c r="E1056" i="6" s="1"/>
  <c r="B1057" i="6"/>
  <c r="E1057" i="6" s="1" a="1"/>
  <c r="E1057" i="6" s="1"/>
  <c r="B1058" i="6"/>
  <c r="E1058" i="6" s="1" a="1"/>
  <c r="E1058" i="6" s="1"/>
  <c r="B1059" i="6"/>
  <c r="E1059" i="6" s="1" a="1"/>
  <c r="E1059" i="6" s="1"/>
  <c r="B1060" i="6"/>
  <c r="E1060" i="6" s="1" a="1"/>
  <c r="E1060" i="6" s="1"/>
  <c r="B1061" i="6"/>
  <c r="E1061" i="6" s="1" a="1"/>
  <c r="E1061" i="6" s="1"/>
  <c r="B1062" i="6"/>
  <c r="E1062" i="6" s="1" a="1"/>
  <c r="E1062" i="6" s="1"/>
  <c r="B1063" i="6"/>
  <c r="E1063" i="6" s="1" a="1"/>
  <c r="E1063" i="6" s="1"/>
  <c r="B1064" i="6"/>
  <c r="E1064" i="6" s="1" a="1"/>
  <c r="E1064" i="6" s="1"/>
  <c r="B1065" i="6"/>
  <c r="E1065" i="6" s="1" a="1"/>
  <c r="E1065" i="6" s="1"/>
  <c r="B1066" i="6"/>
  <c r="B1067" i="6"/>
  <c r="B1068" i="6"/>
  <c r="E1068" i="6" s="1" a="1"/>
  <c r="E1068" i="6" s="1"/>
  <c r="B1069" i="6"/>
  <c r="E1069" i="6" s="1" a="1"/>
  <c r="E1069" i="6" s="1"/>
  <c r="B1070" i="6"/>
  <c r="E1070" i="6" s="1" a="1"/>
  <c r="E1070" i="6" s="1"/>
  <c r="B1071" i="6"/>
  <c r="E1071" i="6" s="1" a="1"/>
  <c r="E1071" i="6" s="1"/>
  <c r="B1072" i="6"/>
  <c r="E1072" i="6" s="1" a="1"/>
  <c r="E1072" i="6" s="1"/>
  <c r="B1073" i="6"/>
  <c r="E1073" i="6" s="1" a="1"/>
  <c r="E1073" i="6" s="1"/>
  <c r="B1074" i="6"/>
  <c r="E1074" i="6" s="1" a="1"/>
  <c r="E1074" i="6" s="1"/>
  <c r="B1075" i="6"/>
  <c r="E1075" i="6" s="1" a="1"/>
  <c r="E1075" i="6" s="1"/>
  <c r="B1076" i="6"/>
  <c r="E1076" i="6" s="1" a="1"/>
  <c r="E1076" i="6" s="1"/>
  <c r="B1077" i="6"/>
  <c r="E1077" i="6" s="1" a="1"/>
  <c r="E1077" i="6" s="1"/>
  <c r="B1078" i="6"/>
  <c r="B1079" i="6"/>
  <c r="B1080" i="6"/>
  <c r="E1080" i="6" s="1" a="1"/>
  <c r="E1080" i="6" s="1"/>
  <c r="B1081" i="6"/>
  <c r="E1081" i="6" s="1" a="1"/>
  <c r="E1081" i="6" s="1"/>
  <c r="B1082" i="6"/>
  <c r="E1082" i="6" s="1" a="1"/>
  <c r="E1082" i="6" s="1"/>
  <c r="B1083" i="6"/>
  <c r="E1083" i="6" s="1" a="1"/>
  <c r="E1083" i="6" s="1"/>
  <c r="B1084" i="6"/>
  <c r="E1084" i="6" s="1" a="1"/>
  <c r="E1084" i="6" s="1"/>
  <c r="B1085" i="6"/>
  <c r="E1085" i="6" s="1" a="1"/>
  <c r="E1085" i="6" s="1"/>
  <c r="B1086" i="6"/>
  <c r="E1086" i="6" s="1" a="1"/>
  <c r="E1086" i="6" s="1"/>
  <c r="B1087" i="6"/>
  <c r="E1087" i="6" s="1" a="1"/>
  <c r="E1087" i="6" s="1"/>
  <c r="B1088" i="6"/>
  <c r="E1088" i="6" s="1" a="1"/>
  <c r="E1088" i="6" s="1"/>
  <c r="B1089" i="6"/>
  <c r="E1089" i="6" s="1" a="1"/>
  <c r="E1089" i="6" s="1"/>
  <c r="B1090" i="6"/>
  <c r="B1091" i="6"/>
  <c r="B1092" i="6"/>
  <c r="E1092" i="6" s="1" a="1"/>
  <c r="E1092" i="6" s="1"/>
  <c r="B1093" i="6"/>
  <c r="E1093" i="6" s="1" a="1"/>
  <c r="E1093" i="6" s="1"/>
  <c r="B1094" i="6"/>
  <c r="E1094" i="6" s="1" a="1"/>
  <c r="E1094" i="6" s="1"/>
  <c r="B1095" i="6"/>
  <c r="E1095" i="6" s="1" a="1"/>
  <c r="E1095" i="6" s="1"/>
  <c r="B1096" i="6"/>
  <c r="E1096" i="6" s="1" a="1"/>
  <c r="E1096" i="6" s="1"/>
  <c r="B1097" i="6"/>
  <c r="E1097" i="6" s="1" a="1"/>
  <c r="E1097" i="6" s="1"/>
  <c r="B1098" i="6"/>
  <c r="E1098" i="6" s="1" a="1"/>
  <c r="E1098" i="6" s="1"/>
  <c r="B1099" i="6"/>
  <c r="E1099" i="6" s="1" a="1"/>
  <c r="E1099" i="6" s="1"/>
  <c r="B1100" i="6"/>
  <c r="E1100" i="6" s="1" a="1"/>
  <c r="E1100" i="6" s="1"/>
  <c r="B1101" i="6"/>
  <c r="E1101" i="6" s="1" a="1"/>
  <c r="E1101" i="6" s="1"/>
  <c r="B1102" i="6"/>
  <c r="D1102" i="6" s="1" a="1"/>
  <c r="D1102" i="6" s="1"/>
  <c r="B1103" i="6"/>
  <c r="B1104" i="6"/>
  <c r="E1104" i="6" s="1" a="1"/>
  <c r="E1104" i="6" s="1"/>
  <c r="B1105" i="6"/>
  <c r="E1105" i="6" s="1" a="1"/>
  <c r="E1105" i="6" s="1"/>
  <c r="B1106" i="6"/>
  <c r="E1106" i="6" s="1" a="1"/>
  <c r="E1106" i="6" s="1"/>
  <c r="B1107" i="6"/>
  <c r="E1107" i="6" s="1" a="1"/>
  <c r="E1107" i="6" s="1"/>
  <c r="B1108" i="6"/>
  <c r="E1108" i="6" s="1" a="1"/>
  <c r="E1108" i="6" s="1"/>
  <c r="B1109" i="6"/>
  <c r="E1109" i="6" s="1" a="1"/>
  <c r="E1109" i="6" s="1"/>
  <c r="B1110" i="6"/>
  <c r="E1110" i="6" s="1" a="1"/>
  <c r="E1110" i="6" s="1"/>
  <c r="B1111" i="6"/>
  <c r="E1111" i="6" s="1" a="1"/>
  <c r="E1111" i="6" s="1"/>
  <c r="B1112" i="6"/>
  <c r="E1112" i="6" s="1" a="1"/>
  <c r="E1112" i="6" s="1"/>
  <c r="B1113" i="6"/>
  <c r="E1113" i="6" s="1" a="1"/>
  <c r="E1113" i="6" s="1"/>
  <c r="B1114" i="6"/>
  <c r="B1115" i="6"/>
  <c r="B1116" i="6"/>
  <c r="E1116" i="6" s="1" a="1"/>
  <c r="E1116" i="6" s="1"/>
  <c r="B1117" i="6"/>
  <c r="E1117" i="6" s="1" a="1"/>
  <c r="E1117" i="6" s="1"/>
  <c r="B1118" i="6"/>
  <c r="E1118" i="6" s="1" a="1"/>
  <c r="E1118" i="6" s="1"/>
  <c r="B1119" i="6"/>
  <c r="E1119" i="6" s="1" a="1"/>
  <c r="E1119" i="6" s="1"/>
  <c r="B1120" i="6"/>
  <c r="E1120" i="6" s="1" a="1"/>
  <c r="E1120" i="6" s="1"/>
  <c r="B1121" i="6"/>
  <c r="E1121" i="6" s="1" a="1"/>
  <c r="E1121" i="6" s="1"/>
  <c r="B1122" i="6"/>
  <c r="E1122" i="6" s="1" a="1"/>
  <c r="E1122" i="6" s="1"/>
  <c r="B1123" i="6"/>
  <c r="E1123" i="6" s="1" a="1"/>
  <c r="E1123" i="6" s="1"/>
  <c r="B1124" i="6"/>
  <c r="E1124" i="6" s="1" a="1"/>
  <c r="E1124" i="6" s="1"/>
  <c r="B1125" i="6"/>
  <c r="E1125" i="6" s="1" a="1"/>
  <c r="E1125" i="6" s="1"/>
  <c r="B1126" i="6"/>
  <c r="F1126" i="6" s="1" a="1"/>
  <c r="F1126" i="6" s="1"/>
  <c r="B1127" i="6"/>
  <c r="B1128" i="6"/>
  <c r="E1128" i="6" s="1" a="1"/>
  <c r="E1128" i="6" s="1"/>
  <c r="B1129" i="6"/>
  <c r="E1129" i="6" s="1" a="1"/>
  <c r="E1129" i="6" s="1"/>
  <c r="B1130" i="6"/>
  <c r="E1130" i="6" s="1" a="1"/>
  <c r="E1130" i="6" s="1"/>
  <c r="B1131" i="6"/>
  <c r="E1131" i="6" s="1" a="1"/>
  <c r="E1131" i="6" s="1"/>
  <c r="B1132" i="6"/>
  <c r="E1132" i="6" s="1" a="1"/>
  <c r="E1132" i="6" s="1"/>
  <c r="B1133" i="6"/>
  <c r="E1133" i="6" s="1" a="1"/>
  <c r="E1133" i="6" s="1"/>
  <c r="B1134" i="6"/>
  <c r="E1134" i="6" s="1" a="1"/>
  <c r="E1134" i="6" s="1"/>
  <c r="B1135" i="6"/>
  <c r="E1135" i="6" s="1" a="1"/>
  <c r="E1135" i="6" s="1"/>
  <c r="B1136" i="6"/>
  <c r="E1136" i="6" s="1" a="1"/>
  <c r="E1136" i="6" s="1"/>
  <c r="B1137" i="6"/>
  <c r="E1137" i="6" s="1" a="1"/>
  <c r="E1137" i="6" s="1"/>
  <c r="B1138" i="6"/>
  <c r="B1139" i="6"/>
  <c r="B1140" i="6"/>
  <c r="E1140" i="6" s="1" a="1"/>
  <c r="E1140" i="6" s="1"/>
  <c r="B1141" i="6"/>
  <c r="E1141" i="6" s="1" a="1"/>
  <c r="E1141" i="6" s="1"/>
  <c r="B1142" i="6"/>
  <c r="E1142" i="6" s="1" a="1"/>
  <c r="E1142" i="6" s="1"/>
  <c r="B1143" i="6"/>
  <c r="E1143" i="6" s="1" a="1"/>
  <c r="E1143" i="6" s="1"/>
  <c r="B1144" i="6"/>
  <c r="E1144" i="6" s="1" a="1"/>
  <c r="E1144" i="6" s="1"/>
  <c r="B1145" i="6"/>
  <c r="E1145" i="6" s="1" a="1"/>
  <c r="E1145" i="6" s="1"/>
  <c r="B1146" i="6"/>
  <c r="E1146" i="6" s="1" a="1"/>
  <c r="E1146" i="6" s="1"/>
  <c r="B1147" i="6"/>
  <c r="E1147" i="6" s="1" a="1"/>
  <c r="E1147" i="6" s="1"/>
  <c r="B1148" i="6"/>
  <c r="E1148" i="6" s="1" a="1"/>
  <c r="E1148" i="6" s="1"/>
  <c r="B1149" i="6"/>
  <c r="E1149" i="6" s="1" a="1"/>
  <c r="E1149" i="6" s="1"/>
  <c r="B1150" i="6"/>
  <c r="D1150" i="6" s="1" a="1"/>
  <c r="D1150" i="6" s="1"/>
  <c r="B1151" i="6"/>
  <c r="B1152" i="6"/>
  <c r="E1152" i="6" s="1" a="1"/>
  <c r="E1152" i="6" s="1"/>
  <c r="B1153" i="6"/>
  <c r="E1153" i="6" s="1" a="1"/>
  <c r="E1153" i="6" s="1"/>
  <c r="B1154" i="6"/>
  <c r="E1154" i="6" s="1" a="1"/>
  <c r="E1154" i="6" s="1"/>
  <c r="B1155" i="6"/>
  <c r="E1155" i="6" s="1" a="1"/>
  <c r="E1155" i="6" s="1"/>
  <c r="B1156" i="6"/>
  <c r="E1156" i="6" s="1" a="1"/>
  <c r="E1156" i="6" s="1"/>
  <c r="B1157" i="6"/>
  <c r="E1157" i="6" s="1" a="1"/>
  <c r="E1157" i="6" s="1"/>
  <c r="B1158" i="6"/>
  <c r="E1158" i="6" s="1" a="1"/>
  <c r="E1158" i="6" s="1"/>
  <c r="B1159" i="6"/>
  <c r="E1159" i="6" s="1" a="1"/>
  <c r="E1159" i="6" s="1"/>
  <c r="B1160" i="6"/>
  <c r="E1160" i="6" s="1" a="1"/>
  <c r="E1160" i="6" s="1"/>
  <c r="B1161" i="6"/>
  <c r="E1161" i="6" s="1" a="1"/>
  <c r="E1161" i="6" s="1"/>
  <c r="B1162" i="6"/>
  <c r="B1163" i="6"/>
  <c r="B1164" i="6"/>
  <c r="E1164" i="6" s="1" a="1"/>
  <c r="E1164" i="6" s="1"/>
  <c r="B1165" i="6"/>
  <c r="E1165" i="6" s="1" a="1"/>
  <c r="E1165" i="6" s="1"/>
  <c r="B1166" i="6"/>
  <c r="E1166" i="6" s="1" a="1"/>
  <c r="E1166" i="6" s="1"/>
  <c r="B1167" i="6"/>
  <c r="E1167" i="6" s="1" a="1"/>
  <c r="E1167" i="6" s="1"/>
  <c r="B1168" i="6"/>
  <c r="E1168" i="6" s="1" a="1"/>
  <c r="E1168" i="6" s="1"/>
  <c r="B1169" i="6"/>
  <c r="E1169" i="6" s="1" a="1"/>
  <c r="E1169" i="6" s="1"/>
  <c r="B1170" i="6"/>
  <c r="E1170" i="6" s="1" a="1"/>
  <c r="E1170" i="6" s="1"/>
  <c r="B1171" i="6"/>
  <c r="E1171" i="6" s="1" a="1"/>
  <c r="E1171" i="6" s="1"/>
  <c r="B1172" i="6"/>
  <c r="E1172" i="6" s="1" a="1"/>
  <c r="E1172" i="6" s="1"/>
  <c r="B1173" i="6"/>
  <c r="E1173" i="6" s="1" a="1"/>
  <c r="E1173" i="6" s="1"/>
  <c r="B1174" i="6"/>
  <c r="B1175" i="6"/>
  <c r="B1176" i="6"/>
  <c r="E1176" i="6" s="1" a="1"/>
  <c r="E1176" i="6" s="1"/>
  <c r="B1177" i="6"/>
  <c r="E1177" i="6" s="1" a="1"/>
  <c r="E1177" i="6" s="1"/>
  <c r="B1178" i="6"/>
  <c r="E1178" i="6" s="1" a="1"/>
  <c r="E1178" i="6" s="1"/>
  <c r="B1179" i="6"/>
  <c r="E1179" i="6" s="1" a="1"/>
  <c r="E1179" i="6" s="1"/>
  <c r="B1180" i="6"/>
  <c r="E1180" i="6" s="1" a="1"/>
  <c r="E1180" i="6" s="1"/>
  <c r="B1181" i="6"/>
  <c r="E1181" i="6" s="1" a="1"/>
  <c r="E1181" i="6" s="1"/>
  <c r="B1182" i="6"/>
  <c r="E1182" i="6" s="1" a="1"/>
  <c r="E1182" i="6" s="1"/>
  <c r="B1183" i="6"/>
  <c r="E1183" i="6" s="1" a="1"/>
  <c r="E1183" i="6" s="1"/>
  <c r="B1184" i="6"/>
  <c r="E1184" i="6" s="1" a="1"/>
  <c r="E1184" i="6" s="1"/>
  <c r="B1185" i="6"/>
  <c r="E1185" i="6" s="1" a="1"/>
  <c r="E1185" i="6" s="1"/>
  <c r="B1186" i="6"/>
  <c r="B1187" i="6"/>
  <c r="B1188" i="6"/>
  <c r="E1188" i="6" s="1" a="1"/>
  <c r="E1188" i="6" s="1"/>
  <c r="B1189" i="6"/>
  <c r="E1189" i="6" s="1" a="1"/>
  <c r="E1189" i="6" s="1"/>
  <c r="B1190" i="6"/>
  <c r="E1190" i="6" s="1" a="1"/>
  <c r="E1190" i="6" s="1"/>
  <c r="B1191" i="6"/>
  <c r="E1191" i="6" s="1" a="1"/>
  <c r="E1191" i="6" s="1"/>
  <c r="B1192" i="6"/>
  <c r="E1192" i="6" s="1" a="1"/>
  <c r="E1192" i="6" s="1"/>
  <c r="B1193" i="6"/>
  <c r="E1193" i="6" s="1" a="1"/>
  <c r="E1193" i="6" s="1"/>
  <c r="B1194" i="6"/>
  <c r="E1194" i="6" s="1" a="1"/>
  <c r="E1194" i="6" s="1"/>
  <c r="B1195" i="6"/>
  <c r="E1195" i="6" s="1" a="1"/>
  <c r="E1195" i="6" s="1"/>
  <c r="B1196" i="6"/>
  <c r="E1196" i="6" s="1" a="1"/>
  <c r="E1196" i="6" s="1"/>
  <c r="B1197" i="6"/>
  <c r="E1197" i="6" s="1" a="1"/>
  <c r="E1197" i="6" s="1"/>
  <c r="B1198" i="6"/>
  <c r="B1199" i="6"/>
  <c r="F1199" i="6" s="1" a="1"/>
  <c r="F1199" i="6" s="1"/>
  <c r="B1200" i="6"/>
  <c r="E1200" i="6" s="1" a="1"/>
  <c r="E1200" i="6" s="1"/>
  <c r="B1201" i="6"/>
  <c r="E1201" i="6" s="1" a="1"/>
  <c r="E1201" i="6" s="1"/>
  <c r="B1202" i="6"/>
  <c r="E1202" i="6" s="1" a="1"/>
  <c r="E1202" i="6" s="1"/>
  <c r="B1203" i="6"/>
  <c r="E1203" i="6" s="1" a="1"/>
  <c r="E1203" i="6" s="1"/>
  <c r="B1204" i="6"/>
  <c r="E1204" i="6" s="1" a="1"/>
  <c r="E1204" i="6" s="1"/>
  <c r="B1205" i="6"/>
  <c r="E1205" i="6" s="1" a="1"/>
  <c r="E1205" i="6" s="1"/>
  <c r="B1206" i="6"/>
  <c r="E1206" i="6" s="1" a="1"/>
  <c r="E1206" i="6" s="1"/>
  <c r="B1207" i="6"/>
  <c r="E1207" i="6" s="1" a="1"/>
  <c r="E1207" i="6" s="1"/>
  <c r="B1208" i="6"/>
  <c r="E1208" i="6" s="1" a="1"/>
  <c r="E1208" i="6" s="1"/>
  <c r="B1209" i="6"/>
  <c r="E1209" i="6" s="1" a="1"/>
  <c r="E1209" i="6" s="1"/>
  <c r="B1210" i="6"/>
  <c r="B1211" i="6"/>
  <c r="B1212" i="6"/>
  <c r="E1212" i="6" s="1" a="1"/>
  <c r="E1212" i="6" s="1"/>
  <c r="B1213" i="6"/>
  <c r="E1213" i="6" s="1" a="1"/>
  <c r="E1213" i="6" s="1"/>
  <c r="B1214" i="6"/>
  <c r="E1214" i="6" s="1" a="1"/>
  <c r="E1214" i="6" s="1"/>
  <c r="B1215" i="6"/>
  <c r="E1215" i="6" s="1" a="1"/>
  <c r="E1215" i="6" s="1"/>
  <c r="B1216" i="6"/>
  <c r="E1216" i="6" s="1" a="1"/>
  <c r="E1216" i="6" s="1"/>
  <c r="B1217" i="6"/>
  <c r="E1217" i="6" s="1" a="1"/>
  <c r="E1217" i="6" s="1"/>
  <c r="B1218" i="6"/>
  <c r="E1218" i="6" s="1" a="1"/>
  <c r="E1218" i="6" s="1"/>
  <c r="B1219" i="6"/>
  <c r="E1219" i="6" s="1" a="1"/>
  <c r="E1219" i="6" s="1"/>
  <c r="B1220" i="6"/>
  <c r="E1220" i="6" s="1" a="1"/>
  <c r="E1220" i="6" s="1"/>
  <c r="B1221" i="6"/>
  <c r="E1221" i="6" s="1" a="1"/>
  <c r="E1221" i="6" s="1"/>
  <c r="B1222" i="6"/>
  <c r="B1223" i="6"/>
  <c r="B1224" i="6"/>
  <c r="E1224" i="6" s="1" a="1"/>
  <c r="E1224" i="6" s="1"/>
  <c r="B1225" i="6"/>
  <c r="E1225" i="6" s="1" a="1"/>
  <c r="E1225" i="6" s="1"/>
  <c r="B1226" i="6"/>
  <c r="E1226" i="6" s="1" a="1"/>
  <c r="E1226" i="6" s="1"/>
  <c r="B1227" i="6"/>
  <c r="E1227" i="6" s="1" a="1"/>
  <c r="E1227" i="6" s="1"/>
  <c r="B1228" i="6"/>
  <c r="E1228" i="6" s="1" a="1"/>
  <c r="E1228" i="6" s="1"/>
  <c r="B1229" i="6"/>
  <c r="E1229" i="6" s="1" a="1"/>
  <c r="E1229" i="6" s="1"/>
  <c r="B1230" i="6"/>
  <c r="E1230" i="6" s="1" a="1"/>
  <c r="E1230" i="6" s="1"/>
  <c r="B1231" i="6"/>
  <c r="E1231" i="6" s="1" a="1"/>
  <c r="E1231" i="6" s="1"/>
  <c r="B1232" i="6"/>
  <c r="E1232" i="6" s="1" a="1"/>
  <c r="E1232" i="6" s="1"/>
  <c r="B1233" i="6"/>
  <c r="E1233" i="6" s="1" a="1"/>
  <c r="E1233" i="6" s="1"/>
  <c r="B1234" i="6"/>
  <c r="B1235" i="6"/>
  <c r="B1236" i="6"/>
  <c r="E1236" i="6" s="1" a="1"/>
  <c r="E1236" i="6" s="1"/>
  <c r="B1237" i="6"/>
  <c r="E1237" i="6" s="1" a="1"/>
  <c r="E1237" i="6" s="1"/>
  <c r="B1238" i="6"/>
  <c r="E1238" i="6" s="1" a="1"/>
  <c r="E1238" i="6" s="1"/>
  <c r="B1239" i="6"/>
  <c r="E1239" i="6" s="1" a="1"/>
  <c r="E1239" i="6" s="1"/>
  <c r="B1240" i="6"/>
  <c r="E1240" i="6" s="1" a="1"/>
  <c r="E1240" i="6" s="1"/>
  <c r="B1241" i="6"/>
  <c r="E1241" i="6" s="1" a="1"/>
  <c r="E1241" i="6" s="1"/>
  <c r="B1242" i="6"/>
  <c r="E1242" i="6" s="1" a="1"/>
  <c r="E1242" i="6" s="1"/>
  <c r="B1243" i="6"/>
  <c r="E1243" i="6" s="1" a="1"/>
  <c r="E1243" i="6" s="1"/>
  <c r="B1244" i="6"/>
  <c r="E1244" i="6" s="1" a="1"/>
  <c r="E1244" i="6" s="1"/>
  <c r="B1245" i="6"/>
  <c r="E1245" i="6" s="1" a="1"/>
  <c r="E1245" i="6" s="1"/>
  <c r="B1246" i="6"/>
  <c r="B1247" i="6"/>
  <c r="B1248" i="6"/>
  <c r="E1248" i="6" s="1" a="1"/>
  <c r="E1248" i="6" s="1"/>
  <c r="B1249" i="6"/>
  <c r="E1249" i="6" s="1" a="1"/>
  <c r="E1249" i="6" s="1"/>
  <c r="B1250" i="6"/>
  <c r="E1250" i="6" s="1" a="1"/>
  <c r="E1250" i="6" s="1"/>
  <c r="B1251" i="6"/>
  <c r="E1251" i="6" s="1" a="1"/>
  <c r="E1251" i="6" s="1"/>
  <c r="B1252" i="6"/>
  <c r="E1252" i="6" s="1" a="1"/>
  <c r="E1252" i="6" s="1"/>
  <c r="B1253" i="6"/>
  <c r="E1253" i="6" s="1" a="1"/>
  <c r="E1253" i="6" s="1"/>
  <c r="B1254" i="6"/>
  <c r="E1254" i="6" s="1" a="1"/>
  <c r="E1254" i="6" s="1"/>
  <c r="B1255" i="6"/>
  <c r="E1255" i="6" s="1" a="1"/>
  <c r="E1255" i="6" s="1"/>
  <c r="B1256" i="6"/>
  <c r="E1256" i="6" s="1" a="1"/>
  <c r="E1256" i="6" s="1"/>
  <c r="B1257" i="6"/>
  <c r="E1257" i="6" s="1" a="1"/>
  <c r="E1257" i="6" s="1"/>
  <c r="B1258" i="6"/>
  <c r="B1259" i="6"/>
  <c r="B1260" i="6"/>
  <c r="E1260" i="6" s="1" a="1"/>
  <c r="E1260" i="6" s="1"/>
  <c r="B1261" i="6"/>
  <c r="E1261" i="6" s="1" a="1"/>
  <c r="E1261" i="6" s="1"/>
  <c r="B1262" i="6"/>
  <c r="E1262" i="6" s="1" a="1"/>
  <c r="E1262" i="6" s="1"/>
  <c r="B1263" i="6"/>
  <c r="E1263" i="6" s="1" a="1"/>
  <c r="E1263" i="6" s="1"/>
  <c r="B1264" i="6"/>
  <c r="E1264" i="6" s="1" a="1"/>
  <c r="E1264" i="6" s="1"/>
  <c r="B1265" i="6"/>
  <c r="E1265" i="6" s="1" a="1"/>
  <c r="E1265" i="6" s="1"/>
  <c r="B1266" i="6"/>
  <c r="E1266" i="6" s="1" a="1"/>
  <c r="E1266" i="6" s="1"/>
  <c r="B1267" i="6"/>
  <c r="E1267" i="6" s="1" a="1"/>
  <c r="E1267" i="6" s="1"/>
  <c r="B1268" i="6"/>
  <c r="E1268" i="6" s="1" a="1"/>
  <c r="E1268" i="6" s="1"/>
  <c r="B1269" i="6"/>
  <c r="E1269" i="6" s="1" a="1"/>
  <c r="E1269" i="6" s="1"/>
  <c r="B1270" i="6"/>
  <c r="D1270" i="6" s="1" a="1"/>
  <c r="D1270" i="6" s="1"/>
  <c r="B1271" i="6"/>
  <c r="B1272" i="6"/>
  <c r="E1272" i="6" s="1" a="1"/>
  <c r="E1272" i="6" s="1"/>
  <c r="B1273" i="6"/>
  <c r="E1273" i="6" s="1" a="1"/>
  <c r="E1273" i="6" s="1"/>
  <c r="B1274" i="6"/>
  <c r="E1274" i="6" s="1" a="1"/>
  <c r="E1274" i="6" s="1"/>
  <c r="B1275" i="6"/>
  <c r="E1275" i="6" s="1" a="1"/>
  <c r="E1275" i="6" s="1"/>
  <c r="B1276" i="6"/>
  <c r="E1276" i="6" s="1" a="1"/>
  <c r="E1276" i="6" s="1"/>
  <c r="B1277" i="6"/>
  <c r="E1277" i="6" s="1" a="1"/>
  <c r="E1277" i="6" s="1"/>
  <c r="B1278" i="6"/>
  <c r="E1278" i="6" s="1" a="1"/>
  <c r="E1278" i="6" s="1"/>
  <c r="B1279" i="6"/>
  <c r="E1279" i="6" s="1" a="1"/>
  <c r="E1279" i="6" s="1"/>
  <c r="B1280" i="6"/>
  <c r="E1280" i="6" s="1" a="1"/>
  <c r="E1280" i="6" s="1"/>
  <c r="B1281" i="6"/>
  <c r="E1281" i="6" s="1" a="1"/>
  <c r="E1281" i="6" s="1"/>
  <c r="B1282" i="6"/>
  <c r="B1283" i="6"/>
  <c r="B1284" i="6"/>
  <c r="E1284" i="6" s="1" a="1"/>
  <c r="E1284" i="6" s="1"/>
  <c r="B1285" i="6"/>
  <c r="E1285" i="6" s="1" a="1"/>
  <c r="E1285" i="6" s="1"/>
  <c r="B1286" i="6"/>
  <c r="E1286" i="6" s="1" a="1"/>
  <c r="E1286" i="6" s="1"/>
  <c r="B1287" i="6"/>
  <c r="E1287" i="6" s="1" a="1"/>
  <c r="E1287" i="6" s="1"/>
  <c r="B1288" i="6"/>
  <c r="E1288" i="6" s="1" a="1"/>
  <c r="E1288" i="6" s="1"/>
  <c r="B1289" i="6"/>
  <c r="E1289" i="6" s="1" a="1"/>
  <c r="E1289" i="6" s="1"/>
  <c r="B1290" i="6"/>
  <c r="E1290" i="6" s="1" a="1"/>
  <c r="E1290" i="6" s="1"/>
  <c r="B1291" i="6"/>
  <c r="E1291" i="6" s="1" a="1"/>
  <c r="E1291" i="6" s="1"/>
  <c r="B1292" i="6"/>
  <c r="E1292" i="6" s="1" a="1"/>
  <c r="E1292" i="6" s="1"/>
  <c r="B1293" i="6"/>
  <c r="E1293" i="6" s="1" a="1"/>
  <c r="E1293" i="6" s="1"/>
  <c r="B1294" i="6"/>
  <c r="D1294" i="6" s="1" a="1"/>
  <c r="D1294" i="6" s="1"/>
  <c r="B1295" i="6"/>
  <c r="B1296" i="6"/>
  <c r="E1296" i="6" s="1" a="1"/>
  <c r="E1296" i="6" s="1"/>
  <c r="B1297" i="6"/>
  <c r="E1297" i="6" s="1" a="1"/>
  <c r="E1297" i="6" s="1"/>
  <c r="B1298" i="6"/>
  <c r="E1298" i="6" s="1" a="1"/>
  <c r="E1298" i="6" s="1"/>
  <c r="B1299" i="6"/>
  <c r="E1299" i="6" s="1" a="1"/>
  <c r="E1299" i="6" s="1"/>
  <c r="B1300" i="6"/>
  <c r="E1300" i="6" s="1" a="1"/>
  <c r="E1300" i="6" s="1"/>
  <c r="B1301" i="6"/>
  <c r="E1301" i="6" s="1" a="1"/>
  <c r="E1301" i="6" s="1"/>
  <c r="B1302" i="6"/>
  <c r="E1302" i="6" s="1" a="1"/>
  <c r="E1302" i="6" s="1"/>
  <c r="B1303" i="6"/>
  <c r="E1303" i="6" s="1" a="1"/>
  <c r="E1303" i="6" s="1"/>
  <c r="B1304" i="6"/>
  <c r="E1304" i="6" s="1" a="1"/>
  <c r="E1304" i="6" s="1"/>
  <c r="B1305" i="6"/>
  <c r="E1305" i="6" s="1" a="1"/>
  <c r="E1305" i="6" s="1"/>
  <c r="B1306" i="6"/>
  <c r="B1307" i="6"/>
  <c r="B1308" i="6"/>
  <c r="E1308" i="6" s="1" a="1"/>
  <c r="E1308" i="6" s="1"/>
  <c r="B1309" i="6"/>
  <c r="E1309" i="6" s="1" a="1"/>
  <c r="E1309" i="6" s="1"/>
  <c r="B1310" i="6"/>
  <c r="E1310" i="6" s="1" a="1"/>
  <c r="E1310" i="6" s="1"/>
  <c r="B1311" i="6"/>
  <c r="E1311" i="6" s="1" a="1"/>
  <c r="E1311" i="6" s="1"/>
  <c r="B1312" i="6"/>
  <c r="E1312" i="6" s="1" a="1"/>
  <c r="E1312" i="6" s="1"/>
  <c r="B1313" i="6"/>
  <c r="E1313" i="6" s="1" a="1"/>
  <c r="E1313" i="6" s="1"/>
  <c r="B1314" i="6"/>
  <c r="E1314" i="6" s="1" a="1"/>
  <c r="E1314" i="6" s="1"/>
  <c r="B1315" i="6"/>
  <c r="E1315" i="6" s="1" a="1"/>
  <c r="E1315" i="6" s="1"/>
  <c r="B1316" i="6"/>
  <c r="E1316" i="6" s="1" a="1"/>
  <c r="E1316" i="6" s="1"/>
  <c r="B1317" i="6"/>
  <c r="E1317" i="6" s="1" a="1"/>
  <c r="E1317" i="6" s="1"/>
  <c r="B1318" i="6"/>
  <c r="B1319" i="6"/>
  <c r="I1319" i="6" s="1" a="1"/>
  <c r="I1319" i="6" s="1"/>
  <c r="B1320" i="6"/>
  <c r="E1320" i="6" s="1" a="1"/>
  <c r="E1320" i="6" s="1"/>
  <c r="B1321" i="6"/>
  <c r="E1321" i="6" s="1" a="1"/>
  <c r="E1321" i="6" s="1"/>
  <c r="B1322" i="6"/>
  <c r="E1322" i="6" s="1" a="1"/>
  <c r="E1322" i="6" s="1"/>
  <c r="B1323" i="6"/>
  <c r="E1323" i="6" s="1" a="1"/>
  <c r="E1323" i="6" s="1"/>
  <c r="B1324" i="6"/>
  <c r="E1324" i="6" s="1" a="1"/>
  <c r="E1324" i="6" s="1"/>
  <c r="B1325" i="6"/>
  <c r="E1325" i="6" s="1" a="1"/>
  <c r="E1325" i="6" s="1"/>
  <c r="B1326" i="6"/>
  <c r="B1327" i="6"/>
  <c r="E1327" i="6" s="1" a="1"/>
  <c r="E1327" i="6" s="1"/>
  <c r="B1328" i="6"/>
  <c r="E1328" i="6" s="1" a="1"/>
  <c r="E1328" i="6" s="1"/>
  <c r="B1329" i="6"/>
  <c r="E1329" i="6" s="1" a="1"/>
  <c r="E1329" i="6" s="1"/>
  <c r="B1330" i="6"/>
  <c r="I1330" i="6" s="1" a="1"/>
  <c r="I1330" i="6" s="1"/>
  <c r="B1331" i="6"/>
  <c r="B1332" i="6"/>
  <c r="E1332" i="6" s="1" a="1"/>
  <c r="E1332" i="6" s="1"/>
  <c r="B1333" i="6"/>
  <c r="E1333" i="6" s="1" a="1"/>
  <c r="E1333" i="6" s="1"/>
  <c r="B1334" i="6"/>
  <c r="E1334" i="6" s="1" a="1"/>
  <c r="E1334" i="6" s="1"/>
  <c r="B1335" i="6"/>
  <c r="E1335" i="6" s="1" a="1"/>
  <c r="E1335" i="6" s="1"/>
  <c r="B1336" i="6"/>
  <c r="E1336" i="6" s="1" a="1"/>
  <c r="E1336" i="6" s="1"/>
  <c r="B1337" i="6"/>
  <c r="E1337" i="6" s="1" a="1"/>
  <c r="E1337" i="6" s="1"/>
  <c r="B1338" i="6"/>
  <c r="B1339" i="6"/>
  <c r="E1339" i="6" s="1" a="1"/>
  <c r="E1339" i="6" s="1"/>
  <c r="B1340" i="6"/>
  <c r="E1340" i="6" s="1" a="1"/>
  <c r="E1340" i="6" s="1"/>
  <c r="B1341" i="6"/>
  <c r="E1341" i="6" s="1" a="1"/>
  <c r="E1341" i="6" s="1"/>
  <c r="B1342" i="6"/>
  <c r="B1343" i="6"/>
  <c r="B1344" i="6"/>
  <c r="E1344" i="6" s="1" a="1"/>
  <c r="E1344" i="6" s="1"/>
  <c r="B1345" i="6"/>
  <c r="E1345" i="6" s="1" a="1"/>
  <c r="E1345" i="6" s="1"/>
  <c r="B1346" i="6"/>
  <c r="E1346" i="6" s="1" a="1"/>
  <c r="E1346" i="6" s="1"/>
  <c r="B1347" i="6"/>
  <c r="E1347" i="6" s="1" a="1"/>
  <c r="E1347" i="6" s="1"/>
  <c r="B1348" i="6"/>
  <c r="E1348" i="6" s="1" a="1"/>
  <c r="E1348" i="6" s="1"/>
  <c r="B1349" i="6"/>
  <c r="E1349" i="6" s="1" a="1"/>
  <c r="E1349" i="6" s="1"/>
  <c r="B1350" i="6"/>
  <c r="B1351" i="6"/>
  <c r="E1351" i="6" s="1" a="1"/>
  <c r="E1351" i="6" s="1"/>
  <c r="B1352" i="6"/>
  <c r="E1352" i="6" s="1" a="1"/>
  <c r="E1352" i="6" s="1"/>
  <c r="B1353" i="6"/>
  <c r="E1353" i="6" s="1" a="1"/>
  <c r="E1353" i="6" s="1"/>
  <c r="B1354" i="6"/>
  <c r="B1355" i="6"/>
  <c r="B1356" i="6"/>
  <c r="E1356" i="6" s="1" a="1"/>
  <c r="E1356" i="6" s="1"/>
  <c r="B1357" i="6"/>
  <c r="E1357" i="6" s="1" a="1"/>
  <c r="E1357" i="6" s="1"/>
  <c r="B1358" i="6"/>
  <c r="E1358" i="6" s="1" a="1"/>
  <c r="E1358" i="6" s="1"/>
  <c r="B1359" i="6"/>
  <c r="E1359" i="6" s="1" a="1"/>
  <c r="E1359" i="6" s="1"/>
  <c r="B1360" i="6"/>
  <c r="E1360" i="6" s="1" a="1"/>
  <c r="E1360" i="6" s="1"/>
  <c r="B1361" i="6"/>
  <c r="E1361" i="6" s="1" a="1"/>
  <c r="E1361" i="6" s="1"/>
  <c r="B1362" i="6"/>
  <c r="B1363" i="6"/>
  <c r="E1363" i="6" s="1" a="1"/>
  <c r="E1363" i="6" s="1"/>
  <c r="B1364" i="6"/>
  <c r="E1364" i="6" s="1" a="1"/>
  <c r="E1364" i="6" s="1"/>
  <c r="B1365" i="6"/>
  <c r="E1365" i="6" s="1" a="1"/>
  <c r="E1365" i="6" s="1"/>
  <c r="B1366" i="6"/>
  <c r="D1366" i="6" s="1" a="1"/>
  <c r="D1366" i="6" s="1"/>
  <c r="B1367" i="6"/>
  <c r="B1368" i="6"/>
  <c r="E1368" i="6" s="1" a="1"/>
  <c r="E1368" i="6" s="1"/>
  <c r="B1369" i="6"/>
  <c r="E1369" i="6" s="1" a="1"/>
  <c r="E1369" i="6" s="1"/>
  <c r="B1370" i="6"/>
  <c r="E1370" i="6" s="1" a="1"/>
  <c r="E1370" i="6" s="1"/>
  <c r="B1371" i="6"/>
  <c r="E1371" i="6" s="1" a="1"/>
  <c r="E1371" i="6" s="1"/>
  <c r="B1372" i="6"/>
  <c r="E1372" i="6" s="1" a="1"/>
  <c r="E1372" i="6" s="1"/>
  <c r="B1373" i="6"/>
  <c r="E1373" i="6" s="1" a="1"/>
  <c r="E1373" i="6" s="1"/>
  <c r="B1374" i="6"/>
  <c r="B1375" i="6"/>
  <c r="E1375" i="6" s="1" a="1"/>
  <c r="E1375" i="6" s="1"/>
  <c r="B1376" i="6"/>
  <c r="E1376" i="6" s="1" a="1"/>
  <c r="E1376" i="6" s="1"/>
  <c r="B1377" i="6"/>
  <c r="E1377" i="6" s="1" a="1"/>
  <c r="E1377" i="6" s="1"/>
  <c r="B1378" i="6"/>
  <c r="D1378" i="6" s="1" a="1"/>
  <c r="D1378" i="6" s="1"/>
  <c r="B1379" i="6"/>
  <c r="B1380" i="6"/>
  <c r="E1380" i="6" s="1" a="1"/>
  <c r="E1380" i="6" s="1"/>
  <c r="B1381" i="6"/>
  <c r="E1381" i="6" s="1" a="1"/>
  <c r="E1381" i="6" s="1"/>
  <c r="B1382" i="6"/>
  <c r="E1382" i="6" s="1" a="1"/>
  <c r="E1382" i="6" s="1"/>
  <c r="B1383" i="6"/>
  <c r="E1383" i="6" s="1" a="1"/>
  <c r="E1383" i="6" s="1"/>
  <c r="B1384" i="6"/>
  <c r="E1384" i="6" s="1" a="1"/>
  <c r="E1384" i="6" s="1"/>
  <c r="B1385" i="6"/>
  <c r="E1385" i="6" s="1" a="1"/>
  <c r="E1385" i="6" s="1"/>
  <c r="B1386" i="6"/>
  <c r="B1387" i="6"/>
  <c r="E1387" i="6" s="1" a="1"/>
  <c r="E1387" i="6" s="1"/>
  <c r="B1388" i="6"/>
  <c r="E1388" i="6" s="1" a="1"/>
  <c r="E1388" i="6" s="1"/>
  <c r="B1389" i="6"/>
  <c r="E1389" i="6" s="1" a="1"/>
  <c r="E1389" i="6" s="1"/>
  <c r="B1390" i="6"/>
  <c r="B1391" i="6"/>
  <c r="B1392" i="6"/>
  <c r="E1392" i="6" s="1" a="1"/>
  <c r="E1392" i="6" s="1"/>
  <c r="B1393" i="6"/>
  <c r="E1393" i="6" s="1" a="1"/>
  <c r="E1393" i="6" s="1"/>
  <c r="B1394" i="6"/>
  <c r="E1394" i="6" s="1" a="1"/>
  <c r="E1394" i="6" s="1"/>
  <c r="B1395" i="6"/>
  <c r="E1395" i="6" s="1" a="1"/>
  <c r="E1395" i="6" s="1"/>
  <c r="B1396" i="6"/>
  <c r="E1396" i="6" s="1" a="1"/>
  <c r="E1396" i="6" s="1"/>
  <c r="B1397" i="6"/>
  <c r="E1397" i="6" s="1" a="1"/>
  <c r="E1397" i="6" s="1"/>
  <c r="B1398" i="6"/>
  <c r="B1399" i="6"/>
  <c r="E1399" i="6" s="1" a="1"/>
  <c r="E1399" i="6" s="1"/>
  <c r="B1400" i="6"/>
  <c r="E1400" i="6" s="1" a="1"/>
  <c r="E1400" i="6" s="1"/>
  <c r="B1401" i="6"/>
  <c r="E1401" i="6" s="1" a="1"/>
  <c r="E1401" i="6" s="1"/>
  <c r="B1402" i="6"/>
  <c r="B1403" i="6"/>
  <c r="I1403" i="6" s="1" a="1"/>
  <c r="I1403" i="6" s="1"/>
  <c r="B1404" i="6"/>
  <c r="E1404" i="6" s="1" a="1"/>
  <c r="E1404" i="6" s="1"/>
  <c r="B1405" i="6"/>
  <c r="E1405" i="6" s="1" a="1"/>
  <c r="E1405" i="6" s="1"/>
  <c r="B1406" i="6"/>
  <c r="E1406" i="6" s="1" a="1"/>
  <c r="E1406" i="6" s="1"/>
  <c r="B1407" i="6"/>
  <c r="E1407" i="6" s="1" a="1"/>
  <c r="E1407" i="6" s="1"/>
  <c r="B1408" i="6"/>
  <c r="E1408" i="6" s="1" a="1"/>
  <c r="E1408" i="6" s="1"/>
  <c r="B1409" i="6"/>
  <c r="E1409" i="6" s="1" a="1"/>
  <c r="E1409" i="6" s="1"/>
  <c r="B1410" i="6"/>
  <c r="B1411" i="6"/>
  <c r="E1411" i="6" s="1" a="1"/>
  <c r="E1411" i="6" s="1"/>
  <c r="B1412" i="6"/>
  <c r="E1412" i="6" s="1" a="1"/>
  <c r="E1412" i="6" s="1"/>
  <c r="B1413" i="6"/>
  <c r="E1413" i="6" s="1" a="1"/>
  <c r="E1413" i="6" s="1"/>
  <c r="B1414" i="6"/>
  <c r="B1415" i="6"/>
  <c r="B1416" i="6"/>
  <c r="E1416" i="6" s="1" a="1"/>
  <c r="E1416" i="6" s="1"/>
  <c r="B1417" i="6"/>
  <c r="E1417" i="6" s="1" a="1"/>
  <c r="E1417" i="6" s="1"/>
  <c r="B1418" i="6"/>
  <c r="E1418" i="6" s="1" a="1"/>
  <c r="E1418" i="6" s="1"/>
  <c r="B1419" i="6"/>
  <c r="E1419" i="6" s="1" a="1"/>
  <c r="E1419" i="6" s="1"/>
  <c r="B1420" i="6"/>
  <c r="E1420" i="6" s="1" a="1"/>
  <c r="E1420" i="6" s="1"/>
  <c r="B1421" i="6"/>
  <c r="E1421" i="6" s="1" a="1"/>
  <c r="E1421" i="6" s="1"/>
  <c r="B1422" i="6"/>
  <c r="B1423" i="6"/>
  <c r="E1423" i="6" s="1" a="1"/>
  <c r="E1423" i="6" s="1"/>
  <c r="B1424" i="6"/>
  <c r="E1424" i="6" s="1" a="1"/>
  <c r="E1424" i="6" s="1"/>
  <c r="B1425" i="6"/>
  <c r="E1425" i="6" s="1" a="1"/>
  <c r="E1425" i="6" s="1"/>
  <c r="B1426" i="6"/>
  <c r="B1427" i="6"/>
  <c r="B1428" i="6"/>
  <c r="E1428" i="6" s="1" a="1"/>
  <c r="E1428" i="6" s="1"/>
  <c r="B1429" i="6"/>
  <c r="E1429" i="6" s="1" a="1"/>
  <c r="E1429" i="6" s="1"/>
  <c r="B1430" i="6"/>
  <c r="E1430" i="6" s="1" a="1"/>
  <c r="E1430" i="6" s="1"/>
  <c r="B1431" i="6"/>
  <c r="E1431" i="6" s="1" a="1"/>
  <c r="E1431" i="6" s="1"/>
  <c r="B1432" i="6"/>
  <c r="E1432" i="6" s="1" a="1"/>
  <c r="E1432" i="6" s="1"/>
  <c r="B1433" i="6"/>
  <c r="E1433" i="6" s="1" a="1"/>
  <c r="E1433" i="6" s="1"/>
  <c r="B1434" i="6"/>
  <c r="B1435" i="6"/>
  <c r="E1435" i="6" s="1" a="1"/>
  <c r="E1435" i="6" s="1"/>
  <c r="B1436" i="6"/>
  <c r="E1436" i="6" s="1" a="1"/>
  <c r="E1436" i="6" s="1"/>
  <c r="B1437" i="6"/>
  <c r="E1437" i="6" s="1" a="1"/>
  <c r="E1437" i="6" s="1"/>
  <c r="B1438" i="6"/>
  <c r="B1439" i="6"/>
  <c r="B1440" i="6"/>
  <c r="E1440" i="6" s="1" a="1"/>
  <c r="E1440" i="6" s="1"/>
  <c r="B1441" i="6"/>
  <c r="E1441" i="6" s="1" a="1"/>
  <c r="E1441" i="6" s="1"/>
  <c r="B1442" i="6"/>
  <c r="E1442" i="6" s="1" a="1"/>
  <c r="E1442" i="6" s="1"/>
  <c r="B1443" i="6"/>
  <c r="E1443" i="6" s="1" a="1"/>
  <c r="E1443" i="6" s="1"/>
  <c r="B1444" i="6"/>
  <c r="E1444" i="6" s="1" a="1"/>
  <c r="E1444" i="6" s="1"/>
  <c r="B1445" i="6"/>
  <c r="E1445" i="6" s="1" a="1"/>
  <c r="E1445" i="6" s="1"/>
  <c r="B1446" i="6"/>
  <c r="B1447" i="6"/>
  <c r="E1447" i="6" s="1" a="1"/>
  <c r="E1447" i="6" s="1"/>
  <c r="B1448" i="6"/>
  <c r="E1448" i="6" s="1" a="1"/>
  <c r="E1448" i="6" s="1"/>
  <c r="B1449" i="6"/>
  <c r="E1449" i="6" s="1" a="1"/>
  <c r="E1449" i="6" s="1"/>
  <c r="B1450" i="6"/>
  <c r="B1451" i="6"/>
  <c r="F1451" i="6" s="1" a="1"/>
  <c r="F1451" i="6" s="1"/>
  <c r="B1452" i="6"/>
  <c r="E1452" i="6" s="1" a="1"/>
  <c r="E1452" i="6" s="1"/>
  <c r="B1453" i="6"/>
  <c r="E1453" i="6" s="1" a="1"/>
  <c r="E1453" i="6" s="1"/>
  <c r="B1454" i="6"/>
  <c r="E1454" i="6" s="1" a="1"/>
  <c r="E1454" i="6" s="1"/>
  <c r="B1455" i="6"/>
  <c r="E1455" i="6" s="1" a="1"/>
  <c r="E1455" i="6" s="1"/>
  <c r="B1456" i="6"/>
  <c r="E1456" i="6" s="1" a="1"/>
  <c r="E1456" i="6" s="1"/>
  <c r="B1457" i="6"/>
  <c r="E1457" i="6" s="1" a="1"/>
  <c r="E1457" i="6" s="1"/>
  <c r="B1458" i="6"/>
  <c r="B1459" i="6"/>
  <c r="E1459" i="6" s="1" a="1"/>
  <c r="E1459" i="6" s="1"/>
  <c r="B1460" i="6"/>
  <c r="E1460" i="6" s="1" a="1"/>
  <c r="E1460" i="6" s="1"/>
  <c r="B1461" i="6"/>
  <c r="E1461" i="6" s="1" a="1"/>
  <c r="E1461" i="6" s="1"/>
  <c r="B1462" i="6"/>
  <c r="G1462" i="6" s="1" a="1"/>
  <c r="G1462" i="6" s="1"/>
  <c r="B1463" i="6"/>
  <c r="F1463" i="6" s="1" a="1"/>
  <c r="F1463" i="6" s="1"/>
  <c r="B1464" i="6"/>
  <c r="E1464" i="6" s="1" a="1"/>
  <c r="E1464" i="6" s="1"/>
  <c r="B1465" i="6"/>
  <c r="E1465" i="6" s="1" a="1"/>
  <c r="E1465" i="6" s="1"/>
  <c r="B1466" i="6"/>
  <c r="E1466" i="6" s="1" a="1"/>
  <c r="E1466" i="6" s="1"/>
  <c r="B1467" i="6"/>
  <c r="E1467" i="6" s="1" a="1"/>
  <c r="E1467" i="6" s="1"/>
  <c r="B1468" i="6"/>
  <c r="E1468" i="6" s="1" a="1"/>
  <c r="E1468" i="6" s="1"/>
  <c r="B1469" i="6"/>
  <c r="E1469" i="6" s="1" a="1"/>
  <c r="E1469" i="6" s="1"/>
  <c r="B1470" i="6"/>
  <c r="B1471" i="6"/>
  <c r="E1471" i="6" s="1" a="1"/>
  <c r="E1471" i="6" s="1"/>
  <c r="B1472" i="6"/>
  <c r="E1472" i="6" s="1" a="1"/>
  <c r="E1472" i="6" s="1"/>
  <c r="B1473" i="6"/>
  <c r="E1473" i="6" s="1" a="1"/>
  <c r="E1473" i="6" s="1"/>
  <c r="B1474" i="6"/>
  <c r="B1475" i="6"/>
  <c r="B1476" i="6"/>
  <c r="E1476" i="6" s="1" a="1"/>
  <c r="E1476" i="6" s="1"/>
  <c r="B1477" i="6"/>
  <c r="E1477" i="6" s="1" a="1"/>
  <c r="E1477" i="6" s="1"/>
  <c r="B1478" i="6"/>
  <c r="E1478" i="6" s="1" a="1"/>
  <c r="E1478" i="6" s="1"/>
  <c r="B1479" i="6"/>
  <c r="E1479" i="6" s="1" a="1"/>
  <c r="E1479" i="6" s="1"/>
  <c r="B1480" i="6"/>
  <c r="E1480" i="6" s="1" a="1"/>
  <c r="E1480" i="6" s="1"/>
  <c r="B1481" i="6"/>
  <c r="E1481" i="6" s="1" a="1"/>
  <c r="E1481" i="6" s="1"/>
  <c r="B1482" i="6"/>
  <c r="B1483" i="6"/>
  <c r="E1483" i="6" s="1" a="1"/>
  <c r="E1483" i="6" s="1"/>
  <c r="B1484" i="6"/>
  <c r="E1484" i="6" s="1" a="1"/>
  <c r="E1484" i="6" s="1"/>
  <c r="B1485" i="6"/>
  <c r="E1485" i="6" s="1" a="1"/>
  <c r="E1485" i="6" s="1"/>
  <c r="B1486" i="6"/>
  <c r="B1487" i="6"/>
  <c r="B1488" i="6"/>
  <c r="E1488" i="6" s="1" a="1"/>
  <c r="E1488" i="6" s="1"/>
  <c r="B1489" i="6"/>
  <c r="E1489" i="6" s="1" a="1"/>
  <c r="E1489" i="6" s="1"/>
  <c r="B1490" i="6"/>
  <c r="E1490" i="6" s="1" a="1"/>
  <c r="E1490" i="6" s="1"/>
  <c r="B1491" i="6"/>
  <c r="E1491" i="6" s="1" a="1"/>
  <c r="E1491" i="6" s="1"/>
  <c r="B1492" i="6"/>
  <c r="E1492" i="6" s="1" a="1"/>
  <c r="E1492" i="6" s="1"/>
  <c r="B1493" i="6"/>
  <c r="E1493" i="6" s="1" a="1"/>
  <c r="E1493" i="6" s="1"/>
  <c r="B1494" i="6"/>
  <c r="B1495" i="6"/>
  <c r="E1495" i="6" s="1" a="1"/>
  <c r="E1495" i="6" s="1"/>
  <c r="B1496" i="6"/>
  <c r="E1496" i="6" s="1" a="1"/>
  <c r="E1496" i="6" s="1"/>
  <c r="B1497" i="6"/>
  <c r="E1497" i="6" s="1" a="1"/>
  <c r="E1497" i="6" s="1"/>
  <c r="B1498" i="6"/>
  <c r="B1499" i="6"/>
  <c r="B1500" i="6"/>
  <c r="E1500" i="6" s="1" a="1"/>
  <c r="E1500" i="6" s="1"/>
  <c r="B1501" i="6"/>
  <c r="E1501" i="6" s="1" a="1"/>
  <c r="E1501" i="6" s="1"/>
  <c r="B1502" i="6"/>
  <c r="E1502" i="6" s="1" a="1"/>
  <c r="E1502" i="6" s="1"/>
  <c r="B1503" i="6"/>
  <c r="E1503" i="6" s="1" a="1"/>
  <c r="E1503" i="6" s="1"/>
  <c r="B1504" i="6"/>
  <c r="E1504" i="6" s="1" a="1"/>
  <c r="E1504" i="6" s="1"/>
  <c r="B1505" i="6"/>
  <c r="E1505" i="6" s="1" a="1"/>
  <c r="E1505" i="6" s="1"/>
  <c r="B1506" i="6"/>
  <c r="B1507" i="6"/>
  <c r="E1507" i="6" s="1" a="1"/>
  <c r="E1507" i="6" s="1"/>
  <c r="B1508" i="6"/>
  <c r="E1508" i="6" s="1" a="1"/>
  <c r="E1508" i="6" s="1"/>
  <c r="B1509" i="6"/>
  <c r="E1509" i="6" s="1" a="1"/>
  <c r="E1509" i="6" s="1"/>
  <c r="B1510" i="6"/>
  <c r="B1511" i="6"/>
  <c r="B1512" i="6"/>
  <c r="E1512" i="6" s="1" a="1"/>
  <c r="E1512" i="6" s="1"/>
  <c r="B1513" i="6"/>
  <c r="E1513" i="6" s="1" a="1"/>
  <c r="E1513" i="6" s="1"/>
  <c r="B1514" i="6"/>
  <c r="E1514" i="6" s="1" a="1"/>
  <c r="E1514" i="6" s="1"/>
  <c r="B1515" i="6"/>
  <c r="E1515" i="6" s="1" a="1"/>
  <c r="E1515" i="6" s="1"/>
  <c r="B1516" i="6"/>
  <c r="E1516" i="6" s="1" a="1"/>
  <c r="E1516" i="6" s="1"/>
  <c r="B1517" i="6"/>
  <c r="E1517" i="6" s="1" a="1"/>
  <c r="E1517" i="6" s="1"/>
  <c r="B1518" i="6"/>
  <c r="B1519" i="6"/>
  <c r="E1519" i="6" s="1" a="1"/>
  <c r="E1519" i="6" s="1"/>
  <c r="B1520" i="6"/>
  <c r="E1520" i="6" s="1" a="1"/>
  <c r="E1520" i="6" s="1"/>
  <c r="B1521" i="6"/>
  <c r="E1521" i="6" s="1" a="1"/>
  <c r="E1521" i="6" s="1"/>
  <c r="B1522" i="6"/>
  <c r="B1523" i="6"/>
  <c r="B1524" i="6"/>
  <c r="E1524" i="6" s="1" a="1"/>
  <c r="E1524" i="6" s="1"/>
  <c r="B1525" i="6"/>
  <c r="E1525" i="6" s="1" a="1"/>
  <c r="E1525" i="6" s="1"/>
  <c r="B1526" i="6"/>
  <c r="E1526" i="6" s="1" a="1"/>
  <c r="E1526" i="6" s="1"/>
  <c r="B1527" i="6"/>
  <c r="E1527" i="6" s="1" a="1"/>
  <c r="E1527" i="6" s="1"/>
  <c r="B1528" i="6"/>
  <c r="E1528" i="6" s="1" a="1"/>
  <c r="E1528" i="6" s="1"/>
  <c r="B1529" i="6"/>
  <c r="E1529" i="6" s="1" a="1"/>
  <c r="E1529" i="6" s="1"/>
  <c r="B1530" i="6"/>
  <c r="B1531" i="6"/>
  <c r="E1531" i="6" s="1" a="1"/>
  <c r="E1531" i="6" s="1"/>
  <c r="B1532" i="6"/>
  <c r="E1532" i="6" s="1" a="1"/>
  <c r="E1532" i="6" s="1"/>
  <c r="B1533" i="6"/>
  <c r="E1533" i="6" s="1" a="1"/>
  <c r="E1533" i="6" s="1"/>
  <c r="B1534" i="6"/>
  <c r="G1534" i="6" s="1" a="1"/>
  <c r="G1534" i="6" s="1"/>
  <c r="B1535" i="6"/>
  <c r="B1536" i="6"/>
  <c r="E1536" i="6" s="1" a="1"/>
  <c r="E1536" i="6" s="1"/>
  <c r="B1537" i="6"/>
  <c r="E1537" i="6" s="1" a="1"/>
  <c r="E1537" i="6" s="1"/>
  <c r="B1538" i="6"/>
  <c r="E1538" i="6" s="1" a="1"/>
  <c r="E1538" i="6" s="1"/>
  <c r="B1539" i="6"/>
  <c r="E1539" i="6" s="1" a="1"/>
  <c r="E1539" i="6" s="1"/>
  <c r="B1540" i="6"/>
  <c r="E1540" i="6" s="1" a="1"/>
  <c r="E1540" i="6" s="1"/>
  <c r="B1541" i="6"/>
  <c r="E1541" i="6" s="1" a="1"/>
  <c r="E1541" i="6" s="1"/>
  <c r="B1542" i="6"/>
  <c r="B1543" i="6"/>
  <c r="E1543" i="6" s="1" a="1"/>
  <c r="E1543" i="6" s="1"/>
  <c r="B1544" i="6"/>
  <c r="E1544" i="6" s="1" a="1"/>
  <c r="E1544" i="6" s="1"/>
  <c r="B1545" i="6"/>
  <c r="E1545" i="6" s="1" a="1"/>
  <c r="E1545" i="6" s="1"/>
  <c r="B1546" i="6"/>
  <c r="B1547" i="6"/>
  <c r="B1548" i="6"/>
  <c r="E1548" i="6" s="1" a="1"/>
  <c r="E1548" i="6" s="1"/>
  <c r="B1549" i="6"/>
  <c r="E1549" i="6" s="1" a="1"/>
  <c r="E1549" i="6" s="1"/>
  <c r="B1550" i="6"/>
  <c r="E1550" i="6" s="1" a="1"/>
  <c r="E1550" i="6" s="1"/>
  <c r="B1551" i="6"/>
  <c r="E1551" i="6" s="1" a="1"/>
  <c r="E1551" i="6" s="1"/>
  <c r="B1552" i="6"/>
  <c r="E1552" i="6" s="1" a="1"/>
  <c r="E1552" i="6" s="1"/>
  <c r="B1553" i="6"/>
  <c r="E1553" i="6" s="1" a="1"/>
  <c r="E1553" i="6" s="1"/>
  <c r="B1554" i="6"/>
  <c r="B1555" i="6"/>
  <c r="E1555" i="6" s="1" a="1"/>
  <c r="E1555" i="6" s="1"/>
  <c r="B1556" i="6"/>
  <c r="E1556" i="6" s="1" a="1"/>
  <c r="E1556" i="6" s="1"/>
  <c r="B1557" i="6"/>
  <c r="E1557" i="6" s="1" a="1"/>
  <c r="E1557" i="6" s="1"/>
  <c r="B1558" i="6"/>
  <c r="I1558" i="6" s="1" a="1"/>
  <c r="I1558" i="6" s="1"/>
  <c r="B1559" i="6"/>
  <c r="B1560" i="6"/>
  <c r="E1560" i="6" s="1" a="1"/>
  <c r="E1560" i="6" s="1"/>
  <c r="B1561" i="6"/>
  <c r="E1561" i="6" s="1" a="1"/>
  <c r="E1561" i="6" s="1"/>
  <c r="B1562" i="6"/>
  <c r="E1562" i="6" s="1" a="1"/>
  <c r="E1562" i="6" s="1"/>
  <c r="B1563" i="6"/>
  <c r="E1563" i="6" s="1" a="1"/>
  <c r="E1563" i="6" s="1"/>
  <c r="B1564" i="6"/>
  <c r="E1564" i="6" s="1" a="1"/>
  <c r="E1564" i="6" s="1"/>
  <c r="B1565" i="6"/>
  <c r="E1565" i="6" s="1" a="1"/>
  <c r="E1565" i="6" s="1"/>
  <c r="B1566" i="6"/>
  <c r="B1567" i="6"/>
  <c r="E1567" i="6" s="1" a="1"/>
  <c r="E1567" i="6" s="1"/>
  <c r="B1568" i="6"/>
  <c r="E1568" i="6" s="1" a="1"/>
  <c r="E1568" i="6" s="1"/>
  <c r="B1569" i="6"/>
  <c r="E1569" i="6" s="1" a="1"/>
  <c r="E1569" i="6" s="1"/>
  <c r="B1570" i="6"/>
  <c r="B1571" i="6"/>
  <c r="B1572" i="6"/>
  <c r="E1572" i="6" s="1" a="1"/>
  <c r="E1572" i="6" s="1"/>
  <c r="B1573" i="6"/>
  <c r="E1573" i="6" s="1" a="1"/>
  <c r="E1573" i="6" s="1"/>
  <c r="B1574" i="6"/>
  <c r="E1574" i="6" s="1" a="1"/>
  <c r="E1574" i="6" s="1"/>
  <c r="B1575" i="6"/>
  <c r="E1575" i="6" s="1" a="1"/>
  <c r="E1575" i="6" s="1"/>
  <c r="B1576" i="6"/>
  <c r="E1576" i="6" s="1" a="1"/>
  <c r="E1576" i="6" s="1"/>
  <c r="B1577" i="6"/>
  <c r="E1577" i="6" s="1" a="1"/>
  <c r="E1577" i="6" s="1"/>
  <c r="B1578" i="6"/>
  <c r="B1579" i="6"/>
  <c r="E1579" i="6" s="1" a="1"/>
  <c r="E1579" i="6" s="1"/>
  <c r="B1580" i="6"/>
  <c r="E1580" i="6" s="1" a="1"/>
  <c r="E1580" i="6" s="1"/>
  <c r="B1581" i="6"/>
  <c r="E1581" i="6" s="1" a="1"/>
  <c r="E1581" i="6" s="1"/>
  <c r="B1582" i="6"/>
  <c r="I1582" i="6" s="1" a="1"/>
  <c r="I1582" i="6" s="1"/>
  <c r="B1583" i="6"/>
  <c r="B1584" i="6"/>
  <c r="E1584" i="6" s="1" a="1"/>
  <c r="E1584" i="6" s="1"/>
  <c r="B1585" i="6"/>
  <c r="E1585" i="6" s="1" a="1"/>
  <c r="E1585" i="6" s="1"/>
  <c r="B1586" i="6"/>
  <c r="E1586" i="6" s="1" a="1"/>
  <c r="E1586" i="6" s="1"/>
  <c r="B1587" i="6"/>
  <c r="E1587" i="6" s="1" a="1"/>
  <c r="E1587" i="6" s="1"/>
  <c r="B1588" i="6"/>
  <c r="E1588" i="6" s="1" a="1"/>
  <c r="E1588" i="6" s="1"/>
  <c r="B1589" i="6"/>
  <c r="E1589" i="6" s="1" a="1"/>
  <c r="E1589" i="6" s="1"/>
  <c r="B1590" i="6"/>
  <c r="B1591" i="6"/>
  <c r="E1591" i="6" s="1" a="1"/>
  <c r="E1591" i="6" s="1"/>
  <c r="B1592" i="6"/>
  <c r="E1592" i="6" s="1" a="1"/>
  <c r="E1592" i="6" s="1"/>
  <c r="B1593" i="6"/>
  <c r="E1593" i="6" s="1" a="1"/>
  <c r="E1593" i="6" s="1"/>
  <c r="B1594" i="6"/>
  <c r="B1595" i="6"/>
  <c r="B1596" i="6"/>
  <c r="E1596" i="6" s="1" a="1"/>
  <c r="E1596" i="6" s="1"/>
  <c r="B1597" i="6"/>
  <c r="E1597" i="6" s="1" a="1"/>
  <c r="E1597" i="6" s="1"/>
  <c r="B1598" i="6"/>
  <c r="E1598" i="6" s="1" a="1"/>
  <c r="E1598" i="6" s="1"/>
  <c r="B1599" i="6"/>
  <c r="E1599" i="6" s="1" a="1"/>
  <c r="E1599" i="6" s="1"/>
  <c r="B1600" i="6"/>
  <c r="E1600" i="6" s="1" a="1"/>
  <c r="E1600" i="6" s="1"/>
  <c r="B1601" i="6"/>
  <c r="E1601" i="6" s="1" a="1"/>
  <c r="E1601" i="6" s="1"/>
  <c r="B1602" i="6"/>
  <c r="B1603" i="6"/>
  <c r="E1603" i="6" s="1" a="1"/>
  <c r="E1603" i="6" s="1"/>
  <c r="B1604" i="6"/>
  <c r="E1604" i="6" s="1" a="1"/>
  <c r="E1604" i="6" s="1"/>
  <c r="B1605" i="6"/>
  <c r="E1605" i="6" s="1" a="1"/>
  <c r="E1605" i="6" s="1"/>
  <c r="B1606" i="6"/>
  <c r="B1607" i="6"/>
  <c r="B1608" i="6"/>
  <c r="E1608" i="6" s="1" a="1"/>
  <c r="E1608" i="6" s="1"/>
  <c r="B1609" i="6"/>
  <c r="E1609" i="6" s="1" a="1"/>
  <c r="E1609" i="6" s="1"/>
  <c r="B1610" i="6"/>
  <c r="E1610" i="6" s="1" a="1"/>
  <c r="E1610" i="6" s="1"/>
  <c r="B1611" i="6"/>
  <c r="E1611" i="6" s="1" a="1"/>
  <c r="E1611" i="6" s="1"/>
  <c r="B1612" i="6"/>
  <c r="E1612" i="6" s="1" a="1"/>
  <c r="E1612" i="6" s="1"/>
  <c r="B1613" i="6"/>
  <c r="E1613" i="6" s="1" a="1"/>
  <c r="E1613" i="6" s="1"/>
  <c r="B1614" i="6"/>
  <c r="B1615" i="6"/>
  <c r="E1615" i="6" s="1" a="1"/>
  <c r="E1615" i="6" s="1"/>
  <c r="B1616" i="6"/>
  <c r="E1616" i="6" s="1" a="1"/>
  <c r="E1616" i="6" s="1"/>
  <c r="B1617" i="6"/>
  <c r="E1617" i="6" s="1" a="1"/>
  <c r="E1617" i="6" s="1"/>
  <c r="B1618" i="6"/>
  <c r="D1618" i="6" s="1" a="1"/>
  <c r="D1618" i="6" s="1"/>
  <c r="B1619" i="6"/>
  <c r="B1620" i="6"/>
  <c r="E1620" i="6" s="1" a="1"/>
  <c r="E1620" i="6" s="1"/>
  <c r="B1621" i="6"/>
  <c r="E1621" i="6" s="1" a="1"/>
  <c r="E1621" i="6" s="1"/>
  <c r="B1622" i="6"/>
  <c r="E1622" i="6" s="1" a="1"/>
  <c r="E1622" i="6" s="1"/>
  <c r="B1623" i="6"/>
  <c r="E1623" i="6" s="1" a="1"/>
  <c r="E1623" i="6" s="1"/>
  <c r="B1624" i="6"/>
  <c r="E1624" i="6" s="1" a="1"/>
  <c r="E1624" i="6" s="1"/>
  <c r="B1625" i="6"/>
  <c r="E1625" i="6" s="1" a="1"/>
  <c r="E1625" i="6" s="1"/>
  <c r="B1626" i="6"/>
  <c r="B1627" i="6"/>
  <c r="E1627" i="6" s="1" a="1"/>
  <c r="E1627" i="6" s="1"/>
  <c r="B1628" i="6"/>
  <c r="E1628" i="6" s="1" a="1"/>
  <c r="E1628" i="6" s="1"/>
  <c r="B1629" i="6"/>
  <c r="E1629" i="6" s="1" a="1"/>
  <c r="E1629" i="6" s="1"/>
  <c r="B1630" i="6"/>
  <c r="I1630" i="6" s="1" a="1"/>
  <c r="I1630" i="6" s="1"/>
  <c r="B1631" i="6"/>
  <c r="F1631" i="6" s="1" a="1"/>
  <c r="F1631" i="6" s="1"/>
  <c r="B1632" i="6"/>
  <c r="E1632" i="6" s="1" a="1"/>
  <c r="E1632" i="6" s="1"/>
  <c r="B1633" i="6"/>
  <c r="E1633" i="6" s="1" a="1"/>
  <c r="E1633" i="6" s="1"/>
  <c r="B1634" i="6"/>
  <c r="E1634" i="6" s="1" a="1"/>
  <c r="E1634" i="6" s="1"/>
  <c r="B1635" i="6"/>
  <c r="E1635" i="6" s="1" a="1"/>
  <c r="E1635" i="6" s="1"/>
  <c r="B1636" i="6"/>
  <c r="E1636" i="6" s="1" a="1"/>
  <c r="E1636" i="6" s="1"/>
  <c r="B1637" i="6"/>
  <c r="E1637" i="6" s="1" a="1"/>
  <c r="E1637" i="6" s="1"/>
  <c r="B1638" i="6"/>
  <c r="B1639" i="6"/>
  <c r="E1639" i="6" s="1" a="1"/>
  <c r="E1639" i="6" s="1"/>
  <c r="B1640" i="6"/>
  <c r="E1640" i="6" s="1" a="1"/>
  <c r="E1640" i="6" s="1"/>
  <c r="B1641" i="6"/>
  <c r="E1641" i="6" s="1" a="1"/>
  <c r="E1641" i="6" s="1"/>
  <c r="B1642" i="6"/>
  <c r="B1643" i="6"/>
  <c r="B1644" i="6"/>
  <c r="E1644" i="6" s="1" a="1"/>
  <c r="E1644" i="6" s="1"/>
  <c r="B1645" i="6"/>
  <c r="E1645" i="6" s="1" a="1"/>
  <c r="E1645" i="6" s="1"/>
  <c r="B1646" i="6"/>
  <c r="E1646" i="6" s="1" a="1"/>
  <c r="E1646" i="6" s="1"/>
  <c r="B1647" i="6"/>
  <c r="E1647" i="6" s="1" a="1"/>
  <c r="E1647" i="6" s="1"/>
  <c r="B1648" i="6"/>
  <c r="E1648" i="6" s="1" a="1"/>
  <c r="E1648" i="6" s="1"/>
  <c r="B1649" i="6"/>
  <c r="E1649" i="6" s="1" a="1"/>
  <c r="E1649" i="6" s="1"/>
  <c r="B1650" i="6"/>
  <c r="B1651" i="6"/>
  <c r="E1651" i="6" s="1" a="1"/>
  <c r="E1651" i="6" s="1"/>
  <c r="B1652" i="6"/>
  <c r="E1652" i="6" s="1" a="1"/>
  <c r="E1652" i="6" s="1"/>
  <c r="B1653" i="6"/>
  <c r="B1654" i="6"/>
  <c r="G1654" i="6" s="1" a="1"/>
  <c r="G1654" i="6" s="1"/>
  <c r="B1655" i="6"/>
  <c r="B1656" i="6"/>
  <c r="E1656" i="6" s="1" a="1"/>
  <c r="E1656" i="6" s="1"/>
  <c r="B1657" i="6"/>
  <c r="E1657" i="6" s="1" a="1"/>
  <c r="E1657" i="6" s="1"/>
  <c r="B1658" i="6"/>
  <c r="E1658" i="6" s="1" a="1"/>
  <c r="E1658" i="6" s="1"/>
  <c r="B1659" i="6"/>
  <c r="E1659" i="6" s="1" a="1"/>
  <c r="E1659" i="6" s="1"/>
  <c r="B1660" i="6"/>
  <c r="E1660" i="6" s="1" a="1"/>
  <c r="E1660" i="6" s="1"/>
  <c r="B1661" i="6"/>
  <c r="E1661" i="6" s="1" a="1"/>
  <c r="E1661" i="6" s="1"/>
  <c r="B1662" i="6"/>
  <c r="B1663" i="6"/>
  <c r="E1663" i="6" s="1" a="1"/>
  <c r="E1663" i="6" s="1"/>
  <c r="B1664" i="6"/>
  <c r="E1664" i="6" s="1" a="1"/>
  <c r="E1664" i="6" s="1"/>
  <c r="B1665" i="6"/>
  <c r="B1666" i="6"/>
  <c r="B1667" i="6"/>
  <c r="G1667" i="6" s="1" a="1"/>
  <c r="G1667" i="6" s="1"/>
  <c r="B1668" i="6"/>
  <c r="E1668" i="6" s="1" a="1"/>
  <c r="E1668" i="6" s="1"/>
  <c r="B1669" i="6"/>
  <c r="E1669" i="6" s="1" a="1"/>
  <c r="E1669" i="6" s="1"/>
  <c r="B1670" i="6"/>
  <c r="E1670" i="6" s="1" a="1"/>
  <c r="E1670" i="6" s="1"/>
  <c r="B1671" i="6"/>
  <c r="E1671" i="6" s="1" a="1"/>
  <c r="E1671" i="6" s="1"/>
  <c r="B1672" i="6"/>
  <c r="E1672" i="6" s="1" a="1"/>
  <c r="E1672" i="6" s="1"/>
  <c r="B1673" i="6"/>
  <c r="E1673" i="6" s="1" a="1"/>
  <c r="E1673" i="6" s="1"/>
  <c r="B1674" i="6"/>
  <c r="B1675" i="6"/>
  <c r="E1675" i="6" s="1" a="1"/>
  <c r="E1675" i="6" s="1"/>
  <c r="B1676" i="6"/>
  <c r="E1676" i="6" s="1" a="1"/>
  <c r="E1676" i="6" s="1"/>
  <c r="B1677" i="6"/>
  <c r="B1678" i="6"/>
  <c r="B1679" i="6"/>
  <c r="B1680" i="6"/>
  <c r="E1680" i="6" s="1" a="1"/>
  <c r="E1680" i="6" s="1"/>
  <c r="B1681" i="6"/>
  <c r="E1681" i="6" s="1" a="1"/>
  <c r="E1681" i="6" s="1"/>
  <c r="B1682" i="6"/>
  <c r="E1682" i="6" s="1" a="1"/>
  <c r="E1682" i="6" s="1"/>
  <c r="B1683" i="6"/>
  <c r="E1683" i="6" s="1" a="1"/>
  <c r="E1683" i="6" s="1"/>
  <c r="B1684" i="6"/>
  <c r="E1684" i="6" s="1" a="1"/>
  <c r="E1684" i="6" s="1"/>
  <c r="B1685" i="6"/>
  <c r="E1685" i="6" s="1" a="1"/>
  <c r="E1685" i="6" s="1"/>
  <c r="B1686" i="6"/>
  <c r="B1687" i="6"/>
  <c r="E1687" i="6" s="1" a="1"/>
  <c r="E1687" i="6" s="1"/>
  <c r="B1688" i="6"/>
  <c r="E1688" i="6" s="1" a="1"/>
  <c r="E1688" i="6" s="1"/>
  <c r="B1689" i="6"/>
  <c r="B1690" i="6"/>
  <c r="B1691" i="6"/>
  <c r="B1692" i="6"/>
  <c r="E1692" i="6" s="1" a="1"/>
  <c r="E1692" i="6" s="1"/>
  <c r="B1693" i="6"/>
  <c r="E1693" i="6" s="1" a="1"/>
  <c r="E1693" i="6" s="1"/>
  <c r="B1694" i="6"/>
  <c r="E1694" i="6" s="1" a="1"/>
  <c r="E1694" i="6" s="1"/>
  <c r="B1695" i="6"/>
  <c r="E1695" i="6" s="1" a="1"/>
  <c r="E1695" i="6" s="1"/>
  <c r="B1696" i="6"/>
  <c r="E1696" i="6" s="1" a="1"/>
  <c r="E1696" i="6" s="1"/>
  <c r="B1697" i="6"/>
  <c r="E1697" i="6" s="1" a="1"/>
  <c r="E1697" i="6" s="1"/>
  <c r="B1698" i="6"/>
  <c r="B1699" i="6"/>
  <c r="E1699" i="6" s="1" a="1"/>
  <c r="E1699" i="6" s="1"/>
  <c r="B1700" i="6"/>
  <c r="E1700" i="6" s="1" a="1"/>
  <c r="E1700" i="6" s="1"/>
  <c r="B1701" i="6"/>
  <c r="B1702" i="6"/>
  <c r="B1703" i="6"/>
  <c r="B1704" i="6"/>
  <c r="E1704" i="6" s="1" a="1"/>
  <c r="E1704" i="6" s="1"/>
  <c r="B1705" i="6"/>
  <c r="E1705" i="6" s="1" a="1"/>
  <c r="E1705" i="6" s="1"/>
  <c r="B1706" i="6"/>
  <c r="E1706" i="6" s="1" a="1"/>
  <c r="E1706" i="6" s="1"/>
  <c r="B1707" i="6"/>
  <c r="E1707" i="6" s="1" a="1"/>
  <c r="E1707" i="6" s="1"/>
  <c r="B1708" i="6"/>
  <c r="E1708" i="6" s="1" a="1"/>
  <c r="E1708" i="6" s="1"/>
  <c r="B1709" i="6"/>
  <c r="E1709" i="6" s="1" a="1"/>
  <c r="E1709" i="6" s="1"/>
  <c r="B1710" i="6"/>
  <c r="B1711" i="6"/>
  <c r="E1711" i="6" s="1" a="1"/>
  <c r="E1711" i="6" s="1"/>
  <c r="B1712" i="6"/>
  <c r="E1712" i="6" s="1" a="1"/>
  <c r="E1712" i="6" s="1"/>
  <c r="B1713" i="6"/>
  <c r="B1714" i="6"/>
  <c r="D1714" i="6" s="1" a="1"/>
  <c r="D1714" i="6" s="1"/>
  <c r="B1715" i="6"/>
  <c r="F1715" i="6" s="1" a="1"/>
  <c r="F1715" i="6" s="1"/>
  <c r="B1716" i="6"/>
  <c r="E1716" i="6" s="1" a="1"/>
  <c r="E1716" i="6" s="1"/>
  <c r="B1717" i="6"/>
  <c r="E1717" i="6" s="1" a="1"/>
  <c r="E1717" i="6" s="1"/>
  <c r="B1718" i="6"/>
  <c r="E1718" i="6" s="1" a="1"/>
  <c r="E1718" i="6" s="1"/>
  <c r="B1719" i="6"/>
  <c r="E1719" i="6" s="1" a="1"/>
  <c r="E1719" i="6" s="1"/>
  <c r="B1720" i="6"/>
  <c r="E1720" i="6" s="1" a="1"/>
  <c r="E1720" i="6" s="1"/>
  <c r="B1721" i="6"/>
  <c r="E1721" i="6" s="1" a="1"/>
  <c r="E1721" i="6" s="1"/>
  <c r="B1722" i="6"/>
  <c r="B1723" i="6"/>
  <c r="E1723" i="6" s="1" a="1"/>
  <c r="E1723" i="6" s="1"/>
  <c r="B1724" i="6"/>
  <c r="E1724" i="6" s="1" a="1"/>
  <c r="E1724" i="6" s="1"/>
  <c r="B1725" i="6"/>
  <c r="B1726" i="6"/>
  <c r="B1727" i="6"/>
  <c r="B1728" i="6"/>
  <c r="E1728" i="6" s="1" a="1"/>
  <c r="E1728" i="6" s="1"/>
  <c r="B1729" i="6"/>
  <c r="E1729" i="6" s="1" a="1"/>
  <c r="E1729" i="6" s="1"/>
  <c r="B1730" i="6"/>
  <c r="E1730" i="6" s="1" a="1"/>
  <c r="E1730" i="6" s="1"/>
  <c r="B1731" i="6"/>
  <c r="E1731" i="6" s="1" a="1"/>
  <c r="E1731" i="6" s="1"/>
  <c r="B1732" i="6"/>
  <c r="E1732" i="6" s="1" a="1"/>
  <c r="E1732" i="6" s="1"/>
  <c r="B1733" i="6"/>
  <c r="E1733" i="6" s="1" a="1"/>
  <c r="E1733" i="6" s="1"/>
  <c r="B1734" i="6"/>
  <c r="B1735" i="6"/>
  <c r="E1735" i="6" s="1" a="1"/>
  <c r="E1735" i="6" s="1"/>
  <c r="B1736" i="6"/>
  <c r="E1736" i="6" s="1" a="1"/>
  <c r="E1736" i="6" s="1"/>
  <c r="B1737" i="6"/>
  <c r="B1738" i="6"/>
  <c r="B1739" i="6"/>
  <c r="B1740" i="6"/>
  <c r="E1740" i="6" s="1" a="1"/>
  <c r="E1740" i="6" s="1"/>
  <c r="B1741" i="6"/>
  <c r="E1741" i="6" s="1" a="1"/>
  <c r="E1741" i="6" s="1"/>
  <c r="B1742" i="6"/>
  <c r="E1742" i="6" s="1" a="1"/>
  <c r="E1742" i="6" s="1"/>
  <c r="B1743" i="6"/>
  <c r="E1743" i="6" s="1" a="1"/>
  <c r="E1743" i="6" s="1"/>
  <c r="B1744" i="6"/>
  <c r="E1744" i="6" s="1" a="1"/>
  <c r="E1744" i="6" s="1"/>
  <c r="B1745" i="6"/>
  <c r="E1745" i="6" s="1" a="1"/>
  <c r="E1745" i="6" s="1"/>
  <c r="B1746" i="6"/>
  <c r="B1747" i="6"/>
  <c r="E1747" i="6" s="1" a="1"/>
  <c r="E1747" i="6" s="1"/>
  <c r="B1748" i="6"/>
  <c r="E1748" i="6" s="1" a="1"/>
  <c r="E1748" i="6" s="1"/>
  <c r="B1749" i="6"/>
  <c r="B1750" i="6"/>
  <c r="F1750" i="6" s="1" a="1"/>
  <c r="F1750" i="6" s="1"/>
  <c r="B1751" i="6"/>
  <c r="B1752" i="6"/>
  <c r="E1752" i="6" s="1" a="1"/>
  <c r="E1752" i="6" s="1"/>
  <c r="B1753" i="6"/>
  <c r="E1753" i="6" s="1" a="1"/>
  <c r="E1753" i="6" s="1"/>
  <c r="B1754" i="6"/>
  <c r="E1754" i="6" s="1" a="1"/>
  <c r="E1754" i="6" s="1"/>
  <c r="B1755" i="6"/>
  <c r="E1755" i="6" s="1" a="1"/>
  <c r="E1755" i="6" s="1"/>
  <c r="B1756" i="6"/>
  <c r="E1756" i="6" s="1" a="1"/>
  <c r="E1756" i="6" s="1"/>
  <c r="B1757" i="6"/>
  <c r="E1757" i="6" s="1" a="1"/>
  <c r="E1757" i="6" s="1"/>
  <c r="B1758" i="6"/>
  <c r="B1759" i="6"/>
  <c r="E1759" i="6" s="1" a="1"/>
  <c r="E1759" i="6" s="1"/>
  <c r="B1760" i="6"/>
  <c r="E1760" i="6" s="1" a="1"/>
  <c r="E1760" i="6" s="1"/>
  <c r="B1761" i="6"/>
  <c r="B1762" i="6"/>
  <c r="B1763" i="6"/>
  <c r="G1763" i="6" s="1" a="1"/>
  <c r="G1763" i="6" s="1"/>
  <c r="B1764" i="6"/>
  <c r="E1764" i="6" s="1" a="1"/>
  <c r="E1764" i="6" s="1"/>
  <c r="B1765" i="6"/>
  <c r="E1765" i="6" s="1" a="1"/>
  <c r="E1765" i="6" s="1"/>
  <c r="B1766" i="6"/>
  <c r="E1766" i="6" s="1" a="1"/>
  <c r="E1766" i="6" s="1"/>
  <c r="B1767" i="6"/>
  <c r="E1767" i="6" s="1" a="1"/>
  <c r="E1767" i="6" s="1"/>
  <c r="B1768" i="6"/>
  <c r="E1768" i="6" s="1" a="1"/>
  <c r="E1768" i="6" s="1"/>
  <c r="B1769" i="6"/>
  <c r="E1769" i="6" s="1" a="1"/>
  <c r="E1769" i="6" s="1"/>
  <c r="B1770" i="6"/>
  <c r="B1771" i="6"/>
  <c r="E1771" i="6" s="1" a="1"/>
  <c r="E1771" i="6" s="1"/>
  <c r="B1772" i="6"/>
  <c r="E1772" i="6" s="1" a="1"/>
  <c r="E1772" i="6" s="1"/>
  <c r="B1773" i="6"/>
  <c r="B1774" i="6"/>
  <c r="B1775" i="6"/>
  <c r="B1776" i="6"/>
  <c r="E1776" i="6" s="1" a="1"/>
  <c r="E1776" i="6" s="1"/>
  <c r="B1777" i="6"/>
  <c r="E1777" i="6" s="1" a="1"/>
  <c r="E1777" i="6" s="1"/>
  <c r="B1778" i="6"/>
  <c r="E1778" i="6" s="1" a="1"/>
  <c r="E1778" i="6" s="1"/>
  <c r="B1779" i="6"/>
  <c r="E1779" i="6" s="1" a="1"/>
  <c r="E1779" i="6" s="1"/>
  <c r="B1780" i="6"/>
  <c r="E1780" i="6" s="1" a="1"/>
  <c r="E1780" i="6" s="1"/>
  <c r="B1781" i="6"/>
  <c r="E1781" i="6" s="1" a="1"/>
  <c r="E1781" i="6" s="1"/>
  <c r="B1782" i="6"/>
  <c r="B1783" i="6"/>
  <c r="E1783" i="6" s="1" a="1"/>
  <c r="E1783" i="6" s="1"/>
  <c r="B1784" i="6"/>
  <c r="E1784" i="6" s="1" a="1"/>
  <c r="E1784" i="6" s="1"/>
  <c r="B1785" i="6"/>
  <c r="B1786" i="6"/>
  <c r="B1787" i="6"/>
  <c r="B1788" i="6"/>
  <c r="E1788" i="6" s="1" a="1"/>
  <c r="E1788" i="6" s="1"/>
  <c r="B1789" i="6"/>
  <c r="E1789" i="6" s="1" a="1"/>
  <c r="E1789" i="6" s="1"/>
  <c r="B1790" i="6"/>
  <c r="E1790" i="6" s="1" a="1"/>
  <c r="E1790" i="6" s="1"/>
  <c r="B1791" i="6"/>
  <c r="E1791" i="6" s="1" a="1"/>
  <c r="E1791" i="6" s="1"/>
  <c r="B1792" i="6"/>
  <c r="E1792" i="6" s="1" a="1"/>
  <c r="E1792" i="6" s="1"/>
  <c r="B1793" i="6"/>
  <c r="E1793" i="6" s="1" a="1"/>
  <c r="E1793" i="6" s="1"/>
  <c r="B1794" i="6"/>
  <c r="B1795" i="6"/>
  <c r="E1795" i="6" s="1" a="1"/>
  <c r="E1795" i="6" s="1"/>
  <c r="B1796" i="6"/>
  <c r="E1796" i="6" s="1" a="1"/>
  <c r="E1796" i="6" s="1"/>
  <c r="B1797" i="6"/>
  <c r="B1798" i="6"/>
  <c r="G1798" i="6" s="1" a="1"/>
  <c r="G1798" i="6" s="1"/>
  <c r="B1799" i="6"/>
  <c r="B1800" i="6"/>
  <c r="E1800" i="6" s="1" a="1"/>
  <c r="E1800" i="6" s="1"/>
  <c r="B1801" i="6"/>
  <c r="E1801" i="6" s="1" a="1"/>
  <c r="E1801" i="6" s="1"/>
  <c r="B1802" i="6"/>
  <c r="E1802" i="6" s="1" a="1"/>
  <c r="E1802" i="6" s="1"/>
  <c r="B1803" i="6"/>
  <c r="E1803" i="6" s="1" a="1"/>
  <c r="E1803" i="6" s="1"/>
  <c r="B1804" i="6"/>
  <c r="E1804" i="6" s="1" a="1"/>
  <c r="E1804" i="6" s="1"/>
  <c r="B1805" i="6"/>
  <c r="E1805" i="6" s="1" a="1"/>
  <c r="E1805" i="6" s="1"/>
  <c r="B1806" i="6"/>
  <c r="B1807" i="6"/>
  <c r="E1807" i="6" s="1" a="1"/>
  <c r="E1807" i="6" s="1"/>
  <c r="B1808" i="6"/>
  <c r="E1808" i="6" s="1" a="1"/>
  <c r="E1808" i="6" s="1"/>
  <c r="B1809" i="6"/>
  <c r="B1810" i="6"/>
  <c r="B1811" i="6"/>
  <c r="B1812" i="6"/>
  <c r="E1812" i="6" s="1" a="1"/>
  <c r="E1812" i="6" s="1"/>
  <c r="B1813" i="6"/>
  <c r="E1813" i="6" s="1" a="1"/>
  <c r="E1813" i="6" s="1"/>
  <c r="B1814" i="6"/>
  <c r="E1814" i="6" s="1" a="1"/>
  <c r="E1814" i="6" s="1"/>
  <c r="B1815" i="6"/>
  <c r="E1815" i="6" s="1" a="1"/>
  <c r="E1815" i="6" s="1"/>
  <c r="B1816" i="6"/>
  <c r="E1816" i="6" s="1" a="1"/>
  <c r="E1816" i="6" s="1"/>
  <c r="B1817" i="6"/>
  <c r="E1817" i="6" s="1" a="1"/>
  <c r="E1817" i="6" s="1"/>
  <c r="B1818" i="6"/>
  <c r="B1819" i="6"/>
  <c r="E1819" i="6" s="1" a="1"/>
  <c r="E1819" i="6" s="1"/>
  <c r="B1820" i="6"/>
  <c r="E1820" i="6" s="1" a="1"/>
  <c r="E1820" i="6" s="1"/>
  <c r="B1821" i="6"/>
  <c r="B1822" i="6"/>
  <c r="B1823" i="6"/>
  <c r="D1823" i="6" s="1" a="1"/>
  <c r="D1823" i="6" s="1"/>
  <c r="B1824" i="6"/>
  <c r="E1824" i="6" s="1" a="1"/>
  <c r="E1824" i="6" s="1"/>
  <c r="B1825" i="6"/>
  <c r="E1825" i="6" s="1" a="1"/>
  <c r="E1825" i="6" s="1"/>
  <c r="B1826" i="6"/>
  <c r="E1826" i="6" s="1" a="1"/>
  <c r="E1826" i="6" s="1"/>
  <c r="B1827" i="6"/>
  <c r="E1827" i="6" s="1" a="1"/>
  <c r="E1827" i="6" s="1"/>
  <c r="B1828" i="6"/>
  <c r="E1828" i="6" s="1" a="1"/>
  <c r="E1828" i="6" s="1"/>
  <c r="B1829" i="6"/>
  <c r="E1829" i="6" s="1" a="1"/>
  <c r="E1829" i="6" s="1"/>
  <c r="B1830" i="6"/>
  <c r="B1831" i="6"/>
  <c r="E1831" i="6" s="1" a="1"/>
  <c r="E1831" i="6" s="1"/>
  <c r="B1832" i="6"/>
  <c r="E1832" i="6" s="1" a="1"/>
  <c r="E1832" i="6" s="1"/>
  <c r="B1833" i="6"/>
  <c r="B1834" i="6"/>
  <c r="B1835" i="6"/>
  <c r="B1836" i="6"/>
  <c r="E1836" i="6" s="1" a="1"/>
  <c r="E1836" i="6" s="1"/>
  <c r="B1837" i="6"/>
  <c r="E1837" i="6" s="1" a="1"/>
  <c r="E1837" i="6" s="1"/>
  <c r="B1838" i="6"/>
  <c r="E1838" i="6" s="1" a="1"/>
  <c r="E1838" i="6" s="1"/>
  <c r="B1839" i="6"/>
  <c r="E1839" i="6" s="1" a="1"/>
  <c r="E1839" i="6" s="1"/>
  <c r="B1840" i="6"/>
  <c r="E1840" i="6" s="1" a="1"/>
  <c r="E1840" i="6" s="1"/>
  <c r="B1841" i="6"/>
  <c r="E1841" i="6" s="1" a="1"/>
  <c r="E1841" i="6" s="1"/>
  <c r="B1842" i="6"/>
  <c r="B1843" i="6"/>
  <c r="E1843" i="6" s="1" a="1"/>
  <c r="E1843" i="6" s="1"/>
  <c r="B1844" i="6"/>
  <c r="E1844" i="6" s="1" a="1"/>
  <c r="E1844" i="6" s="1"/>
  <c r="B1845" i="6"/>
  <c r="B1846" i="6"/>
  <c r="B1847" i="6"/>
  <c r="B1848" i="6"/>
  <c r="E1848" i="6" s="1" a="1"/>
  <c r="E1848" i="6" s="1"/>
  <c r="B1849" i="6"/>
  <c r="E1849" i="6" s="1" a="1"/>
  <c r="E1849" i="6" s="1"/>
  <c r="B1850" i="6"/>
  <c r="E1850" i="6" s="1" a="1"/>
  <c r="E1850" i="6" s="1"/>
  <c r="B1851" i="6"/>
  <c r="E1851" i="6" s="1" a="1"/>
  <c r="E1851" i="6" s="1"/>
  <c r="B1852" i="6"/>
  <c r="E1852" i="6" s="1" a="1"/>
  <c r="E1852" i="6" s="1"/>
  <c r="B1853" i="6"/>
  <c r="E1853" i="6" s="1" a="1"/>
  <c r="E1853" i="6" s="1"/>
  <c r="B1854" i="6"/>
  <c r="B1855" i="6"/>
  <c r="E1855" i="6" s="1" a="1"/>
  <c r="E1855" i="6" s="1"/>
  <c r="B1856" i="6"/>
  <c r="E1856" i="6" s="1" a="1"/>
  <c r="E1856" i="6" s="1"/>
  <c r="B1857" i="6"/>
  <c r="B1858" i="6"/>
  <c r="B1859" i="6"/>
  <c r="B1860" i="6"/>
  <c r="E1860" i="6" s="1" a="1"/>
  <c r="E1860" i="6" s="1"/>
  <c r="B1861" i="6"/>
  <c r="E1861" i="6" s="1" a="1"/>
  <c r="E1861" i="6" s="1"/>
  <c r="B1862" i="6"/>
  <c r="E1862" i="6" s="1" a="1"/>
  <c r="E1862" i="6" s="1"/>
  <c r="B1863" i="6"/>
  <c r="E1863" i="6" s="1" a="1"/>
  <c r="E1863" i="6" s="1"/>
  <c r="B1864" i="6"/>
  <c r="E1864" i="6" s="1" a="1"/>
  <c r="E1864" i="6" s="1"/>
  <c r="B1865" i="6"/>
  <c r="E1865" i="6" s="1" a="1"/>
  <c r="E1865" i="6" s="1"/>
  <c r="B1866" i="6"/>
  <c r="B1867" i="6"/>
  <c r="E1867" i="6" s="1" a="1"/>
  <c r="E1867" i="6" s="1"/>
  <c r="B1868" i="6"/>
  <c r="E1868" i="6" s="1" a="1"/>
  <c r="E1868" i="6" s="1"/>
  <c r="B1869" i="6"/>
  <c r="B1870" i="6"/>
  <c r="B1871" i="6"/>
  <c r="D1871" i="6" s="1" a="1"/>
  <c r="D1871" i="6" s="1"/>
  <c r="B1872" i="6"/>
  <c r="E1872" i="6" s="1" a="1"/>
  <c r="E1872" i="6" s="1"/>
  <c r="B1873" i="6"/>
  <c r="E1873" i="6" s="1" a="1"/>
  <c r="E1873" i="6" s="1"/>
  <c r="B1874" i="6"/>
  <c r="E1874" i="6" s="1" a="1"/>
  <c r="E1874" i="6" s="1"/>
  <c r="B1875" i="6"/>
  <c r="E1875" i="6" s="1" a="1"/>
  <c r="E1875" i="6" s="1"/>
  <c r="B1876" i="6"/>
  <c r="E1876" i="6" s="1" a="1"/>
  <c r="E1876" i="6" s="1"/>
  <c r="B1877" i="6"/>
  <c r="E1877" i="6" s="1" a="1"/>
  <c r="E1877" i="6" s="1"/>
  <c r="B1878" i="6"/>
  <c r="B1879" i="6"/>
  <c r="E1879" i="6" s="1" a="1"/>
  <c r="E1879" i="6" s="1"/>
  <c r="B1880" i="6"/>
  <c r="E1880" i="6" s="1" a="1"/>
  <c r="E1880" i="6" s="1"/>
  <c r="B1881" i="6"/>
  <c r="B1882" i="6"/>
  <c r="B1883" i="6"/>
  <c r="B1884" i="6"/>
  <c r="E1884" i="6" s="1" a="1"/>
  <c r="E1884" i="6" s="1"/>
  <c r="B1885" i="6"/>
  <c r="E1885" i="6" s="1" a="1"/>
  <c r="E1885" i="6" s="1"/>
  <c r="B1886" i="6"/>
  <c r="E1886" i="6" s="1" a="1"/>
  <c r="E1886" i="6" s="1"/>
  <c r="B1887" i="6"/>
  <c r="E1887" i="6" s="1" a="1"/>
  <c r="E1887" i="6" s="1"/>
  <c r="B1888" i="6"/>
  <c r="E1888" i="6" s="1" a="1"/>
  <c r="E1888" i="6" s="1"/>
  <c r="B1889" i="6"/>
  <c r="E1889" i="6" s="1" a="1"/>
  <c r="E1889" i="6" s="1"/>
  <c r="B1890" i="6"/>
  <c r="B1891" i="6"/>
  <c r="E1891" i="6" s="1" a="1"/>
  <c r="E1891" i="6" s="1"/>
  <c r="B1892" i="6"/>
  <c r="E1892" i="6" s="1" a="1"/>
  <c r="E1892" i="6" s="1"/>
  <c r="B1893" i="6"/>
  <c r="B1894" i="6"/>
  <c r="F1894" i="6" s="1" a="1"/>
  <c r="F1894" i="6" s="1"/>
  <c r="B1895" i="6"/>
  <c r="B1896" i="6"/>
  <c r="E1896" i="6" s="1" a="1"/>
  <c r="E1896" i="6" s="1"/>
  <c r="B1897" i="6"/>
  <c r="E1897" i="6" s="1" a="1"/>
  <c r="E1897" i="6" s="1"/>
  <c r="B1898" i="6"/>
  <c r="E1898" i="6" s="1" a="1"/>
  <c r="E1898" i="6" s="1"/>
  <c r="B1899" i="6"/>
  <c r="E1899" i="6" s="1" a="1"/>
  <c r="E1899" i="6" s="1"/>
  <c r="B1900" i="6"/>
  <c r="E1900" i="6" s="1" a="1"/>
  <c r="E1900" i="6" s="1"/>
  <c r="B1901" i="6"/>
  <c r="E1901" i="6" s="1" a="1"/>
  <c r="E1901" i="6" s="1"/>
  <c r="B1902" i="6"/>
  <c r="B1903" i="6"/>
  <c r="E1903" i="6" s="1" a="1"/>
  <c r="E1903" i="6" s="1"/>
  <c r="B1904" i="6"/>
  <c r="E1904" i="6" s="1" a="1"/>
  <c r="E1904" i="6" s="1"/>
  <c r="B1905" i="6"/>
  <c r="B1906" i="6"/>
  <c r="B1907" i="6"/>
  <c r="D1907" i="6" s="1" a="1"/>
  <c r="D1907" i="6" s="1"/>
  <c r="B1908" i="6"/>
  <c r="E1908" i="6" s="1" a="1"/>
  <c r="E1908" i="6" s="1"/>
  <c r="B1909" i="6"/>
  <c r="E1909" i="6" s="1" a="1"/>
  <c r="E1909" i="6" s="1"/>
  <c r="B1910" i="6"/>
  <c r="E1910" i="6" s="1" a="1"/>
  <c r="E1910" i="6" s="1"/>
  <c r="B1911" i="6"/>
  <c r="E1911" i="6" s="1" a="1"/>
  <c r="E1911" i="6" s="1"/>
  <c r="B1912" i="6"/>
  <c r="E1912" i="6" s="1" a="1"/>
  <c r="E1912" i="6" s="1"/>
  <c r="B1913" i="6"/>
  <c r="E1913" i="6" s="1" a="1"/>
  <c r="E1913" i="6" s="1"/>
  <c r="B1914" i="6"/>
  <c r="B1915" i="6"/>
  <c r="E1915" i="6" s="1" a="1"/>
  <c r="E1915" i="6" s="1"/>
  <c r="B1916" i="6"/>
  <c r="E1916" i="6" s="1" a="1"/>
  <c r="E1916" i="6" s="1"/>
  <c r="B1917" i="6"/>
  <c r="B1918" i="6"/>
  <c r="B1919" i="6"/>
  <c r="B1920" i="6"/>
  <c r="E1920" i="6" s="1" a="1"/>
  <c r="E1920" i="6" s="1"/>
  <c r="B1921" i="6"/>
  <c r="E1921" i="6" s="1" a="1"/>
  <c r="E1921" i="6" s="1"/>
  <c r="B1922" i="6"/>
  <c r="E1922" i="6" s="1" a="1"/>
  <c r="E1922" i="6" s="1"/>
  <c r="B1923" i="6"/>
  <c r="E1923" i="6" s="1" a="1"/>
  <c r="E1923" i="6" s="1"/>
  <c r="B1924" i="6"/>
  <c r="E1924" i="6" s="1" a="1"/>
  <c r="E1924" i="6" s="1"/>
  <c r="B1925" i="6"/>
  <c r="E1925" i="6" s="1" a="1"/>
  <c r="E1925" i="6" s="1"/>
  <c r="B1926" i="6"/>
  <c r="E1926" i="6" s="1" a="1"/>
  <c r="E1926" i="6" s="1"/>
  <c r="B1927" i="6"/>
  <c r="E1927" i="6" s="1" a="1"/>
  <c r="E1927" i="6" s="1"/>
  <c r="B1928" i="6"/>
  <c r="E1928" i="6" s="1" a="1"/>
  <c r="E1928" i="6" s="1"/>
  <c r="B1929" i="6"/>
  <c r="E1929" i="6" s="1" a="1"/>
  <c r="E1929" i="6" s="1"/>
  <c r="B1930" i="6"/>
  <c r="B1931" i="6"/>
  <c r="B1932" i="6"/>
  <c r="E1932" i="6" s="1" a="1"/>
  <c r="E1932" i="6" s="1"/>
  <c r="B1933" i="6"/>
  <c r="E1933" i="6" s="1" a="1"/>
  <c r="E1933" i="6" s="1"/>
  <c r="B1934" i="6"/>
  <c r="E1934" i="6" s="1" a="1"/>
  <c r="E1934" i="6" s="1"/>
  <c r="B1935" i="6"/>
  <c r="E1935" i="6" s="1" a="1"/>
  <c r="E1935" i="6" s="1"/>
  <c r="B1936" i="6"/>
  <c r="E1936" i="6" s="1" a="1"/>
  <c r="E1936" i="6" s="1"/>
  <c r="B1937" i="6"/>
  <c r="E1937" i="6" s="1" a="1"/>
  <c r="E1937" i="6" s="1"/>
  <c r="B1938" i="6"/>
  <c r="B1939" i="6"/>
  <c r="E1939" i="6" s="1" a="1"/>
  <c r="E1939" i="6" s="1"/>
  <c r="B1940" i="6"/>
  <c r="E1940" i="6" s="1" a="1"/>
  <c r="E1940" i="6" s="1"/>
  <c r="B1941" i="6"/>
  <c r="B1942" i="6"/>
  <c r="D1942" i="6" s="1" a="1"/>
  <c r="D1942" i="6" s="1"/>
  <c r="B1943" i="6"/>
  <c r="D1943" i="6" s="1" a="1"/>
  <c r="D1943" i="6" s="1"/>
  <c r="B1944" i="6"/>
  <c r="E1944" i="6" s="1" a="1"/>
  <c r="E1944" i="6" s="1"/>
  <c r="B1945" i="6"/>
  <c r="E1945" i="6" s="1" a="1"/>
  <c r="E1945" i="6" s="1"/>
  <c r="B1946" i="6"/>
  <c r="E1946" i="6" s="1" a="1"/>
  <c r="E1946" i="6" s="1"/>
  <c r="B1947" i="6"/>
  <c r="E1947" i="6" s="1" a="1"/>
  <c r="E1947" i="6" s="1"/>
  <c r="B1948" i="6"/>
  <c r="E1948" i="6" s="1" a="1"/>
  <c r="E1948" i="6" s="1"/>
  <c r="B1949" i="6"/>
  <c r="E1949" i="6" s="1" a="1"/>
  <c r="E1949" i="6" s="1"/>
  <c r="B1950" i="6"/>
  <c r="B1951" i="6"/>
  <c r="E1951" i="6" s="1" a="1"/>
  <c r="E1951" i="6" s="1"/>
  <c r="B1952" i="6"/>
  <c r="E1952" i="6" s="1" a="1"/>
  <c r="E1952" i="6" s="1"/>
  <c r="B1953" i="6"/>
  <c r="B1954" i="6"/>
  <c r="F1954" i="6" s="1" a="1"/>
  <c r="F1954" i="6" s="1"/>
  <c r="B1955" i="6"/>
  <c r="G1955" i="6" s="1" a="1"/>
  <c r="G1955" i="6" s="1"/>
  <c r="B1956" i="6"/>
  <c r="E1956" i="6" s="1" a="1"/>
  <c r="E1956" i="6" s="1"/>
  <c r="B1957" i="6"/>
  <c r="E1957" i="6" s="1" a="1"/>
  <c r="E1957" i="6" s="1"/>
  <c r="B1958" i="6"/>
  <c r="E1958" i="6" s="1" a="1"/>
  <c r="E1958" i="6" s="1"/>
  <c r="B1959" i="6"/>
  <c r="E1959" i="6" s="1" a="1"/>
  <c r="E1959" i="6" s="1"/>
  <c r="B1960" i="6"/>
  <c r="E1960" i="6" s="1" a="1"/>
  <c r="E1960" i="6" s="1"/>
  <c r="B1961" i="6"/>
  <c r="E1961" i="6" s="1" a="1"/>
  <c r="E1961" i="6" s="1"/>
  <c r="B1962" i="6"/>
  <c r="B1963" i="6"/>
  <c r="E1963" i="6" s="1" a="1"/>
  <c r="E1963" i="6" s="1"/>
  <c r="B1964" i="6"/>
  <c r="E1964" i="6" s="1" a="1"/>
  <c r="E1964" i="6" s="1"/>
  <c r="B1965" i="6"/>
  <c r="B1966" i="6"/>
  <c r="B1967" i="6"/>
  <c r="B1968" i="6"/>
  <c r="E1968" i="6" s="1" a="1"/>
  <c r="E1968" i="6" s="1"/>
  <c r="B1969" i="6"/>
  <c r="E1969" i="6" s="1" a="1"/>
  <c r="E1969" i="6" s="1"/>
  <c r="B1970" i="6"/>
  <c r="E1970" i="6" s="1" a="1"/>
  <c r="E1970" i="6" s="1"/>
  <c r="B1971" i="6"/>
  <c r="E1971" i="6" s="1" a="1"/>
  <c r="E1971" i="6" s="1"/>
  <c r="B1972" i="6"/>
  <c r="E1972" i="6" s="1" a="1"/>
  <c r="E1972" i="6" s="1"/>
  <c r="B1973" i="6"/>
  <c r="E1973" i="6" s="1" a="1"/>
  <c r="E1973" i="6" s="1"/>
  <c r="B1974" i="6"/>
  <c r="B1975" i="6"/>
  <c r="E1975" i="6" s="1" a="1"/>
  <c r="E1975" i="6" s="1"/>
  <c r="B1976" i="6"/>
  <c r="E1976" i="6" s="1" a="1"/>
  <c r="E1976" i="6" s="1"/>
  <c r="B1977" i="6"/>
  <c r="B1978" i="6"/>
  <c r="B1979" i="6"/>
  <c r="B1980" i="6"/>
  <c r="E1980" i="6" s="1" a="1"/>
  <c r="E1980" i="6" s="1"/>
  <c r="B1981" i="6"/>
  <c r="E1981" i="6" s="1" a="1"/>
  <c r="E1981" i="6" s="1"/>
  <c r="B1982" i="6"/>
  <c r="E1982" i="6" s="1" a="1"/>
  <c r="E1982" i="6" s="1"/>
  <c r="B1983" i="6"/>
  <c r="E1983" i="6" s="1" a="1"/>
  <c r="E1983" i="6" s="1"/>
  <c r="B1984" i="6"/>
  <c r="E1984" i="6" s="1" a="1"/>
  <c r="E1984" i="6" s="1"/>
  <c r="B1985" i="6"/>
  <c r="E1985" i="6" s="1" a="1"/>
  <c r="E1985" i="6" s="1"/>
  <c r="B1986" i="6"/>
  <c r="E1986" i="6" s="1" a="1"/>
  <c r="E1986" i="6" s="1"/>
  <c r="B1987" i="6"/>
  <c r="E1987" i="6" s="1" a="1"/>
  <c r="E1987" i="6" s="1"/>
  <c r="B1988" i="6"/>
  <c r="E1988" i="6" s="1" a="1"/>
  <c r="E1988" i="6" s="1"/>
  <c r="B1989" i="6"/>
  <c r="E1989" i="6" s="1" a="1"/>
  <c r="E1989" i="6" s="1"/>
  <c r="B1990" i="6"/>
  <c r="B1991" i="6"/>
  <c r="B1992" i="6"/>
  <c r="E1992" i="6" s="1" a="1"/>
  <c r="E1992" i="6" s="1"/>
  <c r="B1993" i="6"/>
  <c r="E1993" i="6" s="1" a="1"/>
  <c r="E1993" i="6" s="1"/>
  <c r="B1994" i="6"/>
  <c r="E1994" i="6" s="1" a="1"/>
  <c r="E1994" i="6" s="1"/>
  <c r="B1995" i="6"/>
  <c r="E1995" i="6" s="1" a="1"/>
  <c r="E1995" i="6" s="1"/>
  <c r="B1996" i="6"/>
  <c r="E1996" i="6" s="1" a="1"/>
  <c r="E1996" i="6" s="1"/>
  <c r="B1997" i="6"/>
  <c r="E1997" i="6" s="1" a="1"/>
  <c r="E1997" i="6" s="1"/>
  <c r="B1998" i="6"/>
  <c r="E1998" i="6" s="1" a="1"/>
  <c r="E1998" i="6" s="1"/>
  <c r="B1999" i="6"/>
  <c r="E1999" i="6" s="1" a="1"/>
  <c r="E1999" i="6" s="1"/>
  <c r="B2000" i="6"/>
  <c r="E2000" i="6" s="1" a="1"/>
  <c r="E2000" i="6" s="1"/>
  <c r="B2001" i="6"/>
  <c r="E2001" i="6" s="1" a="1"/>
  <c r="E2001" i="6" s="1"/>
  <c r="B2002" i="6"/>
  <c r="D2002" i="6" s="1" a="1"/>
  <c r="D2002" i="6" s="1"/>
  <c r="B2003" i="6"/>
  <c r="G2003" i="6" s="1" a="1"/>
  <c r="G2003" i="6" s="1"/>
  <c r="B2004" i="6"/>
  <c r="E2004" i="6" s="1" a="1"/>
  <c r="E2004" i="6" s="1"/>
  <c r="B2005" i="6"/>
  <c r="E2005" i="6" s="1" a="1"/>
  <c r="E2005" i="6" s="1"/>
  <c r="B2006" i="6"/>
  <c r="E2006" i="6" s="1" a="1"/>
  <c r="E2006" i="6" s="1"/>
  <c r="B2007" i="6"/>
  <c r="E2007" i="6" s="1" a="1"/>
  <c r="E2007" i="6" s="1"/>
  <c r="B2008" i="6"/>
  <c r="E2008" i="6" s="1" a="1"/>
  <c r="E2008" i="6" s="1"/>
  <c r="B2009" i="6"/>
  <c r="E2009" i="6" s="1" a="1"/>
  <c r="E2009" i="6" s="1"/>
  <c r="B2010" i="6"/>
  <c r="B2011" i="6"/>
  <c r="E2011" i="6" s="1" a="1"/>
  <c r="E2011" i="6" s="1"/>
  <c r="B2012" i="6"/>
  <c r="E2012" i="6" s="1" a="1"/>
  <c r="E2012" i="6" s="1"/>
  <c r="B2013" i="6"/>
  <c r="B2014" i="6"/>
  <c r="D2014" i="6" s="1" a="1"/>
  <c r="D2014" i="6" s="1"/>
  <c r="B2015" i="6"/>
  <c r="B2016" i="6"/>
  <c r="E2016" i="6" s="1" a="1"/>
  <c r="E2016" i="6" s="1"/>
  <c r="B2017" i="6"/>
  <c r="E2017" i="6" s="1" a="1"/>
  <c r="E2017" i="6" s="1"/>
  <c r="B2018" i="6"/>
  <c r="E2018" i="6" s="1" a="1"/>
  <c r="E2018" i="6" s="1"/>
  <c r="B2019" i="6"/>
  <c r="E2019" i="6" s="1" a="1"/>
  <c r="E2019" i="6" s="1"/>
  <c r="B2020" i="6"/>
  <c r="E2020" i="6" s="1" a="1"/>
  <c r="E2020" i="6" s="1"/>
  <c r="B2021" i="6"/>
  <c r="E2021" i="6" s="1" a="1"/>
  <c r="E2021" i="6" s="1"/>
  <c r="B2022" i="6"/>
  <c r="B2023" i="6"/>
  <c r="E2023" i="6" s="1" a="1"/>
  <c r="E2023" i="6" s="1"/>
  <c r="B2024" i="6"/>
  <c r="E2024" i="6" s="1" a="1"/>
  <c r="E2024" i="6" s="1"/>
  <c r="B2025" i="6"/>
  <c r="B2026" i="6"/>
  <c r="B2027" i="6"/>
  <c r="B2028" i="6"/>
  <c r="E2028" i="6" s="1" a="1"/>
  <c r="E2028" i="6" s="1"/>
  <c r="B2029" i="6"/>
  <c r="E2029" i="6" s="1" a="1"/>
  <c r="E2029" i="6" s="1"/>
  <c r="B2030" i="6"/>
  <c r="E2030" i="6" s="1" a="1"/>
  <c r="E2030" i="6" s="1"/>
  <c r="B2031" i="6"/>
  <c r="E2031" i="6" s="1" a="1"/>
  <c r="E2031" i="6" s="1"/>
  <c r="B2032" i="6"/>
  <c r="E2032" i="6" s="1" a="1"/>
  <c r="E2032" i="6" s="1"/>
  <c r="B2033" i="6"/>
  <c r="E2033" i="6" s="1" a="1"/>
  <c r="E2033" i="6" s="1"/>
  <c r="B2034" i="6"/>
  <c r="B2035" i="6"/>
  <c r="E2035" i="6" s="1" a="1"/>
  <c r="E2035" i="6" s="1"/>
  <c r="B2036" i="6"/>
  <c r="E2036" i="6" s="1" a="1"/>
  <c r="E2036" i="6" s="1"/>
  <c r="B2037" i="6"/>
  <c r="B2038" i="6"/>
  <c r="B2039" i="6"/>
  <c r="D2039" i="6" s="1" a="1"/>
  <c r="D2039" i="6" s="1"/>
  <c r="B2040" i="6"/>
  <c r="E2040" i="6" s="1" a="1"/>
  <c r="E2040" i="6" s="1"/>
  <c r="B2041" i="6"/>
  <c r="E2041" i="6" s="1" a="1"/>
  <c r="E2041" i="6" s="1"/>
  <c r="B2042" i="6"/>
  <c r="E2042" i="6" s="1" a="1"/>
  <c r="E2042" i="6" s="1"/>
  <c r="B2043" i="6"/>
  <c r="E2043" i="6" s="1" a="1"/>
  <c r="E2043" i="6" s="1"/>
  <c r="B2044" i="6"/>
  <c r="E2044" i="6" s="1" a="1"/>
  <c r="E2044" i="6" s="1"/>
  <c r="B2045" i="6"/>
  <c r="E2045" i="6" s="1" a="1"/>
  <c r="E2045" i="6" s="1"/>
  <c r="B2046" i="6"/>
  <c r="B2047" i="6"/>
  <c r="E2047" i="6" s="1" a="1"/>
  <c r="E2047" i="6" s="1"/>
  <c r="B2048" i="6"/>
  <c r="E2048" i="6" s="1" a="1"/>
  <c r="E2048" i="6" s="1"/>
  <c r="B2049" i="6"/>
  <c r="B2050" i="6"/>
  <c r="B2051" i="6"/>
  <c r="B2052" i="6"/>
  <c r="E2052" i="6" s="1" a="1"/>
  <c r="E2052" i="6" s="1"/>
  <c r="B2053" i="6"/>
  <c r="E2053" i="6" s="1" a="1"/>
  <c r="E2053" i="6" s="1"/>
  <c r="B2054" i="6"/>
  <c r="E2054" i="6" s="1" a="1"/>
  <c r="E2054" i="6" s="1"/>
  <c r="B2055" i="6"/>
  <c r="E2055" i="6" s="1" a="1"/>
  <c r="E2055" i="6" s="1"/>
  <c r="B2056" i="6"/>
  <c r="E2056" i="6" s="1" a="1"/>
  <c r="E2056" i="6" s="1"/>
  <c r="B2057" i="6"/>
  <c r="E2057" i="6" s="1" a="1"/>
  <c r="E2057" i="6" s="1"/>
  <c r="B2058" i="6"/>
  <c r="E2058" i="6" s="1" a="1"/>
  <c r="E2058" i="6" s="1"/>
  <c r="B2059" i="6"/>
  <c r="E2059" i="6" s="1" a="1"/>
  <c r="E2059" i="6" s="1"/>
  <c r="B2060" i="6"/>
  <c r="E2060" i="6" s="1" a="1"/>
  <c r="E2060" i="6" s="1"/>
  <c r="B2061" i="6"/>
  <c r="E2061" i="6" s="1" a="1"/>
  <c r="E2061" i="6" s="1"/>
  <c r="B2062" i="6"/>
  <c r="B2063" i="6"/>
  <c r="B2064" i="6"/>
  <c r="E2064" i="6" s="1" a="1"/>
  <c r="E2064" i="6" s="1"/>
  <c r="B2065" i="6"/>
  <c r="E2065" i="6" s="1" a="1"/>
  <c r="E2065" i="6" s="1"/>
  <c r="B2066" i="6"/>
  <c r="E2066" i="6" s="1" a="1"/>
  <c r="E2066" i="6" s="1"/>
  <c r="B2067" i="6"/>
  <c r="E2067" i="6" s="1" a="1"/>
  <c r="E2067" i="6" s="1"/>
  <c r="B2068" i="6"/>
  <c r="E2068" i="6" s="1" a="1"/>
  <c r="E2068" i="6" s="1"/>
  <c r="B2069" i="6"/>
  <c r="E2069" i="6" s="1" a="1"/>
  <c r="E2069" i="6" s="1"/>
  <c r="B2070" i="6"/>
  <c r="E2070" i="6" s="1" a="1"/>
  <c r="E2070" i="6" s="1"/>
  <c r="B2071" i="6"/>
  <c r="E2071" i="6" s="1" a="1"/>
  <c r="E2071" i="6" s="1"/>
  <c r="B2072" i="6"/>
  <c r="E2072" i="6" s="1" a="1"/>
  <c r="E2072" i="6" s="1"/>
  <c r="B2073" i="6"/>
  <c r="E2073" i="6" s="1" a="1"/>
  <c r="E2073" i="6" s="1"/>
  <c r="B2074" i="6"/>
  <c r="F2074" i="6" s="1" a="1"/>
  <c r="F2074" i="6" s="1"/>
  <c r="B2075" i="6"/>
  <c r="G2075" i="6" s="1" a="1"/>
  <c r="G2075" i="6" s="1"/>
  <c r="B2076" i="6"/>
  <c r="E2076" i="6" s="1" a="1"/>
  <c r="E2076" i="6" s="1"/>
  <c r="B2077" i="6"/>
  <c r="E2077" i="6" s="1" a="1"/>
  <c r="E2077" i="6" s="1"/>
  <c r="B2078" i="6"/>
  <c r="E2078" i="6" s="1" a="1"/>
  <c r="E2078" i="6" s="1"/>
  <c r="B2079" i="6"/>
  <c r="E2079" i="6" s="1" a="1"/>
  <c r="E2079" i="6" s="1"/>
  <c r="B2080" i="6"/>
  <c r="E2080" i="6" s="1" a="1"/>
  <c r="E2080" i="6" s="1"/>
  <c r="B2081" i="6"/>
  <c r="E2081" i="6" s="1" a="1"/>
  <c r="E2081" i="6" s="1"/>
  <c r="B2082" i="6"/>
  <c r="B2083" i="6"/>
  <c r="E2083" i="6" s="1" a="1"/>
  <c r="E2083" i="6" s="1"/>
  <c r="B2084" i="6"/>
  <c r="E2084" i="6" s="1" a="1"/>
  <c r="E2084" i="6" s="1"/>
  <c r="B2085" i="6"/>
  <c r="B2086" i="6"/>
  <c r="D2086" i="6" s="1" a="1"/>
  <c r="D2086" i="6" s="1"/>
  <c r="B2087" i="6"/>
  <c r="B2088" i="6"/>
  <c r="E2088" i="6" s="1" a="1"/>
  <c r="E2088" i="6" s="1"/>
  <c r="B2089" i="6"/>
  <c r="E2089" i="6" s="1" a="1"/>
  <c r="E2089" i="6" s="1"/>
  <c r="B2090" i="6"/>
  <c r="E2090" i="6" s="1" a="1"/>
  <c r="E2090" i="6" s="1"/>
  <c r="B2091" i="6"/>
  <c r="E2091" i="6" s="1" a="1"/>
  <c r="E2091" i="6" s="1"/>
  <c r="B2092" i="6"/>
  <c r="E2092" i="6" s="1" a="1"/>
  <c r="E2092" i="6" s="1"/>
  <c r="B2093" i="6"/>
  <c r="E2093" i="6" s="1" a="1"/>
  <c r="E2093" i="6" s="1"/>
  <c r="B2094" i="6"/>
  <c r="B2095" i="6"/>
  <c r="E2095" i="6" s="1" a="1"/>
  <c r="E2095" i="6" s="1"/>
  <c r="B2096" i="6"/>
  <c r="E2096" i="6" s="1" a="1"/>
  <c r="E2096" i="6" s="1"/>
  <c r="B2097" i="6"/>
  <c r="B2098" i="6"/>
  <c r="B2099" i="6"/>
  <c r="B2100" i="6"/>
  <c r="E2100" i="6" s="1" a="1"/>
  <c r="E2100" i="6" s="1"/>
  <c r="B2101" i="6"/>
  <c r="E2101" i="6" s="1" a="1"/>
  <c r="E2101" i="6" s="1"/>
  <c r="B2102" i="6"/>
  <c r="E2102" i="6" s="1" a="1"/>
  <c r="E2102" i="6" s="1"/>
  <c r="B2103" i="6"/>
  <c r="E2103" i="6" s="1" a="1"/>
  <c r="E2103" i="6" s="1"/>
  <c r="B2104" i="6"/>
  <c r="E2104" i="6" s="1" a="1"/>
  <c r="E2104" i="6" s="1"/>
  <c r="B2105" i="6"/>
  <c r="E2105" i="6" s="1" a="1"/>
  <c r="E2105" i="6" s="1"/>
  <c r="B2106" i="6"/>
  <c r="B2107" i="6"/>
  <c r="E2107" i="6" s="1" a="1"/>
  <c r="E2107" i="6" s="1"/>
  <c r="B2108" i="6"/>
  <c r="E2108" i="6" s="1" a="1"/>
  <c r="E2108" i="6" s="1"/>
  <c r="B2109" i="6"/>
  <c r="B2110" i="6"/>
  <c r="B2111" i="6"/>
  <c r="B2112" i="6"/>
  <c r="E2112" i="6" s="1" a="1"/>
  <c r="E2112" i="6" s="1"/>
  <c r="B2113" i="6"/>
  <c r="E2113" i="6" s="1" a="1"/>
  <c r="E2113" i="6" s="1"/>
  <c r="B2114" i="6"/>
  <c r="E2114" i="6" s="1" a="1"/>
  <c r="E2114" i="6" s="1"/>
  <c r="B2115" i="6"/>
  <c r="E2115" i="6" s="1" a="1"/>
  <c r="E2115" i="6" s="1"/>
  <c r="B2116" i="6"/>
  <c r="E2116" i="6" s="1" a="1"/>
  <c r="E2116" i="6" s="1"/>
  <c r="B2117" i="6"/>
  <c r="E2117" i="6" s="1" a="1"/>
  <c r="E2117" i="6" s="1"/>
  <c r="B2118" i="6"/>
  <c r="B2119" i="6"/>
  <c r="E2119" i="6" s="1" a="1"/>
  <c r="E2119" i="6" s="1"/>
  <c r="B2120" i="6"/>
  <c r="E2120" i="6" s="1" a="1"/>
  <c r="E2120" i="6" s="1"/>
  <c r="B2121" i="6"/>
  <c r="B2122" i="6"/>
  <c r="B2123" i="6"/>
  <c r="G2123" i="6" s="1" a="1"/>
  <c r="G2123" i="6" s="1"/>
  <c r="B2124" i="6"/>
  <c r="E2124" i="6" s="1" a="1"/>
  <c r="E2124" i="6" s="1"/>
  <c r="B2125" i="6"/>
  <c r="E2125" i="6" s="1" a="1"/>
  <c r="E2125" i="6" s="1"/>
  <c r="B2126" i="6"/>
  <c r="E2126" i="6" s="1" a="1"/>
  <c r="E2126" i="6" s="1"/>
  <c r="B2127" i="6"/>
  <c r="E2127" i="6" s="1" a="1"/>
  <c r="E2127" i="6" s="1"/>
  <c r="B2128" i="6"/>
  <c r="E2128" i="6" s="1" a="1"/>
  <c r="E2128" i="6" s="1"/>
  <c r="B2129" i="6"/>
  <c r="E2129" i="6" s="1" a="1"/>
  <c r="E2129" i="6" s="1"/>
  <c r="B2130" i="6"/>
  <c r="E2130" i="6" s="1" a="1"/>
  <c r="E2130" i="6" s="1"/>
  <c r="B2131" i="6"/>
  <c r="E2131" i="6" s="1" a="1"/>
  <c r="E2131" i="6" s="1"/>
  <c r="B2132" i="6"/>
  <c r="E2132" i="6" s="1" a="1"/>
  <c r="E2132" i="6" s="1"/>
  <c r="B2133" i="6"/>
  <c r="E2133" i="6" s="1" a="1"/>
  <c r="E2133" i="6" s="1"/>
  <c r="B2134" i="6"/>
  <c r="B2135" i="6"/>
  <c r="B2136" i="6"/>
  <c r="E2136" i="6" s="1" a="1"/>
  <c r="E2136" i="6" s="1"/>
  <c r="B2137" i="6"/>
  <c r="E2137" i="6" s="1" a="1"/>
  <c r="E2137" i="6" s="1"/>
  <c r="B2138" i="6"/>
  <c r="E2138" i="6" s="1" a="1"/>
  <c r="E2138" i="6" s="1"/>
  <c r="B2139" i="6"/>
  <c r="E2139" i="6" s="1" a="1"/>
  <c r="E2139" i="6" s="1"/>
  <c r="B2140" i="6"/>
  <c r="E2140" i="6" s="1" a="1"/>
  <c r="E2140" i="6" s="1"/>
  <c r="B2141" i="6"/>
  <c r="E2141" i="6" s="1" a="1"/>
  <c r="E2141" i="6" s="1"/>
  <c r="B2142" i="6"/>
  <c r="E2142" i="6" s="1" a="1"/>
  <c r="E2142" i="6" s="1"/>
  <c r="B2143" i="6"/>
  <c r="E2143" i="6" s="1" a="1"/>
  <c r="E2143" i="6" s="1"/>
  <c r="B2144" i="6"/>
  <c r="E2144" i="6" s="1" a="1"/>
  <c r="E2144" i="6" s="1"/>
  <c r="B2145" i="6"/>
  <c r="E2145" i="6" s="1" a="1"/>
  <c r="E2145" i="6" s="1"/>
  <c r="B2146" i="6"/>
  <c r="B2147" i="6"/>
  <c r="G2147" i="6" s="1" a="1"/>
  <c r="G2147" i="6" s="1"/>
  <c r="B2148" i="6"/>
  <c r="E2148" i="6" s="1" a="1"/>
  <c r="E2148" i="6" s="1"/>
  <c r="B2149" i="6"/>
  <c r="E2149" i="6" s="1" a="1"/>
  <c r="E2149" i="6" s="1"/>
  <c r="B2150" i="6"/>
  <c r="E2150" i="6" s="1" a="1"/>
  <c r="E2150" i="6" s="1"/>
  <c r="B2151" i="6"/>
  <c r="E2151" i="6" s="1" a="1"/>
  <c r="E2151" i="6" s="1"/>
  <c r="B2152" i="6"/>
  <c r="E2152" i="6" s="1" a="1"/>
  <c r="E2152" i="6" s="1"/>
  <c r="B2153" i="6"/>
  <c r="E2153" i="6" s="1" a="1"/>
  <c r="E2153" i="6" s="1"/>
  <c r="B2154" i="6"/>
  <c r="B2155" i="6"/>
  <c r="E2155" i="6" s="1" a="1"/>
  <c r="E2155" i="6" s="1"/>
  <c r="B2156" i="6"/>
  <c r="E2156" i="6" s="1" a="1"/>
  <c r="E2156" i="6" s="1"/>
  <c r="B2157" i="6"/>
  <c r="B2158" i="6"/>
  <c r="D2158" i="6" s="1" a="1"/>
  <c r="D2158" i="6" s="1"/>
  <c r="B2159" i="6"/>
  <c r="B2160" i="6"/>
  <c r="E2160" i="6" s="1" a="1"/>
  <c r="E2160" i="6" s="1"/>
  <c r="B2161" i="6"/>
  <c r="E2161" i="6" s="1" a="1"/>
  <c r="E2161" i="6" s="1"/>
  <c r="B2162" i="6"/>
  <c r="E2162" i="6" s="1" a="1"/>
  <c r="E2162" i="6" s="1"/>
  <c r="B2163" i="6"/>
  <c r="E2163" i="6" s="1" a="1"/>
  <c r="E2163" i="6" s="1"/>
  <c r="B2164" i="6"/>
  <c r="E2164" i="6" s="1" a="1"/>
  <c r="E2164" i="6" s="1"/>
  <c r="B2165" i="6"/>
  <c r="E2165" i="6" s="1" a="1"/>
  <c r="E2165" i="6" s="1"/>
  <c r="B2166" i="6"/>
  <c r="B2167" i="6"/>
  <c r="E2167" i="6" s="1" a="1"/>
  <c r="E2167" i="6" s="1"/>
  <c r="B2168" i="6"/>
  <c r="E2168" i="6" s="1" a="1"/>
  <c r="E2168" i="6" s="1"/>
  <c r="B2169" i="6"/>
  <c r="B2170" i="6"/>
  <c r="B2171" i="6"/>
  <c r="F2171" i="6" s="1" a="1"/>
  <c r="F2171" i="6" s="1"/>
  <c r="B2172" i="6"/>
  <c r="E2172" i="6" s="1" a="1"/>
  <c r="E2172" i="6" s="1"/>
  <c r="B2173" i="6"/>
  <c r="E2173" i="6" s="1" a="1"/>
  <c r="E2173" i="6" s="1"/>
  <c r="B2174" i="6"/>
  <c r="E2174" i="6" s="1" a="1"/>
  <c r="E2174" i="6" s="1"/>
  <c r="B2175" i="6"/>
  <c r="E2175" i="6" s="1" a="1"/>
  <c r="E2175" i="6" s="1"/>
  <c r="B2176" i="6"/>
  <c r="E2176" i="6" s="1" a="1"/>
  <c r="E2176" i="6" s="1"/>
  <c r="B2177" i="6"/>
  <c r="E2177" i="6" s="1" a="1"/>
  <c r="E2177" i="6" s="1"/>
  <c r="B2178" i="6"/>
  <c r="B2179" i="6"/>
  <c r="E2179" i="6" s="1" a="1"/>
  <c r="E2179" i="6" s="1"/>
  <c r="B2180" i="6"/>
  <c r="E2180" i="6" s="1" a="1"/>
  <c r="E2180" i="6" s="1"/>
  <c r="B2181" i="6"/>
  <c r="B2182" i="6"/>
  <c r="B2183" i="6"/>
  <c r="B2184" i="6"/>
  <c r="E2184" i="6" s="1" a="1"/>
  <c r="E2184" i="6" s="1"/>
  <c r="B2185" i="6"/>
  <c r="E2185" i="6" s="1" a="1"/>
  <c r="E2185" i="6" s="1"/>
  <c r="B2186" i="6"/>
  <c r="E2186" i="6" s="1" a="1"/>
  <c r="E2186" i="6" s="1"/>
  <c r="B2187" i="6"/>
  <c r="E2187" i="6" s="1" a="1"/>
  <c r="E2187" i="6" s="1"/>
  <c r="B2188" i="6"/>
  <c r="E2188" i="6" s="1" a="1"/>
  <c r="E2188" i="6" s="1"/>
  <c r="B2189" i="6"/>
  <c r="E2189" i="6" s="1" a="1"/>
  <c r="E2189" i="6" s="1"/>
  <c r="B2190" i="6"/>
  <c r="B2191" i="6"/>
  <c r="E2191" i="6" s="1" a="1"/>
  <c r="E2191" i="6" s="1"/>
  <c r="B2192" i="6"/>
  <c r="E2192" i="6" s="1" a="1"/>
  <c r="E2192" i="6" s="1"/>
  <c r="B2193" i="6"/>
  <c r="B2194" i="6"/>
  <c r="F2194" i="6" s="1" a="1"/>
  <c r="F2194" i="6" s="1"/>
  <c r="B2195" i="6"/>
  <c r="F2195" i="6" s="1" a="1"/>
  <c r="F2195" i="6" s="1"/>
  <c r="B2196" i="6"/>
  <c r="E2196" i="6" s="1" a="1"/>
  <c r="E2196" i="6" s="1"/>
  <c r="B2197" i="6"/>
  <c r="E2197" i="6" s="1" a="1"/>
  <c r="E2197" i="6" s="1"/>
  <c r="B2198" i="6"/>
  <c r="E2198" i="6" s="1" a="1"/>
  <c r="E2198" i="6" s="1"/>
  <c r="B2199" i="6"/>
  <c r="E2199" i="6" s="1" a="1"/>
  <c r="E2199" i="6" s="1"/>
  <c r="B2200" i="6"/>
  <c r="E2200" i="6" s="1" a="1"/>
  <c r="E2200" i="6" s="1"/>
  <c r="B2201" i="6"/>
  <c r="E2201" i="6" s="1" a="1"/>
  <c r="E2201" i="6" s="1"/>
  <c r="B2202" i="6"/>
  <c r="E2202" i="6" s="1" a="1"/>
  <c r="E2202" i="6" s="1"/>
  <c r="B2203" i="6"/>
  <c r="E2203" i="6" s="1" a="1"/>
  <c r="E2203" i="6" s="1"/>
  <c r="B2204" i="6"/>
  <c r="E2204" i="6" s="1" a="1"/>
  <c r="E2204" i="6" s="1"/>
  <c r="B2205" i="6"/>
  <c r="E2205" i="6" s="1" a="1"/>
  <c r="E2205" i="6" s="1"/>
  <c r="B2206" i="6"/>
  <c r="B2207" i="6"/>
  <c r="B2208" i="6"/>
  <c r="E2208" i="6" s="1" a="1"/>
  <c r="E2208" i="6" s="1"/>
  <c r="B2209" i="6"/>
  <c r="E2209" i="6" s="1" a="1"/>
  <c r="E2209" i="6" s="1"/>
  <c r="B2210" i="6"/>
  <c r="E2210" i="6" s="1" a="1"/>
  <c r="E2210" i="6" s="1"/>
  <c r="B2211" i="6"/>
  <c r="E2211" i="6" s="1" a="1"/>
  <c r="E2211" i="6" s="1"/>
  <c r="B2212" i="6"/>
  <c r="E2212" i="6" s="1" a="1"/>
  <c r="E2212" i="6" s="1"/>
  <c r="B2213" i="6"/>
  <c r="E2213" i="6" s="1" a="1"/>
  <c r="E2213" i="6" s="1"/>
  <c r="B2214" i="6"/>
  <c r="E2214" i="6" s="1" a="1"/>
  <c r="E2214" i="6" s="1"/>
  <c r="B2215" i="6"/>
  <c r="E2215" i="6" s="1" a="1"/>
  <c r="E2215" i="6" s="1"/>
  <c r="B2216" i="6"/>
  <c r="E2216" i="6" s="1" a="1"/>
  <c r="E2216" i="6" s="1"/>
  <c r="B2217" i="6"/>
  <c r="E2217" i="6" s="1" a="1"/>
  <c r="E2217" i="6" s="1"/>
  <c r="B2218" i="6"/>
  <c r="B2219" i="6"/>
  <c r="G2219" i="6" s="1" a="1"/>
  <c r="G2219" i="6" s="1"/>
  <c r="B2220" i="6"/>
  <c r="E2220" i="6" s="1" a="1"/>
  <c r="E2220" i="6" s="1"/>
  <c r="B2221" i="6"/>
  <c r="E2221" i="6" s="1" a="1"/>
  <c r="E2221" i="6" s="1"/>
  <c r="B2222" i="6"/>
  <c r="E2222" i="6" s="1" a="1"/>
  <c r="E2222" i="6" s="1"/>
  <c r="B2223" i="6"/>
  <c r="E2223" i="6" s="1" a="1"/>
  <c r="E2223" i="6" s="1"/>
  <c r="B2224" i="6"/>
  <c r="E2224" i="6" s="1" a="1"/>
  <c r="E2224" i="6" s="1"/>
  <c r="B2225" i="6"/>
  <c r="E2225" i="6" s="1" a="1"/>
  <c r="E2225" i="6" s="1"/>
  <c r="B2226" i="6"/>
  <c r="B2227" i="6"/>
  <c r="E2227" i="6" s="1" a="1"/>
  <c r="E2227" i="6" s="1"/>
  <c r="B2228" i="6"/>
  <c r="E2228" i="6" s="1" a="1"/>
  <c r="E2228" i="6" s="1"/>
  <c r="B2229" i="6"/>
  <c r="B2230" i="6"/>
  <c r="B2231" i="6"/>
  <c r="B2232" i="6"/>
  <c r="E2232" i="6" s="1" a="1"/>
  <c r="E2232" i="6" s="1"/>
  <c r="B2233" i="6"/>
  <c r="E2233" i="6" s="1" a="1"/>
  <c r="E2233" i="6" s="1"/>
  <c r="B2234" i="6"/>
  <c r="E2234" i="6" s="1" a="1"/>
  <c r="E2234" i="6" s="1"/>
  <c r="B2235" i="6"/>
  <c r="E2235" i="6" s="1" a="1"/>
  <c r="E2235" i="6" s="1"/>
  <c r="B2236" i="6"/>
  <c r="E2236" i="6" s="1" a="1"/>
  <c r="E2236" i="6" s="1"/>
  <c r="B2237" i="6"/>
  <c r="E2237" i="6" s="1" a="1"/>
  <c r="E2237" i="6" s="1"/>
  <c r="B2238" i="6"/>
  <c r="B2239" i="6"/>
  <c r="E2239" i="6" s="1" a="1"/>
  <c r="E2239" i="6" s="1"/>
  <c r="B2240" i="6"/>
  <c r="E2240" i="6" s="1" a="1"/>
  <c r="E2240" i="6" s="1"/>
  <c r="B2241" i="6"/>
  <c r="B2242" i="6"/>
  <c r="B2243" i="6"/>
  <c r="B2244" i="6"/>
  <c r="E2244" i="6" s="1" a="1"/>
  <c r="E2244" i="6" s="1"/>
  <c r="B2245" i="6"/>
  <c r="E2245" i="6" s="1" a="1"/>
  <c r="E2245" i="6" s="1"/>
  <c r="B2246" i="6"/>
  <c r="E2246" i="6" s="1" a="1"/>
  <c r="E2246" i="6" s="1"/>
  <c r="B2247" i="6"/>
  <c r="E2247" i="6" s="1" a="1"/>
  <c r="E2247" i="6" s="1"/>
  <c r="B2248" i="6"/>
  <c r="E2248" i="6" s="1" a="1"/>
  <c r="E2248" i="6" s="1"/>
  <c r="B2249" i="6"/>
  <c r="E2249" i="6" s="1" a="1"/>
  <c r="E2249" i="6" s="1"/>
  <c r="B2250" i="6"/>
  <c r="B2251" i="6"/>
  <c r="E2251" i="6" s="1" a="1"/>
  <c r="E2251" i="6" s="1"/>
  <c r="B2252" i="6"/>
  <c r="E2252" i="6" s="1" a="1"/>
  <c r="E2252" i="6" s="1"/>
  <c r="B2253" i="6"/>
  <c r="B2254" i="6"/>
  <c r="G2254" i="6" s="1" a="1"/>
  <c r="G2254" i="6" s="1"/>
  <c r="B2255" i="6"/>
  <c r="B2256" i="6"/>
  <c r="E2256" i="6" s="1" a="1"/>
  <c r="E2256" i="6" s="1"/>
  <c r="B2257" i="6"/>
  <c r="E2257" i="6" s="1" a="1"/>
  <c r="E2257" i="6" s="1"/>
  <c r="B2258" i="6"/>
  <c r="E2258" i="6" s="1" a="1"/>
  <c r="E2258" i="6" s="1"/>
  <c r="B2259" i="6"/>
  <c r="E2259" i="6" s="1" a="1"/>
  <c r="E2259" i="6" s="1"/>
  <c r="B2260" i="6"/>
  <c r="E2260" i="6" s="1" a="1"/>
  <c r="E2260" i="6" s="1"/>
  <c r="B2261" i="6"/>
  <c r="E2261" i="6" s="1" a="1"/>
  <c r="E2261" i="6" s="1"/>
  <c r="B2262" i="6"/>
  <c r="B2263" i="6"/>
  <c r="E2263" i="6" s="1" a="1"/>
  <c r="E2263" i="6" s="1"/>
  <c r="B2264" i="6"/>
  <c r="E2264" i="6" s="1" a="1"/>
  <c r="E2264" i="6" s="1"/>
  <c r="B2265" i="6"/>
  <c r="B2266" i="6"/>
  <c r="B2267" i="6"/>
  <c r="G2267" i="6" s="1" a="1"/>
  <c r="G2267" i="6" s="1"/>
  <c r="B2268" i="6"/>
  <c r="E2268" i="6" s="1" a="1"/>
  <c r="E2268" i="6" s="1"/>
  <c r="B2269" i="6"/>
  <c r="E2269" i="6" s="1" a="1"/>
  <c r="E2269" i="6" s="1"/>
  <c r="B2270" i="6"/>
  <c r="E2270" i="6" s="1" a="1"/>
  <c r="E2270" i="6" s="1"/>
  <c r="B2271" i="6"/>
  <c r="E2271" i="6" s="1" a="1"/>
  <c r="E2271" i="6" s="1"/>
  <c r="B2272" i="6"/>
  <c r="E2272" i="6" s="1" a="1"/>
  <c r="E2272" i="6" s="1"/>
  <c r="B2273" i="6"/>
  <c r="E2273" i="6" s="1" a="1"/>
  <c r="E2273" i="6" s="1"/>
  <c r="B2274" i="6"/>
  <c r="E2274" i="6" s="1" a="1"/>
  <c r="E2274" i="6" s="1"/>
  <c r="B2275" i="6"/>
  <c r="E2275" i="6" s="1" a="1"/>
  <c r="E2275" i="6" s="1"/>
  <c r="B2276" i="6"/>
  <c r="E2276" i="6" s="1" a="1"/>
  <c r="E2276" i="6" s="1"/>
  <c r="B2277" i="6"/>
  <c r="E2277" i="6" s="1" a="1"/>
  <c r="E2277" i="6" s="1"/>
  <c r="B2278" i="6"/>
  <c r="G2278" i="6" s="1" a="1"/>
  <c r="G2278" i="6" s="1"/>
  <c r="B2279" i="6"/>
  <c r="B2280" i="6"/>
  <c r="E2280" i="6" s="1" a="1"/>
  <c r="E2280" i="6" s="1"/>
  <c r="B2281" i="6"/>
  <c r="E2281" i="6" s="1" a="1"/>
  <c r="E2281" i="6" s="1"/>
  <c r="B2282" i="6"/>
  <c r="E2282" i="6" s="1" a="1"/>
  <c r="E2282" i="6" s="1"/>
  <c r="B2283" i="6"/>
  <c r="E2283" i="6" s="1" a="1"/>
  <c r="E2283" i="6" s="1"/>
  <c r="B2284" i="6"/>
  <c r="E2284" i="6" s="1" a="1"/>
  <c r="E2284" i="6" s="1"/>
  <c r="B2285" i="6"/>
  <c r="E2285" i="6" s="1" a="1"/>
  <c r="E2285" i="6" s="1"/>
  <c r="B2286" i="6"/>
  <c r="E2286" i="6" s="1" a="1"/>
  <c r="E2286" i="6" s="1"/>
  <c r="B2287" i="6"/>
  <c r="E2287" i="6" s="1" a="1"/>
  <c r="E2287" i="6" s="1"/>
  <c r="B2288" i="6"/>
  <c r="E2288" i="6" s="1" a="1"/>
  <c r="E2288" i="6" s="1"/>
  <c r="B2289" i="6"/>
  <c r="E2289" i="6" s="1" a="1"/>
  <c r="E2289" i="6" s="1"/>
  <c r="B2290" i="6"/>
  <c r="B2291" i="6"/>
  <c r="B2292" i="6"/>
  <c r="E2292" i="6" s="1" a="1"/>
  <c r="E2292" i="6" s="1"/>
  <c r="B2293" i="6"/>
  <c r="E2293" i="6" s="1" a="1"/>
  <c r="E2293" i="6" s="1"/>
  <c r="B2294" i="6"/>
  <c r="E2294" i="6" s="1" a="1"/>
  <c r="E2294" i="6" s="1"/>
  <c r="B2295" i="6"/>
  <c r="E2295" i="6" s="1" a="1"/>
  <c r="E2295" i="6" s="1"/>
  <c r="B2296" i="6"/>
  <c r="E2296" i="6" s="1" a="1"/>
  <c r="E2296" i="6" s="1"/>
  <c r="B2297" i="6"/>
  <c r="E2297" i="6" s="1" a="1"/>
  <c r="E2297" i="6" s="1"/>
  <c r="B2298" i="6"/>
  <c r="B2299" i="6"/>
  <c r="E2299" i="6" s="1" a="1"/>
  <c r="E2299" i="6" s="1"/>
  <c r="B2300" i="6"/>
  <c r="E2300" i="6" s="1" a="1"/>
  <c r="E2300" i="6" s="1"/>
  <c r="B2301" i="6"/>
  <c r="B2302" i="6"/>
  <c r="B2303" i="6"/>
  <c r="B2304" i="6"/>
  <c r="E2304" i="6" s="1" a="1"/>
  <c r="E2304" i="6" s="1"/>
  <c r="B2305" i="6"/>
  <c r="E2305" i="6" s="1" a="1"/>
  <c r="E2305" i="6" s="1"/>
  <c r="B2306" i="6"/>
  <c r="E2306" i="6" s="1" a="1"/>
  <c r="E2306" i="6" s="1"/>
  <c r="B2307" i="6"/>
  <c r="E2307" i="6" s="1" a="1"/>
  <c r="E2307" i="6" s="1"/>
  <c r="B2308" i="6"/>
  <c r="E2308" i="6" s="1" a="1"/>
  <c r="E2308" i="6" s="1"/>
  <c r="B2309" i="6"/>
  <c r="E2309" i="6" s="1" a="1"/>
  <c r="E2309" i="6" s="1"/>
  <c r="B2310" i="6"/>
  <c r="B2311" i="6"/>
  <c r="E2311" i="6" s="1" a="1"/>
  <c r="E2311" i="6" s="1"/>
  <c r="B2312" i="6"/>
  <c r="E2312" i="6" s="1" a="1"/>
  <c r="E2312" i="6" s="1"/>
  <c r="B2313" i="6"/>
  <c r="B2314" i="6"/>
  <c r="D2314" i="6" s="1" a="1"/>
  <c r="D2314" i="6" s="1"/>
  <c r="B2315" i="6"/>
  <c r="B2316" i="6"/>
  <c r="E2316" i="6" s="1" a="1"/>
  <c r="E2316" i="6" s="1"/>
  <c r="B2317" i="6"/>
  <c r="E2317" i="6" s="1" a="1"/>
  <c r="E2317" i="6" s="1"/>
  <c r="B2318" i="6"/>
  <c r="E2318" i="6" s="1" a="1"/>
  <c r="E2318" i="6" s="1"/>
  <c r="B2319" i="6"/>
  <c r="E2319" i="6" s="1" a="1"/>
  <c r="E2319" i="6" s="1"/>
  <c r="B2320" i="6"/>
  <c r="E2320" i="6" s="1" a="1"/>
  <c r="E2320" i="6" s="1"/>
  <c r="B2321" i="6"/>
  <c r="E2321" i="6" s="1" a="1"/>
  <c r="E2321" i="6" s="1"/>
  <c r="B2322" i="6"/>
  <c r="B2323" i="6"/>
  <c r="E2323" i="6" s="1" a="1"/>
  <c r="E2323" i="6" s="1"/>
  <c r="B2324" i="6"/>
  <c r="E2324" i="6" s="1" a="1"/>
  <c r="E2324" i="6" s="1"/>
  <c r="B2325" i="6"/>
  <c r="B2326" i="6"/>
  <c r="B2327" i="6"/>
  <c r="B2328" i="6"/>
  <c r="E2328" i="6" s="1" a="1"/>
  <c r="E2328" i="6" s="1"/>
  <c r="B2329" i="6"/>
  <c r="E2329" i="6" s="1" a="1"/>
  <c r="E2329" i="6" s="1"/>
  <c r="B2330" i="6"/>
  <c r="E2330" i="6" s="1" a="1"/>
  <c r="E2330" i="6" s="1"/>
  <c r="B2331" i="6"/>
  <c r="E2331" i="6" s="1" a="1"/>
  <c r="E2331" i="6" s="1"/>
  <c r="B2332" i="6"/>
  <c r="E2332" i="6" s="1" a="1"/>
  <c r="E2332" i="6" s="1"/>
  <c r="B2333" i="6"/>
  <c r="E2333" i="6" s="1" a="1"/>
  <c r="E2333" i="6" s="1"/>
  <c r="B2334" i="6"/>
  <c r="B2335" i="6"/>
  <c r="E2335" i="6" s="1" a="1"/>
  <c r="E2335" i="6" s="1"/>
  <c r="B2336" i="6"/>
  <c r="E2336" i="6" s="1" a="1"/>
  <c r="E2336" i="6" s="1"/>
  <c r="B2337" i="6"/>
  <c r="B2338" i="6"/>
  <c r="B2339" i="6"/>
  <c r="G2339" i="6" s="1" a="1"/>
  <c r="G2339" i="6" s="1"/>
  <c r="B2340" i="6"/>
  <c r="E2340" i="6" s="1" a="1"/>
  <c r="E2340" i="6" s="1"/>
  <c r="B2341" i="6"/>
  <c r="E2341" i="6" s="1" a="1"/>
  <c r="E2341" i="6" s="1"/>
  <c r="B2342" i="6"/>
  <c r="E2342" i="6" s="1" a="1"/>
  <c r="E2342" i="6" s="1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D16" i="6" a="1"/>
  <c r="D16" i="6" s="1"/>
  <c r="G40" i="6" a="1"/>
  <c r="G40" i="6" s="1"/>
  <c r="I40" i="6" a="1"/>
  <c r="I40" i="6" s="1"/>
  <c r="F52" i="6" a="1"/>
  <c r="F52" i="6" s="1"/>
  <c r="I61" i="6" a="1"/>
  <c r="I61" i="6" s="1"/>
  <c r="I62" i="6" a="1"/>
  <c r="I62" i="6" s="1"/>
  <c r="G81" i="6" a="1"/>
  <c r="G81" i="6" s="1"/>
  <c r="G85" i="6" a="1"/>
  <c r="G85" i="6" s="1"/>
  <c r="I85" i="6" a="1"/>
  <c r="I85" i="6" s="1"/>
  <c r="F112" i="6" a="1"/>
  <c r="F112" i="6" s="1"/>
  <c r="G121" i="6" a="1"/>
  <c r="G121" i="6" s="1"/>
  <c r="D124" i="6" a="1"/>
  <c r="D124" i="6" s="1"/>
  <c r="I136" i="6" a="1"/>
  <c r="I136" i="6" s="1"/>
  <c r="G148" i="6" a="1"/>
  <c r="G148" i="6" s="1"/>
  <c r="I168" i="6" a="1"/>
  <c r="I168" i="6" s="1"/>
  <c r="G181" i="6" a="1"/>
  <c r="G181" i="6" s="1"/>
  <c r="D183" i="6" a="1"/>
  <c r="D183" i="6" s="1"/>
  <c r="D184" i="6" a="1"/>
  <c r="D184" i="6" s="1"/>
  <c r="G184" i="6" a="1"/>
  <c r="G184" i="6" s="1"/>
  <c r="F207" i="6" a="1"/>
  <c r="F207" i="6" s="1"/>
  <c r="I208" i="6" a="1"/>
  <c r="I208" i="6" s="1"/>
  <c r="F213" i="6" a="1"/>
  <c r="F213" i="6" s="1"/>
  <c r="I216" i="6" a="1"/>
  <c r="I216" i="6" s="1"/>
  <c r="G241" i="6" a="1"/>
  <c r="G241" i="6" s="1"/>
  <c r="D242" i="6" a="1"/>
  <c r="D242" i="6" s="1"/>
  <c r="G244" i="6" a="1"/>
  <c r="G244" i="6" s="1"/>
  <c r="F249" i="6" a="1"/>
  <c r="F249" i="6" s="1"/>
  <c r="I249" i="6" a="1"/>
  <c r="I249" i="6" s="1"/>
  <c r="D253" i="6" a="1"/>
  <c r="D253" i="6" s="1"/>
  <c r="I256" i="6" a="1"/>
  <c r="I256" i="6" s="1"/>
  <c r="G277" i="6" a="1"/>
  <c r="G277" i="6" s="1"/>
  <c r="I277" i="6" a="1"/>
  <c r="I277" i="6" s="1"/>
  <c r="G291" i="6" a="1"/>
  <c r="G291" i="6" s="1"/>
  <c r="F304" i="6" a="1"/>
  <c r="F304" i="6" s="1"/>
  <c r="G304" i="6" a="1"/>
  <c r="G304" i="6" s="1"/>
  <c r="G325" i="6" a="1"/>
  <c r="G325" i="6" s="1"/>
  <c r="I328" i="6" a="1"/>
  <c r="I328" i="6" s="1"/>
  <c r="F337" i="6" a="1"/>
  <c r="F337" i="6" s="1"/>
  <c r="F340" i="6" a="1"/>
  <c r="F340" i="6" s="1"/>
  <c r="D345" i="6" a="1"/>
  <c r="D345" i="6" s="1"/>
  <c r="D374" i="6" a="1"/>
  <c r="D374" i="6" s="1"/>
  <c r="I376" i="6" a="1"/>
  <c r="I376" i="6" s="1"/>
  <c r="F379" i="6" a="1"/>
  <c r="F379" i="6" s="1"/>
  <c r="D381" i="6" a="1"/>
  <c r="D381" i="6" s="1"/>
  <c r="I387" i="6" a="1"/>
  <c r="I387" i="6" s="1"/>
  <c r="D402" i="6" a="1"/>
  <c r="D402" i="6" s="1"/>
  <c r="D405" i="6" a="1"/>
  <c r="D405" i="6" s="1"/>
  <c r="G408" i="6" a="1"/>
  <c r="G408" i="6" s="1"/>
  <c r="I433" i="6" a="1"/>
  <c r="I433" i="6" s="1"/>
  <c r="I436" i="6" a="1"/>
  <c r="I436" i="6" s="1"/>
  <c r="F456" i="6" a="1"/>
  <c r="F456" i="6" s="1"/>
  <c r="G457" i="6" a="1"/>
  <c r="G457" i="6" s="1"/>
  <c r="I457" i="6" a="1"/>
  <c r="I457" i="6" s="1"/>
  <c r="D459" i="6" a="1"/>
  <c r="D459" i="6" s="1"/>
  <c r="D460" i="6" a="1"/>
  <c r="D460" i="6" s="1"/>
  <c r="D472" i="6" a="1"/>
  <c r="D472" i="6" s="1"/>
  <c r="G472" i="6" a="1"/>
  <c r="G472" i="6" s="1"/>
  <c r="I472" i="6" a="1"/>
  <c r="I472" i="6" s="1"/>
  <c r="G475" i="6" a="1"/>
  <c r="G475" i="6" s="1"/>
  <c r="D477" i="6" a="1"/>
  <c r="D477" i="6" s="1"/>
  <c r="F477" i="6" a="1"/>
  <c r="F477" i="6" s="1"/>
  <c r="I477" i="6" a="1"/>
  <c r="I477" i="6" s="1"/>
  <c r="D480" i="6" a="1"/>
  <c r="D480" i="6" s="1"/>
  <c r="F480" i="6" a="1"/>
  <c r="F480" i="6" s="1"/>
  <c r="I480" i="6" a="1"/>
  <c r="I480" i="6" s="1"/>
  <c r="F481" i="6" a="1"/>
  <c r="F481" i="6" s="1"/>
  <c r="D484" i="6" a="1"/>
  <c r="D484" i="6" s="1"/>
  <c r="F484" i="6" a="1"/>
  <c r="F484" i="6" s="1"/>
  <c r="I484" i="6" a="1"/>
  <c r="I484" i="6" s="1"/>
  <c r="D487" i="6" a="1"/>
  <c r="D487" i="6" s="1"/>
  <c r="I487" i="6" a="1"/>
  <c r="I487" i="6" s="1"/>
  <c r="D489" i="6" a="1"/>
  <c r="D489" i="6" s="1"/>
  <c r="F489" i="6" a="1"/>
  <c r="F489" i="6" s="1"/>
  <c r="G489" i="6" a="1"/>
  <c r="G489" i="6" s="1"/>
  <c r="I489" i="6" a="1"/>
  <c r="I489" i="6" s="1"/>
  <c r="D492" i="6" a="1"/>
  <c r="D492" i="6" s="1"/>
  <c r="F492" i="6" a="1"/>
  <c r="F492" i="6" s="1"/>
  <c r="G492" i="6" a="1"/>
  <c r="G492" i="6" s="1"/>
  <c r="I492" i="6" a="1"/>
  <c r="I492" i="6" s="1"/>
  <c r="G495" i="6" a="1"/>
  <c r="G495" i="6" s="1"/>
  <c r="D496" i="6" a="1"/>
  <c r="D496" i="6" s="1"/>
  <c r="G496" i="6" a="1"/>
  <c r="G496" i="6" s="1"/>
  <c r="I496" i="6" a="1"/>
  <c r="I496" i="6" s="1"/>
  <c r="F499" i="6" a="1"/>
  <c r="F499" i="6" s="1"/>
  <c r="D501" i="6" a="1"/>
  <c r="D501" i="6" s="1"/>
  <c r="F501" i="6" a="1"/>
  <c r="F501" i="6" s="1"/>
  <c r="I501" i="6" a="1"/>
  <c r="I501" i="6" s="1"/>
  <c r="D504" i="6" a="1"/>
  <c r="D504" i="6" s="1"/>
  <c r="G504" i="6" a="1"/>
  <c r="G504" i="6" s="1"/>
  <c r="I504" i="6" a="1"/>
  <c r="I504" i="6" s="1"/>
  <c r="F505" i="6" a="1"/>
  <c r="F505" i="6" s="1"/>
  <c r="D507" i="6" a="1"/>
  <c r="D507" i="6" s="1"/>
  <c r="D508" i="6" a="1"/>
  <c r="D508" i="6" s="1"/>
  <c r="G508" i="6" a="1"/>
  <c r="G508" i="6" s="1"/>
  <c r="I508" i="6" a="1"/>
  <c r="I508" i="6" s="1"/>
  <c r="F509" i="6" a="1"/>
  <c r="F509" i="6" s="1"/>
  <c r="D510" i="6" a="1"/>
  <c r="D510" i="6" s="1"/>
  <c r="F510" i="6" a="1"/>
  <c r="F510" i="6" s="1"/>
  <c r="G510" i="6" a="1"/>
  <c r="G510" i="6" s="1"/>
  <c r="I510" i="6" a="1"/>
  <c r="I510" i="6" s="1"/>
  <c r="D511" i="6" a="1"/>
  <c r="D511" i="6" s="1"/>
  <c r="F511" i="6" a="1"/>
  <c r="F511" i="6" s="1"/>
  <c r="G511" i="6" a="1"/>
  <c r="G511" i="6" s="1"/>
  <c r="I511" i="6" a="1"/>
  <c r="I511" i="6" s="1"/>
  <c r="D512" i="6" a="1"/>
  <c r="D512" i="6" s="1"/>
  <c r="F512" i="6" a="1"/>
  <c r="F512" i="6" s="1"/>
  <c r="G512" i="6" a="1"/>
  <c r="G512" i="6" s="1"/>
  <c r="I512" i="6" a="1"/>
  <c r="I512" i="6" s="1"/>
  <c r="D513" i="6" a="1"/>
  <c r="D513" i="6" s="1"/>
  <c r="F513" i="6" a="1"/>
  <c r="F513" i="6" s="1"/>
  <c r="G513" i="6" a="1"/>
  <c r="G513" i="6" s="1"/>
  <c r="I513" i="6" a="1"/>
  <c r="I513" i="6" s="1"/>
  <c r="D516" i="6" a="1"/>
  <c r="D516" i="6" s="1"/>
  <c r="F516" i="6" a="1"/>
  <c r="F516" i="6" s="1"/>
  <c r="G516" i="6" a="1"/>
  <c r="G516" i="6" s="1"/>
  <c r="D517" i="6" a="1"/>
  <c r="D517" i="6" s="1"/>
  <c r="F517" i="6" a="1"/>
  <c r="F517" i="6" s="1"/>
  <c r="G517" i="6" a="1"/>
  <c r="G517" i="6" s="1"/>
  <c r="I517" i="6" a="1"/>
  <c r="I517" i="6" s="1"/>
  <c r="D518" i="6" a="1"/>
  <c r="D518" i="6" s="1"/>
  <c r="F518" i="6" a="1"/>
  <c r="F518" i="6" s="1"/>
  <c r="G518" i="6" a="1"/>
  <c r="G518" i="6" s="1"/>
  <c r="I518" i="6" a="1"/>
  <c r="I518" i="6" s="1"/>
  <c r="D519" i="6" a="1"/>
  <c r="D519" i="6" s="1"/>
  <c r="F519" i="6" a="1"/>
  <c r="F519" i="6" s="1"/>
  <c r="G519" i="6" a="1"/>
  <c r="G519" i="6" s="1"/>
  <c r="I519" i="6" a="1"/>
  <c r="I519" i="6" s="1"/>
  <c r="D520" i="6" a="1"/>
  <c r="D520" i="6" s="1"/>
  <c r="F520" i="6" a="1"/>
  <c r="F520" i="6" s="1"/>
  <c r="G520" i="6" a="1"/>
  <c r="G520" i="6" s="1"/>
  <c r="I520" i="6" a="1"/>
  <c r="I520" i="6" s="1"/>
  <c r="D521" i="6" a="1"/>
  <c r="D521" i="6" s="1"/>
  <c r="F521" i="6" a="1"/>
  <c r="F521" i="6" s="1"/>
  <c r="G521" i="6" a="1"/>
  <c r="G521" i="6" s="1"/>
  <c r="I521" i="6" a="1"/>
  <c r="I521" i="6" s="1"/>
  <c r="D522" i="6" a="1"/>
  <c r="D522" i="6" s="1"/>
  <c r="F522" i="6" a="1"/>
  <c r="F522" i="6" s="1"/>
  <c r="G522" i="6" a="1"/>
  <c r="G522" i="6" s="1"/>
  <c r="I522" i="6" a="1"/>
  <c r="I522" i="6" s="1"/>
  <c r="D523" i="6" a="1"/>
  <c r="D523" i="6" s="1"/>
  <c r="F523" i="6" a="1"/>
  <c r="F523" i="6" s="1"/>
  <c r="G523" i="6" a="1"/>
  <c r="G523" i="6" s="1"/>
  <c r="I523" i="6" a="1"/>
  <c r="I523" i="6" s="1"/>
  <c r="D524" i="6" a="1"/>
  <c r="D524" i="6" s="1"/>
  <c r="F524" i="6" a="1"/>
  <c r="F524" i="6" s="1"/>
  <c r="G524" i="6" a="1"/>
  <c r="G524" i="6" s="1"/>
  <c r="I524" i="6" a="1"/>
  <c r="I524" i="6" s="1"/>
  <c r="D525" i="6" a="1"/>
  <c r="D525" i="6" s="1"/>
  <c r="F525" i="6" a="1"/>
  <c r="F525" i="6" s="1"/>
  <c r="G525" i="6" a="1"/>
  <c r="G525" i="6" s="1"/>
  <c r="I525" i="6" a="1"/>
  <c r="I525" i="6" s="1"/>
  <c r="D528" i="6" a="1"/>
  <c r="D528" i="6" s="1"/>
  <c r="F528" i="6" a="1"/>
  <c r="F528" i="6" s="1"/>
  <c r="G528" i="6" a="1"/>
  <c r="G528" i="6" s="1"/>
  <c r="D529" i="6" a="1"/>
  <c r="D529" i="6" s="1"/>
  <c r="F529" i="6" a="1"/>
  <c r="F529" i="6" s="1"/>
  <c r="G529" i="6" a="1"/>
  <c r="G529" i="6" s="1"/>
  <c r="I529" i="6" a="1"/>
  <c r="I529" i="6" s="1"/>
  <c r="D530" i="6" a="1"/>
  <c r="D530" i="6" s="1"/>
  <c r="F530" i="6" a="1"/>
  <c r="F530" i="6" s="1"/>
  <c r="G530" i="6" a="1"/>
  <c r="G530" i="6" s="1"/>
  <c r="I530" i="6" a="1"/>
  <c r="I530" i="6" s="1"/>
  <c r="D531" i="6" a="1"/>
  <c r="D531" i="6" s="1"/>
  <c r="F531" i="6" a="1"/>
  <c r="F531" i="6" s="1"/>
  <c r="G531" i="6" a="1"/>
  <c r="G531" i="6" s="1"/>
  <c r="I531" i="6" a="1"/>
  <c r="I531" i="6" s="1"/>
  <c r="D532" i="6" a="1"/>
  <c r="D532" i="6" s="1"/>
  <c r="F532" i="6" a="1"/>
  <c r="F532" i="6" s="1"/>
  <c r="G532" i="6" a="1"/>
  <c r="G532" i="6" s="1"/>
  <c r="I532" i="6" a="1"/>
  <c r="I532" i="6" s="1"/>
  <c r="D533" i="6" a="1"/>
  <c r="D533" i="6" s="1"/>
  <c r="F533" i="6" a="1"/>
  <c r="F533" i="6" s="1"/>
  <c r="G533" i="6" a="1"/>
  <c r="G533" i="6" s="1"/>
  <c r="I533" i="6" a="1"/>
  <c r="I533" i="6" s="1"/>
  <c r="D534" i="6" a="1"/>
  <c r="D534" i="6" s="1"/>
  <c r="F534" i="6" a="1"/>
  <c r="F534" i="6" s="1"/>
  <c r="G534" i="6" a="1"/>
  <c r="G534" i="6" s="1"/>
  <c r="I534" i="6" a="1"/>
  <c r="I534" i="6" s="1"/>
  <c r="D535" i="6" a="1"/>
  <c r="D535" i="6" s="1"/>
  <c r="F535" i="6" a="1"/>
  <c r="F535" i="6" s="1"/>
  <c r="G535" i="6" a="1"/>
  <c r="G535" i="6" s="1"/>
  <c r="I535" i="6" a="1"/>
  <c r="I535" i="6" s="1"/>
  <c r="D536" i="6" a="1"/>
  <c r="D536" i="6" s="1"/>
  <c r="F536" i="6" a="1"/>
  <c r="F536" i="6" s="1"/>
  <c r="G536" i="6" a="1"/>
  <c r="G536" i="6" s="1"/>
  <c r="I536" i="6" a="1"/>
  <c r="I536" i="6" s="1"/>
  <c r="D537" i="6" a="1"/>
  <c r="D537" i="6" s="1"/>
  <c r="F537" i="6" a="1"/>
  <c r="F537" i="6" s="1"/>
  <c r="G537" i="6" a="1"/>
  <c r="G537" i="6" s="1"/>
  <c r="I537" i="6" a="1"/>
  <c r="I537" i="6" s="1"/>
  <c r="D540" i="6" a="1"/>
  <c r="D540" i="6" s="1"/>
  <c r="F540" i="6" a="1"/>
  <c r="F540" i="6" s="1"/>
  <c r="G540" i="6" a="1"/>
  <c r="G540" i="6" s="1"/>
  <c r="D541" i="6" a="1"/>
  <c r="D541" i="6" s="1"/>
  <c r="F541" i="6" a="1"/>
  <c r="F541" i="6" s="1"/>
  <c r="G541" i="6" a="1"/>
  <c r="G541" i="6" s="1"/>
  <c r="I541" i="6" a="1"/>
  <c r="I541" i="6" s="1"/>
  <c r="D542" i="6" a="1"/>
  <c r="D542" i="6" s="1"/>
  <c r="F542" i="6" a="1"/>
  <c r="F542" i="6" s="1"/>
  <c r="G542" i="6" a="1"/>
  <c r="G542" i="6" s="1"/>
  <c r="I542" i="6" a="1"/>
  <c r="I542" i="6" s="1"/>
  <c r="D543" i="6" a="1"/>
  <c r="D543" i="6" s="1"/>
  <c r="F543" i="6" a="1"/>
  <c r="F543" i="6" s="1"/>
  <c r="G543" i="6" a="1"/>
  <c r="G543" i="6" s="1"/>
  <c r="I543" i="6" a="1"/>
  <c r="I543" i="6" s="1"/>
  <c r="D544" i="6" a="1"/>
  <c r="D544" i="6" s="1"/>
  <c r="F544" i="6" a="1"/>
  <c r="F544" i="6" s="1"/>
  <c r="G544" i="6" a="1"/>
  <c r="G544" i="6" s="1"/>
  <c r="I544" i="6" a="1"/>
  <c r="I544" i="6" s="1"/>
  <c r="D545" i="6" a="1"/>
  <c r="D545" i="6" s="1"/>
  <c r="F545" i="6" a="1"/>
  <c r="F545" i="6" s="1"/>
  <c r="G545" i="6" a="1"/>
  <c r="G545" i="6" s="1"/>
  <c r="I545" i="6" a="1"/>
  <c r="I545" i="6" s="1"/>
  <c r="D546" i="6" a="1"/>
  <c r="D546" i="6" s="1"/>
  <c r="F546" i="6" a="1"/>
  <c r="F546" i="6" s="1"/>
  <c r="G546" i="6" a="1"/>
  <c r="G546" i="6" s="1"/>
  <c r="I546" i="6" a="1"/>
  <c r="I546" i="6" s="1"/>
  <c r="D547" i="6" a="1"/>
  <c r="D547" i="6" s="1"/>
  <c r="F547" i="6" a="1"/>
  <c r="F547" i="6" s="1"/>
  <c r="G547" i="6" a="1"/>
  <c r="G547" i="6" s="1"/>
  <c r="I547" i="6" a="1"/>
  <c r="I547" i="6" s="1"/>
  <c r="D548" i="6" a="1"/>
  <c r="D548" i="6" s="1"/>
  <c r="F548" i="6" a="1"/>
  <c r="F548" i="6" s="1"/>
  <c r="G548" i="6" a="1"/>
  <c r="G548" i="6" s="1"/>
  <c r="I548" i="6" a="1"/>
  <c r="I548" i="6" s="1"/>
  <c r="D549" i="6" a="1"/>
  <c r="D549" i="6" s="1"/>
  <c r="F549" i="6" a="1"/>
  <c r="F549" i="6" s="1"/>
  <c r="G549" i="6" a="1"/>
  <c r="G549" i="6" s="1"/>
  <c r="I549" i="6" a="1"/>
  <c r="I549" i="6" s="1"/>
  <c r="D552" i="6" a="1"/>
  <c r="D552" i="6" s="1"/>
  <c r="F552" i="6" a="1"/>
  <c r="F552" i="6" s="1"/>
  <c r="G552" i="6" a="1"/>
  <c r="G552" i="6" s="1"/>
  <c r="D553" i="6" a="1"/>
  <c r="D553" i="6" s="1"/>
  <c r="F553" i="6" a="1"/>
  <c r="F553" i="6" s="1"/>
  <c r="G553" i="6" a="1"/>
  <c r="G553" i="6" s="1"/>
  <c r="I553" i="6" a="1"/>
  <c r="I553" i="6" s="1"/>
  <c r="D554" i="6" a="1"/>
  <c r="D554" i="6" s="1"/>
  <c r="F554" i="6" a="1"/>
  <c r="F554" i="6" s="1"/>
  <c r="G554" i="6" a="1"/>
  <c r="G554" i="6" s="1"/>
  <c r="I554" i="6" a="1"/>
  <c r="I554" i="6" s="1"/>
  <c r="D555" i="6" a="1"/>
  <c r="D555" i="6" s="1"/>
  <c r="F555" i="6" a="1"/>
  <c r="F555" i="6" s="1"/>
  <c r="G555" i="6" a="1"/>
  <c r="G555" i="6" s="1"/>
  <c r="I555" i="6" a="1"/>
  <c r="I555" i="6" s="1"/>
  <c r="D556" i="6" a="1"/>
  <c r="D556" i="6" s="1"/>
  <c r="F556" i="6" a="1"/>
  <c r="F556" i="6" s="1"/>
  <c r="G556" i="6" a="1"/>
  <c r="G556" i="6" s="1"/>
  <c r="I556" i="6" a="1"/>
  <c r="I556" i="6" s="1"/>
  <c r="D557" i="6" a="1"/>
  <c r="D557" i="6" s="1"/>
  <c r="F557" i="6" a="1"/>
  <c r="F557" i="6" s="1"/>
  <c r="G557" i="6" a="1"/>
  <c r="G557" i="6" s="1"/>
  <c r="I557" i="6" a="1"/>
  <c r="I557" i="6" s="1"/>
  <c r="D558" i="6" a="1"/>
  <c r="D558" i="6" s="1"/>
  <c r="F558" i="6" a="1"/>
  <c r="F558" i="6" s="1"/>
  <c r="G558" i="6" a="1"/>
  <c r="G558" i="6" s="1"/>
  <c r="I558" i="6" a="1"/>
  <c r="I558" i="6" s="1"/>
  <c r="D559" i="6" a="1"/>
  <c r="D559" i="6" s="1"/>
  <c r="F559" i="6" a="1"/>
  <c r="F559" i="6" s="1"/>
  <c r="G559" i="6" a="1"/>
  <c r="G559" i="6" s="1"/>
  <c r="I559" i="6" a="1"/>
  <c r="I559" i="6" s="1"/>
  <c r="D560" i="6" a="1"/>
  <c r="D560" i="6" s="1"/>
  <c r="F560" i="6" a="1"/>
  <c r="F560" i="6" s="1"/>
  <c r="G560" i="6" a="1"/>
  <c r="G560" i="6" s="1"/>
  <c r="I560" i="6" a="1"/>
  <c r="I560" i="6" s="1"/>
  <c r="D561" i="6" a="1"/>
  <c r="D561" i="6" s="1"/>
  <c r="F561" i="6" a="1"/>
  <c r="F561" i="6" s="1"/>
  <c r="G561" i="6" a="1"/>
  <c r="G561" i="6" s="1"/>
  <c r="I561" i="6" a="1"/>
  <c r="I561" i="6" s="1"/>
  <c r="D564" i="6" a="1"/>
  <c r="D564" i="6" s="1"/>
  <c r="F564" i="6" a="1"/>
  <c r="F564" i="6" s="1"/>
  <c r="G564" i="6" a="1"/>
  <c r="G564" i="6" s="1"/>
  <c r="D565" i="6" a="1"/>
  <c r="D565" i="6" s="1"/>
  <c r="F565" i="6" a="1"/>
  <c r="F565" i="6" s="1"/>
  <c r="G565" i="6" a="1"/>
  <c r="G565" i="6" s="1"/>
  <c r="I565" i="6" a="1"/>
  <c r="I565" i="6" s="1"/>
  <c r="D566" i="6" a="1"/>
  <c r="D566" i="6" s="1"/>
  <c r="F566" i="6" a="1"/>
  <c r="F566" i="6" s="1"/>
  <c r="G566" i="6" a="1"/>
  <c r="G566" i="6" s="1"/>
  <c r="I566" i="6" a="1"/>
  <c r="I566" i="6" s="1"/>
  <c r="D567" i="6" a="1"/>
  <c r="D567" i="6" s="1"/>
  <c r="F567" i="6" a="1"/>
  <c r="F567" i="6" s="1"/>
  <c r="G567" i="6" a="1"/>
  <c r="G567" i="6" s="1"/>
  <c r="I567" i="6" a="1"/>
  <c r="I567" i="6" s="1"/>
  <c r="D568" i="6" a="1"/>
  <c r="D568" i="6" s="1"/>
  <c r="F568" i="6" a="1"/>
  <c r="F568" i="6" s="1"/>
  <c r="G568" i="6" a="1"/>
  <c r="G568" i="6" s="1"/>
  <c r="I568" i="6" a="1"/>
  <c r="I568" i="6" s="1"/>
  <c r="D569" i="6" a="1"/>
  <c r="D569" i="6" s="1"/>
  <c r="F569" i="6" a="1"/>
  <c r="F569" i="6" s="1"/>
  <c r="G569" i="6" a="1"/>
  <c r="G569" i="6" s="1"/>
  <c r="I569" i="6" a="1"/>
  <c r="I569" i="6" s="1"/>
  <c r="D570" i="6" a="1"/>
  <c r="D570" i="6" s="1"/>
  <c r="F570" i="6" a="1"/>
  <c r="F570" i="6" s="1"/>
  <c r="G570" i="6" a="1"/>
  <c r="G570" i="6" s="1"/>
  <c r="I570" i="6" a="1"/>
  <c r="I570" i="6" s="1"/>
  <c r="D571" i="6" a="1"/>
  <c r="D571" i="6" s="1"/>
  <c r="F571" i="6" a="1"/>
  <c r="F571" i="6" s="1"/>
  <c r="G571" i="6" a="1"/>
  <c r="G571" i="6" s="1"/>
  <c r="I571" i="6" a="1"/>
  <c r="I571" i="6" s="1"/>
  <c r="D572" i="6" a="1"/>
  <c r="D572" i="6" s="1"/>
  <c r="F572" i="6" a="1"/>
  <c r="F572" i="6" s="1"/>
  <c r="G572" i="6" a="1"/>
  <c r="G572" i="6" s="1"/>
  <c r="I572" i="6" a="1"/>
  <c r="I572" i="6" s="1"/>
  <c r="D573" i="6" a="1"/>
  <c r="D573" i="6" s="1"/>
  <c r="F573" i="6" a="1"/>
  <c r="F573" i="6" s="1"/>
  <c r="G573" i="6" a="1"/>
  <c r="G573" i="6" s="1"/>
  <c r="I573" i="6" a="1"/>
  <c r="I573" i="6" s="1"/>
  <c r="I574" i="6" a="1"/>
  <c r="I574" i="6" s="1"/>
  <c r="F575" i="6" a="1"/>
  <c r="F575" i="6" s="1"/>
  <c r="D576" i="6" a="1"/>
  <c r="D576" i="6" s="1"/>
  <c r="F576" i="6" a="1"/>
  <c r="F576" i="6" s="1"/>
  <c r="G576" i="6" a="1"/>
  <c r="G576" i="6" s="1"/>
  <c r="D577" i="6" a="1"/>
  <c r="D577" i="6" s="1"/>
  <c r="F577" i="6" a="1"/>
  <c r="F577" i="6" s="1"/>
  <c r="G577" i="6" a="1"/>
  <c r="G577" i="6" s="1"/>
  <c r="I577" i="6" a="1"/>
  <c r="I577" i="6" s="1"/>
  <c r="D578" i="6" a="1"/>
  <c r="D578" i="6" s="1"/>
  <c r="F578" i="6" a="1"/>
  <c r="F578" i="6" s="1"/>
  <c r="G578" i="6" a="1"/>
  <c r="G578" i="6" s="1"/>
  <c r="I578" i="6" a="1"/>
  <c r="I578" i="6" s="1"/>
  <c r="D579" i="6" a="1"/>
  <c r="D579" i="6" s="1"/>
  <c r="F579" i="6" a="1"/>
  <c r="F579" i="6" s="1"/>
  <c r="G579" i="6" a="1"/>
  <c r="G579" i="6" s="1"/>
  <c r="I579" i="6" a="1"/>
  <c r="I579" i="6" s="1"/>
  <c r="D580" i="6" a="1"/>
  <c r="D580" i="6" s="1"/>
  <c r="F580" i="6" a="1"/>
  <c r="F580" i="6" s="1"/>
  <c r="G580" i="6" a="1"/>
  <c r="G580" i="6" s="1"/>
  <c r="I580" i="6" a="1"/>
  <c r="I580" i="6" s="1"/>
  <c r="D581" i="6" a="1"/>
  <c r="D581" i="6" s="1"/>
  <c r="F581" i="6" a="1"/>
  <c r="F581" i="6" s="1"/>
  <c r="G581" i="6" a="1"/>
  <c r="G581" i="6" s="1"/>
  <c r="I581" i="6" a="1"/>
  <c r="I581" i="6" s="1"/>
  <c r="D582" i="6" a="1"/>
  <c r="D582" i="6" s="1"/>
  <c r="F582" i="6" a="1"/>
  <c r="F582" i="6" s="1"/>
  <c r="G582" i="6" a="1"/>
  <c r="G582" i="6" s="1"/>
  <c r="I582" i="6" a="1"/>
  <c r="I582" i="6" s="1"/>
  <c r="D583" i="6" a="1"/>
  <c r="D583" i="6" s="1"/>
  <c r="F583" i="6" a="1"/>
  <c r="F583" i="6" s="1"/>
  <c r="G583" i="6" a="1"/>
  <c r="G583" i="6" s="1"/>
  <c r="I583" i="6" a="1"/>
  <c r="I583" i="6" s="1"/>
  <c r="D584" i="6" a="1"/>
  <c r="D584" i="6" s="1"/>
  <c r="F584" i="6" a="1"/>
  <c r="F584" i="6" s="1"/>
  <c r="G584" i="6" a="1"/>
  <c r="G584" i="6" s="1"/>
  <c r="I584" i="6" a="1"/>
  <c r="I584" i="6" s="1"/>
  <c r="D585" i="6" a="1"/>
  <c r="D585" i="6" s="1"/>
  <c r="F585" i="6" a="1"/>
  <c r="F585" i="6" s="1"/>
  <c r="G585" i="6" a="1"/>
  <c r="G585" i="6" s="1"/>
  <c r="I585" i="6" a="1"/>
  <c r="I585" i="6" s="1"/>
  <c r="D588" i="6" a="1"/>
  <c r="D588" i="6" s="1"/>
  <c r="F588" i="6" a="1"/>
  <c r="F588" i="6" s="1"/>
  <c r="G588" i="6" a="1"/>
  <c r="G588" i="6" s="1"/>
  <c r="D589" i="6" a="1"/>
  <c r="D589" i="6" s="1"/>
  <c r="F589" i="6" a="1"/>
  <c r="F589" i="6" s="1"/>
  <c r="G589" i="6" a="1"/>
  <c r="G589" i="6" s="1"/>
  <c r="I589" i="6" a="1"/>
  <c r="I589" i="6" s="1"/>
  <c r="D590" i="6" a="1"/>
  <c r="D590" i="6" s="1"/>
  <c r="F590" i="6" a="1"/>
  <c r="F590" i="6" s="1"/>
  <c r="G590" i="6" a="1"/>
  <c r="G590" i="6" s="1"/>
  <c r="I590" i="6" a="1"/>
  <c r="I590" i="6" s="1"/>
  <c r="D591" i="6" a="1"/>
  <c r="D591" i="6" s="1"/>
  <c r="F591" i="6" a="1"/>
  <c r="F591" i="6" s="1"/>
  <c r="G591" i="6" a="1"/>
  <c r="G591" i="6" s="1"/>
  <c r="I591" i="6" a="1"/>
  <c r="I591" i="6" s="1"/>
  <c r="D592" i="6" a="1"/>
  <c r="D592" i="6" s="1"/>
  <c r="F592" i="6" a="1"/>
  <c r="F592" i="6" s="1"/>
  <c r="G592" i="6" a="1"/>
  <c r="G592" i="6" s="1"/>
  <c r="I592" i="6" a="1"/>
  <c r="I592" i="6" s="1"/>
  <c r="D593" i="6" a="1"/>
  <c r="D593" i="6" s="1"/>
  <c r="F593" i="6" a="1"/>
  <c r="F593" i="6" s="1"/>
  <c r="G593" i="6" a="1"/>
  <c r="G593" i="6" s="1"/>
  <c r="I593" i="6" a="1"/>
  <c r="I593" i="6" s="1"/>
  <c r="D594" i="6" a="1"/>
  <c r="D594" i="6" s="1"/>
  <c r="F594" i="6" a="1"/>
  <c r="F594" i="6" s="1"/>
  <c r="G594" i="6" a="1"/>
  <c r="G594" i="6" s="1"/>
  <c r="I594" i="6" a="1"/>
  <c r="I594" i="6" s="1"/>
  <c r="D595" i="6" a="1"/>
  <c r="D595" i="6" s="1"/>
  <c r="F595" i="6" a="1"/>
  <c r="F595" i="6" s="1"/>
  <c r="G595" i="6" a="1"/>
  <c r="G595" i="6" s="1"/>
  <c r="I595" i="6" a="1"/>
  <c r="I595" i="6" s="1"/>
  <c r="D596" i="6" a="1"/>
  <c r="D596" i="6" s="1"/>
  <c r="F596" i="6" a="1"/>
  <c r="F596" i="6" s="1"/>
  <c r="G596" i="6" a="1"/>
  <c r="G596" i="6" s="1"/>
  <c r="I596" i="6" a="1"/>
  <c r="I596" i="6" s="1"/>
  <c r="D597" i="6" a="1"/>
  <c r="D597" i="6" s="1"/>
  <c r="F597" i="6" a="1"/>
  <c r="F597" i="6" s="1"/>
  <c r="G597" i="6" a="1"/>
  <c r="G597" i="6" s="1"/>
  <c r="I597" i="6" a="1"/>
  <c r="I597" i="6" s="1"/>
  <c r="D600" i="6" a="1"/>
  <c r="D600" i="6" s="1"/>
  <c r="F600" i="6" a="1"/>
  <c r="F600" i="6" s="1"/>
  <c r="G600" i="6" a="1"/>
  <c r="G600" i="6" s="1"/>
  <c r="D601" i="6" a="1"/>
  <c r="D601" i="6" s="1"/>
  <c r="F601" i="6" a="1"/>
  <c r="F601" i="6" s="1"/>
  <c r="G601" i="6" a="1"/>
  <c r="G601" i="6" s="1"/>
  <c r="I601" i="6" a="1"/>
  <c r="I601" i="6" s="1"/>
  <c r="D602" i="6" a="1"/>
  <c r="D602" i="6" s="1"/>
  <c r="F602" i="6" a="1"/>
  <c r="F602" i="6" s="1"/>
  <c r="G602" i="6" a="1"/>
  <c r="G602" i="6" s="1"/>
  <c r="I602" i="6" a="1"/>
  <c r="I602" i="6" s="1"/>
  <c r="D603" i="6" a="1"/>
  <c r="D603" i="6" s="1"/>
  <c r="F603" i="6" a="1"/>
  <c r="F603" i="6" s="1"/>
  <c r="G603" i="6" a="1"/>
  <c r="G603" i="6" s="1"/>
  <c r="I603" i="6" a="1"/>
  <c r="I603" i="6" s="1"/>
  <c r="D604" i="6" a="1"/>
  <c r="D604" i="6" s="1"/>
  <c r="F604" i="6" a="1"/>
  <c r="F604" i="6" s="1"/>
  <c r="G604" i="6" a="1"/>
  <c r="G604" i="6" s="1"/>
  <c r="I604" i="6" a="1"/>
  <c r="I604" i="6" s="1"/>
  <c r="D605" i="6" a="1"/>
  <c r="D605" i="6" s="1"/>
  <c r="F605" i="6" a="1"/>
  <c r="F605" i="6" s="1"/>
  <c r="G605" i="6" a="1"/>
  <c r="G605" i="6" s="1"/>
  <c r="I605" i="6" a="1"/>
  <c r="I605" i="6" s="1"/>
  <c r="D606" i="6" a="1"/>
  <c r="D606" i="6" s="1"/>
  <c r="F606" i="6" a="1"/>
  <c r="F606" i="6" s="1"/>
  <c r="G606" i="6" a="1"/>
  <c r="G606" i="6" s="1"/>
  <c r="I606" i="6" a="1"/>
  <c r="I606" i="6" s="1"/>
  <c r="D607" i="6" a="1"/>
  <c r="D607" i="6" s="1"/>
  <c r="F607" i="6" a="1"/>
  <c r="F607" i="6" s="1"/>
  <c r="G607" i="6" a="1"/>
  <c r="G607" i="6" s="1"/>
  <c r="I607" i="6" a="1"/>
  <c r="I607" i="6" s="1"/>
  <c r="D608" i="6" a="1"/>
  <c r="D608" i="6" s="1"/>
  <c r="F608" i="6" a="1"/>
  <c r="F608" i="6" s="1"/>
  <c r="G608" i="6" a="1"/>
  <c r="G608" i="6" s="1"/>
  <c r="I608" i="6" a="1"/>
  <c r="I608" i="6" s="1"/>
  <c r="D609" i="6" a="1"/>
  <c r="D609" i="6" s="1"/>
  <c r="F609" i="6" a="1"/>
  <c r="F609" i="6" s="1"/>
  <c r="G609" i="6" a="1"/>
  <c r="G609" i="6" s="1"/>
  <c r="I609" i="6" a="1"/>
  <c r="I609" i="6" s="1"/>
  <c r="G610" i="6" a="1"/>
  <c r="G610" i="6" s="1"/>
  <c r="I610" i="6" a="1"/>
  <c r="I610" i="6" s="1"/>
  <c r="D612" i="6" a="1"/>
  <c r="D612" i="6" s="1"/>
  <c r="F612" i="6" a="1"/>
  <c r="F612" i="6" s="1"/>
  <c r="G612" i="6" a="1"/>
  <c r="G612" i="6" s="1"/>
  <c r="D613" i="6" a="1"/>
  <c r="D613" i="6" s="1"/>
  <c r="F613" i="6" a="1"/>
  <c r="F613" i="6" s="1"/>
  <c r="G613" i="6" a="1"/>
  <c r="G613" i="6" s="1"/>
  <c r="I613" i="6" a="1"/>
  <c r="I613" i="6" s="1"/>
  <c r="D614" i="6" a="1"/>
  <c r="D614" i="6" s="1"/>
  <c r="F614" i="6" a="1"/>
  <c r="F614" i="6" s="1"/>
  <c r="G614" i="6" a="1"/>
  <c r="G614" i="6" s="1"/>
  <c r="I614" i="6" a="1"/>
  <c r="I614" i="6" s="1"/>
  <c r="D615" i="6" a="1"/>
  <c r="D615" i="6" s="1"/>
  <c r="F615" i="6" a="1"/>
  <c r="F615" i="6" s="1"/>
  <c r="G615" i="6" a="1"/>
  <c r="G615" i="6" s="1"/>
  <c r="I615" i="6" a="1"/>
  <c r="I615" i="6" s="1"/>
  <c r="D616" i="6" a="1"/>
  <c r="D616" i="6" s="1"/>
  <c r="F616" i="6" a="1"/>
  <c r="F616" i="6" s="1"/>
  <c r="G616" i="6" a="1"/>
  <c r="G616" i="6" s="1"/>
  <c r="I616" i="6" a="1"/>
  <c r="I616" i="6" s="1"/>
  <c r="D617" i="6" a="1"/>
  <c r="D617" i="6" s="1"/>
  <c r="F617" i="6" a="1"/>
  <c r="F617" i="6" s="1"/>
  <c r="G617" i="6" a="1"/>
  <c r="G617" i="6" s="1"/>
  <c r="I617" i="6" a="1"/>
  <c r="I617" i="6" s="1"/>
  <c r="D618" i="6" a="1"/>
  <c r="D618" i="6" s="1"/>
  <c r="F618" i="6" a="1"/>
  <c r="F618" i="6" s="1"/>
  <c r="G618" i="6" a="1"/>
  <c r="G618" i="6" s="1"/>
  <c r="I618" i="6" a="1"/>
  <c r="I618" i="6" s="1"/>
  <c r="D619" i="6" a="1"/>
  <c r="D619" i="6" s="1"/>
  <c r="F619" i="6" a="1"/>
  <c r="F619" i="6" s="1"/>
  <c r="G619" i="6" a="1"/>
  <c r="G619" i="6" s="1"/>
  <c r="I619" i="6" a="1"/>
  <c r="I619" i="6" s="1"/>
  <c r="D620" i="6" a="1"/>
  <c r="D620" i="6" s="1"/>
  <c r="F620" i="6" a="1"/>
  <c r="F620" i="6" s="1"/>
  <c r="G620" i="6" a="1"/>
  <c r="G620" i="6" s="1"/>
  <c r="I620" i="6" a="1"/>
  <c r="I620" i="6" s="1"/>
  <c r="D621" i="6" a="1"/>
  <c r="D621" i="6" s="1"/>
  <c r="F621" i="6" a="1"/>
  <c r="F621" i="6" s="1"/>
  <c r="G621" i="6" a="1"/>
  <c r="G621" i="6" s="1"/>
  <c r="I621" i="6" a="1"/>
  <c r="I621" i="6" s="1"/>
  <c r="D624" i="6" a="1"/>
  <c r="D624" i="6" s="1"/>
  <c r="F624" i="6" a="1"/>
  <c r="F624" i="6" s="1"/>
  <c r="G624" i="6" a="1"/>
  <c r="G624" i="6" s="1"/>
  <c r="D625" i="6" a="1"/>
  <c r="D625" i="6" s="1"/>
  <c r="F625" i="6" a="1"/>
  <c r="F625" i="6" s="1"/>
  <c r="G625" i="6" a="1"/>
  <c r="G625" i="6" s="1"/>
  <c r="I625" i="6" a="1"/>
  <c r="I625" i="6" s="1"/>
  <c r="D626" i="6" a="1"/>
  <c r="D626" i="6" s="1"/>
  <c r="F626" i="6" a="1"/>
  <c r="F626" i="6" s="1"/>
  <c r="G626" i="6" a="1"/>
  <c r="G626" i="6" s="1"/>
  <c r="I626" i="6" a="1"/>
  <c r="I626" i="6" s="1"/>
  <c r="D627" i="6" a="1"/>
  <c r="D627" i="6" s="1"/>
  <c r="F627" i="6" a="1"/>
  <c r="F627" i="6" s="1"/>
  <c r="G627" i="6" a="1"/>
  <c r="G627" i="6" s="1"/>
  <c r="I627" i="6" a="1"/>
  <c r="I627" i="6" s="1"/>
  <c r="D628" i="6" a="1"/>
  <c r="D628" i="6" s="1"/>
  <c r="F628" i="6" a="1"/>
  <c r="F628" i="6" s="1"/>
  <c r="G628" i="6" a="1"/>
  <c r="G628" i="6" s="1"/>
  <c r="I628" i="6" a="1"/>
  <c r="I628" i="6" s="1"/>
  <c r="D629" i="6" a="1"/>
  <c r="D629" i="6" s="1"/>
  <c r="F629" i="6" a="1"/>
  <c r="F629" i="6" s="1"/>
  <c r="G629" i="6" a="1"/>
  <c r="G629" i="6" s="1"/>
  <c r="I629" i="6" a="1"/>
  <c r="I629" i="6" s="1"/>
  <c r="D630" i="6" a="1"/>
  <c r="D630" i="6" s="1"/>
  <c r="F630" i="6" a="1"/>
  <c r="F630" i="6" s="1"/>
  <c r="G630" i="6" a="1"/>
  <c r="G630" i="6" s="1"/>
  <c r="I630" i="6" a="1"/>
  <c r="I630" i="6" s="1"/>
  <c r="D631" i="6" a="1"/>
  <c r="D631" i="6" s="1"/>
  <c r="F631" i="6" a="1"/>
  <c r="F631" i="6" s="1"/>
  <c r="G631" i="6" a="1"/>
  <c r="G631" i="6" s="1"/>
  <c r="I631" i="6" a="1"/>
  <c r="I631" i="6" s="1"/>
  <c r="D632" i="6" a="1"/>
  <c r="D632" i="6" s="1"/>
  <c r="F632" i="6" a="1"/>
  <c r="F632" i="6" s="1"/>
  <c r="G632" i="6" a="1"/>
  <c r="G632" i="6" s="1"/>
  <c r="I632" i="6" a="1"/>
  <c r="I632" i="6" s="1"/>
  <c r="D633" i="6" a="1"/>
  <c r="D633" i="6" s="1"/>
  <c r="F633" i="6" a="1"/>
  <c r="F633" i="6" s="1"/>
  <c r="G633" i="6" a="1"/>
  <c r="G633" i="6" s="1"/>
  <c r="I633" i="6" a="1"/>
  <c r="I633" i="6" s="1"/>
  <c r="D636" i="6" a="1"/>
  <c r="D636" i="6" s="1"/>
  <c r="F636" i="6" a="1"/>
  <c r="F636" i="6" s="1"/>
  <c r="G636" i="6" a="1"/>
  <c r="G636" i="6" s="1"/>
  <c r="D637" i="6" a="1"/>
  <c r="D637" i="6" s="1"/>
  <c r="F637" i="6" a="1"/>
  <c r="F637" i="6" s="1"/>
  <c r="G637" i="6" a="1"/>
  <c r="G637" i="6" s="1"/>
  <c r="I637" i="6" a="1"/>
  <c r="I637" i="6" s="1"/>
  <c r="D638" i="6" a="1"/>
  <c r="D638" i="6" s="1"/>
  <c r="F638" i="6" a="1"/>
  <c r="F638" i="6" s="1"/>
  <c r="G638" i="6" a="1"/>
  <c r="G638" i="6" s="1"/>
  <c r="I638" i="6" a="1"/>
  <c r="I638" i="6" s="1"/>
  <c r="D639" i="6" a="1"/>
  <c r="D639" i="6" s="1"/>
  <c r="F639" i="6" a="1"/>
  <c r="F639" i="6" s="1"/>
  <c r="G639" i="6" a="1"/>
  <c r="G639" i="6" s="1"/>
  <c r="I639" i="6" a="1"/>
  <c r="I639" i="6" s="1"/>
  <c r="D640" i="6" a="1"/>
  <c r="D640" i="6" s="1"/>
  <c r="F640" i="6" a="1"/>
  <c r="F640" i="6" s="1"/>
  <c r="G640" i="6" a="1"/>
  <c r="G640" i="6" s="1"/>
  <c r="I640" i="6" a="1"/>
  <c r="I640" i="6" s="1"/>
  <c r="D641" i="6" a="1"/>
  <c r="D641" i="6" s="1"/>
  <c r="F641" i="6" a="1"/>
  <c r="F641" i="6" s="1"/>
  <c r="G641" i="6" a="1"/>
  <c r="G641" i="6" s="1"/>
  <c r="I641" i="6" a="1"/>
  <c r="I641" i="6" s="1"/>
  <c r="D642" i="6" a="1"/>
  <c r="D642" i="6" s="1"/>
  <c r="F642" i="6" a="1"/>
  <c r="F642" i="6" s="1"/>
  <c r="G642" i="6" a="1"/>
  <c r="G642" i="6" s="1"/>
  <c r="I642" i="6" a="1"/>
  <c r="I642" i="6" s="1"/>
  <c r="D643" i="6" a="1"/>
  <c r="D643" i="6" s="1"/>
  <c r="F643" i="6" a="1"/>
  <c r="F643" i="6" s="1"/>
  <c r="G643" i="6" a="1"/>
  <c r="G643" i="6" s="1"/>
  <c r="I643" i="6" a="1"/>
  <c r="I643" i="6" s="1"/>
  <c r="D644" i="6" a="1"/>
  <c r="D644" i="6" s="1"/>
  <c r="F644" i="6" a="1"/>
  <c r="F644" i="6" s="1"/>
  <c r="G644" i="6" a="1"/>
  <c r="G644" i="6" s="1"/>
  <c r="I644" i="6" a="1"/>
  <c r="I644" i="6" s="1"/>
  <c r="D645" i="6" a="1"/>
  <c r="D645" i="6" s="1"/>
  <c r="F645" i="6" a="1"/>
  <c r="F645" i="6" s="1"/>
  <c r="G645" i="6" a="1"/>
  <c r="G645" i="6" s="1"/>
  <c r="I645" i="6" a="1"/>
  <c r="I645" i="6" s="1"/>
  <c r="D648" i="6" a="1"/>
  <c r="D648" i="6" s="1"/>
  <c r="F648" i="6" a="1"/>
  <c r="F648" i="6" s="1"/>
  <c r="G648" i="6" a="1"/>
  <c r="G648" i="6" s="1"/>
  <c r="D649" i="6" a="1"/>
  <c r="D649" i="6" s="1"/>
  <c r="F649" i="6" a="1"/>
  <c r="F649" i="6" s="1"/>
  <c r="G649" i="6" a="1"/>
  <c r="G649" i="6" s="1"/>
  <c r="I649" i="6" a="1"/>
  <c r="I649" i="6" s="1"/>
  <c r="D650" i="6" a="1"/>
  <c r="D650" i="6" s="1"/>
  <c r="F650" i="6" a="1"/>
  <c r="F650" i="6" s="1"/>
  <c r="G650" i="6" a="1"/>
  <c r="G650" i="6" s="1"/>
  <c r="I650" i="6" a="1"/>
  <c r="I650" i="6" s="1"/>
  <c r="D651" i="6" a="1"/>
  <c r="D651" i="6" s="1"/>
  <c r="F651" i="6" a="1"/>
  <c r="F651" i="6" s="1"/>
  <c r="G651" i="6" a="1"/>
  <c r="G651" i="6" s="1"/>
  <c r="I651" i="6" a="1"/>
  <c r="I651" i="6" s="1"/>
  <c r="D652" i="6" a="1"/>
  <c r="D652" i="6" s="1"/>
  <c r="F652" i="6" a="1"/>
  <c r="F652" i="6" s="1"/>
  <c r="G652" i="6" a="1"/>
  <c r="G652" i="6" s="1"/>
  <c r="I652" i="6" a="1"/>
  <c r="I652" i="6" s="1"/>
  <c r="D653" i="6" a="1"/>
  <c r="D653" i="6" s="1"/>
  <c r="F653" i="6" a="1"/>
  <c r="F653" i="6" s="1"/>
  <c r="G653" i="6" a="1"/>
  <c r="G653" i="6" s="1"/>
  <c r="I653" i="6" a="1"/>
  <c r="I653" i="6" s="1"/>
  <c r="D654" i="6" a="1"/>
  <c r="D654" i="6" s="1"/>
  <c r="F654" i="6" a="1"/>
  <c r="F654" i="6" s="1"/>
  <c r="G654" i="6" a="1"/>
  <c r="G654" i="6" s="1"/>
  <c r="I654" i="6" a="1"/>
  <c r="I654" i="6" s="1"/>
  <c r="D655" i="6" a="1"/>
  <c r="D655" i="6" s="1"/>
  <c r="F655" i="6" a="1"/>
  <c r="F655" i="6" s="1"/>
  <c r="G655" i="6" a="1"/>
  <c r="G655" i="6" s="1"/>
  <c r="I655" i="6" a="1"/>
  <c r="I655" i="6" s="1"/>
  <c r="D656" i="6" a="1"/>
  <c r="D656" i="6" s="1"/>
  <c r="F656" i="6" a="1"/>
  <c r="F656" i="6" s="1"/>
  <c r="G656" i="6" a="1"/>
  <c r="G656" i="6" s="1"/>
  <c r="I656" i="6" a="1"/>
  <c r="I656" i="6" s="1"/>
  <c r="D657" i="6" a="1"/>
  <c r="D657" i="6" s="1"/>
  <c r="F657" i="6" a="1"/>
  <c r="F657" i="6" s="1"/>
  <c r="G657" i="6" a="1"/>
  <c r="G657" i="6" s="1"/>
  <c r="I657" i="6" a="1"/>
  <c r="I657" i="6" s="1"/>
  <c r="D660" i="6" a="1"/>
  <c r="D660" i="6" s="1"/>
  <c r="F660" i="6" a="1"/>
  <c r="F660" i="6" s="1"/>
  <c r="G660" i="6" a="1"/>
  <c r="G660" i="6" s="1"/>
  <c r="D661" i="6" a="1"/>
  <c r="D661" i="6" s="1"/>
  <c r="F661" i="6" a="1"/>
  <c r="F661" i="6" s="1"/>
  <c r="G661" i="6" a="1"/>
  <c r="G661" i="6" s="1"/>
  <c r="I661" i="6" a="1"/>
  <c r="I661" i="6" s="1"/>
  <c r="D662" i="6" a="1"/>
  <c r="D662" i="6" s="1"/>
  <c r="F662" i="6" a="1"/>
  <c r="F662" i="6" s="1"/>
  <c r="G662" i="6" a="1"/>
  <c r="G662" i="6" s="1"/>
  <c r="I662" i="6" a="1"/>
  <c r="I662" i="6" s="1"/>
  <c r="D663" i="6" a="1"/>
  <c r="D663" i="6" s="1"/>
  <c r="F663" i="6" a="1"/>
  <c r="F663" i="6" s="1"/>
  <c r="G663" i="6" a="1"/>
  <c r="G663" i="6" s="1"/>
  <c r="I663" i="6" a="1"/>
  <c r="I663" i="6" s="1"/>
  <c r="D664" i="6" a="1"/>
  <c r="D664" i="6" s="1"/>
  <c r="F664" i="6" a="1"/>
  <c r="F664" i="6" s="1"/>
  <c r="G664" i="6" a="1"/>
  <c r="G664" i="6" s="1"/>
  <c r="I664" i="6" a="1"/>
  <c r="I664" i="6" s="1"/>
  <c r="D665" i="6" a="1"/>
  <c r="D665" i="6" s="1"/>
  <c r="F665" i="6" a="1"/>
  <c r="F665" i="6" s="1"/>
  <c r="G665" i="6" a="1"/>
  <c r="G665" i="6" s="1"/>
  <c r="I665" i="6" a="1"/>
  <c r="I665" i="6" s="1"/>
  <c r="D666" i="6" a="1"/>
  <c r="D666" i="6" s="1"/>
  <c r="F666" i="6" a="1"/>
  <c r="F666" i="6" s="1"/>
  <c r="G666" i="6" a="1"/>
  <c r="G666" i="6" s="1"/>
  <c r="I666" i="6" a="1"/>
  <c r="I666" i="6" s="1"/>
  <c r="D667" i="6" a="1"/>
  <c r="D667" i="6" s="1"/>
  <c r="F667" i="6" a="1"/>
  <c r="F667" i="6" s="1"/>
  <c r="G667" i="6" a="1"/>
  <c r="G667" i="6" s="1"/>
  <c r="I667" i="6" a="1"/>
  <c r="I667" i="6" s="1"/>
  <c r="D668" i="6" a="1"/>
  <c r="D668" i="6" s="1"/>
  <c r="F668" i="6" a="1"/>
  <c r="F668" i="6" s="1"/>
  <c r="G668" i="6" a="1"/>
  <c r="G668" i="6" s="1"/>
  <c r="I668" i="6" a="1"/>
  <c r="I668" i="6" s="1"/>
  <c r="D669" i="6" a="1"/>
  <c r="D669" i="6" s="1"/>
  <c r="F669" i="6" a="1"/>
  <c r="F669" i="6" s="1"/>
  <c r="G669" i="6" a="1"/>
  <c r="G669" i="6" s="1"/>
  <c r="I669" i="6" a="1"/>
  <c r="I669" i="6" s="1"/>
  <c r="D672" i="6" a="1"/>
  <c r="D672" i="6" s="1"/>
  <c r="F672" i="6" a="1"/>
  <c r="F672" i="6" s="1"/>
  <c r="G672" i="6" a="1"/>
  <c r="G672" i="6" s="1"/>
  <c r="D673" i="6" a="1"/>
  <c r="D673" i="6" s="1"/>
  <c r="F673" i="6" a="1"/>
  <c r="F673" i="6" s="1"/>
  <c r="G673" i="6" a="1"/>
  <c r="G673" i="6" s="1"/>
  <c r="I673" i="6" a="1"/>
  <c r="I673" i="6" s="1"/>
  <c r="D674" i="6" a="1"/>
  <c r="D674" i="6" s="1"/>
  <c r="F674" i="6" a="1"/>
  <c r="F674" i="6" s="1"/>
  <c r="G674" i="6" a="1"/>
  <c r="G674" i="6" s="1"/>
  <c r="I674" i="6" a="1"/>
  <c r="I674" i="6" s="1"/>
  <c r="D675" i="6" a="1"/>
  <c r="D675" i="6" s="1"/>
  <c r="F675" i="6" a="1"/>
  <c r="F675" i="6" s="1"/>
  <c r="G675" i="6" a="1"/>
  <c r="G675" i="6" s="1"/>
  <c r="I675" i="6" a="1"/>
  <c r="I675" i="6" s="1"/>
  <c r="D676" i="6" a="1"/>
  <c r="D676" i="6" s="1"/>
  <c r="F676" i="6" a="1"/>
  <c r="F676" i="6" s="1"/>
  <c r="G676" i="6" a="1"/>
  <c r="G676" i="6" s="1"/>
  <c r="I676" i="6" a="1"/>
  <c r="I676" i="6" s="1"/>
  <c r="D677" i="6" a="1"/>
  <c r="D677" i="6" s="1"/>
  <c r="F677" i="6" a="1"/>
  <c r="F677" i="6" s="1"/>
  <c r="G677" i="6" a="1"/>
  <c r="G677" i="6" s="1"/>
  <c r="I677" i="6" a="1"/>
  <c r="I677" i="6" s="1"/>
  <c r="D678" i="6" a="1"/>
  <c r="D678" i="6" s="1"/>
  <c r="F678" i="6" a="1"/>
  <c r="F678" i="6" s="1"/>
  <c r="G678" i="6" a="1"/>
  <c r="G678" i="6" s="1"/>
  <c r="I678" i="6" a="1"/>
  <c r="I678" i="6" s="1"/>
  <c r="D679" i="6" a="1"/>
  <c r="D679" i="6" s="1"/>
  <c r="F679" i="6" a="1"/>
  <c r="F679" i="6" s="1"/>
  <c r="G679" i="6" a="1"/>
  <c r="G679" i="6" s="1"/>
  <c r="I679" i="6" a="1"/>
  <c r="I679" i="6" s="1"/>
  <c r="D680" i="6" a="1"/>
  <c r="D680" i="6" s="1"/>
  <c r="F680" i="6" a="1"/>
  <c r="F680" i="6" s="1"/>
  <c r="G680" i="6" a="1"/>
  <c r="G680" i="6" s="1"/>
  <c r="I680" i="6" a="1"/>
  <c r="I680" i="6" s="1"/>
  <c r="D681" i="6" a="1"/>
  <c r="D681" i="6" s="1"/>
  <c r="F681" i="6" a="1"/>
  <c r="F681" i="6" s="1"/>
  <c r="G681" i="6" a="1"/>
  <c r="G681" i="6" s="1"/>
  <c r="I681" i="6" a="1"/>
  <c r="I681" i="6" s="1"/>
  <c r="D684" i="6" a="1"/>
  <c r="D684" i="6" s="1"/>
  <c r="F684" i="6" a="1"/>
  <c r="F684" i="6" s="1"/>
  <c r="G684" i="6" a="1"/>
  <c r="G684" i="6" s="1"/>
  <c r="D685" i="6" a="1"/>
  <c r="D685" i="6" s="1"/>
  <c r="F685" i="6" a="1"/>
  <c r="F685" i="6" s="1"/>
  <c r="G685" i="6" a="1"/>
  <c r="G685" i="6" s="1"/>
  <c r="I685" i="6" a="1"/>
  <c r="I685" i="6" s="1"/>
  <c r="D686" i="6" a="1"/>
  <c r="D686" i="6" s="1"/>
  <c r="F686" i="6" a="1"/>
  <c r="F686" i="6" s="1"/>
  <c r="G686" i="6" a="1"/>
  <c r="G686" i="6" s="1"/>
  <c r="I686" i="6" a="1"/>
  <c r="I686" i="6" s="1"/>
  <c r="D687" i="6" a="1"/>
  <c r="D687" i="6" s="1"/>
  <c r="F687" i="6" a="1"/>
  <c r="F687" i="6" s="1"/>
  <c r="G687" i="6" a="1"/>
  <c r="G687" i="6" s="1"/>
  <c r="I687" i="6" a="1"/>
  <c r="I687" i="6" s="1"/>
  <c r="D688" i="6" a="1"/>
  <c r="D688" i="6" s="1"/>
  <c r="F688" i="6" a="1"/>
  <c r="F688" i="6" s="1"/>
  <c r="G688" i="6" a="1"/>
  <c r="G688" i="6" s="1"/>
  <c r="I688" i="6" a="1"/>
  <c r="I688" i="6" s="1"/>
  <c r="D689" i="6" a="1"/>
  <c r="D689" i="6" s="1"/>
  <c r="F689" i="6" a="1"/>
  <c r="F689" i="6" s="1"/>
  <c r="G689" i="6" a="1"/>
  <c r="G689" i="6" s="1"/>
  <c r="I689" i="6" a="1"/>
  <c r="I689" i="6" s="1"/>
  <c r="D690" i="6" a="1"/>
  <c r="D690" i="6" s="1"/>
  <c r="F690" i="6" a="1"/>
  <c r="F690" i="6" s="1"/>
  <c r="G690" i="6" a="1"/>
  <c r="G690" i="6" s="1"/>
  <c r="I690" i="6" a="1"/>
  <c r="I690" i="6" s="1"/>
  <c r="D691" i="6" a="1"/>
  <c r="D691" i="6" s="1"/>
  <c r="F691" i="6" a="1"/>
  <c r="F691" i="6" s="1"/>
  <c r="G691" i="6" a="1"/>
  <c r="G691" i="6" s="1"/>
  <c r="I691" i="6" a="1"/>
  <c r="I691" i="6" s="1"/>
  <c r="D692" i="6" a="1"/>
  <c r="D692" i="6" s="1"/>
  <c r="F692" i="6" a="1"/>
  <c r="F692" i="6" s="1"/>
  <c r="G692" i="6" a="1"/>
  <c r="G692" i="6" s="1"/>
  <c r="I692" i="6" a="1"/>
  <c r="I692" i="6" s="1"/>
  <c r="D693" i="6" a="1"/>
  <c r="D693" i="6" s="1"/>
  <c r="F693" i="6" a="1"/>
  <c r="F693" i="6" s="1"/>
  <c r="G693" i="6" a="1"/>
  <c r="G693" i="6" s="1"/>
  <c r="I693" i="6" a="1"/>
  <c r="I693" i="6" s="1"/>
  <c r="D696" i="6" a="1"/>
  <c r="D696" i="6" s="1"/>
  <c r="F696" i="6" a="1"/>
  <c r="F696" i="6" s="1"/>
  <c r="G696" i="6" a="1"/>
  <c r="G696" i="6" s="1"/>
  <c r="D697" i="6" a="1"/>
  <c r="D697" i="6" s="1"/>
  <c r="F697" i="6" a="1"/>
  <c r="F697" i="6" s="1"/>
  <c r="G697" i="6" a="1"/>
  <c r="G697" i="6" s="1"/>
  <c r="I697" i="6" a="1"/>
  <c r="I697" i="6" s="1"/>
  <c r="D698" i="6" a="1"/>
  <c r="D698" i="6" s="1"/>
  <c r="F698" i="6" a="1"/>
  <c r="F698" i="6" s="1"/>
  <c r="G698" i="6" a="1"/>
  <c r="G698" i="6" s="1"/>
  <c r="I698" i="6" a="1"/>
  <c r="I698" i="6" s="1"/>
  <c r="D699" i="6" a="1"/>
  <c r="D699" i="6" s="1"/>
  <c r="F699" i="6" a="1"/>
  <c r="F699" i="6" s="1"/>
  <c r="G699" i="6" a="1"/>
  <c r="G699" i="6" s="1"/>
  <c r="I699" i="6" a="1"/>
  <c r="I699" i="6" s="1"/>
  <c r="D700" i="6" a="1"/>
  <c r="D700" i="6" s="1"/>
  <c r="F700" i="6" a="1"/>
  <c r="F700" i="6" s="1"/>
  <c r="G700" i="6" a="1"/>
  <c r="G700" i="6" s="1"/>
  <c r="I700" i="6" a="1"/>
  <c r="I700" i="6" s="1"/>
  <c r="D701" i="6" a="1"/>
  <c r="D701" i="6" s="1"/>
  <c r="F701" i="6" a="1"/>
  <c r="F701" i="6" s="1"/>
  <c r="G701" i="6" a="1"/>
  <c r="G701" i="6" s="1"/>
  <c r="I701" i="6" a="1"/>
  <c r="I701" i="6" s="1"/>
  <c r="D702" i="6" a="1"/>
  <c r="D702" i="6" s="1"/>
  <c r="F702" i="6" a="1"/>
  <c r="F702" i="6" s="1"/>
  <c r="G702" i="6" a="1"/>
  <c r="G702" i="6" s="1"/>
  <c r="I702" i="6" a="1"/>
  <c r="I702" i="6" s="1"/>
  <c r="D703" i="6" a="1"/>
  <c r="D703" i="6" s="1"/>
  <c r="F703" i="6" a="1"/>
  <c r="F703" i="6" s="1"/>
  <c r="G703" i="6" a="1"/>
  <c r="G703" i="6" s="1"/>
  <c r="I703" i="6" a="1"/>
  <c r="I703" i="6" s="1"/>
  <c r="D704" i="6" a="1"/>
  <c r="D704" i="6" s="1"/>
  <c r="F704" i="6" a="1"/>
  <c r="F704" i="6" s="1"/>
  <c r="G704" i="6" a="1"/>
  <c r="G704" i="6" s="1"/>
  <c r="I704" i="6" a="1"/>
  <c r="I704" i="6" s="1"/>
  <c r="D705" i="6" a="1"/>
  <c r="D705" i="6" s="1"/>
  <c r="F705" i="6" a="1"/>
  <c r="F705" i="6" s="1"/>
  <c r="G705" i="6" a="1"/>
  <c r="G705" i="6" s="1"/>
  <c r="I705" i="6" a="1"/>
  <c r="I705" i="6" s="1"/>
  <c r="D708" i="6" a="1"/>
  <c r="D708" i="6" s="1"/>
  <c r="F708" i="6" a="1"/>
  <c r="F708" i="6" s="1"/>
  <c r="G708" i="6" a="1"/>
  <c r="G708" i="6" s="1"/>
  <c r="D709" i="6" a="1"/>
  <c r="D709" i="6" s="1"/>
  <c r="F709" i="6" a="1"/>
  <c r="F709" i="6" s="1"/>
  <c r="G709" i="6" a="1"/>
  <c r="G709" i="6" s="1"/>
  <c r="I709" i="6" a="1"/>
  <c r="I709" i="6" s="1"/>
  <c r="D710" i="6" a="1"/>
  <c r="D710" i="6" s="1"/>
  <c r="F710" i="6" a="1"/>
  <c r="F710" i="6" s="1"/>
  <c r="G710" i="6" a="1"/>
  <c r="G710" i="6" s="1"/>
  <c r="I710" i="6" a="1"/>
  <c r="I710" i="6" s="1"/>
  <c r="D711" i="6" a="1"/>
  <c r="D711" i="6" s="1"/>
  <c r="F711" i="6" a="1"/>
  <c r="F711" i="6" s="1"/>
  <c r="G711" i="6" a="1"/>
  <c r="G711" i="6" s="1"/>
  <c r="I711" i="6" a="1"/>
  <c r="I711" i="6" s="1"/>
  <c r="D712" i="6" a="1"/>
  <c r="D712" i="6" s="1"/>
  <c r="F712" i="6" a="1"/>
  <c r="F712" i="6" s="1"/>
  <c r="G712" i="6" a="1"/>
  <c r="G712" i="6" s="1"/>
  <c r="I712" i="6" a="1"/>
  <c r="I712" i="6" s="1"/>
  <c r="D713" i="6" a="1"/>
  <c r="D713" i="6" s="1"/>
  <c r="F713" i="6" a="1"/>
  <c r="F713" i="6" s="1"/>
  <c r="G713" i="6" a="1"/>
  <c r="G713" i="6" s="1"/>
  <c r="I713" i="6" a="1"/>
  <c r="I713" i="6" s="1"/>
  <c r="D714" i="6" a="1"/>
  <c r="D714" i="6" s="1"/>
  <c r="F714" i="6" a="1"/>
  <c r="F714" i="6" s="1"/>
  <c r="G714" i="6" a="1"/>
  <c r="G714" i="6" s="1"/>
  <c r="I714" i="6" a="1"/>
  <c r="I714" i="6" s="1"/>
  <c r="D715" i="6" a="1"/>
  <c r="D715" i="6" s="1"/>
  <c r="F715" i="6" a="1"/>
  <c r="F715" i="6" s="1"/>
  <c r="G715" i="6" a="1"/>
  <c r="G715" i="6" s="1"/>
  <c r="I715" i="6" a="1"/>
  <c r="I715" i="6" s="1"/>
  <c r="D716" i="6" a="1"/>
  <c r="D716" i="6" s="1"/>
  <c r="F716" i="6" a="1"/>
  <c r="F716" i="6" s="1"/>
  <c r="G716" i="6" a="1"/>
  <c r="G716" i="6" s="1"/>
  <c r="I716" i="6" a="1"/>
  <c r="I716" i="6" s="1"/>
  <c r="D717" i="6" a="1"/>
  <c r="D717" i="6" s="1"/>
  <c r="F717" i="6" a="1"/>
  <c r="F717" i="6" s="1"/>
  <c r="G717" i="6" a="1"/>
  <c r="G717" i="6" s="1"/>
  <c r="I717" i="6" a="1"/>
  <c r="I717" i="6" s="1"/>
  <c r="D720" i="6" a="1"/>
  <c r="D720" i="6" s="1"/>
  <c r="F720" i="6" a="1"/>
  <c r="F720" i="6" s="1"/>
  <c r="G720" i="6" a="1"/>
  <c r="G720" i="6" s="1"/>
  <c r="D721" i="6" a="1"/>
  <c r="D721" i="6" s="1"/>
  <c r="F721" i="6" a="1"/>
  <c r="F721" i="6" s="1"/>
  <c r="G721" i="6" a="1"/>
  <c r="G721" i="6" s="1"/>
  <c r="I721" i="6" a="1"/>
  <c r="I721" i="6" s="1"/>
  <c r="D722" i="6" a="1"/>
  <c r="D722" i="6" s="1"/>
  <c r="F722" i="6" a="1"/>
  <c r="F722" i="6" s="1"/>
  <c r="G722" i="6" a="1"/>
  <c r="G722" i="6" s="1"/>
  <c r="I722" i="6" a="1"/>
  <c r="I722" i="6" s="1"/>
  <c r="D723" i="6" a="1"/>
  <c r="D723" i="6" s="1"/>
  <c r="F723" i="6" a="1"/>
  <c r="F723" i="6" s="1"/>
  <c r="G723" i="6" a="1"/>
  <c r="G723" i="6" s="1"/>
  <c r="I723" i="6" a="1"/>
  <c r="I723" i="6" s="1"/>
  <c r="D724" i="6" a="1"/>
  <c r="D724" i="6" s="1"/>
  <c r="F724" i="6" a="1"/>
  <c r="F724" i="6" s="1"/>
  <c r="G724" i="6" a="1"/>
  <c r="G724" i="6" s="1"/>
  <c r="I724" i="6" a="1"/>
  <c r="I724" i="6" s="1"/>
  <c r="D725" i="6" a="1"/>
  <c r="D725" i="6" s="1"/>
  <c r="F725" i="6" a="1"/>
  <c r="F725" i="6" s="1"/>
  <c r="G725" i="6" a="1"/>
  <c r="G725" i="6" s="1"/>
  <c r="I725" i="6" a="1"/>
  <c r="I725" i="6" s="1"/>
  <c r="D726" i="6" a="1"/>
  <c r="D726" i="6" s="1"/>
  <c r="F726" i="6" a="1"/>
  <c r="F726" i="6" s="1"/>
  <c r="G726" i="6" a="1"/>
  <c r="G726" i="6" s="1"/>
  <c r="I726" i="6" a="1"/>
  <c r="I726" i="6" s="1"/>
  <c r="D727" i="6" a="1"/>
  <c r="D727" i="6" s="1"/>
  <c r="F727" i="6" a="1"/>
  <c r="F727" i="6" s="1"/>
  <c r="G727" i="6" a="1"/>
  <c r="G727" i="6" s="1"/>
  <c r="I727" i="6" a="1"/>
  <c r="I727" i="6" s="1"/>
  <c r="D728" i="6" a="1"/>
  <c r="D728" i="6" s="1"/>
  <c r="F728" i="6" a="1"/>
  <c r="F728" i="6" s="1"/>
  <c r="G728" i="6" a="1"/>
  <c r="G728" i="6" s="1"/>
  <c r="I728" i="6" a="1"/>
  <c r="I728" i="6" s="1"/>
  <c r="D729" i="6" a="1"/>
  <c r="D729" i="6" s="1"/>
  <c r="F729" i="6" a="1"/>
  <c r="F729" i="6" s="1"/>
  <c r="G729" i="6" a="1"/>
  <c r="G729" i="6" s="1"/>
  <c r="I729" i="6" a="1"/>
  <c r="I729" i="6" s="1"/>
  <c r="D732" i="6" a="1"/>
  <c r="D732" i="6" s="1"/>
  <c r="F732" i="6" a="1"/>
  <c r="F732" i="6" s="1"/>
  <c r="G732" i="6" a="1"/>
  <c r="G732" i="6" s="1"/>
  <c r="D733" i="6" a="1"/>
  <c r="D733" i="6" s="1"/>
  <c r="F733" i="6" a="1"/>
  <c r="F733" i="6" s="1"/>
  <c r="G733" i="6" a="1"/>
  <c r="G733" i="6" s="1"/>
  <c r="I733" i="6" a="1"/>
  <c r="I733" i="6" s="1"/>
  <c r="D734" i="6" a="1"/>
  <c r="D734" i="6" s="1"/>
  <c r="F734" i="6" a="1"/>
  <c r="F734" i="6" s="1"/>
  <c r="G734" i="6" a="1"/>
  <c r="G734" i="6" s="1"/>
  <c r="I734" i="6" a="1"/>
  <c r="I734" i="6" s="1"/>
  <c r="D735" i="6" a="1"/>
  <c r="D735" i="6" s="1"/>
  <c r="F735" i="6" a="1"/>
  <c r="F735" i="6" s="1"/>
  <c r="G735" i="6" a="1"/>
  <c r="G735" i="6" s="1"/>
  <c r="I735" i="6" a="1"/>
  <c r="I735" i="6" s="1"/>
  <c r="D736" i="6" a="1"/>
  <c r="D736" i="6" s="1"/>
  <c r="F736" i="6" a="1"/>
  <c r="F736" i="6" s="1"/>
  <c r="G736" i="6" a="1"/>
  <c r="G736" i="6" s="1"/>
  <c r="I736" i="6" a="1"/>
  <c r="I736" i="6" s="1"/>
  <c r="D737" i="6" a="1"/>
  <c r="D737" i="6" s="1"/>
  <c r="F737" i="6" a="1"/>
  <c r="F737" i="6" s="1"/>
  <c r="G737" i="6" a="1"/>
  <c r="G737" i="6" s="1"/>
  <c r="I737" i="6" a="1"/>
  <c r="I737" i="6" s="1"/>
  <c r="D738" i="6" a="1"/>
  <c r="D738" i="6" s="1"/>
  <c r="F738" i="6" a="1"/>
  <c r="F738" i="6" s="1"/>
  <c r="G738" i="6" a="1"/>
  <c r="G738" i="6" s="1"/>
  <c r="I738" i="6" a="1"/>
  <c r="I738" i="6" s="1"/>
  <c r="D739" i="6" a="1"/>
  <c r="D739" i="6" s="1"/>
  <c r="F739" i="6" a="1"/>
  <c r="F739" i="6" s="1"/>
  <c r="G739" i="6" a="1"/>
  <c r="G739" i="6" s="1"/>
  <c r="I739" i="6" a="1"/>
  <c r="I739" i="6" s="1"/>
  <c r="D740" i="6" a="1"/>
  <c r="D740" i="6" s="1"/>
  <c r="F740" i="6" a="1"/>
  <c r="F740" i="6" s="1"/>
  <c r="G740" i="6" a="1"/>
  <c r="G740" i="6" s="1"/>
  <c r="I740" i="6" a="1"/>
  <c r="I740" i="6" s="1"/>
  <c r="D741" i="6" a="1"/>
  <c r="D741" i="6" s="1"/>
  <c r="F741" i="6" a="1"/>
  <c r="F741" i="6" s="1"/>
  <c r="G741" i="6" a="1"/>
  <c r="G741" i="6" s="1"/>
  <c r="I741" i="6" a="1"/>
  <c r="I741" i="6" s="1"/>
  <c r="D744" i="6" a="1"/>
  <c r="D744" i="6" s="1"/>
  <c r="F744" i="6" a="1"/>
  <c r="F744" i="6" s="1"/>
  <c r="G744" i="6" a="1"/>
  <c r="G744" i="6" s="1"/>
  <c r="D745" i="6" a="1"/>
  <c r="D745" i="6" s="1"/>
  <c r="F745" i="6" a="1"/>
  <c r="F745" i="6" s="1"/>
  <c r="G745" i="6" a="1"/>
  <c r="G745" i="6" s="1"/>
  <c r="I745" i="6" a="1"/>
  <c r="I745" i="6" s="1"/>
  <c r="D746" i="6" a="1"/>
  <c r="D746" i="6" s="1"/>
  <c r="F746" i="6" a="1"/>
  <c r="F746" i="6" s="1"/>
  <c r="G746" i="6" a="1"/>
  <c r="G746" i="6" s="1"/>
  <c r="I746" i="6" a="1"/>
  <c r="I746" i="6" s="1"/>
  <c r="D747" i="6" a="1"/>
  <c r="D747" i="6" s="1"/>
  <c r="F747" i="6" a="1"/>
  <c r="F747" i="6" s="1"/>
  <c r="G747" i="6" a="1"/>
  <c r="G747" i="6" s="1"/>
  <c r="I747" i="6" a="1"/>
  <c r="I747" i="6" s="1"/>
  <c r="D748" i="6" a="1"/>
  <c r="D748" i="6" s="1"/>
  <c r="F748" i="6" a="1"/>
  <c r="F748" i="6" s="1"/>
  <c r="G748" i="6" a="1"/>
  <c r="G748" i="6" s="1"/>
  <c r="I748" i="6" a="1"/>
  <c r="I748" i="6" s="1"/>
  <c r="D749" i="6" a="1"/>
  <c r="D749" i="6" s="1"/>
  <c r="F749" i="6" a="1"/>
  <c r="F749" i="6" s="1"/>
  <c r="G749" i="6" a="1"/>
  <c r="G749" i="6" s="1"/>
  <c r="I749" i="6" a="1"/>
  <c r="I749" i="6" s="1"/>
  <c r="D750" i="6" a="1"/>
  <c r="D750" i="6" s="1"/>
  <c r="F750" i="6" a="1"/>
  <c r="F750" i="6" s="1"/>
  <c r="G750" i="6" a="1"/>
  <c r="G750" i="6" s="1"/>
  <c r="I750" i="6" a="1"/>
  <c r="I750" i="6" s="1"/>
  <c r="D751" i="6" a="1"/>
  <c r="D751" i="6" s="1"/>
  <c r="F751" i="6" a="1"/>
  <c r="F751" i="6" s="1"/>
  <c r="G751" i="6" a="1"/>
  <c r="G751" i="6" s="1"/>
  <c r="I751" i="6" a="1"/>
  <c r="I751" i="6" s="1"/>
  <c r="D752" i="6" a="1"/>
  <c r="D752" i="6" s="1"/>
  <c r="F752" i="6" a="1"/>
  <c r="F752" i="6" s="1"/>
  <c r="G752" i="6" a="1"/>
  <c r="G752" i="6" s="1"/>
  <c r="I752" i="6" a="1"/>
  <c r="I752" i="6" s="1"/>
  <c r="D753" i="6" a="1"/>
  <c r="D753" i="6" s="1"/>
  <c r="F753" i="6" a="1"/>
  <c r="F753" i="6" s="1"/>
  <c r="G753" i="6" a="1"/>
  <c r="G753" i="6" s="1"/>
  <c r="I753" i="6" a="1"/>
  <c r="I753" i="6" s="1"/>
  <c r="I754" i="6" a="1"/>
  <c r="I754" i="6" s="1"/>
  <c r="D756" i="6" a="1"/>
  <c r="D756" i="6" s="1"/>
  <c r="F756" i="6" a="1"/>
  <c r="F756" i="6" s="1"/>
  <c r="G756" i="6" a="1"/>
  <c r="G756" i="6" s="1"/>
  <c r="D757" i="6" a="1"/>
  <c r="D757" i="6" s="1"/>
  <c r="F757" i="6" a="1"/>
  <c r="F757" i="6" s="1"/>
  <c r="G757" i="6" a="1"/>
  <c r="G757" i="6" s="1"/>
  <c r="I757" i="6" a="1"/>
  <c r="I757" i="6" s="1"/>
  <c r="D758" i="6" a="1"/>
  <c r="D758" i="6" s="1"/>
  <c r="F758" i="6" a="1"/>
  <c r="F758" i="6" s="1"/>
  <c r="G758" i="6" a="1"/>
  <c r="G758" i="6" s="1"/>
  <c r="I758" i="6" a="1"/>
  <c r="I758" i="6" s="1"/>
  <c r="D759" i="6" a="1"/>
  <c r="D759" i="6" s="1"/>
  <c r="F759" i="6" a="1"/>
  <c r="F759" i="6" s="1"/>
  <c r="G759" i="6" a="1"/>
  <c r="G759" i="6" s="1"/>
  <c r="I759" i="6" a="1"/>
  <c r="I759" i="6" s="1"/>
  <c r="D760" i="6" a="1"/>
  <c r="D760" i="6" s="1"/>
  <c r="F760" i="6" a="1"/>
  <c r="F760" i="6" s="1"/>
  <c r="G760" i="6" a="1"/>
  <c r="G760" i="6" s="1"/>
  <c r="I760" i="6" a="1"/>
  <c r="I760" i="6" s="1"/>
  <c r="D761" i="6" a="1"/>
  <c r="D761" i="6" s="1"/>
  <c r="F761" i="6" a="1"/>
  <c r="F761" i="6" s="1"/>
  <c r="G761" i="6" a="1"/>
  <c r="G761" i="6" s="1"/>
  <c r="I761" i="6" a="1"/>
  <c r="I761" i="6" s="1"/>
  <c r="D762" i="6" a="1"/>
  <c r="D762" i="6" s="1"/>
  <c r="F762" i="6" a="1"/>
  <c r="F762" i="6" s="1"/>
  <c r="G762" i="6" a="1"/>
  <c r="G762" i="6" s="1"/>
  <c r="I762" i="6" a="1"/>
  <c r="I762" i="6" s="1"/>
  <c r="D763" i="6" a="1"/>
  <c r="D763" i="6" s="1"/>
  <c r="F763" i="6" a="1"/>
  <c r="F763" i="6" s="1"/>
  <c r="G763" i="6" a="1"/>
  <c r="G763" i="6" s="1"/>
  <c r="I763" i="6" a="1"/>
  <c r="I763" i="6" s="1"/>
  <c r="D764" i="6" a="1"/>
  <c r="D764" i="6" s="1"/>
  <c r="F764" i="6" a="1"/>
  <c r="F764" i="6" s="1"/>
  <c r="G764" i="6" a="1"/>
  <c r="G764" i="6" s="1"/>
  <c r="I764" i="6" a="1"/>
  <c r="I764" i="6" s="1"/>
  <c r="D765" i="6" a="1"/>
  <c r="D765" i="6" s="1"/>
  <c r="F765" i="6" a="1"/>
  <c r="F765" i="6" s="1"/>
  <c r="G765" i="6" a="1"/>
  <c r="G765" i="6" s="1"/>
  <c r="I765" i="6" a="1"/>
  <c r="I765" i="6" s="1"/>
  <c r="D768" i="6" a="1"/>
  <c r="D768" i="6" s="1"/>
  <c r="F768" i="6" a="1"/>
  <c r="F768" i="6" s="1"/>
  <c r="G768" i="6" a="1"/>
  <c r="G768" i="6" s="1"/>
  <c r="D769" i="6" a="1"/>
  <c r="D769" i="6" s="1"/>
  <c r="F769" i="6" a="1"/>
  <c r="F769" i="6" s="1"/>
  <c r="G769" i="6" a="1"/>
  <c r="G769" i="6" s="1"/>
  <c r="I769" i="6" a="1"/>
  <c r="I769" i="6" s="1"/>
  <c r="D770" i="6" a="1"/>
  <c r="D770" i="6" s="1"/>
  <c r="F770" i="6" a="1"/>
  <c r="F770" i="6" s="1"/>
  <c r="G770" i="6" a="1"/>
  <c r="G770" i="6" s="1"/>
  <c r="I770" i="6" a="1"/>
  <c r="I770" i="6" s="1"/>
  <c r="D771" i="6" a="1"/>
  <c r="D771" i="6" s="1"/>
  <c r="F771" i="6" a="1"/>
  <c r="F771" i="6" s="1"/>
  <c r="G771" i="6" a="1"/>
  <c r="G771" i="6" s="1"/>
  <c r="I771" i="6" a="1"/>
  <c r="I771" i="6" s="1"/>
  <c r="D772" i="6" a="1"/>
  <c r="D772" i="6" s="1"/>
  <c r="F772" i="6" a="1"/>
  <c r="F772" i="6" s="1"/>
  <c r="G772" i="6" a="1"/>
  <c r="G772" i="6" s="1"/>
  <c r="I772" i="6" a="1"/>
  <c r="I772" i="6" s="1"/>
  <c r="D773" i="6" a="1"/>
  <c r="D773" i="6" s="1"/>
  <c r="F773" i="6" a="1"/>
  <c r="F773" i="6" s="1"/>
  <c r="G773" i="6" a="1"/>
  <c r="G773" i="6" s="1"/>
  <c r="I773" i="6" a="1"/>
  <c r="I773" i="6" s="1"/>
  <c r="D774" i="6" a="1"/>
  <c r="D774" i="6" s="1"/>
  <c r="F774" i="6" a="1"/>
  <c r="F774" i="6" s="1"/>
  <c r="G774" i="6" a="1"/>
  <c r="G774" i="6" s="1"/>
  <c r="I774" i="6" a="1"/>
  <c r="I774" i="6" s="1"/>
  <c r="D775" i="6" a="1"/>
  <c r="D775" i="6" s="1"/>
  <c r="F775" i="6" a="1"/>
  <c r="F775" i="6" s="1"/>
  <c r="G775" i="6" a="1"/>
  <c r="G775" i="6" s="1"/>
  <c r="I775" i="6" a="1"/>
  <c r="I775" i="6" s="1"/>
  <c r="D776" i="6" a="1"/>
  <c r="D776" i="6" s="1"/>
  <c r="F776" i="6" a="1"/>
  <c r="F776" i="6" s="1"/>
  <c r="G776" i="6" a="1"/>
  <c r="G776" i="6" s="1"/>
  <c r="I776" i="6" a="1"/>
  <c r="I776" i="6" s="1"/>
  <c r="D777" i="6" a="1"/>
  <c r="D777" i="6" s="1"/>
  <c r="F777" i="6" a="1"/>
  <c r="F777" i="6" s="1"/>
  <c r="G777" i="6" a="1"/>
  <c r="G777" i="6" s="1"/>
  <c r="I777" i="6" a="1"/>
  <c r="I777" i="6" s="1"/>
  <c r="D780" i="6" a="1"/>
  <c r="D780" i="6" s="1"/>
  <c r="F780" i="6" a="1"/>
  <c r="F780" i="6" s="1"/>
  <c r="G780" i="6" a="1"/>
  <c r="G780" i="6" s="1"/>
  <c r="D781" i="6" a="1"/>
  <c r="D781" i="6" s="1"/>
  <c r="F781" i="6" a="1"/>
  <c r="F781" i="6" s="1"/>
  <c r="G781" i="6" a="1"/>
  <c r="G781" i="6" s="1"/>
  <c r="I781" i="6" a="1"/>
  <c r="I781" i="6" s="1"/>
  <c r="D782" i="6" a="1"/>
  <c r="D782" i="6" s="1"/>
  <c r="F782" i="6" a="1"/>
  <c r="F782" i="6" s="1"/>
  <c r="G782" i="6" a="1"/>
  <c r="G782" i="6" s="1"/>
  <c r="I782" i="6" a="1"/>
  <c r="I782" i="6" s="1"/>
  <c r="D783" i="6" a="1"/>
  <c r="D783" i="6" s="1"/>
  <c r="F783" i="6" a="1"/>
  <c r="F783" i="6" s="1"/>
  <c r="G783" i="6" a="1"/>
  <c r="G783" i="6" s="1"/>
  <c r="I783" i="6" a="1"/>
  <c r="I783" i="6" s="1"/>
  <c r="D784" i="6" a="1"/>
  <c r="D784" i="6" s="1"/>
  <c r="F784" i="6" a="1"/>
  <c r="F784" i="6" s="1"/>
  <c r="G784" i="6" a="1"/>
  <c r="G784" i="6" s="1"/>
  <c r="I784" i="6" a="1"/>
  <c r="I784" i="6" s="1"/>
  <c r="D785" i="6" a="1"/>
  <c r="D785" i="6" s="1"/>
  <c r="F785" i="6" a="1"/>
  <c r="F785" i="6" s="1"/>
  <c r="G785" i="6" a="1"/>
  <c r="G785" i="6" s="1"/>
  <c r="I785" i="6" a="1"/>
  <c r="I785" i="6" s="1"/>
  <c r="D786" i="6" a="1"/>
  <c r="D786" i="6" s="1"/>
  <c r="F786" i="6" a="1"/>
  <c r="F786" i="6" s="1"/>
  <c r="G786" i="6" a="1"/>
  <c r="G786" i="6" s="1"/>
  <c r="I786" i="6" a="1"/>
  <c r="I786" i="6" s="1"/>
  <c r="D787" i="6" a="1"/>
  <c r="D787" i="6" s="1"/>
  <c r="F787" i="6" a="1"/>
  <c r="F787" i="6" s="1"/>
  <c r="G787" i="6" a="1"/>
  <c r="G787" i="6" s="1"/>
  <c r="I787" i="6" a="1"/>
  <c r="I787" i="6" s="1"/>
  <c r="D788" i="6" a="1"/>
  <c r="D788" i="6" s="1"/>
  <c r="F788" i="6" a="1"/>
  <c r="F788" i="6" s="1"/>
  <c r="G788" i="6" a="1"/>
  <c r="G788" i="6" s="1"/>
  <c r="I788" i="6" a="1"/>
  <c r="I788" i="6" s="1"/>
  <c r="D789" i="6" a="1"/>
  <c r="D789" i="6" s="1"/>
  <c r="F789" i="6" a="1"/>
  <c r="F789" i="6" s="1"/>
  <c r="G789" i="6" a="1"/>
  <c r="G789" i="6" s="1"/>
  <c r="I789" i="6" a="1"/>
  <c r="I789" i="6" s="1"/>
  <c r="D792" i="6" a="1"/>
  <c r="D792" i="6" s="1"/>
  <c r="F792" i="6" a="1"/>
  <c r="F792" i="6" s="1"/>
  <c r="G792" i="6" a="1"/>
  <c r="G792" i="6" s="1"/>
  <c r="D793" i="6" a="1"/>
  <c r="D793" i="6" s="1"/>
  <c r="F793" i="6" a="1"/>
  <c r="F793" i="6" s="1"/>
  <c r="G793" i="6" a="1"/>
  <c r="G793" i="6" s="1"/>
  <c r="I793" i="6" a="1"/>
  <c r="I793" i="6" s="1"/>
  <c r="D794" i="6" a="1"/>
  <c r="D794" i="6" s="1"/>
  <c r="F794" i="6" a="1"/>
  <c r="F794" i="6" s="1"/>
  <c r="G794" i="6" a="1"/>
  <c r="G794" i="6" s="1"/>
  <c r="I794" i="6" a="1"/>
  <c r="I794" i="6" s="1"/>
  <c r="D795" i="6" a="1"/>
  <c r="D795" i="6" s="1"/>
  <c r="F795" i="6" a="1"/>
  <c r="F795" i="6" s="1"/>
  <c r="G795" i="6" a="1"/>
  <c r="G795" i="6" s="1"/>
  <c r="I795" i="6" a="1"/>
  <c r="I795" i="6" s="1"/>
  <c r="D796" i="6" a="1"/>
  <c r="D796" i="6" s="1"/>
  <c r="F796" i="6" a="1"/>
  <c r="F796" i="6" s="1"/>
  <c r="G796" i="6" a="1"/>
  <c r="G796" i="6" s="1"/>
  <c r="I796" i="6" a="1"/>
  <c r="I796" i="6" s="1"/>
  <c r="D797" i="6" a="1"/>
  <c r="D797" i="6" s="1"/>
  <c r="F797" i="6" a="1"/>
  <c r="F797" i="6" s="1"/>
  <c r="G797" i="6" a="1"/>
  <c r="G797" i="6" s="1"/>
  <c r="I797" i="6" a="1"/>
  <c r="I797" i="6" s="1"/>
  <c r="D798" i="6" a="1"/>
  <c r="D798" i="6" s="1"/>
  <c r="F798" i="6" a="1"/>
  <c r="F798" i="6" s="1"/>
  <c r="G798" i="6" a="1"/>
  <c r="G798" i="6" s="1"/>
  <c r="I798" i="6" a="1"/>
  <c r="I798" i="6" s="1"/>
  <c r="D799" i="6" a="1"/>
  <c r="D799" i="6" s="1"/>
  <c r="F799" i="6" a="1"/>
  <c r="F799" i="6" s="1"/>
  <c r="G799" i="6" a="1"/>
  <c r="G799" i="6" s="1"/>
  <c r="I799" i="6" a="1"/>
  <c r="I799" i="6" s="1"/>
  <c r="D800" i="6" a="1"/>
  <c r="D800" i="6" s="1"/>
  <c r="F800" i="6" a="1"/>
  <c r="F800" i="6" s="1"/>
  <c r="G800" i="6" a="1"/>
  <c r="G800" i="6" s="1"/>
  <c r="I800" i="6" a="1"/>
  <c r="I800" i="6" s="1"/>
  <c r="D801" i="6" a="1"/>
  <c r="D801" i="6" s="1"/>
  <c r="F801" i="6" a="1"/>
  <c r="F801" i="6" s="1"/>
  <c r="G801" i="6" a="1"/>
  <c r="G801" i="6" s="1"/>
  <c r="I801" i="6" a="1"/>
  <c r="I801" i="6" s="1"/>
  <c r="D804" i="6" a="1"/>
  <c r="D804" i="6" s="1"/>
  <c r="F804" i="6" a="1"/>
  <c r="F804" i="6" s="1"/>
  <c r="G804" i="6" a="1"/>
  <c r="G804" i="6" s="1"/>
  <c r="D805" i="6" a="1"/>
  <c r="D805" i="6" s="1"/>
  <c r="F805" i="6" a="1"/>
  <c r="F805" i="6" s="1"/>
  <c r="G805" i="6" a="1"/>
  <c r="G805" i="6" s="1"/>
  <c r="I805" i="6" a="1"/>
  <c r="I805" i="6" s="1"/>
  <c r="D806" i="6" a="1"/>
  <c r="D806" i="6" s="1"/>
  <c r="F806" i="6" a="1"/>
  <c r="F806" i="6" s="1"/>
  <c r="G806" i="6" a="1"/>
  <c r="G806" i="6" s="1"/>
  <c r="I806" i="6" a="1"/>
  <c r="I806" i="6" s="1"/>
  <c r="D807" i="6" a="1"/>
  <c r="D807" i="6" s="1"/>
  <c r="F807" i="6" a="1"/>
  <c r="F807" i="6" s="1"/>
  <c r="G807" i="6" a="1"/>
  <c r="G807" i="6" s="1"/>
  <c r="I807" i="6" a="1"/>
  <c r="I807" i="6" s="1"/>
  <c r="D808" i="6" a="1"/>
  <c r="D808" i="6" s="1"/>
  <c r="F808" i="6" a="1"/>
  <c r="F808" i="6" s="1"/>
  <c r="G808" i="6" a="1"/>
  <c r="G808" i="6" s="1"/>
  <c r="I808" i="6" a="1"/>
  <c r="I808" i="6" s="1"/>
  <c r="D809" i="6" a="1"/>
  <c r="D809" i="6" s="1"/>
  <c r="F809" i="6" a="1"/>
  <c r="F809" i="6" s="1"/>
  <c r="G809" i="6" a="1"/>
  <c r="G809" i="6" s="1"/>
  <c r="I809" i="6" a="1"/>
  <c r="I809" i="6" s="1"/>
  <c r="D810" i="6" a="1"/>
  <c r="D810" i="6" s="1"/>
  <c r="F810" i="6" a="1"/>
  <c r="F810" i="6" s="1"/>
  <c r="G810" i="6" a="1"/>
  <c r="G810" i="6" s="1"/>
  <c r="I810" i="6" a="1"/>
  <c r="I810" i="6" s="1"/>
  <c r="D811" i="6" a="1"/>
  <c r="D811" i="6" s="1"/>
  <c r="F811" i="6" a="1"/>
  <c r="F811" i="6" s="1"/>
  <c r="G811" i="6" a="1"/>
  <c r="G811" i="6" s="1"/>
  <c r="I811" i="6" a="1"/>
  <c r="I811" i="6" s="1"/>
  <c r="D812" i="6" a="1"/>
  <c r="D812" i="6" s="1"/>
  <c r="F812" i="6" a="1"/>
  <c r="F812" i="6" s="1"/>
  <c r="G812" i="6" a="1"/>
  <c r="G812" i="6" s="1"/>
  <c r="I812" i="6" a="1"/>
  <c r="I812" i="6" s="1"/>
  <c r="D813" i="6" a="1"/>
  <c r="D813" i="6" s="1"/>
  <c r="F813" i="6" a="1"/>
  <c r="F813" i="6" s="1"/>
  <c r="G813" i="6" a="1"/>
  <c r="G813" i="6" s="1"/>
  <c r="I813" i="6" a="1"/>
  <c r="I813" i="6" s="1"/>
  <c r="D816" i="6" a="1"/>
  <c r="D816" i="6" s="1"/>
  <c r="F816" i="6" a="1"/>
  <c r="F816" i="6" s="1"/>
  <c r="G816" i="6" a="1"/>
  <c r="G816" i="6" s="1"/>
  <c r="D817" i="6" a="1"/>
  <c r="D817" i="6" s="1"/>
  <c r="F817" i="6" a="1"/>
  <c r="F817" i="6" s="1"/>
  <c r="G817" i="6" a="1"/>
  <c r="G817" i="6" s="1"/>
  <c r="I817" i="6" a="1"/>
  <c r="I817" i="6" s="1"/>
  <c r="D818" i="6" a="1"/>
  <c r="D818" i="6" s="1"/>
  <c r="F818" i="6" a="1"/>
  <c r="F818" i="6" s="1"/>
  <c r="G818" i="6" a="1"/>
  <c r="G818" i="6" s="1"/>
  <c r="I818" i="6" a="1"/>
  <c r="I818" i="6" s="1"/>
  <c r="D819" i="6" a="1"/>
  <c r="D819" i="6" s="1"/>
  <c r="F819" i="6" a="1"/>
  <c r="F819" i="6" s="1"/>
  <c r="G819" i="6" a="1"/>
  <c r="G819" i="6" s="1"/>
  <c r="I819" i="6" a="1"/>
  <c r="I819" i="6" s="1"/>
  <c r="D820" i="6" a="1"/>
  <c r="D820" i="6" s="1"/>
  <c r="F820" i="6" a="1"/>
  <c r="F820" i="6" s="1"/>
  <c r="G820" i="6" a="1"/>
  <c r="G820" i="6" s="1"/>
  <c r="I820" i="6" a="1"/>
  <c r="I820" i="6" s="1"/>
  <c r="D821" i="6" a="1"/>
  <c r="D821" i="6" s="1"/>
  <c r="F821" i="6" a="1"/>
  <c r="F821" i="6" s="1"/>
  <c r="G821" i="6" a="1"/>
  <c r="G821" i="6" s="1"/>
  <c r="I821" i="6" a="1"/>
  <c r="I821" i="6" s="1"/>
  <c r="D822" i="6" a="1"/>
  <c r="D822" i="6" s="1"/>
  <c r="F822" i="6" a="1"/>
  <c r="F822" i="6" s="1"/>
  <c r="G822" i="6" a="1"/>
  <c r="G822" i="6" s="1"/>
  <c r="I822" i="6" a="1"/>
  <c r="I822" i="6" s="1"/>
  <c r="D823" i="6" a="1"/>
  <c r="D823" i="6" s="1"/>
  <c r="F823" i="6" a="1"/>
  <c r="F823" i="6" s="1"/>
  <c r="G823" i="6" a="1"/>
  <c r="G823" i="6" s="1"/>
  <c r="I823" i="6" a="1"/>
  <c r="I823" i="6" s="1"/>
  <c r="D824" i="6" a="1"/>
  <c r="D824" i="6" s="1"/>
  <c r="F824" i="6" a="1"/>
  <c r="F824" i="6" s="1"/>
  <c r="G824" i="6" a="1"/>
  <c r="G824" i="6" s="1"/>
  <c r="I824" i="6" a="1"/>
  <c r="I824" i="6" s="1"/>
  <c r="D825" i="6" a="1"/>
  <c r="D825" i="6" s="1"/>
  <c r="F825" i="6" a="1"/>
  <c r="F825" i="6" s="1"/>
  <c r="G825" i="6" a="1"/>
  <c r="G825" i="6" s="1"/>
  <c r="I825" i="6" a="1"/>
  <c r="I825" i="6" s="1"/>
  <c r="I827" i="6" a="1"/>
  <c r="I827" i="6" s="1"/>
  <c r="D828" i="6" a="1"/>
  <c r="D828" i="6" s="1"/>
  <c r="F828" i="6" a="1"/>
  <c r="F828" i="6" s="1"/>
  <c r="G828" i="6" a="1"/>
  <c r="G828" i="6" s="1"/>
  <c r="D829" i="6" a="1"/>
  <c r="D829" i="6" s="1"/>
  <c r="F829" i="6" a="1"/>
  <c r="F829" i="6" s="1"/>
  <c r="G829" i="6" a="1"/>
  <c r="G829" i="6" s="1"/>
  <c r="I829" i="6" a="1"/>
  <c r="I829" i="6" s="1"/>
  <c r="D830" i="6" a="1"/>
  <c r="D830" i="6" s="1"/>
  <c r="F830" i="6" a="1"/>
  <c r="F830" i="6" s="1"/>
  <c r="G830" i="6" a="1"/>
  <c r="G830" i="6" s="1"/>
  <c r="I830" i="6" a="1"/>
  <c r="I830" i="6" s="1"/>
  <c r="D831" i="6" a="1"/>
  <c r="D831" i="6" s="1"/>
  <c r="F831" i="6" a="1"/>
  <c r="F831" i="6" s="1"/>
  <c r="G831" i="6" a="1"/>
  <c r="G831" i="6" s="1"/>
  <c r="I831" i="6" a="1"/>
  <c r="I831" i="6" s="1"/>
  <c r="D832" i="6" a="1"/>
  <c r="D832" i="6" s="1"/>
  <c r="F832" i="6" a="1"/>
  <c r="F832" i="6" s="1"/>
  <c r="G832" i="6" a="1"/>
  <c r="G832" i="6" s="1"/>
  <c r="I832" i="6" a="1"/>
  <c r="I832" i="6" s="1"/>
  <c r="D833" i="6" a="1"/>
  <c r="D833" i="6" s="1"/>
  <c r="F833" i="6" a="1"/>
  <c r="F833" i="6" s="1"/>
  <c r="G833" i="6" a="1"/>
  <c r="G833" i="6" s="1"/>
  <c r="I833" i="6" a="1"/>
  <c r="I833" i="6" s="1"/>
  <c r="D834" i="6" a="1"/>
  <c r="D834" i="6" s="1"/>
  <c r="F834" i="6" a="1"/>
  <c r="F834" i="6" s="1"/>
  <c r="G834" i="6" a="1"/>
  <c r="G834" i="6" s="1"/>
  <c r="I834" i="6" a="1"/>
  <c r="I834" i="6" s="1"/>
  <c r="D835" i="6" a="1"/>
  <c r="D835" i="6" s="1"/>
  <c r="F835" i="6" a="1"/>
  <c r="F835" i="6" s="1"/>
  <c r="G835" i="6" a="1"/>
  <c r="G835" i="6" s="1"/>
  <c r="I835" i="6" a="1"/>
  <c r="I835" i="6" s="1"/>
  <c r="D836" i="6" a="1"/>
  <c r="D836" i="6" s="1"/>
  <c r="F836" i="6" a="1"/>
  <c r="F836" i="6" s="1"/>
  <c r="G836" i="6" a="1"/>
  <c r="G836" i="6" s="1"/>
  <c r="I836" i="6" a="1"/>
  <c r="I836" i="6" s="1"/>
  <c r="D837" i="6" a="1"/>
  <c r="D837" i="6" s="1"/>
  <c r="F837" i="6" a="1"/>
  <c r="F837" i="6" s="1"/>
  <c r="G837" i="6" a="1"/>
  <c r="G837" i="6" s="1"/>
  <c r="I837" i="6" a="1"/>
  <c r="I837" i="6" s="1"/>
  <c r="D840" i="6" a="1"/>
  <c r="D840" i="6" s="1"/>
  <c r="F840" i="6" a="1"/>
  <c r="F840" i="6" s="1"/>
  <c r="G840" i="6" a="1"/>
  <c r="G840" i="6" s="1"/>
  <c r="D841" i="6" a="1"/>
  <c r="D841" i="6" s="1"/>
  <c r="F841" i="6" a="1"/>
  <c r="F841" i="6" s="1"/>
  <c r="G841" i="6" a="1"/>
  <c r="G841" i="6" s="1"/>
  <c r="I841" i="6" a="1"/>
  <c r="I841" i="6" s="1"/>
  <c r="D842" i="6" a="1"/>
  <c r="D842" i="6" s="1"/>
  <c r="F842" i="6" a="1"/>
  <c r="F842" i="6" s="1"/>
  <c r="G842" i="6" a="1"/>
  <c r="G842" i="6" s="1"/>
  <c r="I842" i="6" a="1"/>
  <c r="I842" i="6" s="1"/>
  <c r="D843" i="6" a="1"/>
  <c r="D843" i="6" s="1"/>
  <c r="F843" i="6" a="1"/>
  <c r="F843" i="6" s="1"/>
  <c r="G843" i="6" a="1"/>
  <c r="G843" i="6" s="1"/>
  <c r="I843" i="6" a="1"/>
  <c r="I843" i="6" s="1"/>
  <c r="D844" i="6" a="1"/>
  <c r="D844" i="6" s="1"/>
  <c r="F844" i="6" a="1"/>
  <c r="F844" i="6" s="1"/>
  <c r="G844" i="6" a="1"/>
  <c r="G844" i="6" s="1"/>
  <c r="I844" i="6" a="1"/>
  <c r="I844" i="6" s="1"/>
  <c r="D845" i="6" a="1"/>
  <c r="D845" i="6" s="1"/>
  <c r="F845" i="6" a="1"/>
  <c r="F845" i="6" s="1"/>
  <c r="G845" i="6" a="1"/>
  <c r="G845" i="6" s="1"/>
  <c r="I845" i="6" a="1"/>
  <c r="I845" i="6" s="1"/>
  <c r="D846" i="6" a="1"/>
  <c r="D846" i="6" s="1"/>
  <c r="F846" i="6" a="1"/>
  <c r="F846" i="6" s="1"/>
  <c r="G846" i="6" a="1"/>
  <c r="G846" i="6" s="1"/>
  <c r="I846" i="6" a="1"/>
  <c r="I846" i="6" s="1"/>
  <c r="D847" i="6" a="1"/>
  <c r="D847" i="6" s="1"/>
  <c r="F847" i="6" a="1"/>
  <c r="F847" i="6" s="1"/>
  <c r="G847" i="6" a="1"/>
  <c r="G847" i="6" s="1"/>
  <c r="I847" i="6" a="1"/>
  <c r="I847" i="6" s="1"/>
  <c r="D848" i="6" a="1"/>
  <c r="D848" i="6" s="1"/>
  <c r="F848" i="6" a="1"/>
  <c r="F848" i="6" s="1"/>
  <c r="G848" i="6" a="1"/>
  <c r="G848" i="6" s="1"/>
  <c r="I848" i="6" a="1"/>
  <c r="I848" i="6" s="1"/>
  <c r="D849" i="6" a="1"/>
  <c r="D849" i="6" s="1"/>
  <c r="F849" i="6" a="1"/>
  <c r="F849" i="6" s="1"/>
  <c r="G849" i="6" a="1"/>
  <c r="G849" i="6" s="1"/>
  <c r="I849" i="6" a="1"/>
  <c r="I849" i="6" s="1"/>
  <c r="D852" i="6" a="1"/>
  <c r="D852" i="6" s="1"/>
  <c r="F852" i="6" a="1"/>
  <c r="F852" i="6" s="1"/>
  <c r="G852" i="6" a="1"/>
  <c r="G852" i="6" s="1"/>
  <c r="D853" i="6" a="1"/>
  <c r="D853" i="6" s="1"/>
  <c r="F853" i="6" a="1"/>
  <c r="F853" i="6" s="1"/>
  <c r="G853" i="6" a="1"/>
  <c r="G853" i="6" s="1"/>
  <c r="I853" i="6" a="1"/>
  <c r="I853" i="6" s="1"/>
  <c r="D854" i="6" a="1"/>
  <c r="D854" i="6" s="1"/>
  <c r="F854" i="6" a="1"/>
  <c r="F854" i="6" s="1"/>
  <c r="G854" i="6" a="1"/>
  <c r="G854" i="6" s="1"/>
  <c r="I854" i="6" a="1"/>
  <c r="I854" i="6" s="1"/>
  <c r="D855" i="6" a="1"/>
  <c r="D855" i="6" s="1"/>
  <c r="F855" i="6" a="1"/>
  <c r="F855" i="6" s="1"/>
  <c r="G855" i="6" a="1"/>
  <c r="G855" i="6" s="1"/>
  <c r="I855" i="6" a="1"/>
  <c r="I855" i="6" s="1"/>
  <c r="D856" i="6" a="1"/>
  <c r="D856" i="6" s="1"/>
  <c r="F856" i="6" a="1"/>
  <c r="F856" i="6" s="1"/>
  <c r="G856" i="6" a="1"/>
  <c r="G856" i="6" s="1"/>
  <c r="I856" i="6" a="1"/>
  <c r="I856" i="6" s="1"/>
  <c r="D857" i="6" a="1"/>
  <c r="D857" i="6" s="1"/>
  <c r="F857" i="6" a="1"/>
  <c r="F857" i="6" s="1"/>
  <c r="G857" i="6" a="1"/>
  <c r="G857" i="6" s="1"/>
  <c r="I857" i="6" a="1"/>
  <c r="I857" i="6" s="1"/>
  <c r="D858" i="6" a="1"/>
  <c r="D858" i="6" s="1"/>
  <c r="F858" i="6" a="1"/>
  <c r="F858" i="6" s="1"/>
  <c r="G858" i="6" a="1"/>
  <c r="G858" i="6" s="1"/>
  <c r="I858" i="6" a="1"/>
  <c r="I858" i="6" s="1"/>
  <c r="D859" i="6" a="1"/>
  <c r="D859" i="6" s="1"/>
  <c r="F859" i="6" a="1"/>
  <c r="F859" i="6" s="1"/>
  <c r="G859" i="6" a="1"/>
  <c r="G859" i="6" s="1"/>
  <c r="I859" i="6" a="1"/>
  <c r="I859" i="6" s="1"/>
  <c r="D860" i="6" a="1"/>
  <c r="D860" i="6" s="1"/>
  <c r="F860" i="6" a="1"/>
  <c r="F860" i="6" s="1"/>
  <c r="G860" i="6" a="1"/>
  <c r="G860" i="6" s="1"/>
  <c r="I860" i="6" a="1"/>
  <c r="I860" i="6" s="1"/>
  <c r="D861" i="6" a="1"/>
  <c r="D861" i="6" s="1"/>
  <c r="F861" i="6" a="1"/>
  <c r="F861" i="6" s="1"/>
  <c r="G861" i="6" a="1"/>
  <c r="G861" i="6" s="1"/>
  <c r="I861" i="6" a="1"/>
  <c r="I861" i="6" s="1"/>
  <c r="D864" i="6" a="1"/>
  <c r="D864" i="6" s="1"/>
  <c r="F864" i="6" a="1"/>
  <c r="F864" i="6" s="1"/>
  <c r="G864" i="6" a="1"/>
  <c r="G864" i="6" s="1"/>
  <c r="I864" i="6" a="1"/>
  <c r="I864" i="6" s="1"/>
  <c r="D865" i="6" a="1"/>
  <c r="D865" i="6" s="1"/>
  <c r="F865" i="6" a="1"/>
  <c r="F865" i="6" s="1"/>
  <c r="G865" i="6" a="1"/>
  <c r="G865" i="6" s="1"/>
  <c r="I865" i="6" a="1"/>
  <c r="I865" i="6" s="1"/>
  <c r="D866" i="6" a="1"/>
  <c r="D866" i="6" s="1"/>
  <c r="F866" i="6" a="1"/>
  <c r="F866" i="6" s="1"/>
  <c r="G866" i="6" a="1"/>
  <c r="G866" i="6" s="1"/>
  <c r="I866" i="6" a="1"/>
  <c r="I866" i="6" s="1"/>
  <c r="D867" i="6" a="1"/>
  <c r="D867" i="6" s="1"/>
  <c r="F867" i="6" a="1"/>
  <c r="F867" i="6" s="1"/>
  <c r="G867" i="6" a="1"/>
  <c r="G867" i="6" s="1"/>
  <c r="I867" i="6" a="1"/>
  <c r="I867" i="6" s="1"/>
  <c r="D868" i="6" a="1"/>
  <c r="D868" i="6" s="1"/>
  <c r="F868" i="6" a="1"/>
  <c r="F868" i="6" s="1"/>
  <c r="G868" i="6" a="1"/>
  <c r="G868" i="6" s="1"/>
  <c r="I868" i="6" a="1"/>
  <c r="I868" i="6" s="1"/>
  <c r="D869" i="6" a="1"/>
  <c r="D869" i="6" s="1"/>
  <c r="F869" i="6" a="1"/>
  <c r="F869" i="6" s="1"/>
  <c r="G869" i="6" a="1"/>
  <c r="G869" i="6" s="1"/>
  <c r="I869" i="6" a="1"/>
  <c r="I869" i="6" s="1"/>
  <c r="D870" i="6" a="1"/>
  <c r="D870" i="6" s="1"/>
  <c r="F870" i="6" a="1"/>
  <c r="F870" i="6" s="1"/>
  <c r="G870" i="6" a="1"/>
  <c r="G870" i="6" s="1"/>
  <c r="I870" i="6" a="1"/>
  <c r="I870" i="6" s="1"/>
  <c r="D871" i="6" a="1"/>
  <c r="D871" i="6" s="1"/>
  <c r="F871" i="6" a="1"/>
  <c r="F871" i="6" s="1"/>
  <c r="G871" i="6" a="1"/>
  <c r="G871" i="6" s="1"/>
  <c r="I871" i="6" a="1"/>
  <c r="I871" i="6" s="1"/>
  <c r="D872" i="6" a="1"/>
  <c r="D872" i="6" s="1"/>
  <c r="F872" i="6" a="1"/>
  <c r="F872" i="6" s="1"/>
  <c r="G872" i="6" a="1"/>
  <c r="G872" i="6" s="1"/>
  <c r="I872" i="6" a="1"/>
  <c r="I872" i="6" s="1"/>
  <c r="D873" i="6" a="1"/>
  <c r="D873" i="6" s="1"/>
  <c r="F873" i="6" a="1"/>
  <c r="F873" i="6" s="1"/>
  <c r="G873" i="6" a="1"/>
  <c r="G873" i="6" s="1"/>
  <c r="I873" i="6" a="1"/>
  <c r="I873" i="6" s="1"/>
  <c r="D876" i="6" a="1"/>
  <c r="D876" i="6" s="1"/>
  <c r="F876" i="6" a="1"/>
  <c r="F876" i="6" s="1"/>
  <c r="G876" i="6" a="1"/>
  <c r="G876" i="6" s="1"/>
  <c r="I876" i="6" a="1"/>
  <c r="I876" i="6" s="1"/>
  <c r="D877" i="6" a="1"/>
  <c r="D877" i="6" s="1"/>
  <c r="F877" i="6" a="1"/>
  <c r="F877" i="6" s="1"/>
  <c r="G877" i="6" a="1"/>
  <c r="G877" i="6" s="1"/>
  <c r="I877" i="6" a="1"/>
  <c r="I877" i="6" s="1"/>
  <c r="D878" i="6" a="1"/>
  <c r="D878" i="6" s="1"/>
  <c r="F878" i="6" a="1"/>
  <c r="F878" i="6" s="1"/>
  <c r="G878" i="6" a="1"/>
  <c r="G878" i="6" s="1"/>
  <c r="I878" i="6" a="1"/>
  <c r="I878" i="6" s="1"/>
  <c r="D879" i="6" a="1"/>
  <c r="D879" i="6" s="1"/>
  <c r="F879" i="6" a="1"/>
  <c r="F879" i="6" s="1"/>
  <c r="G879" i="6" a="1"/>
  <c r="G879" i="6" s="1"/>
  <c r="I879" i="6" a="1"/>
  <c r="I879" i="6" s="1"/>
  <c r="D880" i="6" a="1"/>
  <c r="D880" i="6" s="1"/>
  <c r="F880" i="6" a="1"/>
  <c r="F880" i="6" s="1"/>
  <c r="G880" i="6" a="1"/>
  <c r="G880" i="6" s="1"/>
  <c r="I880" i="6" a="1"/>
  <c r="I880" i="6" s="1"/>
  <c r="D881" i="6" a="1"/>
  <c r="D881" i="6" s="1"/>
  <c r="F881" i="6" a="1"/>
  <c r="F881" i="6" s="1"/>
  <c r="G881" i="6" a="1"/>
  <c r="G881" i="6" s="1"/>
  <c r="I881" i="6" a="1"/>
  <c r="I881" i="6" s="1"/>
  <c r="D882" i="6" a="1"/>
  <c r="D882" i="6" s="1"/>
  <c r="F882" i="6" a="1"/>
  <c r="F882" i="6" s="1"/>
  <c r="G882" i="6" a="1"/>
  <c r="G882" i="6" s="1"/>
  <c r="I882" i="6" a="1"/>
  <c r="I882" i="6" s="1"/>
  <c r="D883" i="6" a="1"/>
  <c r="D883" i="6" s="1"/>
  <c r="F883" i="6" a="1"/>
  <c r="F883" i="6" s="1"/>
  <c r="G883" i="6" a="1"/>
  <c r="G883" i="6" s="1"/>
  <c r="I883" i="6" a="1"/>
  <c r="I883" i="6" s="1"/>
  <c r="D884" i="6" a="1"/>
  <c r="D884" i="6" s="1"/>
  <c r="F884" i="6" a="1"/>
  <c r="F884" i="6" s="1"/>
  <c r="G884" i="6" a="1"/>
  <c r="G884" i="6" s="1"/>
  <c r="I884" i="6" a="1"/>
  <c r="I884" i="6" s="1"/>
  <c r="D885" i="6" a="1"/>
  <c r="D885" i="6" s="1"/>
  <c r="F885" i="6" a="1"/>
  <c r="F885" i="6" s="1"/>
  <c r="G885" i="6" a="1"/>
  <c r="G885" i="6" s="1"/>
  <c r="I885" i="6" a="1"/>
  <c r="I885" i="6" s="1"/>
  <c r="I887" i="6" a="1"/>
  <c r="I887" i="6" s="1"/>
  <c r="D888" i="6" a="1"/>
  <c r="D888" i="6" s="1"/>
  <c r="F888" i="6" a="1"/>
  <c r="F888" i="6" s="1"/>
  <c r="G888" i="6" a="1"/>
  <c r="G888" i="6" s="1"/>
  <c r="I888" i="6" a="1"/>
  <c r="I888" i="6" s="1"/>
  <c r="D889" i="6" a="1"/>
  <c r="D889" i="6" s="1"/>
  <c r="F889" i="6" a="1"/>
  <c r="F889" i="6" s="1"/>
  <c r="G889" i="6" a="1"/>
  <c r="G889" i="6" s="1"/>
  <c r="I889" i="6" a="1"/>
  <c r="I889" i="6" s="1"/>
  <c r="D890" i="6" a="1"/>
  <c r="D890" i="6" s="1"/>
  <c r="F890" i="6" a="1"/>
  <c r="F890" i="6" s="1"/>
  <c r="G890" i="6" a="1"/>
  <c r="G890" i="6" s="1"/>
  <c r="I890" i="6" a="1"/>
  <c r="I890" i="6" s="1"/>
  <c r="D891" i="6" a="1"/>
  <c r="D891" i="6" s="1"/>
  <c r="F891" i="6" a="1"/>
  <c r="F891" i="6" s="1"/>
  <c r="G891" i="6" a="1"/>
  <c r="G891" i="6" s="1"/>
  <c r="I891" i="6" a="1"/>
  <c r="I891" i="6" s="1"/>
  <c r="D892" i="6" a="1"/>
  <c r="D892" i="6" s="1"/>
  <c r="F892" i="6" a="1"/>
  <c r="F892" i="6" s="1"/>
  <c r="G892" i="6" a="1"/>
  <c r="G892" i="6" s="1"/>
  <c r="I892" i="6" a="1"/>
  <c r="I892" i="6" s="1"/>
  <c r="D893" i="6" a="1"/>
  <c r="D893" i="6" s="1"/>
  <c r="F893" i="6" a="1"/>
  <c r="F893" i="6" s="1"/>
  <c r="G893" i="6" a="1"/>
  <c r="G893" i="6" s="1"/>
  <c r="I893" i="6" a="1"/>
  <c r="I893" i="6" s="1"/>
  <c r="D894" i="6" a="1"/>
  <c r="D894" i="6" s="1"/>
  <c r="F894" i="6" a="1"/>
  <c r="F894" i="6" s="1"/>
  <c r="G894" i="6" a="1"/>
  <c r="G894" i="6" s="1"/>
  <c r="I894" i="6" a="1"/>
  <c r="I894" i="6" s="1"/>
  <c r="D895" i="6" a="1"/>
  <c r="D895" i="6" s="1"/>
  <c r="F895" i="6" a="1"/>
  <c r="F895" i="6" s="1"/>
  <c r="G895" i="6" a="1"/>
  <c r="G895" i="6" s="1"/>
  <c r="I895" i="6" a="1"/>
  <c r="I895" i="6" s="1"/>
  <c r="D896" i="6" a="1"/>
  <c r="D896" i="6" s="1"/>
  <c r="F896" i="6" a="1"/>
  <c r="F896" i="6" s="1"/>
  <c r="G896" i="6" a="1"/>
  <c r="G896" i="6" s="1"/>
  <c r="I896" i="6" a="1"/>
  <c r="I896" i="6" s="1"/>
  <c r="D897" i="6" a="1"/>
  <c r="D897" i="6" s="1"/>
  <c r="F897" i="6" a="1"/>
  <c r="F897" i="6" s="1"/>
  <c r="G897" i="6" a="1"/>
  <c r="G897" i="6" s="1"/>
  <c r="I897" i="6" a="1"/>
  <c r="I897" i="6" s="1"/>
  <c r="D900" i="6" a="1"/>
  <c r="D900" i="6" s="1"/>
  <c r="F900" i="6" a="1"/>
  <c r="F900" i="6" s="1"/>
  <c r="G900" i="6" a="1"/>
  <c r="G900" i="6" s="1"/>
  <c r="I900" i="6" a="1"/>
  <c r="I900" i="6" s="1"/>
  <c r="D901" i="6" a="1"/>
  <c r="D901" i="6" s="1"/>
  <c r="F901" i="6" a="1"/>
  <c r="F901" i="6" s="1"/>
  <c r="G901" i="6" a="1"/>
  <c r="G901" i="6" s="1"/>
  <c r="I901" i="6" a="1"/>
  <c r="I901" i="6" s="1"/>
  <c r="D902" i="6" a="1"/>
  <c r="D902" i="6" s="1"/>
  <c r="F902" i="6" a="1"/>
  <c r="F902" i="6" s="1"/>
  <c r="G902" i="6" a="1"/>
  <c r="G902" i="6" s="1"/>
  <c r="I902" i="6" a="1"/>
  <c r="I902" i="6" s="1"/>
  <c r="D903" i="6" a="1"/>
  <c r="D903" i="6" s="1"/>
  <c r="F903" i="6" a="1"/>
  <c r="F903" i="6" s="1"/>
  <c r="G903" i="6" a="1"/>
  <c r="G903" i="6" s="1"/>
  <c r="I903" i="6" a="1"/>
  <c r="I903" i="6" s="1"/>
  <c r="D904" i="6" a="1"/>
  <c r="D904" i="6" s="1"/>
  <c r="F904" i="6" a="1"/>
  <c r="F904" i="6" s="1"/>
  <c r="G904" i="6" a="1"/>
  <c r="G904" i="6" s="1"/>
  <c r="I904" i="6" a="1"/>
  <c r="I904" i="6" s="1"/>
  <c r="D905" i="6" a="1"/>
  <c r="D905" i="6" s="1"/>
  <c r="F905" i="6" a="1"/>
  <c r="F905" i="6" s="1"/>
  <c r="G905" i="6" a="1"/>
  <c r="G905" i="6" s="1"/>
  <c r="I905" i="6" a="1"/>
  <c r="I905" i="6" s="1"/>
  <c r="D906" i="6" a="1"/>
  <c r="D906" i="6" s="1"/>
  <c r="F906" i="6" a="1"/>
  <c r="F906" i="6" s="1"/>
  <c r="G906" i="6" a="1"/>
  <c r="G906" i="6" s="1"/>
  <c r="I906" i="6" a="1"/>
  <c r="I906" i="6" s="1"/>
  <c r="D907" i="6" a="1"/>
  <c r="D907" i="6" s="1"/>
  <c r="F907" i="6" a="1"/>
  <c r="F907" i="6" s="1"/>
  <c r="G907" i="6" a="1"/>
  <c r="G907" i="6" s="1"/>
  <c r="I907" i="6" a="1"/>
  <c r="I907" i="6" s="1"/>
  <c r="D908" i="6" a="1"/>
  <c r="D908" i="6" s="1"/>
  <c r="F908" i="6" a="1"/>
  <c r="F908" i="6" s="1"/>
  <c r="G908" i="6" a="1"/>
  <c r="G908" i="6" s="1"/>
  <c r="I908" i="6" a="1"/>
  <c r="I908" i="6" s="1"/>
  <c r="D909" i="6" a="1"/>
  <c r="D909" i="6" s="1"/>
  <c r="F909" i="6" a="1"/>
  <c r="F909" i="6" s="1"/>
  <c r="G909" i="6" a="1"/>
  <c r="G909" i="6" s="1"/>
  <c r="I909" i="6" a="1"/>
  <c r="I909" i="6" s="1"/>
  <c r="D912" i="6" a="1"/>
  <c r="D912" i="6" s="1"/>
  <c r="F912" i="6" a="1"/>
  <c r="F912" i="6" s="1"/>
  <c r="G912" i="6" a="1"/>
  <c r="G912" i="6" s="1"/>
  <c r="I912" i="6" a="1"/>
  <c r="I912" i="6" s="1"/>
  <c r="D913" i="6" a="1"/>
  <c r="D913" i="6" s="1"/>
  <c r="F913" i="6" a="1"/>
  <c r="F913" i="6" s="1"/>
  <c r="G913" i="6" a="1"/>
  <c r="G913" i="6" s="1"/>
  <c r="I913" i="6" a="1"/>
  <c r="I913" i="6" s="1"/>
  <c r="D914" i="6" a="1"/>
  <c r="D914" i="6" s="1"/>
  <c r="F914" i="6" a="1"/>
  <c r="F914" i="6" s="1"/>
  <c r="G914" i="6" a="1"/>
  <c r="G914" i="6" s="1"/>
  <c r="I914" i="6" a="1"/>
  <c r="I914" i="6" s="1"/>
  <c r="D915" i="6" a="1"/>
  <c r="D915" i="6" s="1"/>
  <c r="F915" i="6" a="1"/>
  <c r="F915" i="6" s="1"/>
  <c r="G915" i="6" a="1"/>
  <c r="G915" i="6" s="1"/>
  <c r="I915" i="6" a="1"/>
  <c r="I915" i="6" s="1"/>
  <c r="D916" i="6" a="1"/>
  <c r="D916" i="6" s="1"/>
  <c r="F916" i="6" a="1"/>
  <c r="F916" i="6" s="1"/>
  <c r="G916" i="6" a="1"/>
  <c r="G916" i="6" s="1"/>
  <c r="I916" i="6" a="1"/>
  <c r="I916" i="6" s="1"/>
  <c r="D917" i="6" a="1"/>
  <c r="D917" i="6" s="1"/>
  <c r="F917" i="6" a="1"/>
  <c r="F917" i="6" s="1"/>
  <c r="G917" i="6" a="1"/>
  <c r="G917" i="6" s="1"/>
  <c r="I917" i="6" a="1"/>
  <c r="I917" i="6" s="1"/>
  <c r="D918" i="6" a="1"/>
  <c r="D918" i="6" s="1"/>
  <c r="F918" i="6" a="1"/>
  <c r="F918" i="6" s="1"/>
  <c r="G918" i="6" a="1"/>
  <c r="G918" i="6" s="1"/>
  <c r="I918" i="6" a="1"/>
  <c r="I918" i="6" s="1"/>
  <c r="D919" i="6" a="1"/>
  <c r="D919" i="6" s="1"/>
  <c r="F919" i="6" a="1"/>
  <c r="F919" i="6" s="1"/>
  <c r="G919" i="6" a="1"/>
  <c r="G919" i="6" s="1"/>
  <c r="I919" i="6" a="1"/>
  <c r="I919" i="6" s="1"/>
  <c r="D920" i="6" a="1"/>
  <c r="D920" i="6" s="1"/>
  <c r="F920" i="6" a="1"/>
  <c r="F920" i="6" s="1"/>
  <c r="G920" i="6" a="1"/>
  <c r="G920" i="6" s="1"/>
  <c r="I920" i="6" a="1"/>
  <c r="I920" i="6" s="1"/>
  <c r="D921" i="6" a="1"/>
  <c r="D921" i="6" s="1"/>
  <c r="F921" i="6" a="1"/>
  <c r="F921" i="6" s="1"/>
  <c r="G921" i="6" a="1"/>
  <c r="G921" i="6" s="1"/>
  <c r="I921" i="6" a="1"/>
  <c r="I921" i="6" s="1"/>
  <c r="D924" i="6" a="1"/>
  <c r="D924" i="6" s="1"/>
  <c r="F924" i="6" a="1"/>
  <c r="F924" i="6" s="1"/>
  <c r="G924" i="6" a="1"/>
  <c r="G924" i="6" s="1"/>
  <c r="I924" i="6" a="1"/>
  <c r="I924" i="6" s="1"/>
  <c r="D925" i="6" a="1"/>
  <c r="D925" i="6" s="1"/>
  <c r="F925" i="6" a="1"/>
  <c r="F925" i="6" s="1"/>
  <c r="G925" i="6" a="1"/>
  <c r="G925" i="6" s="1"/>
  <c r="I925" i="6" a="1"/>
  <c r="I925" i="6" s="1"/>
  <c r="D926" i="6" a="1"/>
  <c r="D926" i="6" s="1"/>
  <c r="F926" i="6" a="1"/>
  <c r="F926" i="6" s="1"/>
  <c r="G926" i="6" a="1"/>
  <c r="G926" i="6" s="1"/>
  <c r="I926" i="6" a="1"/>
  <c r="I926" i="6" s="1"/>
  <c r="D927" i="6" a="1"/>
  <c r="D927" i="6" s="1"/>
  <c r="F927" i="6" a="1"/>
  <c r="F927" i="6" s="1"/>
  <c r="G927" i="6" a="1"/>
  <c r="G927" i="6" s="1"/>
  <c r="I927" i="6" a="1"/>
  <c r="I927" i="6" s="1"/>
  <c r="D928" i="6" a="1"/>
  <c r="D928" i="6" s="1"/>
  <c r="F928" i="6" a="1"/>
  <c r="F928" i="6" s="1"/>
  <c r="G928" i="6" a="1"/>
  <c r="G928" i="6" s="1"/>
  <c r="I928" i="6" a="1"/>
  <c r="I928" i="6" s="1"/>
  <c r="D929" i="6" a="1"/>
  <c r="D929" i="6" s="1"/>
  <c r="F929" i="6" a="1"/>
  <c r="F929" i="6" s="1"/>
  <c r="G929" i="6" a="1"/>
  <c r="G929" i="6" s="1"/>
  <c r="I929" i="6" a="1"/>
  <c r="I929" i="6" s="1"/>
  <c r="D930" i="6" a="1"/>
  <c r="D930" i="6" s="1"/>
  <c r="F930" i="6" a="1"/>
  <c r="F930" i="6" s="1"/>
  <c r="G930" i="6" a="1"/>
  <c r="G930" i="6" s="1"/>
  <c r="I930" i="6" a="1"/>
  <c r="I930" i="6" s="1"/>
  <c r="D931" i="6" a="1"/>
  <c r="D931" i="6" s="1"/>
  <c r="F931" i="6" a="1"/>
  <c r="F931" i="6" s="1"/>
  <c r="G931" i="6" a="1"/>
  <c r="G931" i="6" s="1"/>
  <c r="I931" i="6" a="1"/>
  <c r="I931" i="6" s="1"/>
  <c r="D932" i="6" a="1"/>
  <c r="D932" i="6" s="1"/>
  <c r="F932" i="6" a="1"/>
  <c r="F932" i="6" s="1"/>
  <c r="G932" i="6" a="1"/>
  <c r="G932" i="6" s="1"/>
  <c r="I932" i="6" a="1"/>
  <c r="I932" i="6" s="1"/>
  <c r="D933" i="6" a="1"/>
  <c r="D933" i="6" s="1"/>
  <c r="F933" i="6" a="1"/>
  <c r="F933" i="6" s="1"/>
  <c r="G933" i="6" a="1"/>
  <c r="G933" i="6" s="1"/>
  <c r="I933" i="6" a="1"/>
  <c r="I933" i="6" s="1"/>
  <c r="D936" i="6" a="1"/>
  <c r="D936" i="6" s="1"/>
  <c r="F936" i="6" a="1"/>
  <c r="F936" i="6" s="1"/>
  <c r="G936" i="6" a="1"/>
  <c r="G936" i="6" s="1"/>
  <c r="I936" i="6" a="1"/>
  <c r="I936" i="6" s="1"/>
  <c r="D937" i="6" a="1"/>
  <c r="D937" i="6" s="1"/>
  <c r="F937" i="6" a="1"/>
  <c r="F937" i="6" s="1"/>
  <c r="G937" i="6" a="1"/>
  <c r="G937" i="6" s="1"/>
  <c r="I937" i="6" a="1"/>
  <c r="I937" i="6" s="1"/>
  <c r="D938" i="6" a="1"/>
  <c r="D938" i="6" s="1"/>
  <c r="F938" i="6" a="1"/>
  <c r="F938" i="6" s="1"/>
  <c r="G938" i="6" a="1"/>
  <c r="G938" i="6" s="1"/>
  <c r="I938" i="6" a="1"/>
  <c r="I938" i="6" s="1"/>
  <c r="D939" i="6" a="1"/>
  <c r="D939" i="6" s="1"/>
  <c r="F939" i="6" a="1"/>
  <c r="F939" i="6" s="1"/>
  <c r="G939" i="6" a="1"/>
  <c r="G939" i="6" s="1"/>
  <c r="I939" i="6" a="1"/>
  <c r="I939" i="6" s="1"/>
  <c r="D940" i="6" a="1"/>
  <c r="D940" i="6" s="1"/>
  <c r="F940" i="6" a="1"/>
  <c r="F940" i="6" s="1"/>
  <c r="G940" i="6" a="1"/>
  <c r="G940" i="6" s="1"/>
  <c r="I940" i="6" a="1"/>
  <c r="I940" i="6" s="1"/>
  <c r="D941" i="6" a="1"/>
  <c r="D941" i="6" s="1"/>
  <c r="F941" i="6" a="1"/>
  <c r="F941" i="6" s="1"/>
  <c r="G941" i="6" a="1"/>
  <c r="G941" i="6" s="1"/>
  <c r="I941" i="6" a="1"/>
  <c r="I941" i="6" s="1"/>
  <c r="D942" i="6" a="1"/>
  <c r="D942" i="6" s="1"/>
  <c r="F942" i="6" a="1"/>
  <c r="F942" i="6" s="1"/>
  <c r="G942" i="6" a="1"/>
  <c r="G942" i="6" s="1"/>
  <c r="I942" i="6" a="1"/>
  <c r="I942" i="6" s="1"/>
  <c r="D943" i="6" a="1"/>
  <c r="D943" i="6" s="1"/>
  <c r="F943" i="6" a="1"/>
  <c r="F943" i="6" s="1"/>
  <c r="G943" i="6" a="1"/>
  <c r="G943" i="6" s="1"/>
  <c r="I943" i="6" a="1"/>
  <c r="I943" i="6" s="1"/>
  <c r="D944" i="6" a="1"/>
  <c r="D944" i="6" s="1"/>
  <c r="F944" i="6" a="1"/>
  <c r="F944" i="6" s="1"/>
  <c r="G944" i="6" a="1"/>
  <c r="G944" i="6" s="1"/>
  <c r="I944" i="6" a="1"/>
  <c r="I944" i="6" s="1"/>
  <c r="D945" i="6" a="1"/>
  <c r="D945" i="6" s="1"/>
  <c r="F945" i="6" a="1"/>
  <c r="F945" i="6" s="1"/>
  <c r="G945" i="6" a="1"/>
  <c r="G945" i="6" s="1"/>
  <c r="I945" i="6" a="1"/>
  <c r="I945" i="6" s="1"/>
  <c r="D948" i="6" a="1"/>
  <c r="D948" i="6" s="1"/>
  <c r="F948" i="6" a="1"/>
  <c r="F948" i="6" s="1"/>
  <c r="G948" i="6" a="1"/>
  <c r="G948" i="6" s="1"/>
  <c r="I948" i="6" a="1"/>
  <c r="I948" i="6" s="1"/>
  <c r="D949" i="6" a="1"/>
  <c r="D949" i="6" s="1"/>
  <c r="F949" i="6" a="1"/>
  <c r="F949" i="6" s="1"/>
  <c r="G949" i="6" a="1"/>
  <c r="G949" i="6" s="1"/>
  <c r="I949" i="6" a="1"/>
  <c r="I949" i="6" s="1"/>
  <c r="D950" i="6" a="1"/>
  <c r="D950" i="6" s="1"/>
  <c r="F950" i="6" a="1"/>
  <c r="F950" i="6" s="1"/>
  <c r="G950" i="6" a="1"/>
  <c r="G950" i="6" s="1"/>
  <c r="I950" i="6" a="1"/>
  <c r="I950" i="6" s="1"/>
  <c r="D951" i="6" a="1"/>
  <c r="D951" i="6" s="1"/>
  <c r="F951" i="6" a="1"/>
  <c r="F951" i="6" s="1"/>
  <c r="G951" i="6" a="1"/>
  <c r="G951" i="6" s="1"/>
  <c r="I951" i="6" a="1"/>
  <c r="I951" i="6" s="1"/>
  <c r="D952" i="6" a="1"/>
  <c r="D952" i="6" s="1"/>
  <c r="F952" i="6" a="1"/>
  <c r="F952" i="6" s="1"/>
  <c r="G952" i="6" a="1"/>
  <c r="G952" i="6" s="1"/>
  <c r="I952" i="6" a="1"/>
  <c r="I952" i="6" s="1"/>
  <c r="D953" i="6" a="1"/>
  <c r="D953" i="6" s="1"/>
  <c r="F953" i="6" a="1"/>
  <c r="F953" i="6" s="1"/>
  <c r="G953" i="6" a="1"/>
  <c r="G953" i="6" s="1"/>
  <c r="I953" i="6" a="1"/>
  <c r="I953" i="6" s="1"/>
  <c r="D954" i="6" a="1"/>
  <c r="D954" i="6" s="1"/>
  <c r="F954" i="6" a="1"/>
  <c r="F954" i="6" s="1"/>
  <c r="G954" i="6" a="1"/>
  <c r="G954" i="6" s="1"/>
  <c r="I954" i="6" a="1"/>
  <c r="I954" i="6" s="1"/>
  <c r="D955" i="6" a="1"/>
  <c r="D955" i="6" s="1"/>
  <c r="F955" i="6" a="1"/>
  <c r="F955" i="6" s="1"/>
  <c r="G955" i="6" a="1"/>
  <c r="G955" i="6" s="1"/>
  <c r="I955" i="6" a="1"/>
  <c r="I955" i="6" s="1"/>
  <c r="D956" i="6" a="1"/>
  <c r="D956" i="6" s="1"/>
  <c r="F956" i="6" a="1"/>
  <c r="F956" i="6" s="1"/>
  <c r="G956" i="6" a="1"/>
  <c r="G956" i="6" s="1"/>
  <c r="I956" i="6" a="1"/>
  <c r="I956" i="6" s="1"/>
  <c r="D957" i="6" a="1"/>
  <c r="D957" i="6" s="1"/>
  <c r="F957" i="6" a="1"/>
  <c r="F957" i="6" s="1"/>
  <c r="G957" i="6" a="1"/>
  <c r="G957" i="6" s="1"/>
  <c r="I957" i="6" a="1"/>
  <c r="I957" i="6" s="1"/>
  <c r="D960" i="6" a="1"/>
  <c r="D960" i="6" s="1"/>
  <c r="F960" i="6" a="1"/>
  <c r="F960" i="6" s="1"/>
  <c r="G960" i="6" a="1"/>
  <c r="G960" i="6" s="1"/>
  <c r="I960" i="6" a="1"/>
  <c r="I960" i="6" s="1"/>
  <c r="D961" i="6" a="1"/>
  <c r="D961" i="6" s="1"/>
  <c r="F961" i="6" a="1"/>
  <c r="F961" i="6" s="1"/>
  <c r="G961" i="6" a="1"/>
  <c r="G961" i="6" s="1"/>
  <c r="I961" i="6" a="1"/>
  <c r="I961" i="6" s="1"/>
  <c r="D962" i="6" a="1"/>
  <c r="D962" i="6" s="1"/>
  <c r="F962" i="6" a="1"/>
  <c r="F962" i="6" s="1"/>
  <c r="G962" i="6" a="1"/>
  <c r="G962" i="6" s="1"/>
  <c r="I962" i="6" a="1"/>
  <c r="I962" i="6" s="1"/>
  <c r="D963" i="6" a="1"/>
  <c r="D963" i="6" s="1"/>
  <c r="F963" i="6" a="1"/>
  <c r="F963" i="6" s="1"/>
  <c r="G963" i="6" a="1"/>
  <c r="G963" i="6" s="1"/>
  <c r="I963" i="6" a="1"/>
  <c r="I963" i="6" s="1"/>
  <c r="D964" i="6" a="1"/>
  <c r="D964" i="6" s="1"/>
  <c r="F964" i="6" a="1"/>
  <c r="F964" i="6" s="1"/>
  <c r="G964" i="6" a="1"/>
  <c r="G964" i="6" s="1"/>
  <c r="I964" i="6" a="1"/>
  <c r="I964" i="6" s="1"/>
  <c r="D965" i="6" a="1"/>
  <c r="D965" i="6" s="1"/>
  <c r="F965" i="6" a="1"/>
  <c r="F965" i="6" s="1"/>
  <c r="G965" i="6" a="1"/>
  <c r="G965" i="6" s="1"/>
  <c r="I965" i="6" a="1"/>
  <c r="I965" i="6" s="1"/>
  <c r="D966" i="6" a="1"/>
  <c r="D966" i="6" s="1"/>
  <c r="F966" i="6" a="1"/>
  <c r="F966" i="6" s="1"/>
  <c r="G966" i="6" a="1"/>
  <c r="G966" i="6" s="1"/>
  <c r="I966" i="6" a="1"/>
  <c r="I966" i="6" s="1"/>
  <c r="D967" i="6" a="1"/>
  <c r="D967" i="6" s="1"/>
  <c r="F967" i="6" a="1"/>
  <c r="F967" i="6" s="1"/>
  <c r="G967" i="6" a="1"/>
  <c r="G967" i="6" s="1"/>
  <c r="I967" i="6" a="1"/>
  <c r="I967" i="6" s="1"/>
  <c r="D968" i="6" a="1"/>
  <c r="D968" i="6" s="1"/>
  <c r="F968" i="6" a="1"/>
  <c r="F968" i="6" s="1"/>
  <c r="G968" i="6" a="1"/>
  <c r="G968" i="6" s="1"/>
  <c r="I968" i="6" a="1"/>
  <c r="I968" i="6" s="1"/>
  <c r="D969" i="6" a="1"/>
  <c r="D969" i="6" s="1"/>
  <c r="F969" i="6" a="1"/>
  <c r="F969" i="6" s="1"/>
  <c r="G969" i="6" a="1"/>
  <c r="G969" i="6" s="1"/>
  <c r="I969" i="6" a="1"/>
  <c r="I969" i="6" s="1"/>
  <c r="D972" i="6" a="1"/>
  <c r="D972" i="6" s="1"/>
  <c r="F972" i="6" a="1"/>
  <c r="F972" i="6" s="1"/>
  <c r="G972" i="6" a="1"/>
  <c r="G972" i="6" s="1"/>
  <c r="I972" i="6" a="1"/>
  <c r="I972" i="6" s="1"/>
  <c r="D973" i="6" a="1"/>
  <c r="D973" i="6" s="1"/>
  <c r="F973" i="6" a="1"/>
  <c r="F973" i="6" s="1"/>
  <c r="G973" i="6" a="1"/>
  <c r="G973" i="6" s="1"/>
  <c r="I973" i="6" a="1"/>
  <c r="I973" i="6" s="1"/>
  <c r="D974" i="6" a="1"/>
  <c r="D974" i="6" s="1"/>
  <c r="F974" i="6" a="1"/>
  <c r="F974" i="6" s="1"/>
  <c r="G974" i="6" a="1"/>
  <c r="G974" i="6" s="1"/>
  <c r="I974" i="6" a="1"/>
  <c r="I974" i="6" s="1"/>
  <c r="D975" i="6" a="1"/>
  <c r="D975" i="6" s="1"/>
  <c r="F975" i="6" a="1"/>
  <c r="F975" i="6" s="1"/>
  <c r="G975" i="6" a="1"/>
  <c r="G975" i="6" s="1"/>
  <c r="I975" i="6" a="1"/>
  <c r="I975" i="6" s="1"/>
  <c r="D976" i="6" a="1"/>
  <c r="D976" i="6" s="1"/>
  <c r="F976" i="6" a="1"/>
  <c r="F976" i="6" s="1"/>
  <c r="G976" i="6" a="1"/>
  <c r="G976" i="6" s="1"/>
  <c r="I976" i="6" a="1"/>
  <c r="I976" i="6" s="1"/>
  <c r="D977" i="6" a="1"/>
  <c r="D977" i="6" s="1"/>
  <c r="F977" i="6" a="1"/>
  <c r="F977" i="6" s="1"/>
  <c r="G977" i="6" a="1"/>
  <c r="G977" i="6" s="1"/>
  <c r="I977" i="6" a="1"/>
  <c r="I977" i="6" s="1"/>
  <c r="D978" i="6" a="1"/>
  <c r="D978" i="6" s="1"/>
  <c r="F978" i="6" a="1"/>
  <c r="F978" i="6" s="1"/>
  <c r="G978" i="6" a="1"/>
  <c r="G978" i="6" s="1"/>
  <c r="I978" i="6" a="1"/>
  <c r="I978" i="6" s="1"/>
  <c r="D979" i="6" a="1"/>
  <c r="D979" i="6" s="1"/>
  <c r="F979" i="6" a="1"/>
  <c r="F979" i="6" s="1"/>
  <c r="G979" i="6" a="1"/>
  <c r="G979" i="6" s="1"/>
  <c r="I979" i="6" a="1"/>
  <c r="I979" i="6" s="1"/>
  <c r="D980" i="6" a="1"/>
  <c r="D980" i="6" s="1"/>
  <c r="F980" i="6" a="1"/>
  <c r="F980" i="6" s="1"/>
  <c r="G980" i="6" a="1"/>
  <c r="G980" i="6" s="1"/>
  <c r="I980" i="6" a="1"/>
  <c r="I980" i="6" s="1"/>
  <c r="D981" i="6" a="1"/>
  <c r="D981" i="6" s="1"/>
  <c r="F981" i="6" a="1"/>
  <c r="F981" i="6" s="1"/>
  <c r="G981" i="6" a="1"/>
  <c r="G981" i="6" s="1"/>
  <c r="I981" i="6" a="1"/>
  <c r="I981" i="6" s="1"/>
  <c r="D984" i="6" a="1"/>
  <c r="D984" i="6" s="1"/>
  <c r="F984" i="6" a="1"/>
  <c r="F984" i="6" s="1"/>
  <c r="G984" i="6" a="1"/>
  <c r="G984" i="6" s="1"/>
  <c r="I984" i="6" a="1"/>
  <c r="I984" i="6" s="1"/>
  <c r="D985" i="6" a="1"/>
  <c r="D985" i="6" s="1"/>
  <c r="F985" i="6" a="1"/>
  <c r="F985" i="6" s="1"/>
  <c r="G985" i="6" a="1"/>
  <c r="G985" i="6" s="1"/>
  <c r="I985" i="6" a="1"/>
  <c r="I985" i="6" s="1"/>
  <c r="D986" i="6" a="1"/>
  <c r="D986" i="6" s="1"/>
  <c r="F986" i="6" a="1"/>
  <c r="F986" i="6" s="1"/>
  <c r="G986" i="6" a="1"/>
  <c r="G986" i="6" s="1"/>
  <c r="I986" i="6" a="1"/>
  <c r="I986" i="6" s="1"/>
  <c r="D987" i="6" a="1"/>
  <c r="D987" i="6" s="1"/>
  <c r="F987" i="6" a="1"/>
  <c r="F987" i="6" s="1"/>
  <c r="G987" i="6" a="1"/>
  <c r="G987" i="6" s="1"/>
  <c r="I987" i="6" a="1"/>
  <c r="I987" i="6" s="1"/>
  <c r="D988" i="6" a="1"/>
  <c r="D988" i="6" s="1"/>
  <c r="F988" i="6" a="1"/>
  <c r="F988" i="6" s="1"/>
  <c r="G988" i="6" a="1"/>
  <c r="G988" i="6" s="1"/>
  <c r="I988" i="6" a="1"/>
  <c r="I988" i="6" s="1"/>
  <c r="D989" i="6" a="1"/>
  <c r="D989" i="6" s="1"/>
  <c r="F989" i="6" a="1"/>
  <c r="F989" i="6" s="1"/>
  <c r="G989" i="6" a="1"/>
  <c r="G989" i="6" s="1"/>
  <c r="I989" i="6" a="1"/>
  <c r="I989" i="6" s="1"/>
  <c r="D990" i="6" a="1"/>
  <c r="D990" i="6" s="1"/>
  <c r="F990" i="6" a="1"/>
  <c r="F990" i="6" s="1"/>
  <c r="G990" i="6" a="1"/>
  <c r="G990" i="6" s="1"/>
  <c r="I990" i="6" a="1"/>
  <c r="I990" i="6" s="1"/>
  <c r="D991" i="6" a="1"/>
  <c r="D991" i="6" s="1"/>
  <c r="F991" i="6" a="1"/>
  <c r="F991" i="6" s="1"/>
  <c r="G991" i="6" a="1"/>
  <c r="G991" i="6" s="1"/>
  <c r="I991" i="6" a="1"/>
  <c r="I991" i="6" s="1"/>
  <c r="D992" i="6" a="1"/>
  <c r="D992" i="6" s="1"/>
  <c r="F992" i="6" a="1"/>
  <c r="F992" i="6" s="1"/>
  <c r="G992" i="6" a="1"/>
  <c r="G992" i="6" s="1"/>
  <c r="I992" i="6" a="1"/>
  <c r="I992" i="6" s="1"/>
  <c r="D993" i="6" a="1"/>
  <c r="D993" i="6" s="1"/>
  <c r="F993" i="6" a="1"/>
  <c r="F993" i="6" s="1"/>
  <c r="G993" i="6" a="1"/>
  <c r="G993" i="6" s="1"/>
  <c r="I993" i="6" a="1"/>
  <c r="I993" i="6" s="1"/>
  <c r="D996" i="6" a="1"/>
  <c r="D996" i="6" s="1"/>
  <c r="F996" i="6" a="1"/>
  <c r="F996" i="6" s="1"/>
  <c r="G996" i="6" a="1"/>
  <c r="G996" i="6" s="1"/>
  <c r="I996" i="6" a="1"/>
  <c r="I996" i="6" s="1"/>
  <c r="D997" i="6" a="1"/>
  <c r="D997" i="6" s="1"/>
  <c r="F997" i="6" a="1"/>
  <c r="F997" i="6" s="1"/>
  <c r="G997" i="6" a="1"/>
  <c r="G997" i="6" s="1"/>
  <c r="I997" i="6" a="1"/>
  <c r="I997" i="6" s="1"/>
  <c r="D998" i="6" a="1"/>
  <c r="D998" i="6" s="1"/>
  <c r="F998" i="6" a="1"/>
  <c r="F998" i="6" s="1"/>
  <c r="G998" i="6" a="1"/>
  <c r="G998" i="6" s="1"/>
  <c r="I998" i="6" a="1"/>
  <c r="I998" i="6" s="1"/>
  <c r="D999" i="6" a="1"/>
  <c r="D999" i="6" s="1"/>
  <c r="F999" i="6" a="1"/>
  <c r="F999" i="6" s="1"/>
  <c r="G999" i="6" a="1"/>
  <c r="G999" i="6" s="1"/>
  <c r="I999" i="6" a="1"/>
  <c r="I999" i="6" s="1"/>
  <c r="D1000" i="6" a="1"/>
  <c r="D1000" i="6" s="1"/>
  <c r="F1000" i="6" a="1"/>
  <c r="F1000" i="6" s="1"/>
  <c r="G1000" i="6" a="1"/>
  <c r="G1000" i="6" s="1"/>
  <c r="I1000" i="6" a="1"/>
  <c r="I1000" i="6" s="1"/>
  <c r="D1001" i="6" a="1"/>
  <c r="D1001" i="6" s="1"/>
  <c r="F1001" i="6" a="1"/>
  <c r="F1001" i="6" s="1"/>
  <c r="G1001" i="6" a="1"/>
  <c r="G1001" i="6" s="1"/>
  <c r="I1001" i="6" a="1"/>
  <c r="I1001" i="6" s="1"/>
  <c r="D1002" i="6" a="1"/>
  <c r="D1002" i="6" s="1"/>
  <c r="F1002" i="6" a="1"/>
  <c r="F1002" i="6" s="1"/>
  <c r="G1002" i="6" a="1"/>
  <c r="G1002" i="6" s="1"/>
  <c r="I1002" i="6" a="1"/>
  <c r="I1002" i="6" s="1"/>
  <c r="D1003" i="6" a="1"/>
  <c r="D1003" i="6" s="1"/>
  <c r="F1003" i="6" a="1"/>
  <c r="F1003" i="6" s="1"/>
  <c r="G1003" i="6" a="1"/>
  <c r="G1003" i="6" s="1"/>
  <c r="I1003" i="6" a="1"/>
  <c r="I1003" i="6" s="1"/>
  <c r="D1004" i="6" a="1"/>
  <c r="D1004" i="6" s="1"/>
  <c r="F1004" i="6" a="1"/>
  <c r="F1004" i="6" s="1"/>
  <c r="G1004" i="6" a="1"/>
  <c r="G1004" i="6" s="1"/>
  <c r="I1004" i="6" a="1"/>
  <c r="I1004" i="6" s="1"/>
  <c r="D1005" i="6" a="1"/>
  <c r="D1005" i="6" s="1"/>
  <c r="F1005" i="6" a="1"/>
  <c r="F1005" i="6" s="1"/>
  <c r="G1005" i="6" a="1"/>
  <c r="G1005" i="6" s="1"/>
  <c r="I1005" i="6" a="1"/>
  <c r="I1005" i="6" s="1"/>
  <c r="D1008" i="6" a="1"/>
  <c r="D1008" i="6" s="1"/>
  <c r="F1008" i="6" a="1"/>
  <c r="F1008" i="6" s="1"/>
  <c r="G1008" i="6" a="1"/>
  <c r="G1008" i="6" s="1"/>
  <c r="I1008" i="6" a="1"/>
  <c r="I1008" i="6" s="1"/>
  <c r="D1009" i="6" a="1"/>
  <c r="D1009" i="6" s="1"/>
  <c r="F1009" i="6" a="1"/>
  <c r="F1009" i="6" s="1"/>
  <c r="G1009" i="6" a="1"/>
  <c r="G1009" i="6" s="1"/>
  <c r="I1009" i="6" a="1"/>
  <c r="I1009" i="6" s="1"/>
  <c r="D1010" i="6" a="1"/>
  <c r="D1010" i="6" s="1"/>
  <c r="F1010" i="6" a="1"/>
  <c r="F1010" i="6" s="1"/>
  <c r="G1010" i="6" a="1"/>
  <c r="G1010" i="6" s="1"/>
  <c r="I1010" i="6" a="1"/>
  <c r="I1010" i="6" s="1"/>
  <c r="D1011" i="6" a="1"/>
  <c r="D1011" i="6" s="1"/>
  <c r="F1011" i="6" a="1"/>
  <c r="F1011" i="6" s="1"/>
  <c r="G1011" i="6" a="1"/>
  <c r="G1011" i="6" s="1"/>
  <c r="I1011" i="6" a="1"/>
  <c r="I1011" i="6" s="1"/>
  <c r="D1012" i="6" a="1"/>
  <c r="D1012" i="6" s="1"/>
  <c r="F1012" i="6" a="1"/>
  <c r="F1012" i="6" s="1"/>
  <c r="G1012" i="6" a="1"/>
  <c r="G1012" i="6" s="1"/>
  <c r="I1012" i="6" a="1"/>
  <c r="I1012" i="6" s="1"/>
  <c r="D1013" i="6" a="1"/>
  <c r="D1013" i="6" s="1"/>
  <c r="F1013" i="6" a="1"/>
  <c r="F1013" i="6" s="1"/>
  <c r="G1013" i="6" a="1"/>
  <c r="G1013" i="6" s="1"/>
  <c r="I1013" i="6" a="1"/>
  <c r="I1013" i="6" s="1"/>
  <c r="D1014" i="6" a="1"/>
  <c r="D1014" i="6" s="1"/>
  <c r="F1014" i="6" a="1"/>
  <c r="F1014" i="6" s="1"/>
  <c r="G1014" i="6" a="1"/>
  <c r="G1014" i="6" s="1"/>
  <c r="I1014" i="6" a="1"/>
  <c r="I1014" i="6" s="1"/>
  <c r="D1015" i="6" a="1"/>
  <c r="D1015" i="6" s="1"/>
  <c r="F1015" i="6" a="1"/>
  <c r="F1015" i="6" s="1"/>
  <c r="G1015" i="6" a="1"/>
  <c r="G1015" i="6" s="1"/>
  <c r="I1015" i="6" a="1"/>
  <c r="I1015" i="6" s="1"/>
  <c r="D1016" i="6" a="1"/>
  <c r="D1016" i="6" s="1"/>
  <c r="F1016" i="6" a="1"/>
  <c r="F1016" i="6" s="1"/>
  <c r="G1016" i="6" a="1"/>
  <c r="G1016" i="6" s="1"/>
  <c r="I1016" i="6" a="1"/>
  <c r="I1016" i="6" s="1"/>
  <c r="D1017" i="6" a="1"/>
  <c r="D1017" i="6" s="1"/>
  <c r="F1017" i="6" a="1"/>
  <c r="F1017" i="6" s="1"/>
  <c r="G1017" i="6" a="1"/>
  <c r="G1017" i="6" s="1"/>
  <c r="I1017" i="6" a="1"/>
  <c r="I1017" i="6" s="1"/>
  <c r="D1020" i="6" a="1"/>
  <c r="D1020" i="6" s="1"/>
  <c r="F1020" i="6" a="1"/>
  <c r="F1020" i="6" s="1"/>
  <c r="G1020" i="6" a="1"/>
  <c r="G1020" i="6" s="1"/>
  <c r="I1020" i="6" a="1"/>
  <c r="I1020" i="6" s="1"/>
  <c r="D1021" i="6" a="1"/>
  <c r="D1021" i="6" s="1"/>
  <c r="F1021" i="6" a="1"/>
  <c r="F1021" i="6" s="1"/>
  <c r="G1021" i="6" a="1"/>
  <c r="G1021" i="6" s="1"/>
  <c r="I1021" i="6" a="1"/>
  <c r="I1021" i="6" s="1"/>
  <c r="D1022" i="6" a="1"/>
  <c r="D1022" i="6" s="1"/>
  <c r="F1022" i="6" a="1"/>
  <c r="F1022" i="6" s="1"/>
  <c r="G1022" i="6" a="1"/>
  <c r="G1022" i="6" s="1"/>
  <c r="I1022" i="6" a="1"/>
  <c r="I1022" i="6" s="1"/>
  <c r="D1023" i="6" a="1"/>
  <c r="D1023" i="6" s="1"/>
  <c r="F1023" i="6" a="1"/>
  <c r="F1023" i="6" s="1"/>
  <c r="G1023" i="6" a="1"/>
  <c r="G1023" i="6" s="1"/>
  <c r="I1023" i="6" a="1"/>
  <c r="I1023" i="6" s="1"/>
  <c r="D1024" i="6" a="1"/>
  <c r="D1024" i="6" s="1"/>
  <c r="F1024" i="6" a="1"/>
  <c r="F1024" i="6" s="1"/>
  <c r="G1024" i="6" a="1"/>
  <c r="G1024" i="6" s="1"/>
  <c r="I1024" i="6" a="1"/>
  <c r="I1024" i="6" s="1"/>
  <c r="D1025" i="6" a="1"/>
  <c r="D1025" i="6" s="1"/>
  <c r="F1025" i="6" a="1"/>
  <c r="F1025" i="6" s="1"/>
  <c r="G1025" i="6" a="1"/>
  <c r="G1025" i="6" s="1"/>
  <c r="I1025" i="6" a="1"/>
  <c r="I1025" i="6" s="1"/>
  <c r="D1026" i="6" a="1"/>
  <c r="D1026" i="6" s="1"/>
  <c r="F1026" i="6" a="1"/>
  <c r="F1026" i="6" s="1"/>
  <c r="G1026" i="6" a="1"/>
  <c r="G1026" i="6" s="1"/>
  <c r="I1026" i="6" a="1"/>
  <c r="I1026" i="6" s="1"/>
  <c r="D1027" i="6" a="1"/>
  <c r="D1027" i="6" s="1"/>
  <c r="F1027" i="6" a="1"/>
  <c r="F1027" i="6" s="1"/>
  <c r="G1027" i="6" a="1"/>
  <c r="G1027" i="6" s="1"/>
  <c r="I1027" i="6" a="1"/>
  <c r="I1027" i="6" s="1"/>
  <c r="D1028" i="6" a="1"/>
  <c r="D1028" i="6" s="1"/>
  <c r="F1028" i="6" a="1"/>
  <c r="F1028" i="6" s="1"/>
  <c r="G1028" i="6" a="1"/>
  <c r="G1028" i="6" s="1"/>
  <c r="I1028" i="6" a="1"/>
  <c r="I1028" i="6" s="1"/>
  <c r="D1029" i="6" a="1"/>
  <c r="D1029" i="6" s="1"/>
  <c r="F1029" i="6" a="1"/>
  <c r="F1029" i="6" s="1"/>
  <c r="G1029" i="6" a="1"/>
  <c r="G1029" i="6" s="1"/>
  <c r="I1029" i="6" a="1"/>
  <c r="I1029" i="6" s="1"/>
  <c r="D1032" i="6" a="1"/>
  <c r="D1032" i="6" s="1"/>
  <c r="F1032" i="6" a="1"/>
  <c r="F1032" i="6" s="1"/>
  <c r="G1032" i="6" a="1"/>
  <c r="G1032" i="6" s="1"/>
  <c r="I1032" i="6" a="1"/>
  <c r="I1032" i="6" s="1"/>
  <c r="D1033" i="6" a="1"/>
  <c r="D1033" i="6" s="1"/>
  <c r="F1033" i="6" a="1"/>
  <c r="F1033" i="6" s="1"/>
  <c r="G1033" i="6" a="1"/>
  <c r="G1033" i="6" s="1"/>
  <c r="I1033" i="6" a="1"/>
  <c r="I1033" i="6" s="1"/>
  <c r="D1034" i="6" a="1"/>
  <c r="D1034" i="6" s="1"/>
  <c r="F1034" i="6" a="1"/>
  <c r="F1034" i="6" s="1"/>
  <c r="G1034" i="6" a="1"/>
  <c r="G1034" i="6" s="1"/>
  <c r="I1034" i="6" a="1"/>
  <c r="I1034" i="6" s="1"/>
  <c r="D1035" i="6" a="1"/>
  <c r="D1035" i="6" s="1"/>
  <c r="F1035" i="6" a="1"/>
  <c r="F1035" i="6" s="1"/>
  <c r="G1035" i="6" a="1"/>
  <c r="G1035" i="6" s="1"/>
  <c r="I1035" i="6" a="1"/>
  <c r="I1035" i="6" s="1"/>
  <c r="D1036" i="6" a="1"/>
  <c r="D1036" i="6" s="1"/>
  <c r="F1036" i="6" a="1"/>
  <c r="F1036" i="6" s="1"/>
  <c r="G1036" i="6" a="1"/>
  <c r="G1036" i="6" s="1"/>
  <c r="I1036" i="6" a="1"/>
  <c r="I1036" i="6" s="1"/>
  <c r="D1037" i="6" a="1"/>
  <c r="D1037" i="6" s="1"/>
  <c r="F1037" i="6" a="1"/>
  <c r="F1037" i="6" s="1"/>
  <c r="G1037" i="6" a="1"/>
  <c r="G1037" i="6" s="1"/>
  <c r="I1037" i="6" a="1"/>
  <c r="I1037" i="6" s="1"/>
  <c r="D1038" i="6" a="1"/>
  <c r="D1038" i="6" s="1"/>
  <c r="F1038" i="6" a="1"/>
  <c r="F1038" i="6" s="1"/>
  <c r="G1038" i="6" a="1"/>
  <c r="G1038" i="6" s="1"/>
  <c r="I1038" i="6" a="1"/>
  <c r="I1038" i="6" s="1"/>
  <c r="D1039" i="6" a="1"/>
  <c r="D1039" i="6" s="1"/>
  <c r="F1039" i="6" a="1"/>
  <c r="F1039" i="6" s="1"/>
  <c r="G1039" i="6" a="1"/>
  <c r="G1039" i="6" s="1"/>
  <c r="I1039" i="6" a="1"/>
  <c r="I1039" i="6" s="1"/>
  <c r="D1040" i="6" a="1"/>
  <c r="D1040" i="6" s="1"/>
  <c r="F1040" i="6" a="1"/>
  <c r="F1040" i="6" s="1"/>
  <c r="G1040" i="6" a="1"/>
  <c r="G1040" i="6" s="1"/>
  <c r="I1040" i="6" a="1"/>
  <c r="I1040" i="6" s="1"/>
  <c r="D1041" i="6" a="1"/>
  <c r="D1041" i="6" s="1"/>
  <c r="F1041" i="6" a="1"/>
  <c r="F1041" i="6" s="1"/>
  <c r="G1041" i="6" a="1"/>
  <c r="G1041" i="6" s="1"/>
  <c r="I1041" i="6" a="1"/>
  <c r="I1041" i="6" s="1"/>
  <c r="D1044" i="6" a="1"/>
  <c r="D1044" i="6" s="1"/>
  <c r="F1044" i="6" a="1"/>
  <c r="F1044" i="6" s="1"/>
  <c r="G1044" i="6" a="1"/>
  <c r="G1044" i="6" s="1"/>
  <c r="I1044" i="6" a="1"/>
  <c r="I1044" i="6" s="1"/>
  <c r="D1045" i="6" a="1"/>
  <c r="D1045" i="6" s="1"/>
  <c r="F1045" i="6" a="1"/>
  <c r="F1045" i="6" s="1"/>
  <c r="G1045" i="6" a="1"/>
  <c r="G1045" i="6" s="1"/>
  <c r="I1045" i="6" a="1"/>
  <c r="I1045" i="6" s="1"/>
  <c r="D1046" i="6" a="1"/>
  <c r="D1046" i="6" s="1"/>
  <c r="F1046" i="6" a="1"/>
  <c r="F1046" i="6" s="1"/>
  <c r="G1046" i="6" a="1"/>
  <c r="G1046" i="6" s="1"/>
  <c r="I1046" i="6" a="1"/>
  <c r="I1046" i="6" s="1"/>
  <c r="D1047" i="6" a="1"/>
  <c r="D1047" i="6" s="1"/>
  <c r="F1047" i="6" a="1"/>
  <c r="F1047" i="6" s="1"/>
  <c r="G1047" i="6" a="1"/>
  <c r="G1047" i="6" s="1"/>
  <c r="I1047" i="6" a="1"/>
  <c r="I1047" i="6" s="1"/>
  <c r="D1048" i="6" a="1"/>
  <c r="D1048" i="6" s="1"/>
  <c r="F1048" i="6" a="1"/>
  <c r="F1048" i="6" s="1"/>
  <c r="G1048" i="6" a="1"/>
  <c r="G1048" i="6" s="1"/>
  <c r="I1048" i="6" a="1"/>
  <c r="I1048" i="6" s="1"/>
  <c r="D1049" i="6" a="1"/>
  <c r="D1049" i="6" s="1"/>
  <c r="F1049" i="6" a="1"/>
  <c r="F1049" i="6" s="1"/>
  <c r="G1049" i="6" a="1"/>
  <c r="G1049" i="6" s="1"/>
  <c r="I1049" i="6" a="1"/>
  <c r="I1049" i="6" s="1"/>
  <c r="D1050" i="6" a="1"/>
  <c r="D1050" i="6" s="1"/>
  <c r="F1050" i="6" a="1"/>
  <c r="F1050" i="6" s="1"/>
  <c r="G1050" i="6" a="1"/>
  <c r="G1050" i="6" s="1"/>
  <c r="I1050" i="6" a="1"/>
  <c r="I1050" i="6" s="1"/>
  <c r="D1051" i="6" a="1"/>
  <c r="D1051" i="6" s="1"/>
  <c r="F1051" i="6" a="1"/>
  <c r="F1051" i="6" s="1"/>
  <c r="G1051" i="6" a="1"/>
  <c r="G1051" i="6" s="1"/>
  <c r="I1051" i="6" a="1"/>
  <c r="I1051" i="6" s="1"/>
  <c r="D1052" i="6" a="1"/>
  <c r="D1052" i="6" s="1"/>
  <c r="F1052" i="6" a="1"/>
  <c r="F1052" i="6" s="1"/>
  <c r="G1052" i="6" a="1"/>
  <c r="G1052" i="6" s="1"/>
  <c r="I1052" i="6" a="1"/>
  <c r="I1052" i="6" s="1"/>
  <c r="D1053" i="6" a="1"/>
  <c r="D1053" i="6" s="1"/>
  <c r="F1053" i="6" a="1"/>
  <c r="F1053" i="6" s="1"/>
  <c r="G1053" i="6" a="1"/>
  <c r="G1053" i="6" s="1"/>
  <c r="I1053" i="6" a="1"/>
  <c r="I1053" i="6" s="1"/>
  <c r="D1056" i="6" a="1"/>
  <c r="D1056" i="6" s="1"/>
  <c r="F1056" i="6" a="1"/>
  <c r="F1056" i="6" s="1"/>
  <c r="G1056" i="6" a="1"/>
  <c r="G1056" i="6" s="1"/>
  <c r="I1056" i="6" a="1"/>
  <c r="I1056" i="6" s="1"/>
  <c r="D1057" i="6" a="1"/>
  <c r="D1057" i="6" s="1"/>
  <c r="F1057" i="6" a="1"/>
  <c r="F1057" i="6" s="1"/>
  <c r="G1057" i="6" a="1"/>
  <c r="G1057" i="6" s="1"/>
  <c r="I1057" i="6" a="1"/>
  <c r="I1057" i="6" s="1"/>
  <c r="D1058" i="6" a="1"/>
  <c r="D1058" i="6" s="1"/>
  <c r="F1058" i="6" a="1"/>
  <c r="F1058" i="6" s="1"/>
  <c r="G1058" i="6" a="1"/>
  <c r="G1058" i="6" s="1"/>
  <c r="I1058" i="6" a="1"/>
  <c r="I1058" i="6" s="1"/>
  <c r="D1059" i="6" a="1"/>
  <c r="D1059" i="6" s="1"/>
  <c r="F1059" i="6" a="1"/>
  <c r="F1059" i="6" s="1"/>
  <c r="G1059" i="6" a="1"/>
  <c r="G1059" i="6" s="1"/>
  <c r="I1059" i="6" a="1"/>
  <c r="I1059" i="6" s="1"/>
  <c r="D1060" i="6" a="1"/>
  <c r="D1060" i="6" s="1"/>
  <c r="F1060" i="6" a="1"/>
  <c r="F1060" i="6" s="1"/>
  <c r="G1060" i="6" a="1"/>
  <c r="G1060" i="6" s="1"/>
  <c r="I1060" i="6" a="1"/>
  <c r="I1060" i="6" s="1"/>
  <c r="D1061" i="6" a="1"/>
  <c r="D1061" i="6" s="1"/>
  <c r="F1061" i="6" a="1"/>
  <c r="F1061" i="6" s="1"/>
  <c r="G1061" i="6" a="1"/>
  <c r="G1061" i="6" s="1"/>
  <c r="I1061" i="6" a="1"/>
  <c r="I1061" i="6" s="1"/>
  <c r="D1062" i="6" a="1"/>
  <c r="D1062" i="6" s="1"/>
  <c r="F1062" i="6" a="1"/>
  <c r="F1062" i="6" s="1"/>
  <c r="G1062" i="6" a="1"/>
  <c r="G1062" i="6" s="1"/>
  <c r="I1062" i="6" a="1"/>
  <c r="I1062" i="6" s="1"/>
  <c r="D1063" i="6" a="1"/>
  <c r="D1063" i="6" s="1"/>
  <c r="F1063" i="6" a="1"/>
  <c r="F1063" i="6" s="1"/>
  <c r="G1063" i="6" a="1"/>
  <c r="G1063" i="6" s="1"/>
  <c r="I1063" i="6" a="1"/>
  <c r="I1063" i="6" s="1"/>
  <c r="D1064" i="6" a="1"/>
  <c r="D1064" i="6" s="1"/>
  <c r="F1064" i="6" a="1"/>
  <c r="F1064" i="6" s="1"/>
  <c r="G1064" i="6" a="1"/>
  <c r="G1064" i="6" s="1"/>
  <c r="I1064" i="6" a="1"/>
  <c r="I1064" i="6" s="1"/>
  <c r="D1065" i="6" a="1"/>
  <c r="D1065" i="6" s="1"/>
  <c r="F1065" i="6" a="1"/>
  <c r="F1065" i="6" s="1"/>
  <c r="G1065" i="6" a="1"/>
  <c r="G1065" i="6" s="1"/>
  <c r="I1065" i="6" a="1"/>
  <c r="I1065" i="6" s="1"/>
  <c r="D1068" i="6" a="1"/>
  <c r="D1068" i="6" s="1"/>
  <c r="F1068" i="6" a="1"/>
  <c r="F1068" i="6" s="1"/>
  <c r="G1068" i="6" a="1"/>
  <c r="G1068" i="6" s="1"/>
  <c r="I1068" i="6" a="1"/>
  <c r="I1068" i="6" s="1"/>
  <c r="D1069" i="6" a="1"/>
  <c r="D1069" i="6" s="1"/>
  <c r="F1069" i="6" a="1"/>
  <c r="F1069" i="6" s="1"/>
  <c r="G1069" i="6" a="1"/>
  <c r="G1069" i="6" s="1"/>
  <c r="I1069" i="6" a="1"/>
  <c r="I1069" i="6" s="1"/>
  <c r="D1070" i="6" a="1"/>
  <c r="D1070" i="6" s="1"/>
  <c r="F1070" i="6" a="1"/>
  <c r="F1070" i="6" s="1"/>
  <c r="G1070" i="6" a="1"/>
  <c r="G1070" i="6" s="1"/>
  <c r="I1070" i="6" a="1"/>
  <c r="I1070" i="6" s="1"/>
  <c r="D1071" i="6" a="1"/>
  <c r="D1071" i="6" s="1"/>
  <c r="F1071" i="6" a="1"/>
  <c r="F1071" i="6" s="1"/>
  <c r="G1071" i="6" a="1"/>
  <c r="G1071" i="6" s="1"/>
  <c r="I1071" i="6" a="1"/>
  <c r="I1071" i="6" s="1"/>
  <c r="D1072" i="6" a="1"/>
  <c r="D1072" i="6" s="1"/>
  <c r="F1072" i="6" a="1"/>
  <c r="F1072" i="6" s="1"/>
  <c r="G1072" i="6" a="1"/>
  <c r="G1072" i="6" s="1"/>
  <c r="I1072" i="6" a="1"/>
  <c r="I1072" i="6" s="1"/>
  <c r="D1073" i="6" a="1"/>
  <c r="D1073" i="6" s="1"/>
  <c r="F1073" i="6" a="1"/>
  <c r="F1073" i="6" s="1"/>
  <c r="G1073" i="6" a="1"/>
  <c r="G1073" i="6" s="1"/>
  <c r="I1073" i="6" a="1"/>
  <c r="I1073" i="6" s="1"/>
  <c r="D1074" i="6" a="1"/>
  <c r="D1074" i="6" s="1"/>
  <c r="F1074" i="6" a="1"/>
  <c r="F1074" i="6" s="1"/>
  <c r="G1074" i="6" a="1"/>
  <c r="G1074" i="6" s="1"/>
  <c r="I1074" i="6" a="1"/>
  <c r="I1074" i="6" s="1"/>
  <c r="D1075" i="6" a="1"/>
  <c r="D1075" i="6" s="1"/>
  <c r="F1075" i="6" a="1"/>
  <c r="F1075" i="6" s="1"/>
  <c r="G1075" i="6" a="1"/>
  <c r="G1075" i="6" s="1"/>
  <c r="I1075" i="6" a="1"/>
  <c r="I1075" i="6" s="1"/>
  <c r="D1076" i="6" a="1"/>
  <c r="D1076" i="6" s="1"/>
  <c r="F1076" i="6" a="1"/>
  <c r="F1076" i="6" s="1"/>
  <c r="G1076" i="6" a="1"/>
  <c r="G1076" i="6" s="1"/>
  <c r="I1076" i="6" a="1"/>
  <c r="I1076" i="6" s="1"/>
  <c r="D1077" i="6" a="1"/>
  <c r="D1077" i="6" s="1"/>
  <c r="F1077" i="6" a="1"/>
  <c r="F1077" i="6" s="1"/>
  <c r="G1077" i="6" a="1"/>
  <c r="G1077" i="6" s="1"/>
  <c r="I1077" i="6" a="1"/>
  <c r="I1077" i="6" s="1"/>
  <c r="G1079" i="6" a="1"/>
  <c r="G1079" i="6" s="1"/>
  <c r="D1080" i="6" a="1"/>
  <c r="D1080" i="6" s="1"/>
  <c r="F1080" i="6" a="1"/>
  <c r="F1080" i="6" s="1"/>
  <c r="G1080" i="6" a="1"/>
  <c r="G1080" i="6" s="1"/>
  <c r="I1080" i="6" a="1"/>
  <c r="I1080" i="6" s="1"/>
  <c r="D1081" i="6" a="1"/>
  <c r="D1081" i="6" s="1"/>
  <c r="F1081" i="6" a="1"/>
  <c r="F1081" i="6" s="1"/>
  <c r="G1081" i="6" a="1"/>
  <c r="G1081" i="6" s="1"/>
  <c r="I1081" i="6" a="1"/>
  <c r="I1081" i="6" s="1"/>
  <c r="D1082" i="6" a="1"/>
  <c r="D1082" i="6" s="1"/>
  <c r="F1082" i="6" a="1"/>
  <c r="F1082" i="6" s="1"/>
  <c r="G1082" i="6" a="1"/>
  <c r="G1082" i="6" s="1"/>
  <c r="I1082" i="6" a="1"/>
  <c r="I1082" i="6" s="1"/>
  <c r="D1083" i="6" a="1"/>
  <c r="D1083" i="6" s="1"/>
  <c r="F1083" i="6" a="1"/>
  <c r="F1083" i="6" s="1"/>
  <c r="G1083" i="6" a="1"/>
  <c r="G1083" i="6" s="1"/>
  <c r="I1083" i="6" a="1"/>
  <c r="I1083" i="6" s="1"/>
  <c r="D1084" i="6" a="1"/>
  <c r="D1084" i="6" s="1"/>
  <c r="F1084" i="6" a="1"/>
  <c r="F1084" i="6" s="1"/>
  <c r="G1084" i="6" a="1"/>
  <c r="G1084" i="6" s="1"/>
  <c r="I1084" i="6" a="1"/>
  <c r="I1084" i="6" s="1"/>
  <c r="D1085" i="6" a="1"/>
  <c r="D1085" i="6" s="1"/>
  <c r="F1085" i="6" a="1"/>
  <c r="F1085" i="6" s="1"/>
  <c r="G1085" i="6" a="1"/>
  <c r="G1085" i="6" s="1"/>
  <c r="I1085" i="6" a="1"/>
  <c r="I1085" i="6" s="1"/>
  <c r="D1086" i="6" a="1"/>
  <c r="D1086" i="6" s="1"/>
  <c r="F1086" i="6" a="1"/>
  <c r="F1086" i="6" s="1"/>
  <c r="G1086" i="6" a="1"/>
  <c r="G1086" i="6" s="1"/>
  <c r="I1086" i="6" a="1"/>
  <c r="I1086" i="6" s="1"/>
  <c r="D1087" i="6" a="1"/>
  <c r="D1087" i="6" s="1"/>
  <c r="F1087" i="6" a="1"/>
  <c r="F1087" i="6" s="1"/>
  <c r="G1087" i="6" a="1"/>
  <c r="G1087" i="6" s="1"/>
  <c r="I1087" i="6" a="1"/>
  <c r="I1087" i="6" s="1"/>
  <c r="D1088" i="6" a="1"/>
  <c r="D1088" i="6" s="1"/>
  <c r="F1088" i="6" a="1"/>
  <c r="F1088" i="6" s="1"/>
  <c r="G1088" i="6" a="1"/>
  <c r="G1088" i="6" s="1"/>
  <c r="I1088" i="6" a="1"/>
  <c r="I1088" i="6" s="1"/>
  <c r="D1089" i="6" a="1"/>
  <c r="D1089" i="6" s="1"/>
  <c r="F1089" i="6" a="1"/>
  <c r="F1089" i="6" s="1"/>
  <c r="G1089" i="6" a="1"/>
  <c r="G1089" i="6" s="1"/>
  <c r="I1089" i="6" a="1"/>
  <c r="I1089" i="6" s="1"/>
  <c r="D1092" i="6" a="1"/>
  <c r="D1092" i="6" s="1"/>
  <c r="F1092" i="6" a="1"/>
  <c r="F1092" i="6" s="1"/>
  <c r="G1092" i="6" a="1"/>
  <c r="G1092" i="6" s="1"/>
  <c r="I1092" i="6" a="1"/>
  <c r="I1092" i="6" s="1"/>
  <c r="D1093" i="6" a="1"/>
  <c r="D1093" i="6" s="1"/>
  <c r="F1093" i="6" a="1"/>
  <c r="F1093" i="6" s="1"/>
  <c r="G1093" i="6" a="1"/>
  <c r="G1093" i="6" s="1"/>
  <c r="I1093" i="6" a="1"/>
  <c r="I1093" i="6" s="1"/>
  <c r="D1094" i="6" a="1"/>
  <c r="D1094" i="6" s="1"/>
  <c r="F1094" i="6" a="1"/>
  <c r="F1094" i="6" s="1"/>
  <c r="G1094" i="6" a="1"/>
  <c r="G1094" i="6" s="1"/>
  <c r="I1094" i="6" a="1"/>
  <c r="I1094" i="6" s="1"/>
  <c r="D1095" i="6" a="1"/>
  <c r="D1095" i="6" s="1"/>
  <c r="F1095" i="6" a="1"/>
  <c r="F1095" i="6" s="1"/>
  <c r="G1095" i="6" a="1"/>
  <c r="G1095" i="6" s="1"/>
  <c r="I1095" i="6" a="1"/>
  <c r="I1095" i="6" s="1"/>
  <c r="D1096" i="6" a="1"/>
  <c r="D1096" i="6" s="1"/>
  <c r="F1096" i="6" a="1"/>
  <c r="F1096" i="6" s="1"/>
  <c r="G1096" i="6" a="1"/>
  <c r="G1096" i="6" s="1"/>
  <c r="I1096" i="6" a="1"/>
  <c r="I1096" i="6" s="1"/>
  <c r="D1097" i="6" a="1"/>
  <c r="D1097" i="6" s="1"/>
  <c r="F1097" i="6" a="1"/>
  <c r="F1097" i="6" s="1"/>
  <c r="G1097" i="6" a="1"/>
  <c r="G1097" i="6" s="1"/>
  <c r="I1097" i="6" a="1"/>
  <c r="I1097" i="6" s="1"/>
  <c r="D1098" i="6" a="1"/>
  <c r="D1098" i="6" s="1"/>
  <c r="F1098" i="6" a="1"/>
  <c r="F1098" i="6" s="1"/>
  <c r="G1098" i="6" a="1"/>
  <c r="G1098" i="6" s="1"/>
  <c r="I1098" i="6" a="1"/>
  <c r="I1098" i="6" s="1"/>
  <c r="D1099" i="6" a="1"/>
  <c r="D1099" i="6" s="1"/>
  <c r="F1099" i="6" a="1"/>
  <c r="F1099" i="6" s="1"/>
  <c r="G1099" i="6" a="1"/>
  <c r="G1099" i="6" s="1"/>
  <c r="I1099" i="6" a="1"/>
  <c r="I1099" i="6" s="1"/>
  <c r="D1100" i="6" a="1"/>
  <c r="D1100" i="6" s="1"/>
  <c r="F1100" i="6" a="1"/>
  <c r="F1100" i="6" s="1"/>
  <c r="G1100" i="6" a="1"/>
  <c r="G1100" i="6" s="1"/>
  <c r="I1100" i="6" a="1"/>
  <c r="I1100" i="6" s="1"/>
  <c r="D1101" i="6" a="1"/>
  <c r="D1101" i="6" s="1"/>
  <c r="F1101" i="6" a="1"/>
  <c r="F1101" i="6" s="1"/>
  <c r="G1101" i="6" a="1"/>
  <c r="G1101" i="6" s="1"/>
  <c r="I1101" i="6" a="1"/>
  <c r="I1101" i="6" s="1"/>
  <c r="D1104" i="6" a="1"/>
  <c r="D1104" i="6" s="1"/>
  <c r="F1104" i="6" a="1"/>
  <c r="F1104" i="6" s="1"/>
  <c r="G1104" i="6" a="1"/>
  <c r="G1104" i="6" s="1"/>
  <c r="I1104" i="6" a="1"/>
  <c r="I1104" i="6" s="1"/>
  <c r="D1105" i="6" a="1"/>
  <c r="D1105" i="6" s="1"/>
  <c r="F1105" i="6" a="1"/>
  <c r="F1105" i="6" s="1"/>
  <c r="G1105" i="6" a="1"/>
  <c r="G1105" i="6" s="1"/>
  <c r="I1105" i="6" a="1"/>
  <c r="I1105" i="6" s="1"/>
  <c r="D1106" i="6" a="1"/>
  <c r="D1106" i="6" s="1"/>
  <c r="F1106" i="6" a="1"/>
  <c r="F1106" i="6" s="1"/>
  <c r="G1106" i="6" a="1"/>
  <c r="G1106" i="6" s="1"/>
  <c r="I1106" i="6" a="1"/>
  <c r="I1106" i="6" s="1"/>
  <c r="D1107" i="6" a="1"/>
  <c r="D1107" i="6" s="1"/>
  <c r="F1107" i="6" a="1"/>
  <c r="F1107" i="6" s="1"/>
  <c r="G1107" i="6" a="1"/>
  <c r="G1107" i="6" s="1"/>
  <c r="I1107" i="6" a="1"/>
  <c r="I1107" i="6" s="1"/>
  <c r="D1108" i="6" a="1"/>
  <c r="D1108" i="6" s="1"/>
  <c r="F1108" i="6" a="1"/>
  <c r="F1108" i="6" s="1"/>
  <c r="G1108" i="6" a="1"/>
  <c r="G1108" i="6" s="1"/>
  <c r="I1108" i="6" a="1"/>
  <c r="I1108" i="6" s="1"/>
  <c r="D1109" i="6" a="1"/>
  <c r="D1109" i="6" s="1"/>
  <c r="F1109" i="6" a="1"/>
  <c r="F1109" i="6" s="1"/>
  <c r="G1109" i="6" a="1"/>
  <c r="G1109" i="6" s="1"/>
  <c r="I1109" i="6" a="1"/>
  <c r="I1109" i="6" s="1"/>
  <c r="D1110" i="6" a="1"/>
  <c r="D1110" i="6" s="1"/>
  <c r="F1110" i="6" a="1"/>
  <c r="F1110" i="6" s="1"/>
  <c r="G1110" i="6" a="1"/>
  <c r="G1110" i="6" s="1"/>
  <c r="I1110" i="6" a="1"/>
  <c r="I1110" i="6" s="1"/>
  <c r="D1111" i="6" a="1"/>
  <c r="D1111" i="6" s="1"/>
  <c r="F1111" i="6" a="1"/>
  <c r="F1111" i="6" s="1"/>
  <c r="G1111" i="6" a="1"/>
  <c r="G1111" i="6" s="1"/>
  <c r="I1111" i="6" a="1"/>
  <c r="I1111" i="6" s="1"/>
  <c r="D1112" i="6" a="1"/>
  <c r="D1112" i="6" s="1"/>
  <c r="F1112" i="6" a="1"/>
  <c r="F1112" i="6" s="1"/>
  <c r="G1112" i="6" a="1"/>
  <c r="G1112" i="6" s="1"/>
  <c r="I1112" i="6" a="1"/>
  <c r="I1112" i="6" s="1"/>
  <c r="D1113" i="6" a="1"/>
  <c r="D1113" i="6" s="1"/>
  <c r="F1113" i="6" a="1"/>
  <c r="F1113" i="6" s="1"/>
  <c r="G1113" i="6" a="1"/>
  <c r="G1113" i="6" s="1"/>
  <c r="I1113" i="6" a="1"/>
  <c r="I1113" i="6" s="1"/>
  <c r="D1116" i="6" a="1"/>
  <c r="D1116" i="6" s="1"/>
  <c r="F1116" i="6" a="1"/>
  <c r="F1116" i="6" s="1"/>
  <c r="G1116" i="6" a="1"/>
  <c r="G1116" i="6" s="1"/>
  <c r="I1116" i="6" a="1"/>
  <c r="I1116" i="6" s="1"/>
  <c r="D1117" i="6" a="1"/>
  <c r="D1117" i="6" s="1"/>
  <c r="F1117" i="6" a="1"/>
  <c r="F1117" i="6" s="1"/>
  <c r="G1117" i="6" a="1"/>
  <c r="G1117" i="6" s="1"/>
  <c r="I1117" i="6" a="1"/>
  <c r="I1117" i="6" s="1"/>
  <c r="D1118" i="6" a="1"/>
  <c r="D1118" i="6" s="1"/>
  <c r="F1118" i="6" a="1"/>
  <c r="F1118" i="6" s="1"/>
  <c r="G1118" i="6" a="1"/>
  <c r="G1118" i="6" s="1"/>
  <c r="I1118" i="6" a="1"/>
  <c r="I1118" i="6" s="1"/>
  <c r="D1119" i="6" a="1"/>
  <c r="D1119" i="6" s="1"/>
  <c r="F1119" i="6" a="1"/>
  <c r="F1119" i="6" s="1"/>
  <c r="G1119" i="6" a="1"/>
  <c r="G1119" i="6" s="1"/>
  <c r="I1119" i="6" a="1"/>
  <c r="I1119" i="6" s="1"/>
  <c r="D1120" i="6" a="1"/>
  <c r="D1120" i="6" s="1"/>
  <c r="F1120" i="6" a="1"/>
  <c r="F1120" i="6" s="1"/>
  <c r="G1120" i="6" a="1"/>
  <c r="G1120" i="6" s="1"/>
  <c r="I1120" i="6" a="1"/>
  <c r="I1120" i="6" s="1"/>
  <c r="D1121" i="6" a="1"/>
  <c r="D1121" i="6" s="1"/>
  <c r="F1121" i="6" a="1"/>
  <c r="F1121" i="6" s="1"/>
  <c r="G1121" i="6" a="1"/>
  <c r="G1121" i="6" s="1"/>
  <c r="I1121" i="6" a="1"/>
  <c r="I1121" i="6" s="1"/>
  <c r="D1122" i="6" a="1"/>
  <c r="D1122" i="6" s="1"/>
  <c r="F1122" i="6" a="1"/>
  <c r="F1122" i="6" s="1"/>
  <c r="G1122" i="6" a="1"/>
  <c r="G1122" i="6" s="1"/>
  <c r="I1122" i="6" a="1"/>
  <c r="I1122" i="6" s="1"/>
  <c r="D1123" i="6" a="1"/>
  <c r="D1123" i="6" s="1"/>
  <c r="F1123" i="6" a="1"/>
  <c r="F1123" i="6" s="1"/>
  <c r="G1123" i="6" a="1"/>
  <c r="G1123" i="6" s="1"/>
  <c r="I1123" i="6" a="1"/>
  <c r="I1123" i="6" s="1"/>
  <c r="D1124" i="6" a="1"/>
  <c r="D1124" i="6" s="1"/>
  <c r="F1124" i="6" a="1"/>
  <c r="F1124" i="6" s="1"/>
  <c r="G1124" i="6" a="1"/>
  <c r="G1124" i="6" s="1"/>
  <c r="I1124" i="6" a="1"/>
  <c r="I1124" i="6" s="1"/>
  <c r="D1125" i="6" a="1"/>
  <c r="D1125" i="6" s="1"/>
  <c r="F1125" i="6" a="1"/>
  <c r="F1125" i="6" s="1"/>
  <c r="G1125" i="6" a="1"/>
  <c r="G1125" i="6" s="1"/>
  <c r="I1125" i="6" a="1"/>
  <c r="I1125" i="6" s="1"/>
  <c r="D1128" i="6" a="1"/>
  <c r="D1128" i="6" s="1"/>
  <c r="F1128" i="6" a="1"/>
  <c r="F1128" i="6" s="1"/>
  <c r="G1128" i="6" a="1"/>
  <c r="G1128" i="6" s="1"/>
  <c r="I1128" i="6" a="1"/>
  <c r="I1128" i="6" s="1"/>
  <c r="D1129" i="6" a="1"/>
  <c r="D1129" i="6" s="1"/>
  <c r="F1129" i="6" a="1"/>
  <c r="F1129" i="6" s="1"/>
  <c r="G1129" i="6" a="1"/>
  <c r="G1129" i="6" s="1"/>
  <c r="I1129" i="6" a="1"/>
  <c r="I1129" i="6" s="1"/>
  <c r="D1130" i="6" a="1"/>
  <c r="D1130" i="6" s="1"/>
  <c r="F1130" i="6" a="1"/>
  <c r="F1130" i="6" s="1"/>
  <c r="G1130" i="6" a="1"/>
  <c r="G1130" i="6" s="1"/>
  <c r="I1130" i="6" a="1"/>
  <c r="I1130" i="6" s="1"/>
  <c r="D1131" i="6" a="1"/>
  <c r="D1131" i="6" s="1"/>
  <c r="F1131" i="6" a="1"/>
  <c r="F1131" i="6" s="1"/>
  <c r="G1131" i="6" a="1"/>
  <c r="G1131" i="6" s="1"/>
  <c r="I1131" i="6" a="1"/>
  <c r="I1131" i="6" s="1"/>
  <c r="D1132" i="6" a="1"/>
  <c r="D1132" i="6" s="1"/>
  <c r="F1132" i="6" a="1"/>
  <c r="F1132" i="6" s="1"/>
  <c r="G1132" i="6" a="1"/>
  <c r="G1132" i="6" s="1"/>
  <c r="I1132" i="6" a="1"/>
  <c r="I1132" i="6" s="1"/>
  <c r="D1133" i="6" a="1"/>
  <c r="D1133" i="6" s="1"/>
  <c r="F1133" i="6" a="1"/>
  <c r="F1133" i="6" s="1"/>
  <c r="G1133" i="6" a="1"/>
  <c r="G1133" i="6" s="1"/>
  <c r="I1133" i="6" a="1"/>
  <c r="I1133" i="6" s="1"/>
  <c r="D1134" i="6" a="1"/>
  <c r="D1134" i="6" s="1"/>
  <c r="F1134" i="6" a="1"/>
  <c r="F1134" i="6" s="1"/>
  <c r="G1134" i="6" a="1"/>
  <c r="G1134" i="6" s="1"/>
  <c r="I1134" i="6" a="1"/>
  <c r="I1134" i="6" s="1"/>
  <c r="D1135" i="6" a="1"/>
  <c r="D1135" i="6" s="1"/>
  <c r="F1135" i="6" a="1"/>
  <c r="F1135" i="6" s="1"/>
  <c r="G1135" i="6" a="1"/>
  <c r="G1135" i="6" s="1"/>
  <c r="I1135" i="6" a="1"/>
  <c r="I1135" i="6" s="1"/>
  <c r="D1136" i="6" a="1"/>
  <c r="D1136" i="6" s="1"/>
  <c r="F1136" i="6" a="1"/>
  <c r="F1136" i="6" s="1"/>
  <c r="G1136" i="6" a="1"/>
  <c r="G1136" i="6" s="1"/>
  <c r="I1136" i="6" a="1"/>
  <c r="I1136" i="6" s="1"/>
  <c r="D1137" i="6" a="1"/>
  <c r="D1137" i="6" s="1"/>
  <c r="F1137" i="6" a="1"/>
  <c r="F1137" i="6" s="1"/>
  <c r="G1137" i="6" a="1"/>
  <c r="G1137" i="6" s="1"/>
  <c r="I1137" i="6" a="1"/>
  <c r="I1137" i="6" s="1"/>
  <c r="D1140" i="6" a="1"/>
  <c r="D1140" i="6" s="1"/>
  <c r="F1140" i="6" a="1"/>
  <c r="F1140" i="6" s="1"/>
  <c r="G1140" i="6" a="1"/>
  <c r="G1140" i="6" s="1"/>
  <c r="I1140" i="6" a="1"/>
  <c r="I1140" i="6" s="1"/>
  <c r="D1141" i="6" a="1"/>
  <c r="D1141" i="6" s="1"/>
  <c r="F1141" i="6" a="1"/>
  <c r="F1141" i="6" s="1"/>
  <c r="G1141" i="6" a="1"/>
  <c r="G1141" i="6" s="1"/>
  <c r="I1141" i="6" a="1"/>
  <c r="I1141" i="6" s="1"/>
  <c r="D1142" i="6" a="1"/>
  <c r="D1142" i="6" s="1"/>
  <c r="F1142" i="6" a="1"/>
  <c r="F1142" i="6" s="1"/>
  <c r="G1142" i="6" a="1"/>
  <c r="G1142" i="6" s="1"/>
  <c r="I1142" i="6" a="1"/>
  <c r="I1142" i="6" s="1"/>
  <c r="D1143" i="6" a="1"/>
  <c r="D1143" i="6" s="1"/>
  <c r="F1143" i="6" a="1"/>
  <c r="F1143" i="6" s="1"/>
  <c r="G1143" i="6" a="1"/>
  <c r="G1143" i="6" s="1"/>
  <c r="I1143" i="6" a="1"/>
  <c r="I1143" i="6" s="1"/>
  <c r="D1144" i="6" a="1"/>
  <c r="D1144" i="6" s="1"/>
  <c r="F1144" i="6" a="1"/>
  <c r="F1144" i="6" s="1"/>
  <c r="G1144" i="6" a="1"/>
  <c r="G1144" i="6" s="1"/>
  <c r="I1144" i="6" a="1"/>
  <c r="I1144" i="6" s="1"/>
  <c r="D1145" i="6" a="1"/>
  <c r="D1145" i="6" s="1"/>
  <c r="F1145" i="6" a="1"/>
  <c r="F1145" i="6" s="1"/>
  <c r="G1145" i="6" a="1"/>
  <c r="G1145" i="6" s="1"/>
  <c r="I1145" i="6" a="1"/>
  <c r="I1145" i="6" s="1"/>
  <c r="D1146" i="6" a="1"/>
  <c r="D1146" i="6" s="1"/>
  <c r="F1146" i="6" a="1"/>
  <c r="F1146" i="6" s="1"/>
  <c r="G1146" i="6" a="1"/>
  <c r="G1146" i="6" s="1"/>
  <c r="I1146" i="6" a="1"/>
  <c r="I1146" i="6" s="1"/>
  <c r="D1147" i="6" a="1"/>
  <c r="D1147" i="6" s="1"/>
  <c r="F1147" i="6" a="1"/>
  <c r="F1147" i="6" s="1"/>
  <c r="G1147" i="6" a="1"/>
  <c r="G1147" i="6" s="1"/>
  <c r="I1147" i="6" a="1"/>
  <c r="I1147" i="6" s="1"/>
  <c r="D1148" i="6" a="1"/>
  <c r="D1148" i="6" s="1"/>
  <c r="F1148" i="6" a="1"/>
  <c r="F1148" i="6" s="1"/>
  <c r="G1148" i="6" a="1"/>
  <c r="G1148" i="6" s="1"/>
  <c r="I1148" i="6" a="1"/>
  <c r="I1148" i="6" s="1"/>
  <c r="D1149" i="6" a="1"/>
  <c r="D1149" i="6" s="1"/>
  <c r="F1149" i="6" a="1"/>
  <c r="F1149" i="6" s="1"/>
  <c r="G1149" i="6" a="1"/>
  <c r="G1149" i="6" s="1"/>
  <c r="I1149" i="6" a="1"/>
  <c r="I1149" i="6" s="1"/>
  <c r="D1152" i="6" a="1"/>
  <c r="D1152" i="6" s="1"/>
  <c r="F1152" i="6" a="1"/>
  <c r="F1152" i="6" s="1"/>
  <c r="G1152" i="6" a="1"/>
  <c r="G1152" i="6" s="1"/>
  <c r="I1152" i="6" a="1"/>
  <c r="I1152" i="6" s="1"/>
  <c r="D1153" i="6" a="1"/>
  <c r="D1153" i="6" s="1"/>
  <c r="F1153" i="6" a="1"/>
  <c r="F1153" i="6" s="1"/>
  <c r="G1153" i="6" a="1"/>
  <c r="G1153" i="6" s="1"/>
  <c r="I1153" i="6" a="1"/>
  <c r="I1153" i="6" s="1"/>
  <c r="D1154" i="6" a="1"/>
  <c r="D1154" i="6" s="1"/>
  <c r="F1154" i="6" a="1"/>
  <c r="F1154" i="6" s="1"/>
  <c r="G1154" i="6" a="1"/>
  <c r="G1154" i="6" s="1"/>
  <c r="I1154" i="6" a="1"/>
  <c r="I1154" i="6" s="1"/>
  <c r="D1155" i="6" a="1"/>
  <c r="D1155" i="6" s="1"/>
  <c r="F1155" i="6" a="1"/>
  <c r="F1155" i="6" s="1"/>
  <c r="G1155" i="6" a="1"/>
  <c r="G1155" i="6" s="1"/>
  <c r="I1155" i="6" a="1"/>
  <c r="I1155" i="6" s="1"/>
  <c r="D1156" i="6" a="1"/>
  <c r="D1156" i="6" s="1"/>
  <c r="F1156" i="6" a="1"/>
  <c r="F1156" i="6" s="1"/>
  <c r="G1156" i="6" a="1"/>
  <c r="G1156" i="6" s="1"/>
  <c r="I1156" i="6" a="1"/>
  <c r="I1156" i="6" s="1"/>
  <c r="D1157" i="6" a="1"/>
  <c r="D1157" i="6" s="1"/>
  <c r="F1157" i="6" a="1"/>
  <c r="F1157" i="6" s="1"/>
  <c r="G1157" i="6" a="1"/>
  <c r="G1157" i="6" s="1"/>
  <c r="I1157" i="6" a="1"/>
  <c r="I1157" i="6" s="1"/>
  <c r="D1158" i="6" a="1"/>
  <c r="D1158" i="6" s="1"/>
  <c r="F1158" i="6" a="1"/>
  <c r="F1158" i="6" s="1"/>
  <c r="G1158" i="6" a="1"/>
  <c r="G1158" i="6" s="1"/>
  <c r="I1158" i="6" a="1"/>
  <c r="I1158" i="6" s="1"/>
  <c r="D1159" i="6" a="1"/>
  <c r="D1159" i="6" s="1"/>
  <c r="F1159" i="6" a="1"/>
  <c r="F1159" i="6" s="1"/>
  <c r="G1159" i="6" a="1"/>
  <c r="G1159" i="6" s="1"/>
  <c r="I1159" i="6" a="1"/>
  <c r="I1159" i="6" s="1"/>
  <c r="D1160" i="6" a="1"/>
  <c r="D1160" i="6" s="1"/>
  <c r="F1160" i="6" a="1"/>
  <c r="F1160" i="6" s="1"/>
  <c r="G1160" i="6" a="1"/>
  <c r="G1160" i="6" s="1"/>
  <c r="I1160" i="6" a="1"/>
  <c r="I1160" i="6" s="1"/>
  <c r="D1161" i="6" a="1"/>
  <c r="D1161" i="6" s="1"/>
  <c r="F1161" i="6" a="1"/>
  <c r="F1161" i="6" s="1"/>
  <c r="G1161" i="6" a="1"/>
  <c r="G1161" i="6" s="1"/>
  <c r="I1161" i="6" a="1"/>
  <c r="I1161" i="6" s="1"/>
  <c r="D1162" i="6" a="1"/>
  <c r="D1162" i="6" s="1"/>
  <c r="F1162" i="6" a="1"/>
  <c r="F1162" i="6" s="1"/>
  <c r="D1164" i="6" a="1"/>
  <c r="D1164" i="6" s="1"/>
  <c r="F1164" i="6" a="1"/>
  <c r="F1164" i="6" s="1"/>
  <c r="G1164" i="6" a="1"/>
  <c r="G1164" i="6" s="1"/>
  <c r="I1164" i="6" a="1"/>
  <c r="I1164" i="6" s="1"/>
  <c r="D1165" i="6" a="1"/>
  <c r="D1165" i="6" s="1"/>
  <c r="F1165" i="6" a="1"/>
  <c r="F1165" i="6" s="1"/>
  <c r="G1165" i="6" a="1"/>
  <c r="G1165" i="6" s="1"/>
  <c r="I1165" i="6" a="1"/>
  <c r="I1165" i="6" s="1"/>
  <c r="D1166" i="6" a="1"/>
  <c r="D1166" i="6" s="1"/>
  <c r="F1166" i="6" a="1"/>
  <c r="F1166" i="6" s="1"/>
  <c r="G1166" i="6" a="1"/>
  <c r="G1166" i="6" s="1"/>
  <c r="I1166" i="6" a="1"/>
  <c r="I1166" i="6" s="1"/>
  <c r="D1167" i="6" a="1"/>
  <c r="D1167" i="6" s="1"/>
  <c r="F1167" i="6" a="1"/>
  <c r="F1167" i="6" s="1"/>
  <c r="G1167" i="6" a="1"/>
  <c r="G1167" i="6" s="1"/>
  <c r="I1167" i="6" a="1"/>
  <c r="I1167" i="6" s="1"/>
  <c r="D1168" i="6" a="1"/>
  <c r="D1168" i="6" s="1"/>
  <c r="F1168" i="6" a="1"/>
  <c r="F1168" i="6" s="1"/>
  <c r="G1168" i="6" a="1"/>
  <c r="G1168" i="6" s="1"/>
  <c r="I1168" i="6" a="1"/>
  <c r="I1168" i="6" s="1"/>
  <c r="D1169" i="6" a="1"/>
  <c r="D1169" i="6" s="1"/>
  <c r="F1169" i="6" a="1"/>
  <c r="F1169" i="6" s="1"/>
  <c r="G1169" i="6" a="1"/>
  <c r="G1169" i="6" s="1"/>
  <c r="I1169" i="6" a="1"/>
  <c r="I1169" i="6" s="1"/>
  <c r="D1170" i="6" a="1"/>
  <c r="D1170" i="6" s="1"/>
  <c r="F1170" i="6" a="1"/>
  <c r="F1170" i="6" s="1"/>
  <c r="G1170" i="6" a="1"/>
  <c r="G1170" i="6" s="1"/>
  <c r="I1170" i="6" a="1"/>
  <c r="I1170" i="6" s="1"/>
  <c r="D1171" i="6" a="1"/>
  <c r="D1171" i="6" s="1"/>
  <c r="F1171" i="6" a="1"/>
  <c r="F1171" i="6" s="1"/>
  <c r="G1171" i="6" a="1"/>
  <c r="G1171" i="6" s="1"/>
  <c r="I1171" i="6" a="1"/>
  <c r="I1171" i="6" s="1"/>
  <c r="D1172" i="6" a="1"/>
  <c r="D1172" i="6" s="1"/>
  <c r="F1172" i="6" a="1"/>
  <c r="F1172" i="6" s="1"/>
  <c r="G1172" i="6" a="1"/>
  <c r="G1172" i="6" s="1"/>
  <c r="I1172" i="6" a="1"/>
  <c r="I1172" i="6" s="1"/>
  <c r="D1173" i="6" a="1"/>
  <c r="D1173" i="6" s="1"/>
  <c r="F1173" i="6" a="1"/>
  <c r="F1173" i="6" s="1"/>
  <c r="G1173" i="6" a="1"/>
  <c r="G1173" i="6" s="1"/>
  <c r="I1173" i="6" a="1"/>
  <c r="I1173" i="6" s="1"/>
  <c r="D1176" i="6" a="1"/>
  <c r="D1176" i="6" s="1"/>
  <c r="F1176" i="6" a="1"/>
  <c r="F1176" i="6" s="1"/>
  <c r="G1176" i="6" a="1"/>
  <c r="G1176" i="6" s="1"/>
  <c r="I1176" i="6" a="1"/>
  <c r="I1176" i="6" s="1"/>
  <c r="D1177" i="6" a="1"/>
  <c r="D1177" i="6" s="1"/>
  <c r="F1177" i="6" a="1"/>
  <c r="F1177" i="6" s="1"/>
  <c r="G1177" i="6" a="1"/>
  <c r="G1177" i="6" s="1"/>
  <c r="I1177" i="6" a="1"/>
  <c r="I1177" i="6" s="1"/>
  <c r="D1178" i="6" a="1"/>
  <c r="D1178" i="6" s="1"/>
  <c r="F1178" i="6" a="1"/>
  <c r="F1178" i="6" s="1"/>
  <c r="G1178" i="6" a="1"/>
  <c r="G1178" i="6" s="1"/>
  <c r="I1178" i="6" a="1"/>
  <c r="I1178" i="6" s="1"/>
  <c r="D1179" i="6" a="1"/>
  <c r="D1179" i="6" s="1"/>
  <c r="F1179" i="6" a="1"/>
  <c r="F1179" i="6" s="1"/>
  <c r="G1179" i="6" a="1"/>
  <c r="G1179" i="6" s="1"/>
  <c r="I1179" i="6" a="1"/>
  <c r="I1179" i="6" s="1"/>
  <c r="D1180" i="6" a="1"/>
  <c r="D1180" i="6" s="1"/>
  <c r="F1180" i="6" a="1"/>
  <c r="F1180" i="6" s="1"/>
  <c r="G1180" i="6" a="1"/>
  <c r="G1180" i="6" s="1"/>
  <c r="I1180" i="6" a="1"/>
  <c r="I1180" i="6" s="1"/>
  <c r="D1181" i="6" a="1"/>
  <c r="D1181" i="6" s="1"/>
  <c r="F1181" i="6" a="1"/>
  <c r="F1181" i="6" s="1"/>
  <c r="G1181" i="6" a="1"/>
  <c r="G1181" i="6" s="1"/>
  <c r="I1181" i="6" a="1"/>
  <c r="I1181" i="6" s="1"/>
  <c r="D1182" i="6" a="1"/>
  <c r="D1182" i="6" s="1"/>
  <c r="F1182" i="6" a="1"/>
  <c r="F1182" i="6" s="1"/>
  <c r="G1182" i="6" a="1"/>
  <c r="G1182" i="6" s="1"/>
  <c r="I1182" i="6" a="1"/>
  <c r="I1182" i="6" s="1"/>
  <c r="D1183" i="6" a="1"/>
  <c r="D1183" i="6" s="1"/>
  <c r="F1183" i="6" a="1"/>
  <c r="F1183" i="6" s="1"/>
  <c r="G1183" i="6" a="1"/>
  <c r="G1183" i="6" s="1"/>
  <c r="I1183" i="6" a="1"/>
  <c r="I1183" i="6" s="1"/>
  <c r="D1184" i="6" a="1"/>
  <c r="D1184" i="6" s="1"/>
  <c r="F1184" i="6" a="1"/>
  <c r="F1184" i="6" s="1"/>
  <c r="G1184" i="6" a="1"/>
  <c r="G1184" i="6" s="1"/>
  <c r="I1184" i="6" a="1"/>
  <c r="I1184" i="6" s="1"/>
  <c r="D1185" i="6" a="1"/>
  <c r="D1185" i="6" s="1"/>
  <c r="F1185" i="6" a="1"/>
  <c r="F1185" i="6" s="1"/>
  <c r="G1185" i="6" a="1"/>
  <c r="G1185" i="6" s="1"/>
  <c r="I1185" i="6" a="1"/>
  <c r="I1185" i="6" s="1"/>
  <c r="D1188" i="6" a="1"/>
  <c r="D1188" i="6" s="1"/>
  <c r="F1188" i="6" a="1"/>
  <c r="F1188" i="6" s="1"/>
  <c r="G1188" i="6" a="1"/>
  <c r="G1188" i="6" s="1"/>
  <c r="I1188" i="6" a="1"/>
  <c r="I1188" i="6" s="1"/>
  <c r="D1189" i="6" a="1"/>
  <c r="D1189" i="6" s="1"/>
  <c r="F1189" i="6" a="1"/>
  <c r="F1189" i="6" s="1"/>
  <c r="G1189" i="6" a="1"/>
  <c r="G1189" i="6" s="1"/>
  <c r="I1189" i="6" a="1"/>
  <c r="I1189" i="6" s="1"/>
  <c r="D1190" i="6" a="1"/>
  <c r="D1190" i="6" s="1"/>
  <c r="F1190" i="6" a="1"/>
  <c r="F1190" i="6" s="1"/>
  <c r="G1190" i="6" a="1"/>
  <c r="G1190" i="6" s="1"/>
  <c r="I1190" i="6" a="1"/>
  <c r="I1190" i="6" s="1"/>
  <c r="D1191" i="6" a="1"/>
  <c r="D1191" i="6" s="1"/>
  <c r="F1191" i="6" a="1"/>
  <c r="F1191" i="6" s="1"/>
  <c r="G1191" i="6" a="1"/>
  <c r="G1191" i="6" s="1"/>
  <c r="I1191" i="6" a="1"/>
  <c r="I1191" i="6" s="1"/>
  <c r="D1192" i="6" a="1"/>
  <c r="D1192" i="6" s="1"/>
  <c r="F1192" i="6" a="1"/>
  <c r="F1192" i="6" s="1"/>
  <c r="G1192" i="6" a="1"/>
  <c r="G1192" i="6" s="1"/>
  <c r="I1192" i="6" a="1"/>
  <c r="I1192" i="6" s="1"/>
  <c r="D1193" i="6" a="1"/>
  <c r="D1193" i="6" s="1"/>
  <c r="F1193" i="6" a="1"/>
  <c r="F1193" i="6" s="1"/>
  <c r="G1193" i="6" a="1"/>
  <c r="G1193" i="6" s="1"/>
  <c r="I1193" i="6" a="1"/>
  <c r="I1193" i="6" s="1"/>
  <c r="D1194" i="6" a="1"/>
  <c r="D1194" i="6" s="1"/>
  <c r="F1194" i="6" a="1"/>
  <c r="F1194" i="6" s="1"/>
  <c r="G1194" i="6" a="1"/>
  <c r="G1194" i="6" s="1"/>
  <c r="I1194" i="6" a="1"/>
  <c r="I1194" i="6" s="1"/>
  <c r="D1195" i="6" a="1"/>
  <c r="D1195" i="6" s="1"/>
  <c r="F1195" i="6" a="1"/>
  <c r="F1195" i="6" s="1"/>
  <c r="G1195" i="6" a="1"/>
  <c r="G1195" i="6" s="1"/>
  <c r="I1195" i="6" a="1"/>
  <c r="I1195" i="6" s="1"/>
  <c r="D1196" i="6" a="1"/>
  <c r="D1196" i="6" s="1"/>
  <c r="F1196" i="6" a="1"/>
  <c r="F1196" i="6" s="1"/>
  <c r="G1196" i="6" a="1"/>
  <c r="G1196" i="6" s="1"/>
  <c r="I1196" i="6" a="1"/>
  <c r="I1196" i="6" s="1"/>
  <c r="D1197" i="6" a="1"/>
  <c r="D1197" i="6" s="1"/>
  <c r="F1197" i="6" a="1"/>
  <c r="F1197" i="6" s="1"/>
  <c r="G1197" i="6" a="1"/>
  <c r="G1197" i="6" s="1"/>
  <c r="I1197" i="6" a="1"/>
  <c r="I1197" i="6" s="1"/>
  <c r="D1200" i="6" a="1"/>
  <c r="D1200" i="6" s="1"/>
  <c r="F1200" i="6" a="1"/>
  <c r="F1200" i="6" s="1"/>
  <c r="G1200" i="6" a="1"/>
  <c r="G1200" i="6" s="1"/>
  <c r="I1200" i="6" a="1"/>
  <c r="I1200" i="6" s="1"/>
  <c r="D1201" i="6" a="1"/>
  <c r="D1201" i="6" s="1"/>
  <c r="F1201" i="6" a="1"/>
  <c r="F1201" i="6" s="1"/>
  <c r="G1201" i="6" a="1"/>
  <c r="G1201" i="6" s="1"/>
  <c r="I1201" i="6" a="1"/>
  <c r="I1201" i="6" s="1"/>
  <c r="D1202" i="6" a="1"/>
  <c r="D1202" i="6" s="1"/>
  <c r="F1202" i="6" a="1"/>
  <c r="F1202" i="6" s="1"/>
  <c r="G1202" i="6" a="1"/>
  <c r="G1202" i="6" s="1"/>
  <c r="I1202" i="6" a="1"/>
  <c r="I1202" i="6" s="1"/>
  <c r="D1203" i="6" a="1"/>
  <c r="D1203" i="6" s="1"/>
  <c r="F1203" i="6" a="1"/>
  <c r="F1203" i="6" s="1"/>
  <c r="G1203" i="6" a="1"/>
  <c r="G1203" i="6" s="1"/>
  <c r="I1203" i="6" a="1"/>
  <c r="I1203" i="6" s="1"/>
  <c r="D1204" i="6" a="1"/>
  <c r="D1204" i="6" s="1"/>
  <c r="F1204" i="6" a="1"/>
  <c r="F1204" i="6" s="1"/>
  <c r="G1204" i="6" a="1"/>
  <c r="G1204" i="6" s="1"/>
  <c r="I1204" i="6" a="1"/>
  <c r="I1204" i="6" s="1"/>
  <c r="D1205" i="6" a="1"/>
  <c r="D1205" i="6" s="1"/>
  <c r="F1205" i="6" a="1"/>
  <c r="F1205" i="6" s="1"/>
  <c r="G1205" i="6" a="1"/>
  <c r="G1205" i="6" s="1"/>
  <c r="I1205" i="6" a="1"/>
  <c r="I1205" i="6" s="1"/>
  <c r="D1206" i="6" a="1"/>
  <c r="D1206" i="6" s="1"/>
  <c r="F1206" i="6" a="1"/>
  <c r="F1206" i="6" s="1"/>
  <c r="G1206" i="6" a="1"/>
  <c r="G1206" i="6" s="1"/>
  <c r="I1206" i="6" a="1"/>
  <c r="I1206" i="6" s="1"/>
  <c r="D1207" i="6" a="1"/>
  <c r="D1207" i="6" s="1"/>
  <c r="F1207" i="6" a="1"/>
  <c r="F1207" i="6" s="1"/>
  <c r="G1207" i="6" a="1"/>
  <c r="G1207" i="6" s="1"/>
  <c r="I1207" i="6" a="1"/>
  <c r="I1207" i="6" s="1"/>
  <c r="D1208" i="6" a="1"/>
  <c r="D1208" i="6" s="1"/>
  <c r="F1208" i="6" a="1"/>
  <c r="F1208" i="6" s="1"/>
  <c r="G1208" i="6" a="1"/>
  <c r="G1208" i="6" s="1"/>
  <c r="I1208" i="6" a="1"/>
  <c r="I1208" i="6" s="1"/>
  <c r="D1209" i="6" a="1"/>
  <c r="D1209" i="6" s="1"/>
  <c r="F1209" i="6" a="1"/>
  <c r="F1209" i="6" s="1"/>
  <c r="G1209" i="6" a="1"/>
  <c r="G1209" i="6" s="1"/>
  <c r="I1209" i="6" a="1"/>
  <c r="I1209" i="6" s="1"/>
  <c r="D1212" i="6" a="1"/>
  <c r="D1212" i="6" s="1"/>
  <c r="F1212" i="6" a="1"/>
  <c r="F1212" i="6" s="1"/>
  <c r="G1212" i="6" a="1"/>
  <c r="G1212" i="6" s="1"/>
  <c r="I1212" i="6" a="1"/>
  <c r="I1212" i="6" s="1"/>
  <c r="D1213" i="6" a="1"/>
  <c r="D1213" i="6" s="1"/>
  <c r="F1213" i="6" a="1"/>
  <c r="F1213" i="6" s="1"/>
  <c r="G1213" i="6" a="1"/>
  <c r="G1213" i="6" s="1"/>
  <c r="I1213" i="6" a="1"/>
  <c r="I1213" i="6" s="1"/>
  <c r="D1214" i="6" a="1"/>
  <c r="D1214" i="6" s="1"/>
  <c r="F1214" i="6" a="1"/>
  <c r="F1214" i="6" s="1"/>
  <c r="G1214" i="6" a="1"/>
  <c r="G1214" i="6" s="1"/>
  <c r="I1214" i="6" a="1"/>
  <c r="I1214" i="6" s="1"/>
  <c r="D1215" i="6" a="1"/>
  <c r="D1215" i="6" s="1"/>
  <c r="F1215" i="6" a="1"/>
  <c r="F1215" i="6" s="1"/>
  <c r="G1215" i="6" a="1"/>
  <c r="G1215" i="6" s="1"/>
  <c r="I1215" i="6" a="1"/>
  <c r="I1215" i="6" s="1"/>
  <c r="D1216" i="6" a="1"/>
  <c r="D1216" i="6" s="1"/>
  <c r="F1216" i="6" a="1"/>
  <c r="F1216" i="6" s="1"/>
  <c r="G1216" i="6" a="1"/>
  <c r="G1216" i="6" s="1"/>
  <c r="I1216" i="6" a="1"/>
  <c r="I1216" i="6" s="1"/>
  <c r="D1217" i="6" a="1"/>
  <c r="D1217" i="6" s="1"/>
  <c r="F1217" i="6" a="1"/>
  <c r="F1217" i="6" s="1"/>
  <c r="G1217" i="6" a="1"/>
  <c r="G1217" i="6" s="1"/>
  <c r="I1217" i="6" a="1"/>
  <c r="I1217" i="6" s="1"/>
  <c r="D1218" i="6" a="1"/>
  <c r="D1218" i="6" s="1"/>
  <c r="F1218" i="6" a="1"/>
  <c r="F1218" i="6" s="1"/>
  <c r="G1218" i="6" a="1"/>
  <c r="G1218" i="6" s="1"/>
  <c r="I1218" i="6" a="1"/>
  <c r="I1218" i="6" s="1"/>
  <c r="D1219" i="6" a="1"/>
  <c r="D1219" i="6" s="1"/>
  <c r="F1219" i="6" a="1"/>
  <c r="F1219" i="6" s="1"/>
  <c r="G1219" i="6" a="1"/>
  <c r="G1219" i="6" s="1"/>
  <c r="I1219" i="6" a="1"/>
  <c r="I1219" i="6" s="1"/>
  <c r="D1220" i="6" a="1"/>
  <c r="D1220" i="6" s="1"/>
  <c r="F1220" i="6" a="1"/>
  <c r="F1220" i="6" s="1"/>
  <c r="G1220" i="6" a="1"/>
  <c r="G1220" i="6" s="1"/>
  <c r="I1220" i="6" a="1"/>
  <c r="I1220" i="6" s="1"/>
  <c r="D1221" i="6" a="1"/>
  <c r="D1221" i="6" s="1"/>
  <c r="F1221" i="6" a="1"/>
  <c r="F1221" i="6" s="1"/>
  <c r="G1221" i="6" a="1"/>
  <c r="G1221" i="6" s="1"/>
  <c r="I1221" i="6" a="1"/>
  <c r="I1221" i="6" s="1"/>
  <c r="D1224" i="6" a="1"/>
  <c r="D1224" i="6" s="1"/>
  <c r="F1224" i="6" a="1"/>
  <c r="F1224" i="6" s="1"/>
  <c r="G1224" i="6" a="1"/>
  <c r="G1224" i="6" s="1"/>
  <c r="I1224" i="6" a="1"/>
  <c r="I1224" i="6" s="1"/>
  <c r="D1225" i="6" a="1"/>
  <c r="D1225" i="6" s="1"/>
  <c r="F1225" i="6" a="1"/>
  <c r="F1225" i="6" s="1"/>
  <c r="G1225" i="6" a="1"/>
  <c r="G1225" i="6" s="1"/>
  <c r="I1225" i="6" a="1"/>
  <c r="I1225" i="6" s="1"/>
  <c r="D1226" i="6" a="1"/>
  <c r="D1226" i="6" s="1"/>
  <c r="F1226" i="6" a="1"/>
  <c r="F1226" i="6" s="1"/>
  <c r="G1226" i="6" a="1"/>
  <c r="G1226" i="6" s="1"/>
  <c r="I1226" i="6" a="1"/>
  <c r="I1226" i="6" s="1"/>
  <c r="D1227" i="6" a="1"/>
  <c r="D1227" i="6" s="1"/>
  <c r="F1227" i="6" a="1"/>
  <c r="F1227" i="6" s="1"/>
  <c r="G1227" i="6" a="1"/>
  <c r="G1227" i="6" s="1"/>
  <c r="I1227" i="6" a="1"/>
  <c r="I1227" i="6" s="1"/>
  <c r="D1228" i="6" a="1"/>
  <c r="D1228" i="6" s="1"/>
  <c r="F1228" i="6" a="1"/>
  <c r="F1228" i="6" s="1"/>
  <c r="G1228" i="6" a="1"/>
  <c r="G1228" i="6" s="1"/>
  <c r="I1228" i="6" a="1"/>
  <c r="I1228" i="6" s="1"/>
  <c r="D1229" i="6" a="1"/>
  <c r="D1229" i="6" s="1"/>
  <c r="F1229" i="6" a="1"/>
  <c r="F1229" i="6" s="1"/>
  <c r="G1229" i="6" a="1"/>
  <c r="G1229" i="6" s="1"/>
  <c r="I1229" i="6" a="1"/>
  <c r="I1229" i="6" s="1"/>
  <c r="D1230" i="6" a="1"/>
  <c r="D1230" i="6" s="1"/>
  <c r="F1230" i="6" a="1"/>
  <c r="F1230" i="6" s="1"/>
  <c r="G1230" i="6" a="1"/>
  <c r="G1230" i="6" s="1"/>
  <c r="I1230" i="6" a="1"/>
  <c r="I1230" i="6" s="1"/>
  <c r="D1231" i="6" a="1"/>
  <c r="D1231" i="6" s="1"/>
  <c r="F1231" i="6" a="1"/>
  <c r="F1231" i="6" s="1"/>
  <c r="G1231" i="6" a="1"/>
  <c r="G1231" i="6" s="1"/>
  <c r="I1231" i="6" a="1"/>
  <c r="I1231" i="6" s="1"/>
  <c r="D1232" i="6" a="1"/>
  <c r="D1232" i="6" s="1"/>
  <c r="F1232" i="6" a="1"/>
  <c r="F1232" i="6" s="1"/>
  <c r="G1232" i="6" a="1"/>
  <c r="G1232" i="6" s="1"/>
  <c r="I1232" i="6" a="1"/>
  <c r="I1232" i="6" s="1"/>
  <c r="D1233" i="6" a="1"/>
  <c r="D1233" i="6" s="1"/>
  <c r="F1233" i="6" a="1"/>
  <c r="F1233" i="6" s="1"/>
  <c r="G1233" i="6" a="1"/>
  <c r="G1233" i="6" s="1"/>
  <c r="I1233" i="6" a="1"/>
  <c r="I1233" i="6" s="1"/>
  <c r="D1236" i="6" a="1"/>
  <c r="D1236" i="6" s="1"/>
  <c r="F1236" i="6" a="1"/>
  <c r="F1236" i="6" s="1"/>
  <c r="G1236" i="6" a="1"/>
  <c r="G1236" i="6" s="1"/>
  <c r="I1236" i="6" a="1"/>
  <c r="I1236" i="6" s="1"/>
  <c r="D1237" i="6" a="1"/>
  <c r="D1237" i="6" s="1"/>
  <c r="F1237" i="6" a="1"/>
  <c r="F1237" i="6" s="1"/>
  <c r="G1237" i="6" a="1"/>
  <c r="G1237" i="6" s="1"/>
  <c r="I1237" i="6" a="1"/>
  <c r="I1237" i="6" s="1"/>
  <c r="D1238" i="6" a="1"/>
  <c r="D1238" i="6" s="1"/>
  <c r="F1238" i="6" a="1"/>
  <c r="F1238" i="6" s="1"/>
  <c r="G1238" i="6" a="1"/>
  <c r="G1238" i="6" s="1"/>
  <c r="I1238" i="6" a="1"/>
  <c r="I1238" i="6" s="1"/>
  <c r="D1239" i="6" a="1"/>
  <c r="D1239" i="6" s="1"/>
  <c r="F1239" i="6" a="1"/>
  <c r="F1239" i="6" s="1"/>
  <c r="G1239" i="6" a="1"/>
  <c r="G1239" i="6" s="1"/>
  <c r="I1239" i="6" a="1"/>
  <c r="I1239" i="6" s="1"/>
  <c r="D1240" i="6" a="1"/>
  <c r="D1240" i="6" s="1"/>
  <c r="F1240" i="6" a="1"/>
  <c r="F1240" i="6" s="1"/>
  <c r="G1240" i="6" a="1"/>
  <c r="G1240" i="6" s="1"/>
  <c r="I1240" i="6" a="1"/>
  <c r="I1240" i="6" s="1"/>
  <c r="D1241" i="6" a="1"/>
  <c r="D1241" i="6" s="1"/>
  <c r="F1241" i="6" a="1"/>
  <c r="F1241" i="6" s="1"/>
  <c r="G1241" i="6" a="1"/>
  <c r="G1241" i="6" s="1"/>
  <c r="I1241" i="6" a="1"/>
  <c r="I1241" i="6" s="1"/>
  <c r="D1242" i="6" a="1"/>
  <c r="D1242" i="6" s="1"/>
  <c r="F1242" i="6" a="1"/>
  <c r="F1242" i="6" s="1"/>
  <c r="G1242" i="6" a="1"/>
  <c r="G1242" i="6" s="1"/>
  <c r="I1242" i="6" a="1"/>
  <c r="I1242" i="6" s="1"/>
  <c r="D1243" i="6" a="1"/>
  <c r="D1243" i="6" s="1"/>
  <c r="F1243" i="6" a="1"/>
  <c r="F1243" i="6" s="1"/>
  <c r="G1243" i="6" a="1"/>
  <c r="G1243" i="6" s="1"/>
  <c r="I1243" i="6" a="1"/>
  <c r="I1243" i="6" s="1"/>
  <c r="D1244" i="6" a="1"/>
  <c r="D1244" i="6" s="1"/>
  <c r="F1244" i="6" a="1"/>
  <c r="F1244" i="6" s="1"/>
  <c r="G1244" i="6" a="1"/>
  <c r="G1244" i="6" s="1"/>
  <c r="I1244" i="6" a="1"/>
  <c r="I1244" i="6" s="1"/>
  <c r="D1245" i="6" a="1"/>
  <c r="D1245" i="6" s="1"/>
  <c r="F1245" i="6" a="1"/>
  <c r="F1245" i="6" s="1"/>
  <c r="G1245" i="6" a="1"/>
  <c r="G1245" i="6" s="1"/>
  <c r="I1245" i="6" a="1"/>
  <c r="I1245" i="6" s="1"/>
  <c r="D1248" i="6" a="1"/>
  <c r="D1248" i="6" s="1"/>
  <c r="F1248" i="6" a="1"/>
  <c r="F1248" i="6" s="1"/>
  <c r="G1248" i="6" a="1"/>
  <c r="G1248" i="6" s="1"/>
  <c r="I1248" i="6" a="1"/>
  <c r="I1248" i="6" s="1"/>
  <c r="D1249" i="6" a="1"/>
  <c r="D1249" i="6" s="1"/>
  <c r="F1249" i="6" a="1"/>
  <c r="F1249" i="6" s="1"/>
  <c r="G1249" i="6" a="1"/>
  <c r="G1249" i="6" s="1"/>
  <c r="I1249" i="6" a="1"/>
  <c r="I1249" i="6" s="1"/>
  <c r="D1250" i="6" a="1"/>
  <c r="D1250" i="6" s="1"/>
  <c r="F1250" i="6" a="1"/>
  <c r="F1250" i="6" s="1"/>
  <c r="G1250" i="6" a="1"/>
  <c r="G1250" i="6" s="1"/>
  <c r="I1250" i="6" a="1"/>
  <c r="I1250" i="6" s="1"/>
  <c r="D1251" i="6" a="1"/>
  <c r="D1251" i="6" s="1"/>
  <c r="F1251" i="6" a="1"/>
  <c r="F1251" i="6" s="1"/>
  <c r="G1251" i="6" a="1"/>
  <c r="G1251" i="6" s="1"/>
  <c r="I1251" i="6" a="1"/>
  <c r="I1251" i="6" s="1"/>
  <c r="D1252" i="6" a="1"/>
  <c r="D1252" i="6" s="1"/>
  <c r="F1252" i="6" a="1"/>
  <c r="F1252" i="6" s="1"/>
  <c r="G1252" i="6" a="1"/>
  <c r="G1252" i="6" s="1"/>
  <c r="I1252" i="6" a="1"/>
  <c r="I1252" i="6" s="1"/>
  <c r="D1253" i="6" a="1"/>
  <c r="D1253" i="6" s="1"/>
  <c r="F1253" i="6" a="1"/>
  <c r="F1253" i="6" s="1"/>
  <c r="G1253" i="6" a="1"/>
  <c r="G1253" i="6" s="1"/>
  <c r="I1253" i="6" a="1"/>
  <c r="I1253" i="6" s="1"/>
  <c r="D1254" i="6" a="1"/>
  <c r="D1254" i="6" s="1"/>
  <c r="F1254" i="6" a="1"/>
  <c r="F1254" i="6" s="1"/>
  <c r="G1254" i="6" a="1"/>
  <c r="G1254" i="6" s="1"/>
  <c r="I1254" i="6" a="1"/>
  <c r="I1254" i="6" s="1"/>
  <c r="D1255" i="6" a="1"/>
  <c r="D1255" i="6" s="1"/>
  <c r="F1255" i="6" a="1"/>
  <c r="F1255" i="6" s="1"/>
  <c r="G1255" i="6" a="1"/>
  <c r="G1255" i="6" s="1"/>
  <c r="I1255" i="6" a="1"/>
  <c r="I1255" i="6" s="1"/>
  <c r="D1256" i="6" a="1"/>
  <c r="D1256" i="6" s="1"/>
  <c r="F1256" i="6" a="1"/>
  <c r="F1256" i="6" s="1"/>
  <c r="G1256" i="6" a="1"/>
  <c r="G1256" i="6" s="1"/>
  <c r="I1256" i="6" a="1"/>
  <c r="I1256" i="6" s="1"/>
  <c r="D1257" i="6" a="1"/>
  <c r="D1257" i="6" s="1"/>
  <c r="F1257" i="6" a="1"/>
  <c r="F1257" i="6" s="1"/>
  <c r="G1257" i="6" a="1"/>
  <c r="G1257" i="6" s="1"/>
  <c r="I1257" i="6" a="1"/>
  <c r="I1257" i="6" s="1"/>
  <c r="D1260" i="6" a="1"/>
  <c r="D1260" i="6" s="1"/>
  <c r="F1260" i="6" a="1"/>
  <c r="F1260" i="6" s="1"/>
  <c r="G1260" i="6" a="1"/>
  <c r="G1260" i="6" s="1"/>
  <c r="I1260" i="6" a="1"/>
  <c r="I1260" i="6" s="1"/>
  <c r="D1261" i="6" a="1"/>
  <c r="D1261" i="6" s="1"/>
  <c r="F1261" i="6" a="1"/>
  <c r="F1261" i="6" s="1"/>
  <c r="G1261" i="6" a="1"/>
  <c r="G1261" i="6" s="1"/>
  <c r="I1261" i="6" a="1"/>
  <c r="I1261" i="6" s="1"/>
  <c r="D1262" i="6" a="1"/>
  <c r="D1262" i="6" s="1"/>
  <c r="F1262" i="6" a="1"/>
  <c r="F1262" i="6" s="1"/>
  <c r="G1262" i="6" a="1"/>
  <c r="G1262" i="6" s="1"/>
  <c r="I1262" i="6" a="1"/>
  <c r="I1262" i="6" s="1"/>
  <c r="D1263" i="6" a="1"/>
  <c r="D1263" i="6" s="1"/>
  <c r="F1263" i="6" a="1"/>
  <c r="F1263" i="6" s="1"/>
  <c r="G1263" i="6" a="1"/>
  <c r="G1263" i="6" s="1"/>
  <c r="I1263" i="6" a="1"/>
  <c r="I1263" i="6" s="1"/>
  <c r="D1264" i="6" a="1"/>
  <c r="D1264" i="6" s="1"/>
  <c r="F1264" i="6" a="1"/>
  <c r="F1264" i="6" s="1"/>
  <c r="G1264" i="6" a="1"/>
  <c r="G1264" i="6" s="1"/>
  <c r="I1264" i="6" a="1"/>
  <c r="I1264" i="6" s="1"/>
  <c r="D1265" i="6" a="1"/>
  <c r="D1265" i="6" s="1"/>
  <c r="F1265" i="6" a="1"/>
  <c r="F1265" i="6" s="1"/>
  <c r="G1265" i="6" a="1"/>
  <c r="G1265" i="6" s="1"/>
  <c r="I1265" i="6" a="1"/>
  <c r="I1265" i="6" s="1"/>
  <c r="D1266" i="6" a="1"/>
  <c r="D1266" i="6" s="1"/>
  <c r="F1266" i="6" a="1"/>
  <c r="F1266" i="6" s="1"/>
  <c r="G1266" i="6" a="1"/>
  <c r="G1266" i="6" s="1"/>
  <c r="I1266" i="6" a="1"/>
  <c r="I1266" i="6" s="1"/>
  <c r="D1267" i="6" a="1"/>
  <c r="D1267" i="6" s="1"/>
  <c r="F1267" i="6" a="1"/>
  <c r="F1267" i="6" s="1"/>
  <c r="G1267" i="6" a="1"/>
  <c r="G1267" i="6" s="1"/>
  <c r="I1267" i="6" a="1"/>
  <c r="I1267" i="6" s="1"/>
  <c r="D1268" i="6" a="1"/>
  <c r="D1268" i="6" s="1"/>
  <c r="F1268" i="6" a="1"/>
  <c r="F1268" i="6" s="1"/>
  <c r="G1268" i="6" a="1"/>
  <c r="G1268" i="6" s="1"/>
  <c r="I1268" i="6" a="1"/>
  <c r="I1268" i="6" s="1"/>
  <c r="D1269" i="6" a="1"/>
  <c r="D1269" i="6" s="1"/>
  <c r="F1269" i="6" a="1"/>
  <c r="F1269" i="6" s="1"/>
  <c r="G1269" i="6" a="1"/>
  <c r="G1269" i="6" s="1"/>
  <c r="I1269" i="6" a="1"/>
  <c r="I1269" i="6" s="1"/>
  <c r="D1272" i="6" a="1"/>
  <c r="D1272" i="6" s="1"/>
  <c r="F1272" i="6" a="1"/>
  <c r="F1272" i="6" s="1"/>
  <c r="G1272" i="6" a="1"/>
  <c r="G1272" i="6" s="1"/>
  <c r="I1272" i="6" a="1"/>
  <c r="I1272" i="6" s="1"/>
  <c r="D1273" i="6" a="1"/>
  <c r="D1273" i="6" s="1"/>
  <c r="F1273" i="6" a="1"/>
  <c r="F1273" i="6" s="1"/>
  <c r="G1273" i="6" a="1"/>
  <c r="G1273" i="6" s="1"/>
  <c r="I1273" i="6" a="1"/>
  <c r="I1273" i="6" s="1"/>
  <c r="D1274" i="6" a="1"/>
  <c r="D1274" i="6" s="1"/>
  <c r="F1274" i="6" a="1"/>
  <c r="F1274" i="6" s="1"/>
  <c r="G1274" i="6" a="1"/>
  <c r="G1274" i="6" s="1"/>
  <c r="I1274" i="6" a="1"/>
  <c r="I1274" i="6" s="1"/>
  <c r="D1275" i="6" a="1"/>
  <c r="D1275" i="6" s="1"/>
  <c r="F1275" i="6" a="1"/>
  <c r="F1275" i="6" s="1"/>
  <c r="G1275" i="6" a="1"/>
  <c r="G1275" i="6" s="1"/>
  <c r="I1275" i="6" a="1"/>
  <c r="I1275" i="6" s="1"/>
  <c r="D1276" i="6" a="1"/>
  <c r="D1276" i="6" s="1"/>
  <c r="F1276" i="6" a="1"/>
  <c r="F1276" i="6" s="1"/>
  <c r="G1276" i="6" a="1"/>
  <c r="G1276" i="6" s="1"/>
  <c r="I1276" i="6" a="1"/>
  <c r="I1276" i="6" s="1"/>
  <c r="D1277" i="6" a="1"/>
  <c r="D1277" i="6" s="1"/>
  <c r="F1277" i="6" a="1"/>
  <c r="F1277" i="6" s="1"/>
  <c r="G1277" i="6" a="1"/>
  <c r="G1277" i="6" s="1"/>
  <c r="I1277" i="6" a="1"/>
  <c r="I1277" i="6" s="1"/>
  <c r="D1278" i="6" a="1"/>
  <c r="D1278" i="6" s="1"/>
  <c r="F1278" i="6" a="1"/>
  <c r="F1278" i="6" s="1"/>
  <c r="G1278" i="6" a="1"/>
  <c r="G1278" i="6" s="1"/>
  <c r="I1278" i="6" a="1"/>
  <c r="I1278" i="6" s="1"/>
  <c r="D1279" i="6" a="1"/>
  <c r="D1279" i="6" s="1"/>
  <c r="F1279" i="6" a="1"/>
  <c r="F1279" i="6" s="1"/>
  <c r="G1279" i="6" a="1"/>
  <c r="G1279" i="6" s="1"/>
  <c r="I1279" i="6" a="1"/>
  <c r="I1279" i="6" s="1"/>
  <c r="D1280" i="6" a="1"/>
  <c r="D1280" i="6" s="1"/>
  <c r="F1280" i="6" a="1"/>
  <c r="F1280" i="6" s="1"/>
  <c r="G1280" i="6" a="1"/>
  <c r="G1280" i="6" s="1"/>
  <c r="I1280" i="6" a="1"/>
  <c r="I1280" i="6" s="1"/>
  <c r="D1281" i="6" a="1"/>
  <c r="D1281" i="6" s="1"/>
  <c r="F1281" i="6" a="1"/>
  <c r="F1281" i="6" s="1"/>
  <c r="G1281" i="6" a="1"/>
  <c r="G1281" i="6" s="1"/>
  <c r="I1281" i="6" a="1"/>
  <c r="I1281" i="6" s="1"/>
  <c r="D1284" i="6" a="1"/>
  <c r="D1284" i="6" s="1"/>
  <c r="F1284" i="6" a="1"/>
  <c r="F1284" i="6" s="1"/>
  <c r="G1284" i="6" a="1"/>
  <c r="G1284" i="6" s="1"/>
  <c r="I1284" i="6" a="1"/>
  <c r="I1284" i="6" s="1"/>
  <c r="D1285" i="6" a="1"/>
  <c r="D1285" i="6" s="1"/>
  <c r="F1285" i="6" a="1"/>
  <c r="F1285" i="6" s="1"/>
  <c r="G1285" i="6" a="1"/>
  <c r="G1285" i="6" s="1"/>
  <c r="I1285" i="6" a="1"/>
  <c r="I1285" i="6" s="1"/>
  <c r="D1286" i="6" a="1"/>
  <c r="D1286" i="6" s="1"/>
  <c r="F1286" i="6" a="1"/>
  <c r="F1286" i="6" s="1"/>
  <c r="G1286" i="6" a="1"/>
  <c r="G1286" i="6" s="1"/>
  <c r="I1286" i="6" a="1"/>
  <c r="I1286" i="6" s="1"/>
  <c r="D1287" i="6" a="1"/>
  <c r="D1287" i="6" s="1"/>
  <c r="F1287" i="6" a="1"/>
  <c r="F1287" i="6" s="1"/>
  <c r="G1287" i="6" a="1"/>
  <c r="G1287" i="6" s="1"/>
  <c r="I1287" i="6" a="1"/>
  <c r="I1287" i="6" s="1"/>
  <c r="D1288" i="6" a="1"/>
  <c r="D1288" i="6" s="1"/>
  <c r="F1288" i="6" a="1"/>
  <c r="F1288" i="6" s="1"/>
  <c r="G1288" i="6" a="1"/>
  <c r="G1288" i="6" s="1"/>
  <c r="I1288" i="6" a="1"/>
  <c r="I1288" i="6" s="1"/>
  <c r="D1289" i="6" a="1"/>
  <c r="D1289" i="6" s="1"/>
  <c r="F1289" i="6" a="1"/>
  <c r="F1289" i="6" s="1"/>
  <c r="G1289" i="6" a="1"/>
  <c r="G1289" i="6" s="1"/>
  <c r="I1289" i="6" a="1"/>
  <c r="I1289" i="6" s="1"/>
  <c r="D1290" i="6" a="1"/>
  <c r="D1290" i="6" s="1"/>
  <c r="F1290" i="6" a="1"/>
  <c r="F1290" i="6" s="1"/>
  <c r="G1290" i="6" a="1"/>
  <c r="G1290" i="6" s="1"/>
  <c r="I1290" i="6" a="1"/>
  <c r="I1290" i="6" s="1"/>
  <c r="D1291" i="6" a="1"/>
  <c r="D1291" i="6" s="1"/>
  <c r="F1291" i="6" a="1"/>
  <c r="F1291" i="6" s="1"/>
  <c r="G1291" i="6" a="1"/>
  <c r="G1291" i="6" s="1"/>
  <c r="I1291" i="6" a="1"/>
  <c r="I1291" i="6" s="1"/>
  <c r="D1292" i="6" a="1"/>
  <c r="D1292" i="6" s="1"/>
  <c r="F1292" i="6" a="1"/>
  <c r="F1292" i="6" s="1"/>
  <c r="G1292" i="6" a="1"/>
  <c r="G1292" i="6" s="1"/>
  <c r="I1292" i="6" a="1"/>
  <c r="I1292" i="6" s="1"/>
  <c r="D1293" i="6" a="1"/>
  <c r="D1293" i="6" s="1"/>
  <c r="F1293" i="6" a="1"/>
  <c r="F1293" i="6" s="1"/>
  <c r="G1293" i="6" a="1"/>
  <c r="G1293" i="6" s="1"/>
  <c r="I1293" i="6" a="1"/>
  <c r="I1293" i="6" s="1"/>
  <c r="D1296" i="6" a="1"/>
  <c r="D1296" i="6" s="1"/>
  <c r="F1296" i="6" a="1"/>
  <c r="F1296" i="6" s="1"/>
  <c r="G1296" i="6" a="1"/>
  <c r="G1296" i="6" s="1"/>
  <c r="I1296" i="6" a="1"/>
  <c r="I1296" i="6" s="1"/>
  <c r="D1297" i="6" a="1"/>
  <c r="D1297" i="6" s="1"/>
  <c r="F1297" i="6" a="1"/>
  <c r="F1297" i="6" s="1"/>
  <c r="G1297" i="6" a="1"/>
  <c r="G1297" i="6" s="1"/>
  <c r="I1297" i="6" a="1"/>
  <c r="I1297" i="6" s="1"/>
  <c r="D1298" i="6" a="1"/>
  <c r="D1298" i="6" s="1"/>
  <c r="F1298" i="6" a="1"/>
  <c r="F1298" i="6" s="1"/>
  <c r="G1298" i="6" a="1"/>
  <c r="G1298" i="6" s="1"/>
  <c r="I1298" i="6" a="1"/>
  <c r="I1298" i="6" s="1"/>
  <c r="D1299" i="6" a="1"/>
  <c r="D1299" i="6" s="1"/>
  <c r="F1299" i="6" a="1"/>
  <c r="F1299" i="6" s="1"/>
  <c r="G1299" i="6" a="1"/>
  <c r="G1299" i="6" s="1"/>
  <c r="I1299" i="6" a="1"/>
  <c r="I1299" i="6" s="1"/>
  <c r="D1300" i="6" a="1"/>
  <c r="D1300" i="6" s="1"/>
  <c r="F1300" i="6" a="1"/>
  <c r="F1300" i="6" s="1"/>
  <c r="G1300" i="6" a="1"/>
  <c r="G1300" i="6" s="1"/>
  <c r="I1300" i="6" a="1"/>
  <c r="I1300" i="6" s="1"/>
  <c r="D1301" i="6" a="1"/>
  <c r="D1301" i="6" s="1"/>
  <c r="F1301" i="6" a="1"/>
  <c r="F1301" i="6" s="1"/>
  <c r="G1301" i="6" a="1"/>
  <c r="G1301" i="6" s="1"/>
  <c r="I1301" i="6" a="1"/>
  <c r="I1301" i="6" s="1"/>
  <c r="D1302" i="6" a="1"/>
  <c r="D1302" i="6" s="1"/>
  <c r="F1302" i="6" a="1"/>
  <c r="F1302" i="6" s="1"/>
  <c r="G1302" i="6" a="1"/>
  <c r="G1302" i="6" s="1"/>
  <c r="I1302" i="6" a="1"/>
  <c r="I1302" i="6" s="1"/>
  <c r="D1303" i="6" a="1"/>
  <c r="D1303" i="6" s="1"/>
  <c r="F1303" i="6" a="1"/>
  <c r="F1303" i="6" s="1"/>
  <c r="G1303" i="6" a="1"/>
  <c r="G1303" i="6" s="1"/>
  <c r="I1303" i="6" a="1"/>
  <c r="I1303" i="6" s="1"/>
  <c r="D1304" i="6" a="1"/>
  <c r="D1304" i="6" s="1"/>
  <c r="F1304" i="6" a="1"/>
  <c r="F1304" i="6" s="1"/>
  <c r="G1304" i="6" a="1"/>
  <c r="G1304" i="6" s="1"/>
  <c r="I1304" i="6" a="1"/>
  <c r="I1304" i="6" s="1"/>
  <c r="D1305" i="6" a="1"/>
  <c r="D1305" i="6" s="1"/>
  <c r="F1305" i="6" a="1"/>
  <c r="F1305" i="6" s="1"/>
  <c r="G1305" i="6" a="1"/>
  <c r="G1305" i="6" s="1"/>
  <c r="I1305" i="6" a="1"/>
  <c r="I1305" i="6" s="1"/>
  <c r="D1308" i="6" a="1"/>
  <c r="D1308" i="6" s="1"/>
  <c r="F1308" i="6" a="1"/>
  <c r="F1308" i="6" s="1"/>
  <c r="G1308" i="6" a="1"/>
  <c r="G1308" i="6" s="1"/>
  <c r="I1308" i="6" a="1"/>
  <c r="I1308" i="6" s="1"/>
  <c r="D1309" i="6" a="1"/>
  <c r="D1309" i="6" s="1"/>
  <c r="F1309" i="6" a="1"/>
  <c r="F1309" i="6" s="1"/>
  <c r="G1309" i="6" a="1"/>
  <c r="G1309" i="6" s="1"/>
  <c r="I1309" i="6" a="1"/>
  <c r="I1309" i="6" s="1"/>
  <c r="D1310" i="6" a="1"/>
  <c r="D1310" i="6" s="1"/>
  <c r="F1310" i="6" a="1"/>
  <c r="F1310" i="6" s="1"/>
  <c r="G1310" i="6" a="1"/>
  <c r="G1310" i="6" s="1"/>
  <c r="I1310" i="6" a="1"/>
  <c r="I1310" i="6" s="1"/>
  <c r="D1311" i="6" a="1"/>
  <c r="D1311" i="6" s="1"/>
  <c r="F1311" i="6" a="1"/>
  <c r="F1311" i="6" s="1"/>
  <c r="G1311" i="6" a="1"/>
  <c r="G1311" i="6" s="1"/>
  <c r="I1311" i="6" a="1"/>
  <c r="I1311" i="6" s="1"/>
  <c r="D1312" i="6" a="1"/>
  <c r="D1312" i="6" s="1"/>
  <c r="F1312" i="6" a="1"/>
  <c r="F1312" i="6" s="1"/>
  <c r="G1312" i="6" a="1"/>
  <c r="G1312" i="6" s="1"/>
  <c r="I1312" i="6" a="1"/>
  <c r="I1312" i="6" s="1"/>
  <c r="D1313" i="6" a="1"/>
  <c r="D1313" i="6" s="1"/>
  <c r="F1313" i="6" a="1"/>
  <c r="F1313" i="6" s="1"/>
  <c r="G1313" i="6" a="1"/>
  <c r="G1313" i="6" s="1"/>
  <c r="I1313" i="6" a="1"/>
  <c r="I1313" i="6" s="1"/>
  <c r="D1314" i="6" a="1"/>
  <c r="D1314" i="6" s="1"/>
  <c r="F1314" i="6" a="1"/>
  <c r="F1314" i="6" s="1"/>
  <c r="G1314" i="6" a="1"/>
  <c r="G1314" i="6" s="1"/>
  <c r="I1314" i="6" a="1"/>
  <c r="I1314" i="6" s="1"/>
  <c r="D1315" i="6" a="1"/>
  <c r="D1315" i="6" s="1"/>
  <c r="F1315" i="6" a="1"/>
  <c r="F1315" i="6" s="1"/>
  <c r="G1315" i="6" a="1"/>
  <c r="G1315" i="6" s="1"/>
  <c r="I1315" i="6" a="1"/>
  <c r="I1315" i="6" s="1"/>
  <c r="D1316" i="6" a="1"/>
  <c r="D1316" i="6" s="1"/>
  <c r="F1316" i="6" a="1"/>
  <c r="F1316" i="6" s="1"/>
  <c r="G1316" i="6" a="1"/>
  <c r="G1316" i="6" s="1"/>
  <c r="I1316" i="6" a="1"/>
  <c r="I1316" i="6" s="1"/>
  <c r="D1317" i="6" a="1"/>
  <c r="D1317" i="6" s="1"/>
  <c r="F1317" i="6" a="1"/>
  <c r="F1317" i="6" s="1"/>
  <c r="G1317" i="6" a="1"/>
  <c r="G1317" i="6" s="1"/>
  <c r="I1317" i="6" a="1"/>
  <c r="I1317" i="6" s="1"/>
  <c r="D1320" i="6" a="1"/>
  <c r="D1320" i="6" s="1"/>
  <c r="F1320" i="6" a="1"/>
  <c r="F1320" i="6" s="1"/>
  <c r="G1320" i="6" a="1"/>
  <c r="G1320" i="6" s="1"/>
  <c r="I1320" i="6" a="1"/>
  <c r="I1320" i="6" s="1"/>
  <c r="D1321" i="6" a="1"/>
  <c r="D1321" i="6" s="1"/>
  <c r="F1321" i="6" a="1"/>
  <c r="F1321" i="6" s="1"/>
  <c r="G1321" i="6" a="1"/>
  <c r="G1321" i="6" s="1"/>
  <c r="I1321" i="6" a="1"/>
  <c r="I1321" i="6" s="1"/>
  <c r="D1322" i="6" a="1"/>
  <c r="D1322" i="6" s="1"/>
  <c r="F1322" i="6" a="1"/>
  <c r="F1322" i="6" s="1"/>
  <c r="G1322" i="6" a="1"/>
  <c r="G1322" i="6" s="1"/>
  <c r="I1322" i="6" a="1"/>
  <c r="I1322" i="6" s="1"/>
  <c r="D1323" i="6" a="1"/>
  <c r="D1323" i="6" s="1"/>
  <c r="F1323" i="6" a="1"/>
  <c r="F1323" i="6" s="1"/>
  <c r="G1323" i="6" a="1"/>
  <c r="G1323" i="6" s="1"/>
  <c r="I1323" i="6" a="1"/>
  <c r="I1323" i="6" s="1"/>
  <c r="D1324" i="6" a="1"/>
  <c r="D1324" i="6" s="1"/>
  <c r="F1324" i="6" a="1"/>
  <c r="F1324" i="6" s="1"/>
  <c r="G1324" i="6" a="1"/>
  <c r="G1324" i="6" s="1"/>
  <c r="I1324" i="6" a="1"/>
  <c r="I1324" i="6" s="1"/>
  <c r="D1325" i="6" a="1"/>
  <c r="D1325" i="6" s="1"/>
  <c r="F1325" i="6" a="1"/>
  <c r="F1325" i="6" s="1"/>
  <c r="G1325" i="6" a="1"/>
  <c r="G1325" i="6" s="1"/>
  <c r="I1325" i="6" a="1"/>
  <c r="I1325" i="6" s="1"/>
  <c r="D1327" i="6" a="1"/>
  <c r="D1327" i="6" s="1"/>
  <c r="F1327" i="6" a="1"/>
  <c r="F1327" i="6" s="1"/>
  <c r="G1327" i="6" a="1"/>
  <c r="G1327" i="6" s="1"/>
  <c r="I1327" i="6" a="1"/>
  <c r="I1327" i="6" s="1"/>
  <c r="D1328" i="6" a="1"/>
  <c r="D1328" i="6" s="1"/>
  <c r="F1328" i="6" a="1"/>
  <c r="F1328" i="6" s="1"/>
  <c r="G1328" i="6" a="1"/>
  <c r="G1328" i="6" s="1"/>
  <c r="I1328" i="6" a="1"/>
  <c r="I1328" i="6" s="1"/>
  <c r="D1329" i="6" a="1"/>
  <c r="D1329" i="6" s="1"/>
  <c r="F1329" i="6" a="1"/>
  <c r="F1329" i="6" s="1"/>
  <c r="G1329" i="6" a="1"/>
  <c r="G1329" i="6" s="1"/>
  <c r="I1329" i="6" a="1"/>
  <c r="I1329" i="6" s="1"/>
  <c r="D1332" i="6" a="1"/>
  <c r="D1332" i="6" s="1"/>
  <c r="F1332" i="6" a="1"/>
  <c r="F1332" i="6" s="1"/>
  <c r="G1332" i="6" a="1"/>
  <c r="G1332" i="6" s="1"/>
  <c r="I1332" i="6" a="1"/>
  <c r="I1332" i="6" s="1"/>
  <c r="D1333" i="6" a="1"/>
  <c r="D1333" i="6" s="1"/>
  <c r="F1333" i="6" a="1"/>
  <c r="F1333" i="6" s="1"/>
  <c r="G1333" i="6" a="1"/>
  <c r="G1333" i="6" s="1"/>
  <c r="I1333" i="6" a="1"/>
  <c r="I1333" i="6" s="1"/>
  <c r="D1334" i="6" a="1"/>
  <c r="D1334" i="6" s="1"/>
  <c r="F1334" i="6" a="1"/>
  <c r="F1334" i="6" s="1"/>
  <c r="G1334" i="6" a="1"/>
  <c r="G1334" i="6" s="1"/>
  <c r="I1334" i="6" a="1"/>
  <c r="I1334" i="6" s="1"/>
  <c r="D1335" i="6" a="1"/>
  <c r="D1335" i="6" s="1"/>
  <c r="F1335" i="6" a="1"/>
  <c r="F1335" i="6" s="1"/>
  <c r="G1335" i="6" a="1"/>
  <c r="G1335" i="6" s="1"/>
  <c r="I1335" i="6" a="1"/>
  <c r="I1335" i="6" s="1"/>
  <c r="D1336" i="6" a="1"/>
  <c r="D1336" i="6" s="1"/>
  <c r="F1336" i="6" a="1"/>
  <c r="F1336" i="6" s="1"/>
  <c r="G1336" i="6" a="1"/>
  <c r="G1336" i="6" s="1"/>
  <c r="I1336" i="6" a="1"/>
  <c r="I1336" i="6" s="1"/>
  <c r="D1337" i="6" a="1"/>
  <c r="D1337" i="6" s="1"/>
  <c r="F1337" i="6" a="1"/>
  <c r="F1337" i="6" s="1"/>
  <c r="G1337" i="6" a="1"/>
  <c r="G1337" i="6" s="1"/>
  <c r="I1337" i="6" a="1"/>
  <c r="I1337" i="6" s="1"/>
  <c r="F1338" i="6" a="1"/>
  <c r="F1338" i="6" s="1"/>
  <c r="G1338" i="6" a="1"/>
  <c r="G1338" i="6" s="1"/>
  <c r="D1339" i="6" a="1"/>
  <c r="D1339" i="6" s="1"/>
  <c r="F1339" i="6" a="1"/>
  <c r="F1339" i="6" s="1"/>
  <c r="G1339" i="6" a="1"/>
  <c r="G1339" i="6" s="1"/>
  <c r="I1339" i="6" a="1"/>
  <c r="I1339" i="6" s="1"/>
  <c r="D1340" i="6" a="1"/>
  <c r="D1340" i="6" s="1"/>
  <c r="F1340" i="6" a="1"/>
  <c r="F1340" i="6" s="1"/>
  <c r="G1340" i="6" a="1"/>
  <c r="G1340" i="6" s="1"/>
  <c r="I1340" i="6" a="1"/>
  <c r="I1340" i="6" s="1"/>
  <c r="D1341" i="6" a="1"/>
  <c r="D1341" i="6" s="1"/>
  <c r="F1341" i="6" a="1"/>
  <c r="F1341" i="6" s="1"/>
  <c r="G1341" i="6" a="1"/>
  <c r="G1341" i="6" s="1"/>
  <c r="I1341" i="6" a="1"/>
  <c r="I1341" i="6" s="1"/>
  <c r="D1344" i="6" a="1"/>
  <c r="D1344" i="6" s="1"/>
  <c r="F1344" i="6" a="1"/>
  <c r="F1344" i="6" s="1"/>
  <c r="G1344" i="6" a="1"/>
  <c r="G1344" i="6" s="1"/>
  <c r="I1344" i="6" a="1"/>
  <c r="I1344" i="6" s="1"/>
  <c r="D1345" i="6" a="1"/>
  <c r="D1345" i="6" s="1"/>
  <c r="F1345" i="6" a="1"/>
  <c r="F1345" i="6" s="1"/>
  <c r="G1345" i="6" a="1"/>
  <c r="G1345" i="6" s="1"/>
  <c r="I1345" i="6" a="1"/>
  <c r="I1345" i="6" s="1"/>
  <c r="D1346" i="6" a="1"/>
  <c r="D1346" i="6" s="1"/>
  <c r="F1346" i="6" a="1"/>
  <c r="F1346" i="6" s="1"/>
  <c r="G1346" i="6" a="1"/>
  <c r="G1346" i="6" s="1"/>
  <c r="I1346" i="6" a="1"/>
  <c r="I1346" i="6" s="1"/>
  <c r="D1347" i="6" a="1"/>
  <c r="D1347" i="6" s="1"/>
  <c r="F1347" i="6" a="1"/>
  <c r="F1347" i="6" s="1"/>
  <c r="G1347" i="6" a="1"/>
  <c r="G1347" i="6" s="1"/>
  <c r="I1347" i="6" a="1"/>
  <c r="I1347" i="6" s="1"/>
  <c r="D1348" i="6" a="1"/>
  <c r="D1348" i="6" s="1"/>
  <c r="F1348" i="6" a="1"/>
  <c r="F1348" i="6" s="1"/>
  <c r="G1348" i="6" a="1"/>
  <c r="G1348" i="6" s="1"/>
  <c r="I1348" i="6" a="1"/>
  <c r="I1348" i="6" s="1"/>
  <c r="D1349" i="6" a="1"/>
  <c r="D1349" i="6" s="1"/>
  <c r="F1349" i="6" a="1"/>
  <c r="F1349" i="6" s="1"/>
  <c r="G1349" i="6" a="1"/>
  <c r="G1349" i="6" s="1"/>
  <c r="I1349" i="6" a="1"/>
  <c r="I1349" i="6" s="1"/>
  <c r="D1351" i="6" a="1"/>
  <c r="D1351" i="6" s="1"/>
  <c r="F1351" i="6" a="1"/>
  <c r="F1351" i="6" s="1"/>
  <c r="G1351" i="6" a="1"/>
  <c r="G1351" i="6" s="1"/>
  <c r="I1351" i="6" a="1"/>
  <c r="I1351" i="6" s="1"/>
  <c r="D1352" i="6" a="1"/>
  <c r="D1352" i="6" s="1"/>
  <c r="F1352" i="6" a="1"/>
  <c r="F1352" i="6" s="1"/>
  <c r="G1352" i="6" a="1"/>
  <c r="G1352" i="6" s="1"/>
  <c r="I1352" i="6" a="1"/>
  <c r="I1352" i="6" s="1"/>
  <c r="D1353" i="6" a="1"/>
  <c r="D1353" i="6" s="1"/>
  <c r="F1353" i="6" a="1"/>
  <c r="F1353" i="6" s="1"/>
  <c r="G1353" i="6" a="1"/>
  <c r="G1353" i="6" s="1"/>
  <c r="I1353" i="6" a="1"/>
  <c r="I1353" i="6" s="1"/>
  <c r="D1356" i="6" a="1"/>
  <c r="D1356" i="6" s="1"/>
  <c r="F1356" i="6" a="1"/>
  <c r="F1356" i="6" s="1"/>
  <c r="G1356" i="6" a="1"/>
  <c r="G1356" i="6" s="1"/>
  <c r="I1356" i="6" a="1"/>
  <c r="I1356" i="6" s="1"/>
  <c r="D1357" i="6" a="1"/>
  <c r="D1357" i="6" s="1"/>
  <c r="F1357" i="6" a="1"/>
  <c r="F1357" i="6" s="1"/>
  <c r="G1357" i="6" a="1"/>
  <c r="G1357" i="6" s="1"/>
  <c r="I1357" i="6" a="1"/>
  <c r="I1357" i="6" s="1"/>
  <c r="D1358" i="6" a="1"/>
  <c r="D1358" i="6" s="1"/>
  <c r="F1358" i="6" a="1"/>
  <c r="F1358" i="6" s="1"/>
  <c r="G1358" i="6" a="1"/>
  <c r="G1358" i="6" s="1"/>
  <c r="I1358" i="6" a="1"/>
  <c r="I1358" i="6" s="1"/>
  <c r="D1359" i="6" a="1"/>
  <c r="D1359" i="6" s="1"/>
  <c r="F1359" i="6" a="1"/>
  <c r="F1359" i="6" s="1"/>
  <c r="G1359" i="6" a="1"/>
  <c r="G1359" i="6" s="1"/>
  <c r="I1359" i="6" a="1"/>
  <c r="I1359" i="6" s="1"/>
  <c r="D1360" i="6" a="1"/>
  <c r="D1360" i="6" s="1"/>
  <c r="F1360" i="6" a="1"/>
  <c r="F1360" i="6" s="1"/>
  <c r="G1360" i="6" a="1"/>
  <c r="G1360" i="6" s="1"/>
  <c r="I1360" i="6" a="1"/>
  <c r="I1360" i="6" s="1"/>
  <c r="D1361" i="6" a="1"/>
  <c r="D1361" i="6" s="1"/>
  <c r="F1361" i="6" a="1"/>
  <c r="F1361" i="6" s="1"/>
  <c r="G1361" i="6" a="1"/>
  <c r="G1361" i="6" s="1"/>
  <c r="I1361" i="6" a="1"/>
  <c r="I1361" i="6" s="1"/>
  <c r="G1362" i="6" a="1"/>
  <c r="G1362" i="6" s="1"/>
  <c r="D1363" i="6" a="1"/>
  <c r="D1363" i="6" s="1"/>
  <c r="F1363" i="6" a="1"/>
  <c r="F1363" i="6" s="1"/>
  <c r="G1363" i="6" a="1"/>
  <c r="G1363" i="6" s="1"/>
  <c r="I1363" i="6" a="1"/>
  <c r="I1363" i="6" s="1"/>
  <c r="D1364" i="6" a="1"/>
  <c r="D1364" i="6" s="1"/>
  <c r="F1364" i="6" a="1"/>
  <c r="F1364" i="6" s="1"/>
  <c r="G1364" i="6" a="1"/>
  <c r="G1364" i="6" s="1"/>
  <c r="I1364" i="6" a="1"/>
  <c r="I1364" i="6" s="1"/>
  <c r="D1365" i="6" a="1"/>
  <c r="D1365" i="6" s="1"/>
  <c r="F1365" i="6" a="1"/>
  <c r="F1365" i="6" s="1"/>
  <c r="G1365" i="6" a="1"/>
  <c r="G1365" i="6" s="1"/>
  <c r="I1365" i="6" a="1"/>
  <c r="I1365" i="6" s="1"/>
  <c r="D1368" i="6" a="1"/>
  <c r="D1368" i="6" s="1"/>
  <c r="F1368" i="6" a="1"/>
  <c r="F1368" i="6" s="1"/>
  <c r="G1368" i="6" a="1"/>
  <c r="G1368" i="6" s="1"/>
  <c r="I1368" i="6" a="1"/>
  <c r="I1368" i="6" s="1"/>
  <c r="D1369" i="6" a="1"/>
  <c r="D1369" i="6" s="1"/>
  <c r="F1369" i="6" a="1"/>
  <c r="F1369" i="6" s="1"/>
  <c r="G1369" i="6" a="1"/>
  <c r="G1369" i="6" s="1"/>
  <c r="I1369" i="6" a="1"/>
  <c r="I1369" i="6" s="1"/>
  <c r="D1370" i="6" a="1"/>
  <c r="D1370" i="6" s="1"/>
  <c r="F1370" i="6" a="1"/>
  <c r="F1370" i="6" s="1"/>
  <c r="G1370" i="6" a="1"/>
  <c r="G1370" i="6" s="1"/>
  <c r="I1370" i="6" a="1"/>
  <c r="I1370" i="6" s="1"/>
  <c r="D1371" i="6" a="1"/>
  <c r="D1371" i="6" s="1"/>
  <c r="F1371" i="6" a="1"/>
  <c r="F1371" i="6" s="1"/>
  <c r="G1371" i="6" a="1"/>
  <c r="G1371" i="6" s="1"/>
  <c r="I1371" i="6" a="1"/>
  <c r="I1371" i="6" s="1"/>
  <c r="D1372" i="6" a="1"/>
  <c r="D1372" i="6" s="1"/>
  <c r="F1372" i="6" a="1"/>
  <c r="F1372" i="6" s="1"/>
  <c r="G1372" i="6" a="1"/>
  <c r="G1372" i="6" s="1"/>
  <c r="I1372" i="6" a="1"/>
  <c r="I1372" i="6" s="1"/>
  <c r="D1373" i="6" a="1"/>
  <c r="D1373" i="6" s="1"/>
  <c r="F1373" i="6" a="1"/>
  <c r="F1373" i="6" s="1"/>
  <c r="G1373" i="6" a="1"/>
  <c r="G1373" i="6" s="1"/>
  <c r="I1373" i="6" a="1"/>
  <c r="I1373" i="6" s="1"/>
  <c r="I1374" i="6" a="1"/>
  <c r="I1374" i="6" s="1"/>
  <c r="D1375" i="6" a="1"/>
  <c r="D1375" i="6" s="1"/>
  <c r="F1375" i="6" a="1"/>
  <c r="F1375" i="6" s="1"/>
  <c r="G1375" i="6" a="1"/>
  <c r="G1375" i="6" s="1"/>
  <c r="I1375" i="6" a="1"/>
  <c r="I1375" i="6" s="1"/>
  <c r="D1376" i="6" a="1"/>
  <c r="D1376" i="6" s="1"/>
  <c r="F1376" i="6" a="1"/>
  <c r="F1376" i="6" s="1"/>
  <c r="G1376" i="6" a="1"/>
  <c r="G1376" i="6" s="1"/>
  <c r="I1376" i="6" a="1"/>
  <c r="I1376" i="6" s="1"/>
  <c r="D1377" i="6" a="1"/>
  <c r="D1377" i="6" s="1"/>
  <c r="F1377" i="6" a="1"/>
  <c r="F1377" i="6" s="1"/>
  <c r="G1377" i="6" a="1"/>
  <c r="G1377" i="6" s="1"/>
  <c r="I1377" i="6" a="1"/>
  <c r="I1377" i="6" s="1"/>
  <c r="D1380" i="6" a="1"/>
  <c r="D1380" i="6" s="1"/>
  <c r="F1380" i="6" a="1"/>
  <c r="F1380" i="6" s="1"/>
  <c r="G1380" i="6" a="1"/>
  <c r="G1380" i="6" s="1"/>
  <c r="I1380" i="6" a="1"/>
  <c r="I1380" i="6" s="1"/>
  <c r="D1381" i="6" a="1"/>
  <c r="D1381" i="6" s="1"/>
  <c r="F1381" i="6" a="1"/>
  <c r="F1381" i="6" s="1"/>
  <c r="G1381" i="6" a="1"/>
  <c r="G1381" i="6" s="1"/>
  <c r="I1381" i="6" a="1"/>
  <c r="I1381" i="6" s="1"/>
  <c r="D1382" i="6" a="1"/>
  <c r="D1382" i="6" s="1"/>
  <c r="F1382" i="6" a="1"/>
  <c r="F1382" i="6" s="1"/>
  <c r="G1382" i="6" a="1"/>
  <c r="G1382" i="6" s="1"/>
  <c r="I1382" i="6" a="1"/>
  <c r="I1382" i="6" s="1"/>
  <c r="D1383" i="6" a="1"/>
  <c r="D1383" i="6" s="1"/>
  <c r="F1383" i="6" a="1"/>
  <c r="F1383" i="6" s="1"/>
  <c r="G1383" i="6" a="1"/>
  <c r="G1383" i="6" s="1"/>
  <c r="I1383" i="6" a="1"/>
  <c r="I1383" i="6" s="1"/>
  <c r="D1384" i="6" a="1"/>
  <c r="D1384" i="6" s="1"/>
  <c r="F1384" i="6" a="1"/>
  <c r="F1384" i="6" s="1"/>
  <c r="G1384" i="6" a="1"/>
  <c r="G1384" i="6" s="1"/>
  <c r="I1384" i="6" a="1"/>
  <c r="I1384" i="6" s="1"/>
  <c r="D1385" i="6" a="1"/>
  <c r="D1385" i="6" s="1"/>
  <c r="F1385" i="6" a="1"/>
  <c r="F1385" i="6" s="1"/>
  <c r="G1385" i="6" a="1"/>
  <c r="G1385" i="6" s="1"/>
  <c r="I1385" i="6" a="1"/>
  <c r="I1385" i="6" s="1"/>
  <c r="D1387" i="6" a="1"/>
  <c r="D1387" i="6" s="1"/>
  <c r="F1387" i="6" a="1"/>
  <c r="F1387" i="6" s="1"/>
  <c r="G1387" i="6" a="1"/>
  <c r="G1387" i="6" s="1"/>
  <c r="I1387" i="6" a="1"/>
  <c r="I1387" i="6" s="1"/>
  <c r="D1388" i="6" a="1"/>
  <c r="D1388" i="6" s="1"/>
  <c r="F1388" i="6" a="1"/>
  <c r="F1388" i="6" s="1"/>
  <c r="G1388" i="6" a="1"/>
  <c r="G1388" i="6" s="1"/>
  <c r="I1388" i="6" a="1"/>
  <c r="I1388" i="6" s="1"/>
  <c r="D1389" i="6" a="1"/>
  <c r="D1389" i="6" s="1"/>
  <c r="F1389" i="6" a="1"/>
  <c r="F1389" i="6" s="1"/>
  <c r="G1389" i="6" a="1"/>
  <c r="G1389" i="6" s="1"/>
  <c r="I1389" i="6" a="1"/>
  <c r="I1389" i="6" s="1"/>
  <c r="D1392" i="6" a="1"/>
  <c r="D1392" i="6" s="1"/>
  <c r="F1392" i="6" a="1"/>
  <c r="F1392" i="6" s="1"/>
  <c r="G1392" i="6" a="1"/>
  <c r="G1392" i="6" s="1"/>
  <c r="I1392" i="6" a="1"/>
  <c r="I1392" i="6" s="1"/>
  <c r="D1393" i="6" a="1"/>
  <c r="D1393" i="6" s="1"/>
  <c r="F1393" i="6" a="1"/>
  <c r="F1393" i="6" s="1"/>
  <c r="G1393" i="6" a="1"/>
  <c r="G1393" i="6" s="1"/>
  <c r="I1393" i="6" a="1"/>
  <c r="I1393" i="6" s="1"/>
  <c r="D1394" i="6" a="1"/>
  <c r="D1394" i="6" s="1"/>
  <c r="F1394" i="6" a="1"/>
  <c r="F1394" i="6" s="1"/>
  <c r="G1394" i="6" a="1"/>
  <c r="G1394" i="6" s="1"/>
  <c r="I1394" i="6" a="1"/>
  <c r="I1394" i="6" s="1"/>
  <c r="D1395" i="6" a="1"/>
  <c r="D1395" i="6" s="1"/>
  <c r="F1395" i="6" a="1"/>
  <c r="F1395" i="6" s="1"/>
  <c r="G1395" i="6" a="1"/>
  <c r="G1395" i="6" s="1"/>
  <c r="I1395" i="6" a="1"/>
  <c r="I1395" i="6" s="1"/>
  <c r="D1396" i="6" a="1"/>
  <c r="D1396" i="6" s="1"/>
  <c r="F1396" i="6" a="1"/>
  <c r="F1396" i="6" s="1"/>
  <c r="G1396" i="6" a="1"/>
  <c r="G1396" i="6" s="1"/>
  <c r="I1396" i="6" a="1"/>
  <c r="I1396" i="6" s="1"/>
  <c r="D1397" i="6" a="1"/>
  <c r="D1397" i="6" s="1"/>
  <c r="F1397" i="6" a="1"/>
  <c r="F1397" i="6" s="1"/>
  <c r="G1397" i="6" a="1"/>
  <c r="G1397" i="6" s="1"/>
  <c r="I1397" i="6" a="1"/>
  <c r="I1397" i="6" s="1"/>
  <c r="D1399" i="6" a="1"/>
  <c r="D1399" i="6" s="1"/>
  <c r="F1399" i="6" a="1"/>
  <c r="F1399" i="6" s="1"/>
  <c r="G1399" i="6" a="1"/>
  <c r="G1399" i="6" s="1"/>
  <c r="I1399" i="6" a="1"/>
  <c r="I1399" i="6" s="1"/>
  <c r="D1400" i="6" a="1"/>
  <c r="D1400" i="6" s="1"/>
  <c r="F1400" i="6" a="1"/>
  <c r="F1400" i="6" s="1"/>
  <c r="G1400" i="6" a="1"/>
  <c r="G1400" i="6" s="1"/>
  <c r="I1400" i="6" a="1"/>
  <c r="I1400" i="6" s="1"/>
  <c r="D1401" i="6" a="1"/>
  <c r="D1401" i="6" s="1"/>
  <c r="F1401" i="6" a="1"/>
  <c r="F1401" i="6" s="1"/>
  <c r="G1401" i="6" a="1"/>
  <c r="G1401" i="6" s="1"/>
  <c r="I1401" i="6" a="1"/>
  <c r="I1401" i="6" s="1"/>
  <c r="D1404" i="6" a="1"/>
  <c r="D1404" i="6" s="1"/>
  <c r="F1404" i="6" a="1"/>
  <c r="F1404" i="6" s="1"/>
  <c r="G1404" i="6" a="1"/>
  <c r="G1404" i="6" s="1"/>
  <c r="I1404" i="6" a="1"/>
  <c r="I1404" i="6" s="1"/>
  <c r="D1405" i="6" a="1"/>
  <c r="D1405" i="6" s="1"/>
  <c r="F1405" i="6" a="1"/>
  <c r="F1405" i="6" s="1"/>
  <c r="G1405" i="6" a="1"/>
  <c r="G1405" i="6" s="1"/>
  <c r="I1405" i="6" a="1"/>
  <c r="I1405" i="6" s="1"/>
  <c r="D1406" i="6" a="1"/>
  <c r="D1406" i="6" s="1"/>
  <c r="F1406" i="6" a="1"/>
  <c r="F1406" i="6" s="1"/>
  <c r="G1406" i="6" a="1"/>
  <c r="G1406" i="6" s="1"/>
  <c r="I1406" i="6" a="1"/>
  <c r="I1406" i="6" s="1"/>
  <c r="D1407" i="6" a="1"/>
  <c r="D1407" i="6" s="1"/>
  <c r="F1407" i="6" a="1"/>
  <c r="F1407" i="6" s="1"/>
  <c r="G1407" i="6" a="1"/>
  <c r="G1407" i="6" s="1"/>
  <c r="I1407" i="6" a="1"/>
  <c r="I1407" i="6" s="1"/>
  <c r="D1408" i="6" a="1"/>
  <c r="D1408" i="6" s="1"/>
  <c r="F1408" i="6" a="1"/>
  <c r="F1408" i="6" s="1"/>
  <c r="G1408" i="6" a="1"/>
  <c r="G1408" i="6" s="1"/>
  <c r="I1408" i="6" a="1"/>
  <c r="I1408" i="6" s="1"/>
  <c r="D1409" i="6" a="1"/>
  <c r="D1409" i="6" s="1"/>
  <c r="F1409" i="6" a="1"/>
  <c r="F1409" i="6" s="1"/>
  <c r="G1409" i="6" a="1"/>
  <c r="G1409" i="6" s="1"/>
  <c r="I1409" i="6" a="1"/>
  <c r="I1409" i="6" s="1"/>
  <c r="D1411" i="6" a="1"/>
  <c r="D1411" i="6" s="1"/>
  <c r="F1411" i="6" a="1"/>
  <c r="F1411" i="6" s="1"/>
  <c r="G1411" i="6" a="1"/>
  <c r="G1411" i="6" s="1"/>
  <c r="I1411" i="6" a="1"/>
  <c r="I1411" i="6" s="1"/>
  <c r="D1412" i="6" a="1"/>
  <c r="D1412" i="6" s="1"/>
  <c r="F1412" i="6" a="1"/>
  <c r="F1412" i="6" s="1"/>
  <c r="G1412" i="6" a="1"/>
  <c r="G1412" i="6" s="1"/>
  <c r="I1412" i="6" a="1"/>
  <c r="I1412" i="6" s="1"/>
  <c r="D1413" i="6" a="1"/>
  <c r="D1413" i="6" s="1"/>
  <c r="F1413" i="6" a="1"/>
  <c r="F1413" i="6" s="1"/>
  <c r="G1413" i="6" a="1"/>
  <c r="G1413" i="6" s="1"/>
  <c r="I1413" i="6" a="1"/>
  <c r="I1413" i="6" s="1"/>
  <c r="D1416" i="6" a="1"/>
  <c r="D1416" i="6" s="1"/>
  <c r="F1416" i="6" a="1"/>
  <c r="F1416" i="6" s="1"/>
  <c r="G1416" i="6" a="1"/>
  <c r="G1416" i="6" s="1"/>
  <c r="I1416" i="6" a="1"/>
  <c r="I1416" i="6" s="1"/>
  <c r="D1417" i="6" a="1"/>
  <c r="D1417" i="6" s="1"/>
  <c r="F1417" i="6" a="1"/>
  <c r="F1417" i="6" s="1"/>
  <c r="G1417" i="6" a="1"/>
  <c r="G1417" i="6" s="1"/>
  <c r="I1417" i="6" a="1"/>
  <c r="I1417" i="6" s="1"/>
  <c r="D1418" i="6" a="1"/>
  <c r="D1418" i="6" s="1"/>
  <c r="F1418" i="6" a="1"/>
  <c r="F1418" i="6" s="1"/>
  <c r="G1418" i="6" a="1"/>
  <c r="G1418" i="6" s="1"/>
  <c r="I1418" i="6" a="1"/>
  <c r="I1418" i="6" s="1"/>
  <c r="D1419" i="6" a="1"/>
  <c r="D1419" i="6" s="1"/>
  <c r="F1419" i="6" a="1"/>
  <c r="F1419" i="6" s="1"/>
  <c r="G1419" i="6" a="1"/>
  <c r="G1419" i="6" s="1"/>
  <c r="I1419" i="6" a="1"/>
  <c r="I1419" i="6" s="1"/>
  <c r="D1420" i="6" a="1"/>
  <c r="D1420" i="6" s="1"/>
  <c r="F1420" i="6" a="1"/>
  <c r="F1420" i="6" s="1"/>
  <c r="G1420" i="6" a="1"/>
  <c r="G1420" i="6" s="1"/>
  <c r="I1420" i="6" a="1"/>
  <c r="I1420" i="6" s="1"/>
  <c r="D1421" i="6" a="1"/>
  <c r="D1421" i="6" s="1"/>
  <c r="F1421" i="6" a="1"/>
  <c r="F1421" i="6" s="1"/>
  <c r="G1421" i="6" a="1"/>
  <c r="G1421" i="6" s="1"/>
  <c r="I1421" i="6" a="1"/>
  <c r="I1421" i="6" s="1"/>
  <c r="I1422" i="6" a="1"/>
  <c r="I1422" i="6" s="1"/>
  <c r="D1423" i="6" a="1"/>
  <c r="D1423" i="6" s="1"/>
  <c r="F1423" i="6" a="1"/>
  <c r="F1423" i="6" s="1"/>
  <c r="G1423" i="6" a="1"/>
  <c r="G1423" i="6" s="1"/>
  <c r="I1423" i="6" a="1"/>
  <c r="I1423" i="6" s="1"/>
  <c r="D1424" i="6" a="1"/>
  <c r="D1424" i="6" s="1"/>
  <c r="F1424" i="6" a="1"/>
  <c r="F1424" i="6" s="1"/>
  <c r="G1424" i="6" a="1"/>
  <c r="G1424" i="6" s="1"/>
  <c r="I1424" i="6" a="1"/>
  <c r="I1424" i="6" s="1"/>
  <c r="D1425" i="6" a="1"/>
  <c r="D1425" i="6" s="1"/>
  <c r="F1425" i="6" a="1"/>
  <c r="F1425" i="6" s="1"/>
  <c r="G1425" i="6" a="1"/>
  <c r="G1425" i="6" s="1"/>
  <c r="I1425" i="6" a="1"/>
  <c r="I1425" i="6" s="1"/>
  <c r="D1428" i="6" a="1"/>
  <c r="D1428" i="6" s="1"/>
  <c r="F1428" i="6" a="1"/>
  <c r="F1428" i="6" s="1"/>
  <c r="G1428" i="6" a="1"/>
  <c r="G1428" i="6" s="1"/>
  <c r="I1428" i="6" a="1"/>
  <c r="I1428" i="6" s="1"/>
  <c r="D1429" i="6" a="1"/>
  <c r="D1429" i="6" s="1"/>
  <c r="F1429" i="6" a="1"/>
  <c r="F1429" i="6" s="1"/>
  <c r="G1429" i="6" a="1"/>
  <c r="G1429" i="6" s="1"/>
  <c r="I1429" i="6" a="1"/>
  <c r="I1429" i="6" s="1"/>
  <c r="D1430" i="6" a="1"/>
  <c r="D1430" i="6" s="1"/>
  <c r="F1430" i="6" a="1"/>
  <c r="F1430" i="6" s="1"/>
  <c r="G1430" i="6" a="1"/>
  <c r="G1430" i="6" s="1"/>
  <c r="I1430" i="6" a="1"/>
  <c r="I1430" i="6" s="1"/>
  <c r="D1431" i="6" a="1"/>
  <c r="D1431" i="6" s="1"/>
  <c r="F1431" i="6" a="1"/>
  <c r="F1431" i="6" s="1"/>
  <c r="G1431" i="6" a="1"/>
  <c r="G1431" i="6" s="1"/>
  <c r="I1431" i="6" a="1"/>
  <c r="I1431" i="6" s="1"/>
  <c r="D1432" i="6" a="1"/>
  <c r="D1432" i="6" s="1"/>
  <c r="F1432" i="6" a="1"/>
  <c r="F1432" i="6" s="1"/>
  <c r="G1432" i="6" a="1"/>
  <c r="G1432" i="6" s="1"/>
  <c r="I1432" i="6" a="1"/>
  <c r="I1432" i="6" s="1"/>
  <c r="D1433" i="6" a="1"/>
  <c r="D1433" i="6" s="1"/>
  <c r="F1433" i="6" a="1"/>
  <c r="F1433" i="6" s="1"/>
  <c r="G1433" i="6" a="1"/>
  <c r="G1433" i="6" s="1"/>
  <c r="I1433" i="6" a="1"/>
  <c r="I1433" i="6" s="1"/>
  <c r="G1434" i="6" a="1"/>
  <c r="G1434" i="6" s="1"/>
  <c r="I1434" i="6" a="1"/>
  <c r="I1434" i="6" s="1"/>
  <c r="D1435" i="6" a="1"/>
  <c r="D1435" i="6" s="1"/>
  <c r="F1435" i="6" a="1"/>
  <c r="F1435" i="6" s="1"/>
  <c r="G1435" i="6" a="1"/>
  <c r="G1435" i="6" s="1"/>
  <c r="I1435" i="6" a="1"/>
  <c r="I1435" i="6" s="1"/>
  <c r="D1436" i="6" a="1"/>
  <c r="D1436" i="6" s="1"/>
  <c r="F1436" i="6" a="1"/>
  <c r="F1436" i="6" s="1"/>
  <c r="G1436" i="6" a="1"/>
  <c r="G1436" i="6" s="1"/>
  <c r="I1436" i="6" a="1"/>
  <c r="I1436" i="6" s="1"/>
  <c r="D1437" i="6" a="1"/>
  <c r="D1437" i="6" s="1"/>
  <c r="F1437" i="6" a="1"/>
  <c r="F1437" i="6" s="1"/>
  <c r="G1437" i="6" a="1"/>
  <c r="G1437" i="6" s="1"/>
  <c r="I1437" i="6" a="1"/>
  <c r="I1437" i="6" s="1"/>
  <c r="D1440" i="6" a="1"/>
  <c r="D1440" i="6" s="1"/>
  <c r="F1440" i="6" a="1"/>
  <c r="F1440" i="6" s="1"/>
  <c r="G1440" i="6" a="1"/>
  <c r="G1440" i="6" s="1"/>
  <c r="I1440" i="6" a="1"/>
  <c r="I1440" i="6" s="1"/>
  <c r="D1441" i="6" a="1"/>
  <c r="D1441" i="6" s="1"/>
  <c r="F1441" i="6" a="1"/>
  <c r="F1441" i="6" s="1"/>
  <c r="G1441" i="6" a="1"/>
  <c r="G1441" i="6" s="1"/>
  <c r="I1441" i="6" a="1"/>
  <c r="I1441" i="6" s="1"/>
  <c r="D1442" i="6" a="1"/>
  <c r="D1442" i="6" s="1"/>
  <c r="F1442" i="6" a="1"/>
  <c r="F1442" i="6" s="1"/>
  <c r="G1442" i="6" a="1"/>
  <c r="G1442" i="6" s="1"/>
  <c r="I1442" i="6" a="1"/>
  <c r="I1442" i="6" s="1"/>
  <c r="D1443" i="6" a="1"/>
  <c r="D1443" i="6" s="1"/>
  <c r="F1443" i="6" a="1"/>
  <c r="F1443" i="6" s="1"/>
  <c r="G1443" i="6" a="1"/>
  <c r="G1443" i="6" s="1"/>
  <c r="I1443" i="6" a="1"/>
  <c r="I1443" i="6" s="1"/>
  <c r="D1444" i="6" a="1"/>
  <c r="D1444" i="6" s="1"/>
  <c r="F1444" i="6" a="1"/>
  <c r="F1444" i="6" s="1"/>
  <c r="G1444" i="6" a="1"/>
  <c r="G1444" i="6" s="1"/>
  <c r="I1444" i="6" a="1"/>
  <c r="I1444" i="6" s="1"/>
  <c r="D1445" i="6" a="1"/>
  <c r="D1445" i="6" s="1"/>
  <c r="F1445" i="6" a="1"/>
  <c r="F1445" i="6" s="1"/>
  <c r="G1445" i="6" a="1"/>
  <c r="G1445" i="6" s="1"/>
  <c r="I1445" i="6" a="1"/>
  <c r="I1445" i="6" s="1"/>
  <c r="D1447" i="6" a="1"/>
  <c r="D1447" i="6" s="1"/>
  <c r="F1447" i="6" a="1"/>
  <c r="F1447" i="6" s="1"/>
  <c r="G1447" i="6" a="1"/>
  <c r="G1447" i="6" s="1"/>
  <c r="I1447" i="6" a="1"/>
  <c r="I1447" i="6" s="1"/>
  <c r="D1448" i="6" a="1"/>
  <c r="D1448" i="6" s="1"/>
  <c r="F1448" i="6" a="1"/>
  <c r="F1448" i="6" s="1"/>
  <c r="G1448" i="6" a="1"/>
  <c r="G1448" i="6" s="1"/>
  <c r="I1448" i="6" a="1"/>
  <c r="I1448" i="6" s="1"/>
  <c r="D1449" i="6" a="1"/>
  <c r="D1449" i="6" s="1"/>
  <c r="F1449" i="6" a="1"/>
  <c r="F1449" i="6" s="1"/>
  <c r="G1449" i="6" a="1"/>
  <c r="G1449" i="6" s="1"/>
  <c r="I1449" i="6" a="1"/>
  <c r="I1449" i="6" s="1"/>
  <c r="D1452" i="6" a="1"/>
  <c r="D1452" i="6" s="1"/>
  <c r="F1452" i="6" a="1"/>
  <c r="F1452" i="6" s="1"/>
  <c r="G1452" i="6" a="1"/>
  <c r="G1452" i="6" s="1"/>
  <c r="I1452" i="6" a="1"/>
  <c r="I1452" i="6" s="1"/>
  <c r="D1453" i="6" a="1"/>
  <c r="D1453" i="6" s="1"/>
  <c r="F1453" i="6" a="1"/>
  <c r="F1453" i="6" s="1"/>
  <c r="G1453" i="6" a="1"/>
  <c r="G1453" i="6" s="1"/>
  <c r="I1453" i="6" a="1"/>
  <c r="I1453" i="6" s="1"/>
  <c r="D1454" i="6" a="1"/>
  <c r="D1454" i="6" s="1"/>
  <c r="F1454" i="6" a="1"/>
  <c r="F1454" i="6" s="1"/>
  <c r="G1454" i="6" a="1"/>
  <c r="G1454" i="6" s="1"/>
  <c r="I1454" i="6" a="1"/>
  <c r="I1454" i="6" s="1"/>
  <c r="D1455" i="6" a="1"/>
  <c r="D1455" i="6" s="1"/>
  <c r="F1455" i="6" a="1"/>
  <c r="F1455" i="6" s="1"/>
  <c r="G1455" i="6" a="1"/>
  <c r="G1455" i="6" s="1"/>
  <c r="I1455" i="6" a="1"/>
  <c r="I1455" i="6" s="1"/>
  <c r="D1456" i="6" a="1"/>
  <c r="D1456" i="6" s="1"/>
  <c r="F1456" i="6" a="1"/>
  <c r="F1456" i="6" s="1"/>
  <c r="G1456" i="6" a="1"/>
  <c r="G1456" i="6" s="1"/>
  <c r="I1456" i="6" a="1"/>
  <c r="I1456" i="6" s="1"/>
  <c r="D1457" i="6" a="1"/>
  <c r="D1457" i="6" s="1"/>
  <c r="F1457" i="6" a="1"/>
  <c r="F1457" i="6" s="1"/>
  <c r="G1457" i="6" a="1"/>
  <c r="G1457" i="6" s="1"/>
  <c r="I1457" i="6" a="1"/>
  <c r="I1457" i="6" s="1"/>
  <c r="D1459" i="6" a="1"/>
  <c r="D1459" i="6" s="1"/>
  <c r="F1459" i="6" a="1"/>
  <c r="F1459" i="6" s="1"/>
  <c r="G1459" i="6" a="1"/>
  <c r="G1459" i="6" s="1"/>
  <c r="I1459" i="6" a="1"/>
  <c r="I1459" i="6" s="1"/>
  <c r="D1460" i="6" a="1"/>
  <c r="D1460" i="6" s="1"/>
  <c r="F1460" i="6" a="1"/>
  <c r="F1460" i="6" s="1"/>
  <c r="G1460" i="6" a="1"/>
  <c r="G1460" i="6" s="1"/>
  <c r="I1460" i="6" a="1"/>
  <c r="I1460" i="6" s="1"/>
  <c r="D1461" i="6" a="1"/>
  <c r="D1461" i="6" s="1"/>
  <c r="F1461" i="6" a="1"/>
  <c r="F1461" i="6" s="1"/>
  <c r="G1461" i="6" a="1"/>
  <c r="G1461" i="6" s="1"/>
  <c r="I1461" i="6" a="1"/>
  <c r="I1461" i="6" s="1"/>
  <c r="D1464" i="6" a="1"/>
  <c r="D1464" i="6" s="1"/>
  <c r="F1464" i="6" a="1"/>
  <c r="F1464" i="6" s="1"/>
  <c r="G1464" i="6" a="1"/>
  <c r="G1464" i="6" s="1"/>
  <c r="I1464" i="6" a="1"/>
  <c r="I1464" i="6" s="1"/>
  <c r="D1465" i="6" a="1"/>
  <c r="D1465" i="6" s="1"/>
  <c r="F1465" i="6" a="1"/>
  <c r="F1465" i="6" s="1"/>
  <c r="G1465" i="6" a="1"/>
  <c r="G1465" i="6" s="1"/>
  <c r="I1465" i="6" a="1"/>
  <c r="I1465" i="6" s="1"/>
  <c r="D1466" i="6" a="1"/>
  <c r="D1466" i="6" s="1"/>
  <c r="F1466" i="6" a="1"/>
  <c r="F1466" i="6" s="1"/>
  <c r="G1466" i="6" a="1"/>
  <c r="G1466" i="6" s="1"/>
  <c r="I1466" i="6" a="1"/>
  <c r="I1466" i="6" s="1"/>
  <c r="D1467" i="6" a="1"/>
  <c r="D1467" i="6" s="1"/>
  <c r="F1467" i="6" a="1"/>
  <c r="F1467" i="6" s="1"/>
  <c r="G1467" i="6" a="1"/>
  <c r="G1467" i="6" s="1"/>
  <c r="I1467" i="6" a="1"/>
  <c r="I1467" i="6" s="1"/>
  <c r="D1468" i="6" a="1"/>
  <c r="D1468" i="6" s="1"/>
  <c r="F1468" i="6" a="1"/>
  <c r="F1468" i="6" s="1"/>
  <c r="G1468" i="6" a="1"/>
  <c r="G1468" i="6" s="1"/>
  <c r="I1468" i="6" a="1"/>
  <c r="I1468" i="6" s="1"/>
  <c r="D1469" i="6" a="1"/>
  <c r="D1469" i="6" s="1"/>
  <c r="F1469" i="6" a="1"/>
  <c r="F1469" i="6" s="1"/>
  <c r="G1469" i="6" a="1"/>
  <c r="G1469" i="6" s="1"/>
  <c r="I1469" i="6" a="1"/>
  <c r="I1469" i="6" s="1"/>
  <c r="D1471" i="6" a="1"/>
  <c r="D1471" i="6" s="1"/>
  <c r="F1471" i="6" a="1"/>
  <c r="F1471" i="6" s="1"/>
  <c r="G1471" i="6" a="1"/>
  <c r="G1471" i="6" s="1"/>
  <c r="I1471" i="6" a="1"/>
  <c r="I1471" i="6" s="1"/>
  <c r="D1472" i="6" a="1"/>
  <c r="D1472" i="6" s="1"/>
  <c r="F1472" i="6" a="1"/>
  <c r="F1472" i="6" s="1"/>
  <c r="G1472" i="6" a="1"/>
  <c r="G1472" i="6" s="1"/>
  <c r="I1472" i="6" a="1"/>
  <c r="I1472" i="6" s="1"/>
  <c r="D1473" i="6" a="1"/>
  <c r="D1473" i="6" s="1"/>
  <c r="F1473" i="6" a="1"/>
  <c r="F1473" i="6" s="1"/>
  <c r="G1473" i="6" a="1"/>
  <c r="G1473" i="6" s="1"/>
  <c r="I1473" i="6" a="1"/>
  <c r="I1473" i="6" s="1"/>
  <c r="D1476" i="6" a="1"/>
  <c r="D1476" i="6" s="1"/>
  <c r="F1476" i="6" a="1"/>
  <c r="F1476" i="6" s="1"/>
  <c r="G1476" i="6" a="1"/>
  <c r="G1476" i="6" s="1"/>
  <c r="I1476" i="6" a="1"/>
  <c r="I1476" i="6" s="1"/>
  <c r="D1477" i="6" a="1"/>
  <c r="D1477" i="6" s="1"/>
  <c r="F1477" i="6" a="1"/>
  <c r="F1477" i="6" s="1"/>
  <c r="G1477" i="6" a="1"/>
  <c r="G1477" i="6" s="1"/>
  <c r="I1477" i="6" a="1"/>
  <c r="I1477" i="6" s="1"/>
  <c r="D1478" i="6" a="1"/>
  <c r="D1478" i="6" s="1"/>
  <c r="F1478" i="6" a="1"/>
  <c r="F1478" i="6" s="1"/>
  <c r="G1478" i="6" a="1"/>
  <c r="G1478" i="6" s="1"/>
  <c r="I1478" i="6" a="1"/>
  <c r="I1478" i="6" s="1"/>
  <c r="D1479" i="6" a="1"/>
  <c r="D1479" i="6" s="1"/>
  <c r="F1479" i="6" a="1"/>
  <c r="F1479" i="6" s="1"/>
  <c r="G1479" i="6" a="1"/>
  <c r="G1479" i="6" s="1"/>
  <c r="I1479" i="6" a="1"/>
  <c r="I1479" i="6" s="1"/>
  <c r="D1480" i="6" a="1"/>
  <c r="D1480" i="6" s="1"/>
  <c r="F1480" i="6" a="1"/>
  <c r="F1480" i="6" s="1"/>
  <c r="G1480" i="6" a="1"/>
  <c r="G1480" i="6" s="1"/>
  <c r="I1480" i="6" a="1"/>
  <c r="I1480" i="6" s="1"/>
  <c r="D1481" i="6" a="1"/>
  <c r="D1481" i="6" s="1"/>
  <c r="F1481" i="6" a="1"/>
  <c r="F1481" i="6" s="1"/>
  <c r="G1481" i="6" a="1"/>
  <c r="G1481" i="6" s="1"/>
  <c r="I1481" i="6" a="1"/>
  <c r="I1481" i="6" s="1"/>
  <c r="F1482" i="6" a="1"/>
  <c r="F1482" i="6" s="1"/>
  <c r="G1482" i="6" a="1"/>
  <c r="G1482" i="6" s="1"/>
  <c r="D1483" i="6" a="1"/>
  <c r="D1483" i="6" s="1"/>
  <c r="F1483" i="6" a="1"/>
  <c r="F1483" i="6" s="1"/>
  <c r="G1483" i="6" a="1"/>
  <c r="G1483" i="6" s="1"/>
  <c r="I1483" i="6" a="1"/>
  <c r="I1483" i="6" s="1"/>
  <c r="D1484" i="6" a="1"/>
  <c r="D1484" i="6" s="1"/>
  <c r="F1484" i="6" a="1"/>
  <c r="F1484" i="6" s="1"/>
  <c r="G1484" i="6" a="1"/>
  <c r="G1484" i="6" s="1"/>
  <c r="I1484" i="6" a="1"/>
  <c r="I1484" i="6" s="1"/>
  <c r="D1485" i="6" a="1"/>
  <c r="D1485" i="6" s="1"/>
  <c r="F1485" i="6" a="1"/>
  <c r="F1485" i="6" s="1"/>
  <c r="G1485" i="6" a="1"/>
  <c r="G1485" i="6" s="1"/>
  <c r="I1485" i="6" a="1"/>
  <c r="I1485" i="6" s="1"/>
  <c r="I1487" i="6" a="1"/>
  <c r="I1487" i="6" s="1"/>
  <c r="D1488" i="6" a="1"/>
  <c r="D1488" i="6" s="1"/>
  <c r="F1488" i="6" a="1"/>
  <c r="F1488" i="6" s="1"/>
  <c r="G1488" i="6" a="1"/>
  <c r="G1488" i="6" s="1"/>
  <c r="I1488" i="6" a="1"/>
  <c r="I1488" i="6" s="1"/>
  <c r="D1489" i="6" a="1"/>
  <c r="D1489" i="6" s="1"/>
  <c r="F1489" i="6" a="1"/>
  <c r="F1489" i="6" s="1"/>
  <c r="G1489" i="6" a="1"/>
  <c r="G1489" i="6" s="1"/>
  <c r="I1489" i="6" a="1"/>
  <c r="I1489" i="6" s="1"/>
  <c r="D1490" i="6" a="1"/>
  <c r="D1490" i="6" s="1"/>
  <c r="F1490" i="6" a="1"/>
  <c r="F1490" i="6" s="1"/>
  <c r="G1490" i="6" a="1"/>
  <c r="G1490" i="6" s="1"/>
  <c r="I1490" i="6" a="1"/>
  <c r="I1490" i="6" s="1"/>
  <c r="D1491" i="6" a="1"/>
  <c r="D1491" i="6" s="1"/>
  <c r="F1491" i="6" a="1"/>
  <c r="F1491" i="6" s="1"/>
  <c r="G1491" i="6" a="1"/>
  <c r="G1491" i="6" s="1"/>
  <c r="I1491" i="6" a="1"/>
  <c r="I1491" i="6" s="1"/>
  <c r="D1492" i="6" a="1"/>
  <c r="D1492" i="6" s="1"/>
  <c r="F1492" i="6" a="1"/>
  <c r="F1492" i="6" s="1"/>
  <c r="G1492" i="6" a="1"/>
  <c r="G1492" i="6" s="1"/>
  <c r="I1492" i="6" a="1"/>
  <c r="I1492" i="6" s="1"/>
  <c r="D1493" i="6" a="1"/>
  <c r="D1493" i="6" s="1"/>
  <c r="F1493" i="6" a="1"/>
  <c r="F1493" i="6" s="1"/>
  <c r="G1493" i="6" a="1"/>
  <c r="G1493" i="6" s="1"/>
  <c r="I1493" i="6" a="1"/>
  <c r="I1493" i="6" s="1"/>
  <c r="F1494" i="6" a="1"/>
  <c r="F1494" i="6" s="1"/>
  <c r="G1494" i="6" a="1"/>
  <c r="G1494" i="6" s="1"/>
  <c r="D1495" i="6" a="1"/>
  <c r="D1495" i="6" s="1"/>
  <c r="F1495" i="6" a="1"/>
  <c r="F1495" i="6" s="1"/>
  <c r="G1495" i="6" a="1"/>
  <c r="G1495" i="6" s="1"/>
  <c r="I1495" i="6" a="1"/>
  <c r="I1495" i="6" s="1"/>
  <c r="D1496" i="6" a="1"/>
  <c r="D1496" i="6" s="1"/>
  <c r="F1496" i="6" a="1"/>
  <c r="F1496" i="6" s="1"/>
  <c r="G1496" i="6" a="1"/>
  <c r="G1496" i="6" s="1"/>
  <c r="I1496" i="6" a="1"/>
  <c r="I1496" i="6" s="1"/>
  <c r="D1497" i="6" a="1"/>
  <c r="D1497" i="6" s="1"/>
  <c r="F1497" i="6" a="1"/>
  <c r="F1497" i="6" s="1"/>
  <c r="G1497" i="6" a="1"/>
  <c r="G1497" i="6" s="1"/>
  <c r="I1497" i="6" a="1"/>
  <c r="I1497" i="6" s="1"/>
  <c r="D1500" i="6" a="1"/>
  <c r="D1500" i="6" s="1"/>
  <c r="F1500" i="6" a="1"/>
  <c r="F1500" i="6" s="1"/>
  <c r="G1500" i="6" a="1"/>
  <c r="G1500" i="6" s="1"/>
  <c r="I1500" i="6" a="1"/>
  <c r="I1500" i="6" s="1"/>
  <c r="D1501" i="6" a="1"/>
  <c r="D1501" i="6" s="1"/>
  <c r="F1501" i="6" a="1"/>
  <c r="F1501" i="6" s="1"/>
  <c r="G1501" i="6" a="1"/>
  <c r="G1501" i="6" s="1"/>
  <c r="I1501" i="6" a="1"/>
  <c r="I1501" i="6" s="1"/>
  <c r="D1502" i="6" a="1"/>
  <c r="D1502" i="6" s="1"/>
  <c r="F1502" i="6" a="1"/>
  <c r="F1502" i="6" s="1"/>
  <c r="G1502" i="6" a="1"/>
  <c r="G1502" i="6" s="1"/>
  <c r="I1502" i="6" a="1"/>
  <c r="I1502" i="6" s="1"/>
  <c r="D1503" i="6" a="1"/>
  <c r="D1503" i="6" s="1"/>
  <c r="F1503" i="6" a="1"/>
  <c r="F1503" i="6" s="1"/>
  <c r="G1503" i="6" a="1"/>
  <c r="G1503" i="6" s="1"/>
  <c r="I1503" i="6" a="1"/>
  <c r="I1503" i="6" s="1"/>
  <c r="D1504" i="6" a="1"/>
  <c r="D1504" i="6" s="1"/>
  <c r="F1504" i="6" a="1"/>
  <c r="F1504" i="6" s="1"/>
  <c r="G1504" i="6" a="1"/>
  <c r="G1504" i="6" s="1"/>
  <c r="I1504" i="6" a="1"/>
  <c r="I1504" i="6" s="1"/>
  <c r="D1505" i="6" a="1"/>
  <c r="D1505" i="6" s="1"/>
  <c r="F1505" i="6" a="1"/>
  <c r="F1505" i="6" s="1"/>
  <c r="G1505" i="6" a="1"/>
  <c r="G1505" i="6" s="1"/>
  <c r="I1505" i="6" a="1"/>
  <c r="I1505" i="6" s="1"/>
  <c r="D1507" i="6" a="1"/>
  <c r="D1507" i="6" s="1"/>
  <c r="F1507" i="6" a="1"/>
  <c r="F1507" i="6" s="1"/>
  <c r="G1507" i="6" a="1"/>
  <c r="G1507" i="6" s="1"/>
  <c r="I1507" i="6" a="1"/>
  <c r="I1507" i="6" s="1"/>
  <c r="D1508" i="6" a="1"/>
  <c r="D1508" i="6" s="1"/>
  <c r="F1508" i="6" a="1"/>
  <c r="F1508" i="6" s="1"/>
  <c r="G1508" i="6" a="1"/>
  <c r="G1508" i="6" s="1"/>
  <c r="I1508" i="6" a="1"/>
  <c r="I1508" i="6" s="1"/>
  <c r="D1509" i="6" a="1"/>
  <c r="D1509" i="6" s="1"/>
  <c r="F1509" i="6" a="1"/>
  <c r="F1509" i="6" s="1"/>
  <c r="G1509" i="6" a="1"/>
  <c r="G1509" i="6" s="1"/>
  <c r="I1509" i="6" a="1"/>
  <c r="I1509" i="6" s="1"/>
  <c r="D1512" i="6" a="1"/>
  <c r="D1512" i="6" s="1"/>
  <c r="F1512" i="6" a="1"/>
  <c r="F1512" i="6" s="1"/>
  <c r="G1512" i="6" a="1"/>
  <c r="G1512" i="6" s="1"/>
  <c r="I1512" i="6" a="1"/>
  <c r="I1512" i="6" s="1"/>
  <c r="D1513" i="6" a="1"/>
  <c r="D1513" i="6" s="1"/>
  <c r="F1513" i="6" a="1"/>
  <c r="F1513" i="6" s="1"/>
  <c r="G1513" i="6" a="1"/>
  <c r="G1513" i="6" s="1"/>
  <c r="I1513" i="6" a="1"/>
  <c r="I1513" i="6" s="1"/>
  <c r="D1514" i="6" a="1"/>
  <c r="D1514" i="6" s="1"/>
  <c r="F1514" i="6" a="1"/>
  <c r="F1514" i="6" s="1"/>
  <c r="G1514" i="6" a="1"/>
  <c r="G1514" i="6" s="1"/>
  <c r="I1514" i="6" a="1"/>
  <c r="I1514" i="6" s="1"/>
  <c r="D1515" i="6" a="1"/>
  <c r="D1515" i="6" s="1"/>
  <c r="F1515" i="6" a="1"/>
  <c r="F1515" i="6" s="1"/>
  <c r="G1515" i="6" a="1"/>
  <c r="G1515" i="6" s="1"/>
  <c r="I1515" i="6" a="1"/>
  <c r="I1515" i="6" s="1"/>
  <c r="D1516" i="6" a="1"/>
  <c r="D1516" i="6" s="1"/>
  <c r="F1516" i="6" a="1"/>
  <c r="F1516" i="6" s="1"/>
  <c r="G1516" i="6" a="1"/>
  <c r="G1516" i="6" s="1"/>
  <c r="I1516" i="6" a="1"/>
  <c r="I1516" i="6" s="1"/>
  <c r="D1517" i="6" a="1"/>
  <c r="D1517" i="6" s="1"/>
  <c r="F1517" i="6" a="1"/>
  <c r="F1517" i="6" s="1"/>
  <c r="G1517" i="6" a="1"/>
  <c r="G1517" i="6" s="1"/>
  <c r="I1517" i="6" a="1"/>
  <c r="I1517" i="6" s="1"/>
  <c r="I1518" i="6" a="1"/>
  <c r="I1518" i="6" s="1"/>
  <c r="D1519" i="6" a="1"/>
  <c r="D1519" i="6" s="1"/>
  <c r="F1519" i="6" a="1"/>
  <c r="F1519" i="6" s="1"/>
  <c r="G1519" i="6" a="1"/>
  <c r="G1519" i="6" s="1"/>
  <c r="I1519" i="6" a="1"/>
  <c r="I1519" i="6" s="1"/>
  <c r="D1520" i="6" a="1"/>
  <c r="D1520" i="6" s="1"/>
  <c r="F1520" i="6" a="1"/>
  <c r="F1520" i="6" s="1"/>
  <c r="G1520" i="6" a="1"/>
  <c r="G1520" i="6" s="1"/>
  <c r="I1520" i="6" a="1"/>
  <c r="I1520" i="6" s="1"/>
  <c r="D1521" i="6" a="1"/>
  <c r="D1521" i="6" s="1"/>
  <c r="F1521" i="6" a="1"/>
  <c r="F1521" i="6" s="1"/>
  <c r="G1521" i="6" a="1"/>
  <c r="G1521" i="6" s="1"/>
  <c r="I1521" i="6" a="1"/>
  <c r="I1521" i="6" s="1"/>
  <c r="D1524" i="6" a="1"/>
  <c r="D1524" i="6" s="1"/>
  <c r="F1524" i="6" a="1"/>
  <c r="F1524" i="6" s="1"/>
  <c r="G1524" i="6" a="1"/>
  <c r="G1524" i="6" s="1"/>
  <c r="I1524" i="6" a="1"/>
  <c r="I1524" i="6" s="1"/>
  <c r="D1525" i="6" a="1"/>
  <c r="D1525" i="6" s="1"/>
  <c r="F1525" i="6" a="1"/>
  <c r="F1525" i="6" s="1"/>
  <c r="G1525" i="6" a="1"/>
  <c r="G1525" i="6" s="1"/>
  <c r="I1525" i="6" a="1"/>
  <c r="I1525" i="6" s="1"/>
  <c r="D1526" i="6" a="1"/>
  <c r="D1526" i="6" s="1"/>
  <c r="F1526" i="6" a="1"/>
  <c r="F1526" i="6" s="1"/>
  <c r="G1526" i="6" a="1"/>
  <c r="G1526" i="6" s="1"/>
  <c r="I1526" i="6" a="1"/>
  <c r="I1526" i="6" s="1"/>
  <c r="D1527" i="6" a="1"/>
  <c r="D1527" i="6" s="1"/>
  <c r="F1527" i="6" a="1"/>
  <c r="F1527" i="6" s="1"/>
  <c r="G1527" i="6" a="1"/>
  <c r="G1527" i="6" s="1"/>
  <c r="I1527" i="6" a="1"/>
  <c r="I1527" i="6" s="1"/>
  <c r="D1528" i="6" a="1"/>
  <c r="D1528" i="6" s="1"/>
  <c r="F1528" i="6" a="1"/>
  <c r="F1528" i="6" s="1"/>
  <c r="G1528" i="6" a="1"/>
  <c r="G1528" i="6" s="1"/>
  <c r="I1528" i="6" a="1"/>
  <c r="I1528" i="6" s="1"/>
  <c r="D1529" i="6" a="1"/>
  <c r="D1529" i="6" s="1"/>
  <c r="F1529" i="6" a="1"/>
  <c r="F1529" i="6" s="1"/>
  <c r="G1529" i="6" a="1"/>
  <c r="G1529" i="6" s="1"/>
  <c r="I1529" i="6" a="1"/>
  <c r="I1529" i="6" s="1"/>
  <c r="D1531" i="6" a="1"/>
  <c r="D1531" i="6" s="1"/>
  <c r="F1531" i="6" a="1"/>
  <c r="F1531" i="6" s="1"/>
  <c r="G1531" i="6" a="1"/>
  <c r="G1531" i="6" s="1"/>
  <c r="I1531" i="6" a="1"/>
  <c r="I1531" i="6" s="1"/>
  <c r="D1532" i="6" a="1"/>
  <c r="D1532" i="6" s="1"/>
  <c r="F1532" i="6" a="1"/>
  <c r="F1532" i="6" s="1"/>
  <c r="G1532" i="6" a="1"/>
  <c r="G1532" i="6" s="1"/>
  <c r="I1532" i="6" a="1"/>
  <c r="I1532" i="6" s="1"/>
  <c r="D1533" i="6" a="1"/>
  <c r="D1533" i="6" s="1"/>
  <c r="F1533" i="6" a="1"/>
  <c r="F1533" i="6" s="1"/>
  <c r="G1533" i="6" a="1"/>
  <c r="G1533" i="6" s="1"/>
  <c r="I1533" i="6" a="1"/>
  <c r="I1533" i="6" s="1"/>
  <c r="D1536" i="6" a="1"/>
  <c r="D1536" i="6" s="1"/>
  <c r="F1536" i="6" a="1"/>
  <c r="F1536" i="6" s="1"/>
  <c r="G1536" i="6" a="1"/>
  <c r="G1536" i="6" s="1"/>
  <c r="I1536" i="6" a="1"/>
  <c r="I1536" i="6" s="1"/>
  <c r="D1537" i="6" a="1"/>
  <c r="D1537" i="6" s="1"/>
  <c r="F1537" i="6" a="1"/>
  <c r="F1537" i="6" s="1"/>
  <c r="G1537" i="6" a="1"/>
  <c r="G1537" i="6" s="1"/>
  <c r="I1537" i="6" a="1"/>
  <c r="I1537" i="6" s="1"/>
  <c r="D1538" i="6" a="1"/>
  <c r="D1538" i="6" s="1"/>
  <c r="F1538" i="6" a="1"/>
  <c r="F1538" i="6" s="1"/>
  <c r="G1538" i="6" a="1"/>
  <c r="G1538" i="6" s="1"/>
  <c r="I1538" i="6" a="1"/>
  <c r="I1538" i="6" s="1"/>
  <c r="D1539" i="6" a="1"/>
  <c r="D1539" i="6" s="1"/>
  <c r="F1539" i="6" a="1"/>
  <c r="F1539" i="6" s="1"/>
  <c r="G1539" i="6" a="1"/>
  <c r="G1539" i="6" s="1"/>
  <c r="I1539" i="6" a="1"/>
  <c r="I1539" i="6" s="1"/>
  <c r="D1540" i="6" a="1"/>
  <c r="D1540" i="6" s="1"/>
  <c r="F1540" i="6" a="1"/>
  <c r="F1540" i="6" s="1"/>
  <c r="G1540" i="6" a="1"/>
  <c r="G1540" i="6" s="1"/>
  <c r="I1540" i="6" a="1"/>
  <c r="I1540" i="6" s="1"/>
  <c r="D1541" i="6" a="1"/>
  <c r="D1541" i="6" s="1"/>
  <c r="F1541" i="6" a="1"/>
  <c r="F1541" i="6" s="1"/>
  <c r="G1541" i="6" a="1"/>
  <c r="G1541" i="6" s="1"/>
  <c r="I1541" i="6" a="1"/>
  <c r="I1541" i="6" s="1"/>
  <c r="I1542" i="6" a="1"/>
  <c r="I1542" i="6" s="1"/>
  <c r="D1543" i="6" a="1"/>
  <c r="D1543" i="6" s="1"/>
  <c r="F1543" i="6" a="1"/>
  <c r="F1543" i="6" s="1"/>
  <c r="G1543" i="6" a="1"/>
  <c r="G1543" i="6" s="1"/>
  <c r="I1543" i="6" a="1"/>
  <c r="I1543" i="6" s="1"/>
  <c r="D1544" i="6" a="1"/>
  <c r="D1544" i="6" s="1"/>
  <c r="F1544" i="6" a="1"/>
  <c r="F1544" i="6" s="1"/>
  <c r="G1544" i="6" a="1"/>
  <c r="G1544" i="6" s="1"/>
  <c r="I1544" i="6" a="1"/>
  <c r="I1544" i="6" s="1"/>
  <c r="D1545" i="6" a="1"/>
  <c r="D1545" i="6" s="1"/>
  <c r="F1545" i="6" a="1"/>
  <c r="F1545" i="6" s="1"/>
  <c r="G1545" i="6" a="1"/>
  <c r="G1545" i="6" s="1"/>
  <c r="I1545" i="6" a="1"/>
  <c r="I1545" i="6" s="1"/>
  <c r="D1546" i="6" a="1"/>
  <c r="D1546" i="6" s="1"/>
  <c r="F1546" i="6" a="1"/>
  <c r="F1546" i="6" s="1"/>
  <c r="D1548" i="6" a="1"/>
  <c r="D1548" i="6" s="1"/>
  <c r="F1548" i="6" a="1"/>
  <c r="F1548" i="6" s="1"/>
  <c r="G1548" i="6" a="1"/>
  <c r="G1548" i="6" s="1"/>
  <c r="I1548" i="6" a="1"/>
  <c r="I1548" i="6" s="1"/>
  <c r="D1549" i="6" a="1"/>
  <c r="D1549" i="6" s="1"/>
  <c r="F1549" i="6" a="1"/>
  <c r="F1549" i="6" s="1"/>
  <c r="G1549" i="6" a="1"/>
  <c r="G1549" i="6" s="1"/>
  <c r="I1549" i="6" a="1"/>
  <c r="I1549" i="6" s="1"/>
  <c r="D1550" i="6" a="1"/>
  <c r="D1550" i="6" s="1"/>
  <c r="F1550" i="6" a="1"/>
  <c r="F1550" i="6" s="1"/>
  <c r="G1550" i="6" a="1"/>
  <c r="G1550" i="6" s="1"/>
  <c r="I1550" i="6" a="1"/>
  <c r="I1550" i="6" s="1"/>
  <c r="D1551" i="6" a="1"/>
  <c r="D1551" i="6" s="1"/>
  <c r="F1551" i="6" a="1"/>
  <c r="F1551" i="6" s="1"/>
  <c r="G1551" i="6" a="1"/>
  <c r="G1551" i="6" s="1"/>
  <c r="I1551" i="6" a="1"/>
  <c r="I1551" i="6" s="1"/>
  <c r="D1552" i="6" a="1"/>
  <c r="D1552" i="6" s="1"/>
  <c r="F1552" i="6" a="1"/>
  <c r="F1552" i="6" s="1"/>
  <c r="G1552" i="6" a="1"/>
  <c r="G1552" i="6" s="1"/>
  <c r="I1552" i="6" a="1"/>
  <c r="I1552" i="6" s="1"/>
  <c r="D1553" i="6" a="1"/>
  <c r="D1553" i="6" s="1"/>
  <c r="F1553" i="6" a="1"/>
  <c r="F1553" i="6" s="1"/>
  <c r="G1553" i="6" a="1"/>
  <c r="G1553" i="6" s="1"/>
  <c r="I1553" i="6" a="1"/>
  <c r="I1553" i="6" s="1"/>
  <c r="D1555" i="6" a="1"/>
  <c r="D1555" i="6" s="1"/>
  <c r="F1555" i="6" a="1"/>
  <c r="F1555" i="6" s="1"/>
  <c r="G1555" i="6" a="1"/>
  <c r="G1555" i="6" s="1"/>
  <c r="I1555" i="6" a="1"/>
  <c r="I1555" i="6" s="1"/>
  <c r="D1556" i="6" a="1"/>
  <c r="D1556" i="6" s="1"/>
  <c r="F1556" i="6" a="1"/>
  <c r="F1556" i="6" s="1"/>
  <c r="G1556" i="6" a="1"/>
  <c r="G1556" i="6" s="1"/>
  <c r="I1556" i="6" a="1"/>
  <c r="I1556" i="6" s="1"/>
  <c r="D1557" i="6" a="1"/>
  <c r="D1557" i="6" s="1"/>
  <c r="F1557" i="6" a="1"/>
  <c r="F1557" i="6" s="1"/>
  <c r="G1557" i="6" a="1"/>
  <c r="G1557" i="6" s="1"/>
  <c r="I1557" i="6" a="1"/>
  <c r="I1557" i="6" s="1"/>
  <c r="D1560" i="6" a="1"/>
  <c r="D1560" i="6" s="1"/>
  <c r="F1560" i="6" a="1"/>
  <c r="F1560" i="6" s="1"/>
  <c r="G1560" i="6" a="1"/>
  <c r="G1560" i="6" s="1"/>
  <c r="I1560" i="6" a="1"/>
  <c r="I1560" i="6" s="1"/>
  <c r="D1561" i="6" a="1"/>
  <c r="D1561" i="6" s="1"/>
  <c r="F1561" i="6" a="1"/>
  <c r="F1561" i="6" s="1"/>
  <c r="G1561" i="6" a="1"/>
  <c r="G1561" i="6" s="1"/>
  <c r="I1561" i="6" a="1"/>
  <c r="I1561" i="6" s="1"/>
  <c r="D1562" i="6" a="1"/>
  <c r="D1562" i="6" s="1"/>
  <c r="F1562" i="6" a="1"/>
  <c r="F1562" i="6" s="1"/>
  <c r="G1562" i="6" a="1"/>
  <c r="G1562" i="6" s="1"/>
  <c r="I1562" i="6" a="1"/>
  <c r="I1562" i="6" s="1"/>
  <c r="D1563" i="6" a="1"/>
  <c r="D1563" i="6" s="1"/>
  <c r="F1563" i="6" a="1"/>
  <c r="F1563" i="6" s="1"/>
  <c r="G1563" i="6" a="1"/>
  <c r="G1563" i="6" s="1"/>
  <c r="I1563" i="6" a="1"/>
  <c r="I1563" i="6" s="1"/>
  <c r="D1564" i="6" a="1"/>
  <c r="D1564" i="6" s="1"/>
  <c r="F1564" i="6" a="1"/>
  <c r="F1564" i="6" s="1"/>
  <c r="G1564" i="6" a="1"/>
  <c r="G1564" i="6" s="1"/>
  <c r="I1564" i="6" a="1"/>
  <c r="I1564" i="6" s="1"/>
  <c r="D1565" i="6" a="1"/>
  <c r="D1565" i="6" s="1"/>
  <c r="F1565" i="6" a="1"/>
  <c r="F1565" i="6" s="1"/>
  <c r="G1565" i="6" a="1"/>
  <c r="G1565" i="6" s="1"/>
  <c r="I1565" i="6" a="1"/>
  <c r="I1565" i="6" s="1"/>
  <c r="I1566" i="6" a="1"/>
  <c r="I1566" i="6" s="1"/>
  <c r="D1567" i="6" a="1"/>
  <c r="D1567" i="6" s="1"/>
  <c r="F1567" i="6" a="1"/>
  <c r="F1567" i="6" s="1"/>
  <c r="G1567" i="6" a="1"/>
  <c r="G1567" i="6" s="1"/>
  <c r="I1567" i="6" a="1"/>
  <c r="I1567" i="6" s="1"/>
  <c r="D1568" i="6" a="1"/>
  <c r="D1568" i="6" s="1"/>
  <c r="F1568" i="6" a="1"/>
  <c r="F1568" i="6" s="1"/>
  <c r="G1568" i="6" a="1"/>
  <c r="G1568" i="6" s="1"/>
  <c r="I1568" i="6" a="1"/>
  <c r="I1568" i="6" s="1"/>
  <c r="D1569" i="6" a="1"/>
  <c r="D1569" i="6" s="1"/>
  <c r="F1569" i="6" a="1"/>
  <c r="F1569" i="6" s="1"/>
  <c r="G1569" i="6" a="1"/>
  <c r="G1569" i="6" s="1"/>
  <c r="I1569" i="6" a="1"/>
  <c r="I1569" i="6" s="1"/>
  <c r="D1572" i="6" a="1"/>
  <c r="D1572" i="6" s="1"/>
  <c r="F1572" i="6" a="1"/>
  <c r="F1572" i="6" s="1"/>
  <c r="G1572" i="6" a="1"/>
  <c r="G1572" i="6" s="1"/>
  <c r="I1572" i="6" a="1"/>
  <c r="I1572" i="6" s="1"/>
  <c r="D1573" i="6" a="1"/>
  <c r="D1573" i="6" s="1"/>
  <c r="F1573" i="6" a="1"/>
  <c r="F1573" i="6" s="1"/>
  <c r="G1573" i="6" a="1"/>
  <c r="G1573" i="6" s="1"/>
  <c r="I1573" i="6" a="1"/>
  <c r="I1573" i="6" s="1"/>
  <c r="D1574" i="6" a="1"/>
  <c r="D1574" i="6" s="1"/>
  <c r="F1574" i="6" a="1"/>
  <c r="F1574" i="6" s="1"/>
  <c r="G1574" i="6" a="1"/>
  <c r="G1574" i="6" s="1"/>
  <c r="I1574" i="6" a="1"/>
  <c r="I1574" i="6" s="1"/>
  <c r="D1575" i="6" a="1"/>
  <c r="D1575" i="6" s="1"/>
  <c r="F1575" i="6" a="1"/>
  <c r="F1575" i="6" s="1"/>
  <c r="G1575" i="6" a="1"/>
  <c r="G1575" i="6" s="1"/>
  <c r="I1575" i="6" a="1"/>
  <c r="I1575" i="6" s="1"/>
  <c r="D1576" i="6" a="1"/>
  <c r="D1576" i="6" s="1"/>
  <c r="F1576" i="6" a="1"/>
  <c r="F1576" i="6" s="1"/>
  <c r="G1576" i="6" a="1"/>
  <c r="G1576" i="6" s="1"/>
  <c r="I1576" i="6" a="1"/>
  <c r="I1576" i="6" s="1"/>
  <c r="D1577" i="6" a="1"/>
  <c r="D1577" i="6" s="1"/>
  <c r="F1577" i="6" a="1"/>
  <c r="F1577" i="6" s="1"/>
  <c r="G1577" i="6" a="1"/>
  <c r="G1577" i="6" s="1"/>
  <c r="I1577" i="6" a="1"/>
  <c r="I1577" i="6" s="1"/>
  <c r="D1579" i="6" a="1"/>
  <c r="D1579" i="6" s="1"/>
  <c r="F1579" i="6" a="1"/>
  <c r="F1579" i="6" s="1"/>
  <c r="G1579" i="6" a="1"/>
  <c r="G1579" i="6" s="1"/>
  <c r="I1579" i="6" a="1"/>
  <c r="I1579" i="6" s="1"/>
  <c r="D1580" i="6" a="1"/>
  <c r="D1580" i="6" s="1"/>
  <c r="F1580" i="6" a="1"/>
  <c r="F1580" i="6" s="1"/>
  <c r="G1580" i="6" a="1"/>
  <c r="G1580" i="6" s="1"/>
  <c r="I1580" i="6" a="1"/>
  <c r="I1580" i="6" s="1"/>
  <c r="D1581" i="6" a="1"/>
  <c r="D1581" i="6" s="1"/>
  <c r="F1581" i="6" a="1"/>
  <c r="F1581" i="6" s="1"/>
  <c r="G1581" i="6" a="1"/>
  <c r="G1581" i="6" s="1"/>
  <c r="I1581" i="6" a="1"/>
  <c r="I1581" i="6" s="1"/>
  <c r="D1584" i="6" a="1"/>
  <c r="D1584" i="6" s="1"/>
  <c r="F1584" i="6" a="1"/>
  <c r="F1584" i="6" s="1"/>
  <c r="G1584" i="6" a="1"/>
  <c r="G1584" i="6" s="1"/>
  <c r="I1584" i="6" a="1"/>
  <c r="I1584" i="6" s="1"/>
  <c r="D1585" i="6" a="1"/>
  <c r="D1585" i="6" s="1"/>
  <c r="F1585" i="6" a="1"/>
  <c r="F1585" i="6" s="1"/>
  <c r="G1585" i="6" a="1"/>
  <c r="G1585" i="6" s="1"/>
  <c r="I1585" i="6" a="1"/>
  <c r="I1585" i="6" s="1"/>
  <c r="D1586" i="6" a="1"/>
  <c r="D1586" i="6" s="1"/>
  <c r="F1586" i="6" a="1"/>
  <c r="F1586" i="6" s="1"/>
  <c r="G1586" i="6" a="1"/>
  <c r="G1586" i="6" s="1"/>
  <c r="I1586" i="6" a="1"/>
  <c r="I1586" i="6" s="1"/>
  <c r="D1587" i="6" a="1"/>
  <c r="D1587" i="6" s="1"/>
  <c r="F1587" i="6" a="1"/>
  <c r="F1587" i="6" s="1"/>
  <c r="G1587" i="6" a="1"/>
  <c r="G1587" i="6" s="1"/>
  <c r="I1587" i="6" a="1"/>
  <c r="I1587" i="6" s="1"/>
  <c r="D1588" i="6" a="1"/>
  <c r="D1588" i="6" s="1"/>
  <c r="F1588" i="6" a="1"/>
  <c r="F1588" i="6" s="1"/>
  <c r="G1588" i="6" a="1"/>
  <c r="G1588" i="6" s="1"/>
  <c r="I1588" i="6" a="1"/>
  <c r="I1588" i="6" s="1"/>
  <c r="D1589" i="6" a="1"/>
  <c r="D1589" i="6" s="1"/>
  <c r="F1589" i="6" a="1"/>
  <c r="F1589" i="6" s="1"/>
  <c r="G1589" i="6" a="1"/>
  <c r="G1589" i="6" s="1"/>
  <c r="I1589" i="6" a="1"/>
  <c r="I1589" i="6" s="1"/>
  <c r="D1591" i="6" a="1"/>
  <c r="D1591" i="6" s="1"/>
  <c r="F1591" i="6" a="1"/>
  <c r="F1591" i="6" s="1"/>
  <c r="G1591" i="6" a="1"/>
  <c r="G1591" i="6" s="1"/>
  <c r="I1591" i="6" a="1"/>
  <c r="I1591" i="6" s="1"/>
  <c r="D1592" i="6" a="1"/>
  <c r="D1592" i="6" s="1"/>
  <c r="F1592" i="6" a="1"/>
  <c r="F1592" i="6" s="1"/>
  <c r="G1592" i="6" a="1"/>
  <c r="G1592" i="6" s="1"/>
  <c r="I1592" i="6" a="1"/>
  <c r="I1592" i="6" s="1"/>
  <c r="D1593" i="6" a="1"/>
  <c r="D1593" i="6" s="1"/>
  <c r="F1593" i="6" a="1"/>
  <c r="F1593" i="6" s="1"/>
  <c r="G1593" i="6" a="1"/>
  <c r="G1593" i="6" s="1"/>
  <c r="I1593" i="6" a="1"/>
  <c r="I1593" i="6" s="1"/>
  <c r="I1595" i="6" a="1"/>
  <c r="I1595" i="6" s="1"/>
  <c r="D1596" i="6" a="1"/>
  <c r="D1596" i="6" s="1"/>
  <c r="F1596" i="6" a="1"/>
  <c r="F1596" i="6" s="1"/>
  <c r="G1596" i="6" a="1"/>
  <c r="G1596" i="6" s="1"/>
  <c r="I1596" i="6" a="1"/>
  <c r="I1596" i="6" s="1"/>
  <c r="D1597" i="6" a="1"/>
  <c r="D1597" i="6" s="1"/>
  <c r="F1597" i="6" a="1"/>
  <c r="F1597" i="6" s="1"/>
  <c r="G1597" i="6" a="1"/>
  <c r="G1597" i="6" s="1"/>
  <c r="I1597" i="6" a="1"/>
  <c r="I1597" i="6" s="1"/>
  <c r="D1598" i="6" a="1"/>
  <c r="D1598" i="6" s="1"/>
  <c r="F1598" i="6" a="1"/>
  <c r="F1598" i="6" s="1"/>
  <c r="G1598" i="6" a="1"/>
  <c r="G1598" i="6" s="1"/>
  <c r="I1598" i="6" a="1"/>
  <c r="I1598" i="6" s="1"/>
  <c r="D1599" i="6" a="1"/>
  <c r="D1599" i="6" s="1"/>
  <c r="F1599" i="6" a="1"/>
  <c r="F1599" i="6" s="1"/>
  <c r="G1599" i="6" a="1"/>
  <c r="G1599" i="6" s="1"/>
  <c r="I1599" i="6" a="1"/>
  <c r="I1599" i="6" s="1"/>
  <c r="D1600" i="6" a="1"/>
  <c r="D1600" i="6" s="1"/>
  <c r="F1600" i="6" a="1"/>
  <c r="F1600" i="6" s="1"/>
  <c r="G1600" i="6" a="1"/>
  <c r="G1600" i="6" s="1"/>
  <c r="I1600" i="6" a="1"/>
  <c r="I1600" i="6" s="1"/>
  <c r="D1601" i="6" a="1"/>
  <c r="D1601" i="6" s="1"/>
  <c r="F1601" i="6" a="1"/>
  <c r="F1601" i="6" s="1"/>
  <c r="G1601" i="6" a="1"/>
  <c r="G1601" i="6" s="1"/>
  <c r="I1601" i="6" a="1"/>
  <c r="I1601" i="6" s="1"/>
  <c r="I1602" i="6" a="1"/>
  <c r="I1602" i="6" s="1"/>
  <c r="D1603" i="6" a="1"/>
  <c r="D1603" i="6" s="1"/>
  <c r="F1603" i="6" a="1"/>
  <c r="F1603" i="6" s="1"/>
  <c r="G1603" i="6" a="1"/>
  <c r="G1603" i="6" s="1"/>
  <c r="I1603" i="6" a="1"/>
  <c r="I1603" i="6" s="1"/>
  <c r="D1604" i="6" a="1"/>
  <c r="D1604" i="6" s="1"/>
  <c r="F1604" i="6" a="1"/>
  <c r="F1604" i="6" s="1"/>
  <c r="G1604" i="6" a="1"/>
  <c r="G1604" i="6" s="1"/>
  <c r="I1604" i="6" a="1"/>
  <c r="I1604" i="6" s="1"/>
  <c r="D1605" i="6" a="1"/>
  <c r="D1605" i="6" s="1"/>
  <c r="F1605" i="6" a="1"/>
  <c r="F1605" i="6" s="1"/>
  <c r="G1605" i="6" a="1"/>
  <c r="G1605" i="6" s="1"/>
  <c r="I1605" i="6" a="1"/>
  <c r="I1605" i="6" s="1"/>
  <c r="D1608" i="6" a="1"/>
  <c r="D1608" i="6" s="1"/>
  <c r="F1608" i="6" a="1"/>
  <c r="F1608" i="6" s="1"/>
  <c r="G1608" i="6" a="1"/>
  <c r="G1608" i="6" s="1"/>
  <c r="I1608" i="6" a="1"/>
  <c r="I1608" i="6" s="1"/>
  <c r="D1609" i="6" a="1"/>
  <c r="D1609" i="6" s="1"/>
  <c r="F1609" i="6" a="1"/>
  <c r="F1609" i="6" s="1"/>
  <c r="G1609" i="6" a="1"/>
  <c r="G1609" i="6" s="1"/>
  <c r="I1609" i="6" a="1"/>
  <c r="I1609" i="6" s="1"/>
  <c r="D1610" i="6" a="1"/>
  <c r="D1610" i="6" s="1"/>
  <c r="F1610" i="6" a="1"/>
  <c r="F1610" i="6" s="1"/>
  <c r="G1610" i="6" a="1"/>
  <c r="G1610" i="6" s="1"/>
  <c r="I1610" i="6" a="1"/>
  <c r="I1610" i="6" s="1"/>
  <c r="D1611" i="6" a="1"/>
  <c r="D1611" i="6" s="1"/>
  <c r="F1611" i="6" a="1"/>
  <c r="F1611" i="6" s="1"/>
  <c r="G1611" i="6" a="1"/>
  <c r="G1611" i="6" s="1"/>
  <c r="I1611" i="6" a="1"/>
  <c r="I1611" i="6" s="1"/>
  <c r="D1612" i="6" a="1"/>
  <c r="D1612" i="6" s="1"/>
  <c r="F1612" i="6" a="1"/>
  <c r="F1612" i="6" s="1"/>
  <c r="G1612" i="6" a="1"/>
  <c r="G1612" i="6" s="1"/>
  <c r="I1612" i="6" a="1"/>
  <c r="I1612" i="6" s="1"/>
  <c r="D1613" i="6" a="1"/>
  <c r="D1613" i="6" s="1"/>
  <c r="F1613" i="6" a="1"/>
  <c r="F1613" i="6" s="1"/>
  <c r="G1613" i="6" a="1"/>
  <c r="G1613" i="6" s="1"/>
  <c r="I1613" i="6" a="1"/>
  <c r="I1613" i="6" s="1"/>
  <c r="D1615" i="6" a="1"/>
  <c r="D1615" i="6" s="1"/>
  <c r="F1615" i="6" a="1"/>
  <c r="F1615" i="6" s="1"/>
  <c r="G1615" i="6" a="1"/>
  <c r="G1615" i="6" s="1"/>
  <c r="I1615" i="6" a="1"/>
  <c r="I1615" i="6" s="1"/>
  <c r="D1616" i="6" a="1"/>
  <c r="D1616" i="6" s="1"/>
  <c r="F1616" i="6" a="1"/>
  <c r="F1616" i="6" s="1"/>
  <c r="G1616" i="6" a="1"/>
  <c r="G1616" i="6" s="1"/>
  <c r="I1616" i="6" a="1"/>
  <c r="I1616" i="6" s="1"/>
  <c r="D1617" i="6" a="1"/>
  <c r="D1617" i="6" s="1"/>
  <c r="F1617" i="6" a="1"/>
  <c r="F1617" i="6" s="1"/>
  <c r="G1617" i="6" a="1"/>
  <c r="G1617" i="6" s="1"/>
  <c r="I1617" i="6" a="1"/>
  <c r="I1617" i="6" s="1"/>
  <c r="D1620" i="6" a="1"/>
  <c r="D1620" i="6" s="1"/>
  <c r="F1620" i="6" a="1"/>
  <c r="F1620" i="6" s="1"/>
  <c r="G1620" i="6" a="1"/>
  <c r="G1620" i="6" s="1"/>
  <c r="I1620" i="6" a="1"/>
  <c r="I1620" i="6" s="1"/>
  <c r="D1621" i="6" a="1"/>
  <c r="D1621" i="6" s="1"/>
  <c r="F1621" i="6" a="1"/>
  <c r="F1621" i="6" s="1"/>
  <c r="G1621" i="6" a="1"/>
  <c r="G1621" i="6" s="1"/>
  <c r="I1621" i="6" a="1"/>
  <c r="I1621" i="6" s="1"/>
  <c r="D1622" i="6" a="1"/>
  <c r="D1622" i="6" s="1"/>
  <c r="F1622" i="6" a="1"/>
  <c r="F1622" i="6" s="1"/>
  <c r="G1622" i="6" a="1"/>
  <c r="G1622" i="6" s="1"/>
  <c r="I1622" i="6" a="1"/>
  <c r="I1622" i="6" s="1"/>
  <c r="D1623" i="6" a="1"/>
  <c r="D1623" i="6" s="1"/>
  <c r="F1623" i="6" a="1"/>
  <c r="F1623" i="6" s="1"/>
  <c r="G1623" i="6" a="1"/>
  <c r="G1623" i="6" s="1"/>
  <c r="I1623" i="6" a="1"/>
  <c r="I1623" i="6" s="1"/>
  <c r="D1624" i="6" a="1"/>
  <c r="D1624" i="6" s="1"/>
  <c r="F1624" i="6" a="1"/>
  <c r="F1624" i="6" s="1"/>
  <c r="G1624" i="6" a="1"/>
  <c r="G1624" i="6" s="1"/>
  <c r="I1624" i="6" a="1"/>
  <c r="I1624" i="6" s="1"/>
  <c r="D1625" i="6" a="1"/>
  <c r="D1625" i="6" s="1"/>
  <c r="F1625" i="6" a="1"/>
  <c r="F1625" i="6" s="1"/>
  <c r="G1625" i="6" a="1"/>
  <c r="G1625" i="6" s="1"/>
  <c r="I1625" i="6" a="1"/>
  <c r="I1625" i="6" s="1"/>
  <c r="D1627" i="6" a="1"/>
  <c r="D1627" i="6" s="1"/>
  <c r="F1627" i="6" a="1"/>
  <c r="F1627" i="6" s="1"/>
  <c r="G1627" i="6" a="1"/>
  <c r="G1627" i="6" s="1"/>
  <c r="I1627" i="6" a="1"/>
  <c r="I1627" i="6" s="1"/>
  <c r="D1628" i="6" a="1"/>
  <c r="D1628" i="6" s="1"/>
  <c r="F1628" i="6" a="1"/>
  <c r="F1628" i="6" s="1"/>
  <c r="G1628" i="6" a="1"/>
  <c r="G1628" i="6" s="1"/>
  <c r="I1628" i="6" a="1"/>
  <c r="I1628" i="6" s="1"/>
  <c r="D1629" i="6" a="1"/>
  <c r="D1629" i="6" s="1"/>
  <c r="F1629" i="6" a="1"/>
  <c r="F1629" i="6" s="1"/>
  <c r="G1629" i="6" a="1"/>
  <c r="G1629" i="6" s="1"/>
  <c r="I1629" i="6" a="1"/>
  <c r="I1629" i="6" s="1"/>
  <c r="D1632" i="6" a="1"/>
  <c r="D1632" i="6" s="1"/>
  <c r="F1632" i="6" a="1"/>
  <c r="F1632" i="6" s="1"/>
  <c r="G1632" i="6" a="1"/>
  <c r="G1632" i="6" s="1"/>
  <c r="I1632" i="6" a="1"/>
  <c r="I1632" i="6" s="1"/>
  <c r="D1633" i="6" a="1"/>
  <c r="D1633" i="6" s="1"/>
  <c r="F1633" i="6" a="1"/>
  <c r="F1633" i="6" s="1"/>
  <c r="G1633" i="6" a="1"/>
  <c r="G1633" i="6" s="1"/>
  <c r="I1633" i="6" a="1"/>
  <c r="I1633" i="6" s="1"/>
  <c r="D1634" i="6" a="1"/>
  <c r="D1634" i="6" s="1"/>
  <c r="F1634" i="6" a="1"/>
  <c r="F1634" i="6" s="1"/>
  <c r="G1634" i="6" a="1"/>
  <c r="G1634" i="6" s="1"/>
  <c r="I1634" i="6" a="1"/>
  <c r="I1634" i="6" s="1"/>
  <c r="D1635" i="6" a="1"/>
  <c r="D1635" i="6" s="1"/>
  <c r="F1635" i="6" a="1"/>
  <c r="F1635" i="6" s="1"/>
  <c r="G1635" i="6" a="1"/>
  <c r="G1635" i="6" s="1"/>
  <c r="I1635" i="6" a="1"/>
  <c r="I1635" i="6" s="1"/>
  <c r="D1636" i="6" a="1"/>
  <c r="D1636" i="6" s="1"/>
  <c r="F1636" i="6" a="1"/>
  <c r="F1636" i="6" s="1"/>
  <c r="G1636" i="6" a="1"/>
  <c r="G1636" i="6" s="1"/>
  <c r="I1636" i="6" a="1"/>
  <c r="I1636" i="6" s="1"/>
  <c r="D1637" i="6" a="1"/>
  <c r="D1637" i="6" s="1"/>
  <c r="F1637" i="6" a="1"/>
  <c r="F1637" i="6" s="1"/>
  <c r="G1637" i="6" a="1"/>
  <c r="G1637" i="6" s="1"/>
  <c r="I1637" i="6" a="1"/>
  <c r="I1637" i="6" s="1"/>
  <c r="G1638" i="6" a="1"/>
  <c r="G1638" i="6" s="1"/>
  <c r="I1638" i="6" a="1"/>
  <c r="I1638" i="6" s="1"/>
  <c r="D1639" i="6" a="1"/>
  <c r="D1639" i="6" s="1"/>
  <c r="F1639" i="6" a="1"/>
  <c r="F1639" i="6" s="1"/>
  <c r="G1639" i="6" a="1"/>
  <c r="G1639" i="6" s="1"/>
  <c r="I1639" i="6" a="1"/>
  <c r="I1639" i="6" s="1"/>
  <c r="D1640" i="6" a="1"/>
  <c r="D1640" i="6" s="1"/>
  <c r="F1640" i="6" a="1"/>
  <c r="F1640" i="6" s="1"/>
  <c r="G1640" i="6" a="1"/>
  <c r="G1640" i="6" s="1"/>
  <c r="I1640" i="6" a="1"/>
  <c r="I1640" i="6" s="1"/>
  <c r="D1641" i="6" a="1"/>
  <c r="D1641" i="6" s="1"/>
  <c r="F1641" i="6" a="1"/>
  <c r="F1641" i="6" s="1"/>
  <c r="G1641" i="6" a="1"/>
  <c r="G1641" i="6" s="1"/>
  <c r="I1641" i="6" a="1"/>
  <c r="I1641" i="6" s="1"/>
  <c r="D1644" i="6" a="1"/>
  <c r="D1644" i="6" s="1"/>
  <c r="F1644" i="6" a="1"/>
  <c r="F1644" i="6" s="1"/>
  <c r="G1644" i="6" a="1"/>
  <c r="G1644" i="6" s="1"/>
  <c r="I1644" i="6" a="1"/>
  <c r="I1644" i="6" s="1"/>
  <c r="D1645" i="6" a="1"/>
  <c r="D1645" i="6" s="1"/>
  <c r="F1645" i="6" a="1"/>
  <c r="F1645" i="6" s="1"/>
  <c r="G1645" i="6" a="1"/>
  <c r="G1645" i="6" s="1"/>
  <c r="I1645" i="6" a="1"/>
  <c r="I1645" i="6" s="1"/>
  <c r="D1646" i="6" a="1"/>
  <c r="D1646" i="6" s="1"/>
  <c r="F1646" i="6" a="1"/>
  <c r="F1646" i="6" s="1"/>
  <c r="G1646" i="6" a="1"/>
  <c r="G1646" i="6" s="1"/>
  <c r="I1646" i="6" a="1"/>
  <c r="I1646" i="6" s="1"/>
  <c r="D1647" i="6" a="1"/>
  <c r="D1647" i="6" s="1"/>
  <c r="F1647" i="6" a="1"/>
  <c r="F1647" i="6" s="1"/>
  <c r="G1647" i="6" a="1"/>
  <c r="G1647" i="6" s="1"/>
  <c r="I1647" i="6" a="1"/>
  <c r="I1647" i="6" s="1"/>
  <c r="D1648" i="6" a="1"/>
  <c r="D1648" i="6" s="1"/>
  <c r="F1648" i="6" a="1"/>
  <c r="F1648" i="6" s="1"/>
  <c r="G1648" i="6" a="1"/>
  <c r="G1648" i="6" s="1"/>
  <c r="I1648" i="6" a="1"/>
  <c r="I1648" i="6" s="1"/>
  <c r="D1649" i="6" a="1"/>
  <c r="D1649" i="6" s="1"/>
  <c r="F1649" i="6" a="1"/>
  <c r="F1649" i="6" s="1"/>
  <c r="G1649" i="6" a="1"/>
  <c r="G1649" i="6" s="1"/>
  <c r="I1649" i="6" a="1"/>
  <c r="I1649" i="6" s="1"/>
  <c r="G1650" i="6" a="1"/>
  <c r="G1650" i="6" s="1"/>
  <c r="D1651" i="6" a="1"/>
  <c r="D1651" i="6" s="1"/>
  <c r="F1651" i="6" a="1"/>
  <c r="F1651" i="6" s="1"/>
  <c r="G1651" i="6" a="1"/>
  <c r="G1651" i="6" s="1"/>
  <c r="I1651" i="6" a="1"/>
  <c r="I1651" i="6" s="1"/>
  <c r="D1652" i="6" a="1"/>
  <c r="D1652" i="6" s="1"/>
  <c r="F1652" i="6" a="1"/>
  <c r="F1652" i="6" s="1"/>
  <c r="G1652" i="6" a="1"/>
  <c r="G1652" i="6" s="1"/>
  <c r="I1652" i="6" a="1"/>
  <c r="I1652" i="6" s="1"/>
  <c r="I1653" i="6" a="1"/>
  <c r="I1653" i="6" s="1"/>
  <c r="D1656" i="6" a="1"/>
  <c r="D1656" i="6" s="1"/>
  <c r="F1656" i="6" a="1"/>
  <c r="F1656" i="6" s="1"/>
  <c r="G1656" i="6" a="1"/>
  <c r="G1656" i="6" s="1"/>
  <c r="I1656" i="6" a="1"/>
  <c r="I1656" i="6" s="1"/>
  <c r="D1657" i="6" a="1"/>
  <c r="D1657" i="6" s="1"/>
  <c r="F1657" i="6" a="1"/>
  <c r="F1657" i="6" s="1"/>
  <c r="G1657" i="6" a="1"/>
  <c r="G1657" i="6" s="1"/>
  <c r="I1657" i="6" a="1"/>
  <c r="I1657" i="6" s="1"/>
  <c r="D1658" i="6" a="1"/>
  <c r="D1658" i="6" s="1"/>
  <c r="F1658" i="6" a="1"/>
  <c r="F1658" i="6" s="1"/>
  <c r="G1658" i="6" a="1"/>
  <c r="G1658" i="6" s="1"/>
  <c r="I1658" i="6" a="1"/>
  <c r="I1658" i="6" s="1"/>
  <c r="D1659" i="6" a="1"/>
  <c r="D1659" i="6" s="1"/>
  <c r="F1659" i="6" a="1"/>
  <c r="F1659" i="6" s="1"/>
  <c r="G1659" i="6" a="1"/>
  <c r="G1659" i="6" s="1"/>
  <c r="I1659" i="6" a="1"/>
  <c r="I1659" i="6" s="1"/>
  <c r="D1660" i="6" a="1"/>
  <c r="D1660" i="6" s="1"/>
  <c r="F1660" i="6" a="1"/>
  <c r="F1660" i="6" s="1"/>
  <c r="G1660" i="6" a="1"/>
  <c r="G1660" i="6" s="1"/>
  <c r="I1660" i="6" a="1"/>
  <c r="I1660" i="6" s="1"/>
  <c r="D1661" i="6" a="1"/>
  <c r="D1661" i="6" s="1"/>
  <c r="F1661" i="6" a="1"/>
  <c r="F1661" i="6" s="1"/>
  <c r="G1661" i="6" a="1"/>
  <c r="G1661" i="6" s="1"/>
  <c r="I1661" i="6" a="1"/>
  <c r="I1661" i="6" s="1"/>
  <c r="D1663" i="6" a="1"/>
  <c r="D1663" i="6" s="1"/>
  <c r="F1663" i="6" a="1"/>
  <c r="F1663" i="6" s="1"/>
  <c r="G1663" i="6" a="1"/>
  <c r="G1663" i="6" s="1"/>
  <c r="I1663" i="6" a="1"/>
  <c r="I1663" i="6" s="1"/>
  <c r="D1664" i="6" a="1"/>
  <c r="D1664" i="6" s="1"/>
  <c r="F1664" i="6" a="1"/>
  <c r="F1664" i="6" s="1"/>
  <c r="G1664" i="6" a="1"/>
  <c r="G1664" i="6" s="1"/>
  <c r="I1664" i="6" a="1"/>
  <c r="I1664" i="6" s="1"/>
  <c r="D1668" i="6" a="1"/>
  <c r="D1668" i="6" s="1"/>
  <c r="F1668" i="6" a="1"/>
  <c r="F1668" i="6" s="1"/>
  <c r="G1668" i="6" a="1"/>
  <c r="G1668" i="6" s="1"/>
  <c r="I1668" i="6" a="1"/>
  <c r="I1668" i="6" s="1"/>
  <c r="D1669" i="6" a="1"/>
  <c r="D1669" i="6" s="1"/>
  <c r="F1669" i="6" a="1"/>
  <c r="F1669" i="6" s="1"/>
  <c r="G1669" i="6" a="1"/>
  <c r="G1669" i="6" s="1"/>
  <c r="I1669" i="6" a="1"/>
  <c r="I1669" i="6" s="1"/>
  <c r="D1670" i="6" a="1"/>
  <c r="D1670" i="6" s="1"/>
  <c r="F1670" i="6" a="1"/>
  <c r="F1670" i="6" s="1"/>
  <c r="G1670" i="6" a="1"/>
  <c r="G1670" i="6" s="1"/>
  <c r="I1670" i="6" a="1"/>
  <c r="I1670" i="6" s="1"/>
  <c r="D1671" i="6" a="1"/>
  <c r="D1671" i="6" s="1"/>
  <c r="F1671" i="6" a="1"/>
  <c r="F1671" i="6" s="1"/>
  <c r="G1671" i="6" a="1"/>
  <c r="G1671" i="6" s="1"/>
  <c r="I1671" i="6" a="1"/>
  <c r="I1671" i="6" s="1"/>
  <c r="D1672" i="6" a="1"/>
  <c r="D1672" i="6" s="1"/>
  <c r="F1672" i="6" a="1"/>
  <c r="F1672" i="6" s="1"/>
  <c r="G1672" i="6" a="1"/>
  <c r="G1672" i="6" s="1"/>
  <c r="I1672" i="6" a="1"/>
  <c r="I1672" i="6" s="1"/>
  <c r="D1673" i="6" a="1"/>
  <c r="D1673" i="6" s="1"/>
  <c r="F1673" i="6" a="1"/>
  <c r="F1673" i="6" s="1"/>
  <c r="G1673" i="6" a="1"/>
  <c r="G1673" i="6" s="1"/>
  <c r="I1673" i="6" a="1"/>
  <c r="I1673" i="6" s="1"/>
  <c r="G1674" i="6" a="1"/>
  <c r="G1674" i="6" s="1"/>
  <c r="I1674" i="6" a="1"/>
  <c r="I1674" i="6" s="1"/>
  <c r="D1675" i="6" a="1"/>
  <c r="D1675" i="6" s="1"/>
  <c r="F1675" i="6" a="1"/>
  <c r="F1675" i="6" s="1"/>
  <c r="G1675" i="6" a="1"/>
  <c r="G1675" i="6" s="1"/>
  <c r="I1675" i="6" a="1"/>
  <c r="I1675" i="6" s="1"/>
  <c r="D1676" i="6" a="1"/>
  <c r="D1676" i="6" s="1"/>
  <c r="F1676" i="6" a="1"/>
  <c r="F1676" i="6" s="1"/>
  <c r="G1676" i="6" a="1"/>
  <c r="G1676" i="6" s="1"/>
  <c r="I1676" i="6" a="1"/>
  <c r="I1676" i="6" s="1"/>
  <c r="D1680" i="6" a="1"/>
  <c r="D1680" i="6" s="1"/>
  <c r="F1680" i="6" a="1"/>
  <c r="F1680" i="6" s="1"/>
  <c r="G1680" i="6" a="1"/>
  <c r="G1680" i="6" s="1"/>
  <c r="I1680" i="6" a="1"/>
  <c r="I1680" i="6" s="1"/>
  <c r="D1681" i="6" a="1"/>
  <c r="D1681" i="6" s="1"/>
  <c r="F1681" i="6" a="1"/>
  <c r="F1681" i="6" s="1"/>
  <c r="G1681" i="6" a="1"/>
  <c r="G1681" i="6" s="1"/>
  <c r="I1681" i="6" a="1"/>
  <c r="I1681" i="6" s="1"/>
  <c r="D1682" i="6" a="1"/>
  <c r="D1682" i="6" s="1"/>
  <c r="F1682" i="6" a="1"/>
  <c r="F1682" i="6" s="1"/>
  <c r="G1682" i="6" a="1"/>
  <c r="G1682" i="6" s="1"/>
  <c r="I1682" i="6" a="1"/>
  <c r="I1682" i="6" s="1"/>
  <c r="D1683" i="6" a="1"/>
  <c r="D1683" i="6" s="1"/>
  <c r="F1683" i="6" a="1"/>
  <c r="F1683" i="6" s="1"/>
  <c r="G1683" i="6" a="1"/>
  <c r="G1683" i="6" s="1"/>
  <c r="I1683" i="6" a="1"/>
  <c r="I1683" i="6" s="1"/>
  <c r="D1684" i="6" a="1"/>
  <c r="D1684" i="6" s="1"/>
  <c r="F1684" i="6" a="1"/>
  <c r="F1684" i="6" s="1"/>
  <c r="G1684" i="6" a="1"/>
  <c r="G1684" i="6" s="1"/>
  <c r="I1684" i="6" a="1"/>
  <c r="I1684" i="6" s="1"/>
  <c r="D1685" i="6" a="1"/>
  <c r="D1685" i="6" s="1"/>
  <c r="F1685" i="6" a="1"/>
  <c r="F1685" i="6" s="1"/>
  <c r="G1685" i="6" a="1"/>
  <c r="G1685" i="6" s="1"/>
  <c r="I1685" i="6" a="1"/>
  <c r="I1685" i="6" s="1"/>
  <c r="D1687" i="6" a="1"/>
  <c r="D1687" i="6" s="1"/>
  <c r="F1687" i="6" a="1"/>
  <c r="F1687" i="6" s="1"/>
  <c r="G1687" i="6" a="1"/>
  <c r="G1687" i="6" s="1"/>
  <c r="I1687" i="6" a="1"/>
  <c r="I1687" i="6" s="1"/>
  <c r="D1688" i="6" a="1"/>
  <c r="D1688" i="6" s="1"/>
  <c r="F1688" i="6" a="1"/>
  <c r="F1688" i="6" s="1"/>
  <c r="G1688" i="6" a="1"/>
  <c r="G1688" i="6" s="1"/>
  <c r="I1688" i="6" a="1"/>
  <c r="I1688" i="6" s="1"/>
  <c r="D1692" i="6" a="1"/>
  <c r="D1692" i="6" s="1"/>
  <c r="F1692" i="6" a="1"/>
  <c r="F1692" i="6" s="1"/>
  <c r="G1692" i="6" a="1"/>
  <c r="G1692" i="6" s="1"/>
  <c r="I1692" i="6" a="1"/>
  <c r="I1692" i="6" s="1"/>
  <c r="D1693" i="6" a="1"/>
  <c r="D1693" i="6" s="1"/>
  <c r="F1693" i="6" a="1"/>
  <c r="F1693" i="6" s="1"/>
  <c r="G1693" i="6" a="1"/>
  <c r="G1693" i="6" s="1"/>
  <c r="I1693" i="6" a="1"/>
  <c r="I1693" i="6" s="1"/>
  <c r="D1694" i="6" a="1"/>
  <c r="D1694" i="6" s="1"/>
  <c r="F1694" i="6" a="1"/>
  <c r="F1694" i="6" s="1"/>
  <c r="G1694" i="6" a="1"/>
  <c r="G1694" i="6" s="1"/>
  <c r="I1694" i="6" a="1"/>
  <c r="I1694" i="6" s="1"/>
  <c r="D1695" i="6" a="1"/>
  <c r="D1695" i="6" s="1"/>
  <c r="F1695" i="6" a="1"/>
  <c r="F1695" i="6" s="1"/>
  <c r="G1695" i="6" a="1"/>
  <c r="G1695" i="6" s="1"/>
  <c r="I1695" i="6" a="1"/>
  <c r="I1695" i="6" s="1"/>
  <c r="D1696" i="6" a="1"/>
  <c r="D1696" i="6" s="1"/>
  <c r="F1696" i="6" a="1"/>
  <c r="F1696" i="6" s="1"/>
  <c r="G1696" i="6" a="1"/>
  <c r="G1696" i="6" s="1"/>
  <c r="I1696" i="6" a="1"/>
  <c r="I1696" i="6" s="1"/>
  <c r="D1697" i="6" a="1"/>
  <c r="D1697" i="6" s="1"/>
  <c r="F1697" i="6" a="1"/>
  <c r="F1697" i="6" s="1"/>
  <c r="G1697" i="6" a="1"/>
  <c r="G1697" i="6" s="1"/>
  <c r="I1697" i="6" a="1"/>
  <c r="I1697" i="6" s="1"/>
  <c r="G1698" i="6" a="1"/>
  <c r="G1698" i="6" s="1"/>
  <c r="D1699" i="6" a="1"/>
  <c r="D1699" i="6" s="1"/>
  <c r="F1699" i="6" a="1"/>
  <c r="F1699" i="6" s="1"/>
  <c r="G1699" i="6" a="1"/>
  <c r="G1699" i="6" s="1"/>
  <c r="I1699" i="6" a="1"/>
  <c r="I1699" i="6" s="1"/>
  <c r="D1700" i="6" a="1"/>
  <c r="D1700" i="6" s="1"/>
  <c r="F1700" i="6" a="1"/>
  <c r="F1700" i="6" s="1"/>
  <c r="G1700" i="6" a="1"/>
  <c r="G1700" i="6" s="1"/>
  <c r="I1700" i="6" a="1"/>
  <c r="I1700" i="6" s="1"/>
  <c r="D1704" i="6" a="1"/>
  <c r="D1704" i="6" s="1"/>
  <c r="F1704" i="6" a="1"/>
  <c r="F1704" i="6" s="1"/>
  <c r="G1704" i="6" a="1"/>
  <c r="G1704" i="6" s="1"/>
  <c r="I1704" i="6" a="1"/>
  <c r="I1704" i="6" s="1"/>
  <c r="D1705" i="6" a="1"/>
  <c r="D1705" i="6" s="1"/>
  <c r="F1705" i="6" a="1"/>
  <c r="F1705" i="6" s="1"/>
  <c r="G1705" i="6" a="1"/>
  <c r="G1705" i="6" s="1"/>
  <c r="I1705" i="6" a="1"/>
  <c r="I1705" i="6" s="1"/>
  <c r="D1706" i="6" a="1"/>
  <c r="D1706" i="6" s="1"/>
  <c r="F1706" i="6" a="1"/>
  <c r="F1706" i="6" s="1"/>
  <c r="G1706" i="6" a="1"/>
  <c r="G1706" i="6" s="1"/>
  <c r="I1706" i="6" a="1"/>
  <c r="I1706" i="6" s="1"/>
  <c r="D1707" i="6" a="1"/>
  <c r="D1707" i="6" s="1"/>
  <c r="F1707" i="6" a="1"/>
  <c r="F1707" i="6" s="1"/>
  <c r="G1707" i="6" a="1"/>
  <c r="G1707" i="6" s="1"/>
  <c r="I1707" i="6" a="1"/>
  <c r="I1707" i="6" s="1"/>
  <c r="D1708" i="6" a="1"/>
  <c r="D1708" i="6" s="1"/>
  <c r="F1708" i="6" a="1"/>
  <c r="F1708" i="6" s="1"/>
  <c r="G1708" i="6" a="1"/>
  <c r="G1708" i="6" s="1"/>
  <c r="I1708" i="6" a="1"/>
  <c r="I1708" i="6" s="1"/>
  <c r="D1709" i="6" a="1"/>
  <c r="D1709" i="6" s="1"/>
  <c r="F1709" i="6" a="1"/>
  <c r="F1709" i="6" s="1"/>
  <c r="G1709" i="6" a="1"/>
  <c r="G1709" i="6" s="1"/>
  <c r="I1709" i="6" a="1"/>
  <c r="I1709" i="6" s="1"/>
  <c r="G1710" i="6" a="1"/>
  <c r="G1710" i="6" s="1"/>
  <c r="I1710" i="6" a="1"/>
  <c r="I1710" i="6" s="1"/>
  <c r="D1711" i="6" a="1"/>
  <c r="D1711" i="6" s="1"/>
  <c r="F1711" i="6" a="1"/>
  <c r="F1711" i="6" s="1"/>
  <c r="G1711" i="6" a="1"/>
  <c r="G1711" i="6" s="1"/>
  <c r="I1711" i="6" a="1"/>
  <c r="I1711" i="6" s="1"/>
  <c r="D1712" i="6" a="1"/>
  <c r="D1712" i="6" s="1"/>
  <c r="F1712" i="6" a="1"/>
  <c r="F1712" i="6" s="1"/>
  <c r="G1712" i="6" a="1"/>
  <c r="G1712" i="6" s="1"/>
  <c r="I1712" i="6" a="1"/>
  <c r="I1712" i="6" s="1"/>
  <c r="D1716" i="6" a="1"/>
  <c r="D1716" i="6" s="1"/>
  <c r="F1716" i="6" a="1"/>
  <c r="F1716" i="6" s="1"/>
  <c r="G1716" i="6" a="1"/>
  <c r="G1716" i="6" s="1"/>
  <c r="I1716" i="6" a="1"/>
  <c r="I1716" i="6" s="1"/>
  <c r="D1717" i="6" a="1"/>
  <c r="D1717" i="6" s="1"/>
  <c r="F1717" i="6" a="1"/>
  <c r="F1717" i="6" s="1"/>
  <c r="G1717" i="6" a="1"/>
  <c r="G1717" i="6" s="1"/>
  <c r="I1717" i="6" a="1"/>
  <c r="I1717" i="6" s="1"/>
  <c r="D1718" i="6" a="1"/>
  <c r="D1718" i="6" s="1"/>
  <c r="F1718" i="6" a="1"/>
  <c r="F1718" i="6" s="1"/>
  <c r="G1718" i="6" a="1"/>
  <c r="G1718" i="6" s="1"/>
  <c r="I1718" i="6" a="1"/>
  <c r="I1718" i="6" s="1"/>
  <c r="D1719" i="6" a="1"/>
  <c r="D1719" i="6" s="1"/>
  <c r="F1719" i="6" a="1"/>
  <c r="F1719" i="6" s="1"/>
  <c r="G1719" i="6" a="1"/>
  <c r="G1719" i="6" s="1"/>
  <c r="I1719" i="6" a="1"/>
  <c r="I1719" i="6" s="1"/>
  <c r="D1720" i="6" a="1"/>
  <c r="D1720" i="6" s="1"/>
  <c r="F1720" i="6" a="1"/>
  <c r="F1720" i="6" s="1"/>
  <c r="G1720" i="6" a="1"/>
  <c r="G1720" i="6" s="1"/>
  <c r="I1720" i="6" a="1"/>
  <c r="I1720" i="6" s="1"/>
  <c r="D1721" i="6" a="1"/>
  <c r="D1721" i="6" s="1"/>
  <c r="F1721" i="6" a="1"/>
  <c r="F1721" i="6" s="1"/>
  <c r="G1721" i="6" a="1"/>
  <c r="G1721" i="6" s="1"/>
  <c r="I1721" i="6" a="1"/>
  <c r="I1721" i="6" s="1"/>
  <c r="D1723" i="6" a="1"/>
  <c r="D1723" i="6" s="1"/>
  <c r="F1723" i="6" a="1"/>
  <c r="F1723" i="6" s="1"/>
  <c r="G1723" i="6" a="1"/>
  <c r="G1723" i="6" s="1"/>
  <c r="I1723" i="6" a="1"/>
  <c r="I1723" i="6" s="1"/>
  <c r="D1724" i="6" a="1"/>
  <c r="D1724" i="6" s="1"/>
  <c r="F1724" i="6" a="1"/>
  <c r="F1724" i="6" s="1"/>
  <c r="G1724" i="6" a="1"/>
  <c r="G1724" i="6" s="1"/>
  <c r="I1724" i="6" a="1"/>
  <c r="I1724" i="6" s="1"/>
  <c r="D1728" i="6" a="1"/>
  <c r="D1728" i="6" s="1"/>
  <c r="F1728" i="6" a="1"/>
  <c r="F1728" i="6" s="1"/>
  <c r="G1728" i="6" a="1"/>
  <c r="G1728" i="6" s="1"/>
  <c r="I1728" i="6" a="1"/>
  <c r="I1728" i="6" s="1"/>
  <c r="D1729" i="6" a="1"/>
  <c r="D1729" i="6" s="1"/>
  <c r="F1729" i="6" a="1"/>
  <c r="F1729" i="6" s="1"/>
  <c r="G1729" i="6" a="1"/>
  <c r="G1729" i="6" s="1"/>
  <c r="I1729" i="6" a="1"/>
  <c r="I1729" i="6" s="1"/>
  <c r="D1730" i="6" a="1"/>
  <c r="D1730" i="6" s="1"/>
  <c r="F1730" i="6" a="1"/>
  <c r="F1730" i="6" s="1"/>
  <c r="G1730" i="6" a="1"/>
  <c r="G1730" i="6" s="1"/>
  <c r="I1730" i="6" a="1"/>
  <c r="I1730" i="6" s="1"/>
  <c r="D1731" i="6" a="1"/>
  <c r="D1731" i="6" s="1"/>
  <c r="F1731" i="6" a="1"/>
  <c r="F1731" i="6" s="1"/>
  <c r="G1731" i="6" a="1"/>
  <c r="G1731" i="6" s="1"/>
  <c r="I1731" i="6" a="1"/>
  <c r="I1731" i="6" s="1"/>
  <c r="D1732" i="6" a="1"/>
  <c r="D1732" i="6" s="1"/>
  <c r="F1732" i="6" a="1"/>
  <c r="F1732" i="6" s="1"/>
  <c r="G1732" i="6" a="1"/>
  <c r="G1732" i="6" s="1"/>
  <c r="I1732" i="6" a="1"/>
  <c r="I1732" i="6" s="1"/>
  <c r="D1733" i="6" a="1"/>
  <c r="D1733" i="6" s="1"/>
  <c r="F1733" i="6" a="1"/>
  <c r="F1733" i="6" s="1"/>
  <c r="G1733" i="6" a="1"/>
  <c r="G1733" i="6" s="1"/>
  <c r="I1733" i="6" a="1"/>
  <c r="I1733" i="6" s="1"/>
  <c r="F1734" i="6" a="1"/>
  <c r="F1734" i="6" s="1"/>
  <c r="G1734" i="6" a="1"/>
  <c r="G1734" i="6" s="1"/>
  <c r="D1735" i="6" a="1"/>
  <c r="D1735" i="6" s="1"/>
  <c r="F1735" i="6" a="1"/>
  <c r="F1735" i="6" s="1"/>
  <c r="G1735" i="6" a="1"/>
  <c r="G1735" i="6" s="1"/>
  <c r="I1735" i="6" a="1"/>
  <c r="I1735" i="6" s="1"/>
  <c r="D1736" i="6" a="1"/>
  <c r="D1736" i="6" s="1"/>
  <c r="F1736" i="6" a="1"/>
  <c r="F1736" i="6" s="1"/>
  <c r="G1736" i="6" a="1"/>
  <c r="G1736" i="6" s="1"/>
  <c r="I1736" i="6" a="1"/>
  <c r="I1736" i="6" s="1"/>
  <c r="D1740" i="6" a="1"/>
  <c r="D1740" i="6" s="1"/>
  <c r="F1740" i="6" a="1"/>
  <c r="F1740" i="6" s="1"/>
  <c r="G1740" i="6" a="1"/>
  <c r="G1740" i="6" s="1"/>
  <c r="I1740" i="6" a="1"/>
  <c r="I1740" i="6" s="1"/>
  <c r="D1741" i="6" a="1"/>
  <c r="D1741" i="6" s="1"/>
  <c r="F1741" i="6" a="1"/>
  <c r="F1741" i="6" s="1"/>
  <c r="G1741" i="6" a="1"/>
  <c r="G1741" i="6" s="1"/>
  <c r="I1741" i="6" a="1"/>
  <c r="I1741" i="6" s="1"/>
  <c r="D1742" i="6" a="1"/>
  <c r="D1742" i="6" s="1"/>
  <c r="F1742" i="6" a="1"/>
  <c r="F1742" i="6" s="1"/>
  <c r="G1742" i="6" a="1"/>
  <c r="G1742" i="6" s="1"/>
  <c r="I1742" i="6" a="1"/>
  <c r="I1742" i="6" s="1"/>
  <c r="D1743" i="6" a="1"/>
  <c r="D1743" i="6" s="1"/>
  <c r="F1743" i="6" a="1"/>
  <c r="F1743" i="6" s="1"/>
  <c r="G1743" i="6" a="1"/>
  <c r="G1743" i="6" s="1"/>
  <c r="I1743" i="6" a="1"/>
  <c r="I1743" i="6" s="1"/>
  <c r="D1744" i="6" a="1"/>
  <c r="D1744" i="6" s="1"/>
  <c r="F1744" i="6" a="1"/>
  <c r="F1744" i="6" s="1"/>
  <c r="G1744" i="6" a="1"/>
  <c r="G1744" i="6" s="1"/>
  <c r="I1744" i="6" a="1"/>
  <c r="I1744" i="6" s="1"/>
  <c r="D1745" i="6" a="1"/>
  <c r="D1745" i="6" s="1"/>
  <c r="F1745" i="6" a="1"/>
  <c r="F1745" i="6" s="1"/>
  <c r="G1745" i="6" a="1"/>
  <c r="G1745" i="6" s="1"/>
  <c r="I1745" i="6" a="1"/>
  <c r="I1745" i="6" s="1"/>
  <c r="F1746" i="6" a="1"/>
  <c r="F1746" i="6" s="1"/>
  <c r="G1746" i="6" a="1"/>
  <c r="G1746" i="6" s="1"/>
  <c r="D1747" i="6" a="1"/>
  <c r="D1747" i="6" s="1"/>
  <c r="F1747" i="6" a="1"/>
  <c r="F1747" i="6" s="1"/>
  <c r="G1747" i="6" a="1"/>
  <c r="G1747" i="6" s="1"/>
  <c r="I1747" i="6" a="1"/>
  <c r="I1747" i="6" s="1"/>
  <c r="D1748" i="6" a="1"/>
  <c r="D1748" i="6" s="1"/>
  <c r="F1748" i="6" a="1"/>
  <c r="F1748" i="6" s="1"/>
  <c r="G1748" i="6" a="1"/>
  <c r="G1748" i="6" s="1"/>
  <c r="I1748" i="6" a="1"/>
  <c r="I1748" i="6" s="1"/>
  <c r="D1752" i="6" a="1"/>
  <c r="D1752" i="6" s="1"/>
  <c r="F1752" i="6" a="1"/>
  <c r="F1752" i="6" s="1"/>
  <c r="G1752" i="6" a="1"/>
  <c r="G1752" i="6" s="1"/>
  <c r="I1752" i="6" a="1"/>
  <c r="I1752" i="6" s="1"/>
  <c r="D1753" i="6" a="1"/>
  <c r="D1753" i="6" s="1"/>
  <c r="F1753" i="6" a="1"/>
  <c r="F1753" i="6" s="1"/>
  <c r="G1753" i="6" a="1"/>
  <c r="G1753" i="6" s="1"/>
  <c r="I1753" i="6" a="1"/>
  <c r="I1753" i="6" s="1"/>
  <c r="D1754" i="6" a="1"/>
  <c r="D1754" i="6" s="1"/>
  <c r="F1754" i="6" a="1"/>
  <c r="F1754" i="6" s="1"/>
  <c r="G1754" i="6" a="1"/>
  <c r="G1754" i="6" s="1"/>
  <c r="I1754" i="6" a="1"/>
  <c r="I1754" i="6" s="1"/>
  <c r="D1755" i="6" a="1"/>
  <c r="D1755" i="6" s="1"/>
  <c r="F1755" i="6" a="1"/>
  <c r="F1755" i="6" s="1"/>
  <c r="G1755" i="6" a="1"/>
  <c r="G1755" i="6" s="1"/>
  <c r="I1755" i="6" a="1"/>
  <c r="I1755" i="6" s="1"/>
  <c r="D1756" i="6" a="1"/>
  <c r="D1756" i="6" s="1"/>
  <c r="F1756" i="6" a="1"/>
  <c r="F1756" i="6" s="1"/>
  <c r="G1756" i="6" a="1"/>
  <c r="G1756" i="6" s="1"/>
  <c r="I1756" i="6" a="1"/>
  <c r="I1756" i="6" s="1"/>
  <c r="D1757" i="6" a="1"/>
  <c r="D1757" i="6" s="1"/>
  <c r="F1757" i="6" a="1"/>
  <c r="F1757" i="6" s="1"/>
  <c r="G1757" i="6" a="1"/>
  <c r="G1757" i="6" s="1"/>
  <c r="I1757" i="6" a="1"/>
  <c r="I1757" i="6" s="1"/>
  <c r="D1759" i="6" a="1"/>
  <c r="D1759" i="6" s="1"/>
  <c r="F1759" i="6" a="1"/>
  <c r="F1759" i="6" s="1"/>
  <c r="G1759" i="6" a="1"/>
  <c r="G1759" i="6" s="1"/>
  <c r="I1759" i="6" a="1"/>
  <c r="I1759" i="6" s="1"/>
  <c r="D1760" i="6" a="1"/>
  <c r="D1760" i="6" s="1"/>
  <c r="F1760" i="6" a="1"/>
  <c r="F1760" i="6" s="1"/>
  <c r="G1760" i="6" a="1"/>
  <c r="G1760" i="6" s="1"/>
  <c r="I1760" i="6" a="1"/>
  <c r="I1760" i="6" s="1"/>
  <c r="D1764" i="6" a="1"/>
  <c r="D1764" i="6" s="1"/>
  <c r="F1764" i="6" a="1"/>
  <c r="F1764" i="6" s="1"/>
  <c r="G1764" i="6" a="1"/>
  <c r="G1764" i="6" s="1"/>
  <c r="I1764" i="6" a="1"/>
  <c r="I1764" i="6" s="1"/>
  <c r="D1765" i="6" a="1"/>
  <c r="D1765" i="6" s="1"/>
  <c r="F1765" i="6" a="1"/>
  <c r="F1765" i="6" s="1"/>
  <c r="G1765" i="6" a="1"/>
  <c r="G1765" i="6" s="1"/>
  <c r="I1765" i="6" a="1"/>
  <c r="I1765" i="6" s="1"/>
  <c r="D1766" i="6" a="1"/>
  <c r="D1766" i="6" s="1"/>
  <c r="F1766" i="6" a="1"/>
  <c r="F1766" i="6" s="1"/>
  <c r="G1766" i="6" a="1"/>
  <c r="G1766" i="6" s="1"/>
  <c r="I1766" i="6" a="1"/>
  <c r="I1766" i="6" s="1"/>
  <c r="D1767" i="6" a="1"/>
  <c r="D1767" i="6" s="1"/>
  <c r="F1767" i="6" a="1"/>
  <c r="F1767" i="6" s="1"/>
  <c r="G1767" i="6" a="1"/>
  <c r="G1767" i="6" s="1"/>
  <c r="I1767" i="6" a="1"/>
  <c r="I1767" i="6" s="1"/>
  <c r="D1768" i="6" a="1"/>
  <c r="D1768" i="6" s="1"/>
  <c r="F1768" i="6" a="1"/>
  <c r="F1768" i="6" s="1"/>
  <c r="G1768" i="6" a="1"/>
  <c r="G1768" i="6" s="1"/>
  <c r="I1768" i="6" a="1"/>
  <c r="I1768" i="6" s="1"/>
  <c r="D1769" i="6" a="1"/>
  <c r="D1769" i="6" s="1"/>
  <c r="F1769" i="6" a="1"/>
  <c r="F1769" i="6" s="1"/>
  <c r="G1769" i="6" a="1"/>
  <c r="G1769" i="6" s="1"/>
  <c r="I1769" i="6" a="1"/>
  <c r="I1769" i="6" s="1"/>
  <c r="F1770" i="6" a="1"/>
  <c r="F1770" i="6" s="1"/>
  <c r="G1770" i="6" a="1"/>
  <c r="G1770" i="6" s="1"/>
  <c r="D1771" i="6" a="1"/>
  <c r="D1771" i="6" s="1"/>
  <c r="F1771" i="6" a="1"/>
  <c r="F1771" i="6" s="1"/>
  <c r="G1771" i="6" a="1"/>
  <c r="G1771" i="6" s="1"/>
  <c r="I1771" i="6" a="1"/>
  <c r="I1771" i="6" s="1"/>
  <c r="D1772" i="6" a="1"/>
  <c r="D1772" i="6" s="1"/>
  <c r="F1772" i="6" a="1"/>
  <c r="F1772" i="6" s="1"/>
  <c r="G1772" i="6" a="1"/>
  <c r="G1772" i="6" s="1"/>
  <c r="I1772" i="6" a="1"/>
  <c r="I1772" i="6" s="1"/>
  <c r="F1773" i="6" a="1"/>
  <c r="F1773" i="6" s="1"/>
  <c r="G1773" i="6" a="1"/>
  <c r="G1773" i="6" s="1"/>
  <c r="I1773" i="6" a="1"/>
  <c r="I1773" i="6" s="1"/>
  <c r="D1776" i="6" a="1"/>
  <c r="D1776" i="6" s="1"/>
  <c r="F1776" i="6" a="1"/>
  <c r="F1776" i="6" s="1"/>
  <c r="G1776" i="6" a="1"/>
  <c r="G1776" i="6" s="1"/>
  <c r="I1776" i="6" a="1"/>
  <c r="I1776" i="6" s="1"/>
  <c r="D1777" i="6" a="1"/>
  <c r="D1777" i="6" s="1"/>
  <c r="F1777" i="6" a="1"/>
  <c r="F1777" i="6" s="1"/>
  <c r="G1777" i="6" a="1"/>
  <c r="G1777" i="6" s="1"/>
  <c r="I1777" i="6" a="1"/>
  <c r="I1777" i="6" s="1"/>
  <c r="D1778" i="6" a="1"/>
  <c r="D1778" i="6" s="1"/>
  <c r="F1778" i="6" a="1"/>
  <c r="F1778" i="6" s="1"/>
  <c r="G1778" i="6" a="1"/>
  <c r="G1778" i="6" s="1"/>
  <c r="I1778" i="6" a="1"/>
  <c r="I1778" i="6" s="1"/>
  <c r="D1779" i="6" a="1"/>
  <c r="D1779" i="6" s="1"/>
  <c r="F1779" i="6" a="1"/>
  <c r="F1779" i="6" s="1"/>
  <c r="G1779" i="6" a="1"/>
  <c r="G1779" i="6" s="1"/>
  <c r="I1779" i="6" a="1"/>
  <c r="I1779" i="6" s="1"/>
  <c r="D1780" i="6" a="1"/>
  <c r="D1780" i="6" s="1"/>
  <c r="F1780" i="6" a="1"/>
  <c r="F1780" i="6" s="1"/>
  <c r="G1780" i="6" a="1"/>
  <c r="G1780" i="6" s="1"/>
  <c r="I1780" i="6" a="1"/>
  <c r="I1780" i="6" s="1"/>
  <c r="D1781" i="6" a="1"/>
  <c r="D1781" i="6" s="1"/>
  <c r="F1781" i="6" a="1"/>
  <c r="F1781" i="6" s="1"/>
  <c r="G1781" i="6" a="1"/>
  <c r="G1781" i="6" s="1"/>
  <c r="I1781" i="6" a="1"/>
  <c r="I1781" i="6" s="1"/>
  <c r="F1782" i="6" a="1"/>
  <c r="F1782" i="6" s="1"/>
  <c r="G1782" i="6" a="1"/>
  <c r="G1782" i="6" s="1"/>
  <c r="D1783" i="6" a="1"/>
  <c r="D1783" i="6" s="1"/>
  <c r="F1783" i="6" a="1"/>
  <c r="F1783" i="6" s="1"/>
  <c r="G1783" i="6" a="1"/>
  <c r="G1783" i="6" s="1"/>
  <c r="I1783" i="6" a="1"/>
  <c r="I1783" i="6" s="1"/>
  <c r="D1784" i="6" a="1"/>
  <c r="D1784" i="6" s="1"/>
  <c r="F1784" i="6" a="1"/>
  <c r="F1784" i="6" s="1"/>
  <c r="G1784" i="6" a="1"/>
  <c r="G1784" i="6" s="1"/>
  <c r="I1784" i="6" a="1"/>
  <c r="I1784" i="6" s="1"/>
  <c r="G1785" i="6" a="1"/>
  <c r="G1785" i="6" s="1"/>
  <c r="I1785" i="6" a="1"/>
  <c r="I1785" i="6" s="1"/>
  <c r="F1786" i="6" a="1"/>
  <c r="F1786" i="6" s="1"/>
  <c r="G1786" i="6" a="1"/>
  <c r="G1786" i="6" s="1"/>
  <c r="D1788" i="6" a="1"/>
  <c r="D1788" i="6" s="1"/>
  <c r="F1788" i="6" a="1"/>
  <c r="F1788" i="6" s="1"/>
  <c r="G1788" i="6" a="1"/>
  <c r="G1788" i="6" s="1"/>
  <c r="I1788" i="6" a="1"/>
  <c r="I1788" i="6" s="1"/>
  <c r="D1789" i="6" a="1"/>
  <c r="D1789" i="6" s="1"/>
  <c r="F1789" i="6" a="1"/>
  <c r="F1789" i="6" s="1"/>
  <c r="G1789" i="6" a="1"/>
  <c r="G1789" i="6" s="1"/>
  <c r="I1789" i="6" a="1"/>
  <c r="I1789" i="6" s="1"/>
  <c r="D1790" i="6" a="1"/>
  <c r="D1790" i="6" s="1"/>
  <c r="F1790" i="6" a="1"/>
  <c r="F1790" i="6" s="1"/>
  <c r="G1790" i="6" a="1"/>
  <c r="G1790" i="6" s="1"/>
  <c r="I1790" i="6" a="1"/>
  <c r="I1790" i="6" s="1"/>
  <c r="D1791" i="6" a="1"/>
  <c r="D1791" i="6" s="1"/>
  <c r="F1791" i="6" a="1"/>
  <c r="F1791" i="6" s="1"/>
  <c r="G1791" i="6" a="1"/>
  <c r="G1791" i="6" s="1"/>
  <c r="I1791" i="6" a="1"/>
  <c r="I1791" i="6" s="1"/>
  <c r="D1792" i="6" a="1"/>
  <c r="D1792" i="6" s="1"/>
  <c r="F1792" i="6" a="1"/>
  <c r="F1792" i="6" s="1"/>
  <c r="G1792" i="6" a="1"/>
  <c r="G1792" i="6" s="1"/>
  <c r="I1792" i="6" a="1"/>
  <c r="I1792" i="6" s="1"/>
  <c r="D1793" i="6" a="1"/>
  <c r="D1793" i="6" s="1"/>
  <c r="F1793" i="6" a="1"/>
  <c r="F1793" i="6" s="1"/>
  <c r="G1793" i="6" a="1"/>
  <c r="G1793" i="6" s="1"/>
  <c r="I1793" i="6" a="1"/>
  <c r="I1793" i="6" s="1"/>
  <c r="D1795" i="6" a="1"/>
  <c r="D1795" i="6" s="1"/>
  <c r="F1795" i="6" a="1"/>
  <c r="F1795" i="6" s="1"/>
  <c r="G1795" i="6" a="1"/>
  <c r="G1795" i="6" s="1"/>
  <c r="I1795" i="6" a="1"/>
  <c r="I1795" i="6" s="1"/>
  <c r="D1796" i="6" a="1"/>
  <c r="D1796" i="6" s="1"/>
  <c r="F1796" i="6" a="1"/>
  <c r="F1796" i="6" s="1"/>
  <c r="G1796" i="6" a="1"/>
  <c r="G1796" i="6" s="1"/>
  <c r="I1796" i="6" a="1"/>
  <c r="I1796" i="6" s="1"/>
  <c r="G1799" i="6" a="1"/>
  <c r="G1799" i="6" s="1"/>
  <c r="D1800" i="6" a="1"/>
  <c r="D1800" i="6" s="1"/>
  <c r="F1800" i="6" a="1"/>
  <c r="F1800" i="6" s="1"/>
  <c r="G1800" i="6" a="1"/>
  <c r="G1800" i="6" s="1"/>
  <c r="I1800" i="6" a="1"/>
  <c r="I1800" i="6" s="1"/>
  <c r="D1801" i="6" a="1"/>
  <c r="D1801" i="6" s="1"/>
  <c r="F1801" i="6" a="1"/>
  <c r="F1801" i="6" s="1"/>
  <c r="G1801" i="6" a="1"/>
  <c r="G1801" i="6" s="1"/>
  <c r="I1801" i="6" a="1"/>
  <c r="I1801" i="6" s="1"/>
  <c r="D1802" i="6" a="1"/>
  <c r="D1802" i="6" s="1"/>
  <c r="F1802" i="6" a="1"/>
  <c r="F1802" i="6" s="1"/>
  <c r="G1802" i="6" a="1"/>
  <c r="G1802" i="6" s="1"/>
  <c r="I1802" i="6" a="1"/>
  <c r="I1802" i="6" s="1"/>
  <c r="D1803" i="6" a="1"/>
  <c r="D1803" i="6" s="1"/>
  <c r="F1803" i="6" a="1"/>
  <c r="F1803" i="6" s="1"/>
  <c r="G1803" i="6" a="1"/>
  <c r="G1803" i="6" s="1"/>
  <c r="I1803" i="6" a="1"/>
  <c r="I1803" i="6" s="1"/>
  <c r="D1804" i="6" a="1"/>
  <c r="D1804" i="6" s="1"/>
  <c r="F1804" i="6" a="1"/>
  <c r="F1804" i="6" s="1"/>
  <c r="G1804" i="6" a="1"/>
  <c r="G1804" i="6" s="1"/>
  <c r="I1804" i="6" a="1"/>
  <c r="I1804" i="6" s="1"/>
  <c r="D1805" i="6" a="1"/>
  <c r="D1805" i="6" s="1"/>
  <c r="F1805" i="6" a="1"/>
  <c r="F1805" i="6" s="1"/>
  <c r="G1805" i="6" a="1"/>
  <c r="G1805" i="6" s="1"/>
  <c r="I1805" i="6" a="1"/>
  <c r="I1805" i="6" s="1"/>
  <c r="F1806" i="6" a="1"/>
  <c r="F1806" i="6" s="1"/>
  <c r="G1806" i="6" a="1"/>
  <c r="G1806" i="6" s="1"/>
  <c r="D1807" i="6" a="1"/>
  <c r="D1807" i="6" s="1"/>
  <c r="F1807" i="6" a="1"/>
  <c r="F1807" i="6" s="1"/>
  <c r="G1807" i="6" a="1"/>
  <c r="G1807" i="6" s="1"/>
  <c r="I1807" i="6" a="1"/>
  <c r="I1807" i="6" s="1"/>
  <c r="D1808" i="6" a="1"/>
  <c r="D1808" i="6" s="1"/>
  <c r="F1808" i="6" a="1"/>
  <c r="F1808" i="6" s="1"/>
  <c r="G1808" i="6" a="1"/>
  <c r="G1808" i="6" s="1"/>
  <c r="I1808" i="6" a="1"/>
  <c r="I1808" i="6" s="1"/>
  <c r="F1809" i="6" a="1"/>
  <c r="F1809" i="6" s="1"/>
  <c r="G1809" i="6" a="1"/>
  <c r="G1809" i="6" s="1"/>
  <c r="D1812" i="6" a="1"/>
  <c r="D1812" i="6" s="1"/>
  <c r="F1812" i="6" a="1"/>
  <c r="F1812" i="6" s="1"/>
  <c r="G1812" i="6" a="1"/>
  <c r="G1812" i="6" s="1"/>
  <c r="I1812" i="6" a="1"/>
  <c r="I1812" i="6" s="1"/>
  <c r="D1813" i="6" a="1"/>
  <c r="D1813" i="6" s="1"/>
  <c r="F1813" i="6" a="1"/>
  <c r="F1813" i="6" s="1"/>
  <c r="G1813" i="6" a="1"/>
  <c r="G1813" i="6" s="1"/>
  <c r="I1813" i="6" a="1"/>
  <c r="I1813" i="6" s="1"/>
  <c r="D1814" i="6" a="1"/>
  <c r="D1814" i="6" s="1"/>
  <c r="F1814" i="6" a="1"/>
  <c r="F1814" i="6" s="1"/>
  <c r="G1814" i="6" a="1"/>
  <c r="G1814" i="6" s="1"/>
  <c r="I1814" i="6" a="1"/>
  <c r="I1814" i="6" s="1"/>
  <c r="D1815" i="6" a="1"/>
  <c r="D1815" i="6" s="1"/>
  <c r="F1815" i="6" a="1"/>
  <c r="F1815" i="6" s="1"/>
  <c r="G1815" i="6" a="1"/>
  <c r="G1815" i="6" s="1"/>
  <c r="I1815" i="6" a="1"/>
  <c r="I1815" i="6" s="1"/>
  <c r="D1816" i="6" a="1"/>
  <c r="D1816" i="6" s="1"/>
  <c r="F1816" i="6" a="1"/>
  <c r="F1816" i="6" s="1"/>
  <c r="G1816" i="6" a="1"/>
  <c r="G1816" i="6" s="1"/>
  <c r="I1816" i="6" a="1"/>
  <c r="I1816" i="6" s="1"/>
  <c r="D1817" i="6" a="1"/>
  <c r="D1817" i="6" s="1"/>
  <c r="F1817" i="6" a="1"/>
  <c r="F1817" i="6" s="1"/>
  <c r="G1817" i="6" a="1"/>
  <c r="G1817" i="6" s="1"/>
  <c r="I1817" i="6" a="1"/>
  <c r="I1817" i="6" s="1"/>
  <c r="F1818" i="6" a="1"/>
  <c r="F1818" i="6" s="1"/>
  <c r="G1818" i="6" a="1"/>
  <c r="G1818" i="6" s="1"/>
  <c r="D1819" i="6" a="1"/>
  <c r="D1819" i="6" s="1"/>
  <c r="F1819" i="6" a="1"/>
  <c r="F1819" i="6" s="1"/>
  <c r="G1819" i="6" a="1"/>
  <c r="G1819" i="6" s="1"/>
  <c r="I1819" i="6" a="1"/>
  <c r="I1819" i="6" s="1"/>
  <c r="D1820" i="6" a="1"/>
  <c r="D1820" i="6" s="1"/>
  <c r="F1820" i="6" a="1"/>
  <c r="F1820" i="6" s="1"/>
  <c r="G1820" i="6" a="1"/>
  <c r="G1820" i="6" s="1"/>
  <c r="I1820" i="6" a="1"/>
  <c r="I1820" i="6" s="1"/>
  <c r="G1821" i="6" a="1"/>
  <c r="G1821" i="6" s="1"/>
  <c r="D1824" i="6" a="1"/>
  <c r="D1824" i="6" s="1"/>
  <c r="F1824" i="6" a="1"/>
  <c r="F1824" i="6" s="1"/>
  <c r="G1824" i="6" a="1"/>
  <c r="G1824" i="6" s="1"/>
  <c r="I1824" i="6" a="1"/>
  <c r="I1824" i="6" s="1"/>
  <c r="D1825" i="6" a="1"/>
  <c r="D1825" i="6" s="1"/>
  <c r="F1825" i="6" a="1"/>
  <c r="F1825" i="6" s="1"/>
  <c r="G1825" i="6" a="1"/>
  <c r="G1825" i="6" s="1"/>
  <c r="I1825" i="6" a="1"/>
  <c r="I1825" i="6" s="1"/>
  <c r="D1826" i="6" a="1"/>
  <c r="D1826" i="6" s="1"/>
  <c r="F1826" i="6" a="1"/>
  <c r="F1826" i="6" s="1"/>
  <c r="G1826" i="6" a="1"/>
  <c r="G1826" i="6" s="1"/>
  <c r="I1826" i="6" a="1"/>
  <c r="I1826" i="6" s="1"/>
  <c r="D1827" i="6" a="1"/>
  <c r="D1827" i="6" s="1"/>
  <c r="F1827" i="6" a="1"/>
  <c r="F1827" i="6" s="1"/>
  <c r="G1827" i="6" a="1"/>
  <c r="G1827" i="6" s="1"/>
  <c r="I1827" i="6" a="1"/>
  <c r="I1827" i="6" s="1"/>
  <c r="D1828" i="6" a="1"/>
  <c r="D1828" i="6" s="1"/>
  <c r="F1828" i="6" a="1"/>
  <c r="F1828" i="6" s="1"/>
  <c r="G1828" i="6" a="1"/>
  <c r="G1828" i="6" s="1"/>
  <c r="I1828" i="6" a="1"/>
  <c r="I1828" i="6" s="1"/>
  <c r="D1829" i="6" a="1"/>
  <c r="D1829" i="6" s="1"/>
  <c r="F1829" i="6" a="1"/>
  <c r="F1829" i="6" s="1"/>
  <c r="G1829" i="6" a="1"/>
  <c r="G1829" i="6" s="1"/>
  <c r="I1829" i="6" a="1"/>
  <c r="I1829" i="6" s="1"/>
  <c r="D1831" i="6" a="1"/>
  <c r="D1831" i="6" s="1"/>
  <c r="F1831" i="6" a="1"/>
  <c r="F1831" i="6" s="1"/>
  <c r="G1831" i="6" a="1"/>
  <c r="G1831" i="6" s="1"/>
  <c r="I1831" i="6" a="1"/>
  <c r="I1831" i="6" s="1"/>
  <c r="D1832" i="6" a="1"/>
  <c r="D1832" i="6" s="1"/>
  <c r="F1832" i="6" a="1"/>
  <c r="F1832" i="6" s="1"/>
  <c r="G1832" i="6" a="1"/>
  <c r="G1832" i="6" s="1"/>
  <c r="I1832" i="6" a="1"/>
  <c r="I1832" i="6" s="1"/>
  <c r="D1836" i="6" a="1"/>
  <c r="D1836" i="6" s="1"/>
  <c r="F1836" i="6" a="1"/>
  <c r="F1836" i="6" s="1"/>
  <c r="G1836" i="6" a="1"/>
  <c r="G1836" i="6" s="1"/>
  <c r="I1836" i="6" a="1"/>
  <c r="I1836" i="6" s="1"/>
  <c r="D1837" i="6" a="1"/>
  <c r="D1837" i="6" s="1"/>
  <c r="F1837" i="6" a="1"/>
  <c r="F1837" i="6" s="1"/>
  <c r="G1837" i="6" a="1"/>
  <c r="G1837" i="6" s="1"/>
  <c r="I1837" i="6" a="1"/>
  <c r="I1837" i="6" s="1"/>
  <c r="D1838" i="6" a="1"/>
  <c r="D1838" i="6" s="1"/>
  <c r="F1838" i="6" a="1"/>
  <c r="F1838" i="6" s="1"/>
  <c r="G1838" i="6" a="1"/>
  <c r="G1838" i="6" s="1"/>
  <c r="I1838" i="6" a="1"/>
  <c r="I1838" i="6" s="1"/>
  <c r="D1839" i="6" a="1"/>
  <c r="D1839" i="6" s="1"/>
  <c r="F1839" i="6" a="1"/>
  <c r="F1839" i="6" s="1"/>
  <c r="G1839" i="6" a="1"/>
  <c r="G1839" i="6" s="1"/>
  <c r="I1839" i="6" a="1"/>
  <c r="I1839" i="6" s="1"/>
  <c r="D1840" i="6" a="1"/>
  <c r="D1840" i="6" s="1"/>
  <c r="F1840" i="6" a="1"/>
  <c r="F1840" i="6" s="1"/>
  <c r="G1840" i="6" a="1"/>
  <c r="G1840" i="6" s="1"/>
  <c r="I1840" i="6" a="1"/>
  <c r="I1840" i="6" s="1"/>
  <c r="D1841" i="6" a="1"/>
  <c r="D1841" i="6" s="1"/>
  <c r="F1841" i="6" a="1"/>
  <c r="F1841" i="6" s="1"/>
  <c r="G1841" i="6" a="1"/>
  <c r="G1841" i="6" s="1"/>
  <c r="I1841" i="6" a="1"/>
  <c r="I1841" i="6" s="1"/>
  <c r="F1842" i="6" a="1"/>
  <c r="F1842" i="6" s="1"/>
  <c r="G1842" i="6" a="1"/>
  <c r="G1842" i="6" s="1"/>
  <c r="D1843" i="6" a="1"/>
  <c r="D1843" i="6" s="1"/>
  <c r="F1843" i="6" a="1"/>
  <c r="F1843" i="6" s="1"/>
  <c r="G1843" i="6" a="1"/>
  <c r="G1843" i="6" s="1"/>
  <c r="I1843" i="6" a="1"/>
  <c r="I1843" i="6" s="1"/>
  <c r="D1844" i="6" a="1"/>
  <c r="D1844" i="6" s="1"/>
  <c r="F1844" i="6" a="1"/>
  <c r="F1844" i="6" s="1"/>
  <c r="G1844" i="6" a="1"/>
  <c r="G1844" i="6" s="1"/>
  <c r="I1844" i="6" a="1"/>
  <c r="I1844" i="6" s="1"/>
  <c r="I1845" i="6" a="1"/>
  <c r="I1845" i="6" s="1"/>
  <c r="D1848" i="6" a="1"/>
  <c r="D1848" i="6" s="1"/>
  <c r="F1848" i="6" a="1"/>
  <c r="F1848" i="6" s="1"/>
  <c r="G1848" i="6" a="1"/>
  <c r="G1848" i="6" s="1"/>
  <c r="I1848" i="6" a="1"/>
  <c r="I1848" i="6" s="1"/>
  <c r="D1849" i="6" a="1"/>
  <c r="D1849" i="6" s="1"/>
  <c r="F1849" i="6" a="1"/>
  <c r="F1849" i="6" s="1"/>
  <c r="G1849" i="6" a="1"/>
  <c r="G1849" i="6" s="1"/>
  <c r="I1849" i="6" a="1"/>
  <c r="I1849" i="6" s="1"/>
  <c r="D1850" i="6" a="1"/>
  <c r="D1850" i="6" s="1"/>
  <c r="F1850" i="6" a="1"/>
  <c r="F1850" i="6" s="1"/>
  <c r="G1850" i="6" a="1"/>
  <c r="G1850" i="6" s="1"/>
  <c r="I1850" i="6" a="1"/>
  <c r="I1850" i="6" s="1"/>
  <c r="D1851" i="6" a="1"/>
  <c r="D1851" i="6" s="1"/>
  <c r="F1851" i="6" a="1"/>
  <c r="F1851" i="6" s="1"/>
  <c r="G1851" i="6" a="1"/>
  <c r="G1851" i="6" s="1"/>
  <c r="I1851" i="6" a="1"/>
  <c r="I1851" i="6" s="1"/>
  <c r="D1852" i="6" a="1"/>
  <c r="D1852" i="6" s="1"/>
  <c r="F1852" i="6" a="1"/>
  <c r="F1852" i="6" s="1"/>
  <c r="G1852" i="6" a="1"/>
  <c r="G1852" i="6" s="1"/>
  <c r="I1852" i="6" a="1"/>
  <c r="I1852" i="6" s="1"/>
  <c r="D1853" i="6" a="1"/>
  <c r="D1853" i="6" s="1"/>
  <c r="F1853" i="6" a="1"/>
  <c r="F1853" i="6" s="1"/>
  <c r="G1853" i="6" a="1"/>
  <c r="G1853" i="6" s="1"/>
  <c r="I1853" i="6" a="1"/>
  <c r="I1853" i="6" s="1"/>
  <c r="F1854" i="6" a="1"/>
  <c r="F1854" i="6" s="1"/>
  <c r="G1854" i="6" a="1"/>
  <c r="G1854" i="6" s="1"/>
  <c r="D1855" i="6" a="1"/>
  <c r="D1855" i="6" s="1"/>
  <c r="F1855" i="6" a="1"/>
  <c r="F1855" i="6" s="1"/>
  <c r="G1855" i="6" a="1"/>
  <c r="G1855" i="6" s="1"/>
  <c r="I1855" i="6" a="1"/>
  <c r="I1855" i="6" s="1"/>
  <c r="D1856" i="6" a="1"/>
  <c r="D1856" i="6" s="1"/>
  <c r="F1856" i="6" a="1"/>
  <c r="F1856" i="6" s="1"/>
  <c r="G1856" i="6" a="1"/>
  <c r="G1856" i="6" s="1"/>
  <c r="I1856" i="6" a="1"/>
  <c r="I1856" i="6" s="1"/>
  <c r="I1857" i="6" a="1"/>
  <c r="I1857" i="6" s="1"/>
  <c r="D1860" i="6" a="1"/>
  <c r="D1860" i="6" s="1"/>
  <c r="F1860" i="6" a="1"/>
  <c r="F1860" i="6" s="1"/>
  <c r="G1860" i="6" a="1"/>
  <c r="G1860" i="6" s="1"/>
  <c r="I1860" i="6" a="1"/>
  <c r="I1860" i="6" s="1"/>
  <c r="D1861" i="6" a="1"/>
  <c r="D1861" i="6" s="1"/>
  <c r="F1861" i="6" a="1"/>
  <c r="F1861" i="6" s="1"/>
  <c r="G1861" i="6" a="1"/>
  <c r="G1861" i="6" s="1"/>
  <c r="I1861" i="6" a="1"/>
  <c r="I1861" i="6" s="1"/>
  <c r="D1862" i="6" a="1"/>
  <c r="D1862" i="6" s="1"/>
  <c r="F1862" i="6" a="1"/>
  <c r="F1862" i="6" s="1"/>
  <c r="G1862" i="6" a="1"/>
  <c r="G1862" i="6" s="1"/>
  <c r="I1862" i="6" a="1"/>
  <c r="I1862" i="6" s="1"/>
  <c r="D1863" i="6" a="1"/>
  <c r="D1863" i="6" s="1"/>
  <c r="F1863" i="6" a="1"/>
  <c r="F1863" i="6" s="1"/>
  <c r="G1863" i="6" a="1"/>
  <c r="G1863" i="6" s="1"/>
  <c r="I1863" i="6" a="1"/>
  <c r="I1863" i="6" s="1"/>
  <c r="D1864" i="6" a="1"/>
  <c r="D1864" i="6" s="1"/>
  <c r="F1864" i="6" a="1"/>
  <c r="F1864" i="6" s="1"/>
  <c r="G1864" i="6" a="1"/>
  <c r="G1864" i="6" s="1"/>
  <c r="I1864" i="6" a="1"/>
  <c r="I1864" i="6" s="1"/>
  <c r="D1865" i="6" a="1"/>
  <c r="D1865" i="6" s="1"/>
  <c r="F1865" i="6" a="1"/>
  <c r="F1865" i="6" s="1"/>
  <c r="G1865" i="6" a="1"/>
  <c r="G1865" i="6" s="1"/>
  <c r="I1865" i="6" a="1"/>
  <c r="I1865" i="6" s="1"/>
  <c r="D1867" i="6" a="1"/>
  <c r="D1867" i="6" s="1"/>
  <c r="F1867" i="6" a="1"/>
  <c r="F1867" i="6" s="1"/>
  <c r="G1867" i="6" a="1"/>
  <c r="G1867" i="6" s="1"/>
  <c r="I1867" i="6" a="1"/>
  <c r="I1867" i="6" s="1"/>
  <c r="D1868" i="6" a="1"/>
  <c r="D1868" i="6" s="1"/>
  <c r="F1868" i="6" a="1"/>
  <c r="F1868" i="6" s="1"/>
  <c r="G1868" i="6" a="1"/>
  <c r="G1868" i="6" s="1"/>
  <c r="I1868" i="6" a="1"/>
  <c r="I1868" i="6" s="1"/>
  <c r="D1872" i="6" a="1"/>
  <c r="D1872" i="6" s="1"/>
  <c r="F1872" i="6" a="1"/>
  <c r="F1872" i="6" s="1"/>
  <c r="G1872" i="6" a="1"/>
  <c r="G1872" i="6" s="1"/>
  <c r="I1872" i="6" a="1"/>
  <c r="I1872" i="6" s="1"/>
  <c r="D1873" i="6" a="1"/>
  <c r="D1873" i="6" s="1"/>
  <c r="F1873" i="6" a="1"/>
  <c r="F1873" i="6" s="1"/>
  <c r="G1873" i="6" a="1"/>
  <c r="G1873" i="6" s="1"/>
  <c r="I1873" i="6" a="1"/>
  <c r="I1873" i="6" s="1"/>
  <c r="D1874" i="6" a="1"/>
  <c r="D1874" i="6" s="1"/>
  <c r="F1874" i="6" a="1"/>
  <c r="F1874" i="6" s="1"/>
  <c r="G1874" i="6" a="1"/>
  <c r="G1874" i="6" s="1"/>
  <c r="I1874" i="6" a="1"/>
  <c r="I1874" i="6" s="1"/>
  <c r="D1875" i="6" a="1"/>
  <c r="D1875" i="6" s="1"/>
  <c r="F1875" i="6" a="1"/>
  <c r="F1875" i="6" s="1"/>
  <c r="G1875" i="6" a="1"/>
  <c r="G1875" i="6" s="1"/>
  <c r="I1875" i="6" a="1"/>
  <c r="I1875" i="6" s="1"/>
  <c r="D1876" i="6" a="1"/>
  <c r="D1876" i="6" s="1"/>
  <c r="F1876" i="6" a="1"/>
  <c r="F1876" i="6" s="1"/>
  <c r="G1876" i="6" a="1"/>
  <c r="G1876" i="6" s="1"/>
  <c r="I1876" i="6" a="1"/>
  <c r="I1876" i="6" s="1"/>
  <c r="D1877" i="6" a="1"/>
  <c r="D1877" i="6" s="1"/>
  <c r="F1877" i="6" a="1"/>
  <c r="F1877" i="6" s="1"/>
  <c r="G1877" i="6" a="1"/>
  <c r="G1877" i="6" s="1"/>
  <c r="I1877" i="6" a="1"/>
  <c r="I1877" i="6" s="1"/>
  <c r="F1878" i="6" a="1"/>
  <c r="F1878" i="6" s="1"/>
  <c r="G1878" i="6" a="1"/>
  <c r="G1878" i="6" s="1"/>
  <c r="D1879" i="6" a="1"/>
  <c r="D1879" i="6" s="1"/>
  <c r="F1879" i="6" a="1"/>
  <c r="F1879" i="6" s="1"/>
  <c r="G1879" i="6" a="1"/>
  <c r="G1879" i="6" s="1"/>
  <c r="I1879" i="6" a="1"/>
  <c r="I1879" i="6" s="1"/>
  <c r="D1880" i="6" a="1"/>
  <c r="D1880" i="6" s="1"/>
  <c r="F1880" i="6" a="1"/>
  <c r="F1880" i="6" s="1"/>
  <c r="G1880" i="6" a="1"/>
  <c r="G1880" i="6" s="1"/>
  <c r="I1880" i="6" a="1"/>
  <c r="I1880" i="6" s="1"/>
  <c r="D1884" i="6" a="1"/>
  <c r="D1884" i="6" s="1"/>
  <c r="F1884" i="6" a="1"/>
  <c r="F1884" i="6" s="1"/>
  <c r="G1884" i="6" a="1"/>
  <c r="G1884" i="6" s="1"/>
  <c r="I1884" i="6" a="1"/>
  <c r="I1884" i="6" s="1"/>
  <c r="D1885" i="6" a="1"/>
  <c r="D1885" i="6" s="1"/>
  <c r="F1885" i="6" a="1"/>
  <c r="F1885" i="6" s="1"/>
  <c r="G1885" i="6" a="1"/>
  <c r="G1885" i="6" s="1"/>
  <c r="I1885" i="6" a="1"/>
  <c r="I1885" i="6" s="1"/>
  <c r="D1886" i="6" a="1"/>
  <c r="D1886" i="6" s="1"/>
  <c r="F1886" i="6" a="1"/>
  <c r="F1886" i="6" s="1"/>
  <c r="G1886" i="6" a="1"/>
  <c r="G1886" i="6" s="1"/>
  <c r="I1886" i="6" a="1"/>
  <c r="I1886" i="6" s="1"/>
  <c r="D1887" i="6" a="1"/>
  <c r="D1887" i="6" s="1"/>
  <c r="F1887" i="6" a="1"/>
  <c r="F1887" i="6" s="1"/>
  <c r="G1887" i="6" a="1"/>
  <c r="G1887" i="6" s="1"/>
  <c r="I1887" i="6" a="1"/>
  <c r="I1887" i="6" s="1"/>
  <c r="D1888" i="6" a="1"/>
  <c r="D1888" i="6" s="1"/>
  <c r="F1888" i="6" a="1"/>
  <c r="F1888" i="6" s="1"/>
  <c r="G1888" i="6" a="1"/>
  <c r="G1888" i="6" s="1"/>
  <c r="I1888" i="6" a="1"/>
  <c r="I1888" i="6" s="1"/>
  <c r="D1889" i="6" a="1"/>
  <c r="D1889" i="6" s="1"/>
  <c r="F1889" i="6" a="1"/>
  <c r="F1889" i="6" s="1"/>
  <c r="G1889" i="6" a="1"/>
  <c r="G1889" i="6" s="1"/>
  <c r="I1889" i="6" a="1"/>
  <c r="I1889" i="6" s="1"/>
  <c r="F1890" i="6" a="1"/>
  <c r="F1890" i="6" s="1"/>
  <c r="G1890" i="6" a="1"/>
  <c r="G1890" i="6" s="1"/>
  <c r="D1891" i="6" a="1"/>
  <c r="D1891" i="6" s="1"/>
  <c r="F1891" i="6" a="1"/>
  <c r="F1891" i="6" s="1"/>
  <c r="G1891" i="6" a="1"/>
  <c r="G1891" i="6" s="1"/>
  <c r="I1891" i="6" a="1"/>
  <c r="I1891" i="6" s="1"/>
  <c r="D1892" i="6" a="1"/>
  <c r="D1892" i="6" s="1"/>
  <c r="F1892" i="6" a="1"/>
  <c r="F1892" i="6" s="1"/>
  <c r="G1892" i="6" a="1"/>
  <c r="G1892" i="6" s="1"/>
  <c r="I1892" i="6" a="1"/>
  <c r="I1892" i="6" s="1"/>
  <c r="D1896" i="6" a="1"/>
  <c r="D1896" i="6" s="1"/>
  <c r="F1896" i="6" a="1"/>
  <c r="F1896" i="6" s="1"/>
  <c r="G1896" i="6" a="1"/>
  <c r="G1896" i="6" s="1"/>
  <c r="I1896" i="6" a="1"/>
  <c r="I1896" i="6" s="1"/>
  <c r="D1897" i="6" a="1"/>
  <c r="D1897" i="6" s="1"/>
  <c r="F1897" i="6" a="1"/>
  <c r="F1897" i="6" s="1"/>
  <c r="G1897" i="6" a="1"/>
  <c r="G1897" i="6" s="1"/>
  <c r="I1897" i="6" a="1"/>
  <c r="I1897" i="6" s="1"/>
  <c r="D1898" i="6" a="1"/>
  <c r="D1898" i="6" s="1"/>
  <c r="F1898" i="6" a="1"/>
  <c r="F1898" i="6" s="1"/>
  <c r="G1898" i="6" a="1"/>
  <c r="G1898" i="6" s="1"/>
  <c r="I1898" i="6" a="1"/>
  <c r="I1898" i="6" s="1"/>
  <c r="D1899" i="6" a="1"/>
  <c r="D1899" i="6" s="1"/>
  <c r="F1899" i="6" a="1"/>
  <c r="F1899" i="6" s="1"/>
  <c r="G1899" i="6" a="1"/>
  <c r="G1899" i="6" s="1"/>
  <c r="I1899" i="6" a="1"/>
  <c r="I1899" i="6" s="1"/>
  <c r="D1900" i="6" a="1"/>
  <c r="D1900" i="6" s="1"/>
  <c r="F1900" i="6" a="1"/>
  <c r="F1900" i="6" s="1"/>
  <c r="G1900" i="6" a="1"/>
  <c r="G1900" i="6" s="1"/>
  <c r="I1900" i="6" a="1"/>
  <c r="I1900" i="6" s="1"/>
  <c r="D1901" i="6" a="1"/>
  <c r="D1901" i="6" s="1"/>
  <c r="F1901" i="6" a="1"/>
  <c r="F1901" i="6" s="1"/>
  <c r="G1901" i="6" a="1"/>
  <c r="G1901" i="6" s="1"/>
  <c r="I1901" i="6" a="1"/>
  <c r="I1901" i="6" s="1"/>
  <c r="D1903" i="6" a="1"/>
  <c r="D1903" i="6" s="1"/>
  <c r="F1903" i="6" a="1"/>
  <c r="F1903" i="6" s="1"/>
  <c r="G1903" i="6" a="1"/>
  <c r="G1903" i="6" s="1"/>
  <c r="I1903" i="6" a="1"/>
  <c r="I1903" i="6" s="1"/>
  <c r="D1904" i="6" a="1"/>
  <c r="D1904" i="6" s="1"/>
  <c r="F1904" i="6" a="1"/>
  <c r="F1904" i="6" s="1"/>
  <c r="G1904" i="6" a="1"/>
  <c r="G1904" i="6" s="1"/>
  <c r="I1904" i="6" a="1"/>
  <c r="I1904" i="6" s="1"/>
  <c r="D1908" i="6" a="1"/>
  <c r="D1908" i="6" s="1"/>
  <c r="F1908" i="6" a="1"/>
  <c r="F1908" i="6" s="1"/>
  <c r="G1908" i="6" a="1"/>
  <c r="G1908" i="6" s="1"/>
  <c r="I1908" i="6" a="1"/>
  <c r="I1908" i="6" s="1"/>
  <c r="D1909" i="6" a="1"/>
  <c r="D1909" i="6" s="1"/>
  <c r="F1909" i="6" a="1"/>
  <c r="F1909" i="6" s="1"/>
  <c r="G1909" i="6" a="1"/>
  <c r="G1909" i="6" s="1"/>
  <c r="I1909" i="6" a="1"/>
  <c r="I1909" i="6" s="1"/>
  <c r="D1910" i="6" a="1"/>
  <c r="D1910" i="6" s="1"/>
  <c r="F1910" i="6" a="1"/>
  <c r="F1910" i="6" s="1"/>
  <c r="G1910" i="6" a="1"/>
  <c r="G1910" i="6" s="1"/>
  <c r="I1910" i="6" a="1"/>
  <c r="I1910" i="6" s="1"/>
  <c r="D1911" i="6" a="1"/>
  <c r="D1911" i="6" s="1"/>
  <c r="F1911" i="6" a="1"/>
  <c r="F1911" i="6" s="1"/>
  <c r="G1911" i="6" a="1"/>
  <c r="G1911" i="6" s="1"/>
  <c r="I1911" i="6" a="1"/>
  <c r="I1911" i="6" s="1"/>
  <c r="D1912" i="6" a="1"/>
  <c r="D1912" i="6" s="1"/>
  <c r="F1912" i="6" a="1"/>
  <c r="F1912" i="6" s="1"/>
  <c r="G1912" i="6" a="1"/>
  <c r="G1912" i="6" s="1"/>
  <c r="I1912" i="6" a="1"/>
  <c r="I1912" i="6" s="1"/>
  <c r="D1913" i="6" a="1"/>
  <c r="D1913" i="6" s="1"/>
  <c r="F1913" i="6" a="1"/>
  <c r="F1913" i="6" s="1"/>
  <c r="G1913" i="6" a="1"/>
  <c r="G1913" i="6" s="1"/>
  <c r="I1913" i="6" a="1"/>
  <c r="I1913" i="6" s="1"/>
  <c r="F1914" i="6" a="1"/>
  <c r="F1914" i="6" s="1"/>
  <c r="G1914" i="6" a="1"/>
  <c r="G1914" i="6" s="1"/>
  <c r="D1915" i="6" a="1"/>
  <c r="D1915" i="6" s="1"/>
  <c r="F1915" i="6" a="1"/>
  <c r="F1915" i="6" s="1"/>
  <c r="G1915" i="6" a="1"/>
  <c r="G1915" i="6" s="1"/>
  <c r="I1915" i="6" a="1"/>
  <c r="I1915" i="6" s="1"/>
  <c r="D1916" i="6" a="1"/>
  <c r="D1916" i="6" s="1"/>
  <c r="F1916" i="6" a="1"/>
  <c r="F1916" i="6" s="1"/>
  <c r="G1916" i="6" a="1"/>
  <c r="G1916" i="6" s="1"/>
  <c r="I1916" i="6" a="1"/>
  <c r="I1916" i="6" s="1"/>
  <c r="F1917" i="6" a="1"/>
  <c r="F1917" i="6" s="1"/>
  <c r="G1917" i="6" a="1"/>
  <c r="G1917" i="6" s="1"/>
  <c r="I1917" i="6" a="1"/>
  <c r="I1917" i="6" s="1"/>
  <c r="D1920" i="6" a="1"/>
  <c r="D1920" i="6" s="1"/>
  <c r="F1920" i="6" a="1"/>
  <c r="F1920" i="6" s="1"/>
  <c r="G1920" i="6" a="1"/>
  <c r="G1920" i="6" s="1"/>
  <c r="I1920" i="6" a="1"/>
  <c r="I1920" i="6" s="1"/>
  <c r="D1921" i="6" a="1"/>
  <c r="D1921" i="6" s="1"/>
  <c r="F1921" i="6" a="1"/>
  <c r="F1921" i="6" s="1"/>
  <c r="G1921" i="6" a="1"/>
  <c r="G1921" i="6" s="1"/>
  <c r="I1921" i="6" a="1"/>
  <c r="I1921" i="6" s="1"/>
  <c r="D1922" i="6" a="1"/>
  <c r="D1922" i="6" s="1"/>
  <c r="F1922" i="6" a="1"/>
  <c r="F1922" i="6" s="1"/>
  <c r="G1922" i="6" a="1"/>
  <c r="G1922" i="6" s="1"/>
  <c r="I1922" i="6" a="1"/>
  <c r="I1922" i="6" s="1"/>
  <c r="D1923" i="6" a="1"/>
  <c r="D1923" i="6" s="1"/>
  <c r="F1923" i="6" a="1"/>
  <c r="F1923" i="6" s="1"/>
  <c r="G1923" i="6" a="1"/>
  <c r="G1923" i="6" s="1"/>
  <c r="I1923" i="6" a="1"/>
  <c r="I1923" i="6" s="1"/>
  <c r="D1924" i="6" a="1"/>
  <c r="D1924" i="6" s="1"/>
  <c r="F1924" i="6" a="1"/>
  <c r="F1924" i="6" s="1"/>
  <c r="G1924" i="6" a="1"/>
  <c r="G1924" i="6" s="1"/>
  <c r="I1924" i="6" a="1"/>
  <c r="I1924" i="6" s="1"/>
  <c r="D1925" i="6" a="1"/>
  <c r="D1925" i="6" s="1"/>
  <c r="F1925" i="6" a="1"/>
  <c r="F1925" i="6" s="1"/>
  <c r="G1925" i="6" a="1"/>
  <c r="G1925" i="6" s="1"/>
  <c r="I1925" i="6" a="1"/>
  <c r="I1925" i="6" s="1"/>
  <c r="D1926" i="6" a="1"/>
  <c r="D1926" i="6" s="1"/>
  <c r="F1926" i="6" a="1"/>
  <c r="F1926" i="6" s="1"/>
  <c r="G1926" i="6" a="1"/>
  <c r="G1926" i="6" s="1"/>
  <c r="I1926" i="6" a="1"/>
  <c r="I1926" i="6" s="1"/>
  <c r="D1927" i="6" a="1"/>
  <c r="D1927" i="6" s="1"/>
  <c r="F1927" i="6" a="1"/>
  <c r="F1927" i="6" s="1"/>
  <c r="G1927" i="6" a="1"/>
  <c r="G1927" i="6" s="1"/>
  <c r="I1927" i="6" a="1"/>
  <c r="I1927" i="6" s="1"/>
  <c r="D1928" i="6" a="1"/>
  <c r="D1928" i="6" s="1"/>
  <c r="F1928" i="6" a="1"/>
  <c r="F1928" i="6" s="1"/>
  <c r="G1928" i="6" a="1"/>
  <c r="G1928" i="6" s="1"/>
  <c r="I1928" i="6" a="1"/>
  <c r="I1928" i="6" s="1"/>
  <c r="D1929" i="6" a="1"/>
  <c r="D1929" i="6" s="1"/>
  <c r="D1932" i="6" a="1"/>
  <c r="D1932" i="6" s="1"/>
  <c r="F1932" i="6" a="1"/>
  <c r="F1932" i="6" s="1"/>
  <c r="G1932" i="6" a="1"/>
  <c r="G1932" i="6" s="1"/>
  <c r="I1932" i="6" a="1"/>
  <c r="I1932" i="6" s="1"/>
  <c r="D1933" i="6" a="1"/>
  <c r="D1933" i="6" s="1"/>
  <c r="F1933" i="6" a="1"/>
  <c r="F1933" i="6" s="1"/>
  <c r="G1933" i="6" a="1"/>
  <c r="G1933" i="6" s="1"/>
  <c r="I1933" i="6" a="1"/>
  <c r="I1933" i="6" s="1"/>
  <c r="D1934" i="6" a="1"/>
  <c r="D1934" i="6" s="1"/>
  <c r="F1934" i="6" a="1"/>
  <c r="F1934" i="6" s="1"/>
  <c r="G1934" i="6" a="1"/>
  <c r="G1934" i="6" s="1"/>
  <c r="I1934" i="6" a="1"/>
  <c r="I1934" i="6" s="1"/>
  <c r="D1935" i="6" a="1"/>
  <c r="D1935" i="6" s="1"/>
  <c r="F1935" i="6" a="1"/>
  <c r="F1935" i="6" s="1"/>
  <c r="G1935" i="6" a="1"/>
  <c r="G1935" i="6" s="1"/>
  <c r="I1935" i="6" a="1"/>
  <c r="I1935" i="6" s="1"/>
  <c r="D1936" i="6" a="1"/>
  <c r="D1936" i="6" s="1"/>
  <c r="F1936" i="6" a="1"/>
  <c r="F1936" i="6" s="1"/>
  <c r="G1936" i="6" a="1"/>
  <c r="G1936" i="6" s="1"/>
  <c r="I1936" i="6" a="1"/>
  <c r="I1936" i="6" s="1"/>
  <c r="D1937" i="6" a="1"/>
  <c r="D1937" i="6" s="1"/>
  <c r="F1937" i="6" a="1"/>
  <c r="F1937" i="6" s="1"/>
  <c r="G1937" i="6" a="1"/>
  <c r="G1937" i="6" s="1"/>
  <c r="I1937" i="6" a="1"/>
  <c r="I1937" i="6" s="1"/>
  <c r="G1938" i="6" a="1"/>
  <c r="G1938" i="6" s="1"/>
  <c r="I1938" i="6" a="1"/>
  <c r="I1938" i="6" s="1"/>
  <c r="D1939" i="6" a="1"/>
  <c r="D1939" i="6" s="1"/>
  <c r="F1939" i="6" a="1"/>
  <c r="F1939" i="6" s="1"/>
  <c r="G1939" i="6" a="1"/>
  <c r="G1939" i="6" s="1"/>
  <c r="I1939" i="6" a="1"/>
  <c r="I1939" i="6" s="1"/>
  <c r="D1940" i="6" a="1"/>
  <c r="D1940" i="6" s="1"/>
  <c r="F1940" i="6" a="1"/>
  <c r="F1940" i="6" s="1"/>
  <c r="G1940" i="6" a="1"/>
  <c r="G1940" i="6" s="1"/>
  <c r="I1940" i="6" a="1"/>
  <c r="I1940" i="6" s="1"/>
  <c r="D1944" i="6" a="1"/>
  <c r="D1944" i="6" s="1"/>
  <c r="F1944" i="6" a="1"/>
  <c r="F1944" i="6" s="1"/>
  <c r="G1944" i="6" a="1"/>
  <c r="G1944" i="6" s="1"/>
  <c r="I1944" i="6" a="1"/>
  <c r="I1944" i="6" s="1"/>
  <c r="D1945" i="6" a="1"/>
  <c r="D1945" i="6" s="1"/>
  <c r="F1945" i="6" a="1"/>
  <c r="F1945" i="6" s="1"/>
  <c r="G1945" i="6" a="1"/>
  <c r="G1945" i="6" s="1"/>
  <c r="I1945" i="6" a="1"/>
  <c r="I1945" i="6" s="1"/>
  <c r="D1946" i="6" a="1"/>
  <c r="D1946" i="6" s="1"/>
  <c r="F1946" i="6" a="1"/>
  <c r="F1946" i="6" s="1"/>
  <c r="G1946" i="6" a="1"/>
  <c r="G1946" i="6" s="1"/>
  <c r="I1946" i="6" a="1"/>
  <c r="I1946" i="6" s="1"/>
  <c r="D1947" i="6" a="1"/>
  <c r="D1947" i="6" s="1"/>
  <c r="F1947" i="6" a="1"/>
  <c r="F1947" i="6" s="1"/>
  <c r="G1947" i="6" a="1"/>
  <c r="G1947" i="6" s="1"/>
  <c r="I1947" i="6" a="1"/>
  <c r="I1947" i="6" s="1"/>
  <c r="D1948" i="6" a="1"/>
  <c r="D1948" i="6" s="1"/>
  <c r="F1948" i="6" a="1"/>
  <c r="F1948" i="6" s="1"/>
  <c r="G1948" i="6" a="1"/>
  <c r="G1948" i="6" s="1"/>
  <c r="I1948" i="6" a="1"/>
  <c r="I1948" i="6" s="1"/>
  <c r="D1949" i="6" a="1"/>
  <c r="D1949" i="6" s="1"/>
  <c r="F1949" i="6" a="1"/>
  <c r="F1949" i="6" s="1"/>
  <c r="G1949" i="6" a="1"/>
  <c r="G1949" i="6" s="1"/>
  <c r="I1949" i="6" a="1"/>
  <c r="I1949" i="6" s="1"/>
  <c r="F1950" i="6" a="1"/>
  <c r="F1950" i="6" s="1"/>
  <c r="D1951" i="6" a="1"/>
  <c r="D1951" i="6" s="1"/>
  <c r="F1951" i="6" a="1"/>
  <c r="F1951" i="6" s="1"/>
  <c r="G1951" i="6" a="1"/>
  <c r="G1951" i="6" s="1"/>
  <c r="I1951" i="6" a="1"/>
  <c r="I1951" i="6" s="1"/>
  <c r="D1952" i="6" a="1"/>
  <c r="D1952" i="6" s="1"/>
  <c r="F1952" i="6" a="1"/>
  <c r="F1952" i="6" s="1"/>
  <c r="G1952" i="6" a="1"/>
  <c r="G1952" i="6" s="1"/>
  <c r="I1952" i="6" a="1"/>
  <c r="I1952" i="6" s="1"/>
  <c r="F1953" i="6" a="1"/>
  <c r="F1953" i="6" s="1"/>
  <c r="G1954" i="6" a="1"/>
  <c r="G1954" i="6" s="1"/>
  <c r="D1955" i="6" a="1"/>
  <c r="D1955" i="6" s="1"/>
  <c r="D1956" i="6" a="1"/>
  <c r="D1956" i="6" s="1"/>
  <c r="F1956" i="6" a="1"/>
  <c r="F1956" i="6" s="1"/>
  <c r="G1956" i="6" a="1"/>
  <c r="G1956" i="6" s="1"/>
  <c r="I1956" i="6" a="1"/>
  <c r="I1956" i="6" s="1"/>
  <c r="D1957" i="6" a="1"/>
  <c r="D1957" i="6" s="1"/>
  <c r="F1957" i="6" a="1"/>
  <c r="F1957" i="6" s="1"/>
  <c r="G1957" i="6" a="1"/>
  <c r="G1957" i="6" s="1"/>
  <c r="I1957" i="6" a="1"/>
  <c r="I1957" i="6" s="1"/>
  <c r="D1958" i="6" a="1"/>
  <c r="D1958" i="6" s="1"/>
  <c r="F1958" i="6" a="1"/>
  <c r="F1958" i="6" s="1"/>
  <c r="G1958" i="6" a="1"/>
  <c r="G1958" i="6" s="1"/>
  <c r="I1958" i="6" a="1"/>
  <c r="I1958" i="6" s="1"/>
  <c r="D1959" i="6" a="1"/>
  <c r="D1959" i="6" s="1"/>
  <c r="F1959" i="6" a="1"/>
  <c r="F1959" i="6" s="1"/>
  <c r="G1959" i="6" a="1"/>
  <c r="G1959" i="6" s="1"/>
  <c r="I1959" i="6" a="1"/>
  <c r="I1959" i="6" s="1"/>
  <c r="D1960" i="6" a="1"/>
  <c r="D1960" i="6" s="1"/>
  <c r="F1960" i="6" a="1"/>
  <c r="F1960" i="6" s="1"/>
  <c r="G1960" i="6" a="1"/>
  <c r="G1960" i="6" s="1"/>
  <c r="I1960" i="6" a="1"/>
  <c r="I1960" i="6" s="1"/>
  <c r="D1961" i="6" a="1"/>
  <c r="D1961" i="6" s="1"/>
  <c r="F1961" i="6" a="1"/>
  <c r="F1961" i="6" s="1"/>
  <c r="G1961" i="6" a="1"/>
  <c r="G1961" i="6" s="1"/>
  <c r="I1961" i="6" a="1"/>
  <c r="I1961" i="6" s="1"/>
  <c r="I1962" i="6" a="1"/>
  <c r="I1962" i="6" s="1"/>
  <c r="D1963" i="6" a="1"/>
  <c r="D1963" i="6" s="1"/>
  <c r="F1963" i="6" a="1"/>
  <c r="F1963" i="6" s="1"/>
  <c r="G1963" i="6" a="1"/>
  <c r="G1963" i="6" s="1"/>
  <c r="I1963" i="6" a="1"/>
  <c r="I1963" i="6" s="1"/>
  <c r="D1964" i="6" a="1"/>
  <c r="D1964" i="6" s="1"/>
  <c r="F1964" i="6" a="1"/>
  <c r="F1964" i="6" s="1"/>
  <c r="G1964" i="6" a="1"/>
  <c r="G1964" i="6" s="1"/>
  <c r="I1964" i="6" a="1"/>
  <c r="I1964" i="6" s="1"/>
  <c r="I1965" i="6" a="1"/>
  <c r="I1965" i="6" s="1"/>
  <c r="D1968" i="6" a="1"/>
  <c r="D1968" i="6" s="1"/>
  <c r="F1968" i="6" a="1"/>
  <c r="F1968" i="6" s="1"/>
  <c r="G1968" i="6" a="1"/>
  <c r="G1968" i="6" s="1"/>
  <c r="I1968" i="6" a="1"/>
  <c r="I1968" i="6" s="1"/>
  <c r="D1969" i="6" a="1"/>
  <c r="D1969" i="6" s="1"/>
  <c r="F1969" i="6" a="1"/>
  <c r="F1969" i="6" s="1"/>
  <c r="G1969" i="6" a="1"/>
  <c r="G1969" i="6" s="1"/>
  <c r="I1969" i="6" a="1"/>
  <c r="I1969" i="6" s="1"/>
  <c r="D1970" i="6" a="1"/>
  <c r="D1970" i="6" s="1"/>
  <c r="F1970" i="6" a="1"/>
  <c r="F1970" i="6" s="1"/>
  <c r="G1970" i="6" a="1"/>
  <c r="G1970" i="6" s="1"/>
  <c r="I1970" i="6" a="1"/>
  <c r="I1970" i="6" s="1"/>
  <c r="D1971" i="6" a="1"/>
  <c r="D1971" i="6" s="1"/>
  <c r="F1971" i="6" a="1"/>
  <c r="F1971" i="6" s="1"/>
  <c r="G1971" i="6" a="1"/>
  <c r="G1971" i="6" s="1"/>
  <c r="I1971" i="6" a="1"/>
  <c r="I1971" i="6" s="1"/>
  <c r="D1972" i="6" a="1"/>
  <c r="D1972" i="6" s="1"/>
  <c r="F1972" i="6" a="1"/>
  <c r="F1972" i="6" s="1"/>
  <c r="G1972" i="6" a="1"/>
  <c r="G1972" i="6" s="1"/>
  <c r="I1972" i="6" a="1"/>
  <c r="I1972" i="6" s="1"/>
  <c r="D1973" i="6" a="1"/>
  <c r="D1973" i="6" s="1"/>
  <c r="F1973" i="6" a="1"/>
  <c r="F1973" i="6" s="1"/>
  <c r="G1973" i="6" a="1"/>
  <c r="G1973" i="6" s="1"/>
  <c r="I1973" i="6" a="1"/>
  <c r="I1973" i="6" s="1"/>
  <c r="D1974" i="6" a="1"/>
  <c r="D1974" i="6" s="1"/>
  <c r="F1974" i="6" a="1"/>
  <c r="F1974" i="6" s="1"/>
  <c r="D1975" i="6" a="1"/>
  <c r="D1975" i="6" s="1"/>
  <c r="F1975" i="6" a="1"/>
  <c r="F1975" i="6" s="1"/>
  <c r="G1975" i="6" a="1"/>
  <c r="G1975" i="6" s="1"/>
  <c r="I1975" i="6" a="1"/>
  <c r="I1975" i="6" s="1"/>
  <c r="D1976" i="6" a="1"/>
  <c r="D1976" i="6" s="1"/>
  <c r="F1976" i="6" a="1"/>
  <c r="F1976" i="6" s="1"/>
  <c r="G1976" i="6" a="1"/>
  <c r="G1976" i="6" s="1"/>
  <c r="I1976" i="6" a="1"/>
  <c r="I1976" i="6" s="1"/>
  <c r="F1977" i="6" a="1"/>
  <c r="F1977" i="6" s="1"/>
  <c r="D1980" i="6" a="1"/>
  <c r="D1980" i="6" s="1"/>
  <c r="F1980" i="6" a="1"/>
  <c r="F1980" i="6" s="1"/>
  <c r="G1980" i="6" a="1"/>
  <c r="G1980" i="6" s="1"/>
  <c r="I1980" i="6" a="1"/>
  <c r="I1980" i="6" s="1"/>
  <c r="D1981" i="6" a="1"/>
  <c r="D1981" i="6" s="1"/>
  <c r="F1981" i="6" a="1"/>
  <c r="F1981" i="6" s="1"/>
  <c r="G1981" i="6" a="1"/>
  <c r="G1981" i="6" s="1"/>
  <c r="I1981" i="6" a="1"/>
  <c r="I1981" i="6" s="1"/>
  <c r="D1982" i="6" a="1"/>
  <c r="D1982" i="6" s="1"/>
  <c r="F1982" i="6" a="1"/>
  <c r="F1982" i="6" s="1"/>
  <c r="G1982" i="6" a="1"/>
  <c r="G1982" i="6" s="1"/>
  <c r="I1982" i="6" a="1"/>
  <c r="I1982" i="6" s="1"/>
  <c r="D1983" i="6" a="1"/>
  <c r="D1983" i="6" s="1"/>
  <c r="F1983" i="6" a="1"/>
  <c r="F1983" i="6" s="1"/>
  <c r="G1983" i="6" a="1"/>
  <c r="G1983" i="6" s="1"/>
  <c r="I1983" i="6" a="1"/>
  <c r="I1983" i="6" s="1"/>
  <c r="D1984" i="6" a="1"/>
  <c r="D1984" i="6" s="1"/>
  <c r="F1984" i="6" a="1"/>
  <c r="F1984" i="6" s="1"/>
  <c r="G1984" i="6" a="1"/>
  <c r="G1984" i="6" s="1"/>
  <c r="I1984" i="6" a="1"/>
  <c r="I1984" i="6" s="1"/>
  <c r="D1985" i="6" a="1"/>
  <c r="D1985" i="6" s="1"/>
  <c r="F1985" i="6" a="1"/>
  <c r="F1985" i="6" s="1"/>
  <c r="G1985" i="6" a="1"/>
  <c r="G1985" i="6" s="1"/>
  <c r="I1985" i="6" a="1"/>
  <c r="I1985" i="6" s="1"/>
  <c r="D1986" i="6" a="1"/>
  <c r="D1986" i="6" s="1"/>
  <c r="F1986" i="6" a="1"/>
  <c r="F1986" i="6" s="1"/>
  <c r="G1986" i="6" a="1"/>
  <c r="G1986" i="6" s="1"/>
  <c r="I1986" i="6" a="1"/>
  <c r="I1986" i="6" s="1"/>
  <c r="D1987" i="6" a="1"/>
  <c r="D1987" i="6" s="1"/>
  <c r="F1987" i="6" a="1"/>
  <c r="F1987" i="6" s="1"/>
  <c r="G1987" i="6" a="1"/>
  <c r="G1987" i="6" s="1"/>
  <c r="I1987" i="6" a="1"/>
  <c r="I1987" i="6" s="1"/>
  <c r="D1988" i="6" a="1"/>
  <c r="D1988" i="6" s="1"/>
  <c r="F1988" i="6" a="1"/>
  <c r="F1988" i="6" s="1"/>
  <c r="G1988" i="6" a="1"/>
  <c r="G1988" i="6" s="1"/>
  <c r="I1988" i="6" a="1"/>
  <c r="I1988" i="6" s="1"/>
  <c r="D1989" i="6" a="1"/>
  <c r="D1989" i="6" s="1"/>
  <c r="F1989" i="6" a="1"/>
  <c r="F1989" i="6" s="1"/>
  <c r="G1989" i="6" a="1"/>
  <c r="G1989" i="6" s="1"/>
  <c r="I1989" i="6" a="1"/>
  <c r="I1989" i="6" s="1"/>
  <c r="D1991" i="6" a="1"/>
  <c r="D1991" i="6" s="1"/>
  <c r="D1992" i="6" a="1"/>
  <c r="D1992" i="6" s="1"/>
  <c r="F1992" i="6" a="1"/>
  <c r="F1992" i="6" s="1"/>
  <c r="G1992" i="6" a="1"/>
  <c r="G1992" i="6" s="1"/>
  <c r="I1992" i="6" a="1"/>
  <c r="I1992" i="6" s="1"/>
  <c r="D1993" i="6" a="1"/>
  <c r="D1993" i="6" s="1"/>
  <c r="F1993" i="6" a="1"/>
  <c r="F1993" i="6" s="1"/>
  <c r="G1993" i="6" a="1"/>
  <c r="G1993" i="6" s="1"/>
  <c r="I1993" i="6" a="1"/>
  <c r="I1993" i="6" s="1"/>
  <c r="D1994" i="6" a="1"/>
  <c r="D1994" i="6" s="1"/>
  <c r="F1994" i="6" a="1"/>
  <c r="F1994" i="6" s="1"/>
  <c r="G1994" i="6" a="1"/>
  <c r="G1994" i="6" s="1"/>
  <c r="I1994" i="6" a="1"/>
  <c r="I1994" i="6" s="1"/>
  <c r="D1995" i="6" a="1"/>
  <c r="D1995" i="6" s="1"/>
  <c r="F1995" i="6" a="1"/>
  <c r="F1995" i="6" s="1"/>
  <c r="G1995" i="6" a="1"/>
  <c r="G1995" i="6" s="1"/>
  <c r="I1995" i="6" a="1"/>
  <c r="I1995" i="6" s="1"/>
  <c r="D1996" i="6" a="1"/>
  <c r="D1996" i="6" s="1"/>
  <c r="F1996" i="6" a="1"/>
  <c r="F1996" i="6" s="1"/>
  <c r="G1996" i="6" a="1"/>
  <c r="G1996" i="6" s="1"/>
  <c r="I1996" i="6" a="1"/>
  <c r="I1996" i="6" s="1"/>
  <c r="D1997" i="6" a="1"/>
  <c r="D1997" i="6" s="1"/>
  <c r="F1997" i="6" a="1"/>
  <c r="F1997" i="6" s="1"/>
  <c r="G1997" i="6" a="1"/>
  <c r="G1997" i="6" s="1"/>
  <c r="I1997" i="6" a="1"/>
  <c r="I1997" i="6" s="1"/>
  <c r="D1998" i="6" a="1"/>
  <c r="D1998" i="6" s="1"/>
  <c r="F1998" i="6" a="1"/>
  <c r="F1998" i="6" s="1"/>
  <c r="G1998" i="6" a="1"/>
  <c r="G1998" i="6" s="1"/>
  <c r="I1998" i="6" a="1"/>
  <c r="I1998" i="6" s="1"/>
  <c r="D1999" i="6" a="1"/>
  <c r="D1999" i="6" s="1"/>
  <c r="F1999" i="6" a="1"/>
  <c r="F1999" i="6" s="1"/>
  <c r="G1999" i="6" a="1"/>
  <c r="G1999" i="6" s="1"/>
  <c r="I1999" i="6" a="1"/>
  <c r="I1999" i="6" s="1"/>
  <c r="D2000" i="6" a="1"/>
  <c r="D2000" i="6" s="1"/>
  <c r="F2000" i="6" a="1"/>
  <c r="F2000" i="6" s="1"/>
  <c r="G2000" i="6" a="1"/>
  <c r="G2000" i="6" s="1"/>
  <c r="I2000" i="6" a="1"/>
  <c r="I2000" i="6" s="1"/>
  <c r="I2001" i="6" a="1"/>
  <c r="I2001" i="6" s="1"/>
  <c r="D2004" i="6" a="1"/>
  <c r="D2004" i="6" s="1"/>
  <c r="F2004" i="6" a="1"/>
  <c r="F2004" i="6" s="1"/>
  <c r="G2004" i="6" a="1"/>
  <c r="G2004" i="6" s="1"/>
  <c r="I2004" i="6" a="1"/>
  <c r="I2004" i="6" s="1"/>
  <c r="D2005" i="6" a="1"/>
  <c r="D2005" i="6" s="1"/>
  <c r="F2005" i="6" a="1"/>
  <c r="F2005" i="6" s="1"/>
  <c r="G2005" i="6" a="1"/>
  <c r="G2005" i="6" s="1"/>
  <c r="I2005" i="6" a="1"/>
  <c r="I2005" i="6" s="1"/>
  <c r="D2006" i="6" a="1"/>
  <c r="D2006" i="6" s="1"/>
  <c r="F2006" i="6" a="1"/>
  <c r="F2006" i="6" s="1"/>
  <c r="G2006" i="6" a="1"/>
  <c r="G2006" i="6" s="1"/>
  <c r="I2006" i="6" a="1"/>
  <c r="I2006" i="6" s="1"/>
  <c r="D2007" i="6" a="1"/>
  <c r="D2007" i="6" s="1"/>
  <c r="F2007" i="6" a="1"/>
  <c r="F2007" i="6" s="1"/>
  <c r="G2007" i="6" a="1"/>
  <c r="G2007" i="6" s="1"/>
  <c r="I2007" i="6" a="1"/>
  <c r="I2007" i="6" s="1"/>
  <c r="D2008" i="6" a="1"/>
  <c r="D2008" i="6" s="1"/>
  <c r="F2008" i="6" a="1"/>
  <c r="F2008" i="6" s="1"/>
  <c r="G2008" i="6" a="1"/>
  <c r="G2008" i="6" s="1"/>
  <c r="I2008" i="6" a="1"/>
  <c r="I2008" i="6" s="1"/>
  <c r="D2009" i="6" a="1"/>
  <c r="D2009" i="6" s="1"/>
  <c r="F2009" i="6" a="1"/>
  <c r="F2009" i="6" s="1"/>
  <c r="G2009" i="6" a="1"/>
  <c r="G2009" i="6" s="1"/>
  <c r="I2009" i="6" a="1"/>
  <c r="I2009" i="6" s="1"/>
  <c r="G2010" i="6" a="1"/>
  <c r="G2010" i="6" s="1"/>
  <c r="I2010" i="6" a="1"/>
  <c r="I2010" i="6" s="1"/>
  <c r="D2011" i="6" a="1"/>
  <c r="D2011" i="6" s="1"/>
  <c r="F2011" i="6" a="1"/>
  <c r="F2011" i="6" s="1"/>
  <c r="G2011" i="6" a="1"/>
  <c r="G2011" i="6" s="1"/>
  <c r="I2011" i="6" a="1"/>
  <c r="I2011" i="6" s="1"/>
  <c r="D2012" i="6" a="1"/>
  <c r="D2012" i="6" s="1"/>
  <c r="F2012" i="6" a="1"/>
  <c r="F2012" i="6" s="1"/>
  <c r="G2012" i="6" a="1"/>
  <c r="G2012" i="6" s="1"/>
  <c r="I2012" i="6" a="1"/>
  <c r="I2012" i="6" s="1"/>
  <c r="D2016" i="6" a="1"/>
  <c r="D2016" i="6" s="1"/>
  <c r="F2016" i="6" a="1"/>
  <c r="F2016" i="6" s="1"/>
  <c r="G2016" i="6" a="1"/>
  <c r="G2016" i="6" s="1"/>
  <c r="I2016" i="6" a="1"/>
  <c r="I2016" i="6" s="1"/>
  <c r="D2017" i="6" a="1"/>
  <c r="D2017" i="6" s="1"/>
  <c r="F2017" i="6" a="1"/>
  <c r="F2017" i="6" s="1"/>
  <c r="G2017" i="6" a="1"/>
  <c r="G2017" i="6" s="1"/>
  <c r="I2017" i="6" a="1"/>
  <c r="I2017" i="6" s="1"/>
  <c r="D2018" i="6" a="1"/>
  <c r="D2018" i="6" s="1"/>
  <c r="F2018" i="6" a="1"/>
  <c r="F2018" i="6" s="1"/>
  <c r="G2018" i="6" a="1"/>
  <c r="G2018" i="6" s="1"/>
  <c r="I2018" i="6" a="1"/>
  <c r="I2018" i="6" s="1"/>
  <c r="D2019" i="6" a="1"/>
  <c r="D2019" i="6" s="1"/>
  <c r="F2019" i="6" a="1"/>
  <c r="F2019" i="6" s="1"/>
  <c r="G2019" i="6" a="1"/>
  <c r="G2019" i="6" s="1"/>
  <c r="I2019" i="6" a="1"/>
  <c r="I2019" i="6" s="1"/>
  <c r="D2020" i="6" a="1"/>
  <c r="D2020" i="6" s="1"/>
  <c r="F2020" i="6" a="1"/>
  <c r="F2020" i="6" s="1"/>
  <c r="G2020" i="6" a="1"/>
  <c r="G2020" i="6" s="1"/>
  <c r="I2020" i="6" a="1"/>
  <c r="I2020" i="6" s="1"/>
  <c r="D2021" i="6" a="1"/>
  <c r="D2021" i="6" s="1"/>
  <c r="F2021" i="6" a="1"/>
  <c r="F2021" i="6" s="1"/>
  <c r="G2021" i="6" a="1"/>
  <c r="G2021" i="6" s="1"/>
  <c r="I2021" i="6" a="1"/>
  <c r="I2021" i="6" s="1"/>
  <c r="F2022" i="6" a="1"/>
  <c r="F2022" i="6" s="1"/>
  <c r="D2023" i="6" a="1"/>
  <c r="D2023" i="6" s="1"/>
  <c r="F2023" i="6" a="1"/>
  <c r="F2023" i="6" s="1"/>
  <c r="G2023" i="6" a="1"/>
  <c r="G2023" i="6" s="1"/>
  <c r="I2023" i="6" a="1"/>
  <c r="I2023" i="6" s="1"/>
  <c r="D2024" i="6" a="1"/>
  <c r="D2024" i="6" s="1"/>
  <c r="F2024" i="6" a="1"/>
  <c r="F2024" i="6" s="1"/>
  <c r="G2024" i="6" a="1"/>
  <c r="G2024" i="6" s="1"/>
  <c r="I2024" i="6" a="1"/>
  <c r="I2024" i="6" s="1"/>
  <c r="F2025" i="6" a="1"/>
  <c r="F2025" i="6" s="1"/>
  <c r="F2026" i="6" a="1"/>
  <c r="F2026" i="6" s="1"/>
  <c r="G2026" i="6" a="1"/>
  <c r="G2026" i="6" s="1"/>
  <c r="D2028" i="6" a="1"/>
  <c r="D2028" i="6" s="1"/>
  <c r="F2028" i="6" a="1"/>
  <c r="F2028" i="6" s="1"/>
  <c r="G2028" i="6" a="1"/>
  <c r="G2028" i="6" s="1"/>
  <c r="I2028" i="6" a="1"/>
  <c r="I2028" i="6" s="1"/>
  <c r="D2029" i="6" a="1"/>
  <c r="D2029" i="6" s="1"/>
  <c r="F2029" i="6" a="1"/>
  <c r="F2029" i="6" s="1"/>
  <c r="G2029" i="6" a="1"/>
  <c r="G2029" i="6" s="1"/>
  <c r="I2029" i="6" a="1"/>
  <c r="I2029" i="6" s="1"/>
  <c r="D2030" i="6" a="1"/>
  <c r="D2030" i="6" s="1"/>
  <c r="F2030" i="6" a="1"/>
  <c r="F2030" i="6" s="1"/>
  <c r="G2030" i="6" a="1"/>
  <c r="G2030" i="6" s="1"/>
  <c r="I2030" i="6" a="1"/>
  <c r="I2030" i="6" s="1"/>
  <c r="D2031" i="6" a="1"/>
  <c r="D2031" i="6" s="1"/>
  <c r="F2031" i="6" a="1"/>
  <c r="F2031" i="6" s="1"/>
  <c r="G2031" i="6" a="1"/>
  <c r="G2031" i="6" s="1"/>
  <c r="I2031" i="6" a="1"/>
  <c r="I2031" i="6" s="1"/>
  <c r="D2032" i="6" a="1"/>
  <c r="D2032" i="6" s="1"/>
  <c r="F2032" i="6" a="1"/>
  <c r="F2032" i="6" s="1"/>
  <c r="G2032" i="6" a="1"/>
  <c r="G2032" i="6" s="1"/>
  <c r="I2032" i="6" a="1"/>
  <c r="I2032" i="6" s="1"/>
  <c r="D2033" i="6" a="1"/>
  <c r="D2033" i="6" s="1"/>
  <c r="F2033" i="6" a="1"/>
  <c r="F2033" i="6" s="1"/>
  <c r="G2033" i="6" a="1"/>
  <c r="G2033" i="6" s="1"/>
  <c r="I2033" i="6" a="1"/>
  <c r="I2033" i="6" s="1"/>
  <c r="I2034" i="6" a="1"/>
  <c r="I2034" i="6" s="1"/>
  <c r="D2035" i="6" a="1"/>
  <c r="D2035" i="6" s="1"/>
  <c r="F2035" i="6" a="1"/>
  <c r="F2035" i="6" s="1"/>
  <c r="G2035" i="6" a="1"/>
  <c r="G2035" i="6" s="1"/>
  <c r="I2035" i="6" a="1"/>
  <c r="I2035" i="6" s="1"/>
  <c r="D2036" i="6" a="1"/>
  <c r="D2036" i="6" s="1"/>
  <c r="F2036" i="6" a="1"/>
  <c r="F2036" i="6" s="1"/>
  <c r="G2036" i="6" a="1"/>
  <c r="G2036" i="6" s="1"/>
  <c r="I2036" i="6" a="1"/>
  <c r="I2036" i="6" s="1"/>
  <c r="D2040" i="6" a="1"/>
  <c r="D2040" i="6" s="1"/>
  <c r="F2040" i="6" a="1"/>
  <c r="F2040" i="6" s="1"/>
  <c r="G2040" i="6" a="1"/>
  <c r="G2040" i="6" s="1"/>
  <c r="I2040" i="6" a="1"/>
  <c r="I2040" i="6" s="1"/>
  <c r="D2041" i="6" a="1"/>
  <c r="D2041" i="6" s="1"/>
  <c r="F2041" i="6" a="1"/>
  <c r="F2041" i="6" s="1"/>
  <c r="G2041" i="6" a="1"/>
  <c r="G2041" i="6" s="1"/>
  <c r="I2041" i="6" a="1"/>
  <c r="I2041" i="6" s="1"/>
  <c r="D2042" i="6" a="1"/>
  <c r="D2042" i="6" s="1"/>
  <c r="F2042" i="6" a="1"/>
  <c r="F2042" i="6" s="1"/>
  <c r="G2042" i="6" a="1"/>
  <c r="G2042" i="6" s="1"/>
  <c r="I2042" i="6" a="1"/>
  <c r="I2042" i="6" s="1"/>
  <c r="D2043" i="6" a="1"/>
  <c r="D2043" i="6" s="1"/>
  <c r="F2043" i="6" a="1"/>
  <c r="F2043" i="6" s="1"/>
  <c r="G2043" i="6" a="1"/>
  <c r="G2043" i="6" s="1"/>
  <c r="I2043" i="6" a="1"/>
  <c r="I2043" i="6" s="1"/>
  <c r="D2044" i="6" a="1"/>
  <c r="D2044" i="6" s="1"/>
  <c r="F2044" i="6" a="1"/>
  <c r="F2044" i="6" s="1"/>
  <c r="G2044" i="6" a="1"/>
  <c r="G2044" i="6" s="1"/>
  <c r="I2044" i="6" a="1"/>
  <c r="I2044" i="6" s="1"/>
  <c r="D2045" i="6" a="1"/>
  <c r="D2045" i="6" s="1"/>
  <c r="F2045" i="6" a="1"/>
  <c r="F2045" i="6" s="1"/>
  <c r="G2045" i="6" a="1"/>
  <c r="G2045" i="6" s="1"/>
  <c r="I2045" i="6" a="1"/>
  <c r="I2045" i="6" s="1"/>
  <c r="D2046" i="6" a="1"/>
  <c r="D2046" i="6" s="1"/>
  <c r="F2046" i="6" a="1"/>
  <c r="F2046" i="6" s="1"/>
  <c r="D2047" i="6" a="1"/>
  <c r="D2047" i="6" s="1"/>
  <c r="F2047" i="6" a="1"/>
  <c r="F2047" i="6" s="1"/>
  <c r="G2047" i="6" a="1"/>
  <c r="G2047" i="6" s="1"/>
  <c r="I2047" i="6" a="1"/>
  <c r="I2047" i="6" s="1"/>
  <c r="D2048" i="6" a="1"/>
  <c r="D2048" i="6" s="1"/>
  <c r="F2048" i="6" a="1"/>
  <c r="F2048" i="6" s="1"/>
  <c r="G2048" i="6" a="1"/>
  <c r="G2048" i="6" s="1"/>
  <c r="I2048" i="6" a="1"/>
  <c r="I2048" i="6" s="1"/>
  <c r="D2049" i="6" a="1"/>
  <c r="D2049" i="6" s="1"/>
  <c r="D2052" i="6" a="1"/>
  <c r="D2052" i="6" s="1"/>
  <c r="F2052" i="6" a="1"/>
  <c r="F2052" i="6" s="1"/>
  <c r="G2052" i="6" a="1"/>
  <c r="G2052" i="6" s="1"/>
  <c r="I2052" i="6" a="1"/>
  <c r="I2052" i="6" s="1"/>
  <c r="D2053" i="6" a="1"/>
  <c r="D2053" i="6" s="1"/>
  <c r="F2053" i="6" a="1"/>
  <c r="F2053" i="6" s="1"/>
  <c r="G2053" i="6" a="1"/>
  <c r="G2053" i="6" s="1"/>
  <c r="I2053" i="6" a="1"/>
  <c r="I2053" i="6" s="1"/>
  <c r="D2054" i="6" a="1"/>
  <c r="D2054" i="6" s="1"/>
  <c r="F2054" i="6" a="1"/>
  <c r="F2054" i="6" s="1"/>
  <c r="G2054" i="6" a="1"/>
  <c r="G2054" i="6" s="1"/>
  <c r="I2054" i="6" a="1"/>
  <c r="I2054" i="6" s="1"/>
  <c r="D2055" i="6" a="1"/>
  <c r="D2055" i="6" s="1"/>
  <c r="F2055" i="6" a="1"/>
  <c r="F2055" i="6" s="1"/>
  <c r="G2055" i="6" a="1"/>
  <c r="G2055" i="6" s="1"/>
  <c r="I2055" i="6" a="1"/>
  <c r="I2055" i="6" s="1"/>
  <c r="D2056" i="6" a="1"/>
  <c r="D2056" i="6" s="1"/>
  <c r="F2056" i="6" a="1"/>
  <c r="F2056" i="6" s="1"/>
  <c r="G2056" i="6" a="1"/>
  <c r="G2056" i="6" s="1"/>
  <c r="I2056" i="6" a="1"/>
  <c r="I2056" i="6" s="1"/>
  <c r="D2057" i="6" a="1"/>
  <c r="D2057" i="6" s="1"/>
  <c r="F2057" i="6" a="1"/>
  <c r="F2057" i="6" s="1"/>
  <c r="G2057" i="6" a="1"/>
  <c r="G2057" i="6" s="1"/>
  <c r="I2057" i="6" a="1"/>
  <c r="I2057" i="6" s="1"/>
  <c r="D2058" i="6" a="1"/>
  <c r="D2058" i="6" s="1"/>
  <c r="F2058" i="6" a="1"/>
  <c r="F2058" i="6" s="1"/>
  <c r="G2058" i="6" a="1"/>
  <c r="G2058" i="6" s="1"/>
  <c r="I2058" i="6" a="1"/>
  <c r="I2058" i="6" s="1"/>
  <c r="D2059" i="6" a="1"/>
  <c r="D2059" i="6" s="1"/>
  <c r="F2059" i="6" a="1"/>
  <c r="F2059" i="6" s="1"/>
  <c r="G2059" i="6" a="1"/>
  <c r="G2059" i="6" s="1"/>
  <c r="I2059" i="6" a="1"/>
  <c r="I2059" i="6" s="1"/>
  <c r="D2060" i="6" a="1"/>
  <c r="D2060" i="6" s="1"/>
  <c r="F2060" i="6" a="1"/>
  <c r="F2060" i="6" s="1"/>
  <c r="G2060" i="6" a="1"/>
  <c r="G2060" i="6" s="1"/>
  <c r="I2060" i="6" a="1"/>
  <c r="I2060" i="6" s="1"/>
  <c r="D2061" i="6" a="1"/>
  <c r="D2061" i="6" s="1"/>
  <c r="F2061" i="6" a="1"/>
  <c r="F2061" i="6" s="1"/>
  <c r="G2061" i="6" a="1"/>
  <c r="G2061" i="6" s="1"/>
  <c r="I2061" i="6" a="1"/>
  <c r="I2061" i="6" s="1"/>
  <c r="D2064" i="6" a="1"/>
  <c r="D2064" i="6" s="1"/>
  <c r="F2064" i="6" a="1"/>
  <c r="F2064" i="6" s="1"/>
  <c r="G2064" i="6" a="1"/>
  <c r="G2064" i="6" s="1"/>
  <c r="I2064" i="6" a="1"/>
  <c r="I2064" i="6" s="1"/>
  <c r="D2065" i="6" a="1"/>
  <c r="D2065" i="6" s="1"/>
  <c r="F2065" i="6" a="1"/>
  <c r="F2065" i="6" s="1"/>
  <c r="G2065" i="6" a="1"/>
  <c r="G2065" i="6" s="1"/>
  <c r="I2065" i="6" a="1"/>
  <c r="I2065" i="6" s="1"/>
  <c r="D2066" i="6" a="1"/>
  <c r="D2066" i="6" s="1"/>
  <c r="F2066" i="6" a="1"/>
  <c r="F2066" i="6" s="1"/>
  <c r="G2066" i="6" a="1"/>
  <c r="G2066" i="6" s="1"/>
  <c r="I2066" i="6" a="1"/>
  <c r="I2066" i="6" s="1"/>
  <c r="D2067" i="6" a="1"/>
  <c r="D2067" i="6" s="1"/>
  <c r="F2067" i="6" a="1"/>
  <c r="F2067" i="6" s="1"/>
  <c r="G2067" i="6" a="1"/>
  <c r="G2067" i="6" s="1"/>
  <c r="I2067" i="6" a="1"/>
  <c r="I2067" i="6" s="1"/>
  <c r="D2068" i="6" a="1"/>
  <c r="D2068" i="6" s="1"/>
  <c r="F2068" i="6" a="1"/>
  <c r="F2068" i="6" s="1"/>
  <c r="G2068" i="6" a="1"/>
  <c r="G2068" i="6" s="1"/>
  <c r="I2068" i="6" a="1"/>
  <c r="I2068" i="6" s="1"/>
  <c r="D2069" i="6" a="1"/>
  <c r="D2069" i="6" s="1"/>
  <c r="F2069" i="6" a="1"/>
  <c r="F2069" i="6" s="1"/>
  <c r="G2069" i="6" a="1"/>
  <c r="G2069" i="6" s="1"/>
  <c r="I2069" i="6" a="1"/>
  <c r="I2069" i="6" s="1"/>
  <c r="D2070" i="6" a="1"/>
  <c r="D2070" i="6" s="1"/>
  <c r="F2070" i="6" a="1"/>
  <c r="F2070" i="6" s="1"/>
  <c r="G2070" i="6" a="1"/>
  <c r="G2070" i="6" s="1"/>
  <c r="I2070" i="6" a="1"/>
  <c r="I2070" i="6" s="1"/>
  <c r="D2071" i="6" a="1"/>
  <c r="D2071" i="6" s="1"/>
  <c r="F2071" i="6" a="1"/>
  <c r="F2071" i="6" s="1"/>
  <c r="G2071" i="6" a="1"/>
  <c r="G2071" i="6" s="1"/>
  <c r="I2071" i="6" a="1"/>
  <c r="I2071" i="6" s="1"/>
  <c r="D2072" i="6" a="1"/>
  <c r="D2072" i="6" s="1"/>
  <c r="F2072" i="6" a="1"/>
  <c r="F2072" i="6" s="1"/>
  <c r="G2072" i="6" a="1"/>
  <c r="G2072" i="6" s="1"/>
  <c r="I2072" i="6" a="1"/>
  <c r="I2072" i="6" s="1"/>
  <c r="G2073" i="6" a="1"/>
  <c r="G2073" i="6" s="1"/>
  <c r="D2076" i="6" a="1"/>
  <c r="D2076" i="6" s="1"/>
  <c r="F2076" i="6" a="1"/>
  <c r="F2076" i="6" s="1"/>
  <c r="G2076" i="6" a="1"/>
  <c r="G2076" i="6" s="1"/>
  <c r="I2076" i="6" a="1"/>
  <c r="I2076" i="6" s="1"/>
  <c r="D2077" i="6" a="1"/>
  <c r="D2077" i="6" s="1"/>
  <c r="F2077" i="6" a="1"/>
  <c r="F2077" i="6" s="1"/>
  <c r="G2077" i="6" a="1"/>
  <c r="G2077" i="6" s="1"/>
  <c r="I2077" i="6" a="1"/>
  <c r="I2077" i="6" s="1"/>
  <c r="D2078" i="6" a="1"/>
  <c r="D2078" i="6" s="1"/>
  <c r="F2078" i="6" a="1"/>
  <c r="F2078" i="6" s="1"/>
  <c r="G2078" i="6" a="1"/>
  <c r="G2078" i="6" s="1"/>
  <c r="I2078" i="6" a="1"/>
  <c r="I2078" i="6" s="1"/>
  <c r="D2079" i="6" a="1"/>
  <c r="D2079" i="6" s="1"/>
  <c r="F2079" i="6" a="1"/>
  <c r="F2079" i="6" s="1"/>
  <c r="G2079" i="6" a="1"/>
  <c r="G2079" i="6" s="1"/>
  <c r="I2079" i="6" a="1"/>
  <c r="I2079" i="6" s="1"/>
  <c r="D2080" i="6" a="1"/>
  <c r="D2080" i="6" s="1"/>
  <c r="F2080" i="6" a="1"/>
  <c r="F2080" i="6" s="1"/>
  <c r="G2080" i="6" a="1"/>
  <c r="G2080" i="6" s="1"/>
  <c r="I2080" i="6" a="1"/>
  <c r="I2080" i="6" s="1"/>
  <c r="D2081" i="6" a="1"/>
  <c r="D2081" i="6" s="1"/>
  <c r="F2081" i="6" a="1"/>
  <c r="F2081" i="6" s="1"/>
  <c r="G2081" i="6" a="1"/>
  <c r="G2081" i="6" s="1"/>
  <c r="I2081" i="6" a="1"/>
  <c r="I2081" i="6" s="1"/>
  <c r="G2082" i="6" a="1"/>
  <c r="G2082" i="6" s="1"/>
  <c r="I2082" i="6" a="1"/>
  <c r="I2082" i="6" s="1"/>
  <c r="D2083" i="6" a="1"/>
  <c r="D2083" i="6" s="1"/>
  <c r="F2083" i="6" a="1"/>
  <c r="F2083" i="6" s="1"/>
  <c r="G2083" i="6" a="1"/>
  <c r="G2083" i="6" s="1"/>
  <c r="I2083" i="6" a="1"/>
  <c r="I2083" i="6" s="1"/>
  <c r="D2084" i="6" a="1"/>
  <c r="D2084" i="6" s="1"/>
  <c r="F2084" i="6" a="1"/>
  <c r="F2084" i="6" s="1"/>
  <c r="G2084" i="6" a="1"/>
  <c r="G2084" i="6" s="1"/>
  <c r="I2084" i="6" a="1"/>
  <c r="I2084" i="6" s="1"/>
  <c r="I2085" i="6" a="1"/>
  <c r="I2085" i="6" s="1"/>
  <c r="G2086" i="6" a="1"/>
  <c r="G2086" i="6" s="1"/>
  <c r="D2087" i="6" a="1"/>
  <c r="D2087" i="6" s="1"/>
  <c r="D2088" i="6" a="1"/>
  <c r="D2088" i="6" s="1"/>
  <c r="F2088" i="6" a="1"/>
  <c r="F2088" i="6" s="1"/>
  <c r="G2088" i="6" a="1"/>
  <c r="G2088" i="6" s="1"/>
  <c r="I2088" i="6" a="1"/>
  <c r="I2088" i="6" s="1"/>
  <c r="D2089" i="6" a="1"/>
  <c r="D2089" i="6" s="1"/>
  <c r="F2089" i="6" a="1"/>
  <c r="F2089" i="6" s="1"/>
  <c r="G2089" i="6" a="1"/>
  <c r="G2089" i="6" s="1"/>
  <c r="I2089" i="6" a="1"/>
  <c r="I2089" i="6" s="1"/>
  <c r="D2090" i="6" a="1"/>
  <c r="D2090" i="6" s="1"/>
  <c r="F2090" i="6" a="1"/>
  <c r="F2090" i="6" s="1"/>
  <c r="G2090" i="6" a="1"/>
  <c r="G2090" i="6" s="1"/>
  <c r="I2090" i="6" a="1"/>
  <c r="I2090" i="6" s="1"/>
  <c r="D2091" i="6" a="1"/>
  <c r="D2091" i="6" s="1"/>
  <c r="F2091" i="6" a="1"/>
  <c r="F2091" i="6" s="1"/>
  <c r="G2091" i="6" a="1"/>
  <c r="G2091" i="6" s="1"/>
  <c r="I2091" i="6" a="1"/>
  <c r="I2091" i="6" s="1"/>
  <c r="D2092" i="6" a="1"/>
  <c r="D2092" i="6" s="1"/>
  <c r="F2092" i="6" a="1"/>
  <c r="F2092" i="6" s="1"/>
  <c r="G2092" i="6" a="1"/>
  <c r="G2092" i="6" s="1"/>
  <c r="I2092" i="6" a="1"/>
  <c r="I2092" i="6" s="1"/>
  <c r="D2093" i="6" a="1"/>
  <c r="D2093" i="6" s="1"/>
  <c r="F2093" i="6" a="1"/>
  <c r="F2093" i="6" s="1"/>
  <c r="G2093" i="6" a="1"/>
  <c r="G2093" i="6" s="1"/>
  <c r="I2093" i="6" a="1"/>
  <c r="I2093" i="6" s="1"/>
  <c r="F2094" i="6" a="1"/>
  <c r="F2094" i="6" s="1"/>
  <c r="D2095" i="6" a="1"/>
  <c r="D2095" i="6" s="1"/>
  <c r="F2095" i="6" a="1"/>
  <c r="F2095" i="6" s="1"/>
  <c r="G2095" i="6" a="1"/>
  <c r="G2095" i="6" s="1"/>
  <c r="I2095" i="6" a="1"/>
  <c r="I2095" i="6" s="1"/>
  <c r="D2096" i="6" a="1"/>
  <c r="D2096" i="6" s="1"/>
  <c r="F2096" i="6" a="1"/>
  <c r="F2096" i="6" s="1"/>
  <c r="G2096" i="6" a="1"/>
  <c r="G2096" i="6" s="1"/>
  <c r="I2096" i="6" a="1"/>
  <c r="I2096" i="6" s="1"/>
  <c r="F2097" i="6" a="1"/>
  <c r="F2097" i="6" s="1"/>
  <c r="D2098" i="6" a="1"/>
  <c r="D2098" i="6" s="1"/>
  <c r="F2098" i="6" a="1"/>
  <c r="F2098" i="6" s="1"/>
  <c r="D2100" i="6" a="1"/>
  <c r="D2100" i="6" s="1"/>
  <c r="F2100" i="6" a="1"/>
  <c r="F2100" i="6" s="1"/>
  <c r="G2100" i="6" a="1"/>
  <c r="G2100" i="6" s="1"/>
  <c r="I2100" i="6" a="1"/>
  <c r="I2100" i="6" s="1"/>
  <c r="D2101" i="6" a="1"/>
  <c r="D2101" i="6" s="1"/>
  <c r="F2101" i="6" a="1"/>
  <c r="F2101" i="6" s="1"/>
  <c r="G2101" i="6" a="1"/>
  <c r="G2101" i="6" s="1"/>
  <c r="I2101" i="6" a="1"/>
  <c r="I2101" i="6" s="1"/>
  <c r="D2102" i="6" a="1"/>
  <c r="D2102" i="6" s="1"/>
  <c r="F2102" i="6" a="1"/>
  <c r="F2102" i="6" s="1"/>
  <c r="G2102" i="6" a="1"/>
  <c r="G2102" i="6" s="1"/>
  <c r="I2102" i="6" a="1"/>
  <c r="I2102" i="6" s="1"/>
  <c r="D2103" i="6" a="1"/>
  <c r="D2103" i="6" s="1"/>
  <c r="F2103" i="6" a="1"/>
  <c r="F2103" i="6" s="1"/>
  <c r="G2103" i="6" a="1"/>
  <c r="G2103" i="6" s="1"/>
  <c r="I2103" i="6" a="1"/>
  <c r="I2103" i="6" s="1"/>
  <c r="D2104" i="6" a="1"/>
  <c r="D2104" i="6" s="1"/>
  <c r="F2104" i="6" a="1"/>
  <c r="F2104" i="6" s="1"/>
  <c r="G2104" i="6" a="1"/>
  <c r="G2104" i="6" s="1"/>
  <c r="I2104" i="6" a="1"/>
  <c r="I2104" i="6" s="1"/>
  <c r="D2105" i="6" a="1"/>
  <c r="D2105" i="6" s="1"/>
  <c r="F2105" i="6" a="1"/>
  <c r="F2105" i="6" s="1"/>
  <c r="G2105" i="6" a="1"/>
  <c r="G2105" i="6" s="1"/>
  <c r="I2105" i="6" a="1"/>
  <c r="I2105" i="6" s="1"/>
  <c r="I2106" i="6" a="1"/>
  <c r="I2106" i="6" s="1"/>
  <c r="D2107" i="6" a="1"/>
  <c r="D2107" i="6" s="1"/>
  <c r="F2107" i="6" a="1"/>
  <c r="F2107" i="6" s="1"/>
  <c r="G2107" i="6" a="1"/>
  <c r="G2107" i="6" s="1"/>
  <c r="I2107" i="6" a="1"/>
  <c r="I2107" i="6" s="1"/>
  <c r="D2108" i="6" a="1"/>
  <c r="D2108" i="6" s="1"/>
  <c r="F2108" i="6" a="1"/>
  <c r="F2108" i="6" s="1"/>
  <c r="G2108" i="6" a="1"/>
  <c r="G2108" i="6" s="1"/>
  <c r="I2108" i="6" a="1"/>
  <c r="I2108" i="6" s="1"/>
  <c r="D2112" i="6" a="1"/>
  <c r="D2112" i="6" s="1"/>
  <c r="F2112" i="6" a="1"/>
  <c r="F2112" i="6" s="1"/>
  <c r="G2112" i="6" a="1"/>
  <c r="G2112" i="6" s="1"/>
  <c r="I2112" i="6" a="1"/>
  <c r="I2112" i="6" s="1"/>
  <c r="D2113" i="6" a="1"/>
  <c r="D2113" i="6" s="1"/>
  <c r="F2113" i="6" a="1"/>
  <c r="F2113" i="6" s="1"/>
  <c r="G2113" i="6" a="1"/>
  <c r="G2113" i="6" s="1"/>
  <c r="I2113" i="6" a="1"/>
  <c r="I2113" i="6" s="1"/>
  <c r="D2114" i="6" a="1"/>
  <c r="D2114" i="6" s="1"/>
  <c r="F2114" i="6" a="1"/>
  <c r="F2114" i="6" s="1"/>
  <c r="G2114" i="6" a="1"/>
  <c r="G2114" i="6" s="1"/>
  <c r="I2114" i="6" a="1"/>
  <c r="I2114" i="6" s="1"/>
  <c r="D2115" i="6" a="1"/>
  <c r="D2115" i="6" s="1"/>
  <c r="F2115" i="6" a="1"/>
  <c r="F2115" i="6" s="1"/>
  <c r="G2115" i="6" a="1"/>
  <c r="G2115" i="6" s="1"/>
  <c r="I2115" i="6" a="1"/>
  <c r="I2115" i="6" s="1"/>
  <c r="D2116" i="6" a="1"/>
  <c r="D2116" i="6" s="1"/>
  <c r="F2116" i="6" a="1"/>
  <c r="F2116" i="6" s="1"/>
  <c r="G2116" i="6" a="1"/>
  <c r="G2116" i="6" s="1"/>
  <c r="I2116" i="6" a="1"/>
  <c r="I2116" i="6" s="1"/>
  <c r="D2117" i="6" a="1"/>
  <c r="D2117" i="6" s="1"/>
  <c r="F2117" i="6" a="1"/>
  <c r="F2117" i="6" s="1"/>
  <c r="G2117" i="6" a="1"/>
  <c r="G2117" i="6" s="1"/>
  <c r="I2117" i="6" a="1"/>
  <c r="I2117" i="6" s="1"/>
  <c r="D2118" i="6" a="1"/>
  <c r="D2118" i="6" s="1"/>
  <c r="F2118" i="6" a="1"/>
  <c r="F2118" i="6" s="1"/>
  <c r="D2119" i="6" a="1"/>
  <c r="D2119" i="6" s="1"/>
  <c r="F2119" i="6" a="1"/>
  <c r="F2119" i="6" s="1"/>
  <c r="G2119" i="6" a="1"/>
  <c r="G2119" i="6" s="1"/>
  <c r="I2119" i="6" a="1"/>
  <c r="I2119" i="6" s="1"/>
  <c r="D2120" i="6" a="1"/>
  <c r="D2120" i="6" s="1"/>
  <c r="F2120" i="6" a="1"/>
  <c r="F2120" i="6" s="1"/>
  <c r="G2120" i="6" a="1"/>
  <c r="G2120" i="6" s="1"/>
  <c r="I2120" i="6" a="1"/>
  <c r="I2120" i="6" s="1"/>
  <c r="D2124" i="6" a="1"/>
  <c r="D2124" i="6" s="1"/>
  <c r="F2124" i="6" a="1"/>
  <c r="F2124" i="6" s="1"/>
  <c r="G2124" i="6" a="1"/>
  <c r="G2124" i="6" s="1"/>
  <c r="I2124" i="6" a="1"/>
  <c r="I2124" i="6" s="1"/>
  <c r="D2125" i="6" a="1"/>
  <c r="D2125" i="6" s="1"/>
  <c r="F2125" i="6" a="1"/>
  <c r="F2125" i="6" s="1"/>
  <c r="G2125" i="6" a="1"/>
  <c r="G2125" i="6" s="1"/>
  <c r="I2125" i="6" a="1"/>
  <c r="I2125" i="6" s="1"/>
  <c r="D2126" i="6" a="1"/>
  <c r="D2126" i="6" s="1"/>
  <c r="F2126" i="6" a="1"/>
  <c r="F2126" i="6" s="1"/>
  <c r="G2126" i="6" a="1"/>
  <c r="G2126" i="6" s="1"/>
  <c r="I2126" i="6" a="1"/>
  <c r="I2126" i="6" s="1"/>
  <c r="D2127" i="6" a="1"/>
  <c r="D2127" i="6" s="1"/>
  <c r="F2127" i="6" a="1"/>
  <c r="F2127" i="6" s="1"/>
  <c r="G2127" i="6" a="1"/>
  <c r="G2127" i="6" s="1"/>
  <c r="I2127" i="6" a="1"/>
  <c r="I2127" i="6" s="1"/>
  <c r="D2128" i="6" a="1"/>
  <c r="D2128" i="6" s="1"/>
  <c r="F2128" i="6" a="1"/>
  <c r="F2128" i="6" s="1"/>
  <c r="G2128" i="6" a="1"/>
  <c r="G2128" i="6" s="1"/>
  <c r="I2128" i="6" a="1"/>
  <c r="I2128" i="6" s="1"/>
  <c r="D2129" i="6" a="1"/>
  <c r="D2129" i="6" s="1"/>
  <c r="F2129" i="6" a="1"/>
  <c r="F2129" i="6" s="1"/>
  <c r="G2129" i="6" a="1"/>
  <c r="G2129" i="6" s="1"/>
  <c r="I2129" i="6" a="1"/>
  <c r="I2129" i="6" s="1"/>
  <c r="D2130" i="6" a="1"/>
  <c r="D2130" i="6" s="1"/>
  <c r="F2130" i="6" a="1"/>
  <c r="F2130" i="6" s="1"/>
  <c r="G2130" i="6" a="1"/>
  <c r="G2130" i="6" s="1"/>
  <c r="I2130" i="6" a="1"/>
  <c r="I2130" i="6" s="1"/>
  <c r="D2131" i="6" a="1"/>
  <c r="D2131" i="6" s="1"/>
  <c r="F2131" i="6" a="1"/>
  <c r="F2131" i="6" s="1"/>
  <c r="G2131" i="6" a="1"/>
  <c r="G2131" i="6" s="1"/>
  <c r="I2131" i="6" a="1"/>
  <c r="I2131" i="6" s="1"/>
  <c r="D2132" i="6" a="1"/>
  <c r="D2132" i="6" s="1"/>
  <c r="F2132" i="6" a="1"/>
  <c r="F2132" i="6" s="1"/>
  <c r="G2132" i="6" a="1"/>
  <c r="G2132" i="6" s="1"/>
  <c r="I2132" i="6" a="1"/>
  <c r="I2132" i="6" s="1"/>
  <c r="D2133" i="6" a="1"/>
  <c r="D2133" i="6" s="1"/>
  <c r="F2133" i="6" a="1"/>
  <c r="F2133" i="6" s="1"/>
  <c r="G2133" i="6" a="1"/>
  <c r="G2133" i="6" s="1"/>
  <c r="D2136" i="6" a="1"/>
  <c r="D2136" i="6" s="1"/>
  <c r="F2136" i="6" a="1"/>
  <c r="F2136" i="6" s="1"/>
  <c r="G2136" i="6" a="1"/>
  <c r="G2136" i="6" s="1"/>
  <c r="I2136" i="6" a="1"/>
  <c r="I2136" i="6" s="1"/>
  <c r="D2137" i="6" a="1"/>
  <c r="D2137" i="6" s="1"/>
  <c r="F2137" i="6" a="1"/>
  <c r="F2137" i="6" s="1"/>
  <c r="G2137" i="6" a="1"/>
  <c r="G2137" i="6" s="1"/>
  <c r="I2137" i="6" a="1"/>
  <c r="I2137" i="6" s="1"/>
  <c r="D2138" i="6" a="1"/>
  <c r="D2138" i="6" s="1"/>
  <c r="F2138" i="6" a="1"/>
  <c r="F2138" i="6" s="1"/>
  <c r="G2138" i="6" a="1"/>
  <c r="G2138" i="6" s="1"/>
  <c r="I2138" i="6" a="1"/>
  <c r="I2138" i="6" s="1"/>
  <c r="D2139" i="6" a="1"/>
  <c r="D2139" i="6" s="1"/>
  <c r="F2139" i="6" a="1"/>
  <c r="F2139" i="6" s="1"/>
  <c r="G2139" i="6" a="1"/>
  <c r="G2139" i="6" s="1"/>
  <c r="I2139" i="6" a="1"/>
  <c r="I2139" i="6" s="1"/>
  <c r="D2140" i="6" a="1"/>
  <c r="D2140" i="6" s="1"/>
  <c r="F2140" i="6" a="1"/>
  <c r="F2140" i="6" s="1"/>
  <c r="G2140" i="6" a="1"/>
  <c r="G2140" i="6" s="1"/>
  <c r="I2140" i="6" a="1"/>
  <c r="I2140" i="6" s="1"/>
  <c r="D2141" i="6" a="1"/>
  <c r="D2141" i="6" s="1"/>
  <c r="F2141" i="6" a="1"/>
  <c r="F2141" i="6" s="1"/>
  <c r="G2141" i="6" a="1"/>
  <c r="G2141" i="6" s="1"/>
  <c r="I2141" i="6" a="1"/>
  <c r="I2141" i="6" s="1"/>
  <c r="D2142" i="6" a="1"/>
  <c r="D2142" i="6" s="1"/>
  <c r="F2142" i="6" a="1"/>
  <c r="F2142" i="6" s="1"/>
  <c r="G2142" i="6" a="1"/>
  <c r="G2142" i="6" s="1"/>
  <c r="I2142" i="6" a="1"/>
  <c r="I2142" i="6" s="1"/>
  <c r="D2143" i="6" a="1"/>
  <c r="D2143" i="6" s="1"/>
  <c r="F2143" i="6" a="1"/>
  <c r="F2143" i="6" s="1"/>
  <c r="G2143" i="6" a="1"/>
  <c r="G2143" i="6" s="1"/>
  <c r="I2143" i="6" a="1"/>
  <c r="I2143" i="6" s="1"/>
  <c r="D2144" i="6" a="1"/>
  <c r="D2144" i="6" s="1"/>
  <c r="F2144" i="6" a="1"/>
  <c r="F2144" i="6" s="1"/>
  <c r="G2144" i="6" a="1"/>
  <c r="G2144" i="6" s="1"/>
  <c r="I2144" i="6" a="1"/>
  <c r="I2144" i="6" s="1"/>
  <c r="F2145" i="6" a="1"/>
  <c r="F2145" i="6" s="1"/>
  <c r="D2148" i="6" a="1"/>
  <c r="D2148" i="6" s="1"/>
  <c r="F2148" i="6" a="1"/>
  <c r="F2148" i="6" s="1"/>
  <c r="G2148" i="6" a="1"/>
  <c r="G2148" i="6" s="1"/>
  <c r="I2148" i="6" a="1"/>
  <c r="I2148" i="6" s="1"/>
  <c r="D2149" i="6" a="1"/>
  <c r="D2149" i="6" s="1"/>
  <c r="F2149" i="6" a="1"/>
  <c r="F2149" i="6" s="1"/>
  <c r="G2149" i="6" a="1"/>
  <c r="G2149" i="6" s="1"/>
  <c r="I2149" i="6" a="1"/>
  <c r="I2149" i="6" s="1"/>
  <c r="D2150" i="6" a="1"/>
  <c r="D2150" i="6" s="1"/>
  <c r="F2150" i="6" a="1"/>
  <c r="F2150" i="6" s="1"/>
  <c r="G2150" i="6" a="1"/>
  <c r="G2150" i="6" s="1"/>
  <c r="I2150" i="6" a="1"/>
  <c r="I2150" i="6" s="1"/>
  <c r="D2151" i="6" a="1"/>
  <c r="D2151" i="6" s="1"/>
  <c r="F2151" i="6" a="1"/>
  <c r="F2151" i="6" s="1"/>
  <c r="G2151" i="6" a="1"/>
  <c r="G2151" i="6" s="1"/>
  <c r="I2151" i="6" a="1"/>
  <c r="I2151" i="6" s="1"/>
  <c r="D2152" i="6" a="1"/>
  <c r="D2152" i="6" s="1"/>
  <c r="F2152" i="6" a="1"/>
  <c r="F2152" i="6" s="1"/>
  <c r="G2152" i="6" a="1"/>
  <c r="G2152" i="6" s="1"/>
  <c r="I2152" i="6" a="1"/>
  <c r="I2152" i="6" s="1"/>
  <c r="D2153" i="6" a="1"/>
  <c r="D2153" i="6" s="1"/>
  <c r="F2153" i="6" a="1"/>
  <c r="F2153" i="6" s="1"/>
  <c r="G2153" i="6" a="1"/>
  <c r="G2153" i="6" s="1"/>
  <c r="I2153" i="6" a="1"/>
  <c r="I2153" i="6" s="1"/>
  <c r="G2154" i="6" a="1"/>
  <c r="G2154" i="6" s="1"/>
  <c r="I2154" i="6" a="1"/>
  <c r="I2154" i="6" s="1"/>
  <c r="D2155" i="6" a="1"/>
  <c r="D2155" i="6" s="1"/>
  <c r="F2155" i="6" a="1"/>
  <c r="F2155" i="6" s="1"/>
  <c r="G2155" i="6" a="1"/>
  <c r="G2155" i="6" s="1"/>
  <c r="I2155" i="6" a="1"/>
  <c r="I2155" i="6" s="1"/>
  <c r="D2156" i="6" a="1"/>
  <c r="D2156" i="6" s="1"/>
  <c r="F2156" i="6" a="1"/>
  <c r="F2156" i="6" s="1"/>
  <c r="G2156" i="6" a="1"/>
  <c r="G2156" i="6" s="1"/>
  <c r="I2156" i="6" a="1"/>
  <c r="I2156" i="6" s="1"/>
  <c r="G2157" i="6" a="1"/>
  <c r="G2157" i="6" s="1"/>
  <c r="I2157" i="6" a="1"/>
  <c r="I2157" i="6" s="1"/>
  <c r="F2158" i="6" a="1"/>
  <c r="F2158" i="6" s="1"/>
  <c r="G2158" i="6" a="1"/>
  <c r="G2158" i="6" s="1"/>
  <c r="D2160" i="6" a="1"/>
  <c r="D2160" i="6" s="1"/>
  <c r="F2160" i="6" a="1"/>
  <c r="F2160" i="6" s="1"/>
  <c r="G2160" i="6" a="1"/>
  <c r="G2160" i="6" s="1"/>
  <c r="I2160" i="6" a="1"/>
  <c r="I2160" i="6" s="1"/>
  <c r="D2161" i="6" a="1"/>
  <c r="D2161" i="6" s="1"/>
  <c r="F2161" i="6" a="1"/>
  <c r="F2161" i="6" s="1"/>
  <c r="G2161" i="6" a="1"/>
  <c r="G2161" i="6" s="1"/>
  <c r="I2161" i="6" a="1"/>
  <c r="I2161" i="6" s="1"/>
  <c r="D2162" i="6" a="1"/>
  <c r="D2162" i="6" s="1"/>
  <c r="F2162" i="6" a="1"/>
  <c r="F2162" i="6" s="1"/>
  <c r="G2162" i="6" a="1"/>
  <c r="G2162" i="6" s="1"/>
  <c r="I2162" i="6" a="1"/>
  <c r="I2162" i="6" s="1"/>
  <c r="D2163" i="6" a="1"/>
  <c r="D2163" i="6" s="1"/>
  <c r="F2163" i="6" a="1"/>
  <c r="F2163" i="6" s="1"/>
  <c r="G2163" i="6" a="1"/>
  <c r="G2163" i="6" s="1"/>
  <c r="I2163" i="6" a="1"/>
  <c r="I2163" i="6" s="1"/>
  <c r="D2164" i="6" a="1"/>
  <c r="D2164" i="6" s="1"/>
  <c r="F2164" i="6" a="1"/>
  <c r="F2164" i="6" s="1"/>
  <c r="G2164" i="6" a="1"/>
  <c r="G2164" i="6" s="1"/>
  <c r="I2164" i="6" a="1"/>
  <c r="I2164" i="6" s="1"/>
  <c r="D2165" i="6" a="1"/>
  <c r="D2165" i="6" s="1"/>
  <c r="F2165" i="6" a="1"/>
  <c r="F2165" i="6" s="1"/>
  <c r="G2165" i="6" a="1"/>
  <c r="G2165" i="6" s="1"/>
  <c r="I2165" i="6" a="1"/>
  <c r="I2165" i="6" s="1"/>
  <c r="F2166" i="6" a="1"/>
  <c r="F2166" i="6" s="1"/>
  <c r="D2167" i="6" a="1"/>
  <c r="D2167" i="6" s="1"/>
  <c r="F2167" i="6" a="1"/>
  <c r="F2167" i="6" s="1"/>
  <c r="G2167" i="6" a="1"/>
  <c r="G2167" i="6" s="1"/>
  <c r="I2167" i="6" a="1"/>
  <c r="I2167" i="6" s="1"/>
  <c r="D2168" i="6" a="1"/>
  <c r="D2168" i="6" s="1"/>
  <c r="F2168" i="6" a="1"/>
  <c r="F2168" i="6" s="1"/>
  <c r="G2168" i="6" a="1"/>
  <c r="G2168" i="6" s="1"/>
  <c r="I2168" i="6" a="1"/>
  <c r="I2168" i="6" s="1"/>
  <c r="F2169" i="6" a="1"/>
  <c r="F2169" i="6" s="1"/>
  <c r="D2170" i="6" a="1"/>
  <c r="D2170" i="6" s="1"/>
  <c r="D2172" i="6" a="1"/>
  <c r="D2172" i="6" s="1"/>
  <c r="F2172" i="6" a="1"/>
  <c r="F2172" i="6" s="1"/>
  <c r="G2172" i="6" a="1"/>
  <c r="G2172" i="6" s="1"/>
  <c r="I2172" i="6" a="1"/>
  <c r="I2172" i="6" s="1"/>
  <c r="D2173" i="6" a="1"/>
  <c r="D2173" i="6" s="1"/>
  <c r="F2173" i="6" a="1"/>
  <c r="F2173" i="6" s="1"/>
  <c r="G2173" i="6" a="1"/>
  <c r="G2173" i="6" s="1"/>
  <c r="I2173" i="6" a="1"/>
  <c r="I2173" i="6" s="1"/>
  <c r="D2174" i="6" a="1"/>
  <c r="D2174" i="6" s="1"/>
  <c r="F2174" i="6" a="1"/>
  <c r="F2174" i="6" s="1"/>
  <c r="G2174" i="6" a="1"/>
  <c r="G2174" i="6" s="1"/>
  <c r="I2174" i="6" a="1"/>
  <c r="I2174" i="6" s="1"/>
  <c r="D2175" i="6" a="1"/>
  <c r="D2175" i="6" s="1"/>
  <c r="F2175" i="6" a="1"/>
  <c r="F2175" i="6" s="1"/>
  <c r="G2175" i="6" a="1"/>
  <c r="G2175" i="6" s="1"/>
  <c r="I2175" i="6" a="1"/>
  <c r="I2175" i="6" s="1"/>
  <c r="D2176" i="6" a="1"/>
  <c r="D2176" i="6" s="1"/>
  <c r="F2176" i="6" a="1"/>
  <c r="F2176" i="6" s="1"/>
  <c r="G2176" i="6" a="1"/>
  <c r="G2176" i="6" s="1"/>
  <c r="I2176" i="6" a="1"/>
  <c r="I2176" i="6" s="1"/>
  <c r="D2177" i="6" a="1"/>
  <c r="D2177" i="6" s="1"/>
  <c r="F2177" i="6" a="1"/>
  <c r="F2177" i="6" s="1"/>
  <c r="G2177" i="6" a="1"/>
  <c r="G2177" i="6" s="1"/>
  <c r="I2177" i="6" a="1"/>
  <c r="I2177" i="6" s="1"/>
  <c r="I2178" i="6" a="1"/>
  <c r="I2178" i="6" s="1"/>
  <c r="D2179" i="6" a="1"/>
  <c r="D2179" i="6" s="1"/>
  <c r="F2179" i="6" a="1"/>
  <c r="F2179" i="6" s="1"/>
  <c r="G2179" i="6" a="1"/>
  <c r="G2179" i="6" s="1"/>
  <c r="I2179" i="6" a="1"/>
  <c r="I2179" i="6" s="1"/>
  <c r="D2180" i="6" a="1"/>
  <c r="D2180" i="6" s="1"/>
  <c r="F2180" i="6" a="1"/>
  <c r="F2180" i="6" s="1"/>
  <c r="G2180" i="6" a="1"/>
  <c r="G2180" i="6" s="1"/>
  <c r="I2180" i="6" a="1"/>
  <c r="I2180" i="6" s="1"/>
  <c r="D2184" i="6" a="1"/>
  <c r="D2184" i="6" s="1"/>
  <c r="F2184" i="6" a="1"/>
  <c r="F2184" i="6" s="1"/>
  <c r="G2184" i="6" a="1"/>
  <c r="G2184" i="6" s="1"/>
  <c r="I2184" i="6" a="1"/>
  <c r="I2184" i="6" s="1"/>
  <c r="D2185" i="6" a="1"/>
  <c r="D2185" i="6" s="1"/>
  <c r="F2185" i="6" a="1"/>
  <c r="F2185" i="6" s="1"/>
  <c r="G2185" i="6" a="1"/>
  <c r="G2185" i="6" s="1"/>
  <c r="I2185" i="6" a="1"/>
  <c r="I2185" i="6" s="1"/>
  <c r="D2186" i="6" a="1"/>
  <c r="D2186" i="6" s="1"/>
  <c r="F2186" i="6" a="1"/>
  <c r="F2186" i="6" s="1"/>
  <c r="G2186" i="6" a="1"/>
  <c r="G2186" i="6" s="1"/>
  <c r="I2186" i="6" a="1"/>
  <c r="I2186" i="6" s="1"/>
  <c r="D2187" i="6" a="1"/>
  <c r="D2187" i="6" s="1"/>
  <c r="F2187" i="6" a="1"/>
  <c r="F2187" i="6" s="1"/>
  <c r="G2187" i="6" a="1"/>
  <c r="G2187" i="6" s="1"/>
  <c r="I2187" i="6" a="1"/>
  <c r="I2187" i="6" s="1"/>
  <c r="D2188" i="6" a="1"/>
  <c r="D2188" i="6" s="1"/>
  <c r="F2188" i="6" a="1"/>
  <c r="F2188" i="6" s="1"/>
  <c r="G2188" i="6" a="1"/>
  <c r="G2188" i="6" s="1"/>
  <c r="I2188" i="6" a="1"/>
  <c r="I2188" i="6" s="1"/>
  <c r="D2189" i="6" a="1"/>
  <c r="D2189" i="6" s="1"/>
  <c r="F2189" i="6" a="1"/>
  <c r="F2189" i="6" s="1"/>
  <c r="G2189" i="6" a="1"/>
  <c r="G2189" i="6" s="1"/>
  <c r="I2189" i="6" a="1"/>
  <c r="I2189" i="6" s="1"/>
  <c r="D2190" i="6" a="1"/>
  <c r="D2190" i="6" s="1"/>
  <c r="F2190" i="6" a="1"/>
  <c r="F2190" i="6" s="1"/>
  <c r="D2191" i="6" a="1"/>
  <c r="D2191" i="6" s="1"/>
  <c r="F2191" i="6" a="1"/>
  <c r="F2191" i="6" s="1"/>
  <c r="G2191" i="6" a="1"/>
  <c r="G2191" i="6" s="1"/>
  <c r="I2191" i="6" a="1"/>
  <c r="I2191" i="6" s="1"/>
  <c r="D2192" i="6" a="1"/>
  <c r="D2192" i="6" s="1"/>
  <c r="F2192" i="6" a="1"/>
  <c r="F2192" i="6" s="1"/>
  <c r="G2192" i="6" a="1"/>
  <c r="G2192" i="6" s="1"/>
  <c r="I2192" i="6" a="1"/>
  <c r="I2192" i="6" s="1"/>
  <c r="D2196" i="6" a="1"/>
  <c r="D2196" i="6" s="1"/>
  <c r="F2196" i="6" a="1"/>
  <c r="F2196" i="6" s="1"/>
  <c r="G2196" i="6" a="1"/>
  <c r="G2196" i="6" s="1"/>
  <c r="I2196" i="6" a="1"/>
  <c r="I2196" i="6" s="1"/>
  <c r="D2197" i="6" a="1"/>
  <c r="D2197" i="6" s="1"/>
  <c r="F2197" i="6" a="1"/>
  <c r="F2197" i="6" s="1"/>
  <c r="G2197" i="6" a="1"/>
  <c r="G2197" i="6" s="1"/>
  <c r="I2197" i="6" a="1"/>
  <c r="I2197" i="6" s="1"/>
  <c r="D2198" i="6" a="1"/>
  <c r="D2198" i="6" s="1"/>
  <c r="F2198" i="6" a="1"/>
  <c r="F2198" i="6" s="1"/>
  <c r="G2198" i="6" a="1"/>
  <c r="G2198" i="6" s="1"/>
  <c r="I2198" i="6" a="1"/>
  <c r="I2198" i="6" s="1"/>
  <c r="D2199" i="6" a="1"/>
  <c r="D2199" i="6" s="1"/>
  <c r="F2199" i="6" a="1"/>
  <c r="F2199" i="6" s="1"/>
  <c r="G2199" i="6" a="1"/>
  <c r="G2199" i="6" s="1"/>
  <c r="I2199" i="6" a="1"/>
  <c r="I2199" i="6" s="1"/>
  <c r="D2200" i="6" a="1"/>
  <c r="D2200" i="6" s="1"/>
  <c r="F2200" i="6" a="1"/>
  <c r="F2200" i="6" s="1"/>
  <c r="G2200" i="6" a="1"/>
  <c r="G2200" i="6" s="1"/>
  <c r="I2200" i="6" a="1"/>
  <c r="I2200" i="6" s="1"/>
  <c r="D2201" i="6" a="1"/>
  <c r="D2201" i="6" s="1"/>
  <c r="F2201" i="6" a="1"/>
  <c r="F2201" i="6" s="1"/>
  <c r="G2201" i="6" a="1"/>
  <c r="G2201" i="6" s="1"/>
  <c r="I2201" i="6" a="1"/>
  <c r="I2201" i="6" s="1"/>
  <c r="D2202" i="6" a="1"/>
  <c r="D2202" i="6" s="1"/>
  <c r="F2202" i="6" a="1"/>
  <c r="F2202" i="6" s="1"/>
  <c r="G2202" i="6" a="1"/>
  <c r="G2202" i="6" s="1"/>
  <c r="I2202" i="6" a="1"/>
  <c r="I2202" i="6" s="1"/>
  <c r="D2203" i="6" a="1"/>
  <c r="D2203" i="6" s="1"/>
  <c r="F2203" i="6" a="1"/>
  <c r="F2203" i="6" s="1"/>
  <c r="G2203" i="6" a="1"/>
  <c r="G2203" i="6" s="1"/>
  <c r="I2203" i="6" a="1"/>
  <c r="I2203" i="6" s="1"/>
  <c r="D2204" i="6" a="1"/>
  <c r="D2204" i="6" s="1"/>
  <c r="F2204" i="6" a="1"/>
  <c r="F2204" i="6" s="1"/>
  <c r="G2204" i="6" a="1"/>
  <c r="G2204" i="6" s="1"/>
  <c r="I2204" i="6" a="1"/>
  <c r="I2204" i="6" s="1"/>
  <c r="D2205" i="6" a="1"/>
  <c r="D2205" i="6" s="1"/>
  <c r="F2205" i="6" a="1"/>
  <c r="F2205" i="6" s="1"/>
  <c r="D2208" i="6" a="1"/>
  <c r="D2208" i="6" s="1"/>
  <c r="F2208" i="6" a="1"/>
  <c r="F2208" i="6" s="1"/>
  <c r="G2208" i="6" a="1"/>
  <c r="G2208" i="6" s="1"/>
  <c r="I2208" i="6" a="1"/>
  <c r="I2208" i="6" s="1"/>
  <c r="D2209" i="6" a="1"/>
  <c r="D2209" i="6" s="1"/>
  <c r="F2209" i="6" a="1"/>
  <c r="F2209" i="6" s="1"/>
  <c r="G2209" i="6" a="1"/>
  <c r="G2209" i="6" s="1"/>
  <c r="I2209" i="6" a="1"/>
  <c r="I2209" i="6" s="1"/>
  <c r="D2210" i="6" a="1"/>
  <c r="D2210" i="6" s="1"/>
  <c r="F2210" i="6" a="1"/>
  <c r="F2210" i="6" s="1"/>
  <c r="G2210" i="6" a="1"/>
  <c r="G2210" i="6" s="1"/>
  <c r="I2210" i="6" a="1"/>
  <c r="I2210" i="6" s="1"/>
  <c r="D2211" i="6" a="1"/>
  <c r="D2211" i="6" s="1"/>
  <c r="F2211" i="6" a="1"/>
  <c r="F2211" i="6" s="1"/>
  <c r="G2211" i="6" a="1"/>
  <c r="G2211" i="6" s="1"/>
  <c r="I2211" i="6" a="1"/>
  <c r="I2211" i="6" s="1"/>
  <c r="D2212" i="6" a="1"/>
  <c r="D2212" i="6" s="1"/>
  <c r="F2212" i="6" a="1"/>
  <c r="F2212" i="6" s="1"/>
  <c r="G2212" i="6" a="1"/>
  <c r="G2212" i="6" s="1"/>
  <c r="I2212" i="6" a="1"/>
  <c r="I2212" i="6" s="1"/>
  <c r="D2213" i="6" a="1"/>
  <c r="D2213" i="6" s="1"/>
  <c r="F2213" i="6" a="1"/>
  <c r="F2213" i="6" s="1"/>
  <c r="G2213" i="6" a="1"/>
  <c r="G2213" i="6" s="1"/>
  <c r="I2213" i="6" a="1"/>
  <c r="I2213" i="6" s="1"/>
  <c r="D2214" i="6" a="1"/>
  <c r="D2214" i="6" s="1"/>
  <c r="F2214" i="6" a="1"/>
  <c r="F2214" i="6" s="1"/>
  <c r="G2214" i="6" a="1"/>
  <c r="G2214" i="6" s="1"/>
  <c r="I2214" i="6" a="1"/>
  <c r="I2214" i="6" s="1"/>
  <c r="D2215" i="6" a="1"/>
  <c r="D2215" i="6" s="1"/>
  <c r="F2215" i="6" a="1"/>
  <c r="F2215" i="6" s="1"/>
  <c r="G2215" i="6" a="1"/>
  <c r="G2215" i="6" s="1"/>
  <c r="I2215" i="6" a="1"/>
  <c r="I2215" i="6" s="1"/>
  <c r="D2216" i="6" a="1"/>
  <c r="D2216" i="6" s="1"/>
  <c r="F2216" i="6" a="1"/>
  <c r="F2216" i="6" s="1"/>
  <c r="G2216" i="6" a="1"/>
  <c r="G2216" i="6" s="1"/>
  <c r="I2216" i="6" a="1"/>
  <c r="I2216" i="6" s="1"/>
  <c r="D2217" i="6" a="1"/>
  <c r="D2217" i="6" s="1"/>
  <c r="D2220" i="6" a="1"/>
  <c r="D2220" i="6" s="1"/>
  <c r="F2220" i="6" a="1"/>
  <c r="F2220" i="6" s="1"/>
  <c r="G2220" i="6" a="1"/>
  <c r="G2220" i="6" s="1"/>
  <c r="I2220" i="6" a="1"/>
  <c r="I2220" i="6" s="1"/>
  <c r="D2221" i="6" a="1"/>
  <c r="D2221" i="6" s="1"/>
  <c r="F2221" i="6" a="1"/>
  <c r="F2221" i="6" s="1"/>
  <c r="G2221" i="6" a="1"/>
  <c r="G2221" i="6" s="1"/>
  <c r="I2221" i="6" a="1"/>
  <c r="I2221" i="6" s="1"/>
  <c r="D2222" i="6" a="1"/>
  <c r="D2222" i="6" s="1"/>
  <c r="F2222" i="6" a="1"/>
  <c r="F2222" i="6" s="1"/>
  <c r="G2222" i="6" a="1"/>
  <c r="G2222" i="6" s="1"/>
  <c r="I2222" i="6" a="1"/>
  <c r="I2222" i="6" s="1"/>
  <c r="D2223" i="6" a="1"/>
  <c r="D2223" i="6" s="1"/>
  <c r="F2223" i="6" a="1"/>
  <c r="F2223" i="6" s="1"/>
  <c r="G2223" i="6" a="1"/>
  <c r="G2223" i="6" s="1"/>
  <c r="I2223" i="6" a="1"/>
  <c r="I2223" i="6" s="1"/>
  <c r="D2224" i="6" a="1"/>
  <c r="D2224" i="6" s="1"/>
  <c r="F2224" i="6" a="1"/>
  <c r="F2224" i="6" s="1"/>
  <c r="G2224" i="6" a="1"/>
  <c r="G2224" i="6" s="1"/>
  <c r="I2224" i="6" a="1"/>
  <c r="I2224" i="6" s="1"/>
  <c r="D2225" i="6" a="1"/>
  <c r="D2225" i="6" s="1"/>
  <c r="F2225" i="6" a="1"/>
  <c r="F2225" i="6" s="1"/>
  <c r="G2225" i="6" a="1"/>
  <c r="G2225" i="6" s="1"/>
  <c r="I2225" i="6" a="1"/>
  <c r="I2225" i="6" s="1"/>
  <c r="G2226" i="6" a="1"/>
  <c r="G2226" i="6" s="1"/>
  <c r="I2226" i="6" a="1"/>
  <c r="I2226" i="6" s="1"/>
  <c r="D2227" i="6" a="1"/>
  <c r="D2227" i="6" s="1"/>
  <c r="F2227" i="6" a="1"/>
  <c r="F2227" i="6" s="1"/>
  <c r="G2227" i="6" a="1"/>
  <c r="G2227" i="6" s="1"/>
  <c r="I2227" i="6" a="1"/>
  <c r="I2227" i="6" s="1"/>
  <c r="D2228" i="6" a="1"/>
  <c r="D2228" i="6" s="1"/>
  <c r="F2228" i="6" a="1"/>
  <c r="F2228" i="6" s="1"/>
  <c r="G2228" i="6" a="1"/>
  <c r="G2228" i="6" s="1"/>
  <c r="I2228" i="6" a="1"/>
  <c r="I2228" i="6" s="1"/>
  <c r="G2229" i="6" a="1"/>
  <c r="G2229" i="6" s="1"/>
  <c r="I2229" i="6" a="1"/>
  <c r="I2229" i="6" s="1"/>
  <c r="D2230" i="6" a="1"/>
  <c r="D2230" i="6" s="1"/>
  <c r="F2230" i="6" a="1"/>
  <c r="F2230" i="6" s="1"/>
  <c r="D2232" i="6" a="1"/>
  <c r="D2232" i="6" s="1"/>
  <c r="F2232" i="6" a="1"/>
  <c r="F2232" i="6" s="1"/>
  <c r="G2232" i="6" a="1"/>
  <c r="G2232" i="6" s="1"/>
  <c r="I2232" i="6" a="1"/>
  <c r="I2232" i="6" s="1"/>
  <c r="D2233" i="6" a="1"/>
  <c r="D2233" i="6" s="1"/>
  <c r="F2233" i="6" a="1"/>
  <c r="F2233" i="6" s="1"/>
  <c r="G2233" i="6" a="1"/>
  <c r="G2233" i="6" s="1"/>
  <c r="I2233" i="6" a="1"/>
  <c r="I2233" i="6" s="1"/>
  <c r="D2234" i="6" a="1"/>
  <c r="D2234" i="6" s="1"/>
  <c r="F2234" i="6" a="1"/>
  <c r="F2234" i="6" s="1"/>
  <c r="G2234" i="6" a="1"/>
  <c r="G2234" i="6" s="1"/>
  <c r="I2234" i="6" a="1"/>
  <c r="I2234" i="6" s="1"/>
  <c r="D2235" i="6" a="1"/>
  <c r="D2235" i="6" s="1"/>
  <c r="F2235" i="6" a="1"/>
  <c r="F2235" i="6" s="1"/>
  <c r="G2235" i="6" a="1"/>
  <c r="G2235" i="6" s="1"/>
  <c r="I2235" i="6" a="1"/>
  <c r="I2235" i="6" s="1"/>
  <c r="D2236" i="6" a="1"/>
  <c r="D2236" i="6" s="1"/>
  <c r="F2236" i="6" a="1"/>
  <c r="F2236" i="6" s="1"/>
  <c r="G2236" i="6" a="1"/>
  <c r="G2236" i="6" s="1"/>
  <c r="I2236" i="6" a="1"/>
  <c r="I2236" i="6" s="1"/>
  <c r="D2237" i="6" a="1"/>
  <c r="D2237" i="6" s="1"/>
  <c r="F2237" i="6" a="1"/>
  <c r="F2237" i="6" s="1"/>
  <c r="G2237" i="6" a="1"/>
  <c r="G2237" i="6" s="1"/>
  <c r="I2237" i="6" a="1"/>
  <c r="I2237" i="6" s="1"/>
  <c r="F2238" i="6" a="1"/>
  <c r="F2238" i="6" s="1"/>
  <c r="D2239" i="6" a="1"/>
  <c r="D2239" i="6" s="1"/>
  <c r="F2239" i="6" a="1"/>
  <c r="F2239" i="6" s="1"/>
  <c r="G2239" i="6" a="1"/>
  <c r="G2239" i="6" s="1"/>
  <c r="I2239" i="6" a="1"/>
  <c r="I2239" i="6" s="1"/>
  <c r="D2240" i="6" a="1"/>
  <c r="D2240" i="6" s="1"/>
  <c r="F2240" i="6" a="1"/>
  <c r="F2240" i="6" s="1"/>
  <c r="G2240" i="6" a="1"/>
  <c r="G2240" i="6" s="1"/>
  <c r="I2240" i="6" a="1"/>
  <c r="I2240" i="6" s="1"/>
  <c r="F2241" i="6" a="1"/>
  <c r="F2241" i="6" s="1"/>
  <c r="D2244" i="6" a="1"/>
  <c r="D2244" i="6" s="1"/>
  <c r="F2244" i="6" a="1"/>
  <c r="F2244" i="6" s="1"/>
  <c r="G2244" i="6" a="1"/>
  <c r="G2244" i="6" s="1"/>
  <c r="I2244" i="6" a="1"/>
  <c r="I2244" i="6" s="1"/>
  <c r="D2245" i="6" a="1"/>
  <c r="D2245" i="6" s="1"/>
  <c r="F2245" i="6" a="1"/>
  <c r="F2245" i="6" s="1"/>
  <c r="G2245" i="6" a="1"/>
  <c r="G2245" i="6" s="1"/>
  <c r="I2245" i="6" a="1"/>
  <c r="I2245" i="6" s="1"/>
  <c r="D2246" i="6" a="1"/>
  <c r="D2246" i="6" s="1"/>
  <c r="F2246" i="6" a="1"/>
  <c r="F2246" i="6" s="1"/>
  <c r="G2246" i="6" a="1"/>
  <c r="G2246" i="6" s="1"/>
  <c r="I2246" i="6" a="1"/>
  <c r="I2246" i="6" s="1"/>
  <c r="D2247" i="6" a="1"/>
  <c r="D2247" i="6" s="1"/>
  <c r="F2247" i="6" a="1"/>
  <c r="F2247" i="6" s="1"/>
  <c r="G2247" i="6" a="1"/>
  <c r="G2247" i="6" s="1"/>
  <c r="I2247" i="6" a="1"/>
  <c r="I2247" i="6" s="1"/>
  <c r="D2248" i="6" a="1"/>
  <c r="D2248" i="6" s="1"/>
  <c r="F2248" i="6" a="1"/>
  <c r="F2248" i="6" s="1"/>
  <c r="G2248" i="6" a="1"/>
  <c r="G2248" i="6" s="1"/>
  <c r="I2248" i="6" a="1"/>
  <c r="I2248" i="6" s="1"/>
  <c r="D2249" i="6" a="1"/>
  <c r="D2249" i="6" s="1"/>
  <c r="F2249" i="6" a="1"/>
  <c r="F2249" i="6" s="1"/>
  <c r="G2249" i="6" a="1"/>
  <c r="G2249" i="6" s="1"/>
  <c r="I2249" i="6" a="1"/>
  <c r="I2249" i="6" s="1"/>
  <c r="G2250" i="6" a="1"/>
  <c r="G2250" i="6" s="1"/>
  <c r="I2250" i="6" a="1"/>
  <c r="I2250" i="6" s="1"/>
  <c r="D2251" i="6" a="1"/>
  <c r="D2251" i="6" s="1"/>
  <c r="F2251" i="6" a="1"/>
  <c r="F2251" i="6" s="1"/>
  <c r="G2251" i="6" a="1"/>
  <c r="G2251" i="6" s="1"/>
  <c r="I2251" i="6" a="1"/>
  <c r="I2251" i="6" s="1"/>
  <c r="D2252" i="6" a="1"/>
  <c r="D2252" i="6" s="1"/>
  <c r="F2252" i="6" a="1"/>
  <c r="F2252" i="6" s="1"/>
  <c r="G2252" i="6" a="1"/>
  <c r="G2252" i="6" s="1"/>
  <c r="I2252" i="6" a="1"/>
  <c r="I2252" i="6" s="1"/>
  <c r="D2256" i="6" a="1"/>
  <c r="D2256" i="6" s="1"/>
  <c r="F2256" i="6" a="1"/>
  <c r="F2256" i="6" s="1"/>
  <c r="G2256" i="6" a="1"/>
  <c r="G2256" i="6" s="1"/>
  <c r="I2256" i="6" a="1"/>
  <c r="I2256" i="6" s="1"/>
  <c r="D2257" i="6" a="1"/>
  <c r="D2257" i="6" s="1"/>
  <c r="F2257" i="6" a="1"/>
  <c r="F2257" i="6" s="1"/>
  <c r="G2257" i="6" a="1"/>
  <c r="G2257" i="6" s="1"/>
  <c r="I2257" i="6" a="1"/>
  <c r="I2257" i="6" s="1"/>
  <c r="D2258" i="6" a="1"/>
  <c r="D2258" i="6" s="1"/>
  <c r="F2258" i="6" a="1"/>
  <c r="F2258" i="6" s="1"/>
  <c r="G2258" i="6" a="1"/>
  <c r="G2258" i="6" s="1"/>
  <c r="I2258" i="6" a="1"/>
  <c r="I2258" i="6" s="1"/>
  <c r="D2259" i="6" a="1"/>
  <c r="D2259" i="6" s="1"/>
  <c r="F2259" i="6" a="1"/>
  <c r="F2259" i="6" s="1"/>
  <c r="G2259" i="6" a="1"/>
  <c r="G2259" i="6" s="1"/>
  <c r="I2259" i="6" a="1"/>
  <c r="I2259" i="6" s="1"/>
  <c r="D2260" i="6" a="1"/>
  <c r="D2260" i="6" s="1"/>
  <c r="F2260" i="6" a="1"/>
  <c r="F2260" i="6" s="1"/>
  <c r="G2260" i="6" a="1"/>
  <c r="G2260" i="6" s="1"/>
  <c r="I2260" i="6" a="1"/>
  <c r="I2260" i="6" s="1"/>
  <c r="D2261" i="6" a="1"/>
  <c r="D2261" i="6" s="1"/>
  <c r="F2261" i="6" a="1"/>
  <c r="F2261" i="6" s="1"/>
  <c r="G2261" i="6" a="1"/>
  <c r="G2261" i="6" s="1"/>
  <c r="I2261" i="6" a="1"/>
  <c r="I2261" i="6" s="1"/>
  <c r="D2262" i="6" a="1"/>
  <c r="D2262" i="6" s="1"/>
  <c r="F2262" i="6" a="1"/>
  <c r="F2262" i="6" s="1"/>
  <c r="D2263" i="6" a="1"/>
  <c r="D2263" i="6" s="1"/>
  <c r="F2263" i="6" a="1"/>
  <c r="F2263" i="6" s="1"/>
  <c r="G2263" i="6" a="1"/>
  <c r="G2263" i="6" s="1"/>
  <c r="I2263" i="6" a="1"/>
  <c r="I2263" i="6" s="1"/>
  <c r="D2264" i="6" a="1"/>
  <c r="D2264" i="6" s="1"/>
  <c r="F2264" i="6" a="1"/>
  <c r="F2264" i="6" s="1"/>
  <c r="G2264" i="6" a="1"/>
  <c r="G2264" i="6" s="1"/>
  <c r="I2264" i="6" a="1"/>
  <c r="I2264" i="6" s="1"/>
  <c r="D2265" i="6" a="1"/>
  <c r="D2265" i="6" s="1"/>
  <c r="F2265" i="6" a="1"/>
  <c r="F2265" i="6" s="1"/>
  <c r="D2266" i="6" a="1"/>
  <c r="D2266" i="6" s="1"/>
  <c r="F2266" i="6" a="1"/>
  <c r="F2266" i="6" s="1"/>
  <c r="D2268" i="6" a="1"/>
  <c r="D2268" i="6" s="1"/>
  <c r="F2268" i="6" a="1"/>
  <c r="F2268" i="6" s="1"/>
  <c r="G2268" i="6" a="1"/>
  <c r="G2268" i="6" s="1"/>
  <c r="I2268" i="6" a="1"/>
  <c r="I2268" i="6" s="1"/>
  <c r="D2269" i="6" a="1"/>
  <c r="D2269" i="6" s="1"/>
  <c r="F2269" i="6" a="1"/>
  <c r="F2269" i="6" s="1"/>
  <c r="G2269" i="6" a="1"/>
  <c r="G2269" i="6" s="1"/>
  <c r="I2269" i="6" a="1"/>
  <c r="I2269" i="6" s="1"/>
  <c r="D2270" i="6" a="1"/>
  <c r="D2270" i="6" s="1"/>
  <c r="F2270" i="6" a="1"/>
  <c r="F2270" i="6" s="1"/>
  <c r="G2270" i="6" a="1"/>
  <c r="G2270" i="6" s="1"/>
  <c r="I2270" i="6" a="1"/>
  <c r="I2270" i="6" s="1"/>
  <c r="D2271" i="6" a="1"/>
  <c r="D2271" i="6" s="1"/>
  <c r="F2271" i="6" a="1"/>
  <c r="F2271" i="6" s="1"/>
  <c r="G2271" i="6" a="1"/>
  <c r="G2271" i="6" s="1"/>
  <c r="I2271" i="6" a="1"/>
  <c r="I2271" i="6" s="1"/>
  <c r="D2272" i="6" a="1"/>
  <c r="D2272" i="6" s="1"/>
  <c r="F2272" i="6" a="1"/>
  <c r="F2272" i="6" s="1"/>
  <c r="G2272" i="6" a="1"/>
  <c r="G2272" i="6" s="1"/>
  <c r="I2272" i="6" a="1"/>
  <c r="I2272" i="6" s="1"/>
  <c r="D2273" i="6" a="1"/>
  <c r="D2273" i="6" s="1"/>
  <c r="F2273" i="6" a="1"/>
  <c r="F2273" i="6" s="1"/>
  <c r="G2273" i="6" a="1"/>
  <c r="G2273" i="6" s="1"/>
  <c r="I2273" i="6" a="1"/>
  <c r="I2273" i="6" s="1"/>
  <c r="D2274" i="6" a="1"/>
  <c r="D2274" i="6" s="1"/>
  <c r="F2274" i="6" a="1"/>
  <c r="F2274" i="6" s="1"/>
  <c r="G2274" i="6" a="1"/>
  <c r="G2274" i="6" s="1"/>
  <c r="I2274" i="6" a="1"/>
  <c r="I2274" i="6" s="1"/>
  <c r="D2275" i="6" a="1"/>
  <c r="D2275" i="6" s="1"/>
  <c r="F2275" i="6" a="1"/>
  <c r="F2275" i="6" s="1"/>
  <c r="G2275" i="6" a="1"/>
  <c r="G2275" i="6" s="1"/>
  <c r="I2275" i="6" a="1"/>
  <c r="I2275" i="6" s="1"/>
  <c r="D2276" i="6" a="1"/>
  <c r="D2276" i="6" s="1"/>
  <c r="F2276" i="6" a="1"/>
  <c r="F2276" i="6" s="1"/>
  <c r="G2276" i="6" a="1"/>
  <c r="G2276" i="6" s="1"/>
  <c r="I2276" i="6" a="1"/>
  <c r="I2276" i="6" s="1"/>
  <c r="F2277" i="6" a="1"/>
  <c r="F2277" i="6" s="1"/>
  <c r="D2280" i="6" a="1"/>
  <c r="D2280" i="6" s="1"/>
  <c r="F2280" i="6" a="1"/>
  <c r="F2280" i="6" s="1"/>
  <c r="G2280" i="6" a="1"/>
  <c r="G2280" i="6" s="1"/>
  <c r="I2280" i="6" a="1"/>
  <c r="I2280" i="6" s="1"/>
  <c r="D2281" i="6" a="1"/>
  <c r="D2281" i="6" s="1"/>
  <c r="F2281" i="6" a="1"/>
  <c r="F2281" i="6" s="1"/>
  <c r="G2281" i="6" a="1"/>
  <c r="G2281" i="6" s="1"/>
  <c r="I2281" i="6" a="1"/>
  <c r="I2281" i="6" s="1"/>
  <c r="D2282" i="6" a="1"/>
  <c r="D2282" i="6" s="1"/>
  <c r="F2282" i="6" a="1"/>
  <c r="F2282" i="6" s="1"/>
  <c r="G2282" i="6" a="1"/>
  <c r="G2282" i="6" s="1"/>
  <c r="I2282" i="6" a="1"/>
  <c r="I2282" i="6" s="1"/>
  <c r="D2283" i="6" a="1"/>
  <c r="D2283" i="6" s="1"/>
  <c r="F2283" i="6" a="1"/>
  <c r="F2283" i="6" s="1"/>
  <c r="G2283" i="6" a="1"/>
  <c r="G2283" i="6" s="1"/>
  <c r="I2283" i="6" a="1"/>
  <c r="I2283" i="6" s="1"/>
  <c r="D2284" i="6" a="1"/>
  <c r="D2284" i="6" s="1"/>
  <c r="F2284" i="6" a="1"/>
  <c r="F2284" i="6" s="1"/>
  <c r="G2284" i="6" a="1"/>
  <c r="G2284" i="6" s="1"/>
  <c r="I2284" i="6" a="1"/>
  <c r="I2284" i="6" s="1"/>
  <c r="D2285" i="6" a="1"/>
  <c r="D2285" i="6" s="1"/>
  <c r="F2285" i="6" a="1"/>
  <c r="F2285" i="6" s="1"/>
  <c r="G2285" i="6" a="1"/>
  <c r="G2285" i="6" s="1"/>
  <c r="I2285" i="6" a="1"/>
  <c r="I2285" i="6" s="1"/>
  <c r="D2286" i="6" a="1"/>
  <c r="D2286" i="6" s="1"/>
  <c r="F2286" i="6" a="1"/>
  <c r="F2286" i="6" s="1"/>
  <c r="G2286" i="6" a="1"/>
  <c r="G2286" i="6" s="1"/>
  <c r="I2286" i="6" a="1"/>
  <c r="I2286" i="6" s="1"/>
  <c r="D2287" i="6" a="1"/>
  <c r="D2287" i="6" s="1"/>
  <c r="F2287" i="6" a="1"/>
  <c r="F2287" i="6" s="1"/>
  <c r="G2287" i="6" a="1"/>
  <c r="G2287" i="6" s="1"/>
  <c r="I2287" i="6" a="1"/>
  <c r="I2287" i="6" s="1"/>
  <c r="D2288" i="6" a="1"/>
  <c r="D2288" i="6" s="1"/>
  <c r="F2288" i="6" a="1"/>
  <c r="F2288" i="6" s="1"/>
  <c r="G2288" i="6" a="1"/>
  <c r="G2288" i="6" s="1"/>
  <c r="I2288" i="6" a="1"/>
  <c r="I2288" i="6" s="1"/>
  <c r="D2289" i="6" a="1"/>
  <c r="D2289" i="6" s="1"/>
  <c r="F2289" i="6" a="1"/>
  <c r="F2289" i="6" s="1"/>
  <c r="G2289" i="6" a="1"/>
  <c r="G2289" i="6" s="1"/>
  <c r="I2289" i="6" a="1"/>
  <c r="I2289" i="6" s="1"/>
  <c r="D2292" i="6" a="1"/>
  <c r="D2292" i="6" s="1"/>
  <c r="F2292" i="6" a="1"/>
  <c r="F2292" i="6" s="1"/>
  <c r="G2292" i="6" a="1"/>
  <c r="G2292" i="6" s="1"/>
  <c r="I2292" i="6" a="1"/>
  <c r="I2292" i="6" s="1"/>
  <c r="D2293" i="6" a="1"/>
  <c r="D2293" i="6" s="1"/>
  <c r="F2293" i="6" a="1"/>
  <c r="F2293" i="6" s="1"/>
  <c r="G2293" i="6" a="1"/>
  <c r="G2293" i="6" s="1"/>
  <c r="I2293" i="6" a="1"/>
  <c r="I2293" i="6" s="1"/>
  <c r="D2294" i="6" a="1"/>
  <c r="D2294" i="6" s="1"/>
  <c r="F2294" i="6" a="1"/>
  <c r="F2294" i="6" s="1"/>
  <c r="G2294" i="6" a="1"/>
  <c r="G2294" i="6" s="1"/>
  <c r="I2294" i="6" a="1"/>
  <c r="I2294" i="6" s="1"/>
  <c r="D2295" i="6" a="1"/>
  <c r="D2295" i="6" s="1"/>
  <c r="F2295" i="6" a="1"/>
  <c r="F2295" i="6" s="1"/>
  <c r="G2295" i="6" a="1"/>
  <c r="G2295" i="6" s="1"/>
  <c r="I2295" i="6" a="1"/>
  <c r="I2295" i="6" s="1"/>
  <c r="D2296" i="6" a="1"/>
  <c r="D2296" i="6" s="1"/>
  <c r="F2296" i="6" a="1"/>
  <c r="F2296" i="6" s="1"/>
  <c r="G2296" i="6" a="1"/>
  <c r="G2296" i="6" s="1"/>
  <c r="I2296" i="6" a="1"/>
  <c r="I2296" i="6" s="1"/>
  <c r="D2297" i="6" a="1"/>
  <c r="D2297" i="6" s="1"/>
  <c r="F2297" i="6" a="1"/>
  <c r="F2297" i="6" s="1"/>
  <c r="G2297" i="6" a="1"/>
  <c r="G2297" i="6" s="1"/>
  <c r="I2297" i="6" a="1"/>
  <c r="I2297" i="6" s="1"/>
  <c r="G2298" i="6" a="1"/>
  <c r="G2298" i="6" s="1"/>
  <c r="I2298" i="6" a="1"/>
  <c r="I2298" i="6" s="1"/>
  <c r="D2299" i="6" a="1"/>
  <c r="D2299" i="6" s="1"/>
  <c r="F2299" i="6" a="1"/>
  <c r="F2299" i="6" s="1"/>
  <c r="G2299" i="6" a="1"/>
  <c r="G2299" i="6" s="1"/>
  <c r="I2299" i="6" a="1"/>
  <c r="I2299" i="6" s="1"/>
  <c r="D2300" i="6" a="1"/>
  <c r="D2300" i="6" s="1"/>
  <c r="F2300" i="6" a="1"/>
  <c r="F2300" i="6" s="1"/>
  <c r="G2300" i="6" a="1"/>
  <c r="G2300" i="6" s="1"/>
  <c r="I2300" i="6" a="1"/>
  <c r="I2300" i="6" s="1"/>
  <c r="I2301" i="6" a="1"/>
  <c r="I2301" i="6" s="1"/>
  <c r="D2304" i="6" a="1"/>
  <c r="D2304" i="6" s="1"/>
  <c r="F2304" i="6" a="1"/>
  <c r="F2304" i="6" s="1"/>
  <c r="G2304" i="6" a="1"/>
  <c r="G2304" i="6" s="1"/>
  <c r="I2304" i="6" a="1"/>
  <c r="I2304" i="6" s="1"/>
  <c r="D2305" i="6" a="1"/>
  <c r="D2305" i="6" s="1"/>
  <c r="F2305" i="6" a="1"/>
  <c r="F2305" i="6" s="1"/>
  <c r="G2305" i="6" a="1"/>
  <c r="G2305" i="6" s="1"/>
  <c r="I2305" i="6" a="1"/>
  <c r="I2305" i="6" s="1"/>
  <c r="D2306" i="6" a="1"/>
  <c r="D2306" i="6" s="1"/>
  <c r="F2306" i="6" a="1"/>
  <c r="F2306" i="6" s="1"/>
  <c r="G2306" i="6" a="1"/>
  <c r="G2306" i="6" s="1"/>
  <c r="I2306" i="6" a="1"/>
  <c r="I2306" i="6" s="1"/>
  <c r="D2307" i="6" a="1"/>
  <c r="D2307" i="6" s="1"/>
  <c r="F2307" i="6" a="1"/>
  <c r="F2307" i="6" s="1"/>
  <c r="G2307" i="6" a="1"/>
  <c r="G2307" i="6" s="1"/>
  <c r="I2307" i="6" a="1"/>
  <c r="I2307" i="6" s="1"/>
  <c r="D2308" i="6" a="1"/>
  <c r="D2308" i="6" s="1"/>
  <c r="F2308" i="6" a="1"/>
  <c r="F2308" i="6" s="1"/>
  <c r="G2308" i="6" a="1"/>
  <c r="G2308" i="6" s="1"/>
  <c r="I2308" i="6" a="1"/>
  <c r="I2308" i="6" s="1"/>
  <c r="D2309" i="6" a="1"/>
  <c r="D2309" i="6" s="1"/>
  <c r="F2309" i="6" a="1"/>
  <c r="F2309" i="6" s="1"/>
  <c r="G2309" i="6" a="1"/>
  <c r="G2309" i="6" s="1"/>
  <c r="I2309" i="6" a="1"/>
  <c r="I2309" i="6" s="1"/>
  <c r="D2310" i="6" a="1"/>
  <c r="D2310" i="6" s="1"/>
  <c r="F2310" i="6" a="1"/>
  <c r="F2310" i="6" s="1"/>
  <c r="D2311" i="6" a="1"/>
  <c r="D2311" i="6" s="1"/>
  <c r="F2311" i="6" a="1"/>
  <c r="F2311" i="6" s="1"/>
  <c r="G2311" i="6" a="1"/>
  <c r="G2311" i="6" s="1"/>
  <c r="I2311" i="6" a="1"/>
  <c r="I2311" i="6" s="1"/>
  <c r="D2312" i="6" a="1"/>
  <c r="D2312" i="6" s="1"/>
  <c r="F2312" i="6" a="1"/>
  <c r="F2312" i="6" s="1"/>
  <c r="G2312" i="6" a="1"/>
  <c r="G2312" i="6" s="1"/>
  <c r="I2312" i="6" a="1"/>
  <c r="I2312" i="6" s="1"/>
  <c r="F2313" i="6" a="1"/>
  <c r="F2313" i="6" s="1"/>
  <c r="G2314" i="6" a="1"/>
  <c r="G2314" i="6" s="1"/>
  <c r="D2315" i="6" a="1"/>
  <c r="D2315" i="6" s="1"/>
  <c r="D2316" i="6" a="1"/>
  <c r="D2316" i="6" s="1"/>
  <c r="F2316" i="6" a="1"/>
  <c r="F2316" i="6" s="1"/>
  <c r="G2316" i="6" a="1"/>
  <c r="G2316" i="6" s="1"/>
  <c r="I2316" i="6" a="1"/>
  <c r="I2316" i="6" s="1"/>
  <c r="D2317" i="6" a="1"/>
  <c r="D2317" i="6" s="1"/>
  <c r="F2317" i="6" a="1"/>
  <c r="F2317" i="6" s="1"/>
  <c r="G2317" i="6" a="1"/>
  <c r="G2317" i="6" s="1"/>
  <c r="I2317" i="6" a="1"/>
  <c r="I2317" i="6" s="1"/>
  <c r="D2318" i="6" a="1"/>
  <c r="D2318" i="6" s="1"/>
  <c r="F2318" i="6" a="1"/>
  <c r="F2318" i="6" s="1"/>
  <c r="G2318" i="6" a="1"/>
  <c r="G2318" i="6" s="1"/>
  <c r="I2318" i="6" a="1"/>
  <c r="I2318" i="6" s="1"/>
  <c r="D2319" i="6" a="1"/>
  <c r="D2319" i="6" s="1"/>
  <c r="F2319" i="6" a="1"/>
  <c r="F2319" i="6" s="1"/>
  <c r="G2319" i="6" a="1"/>
  <c r="G2319" i="6" s="1"/>
  <c r="I2319" i="6" a="1"/>
  <c r="I2319" i="6" s="1"/>
  <c r="D2320" i="6" a="1"/>
  <c r="D2320" i="6" s="1"/>
  <c r="F2320" i="6" a="1"/>
  <c r="F2320" i="6" s="1"/>
  <c r="G2320" i="6" a="1"/>
  <c r="G2320" i="6" s="1"/>
  <c r="I2320" i="6" a="1"/>
  <c r="I2320" i="6" s="1"/>
  <c r="D2321" i="6" a="1"/>
  <c r="D2321" i="6" s="1"/>
  <c r="F2321" i="6" a="1"/>
  <c r="F2321" i="6" s="1"/>
  <c r="G2321" i="6" a="1"/>
  <c r="G2321" i="6" s="1"/>
  <c r="I2321" i="6" a="1"/>
  <c r="I2321" i="6" s="1"/>
  <c r="G2322" i="6" a="1"/>
  <c r="G2322" i="6" s="1"/>
  <c r="I2322" i="6" a="1"/>
  <c r="I2322" i="6" s="1"/>
  <c r="D2323" i="6" a="1"/>
  <c r="D2323" i="6" s="1"/>
  <c r="F2323" i="6" a="1"/>
  <c r="F2323" i="6" s="1"/>
  <c r="G2323" i="6" a="1"/>
  <c r="G2323" i="6" s="1"/>
  <c r="I2323" i="6" a="1"/>
  <c r="I2323" i="6" s="1"/>
  <c r="D2324" i="6" a="1"/>
  <c r="D2324" i="6" s="1"/>
  <c r="F2324" i="6" a="1"/>
  <c r="F2324" i="6" s="1"/>
  <c r="G2324" i="6" a="1"/>
  <c r="G2324" i="6" s="1"/>
  <c r="I2324" i="6" a="1"/>
  <c r="I2324" i="6" s="1"/>
  <c r="D2328" i="6" a="1"/>
  <c r="D2328" i="6" s="1"/>
  <c r="F2328" i="6" a="1"/>
  <c r="F2328" i="6" s="1"/>
  <c r="G2328" i="6" a="1"/>
  <c r="G2328" i="6" s="1"/>
  <c r="I2328" i="6" a="1"/>
  <c r="I2328" i="6" s="1"/>
  <c r="D2329" i="6" a="1"/>
  <c r="D2329" i="6" s="1"/>
  <c r="F2329" i="6" a="1"/>
  <c r="F2329" i="6" s="1"/>
  <c r="G2329" i="6" a="1"/>
  <c r="G2329" i="6" s="1"/>
  <c r="I2329" i="6" a="1"/>
  <c r="I2329" i="6" s="1"/>
  <c r="D2330" i="6" a="1"/>
  <c r="D2330" i="6" s="1"/>
  <c r="F2330" i="6" a="1"/>
  <c r="F2330" i="6" s="1"/>
  <c r="G2330" i="6" a="1"/>
  <c r="G2330" i="6" s="1"/>
  <c r="I2330" i="6" a="1"/>
  <c r="I2330" i="6" s="1"/>
  <c r="D2331" i="6" a="1"/>
  <c r="D2331" i="6" s="1"/>
  <c r="F2331" i="6" a="1"/>
  <c r="F2331" i="6" s="1"/>
  <c r="G2331" i="6" a="1"/>
  <c r="G2331" i="6" s="1"/>
  <c r="I2331" i="6" a="1"/>
  <c r="I2331" i="6" s="1"/>
  <c r="D2332" i="6" a="1"/>
  <c r="D2332" i="6" s="1"/>
  <c r="F2332" i="6" a="1"/>
  <c r="F2332" i="6" s="1"/>
  <c r="G2332" i="6" a="1"/>
  <c r="G2332" i="6" s="1"/>
  <c r="I2332" i="6" a="1"/>
  <c r="I2332" i="6" s="1"/>
  <c r="D2333" i="6" a="1"/>
  <c r="D2333" i="6" s="1"/>
  <c r="F2333" i="6" a="1"/>
  <c r="F2333" i="6" s="1"/>
  <c r="G2333" i="6" a="1"/>
  <c r="G2333" i="6" s="1"/>
  <c r="I2333" i="6" a="1"/>
  <c r="I2333" i="6" s="1"/>
  <c r="D2334" i="6" a="1"/>
  <c r="D2334" i="6" s="1"/>
  <c r="F2334" i="6" a="1"/>
  <c r="F2334" i="6" s="1"/>
  <c r="D2335" i="6" a="1"/>
  <c r="D2335" i="6" s="1"/>
  <c r="F2335" i="6" a="1"/>
  <c r="F2335" i="6" s="1"/>
  <c r="G2335" i="6" a="1"/>
  <c r="G2335" i="6" s="1"/>
  <c r="I2335" i="6" a="1"/>
  <c r="I2335" i="6" s="1"/>
  <c r="D2336" i="6" a="1"/>
  <c r="D2336" i="6" s="1"/>
  <c r="F2336" i="6" a="1"/>
  <c r="F2336" i="6" s="1"/>
  <c r="G2336" i="6" a="1"/>
  <c r="G2336" i="6" s="1"/>
  <c r="I2336" i="6" a="1"/>
  <c r="I2336" i="6" s="1"/>
  <c r="D2340" i="6" a="1"/>
  <c r="D2340" i="6" s="1"/>
  <c r="F2340" i="6" a="1"/>
  <c r="F2340" i="6" s="1"/>
  <c r="G2340" i="6" a="1"/>
  <c r="G2340" i="6" s="1"/>
  <c r="I2340" i="6" a="1"/>
  <c r="I2340" i="6" s="1"/>
  <c r="D2341" i="6" a="1"/>
  <c r="D2341" i="6" s="1"/>
  <c r="F2341" i="6" a="1"/>
  <c r="F2341" i="6" s="1"/>
  <c r="G2341" i="6" a="1"/>
  <c r="G2341" i="6" s="1"/>
  <c r="I2341" i="6" a="1"/>
  <c r="I2341" i="6" s="1"/>
  <c r="D2342" i="6" a="1"/>
  <c r="D2342" i="6" s="1"/>
  <c r="F2342" i="6" a="1"/>
  <c r="F2342" i="6" s="1"/>
  <c r="G2342" i="6" a="1"/>
  <c r="G2342" i="6" s="1"/>
  <c r="I2342" i="6" a="1"/>
  <c r="I2342" i="6" s="1"/>
  <c r="I8" i="6" a="1"/>
  <c r="I8" i="6" s="1"/>
  <c r="D8" i="6" a="1"/>
  <c r="D8" i="6" s="1"/>
  <c r="E1727" i="6" l="1" a="1"/>
  <c r="E1727" i="6" s="1"/>
  <c r="I1727" i="6" a="1"/>
  <c r="I1727" i="6" s="1"/>
  <c r="F1727" i="6" a="1"/>
  <c r="F1727" i="6" s="1"/>
  <c r="E743" i="6" a="1"/>
  <c r="E743" i="6" s="1"/>
  <c r="G743" i="6" a="1"/>
  <c r="G743" i="6" s="1"/>
  <c r="D743" i="6" a="1"/>
  <c r="D743" i="6" s="1"/>
  <c r="F743" i="6" a="1"/>
  <c r="F743" i="6" s="1"/>
  <c r="I743" i="6" a="1"/>
  <c r="I743" i="6" s="1"/>
  <c r="E2338" i="6" a="1"/>
  <c r="E2338" i="6" s="1"/>
  <c r="I2338" i="6" a="1"/>
  <c r="I2338" i="6" s="1"/>
  <c r="G2338" i="6" a="1"/>
  <c r="G2338" i="6" s="1"/>
  <c r="E2230" i="6" a="1"/>
  <c r="E2230" i="6" s="1"/>
  <c r="I2230" i="6" a="1"/>
  <c r="I2230" i="6" s="1"/>
  <c r="E2134" i="6" a="1"/>
  <c r="E2134" i="6" s="1"/>
  <c r="I2134" i="6" a="1"/>
  <c r="I2134" i="6" s="1"/>
  <c r="D2134" i="6" a="1"/>
  <c r="D2134" i="6" s="1"/>
  <c r="F2134" i="6" a="1"/>
  <c r="F2134" i="6" s="1"/>
  <c r="G2134" i="6" a="1"/>
  <c r="G2134" i="6" s="1"/>
  <c r="E2026" i="6" a="1"/>
  <c r="E2026" i="6" s="1"/>
  <c r="I2026" i="6" a="1"/>
  <c r="I2026" i="6" s="1"/>
  <c r="E1930" i="6" a="1"/>
  <c r="E1930" i="6" s="1"/>
  <c r="I1930" i="6" a="1"/>
  <c r="I1930" i="6" s="1"/>
  <c r="G1930" i="6" a="1"/>
  <c r="G1930" i="6" s="1"/>
  <c r="E1822" i="6" a="1"/>
  <c r="E1822" i="6" s="1"/>
  <c r="I1822" i="6" a="1"/>
  <c r="I1822" i="6" s="1"/>
  <c r="D1822" i="6" a="1"/>
  <c r="D1822" i="6" s="1"/>
  <c r="E1702" i="6" a="1"/>
  <c r="E1702" i="6" s="1"/>
  <c r="F1702" i="6" a="1"/>
  <c r="F1702" i="6" s="1"/>
  <c r="G1702" i="6" a="1"/>
  <c r="G1702" i="6" s="1"/>
  <c r="I1702" i="6" a="1"/>
  <c r="I1702" i="6" s="1"/>
  <c r="E1606" i="6" a="1"/>
  <c r="E1606" i="6" s="1"/>
  <c r="G1606" i="6" a="1"/>
  <c r="G1606" i="6" s="1"/>
  <c r="I1606" i="6" a="1"/>
  <c r="I1606" i="6" s="1"/>
  <c r="E1486" i="6" a="1"/>
  <c r="E1486" i="6" s="1"/>
  <c r="D1486" i="6" a="1"/>
  <c r="D1486" i="6" s="1"/>
  <c r="F1486" i="6" a="1"/>
  <c r="F1486" i="6" s="1"/>
  <c r="G1486" i="6" a="1"/>
  <c r="G1486" i="6" s="1"/>
  <c r="I1486" i="6" a="1"/>
  <c r="I1486" i="6" s="1"/>
  <c r="E1282" i="6" a="1"/>
  <c r="E1282" i="6" s="1"/>
  <c r="D1282" i="6" a="1"/>
  <c r="D1282" i="6" s="1"/>
  <c r="F1282" i="6" a="1"/>
  <c r="F1282" i="6" s="1"/>
  <c r="G1282" i="6" a="1"/>
  <c r="G1282" i="6" s="1"/>
  <c r="I1282" i="6" a="1"/>
  <c r="I1282" i="6" s="1"/>
  <c r="E1186" i="6" a="1"/>
  <c r="E1186" i="6" s="1"/>
  <c r="D1186" i="6" a="1"/>
  <c r="D1186" i="6" s="1"/>
  <c r="F1186" i="6" a="1"/>
  <c r="F1186" i="6" s="1"/>
  <c r="G1186" i="6" a="1"/>
  <c r="G1186" i="6" s="1"/>
  <c r="I1186" i="6" a="1"/>
  <c r="I1186" i="6" s="1"/>
  <c r="E1066" i="6" a="1"/>
  <c r="E1066" i="6" s="1"/>
  <c r="D1066" i="6" a="1"/>
  <c r="D1066" i="6" s="1"/>
  <c r="F1066" i="6" a="1"/>
  <c r="F1066" i="6" s="1"/>
  <c r="G1066" i="6" a="1"/>
  <c r="G1066" i="6" s="1"/>
  <c r="I1066" i="6" a="1"/>
  <c r="I1066" i="6" s="1"/>
  <c r="E958" i="6" a="1"/>
  <c r="E958" i="6" s="1"/>
  <c r="F958" i="6" a="1"/>
  <c r="F958" i="6" s="1"/>
  <c r="G958" i="6" a="1"/>
  <c r="G958" i="6" s="1"/>
  <c r="I958" i="6" a="1"/>
  <c r="I958" i="6" s="1"/>
  <c r="E790" i="6" a="1"/>
  <c r="E790" i="6" s="1"/>
  <c r="F790" i="6" a="1"/>
  <c r="F790" i="6" s="1"/>
  <c r="G790" i="6" a="1"/>
  <c r="G790" i="6" s="1"/>
  <c r="D790" i="6" a="1"/>
  <c r="D790" i="6" s="1"/>
  <c r="I790" i="6" a="1"/>
  <c r="I790" i="6" s="1"/>
  <c r="F2086" i="6" a="1"/>
  <c r="F2086" i="6" s="1"/>
  <c r="G1403" i="6" a="1"/>
  <c r="G1403" i="6" s="1"/>
  <c r="G1270" i="6" a="1"/>
  <c r="G1270" i="6" s="1"/>
  <c r="G1019" i="6" a="1"/>
  <c r="G1019" i="6" s="1"/>
  <c r="G754" i="6" a="1"/>
  <c r="G754" i="6" s="1"/>
  <c r="G719" i="6" a="1"/>
  <c r="G719" i="6" s="1"/>
  <c r="E2337" i="6" a="1"/>
  <c r="E2337" i="6" s="1"/>
  <c r="G2337" i="6" a="1"/>
  <c r="G2337" i="6" s="1"/>
  <c r="I2337" i="6" a="1"/>
  <c r="I2337" i="6" s="1"/>
  <c r="E2325" i="6" a="1"/>
  <c r="E2325" i="6" s="1"/>
  <c r="D2325" i="6" a="1"/>
  <c r="D2325" i="6" s="1"/>
  <c r="F2325" i="6" a="1"/>
  <c r="F2325" i="6" s="1"/>
  <c r="E2313" i="6" a="1"/>
  <c r="E2313" i="6" s="1"/>
  <c r="G2313" i="6" a="1"/>
  <c r="G2313" i="6" s="1"/>
  <c r="I2313" i="6" a="1"/>
  <c r="I2313" i="6" s="1"/>
  <c r="E2301" i="6" a="1"/>
  <c r="E2301" i="6" s="1"/>
  <c r="D2301" i="6" a="1"/>
  <c r="D2301" i="6" s="1"/>
  <c r="F2301" i="6" a="1"/>
  <c r="F2301" i="6" s="1"/>
  <c r="E2265" i="6" a="1"/>
  <c r="E2265" i="6" s="1"/>
  <c r="G2265" i="6" a="1"/>
  <c r="G2265" i="6" s="1"/>
  <c r="I2265" i="6" a="1"/>
  <c r="I2265" i="6" s="1"/>
  <c r="E2253" i="6" a="1"/>
  <c r="E2253" i="6" s="1"/>
  <c r="D2253" i="6" a="1"/>
  <c r="D2253" i="6" s="1"/>
  <c r="F2253" i="6" a="1"/>
  <c r="F2253" i="6" s="1"/>
  <c r="E2241" i="6" a="1"/>
  <c r="E2241" i="6" s="1"/>
  <c r="D2241" i="6" a="1"/>
  <c r="D2241" i="6" s="1"/>
  <c r="G2241" i="6" a="1"/>
  <c r="G2241" i="6" s="1"/>
  <c r="I2241" i="6" a="1"/>
  <c r="I2241" i="6" s="1"/>
  <c r="E2229" i="6" a="1"/>
  <c r="E2229" i="6" s="1"/>
  <c r="D2229" i="6" a="1"/>
  <c r="D2229" i="6" s="1"/>
  <c r="F2229" i="6" a="1"/>
  <c r="F2229" i="6" s="1"/>
  <c r="E2193" i="6" a="1"/>
  <c r="E2193" i="6" s="1"/>
  <c r="G2193" i="6" a="1"/>
  <c r="G2193" i="6" s="1"/>
  <c r="I2193" i="6" a="1"/>
  <c r="I2193" i="6" s="1"/>
  <c r="E2181" i="6" a="1"/>
  <c r="E2181" i="6" s="1"/>
  <c r="D2181" i="6" a="1"/>
  <c r="D2181" i="6" s="1"/>
  <c r="F2181" i="6" a="1"/>
  <c r="F2181" i="6" s="1"/>
  <c r="G2181" i="6" a="1"/>
  <c r="G2181" i="6" s="1"/>
  <c r="E2169" i="6" a="1"/>
  <c r="E2169" i="6" s="1"/>
  <c r="D2169" i="6" a="1"/>
  <c r="D2169" i="6" s="1"/>
  <c r="G2169" i="6" a="1"/>
  <c r="G2169" i="6" s="1"/>
  <c r="I2169" i="6" a="1"/>
  <c r="I2169" i="6" s="1"/>
  <c r="E2157" i="6" a="1"/>
  <c r="E2157" i="6" s="1"/>
  <c r="D2157" i="6" a="1"/>
  <c r="D2157" i="6" s="1"/>
  <c r="F2157" i="6" a="1"/>
  <c r="F2157" i="6" s="1"/>
  <c r="E2121" i="6" a="1"/>
  <c r="E2121" i="6" s="1"/>
  <c r="G2121" i="6" a="1"/>
  <c r="G2121" i="6" s="1"/>
  <c r="I2121" i="6" a="1"/>
  <c r="I2121" i="6" s="1"/>
  <c r="E2109" i="6" a="1"/>
  <c r="E2109" i="6" s="1"/>
  <c r="D2109" i="6" a="1"/>
  <c r="D2109" i="6" s="1"/>
  <c r="F2109" i="6" a="1"/>
  <c r="F2109" i="6" s="1"/>
  <c r="G2109" i="6" a="1"/>
  <c r="G2109" i="6" s="1"/>
  <c r="E2097" i="6" a="1"/>
  <c r="E2097" i="6" s="1"/>
  <c r="D2097" i="6" a="1"/>
  <c r="D2097" i="6" s="1"/>
  <c r="G2097" i="6" a="1"/>
  <c r="G2097" i="6" s="1"/>
  <c r="I2097" i="6" a="1"/>
  <c r="I2097" i="6" s="1"/>
  <c r="E2085" i="6" a="1"/>
  <c r="E2085" i="6" s="1"/>
  <c r="D2085" i="6" a="1"/>
  <c r="D2085" i="6" s="1"/>
  <c r="F2085" i="6" a="1"/>
  <c r="F2085" i="6" s="1"/>
  <c r="E2049" i="6" a="1"/>
  <c r="E2049" i="6" s="1"/>
  <c r="G2049" i="6" a="1"/>
  <c r="G2049" i="6" s="1"/>
  <c r="I2049" i="6" a="1"/>
  <c r="I2049" i="6" s="1"/>
  <c r="E2037" i="6" a="1"/>
  <c r="E2037" i="6" s="1"/>
  <c r="D2037" i="6" a="1"/>
  <c r="D2037" i="6" s="1"/>
  <c r="F2037" i="6" a="1"/>
  <c r="F2037" i="6" s="1"/>
  <c r="G2037" i="6" a="1"/>
  <c r="G2037" i="6" s="1"/>
  <c r="E2025" i="6" a="1"/>
  <c r="E2025" i="6" s="1"/>
  <c r="D2025" i="6" a="1"/>
  <c r="D2025" i="6" s="1"/>
  <c r="G2025" i="6" a="1"/>
  <c r="G2025" i="6" s="1"/>
  <c r="I2025" i="6" a="1"/>
  <c r="I2025" i="6" s="1"/>
  <c r="E2013" i="6" a="1"/>
  <c r="E2013" i="6" s="1"/>
  <c r="D2013" i="6" a="1"/>
  <c r="D2013" i="6" s="1"/>
  <c r="F2013" i="6" a="1"/>
  <c r="F2013" i="6" s="1"/>
  <c r="E1977" i="6" a="1"/>
  <c r="E1977" i="6" s="1"/>
  <c r="G1977" i="6" a="1"/>
  <c r="G1977" i="6" s="1"/>
  <c r="I1977" i="6" a="1"/>
  <c r="I1977" i="6" s="1"/>
  <c r="E1965" i="6" a="1"/>
  <c r="E1965" i="6" s="1"/>
  <c r="D1965" i="6" a="1"/>
  <c r="D1965" i="6" s="1"/>
  <c r="G1965" i="6" a="1"/>
  <c r="G1965" i="6" s="1"/>
  <c r="F1965" i="6" a="1"/>
  <c r="F1965" i="6" s="1"/>
  <c r="E1953" i="6" a="1"/>
  <c r="E1953" i="6" s="1"/>
  <c r="D1953" i="6" a="1"/>
  <c r="D1953" i="6" s="1"/>
  <c r="G1953" i="6" a="1"/>
  <c r="G1953" i="6" s="1"/>
  <c r="I1953" i="6" a="1"/>
  <c r="I1953" i="6" s="1"/>
  <c r="E1941" i="6" a="1"/>
  <c r="E1941" i="6" s="1"/>
  <c r="D1941" i="6" a="1"/>
  <c r="D1941" i="6" s="1"/>
  <c r="F1941" i="6" a="1"/>
  <c r="F1941" i="6" s="1"/>
  <c r="E1917" i="6" a="1"/>
  <c r="E1917" i="6" s="1"/>
  <c r="D1917" i="6" a="1"/>
  <c r="D1917" i="6" s="1"/>
  <c r="E1905" i="6" a="1"/>
  <c r="E1905" i="6" s="1"/>
  <c r="D1905" i="6" a="1"/>
  <c r="D1905" i="6" s="1"/>
  <c r="F1905" i="6" a="1"/>
  <c r="F1905" i="6" s="1"/>
  <c r="G1905" i="6" a="1"/>
  <c r="G1905" i="6" s="1"/>
  <c r="I1905" i="6" a="1"/>
  <c r="I1905" i="6" s="1"/>
  <c r="E1893" i="6" a="1"/>
  <c r="E1893" i="6" s="1"/>
  <c r="D1893" i="6" a="1"/>
  <c r="D1893" i="6" s="1"/>
  <c r="F1893" i="6" a="1"/>
  <c r="F1893" i="6" s="1"/>
  <c r="E1881" i="6" a="1"/>
  <c r="E1881" i="6" s="1"/>
  <c r="D1881" i="6" a="1"/>
  <c r="D1881" i="6" s="1"/>
  <c r="E1869" i="6" a="1"/>
  <c r="E1869" i="6" s="1"/>
  <c r="D1869" i="6" a="1"/>
  <c r="D1869" i="6" s="1"/>
  <c r="F1869" i="6" a="1"/>
  <c r="F1869" i="6" s="1"/>
  <c r="G1869" i="6" a="1"/>
  <c r="G1869" i="6" s="1"/>
  <c r="I1869" i="6" a="1"/>
  <c r="I1869" i="6" s="1"/>
  <c r="E1857" i="6" a="1"/>
  <c r="E1857" i="6" s="1"/>
  <c r="D1857" i="6" a="1"/>
  <c r="D1857" i="6" s="1"/>
  <c r="F1857" i="6" a="1"/>
  <c r="F1857" i="6" s="1"/>
  <c r="E1845" i="6" a="1"/>
  <c r="E1845" i="6" s="1"/>
  <c r="D1845" i="6" a="1"/>
  <c r="D1845" i="6" s="1"/>
  <c r="E1833" i="6" a="1"/>
  <c r="E1833" i="6" s="1"/>
  <c r="D1833" i="6" a="1"/>
  <c r="D1833" i="6" s="1"/>
  <c r="F1833" i="6" a="1"/>
  <c r="F1833" i="6" s="1"/>
  <c r="G1833" i="6" a="1"/>
  <c r="G1833" i="6" s="1"/>
  <c r="I1833" i="6" a="1"/>
  <c r="I1833" i="6" s="1"/>
  <c r="E1821" i="6" a="1"/>
  <c r="E1821" i="6" s="1"/>
  <c r="D1821" i="6" a="1"/>
  <c r="D1821" i="6" s="1"/>
  <c r="F1821" i="6" a="1"/>
  <c r="F1821" i="6" s="1"/>
  <c r="E1809" i="6" a="1"/>
  <c r="E1809" i="6" s="1"/>
  <c r="D1809" i="6" a="1"/>
  <c r="D1809" i="6" s="1"/>
  <c r="E1797" i="6" a="1"/>
  <c r="E1797" i="6" s="1"/>
  <c r="D1797" i="6" a="1"/>
  <c r="D1797" i="6" s="1"/>
  <c r="F1797" i="6" a="1"/>
  <c r="F1797" i="6" s="1"/>
  <c r="G1797" i="6" a="1"/>
  <c r="G1797" i="6" s="1"/>
  <c r="I1797" i="6" a="1"/>
  <c r="I1797" i="6" s="1"/>
  <c r="E1785" i="6" a="1"/>
  <c r="E1785" i="6" s="1"/>
  <c r="D1785" i="6" a="1"/>
  <c r="D1785" i="6" s="1"/>
  <c r="F1785" i="6" a="1"/>
  <c r="F1785" i="6" s="1"/>
  <c r="E1773" i="6" a="1"/>
  <c r="E1773" i="6" s="1"/>
  <c r="D1773" i="6" a="1"/>
  <c r="D1773" i="6" s="1"/>
  <c r="E1761" i="6" a="1"/>
  <c r="E1761" i="6" s="1"/>
  <c r="D1761" i="6" a="1"/>
  <c r="D1761" i="6" s="1"/>
  <c r="F1761" i="6" a="1"/>
  <c r="F1761" i="6" s="1"/>
  <c r="G1761" i="6" a="1"/>
  <c r="G1761" i="6" s="1"/>
  <c r="I1761" i="6" a="1"/>
  <c r="I1761" i="6" s="1"/>
  <c r="E1749" i="6" a="1"/>
  <c r="E1749" i="6" s="1"/>
  <c r="D1749" i="6" a="1"/>
  <c r="D1749" i="6" s="1"/>
  <c r="F1749" i="6" a="1"/>
  <c r="F1749" i="6" s="1"/>
  <c r="E1737" i="6" a="1"/>
  <c r="E1737" i="6" s="1"/>
  <c r="D1737" i="6" a="1"/>
  <c r="D1737" i="6" s="1"/>
  <c r="E1725" i="6" a="1"/>
  <c r="E1725" i="6" s="1"/>
  <c r="D1725" i="6" a="1"/>
  <c r="D1725" i="6" s="1"/>
  <c r="F1725" i="6" a="1"/>
  <c r="F1725" i="6" s="1"/>
  <c r="G1725" i="6" a="1"/>
  <c r="G1725" i="6" s="1"/>
  <c r="I1725" i="6" a="1"/>
  <c r="I1725" i="6" s="1"/>
  <c r="E1713" i="6" a="1"/>
  <c r="E1713" i="6" s="1"/>
  <c r="D1713" i="6" a="1"/>
  <c r="D1713" i="6" s="1"/>
  <c r="F1713" i="6" a="1"/>
  <c r="F1713" i="6" s="1"/>
  <c r="G1713" i="6" a="1"/>
  <c r="G1713" i="6" s="1"/>
  <c r="I1713" i="6" a="1"/>
  <c r="I1713" i="6" s="1"/>
  <c r="E1701" i="6" a="1"/>
  <c r="E1701" i="6" s="1"/>
  <c r="D1701" i="6" a="1"/>
  <c r="D1701" i="6" s="1"/>
  <c r="F1701" i="6" a="1"/>
  <c r="F1701" i="6" s="1"/>
  <c r="E1689" i="6" a="1"/>
  <c r="E1689" i="6" s="1"/>
  <c r="D1689" i="6" a="1"/>
  <c r="D1689" i="6" s="1"/>
  <c r="F1689" i="6" a="1"/>
  <c r="F1689" i="6" s="1"/>
  <c r="G1689" i="6" a="1"/>
  <c r="G1689" i="6" s="1"/>
  <c r="I1689" i="6" a="1"/>
  <c r="I1689" i="6" s="1"/>
  <c r="E1677" i="6" a="1"/>
  <c r="E1677" i="6" s="1"/>
  <c r="D1677" i="6" a="1"/>
  <c r="D1677" i="6" s="1"/>
  <c r="F1677" i="6" a="1"/>
  <c r="F1677" i="6" s="1"/>
  <c r="I1677" i="6" a="1"/>
  <c r="I1677" i="6" s="1"/>
  <c r="E1665" i="6" a="1"/>
  <c r="E1665" i="6" s="1"/>
  <c r="D1665" i="6" a="1"/>
  <c r="D1665" i="6" s="1"/>
  <c r="F1665" i="6" a="1"/>
  <c r="F1665" i="6" s="1"/>
  <c r="G1665" i="6" a="1"/>
  <c r="G1665" i="6" s="1"/>
  <c r="I1665" i="6" a="1"/>
  <c r="I1665" i="6" s="1"/>
  <c r="E1653" i="6" a="1"/>
  <c r="E1653" i="6" s="1"/>
  <c r="D1653" i="6" a="1"/>
  <c r="D1653" i="6" s="1"/>
  <c r="F1653" i="6" a="1"/>
  <c r="F1653" i="6" s="1"/>
  <c r="G1653" i="6" a="1"/>
  <c r="G1653" i="6" s="1"/>
  <c r="E1583" i="6" a="1"/>
  <c r="E1583" i="6" s="1"/>
  <c r="D1583" i="6" a="1"/>
  <c r="D1583" i="6" s="1"/>
  <c r="F1583" i="6" a="1"/>
  <c r="F1583" i="6" s="1"/>
  <c r="E1426" i="6" a="1"/>
  <c r="E1426" i="6" s="1"/>
  <c r="F1426" i="6" a="1"/>
  <c r="F1426" i="6" s="1"/>
  <c r="G1426" i="6" a="1"/>
  <c r="G1426" i="6" s="1"/>
  <c r="I1426" i="6" a="1"/>
  <c r="I1426" i="6" s="1"/>
  <c r="G1750" i="6" a="1"/>
  <c r="G1750" i="6" s="1"/>
  <c r="G1583" i="6" a="1"/>
  <c r="G1583" i="6" s="1"/>
  <c r="I1534" i="6" a="1"/>
  <c r="I1534" i="6" s="1"/>
  <c r="F1403" i="6" a="1"/>
  <c r="F1403" i="6" s="1"/>
  <c r="I1294" i="6" a="1"/>
  <c r="I1294" i="6" s="1"/>
  <c r="I635" i="6" a="1"/>
  <c r="I635" i="6" s="1"/>
  <c r="I527" i="6" a="1"/>
  <c r="I527" i="6" s="1"/>
  <c r="E2327" i="6" a="1"/>
  <c r="E2327" i="6" s="1"/>
  <c r="I2327" i="6" a="1"/>
  <c r="I2327" i="6" s="1"/>
  <c r="E2279" i="6" a="1"/>
  <c r="E2279" i="6" s="1"/>
  <c r="I2279" i="6" a="1"/>
  <c r="I2279" i="6" s="1"/>
  <c r="F2279" i="6" a="1"/>
  <c r="F2279" i="6" s="1"/>
  <c r="G2279" i="6" a="1"/>
  <c r="G2279" i="6" s="1"/>
  <c r="E2255" i="6" a="1"/>
  <c r="E2255" i="6" s="1"/>
  <c r="I2255" i="6" a="1"/>
  <c r="I2255" i="6" s="1"/>
  <c r="E2243" i="6" a="1"/>
  <c r="E2243" i="6" s="1"/>
  <c r="I2243" i="6" a="1"/>
  <c r="I2243" i="6" s="1"/>
  <c r="E2195" i="6" a="1"/>
  <c r="E2195" i="6" s="1"/>
  <c r="I2195" i="6" a="1"/>
  <c r="I2195" i="6" s="1"/>
  <c r="D2195" i="6" a="1"/>
  <c r="D2195" i="6" s="1"/>
  <c r="E2159" i="6" a="1"/>
  <c r="E2159" i="6" s="1"/>
  <c r="I2159" i="6" a="1"/>
  <c r="I2159" i="6" s="1"/>
  <c r="F2159" i="6" a="1"/>
  <c r="F2159" i="6" s="1"/>
  <c r="G2159" i="6" a="1"/>
  <c r="G2159" i="6" s="1"/>
  <c r="E2135" i="6" a="1"/>
  <c r="E2135" i="6" s="1"/>
  <c r="I2135" i="6" a="1"/>
  <c r="I2135" i="6" s="1"/>
  <c r="F2135" i="6" a="1"/>
  <c r="F2135" i="6" s="1"/>
  <c r="G2135" i="6" a="1"/>
  <c r="G2135" i="6" s="1"/>
  <c r="E2123" i="6" a="1"/>
  <c r="E2123" i="6" s="1"/>
  <c r="I2123" i="6" a="1"/>
  <c r="I2123" i="6" s="1"/>
  <c r="D2123" i="6" a="1"/>
  <c r="D2123" i="6" s="1"/>
  <c r="E2099" i="6" a="1"/>
  <c r="E2099" i="6" s="1"/>
  <c r="I2099" i="6" a="1"/>
  <c r="I2099" i="6" s="1"/>
  <c r="E2063" i="6" a="1"/>
  <c r="E2063" i="6" s="1"/>
  <c r="I2063" i="6" a="1"/>
  <c r="I2063" i="6" s="1"/>
  <c r="F2063" i="6" a="1"/>
  <c r="F2063" i="6" s="1"/>
  <c r="G2063" i="6" a="1"/>
  <c r="G2063" i="6" s="1"/>
  <c r="E2027" i="6" a="1"/>
  <c r="E2027" i="6" s="1"/>
  <c r="I2027" i="6" a="1"/>
  <c r="I2027" i="6" s="1"/>
  <c r="E1991" i="6" a="1"/>
  <c r="E1991" i="6" s="1"/>
  <c r="I1991" i="6" a="1"/>
  <c r="I1991" i="6" s="1"/>
  <c r="F1991" i="6" a="1"/>
  <c r="F1991" i="6" s="1"/>
  <c r="G1991" i="6" a="1"/>
  <c r="G1991" i="6" s="1"/>
  <c r="E1967" i="6" a="1"/>
  <c r="E1967" i="6" s="1"/>
  <c r="I1967" i="6" a="1"/>
  <c r="I1967" i="6" s="1"/>
  <c r="E1931" i="6" a="1"/>
  <c r="E1931" i="6" s="1"/>
  <c r="I1931" i="6" a="1"/>
  <c r="I1931" i="6" s="1"/>
  <c r="D1931" i="6" a="1"/>
  <c r="D1931" i="6" s="1"/>
  <c r="F1931" i="6" a="1"/>
  <c r="F1931" i="6" s="1"/>
  <c r="E1895" i="6" a="1"/>
  <c r="E1895" i="6" s="1"/>
  <c r="I1895" i="6" a="1"/>
  <c r="I1895" i="6" s="1"/>
  <c r="F1895" i="6" a="1"/>
  <c r="F1895" i="6" s="1"/>
  <c r="G1895" i="6" a="1"/>
  <c r="G1895" i="6" s="1"/>
  <c r="E1859" i="6" a="1"/>
  <c r="E1859" i="6" s="1"/>
  <c r="I1859" i="6" a="1"/>
  <c r="I1859" i="6" s="1"/>
  <c r="F1859" i="6" a="1"/>
  <c r="F1859" i="6" s="1"/>
  <c r="G1859" i="6" a="1"/>
  <c r="G1859" i="6" s="1"/>
  <c r="E1835" i="6" a="1"/>
  <c r="E1835" i="6" s="1"/>
  <c r="I1835" i="6" a="1"/>
  <c r="I1835" i="6" s="1"/>
  <c r="F1835" i="6" a="1"/>
  <c r="F1835" i="6" s="1"/>
  <c r="E1799" i="6" a="1"/>
  <c r="E1799" i="6" s="1"/>
  <c r="I1799" i="6" a="1"/>
  <c r="I1799" i="6" s="1"/>
  <c r="F1799" i="6" a="1"/>
  <c r="F1799" i="6" s="1"/>
  <c r="E1763" i="6" a="1"/>
  <c r="E1763" i="6" s="1"/>
  <c r="I1763" i="6" a="1"/>
  <c r="I1763" i="6" s="1"/>
  <c r="F1763" i="6" a="1"/>
  <c r="F1763" i="6" s="1"/>
  <c r="E1679" i="6" a="1"/>
  <c r="E1679" i="6" s="1"/>
  <c r="D1679" i="6" a="1"/>
  <c r="D1679" i="6" s="1"/>
  <c r="F1679" i="6" a="1"/>
  <c r="F1679" i="6" s="1"/>
  <c r="G1679" i="6" a="1"/>
  <c r="G1679" i="6" s="1"/>
  <c r="I1679" i="6" a="1"/>
  <c r="I1679" i="6" s="1"/>
  <c r="E1655" i="6" a="1"/>
  <c r="E1655" i="6" s="1"/>
  <c r="D1655" i="6" a="1"/>
  <c r="D1655" i="6" s="1"/>
  <c r="G1655" i="6" a="1"/>
  <c r="G1655" i="6" s="1"/>
  <c r="I1655" i="6" a="1"/>
  <c r="I1655" i="6" s="1"/>
  <c r="E1619" i="6" a="1"/>
  <c r="E1619" i="6" s="1"/>
  <c r="D1619" i="6" a="1"/>
  <c r="D1619" i="6" s="1"/>
  <c r="I1619" i="6" a="1"/>
  <c r="I1619" i="6" s="1"/>
  <c r="E1559" i="6" a="1"/>
  <c r="E1559" i="6" s="1"/>
  <c r="D1559" i="6" a="1"/>
  <c r="D1559" i="6" s="1"/>
  <c r="F1559" i="6" a="1"/>
  <c r="F1559" i="6" s="1"/>
  <c r="G1559" i="6" a="1"/>
  <c r="G1559" i="6" s="1"/>
  <c r="I1559" i="6" a="1"/>
  <c r="I1559" i="6" s="1"/>
  <c r="E1535" i="6" a="1"/>
  <c r="E1535" i="6" s="1"/>
  <c r="D1535" i="6" a="1"/>
  <c r="D1535" i="6" s="1"/>
  <c r="F1535" i="6" a="1"/>
  <c r="F1535" i="6" s="1"/>
  <c r="G1535" i="6" a="1"/>
  <c r="G1535" i="6" s="1"/>
  <c r="I1535" i="6" a="1"/>
  <c r="I1535" i="6" s="1"/>
  <c r="E1499" i="6" a="1"/>
  <c r="E1499" i="6" s="1"/>
  <c r="D1499" i="6" a="1"/>
  <c r="D1499" i="6" s="1"/>
  <c r="F1499" i="6" a="1"/>
  <c r="F1499" i="6" s="1"/>
  <c r="G1499" i="6" a="1"/>
  <c r="G1499" i="6" s="1"/>
  <c r="I1499" i="6" a="1"/>
  <c r="I1499" i="6" s="1"/>
  <c r="E1463" i="6" a="1"/>
  <c r="E1463" i="6" s="1"/>
  <c r="D1463" i="6" a="1"/>
  <c r="D1463" i="6" s="1"/>
  <c r="G1463" i="6" a="1"/>
  <c r="G1463" i="6" s="1"/>
  <c r="I1463" i="6" a="1"/>
  <c r="I1463" i="6" s="1"/>
  <c r="E1427" i="6" a="1"/>
  <c r="E1427" i="6" s="1"/>
  <c r="D1427" i="6" a="1"/>
  <c r="D1427" i="6" s="1"/>
  <c r="F1427" i="6" a="1"/>
  <c r="F1427" i="6" s="1"/>
  <c r="G1427" i="6" a="1"/>
  <c r="G1427" i="6" s="1"/>
  <c r="I1427" i="6" a="1"/>
  <c r="I1427" i="6" s="1"/>
  <c r="E1391" i="6" a="1"/>
  <c r="E1391" i="6" s="1"/>
  <c r="D1391" i="6" a="1"/>
  <c r="D1391" i="6" s="1"/>
  <c r="F1391" i="6" a="1"/>
  <c r="F1391" i="6" s="1"/>
  <c r="E1355" i="6" a="1"/>
  <c r="E1355" i="6" s="1"/>
  <c r="D1355" i="6" a="1"/>
  <c r="D1355" i="6" s="1"/>
  <c r="F1355" i="6" a="1"/>
  <c r="F1355" i="6" s="1"/>
  <c r="G1355" i="6" a="1"/>
  <c r="G1355" i="6" s="1"/>
  <c r="I1355" i="6" a="1"/>
  <c r="I1355" i="6" s="1"/>
  <c r="E1331" i="6" a="1"/>
  <c r="E1331" i="6" s="1"/>
  <c r="D1331" i="6" a="1"/>
  <c r="D1331" i="6" s="1"/>
  <c r="G1331" i="6" a="1"/>
  <c r="G1331" i="6" s="1"/>
  <c r="F1331" i="6" a="1"/>
  <c r="F1331" i="6" s="1"/>
  <c r="E1307" i="6" a="1"/>
  <c r="E1307" i="6" s="1"/>
  <c r="D1307" i="6" a="1"/>
  <c r="D1307" i="6" s="1"/>
  <c r="I1307" i="6" a="1"/>
  <c r="I1307" i="6" s="1"/>
  <c r="F1307" i="6" a="1"/>
  <c r="F1307" i="6" s="1"/>
  <c r="E1271" i="6" a="1"/>
  <c r="E1271" i="6" s="1"/>
  <c r="D1271" i="6" a="1"/>
  <c r="D1271" i="6" s="1"/>
  <c r="F1271" i="6" a="1"/>
  <c r="F1271" i="6" s="1"/>
  <c r="G1271" i="6" a="1"/>
  <c r="G1271" i="6" s="1"/>
  <c r="I1271" i="6" a="1"/>
  <c r="I1271" i="6" s="1"/>
  <c r="E1247" i="6" a="1"/>
  <c r="E1247" i="6" s="1"/>
  <c r="D1247" i="6" a="1"/>
  <c r="D1247" i="6" s="1"/>
  <c r="F1247" i="6" a="1"/>
  <c r="F1247" i="6" s="1"/>
  <c r="G1247" i="6" a="1"/>
  <c r="G1247" i="6" s="1"/>
  <c r="I1247" i="6" a="1"/>
  <c r="I1247" i="6" s="1"/>
  <c r="E1211" i="6" a="1"/>
  <c r="E1211" i="6" s="1"/>
  <c r="D1211" i="6" a="1"/>
  <c r="D1211" i="6" s="1"/>
  <c r="I1211" i="6" a="1"/>
  <c r="I1211" i="6" s="1"/>
  <c r="F1211" i="6" a="1"/>
  <c r="F1211" i="6" s="1"/>
  <c r="G1211" i="6" a="1"/>
  <c r="G1211" i="6" s="1"/>
  <c r="E1175" i="6" a="1"/>
  <c r="E1175" i="6" s="1"/>
  <c r="D1175" i="6" a="1"/>
  <c r="D1175" i="6" s="1"/>
  <c r="F1175" i="6" a="1"/>
  <c r="F1175" i="6" s="1"/>
  <c r="E1139" i="6" a="1"/>
  <c r="E1139" i="6" s="1"/>
  <c r="D1139" i="6" a="1"/>
  <c r="D1139" i="6" s="1"/>
  <c r="F1139" i="6" a="1"/>
  <c r="F1139" i="6" s="1"/>
  <c r="G1139" i="6" a="1"/>
  <c r="G1139" i="6" s="1"/>
  <c r="I1139" i="6" a="1"/>
  <c r="I1139" i="6" s="1"/>
  <c r="E1103" i="6" a="1"/>
  <c r="E1103" i="6" s="1"/>
  <c r="D1103" i="6" a="1"/>
  <c r="D1103" i="6" s="1"/>
  <c r="F1103" i="6" a="1"/>
  <c r="F1103" i="6" s="1"/>
  <c r="G1103" i="6" a="1"/>
  <c r="G1103" i="6" s="1"/>
  <c r="I1103" i="6" a="1"/>
  <c r="I1103" i="6" s="1"/>
  <c r="E1067" i="6" a="1"/>
  <c r="E1067" i="6" s="1"/>
  <c r="D1067" i="6" a="1"/>
  <c r="D1067" i="6" s="1"/>
  <c r="I1067" i="6" a="1"/>
  <c r="I1067" i="6" s="1"/>
  <c r="F1067" i="6" a="1"/>
  <c r="F1067" i="6" s="1"/>
  <c r="G1067" i="6" a="1"/>
  <c r="G1067" i="6" s="1"/>
  <c r="E1043" i="6" a="1"/>
  <c r="E1043" i="6" s="1"/>
  <c r="D1043" i="6" a="1"/>
  <c r="D1043" i="6" s="1"/>
  <c r="F1043" i="6" a="1"/>
  <c r="F1043" i="6" s="1"/>
  <c r="G1043" i="6" a="1"/>
  <c r="G1043" i="6" s="1"/>
  <c r="I1043" i="6" a="1"/>
  <c r="I1043" i="6" s="1"/>
  <c r="E1007" i="6" a="1"/>
  <c r="E1007" i="6" s="1"/>
  <c r="D1007" i="6" a="1"/>
  <c r="D1007" i="6" s="1"/>
  <c r="G1007" i="6" a="1"/>
  <c r="G1007" i="6" s="1"/>
  <c r="I1007" i="6" a="1"/>
  <c r="I1007" i="6" s="1"/>
  <c r="F1007" i="6" a="1"/>
  <c r="F1007" i="6" s="1"/>
  <c r="E971" i="6" a="1"/>
  <c r="E971" i="6" s="1"/>
  <c r="D971" i="6" a="1"/>
  <c r="D971" i="6" s="1"/>
  <c r="F971" i="6" a="1"/>
  <c r="F971" i="6" s="1"/>
  <c r="G971" i="6" a="1"/>
  <c r="G971" i="6" s="1"/>
  <c r="I971" i="6" a="1"/>
  <c r="I971" i="6" s="1"/>
  <c r="E935" i="6" a="1"/>
  <c r="E935" i="6" s="1"/>
  <c r="D935" i="6" a="1"/>
  <c r="D935" i="6" s="1"/>
  <c r="F935" i="6" a="1"/>
  <c r="F935" i="6" s="1"/>
  <c r="I935" i="6" a="1"/>
  <c r="I935" i="6" s="1"/>
  <c r="E911" i="6" a="1"/>
  <c r="E911" i="6" s="1"/>
  <c r="D911" i="6" a="1"/>
  <c r="D911" i="6" s="1"/>
  <c r="G911" i="6" a="1"/>
  <c r="G911" i="6" s="1"/>
  <c r="I911" i="6" a="1"/>
  <c r="I911" i="6" s="1"/>
  <c r="E875" i="6" a="1"/>
  <c r="E875" i="6" s="1"/>
  <c r="D875" i="6" a="1"/>
  <c r="D875" i="6" s="1"/>
  <c r="I875" i="6" a="1"/>
  <c r="I875" i="6" s="1"/>
  <c r="G875" i="6" a="1"/>
  <c r="G875" i="6" s="1"/>
  <c r="E839" i="6" a="1"/>
  <c r="E839" i="6" s="1"/>
  <c r="G839" i="6" a="1"/>
  <c r="G839" i="6" s="1"/>
  <c r="D839" i="6" a="1"/>
  <c r="D839" i="6" s="1"/>
  <c r="F839" i="6" a="1"/>
  <c r="F839" i="6" s="1"/>
  <c r="I839" i="6" a="1"/>
  <c r="I839" i="6" s="1"/>
  <c r="E827" i="6" a="1"/>
  <c r="E827" i="6" s="1"/>
  <c r="F827" i="6" a="1"/>
  <c r="F827" i="6" s="1"/>
  <c r="G827" i="6" a="1"/>
  <c r="G827" i="6" s="1"/>
  <c r="E791" i="6" a="1"/>
  <c r="E791" i="6" s="1"/>
  <c r="D791" i="6" a="1"/>
  <c r="D791" i="6" s="1"/>
  <c r="F791" i="6" a="1"/>
  <c r="F791" i="6" s="1"/>
  <c r="G791" i="6" a="1"/>
  <c r="G791" i="6" s="1"/>
  <c r="I791" i="6" a="1"/>
  <c r="I791" i="6" s="1"/>
  <c r="E779" i="6" a="1"/>
  <c r="E779" i="6" s="1"/>
  <c r="D779" i="6" a="1"/>
  <c r="D779" i="6" s="1"/>
  <c r="I779" i="6" a="1"/>
  <c r="I779" i="6" s="1"/>
  <c r="F779" i="6" a="1"/>
  <c r="F779" i="6" s="1"/>
  <c r="G779" i="6" a="1"/>
  <c r="G779" i="6" s="1"/>
  <c r="E695" i="6" a="1"/>
  <c r="E695" i="6" s="1"/>
  <c r="D695" i="6" a="1"/>
  <c r="D695" i="6" s="1"/>
  <c r="F695" i="6" a="1"/>
  <c r="F695" i="6" s="1"/>
  <c r="G695" i="6" a="1"/>
  <c r="G695" i="6" s="1"/>
  <c r="I695" i="6" a="1"/>
  <c r="I695" i="6" s="1"/>
  <c r="E659" i="6" a="1"/>
  <c r="E659" i="6" s="1"/>
  <c r="D659" i="6" a="1"/>
  <c r="D659" i="6" s="1"/>
  <c r="G659" i="6" a="1"/>
  <c r="G659" i="6" s="1"/>
  <c r="F659" i="6" a="1"/>
  <c r="F659" i="6" s="1"/>
  <c r="E623" i="6" a="1"/>
  <c r="E623" i="6" s="1"/>
  <c r="D623" i="6" a="1"/>
  <c r="D623" i="6" s="1"/>
  <c r="F623" i="6" a="1"/>
  <c r="F623" i="6" s="1"/>
  <c r="G623" i="6" a="1"/>
  <c r="G623" i="6" s="1"/>
  <c r="E563" i="6" a="1"/>
  <c r="E563" i="6" s="1"/>
  <c r="F563" i="6" a="1"/>
  <c r="F563" i="6" s="1"/>
  <c r="G563" i="6" a="1"/>
  <c r="G563" i="6" s="1"/>
  <c r="I563" i="6" a="1"/>
  <c r="I563" i="6" s="1"/>
  <c r="D563" i="6" a="1"/>
  <c r="D563" i="6" s="1"/>
  <c r="D827" i="6" a="1"/>
  <c r="D827" i="6" s="1"/>
  <c r="E2266" i="6" a="1"/>
  <c r="E2266" i="6" s="1"/>
  <c r="I2266" i="6" a="1"/>
  <c r="I2266" i="6" s="1"/>
  <c r="G2266" i="6" a="1"/>
  <c r="G2266" i="6" s="1"/>
  <c r="E2218" i="6" a="1"/>
  <c r="E2218" i="6" s="1"/>
  <c r="I2218" i="6" a="1"/>
  <c r="I2218" i="6" s="1"/>
  <c r="G2218" i="6" a="1"/>
  <c r="G2218" i="6" s="1"/>
  <c r="E2146" i="6" a="1"/>
  <c r="E2146" i="6" s="1"/>
  <c r="I2146" i="6" a="1"/>
  <c r="I2146" i="6" s="1"/>
  <c r="G2146" i="6" a="1"/>
  <c r="G2146" i="6" s="1"/>
  <c r="E2110" i="6" a="1"/>
  <c r="E2110" i="6" s="1"/>
  <c r="I2110" i="6" a="1"/>
  <c r="I2110" i="6" s="1"/>
  <c r="D2110" i="6" a="1"/>
  <c r="D2110" i="6" s="1"/>
  <c r="F2110" i="6" a="1"/>
  <c r="F2110" i="6" s="1"/>
  <c r="E2038" i="6" a="1"/>
  <c r="E2038" i="6" s="1"/>
  <c r="I2038" i="6" a="1"/>
  <c r="I2038" i="6" s="1"/>
  <c r="D2038" i="6" a="1"/>
  <c r="D2038" i="6" s="1"/>
  <c r="F2038" i="6" a="1"/>
  <c r="F2038" i="6" s="1"/>
  <c r="E1990" i="6" a="1"/>
  <c r="E1990" i="6" s="1"/>
  <c r="I1990" i="6" a="1"/>
  <c r="I1990" i="6" s="1"/>
  <c r="D1990" i="6" a="1"/>
  <c r="D1990" i="6" s="1"/>
  <c r="G1990" i="6" a="1"/>
  <c r="G1990" i="6" s="1"/>
  <c r="F1990" i="6" a="1"/>
  <c r="F1990" i="6" s="1"/>
  <c r="E1918" i="6" a="1"/>
  <c r="E1918" i="6" s="1"/>
  <c r="I1918" i="6" a="1"/>
  <c r="I1918" i="6" s="1"/>
  <c r="D1918" i="6" a="1"/>
  <c r="D1918" i="6" s="1"/>
  <c r="F1918" i="6" a="1"/>
  <c r="F1918" i="6" s="1"/>
  <c r="G1918" i="6" a="1"/>
  <c r="G1918" i="6" s="1"/>
  <c r="E1858" i="6" a="1"/>
  <c r="E1858" i="6" s="1"/>
  <c r="I1858" i="6" a="1"/>
  <c r="I1858" i="6" s="1"/>
  <c r="D1858" i="6" a="1"/>
  <c r="D1858" i="6" s="1"/>
  <c r="E1810" i="6" a="1"/>
  <c r="E1810" i="6" s="1"/>
  <c r="I1810" i="6" a="1"/>
  <c r="I1810" i="6" s="1"/>
  <c r="D1810" i="6" a="1"/>
  <c r="D1810" i="6" s="1"/>
  <c r="F1810" i="6" a="1"/>
  <c r="F1810" i="6" s="1"/>
  <c r="G1810" i="6" a="1"/>
  <c r="G1810" i="6" s="1"/>
  <c r="E1762" i="6" a="1"/>
  <c r="E1762" i="6" s="1"/>
  <c r="I1762" i="6" a="1"/>
  <c r="I1762" i="6" s="1"/>
  <c r="D1762" i="6" a="1"/>
  <c r="D1762" i="6" s="1"/>
  <c r="F1762" i="6" a="1"/>
  <c r="F1762" i="6" s="1"/>
  <c r="E1690" i="6" a="1"/>
  <c r="E1690" i="6" s="1"/>
  <c r="D1690" i="6" a="1"/>
  <c r="D1690" i="6" s="1"/>
  <c r="F1690" i="6" a="1"/>
  <c r="F1690" i="6" s="1"/>
  <c r="E1642" i="6" a="1"/>
  <c r="E1642" i="6" s="1"/>
  <c r="D1642" i="6" a="1"/>
  <c r="D1642" i="6" s="1"/>
  <c r="F1642" i="6" a="1"/>
  <c r="F1642" i="6" s="1"/>
  <c r="G1642" i="6" a="1"/>
  <c r="G1642" i="6" s="1"/>
  <c r="I1642" i="6" a="1"/>
  <c r="I1642" i="6" s="1"/>
  <c r="E1594" i="6" a="1"/>
  <c r="E1594" i="6" s="1"/>
  <c r="D1594" i="6" a="1"/>
  <c r="D1594" i="6" s="1"/>
  <c r="F1594" i="6" a="1"/>
  <c r="F1594" i="6" s="1"/>
  <c r="G1594" i="6" a="1"/>
  <c r="G1594" i="6" s="1"/>
  <c r="I1594" i="6" a="1"/>
  <c r="I1594" i="6" s="1"/>
  <c r="E1546" i="6" a="1"/>
  <c r="E1546" i="6" s="1"/>
  <c r="G1546" i="6" a="1"/>
  <c r="G1546" i="6" s="1"/>
  <c r="I1546" i="6" a="1"/>
  <c r="I1546" i="6" s="1"/>
  <c r="E1510" i="6" a="1"/>
  <c r="E1510" i="6" s="1"/>
  <c r="I1510" i="6" a="1"/>
  <c r="I1510" i="6" s="1"/>
  <c r="D1510" i="6" a="1"/>
  <c r="D1510" i="6" s="1"/>
  <c r="E1450" i="6" a="1"/>
  <c r="E1450" i="6" s="1"/>
  <c r="D1450" i="6" a="1"/>
  <c r="D1450" i="6" s="1"/>
  <c r="F1450" i="6" a="1"/>
  <c r="F1450" i="6" s="1"/>
  <c r="G1450" i="6" a="1"/>
  <c r="G1450" i="6" s="1"/>
  <c r="E1390" i="6" a="1"/>
  <c r="E1390" i="6" s="1"/>
  <c r="D1390" i="6" a="1"/>
  <c r="D1390" i="6" s="1"/>
  <c r="I1390" i="6" a="1"/>
  <c r="I1390" i="6" s="1"/>
  <c r="F1390" i="6" a="1"/>
  <c r="F1390" i="6" s="1"/>
  <c r="G1390" i="6" a="1"/>
  <c r="G1390" i="6" s="1"/>
  <c r="E1342" i="6" a="1"/>
  <c r="E1342" i="6" s="1"/>
  <c r="D1342" i="6" a="1"/>
  <c r="D1342" i="6" s="1"/>
  <c r="F1342" i="6" a="1"/>
  <c r="F1342" i="6" s="1"/>
  <c r="G1342" i="6" a="1"/>
  <c r="G1342" i="6" s="1"/>
  <c r="I1342" i="6" a="1"/>
  <c r="I1342" i="6" s="1"/>
  <c r="E1330" i="6" a="1"/>
  <c r="E1330" i="6" s="1"/>
  <c r="D1330" i="6" a="1"/>
  <c r="D1330" i="6" s="1"/>
  <c r="F1330" i="6" a="1"/>
  <c r="F1330" i="6" s="1"/>
  <c r="G1330" i="6" a="1"/>
  <c r="G1330" i="6" s="1"/>
  <c r="E1270" i="6" a="1"/>
  <c r="E1270" i="6" s="1"/>
  <c r="I1270" i="6" a="1"/>
  <c r="I1270" i="6" s="1"/>
  <c r="F1270" i="6" a="1"/>
  <c r="F1270" i="6" s="1"/>
  <c r="E1234" i="6" a="1"/>
  <c r="E1234" i="6" s="1"/>
  <c r="D1234" i="6" a="1"/>
  <c r="D1234" i="6" s="1"/>
  <c r="F1234" i="6" a="1"/>
  <c r="F1234" i="6" s="1"/>
  <c r="G1234" i="6" a="1"/>
  <c r="G1234" i="6" s="1"/>
  <c r="I1234" i="6" a="1"/>
  <c r="I1234" i="6" s="1"/>
  <c r="E1210" i="6" a="1"/>
  <c r="E1210" i="6" s="1"/>
  <c r="D1210" i="6" a="1"/>
  <c r="D1210" i="6" s="1"/>
  <c r="F1210" i="6" a="1"/>
  <c r="F1210" i="6" s="1"/>
  <c r="G1210" i="6" a="1"/>
  <c r="G1210" i="6" s="1"/>
  <c r="I1210" i="6" a="1"/>
  <c r="I1210" i="6" s="1"/>
  <c r="E1162" i="6" a="1"/>
  <c r="E1162" i="6" s="1"/>
  <c r="G1162" i="6" a="1"/>
  <c r="G1162" i="6" s="1"/>
  <c r="I1162" i="6" a="1"/>
  <c r="I1162" i="6" s="1"/>
  <c r="E1114" i="6" a="1"/>
  <c r="E1114" i="6" s="1"/>
  <c r="G1114" i="6" a="1"/>
  <c r="G1114" i="6" s="1"/>
  <c r="I1114" i="6" a="1"/>
  <c r="I1114" i="6" s="1"/>
  <c r="D1114" i="6" a="1"/>
  <c r="D1114" i="6" s="1"/>
  <c r="F1114" i="6" a="1"/>
  <c r="F1114" i="6" s="1"/>
  <c r="E1078" i="6" a="1"/>
  <c r="E1078" i="6" s="1"/>
  <c r="D1078" i="6" a="1"/>
  <c r="D1078" i="6" s="1"/>
  <c r="F1078" i="6" a="1"/>
  <c r="F1078" i="6" s="1"/>
  <c r="G1078" i="6" a="1"/>
  <c r="G1078" i="6" s="1"/>
  <c r="I1078" i="6" a="1"/>
  <c r="I1078" i="6" s="1"/>
  <c r="E1054" i="6" a="1"/>
  <c r="E1054" i="6" s="1"/>
  <c r="D1054" i="6" a="1"/>
  <c r="D1054" i="6" s="1"/>
  <c r="F1054" i="6" a="1"/>
  <c r="F1054" i="6" s="1"/>
  <c r="G1054" i="6" a="1"/>
  <c r="G1054" i="6" s="1"/>
  <c r="E1006" i="6" a="1"/>
  <c r="E1006" i="6" s="1"/>
  <c r="F1006" i="6" a="1"/>
  <c r="F1006" i="6" s="1"/>
  <c r="G1006" i="6" a="1"/>
  <c r="G1006" i="6" s="1"/>
  <c r="I1006" i="6" a="1"/>
  <c r="I1006" i="6" s="1"/>
  <c r="E946" i="6" a="1"/>
  <c r="E946" i="6" s="1"/>
  <c r="D946" i="6" a="1"/>
  <c r="D946" i="6" s="1"/>
  <c r="F946" i="6" a="1"/>
  <c r="F946" i="6" s="1"/>
  <c r="G946" i="6" a="1"/>
  <c r="G946" i="6" s="1"/>
  <c r="I946" i="6" a="1"/>
  <c r="I946" i="6" s="1"/>
  <c r="E934" i="6" a="1"/>
  <c r="E934" i="6" s="1"/>
  <c r="D934" i="6" a="1"/>
  <c r="D934" i="6" s="1"/>
  <c r="F934" i="6" a="1"/>
  <c r="F934" i="6" s="1"/>
  <c r="G934" i="6" a="1"/>
  <c r="G934" i="6" s="1"/>
  <c r="I934" i="6" a="1"/>
  <c r="I934" i="6" s="1"/>
  <c r="E910" i="6" a="1"/>
  <c r="E910" i="6" s="1"/>
  <c r="D910" i="6" a="1"/>
  <c r="D910" i="6" s="1"/>
  <c r="F910" i="6" a="1"/>
  <c r="F910" i="6" s="1"/>
  <c r="G910" i="6" a="1"/>
  <c r="G910" i="6" s="1"/>
  <c r="E862" i="6" a="1"/>
  <c r="E862" i="6" s="1"/>
  <c r="F862" i="6" a="1"/>
  <c r="F862" i="6" s="1"/>
  <c r="D862" i="6" a="1"/>
  <c r="D862" i="6" s="1"/>
  <c r="G862" i="6" a="1"/>
  <c r="G862" i="6" s="1"/>
  <c r="I862" i="6" a="1"/>
  <c r="I862" i="6" s="1"/>
  <c r="E850" i="6" a="1"/>
  <c r="E850" i="6" s="1"/>
  <c r="I850" i="6" a="1"/>
  <c r="I850" i="6" s="1"/>
  <c r="G850" i="6" a="1"/>
  <c r="G850" i="6" s="1"/>
  <c r="F850" i="6" a="1"/>
  <c r="F850" i="6" s="1"/>
  <c r="E838" i="6" a="1"/>
  <c r="E838" i="6" s="1"/>
  <c r="G838" i="6" a="1"/>
  <c r="G838" i="6" s="1"/>
  <c r="D838" i="6" a="1"/>
  <c r="D838" i="6" s="1"/>
  <c r="F838" i="6" a="1"/>
  <c r="F838" i="6" s="1"/>
  <c r="I838" i="6" a="1"/>
  <c r="I838" i="6" s="1"/>
  <c r="E814" i="6" a="1"/>
  <c r="E814" i="6" s="1"/>
  <c r="D814" i="6" a="1"/>
  <c r="D814" i="6" s="1"/>
  <c r="G814" i="6" a="1"/>
  <c r="G814" i="6" s="1"/>
  <c r="F814" i="6" a="1"/>
  <c r="F814" i="6" s="1"/>
  <c r="I814" i="6" a="1"/>
  <c r="I814" i="6" s="1"/>
  <c r="E778" i="6" a="1"/>
  <c r="E778" i="6" s="1"/>
  <c r="D778" i="6" a="1"/>
  <c r="D778" i="6" s="1"/>
  <c r="F778" i="6" a="1"/>
  <c r="F778" i="6" s="1"/>
  <c r="G778" i="6" a="1"/>
  <c r="G778" i="6" s="1"/>
  <c r="I778" i="6" a="1"/>
  <c r="I778" i="6" s="1"/>
  <c r="E766" i="6" a="1"/>
  <c r="E766" i="6" s="1"/>
  <c r="D766" i="6" a="1"/>
  <c r="D766" i="6" s="1"/>
  <c r="F766" i="6" a="1"/>
  <c r="F766" i="6" s="1"/>
  <c r="G766" i="6" a="1"/>
  <c r="G766" i="6" s="1"/>
  <c r="I766" i="6" a="1"/>
  <c r="I766" i="6" s="1"/>
  <c r="E742" i="6" a="1"/>
  <c r="E742" i="6" s="1"/>
  <c r="I742" i="6" a="1"/>
  <c r="I742" i="6" s="1"/>
  <c r="D742" i="6" a="1"/>
  <c r="D742" i="6" s="1"/>
  <c r="F742" i="6" a="1"/>
  <c r="F742" i="6" s="1"/>
  <c r="G742" i="6" a="1"/>
  <c r="G742" i="6" s="1"/>
  <c r="E706" i="6" a="1"/>
  <c r="E706" i="6" s="1"/>
  <c r="I706" i="6" a="1"/>
  <c r="I706" i="6" s="1"/>
  <c r="F706" i="6" a="1"/>
  <c r="F706" i="6" s="1"/>
  <c r="D706" i="6" a="1"/>
  <c r="D706" i="6" s="1"/>
  <c r="G706" i="6" a="1"/>
  <c r="G706" i="6" s="1"/>
  <c r="E682" i="6" a="1"/>
  <c r="E682" i="6" s="1"/>
  <c r="F682" i="6" a="1"/>
  <c r="F682" i="6" s="1"/>
  <c r="I682" i="6" a="1"/>
  <c r="I682" i="6" s="1"/>
  <c r="G682" i="6" a="1"/>
  <c r="G682" i="6" s="1"/>
  <c r="D682" i="6" a="1"/>
  <c r="D682" i="6" s="1"/>
  <c r="E658" i="6" a="1"/>
  <c r="E658" i="6" s="1"/>
  <c r="F658" i="6" a="1"/>
  <c r="F658" i="6" s="1"/>
  <c r="G658" i="6" a="1"/>
  <c r="G658" i="6" s="1"/>
  <c r="I658" i="6" a="1"/>
  <c r="I658" i="6" s="1"/>
  <c r="E634" i="6" a="1"/>
  <c r="E634" i="6" s="1"/>
  <c r="D634" i="6" a="1"/>
  <c r="D634" i="6" s="1"/>
  <c r="F634" i="6" a="1"/>
  <c r="F634" i="6" s="1"/>
  <c r="G634" i="6" a="1"/>
  <c r="G634" i="6" s="1"/>
  <c r="I634" i="6" a="1"/>
  <c r="I634" i="6" s="1"/>
  <c r="E610" i="6" a="1"/>
  <c r="E610" i="6" s="1"/>
  <c r="D610" i="6" a="1"/>
  <c r="D610" i="6" s="1"/>
  <c r="F610" i="6" a="1"/>
  <c r="F610" i="6" s="1"/>
  <c r="E586" i="6" a="1"/>
  <c r="E586" i="6" s="1"/>
  <c r="D586" i="6" a="1"/>
  <c r="D586" i="6" s="1"/>
  <c r="F586" i="6" a="1"/>
  <c r="F586" i="6" s="1"/>
  <c r="G586" i="6" a="1"/>
  <c r="G586" i="6" s="1"/>
  <c r="I586" i="6" a="1"/>
  <c r="I586" i="6" s="1"/>
  <c r="E574" i="6" a="1"/>
  <c r="E574" i="6" s="1"/>
  <c r="G574" i="6" a="1"/>
  <c r="G574" i="6" s="1"/>
  <c r="D574" i="6" a="1"/>
  <c r="D574" i="6" s="1"/>
  <c r="F574" i="6" a="1"/>
  <c r="F574" i="6" s="1"/>
  <c r="E538" i="6" a="1"/>
  <c r="E538" i="6" s="1"/>
  <c r="F538" i="6" a="1"/>
  <c r="F538" i="6" s="1"/>
  <c r="I538" i="6" a="1"/>
  <c r="I538" i="6" s="1"/>
  <c r="G538" i="6" a="1"/>
  <c r="G538" i="6" s="1"/>
  <c r="D538" i="6" a="1"/>
  <c r="D538" i="6" s="1"/>
  <c r="E526" i="6" a="1"/>
  <c r="E526" i="6" s="1"/>
  <c r="D526" i="6" a="1"/>
  <c r="D526" i="6" s="1"/>
  <c r="G526" i="6" a="1"/>
  <c r="G526" i="6" s="1"/>
  <c r="I526" i="6" a="1"/>
  <c r="I526" i="6" s="1"/>
  <c r="F526" i="6" a="1"/>
  <c r="F526" i="6" s="1"/>
  <c r="F502" i="6" a="1"/>
  <c r="F502" i="6" s="1"/>
  <c r="I502" i="6" a="1"/>
  <c r="I502" i="6" s="1"/>
  <c r="D502" i="6" a="1"/>
  <c r="D502" i="6" s="1"/>
  <c r="G502" i="6" a="1"/>
  <c r="G502" i="6" s="1"/>
  <c r="E490" i="6" a="1"/>
  <c r="E490" i="6" s="1"/>
  <c r="D490" i="6" a="1"/>
  <c r="D490" i="6" s="1"/>
  <c r="F490" i="6" a="1"/>
  <c r="F490" i="6" s="1"/>
  <c r="I490" i="6" a="1"/>
  <c r="I490" i="6" s="1"/>
  <c r="E478" i="6" a="1"/>
  <c r="E478" i="6" s="1"/>
  <c r="D478" i="6" a="1"/>
  <c r="D478" i="6" s="1"/>
  <c r="F478" i="6" a="1"/>
  <c r="F478" i="6" s="1"/>
  <c r="I478" i="6" a="1"/>
  <c r="I478" i="6" s="1"/>
  <c r="F2314" i="6" a="1"/>
  <c r="F2314" i="6" s="1"/>
  <c r="G2195" i="6" a="1"/>
  <c r="G2195" i="6" s="1"/>
  <c r="D2026" i="6" a="1"/>
  <c r="D2026" i="6" s="1"/>
  <c r="G1894" i="6" a="1"/>
  <c r="G1894" i="6" s="1"/>
  <c r="D2218" i="6" a="1"/>
  <c r="D2218" i="6" s="1"/>
  <c r="G1619" i="6" a="1"/>
  <c r="G1619" i="6" s="1"/>
  <c r="I1391" i="6" a="1"/>
  <c r="I1391" i="6" s="1"/>
  <c r="G1126" i="6" a="1"/>
  <c r="G1126" i="6" s="1"/>
  <c r="I1018" i="6" a="1"/>
  <c r="I1018" i="6" s="1"/>
  <c r="G935" i="6" a="1"/>
  <c r="G935" i="6" s="1"/>
  <c r="E2303" i="6" a="1"/>
  <c r="E2303" i="6" s="1"/>
  <c r="I2303" i="6" a="1"/>
  <c r="I2303" i="6" s="1"/>
  <c r="F2303" i="6" a="1"/>
  <c r="F2303" i="6" s="1"/>
  <c r="G2303" i="6" a="1"/>
  <c r="G2303" i="6" s="1"/>
  <c r="E2231" i="6" a="1"/>
  <c r="E2231" i="6" s="1"/>
  <c r="I2231" i="6" a="1"/>
  <c r="I2231" i="6" s="1"/>
  <c r="F2231" i="6" a="1"/>
  <c r="F2231" i="6" s="1"/>
  <c r="G2231" i="6" a="1"/>
  <c r="G2231" i="6" s="1"/>
  <c r="E2183" i="6" a="1"/>
  <c r="E2183" i="6" s="1"/>
  <c r="I2183" i="6" a="1"/>
  <c r="I2183" i="6" s="1"/>
  <c r="E2147" i="6" a="1"/>
  <c r="E2147" i="6" s="1"/>
  <c r="I2147" i="6" a="1"/>
  <c r="I2147" i="6" s="1"/>
  <c r="D2147" i="6" a="1"/>
  <c r="D2147" i="6" s="1"/>
  <c r="F2147" i="6" a="1"/>
  <c r="F2147" i="6" s="1"/>
  <c r="E2111" i="6" a="1"/>
  <c r="E2111" i="6" s="1"/>
  <c r="I2111" i="6" a="1"/>
  <c r="I2111" i="6" s="1"/>
  <c r="E2087" i="6" a="1"/>
  <c r="E2087" i="6" s="1"/>
  <c r="I2087" i="6" a="1"/>
  <c r="I2087" i="6" s="1"/>
  <c r="F2087" i="6" a="1"/>
  <c r="F2087" i="6" s="1"/>
  <c r="G2087" i="6" a="1"/>
  <c r="G2087" i="6" s="1"/>
  <c r="E2051" i="6" a="1"/>
  <c r="E2051" i="6" s="1"/>
  <c r="I2051" i="6" a="1"/>
  <c r="I2051" i="6" s="1"/>
  <c r="D2051" i="6" a="1"/>
  <c r="D2051" i="6" s="1"/>
  <c r="E2015" i="6" a="1"/>
  <c r="E2015" i="6" s="1"/>
  <c r="I2015" i="6" a="1"/>
  <c r="I2015" i="6" s="1"/>
  <c r="F2015" i="6" a="1"/>
  <c r="F2015" i="6" s="1"/>
  <c r="G2015" i="6" a="1"/>
  <c r="G2015" i="6" s="1"/>
  <c r="E1979" i="6" a="1"/>
  <c r="E1979" i="6" s="1"/>
  <c r="I1979" i="6" a="1"/>
  <c r="I1979" i="6" s="1"/>
  <c r="D1979" i="6" a="1"/>
  <c r="D1979" i="6" s="1"/>
  <c r="E1943" i="6" a="1"/>
  <c r="E1943" i="6" s="1"/>
  <c r="I1943" i="6" a="1"/>
  <c r="I1943" i="6" s="1"/>
  <c r="F1943" i="6" a="1"/>
  <c r="F1943" i="6" s="1"/>
  <c r="G1943" i="6" a="1"/>
  <c r="G1943" i="6" s="1"/>
  <c r="E1919" i="6" a="1"/>
  <c r="E1919" i="6" s="1"/>
  <c r="I1919" i="6" a="1"/>
  <c r="I1919" i="6" s="1"/>
  <c r="F1919" i="6" a="1"/>
  <c r="F1919" i="6" s="1"/>
  <c r="G1919" i="6" a="1"/>
  <c r="G1919" i="6" s="1"/>
  <c r="E1883" i="6" a="1"/>
  <c r="E1883" i="6" s="1"/>
  <c r="I1883" i="6" a="1"/>
  <c r="I1883" i="6" s="1"/>
  <c r="D1883" i="6" a="1"/>
  <c r="D1883" i="6" s="1"/>
  <c r="F1883" i="6" a="1"/>
  <c r="F1883" i="6" s="1"/>
  <c r="G1883" i="6" a="1"/>
  <c r="G1883" i="6" s="1"/>
  <c r="E1847" i="6" a="1"/>
  <c r="E1847" i="6" s="1"/>
  <c r="I1847" i="6" a="1"/>
  <c r="I1847" i="6" s="1"/>
  <c r="D1847" i="6" a="1"/>
  <c r="D1847" i="6" s="1"/>
  <c r="F1847" i="6" a="1"/>
  <c r="F1847" i="6" s="1"/>
  <c r="G1847" i="6" a="1"/>
  <c r="G1847" i="6" s="1"/>
  <c r="E1811" i="6" a="1"/>
  <c r="E1811" i="6" s="1"/>
  <c r="I1811" i="6" a="1"/>
  <c r="I1811" i="6" s="1"/>
  <c r="D1811" i="6" a="1"/>
  <c r="D1811" i="6" s="1"/>
  <c r="F1811" i="6" a="1"/>
  <c r="F1811" i="6" s="1"/>
  <c r="G1811" i="6" a="1"/>
  <c r="G1811" i="6" s="1"/>
  <c r="E1775" i="6" a="1"/>
  <c r="E1775" i="6" s="1"/>
  <c r="I1775" i="6" a="1"/>
  <c r="I1775" i="6" s="1"/>
  <c r="D1775" i="6" a="1"/>
  <c r="D1775" i="6" s="1"/>
  <c r="F1775" i="6" a="1"/>
  <c r="F1775" i="6" s="1"/>
  <c r="G1775" i="6" a="1"/>
  <c r="G1775" i="6" s="1"/>
  <c r="E1691" i="6" a="1"/>
  <c r="E1691" i="6" s="1"/>
  <c r="D1691" i="6" a="1"/>
  <c r="D1691" i="6" s="1"/>
  <c r="F1691" i="6" a="1"/>
  <c r="F1691" i="6" s="1"/>
  <c r="E1643" i="6" a="1"/>
  <c r="E1643" i="6" s="1"/>
  <c r="D1643" i="6" a="1"/>
  <c r="D1643" i="6" s="1"/>
  <c r="F1643" i="6" a="1"/>
  <c r="F1643" i="6" s="1"/>
  <c r="G1643" i="6" a="1"/>
  <c r="G1643" i="6" s="1"/>
  <c r="E1607" i="6" a="1"/>
  <c r="E1607" i="6" s="1"/>
  <c r="D1607" i="6" a="1"/>
  <c r="D1607" i="6" s="1"/>
  <c r="F1607" i="6" a="1"/>
  <c r="F1607" i="6" s="1"/>
  <c r="G1607" i="6" a="1"/>
  <c r="G1607" i="6" s="1"/>
  <c r="I1607" i="6" a="1"/>
  <c r="I1607" i="6" s="1"/>
  <c r="E1547" i="6" a="1"/>
  <c r="E1547" i="6" s="1"/>
  <c r="D1547" i="6" a="1"/>
  <c r="D1547" i="6" s="1"/>
  <c r="F1547" i="6" a="1"/>
  <c r="F1547" i="6" s="1"/>
  <c r="G1547" i="6" a="1"/>
  <c r="G1547" i="6" s="1"/>
  <c r="I1547" i="6" a="1"/>
  <c r="I1547" i="6" s="1"/>
  <c r="E1511" i="6" a="1"/>
  <c r="E1511" i="6" s="1"/>
  <c r="D1511" i="6" a="1"/>
  <c r="D1511" i="6" s="1"/>
  <c r="F1511" i="6" a="1"/>
  <c r="F1511" i="6" s="1"/>
  <c r="G1511" i="6" a="1"/>
  <c r="G1511" i="6" s="1"/>
  <c r="I1511" i="6" a="1"/>
  <c r="I1511" i="6" s="1"/>
  <c r="E1475" i="6" a="1"/>
  <c r="E1475" i="6" s="1"/>
  <c r="D1475" i="6" a="1"/>
  <c r="D1475" i="6" s="1"/>
  <c r="F1475" i="6" a="1"/>
  <c r="F1475" i="6" s="1"/>
  <c r="G1475" i="6" a="1"/>
  <c r="G1475" i="6" s="1"/>
  <c r="I1475" i="6" a="1"/>
  <c r="I1475" i="6" s="1"/>
  <c r="E1439" i="6" a="1"/>
  <c r="E1439" i="6" s="1"/>
  <c r="D1439" i="6" a="1"/>
  <c r="D1439" i="6" s="1"/>
  <c r="F1439" i="6" a="1"/>
  <c r="F1439" i="6" s="1"/>
  <c r="G1439" i="6" a="1"/>
  <c r="G1439" i="6" s="1"/>
  <c r="I1439" i="6" a="1"/>
  <c r="I1439" i="6" s="1"/>
  <c r="E1403" i="6" a="1"/>
  <c r="E1403" i="6" s="1"/>
  <c r="D1403" i="6" a="1"/>
  <c r="D1403" i="6" s="1"/>
  <c r="E1367" i="6" a="1"/>
  <c r="E1367" i="6" s="1"/>
  <c r="D1367" i="6" a="1"/>
  <c r="D1367" i="6" s="1"/>
  <c r="F1367" i="6" a="1"/>
  <c r="F1367" i="6" s="1"/>
  <c r="G1367" i="6" a="1"/>
  <c r="G1367" i="6" s="1"/>
  <c r="I1367" i="6" a="1"/>
  <c r="I1367" i="6" s="1"/>
  <c r="E1319" i="6" a="1"/>
  <c r="E1319" i="6" s="1"/>
  <c r="D1319" i="6" a="1"/>
  <c r="D1319" i="6" s="1"/>
  <c r="F1319" i="6" a="1"/>
  <c r="F1319" i="6" s="1"/>
  <c r="G1319" i="6" a="1"/>
  <c r="G1319" i="6" s="1"/>
  <c r="E1295" i="6" a="1"/>
  <c r="E1295" i="6" s="1"/>
  <c r="D1295" i="6" a="1"/>
  <c r="D1295" i="6" s="1"/>
  <c r="G1295" i="6" a="1"/>
  <c r="G1295" i="6" s="1"/>
  <c r="I1295" i="6" a="1"/>
  <c r="I1295" i="6" s="1"/>
  <c r="F1295" i="6" a="1"/>
  <c r="F1295" i="6" s="1"/>
  <c r="E1259" i="6" a="1"/>
  <c r="E1259" i="6" s="1"/>
  <c r="D1259" i="6" a="1"/>
  <c r="D1259" i="6" s="1"/>
  <c r="F1259" i="6" a="1"/>
  <c r="F1259" i="6" s="1"/>
  <c r="G1259" i="6" a="1"/>
  <c r="G1259" i="6" s="1"/>
  <c r="I1259" i="6" a="1"/>
  <c r="I1259" i="6" s="1"/>
  <c r="E1223" i="6" a="1"/>
  <c r="E1223" i="6" s="1"/>
  <c r="D1223" i="6" a="1"/>
  <c r="D1223" i="6" s="1"/>
  <c r="F1223" i="6" a="1"/>
  <c r="F1223" i="6" s="1"/>
  <c r="E1187" i="6" a="1"/>
  <c r="E1187" i="6" s="1"/>
  <c r="D1187" i="6" a="1"/>
  <c r="D1187" i="6" s="1"/>
  <c r="F1187" i="6" a="1"/>
  <c r="F1187" i="6" s="1"/>
  <c r="G1187" i="6" a="1"/>
  <c r="G1187" i="6" s="1"/>
  <c r="I1187" i="6" a="1"/>
  <c r="I1187" i="6" s="1"/>
  <c r="E1163" i="6" a="1"/>
  <c r="E1163" i="6" s="1"/>
  <c r="D1163" i="6" a="1"/>
  <c r="D1163" i="6" s="1"/>
  <c r="I1163" i="6" a="1"/>
  <c r="I1163" i="6" s="1"/>
  <c r="E1127" i="6" a="1"/>
  <c r="E1127" i="6" s="1"/>
  <c r="D1127" i="6" a="1"/>
  <c r="D1127" i="6" s="1"/>
  <c r="F1127" i="6" a="1"/>
  <c r="F1127" i="6" s="1"/>
  <c r="G1127" i="6" a="1"/>
  <c r="G1127" i="6" s="1"/>
  <c r="I1127" i="6" a="1"/>
  <c r="I1127" i="6" s="1"/>
  <c r="E1091" i="6" a="1"/>
  <c r="E1091" i="6" s="1"/>
  <c r="D1091" i="6" a="1"/>
  <c r="D1091" i="6" s="1"/>
  <c r="F1091" i="6" a="1"/>
  <c r="F1091" i="6" s="1"/>
  <c r="G1091" i="6" a="1"/>
  <c r="G1091" i="6" s="1"/>
  <c r="I1091" i="6" a="1"/>
  <c r="I1091" i="6" s="1"/>
  <c r="E1055" i="6" a="1"/>
  <c r="E1055" i="6" s="1"/>
  <c r="D1055" i="6" a="1"/>
  <c r="D1055" i="6" s="1"/>
  <c r="G1055" i="6" a="1"/>
  <c r="G1055" i="6" s="1"/>
  <c r="E1019" i="6" a="1"/>
  <c r="E1019" i="6" s="1"/>
  <c r="D1019" i="6" a="1"/>
  <c r="D1019" i="6" s="1"/>
  <c r="I1019" i="6" a="1"/>
  <c r="I1019" i="6" s="1"/>
  <c r="E995" i="6" a="1"/>
  <c r="E995" i="6" s="1"/>
  <c r="D995" i="6" a="1"/>
  <c r="D995" i="6" s="1"/>
  <c r="F995" i="6" a="1"/>
  <c r="F995" i="6" s="1"/>
  <c r="G995" i="6" a="1"/>
  <c r="G995" i="6" s="1"/>
  <c r="I995" i="6" a="1"/>
  <c r="I995" i="6" s="1"/>
  <c r="E959" i="6" a="1"/>
  <c r="E959" i="6" s="1"/>
  <c r="D959" i="6" a="1"/>
  <c r="D959" i="6" s="1"/>
  <c r="F959" i="6" a="1"/>
  <c r="F959" i="6" s="1"/>
  <c r="G959" i="6" a="1"/>
  <c r="G959" i="6" s="1"/>
  <c r="I959" i="6" a="1"/>
  <c r="I959" i="6" s="1"/>
  <c r="E923" i="6" a="1"/>
  <c r="E923" i="6" s="1"/>
  <c r="D923" i="6" a="1"/>
  <c r="D923" i="6" s="1"/>
  <c r="I923" i="6" a="1"/>
  <c r="I923" i="6" s="1"/>
  <c r="F923" i="6" a="1"/>
  <c r="F923" i="6" s="1"/>
  <c r="E887" i="6" a="1"/>
  <c r="E887" i="6" s="1"/>
  <c r="D887" i="6" a="1"/>
  <c r="D887" i="6" s="1"/>
  <c r="G887" i="6" a="1"/>
  <c r="G887" i="6" s="1"/>
  <c r="E851" i="6" a="1"/>
  <c r="E851" i="6" s="1"/>
  <c r="I851" i="6" a="1"/>
  <c r="I851" i="6" s="1"/>
  <c r="D851" i="6" a="1"/>
  <c r="D851" i="6" s="1"/>
  <c r="F851" i="6" a="1"/>
  <c r="F851" i="6" s="1"/>
  <c r="G851" i="6" a="1"/>
  <c r="G851" i="6" s="1"/>
  <c r="E803" i="6" a="1"/>
  <c r="E803" i="6" s="1"/>
  <c r="D803" i="6" a="1"/>
  <c r="D803" i="6" s="1"/>
  <c r="F803" i="6" a="1"/>
  <c r="F803" i="6" s="1"/>
  <c r="G803" i="6" a="1"/>
  <c r="G803" i="6" s="1"/>
  <c r="I803" i="6" a="1"/>
  <c r="I803" i="6" s="1"/>
  <c r="E755" i="6" a="1"/>
  <c r="E755" i="6" s="1"/>
  <c r="I755" i="6" a="1"/>
  <c r="I755" i="6" s="1"/>
  <c r="F755" i="6" a="1"/>
  <c r="F755" i="6" s="1"/>
  <c r="G755" i="6" a="1"/>
  <c r="G755" i="6" s="1"/>
  <c r="D755" i="6" a="1"/>
  <c r="D755" i="6" s="1"/>
  <c r="E683" i="6" a="1"/>
  <c r="E683" i="6" s="1"/>
  <c r="D683" i="6" a="1"/>
  <c r="D683" i="6" s="1"/>
  <c r="F683" i="6" a="1"/>
  <c r="F683" i="6" s="1"/>
  <c r="G683" i="6" a="1"/>
  <c r="G683" i="6" s="1"/>
  <c r="I683" i="6" a="1"/>
  <c r="I683" i="6" s="1"/>
  <c r="E647" i="6" a="1"/>
  <c r="E647" i="6" s="1"/>
  <c r="F647" i="6" a="1"/>
  <c r="F647" i="6" s="1"/>
  <c r="G647" i="6" a="1"/>
  <c r="G647" i="6" s="1"/>
  <c r="I647" i="6" a="1"/>
  <c r="I647" i="6" s="1"/>
  <c r="D647" i="6" a="1"/>
  <c r="D647" i="6" s="1"/>
  <c r="E611" i="6" a="1"/>
  <c r="E611" i="6" s="1"/>
  <c r="I611" i="6" a="1"/>
  <c r="I611" i="6" s="1"/>
  <c r="D611" i="6" a="1"/>
  <c r="D611" i="6" s="1"/>
  <c r="F611" i="6" a="1"/>
  <c r="F611" i="6" s="1"/>
  <c r="G611" i="6" a="1"/>
  <c r="G611" i="6" s="1"/>
  <c r="E575" i="6" a="1"/>
  <c r="E575" i="6" s="1"/>
  <c r="D575" i="6" a="1"/>
  <c r="D575" i="6" s="1"/>
  <c r="G575" i="6" a="1"/>
  <c r="G575" i="6" s="1"/>
  <c r="I575" i="6" a="1"/>
  <c r="I575" i="6" s="1"/>
  <c r="E539" i="6" a="1"/>
  <c r="E539" i="6" s="1"/>
  <c r="D539" i="6" a="1"/>
  <c r="D539" i="6" s="1"/>
  <c r="F539" i="6" a="1"/>
  <c r="F539" i="6" s="1"/>
  <c r="G539" i="6" a="1"/>
  <c r="G539" i="6" s="1"/>
  <c r="I539" i="6" a="1"/>
  <c r="I539" i="6" s="1"/>
  <c r="E527" i="6" a="1"/>
  <c r="E527" i="6" s="1"/>
  <c r="D527" i="6" a="1"/>
  <c r="D527" i="6" s="1"/>
  <c r="F527" i="6" a="1"/>
  <c r="F527" i="6" s="1"/>
  <c r="D2015" i="6" a="1"/>
  <c r="D2015" i="6" s="1"/>
  <c r="E2302" i="6" a="1"/>
  <c r="E2302" i="6" s="1"/>
  <c r="I2302" i="6" a="1"/>
  <c r="I2302" i="6" s="1"/>
  <c r="E2242" i="6" a="1"/>
  <c r="E2242" i="6" s="1"/>
  <c r="I2242" i="6" a="1"/>
  <c r="I2242" i="6" s="1"/>
  <c r="E2206" i="6" a="1"/>
  <c r="E2206" i="6" s="1"/>
  <c r="I2206" i="6" a="1"/>
  <c r="I2206" i="6" s="1"/>
  <c r="D2206" i="6" a="1"/>
  <c r="D2206" i="6" s="1"/>
  <c r="G2206" i="6" a="1"/>
  <c r="G2206" i="6" s="1"/>
  <c r="F2206" i="6" a="1"/>
  <c r="F2206" i="6" s="1"/>
  <c r="E2122" i="6" a="1"/>
  <c r="E2122" i="6" s="1"/>
  <c r="I2122" i="6" a="1"/>
  <c r="I2122" i="6" s="1"/>
  <c r="D2122" i="6" a="1"/>
  <c r="D2122" i="6" s="1"/>
  <c r="G2122" i="6" a="1"/>
  <c r="G2122" i="6" s="1"/>
  <c r="E2050" i="6" a="1"/>
  <c r="E2050" i="6" s="1"/>
  <c r="I2050" i="6" a="1"/>
  <c r="I2050" i="6" s="1"/>
  <c r="D2050" i="6" a="1"/>
  <c r="D2050" i="6" s="1"/>
  <c r="G2050" i="6" a="1"/>
  <c r="G2050" i="6" s="1"/>
  <c r="E1978" i="6" a="1"/>
  <c r="E1978" i="6" s="1"/>
  <c r="I1978" i="6" a="1"/>
  <c r="I1978" i="6" s="1"/>
  <c r="D1978" i="6" a="1"/>
  <c r="D1978" i="6" s="1"/>
  <c r="G1978" i="6" a="1"/>
  <c r="G1978" i="6" s="1"/>
  <c r="E1906" i="6" a="1"/>
  <c r="E1906" i="6" s="1"/>
  <c r="I1906" i="6" a="1"/>
  <c r="I1906" i="6" s="1"/>
  <c r="D1906" i="6" a="1"/>
  <c r="D1906" i="6" s="1"/>
  <c r="F1906" i="6" a="1"/>
  <c r="F1906" i="6" s="1"/>
  <c r="E1846" i="6" a="1"/>
  <c r="E1846" i="6" s="1"/>
  <c r="I1846" i="6" a="1"/>
  <c r="I1846" i="6" s="1"/>
  <c r="D1846" i="6" a="1"/>
  <c r="D1846" i="6" s="1"/>
  <c r="F1846" i="6" a="1"/>
  <c r="F1846" i="6" s="1"/>
  <c r="G1846" i="6" a="1"/>
  <c r="G1846" i="6" s="1"/>
  <c r="E1786" i="6" a="1"/>
  <c r="E1786" i="6" s="1"/>
  <c r="I1786" i="6" a="1"/>
  <c r="I1786" i="6" s="1"/>
  <c r="D1786" i="6" a="1"/>
  <c r="D1786" i="6" s="1"/>
  <c r="E1738" i="6" a="1"/>
  <c r="E1738" i="6" s="1"/>
  <c r="I1738" i="6" a="1"/>
  <c r="I1738" i="6" s="1"/>
  <c r="D1738" i="6" a="1"/>
  <c r="D1738" i="6" s="1"/>
  <c r="F1738" i="6" a="1"/>
  <c r="F1738" i="6" s="1"/>
  <c r="G1738" i="6" a="1"/>
  <c r="G1738" i="6" s="1"/>
  <c r="E1666" i="6" a="1"/>
  <c r="E1666" i="6" s="1"/>
  <c r="D1666" i="6" a="1"/>
  <c r="D1666" i="6" s="1"/>
  <c r="F1666" i="6" a="1"/>
  <c r="F1666" i="6" s="1"/>
  <c r="G1666" i="6" a="1"/>
  <c r="G1666" i="6" s="1"/>
  <c r="I1666" i="6" a="1"/>
  <c r="I1666" i="6" s="1"/>
  <c r="E1570" i="6" a="1"/>
  <c r="E1570" i="6" s="1"/>
  <c r="G1570" i="6" a="1"/>
  <c r="G1570" i="6" s="1"/>
  <c r="I1570" i="6" a="1"/>
  <c r="I1570" i="6" s="1"/>
  <c r="E1522" i="6" a="1"/>
  <c r="E1522" i="6" s="1"/>
  <c r="G1522" i="6" a="1"/>
  <c r="G1522" i="6" s="1"/>
  <c r="I1522" i="6" a="1"/>
  <c r="I1522" i="6" s="1"/>
  <c r="E1414" i="6" a="1"/>
  <c r="E1414" i="6" s="1"/>
  <c r="D1414" i="6" a="1"/>
  <c r="D1414" i="6" s="1"/>
  <c r="F1414" i="6" a="1"/>
  <c r="F1414" i="6" s="1"/>
  <c r="G1414" i="6" a="1"/>
  <c r="G1414" i="6" s="1"/>
  <c r="I1414" i="6" a="1"/>
  <c r="I1414" i="6" s="1"/>
  <c r="E1318" i="6" a="1"/>
  <c r="E1318" i="6" s="1"/>
  <c r="D1318" i="6" a="1"/>
  <c r="D1318" i="6" s="1"/>
  <c r="I1318" i="6" a="1"/>
  <c r="I1318" i="6" s="1"/>
  <c r="F1318" i="6" a="1"/>
  <c r="F1318" i="6" s="1"/>
  <c r="G1318" i="6" a="1"/>
  <c r="G1318" i="6" s="1"/>
  <c r="E1222" i="6" a="1"/>
  <c r="E1222" i="6" s="1"/>
  <c r="D1222" i="6" a="1"/>
  <c r="D1222" i="6" s="1"/>
  <c r="F1222" i="6" a="1"/>
  <c r="F1222" i="6" s="1"/>
  <c r="G1222" i="6" a="1"/>
  <c r="G1222" i="6" s="1"/>
  <c r="I1222" i="6" a="1"/>
  <c r="I1222" i="6" s="1"/>
  <c r="E1138" i="6" a="1"/>
  <c r="E1138" i="6" s="1"/>
  <c r="D1138" i="6" a="1"/>
  <c r="D1138" i="6" s="1"/>
  <c r="F1138" i="6" a="1"/>
  <c r="F1138" i="6" s="1"/>
  <c r="G1138" i="6" a="1"/>
  <c r="G1138" i="6" s="1"/>
  <c r="I1138" i="6" a="1"/>
  <c r="I1138" i="6" s="1"/>
  <c r="E1090" i="6" a="1"/>
  <c r="E1090" i="6" s="1"/>
  <c r="D1090" i="6" a="1"/>
  <c r="D1090" i="6" s="1"/>
  <c r="F1090" i="6" a="1"/>
  <c r="F1090" i="6" s="1"/>
  <c r="G1090" i="6" a="1"/>
  <c r="G1090" i="6" s="1"/>
  <c r="I1090" i="6" a="1"/>
  <c r="I1090" i="6" s="1"/>
  <c r="E1042" i="6" a="1"/>
  <c r="E1042" i="6" s="1"/>
  <c r="D1042" i="6" a="1"/>
  <c r="D1042" i="6" s="1"/>
  <c r="F1042" i="6" a="1"/>
  <c r="F1042" i="6" s="1"/>
  <c r="G1042" i="6" a="1"/>
  <c r="G1042" i="6" s="1"/>
  <c r="I1042" i="6" a="1"/>
  <c r="I1042" i="6" s="1"/>
  <c r="E982" i="6" a="1"/>
  <c r="E982" i="6" s="1"/>
  <c r="I982" i="6" a="1"/>
  <c r="I982" i="6" s="1"/>
  <c r="E922" i="6" a="1"/>
  <c r="E922" i="6" s="1"/>
  <c r="D922" i="6" a="1"/>
  <c r="D922" i="6" s="1"/>
  <c r="F922" i="6" a="1"/>
  <c r="F922" i="6" s="1"/>
  <c r="G922" i="6" a="1"/>
  <c r="G922" i="6" s="1"/>
  <c r="I922" i="6" a="1"/>
  <c r="I922" i="6" s="1"/>
  <c r="E886" i="6" a="1"/>
  <c r="E886" i="6" s="1"/>
  <c r="D886" i="6" a="1"/>
  <c r="D886" i="6" s="1"/>
  <c r="I886" i="6" a="1"/>
  <c r="I886" i="6" s="1"/>
  <c r="F886" i="6" a="1"/>
  <c r="F886" i="6" s="1"/>
  <c r="E826" i="6" a="1"/>
  <c r="E826" i="6" s="1"/>
  <c r="F826" i="6" a="1"/>
  <c r="F826" i="6" s="1"/>
  <c r="D826" i="6" a="1"/>
  <c r="D826" i="6" s="1"/>
  <c r="G826" i="6" a="1"/>
  <c r="G826" i="6" s="1"/>
  <c r="E754" i="6" a="1"/>
  <c r="E754" i="6" s="1"/>
  <c r="F754" i="6" a="1"/>
  <c r="F754" i="6" s="1"/>
  <c r="E694" i="6" a="1"/>
  <c r="E694" i="6" s="1"/>
  <c r="G694" i="6" a="1"/>
  <c r="G694" i="6" s="1"/>
  <c r="D694" i="6" a="1"/>
  <c r="D694" i="6" s="1"/>
  <c r="F694" i="6" a="1"/>
  <c r="F694" i="6" s="1"/>
  <c r="I694" i="6" a="1"/>
  <c r="I694" i="6" s="1"/>
  <c r="E622" i="6" a="1"/>
  <c r="E622" i="6" s="1"/>
  <c r="D622" i="6" a="1"/>
  <c r="D622" i="6" s="1"/>
  <c r="F622" i="6" a="1"/>
  <c r="F622" i="6" s="1"/>
  <c r="G622" i="6" a="1"/>
  <c r="G622" i="6" s="1"/>
  <c r="I622" i="6" a="1"/>
  <c r="I622" i="6" s="1"/>
  <c r="E550" i="6" a="1"/>
  <c r="E550" i="6" s="1"/>
  <c r="G550" i="6" a="1"/>
  <c r="G550" i="6" s="1"/>
  <c r="D550" i="6" a="1"/>
  <c r="D550" i="6" s="1"/>
  <c r="I550" i="6" a="1"/>
  <c r="I550" i="6" s="1"/>
  <c r="G2014" i="6" a="1"/>
  <c r="G2014" i="6" s="1"/>
  <c r="I1583" i="6" a="1"/>
  <c r="I1583" i="6" s="1"/>
  <c r="G1294" i="6" a="1"/>
  <c r="G1294" i="6" s="1"/>
  <c r="I1175" i="6" a="1"/>
  <c r="I1175" i="6" s="1"/>
  <c r="D2338" i="6" a="1"/>
  <c r="D2338" i="6" s="1"/>
  <c r="D2313" i="6" a="1"/>
  <c r="D2313" i="6" s="1"/>
  <c r="G2302" i="6" a="1"/>
  <c r="G2302" i="6" s="1"/>
  <c r="I2217" i="6" a="1"/>
  <c r="I2217" i="6" s="1"/>
  <c r="F2193" i="6" a="1"/>
  <c r="F2193" i="6" s="1"/>
  <c r="G2183" i="6" a="1"/>
  <c r="G2183" i="6" s="1"/>
  <c r="D2146" i="6" a="1"/>
  <c r="D2146" i="6" s="1"/>
  <c r="F2122" i="6" a="1"/>
  <c r="F2122" i="6" s="1"/>
  <c r="G2085" i="6" a="1"/>
  <c r="G2085" i="6" s="1"/>
  <c r="F2051" i="6" a="1"/>
  <c r="F2051" i="6" s="1"/>
  <c r="I2013" i="6" a="1"/>
  <c r="I2013" i="6" s="1"/>
  <c r="G1979" i="6" a="1"/>
  <c r="G1979" i="6" s="1"/>
  <c r="G1906" i="6" a="1"/>
  <c r="G1906" i="6" s="1"/>
  <c r="I1893" i="6" a="1"/>
  <c r="I1893" i="6" s="1"/>
  <c r="I1881" i="6" a="1"/>
  <c r="I1881" i="6" s="1"/>
  <c r="D1859" i="6" a="1"/>
  <c r="D1859" i="6" s="1"/>
  <c r="G1762" i="6" a="1"/>
  <c r="G1762" i="6" s="1"/>
  <c r="I1749" i="6" a="1"/>
  <c r="I1749" i="6" s="1"/>
  <c r="I1737" i="6" a="1"/>
  <c r="I1737" i="6" s="1"/>
  <c r="G1715" i="6" a="1"/>
  <c r="G1715" i="6" s="1"/>
  <c r="F1619" i="6" a="1"/>
  <c r="F1619" i="6" s="1"/>
  <c r="F1582" i="6" a="1"/>
  <c r="F1582" i="6" s="1"/>
  <c r="F1522" i="6" a="1"/>
  <c r="F1522" i="6" s="1"/>
  <c r="G1391" i="6" a="1"/>
  <c r="G1391" i="6" s="1"/>
  <c r="G1175" i="6" a="1"/>
  <c r="G1175" i="6" s="1"/>
  <c r="D850" i="6" a="1"/>
  <c r="D850" i="6" s="1"/>
  <c r="E2334" i="6" a="1"/>
  <c r="E2334" i="6" s="1"/>
  <c r="G2334" i="6" a="1"/>
  <c r="G2334" i="6" s="1"/>
  <c r="I2334" i="6" a="1"/>
  <c r="I2334" i="6" s="1"/>
  <c r="E2322" i="6" a="1"/>
  <c r="E2322" i="6" s="1"/>
  <c r="D2322" i="6" a="1"/>
  <c r="D2322" i="6" s="1"/>
  <c r="F2322" i="6" a="1"/>
  <c r="F2322" i="6" s="1"/>
  <c r="E2310" i="6" a="1"/>
  <c r="E2310" i="6" s="1"/>
  <c r="G2310" i="6" a="1"/>
  <c r="G2310" i="6" s="1"/>
  <c r="I2310" i="6" a="1"/>
  <c r="I2310" i="6" s="1"/>
  <c r="E2298" i="6" a="1"/>
  <c r="E2298" i="6" s="1"/>
  <c r="D2298" i="6" a="1"/>
  <c r="D2298" i="6" s="1"/>
  <c r="F2298" i="6" a="1"/>
  <c r="F2298" i="6" s="1"/>
  <c r="E2262" i="6" a="1"/>
  <c r="E2262" i="6" s="1"/>
  <c r="G2262" i="6" a="1"/>
  <c r="G2262" i="6" s="1"/>
  <c r="I2262" i="6" a="1"/>
  <c r="I2262" i="6" s="1"/>
  <c r="E2250" i="6" a="1"/>
  <c r="E2250" i="6" s="1"/>
  <c r="D2250" i="6" a="1"/>
  <c r="D2250" i="6" s="1"/>
  <c r="F2250" i="6" a="1"/>
  <c r="F2250" i="6" s="1"/>
  <c r="E2238" i="6" a="1"/>
  <c r="E2238" i="6" s="1"/>
  <c r="D2238" i="6" a="1"/>
  <c r="D2238" i="6" s="1"/>
  <c r="G2238" i="6" a="1"/>
  <c r="G2238" i="6" s="1"/>
  <c r="I2238" i="6" a="1"/>
  <c r="I2238" i="6" s="1"/>
  <c r="E2226" i="6" a="1"/>
  <c r="E2226" i="6" s="1"/>
  <c r="D2226" i="6" a="1"/>
  <c r="D2226" i="6" s="1"/>
  <c r="F2226" i="6" a="1"/>
  <c r="F2226" i="6" s="1"/>
  <c r="E2190" i="6" a="1"/>
  <c r="E2190" i="6" s="1"/>
  <c r="G2190" i="6" a="1"/>
  <c r="G2190" i="6" s="1"/>
  <c r="I2190" i="6" a="1"/>
  <c r="I2190" i="6" s="1"/>
  <c r="E2178" i="6" a="1"/>
  <c r="E2178" i="6" s="1"/>
  <c r="D2178" i="6" a="1"/>
  <c r="D2178" i="6" s="1"/>
  <c r="F2178" i="6" a="1"/>
  <c r="F2178" i="6" s="1"/>
  <c r="G2178" i="6" a="1"/>
  <c r="G2178" i="6" s="1"/>
  <c r="E2166" i="6" a="1"/>
  <c r="E2166" i="6" s="1"/>
  <c r="D2166" i="6" a="1"/>
  <c r="D2166" i="6" s="1"/>
  <c r="G2166" i="6" a="1"/>
  <c r="G2166" i="6" s="1"/>
  <c r="I2166" i="6" a="1"/>
  <c r="I2166" i="6" s="1"/>
  <c r="E2154" i="6" a="1"/>
  <c r="E2154" i="6" s="1"/>
  <c r="D2154" i="6" a="1"/>
  <c r="D2154" i="6" s="1"/>
  <c r="F2154" i="6" a="1"/>
  <c r="F2154" i="6" s="1"/>
  <c r="E2118" i="6" a="1"/>
  <c r="E2118" i="6" s="1"/>
  <c r="G2118" i="6" a="1"/>
  <c r="G2118" i="6" s="1"/>
  <c r="I2118" i="6" a="1"/>
  <c r="I2118" i="6" s="1"/>
  <c r="E2106" i="6" a="1"/>
  <c r="E2106" i="6" s="1"/>
  <c r="D2106" i="6" a="1"/>
  <c r="D2106" i="6" s="1"/>
  <c r="F2106" i="6" a="1"/>
  <c r="F2106" i="6" s="1"/>
  <c r="G2106" i="6" a="1"/>
  <c r="G2106" i="6" s="1"/>
  <c r="E2094" i="6" a="1"/>
  <c r="E2094" i="6" s="1"/>
  <c r="D2094" i="6" a="1"/>
  <c r="D2094" i="6" s="1"/>
  <c r="G2094" i="6" a="1"/>
  <c r="G2094" i="6" s="1"/>
  <c r="I2094" i="6" a="1"/>
  <c r="I2094" i="6" s="1"/>
  <c r="E2082" i="6" a="1"/>
  <c r="E2082" i="6" s="1"/>
  <c r="D2082" i="6" a="1"/>
  <c r="D2082" i="6" s="1"/>
  <c r="F2082" i="6" a="1"/>
  <c r="F2082" i="6" s="1"/>
  <c r="E2046" i="6" a="1"/>
  <c r="E2046" i="6" s="1"/>
  <c r="G2046" i="6" a="1"/>
  <c r="G2046" i="6" s="1"/>
  <c r="I2046" i="6" a="1"/>
  <c r="I2046" i="6" s="1"/>
  <c r="E2034" i="6" a="1"/>
  <c r="E2034" i="6" s="1"/>
  <c r="D2034" i="6" a="1"/>
  <c r="D2034" i="6" s="1"/>
  <c r="F2034" i="6" a="1"/>
  <c r="F2034" i="6" s="1"/>
  <c r="G2034" i="6" a="1"/>
  <c r="G2034" i="6" s="1"/>
  <c r="E2022" i="6" a="1"/>
  <c r="E2022" i="6" s="1"/>
  <c r="D2022" i="6" a="1"/>
  <c r="D2022" i="6" s="1"/>
  <c r="G2022" i="6" a="1"/>
  <c r="G2022" i="6" s="1"/>
  <c r="I2022" i="6" a="1"/>
  <c r="I2022" i="6" s="1"/>
  <c r="E2010" i="6" a="1"/>
  <c r="E2010" i="6" s="1"/>
  <c r="D2010" i="6" a="1"/>
  <c r="D2010" i="6" s="1"/>
  <c r="F2010" i="6" a="1"/>
  <c r="F2010" i="6" s="1"/>
  <c r="E1974" i="6" a="1"/>
  <c r="E1974" i="6" s="1"/>
  <c r="G1974" i="6" a="1"/>
  <c r="G1974" i="6" s="1"/>
  <c r="I1974" i="6" a="1"/>
  <c r="I1974" i="6" s="1"/>
  <c r="E1962" i="6" a="1"/>
  <c r="E1962" i="6" s="1"/>
  <c r="D1962" i="6" a="1"/>
  <c r="D1962" i="6" s="1"/>
  <c r="F1962" i="6" a="1"/>
  <c r="F1962" i="6" s="1"/>
  <c r="G1962" i="6" a="1"/>
  <c r="G1962" i="6" s="1"/>
  <c r="E1950" i="6" a="1"/>
  <c r="E1950" i="6" s="1"/>
  <c r="D1950" i="6" a="1"/>
  <c r="D1950" i="6" s="1"/>
  <c r="G1950" i="6" a="1"/>
  <c r="G1950" i="6" s="1"/>
  <c r="I1950" i="6" a="1"/>
  <c r="I1950" i="6" s="1"/>
  <c r="E1938" i="6" a="1"/>
  <c r="E1938" i="6" s="1"/>
  <c r="D1938" i="6" a="1"/>
  <c r="D1938" i="6" s="1"/>
  <c r="F1938" i="6" a="1"/>
  <c r="F1938" i="6" s="1"/>
  <c r="E1914" i="6" a="1"/>
  <c r="E1914" i="6" s="1"/>
  <c r="D1914" i="6" a="1"/>
  <c r="D1914" i="6" s="1"/>
  <c r="I1914" i="6" a="1"/>
  <c r="I1914" i="6" s="1"/>
  <c r="E1902" i="6" a="1"/>
  <c r="E1902" i="6" s="1"/>
  <c r="D1902" i="6" a="1"/>
  <c r="D1902" i="6" s="1"/>
  <c r="F1902" i="6" a="1"/>
  <c r="F1902" i="6" s="1"/>
  <c r="G1902" i="6" a="1"/>
  <c r="G1902" i="6" s="1"/>
  <c r="I1902" i="6" a="1"/>
  <c r="I1902" i="6" s="1"/>
  <c r="E1890" i="6" a="1"/>
  <c r="E1890" i="6" s="1"/>
  <c r="D1890" i="6" a="1"/>
  <c r="D1890" i="6" s="1"/>
  <c r="I1890" i="6" a="1"/>
  <c r="I1890" i="6" s="1"/>
  <c r="E1878" i="6" a="1"/>
  <c r="E1878" i="6" s="1"/>
  <c r="D1878" i="6" a="1"/>
  <c r="D1878" i="6" s="1"/>
  <c r="I1878" i="6" a="1"/>
  <c r="I1878" i="6" s="1"/>
  <c r="E1866" i="6" a="1"/>
  <c r="E1866" i="6" s="1"/>
  <c r="D1866" i="6" a="1"/>
  <c r="D1866" i="6" s="1"/>
  <c r="F1866" i="6" a="1"/>
  <c r="F1866" i="6" s="1"/>
  <c r="G1866" i="6" a="1"/>
  <c r="G1866" i="6" s="1"/>
  <c r="I1866" i="6" a="1"/>
  <c r="I1866" i="6" s="1"/>
  <c r="E1854" i="6" a="1"/>
  <c r="E1854" i="6" s="1"/>
  <c r="D1854" i="6" a="1"/>
  <c r="D1854" i="6" s="1"/>
  <c r="I1854" i="6" a="1"/>
  <c r="I1854" i="6" s="1"/>
  <c r="E1842" i="6" a="1"/>
  <c r="E1842" i="6" s="1"/>
  <c r="D1842" i="6" a="1"/>
  <c r="D1842" i="6" s="1"/>
  <c r="I1842" i="6" a="1"/>
  <c r="I1842" i="6" s="1"/>
  <c r="E1830" i="6" a="1"/>
  <c r="E1830" i="6" s="1"/>
  <c r="D1830" i="6" a="1"/>
  <c r="D1830" i="6" s="1"/>
  <c r="F1830" i="6" a="1"/>
  <c r="F1830" i="6" s="1"/>
  <c r="G1830" i="6" a="1"/>
  <c r="G1830" i="6" s="1"/>
  <c r="I1830" i="6" a="1"/>
  <c r="I1830" i="6" s="1"/>
  <c r="E1818" i="6" a="1"/>
  <c r="E1818" i="6" s="1"/>
  <c r="D1818" i="6" a="1"/>
  <c r="D1818" i="6" s="1"/>
  <c r="I1818" i="6" a="1"/>
  <c r="I1818" i="6" s="1"/>
  <c r="E1806" i="6" a="1"/>
  <c r="E1806" i="6" s="1"/>
  <c r="D1806" i="6" a="1"/>
  <c r="D1806" i="6" s="1"/>
  <c r="I1806" i="6" a="1"/>
  <c r="I1806" i="6" s="1"/>
  <c r="E1794" i="6" a="1"/>
  <c r="E1794" i="6" s="1"/>
  <c r="D1794" i="6" a="1"/>
  <c r="D1794" i="6" s="1"/>
  <c r="F1794" i="6" a="1"/>
  <c r="F1794" i="6" s="1"/>
  <c r="G1794" i="6" a="1"/>
  <c r="G1794" i="6" s="1"/>
  <c r="I1794" i="6" a="1"/>
  <c r="I1794" i="6" s="1"/>
  <c r="E1782" i="6" a="1"/>
  <c r="E1782" i="6" s="1"/>
  <c r="D1782" i="6" a="1"/>
  <c r="D1782" i="6" s="1"/>
  <c r="I1782" i="6" a="1"/>
  <c r="I1782" i="6" s="1"/>
  <c r="E1770" i="6" a="1"/>
  <c r="E1770" i="6" s="1"/>
  <c r="D1770" i="6" a="1"/>
  <c r="D1770" i="6" s="1"/>
  <c r="I1770" i="6" a="1"/>
  <c r="I1770" i="6" s="1"/>
  <c r="E1758" i="6" a="1"/>
  <c r="E1758" i="6" s="1"/>
  <c r="D1758" i="6" a="1"/>
  <c r="D1758" i="6" s="1"/>
  <c r="F1758" i="6" a="1"/>
  <c r="F1758" i="6" s="1"/>
  <c r="G1758" i="6" a="1"/>
  <c r="G1758" i="6" s="1"/>
  <c r="I1758" i="6" a="1"/>
  <c r="I1758" i="6" s="1"/>
  <c r="E1746" i="6" a="1"/>
  <c r="E1746" i="6" s="1"/>
  <c r="D1746" i="6" a="1"/>
  <c r="D1746" i="6" s="1"/>
  <c r="I1746" i="6" a="1"/>
  <c r="I1746" i="6" s="1"/>
  <c r="E1734" i="6" a="1"/>
  <c r="E1734" i="6" s="1"/>
  <c r="D1734" i="6" a="1"/>
  <c r="D1734" i="6" s="1"/>
  <c r="I1734" i="6" a="1"/>
  <c r="I1734" i="6" s="1"/>
  <c r="E1722" i="6" a="1"/>
  <c r="E1722" i="6" s="1"/>
  <c r="D1722" i="6" a="1"/>
  <c r="D1722" i="6" s="1"/>
  <c r="F1722" i="6" a="1"/>
  <c r="F1722" i="6" s="1"/>
  <c r="G1722" i="6" a="1"/>
  <c r="G1722" i="6" s="1"/>
  <c r="I1722" i="6" a="1"/>
  <c r="I1722" i="6" s="1"/>
  <c r="E1710" i="6" a="1"/>
  <c r="E1710" i="6" s="1"/>
  <c r="D1710" i="6" a="1"/>
  <c r="D1710" i="6" s="1"/>
  <c r="F1710" i="6" a="1"/>
  <c r="F1710" i="6" s="1"/>
  <c r="E1698" i="6" a="1"/>
  <c r="E1698" i="6" s="1"/>
  <c r="D1698" i="6" a="1"/>
  <c r="D1698" i="6" s="1"/>
  <c r="F1698" i="6" a="1"/>
  <c r="F1698" i="6" s="1"/>
  <c r="I1698" i="6" a="1"/>
  <c r="I1698" i="6" s="1"/>
  <c r="E1686" i="6" a="1"/>
  <c r="E1686" i="6" s="1"/>
  <c r="D1686" i="6" a="1"/>
  <c r="D1686" i="6" s="1"/>
  <c r="F1686" i="6" a="1"/>
  <c r="F1686" i="6" s="1"/>
  <c r="G1686" i="6" a="1"/>
  <c r="G1686" i="6" s="1"/>
  <c r="I1686" i="6" a="1"/>
  <c r="I1686" i="6" s="1"/>
  <c r="E1674" i="6" a="1"/>
  <c r="E1674" i="6" s="1"/>
  <c r="D1674" i="6" a="1"/>
  <c r="D1674" i="6" s="1"/>
  <c r="F1674" i="6" a="1"/>
  <c r="F1674" i="6" s="1"/>
  <c r="E1662" i="6" a="1"/>
  <c r="E1662" i="6" s="1"/>
  <c r="D1662" i="6" a="1"/>
  <c r="D1662" i="6" s="1"/>
  <c r="F1662" i="6" a="1"/>
  <c r="F1662" i="6" s="1"/>
  <c r="G1662" i="6" a="1"/>
  <c r="G1662" i="6" s="1"/>
  <c r="I1662" i="6" a="1"/>
  <c r="I1662" i="6" s="1"/>
  <c r="E1650" i="6" a="1"/>
  <c r="E1650" i="6" s="1"/>
  <c r="D1650" i="6" a="1"/>
  <c r="D1650" i="6" s="1"/>
  <c r="F1650" i="6" a="1"/>
  <c r="F1650" i="6" s="1"/>
  <c r="I1650" i="6" a="1"/>
  <c r="I1650" i="6" s="1"/>
  <c r="E1638" i="6" a="1"/>
  <c r="E1638" i="6" s="1"/>
  <c r="D1638" i="6" a="1"/>
  <c r="D1638" i="6" s="1"/>
  <c r="F1638" i="6" a="1"/>
  <c r="F1638" i="6" s="1"/>
  <c r="E1626" i="6" a="1"/>
  <c r="E1626" i="6" s="1"/>
  <c r="D1626" i="6" a="1"/>
  <c r="D1626" i="6" s="1"/>
  <c r="F1626" i="6" a="1"/>
  <c r="F1626" i="6" s="1"/>
  <c r="G1626" i="6" a="1"/>
  <c r="G1626" i="6" s="1"/>
  <c r="I1626" i="6" a="1"/>
  <c r="I1626" i="6" s="1"/>
  <c r="E1614" i="6" a="1"/>
  <c r="E1614" i="6" s="1"/>
  <c r="D1614" i="6" a="1"/>
  <c r="D1614" i="6" s="1"/>
  <c r="F1614" i="6" a="1"/>
  <c r="F1614" i="6" s="1"/>
  <c r="G1614" i="6" a="1"/>
  <c r="G1614" i="6" s="1"/>
  <c r="I1614" i="6" a="1"/>
  <c r="I1614" i="6" s="1"/>
  <c r="E1602" i="6" a="1"/>
  <c r="E1602" i="6" s="1"/>
  <c r="D1602" i="6" a="1"/>
  <c r="D1602" i="6" s="1"/>
  <c r="F1602" i="6" a="1"/>
  <c r="F1602" i="6" s="1"/>
  <c r="G1602" i="6" a="1"/>
  <c r="G1602" i="6" s="1"/>
  <c r="E1590" i="6" a="1"/>
  <c r="E1590" i="6" s="1"/>
  <c r="D1590" i="6" a="1"/>
  <c r="D1590" i="6" s="1"/>
  <c r="F1590" i="6" a="1"/>
  <c r="F1590" i="6" s="1"/>
  <c r="G1590" i="6" a="1"/>
  <c r="G1590" i="6" s="1"/>
  <c r="I1590" i="6" a="1"/>
  <c r="I1590" i="6" s="1"/>
  <c r="E1578" i="6" a="1"/>
  <c r="E1578" i="6" s="1"/>
  <c r="D1578" i="6" a="1"/>
  <c r="D1578" i="6" s="1"/>
  <c r="F1578" i="6" a="1"/>
  <c r="F1578" i="6" s="1"/>
  <c r="G1578" i="6" a="1"/>
  <c r="G1578" i="6" s="1"/>
  <c r="I1578" i="6" a="1"/>
  <c r="I1578" i="6" s="1"/>
  <c r="E1566" i="6" a="1"/>
  <c r="E1566" i="6" s="1"/>
  <c r="D1566" i="6" a="1"/>
  <c r="D1566" i="6" s="1"/>
  <c r="F1566" i="6" a="1"/>
  <c r="F1566" i="6" s="1"/>
  <c r="G1566" i="6" a="1"/>
  <c r="G1566" i="6" s="1"/>
  <c r="E1554" i="6" a="1"/>
  <c r="E1554" i="6" s="1"/>
  <c r="D1554" i="6" a="1"/>
  <c r="D1554" i="6" s="1"/>
  <c r="F1554" i="6" a="1"/>
  <c r="F1554" i="6" s="1"/>
  <c r="G1554" i="6" a="1"/>
  <c r="G1554" i="6" s="1"/>
  <c r="I1554" i="6" a="1"/>
  <c r="I1554" i="6" s="1"/>
  <c r="E1542" i="6" a="1"/>
  <c r="E1542" i="6" s="1"/>
  <c r="D1542" i="6" a="1"/>
  <c r="D1542" i="6" s="1"/>
  <c r="F1542" i="6" a="1"/>
  <c r="F1542" i="6" s="1"/>
  <c r="G1542" i="6" a="1"/>
  <c r="G1542" i="6" s="1"/>
  <c r="E1530" i="6" a="1"/>
  <c r="E1530" i="6" s="1"/>
  <c r="D1530" i="6" a="1"/>
  <c r="D1530" i="6" s="1"/>
  <c r="F1530" i="6" a="1"/>
  <c r="F1530" i="6" s="1"/>
  <c r="G1530" i="6" a="1"/>
  <c r="G1530" i="6" s="1"/>
  <c r="I1530" i="6" a="1"/>
  <c r="I1530" i="6" s="1"/>
  <c r="E1518" i="6" a="1"/>
  <c r="E1518" i="6" s="1"/>
  <c r="D1518" i="6" a="1"/>
  <c r="D1518" i="6" s="1"/>
  <c r="F1518" i="6" a="1"/>
  <c r="F1518" i="6" s="1"/>
  <c r="G1518" i="6" a="1"/>
  <c r="G1518" i="6" s="1"/>
  <c r="E1506" i="6" a="1"/>
  <c r="E1506" i="6" s="1"/>
  <c r="D1506" i="6" a="1"/>
  <c r="D1506" i="6" s="1"/>
  <c r="F1506" i="6" a="1"/>
  <c r="F1506" i="6" s="1"/>
  <c r="G1506" i="6" a="1"/>
  <c r="G1506" i="6" s="1"/>
  <c r="I1506" i="6" a="1"/>
  <c r="I1506" i="6" s="1"/>
  <c r="E1494" i="6" a="1"/>
  <c r="E1494" i="6" s="1"/>
  <c r="D1494" i="6" a="1"/>
  <c r="D1494" i="6" s="1"/>
  <c r="I1494" i="6" a="1"/>
  <c r="I1494" i="6" s="1"/>
  <c r="E1482" i="6" a="1"/>
  <c r="E1482" i="6" s="1"/>
  <c r="D1482" i="6" a="1"/>
  <c r="D1482" i="6" s="1"/>
  <c r="I1482" i="6" a="1"/>
  <c r="I1482" i="6" s="1"/>
  <c r="E1470" i="6" a="1"/>
  <c r="E1470" i="6" s="1"/>
  <c r="D1470" i="6" a="1"/>
  <c r="D1470" i="6" s="1"/>
  <c r="F1470" i="6" a="1"/>
  <c r="F1470" i="6" s="1"/>
  <c r="G1470" i="6" a="1"/>
  <c r="G1470" i="6" s="1"/>
  <c r="I1470" i="6" a="1"/>
  <c r="I1470" i="6" s="1"/>
  <c r="E1458" i="6" a="1"/>
  <c r="E1458" i="6" s="1"/>
  <c r="D1458" i="6" a="1"/>
  <c r="D1458" i="6" s="1"/>
  <c r="F1458" i="6" a="1"/>
  <c r="F1458" i="6" s="1"/>
  <c r="G1458" i="6" a="1"/>
  <c r="G1458" i="6" s="1"/>
  <c r="I1458" i="6" a="1"/>
  <c r="I1458" i="6" s="1"/>
  <c r="E1446" i="6" a="1"/>
  <c r="E1446" i="6" s="1"/>
  <c r="D1446" i="6" a="1"/>
  <c r="D1446" i="6" s="1"/>
  <c r="F1446" i="6" a="1"/>
  <c r="F1446" i="6" s="1"/>
  <c r="G1446" i="6" a="1"/>
  <c r="G1446" i="6" s="1"/>
  <c r="I1446" i="6" a="1"/>
  <c r="I1446" i="6" s="1"/>
  <c r="E1434" i="6" a="1"/>
  <c r="E1434" i="6" s="1"/>
  <c r="D1434" i="6" a="1"/>
  <c r="D1434" i="6" s="1"/>
  <c r="F1434" i="6" a="1"/>
  <c r="F1434" i="6" s="1"/>
  <c r="E1422" i="6" a="1"/>
  <c r="E1422" i="6" s="1"/>
  <c r="D1422" i="6" a="1"/>
  <c r="D1422" i="6" s="1"/>
  <c r="F1422" i="6" a="1"/>
  <c r="F1422" i="6" s="1"/>
  <c r="G1422" i="6" a="1"/>
  <c r="G1422" i="6" s="1"/>
  <c r="E1410" i="6" a="1"/>
  <c r="E1410" i="6" s="1"/>
  <c r="D1410" i="6" a="1"/>
  <c r="D1410" i="6" s="1"/>
  <c r="I1410" i="6" a="1"/>
  <c r="I1410" i="6" s="1"/>
  <c r="F1410" i="6" a="1"/>
  <c r="F1410" i="6" s="1"/>
  <c r="G1410" i="6" a="1"/>
  <c r="G1410" i="6" s="1"/>
  <c r="E1398" i="6" a="1"/>
  <c r="E1398" i="6" s="1"/>
  <c r="D1398" i="6" a="1"/>
  <c r="D1398" i="6" s="1"/>
  <c r="F1398" i="6" a="1"/>
  <c r="F1398" i="6" s="1"/>
  <c r="G1398" i="6" a="1"/>
  <c r="G1398" i="6" s="1"/>
  <c r="I1398" i="6" a="1"/>
  <c r="I1398" i="6" s="1"/>
  <c r="E1386" i="6" a="1"/>
  <c r="E1386" i="6" s="1"/>
  <c r="D1386" i="6" a="1"/>
  <c r="D1386" i="6" s="1"/>
  <c r="F1386" i="6" a="1"/>
  <c r="F1386" i="6" s="1"/>
  <c r="G1386" i="6" a="1"/>
  <c r="G1386" i="6" s="1"/>
  <c r="I1386" i="6" a="1"/>
  <c r="I1386" i="6" s="1"/>
  <c r="E1374" i="6" a="1"/>
  <c r="E1374" i="6" s="1"/>
  <c r="D1374" i="6" a="1"/>
  <c r="D1374" i="6" s="1"/>
  <c r="F1374" i="6" a="1"/>
  <c r="F1374" i="6" s="1"/>
  <c r="G1374" i="6" a="1"/>
  <c r="G1374" i="6" s="1"/>
  <c r="E1362" i="6" a="1"/>
  <c r="E1362" i="6" s="1"/>
  <c r="D1362" i="6" a="1"/>
  <c r="D1362" i="6" s="1"/>
  <c r="I1362" i="6" a="1"/>
  <c r="I1362" i="6" s="1"/>
  <c r="F1362" i="6" a="1"/>
  <c r="F1362" i="6" s="1"/>
  <c r="E1350" i="6" a="1"/>
  <c r="E1350" i="6" s="1"/>
  <c r="D1350" i="6" a="1"/>
  <c r="D1350" i="6" s="1"/>
  <c r="F1350" i="6" a="1"/>
  <c r="F1350" i="6" s="1"/>
  <c r="G1350" i="6" a="1"/>
  <c r="G1350" i="6" s="1"/>
  <c r="I1350" i="6" a="1"/>
  <c r="I1350" i="6" s="1"/>
  <c r="E1338" i="6" a="1"/>
  <c r="E1338" i="6" s="1"/>
  <c r="D1338" i="6" a="1"/>
  <c r="D1338" i="6" s="1"/>
  <c r="I1338" i="6" a="1"/>
  <c r="I1338" i="6" s="1"/>
  <c r="E1326" i="6" a="1"/>
  <c r="E1326" i="6" s="1"/>
  <c r="D1326" i="6" a="1"/>
  <c r="D1326" i="6" s="1"/>
  <c r="F1326" i="6" a="1"/>
  <c r="F1326" i="6" s="1"/>
  <c r="G1326" i="6" a="1"/>
  <c r="G1326" i="6" s="1"/>
  <c r="I1326" i="6" a="1"/>
  <c r="I1326" i="6" s="1"/>
  <c r="E1595" i="6" a="1"/>
  <c r="E1595" i="6" s="1"/>
  <c r="D1595" i="6" a="1"/>
  <c r="D1595" i="6" s="1"/>
  <c r="F1595" i="6" a="1"/>
  <c r="F1595" i="6" s="1"/>
  <c r="G1595" i="6" a="1"/>
  <c r="G1595" i="6" s="1"/>
  <c r="E1402" i="6" a="1"/>
  <c r="E1402" i="6" s="1"/>
  <c r="D1402" i="6" a="1"/>
  <c r="D1402" i="6" s="1"/>
  <c r="F1402" i="6" a="1"/>
  <c r="F1402" i="6" s="1"/>
  <c r="G1402" i="6" a="1"/>
  <c r="G1402" i="6" s="1"/>
  <c r="I1402" i="6" a="1"/>
  <c r="I1402" i="6" s="1"/>
  <c r="G2255" i="6" a="1"/>
  <c r="G2255" i="6" s="1"/>
  <c r="G2217" i="6" a="1"/>
  <c r="G2217" i="6" s="1"/>
  <c r="F2183" i="6" a="1"/>
  <c r="F2183" i="6" s="1"/>
  <c r="G2111" i="6" a="1"/>
  <c r="G2111" i="6" s="1"/>
  <c r="F1979" i="6" a="1"/>
  <c r="F1979" i="6" s="1"/>
  <c r="I1941" i="6" a="1"/>
  <c r="I1941" i="6" s="1"/>
  <c r="G1931" i="6" a="1"/>
  <c r="G1931" i="6" s="1"/>
  <c r="G1893" i="6" a="1"/>
  <c r="G1893" i="6" s="1"/>
  <c r="G1881" i="6" a="1"/>
  <c r="G1881" i="6" s="1"/>
  <c r="G1871" i="6" a="1"/>
  <c r="G1871" i="6" s="1"/>
  <c r="G1858" i="6" a="1"/>
  <c r="G1858" i="6" s="1"/>
  <c r="G1749" i="6" a="1"/>
  <c r="G1749" i="6" s="1"/>
  <c r="G1737" i="6" a="1"/>
  <c r="G1737" i="6" s="1"/>
  <c r="G1727" i="6" a="1"/>
  <c r="G1727" i="6" s="1"/>
  <c r="I1618" i="6" a="1"/>
  <c r="I1618" i="6" s="1"/>
  <c r="D1582" i="6" a="1"/>
  <c r="D1582" i="6" s="1"/>
  <c r="D1522" i="6" a="1"/>
  <c r="D1522" i="6" s="1"/>
  <c r="I1199" i="6" a="1"/>
  <c r="I1199" i="6" s="1"/>
  <c r="G1150" i="6" a="1"/>
  <c r="G1150" i="6" s="1"/>
  <c r="E2291" i="6" a="1"/>
  <c r="E2291" i="6" s="1"/>
  <c r="I2291" i="6" a="1"/>
  <c r="I2291" i="6" s="1"/>
  <c r="D2291" i="6" a="1"/>
  <c r="D2291" i="6" s="1"/>
  <c r="E1703" i="6" a="1"/>
  <c r="E1703" i="6" s="1"/>
  <c r="D1703" i="6" a="1"/>
  <c r="D1703" i="6" s="1"/>
  <c r="F1703" i="6" a="1"/>
  <c r="F1703" i="6" s="1"/>
  <c r="G1703" i="6" a="1"/>
  <c r="G1703" i="6" s="1"/>
  <c r="I1703" i="6" a="1"/>
  <c r="I1703" i="6" s="1"/>
  <c r="E707" i="6" a="1"/>
  <c r="E707" i="6" s="1"/>
  <c r="F707" i="6" a="1"/>
  <c r="F707" i="6" s="1"/>
  <c r="G707" i="6" a="1"/>
  <c r="G707" i="6" s="1"/>
  <c r="I707" i="6" a="1"/>
  <c r="I707" i="6" s="1"/>
  <c r="D707" i="6" a="1"/>
  <c r="D707" i="6" s="1"/>
  <c r="E2290" i="6" a="1"/>
  <c r="E2290" i="6" s="1"/>
  <c r="I2290" i="6" a="1"/>
  <c r="I2290" i="6" s="1"/>
  <c r="G2290" i="6" a="1"/>
  <c r="G2290" i="6" s="1"/>
  <c r="E2194" i="6" a="1"/>
  <c r="E2194" i="6" s="1"/>
  <c r="I2194" i="6" a="1"/>
  <c r="I2194" i="6" s="1"/>
  <c r="D2194" i="6" a="1"/>
  <c r="D2194" i="6" s="1"/>
  <c r="G2194" i="6" a="1"/>
  <c r="G2194" i="6" s="1"/>
  <c r="E2074" i="6" a="1"/>
  <c r="E2074" i="6" s="1"/>
  <c r="I2074" i="6" a="1"/>
  <c r="I2074" i="6" s="1"/>
  <c r="G2074" i="6" a="1"/>
  <c r="G2074" i="6" s="1"/>
  <c r="E1966" i="6" a="1"/>
  <c r="E1966" i="6" s="1"/>
  <c r="I1966" i="6" a="1"/>
  <c r="I1966" i="6" s="1"/>
  <c r="D1966" i="6" a="1"/>
  <c r="D1966" i="6" s="1"/>
  <c r="F1966" i="6" a="1"/>
  <c r="F1966" i="6" s="1"/>
  <c r="E1870" i="6" a="1"/>
  <c r="E1870" i="6" s="1"/>
  <c r="I1870" i="6" a="1"/>
  <c r="I1870" i="6" s="1"/>
  <c r="D1870" i="6" a="1"/>
  <c r="D1870" i="6" s="1"/>
  <c r="F1870" i="6" a="1"/>
  <c r="F1870" i="6" s="1"/>
  <c r="E1750" i="6" a="1"/>
  <c r="E1750" i="6" s="1"/>
  <c r="I1750" i="6" a="1"/>
  <c r="I1750" i="6" s="1"/>
  <c r="D1750" i="6" a="1"/>
  <c r="D1750" i="6" s="1"/>
  <c r="E1630" i="6" a="1"/>
  <c r="E1630" i="6" s="1"/>
  <c r="D1630" i="6" a="1"/>
  <c r="D1630" i="6" s="1"/>
  <c r="F1630" i="6" a="1"/>
  <c r="F1630" i="6" s="1"/>
  <c r="G1630" i="6" a="1"/>
  <c r="G1630" i="6" s="1"/>
  <c r="E1534" i="6" a="1"/>
  <c r="E1534" i="6" s="1"/>
  <c r="D1534" i="6" a="1"/>
  <c r="D1534" i="6" s="1"/>
  <c r="F1534" i="6" a="1"/>
  <c r="F1534" i="6" s="1"/>
  <c r="E1438" i="6" a="1"/>
  <c r="E1438" i="6" s="1"/>
  <c r="I1438" i="6" a="1"/>
  <c r="I1438" i="6" s="1"/>
  <c r="F1438" i="6" a="1"/>
  <c r="F1438" i="6" s="1"/>
  <c r="G1438" i="6" a="1"/>
  <c r="G1438" i="6" s="1"/>
  <c r="E1306" i="6" a="1"/>
  <c r="E1306" i="6" s="1"/>
  <c r="G1306" i="6" a="1"/>
  <c r="G1306" i="6" s="1"/>
  <c r="D1306" i="6" a="1"/>
  <c r="D1306" i="6" s="1"/>
  <c r="E1198" i="6" a="1"/>
  <c r="E1198" i="6" s="1"/>
  <c r="D1198" i="6" a="1"/>
  <c r="D1198" i="6" s="1"/>
  <c r="F1198" i="6" a="1"/>
  <c r="F1198" i="6" s="1"/>
  <c r="G1198" i="6" a="1"/>
  <c r="G1198" i="6" s="1"/>
  <c r="I1198" i="6" a="1"/>
  <c r="I1198" i="6" s="1"/>
  <c r="E1102" i="6" a="1"/>
  <c r="E1102" i="6" s="1"/>
  <c r="F1102" i="6" a="1"/>
  <c r="F1102" i="6" s="1"/>
  <c r="G1102" i="6" a="1"/>
  <c r="G1102" i="6" s="1"/>
  <c r="I1102" i="6" a="1"/>
  <c r="I1102" i="6" s="1"/>
  <c r="E1018" i="6" a="1"/>
  <c r="E1018" i="6" s="1"/>
  <c r="G1018" i="6" a="1"/>
  <c r="G1018" i="6" s="1"/>
  <c r="F1018" i="6" a="1"/>
  <c r="F1018" i="6" s="1"/>
  <c r="E898" i="6" a="1"/>
  <c r="E898" i="6" s="1"/>
  <c r="D898" i="6" a="1"/>
  <c r="D898" i="6" s="1"/>
  <c r="F898" i="6" a="1"/>
  <c r="F898" i="6" s="1"/>
  <c r="G898" i="6" a="1"/>
  <c r="G898" i="6" s="1"/>
  <c r="I898" i="6" a="1"/>
  <c r="I898" i="6" s="1"/>
  <c r="E802" i="6" a="1"/>
  <c r="E802" i="6" s="1"/>
  <c r="I802" i="6" a="1"/>
  <c r="I802" i="6" s="1"/>
  <c r="D802" i="6" a="1"/>
  <c r="D802" i="6" s="1"/>
  <c r="E718" i="6" a="1"/>
  <c r="E718" i="6" s="1"/>
  <c r="D718" i="6" a="1"/>
  <c r="D718" i="6" s="1"/>
  <c r="F718" i="6" a="1"/>
  <c r="F718" i="6" s="1"/>
  <c r="G718" i="6" a="1"/>
  <c r="G718" i="6" s="1"/>
  <c r="I718" i="6" a="1"/>
  <c r="I718" i="6" s="1"/>
  <c r="E646" i="6" a="1"/>
  <c r="E646" i="6" s="1"/>
  <c r="D646" i="6" a="1"/>
  <c r="D646" i="6" s="1"/>
  <c r="F646" i="6" a="1"/>
  <c r="F646" i="6" s="1"/>
  <c r="G646" i="6" a="1"/>
  <c r="G646" i="6" s="1"/>
  <c r="I646" i="6" a="1"/>
  <c r="I646" i="6" s="1"/>
  <c r="E598" i="6" a="1"/>
  <c r="E598" i="6" s="1"/>
  <c r="F598" i="6" a="1"/>
  <c r="F598" i="6" s="1"/>
  <c r="G598" i="6" a="1"/>
  <c r="G598" i="6" s="1"/>
  <c r="I598" i="6" a="1"/>
  <c r="I598" i="6" s="1"/>
  <c r="D598" i="6" a="1"/>
  <c r="D598" i="6" s="1"/>
  <c r="E562" i="6" a="1"/>
  <c r="E562" i="6" s="1"/>
  <c r="I562" i="6" a="1"/>
  <c r="I562" i="6" s="1"/>
  <c r="F562" i="6" a="1"/>
  <c r="F562" i="6" s="1"/>
  <c r="G562" i="6" a="1"/>
  <c r="G562" i="6" s="1"/>
  <c r="D562" i="6" a="1"/>
  <c r="D562" i="6" s="1"/>
  <c r="E514" i="6" a="1"/>
  <c r="E514" i="6" s="1"/>
  <c r="F514" i="6" a="1"/>
  <c r="F514" i="6" s="1"/>
  <c r="G514" i="6" a="1"/>
  <c r="G514" i="6" s="1"/>
  <c r="I514" i="6" a="1"/>
  <c r="I514" i="6" s="1"/>
  <c r="D514" i="6" a="1"/>
  <c r="D514" i="6" s="1"/>
  <c r="I442" i="6" a="1"/>
  <c r="I442" i="6" s="1"/>
  <c r="D442" i="6" a="1"/>
  <c r="D442" i="6" s="1"/>
  <c r="F2218" i="6" a="1"/>
  <c r="F2218" i="6" s="1"/>
  <c r="F2337" i="6" a="1"/>
  <c r="F2337" i="6" s="1"/>
  <c r="G2327" i="6" a="1"/>
  <c r="G2327" i="6" s="1"/>
  <c r="F2302" i="6" a="1"/>
  <c r="F2302" i="6" s="1"/>
  <c r="I2277" i="6" a="1"/>
  <c r="I2277" i="6" s="1"/>
  <c r="I2253" i="6" a="1"/>
  <c r="I2253" i="6" s="1"/>
  <c r="G2243" i="6" a="1"/>
  <c r="G2243" i="6" s="1"/>
  <c r="D2193" i="6" a="1"/>
  <c r="D2193" i="6" s="1"/>
  <c r="I2145" i="6" a="1"/>
  <c r="I2145" i="6" s="1"/>
  <c r="F2121" i="6" a="1"/>
  <c r="F2121" i="6" s="1"/>
  <c r="D2074" i="6" a="1"/>
  <c r="D2074" i="6" s="1"/>
  <c r="F2050" i="6" a="1"/>
  <c r="F2050" i="6" s="1"/>
  <c r="G2013" i="6" a="1"/>
  <c r="G2013" i="6" s="1"/>
  <c r="F2002" i="6" a="1"/>
  <c r="F2002" i="6" s="1"/>
  <c r="D2337" i="6" a="1"/>
  <c r="D2337" i="6" s="1"/>
  <c r="F2327" i="6" a="1"/>
  <c r="F2327" i="6" s="1"/>
  <c r="D2302" i="6" a="1"/>
  <c r="D2302" i="6" s="1"/>
  <c r="G2277" i="6" a="1"/>
  <c r="G2277" i="6" s="1"/>
  <c r="G2253" i="6" a="1"/>
  <c r="G2253" i="6" s="1"/>
  <c r="F2243" i="6" a="1"/>
  <c r="F2243" i="6" s="1"/>
  <c r="F2217" i="6" a="1"/>
  <c r="F2217" i="6" s="1"/>
  <c r="D2183" i="6" a="1"/>
  <c r="D2183" i="6" s="1"/>
  <c r="G2171" i="6" a="1"/>
  <c r="G2171" i="6" s="1"/>
  <c r="G2145" i="6" a="1"/>
  <c r="G2145" i="6" s="1"/>
  <c r="D2121" i="6" a="1"/>
  <c r="D2121" i="6" s="1"/>
  <c r="F2111" i="6" a="1"/>
  <c r="F2111" i="6" s="1"/>
  <c r="I2073" i="6" a="1"/>
  <c r="I2073" i="6" s="1"/>
  <c r="F2049" i="6" a="1"/>
  <c r="F2049" i="6" s="1"/>
  <c r="G2039" i="6" a="1"/>
  <c r="G2039" i="6" s="1"/>
  <c r="F1978" i="6" a="1"/>
  <c r="F1978" i="6" s="1"/>
  <c r="G1941" i="6" a="1"/>
  <c r="G1941" i="6" s="1"/>
  <c r="F1930" i="6" a="1"/>
  <c r="F1930" i="6" s="1"/>
  <c r="F1881" i="6" a="1"/>
  <c r="F1881" i="6" s="1"/>
  <c r="F1858" i="6" a="1"/>
  <c r="F1858" i="6" s="1"/>
  <c r="F1737" i="6" a="1"/>
  <c r="F1737" i="6" s="1"/>
  <c r="D1727" i="6" a="1"/>
  <c r="D1727" i="6" s="1"/>
  <c r="I1714" i="6" a="1"/>
  <c r="I1714" i="6" s="1"/>
  <c r="F1618" i="6" a="1"/>
  <c r="F1618" i="6" s="1"/>
  <c r="F1570" i="6" a="1"/>
  <c r="F1570" i="6" s="1"/>
  <c r="I1450" i="6" a="1"/>
  <c r="I1450" i="6" s="1"/>
  <c r="D958" i="6" a="1"/>
  <c r="D958" i="6" s="1"/>
  <c r="F875" i="6" a="1"/>
  <c r="F875" i="6" s="1"/>
  <c r="I659" i="6" a="1"/>
  <c r="I659" i="6" s="1"/>
  <c r="E2207" i="6" a="1"/>
  <c r="E2207" i="6" s="1"/>
  <c r="I2207" i="6" a="1"/>
  <c r="I2207" i="6" s="1"/>
  <c r="F2207" i="6" a="1"/>
  <c r="F2207" i="6" s="1"/>
  <c r="G2207" i="6" a="1"/>
  <c r="G2207" i="6" s="1"/>
  <c r="D1919" i="6" a="1"/>
  <c r="D1919" i="6" s="1"/>
  <c r="E1378" i="6" a="1"/>
  <c r="E1378" i="6" s="1"/>
  <c r="F1378" i="6" a="1"/>
  <c r="F1378" i="6" s="1"/>
  <c r="G1378" i="6" a="1"/>
  <c r="G1378" i="6" s="1"/>
  <c r="I1378" i="6" a="1"/>
  <c r="I1378" i="6" s="1"/>
  <c r="D2303" i="6" a="1"/>
  <c r="D2303" i="6" s="1"/>
  <c r="F2123" i="6" a="1"/>
  <c r="F2123" i="6" s="1"/>
  <c r="D1763" i="6" a="1"/>
  <c r="D1763" i="6" s="1"/>
  <c r="G2291" i="6" a="1"/>
  <c r="G2291" i="6" s="1"/>
  <c r="G1510" i="6" a="1"/>
  <c r="G1510" i="6" s="1"/>
  <c r="D1438" i="6" a="1"/>
  <c r="D1438" i="6" s="1"/>
  <c r="G1366" i="6" a="1"/>
  <c r="G1366" i="6" s="1"/>
  <c r="G1307" i="6" a="1"/>
  <c r="G1307" i="6" s="1"/>
  <c r="I1223" i="6" a="1"/>
  <c r="I1223" i="6" s="1"/>
  <c r="G1031" i="6" a="1"/>
  <c r="G1031" i="6" s="1"/>
  <c r="G982" i="6" a="1"/>
  <c r="G982" i="6" s="1"/>
  <c r="G767" i="6" a="1"/>
  <c r="G767" i="6" s="1"/>
  <c r="D658" i="6" a="1"/>
  <c r="D658" i="6" s="1"/>
  <c r="I623" i="6" a="1"/>
  <c r="I623" i="6" s="1"/>
  <c r="F550" i="6" a="1"/>
  <c r="F550" i="6" s="1"/>
  <c r="E2315" i="6" a="1"/>
  <c r="E2315" i="6" s="1"/>
  <c r="I2315" i="6" a="1"/>
  <c r="I2315" i="6" s="1"/>
  <c r="E1739" i="6" a="1"/>
  <c r="E1739" i="6" s="1"/>
  <c r="I1739" i="6" a="1"/>
  <c r="I1739" i="6" s="1"/>
  <c r="D1739" i="6" a="1"/>
  <c r="D1739" i="6" s="1"/>
  <c r="F1739" i="6" a="1"/>
  <c r="F1739" i="6" s="1"/>
  <c r="G1739" i="6" a="1"/>
  <c r="G1739" i="6" s="1"/>
  <c r="E731" i="6" a="1"/>
  <c r="E731" i="6" s="1"/>
  <c r="F731" i="6" a="1"/>
  <c r="F731" i="6" s="1"/>
  <c r="D731" i="6" a="1"/>
  <c r="D731" i="6" s="1"/>
  <c r="G731" i="6" a="1"/>
  <c r="G731" i="6" s="1"/>
  <c r="I731" i="6" a="1"/>
  <c r="I731" i="6" s="1"/>
  <c r="D1799" i="6" a="1"/>
  <c r="D1799" i="6" s="1"/>
  <c r="E2326" i="6" a="1"/>
  <c r="E2326" i="6" s="1"/>
  <c r="I2326" i="6" a="1"/>
  <c r="I2326" i="6" s="1"/>
  <c r="D2326" i="6" a="1"/>
  <c r="D2326" i="6" s="1"/>
  <c r="F2326" i="6" a="1"/>
  <c r="F2326" i="6" s="1"/>
  <c r="E2182" i="6" a="1"/>
  <c r="E2182" i="6" s="1"/>
  <c r="I2182" i="6" a="1"/>
  <c r="I2182" i="6" s="1"/>
  <c r="D2182" i="6" a="1"/>
  <c r="D2182" i="6" s="1"/>
  <c r="F2182" i="6" a="1"/>
  <c r="F2182" i="6" s="1"/>
  <c r="E2086" i="6" a="1"/>
  <c r="E2086" i="6" s="1"/>
  <c r="I2086" i="6" a="1"/>
  <c r="I2086" i="6" s="1"/>
  <c r="E2002" i="6" a="1"/>
  <c r="E2002" i="6" s="1"/>
  <c r="I2002" i="6" a="1"/>
  <c r="I2002" i="6" s="1"/>
  <c r="G2002" i="6" a="1"/>
  <c r="G2002" i="6" s="1"/>
  <c r="E1894" i="6" a="1"/>
  <c r="E1894" i="6" s="1"/>
  <c r="I1894" i="6" a="1"/>
  <c r="I1894" i="6" s="1"/>
  <c r="D1894" i="6" a="1"/>
  <c r="D1894" i="6" s="1"/>
  <c r="E1774" i="6" a="1"/>
  <c r="E1774" i="6" s="1"/>
  <c r="I1774" i="6" a="1"/>
  <c r="I1774" i="6" s="1"/>
  <c r="D1774" i="6" a="1"/>
  <c r="D1774" i="6" s="1"/>
  <c r="F1774" i="6" a="1"/>
  <c r="F1774" i="6" s="1"/>
  <c r="G1774" i="6" a="1"/>
  <c r="G1774" i="6" s="1"/>
  <c r="E1678" i="6" a="1"/>
  <c r="E1678" i="6" s="1"/>
  <c r="I1678" i="6" a="1"/>
  <c r="I1678" i="6" s="1"/>
  <c r="E1582" i="6" a="1"/>
  <c r="E1582" i="6" s="1"/>
  <c r="G1582" i="6" a="1"/>
  <c r="G1582" i="6" s="1"/>
  <c r="E1498" i="6" a="1"/>
  <c r="E1498" i="6" s="1"/>
  <c r="F1498" i="6" a="1"/>
  <c r="F1498" i="6" s="1"/>
  <c r="G1498" i="6" a="1"/>
  <c r="G1498" i="6" s="1"/>
  <c r="I1498" i="6" a="1"/>
  <c r="I1498" i="6" s="1"/>
  <c r="D1498" i="6" a="1"/>
  <c r="D1498" i="6" s="1"/>
  <c r="E1354" i="6" a="1"/>
  <c r="E1354" i="6" s="1"/>
  <c r="F1354" i="6" a="1"/>
  <c r="F1354" i="6" s="1"/>
  <c r="G1354" i="6" a="1"/>
  <c r="G1354" i="6" s="1"/>
  <c r="I1354" i="6" a="1"/>
  <c r="I1354" i="6" s="1"/>
  <c r="D1354" i="6" a="1"/>
  <c r="D1354" i="6" s="1"/>
  <c r="E1246" i="6" a="1"/>
  <c r="E1246" i="6" s="1"/>
  <c r="F1246" i="6" a="1"/>
  <c r="F1246" i="6" s="1"/>
  <c r="G1246" i="6" a="1"/>
  <c r="G1246" i="6" s="1"/>
  <c r="I1246" i="6" a="1"/>
  <c r="I1246" i="6" s="1"/>
  <c r="D1246" i="6" a="1"/>
  <c r="D1246" i="6" s="1"/>
  <c r="E1150" i="6" a="1"/>
  <c r="E1150" i="6" s="1"/>
  <c r="F1150" i="6" a="1"/>
  <c r="F1150" i="6" s="1"/>
  <c r="I1150" i="6" a="1"/>
  <c r="I1150" i="6" s="1"/>
  <c r="E1030" i="6" a="1"/>
  <c r="E1030" i="6" s="1"/>
  <c r="D1030" i="6" a="1"/>
  <c r="D1030" i="6" s="1"/>
  <c r="I1030" i="6" a="1"/>
  <c r="I1030" i="6" s="1"/>
  <c r="F1030" i="6" a="1"/>
  <c r="F1030" i="6" s="1"/>
  <c r="G1030" i="6" a="1"/>
  <c r="G1030" i="6" s="1"/>
  <c r="E874" i="6" a="1"/>
  <c r="E874" i="6" s="1"/>
  <c r="G874" i="6" a="1"/>
  <c r="G874" i="6" s="1"/>
  <c r="D874" i="6" a="1"/>
  <c r="D874" i="6" s="1"/>
  <c r="E670" i="6" a="1"/>
  <c r="E670" i="6" s="1"/>
  <c r="D670" i="6" a="1"/>
  <c r="D670" i="6" s="1"/>
  <c r="G670" i="6" a="1"/>
  <c r="G670" i="6" s="1"/>
  <c r="I670" i="6" a="1"/>
  <c r="I670" i="6" s="1"/>
  <c r="F670" i="6" a="1"/>
  <c r="F670" i="6" s="1"/>
  <c r="F2338" i="6" a="1"/>
  <c r="F2338" i="6" s="1"/>
  <c r="F2146" i="6" a="1"/>
  <c r="F2146" i="6" s="1"/>
  <c r="D2327" i="6" a="1"/>
  <c r="D2327" i="6" s="1"/>
  <c r="G2099" i="6" a="1"/>
  <c r="G2099" i="6" s="1"/>
  <c r="F2039" i="6" a="1"/>
  <c r="F2039" i="6" s="1"/>
  <c r="G1870" i="6" a="1"/>
  <c r="G1870" i="6" s="1"/>
  <c r="G1678" i="6" a="1"/>
  <c r="G1678" i="6" s="1"/>
  <c r="D1570" i="6" a="1"/>
  <c r="D1570" i="6" s="1"/>
  <c r="G2326" i="6" a="1"/>
  <c r="G2326" i="6" s="1"/>
  <c r="G2301" i="6" a="1"/>
  <c r="G2301" i="6" s="1"/>
  <c r="G2242" i="6" a="1"/>
  <c r="G2242" i="6" s="1"/>
  <c r="D2207" i="6" a="1"/>
  <c r="D2207" i="6" s="1"/>
  <c r="I2181" i="6" a="1"/>
  <c r="I2181" i="6" s="1"/>
  <c r="D2171" i="6" a="1"/>
  <c r="D2171" i="6" s="1"/>
  <c r="D2145" i="6" a="1"/>
  <c r="D2145" i="6" s="1"/>
  <c r="G2110" i="6" a="1"/>
  <c r="G2110" i="6" s="1"/>
  <c r="F2099" i="6" a="1"/>
  <c r="F2099" i="6" s="1"/>
  <c r="F2073" i="6" a="1"/>
  <c r="F2073" i="6" s="1"/>
  <c r="G2027" i="6" a="1"/>
  <c r="G2027" i="6" s="1"/>
  <c r="G2001" i="6" a="1"/>
  <c r="G2001" i="6" s="1"/>
  <c r="D1977" i="6" a="1"/>
  <c r="D1977" i="6" s="1"/>
  <c r="F1967" i="6" a="1"/>
  <c r="F1967" i="6" s="1"/>
  <c r="I1929" i="6" a="1"/>
  <c r="I1929" i="6" s="1"/>
  <c r="G1857" i="6" a="1"/>
  <c r="G1857" i="6" s="1"/>
  <c r="G1845" i="6" a="1"/>
  <c r="G1845" i="6" s="1"/>
  <c r="G1835" i="6" a="1"/>
  <c r="G1835" i="6" s="1"/>
  <c r="G1822" i="6" a="1"/>
  <c r="G1822" i="6" s="1"/>
  <c r="I1701" i="6" a="1"/>
  <c r="I1701" i="6" s="1"/>
  <c r="G1691" i="6" a="1"/>
  <c r="G1691" i="6" s="1"/>
  <c r="F1678" i="6" a="1"/>
  <c r="F1678" i="6" s="1"/>
  <c r="I1654" i="6" a="1"/>
  <c r="I1654" i="6" s="1"/>
  <c r="F1606" i="6" a="1"/>
  <c r="F1606" i="6" s="1"/>
  <c r="F1510" i="6" a="1"/>
  <c r="F1510" i="6" s="1"/>
  <c r="I1306" i="6" a="1"/>
  <c r="I1306" i="6" s="1"/>
  <c r="G1223" i="6" a="1"/>
  <c r="G1223" i="6" s="1"/>
  <c r="I1055" i="6" a="1"/>
  <c r="I1055" i="6" s="1"/>
  <c r="F982" i="6" a="1"/>
  <c r="F982" i="6" s="1"/>
  <c r="G923" i="6" a="1"/>
  <c r="G923" i="6" s="1"/>
  <c r="F874" i="6" a="1"/>
  <c r="F874" i="6" s="1"/>
  <c r="G802" i="6" a="1"/>
  <c r="G802" i="6" s="1"/>
  <c r="E2339" i="6" a="1"/>
  <c r="E2339" i="6" s="1"/>
  <c r="I2339" i="6" a="1"/>
  <c r="I2339" i="6" s="1"/>
  <c r="D2339" i="6" a="1"/>
  <c r="D2339" i="6" s="1"/>
  <c r="E1715" i="6" a="1"/>
  <c r="E1715" i="6" s="1"/>
  <c r="D1715" i="6" a="1"/>
  <c r="D1715" i="6" s="1"/>
  <c r="I1715" i="6" a="1"/>
  <c r="I1715" i="6" s="1"/>
  <c r="E719" i="6" a="1"/>
  <c r="E719" i="6" s="1"/>
  <c r="D719" i="6" a="1"/>
  <c r="D719" i="6" s="1"/>
  <c r="I719" i="6" a="1"/>
  <c r="I719" i="6" s="1"/>
  <c r="E2278" i="6" a="1"/>
  <c r="E2278" i="6" s="1"/>
  <c r="I2278" i="6" a="1"/>
  <c r="I2278" i="6" s="1"/>
  <c r="D2278" i="6" a="1"/>
  <c r="D2278" i="6" s="1"/>
  <c r="F2278" i="6" a="1"/>
  <c r="F2278" i="6" s="1"/>
  <c r="E2158" i="6" a="1"/>
  <c r="E2158" i="6" s="1"/>
  <c r="I2158" i="6" a="1"/>
  <c r="I2158" i="6" s="1"/>
  <c r="E2062" i="6" a="1"/>
  <c r="E2062" i="6" s="1"/>
  <c r="I2062" i="6" a="1"/>
  <c r="I2062" i="6" s="1"/>
  <c r="D2062" i="6" a="1"/>
  <c r="D2062" i="6" s="1"/>
  <c r="F2062" i="6" a="1"/>
  <c r="F2062" i="6" s="1"/>
  <c r="G2062" i="6" a="1"/>
  <c r="G2062" i="6" s="1"/>
  <c r="E1942" i="6" a="1"/>
  <c r="E1942" i="6" s="1"/>
  <c r="I1942" i="6" a="1"/>
  <c r="I1942" i="6" s="1"/>
  <c r="E1834" i="6" a="1"/>
  <c r="E1834" i="6" s="1"/>
  <c r="I1834" i="6" a="1"/>
  <c r="I1834" i="6" s="1"/>
  <c r="D1834" i="6" a="1"/>
  <c r="D1834" i="6" s="1"/>
  <c r="F1834" i="6" a="1"/>
  <c r="F1834" i="6" s="1"/>
  <c r="E1714" i="6" a="1"/>
  <c r="E1714" i="6" s="1"/>
  <c r="G1714" i="6" a="1"/>
  <c r="G1714" i="6" s="1"/>
  <c r="E1618" i="6" a="1"/>
  <c r="E1618" i="6" s="1"/>
  <c r="G1618" i="6" a="1"/>
  <c r="G1618" i="6" s="1"/>
  <c r="E1474" i="6" a="1"/>
  <c r="E1474" i="6" s="1"/>
  <c r="D1474" i="6" a="1"/>
  <c r="D1474" i="6" s="1"/>
  <c r="F1474" i="6" a="1"/>
  <c r="F1474" i="6" s="1"/>
  <c r="G1474" i="6" a="1"/>
  <c r="G1474" i="6" s="1"/>
  <c r="I1474" i="6" a="1"/>
  <c r="I1474" i="6" s="1"/>
  <c r="E1258" i="6" a="1"/>
  <c r="E1258" i="6" s="1"/>
  <c r="G1258" i="6" a="1"/>
  <c r="G1258" i="6" s="1"/>
  <c r="I1258" i="6" a="1"/>
  <c r="I1258" i="6" s="1"/>
  <c r="D1258" i="6" a="1"/>
  <c r="D1258" i="6" s="1"/>
  <c r="F1258" i="6" a="1"/>
  <c r="F1258" i="6" s="1"/>
  <c r="E1126" i="6" a="1"/>
  <c r="E1126" i="6" s="1"/>
  <c r="I1126" i="6" a="1"/>
  <c r="I1126" i="6" s="1"/>
  <c r="D1126" i="6" a="1"/>
  <c r="D1126" i="6" s="1"/>
  <c r="E970" i="6" a="1"/>
  <c r="E970" i="6" s="1"/>
  <c r="G970" i="6" a="1"/>
  <c r="G970" i="6" s="1"/>
  <c r="I970" i="6" a="1"/>
  <c r="I970" i="6" s="1"/>
  <c r="D970" i="6" a="1"/>
  <c r="D970" i="6" s="1"/>
  <c r="F970" i="6" a="1"/>
  <c r="F970" i="6" s="1"/>
  <c r="E730" i="6" a="1"/>
  <c r="E730" i="6" s="1"/>
  <c r="F730" i="6" a="1"/>
  <c r="F730" i="6" s="1"/>
  <c r="G730" i="6" a="1"/>
  <c r="G730" i="6" s="1"/>
  <c r="I730" i="6" a="1"/>
  <c r="I730" i="6" s="1"/>
  <c r="F2255" i="6" a="1"/>
  <c r="F2255" i="6" s="1"/>
  <c r="D2279" i="6" a="1"/>
  <c r="D2279" i="6" s="1"/>
  <c r="D2255" i="6" a="1"/>
  <c r="D2255" i="6" s="1"/>
  <c r="F1942" i="6" a="1"/>
  <c r="F1942" i="6" s="1"/>
  <c r="G2182" i="6" a="1"/>
  <c r="G2182" i="6" s="1"/>
  <c r="F1714" i="6" a="1"/>
  <c r="F1714" i="6" s="1"/>
  <c r="D1702" i="6" a="1"/>
  <c r="D1702" i="6" s="1"/>
  <c r="F1655" i="6" a="1"/>
  <c r="F1655" i="6" s="1"/>
  <c r="F2290" i="6" a="1"/>
  <c r="F2290" i="6" s="1"/>
  <c r="F2242" i="6" a="1"/>
  <c r="F2242" i="6" s="1"/>
  <c r="D2231" i="6" a="1"/>
  <c r="D2231" i="6" s="1"/>
  <c r="I2205" i="6" a="1"/>
  <c r="I2205" i="6" s="1"/>
  <c r="D2135" i="6" a="1"/>
  <c r="D2135" i="6" s="1"/>
  <c r="D2099" i="6" a="1"/>
  <c r="D2099" i="6" s="1"/>
  <c r="D2073" i="6" a="1"/>
  <c r="D2073" i="6" s="1"/>
  <c r="G2038" i="6" a="1"/>
  <c r="G2038" i="6" s="1"/>
  <c r="F2027" i="6" a="1"/>
  <c r="F2027" i="6" s="1"/>
  <c r="F2001" i="6" a="1"/>
  <c r="F2001" i="6" s="1"/>
  <c r="D1967" i="6" a="1"/>
  <c r="D1967" i="6" s="1"/>
  <c r="G1929" i="6" a="1"/>
  <c r="G1929" i="6" s="1"/>
  <c r="F1845" i="6" a="1"/>
  <c r="F1845" i="6" s="1"/>
  <c r="D1835" i="6" a="1"/>
  <c r="D1835" i="6" s="1"/>
  <c r="F1822" i="6" a="1"/>
  <c r="F1822" i="6" s="1"/>
  <c r="G1701" i="6" a="1"/>
  <c r="G1701" i="6" s="1"/>
  <c r="I1690" i="6" a="1"/>
  <c r="I1690" i="6" s="1"/>
  <c r="D1678" i="6" a="1"/>
  <c r="D1678" i="6" s="1"/>
  <c r="I1643" i="6" a="1"/>
  <c r="I1643" i="6" s="1"/>
  <c r="D1606" i="6" a="1"/>
  <c r="D1606" i="6" s="1"/>
  <c r="F1306" i="6" a="1"/>
  <c r="F1306" i="6" s="1"/>
  <c r="G1163" i="6" a="1"/>
  <c r="G1163" i="6" s="1"/>
  <c r="F1055" i="6" a="1"/>
  <c r="F1055" i="6" s="1"/>
  <c r="D1006" i="6" a="1"/>
  <c r="D1006" i="6" s="1"/>
  <c r="D982" i="6" a="1"/>
  <c r="D982" i="6" s="1"/>
  <c r="F802" i="6" a="1"/>
  <c r="F802" i="6" s="1"/>
  <c r="D730" i="6" a="1"/>
  <c r="D730" i="6" s="1"/>
  <c r="E2267" i="6" a="1"/>
  <c r="E2267" i="6" s="1"/>
  <c r="I2267" i="6" a="1"/>
  <c r="I2267" i="6" s="1"/>
  <c r="D2267" i="6" a="1"/>
  <c r="D2267" i="6" s="1"/>
  <c r="E2219" i="6" a="1"/>
  <c r="E2219" i="6" s="1"/>
  <c r="I2219" i="6" a="1"/>
  <c r="I2219" i="6" s="1"/>
  <c r="D2219" i="6" a="1"/>
  <c r="D2219" i="6" s="1"/>
  <c r="F2219" i="6" a="1"/>
  <c r="F2219" i="6" s="1"/>
  <c r="E2171" i="6" a="1"/>
  <c r="E2171" i="6" s="1"/>
  <c r="I2171" i="6" a="1"/>
  <c r="I2171" i="6" s="1"/>
  <c r="E2075" i="6" a="1"/>
  <c r="E2075" i="6" s="1"/>
  <c r="I2075" i="6" a="1"/>
  <c r="I2075" i="6" s="1"/>
  <c r="D2075" i="6" a="1"/>
  <c r="D2075" i="6" s="1"/>
  <c r="F2075" i="6" a="1"/>
  <c r="F2075" i="6" s="1"/>
  <c r="E2039" i="6" a="1"/>
  <c r="E2039" i="6" s="1"/>
  <c r="I2039" i="6" a="1"/>
  <c r="I2039" i="6" s="1"/>
  <c r="E2003" i="6" a="1"/>
  <c r="E2003" i="6" s="1"/>
  <c r="I2003" i="6" a="1"/>
  <c r="I2003" i="6" s="1"/>
  <c r="D2003" i="6" a="1"/>
  <c r="D2003" i="6" s="1"/>
  <c r="F2003" i="6" a="1"/>
  <c r="F2003" i="6" s="1"/>
  <c r="E1955" i="6" a="1"/>
  <c r="E1955" i="6" s="1"/>
  <c r="I1955" i="6" a="1"/>
  <c r="I1955" i="6" s="1"/>
  <c r="E1907" i="6" a="1"/>
  <c r="E1907" i="6" s="1"/>
  <c r="I1907" i="6" a="1"/>
  <c r="I1907" i="6" s="1"/>
  <c r="F1907" i="6" a="1"/>
  <c r="F1907" i="6" s="1"/>
  <c r="E1871" i="6" a="1"/>
  <c r="E1871" i="6" s="1"/>
  <c r="I1871" i="6" a="1"/>
  <c r="I1871" i="6" s="1"/>
  <c r="F1871" i="6" a="1"/>
  <c r="F1871" i="6" s="1"/>
  <c r="E1823" i="6" a="1"/>
  <c r="E1823" i="6" s="1"/>
  <c r="I1823" i="6" a="1"/>
  <c r="I1823" i="6" s="1"/>
  <c r="F1823" i="6" a="1"/>
  <c r="F1823" i="6" s="1"/>
  <c r="G1823" i="6" a="1"/>
  <c r="G1823" i="6" s="1"/>
  <c r="E1787" i="6" a="1"/>
  <c r="E1787" i="6" s="1"/>
  <c r="I1787" i="6" a="1"/>
  <c r="I1787" i="6" s="1"/>
  <c r="F1787" i="6" a="1"/>
  <c r="F1787" i="6" s="1"/>
  <c r="G1787" i="6" a="1"/>
  <c r="G1787" i="6" s="1"/>
  <c r="E1751" i="6" a="1"/>
  <c r="E1751" i="6" s="1"/>
  <c r="I1751" i="6" a="1"/>
  <c r="I1751" i="6" s="1"/>
  <c r="F1751" i="6" a="1"/>
  <c r="F1751" i="6" s="1"/>
  <c r="G1751" i="6" a="1"/>
  <c r="G1751" i="6" s="1"/>
  <c r="E1667" i="6" a="1"/>
  <c r="E1667" i="6" s="1"/>
  <c r="D1667" i="6" a="1"/>
  <c r="D1667" i="6" s="1"/>
  <c r="I1667" i="6" a="1"/>
  <c r="I1667" i="6" s="1"/>
  <c r="E1631" i="6" a="1"/>
  <c r="E1631" i="6" s="1"/>
  <c r="D1631" i="6" a="1"/>
  <c r="D1631" i="6" s="1"/>
  <c r="G1631" i="6" a="1"/>
  <c r="G1631" i="6" s="1"/>
  <c r="E1571" i="6" a="1"/>
  <c r="E1571" i="6" s="1"/>
  <c r="D1571" i="6" a="1"/>
  <c r="D1571" i="6" s="1"/>
  <c r="F1571" i="6" a="1"/>
  <c r="F1571" i="6" s="1"/>
  <c r="G1571" i="6" a="1"/>
  <c r="G1571" i="6" s="1"/>
  <c r="I1571" i="6" a="1"/>
  <c r="I1571" i="6" s="1"/>
  <c r="E1523" i="6" a="1"/>
  <c r="E1523" i="6" s="1"/>
  <c r="D1523" i="6" a="1"/>
  <c r="D1523" i="6" s="1"/>
  <c r="F1523" i="6" a="1"/>
  <c r="F1523" i="6" s="1"/>
  <c r="G1523" i="6" a="1"/>
  <c r="G1523" i="6" s="1"/>
  <c r="I1523" i="6" a="1"/>
  <c r="I1523" i="6" s="1"/>
  <c r="E1487" i="6" a="1"/>
  <c r="E1487" i="6" s="1"/>
  <c r="D1487" i="6" a="1"/>
  <c r="D1487" i="6" s="1"/>
  <c r="F1487" i="6" a="1"/>
  <c r="F1487" i="6" s="1"/>
  <c r="G1487" i="6" a="1"/>
  <c r="G1487" i="6" s="1"/>
  <c r="E1451" i="6" a="1"/>
  <c r="E1451" i="6" s="1"/>
  <c r="D1451" i="6" a="1"/>
  <c r="D1451" i="6" s="1"/>
  <c r="G1451" i="6" a="1"/>
  <c r="G1451" i="6" s="1"/>
  <c r="I1451" i="6" a="1"/>
  <c r="I1451" i="6" s="1"/>
  <c r="E1415" i="6" a="1"/>
  <c r="E1415" i="6" s="1"/>
  <c r="D1415" i="6" a="1"/>
  <c r="D1415" i="6" s="1"/>
  <c r="F1415" i="6" a="1"/>
  <c r="F1415" i="6" s="1"/>
  <c r="G1415" i="6" a="1"/>
  <c r="G1415" i="6" s="1"/>
  <c r="I1415" i="6" a="1"/>
  <c r="I1415" i="6" s="1"/>
  <c r="E1379" i="6" a="1"/>
  <c r="E1379" i="6" s="1"/>
  <c r="D1379" i="6" a="1"/>
  <c r="D1379" i="6" s="1"/>
  <c r="G1379" i="6" a="1"/>
  <c r="G1379" i="6" s="1"/>
  <c r="I1379" i="6" a="1"/>
  <c r="I1379" i="6" s="1"/>
  <c r="F1379" i="6" a="1"/>
  <c r="F1379" i="6" s="1"/>
  <c r="E1343" i="6" a="1"/>
  <c r="E1343" i="6" s="1"/>
  <c r="D1343" i="6" a="1"/>
  <c r="D1343" i="6" s="1"/>
  <c r="F1343" i="6" a="1"/>
  <c r="F1343" i="6" s="1"/>
  <c r="G1343" i="6" a="1"/>
  <c r="G1343" i="6" s="1"/>
  <c r="I1343" i="6" a="1"/>
  <c r="I1343" i="6" s="1"/>
  <c r="E1283" i="6" a="1"/>
  <c r="E1283" i="6" s="1"/>
  <c r="D1283" i="6" a="1"/>
  <c r="D1283" i="6" s="1"/>
  <c r="F1283" i="6" a="1"/>
  <c r="F1283" i="6" s="1"/>
  <c r="G1283" i="6" a="1"/>
  <c r="G1283" i="6" s="1"/>
  <c r="I1283" i="6" a="1"/>
  <c r="I1283" i="6" s="1"/>
  <c r="E1235" i="6" a="1"/>
  <c r="E1235" i="6" s="1"/>
  <c r="D1235" i="6" a="1"/>
  <c r="D1235" i="6" s="1"/>
  <c r="F1235" i="6" a="1"/>
  <c r="F1235" i="6" s="1"/>
  <c r="G1235" i="6" a="1"/>
  <c r="G1235" i="6" s="1"/>
  <c r="I1235" i="6" a="1"/>
  <c r="I1235" i="6" s="1"/>
  <c r="E1199" i="6" a="1"/>
  <c r="E1199" i="6" s="1"/>
  <c r="D1199" i="6" a="1"/>
  <c r="D1199" i="6" s="1"/>
  <c r="G1199" i="6" a="1"/>
  <c r="G1199" i="6" s="1"/>
  <c r="E1151" i="6" a="1"/>
  <c r="E1151" i="6" s="1"/>
  <c r="D1151" i="6" a="1"/>
  <c r="D1151" i="6" s="1"/>
  <c r="G1151" i="6" a="1"/>
  <c r="G1151" i="6" s="1"/>
  <c r="I1151" i="6" a="1"/>
  <c r="I1151" i="6" s="1"/>
  <c r="F1151" i="6" a="1"/>
  <c r="F1151" i="6" s="1"/>
  <c r="E1115" i="6" a="1"/>
  <c r="E1115" i="6" s="1"/>
  <c r="D1115" i="6" a="1"/>
  <c r="D1115" i="6" s="1"/>
  <c r="F1115" i="6" a="1"/>
  <c r="F1115" i="6" s="1"/>
  <c r="G1115" i="6" a="1"/>
  <c r="G1115" i="6" s="1"/>
  <c r="I1115" i="6" a="1"/>
  <c r="I1115" i="6" s="1"/>
  <c r="E1079" i="6" a="1"/>
  <c r="E1079" i="6" s="1"/>
  <c r="D1079" i="6" a="1"/>
  <c r="D1079" i="6" s="1"/>
  <c r="F1079" i="6" a="1"/>
  <c r="F1079" i="6" s="1"/>
  <c r="E1031" i="6" a="1"/>
  <c r="E1031" i="6" s="1"/>
  <c r="D1031" i="6" a="1"/>
  <c r="D1031" i="6" s="1"/>
  <c r="I1031" i="6" a="1"/>
  <c r="I1031" i="6" s="1"/>
  <c r="E983" i="6" a="1"/>
  <c r="E983" i="6" s="1"/>
  <c r="D983" i="6" a="1"/>
  <c r="D983" i="6" s="1"/>
  <c r="F983" i="6" a="1"/>
  <c r="F983" i="6" s="1"/>
  <c r="G983" i="6" a="1"/>
  <c r="G983" i="6" s="1"/>
  <c r="I983" i="6" a="1"/>
  <c r="I983" i="6" s="1"/>
  <c r="E947" i="6" a="1"/>
  <c r="E947" i="6" s="1"/>
  <c r="D947" i="6" a="1"/>
  <c r="D947" i="6" s="1"/>
  <c r="F947" i="6" a="1"/>
  <c r="F947" i="6" s="1"/>
  <c r="G947" i="6" a="1"/>
  <c r="G947" i="6" s="1"/>
  <c r="I947" i="6" a="1"/>
  <c r="I947" i="6" s="1"/>
  <c r="E899" i="6" a="1"/>
  <c r="E899" i="6" s="1"/>
  <c r="D899" i="6" a="1"/>
  <c r="D899" i="6" s="1"/>
  <c r="F899" i="6" a="1"/>
  <c r="F899" i="6" s="1"/>
  <c r="G899" i="6" a="1"/>
  <c r="G899" i="6" s="1"/>
  <c r="I899" i="6" a="1"/>
  <c r="I899" i="6" s="1"/>
  <c r="E863" i="6" a="1"/>
  <c r="E863" i="6" s="1"/>
  <c r="D863" i="6" a="1"/>
  <c r="D863" i="6" s="1"/>
  <c r="G863" i="6" a="1"/>
  <c r="G863" i="6" s="1"/>
  <c r="I863" i="6" a="1"/>
  <c r="I863" i="6" s="1"/>
  <c r="F863" i="6" a="1"/>
  <c r="F863" i="6" s="1"/>
  <c r="E815" i="6" a="1"/>
  <c r="E815" i="6" s="1"/>
  <c r="D815" i="6" a="1"/>
  <c r="D815" i="6" s="1"/>
  <c r="I815" i="6" a="1"/>
  <c r="I815" i="6" s="1"/>
  <c r="F815" i="6" a="1"/>
  <c r="F815" i="6" s="1"/>
  <c r="G815" i="6" a="1"/>
  <c r="G815" i="6" s="1"/>
  <c r="E767" i="6" a="1"/>
  <c r="E767" i="6" s="1"/>
  <c r="D767" i="6" a="1"/>
  <c r="D767" i="6" s="1"/>
  <c r="I767" i="6" a="1"/>
  <c r="I767" i="6" s="1"/>
  <c r="E671" i="6" a="1"/>
  <c r="E671" i="6" s="1"/>
  <c r="D671" i="6" a="1"/>
  <c r="D671" i="6" s="1"/>
  <c r="F671" i="6" a="1"/>
  <c r="F671" i="6" s="1"/>
  <c r="G671" i="6" a="1"/>
  <c r="G671" i="6" s="1"/>
  <c r="I671" i="6" a="1"/>
  <c r="I671" i="6" s="1"/>
  <c r="E635" i="6" a="1"/>
  <c r="E635" i="6" s="1"/>
  <c r="D635" i="6" a="1"/>
  <c r="D635" i="6" s="1"/>
  <c r="F635" i="6" a="1"/>
  <c r="F635" i="6" s="1"/>
  <c r="E599" i="6" a="1"/>
  <c r="E599" i="6" s="1"/>
  <c r="G599" i="6" a="1"/>
  <c r="G599" i="6" s="1"/>
  <c r="D599" i="6" a="1"/>
  <c r="D599" i="6" s="1"/>
  <c r="F599" i="6" a="1"/>
  <c r="F599" i="6" s="1"/>
  <c r="I599" i="6" a="1"/>
  <c r="I599" i="6" s="1"/>
  <c r="E587" i="6" a="1"/>
  <c r="E587" i="6" s="1"/>
  <c r="F587" i="6" a="1"/>
  <c r="F587" i="6" s="1"/>
  <c r="I587" i="6" a="1"/>
  <c r="I587" i="6" s="1"/>
  <c r="G587" i="6" a="1"/>
  <c r="G587" i="6" s="1"/>
  <c r="E551" i="6" a="1"/>
  <c r="E551" i="6" s="1"/>
  <c r="D551" i="6" a="1"/>
  <c r="D551" i="6" s="1"/>
  <c r="F551" i="6" a="1"/>
  <c r="F551" i="6" s="1"/>
  <c r="G551" i="6" a="1"/>
  <c r="G551" i="6" s="1"/>
  <c r="I551" i="6" a="1"/>
  <c r="I551" i="6" s="1"/>
  <c r="E515" i="6" a="1"/>
  <c r="E515" i="6" s="1"/>
  <c r="D515" i="6" a="1"/>
  <c r="D515" i="6" s="1"/>
  <c r="G515" i="6" a="1"/>
  <c r="G515" i="6" s="1"/>
  <c r="I515" i="6" a="1"/>
  <c r="I515" i="6" s="1"/>
  <c r="I1631" i="6" a="1"/>
  <c r="I1631" i="6" s="1"/>
  <c r="I1331" i="6" a="1"/>
  <c r="I1331" i="6" s="1"/>
  <c r="E2314" i="6" a="1"/>
  <c r="E2314" i="6" s="1"/>
  <c r="I2314" i="6" a="1"/>
  <c r="I2314" i="6" s="1"/>
  <c r="E2254" i="6" a="1"/>
  <c r="E2254" i="6" s="1"/>
  <c r="I2254" i="6" a="1"/>
  <c r="I2254" i="6" s="1"/>
  <c r="D2254" i="6" a="1"/>
  <c r="D2254" i="6" s="1"/>
  <c r="F2254" i="6" a="1"/>
  <c r="F2254" i="6" s="1"/>
  <c r="E2170" i="6" a="1"/>
  <c r="E2170" i="6" s="1"/>
  <c r="I2170" i="6" a="1"/>
  <c r="I2170" i="6" s="1"/>
  <c r="E2098" i="6" a="1"/>
  <c r="E2098" i="6" s="1"/>
  <c r="I2098" i="6" a="1"/>
  <c r="I2098" i="6" s="1"/>
  <c r="E2014" i="6" a="1"/>
  <c r="E2014" i="6" s="1"/>
  <c r="I2014" i="6" a="1"/>
  <c r="I2014" i="6" s="1"/>
  <c r="E1954" i="6" a="1"/>
  <c r="E1954" i="6" s="1"/>
  <c r="I1954" i="6" a="1"/>
  <c r="I1954" i="6" s="1"/>
  <c r="E1882" i="6" a="1"/>
  <c r="E1882" i="6" s="1"/>
  <c r="I1882" i="6" a="1"/>
  <c r="I1882" i="6" s="1"/>
  <c r="D1882" i="6" a="1"/>
  <c r="D1882" i="6" s="1"/>
  <c r="F1882" i="6" a="1"/>
  <c r="F1882" i="6" s="1"/>
  <c r="G1882" i="6" a="1"/>
  <c r="G1882" i="6" s="1"/>
  <c r="E1798" i="6" a="1"/>
  <c r="E1798" i="6" s="1"/>
  <c r="I1798" i="6" a="1"/>
  <c r="I1798" i="6" s="1"/>
  <c r="D1798" i="6" a="1"/>
  <c r="D1798" i="6" s="1"/>
  <c r="F1798" i="6" a="1"/>
  <c r="F1798" i="6" s="1"/>
  <c r="E1726" i="6" a="1"/>
  <c r="E1726" i="6" s="1"/>
  <c r="I1726" i="6" a="1"/>
  <c r="I1726" i="6" s="1"/>
  <c r="D1726" i="6" a="1"/>
  <c r="D1726" i="6" s="1"/>
  <c r="F1726" i="6" a="1"/>
  <c r="F1726" i="6" s="1"/>
  <c r="E1654" i="6" a="1"/>
  <c r="E1654" i="6" s="1"/>
  <c r="F1654" i="6" a="1"/>
  <c r="F1654" i="6" s="1"/>
  <c r="E1558" i="6" a="1"/>
  <c r="E1558" i="6" s="1"/>
  <c r="D1558" i="6" a="1"/>
  <c r="D1558" i="6" s="1"/>
  <c r="F1558" i="6" a="1"/>
  <c r="F1558" i="6" s="1"/>
  <c r="E1462" i="6" a="1"/>
  <c r="E1462" i="6" s="1"/>
  <c r="D1462" i="6" a="1"/>
  <c r="D1462" i="6" s="1"/>
  <c r="F1462" i="6" a="1"/>
  <c r="F1462" i="6" s="1"/>
  <c r="E1366" i="6" a="1"/>
  <c r="E1366" i="6" s="1"/>
  <c r="I1366" i="6" a="1"/>
  <c r="I1366" i="6" s="1"/>
  <c r="F1366" i="6" a="1"/>
  <c r="F1366" i="6" s="1"/>
  <c r="E1294" i="6" a="1"/>
  <c r="E1294" i="6" s="1"/>
  <c r="F1294" i="6" a="1"/>
  <c r="F1294" i="6" s="1"/>
  <c r="E1174" i="6" a="1"/>
  <c r="E1174" i="6" s="1"/>
  <c r="D1174" i="6" a="1"/>
  <c r="D1174" i="6" s="1"/>
  <c r="I1174" i="6" a="1"/>
  <c r="I1174" i="6" s="1"/>
  <c r="F1174" i="6" a="1"/>
  <c r="F1174" i="6" s="1"/>
  <c r="G1174" i="6" a="1"/>
  <c r="G1174" i="6" s="1"/>
  <c r="E994" i="6" a="1"/>
  <c r="E994" i="6" s="1"/>
  <c r="D994" i="6" a="1"/>
  <c r="D994" i="6" s="1"/>
  <c r="F994" i="6" a="1"/>
  <c r="F994" i="6" s="1"/>
  <c r="G994" i="6" a="1"/>
  <c r="G994" i="6" s="1"/>
  <c r="D1895" i="6" a="1"/>
  <c r="D1895" i="6" s="1"/>
  <c r="D1751" i="6" a="1"/>
  <c r="D1751" i="6" s="1"/>
  <c r="F2339" i="6" a="1"/>
  <c r="F2339" i="6" s="1"/>
  <c r="F2014" i="6" a="1"/>
  <c r="F2014" i="6" s="1"/>
  <c r="D1954" i="6" a="1"/>
  <c r="D1954" i="6" s="1"/>
  <c r="G1942" i="6" a="1"/>
  <c r="G1942" i="6" s="1"/>
  <c r="G1907" i="6" a="1"/>
  <c r="G1907" i="6" s="1"/>
  <c r="G2051" i="6" a="1"/>
  <c r="G2051" i="6" s="1"/>
  <c r="I1462" i="6" a="1"/>
  <c r="I1462" i="6" s="1"/>
  <c r="D2243" i="6" a="1"/>
  <c r="D2243" i="6" s="1"/>
  <c r="D2111" i="6" a="1"/>
  <c r="D2111" i="6" s="1"/>
  <c r="G1967" i="6" a="1"/>
  <c r="G1967" i="6" s="1"/>
  <c r="D1930" i="6" a="1"/>
  <c r="D1930" i="6" s="1"/>
  <c r="G1726" i="6" a="1"/>
  <c r="G1726" i="6" s="1"/>
  <c r="I1691" i="6" a="1"/>
  <c r="I1691" i="6" s="1"/>
  <c r="F2291" i="6" a="1"/>
  <c r="F2291" i="6" s="1"/>
  <c r="D2277" i="6" a="1"/>
  <c r="D2277" i="6" s="1"/>
  <c r="I2325" i="6" a="1"/>
  <c r="I2325" i="6" s="1"/>
  <c r="G2315" i="6" a="1"/>
  <c r="G2315" i="6" s="1"/>
  <c r="G2170" i="6" a="1"/>
  <c r="G2170" i="6" s="1"/>
  <c r="I2109" i="6" a="1"/>
  <c r="I2109" i="6" s="1"/>
  <c r="G2325" i="6" a="1"/>
  <c r="G2325" i="6" s="1"/>
  <c r="F2315" i="6" a="1"/>
  <c r="F2315" i="6" s="1"/>
  <c r="D2290" i="6" a="1"/>
  <c r="D2290" i="6" s="1"/>
  <c r="F2267" i="6" a="1"/>
  <c r="F2267" i="6" s="1"/>
  <c r="D2242" i="6" a="1"/>
  <c r="D2242" i="6" s="1"/>
  <c r="G2230" i="6" a="1"/>
  <c r="G2230" i="6" s="1"/>
  <c r="G2205" i="6" a="1"/>
  <c r="G2205" i="6" s="1"/>
  <c r="F2170" i="6" a="1"/>
  <c r="F2170" i="6" s="1"/>
  <c r="D2159" i="6" a="1"/>
  <c r="D2159" i="6" s="1"/>
  <c r="I2133" i="6" a="1"/>
  <c r="I2133" i="6" s="1"/>
  <c r="G2098" i="6" a="1"/>
  <c r="G2098" i="6" s="1"/>
  <c r="D2063" i="6" a="1"/>
  <c r="D2063" i="6" s="1"/>
  <c r="I2037" i="6" a="1"/>
  <c r="I2037" i="6" s="1"/>
  <c r="D2027" i="6" a="1"/>
  <c r="D2027" i="6" s="1"/>
  <c r="D2001" i="6" a="1"/>
  <c r="D2001" i="6" s="1"/>
  <c r="G1966" i="6" a="1"/>
  <c r="G1966" i="6" s="1"/>
  <c r="F1955" i="6" a="1"/>
  <c r="F1955" i="6" s="1"/>
  <c r="F1929" i="6" a="1"/>
  <c r="F1929" i="6" s="1"/>
  <c r="G1834" i="6" a="1"/>
  <c r="G1834" i="6" s="1"/>
  <c r="I1821" i="6" a="1"/>
  <c r="I1821" i="6" s="1"/>
  <c r="I1809" i="6" a="1"/>
  <c r="I1809" i="6" s="1"/>
  <c r="D1787" i="6" a="1"/>
  <c r="D1787" i="6" s="1"/>
  <c r="G1690" i="6" a="1"/>
  <c r="G1690" i="6" s="1"/>
  <c r="G1677" i="6" a="1"/>
  <c r="G1677" i="6" s="1"/>
  <c r="F1667" i="6" a="1"/>
  <c r="F1667" i="6" s="1"/>
  <c r="D1654" i="6" a="1"/>
  <c r="D1654" i="6" s="1"/>
  <c r="G1558" i="6" a="1"/>
  <c r="G1558" i="6" s="1"/>
  <c r="D1426" i="6" a="1"/>
  <c r="D1426" i="6" s="1"/>
  <c r="F1163" i="6" a="1"/>
  <c r="F1163" i="6" s="1"/>
  <c r="I1079" i="6" a="1"/>
  <c r="I1079" i="6" s="1"/>
  <c r="I1054" i="6" a="1"/>
  <c r="I1054" i="6" s="1"/>
  <c r="E852" i="6" a="1"/>
  <c r="E852" i="6" s="1"/>
  <c r="I852" i="6" a="1"/>
  <c r="I852" i="6" s="1"/>
  <c r="E840" i="6" a="1"/>
  <c r="E840" i="6" s="1"/>
  <c r="I840" i="6" a="1"/>
  <c r="I840" i="6" s="1"/>
  <c r="E828" i="6" a="1"/>
  <c r="E828" i="6" s="1"/>
  <c r="I828" i="6" a="1"/>
  <c r="I828" i="6" s="1"/>
  <c r="E816" i="6" a="1"/>
  <c r="E816" i="6" s="1"/>
  <c r="I816" i="6" a="1"/>
  <c r="I816" i="6" s="1"/>
  <c r="E804" i="6" a="1"/>
  <c r="E804" i="6" s="1"/>
  <c r="I804" i="6" a="1"/>
  <c r="I804" i="6" s="1"/>
  <c r="E792" i="6" a="1"/>
  <c r="E792" i="6" s="1"/>
  <c r="I792" i="6" a="1"/>
  <c r="I792" i="6" s="1"/>
  <c r="E780" i="6" a="1"/>
  <c r="E780" i="6" s="1"/>
  <c r="I780" i="6" a="1"/>
  <c r="I780" i="6" s="1"/>
  <c r="E768" i="6" a="1"/>
  <c r="E768" i="6" s="1"/>
  <c r="I768" i="6" a="1"/>
  <c r="I768" i="6" s="1"/>
  <c r="E756" i="6" a="1"/>
  <c r="E756" i="6" s="1"/>
  <c r="I756" i="6" a="1"/>
  <c r="I756" i="6" s="1"/>
  <c r="E744" i="6" a="1"/>
  <c r="E744" i="6" s="1"/>
  <c r="I744" i="6" a="1"/>
  <c r="I744" i="6" s="1"/>
  <c r="E732" i="6" a="1"/>
  <c r="E732" i="6" s="1"/>
  <c r="I732" i="6" a="1"/>
  <c r="I732" i="6" s="1"/>
  <c r="E720" i="6" a="1"/>
  <c r="E720" i="6" s="1"/>
  <c r="I720" i="6" a="1"/>
  <c r="I720" i="6" s="1"/>
  <c r="E708" i="6" a="1"/>
  <c r="E708" i="6" s="1"/>
  <c r="I708" i="6" a="1"/>
  <c r="I708" i="6" s="1"/>
  <c r="E696" i="6" a="1"/>
  <c r="E696" i="6" s="1"/>
  <c r="I696" i="6" a="1"/>
  <c r="I696" i="6" s="1"/>
  <c r="E684" i="6" a="1"/>
  <c r="E684" i="6" s="1"/>
  <c r="I684" i="6" a="1"/>
  <c r="I684" i="6" s="1"/>
  <c r="E672" i="6" a="1"/>
  <c r="E672" i="6" s="1"/>
  <c r="I672" i="6" a="1"/>
  <c r="I672" i="6" s="1"/>
  <c r="E660" i="6" a="1"/>
  <c r="E660" i="6" s="1"/>
  <c r="I660" i="6" a="1"/>
  <c r="I660" i="6" s="1"/>
  <c r="E648" i="6" a="1"/>
  <c r="E648" i="6" s="1"/>
  <c r="I648" i="6" a="1"/>
  <c r="I648" i="6" s="1"/>
  <c r="E636" i="6" a="1"/>
  <c r="E636" i="6" s="1"/>
  <c r="I636" i="6" a="1"/>
  <c r="I636" i="6" s="1"/>
  <c r="E624" i="6" a="1"/>
  <c r="E624" i="6" s="1"/>
  <c r="I624" i="6" a="1"/>
  <c r="I624" i="6" s="1"/>
  <c r="E612" i="6" a="1"/>
  <c r="E612" i="6" s="1"/>
  <c r="I612" i="6" a="1"/>
  <c r="I612" i="6" s="1"/>
  <c r="E600" i="6" a="1"/>
  <c r="E600" i="6" s="1"/>
  <c r="I600" i="6" a="1"/>
  <c r="I600" i="6" s="1"/>
  <c r="E588" i="6" a="1"/>
  <c r="E588" i="6" s="1"/>
  <c r="I588" i="6" a="1"/>
  <c r="I588" i="6" s="1"/>
  <c r="E576" i="6" a="1"/>
  <c r="E576" i="6" s="1"/>
  <c r="I576" i="6" a="1"/>
  <c r="I576" i="6" s="1"/>
  <c r="E564" i="6" a="1"/>
  <c r="E564" i="6" s="1"/>
  <c r="I564" i="6" a="1"/>
  <c r="I564" i="6" s="1"/>
  <c r="E552" i="6" a="1"/>
  <c r="E552" i="6" s="1"/>
  <c r="I552" i="6" a="1"/>
  <c r="I552" i="6" s="1"/>
  <c r="E540" i="6" a="1"/>
  <c r="E540" i="6" s="1"/>
  <c r="I540" i="6" a="1"/>
  <c r="I540" i="6" s="1"/>
  <c r="E528" i="6" a="1"/>
  <c r="E528" i="6" s="1"/>
  <c r="I528" i="6" a="1"/>
  <c r="I528" i="6" s="1"/>
  <c r="E516" i="6" a="1"/>
  <c r="E516" i="6" s="1"/>
  <c r="I516" i="6" a="1"/>
  <c r="I516" i="6" s="1"/>
  <c r="E501" i="6" a="1"/>
  <c r="E501" i="6" s="1"/>
  <c r="G376" i="6" a="1"/>
  <c r="G376" i="6" s="1"/>
  <c r="F291" i="6" a="1"/>
  <c r="F291" i="6" s="1"/>
  <c r="F88" i="6" a="1"/>
  <c r="F88" i="6" s="1"/>
  <c r="I171" i="6" a="1"/>
  <c r="I171" i="6" s="1"/>
  <c r="D88" i="6" a="1"/>
  <c r="D88" i="6" s="1"/>
  <c r="I412" i="6" a="1"/>
  <c r="I412" i="6" s="1"/>
  <c r="F279" i="6" a="1"/>
  <c r="F279" i="6" s="1"/>
  <c r="F87" i="6" a="1"/>
  <c r="F87" i="6" s="1"/>
  <c r="E468" i="6" a="1"/>
  <c r="E468" i="6" s="1"/>
  <c r="G460" i="6" a="1"/>
  <c r="G460" i="6" s="1"/>
  <c r="E466" i="6" a="1"/>
  <c r="E466" i="6" s="1"/>
  <c r="E442" i="6" a="1"/>
  <c r="E442" i="6" s="1"/>
  <c r="E430" i="6" a="1"/>
  <c r="E430" i="6" s="1"/>
  <c r="E406" i="6" a="1"/>
  <c r="E406" i="6" s="1"/>
  <c r="E394" i="6" a="1"/>
  <c r="E394" i="6" s="1"/>
  <c r="E382" i="6" a="1"/>
  <c r="E382" i="6" s="1"/>
  <c r="E370" i="6" a="1"/>
  <c r="E370" i="6" s="1"/>
  <c r="E250" i="6" a="1"/>
  <c r="E250" i="6" s="1"/>
  <c r="E154" i="6" a="1"/>
  <c r="E154" i="6" s="1"/>
  <c r="E142" i="6" a="1"/>
  <c r="E142" i="6" s="1"/>
  <c r="E82" i="6" a="1"/>
  <c r="E82" i="6" s="1"/>
  <c r="D76" i="6" a="1"/>
  <c r="D76" i="6" s="1"/>
  <c r="G399" i="6" a="1"/>
  <c r="G399" i="6" s="1"/>
  <c r="G208" i="6" a="1"/>
  <c r="G208" i="6" s="1"/>
  <c r="D63" i="6" a="1"/>
  <c r="D63" i="6" s="1"/>
  <c r="F436" i="6" a="1"/>
  <c r="F436" i="6" s="1"/>
  <c r="D406" i="6" a="1"/>
  <c r="D406" i="6" s="1"/>
  <c r="F376" i="6" a="1"/>
  <c r="F376" i="6" s="1"/>
  <c r="G283" i="6" a="1"/>
  <c r="G283" i="6" s="1"/>
  <c r="E256" i="6" a="1"/>
  <c r="E256" i="6" s="1"/>
  <c r="E220" i="6" a="1"/>
  <c r="E220" i="6" s="1"/>
  <c r="E184" i="6" a="1"/>
  <c r="E184" i="6" s="1"/>
  <c r="E172" i="6" a="1"/>
  <c r="E172" i="6" s="1"/>
  <c r="E160" i="6" a="1"/>
  <c r="E160" i="6" s="1"/>
  <c r="E148" i="6" a="1"/>
  <c r="E148" i="6" s="1"/>
  <c r="E136" i="6" a="1"/>
  <c r="E136" i="6" s="1"/>
  <c r="E124" i="6" a="1"/>
  <c r="E124" i="6" s="1"/>
  <c r="E100" i="6" a="1"/>
  <c r="E100" i="6" s="1"/>
  <c r="E28" i="6" a="1"/>
  <c r="E28" i="6" s="1"/>
  <c r="I466" i="6" a="1"/>
  <c r="I466" i="6" s="1"/>
  <c r="I454" i="6" a="1"/>
  <c r="I454" i="6" s="1"/>
  <c r="I424" i="6" a="1"/>
  <c r="I424" i="6" s="1"/>
  <c r="F364" i="6" a="1"/>
  <c r="F364" i="6" s="1"/>
  <c r="G202" i="6" a="1"/>
  <c r="G202" i="6" s="1"/>
  <c r="E219" i="6" a="1"/>
  <c r="E219" i="6" s="1"/>
  <c r="E207" i="6" a="1"/>
  <c r="E207" i="6" s="1"/>
  <c r="E195" i="6" a="1"/>
  <c r="E195" i="6" s="1"/>
  <c r="E183" i="6" a="1"/>
  <c r="E183" i="6" s="1"/>
  <c r="E171" i="6" a="1"/>
  <c r="E171" i="6" s="1"/>
  <c r="E159" i="6" a="1"/>
  <c r="E159" i="6" s="1"/>
  <c r="E147" i="6" a="1"/>
  <c r="E147" i="6" s="1"/>
  <c r="E135" i="6" a="1"/>
  <c r="E135" i="6" s="1"/>
  <c r="E123" i="6" a="1"/>
  <c r="E123" i="6" s="1"/>
  <c r="E111" i="6" a="1"/>
  <c r="E111" i="6" s="1"/>
  <c r="E99" i="6" a="1"/>
  <c r="E99" i="6" s="1"/>
  <c r="E75" i="6" a="1"/>
  <c r="E75" i="6" s="1"/>
  <c r="E39" i="6" a="1"/>
  <c r="E39" i="6" s="1"/>
  <c r="E27" i="6" a="1"/>
  <c r="E27" i="6" s="1"/>
  <c r="G466" i="6" a="1"/>
  <c r="G466" i="6" s="1"/>
  <c r="D454" i="6" a="1"/>
  <c r="D454" i="6" s="1"/>
  <c r="F424" i="6" a="1"/>
  <c r="F424" i="6" s="1"/>
  <c r="F399" i="6" a="1"/>
  <c r="F399" i="6" s="1"/>
  <c r="G363" i="6" a="1"/>
  <c r="G363" i="6" s="1"/>
  <c r="F238" i="6" a="1"/>
  <c r="F238" i="6" s="1"/>
  <c r="D202" i="6" a="1"/>
  <c r="D202" i="6" s="1"/>
  <c r="D160" i="6" a="1"/>
  <c r="D160" i="6" s="1"/>
  <c r="G100" i="6" a="1"/>
  <c r="G100" i="6" s="1"/>
  <c r="G75" i="6" a="1"/>
  <c r="G75" i="6" s="1"/>
  <c r="F40" i="6" a="1"/>
  <c r="F40" i="6" s="1"/>
  <c r="E362" i="6" a="1"/>
  <c r="E362" i="6" s="1"/>
  <c r="E254" i="6" a="1"/>
  <c r="E254" i="6" s="1"/>
  <c r="E218" i="6" a="1"/>
  <c r="E218" i="6" s="1"/>
  <c r="E86" i="6" a="1"/>
  <c r="E86" i="6" s="1"/>
  <c r="E74" i="6" a="1"/>
  <c r="E74" i="6" s="1"/>
  <c r="E62" i="6" a="1"/>
  <c r="E62" i="6" s="1"/>
  <c r="E38" i="6" a="1"/>
  <c r="E38" i="6" s="1"/>
  <c r="E26" i="6" a="1"/>
  <c r="E26" i="6" s="1"/>
  <c r="E405" i="6" a="1"/>
  <c r="E405" i="6" s="1"/>
  <c r="E393" i="6" a="1"/>
  <c r="E393" i="6" s="1"/>
  <c r="D466" i="6" a="1"/>
  <c r="D466" i="6" s="1"/>
  <c r="G448" i="6" a="1"/>
  <c r="G448" i="6" s="1"/>
  <c r="I316" i="6" a="1"/>
  <c r="I316" i="6" s="1"/>
  <c r="F232" i="6" a="1"/>
  <c r="F232" i="6" s="1"/>
  <c r="I159" i="6" a="1"/>
  <c r="I159" i="6" s="1"/>
  <c r="F100" i="6" a="1"/>
  <c r="F100" i="6" s="1"/>
  <c r="F75" i="6" a="1"/>
  <c r="F75" i="6" s="1"/>
  <c r="G39" i="6" a="1"/>
  <c r="G39" i="6" s="1"/>
  <c r="E385" i="6" a="1"/>
  <c r="E385" i="6" s="1"/>
  <c r="F448" i="6" a="1"/>
  <c r="F448" i="6" s="1"/>
  <c r="F418" i="6" a="1"/>
  <c r="F418" i="6" s="1"/>
  <c r="G388" i="6" a="1"/>
  <c r="G388" i="6" s="1"/>
  <c r="I220" i="6" a="1"/>
  <c r="I220" i="6" s="1"/>
  <c r="I196" i="6" a="1"/>
  <c r="I196" i="6" s="1"/>
  <c r="F99" i="6" a="1"/>
  <c r="F99" i="6" s="1"/>
  <c r="D75" i="6" a="1"/>
  <c r="D75" i="6" s="1"/>
  <c r="I460" i="6" a="1"/>
  <c r="I460" i="6" s="1"/>
  <c r="D448" i="6" a="1"/>
  <c r="D448" i="6" s="1"/>
  <c r="D418" i="6" a="1"/>
  <c r="D418" i="6" s="1"/>
  <c r="D388" i="6" a="1"/>
  <c r="D388" i="6" s="1"/>
  <c r="D352" i="6" a="1"/>
  <c r="D352" i="6" s="1"/>
  <c r="F262" i="6" a="1"/>
  <c r="F262" i="6" s="1"/>
  <c r="G220" i="6" a="1"/>
  <c r="G220" i="6" s="1"/>
  <c r="D196" i="6" a="1"/>
  <c r="D196" i="6" s="1"/>
  <c r="G88" i="6" a="1"/>
  <c r="G88" i="6" s="1"/>
  <c r="I64" i="6" a="1"/>
  <c r="I64" i="6" s="1"/>
  <c r="I28" i="6" a="1"/>
  <c r="I28" i="6" s="1"/>
  <c r="E455" i="6" a="1"/>
  <c r="E455" i="6" s="1"/>
  <c r="E431" i="6" a="1"/>
  <c r="E431" i="6" s="1"/>
  <c r="E419" i="6" a="1"/>
  <c r="E419" i="6" s="1"/>
  <c r="E407" i="6" a="1"/>
  <c r="E407" i="6" s="1"/>
  <c r="E395" i="6" a="1"/>
  <c r="E395" i="6" s="1"/>
  <c r="E347" i="6" a="1"/>
  <c r="E347" i="6" s="1"/>
  <c r="E323" i="6" a="1"/>
  <c r="E323" i="6" s="1"/>
  <c r="E311" i="6" a="1"/>
  <c r="E311" i="6" s="1"/>
  <c r="E299" i="6" a="1"/>
  <c r="E299" i="6" s="1"/>
  <c r="E287" i="6" a="1"/>
  <c r="E287" i="6" s="1"/>
  <c r="E263" i="6" a="1"/>
  <c r="E263" i="6" s="1"/>
  <c r="E251" i="6" a="1"/>
  <c r="E251" i="6" s="1"/>
  <c r="E239" i="6" a="1"/>
  <c r="E239" i="6" s="1"/>
  <c r="E227" i="6" a="1"/>
  <c r="E227" i="6" s="1"/>
  <c r="E215" i="6" a="1"/>
  <c r="E215" i="6" s="1"/>
  <c r="E203" i="6" a="1"/>
  <c r="E203" i="6" s="1"/>
  <c r="E191" i="6" a="1"/>
  <c r="E191" i="6" s="1"/>
  <c r="E179" i="6" a="1"/>
  <c r="E179" i="6" s="1"/>
  <c r="E167" i="6" a="1"/>
  <c r="E167" i="6" s="1"/>
  <c r="E155" i="6" a="1"/>
  <c r="E155" i="6" s="1"/>
  <c r="E131" i="6" a="1"/>
  <c r="E131" i="6" s="1"/>
  <c r="E107" i="6" a="1"/>
  <c r="E107" i="6" s="1"/>
  <c r="E95" i="6" a="1"/>
  <c r="E95" i="6" s="1"/>
  <c r="E83" i="6" a="1"/>
  <c r="E83" i="6" s="1"/>
  <c r="E59" i="6" a="1"/>
  <c r="E59" i="6" s="1"/>
  <c r="E47" i="6" a="1"/>
  <c r="E47" i="6" s="1"/>
  <c r="E35" i="6" a="1"/>
  <c r="E35" i="6" s="1"/>
  <c r="E23" i="6" a="1"/>
  <c r="E23" i="6" s="1"/>
  <c r="E11" i="6" a="1"/>
  <c r="E11" i="6" s="1"/>
  <c r="E462" i="6" a="1"/>
  <c r="E462" i="6" s="1"/>
  <c r="F460" i="6" a="1"/>
  <c r="F460" i="6" s="1"/>
  <c r="G442" i="6" a="1"/>
  <c r="G442" i="6" s="1"/>
  <c r="G412" i="6" a="1"/>
  <c r="G412" i="6" s="1"/>
  <c r="D302" i="6" a="1"/>
  <c r="D302" i="6" s="1"/>
  <c r="D158" i="6" a="1"/>
  <c r="D158" i="6" s="1"/>
  <c r="I500" i="6" a="1"/>
  <c r="I500" i="6" s="1"/>
  <c r="G500" i="6" a="1"/>
  <c r="G500" i="6" s="1"/>
  <c r="I494" i="6" a="1"/>
  <c r="I494" i="6" s="1"/>
  <c r="G482" i="6" a="1"/>
  <c r="G482" i="6" s="1"/>
  <c r="G470" i="6" a="1"/>
  <c r="G470" i="6" s="1"/>
  <c r="I397" i="6" a="1"/>
  <c r="I397" i="6" s="1"/>
  <c r="I170" i="6" a="1"/>
  <c r="I170" i="6" s="1"/>
  <c r="D121" i="6" a="1"/>
  <c r="D121" i="6" s="1"/>
  <c r="E474" i="6" a="1"/>
  <c r="E474" i="6" s="1"/>
  <c r="E270" i="6" a="1"/>
  <c r="E270" i="6" s="1"/>
  <c r="E234" i="6" a="1"/>
  <c r="E234" i="6" s="1"/>
  <c r="E198" i="6" a="1"/>
  <c r="E198" i="6" s="1"/>
  <c r="E162" i="6" a="1"/>
  <c r="E162" i="6" s="1"/>
  <c r="E66" i="6" a="1"/>
  <c r="E66" i="6" s="1"/>
  <c r="E409" i="6" a="1"/>
  <c r="E409" i="6" s="1"/>
  <c r="E205" i="6" a="1"/>
  <c r="E205" i="6" s="1"/>
  <c r="F500" i="6" a="1"/>
  <c r="F500" i="6" s="1"/>
  <c r="F494" i="6" a="1"/>
  <c r="F494" i="6" s="1"/>
  <c r="F482" i="6" a="1"/>
  <c r="F482" i="6" s="1"/>
  <c r="F470" i="6" a="1"/>
  <c r="F470" i="6" s="1"/>
  <c r="D430" i="6" a="1"/>
  <c r="D430" i="6" s="1"/>
  <c r="F397" i="6" a="1"/>
  <c r="F397" i="6" s="1"/>
  <c r="G170" i="6" a="1"/>
  <c r="G170" i="6" s="1"/>
  <c r="I118" i="6" a="1"/>
  <c r="I118" i="6" s="1"/>
  <c r="E497" i="6" a="1"/>
  <c r="E497" i="6" s="1"/>
  <c r="E461" i="6" a="1"/>
  <c r="E461" i="6" s="1"/>
  <c r="E437" i="6" a="1"/>
  <c r="E437" i="6" s="1"/>
  <c r="E413" i="6" a="1"/>
  <c r="E413" i="6" s="1"/>
  <c r="E377" i="6" a="1"/>
  <c r="E377" i="6" s="1"/>
  <c r="E365" i="6" a="1"/>
  <c r="E365" i="6" s="1"/>
  <c r="E353" i="6" a="1"/>
  <c r="E353" i="6" s="1"/>
  <c r="E341" i="6" a="1"/>
  <c r="E341" i="6" s="1"/>
  <c r="E329" i="6" a="1"/>
  <c r="E329" i="6" s="1"/>
  <c r="E317" i="6" a="1"/>
  <c r="E317" i="6" s="1"/>
  <c r="E293" i="6" a="1"/>
  <c r="E293" i="6" s="1"/>
  <c r="E281" i="6" a="1"/>
  <c r="E281" i="6" s="1"/>
  <c r="E257" i="6" a="1"/>
  <c r="E257" i="6" s="1"/>
  <c r="E245" i="6" a="1"/>
  <c r="E245" i="6" s="1"/>
  <c r="E233" i="6" a="1"/>
  <c r="E233" i="6" s="1"/>
  <c r="E221" i="6" a="1"/>
  <c r="E221" i="6" s="1"/>
  <c r="E209" i="6" a="1"/>
  <c r="E209" i="6" s="1"/>
  <c r="E173" i="6" a="1"/>
  <c r="E173" i="6" s="1"/>
  <c r="E161" i="6" a="1"/>
  <c r="E161" i="6" s="1"/>
  <c r="E149" i="6" a="1"/>
  <c r="E149" i="6" s="1"/>
  <c r="E101" i="6" a="1"/>
  <c r="E101" i="6" s="1"/>
  <c r="E89" i="6" a="1"/>
  <c r="E89" i="6" s="1"/>
  <c r="E53" i="6" a="1"/>
  <c r="E53" i="6" s="1"/>
  <c r="E29" i="6" a="1"/>
  <c r="E29" i="6" s="1"/>
  <c r="E17" i="6" a="1"/>
  <c r="E17" i="6" s="1"/>
  <c r="F398" i="6" a="1"/>
  <c r="F398" i="6" s="1"/>
  <c r="I499" i="6" a="1"/>
  <c r="I499" i="6" s="1"/>
  <c r="G469" i="6" a="1"/>
  <c r="G469" i="6" s="1"/>
  <c r="I446" i="6" a="1"/>
  <c r="I446" i="6" s="1"/>
  <c r="G406" i="6" a="1"/>
  <c r="G406" i="6" s="1"/>
  <c r="I289" i="6" a="1"/>
  <c r="I289" i="6" s="1"/>
  <c r="I266" i="6" a="1"/>
  <c r="I266" i="6" s="1"/>
  <c r="E509" i="6" a="1"/>
  <c r="E509" i="6" s="1"/>
  <c r="D503" i="6" a="1"/>
  <c r="D503" i="6" s="1"/>
  <c r="G499" i="6" a="1"/>
  <c r="G499" i="6" s="1"/>
  <c r="I475" i="6" a="1"/>
  <c r="I475" i="6" s="1"/>
  <c r="I445" i="6" a="1"/>
  <c r="I445" i="6" s="1"/>
  <c r="G424" i="6" a="1"/>
  <c r="G424" i="6" s="1"/>
  <c r="F406" i="6" a="1"/>
  <c r="F406" i="6" s="1"/>
  <c r="G394" i="6" a="1"/>
  <c r="G394" i="6" s="1"/>
  <c r="D376" i="6" a="1"/>
  <c r="D376" i="6" s="1"/>
  <c r="G316" i="6" a="1"/>
  <c r="G316" i="6" s="1"/>
  <c r="G289" i="6" a="1"/>
  <c r="G289" i="6" s="1"/>
  <c r="G266" i="6" a="1"/>
  <c r="G266" i="6" s="1"/>
  <c r="F242" i="6" a="1"/>
  <c r="F242" i="6" s="1"/>
  <c r="F184" i="6" a="1"/>
  <c r="F184" i="6" s="1"/>
  <c r="G169" i="6" a="1"/>
  <c r="G169" i="6" s="1"/>
  <c r="G112" i="6" a="1"/>
  <c r="G112" i="6" s="1"/>
  <c r="F86" i="6" a="1"/>
  <c r="F86" i="6" s="1"/>
  <c r="G37" i="6" a="1"/>
  <c r="G37" i="6" s="1"/>
  <c r="E507" i="6" a="1"/>
  <c r="E507" i="6" s="1"/>
  <c r="E495" i="6" a="1"/>
  <c r="E495" i="6" s="1"/>
  <c r="E483" i="6" a="1"/>
  <c r="E483" i="6" s="1"/>
  <c r="E471" i="6" a="1"/>
  <c r="E471" i="6" s="1"/>
  <c r="E459" i="6" a="1"/>
  <c r="E459" i="6" s="1"/>
  <c r="E447" i="6" a="1"/>
  <c r="E447" i="6" s="1"/>
  <c r="E435" i="6" a="1"/>
  <c r="E435" i="6" s="1"/>
  <c r="E423" i="6" a="1"/>
  <c r="E423" i="6" s="1"/>
  <c r="E411" i="6" a="1"/>
  <c r="E411" i="6" s="1"/>
  <c r="E387" i="6" a="1"/>
  <c r="E387" i="6" s="1"/>
  <c r="E375" i="6" a="1"/>
  <c r="E375" i="6" s="1"/>
  <c r="E363" i="6" a="1"/>
  <c r="E363" i="6" s="1"/>
  <c r="E351" i="6" a="1"/>
  <c r="E351" i="6" s="1"/>
  <c r="E339" i="6" a="1"/>
  <c r="E339" i="6" s="1"/>
  <c r="E327" i="6" a="1"/>
  <c r="E327" i="6" s="1"/>
  <c r="E315" i="6" a="1"/>
  <c r="E315" i="6" s="1"/>
  <c r="E291" i="6" a="1"/>
  <c r="E291" i="6" s="1"/>
  <c r="E279" i="6" a="1"/>
  <c r="E279" i="6" s="1"/>
  <c r="E267" i="6" a="1"/>
  <c r="E267" i="6" s="1"/>
  <c r="E502" i="6" a="1"/>
  <c r="E502" i="6" s="1"/>
  <c r="D499" i="6" a="1"/>
  <c r="D499" i="6" s="1"/>
  <c r="G487" i="6" a="1"/>
  <c r="G487" i="6" s="1"/>
  <c r="F475" i="6" a="1"/>
  <c r="F475" i="6" s="1"/>
  <c r="F283" i="6" a="1"/>
  <c r="F283" i="6" s="1"/>
  <c r="G259" i="6" a="1"/>
  <c r="G259" i="6" s="1"/>
  <c r="E488" i="6" a="1"/>
  <c r="E488" i="6" s="1"/>
  <c r="G506" i="6" a="1"/>
  <c r="G506" i="6" s="1"/>
  <c r="F487" i="6" a="1"/>
  <c r="F487" i="6" s="1"/>
  <c r="D475" i="6" a="1"/>
  <c r="D475" i="6" s="1"/>
  <c r="F466" i="6" a="1"/>
  <c r="F466" i="6" s="1"/>
  <c r="F442" i="6" a="1"/>
  <c r="F442" i="6" s="1"/>
  <c r="F388" i="6" a="1"/>
  <c r="F388" i="6" s="1"/>
  <c r="D364" i="6" a="1"/>
  <c r="D364" i="6" s="1"/>
  <c r="D337" i="6" a="1"/>
  <c r="D337" i="6" s="1"/>
  <c r="I304" i="6" a="1"/>
  <c r="I304" i="6" s="1"/>
  <c r="G279" i="6" a="1"/>
  <c r="G279" i="6" s="1"/>
  <c r="F259" i="6" a="1"/>
  <c r="F259" i="6" s="1"/>
  <c r="F208" i="6" a="1"/>
  <c r="F208" i="6" s="1"/>
  <c r="I181" i="6" a="1"/>
  <c r="I181" i="6" s="1"/>
  <c r="G136" i="6" a="1"/>
  <c r="G136" i="6" s="1"/>
  <c r="I100" i="6" a="1"/>
  <c r="I100" i="6" s="1"/>
  <c r="I56" i="6" a="1"/>
  <c r="I56" i="6" s="1"/>
  <c r="D28" i="6" a="1"/>
  <c r="D28" i="6" s="1"/>
  <c r="E384" i="6" a="1"/>
  <c r="E384" i="6" s="1"/>
  <c r="E252" i="6" a="1"/>
  <c r="E252" i="6" s="1"/>
  <c r="F506" i="6" a="1"/>
  <c r="F506" i="6" s="1"/>
  <c r="F8" i="6" a="1"/>
  <c r="F8" i="6" s="1"/>
  <c r="I463" i="6" a="1"/>
  <c r="I463" i="6" s="1"/>
  <c r="G253" i="6" a="1"/>
  <c r="G253" i="6" s="1"/>
  <c r="I133" i="6" a="1"/>
  <c r="I133" i="6" s="1"/>
  <c r="I13" i="6" a="1"/>
  <c r="I13" i="6" s="1"/>
  <c r="G490" i="6" a="1"/>
  <c r="G490" i="6" s="1"/>
  <c r="G484" i="6" a="1"/>
  <c r="G484" i="6" s="1"/>
  <c r="G478" i="6" a="1"/>
  <c r="G478" i="6" s="1"/>
  <c r="F472" i="6" a="1"/>
  <c r="F472" i="6" s="1"/>
  <c r="F461" i="6" a="1"/>
  <c r="F461" i="6" s="1"/>
  <c r="G436" i="6" a="1"/>
  <c r="G436" i="6" s="1"/>
  <c r="G328" i="6" a="1"/>
  <c r="G328" i="6" s="1"/>
  <c r="G278" i="6" a="1"/>
  <c r="G278" i="6" s="1"/>
  <c r="I230" i="6" a="1"/>
  <c r="I230" i="6" s="1"/>
  <c r="G178" i="6" a="1"/>
  <c r="G178" i="6" s="1"/>
  <c r="F133" i="6" a="1"/>
  <c r="F133" i="6" s="1"/>
  <c r="D100" i="6" a="1"/>
  <c r="D100" i="6" s="1"/>
  <c r="E477" i="6" a="1"/>
  <c r="E477" i="6" s="1"/>
  <c r="E453" i="6" a="1"/>
  <c r="E453" i="6" s="1"/>
  <c r="E285" i="6" a="1"/>
  <c r="E285" i="6" s="1"/>
  <c r="E273" i="6" a="1"/>
  <c r="E273" i="6" s="1"/>
  <c r="E177" i="6" a="1"/>
  <c r="E177" i="6" s="1"/>
  <c r="E165" i="6" a="1"/>
  <c r="E165" i="6" s="1"/>
  <c r="E508" i="6" a="1"/>
  <c r="E508" i="6" s="1"/>
  <c r="E496" i="6" a="1"/>
  <c r="E496" i="6" s="1"/>
  <c r="E372" i="6" a="1"/>
  <c r="E372" i="6" s="1"/>
  <c r="E217" i="6" a="1"/>
  <c r="E217" i="6" s="1"/>
  <c r="D436" i="6" a="1"/>
  <c r="D436" i="6" s="1"/>
  <c r="G387" i="6" a="1"/>
  <c r="G387" i="6" s="1"/>
  <c r="D375" i="6" a="1"/>
  <c r="D375" i="6" s="1"/>
  <c r="D363" i="6" a="1"/>
  <c r="D363" i="6" s="1"/>
  <c r="E76" i="6" a="1"/>
  <c r="E76" i="6" s="1"/>
  <c r="G446" i="6" a="1"/>
  <c r="G446" i="6" s="1"/>
  <c r="I435" i="6" a="1"/>
  <c r="I435" i="6" s="1"/>
  <c r="D424" i="6" a="1"/>
  <c r="D424" i="6" s="1"/>
  <c r="F412" i="6" a="1"/>
  <c r="F412" i="6" s="1"/>
  <c r="F387" i="6" a="1"/>
  <c r="F387" i="6" s="1"/>
  <c r="G374" i="6" a="1"/>
  <c r="G374" i="6" s="1"/>
  <c r="I362" i="6" a="1"/>
  <c r="I362" i="6" s="1"/>
  <c r="I340" i="6" a="1"/>
  <c r="I340" i="6" s="1"/>
  <c r="F328" i="6" a="1"/>
  <c r="F328" i="6" s="1"/>
  <c r="F316" i="6" a="1"/>
  <c r="F316" i="6" s="1"/>
  <c r="D303" i="6" a="1"/>
  <c r="D303" i="6" s="1"/>
  <c r="I232" i="6" a="1"/>
  <c r="I232" i="6" s="1"/>
  <c r="D220" i="6" a="1"/>
  <c r="D220" i="6" s="1"/>
  <c r="G196" i="6" a="1"/>
  <c r="G196" i="6" s="1"/>
  <c r="D136" i="6" a="1"/>
  <c r="D136" i="6" s="1"/>
  <c r="I112" i="6" a="1"/>
  <c r="I112" i="6" s="1"/>
  <c r="I99" i="6" a="1"/>
  <c r="I99" i="6" s="1"/>
  <c r="D74" i="6" a="1"/>
  <c r="D74" i="6" s="1"/>
  <c r="I52" i="6" a="1"/>
  <c r="I52" i="6" s="1"/>
  <c r="I15" i="6" a="1"/>
  <c r="I15" i="6" s="1"/>
  <c r="E313" i="6" a="1"/>
  <c r="E313" i="6" s="1"/>
  <c r="E241" i="6" a="1"/>
  <c r="E241" i="6" s="1"/>
  <c r="E109" i="6" a="1"/>
  <c r="E109" i="6" s="1"/>
  <c r="E140" i="6" a="1"/>
  <c r="E140" i="6" s="1"/>
  <c r="E63" i="6" a="1"/>
  <c r="E63" i="6" s="1"/>
  <c r="F435" i="6" a="1"/>
  <c r="F435" i="6" s="1"/>
  <c r="F423" i="6" a="1"/>
  <c r="F423" i="6" s="1"/>
  <c r="D412" i="6" a="1"/>
  <c r="D412" i="6" s="1"/>
  <c r="D387" i="6" a="1"/>
  <c r="D387" i="6" s="1"/>
  <c r="G362" i="6" a="1"/>
  <c r="G362" i="6" s="1"/>
  <c r="G340" i="6" a="1"/>
  <c r="G340" i="6" s="1"/>
  <c r="I302" i="6" a="1"/>
  <c r="I302" i="6" s="1"/>
  <c r="I244" i="6" a="1"/>
  <c r="I244" i="6" s="1"/>
  <c r="G232" i="6" a="1"/>
  <c r="G232" i="6" s="1"/>
  <c r="I219" i="6" a="1"/>
  <c r="I219" i="6" s="1"/>
  <c r="I207" i="6" a="1"/>
  <c r="I207" i="6" s="1"/>
  <c r="G99" i="6" a="1"/>
  <c r="G99" i="6" s="1"/>
  <c r="G52" i="6" a="1"/>
  <c r="G52" i="6" s="1"/>
  <c r="I39" i="6" a="1"/>
  <c r="I39" i="6" s="1"/>
  <c r="E422" i="6" a="1"/>
  <c r="E422" i="6" s="1"/>
  <c r="E340" i="6" a="1"/>
  <c r="E340" i="6" s="1"/>
  <c r="E330" i="6" a="1"/>
  <c r="E330" i="6" s="1"/>
  <c r="E294" i="6" a="1"/>
  <c r="E294" i="6" s="1"/>
  <c r="E222" i="6" a="1"/>
  <c r="E222" i="6" s="1"/>
  <c r="E186" i="6" a="1"/>
  <c r="E186" i="6" s="1"/>
  <c r="E42" i="6" a="1"/>
  <c r="E42" i="6" s="1"/>
  <c r="E410" i="6" a="1"/>
  <c r="E410" i="6" s="1"/>
  <c r="E51" i="6" a="1"/>
  <c r="E51" i="6" s="1"/>
  <c r="G433" i="6" a="1"/>
  <c r="G433" i="6" s="1"/>
  <c r="I422" i="6" a="1"/>
  <c r="I422" i="6" s="1"/>
  <c r="G410" i="6" a="1"/>
  <c r="G410" i="6" s="1"/>
  <c r="I400" i="6" a="1"/>
  <c r="I400" i="6" s="1"/>
  <c r="F385" i="6" a="1"/>
  <c r="F385" i="6" s="1"/>
  <c r="G373" i="6" a="1"/>
  <c r="G373" i="6" s="1"/>
  <c r="G327" i="6" a="1"/>
  <c r="G327" i="6" s="1"/>
  <c r="G314" i="6" a="1"/>
  <c r="G314" i="6" s="1"/>
  <c r="I292" i="6" a="1"/>
  <c r="I292" i="6" s="1"/>
  <c r="I280" i="6" a="1"/>
  <c r="I280" i="6" s="1"/>
  <c r="I268" i="6" a="1"/>
  <c r="I268" i="6" s="1"/>
  <c r="G256" i="6" a="1"/>
  <c r="G256" i="6" s="1"/>
  <c r="F244" i="6" a="1"/>
  <c r="F244" i="6" s="1"/>
  <c r="F219" i="6" a="1"/>
  <c r="F219" i="6" s="1"/>
  <c r="I206" i="6" a="1"/>
  <c r="I206" i="6" s="1"/>
  <c r="F195" i="6" a="1"/>
  <c r="F195" i="6" s="1"/>
  <c r="I172" i="6" a="1"/>
  <c r="I172" i="6" s="1"/>
  <c r="F148" i="6" a="1"/>
  <c r="F148" i="6" s="1"/>
  <c r="D99" i="6" a="1"/>
  <c r="D99" i="6" s="1"/>
  <c r="F64" i="6" a="1"/>
  <c r="F64" i="6" s="1"/>
  <c r="F39" i="6" a="1"/>
  <c r="F39" i="6" s="1"/>
  <c r="E454" i="6" a="1"/>
  <c r="E454" i="6" s="1"/>
  <c r="E418" i="6" a="1"/>
  <c r="E418" i="6" s="1"/>
  <c r="E358" i="6" a="1"/>
  <c r="E358" i="6" s="1"/>
  <c r="E310" i="6" a="1"/>
  <c r="E310" i="6" s="1"/>
  <c r="E298" i="6" a="1"/>
  <c r="E298" i="6" s="1"/>
  <c r="E286" i="6" a="1"/>
  <c r="E286" i="6" s="1"/>
  <c r="E274" i="6" a="1"/>
  <c r="E274" i="6" s="1"/>
  <c r="E238" i="6" a="1"/>
  <c r="E238" i="6" s="1"/>
  <c r="E226" i="6" a="1"/>
  <c r="E226" i="6" s="1"/>
  <c r="E214" i="6" a="1"/>
  <c r="E214" i="6" s="1"/>
  <c r="E202" i="6" a="1"/>
  <c r="E202" i="6" s="1"/>
  <c r="E190" i="6" a="1"/>
  <c r="E190" i="6" s="1"/>
  <c r="E166" i="6" a="1"/>
  <c r="E166" i="6" s="1"/>
  <c r="E130" i="6" a="1"/>
  <c r="E130" i="6" s="1"/>
  <c r="E118" i="6" a="1"/>
  <c r="E118" i="6" s="1"/>
  <c r="E106" i="6" a="1"/>
  <c r="E106" i="6" s="1"/>
  <c r="E94" i="6" a="1"/>
  <c r="E94" i="6" s="1"/>
  <c r="E70" i="6" a="1"/>
  <c r="E70" i="6" s="1"/>
  <c r="E58" i="6" a="1"/>
  <c r="E58" i="6" s="1"/>
  <c r="E46" i="6" a="1"/>
  <c r="E46" i="6" s="1"/>
  <c r="E34" i="6" a="1"/>
  <c r="E34" i="6" s="1"/>
  <c r="E22" i="6" a="1"/>
  <c r="E22" i="6" s="1"/>
  <c r="E10" i="6" a="1"/>
  <c r="E10" i="6" s="1"/>
  <c r="E185" i="6" a="1"/>
  <c r="E185" i="6" s="1"/>
  <c r="E50" i="6" a="1"/>
  <c r="E50" i="6" s="1"/>
  <c r="F410" i="6" a="1"/>
  <c r="F410" i="6" s="1"/>
  <c r="G400" i="6" a="1"/>
  <c r="G400" i="6" s="1"/>
  <c r="D385" i="6" a="1"/>
  <c r="D385" i="6" s="1"/>
  <c r="I352" i="6" a="1"/>
  <c r="I352" i="6" s="1"/>
  <c r="D339" i="6" a="1"/>
  <c r="D339" i="6" s="1"/>
  <c r="G326" i="6" a="1"/>
  <c r="G326" i="6" s="1"/>
  <c r="F314" i="6" a="1"/>
  <c r="F314" i="6" s="1"/>
  <c r="G292" i="6" a="1"/>
  <c r="G292" i="6" s="1"/>
  <c r="G280" i="6" a="1"/>
  <c r="G280" i="6" s="1"/>
  <c r="G268" i="6" a="1"/>
  <c r="G268" i="6" s="1"/>
  <c r="F256" i="6" a="1"/>
  <c r="F256" i="6" s="1"/>
  <c r="I231" i="6" a="1"/>
  <c r="I231" i="6" s="1"/>
  <c r="G217" i="6" a="1"/>
  <c r="G217" i="6" s="1"/>
  <c r="G206" i="6" a="1"/>
  <c r="G206" i="6" s="1"/>
  <c r="D195" i="6" a="1"/>
  <c r="D195" i="6" s="1"/>
  <c r="G172" i="6" a="1"/>
  <c r="G172" i="6" s="1"/>
  <c r="I160" i="6" a="1"/>
  <c r="I160" i="6" s="1"/>
  <c r="D148" i="6" a="1"/>
  <c r="D148" i="6" s="1"/>
  <c r="I124" i="6" a="1"/>
  <c r="I124" i="6" s="1"/>
  <c r="I111" i="6" a="1"/>
  <c r="I111" i="6" s="1"/>
  <c r="G97" i="6" a="1"/>
  <c r="G97" i="6" s="1"/>
  <c r="I76" i="6" a="1"/>
  <c r="I76" i="6" s="1"/>
  <c r="D51" i="6" a="1"/>
  <c r="D51" i="6" s="1"/>
  <c r="D39" i="6" a="1"/>
  <c r="D39" i="6" s="1"/>
  <c r="E441" i="6" a="1"/>
  <c r="E441" i="6" s="1"/>
  <c r="E429" i="6" a="1"/>
  <c r="E429" i="6" s="1"/>
  <c r="E417" i="6" a="1"/>
  <c r="E417" i="6" s="1"/>
  <c r="E381" i="6" a="1"/>
  <c r="E381" i="6" s="1"/>
  <c r="E369" i="6" a="1"/>
  <c r="E369" i="6" s="1"/>
  <c r="E357" i="6" a="1"/>
  <c r="E357" i="6" s="1"/>
  <c r="E309" i="6" a="1"/>
  <c r="E309" i="6" s="1"/>
  <c r="E297" i="6" a="1"/>
  <c r="E297" i="6" s="1"/>
  <c r="E261" i="6" a="1"/>
  <c r="E261" i="6" s="1"/>
  <c r="E249" i="6" a="1"/>
  <c r="E249" i="6" s="1"/>
  <c r="E237" i="6" a="1"/>
  <c r="E237" i="6" s="1"/>
  <c r="E225" i="6" a="1"/>
  <c r="E225" i="6" s="1"/>
  <c r="E213" i="6" a="1"/>
  <c r="E213" i="6" s="1"/>
  <c r="E201" i="6" a="1"/>
  <c r="E201" i="6" s="1"/>
  <c r="E189" i="6" a="1"/>
  <c r="E189" i="6" s="1"/>
  <c r="E153" i="6" a="1"/>
  <c r="E153" i="6" s="1"/>
  <c r="E141" i="6" a="1"/>
  <c r="E141" i="6" s="1"/>
  <c r="E129" i="6" a="1"/>
  <c r="E129" i="6" s="1"/>
  <c r="E117" i="6" a="1"/>
  <c r="E117" i="6" s="1"/>
  <c r="E105" i="6" a="1"/>
  <c r="E105" i="6" s="1"/>
  <c r="E93" i="6" a="1"/>
  <c r="E93" i="6" s="1"/>
  <c r="E81" i="6" a="1"/>
  <c r="E81" i="6" s="1"/>
  <c r="E69" i="6" a="1"/>
  <c r="E69" i="6" s="1"/>
  <c r="E57" i="6" a="1"/>
  <c r="E57" i="6" s="1"/>
  <c r="E45" i="6" a="1"/>
  <c r="E45" i="6" s="1"/>
  <c r="E33" i="6" a="1"/>
  <c r="E33" i="6" s="1"/>
  <c r="E21" i="6" a="1"/>
  <c r="E21" i="6" s="1"/>
  <c r="E9" i="6" a="1"/>
  <c r="E9" i="6" s="1"/>
  <c r="E328" i="6" a="1"/>
  <c r="E328" i="6" s="1"/>
  <c r="E316" i="6" a="1"/>
  <c r="E316" i="6" s="1"/>
  <c r="E304" i="6" a="1"/>
  <c r="E304" i="6" s="1"/>
  <c r="E292" i="6" a="1"/>
  <c r="E292" i="6" s="1"/>
  <c r="E280" i="6" a="1"/>
  <c r="E280" i="6" s="1"/>
  <c r="E268" i="6" a="1"/>
  <c r="E268" i="6" s="1"/>
  <c r="E244" i="6" a="1"/>
  <c r="E244" i="6" s="1"/>
  <c r="E232" i="6" a="1"/>
  <c r="E232" i="6" s="1"/>
  <c r="E208" i="6" a="1"/>
  <c r="E208" i="6" s="1"/>
  <c r="E196" i="6" a="1"/>
  <c r="E196" i="6" s="1"/>
  <c r="E112" i="6" a="1"/>
  <c r="E112" i="6" s="1"/>
  <c r="E88" i="6" a="1"/>
  <c r="E88" i="6" s="1"/>
  <c r="E64" i="6" a="1"/>
  <c r="E64" i="6" s="1"/>
  <c r="E52" i="6" a="1"/>
  <c r="E52" i="6" s="1"/>
  <c r="E40" i="6" a="1"/>
  <c r="E40" i="6" s="1"/>
  <c r="E16" i="6" a="1"/>
  <c r="E16" i="6" s="1"/>
  <c r="E399" i="6" a="1"/>
  <c r="E399" i="6" s="1"/>
  <c r="E178" i="6" a="1"/>
  <c r="E178" i="6" s="1"/>
  <c r="E49" i="6" a="1"/>
  <c r="E49" i="6" s="1"/>
  <c r="F432" i="6" a="1"/>
  <c r="F432" i="6" s="1"/>
  <c r="D410" i="6" a="1"/>
  <c r="D410" i="6" s="1"/>
  <c r="F400" i="6" a="1"/>
  <c r="F400" i="6" s="1"/>
  <c r="I364" i="6" a="1"/>
  <c r="I364" i="6" s="1"/>
  <c r="G352" i="6" a="1"/>
  <c r="G352" i="6" s="1"/>
  <c r="F326" i="6" a="1"/>
  <c r="F326" i="6" s="1"/>
  <c r="G313" i="6" a="1"/>
  <c r="G313" i="6" s="1"/>
  <c r="F292" i="6" a="1"/>
  <c r="F292" i="6" s="1"/>
  <c r="F280" i="6" a="1"/>
  <c r="F280" i="6" s="1"/>
  <c r="F268" i="6" a="1"/>
  <c r="F268" i="6" s="1"/>
  <c r="D256" i="6" a="1"/>
  <c r="D256" i="6" s="1"/>
  <c r="F243" i="6" a="1"/>
  <c r="F243" i="6" s="1"/>
  <c r="G231" i="6" a="1"/>
  <c r="G231" i="6" s="1"/>
  <c r="F217" i="6" a="1"/>
  <c r="F217" i="6" s="1"/>
  <c r="F172" i="6" a="1"/>
  <c r="F172" i="6" s="1"/>
  <c r="G160" i="6" a="1"/>
  <c r="G160" i="6" s="1"/>
  <c r="I146" i="6" a="1"/>
  <c r="I146" i="6" s="1"/>
  <c r="G124" i="6" a="1"/>
  <c r="G124" i="6" s="1"/>
  <c r="G111" i="6" a="1"/>
  <c r="G111" i="6" s="1"/>
  <c r="F97" i="6" a="1"/>
  <c r="F97" i="6" s="1"/>
  <c r="G76" i="6" a="1"/>
  <c r="G76" i="6" s="1"/>
  <c r="G63" i="6" a="1"/>
  <c r="G63" i="6" s="1"/>
  <c r="D38" i="6" a="1"/>
  <c r="D38" i="6" s="1"/>
  <c r="E440" i="6" a="1"/>
  <c r="E440" i="6" s="1"/>
  <c r="E416" i="6" a="1"/>
  <c r="E416" i="6" s="1"/>
  <c r="E404" i="6" a="1"/>
  <c r="E404" i="6" s="1"/>
  <c r="E392" i="6" a="1"/>
  <c r="E392" i="6" s="1"/>
  <c r="E380" i="6" a="1"/>
  <c r="E380" i="6" s="1"/>
  <c r="E368" i="6" a="1"/>
  <c r="E368" i="6" s="1"/>
  <c r="E356" i="6" a="1"/>
  <c r="E356" i="6" s="1"/>
  <c r="E344" i="6" a="1"/>
  <c r="E344" i="6" s="1"/>
  <c r="E332" i="6" a="1"/>
  <c r="E332" i="6" s="1"/>
  <c r="E320" i="6" a="1"/>
  <c r="E320" i="6" s="1"/>
  <c r="E308" i="6" a="1"/>
  <c r="E308" i="6" s="1"/>
  <c r="E296" i="6" a="1"/>
  <c r="E296" i="6" s="1"/>
  <c r="E284" i="6" a="1"/>
  <c r="E284" i="6" s="1"/>
  <c r="E248" i="6" a="1"/>
  <c r="E248" i="6" s="1"/>
  <c r="E236" i="6" a="1"/>
  <c r="E236" i="6" s="1"/>
  <c r="E224" i="6" a="1"/>
  <c r="E224" i="6" s="1"/>
  <c r="E212" i="6" a="1"/>
  <c r="E212" i="6" s="1"/>
  <c r="E188" i="6" a="1"/>
  <c r="E188" i="6" s="1"/>
  <c r="E176" i="6" a="1"/>
  <c r="E176" i="6" s="1"/>
  <c r="E152" i="6" a="1"/>
  <c r="E152" i="6" s="1"/>
  <c r="E116" i="6" a="1"/>
  <c r="E116" i="6" s="1"/>
  <c r="E104" i="6" a="1"/>
  <c r="E104" i="6" s="1"/>
  <c r="E92" i="6" a="1"/>
  <c r="E92" i="6" s="1"/>
  <c r="E80" i="6" a="1"/>
  <c r="E80" i="6" s="1"/>
  <c r="E68" i="6" a="1"/>
  <c r="E68" i="6" s="1"/>
  <c r="E56" i="6" a="1"/>
  <c r="E56" i="6" s="1"/>
  <c r="E44" i="6" a="1"/>
  <c r="E44" i="6" s="1"/>
  <c r="E32" i="6" a="1"/>
  <c r="E32" i="6" s="1"/>
  <c r="E20" i="6" a="1"/>
  <c r="E20" i="6" s="1"/>
  <c r="E8" i="6" a="1"/>
  <c r="E8" i="6" s="1"/>
  <c r="E41" i="6" a="1"/>
  <c r="E41" i="6" s="1"/>
  <c r="G409" i="6" a="1"/>
  <c r="G409" i="6" s="1"/>
  <c r="D400" i="6" a="1"/>
  <c r="D400" i="6" s="1"/>
  <c r="I388" i="6" a="1"/>
  <c r="I388" i="6" s="1"/>
  <c r="G364" i="6" a="1"/>
  <c r="G364" i="6" s="1"/>
  <c r="F352" i="6" a="1"/>
  <c r="F352" i="6" s="1"/>
  <c r="D326" i="6" a="1"/>
  <c r="D326" i="6" s="1"/>
  <c r="F313" i="6" a="1"/>
  <c r="F313" i="6" s="1"/>
  <c r="D255" i="6" a="1"/>
  <c r="D255" i="6" s="1"/>
  <c r="G242" i="6" a="1"/>
  <c r="G242" i="6" s="1"/>
  <c r="F231" i="6" a="1"/>
  <c r="F231" i="6" s="1"/>
  <c r="D217" i="6" a="1"/>
  <c r="D217" i="6" s="1"/>
  <c r="G205" i="6" a="1"/>
  <c r="G205" i="6" s="1"/>
  <c r="I184" i="6" a="1"/>
  <c r="I184" i="6" s="1"/>
  <c r="D172" i="6" a="1"/>
  <c r="D172" i="6" s="1"/>
  <c r="F160" i="6" a="1"/>
  <c r="F160" i="6" s="1"/>
  <c r="F124" i="6" a="1"/>
  <c r="F124" i="6" s="1"/>
  <c r="D110" i="6" a="1"/>
  <c r="D110" i="6" s="1"/>
  <c r="E439" i="6" a="1"/>
  <c r="E439" i="6" s="1"/>
  <c r="E427" i="6" a="1"/>
  <c r="E427" i="6" s="1"/>
  <c r="E415" i="6" a="1"/>
  <c r="E415" i="6" s="1"/>
  <c r="E295" i="6" a="1"/>
  <c r="E295" i="6" s="1"/>
  <c r="E223" i="6" a="1"/>
  <c r="E223" i="6" s="1"/>
  <c r="E211" i="6" a="1"/>
  <c r="E211" i="6" s="1"/>
  <c r="E163" i="6" a="1"/>
  <c r="E163" i="6" s="1"/>
  <c r="E151" i="6" a="1"/>
  <c r="E151" i="6" s="1"/>
  <c r="E115" i="6" a="1"/>
  <c r="E115" i="6" s="1"/>
  <c r="E103" i="6" a="1"/>
  <c r="E103" i="6" s="1"/>
  <c r="E91" i="6" a="1"/>
  <c r="E91" i="6" s="1"/>
  <c r="E79" i="6" a="1"/>
  <c r="E79" i="6" s="1"/>
  <c r="E67" i="6" a="1"/>
  <c r="E67" i="6" s="1"/>
  <c r="E55" i="6" a="1"/>
  <c r="E55" i="6" s="1"/>
  <c r="E43" i="6" a="1"/>
  <c r="E43" i="6" s="1"/>
  <c r="E31" i="6" a="1"/>
  <c r="E31" i="6" s="1"/>
  <c r="E231" i="6" a="1"/>
  <c r="E231" i="6" s="1"/>
  <c r="I448" i="6" a="1"/>
  <c r="I448" i="6" s="1"/>
  <c r="I291" i="6" a="1"/>
  <c r="I291" i="6" s="1"/>
  <c r="I279" i="6" a="1"/>
  <c r="I279" i="6" s="1"/>
  <c r="F267" i="6" a="1"/>
  <c r="F267" i="6" s="1"/>
  <c r="E87" i="6" a="1"/>
  <c r="E87" i="6" s="1"/>
  <c r="E444" i="6" a="1"/>
  <c r="E444" i="6" s="1"/>
  <c r="E432" i="6" a="1"/>
  <c r="E432" i="6" s="1"/>
  <c r="E420" i="6" a="1"/>
  <c r="E420" i="6" s="1"/>
  <c r="E408" i="6" a="1"/>
  <c r="E408" i="6" s="1"/>
  <c r="E360" i="6" a="1"/>
  <c r="E360" i="6" s="1"/>
  <c r="E324" i="6" a="1"/>
  <c r="E324" i="6" s="1"/>
  <c r="E312" i="6" a="1"/>
  <c r="E312" i="6" s="1"/>
  <c r="E240" i="6" a="1"/>
  <c r="E240" i="6" s="1"/>
  <c r="E156" i="6" a="1"/>
  <c r="E156" i="6" s="1"/>
  <c r="E144" i="6" a="1"/>
  <c r="E144" i="6" s="1"/>
  <c r="E120" i="6" a="1"/>
  <c r="E120" i="6" s="1"/>
  <c r="E108" i="6" a="1"/>
  <c r="E108" i="6" s="1"/>
  <c r="E72" i="6" a="1"/>
  <c r="E72" i="6" s="1"/>
  <c r="E60" i="6" a="1"/>
  <c r="E60" i="6" s="1"/>
  <c r="E85" i="6" a="1"/>
  <c r="E85" i="6" s="1"/>
  <c r="E402" i="6" a="1"/>
  <c r="E402" i="6" s="1"/>
  <c r="E306" i="6" a="1"/>
  <c r="E306" i="6" s="1"/>
  <c r="E114" i="6" a="1"/>
  <c r="E114" i="6" s="1"/>
  <c r="E18" i="6" a="1"/>
  <c r="E18" i="6" s="1"/>
  <c r="F491" i="6" a="1"/>
  <c r="F491" i="6" s="1"/>
  <c r="E473" i="6" a="1"/>
  <c r="E473" i="6" s="1"/>
  <c r="G473" i="6" a="1"/>
  <c r="G473" i="6" s="1"/>
  <c r="E449" i="6" a="1"/>
  <c r="E449" i="6" s="1"/>
  <c r="D449" i="6" a="1"/>
  <c r="D449" i="6" s="1"/>
  <c r="E425" i="6" a="1"/>
  <c r="E425" i="6" s="1"/>
  <c r="F425" i="6" a="1"/>
  <c r="F425" i="6" s="1"/>
  <c r="G425" i="6" a="1"/>
  <c r="G425" i="6" s="1"/>
  <c r="I425" i="6" a="1"/>
  <c r="I425" i="6" s="1"/>
  <c r="E401" i="6" a="1"/>
  <c r="E401" i="6" s="1"/>
  <c r="I401" i="6" a="1"/>
  <c r="I401" i="6" s="1"/>
  <c r="E389" i="6" a="1"/>
  <c r="E389" i="6" s="1"/>
  <c r="I389" i="6" a="1"/>
  <c r="I389" i="6" s="1"/>
  <c r="F305" i="6" a="1"/>
  <c r="F305" i="6" s="1"/>
  <c r="G305" i="6" a="1"/>
  <c r="G305" i="6" s="1"/>
  <c r="E137" i="6" a="1"/>
  <c r="E137" i="6" s="1"/>
  <c r="G137" i="6" a="1"/>
  <c r="G137" i="6" s="1"/>
  <c r="E125" i="6" a="1"/>
  <c r="E125" i="6" s="1"/>
  <c r="I125" i="6" a="1"/>
  <c r="I125" i="6" s="1"/>
  <c r="E113" i="6" a="1"/>
  <c r="E113" i="6" s="1"/>
  <c r="D113" i="6" a="1"/>
  <c r="D113" i="6" s="1"/>
  <c r="F113" i="6" a="1"/>
  <c r="F113" i="6" s="1"/>
  <c r="G113" i="6" a="1"/>
  <c r="G113" i="6" s="1"/>
  <c r="G77" i="6" a="1"/>
  <c r="G77" i="6" s="1"/>
  <c r="E77" i="6" a="1"/>
  <c r="E77" i="6" s="1"/>
  <c r="E242" i="6" a="1"/>
  <c r="E242" i="6" s="1"/>
  <c r="E383" i="6" a="1"/>
  <c r="E383" i="6" s="1"/>
  <c r="F383" i="6" a="1"/>
  <c r="F383" i="6" s="1"/>
  <c r="G371" i="6" a="1"/>
  <c r="G371" i="6" s="1"/>
  <c r="F371" i="6" a="1"/>
  <c r="F371" i="6" s="1"/>
  <c r="D359" i="6" a="1"/>
  <c r="D359" i="6" s="1"/>
  <c r="E359" i="6" a="1"/>
  <c r="E359" i="6" s="1"/>
  <c r="E119" i="6" a="1"/>
  <c r="E119" i="6" s="1"/>
  <c r="G119" i="6" a="1"/>
  <c r="G119" i="6" s="1"/>
  <c r="E143" i="6" a="1"/>
  <c r="E143" i="6" s="1"/>
  <c r="E467" i="6" a="1"/>
  <c r="E467" i="6" s="1"/>
  <c r="E335" i="6" a="1"/>
  <c r="E335" i="6" s="1"/>
  <c r="E498" i="6" a="1"/>
  <c r="E498" i="6" s="1"/>
  <c r="F498" i="6" a="1"/>
  <c r="F498" i="6" s="1"/>
  <c r="I498" i="6" a="1"/>
  <c r="I498" i="6" s="1"/>
  <c r="E438" i="6" a="1"/>
  <c r="E438" i="6" s="1"/>
  <c r="E378" i="6" a="1"/>
  <c r="E378" i="6" s="1"/>
  <c r="E318" i="6" a="1"/>
  <c r="E318" i="6" s="1"/>
  <c r="E258" i="6" a="1"/>
  <c r="E258" i="6" s="1"/>
  <c r="E210" i="6" a="1"/>
  <c r="E210" i="6" s="1"/>
  <c r="E138" i="6" a="1"/>
  <c r="E138" i="6" s="1"/>
  <c r="E90" i="6" a="1"/>
  <c r="E90" i="6" s="1"/>
  <c r="E371" i="6" a="1"/>
  <c r="E371" i="6" s="1"/>
  <c r="G383" i="6" a="1"/>
  <c r="G383" i="6" s="1"/>
  <c r="I314" i="6" a="1"/>
  <c r="I314" i="6" s="1"/>
  <c r="F241" i="6" a="1"/>
  <c r="F241" i="6" s="1"/>
  <c r="F121" i="6" a="1"/>
  <c r="F121" i="6" s="1"/>
  <c r="D85" i="6" a="1"/>
  <c r="D85" i="6" s="1"/>
  <c r="F74" i="6" a="1"/>
  <c r="F74" i="6" s="1"/>
  <c r="G26" i="6" a="1"/>
  <c r="G26" i="6" s="1"/>
  <c r="E326" i="6" a="1"/>
  <c r="E326" i="6" s="1"/>
  <c r="E121" i="6" a="1"/>
  <c r="E121" i="6" s="1"/>
  <c r="E71" i="6" a="1"/>
  <c r="E71" i="6" s="1"/>
  <c r="F71" i="6" a="1"/>
  <c r="F71" i="6" s="1"/>
  <c r="F395" i="6" a="1"/>
  <c r="F395" i="6" s="1"/>
  <c r="E426" i="6" a="1"/>
  <c r="E426" i="6" s="1"/>
  <c r="E354" i="6" a="1"/>
  <c r="E354" i="6" s="1"/>
  <c r="E246" i="6" a="1"/>
  <c r="E246" i="6" s="1"/>
  <c r="E54" i="6" a="1"/>
  <c r="E54" i="6" s="1"/>
  <c r="G479" i="6" a="1"/>
  <c r="G479" i="6" s="1"/>
  <c r="D227" i="6" a="1"/>
  <c r="D227" i="6" s="1"/>
  <c r="G215" i="6" a="1"/>
  <c r="G215" i="6" s="1"/>
  <c r="I173" i="6" a="1"/>
  <c r="I173" i="6" s="1"/>
  <c r="I23" i="6" a="1"/>
  <c r="I23" i="6" s="1"/>
  <c r="E485" i="6" a="1"/>
  <c r="E485" i="6" s="1"/>
  <c r="E314" i="6" a="1"/>
  <c r="E314" i="6" s="1"/>
  <c r="E390" i="6" a="1"/>
  <c r="E390" i="6" s="1"/>
  <c r="E282" i="6" a="1"/>
  <c r="E282" i="6" s="1"/>
  <c r="E174" i="6" a="1"/>
  <c r="E174" i="6" s="1"/>
  <c r="E102" i="6" a="1"/>
  <c r="E102" i="6" s="1"/>
  <c r="F479" i="6" a="1"/>
  <c r="F479" i="6" s="1"/>
  <c r="D413" i="6" a="1"/>
  <c r="D413" i="6" s="1"/>
  <c r="G185" i="6" a="1"/>
  <c r="G185" i="6" s="1"/>
  <c r="F119" i="6" a="1"/>
  <c r="F119" i="6" s="1"/>
  <c r="E506" i="6" a="1"/>
  <c r="E506" i="6" s="1"/>
  <c r="I506" i="6" a="1"/>
  <c r="I506" i="6" s="1"/>
  <c r="E494" i="6" a="1"/>
  <c r="E494" i="6" s="1"/>
  <c r="G494" i="6" a="1"/>
  <c r="G494" i="6" s="1"/>
  <c r="E482" i="6" a="1"/>
  <c r="E482" i="6" s="1"/>
  <c r="I482" i="6" a="1"/>
  <c r="I482" i="6" s="1"/>
  <c r="E470" i="6" a="1"/>
  <c r="E470" i="6" s="1"/>
  <c r="I470" i="6" a="1"/>
  <c r="I470" i="6" s="1"/>
  <c r="E458" i="6" a="1"/>
  <c r="E458" i="6" s="1"/>
  <c r="D458" i="6" a="1"/>
  <c r="D458" i="6" s="1"/>
  <c r="F458" i="6" a="1"/>
  <c r="F458" i="6" s="1"/>
  <c r="G458" i="6" a="1"/>
  <c r="G458" i="6" s="1"/>
  <c r="I458" i="6" a="1"/>
  <c r="I458" i="6" s="1"/>
  <c r="E446" i="6" a="1"/>
  <c r="E446" i="6" s="1"/>
  <c r="F446" i="6" a="1"/>
  <c r="F446" i="6" s="1"/>
  <c r="D434" i="6" a="1"/>
  <c r="D434" i="6" s="1"/>
  <c r="E434" i="6" a="1"/>
  <c r="E434" i="6" s="1"/>
  <c r="F434" i="6" a="1"/>
  <c r="F434" i="6" s="1"/>
  <c r="G434" i="6" a="1"/>
  <c r="G434" i="6" s="1"/>
  <c r="I434" i="6" a="1"/>
  <c r="I434" i="6" s="1"/>
  <c r="D422" i="6" a="1"/>
  <c r="D422" i="6" s="1"/>
  <c r="G422" i="6" a="1"/>
  <c r="G422" i="6" s="1"/>
  <c r="I398" i="6" a="1"/>
  <c r="I398" i="6" s="1"/>
  <c r="G398" i="6" a="1"/>
  <c r="G398" i="6" s="1"/>
  <c r="E398" i="6" a="1"/>
  <c r="E398" i="6" s="1"/>
  <c r="F386" i="6" a="1"/>
  <c r="F386" i="6" s="1"/>
  <c r="D386" i="6" a="1"/>
  <c r="D386" i="6" s="1"/>
  <c r="G386" i="6" a="1"/>
  <c r="G386" i="6" s="1"/>
  <c r="E386" i="6" a="1"/>
  <c r="E386" i="6" s="1"/>
  <c r="I374" i="6" a="1"/>
  <c r="I374" i="6" s="1"/>
  <c r="E374" i="6" a="1"/>
  <c r="E374" i="6" s="1"/>
  <c r="D362" i="6" a="1"/>
  <c r="D362" i="6" s="1"/>
  <c r="F362" i="6" a="1"/>
  <c r="F362" i="6" s="1"/>
  <c r="I350" i="6" a="1"/>
  <c r="I350" i="6" s="1"/>
  <c r="D350" i="6" a="1"/>
  <c r="D350" i="6" s="1"/>
  <c r="G350" i="6" a="1"/>
  <c r="G350" i="6" s="1"/>
  <c r="D338" i="6" a="1"/>
  <c r="D338" i="6" s="1"/>
  <c r="E338" i="6" a="1"/>
  <c r="E338" i="6" s="1"/>
  <c r="F338" i="6" a="1"/>
  <c r="F338" i="6" s="1"/>
  <c r="G338" i="6" a="1"/>
  <c r="G338" i="6" s="1"/>
  <c r="E302" i="6" a="1"/>
  <c r="E302" i="6" s="1"/>
  <c r="F302" i="6" a="1"/>
  <c r="F302" i="6" s="1"/>
  <c r="E290" i="6" a="1"/>
  <c r="E290" i="6" s="1"/>
  <c r="D290" i="6" a="1"/>
  <c r="D290" i="6" s="1"/>
  <c r="F290" i="6" a="1"/>
  <c r="F290" i="6" s="1"/>
  <c r="G290" i="6" a="1"/>
  <c r="G290" i="6" s="1"/>
  <c r="I290" i="6" a="1"/>
  <c r="I290" i="6" s="1"/>
  <c r="E278" i="6" a="1"/>
  <c r="E278" i="6" s="1"/>
  <c r="I278" i="6" a="1"/>
  <c r="I278" i="6" s="1"/>
  <c r="D278" i="6" a="1"/>
  <c r="D278" i="6" s="1"/>
  <c r="E266" i="6" a="1"/>
  <c r="E266" i="6" s="1"/>
  <c r="F266" i="6" a="1"/>
  <c r="F266" i="6" s="1"/>
  <c r="D254" i="6" a="1"/>
  <c r="D254" i="6" s="1"/>
  <c r="F254" i="6" a="1"/>
  <c r="F254" i="6" s="1"/>
  <c r="G254" i="6" a="1"/>
  <c r="G254" i="6" s="1"/>
  <c r="I254" i="6" a="1"/>
  <c r="I254" i="6" s="1"/>
  <c r="E230" i="6" a="1"/>
  <c r="E230" i="6" s="1"/>
  <c r="D230" i="6" a="1"/>
  <c r="D230" i="6" s="1"/>
  <c r="G230" i="6" a="1"/>
  <c r="G230" i="6" s="1"/>
  <c r="I218" i="6" a="1"/>
  <c r="I218" i="6" s="1"/>
  <c r="D218" i="6" a="1"/>
  <c r="D218" i="6" s="1"/>
  <c r="F218" i="6" a="1"/>
  <c r="F218" i="6" s="1"/>
  <c r="G218" i="6" a="1"/>
  <c r="G218" i="6" s="1"/>
  <c r="E206" i="6" a="1"/>
  <c r="E206" i="6" s="1"/>
  <c r="D206" i="6" a="1"/>
  <c r="D206" i="6" s="1"/>
  <c r="E194" i="6" a="1"/>
  <c r="E194" i="6" s="1"/>
  <c r="I194" i="6" a="1"/>
  <c r="I194" i="6" s="1"/>
  <c r="D194" i="6" a="1"/>
  <c r="D194" i="6" s="1"/>
  <c r="G194" i="6" a="1"/>
  <c r="G194" i="6" s="1"/>
  <c r="E182" i="6" a="1"/>
  <c r="E182" i="6" s="1"/>
  <c r="D182" i="6" a="1"/>
  <c r="D182" i="6" s="1"/>
  <c r="F182" i="6" a="1"/>
  <c r="F182" i="6" s="1"/>
  <c r="G182" i="6" a="1"/>
  <c r="G182" i="6" s="1"/>
  <c r="I182" i="6" a="1"/>
  <c r="I182" i="6" s="1"/>
  <c r="E170" i="6" a="1"/>
  <c r="E170" i="6" s="1"/>
  <c r="D170" i="6" a="1"/>
  <c r="D170" i="6" s="1"/>
  <c r="E158" i="6" a="1"/>
  <c r="E158" i="6" s="1"/>
  <c r="I158" i="6" a="1"/>
  <c r="I158" i="6" s="1"/>
  <c r="G158" i="6" a="1"/>
  <c r="G158" i="6" s="1"/>
  <c r="E146" i="6" a="1"/>
  <c r="E146" i="6" s="1"/>
  <c r="D146" i="6" a="1"/>
  <c r="D146" i="6" s="1"/>
  <c r="G146" i="6" a="1"/>
  <c r="G146" i="6" s="1"/>
  <c r="E134" i="6" a="1"/>
  <c r="E134" i="6" s="1"/>
  <c r="D134" i="6" a="1"/>
  <c r="D134" i="6" s="1"/>
  <c r="F134" i="6" a="1"/>
  <c r="F134" i="6" s="1"/>
  <c r="G134" i="6" a="1"/>
  <c r="G134" i="6" s="1"/>
  <c r="I134" i="6" a="1"/>
  <c r="I134" i="6" s="1"/>
  <c r="D122" i="6" a="1"/>
  <c r="D122" i="6" s="1"/>
  <c r="F122" i="6" a="1"/>
  <c r="F122" i="6" s="1"/>
  <c r="G122" i="6" a="1"/>
  <c r="G122" i="6" s="1"/>
  <c r="I122" i="6" a="1"/>
  <c r="I122" i="6" s="1"/>
  <c r="E122" i="6" a="1"/>
  <c r="E122" i="6" s="1"/>
  <c r="E110" i="6" a="1"/>
  <c r="E110" i="6" s="1"/>
  <c r="G110" i="6" a="1"/>
  <c r="G110" i="6" s="1"/>
  <c r="G98" i="6" a="1"/>
  <c r="G98" i="6" s="1"/>
  <c r="D98" i="6" a="1"/>
  <c r="D98" i="6" s="1"/>
  <c r="F98" i="6" a="1"/>
  <c r="F98" i="6" s="1"/>
  <c r="I98" i="6" a="1"/>
  <c r="I98" i="6" s="1"/>
  <c r="E98" i="6" a="1"/>
  <c r="E98" i="6" s="1"/>
  <c r="G86" i="6" a="1"/>
  <c r="G86" i="6" s="1"/>
  <c r="I86" i="6" a="1"/>
  <c r="I86" i="6" s="1"/>
  <c r="G62" i="6" a="1"/>
  <c r="G62" i="6" s="1"/>
  <c r="D62" i="6" a="1"/>
  <c r="D62" i="6" s="1"/>
  <c r="D50" i="6" a="1"/>
  <c r="D50" i="6" s="1"/>
  <c r="I50" i="6" a="1"/>
  <c r="I50" i="6" s="1"/>
  <c r="E14" i="6" a="1"/>
  <c r="E14" i="6" s="1"/>
  <c r="F14" i="6" a="1"/>
  <c r="F14" i="6" s="1"/>
  <c r="E350" i="6" a="1"/>
  <c r="E350" i="6" s="1"/>
  <c r="E197" i="6" a="1"/>
  <c r="E197" i="6" s="1"/>
  <c r="E491" i="6" a="1"/>
  <c r="E491" i="6" s="1"/>
  <c r="G491" i="6" a="1"/>
  <c r="G491" i="6" s="1"/>
  <c r="E486" i="6" a="1"/>
  <c r="E486" i="6" s="1"/>
  <c r="E414" i="6" a="1"/>
  <c r="E414" i="6" s="1"/>
  <c r="E342" i="6" a="1"/>
  <c r="E342" i="6" s="1"/>
  <c r="E126" i="6" a="1"/>
  <c r="E126" i="6" s="1"/>
  <c r="E78" i="6" a="1"/>
  <c r="E78" i="6" s="1"/>
  <c r="D479" i="6" a="1"/>
  <c r="D479" i="6" s="1"/>
  <c r="F473" i="6" a="1"/>
  <c r="F473" i="6" s="1"/>
  <c r="D149" i="6" a="1"/>
  <c r="D149" i="6" s="1"/>
  <c r="D119" i="6" a="1"/>
  <c r="D119" i="6" s="1"/>
  <c r="I101" i="6" a="1"/>
  <c r="I101" i="6" s="1"/>
  <c r="D95" i="6" a="1"/>
  <c r="D95" i="6" s="1"/>
  <c r="I77" i="6" a="1"/>
  <c r="I77" i="6" s="1"/>
  <c r="E505" i="6" a="1"/>
  <c r="E505" i="6" s="1"/>
  <c r="D505" i="6" a="1"/>
  <c r="D505" i="6" s="1"/>
  <c r="I505" i="6" a="1"/>
  <c r="I505" i="6" s="1"/>
  <c r="E493" i="6" a="1"/>
  <c r="E493" i="6" s="1"/>
  <c r="D493" i="6" a="1"/>
  <c r="D493" i="6" s="1"/>
  <c r="F493" i="6" a="1"/>
  <c r="F493" i="6" s="1"/>
  <c r="I493" i="6" a="1"/>
  <c r="I493" i="6" s="1"/>
  <c r="E481" i="6" a="1"/>
  <c r="E481" i="6" s="1"/>
  <c r="D481" i="6" a="1"/>
  <c r="D481" i="6" s="1"/>
  <c r="I481" i="6" a="1"/>
  <c r="I481" i="6" s="1"/>
  <c r="E469" i="6" a="1"/>
  <c r="E469" i="6" s="1"/>
  <c r="D469" i="6" a="1"/>
  <c r="D469" i="6" s="1"/>
  <c r="I469" i="6" a="1"/>
  <c r="I469" i="6" s="1"/>
  <c r="E457" i="6" a="1"/>
  <c r="E457" i="6" s="1"/>
  <c r="D457" i="6" a="1"/>
  <c r="D457" i="6" s="1"/>
  <c r="D445" i="6" a="1"/>
  <c r="D445" i="6" s="1"/>
  <c r="G445" i="6" a="1"/>
  <c r="G445" i="6" s="1"/>
  <c r="E445" i="6" a="1"/>
  <c r="E445" i="6" s="1"/>
  <c r="E433" i="6" a="1"/>
  <c r="E433" i="6" s="1"/>
  <c r="D433" i="6" a="1"/>
  <c r="D433" i="6" s="1"/>
  <c r="F421" i="6" a="1"/>
  <c r="F421" i="6" s="1"/>
  <c r="G421" i="6" a="1"/>
  <c r="G421" i="6" s="1"/>
  <c r="I421" i="6" a="1"/>
  <c r="I421" i="6" s="1"/>
  <c r="E421" i="6" a="1"/>
  <c r="E421" i="6" s="1"/>
  <c r="D409" i="6" a="1"/>
  <c r="D409" i="6" s="1"/>
  <c r="I409" i="6" a="1"/>
  <c r="I409" i="6" s="1"/>
  <c r="E397" i="6" a="1"/>
  <c r="E397" i="6" s="1"/>
  <c r="G397" i="6" a="1"/>
  <c r="G397" i="6" s="1"/>
  <c r="G385" i="6" a="1"/>
  <c r="G385" i="6" s="1"/>
  <c r="I385" i="6" a="1"/>
  <c r="I385" i="6" s="1"/>
  <c r="E373" i="6" a="1"/>
  <c r="E373" i="6" s="1"/>
  <c r="D373" i="6" a="1"/>
  <c r="D373" i="6" s="1"/>
  <c r="I373" i="6" a="1"/>
  <c r="I373" i="6" s="1"/>
  <c r="D361" i="6" a="1"/>
  <c r="D361" i="6" s="1"/>
  <c r="F361" i="6" a="1"/>
  <c r="F361" i="6" s="1"/>
  <c r="G361" i="6" a="1"/>
  <c r="G361" i="6" s="1"/>
  <c r="E361" i="6" a="1"/>
  <c r="E361" i="6" s="1"/>
  <c r="F349" i="6" a="1"/>
  <c r="F349" i="6" s="1"/>
  <c r="G349" i="6" a="1"/>
  <c r="G349" i="6" s="1"/>
  <c r="I349" i="6" a="1"/>
  <c r="I349" i="6" s="1"/>
  <c r="I337" i="6" a="1"/>
  <c r="I337" i="6" s="1"/>
  <c r="E337" i="6" a="1"/>
  <c r="E337" i="6" s="1"/>
  <c r="F325" i="6" a="1"/>
  <c r="F325" i="6" s="1"/>
  <c r="E325" i="6" a="1"/>
  <c r="E325" i="6" s="1"/>
  <c r="I325" i="6" a="1"/>
  <c r="I325" i="6" s="1"/>
  <c r="I313" i="6" a="1"/>
  <c r="I313" i="6" s="1"/>
  <c r="D313" i="6" a="1"/>
  <c r="D313" i="6" s="1"/>
  <c r="E301" i="6" a="1"/>
  <c r="E301" i="6" s="1"/>
  <c r="D301" i="6" a="1"/>
  <c r="D301" i="6" s="1"/>
  <c r="F301" i="6" a="1"/>
  <c r="F301" i="6" s="1"/>
  <c r="G301" i="6" a="1"/>
  <c r="G301" i="6" s="1"/>
  <c r="I301" i="6" a="1"/>
  <c r="I301" i="6" s="1"/>
  <c r="E289" i="6" a="1"/>
  <c r="E289" i="6" s="1"/>
  <c r="F289" i="6" a="1"/>
  <c r="F289" i="6" s="1"/>
  <c r="E277" i="6" a="1"/>
  <c r="E277" i="6" s="1"/>
  <c r="F277" i="6" a="1"/>
  <c r="F277" i="6" s="1"/>
  <c r="E265" i="6" a="1"/>
  <c r="E265" i="6" s="1"/>
  <c r="D265" i="6" a="1"/>
  <c r="D265" i="6" s="1"/>
  <c r="F265" i="6" a="1"/>
  <c r="F265" i="6" s="1"/>
  <c r="G265" i="6" a="1"/>
  <c r="G265" i="6" s="1"/>
  <c r="I265" i="6" a="1"/>
  <c r="I265" i="6" s="1"/>
  <c r="I253" i="6" a="1"/>
  <c r="I253" i="6" s="1"/>
  <c r="E253" i="6" a="1"/>
  <c r="E253" i="6" s="1"/>
  <c r="D241" i="6" a="1"/>
  <c r="D241" i="6" s="1"/>
  <c r="I241" i="6" a="1"/>
  <c r="I241" i="6" s="1"/>
  <c r="I229" i="6" a="1"/>
  <c r="I229" i="6" s="1"/>
  <c r="D229" i="6" a="1"/>
  <c r="D229" i="6" s="1"/>
  <c r="F229" i="6" a="1"/>
  <c r="F229" i="6" s="1"/>
  <c r="E229" i="6" a="1"/>
  <c r="E229" i="6" s="1"/>
  <c r="G229" i="6" a="1"/>
  <c r="G229" i="6" s="1"/>
  <c r="D205" i="6" a="1"/>
  <c r="D205" i="6" s="1"/>
  <c r="F205" i="6" a="1"/>
  <c r="F205" i="6" s="1"/>
  <c r="E193" i="6" a="1"/>
  <c r="E193" i="6" s="1"/>
  <c r="F193" i="6" a="1"/>
  <c r="F193" i="6" s="1"/>
  <c r="G193" i="6" a="1"/>
  <c r="G193" i="6" s="1"/>
  <c r="I193" i="6" a="1"/>
  <c r="I193" i="6" s="1"/>
  <c r="E181" i="6" a="1"/>
  <c r="E181" i="6" s="1"/>
  <c r="D181" i="6" a="1"/>
  <c r="D181" i="6" s="1"/>
  <c r="E169" i="6" a="1"/>
  <c r="E169" i="6" s="1"/>
  <c r="I169" i="6" a="1"/>
  <c r="I169" i="6" s="1"/>
  <c r="D169" i="6" a="1"/>
  <c r="D169" i="6" s="1"/>
  <c r="E157" i="6" a="1"/>
  <c r="E157" i="6" s="1"/>
  <c r="D157" i="6" a="1"/>
  <c r="D157" i="6" s="1"/>
  <c r="F157" i="6" a="1"/>
  <c r="F157" i="6" s="1"/>
  <c r="I157" i="6" a="1"/>
  <c r="I157" i="6" s="1"/>
  <c r="E145" i="6" a="1"/>
  <c r="E145" i="6" s="1"/>
  <c r="F145" i="6" a="1"/>
  <c r="F145" i="6" s="1"/>
  <c r="G145" i="6" a="1"/>
  <c r="G145" i="6" s="1"/>
  <c r="I145" i="6" a="1"/>
  <c r="I145" i="6" s="1"/>
  <c r="G133" i="6" a="1"/>
  <c r="G133" i="6" s="1"/>
  <c r="E133" i="6" a="1"/>
  <c r="E133" i="6" s="1"/>
  <c r="D109" i="6" a="1"/>
  <c r="D109" i="6" s="1"/>
  <c r="F109" i="6" a="1"/>
  <c r="F109" i="6" s="1"/>
  <c r="G109" i="6" a="1"/>
  <c r="G109" i="6" s="1"/>
  <c r="I109" i="6" a="1"/>
  <c r="I109" i="6" s="1"/>
  <c r="E97" i="6" a="1"/>
  <c r="E97" i="6" s="1"/>
  <c r="D97" i="6" a="1"/>
  <c r="D97" i="6" s="1"/>
  <c r="G73" i="6" a="1"/>
  <c r="G73" i="6" s="1"/>
  <c r="E73" i="6" a="1"/>
  <c r="E73" i="6" s="1"/>
  <c r="D73" i="6" a="1"/>
  <c r="D73" i="6" s="1"/>
  <c r="I73" i="6" a="1"/>
  <c r="I73" i="6" s="1"/>
  <c r="D61" i="6" a="1"/>
  <c r="D61" i="6" s="1"/>
  <c r="F61" i="6" a="1"/>
  <c r="F61" i="6" s="1"/>
  <c r="G61" i="6" a="1"/>
  <c r="G61" i="6" s="1"/>
  <c r="E61" i="6" a="1"/>
  <c r="E61" i="6" s="1"/>
  <c r="F49" i="6" a="1"/>
  <c r="F49" i="6" s="1"/>
  <c r="G49" i="6" a="1"/>
  <c r="G49" i="6" s="1"/>
  <c r="I49" i="6" a="1"/>
  <c r="I49" i="6" s="1"/>
  <c r="D37" i="6" a="1"/>
  <c r="D37" i="6" s="1"/>
  <c r="E37" i="6" a="1"/>
  <c r="E37" i="6" s="1"/>
  <c r="F37" i="6" a="1"/>
  <c r="F37" i="6" s="1"/>
  <c r="D25" i="6" a="1"/>
  <c r="D25" i="6" s="1"/>
  <c r="F25" i="6" a="1"/>
  <c r="F25" i="6" s="1"/>
  <c r="G25" i="6" a="1"/>
  <c r="G25" i="6" s="1"/>
  <c r="I25" i="6" a="1"/>
  <c r="I25" i="6" s="1"/>
  <c r="E13" i="6" a="1"/>
  <c r="E13" i="6" s="1"/>
  <c r="D13" i="6" a="1"/>
  <c r="D13" i="6" s="1"/>
  <c r="G13" i="6" a="1"/>
  <c r="G13" i="6" s="1"/>
  <c r="E479" i="6" a="1"/>
  <c r="E479" i="6" s="1"/>
  <c r="E349" i="6" a="1"/>
  <c r="E349" i="6" s="1"/>
  <c r="E65" i="6" a="1"/>
  <c r="E65" i="6" s="1"/>
  <c r="E25" i="6" a="1"/>
  <c r="E25" i="6" s="1"/>
  <c r="E503" i="6" a="1"/>
  <c r="E503" i="6" s="1"/>
  <c r="I503" i="6" a="1"/>
  <c r="I503" i="6" s="1"/>
  <c r="I443" i="6" a="1"/>
  <c r="I443" i="6" s="1"/>
  <c r="E443" i="6" a="1"/>
  <c r="E443" i="6" s="1"/>
  <c r="E275" i="6" a="1"/>
  <c r="E275" i="6" s="1"/>
  <c r="F275" i="6" a="1"/>
  <c r="F275" i="6" s="1"/>
  <c r="I491" i="6" a="1"/>
  <c r="I491" i="6" s="1"/>
  <c r="E450" i="6" a="1"/>
  <c r="E450" i="6" s="1"/>
  <c r="E366" i="6" a="1"/>
  <c r="E366" i="6" s="1"/>
  <c r="E150" i="6" a="1"/>
  <c r="E150" i="6" s="1"/>
  <c r="E30" i="6" a="1"/>
  <c r="E30" i="6" s="1"/>
  <c r="F503" i="6" a="1"/>
  <c r="F503" i="6" s="1"/>
  <c r="D473" i="6" a="1"/>
  <c r="D473" i="6" s="1"/>
  <c r="E456" i="6" a="1"/>
  <c r="E456" i="6" s="1"/>
  <c r="E396" i="6" a="1"/>
  <c r="E396" i="6" s="1"/>
  <c r="E348" i="6" a="1"/>
  <c r="E348" i="6" s="1"/>
  <c r="E336" i="6" a="1"/>
  <c r="E336" i="6" s="1"/>
  <c r="E132" i="6" a="1"/>
  <c r="E132" i="6" s="1"/>
  <c r="E96" i="6" a="1"/>
  <c r="E96" i="6" s="1"/>
  <c r="E84" i="6" a="1"/>
  <c r="E84" i="6" s="1"/>
  <c r="E305" i="6" a="1"/>
  <c r="E305" i="6" s="1"/>
  <c r="E269" i="6" a="1"/>
  <c r="E269" i="6" s="1"/>
  <c r="E504" i="6" a="1"/>
  <c r="E504" i="6" s="1"/>
  <c r="E492" i="6" a="1"/>
  <c r="E492" i="6" s="1"/>
  <c r="E480" i="6" a="1"/>
  <c r="E480" i="6" s="1"/>
  <c r="E300" i="6" a="1"/>
  <c r="E300" i="6" s="1"/>
  <c r="E288" i="6" a="1"/>
  <c r="E288" i="6" s="1"/>
  <c r="E276" i="6" a="1"/>
  <c r="E276" i="6" s="1"/>
  <c r="E264" i="6" a="1"/>
  <c r="E264" i="6" s="1"/>
  <c r="E228" i="6" a="1"/>
  <c r="E228" i="6" s="1"/>
  <c r="E216" i="6" a="1"/>
  <c r="E216" i="6" s="1"/>
  <c r="E204" i="6" a="1"/>
  <c r="E204" i="6" s="1"/>
  <c r="E192" i="6" a="1"/>
  <c r="E192" i="6" s="1"/>
  <c r="E180" i="6" a="1"/>
  <c r="E180" i="6" s="1"/>
  <c r="E168" i="6" a="1"/>
  <c r="E168" i="6" s="1"/>
  <c r="E48" i="6" a="1"/>
  <c r="E48" i="6" s="1"/>
  <c r="E36" i="6" a="1"/>
  <c r="E36" i="6" s="1"/>
  <c r="E24" i="6" a="1"/>
  <c r="E24" i="6" s="1"/>
  <c r="E12" i="6" a="1"/>
  <c r="E12" i="6" s="1"/>
  <c r="G480" i="6" a="1"/>
  <c r="G480" i="6" s="1"/>
  <c r="G477" i="6" a="1"/>
  <c r="G477" i="6" s="1"/>
  <c r="D309" i="6" a="1"/>
  <c r="D309" i="6" s="1"/>
  <c r="E346" i="6" a="1"/>
  <c r="E346" i="6" s="1"/>
  <c r="E334" i="6" a="1"/>
  <c r="E334" i="6" s="1"/>
  <c r="E322" i="6" a="1"/>
  <c r="E322" i="6" s="1"/>
  <c r="E303" i="6" a="1"/>
  <c r="E303" i="6" s="1"/>
  <c r="E345" i="6" a="1"/>
  <c r="E345" i="6" s="1"/>
  <c r="E333" i="6" a="1"/>
  <c r="E333" i="6" s="1"/>
  <c r="E321" i="6" a="1"/>
  <c r="E321" i="6" s="1"/>
  <c r="E262" i="6" a="1"/>
  <c r="E262" i="6" s="1"/>
  <c r="E15" i="6" a="1"/>
  <c r="E15" i="6" s="1"/>
  <c r="E403" i="6" a="1"/>
  <c r="E403" i="6" s="1"/>
  <c r="E391" i="6" a="1"/>
  <c r="E391" i="6" s="1"/>
  <c r="F391" i="6" a="1"/>
  <c r="F391" i="6" s="1"/>
  <c r="E379" i="6" a="1"/>
  <c r="E379" i="6" s="1"/>
  <c r="E367" i="6" a="1"/>
  <c r="E367" i="6" s="1"/>
  <c r="E355" i="6" a="1"/>
  <c r="E355" i="6" s="1"/>
  <c r="E343" i="6" a="1"/>
  <c r="E343" i="6" s="1"/>
  <c r="E331" i="6" a="1"/>
  <c r="E331" i="6" s="1"/>
  <c r="E319" i="6" a="1"/>
  <c r="E319" i="6" s="1"/>
  <c r="E307" i="6" a="1"/>
  <c r="E307" i="6" s="1"/>
  <c r="E247" i="6" a="1"/>
  <c r="E247" i="6" s="1"/>
  <c r="E235" i="6" a="1"/>
  <c r="E235" i="6" s="1"/>
  <c r="E243" i="6" a="1"/>
  <c r="E243" i="6" s="1"/>
  <c r="F294" i="6" a="1"/>
  <c r="F294" i="6" s="1"/>
  <c r="I113" i="6" a="1"/>
  <c r="I113" i="6" s="1"/>
  <c r="F315" i="6" a="1"/>
  <c r="F315" i="6" s="1"/>
  <c r="G87" i="6" a="1"/>
  <c r="G87" i="6" s="1"/>
  <c r="G509" i="6" a="1"/>
  <c r="G509" i="6" s="1"/>
  <c r="D500" i="6" a="1"/>
  <c r="D500" i="6" s="1"/>
  <c r="D498" i="6" a="1"/>
  <c r="D498" i="6" s="1"/>
  <c r="G497" i="6" a="1"/>
  <c r="G497" i="6" s="1"/>
  <c r="D486" i="6" a="1"/>
  <c r="D486" i="6" s="1"/>
  <c r="I483" i="6" a="1"/>
  <c r="I483" i="6" s="1"/>
  <c r="I476" i="6" a="1"/>
  <c r="I476" i="6" s="1"/>
  <c r="F474" i="6" a="1"/>
  <c r="F474" i="6" s="1"/>
  <c r="I473" i="6" a="1"/>
  <c r="I473" i="6" s="1"/>
  <c r="F471" i="6" a="1"/>
  <c r="F471" i="6" s="1"/>
  <c r="D464" i="6" a="1"/>
  <c r="D464" i="6" s="1"/>
  <c r="G462" i="6" a="1"/>
  <c r="G462" i="6" s="1"/>
  <c r="G461" i="6" a="1"/>
  <c r="G461" i="6" s="1"/>
  <c r="F459" i="6" a="1"/>
  <c r="F459" i="6" s="1"/>
  <c r="G456" i="6" a="1"/>
  <c r="G456" i="6" s="1"/>
  <c r="G454" i="6" a="1"/>
  <c r="G454" i="6" s="1"/>
  <c r="D452" i="6" a="1"/>
  <c r="D452" i="6" s="1"/>
  <c r="G447" i="6" a="1"/>
  <c r="G447" i="6" s="1"/>
  <c r="F438" i="6" a="1"/>
  <c r="F438" i="6" s="1"/>
  <c r="D435" i="6" a="1"/>
  <c r="D435" i="6" s="1"/>
  <c r="G432" i="6" a="1"/>
  <c r="G432" i="6" s="1"/>
  <c r="D428" i="6" a="1"/>
  <c r="D428" i="6" s="1"/>
  <c r="F426" i="6" a="1"/>
  <c r="F426" i="6" s="1"/>
  <c r="D425" i="6" a="1"/>
  <c r="D425" i="6" s="1"/>
  <c r="G423" i="6" a="1"/>
  <c r="G423" i="6" s="1"/>
  <c r="I418" i="6" a="1"/>
  <c r="I418" i="6" s="1"/>
  <c r="D416" i="6" a="1"/>
  <c r="D416" i="6" s="1"/>
  <c r="I414" i="6" a="1"/>
  <c r="I414" i="6" s="1"/>
  <c r="F413" i="6" a="1"/>
  <c r="F413" i="6" s="1"/>
  <c r="F411" i="6" a="1"/>
  <c r="F411" i="6" s="1"/>
  <c r="I406" i="6" a="1"/>
  <c r="I406" i="6" s="1"/>
  <c r="I402" i="6" a="1"/>
  <c r="I402" i="6" s="1"/>
  <c r="D401" i="6" a="1"/>
  <c r="D401" i="6" s="1"/>
  <c r="D399" i="6" a="1"/>
  <c r="D399" i="6" s="1"/>
  <c r="F389" i="6" a="1"/>
  <c r="F389" i="6" s="1"/>
  <c r="G377" i="6" a="1"/>
  <c r="G377" i="6" s="1"/>
  <c r="I375" i="6" a="1"/>
  <c r="I375" i="6" s="1"/>
  <c r="F366" i="6" a="1"/>
  <c r="F366" i="6" s="1"/>
  <c r="I363" i="6" a="1"/>
  <c r="I363" i="6" s="1"/>
  <c r="F354" i="6" a="1"/>
  <c r="F354" i="6" s="1"/>
  <c r="D353" i="6" a="1"/>
  <c r="D353" i="6" s="1"/>
  <c r="G342" i="6" a="1"/>
  <c r="G342" i="6" s="1"/>
  <c r="G341" i="6" a="1"/>
  <c r="G341" i="6" s="1"/>
  <c r="F339" i="6" a="1"/>
  <c r="F339" i="6" s="1"/>
  <c r="G330" i="6" a="1"/>
  <c r="G330" i="6" s="1"/>
  <c r="I329" i="6" a="1"/>
  <c r="I329" i="6" s="1"/>
  <c r="D327" i="6" a="1"/>
  <c r="D327" i="6" s="1"/>
  <c r="D318" i="6" a="1"/>
  <c r="D318" i="6" s="1"/>
  <c r="D317" i="6" a="1"/>
  <c r="D317" i="6" s="1"/>
  <c r="G306" i="6" a="1"/>
  <c r="G306" i="6" s="1"/>
  <c r="I305" i="6" a="1"/>
  <c r="I305" i="6" s="1"/>
  <c r="G303" i="6" a="1"/>
  <c r="G303" i="6" s="1"/>
  <c r="F296" i="6" a="1"/>
  <c r="F296" i="6" s="1"/>
  <c r="G267" i="6" a="1"/>
  <c r="G267" i="6" s="1"/>
  <c r="D257" i="6" a="1"/>
  <c r="D257" i="6" s="1"/>
  <c r="I255" i="6" a="1"/>
  <c r="I255" i="6" s="1"/>
  <c r="G249" i="6" a="1"/>
  <c r="G249" i="6" s="1"/>
  <c r="D243" i="6" a="1"/>
  <c r="D243" i="6" s="1"/>
  <c r="F234" i="6" a="1"/>
  <c r="F234" i="6" s="1"/>
  <c r="I233" i="6" a="1"/>
  <c r="I233" i="6" s="1"/>
  <c r="D219" i="6" a="1"/>
  <c r="D219" i="6" s="1"/>
  <c r="D207" i="6" a="1"/>
  <c r="D207" i="6" s="1"/>
  <c r="I202" i="6" a="1"/>
  <c r="I202" i="6" s="1"/>
  <c r="G195" i="6" a="1"/>
  <c r="G195" i="6" s="1"/>
  <c r="F183" i="6" a="1"/>
  <c r="F183" i="6" s="1"/>
  <c r="D173" i="6" a="1"/>
  <c r="D173" i="6" s="1"/>
  <c r="D171" i="6" a="1"/>
  <c r="D171" i="6" s="1"/>
  <c r="G164" i="6" a="1"/>
  <c r="G164" i="6" s="1"/>
  <c r="D161" i="6" a="1"/>
  <c r="D161" i="6" s="1"/>
  <c r="F159" i="6" a="1"/>
  <c r="F159" i="6" s="1"/>
  <c r="F152" i="6" a="1"/>
  <c r="F152" i="6" s="1"/>
  <c r="I148" i="6" a="1"/>
  <c r="I148" i="6" s="1"/>
  <c r="D147" i="6" a="1"/>
  <c r="D147" i="6" s="1"/>
  <c r="D126" i="6" a="1"/>
  <c r="D126" i="6" s="1"/>
  <c r="F111" i="6" a="1"/>
  <c r="F111" i="6" s="1"/>
  <c r="D86" i="6" a="1"/>
  <c r="D86" i="6" s="1"/>
  <c r="D78" i="6" a="1"/>
  <c r="D78" i="6" s="1"/>
  <c r="G74" i="6" a="1"/>
  <c r="G74" i="6" s="1"/>
  <c r="G64" i="6" a="1"/>
  <c r="G64" i="6" s="1"/>
  <c r="I63" i="6" a="1"/>
  <c r="I63" i="6" s="1"/>
  <c r="I51" i="6" a="1"/>
  <c r="I51" i="6" s="1"/>
  <c r="G38" i="6" a="1"/>
  <c r="G38" i="6" s="1"/>
  <c r="D27" i="6" a="1"/>
  <c r="D27" i="6" s="1"/>
  <c r="I26" i="6" a="1"/>
  <c r="I26" i="6" s="1"/>
  <c r="D15" i="6" a="1"/>
  <c r="D15" i="6" s="1"/>
  <c r="I14" i="6" a="1"/>
  <c r="I14" i="6" s="1"/>
  <c r="F9" i="6" a="1"/>
  <c r="F9" i="6" s="1"/>
  <c r="G171" i="6" a="1"/>
  <c r="G171" i="6" s="1"/>
  <c r="D135" i="6" a="1"/>
  <c r="D135" i="6" s="1"/>
  <c r="F110" i="6" a="1"/>
  <c r="F110" i="6" s="1"/>
  <c r="I74" i="6" a="1"/>
  <c r="I74" i="6" s="1"/>
  <c r="G51" i="6" a="1"/>
  <c r="G51" i="6" s="1"/>
  <c r="F38" i="6" a="1"/>
  <c r="F38" i="6" s="1"/>
  <c r="F26" i="6" a="1"/>
  <c r="F26" i="6" s="1"/>
  <c r="G14" i="6" a="1"/>
  <c r="G14" i="6" s="1"/>
  <c r="I507" i="6" a="1"/>
  <c r="I507" i="6" s="1"/>
  <c r="F497" i="6" a="1"/>
  <c r="F497" i="6" s="1"/>
  <c r="D495" i="6" a="1"/>
  <c r="D495" i="6" s="1"/>
  <c r="D488" i="6" a="1"/>
  <c r="D488" i="6" s="1"/>
  <c r="I485" i="6" a="1"/>
  <c r="I485" i="6" s="1"/>
  <c r="G483" i="6" a="1"/>
  <c r="G483" i="6" s="1"/>
  <c r="G476" i="6" a="1"/>
  <c r="G476" i="6" s="1"/>
  <c r="I449" i="6" a="1"/>
  <c r="I449" i="6" s="1"/>
  <c r="F447" i="6" a="1"/>
  <c r="F447" i="6" s="1"/>
  <c r="D437" i="6" a="1"/>
  <c r="D437" i="6" s="1"/>
  <c r="G375" i="6" a="1"/>
  <c r="G375" i="6" s="1"/>
  <c r="D351" i="6" a="1"/>
  <c r="D351" i="6" s="1"/>
  <c r="D329" i="6" a="1"/>
  <c r="D329" i="6" s="1"/>
  <c r="I269" i="6" a="1"/>
  <c r="I269" i="6" s="1"/>
  <c r="G255" i="6" a="1"/>
  <c r="G255" i="6" s="1"/>
  <c r="I147" i="6" a="1"/>
  <c r="I147" i="6" s="1"/>
  <c r="I135" i="6" a="1"/>
  <c r="I135" i="6" s="1"/>
  <c r="I486" i="6" a="1"/>
  <c r="I486" i="6" s="1"/>
  <c r="G507" i="6" a="1"/>
  <c r="G507" i="6" s="1"/>
  <c r="G485" i="6" a="1"/>
  <c r="G485" i="6" s="1"/>
  <c r="F483" i="6" a="1"/>
  <c r="F483" i="6" s="1"/>
  <c r="F476" i="6" a="1"/>
  <c r="F476" i="6" s="1"/>
  <c r="D474" i="6" a="1"/>
  <c r="D474" i="6" s="1"/>
  <c r="I471" i="6" a="1"/>
  <c r="I471" i="6" s="1"/>
  <c r="F462" i="6" a="1"/>
  <c r="F462" i="6" s="1"/>
  <c r="I459" i="6" a="1"/>
  <c r="I459" i="6" s="1"/>
  <c r="G449" i="6" a="1"/>
  <c r="G449" i="6" s="1"/>
  <c r="I413" i="6" a="1"/>
  <c r="I413" i="6" s="1"/>
  <c r="I411" i="6" a="1"/>
  <c r="I411" i="6" s="1"/>
  <c r="F375" i="6" a="1"/>
  <c r="F375" i="6" s="1"/>
  <c r="G353" i="6" a="1"/>
  <c r="G353" i="6" s="1"/>
  <c r="I339" i="6" a="1"/>
  <c r="I339" i="6" s="1"/>
  <c r="I317" i="6" a="1"/>
  <c r="I317" i="6" s="1"/>
  <c r="D315" i="6" a="1"/>
  <c r="D315" i="6" s="1"/>
  <c r="G269" i="6" a="1"/>
  <c r="G269" i="6" s="1"/>
  <c r="I257" i="6" a="1"/>
  <c r="I257" i="6" s="1"/>
  <c r="F255" i="6" a="1"/>
  <c r="F255" i="6" s="1"/>
  <c r="I195" i="6" a="1"/>
  <c r="I195" i="6" s="1"/>
  <c r="I183" i="6" a="1"/>
  <c r="I183" i="6" s="1"/>
  <c r="I161" i="6" a="1"/>
  <c r="I161" i="6" s="1"/>
  <c r="G147" i="6" a="1"/>
  <c r="G147" i="6" s="1"/>
  <c r="G135" i="6" a="1"/>
  <c r="G135" i="6" s="1"/>
  <c r="F123" i="6" a="1"/>
  <c r="F123" i="6" s="1"/>
  <c r="F62" i="6" a="1"/>
  <c r="F62" i="6" s="1"/>
  <c r="I27" i="6" a="1"/>
  <c r="I27" i="6" s="1"/>
  <c r="I509" i="6" a="1"/>
  <c r="I509" i="6" s="1"/>
  <c r="F507" i="6" a="1"/>
  <c r="F507" i="6" s="1"/>
  <c r="D497" i="6" a="1"/>
  <c r="D497" i="6" s="1"/>
  <c r="F485" i="6" a="1"/>
  <c r="F485" i="6" s="1"/>
  <c r="G471" i="6" a="1"/>
  <c r="G471" i="6" s="1"/>
  <c r="I461" i="6" a="1"/>
  <c r="I461" i="6" s="1"/>
  <c r="G459" i="6" a="1"/>
  <c r="G459" i="6" s="1"/>
  <c r="F449" i="6" a="1"/>
  <c r="F449" i="6" s="1"/>
  <c r="D447" i="6" a="1"/>
  <c r="D447" i="6" s="1"/>
  <c r="I423" i="6" a="1"/>
  <c r="I423" i="6" s="1"/>
  <c r="G413" i="6" a="1"/>
  <c r="G413" i="6" s="1"/>
  <c r="G411" i="6" a="1"/>
  <c r="G411" i="6" s="1"/>
  <c r="I342" i="6" a="1"/>
  <c r="I342" i="6" s="1"/>
  <c r="G339" i="6" a="1"/>
  <c r="G339" i="6" s="1"/>
  <c r="G317" i="6" a="1"/>
  <c r="G317" i="6" s="1"/>
  <c r="I303" i="6" a="1"/>
  <c r="I303" i="6" s="1"/>
  <c r="F269" i="6" a="1"/>
  <c r="F269" i="6" s="1"/>
  <c r="I267" i="6" a="1"/>
  <c r="I267" i="6" s="1"/>
  <c r="G257" i="6" a="1"/>
  <c r="G257" i="6" s="1"/>
  <c r="G183" i="6" a="1"/>
  <c r="G183" i="6" s="1"/>
  <c r="G161" i="6" a="1"/>
  <c r="G161" i="6" s="1"/>
  <c r="D159" i="6" a="1"/>
  <c r="D159" i="6" s="1"/>
  <c r="F135" i="6" a="1"/>
  <c r="F135" i="6" s="1"/>
  <c r="D123" i="6" a="1"/>
  <c r="D123" i="6" s="1"/>
  <c r="G27" i="6" a="1"/>
  <c r="G27" i="6" s="1"/>
  <c r="D483" i="6" a="1"/>
  <c r="D483" i="6" s="1"/>
  <c r="D476" i="6" a="1"/>
  <c r="D476" i="6" s="1"/>
  <c r="I377" i="6" a="1"/>
  <c r="I377" i="6" s="1"/>
  <c r="F317" i="6" a="1"/>
  <c r="F317" i="6" s="1"/>
  <c r="F257" i="6" a="1"/>
  <c r="F257" i="6" s="1"/>
  <c r="I243" i="6" a="1"/>
  <c r="I243" i="6" s="1"/>
  <c r="F161" i="6" a="1"/>
  <c r="F161" i="6" s="1"/>
  <c r="F147" i="6" a="1"/>
  <c r="F147" i="6" s="1"/>
  <c r="F306" i="6" a="1"/>
  <c r="F306" i="6" s="1"/>
  <c r="I495" i="6" a="1"/>
  <c r="I495" i="6" s="1"/>
  <c r="I488" i="6" a="1"/>
  <c r="I488" i="6" s="1"/>
  <c r="G486" i="6" a="1"/>
  <c r="G486" i="6" s="1"/>
  <c r="I437" i="6" a="1"/>
  <c r="I437" i="6" s="1"/>
  <c r="G435" i="6" a="1"/>
  <c r="G435" i="6" s="1"/>
  <c r="G401" i="6" a="1"/>
  <c r="G401" i="6" s="1"/>
  <c r="G389" i="6" a="1"/>
  <c r="G389" i="6" s="1"/>
  <c r="G365" i="6" a="1"/>
  <c r="G365" i="6" s="1"/>
  <c r="I351" i="6" a="1"/>
  <c r="I351" i="6" s="1"/>
  <c r="F327" i="6" a="1"/>
  <c r="F327" i="6" s="1"/>
  <c r="D305" i="6" a="1"/>
  <c r="D305" i="6" s="1"/>
  <c r="I293" i="6" a="1"/>
  <c r="I293" i="6" s="1"/>
  <c r="G207" i="6" a="1"/>
  <c r="G207" i="6" s="1"/>
  <c r="G173" i="6" a="1"/>
  <c r="G173" i="6" s="1"/>
  <c r="D111" i="6" a="1"/>
  <c r="D111" i="6" s="1"/>
  <c r="D87" i="6" a="1"/>
  <c r="D87" i="6" s="1"/>
  <c r="G488" i="6" a="1"/>
  <c r="G488" i="6" s="1"/>
  <c r="F486" i="6" a="1"/>
  <c r="F486" i="6" s="1"/>
  <c r="I474" i="6" a="1"/>
  <c r="I474" i="6" s="1"/>
  <c r="G437" i="6" a="1"/>
  <c r="G437" i="6" s="1"/>
  <c r="F401" i="6" a="1"/>
  <c r="F401" i="6" s="1"/>
  <c r="G329" i="6" a="1"/>
  <c r="G329" i="6" s="1"/>
  <c r="G293" i="6" a="1"/>
  <c r="G293" i="6" s="1"/>
  <c r="I497" i="6" a="1"/>
  <c r="I497" i="6" s="1"/>
  <c r="F495" i="6" a="1"/>
  <c r="F495" i="6" s="1"/>
  <c r="F488" i="6" a="1"/>
  <c r="F488" i="6" s="1"/>
  <c r="G474" i="6" a="1"/>
  <c r="G474" i="6" s="1"/>
  <c r="G452" i="6" a="1"/>
  <c r="G452" i="6" s="1"/>
  <c r="I447" i="6" a="1"/>
  <c r="I447" i="6" s="1"/>
  <c r="F437" i="6" a="1"/>
  <c r="F437" i="6" s="1"/>
  <c r="F351" i="6" a="1"/>
  <c r="F351" i="6" s="1"/>
  <c r="F329" i="6" a="1"/>
  <c r="F329" i="6" s="1"/>
  <c r="G315" i="6" a="1"/>
  <c r="G315" i="6" s="1"/>
  <c r="D234" i="6" a="1"/>
  <c r="D234" i="6" s="1"/>
  <c r="F173" i="6" a="1"/>
  <c r="F173" i="6" s="1"/>
  <c r="G159" i="6" a="1"/>
  <c r="G159" i="6" s="1"/>
  <c r="I123" i="6" a="1"/>
  <c r="I123" i="6" s="1"/>
  <c r="D389" i="6" a="1"/>
  <c r="D389" i="6" s="1"/>
  <c r="G123" i="6" a="1"/>
  <c r="G123" i="6" s="1"/>
  <c r="G50" i="6" a="1"/>
  <c r="G50" i="6" s="1"/>
  <c r="I38" i="6" a="1"/>
  <c r="I38" i="6" s="1"/>
  <c r="I438" i="6" a="1"/>
  <c r="I438" i="6" s="1"/>
  <c r="I366" i="6" a="1"/>
  <c r="I366" i="6" s="1"/>
  <c r="G296" i="6" a="1"/>
  <c r="G296" i="6" s="1"/>
  <c r="D468" i="6" a="1"/>
  <c r="D468" i="6" s="1"/>
  <c r="F468" i="6" a="1"/>
  <c r="F468" i="6" s="1"/>
  <c r="G468" i="6" a="1"/>
  <c r="G468" i="6" s="1"/>
  <c r="I468" i="6" a="1"/>
  <c r="I468" i="6" s="1"/>
  <c r="D444" i="6" a="1"/>
  <c r="D444" i="6" s="1"/>
  <c r="F444" i="6" a="1"/>
  <c r="F444" i="6" s="1"/>
  <c r="G444" i="6" a="1"/>
  <c r="G444" i="6" s="1"/>
  <c r="I444" i="6" a="1"/>
  <c r="I444" i="6" s="1"/>
  <c r="I420" i="6" a="1"/>
  <c r="I420" i="6" s="1"/>
  <c r="D420" i="6" a="1"/>
  <c r="D420" i="6" s="1"/>
  <c r="F420" i="6" a="1"/>
  <c r="F420" i="6" s="1"/>
  <c r="G420" i="6" a="1"/>
  <c r="G420" i="6" s="1"/>
  <c r="D408" i="6" a="1"/>
  <c r="D408" i="6" s="1"/>
  <c r="D396" i="6" a="1"/>
  <c r="D396" i="6" s="1"/>
  <c r="F396" i="6" a="1"/>
  <c r="F396" i="6" s="1"/>
  <c r="I384" i="6" a="1"/>
  <c r="I384" i="6" s="1"/>
  <c r="F384" i="6" a="1"/>
  <c r="F384" i="6" s="1"/>
  <c r="F372" i="6" a="1"/>
  <c r="F372" i="6" s="1"/>
  <c r="F360" i="6" a="1"/>
  <c r="F360" i="6" s="1"/>
  <c r="G360" i="6" a="1"/>
  <c r="G360" i="6" s="1"/>
  <c r="I360" i="6" a="1"/>
  <c r="I360" i="6" s="1"/>
  <c r="D360" i="6" a="1"/>
  <c r="D360" i="6" s="1"/>
  <c r="D348" i="6" a="1"/>
  <c r="D348" i="6" s="1"/>
  <c r="F348" i="6" a="1"/>
  <c r="F348" i="6" s="1"/>
  <c r="G348" i="6" a="1"/>
  <c r="G348" i="6" s="1"/>
  <c r="I348" i="6" a="1"/>
  <c r="I348" i="6" s="1"/>
  <c r="D336" i="6" a="1"/>
  <c r="D336" i="6" s="1"/>
  <c r="F336" i="6" a="1"/>
  <c r="F336" i="6" s="1"/>
  <c r="G336" i="6" a="1"/>
  <c r="G336" i="6" s="1"/>
  <c r="I336" i="6" a="1"/>
  <c r="I336" i="6" s="1"/>
  <c r="G324" i="6" a="1"/>
  <c r="G324" i="6" s="1"/>
  <c r="D324" i="6" a="1"/>
  <c r="D324" i="6" s="1"/>
  <c r="F324" i="6" a="1"/>
  <c r="F324" i="6" s="1"/>
  <c r="I324" i="6" a="1"/>
  <c r="I324" i="6" s="1"/>
  <c r="F312" i="6" a="1"/>
  <c r="F312" i="6" s="1"/>
  <c r="D312" i="6" a="1"/>
  <c r="D312" i="6" s="1"/>
  <c r="G312" i="6" a="1"/>
  <c r="G312" i="6" s="1"/>
  <c r="I312" i="6" a="1"/>
  <c r="I312" i="6" s="1"/>
  <c r="D300" i="6" a="1"/>
  <c r="D300" i="6" s="1"/>
  <c r="F300" i="6" a="1"/>
  <c r="F300" i="6" s="1"/>
  <c r="G300" i="6" a="1"/>
  <c r="G300" i="6" s="1"/>
  <c r="I300" i="6" a="1"/>
  <c r="I300" i="6" s="1"/>
  <c r="D288" i="6" a="1"/>
  <c r="D288" i="6" s="1"/>
  <c r="F288" i="6" a="1"/>
  <c r="F288" i="6" s="1"/>
  <c r="G288" i="6" a="1"/>
  <c r="G288" i="6" s="1"/>
  <c r="I288" i="6" a="1"/>
  <c r="I288" i="6" s="1"/>
  <c r="F276" i="6" a="1"/>
  <c r="F276" i="6" s="1"/>
  <c r="G276" i="6" a="1"/>
  <c r="G276" i="6" s="1"/>
  <c r="I276" i="6" a="1"/>
  <c r="I276" i="6" s="1"/>
  <c r="D276" i="6" a="1"/>
  <c r="D276" i="6" s="1"/>
  <c r="G264" i="6" a="1"/>
  <c r="G264" i="6" s="1"/>
  <c r="I264" i="6" a="1"/>
  <c r="I264" i="6" s="1"/>
  <c r="D264" i="6" a="1"/>
  <c r="D264" i="6" s="1"/>
  <c r="F264" i="6" a="1"/>
  <c r="F264" i="6" s="1"/>
  <c r="F252" i="6" a="1"/>
  <c r="F252" i="6" s="1"/>
  <c r="I252" i="6" a="1"/>
  <c r="I252" i="6" s="1"/>
  <c r="D252" i="6" a="1"/>
  <c r="D252" i="6" s="1"/>
  <c r="G252" i="6" a="1"/>
  <c r="G252" i="6" s="1"/>
  <c r="I240" i="6" a="1"/>
  <c r="I240" i="6" s="1"/>
  <c r="F240" i="6" a="1"/>
  <c r="F240" i="6" s="1"/>
  <c r="G240" i="6" a="1"/>
  <c r="G240" i="6" s="1"/>
  <c r="D240" i="6" a="1"/>
  <c r="D240" i="6" s="1"/>
  <c r="D228" i="6" a="1"/>
  <c r="D228" i="6" s="1"/>
  <c r="G228" i="6" a="1"/>
  <c r="G228" i="6" s="1"/>
  <c r="I228" i="6" a="1"/>
  <c r="I228" i="6" s="1"/>
  <c r="D216" i="6" a="1"/>
  <c r="D216" i="6" s="1"/>
  <c r="F216" i="6" a="1"/>
  <c r="F216" i="6" s="1"/>
  <c r="G216" i="6" a="1"/>
  <c r="G216" i="6" s="1"/>
  <c r="D204" i="6" a="1"/>
  <c r="D204" i="6" s="1"/>
  <c r="F204" i="6" a="1"/>
  <c r="F204" i="6" s="1"/>
  <c r="G204" i="6" a="1"/>
  <c r="G204" i="6" s="1"/>
  <c r="I204" i="6" a="1"/>
  <c r="I204" i="6" s="1"/>
  <c r="D192" i="6" a="1"/>
  <c r="D192" i="6" s="1"/>
  <c r="F192" i="6" a="1"/>
  <c r="F192" i="6" s="1"/>
  <c r="G192" i="6" a="1"/>
  <c r="G192" i="6" s="1"/>
  <c r="I192" i="6" a="1"/>
  <c r="I192" i="6" s="1"/>
  <c r="D180" i="6" a="1"/>
  <c r="D180" i="6" s="1"/>
  <c r="F180" i="6" a="1"/>
  <c r="F180" i="6" s="1"/>
  <c r="G180" i="6" a="1"/>
  <c r="G180" i="6" s="1"/>
  <c r="D168" i="6" a="1"/>
  <c r="D168" i="6" s="1"/>
  <c r="F168" i="6" a="1"/>
  <c r="F168" i="6" s="1"/>
  <c r="F156" i="6" a="1"/>
  <c r="F156" i="6" s="1"/>
  <c r="G156" i="6" a="1"/>
  <c r="G156" i="6" s="1"/>
  <c r="D156" i="6" a="1"/>
  <c r="D156" i="6" s="1"/>
  <c r="I156" i="6" a="1"/>
  <c r="I156" i="6" s="1"/>
  <c r="F144" i="6" a="1"/>
  <c r="F144" i="6" s="1"/>
  <c r="G144" i="6" a="1"/>
  <c r="G144" i="6" s="1"/>
  <c r="I144" i="6" a="1"/>
  <c r="I144" i="6" s="1"/>
  <c r="D144" i="6" a="1"/>
  <c r="D144" i="6" s="1"/>
  <c r="F132" i="6" a="1"/>
  <c r="F132" i="6" s="1"/>
  <c r="G132" i="6" a="1"/>
  <c r="G132" i="6" s="1"/>
  <c r="I132" i="6" a="1"/>
  <c r="I132" i="6" s="1"/>
  <c r="D132" i="6" a="1"/>
  <c r="D132" i="6" s="1"/>
  <c r="D120" i="6" a="1"/>
  <c r="D120" i="6" s="1"/>
  <c r="G120" i="6" a="1"/>
  <c r="G120" i="6" s="1"/>
  <c r="I120" i="6" a="1"/>
  <c r="I120" i="6" s="1"/>
  <c r="F120" i="6" a="1"/>
  <c r="F120" i="6" s="1"/>
  <c r="D108" i="6" a="1"/>
  <c r="D108" i="6" s="1"/>
  <c r="F108" i="6" a="1"/>
  <c r="F108" i="6" s="1"/>
  <c r="G108" i="6" a="1"/>
  <c r="G108" i="6" s="1"/>
  <c r="I108" i="6" a="1"/>
  <c r="I108" i="6" s="1"/>
  <c r="G96" i="6" a="1"/>
  <c r="G96" i="6" s="1"/>
  <c r="I96" i="6" a="1"/>
  <c r="I96" i="6" s="1"/>
  <c r="F96" i="6" a="1"/>
  <c r="F96" i="6" s="1"/>
  <c r="I84" i="6" a="1"/>
  <c r="I84" i="6" s="1"/>
  <c r="D84" i="6" a="1"/>
  <c r="D84" i="6" s="1"/>
  <c r="F84" i="6" a="1"/>
  <c r="F84" i="6" s="1"/>
  <c r="G84" i="6" a="1"/>
  <c r="G84" i="6" s="1"/>
  <c r="F72" i="6" a="1"/>
  <c r="F72" i="6" s="1"/>
  <c r="G72" i="6" a="1"/>
  <c r="G72" i="6" s="1"/>
  <c r="I72" i="6" a="1"/>
  <c r="I72" i="6" s="1"/>
  <c r="D72" i="6" a="1"/>
  <c r="D72" i="6" s="1"/>
  <c r="D60" i="6" a="1"/>
  <c r="D60" i="6" s="1"/>
  <c r="I60" i="6" a="1"/>
  <c r="I60" i="6" s="1"/>
  <c r="G60" i="6" a="1"/>
  <c r="G60" i="6" s="1"/>
  <c r="F60" i="6" a="1"/>
  <c r="F60" i="6" s="1"/>
  <c r="G48" i="6" a="1"/>
  <c r="G48" i="6" s="1"/>
  <c r="I48" i="6" a="1"/>
  <c r="I48" i="6" s="1"/>
  <c r="F48" i="6" a="1"/>
  <c r="F48" i="6" s="1"/>
  <c r="I36" i="6" a="1"/>
  <c r="I36" i="6" s="1"/>
  <c r="F36" i="6" a="1"/>
  <c r="F36" i="6" s="1"/>
  <c r="G36" i="6" a="1"/>
  <c r="G36" i="6" s="1"/>
  <c r="D36" i="6" a="1"/>
  <c r="D36" i="6" s="1"/>
  <c r="D24" i="6" a="1"/>
  <c r="D24" i="6" s="1"/>
  <c r="F24" i="6" a="1"/>
  <c r="F24" i="6" s="1"/>
  <c r="I24" i="6" a="1"/>
  <c r="I24" i="6" s="1"/>
  <c r="D12" i="6" a="1"/>
  <c r="D12" i="6" s="1"/>
  <c r="F12" i="6" a="1"/>
  <c r="F12" i="6" s="1"/>
  <c r="G12" i="6" a="1"/>
  <c r="G12" i="6" s="1"/>
  <c r="I12" i="6" a="1"/>
  <c r="I12" i="6" s="1"/>
  <c r="G438" i="6" a="1"/>
  <c r="G438" i="6" s="1"/>
  <c r="I428" i="6" a="1"/>
  <c r="I428" i="6" s="1"/>
  <c r="G384" i="6" a="1"/>
  <c r="G384" i="6" s="1"/>
  <c r="G366" i="6" a="1"/>
  <c r="G366" i="6" s="1"/>
  <c r="I344" i="6" a="1"/>
  <c r="I344" i="6" s="1"/>
  <c r="D467" i="6" a="1"/>
  <c r="D467" i="6" s="1"/>
  <c r="F467" i="6" a="1"/>
  <c r="F467" i="6" s="1"/>
  <c r="G467" i="6" a="1"/>
  <c r="G467" i="6" s="1"/>
  <c r="D455" i="6" a="1"/>
  <c r="D455" i="6" s="1"/>
  <c r="F455" i="6" a="1"/>
  <c r="F455" i="6" s="1"/>
  <c r="G455" i="6" a="1"/>
  <c r="G455" i="6" s="1"/>
  <c r="I455" i="6" a="1"/>
  <c r="I455" i="6" s="1"/>
  <c r="D443" i="6" a="1"/>
  <c r="D443" i="6" s="1"/>
  <c r="F443" i="6" a="1"/>
  <c r="F443" i="6" s="1"/>
  <c r="G443" i="6" a="1"/>
  <c r="G443" i="6" s="1"/>
  <c r="D431" i="6" a="1"/>
  <c r="D431" i="6" s="1"/>
  <c r="F431" i="6" a="1"/>
  <c r="F431" i="6" s="1"/>
  <c r="G431" i="6" a="1"/>
  <c r="G431" i="6" s="1"/>
  <c r="I431" i="6" a="1"/>
  <c r="I431" i="6" s="1"/>
  <c r="D419" i="6" a="1"/>
  <c r="D419" i="6" s="1"/>
  <c r="F419" i="6" a="1"/>
  <c r="F419" i="6" s="1"/>
  <c r="D407" i="6" a="1"/>
  <c r="D407" i="6" s="1"/>
  <c r="F407" i="6" a="1"/>
  <c r="F407" i="6" s="1"/>
  <c r="G407" i="6" a="1"/>
  <c r="G407" i="6" s="1"/>
  <c r="I407" i="6" a="1"/>
  <c r="I407" i="6" s="1"/>
  <c r="G395" i="6" a="1"/>
  <c r="G395" i="6" s="1"/>
  <c r="I395" i="6" a="1"/>
  <c r="I395" i="6" s="1"/>
  <c r="D395" i="6" a="1"/>
  <c r="D395" i="6" s="1"/>
  <c r="I383" i="6" a="1"/>
  <c r="I383" i="6" s="1"/>
  <c r="D383" i="6" a="1"/>
  <c r="D383" i="6" s="1"/>
  <c r="I371" i="6" a="1"/>
  <c r="I371" i="6" s="1"/>
  <c r="D371" i="6" a="1"/>
  <c r="D371" i="6" s="1"/>
  <c r="G359" i="6" a="1"/>
  <c r="G359" i="6" s="1"/>
  <c r="I359" i="6" a="1"/>
  <c r="I359" i="6" s="1"/>
  <c r="F359" i="6" a="1"/>
  <c r="F359" i="6" s="1"/>
  <c r="I347" i="6" a="1"/>
  <c r="I347" i="6" s="1"/>
  <c r="D347" i="6" a="1"/>
  <c r="D347" i="6" s="1"/>
  <c r="G335" i="6" a="1"/>
  <c r="G335" i="6" s="1"/>
  <c r="I335" i="6" a="1"/>
  <c r="I335" i="6" s="1"/>
  <c r="F335" i="6" a="1"/>
  <c r="F335" i="6" s="1"/>
  <c r="G323" i="6" a="1"/>
  <c r="G323" i="6" s="1"/>
  <c r="I323" i="6" a="1"/>
  <c r="I323" i="6" s="1"/>
  <c r="F323" i="6" a="1"/>
  <c r="F323" i="6" s="1"/>
  <c r="D323" i="6" a="1"/>
  <c r="D323" i="6" s="1"/>
  <c r="G311" i="6" a="1"/>
  <c r="G311" i="6" s="1"/>
  <c r="I311" i="6" a="1"/>
  <c r="I311" i="6" s="1"/>
  <c r="D311" i="6" a="1"/>
  <c r="D311" i="6" s="1"/>
  <c r="F311" i="6" a="1"/>
  <c r="F311" i="6" s="1"/>
  <c r="G299" i="6" a="1"/>
  <c r="G299" i="6" s="1"/>
  <c r="D299" i="6" a="1"/>
  <c r="D299" i="6" s="1"/>
  <c r="F299" i="6" a="1"/>
  <c r="F299" i="6" s="1"/>
  <c r="I299" i="6" a="1"/>
  <c r="I299" i="6" s="1"/>
  <c r="D287" i="6" a="1"/>
  <c r="D287" i="6" s="1"/>
  <c r="F287" i="6" a="1"/>
  <c r="F287" i="6" s="1"/>
  <c r="G287" i="6" a="1"/>
  <c r="G287" i="6" s="1"/>
  <c r="I287" i="6" a="1"/>
  <c r="I287" i="6" s="1"/>
  <c r="G275" i="6" a="1"/>
  <c r="G275" i="6" s="1"/>
  <c r="I275" i="6" a="1"/>
  <c r="I275" i="6" s="1"/>
  <c r="D275" i="6" a="1"/>
  <c r="D275" i="6" s="1"/>
  <c r="D263" i="6" a="1"/>
  <c r="D263" i="6" s="1"/>
  <c r="G263" i="6" a="1"/>
  <c r="G263" i="6" s="1"/>
  <c r="I263" i="6" a="1"/>
  <c r="I263" i="6" s="1"/>
  <c r="F263" i="6" a="1"/>
  <c r="F263" i="6" s="1"/>
  <c r="I251" i="6" a="1"/>
  <c r="I251" i="6" s="1"/>
  <c r="D251" i="6" a="1"/>
  <c r="D251" i="6" s="1"/>
  <c r="F251" i="6" a="1"/>
  <c r="F251" i="6" s="1"/>
  <c r="G251" i="6" a="1"/>
  <c r="G251" i="6" s="1"/>
  <c r="F239" i="6" a="1"/>
  <c r="F239" i="6" s="1"/>
  <c r="G239" i="6" a="1"/>
  <c r="G239" i="6" s="1"/>
  <c r="I239" i="6" a="1"/>
  <c r="I239" i="6" s="1"/>
  <c r="D239" i="6" a="1"/>
  <c r="D239" i="6" s="1"/>
  <c r="F227" i="6" a="1"/>
  <c r="F227" i="6" s="1"/>
  <c r="G227" i="6" a="1"/>
  <c r="G227" i="6" s="1"/>
  <c r="I227" i="6" a="1"/>
  <c r="I227" i="6" s="1"/>
  <c r="F215" i="6" a="1"/>
  <c r="F215" i="6" s="1"/>
  <c r="D215" i="6" a="1"/>
  <c r="D215" i="6" s="1"/>
  <c r="I215" i="6" a="1"/>
  <c r="I215" i="6" s="1"/>
  <c r="G203" i="6" a="1"/>
  <c r="G203" i="6" s="1"/>
  <c r="I203" i="6" a="1"/>
  <c r="I203" i="6" s="1"/>
  <c r="D203" i="6" a="1"/>
  <c r="D203" i="6" s="1"/>
  <c r="F203" i="6" a="1"/>
  <c r="F203" i="6" s="1"/>
  <c r="F191" i="6" a="1"/>
  <c r="F191" i="6" s="1"/>
  <c r="G191" i="6" a="1"/>
  <c r="G191" i="6" s="1"/>
  <c r="I191" i="6" a="1"/>
  <c r="I191" i="6" s="1"/>
  <c r="D191" i="6" a="1"/>
  <c r="D191" i="6" s="1"/>
  <c r="I179" i="6" a="1"/>
  <c r="I179" i="6" s="1"/>
  <c r="D179" i="6" a="1"/>
  <c r="D179" i="6" s="1"/>
  <c r="F179" i="6" a="1"/>
  <c r="F179" i="6" s="1"/>
  <c r="G179" i="6" a="1"/>
  <c r="G179" i="6" s="1"/>
  <c r="F167" i="6" a="1"/>
  <c r="F167" i="6" s="1"/>
  <c r="G167" i="6" a="1"/>
  <c r="G167" i="6" s="1"/>
  <c r="D167" i="6" a="1"/>
  <c r="D167" i="6" s="1"/>
  <c r="I167" i="6" a="1"/>
  <c r="I167" i="6" s="1"/>
  <c r="F155" i="6" a="1"/>
  <c r="F155" i="6" s="1"/>
  <c r="G155" i="6" a="1"/>
  <c r="G155" i="6" s="1"/>
  <c r="I155" i="6" a="1"/>
  <c r="I155" i="6" s="1"/>
  <c r="D155" i="6" a="1"/>
  <c r="D155" i="6" s="1"/>
  <c r="D143" i="6" a="1"/>
  <c r="D143" i="6" s="1"/>
  <c r="F143" i="6" a="1"/>
  <c r="F143" i="6" s="1"/>
  <c r="G143" i="6" a="1"/>
  <c r="G143" i="6" s="1"/>
  <c r="D131" i="6" a="1"/>
  <c r="D131" i="6" s="1"/>
  <c r="G131" i="6" a="1"/>
  <c r="G131" i="6" s="1"/>
  <c r="I131" i="6" a="1"/>
  <c r="I131" i="6" s="1"/>
  <c r="F131" i="6" a="1"/>
  <c r="F131" i="6" s="1"/>
  <c r="I119" i="6" a="1"/>
  <c r="I119" i="6" s="1"/>
  <c r="G107" i="6" a="1"/>
  <c r="G107" i="6" s="1"/>
  <c r="I107" i="6" a="1"/>
  <c r="I107" i="6" s="1"/>
  <c r="D107" i="6" a="1"/>
  <c r="D107" i="6" s="1"/>
  <c r="F107" i="6" a="1"/>
  <c r="F107" i="6" s="1"/>
  <c r="F95" i="6" a="1"/>
  <c r="F95" i="6" s="1"/>
  <c r="G95" i="6" a="1"/>
  <c r="G95" i="6" s="1"/>
  <c r="I95" i="6" a="1"/>
  <c r="I95" i="6" s="1"/>
  <c r="D83" i="6" a="1"/>
  <c r="D83" i="6" s="1"/>
  <c r="F83" i="6" a="1"/>
  <c r="F83" i="6" s="1"/>
  <c r="G83" i="6" a="1"/>
  <c r="G83" i="6" s="1"/>
  <c r="I83" i="6" a="1"/>
  <c r="I83" i="6" s="1"/>
  <c r="G71" i="6" a="1"/>
  <c r="G71" i="6" s="1"/>
  <c r="I71" i="6" a="1"/>
  <c r="I71" i="6" s="1"/>
  <c r="D71" i="6" a="1"/>
  <c r="D71" i="6" s="1"/>
  <c r="I59" i="6" a="1"/>
  <c r="I59" i="6" s="1"/>
  <c r="D59" i="6" a="1"/>
  <c r="D59" i="6" s="1"/>
  <c r="F59" i="6" a="1"/>
  <c r="F59" i="6" s="1"/>
  <c r="G59" i="6" a="1"/>
  <c r="G59" i="6" s="1"/>
  <c r="F47" i="6" a="1"/>
  <c r="F47" i="6" s="1"/>
  <c r="G47" i="6" a="1"/>
  <c r="G47" i="6" s="1"/>
  <c r="I47" i="6" a="1"/>
  <c r="I47" i="6" s="1"/>
  <c r="D47" i="6" a="1"/>
  <c r="D47" i="6" s="1"/>
  <c r="D35" i="6" a="1"/>
  <c r="D35" i="6" s="1"/>
  <c r="G35" i="6" a="1"/>
  <c r="G35" i="6" s="1"/>
  <c r="I35" i="6" a="1"/>
  <c r="I35" i="6" s="1"/>
  <c r="F35" i="6" a="1"/>
  <c r="F35" i="6" s="1"/>
  <c r="D23" i="6" a="1"/>
  <c r="D23" i="6" s="1"/>
  <c r="F23" i="6" a="1"/>
  <c r="F23" i="6" s="1"/>
  <c r="G23" i="6" a="1"/>
  <c r="G23" i="6" s="1"/>
  <c r="D11" i="6" a="1"/>
  <c r="D11" i="6" s="1"/>
  <c r="F11" i="6" a="1"/>
  <c r="F11" i="6" s="1"/>
  <c r="G11" i="6" a="1"/>
  <c r="G11" i="6" s="1"/>
  <c r="I11" i="6" a="1"/>
  <c r="I11" i="6" s="1"/>
  <c r="I462" i="6" a="1"/>
  <c r="I462" i="6" s="1"/>
  <c r="G428" i="6" a="1"/>
  <c r="G428" i="6" s="1"/>
  <c r="F344" i="6" a="1"/>
  <c r="F344" i="6" s="1"/>
  <c r="G294" i="6" a="1"/>
  <c r="G294" i="6" s="1"/>
  <c r="D96" i="6" a="1"/>
  <c r="D96" i="6" s="1"/>
  <c r="F428" i="6" a="1"/>
  <c r="F428" i="6" s="1"/>
  <c r="D384" i="6" a="1"/>
  <c r="D384" i="6" s="1"/>
  <c r="I372" i="6" a="1"/>
  <c r="I372" i="6" s="1"/>
  <c r="F228" i="6" a="1"/>
  <c r="F228" i="6" s="1"/>
  <c r="D465" i="6" a="1"/>
  <c r="D465" i="6" s="1"/>
  <c r="F465" i="6" a="1"/>
  <c r="F465" i="6" s="1"/>
  <c r="G465" i="6" a="1"/>
  <c r="G465" i="6" s="1"/>
  <c r="I465" i="6" a="1"/>
  <c r="I465" i="6" s="1"/>
  <c r="D453" i="6" a="1"/>
  <c r="D453" i="6" s="1"/>
  <c r="F453" i="6" a="1"/>
  <c r="F453" i="6" s="1"/>
  <c r="G453" i="6" a="1"/>
  <c r="G453" i="6" s="1"/>
  <c r="I453" i="6" a="1"/>
  <c r="I453" i="6" s="1"/>
  <c r="D441" i="6" a="1"/>
  <c r="D441" i="6" s="1"/>
  <c r="F441" i="6" a="1"/>
  <c r="F441" i="6" s="1"/>
  <c r="G441" i="6" a="1"/>
  <c r="G441" i="6" s="1"/>
  <c r="I441" i="6" a="1"/>
  <c r="I441" i="6" s="1"/>
  <c r="D429" i="6" a="1"/>
  <c r="D429" i="6" s="1"/>
  <c r="F429" i="6" a="1"/>
  <c r="F429" i="6" s="1"/>
  <c r="G429" i="6" a="1"/>
  <c r="G429" i="6" s="1"/>
  <c r="I429" i="6" a="1"/>
  <c r="I429" i="6" s="1"/>
  <c r="D417" i="6" a="1"/>
  <c r="D417" i="6" s="1"/>
  <c r="F417" i="6" a="1"/>
  <c r="F417" i="6" s="1"/>
  <c r="G417" i="6" a="1"/>
  <c r="G417" i="6" s="1"/>
  <c r="I417" i="6" a="1"/>
  <c r="I417" i="6" s="1"/>
  <c r="F405" i="6" a="1"/>
  <c r="F405" i="6" s="1"/>
  <c r="G405" i="6" a="1"/>
  <c r="G405" i="6" s="1"/>
  <c r="I405" i="6" a="1"/>
  <c r="I405" i="6" s="1"/>
  <c r="D393" i="6" a="1"/>
  <c r="D393" i="6" s="1"/>
  <c r="G393" i="6" a="1"/>
  <c r="G393" i="6" s="1"/>
  <c r="G381" i="6" a="1"/>
  <c r="G381" i="6" s="1"/>
  <c r="F381" i="6" a="1"/>
  <c r="F381" i="6" s="1"/>
  <c r="I381" i="6" a="1"/>
  <c r="I381" i="6" s="1"/>
  <c r="G369" i="6" a="1"/>
  <c r="G369" i="6" s="1"/>
  <c r="D369" i="6" a="1"/>
  <c r="D369" i="6" s="1"/>
  <c r="F369" i="6" a="1"/>
  <c r="F369" i="6" s="1"/>
  <c r="I369" i="6" a="1"/>
  <c r="I369" i="6" s="1"/>
  <c r="F357" i="6" a="1"/>
  <c r="F357" i="6" s="1"/>
  <c r="I357" i="6" a="1"/>
  <c r="I357" i="6" s="1"/>
  <c r="G357" i="6" a="1"/>
  <c r="G357" i="6" s="1"/>
  <c r="G345" i="6" a="1"/>
  <c r="G345" i="6" s="1"/>
  <c r="I345" i="6" a="1"/>
  <c r="I345" i="6" s="1"/>
  <c r="F345" i="6" a="1"/>
  <c r="F345" i="6" s="1"/>
  <c r="I333" i="6" a="1"/>
  <c r="I333" i="6" s="1"/>
  <c r="F333" i="6" a="1"/>
  <c r="F333" i="6" s="1"/>
  <c r="G333" i="6" a="1"/>
  <c r="G333" i="6" s="1"/>
  <c r="D333" i="6" a="1"/>
  <c r="D333" i="6" s="1"/>
  <c r="F321" i="6" a="1"/>
  <c r="F321" i="6" s="1"/>
  <c r="G321" i="6" a="1"/>
  <c r="G321" i="6" s="1"/>
  <c r="D321" i="6" a="1"/>
  <c r="D321" i="6" s="1"/>
  <c r="F309" i="6" a="1"/>
  <c r="F309" i="6" s="1"/>
  <c r="G309" i="6" a="1"/>
  <c r="G309" i="6" s="1"/>
  <c r="I309" i="6" a="1"/>
  <c r="I309" i="6" s="1"/>
  <c r="F297" i="6" a="1"/>
  <c r="F297" i="6" s="1"/>
  <c r="G297" i="6" a="1"/>
  <c r="G297" i="6" s="1"/>
  <c r="I297" i="6" a="1"/>
  <c r="I297" i="6" s="1"/>
  <c r="D285" i="6" a="1"/>
  <c r="D285" i="6" s="1"/>
  <c r="F285" i="6" a="1"/>
  <c r="F285" i="6" s="1"/>
  <c r="G285" i="6" a="1"/>
  <c r="G285" i="6" s="1"/>
  <c r="I285" i="6" a="1"/>
  <c r="I285" i="6" s="1"/>
  <c r="I273" i="6" a="1"/>
  <c r="I273" i="6" s="1"/>
  <c r="F273" i="6" a="1"/>
  <c r="F273" i="6" s="1"/>
  <c r="G273" i="6" a="1"/>
  <c r="G273" i="6" s="1"/>
  <c r="D273" i="6" a="1"/>
  <c r="D273" i="6" s="1"/>
  <c r="D261" i="6" a="1"/>
  <c r="D261" i="6" s="1"/>
  <c r="F261" i="6" a="1"/>
  <c r="F261" i="6" s="1"/>
  <c r="G261" i="6" a="1"/>
  <c r="G261" i="6" s="1"/>
  <c r="I261" i="6" a="1"/>
  <c r="I261" i="6" s="1"/>
  <c r="F237" i="6" a="1"/>
  <c r="F237" i="6" s="1"/>
  <c r="D237" i="6" a="1"/>
  <c r="D237" i="6" s="1"/>
  <c r="G237" i="6" a="1"/>
  <c r="G237" i="6" s="1"/>
  <c r="I237" i="6" a="1"/>
  <c r="I237" i="6" s="1"/>
  <c r="F225" i="6" a="1"/>
  <c r="F225" i="6" s="1"/>
  <c r="G225" i="6" a="1"/>
  <c r="G225" i="6" s="1"/>
  <c r="D225" i="6" a="1"/>
  <c r="D225" i="6" s="1"/>
  <c r="I225" i="6" a="1"/>
  <c r="I225" i="6" s="1"/>
  <c r="G213" i="6" a="1"/>
  <c r="G213" i="6" s="1"/>
  <c r="I213" i="6" a="1"/>
  <c r="I213" i="6" s="1"/>
  <c r="F201" i="6" a="1"/>
  <c r="F201" i="6" s="1"/>
  <c r="I201" i="6" a="1"/>
  <c r="I201" i="6" s="1"/>
  <c r="D201" i="6" a="1"/>
  <c r="D201" i="6" s="1"/>
  <c r="I189" i="6" a="1"/>
  <c r="I189" i="6" s="1"/>
  <c r="D189" i="6" a="1"/>
  <c r="D189" i="6" s="1"/>
  <c r="F189" i="6" a="1"/>
  <c r="F189" i="6" s="1"/>
  <c r="G189" i="6" a="1"/>
  <c r="G189" i="6" s="1"/>
  <c r="G177" i="6" a="1"/>
  <c r="G177" i="6" s="1"/>
  <c r="I177" i="6" a="1"/>
  <c r="I177" i="6" s="1"/>
  <c r="D177" i="6" a="1"/>
  <c r="D177" i="6" s="1"/>
  <c r="F177" i="6" a="1"/>
  <c r="F177" i="6" s="1"/>
  <c r="D165" i="6" a="1"/>
  <c r="D165" i="6" s="1"/>
  <c r="F165" i="6" a="1"/>
  <c r="F165" i="6" s="1"/>
  <c r="I165" i="6" a="1"/>
  <c r="I165" i="6" s="1"/>
  <c r="D153" i="6" a="1"/>
  <c r="D153" i="6" s="1"/>
  <c r="I153" i="6" a="1"/>
  <c r="I153" i="6" s="1"/>
  <c r="G153" i="6" a="1"/>
  <c r="G153" i="6" s="1"/>
  <c r="D141" i="6" a="1"/>
  <c r="D141" i="6" s="1"/>
  <c r="I141" i="6" a="1"/>
  <c r="I141" i="6" s="1"/>
  <c r="F141" i="6" a="1"/>
  <c r="F141" i="6" s="1"/>
  <c r="G141" i="6" a="1"/>
  <c r="G141" i="6" s="1"/>
  <c r="D129" i="6" a="1"/>
  <c r="D129" i="6" s="1"/>
  <c r="F129" i="6" a="1"/>
  <c r="F129" i="6" s="1"/>
  <c r="G129" i="6" a="1"/>
  <c r="G129" i="6" s="1"/>
  <c r="I129" i="6" a="1"/>
  <c r="I129" i="6" s="1"/>
  <c r="I117" i="6" a="1"/>
  <c r="I117" i="6" s="1"/>
  <c r="F117" i="6" a="1"/>
  <c r="F117" i="6" s="1"/>
  <c r="G117" i="6" a="1"/>
  <c r="G117" i="6" s="1"/>
  <c r="D117" i="6" a="1"/>
  <c r="D117" i="6" s="1"/>
  <c r="F105" i="6" a="1"/>
  <c r="F105" i="6" s="1"/>
  <c r="G105" i="6" a="1"/>
  <c r="G105" i="6" s="1"/>
  <c r="I105" i="6" a="1"/>
  <c r="I105" i="6" s="1"/>
  <c r="D105" i="6" a="1"/>
  <c r="D105" i="6" s="1"/>
  <c r="F93" i="6" a="1"/>
  <c r="F93" i="6" s="1"/>
  <c r="G93" i="6" a="1"/>
  <c r="G93" i="6" s="1"/>
  <c r="I93" i="6" a="1"/>
  <c r="I93" i="6" s="1"/>
  <c r="D93" i="6" a="1"/>
  <c r="D93" i="6" s="1"/>
  <c r="D81" i="6" a="1"/>
  <c r="D81" i="6" s="1"/>
  <c r="F81" i="6" a="1"/>
  <c r="F81" i="6" s="1"/>
  <c r="D69" i="6" a="1"/>
  <c r="D69" i="6" s="1"/>
  <c r="F69" i="6" a="1"/>
  <c r="F69" i="6" s="1"/>
  <c r="G69" i="6" a="1"/>
  <c r="G69" i="6" s="1"/>
  <c r="I69" i="6" a="1"/>
  <c r="I69" i="6" s="1"/>
  <c r="F57" i="6" a="1"/>
  <c r="F57" i="6" s="1"/>
  <c r="G57" i="6" a="1"/>
  <c r="G57" i="6" s="1"/>
  <c r="I57" i="6" a="1"/>
  <c r="I57" i="6" s="1"/>
  <c r="D57" i="6" a="1"/>
  <c r="D57" i="6" s="1"/>
  <c r="D45" i="6" a="1"/>
  <c r="D45" i="6" s="1"/>
  <c r="F45" i="6" a="1"/>
  <c r="F45" i="6" s="1"/>
  <c r="G45" i="6" a="1"/>
  <c r="G45" i="6" s="1"/>
  <c r="I45" i="6" a="1"/>
  <c r="I45" i="6" s="1"/>
  <c r="F33" i="6" a="1"/>
  <c r="F33" i="6" s="1"/>
  <c r="G33" i="6" a="1"/>
  <c r="G33" i="6" s="1"/>
  <c r="I33" i="6" a="1"/>
  <c r="I33" i="6" s="1"/>
  <c r="D33" i="6" a="1"/>
  <c r="D33" i="6" s="1"/>
  <c r="G21" i="6" a="1"/>
  <c r="G21" i="6" s="1"/>
  <c r="I21" i="6" a="1"/>
  <c r="I21" i="6" s="1"/>
  <c r="D21" i="6" a="1"/>
  <c r="D21" i="6" s="1"/>
  <c r="F21" i="6" a="1"/>
  <c r="F21" i="6" s="1"/>
  <c r="G9" i="6" a="1"/>
  <c r="G9" i="6" s="1"/>
  <c r="I9" i="6" a="1"/>
  <c r="I9" i="6" s="1"/>
  <c r="D9" i="6" a="1"/>
  <c r="D9" i="6" s="1"/>
  <c r="F464" i="6" a="1"/>
  <c r="F464" i="6" s="1"/>
  <c r="G464" i="6" a="1"/>
  <c r="G464" i="6" s="1"/>
  <c r="I464" i="6" a="1"/>
  <c r="I464" i="6" s="1"/>
  <c r="F440" i="6" a="1"/>
  <c r="F440" i="6" s="1"/>
  <c r="G440" i="6" a="1"/>
  <c r="G440" i="6" s="1"/>
  <c r="I440" i="6" a="1"/>
  <c r="I440" i="6" s="1"/>
  <c r="I416" i="6" a="1"/>
  <c r="I416" i="6" s="1"/>
  <c r="F416" i="6" a="1"/>
  <c r="F416" i="6" s="1"/>
  <c r="G416" i="6" a="1"/>
  <c r="G416" i="6" s="1"/>
  <c r="D404" i="6" a="1"/>
  <c r="D404" i="6" s="1"/>
  <c r="F404" i="6" a="1"/>
  <c r="F404" i="6" s="1"/>
  <c r="G404" i="6" a="1"/>
  <c r="G404" i="6" s="1"/>
  <c r="I404" i="6" a="1"/>
  <c r="I404" i="6" s="1"/>
  <c r="G392" i="6" a="1"/>
  <c r="G392" i="6" s="1"/>
  <c r="F392" i="6" a="1"/>
  <c r="F392" i="6" s="1"/>
  <c r="I392" i="6" a="1"/>
  <c r="I392" i="6" s="1"/>
  <c r="D392" i="6" a="1"/>
  <c r="D392" i="6" s="1"/>
  <c r="D380" i="6" a="1"/>
  <c r="D380" i="6" s="1"/>
  <c r="F380" i="6" a="1"/>
  <c r="F380" i="6" s="1"/>
  <c r="G380" i="6" a="1"/>
  <c r="G380" i="6" s="1"/>
  <c r="I380" i="6" a="1"/>
  <c r="I380" i="6" s="1"/>
  <c r="D368" i="6" a="1"/>
  <c r="D368" i="6" s="1"/>
  <c r="F368" i="6" a="1"/>
  <c r="F368" i="6" s="1"/>
  <c r="G368" i="6" a="1"/>
  <c r="G368" i="6" s="1"/>
  <c r="D356" i="6" a="1"/>
  <c r="D356" i="6" s="1"/>
  <c r="F356" i="6" a="1"/>
  <c r="F356" i="6" s="1"/>
  <c r="G356" i="6" a="1"/>
  <c r="G356" i="6" s="1"/>
  <c r="I356" i="6" a="1"/>
  <c r="I356" i="6" s="1"/>
  <c r="D344" i="6" a="1"/>
  <c r="D344" i="6" s="1"/>
  <c r="G344" i="6" a="1"/>
  <c r="G344" i="6" s="1"/>
  <c r="D332" i="6" a="1"/>
  <c r="D332" i="6" s="1"/>
  <c r="F332" i="6" a="1"/>
  <c r="F332" i="6" s="1"/>
  <c r="G332" i="6" a="1"/>
  <c r="G332" i="6" s="1"/>
  <c r="I332" i="6" a="1"/>
  <c r="I332" i="6" s="1"/>
  <c r="G320" i="6" a="1"/>
  <c r="G320" i="6" s="1"/>
  <c r="I320" i="6" a="1"/>
  <c r="I320" i="6" s="1"/>
  <c r="D320" i="6" a="1"/>
  <c r="D320" i="6" s="1"/>
  <c r="F320" i="6" a="1"/>
  <c r="F320" i="6" s="1"/>
  <c r="D308" i="6" a="1"/>
  <c r="D308" i="6" s="1"/>
  <c r="F308" i="6" a="1"/>
  <c r="F308" i="6" s="1"/>
  <c r="G308" i="6" a="1"/>
  <c r="G308" i="6" s="1"/>
  <c r="I308" i="6" a="1"/>
  <c r="I308" i="6" s="1"/>
  <c r="D296" i="6" a="1"/>
  <c r="D296" i="6" s="1"/>
  <c r="I296" i="6" a="1"/>
  <c r="I296" i="6" s="1"/>
  <c r="G284" i="6" a="1"/>
  <c r="G284" i="6" s="1"/>
  <c r="I284" i="6" a="1"/>
  <c r="I284" i="6" s="1"/>
  <c r="F284" i="6" a="1"/>
  <c r="F284" i="6" s="1"/>
  <c r="D272" i="6" a="1"/>
  <c r="D272" i="6" s="1"/>
  <c r="F272" i="6" a="1"/>
  <c r="F272" i="6" s="1"/>
  <c r="G272" i="6" a="1"/>
  <c r="G272" i="6" s="1"/>
  <c r="I272" i="6" a="1"/>
  <c r="I272" i="6" s="1"/>
  <c r="I260" i="6" a="1"/>
  <c r="I260" i="6" s="1"/>
  <c r="D260" i="6" a="1"/>
  <c r="D260" i="6" s="1"/>
  <c r="F260" i="6" a="1"/>
  <c r="F260" i="6" s="1"/>
  <c r="G260" i="6" a="1"/>
  <c r="G260" i="6" s="1"/>
  <c r="D248" i="6" a="1"/>
  <c r="D248" i="6" s="1"/>
  <c r="G248" i="6" a="1"/>
  <c r="G248" i="6" s="1"/>
  <c r="F248" i="6" a="1"/>
  <c r="F248" i="6" s="1"/>
  <c r="I248" i="6" a="1"/>
  <c r="I248" i="6" s="1"/>
  <c r="I236" i="6" a="1"/>
  <c r="I236" i="6" s="1"/>
  <c r="F236" i="6" a="1"/>
  <c r="F236" i="6" s="1"/>
  <c r="G236" i="6" a="1"/>
  <c r="G236" i="6" s="1"/>
  <c r="D236" i="6" a="1"/>
  <c r="D236" i="6" s="1"/>
  <c r="G224" i="6" a="1"/>
  <c r="G224" i="6" s="1"/>
  <c r="I224" i="6" a="1"/>
  <c r="I224" i="6" s="1"/>
  <c r="D224" i="6" a="1"/>
  <c r="D224" i="6" s="1"/>
  <c r="F224" i="6" a="1"/>
  <c r="F224" i="6" s="1"/>
  <c r="F212" i="6" a="1"/>
  <c r="F212" i="6" s="1"/>
  <c r="G212" i="6" a="1"/>
  <c r="G212" i="6" s="1"/>
  <c r="D212" i="6" a="1"/>
  <c r="D212" i="6" s="1"/>
  <c r="I212" i="6" a="1"/>
  <c r="I212" i="6" s="1"/>
  <c r="F200" i="6" a="1"/>
  <c r="F200" i="6" s="1"/>
  <c r="G200" i="6" a="1"/>
  <c r="G200" i="6" s="1"/>
  <c r="I200" i="6" a="1"/>
  <c r="I200" i="6" s="1"/>
  <c r="D200" i="6" a="1"/>
  <c r="D200" i="6" s="1"/>
  <c r="G188" i="6" a="1"/>
  <c r="G188" i="6" s="1"/>
  <c r="I188" i="6" a="1"/>
  <c r="I188" i="6" s="1"/>
  <c r="D188" i="6" a="1"/>
  <c r="D188" i="6" s="1"/>
  <c r="F188" i="6" a="1"/>
  <c r="F188" i="6" s="1"/>
  <c r="D176" i="6" a="1"/>
  <c r="D176" i="6" s="1"/>
  <c r="F176" i="6" a="1"/>
  <c r="F176" i="6" s="1"/>
  <c r="G176" i="6" a="1"/>
  <c r="G176" i="6" s="1"/>
  <c r="I176" i="6" a="1"/>
  <c r="I176" i="6" s="1"/>
  <c r="F164" i="6" a="1"/>
  <c r="F164" i="6" s="1"/>
  <c r="I164" i="6" a="1"/>
  <c r="I164" i="6" s="1"/>
  <c r="D164" i="6" a="1"/>
  <c r="D164" i="6" s="1"/>
  <c r="D152" i="6" a="1"/>
  <c r="D152" i="6" s="1"/>
  <c r="G152" i="6" a="1"/>
  <c r="G152" i="6" s="1"/>
  <c r="I152" i="6" a="1"/>
  <c r="I152" i="6" s="1"/>
  <c r="I140" i="6" a="1"/>
  <c r="I140" i="6" s="1"/>
  <c r="G140" i="6" a="1"/>
  <c r="G140" i="6" s="1"/>
  <c r="D140" i="6" a="1"/>
  <c r="D140" i="6" s="1"/>
  <c r="F128" i="6" a="1"/>
  <c r="F128" i="6" s="1"/>
  <c r="G128" i="6" a="1"/>
  <c r="G128" i="6" s="1"/>
  <c r="I128" i="6" a="1"/>
  <c r="I128" i="6" s="1"/>
  <c r="D128" i="6" a="1"/>
  <c r="D128" i="6" s="1"/>
  <c r="D116" i="6" a="1"/>
  <c r="D116" i="6" s="1"/>
  <c r="F116" i="6" a="1"/>
  <c r="F116" i="6" s="1"/>
  <c r="G116" i="6" a="1"/>
  <c r="G116" i="6" s="1"/>
  <c r="I116" i="6" a="1"/>
  <c r="I116" i="6" s="1"/>
  <c r="F104" i="6" a="1"/>
  <c r="F104" i="6" s="1"/>
  <c r="G104" i="6" a="1"/>
  <c r="G104" i="6" s="1"/>
  <c r="D104" i="6" a="1"/>
  <c r="D104" i="6" s="1"/>
  <c r="I104" i="6" a="1"/>
  <c r="I104" i="6" s="1"/>
  <c r="D92" i="6" a="1"/>
  <c r="D92" i="6" s="1"/>
  <c r="I92" i="6" a="1"/>
  <c r="I92" i="6" s="1"/>
  <c r="F92" i="6" a="1"/>
  <c r="F92" i="6" s="1"/>
  <c r="G92" i="6" a="1"/>
  <c r="G92" i="6" s="1"/>
  <c r="G80" i="6" a="1"/>
  <c r="G80" i="6" s="1"/>
  <c r="I80" i="6" a="1"/>
  <c r="I80" i="6" s="1"/>
  <c r="D80" i="6" a="1"/>
  <c r="D80" i="6" s="1"/>
  <c r="F80" i="6" a="1"/>
  <c r="F80" i="6" s="1"/>
  <c r="G68" i="6" a="1"/>
  <c r="G68" i="6" s="1"/>
  <c r="I68" i="6" a="1"/>
  <c r="I68" i="6" s="1"/>
  <c r="F68" i="6" a="1"/>
  <c r="F68" i="6" s="1"/>
  <c r="D68" i="6" a="1"/>
  <c r="D68" i="6" s="1"/>
  <c r="D56" i="6" a="1"/>
  <c r="D56" i="6" s="1"/>
  <c r="D44" i="6" a="1"/>
  <c r="D44" i="6" s="1"/>
  <c r="F44" i="6" a="1"/>
  <c r="F44" i="6" s="1"/>
  <c r="I44" i="6" a="1"/>
  <c r="I44" i="6" s="1"/>
  <c r="G44" i="6" a="1"/>
  <c r="G44" i="6" s="1"/>
  <c r="G32" i="6" a="1"/>
  <c r="G32" i="6" s="1"/>
  <c r="I32" i="6" a="1"/>
  <c r="I32" i="6" s="1"/>
  <c r="D32" i="6" a="1"/>
  <c r="D32" i="6" s="1"/>
  <c r="D20" i="6" a="1"/>
  <c r="D20" i="6" s="1"/>
  <c r="F20" i="6" a="1"/>
  <c r="F20" i="6" s="1"/>
  <c r="G20" i="6" a="1"/>
  <c r="G20" i="6" s="1"/>
  <c r="I20" i="6" a="1"/>
  <c r="I20" i="6" s="1"/>
  <c r="I452" i="6" a="1"/>
  <c r="I452" i="6" s="1"/>
  <c r="I432" i="6" a="1"/>
  <c r="I432" i="6" s="1"/>
  <c r="I408" i="6" a="1"/>
  <c r="I408" i="6" s="1"/>
  <c r="G402" i="6" a="1"/>
  <c r="G402" i="6" s="1"/>
  <c r="I396" i="6" a="1"/>
  <c r="I396" i="6" s="1"/>
  <c r="D372" i="6" a="1"/>
  <c r="D372" i="6" s="1"/>
  <c r="D284" i="6" a="1"/>
  <c r="D284" i="6" s="1"/>
  <c r="G168" i="6" a="1"/>
  <c r="G168" i="6" s="1"/>
  <c r="G56" i="6" a="1"/>
  <c r="G56" i="6" s="1"/>
  <c r="D463" i="6" a="1"/>
  <c r="D463" i="6" s="1"/>
  <c r="F463" i="6" a="1"/>
  <c r="F463" i="6" s="1"/>
  <c r="G463" i="6" a="1"/>
  <c r="G463" i="6" s="1"/>
  <c r="D451" i="6" a="1"/>
  <c r="D451" i="6" s="1"/>
  <c r="F451" i="6" a="1"/>
  <c r="F451" i="6" s="1"/>
  <c r="G451" i="6" a="1"/>
  <c r="G451" i="6" s="1"/>
  <c r="I451" i="6" a="1"/>
  <c r="I451" i="6" s="1"/>
  <c r="D439" i="6" a="1"/>
  <c r="D439" i="6" s="1"/>
  <c r="F439" i="6" a="1"/>
  <c r="F439" i="6" s="1"/>
  <c r="G439" i="6" a="1"/>
  <c r="G439" i="6" s="1"/>
  <c r="D427" i="6" a="1"/>
  <c r="D427" i="6" s="1"/>
  <c r="F427" i="6" a="1"/>
  <c r="F427" i="6" s="1"/>
  <c r="G427" i="6" a="1"/>
  <c r="G427" i="6" s="1"/>
  <c r="I427" i="6" a="1"/>
  <c r="I427" i="6" s="1"/>
  <c r="D415" i="6" a="1"/>
  <c r="D415" i="6" s="1"/>
  <c r="F415" i="6" a="1"/>
  <c r="F415" i="6" s="1"/>
  <c r="G415" i="6" a="1"/>
  <c r="G415" i="6" s="1"/>
  <c r="F403" i="6" a="1"/>
  <c r="F403" i="6" s="1"/>
  <c r="G403" i="6" a="1"/>
  <c r="G403" i="6" s="1"/>
  <c r="I403" i="6" a="1"/>
  <c r="I403" i="6" s="1"/>
  <c r="D391" i="6" a="1"/>
  <c r="D391" i="6" s="1"/>
  <c r="G391" i="6" a="1"/>
  <c r="G391" i="6" s="1"/>
  <c r="I391" i="6" a="1"/>
  <c r="I391" i="6" s="1"/>
  <c r="G379" i="6" a="1"/>
  <c r="G379" i="6" s="1"/>
  <c r="I379" i="6" a="1"/>
  <c r="I379" i="6" s="1"/>
  <c r="G367" i="6" a="1"/>
  <c r="G367" i="6" s="1"/>
  <c r="F367" i="6" a="1"/>
  <c r="F367" i="6" s="1"/>
  <c r="I367" i="6" a="1"/>
  <c r="I367" i="6" s="1"/>
  <c r="I355" i="6" a="1"/>
  <c r="I355" i="6" s="1"/>
  <c r="F355" i="6" a="1"/>
  <c r="F355" i="6" s="1"/>
  <c r="G355" i="6" a="1"/>
  <c r="G355" i="6" s="1"/>
  <c r="D355" i="6" a="1"/>
  <c r="D355" i="6" s="1"/>
  <c r="F343" i="6" a="1"/>
  <c r="F343" i="6" s="1"/>
  <c r="I343" i="6" a="1"/>
  <c r="I343" i="6" s="1"/>
  <c r="D343" i="6" a="1"/>
  <c r="D343" i="6" s="1"/>
  <c r="G343" i="6" a="1"/>
  <c r="G343" i="6" s="1"/>
  <c r="I331" i="6" a="1"/>
  <c r="I331" i="6" s="1"/>
  <c r="D331" i="6" a="1"/>
  <c r="D331" i="6" s="1"/>
  <c r="F331" i="6" a="1"/>
  <c r="F331" i="6" s="1"/>
  <c r="D319" i="6" a="1"/>
  <c r="D319" i="6" s="1"/>
  <c r="F319" i="6" a="1"/>
  <c r="F319" i="6" s="1"/>
  <c r="I319" i="6" a="1"/>
  <c r="I319" i="6" s="1"/>
  <c r="D307" i="6" a="1"/>
  <c r="D307" i="6" s="1"/>
  <c r="F307" i="6" a="1"/>
  <c r="F307" i="6" s="1"/>
  <c r="G307" i="6" a="1"/>
  <c r="G307" i="6" s="1"/>
  <c r="I307" i="6" a="1"/>
  <c r="I307" i="6" s="1"/>
  <c r="F295" i="6" a="1"/>
  <c r="F295" i="6" s="1"/>
  <c r="D295" i="6" a="1"/>
  <c r="D295" i="6" s="1"/>
  <c r="G295" i="6" a="1"/>
  <c r="G295" i="6" s="1"/>
  <c r="I295" i="6" a="1"/>
  <c r="I295" i="6" s="1"/>
  <c r="D283" i="6" a="1"/>
  <c r="D283" i="6" s="1"/>
  <c r="I283" i="6" a="1"/>
  <c r="I283" i="6" s="1"/>
  <c r="I271" i="6" a="1"/>
  <c r="I271" i="6" s="1"/>
  <c r="D271" i="6" a="1"/>
  <c r="D271" i="6" s="1"/>
  <c r="F271" i="6" a="1"/>
  <c r="F271" i="6" s="1"/>
  <c r="G271" i="6" a="1"/>
  <c r="G271" i="6" s="1"/>
  <c r="D259" i="6" a="1"/>
  <c r="D259" i="6" s="1"/>
  <c r="I259" i="6" a="1"/>
  <c r="I259" i="6" s="1"/>
  <c r="I247" i="6" a="1"/>
  <c r="I247" i="6" s="1"/>
  <c r="F247" i="6" a="1"/>
  <c r="F247" i="6" s="1"/>
  <c r="G247" i="6" a="1"/>
  <c r="G247" i="6" s="1"/>
  <c r="D247" i="6" a="1"/>
  <c r="D247" i="6" s="1"/>
  <c r="D235" i="6" a="1"/>
  <c r="D235" i="6" s="1"/>
  <c r="G235" i="6" a="1"/>
  <c r="G235" i="6" s="1"/>
  <c r="I235" i="6" a="1"/>
  <c r="I235" i="6" s="1"/>
  <c r="F235" i="6" a="1"/>
  <c r="F235" i="6" s="1"/>
  <c r="F223" i="6" a="1"/>
  <c r="F223" i="6" s="1"/>
  <c r="I223" i="6" a="1"/>
  <c r="I223" i="6" s="1"/>
  <c r="D223" i="6" a="1"/>
  <c r="D223" i="6" s="1"/>
  <c r="G223" i="6" a="1"/>
  <c r="G223" i="6" s="1"/>
  <c r="G211" i="6" a="1"/>
  <c r="G211" i="6" s="1"/>
  <c r="F211" i="6" a="1"/>
  <c r="F211" i="6" s="1"/>
  <c r="I211" i="6" a="1"/>
  <c r="I211" i="6" s="1"/>
  <c r="F199" i="6" a="1"/>
  <c r="F199" i="6" s="1"/>
  <c r="G199" i="6" a="1"/>
  <c r="G199" i="6" s="1"/>
  <c r="I199" i="6" a="1"/>
  <c r="I199" i="6" s="1"/>
  <c r="D199" i="6" a="1"/>
  <c r="D199" i="6" s="1"/>
  <c r="I187" i="6" a="1"/>
  <c r="I187" i="6" s="1"/>
  <c r="G187" i="6" a="1"/>
  <c r="G187" i="6" s="1"/>
  <c r="D187" i="6" a="1"/>
  <c r="D187" i="6" s="1"/>
  <c r="F187" i="6" a="1"/>
  <c r="F187" i="6" s="1"/>
  <c r="I175" i="6" a="1"/>
  <c r="I175" i="6" s="1"/>
  <c r="F175" i="6" a="1"/>
  <c r="F175" i="6" s="1"/>
  <c r="G175" i="6" a="1"/>
  <c r="G175" i="6" s="1"/>
  <c r="D175" i="6" a="1"/>
  <c r="D175" i="6" s="1"/>
  <c r="D163" i="6" a="1"/>
  <c r="D163" i="6" s="1"/>
  <c r="G163" i="6" a="1"/>
  <c r="G163" i="6" s="1"/>
  <c r="I163" i="6" a="1"/>
  <c r="I163" i="6" s="1"/>
  <c r="F151" i="6" a="1"/>
  <c r="F151" i="6" s="1"/>
  <c r="G151" i="6" a="1"/>
  <c r="G151" i="6" s="1"/>
  <c r="I151" i="6" a="1"/>
  <c r="I151" i="6" s="1"/>
  <c r="D139" i="6" a="1"/>
  <c r="D139" i="6" s="1"/>
  <c r="F139" i="6" a="1"/>
  <c r="F139" i="6" s="1"/>
  <c r="G139" i="6" a="1"/>
  <c r="G139" i="6" s="1"/>
  <c r="I139" i="6" a="1"/>
  <c r="I139" i="6" s="1"/>
  <c r="G127" i="6" a="1"/>
  <c r="G127" i="6" s="1"/>
  <c r="I127" i="6" a="1"/>
  <c r="I127" i="6" s="1"/>
  <c r="D127" i="6" a="1"/>
  <c r="D127" i="6" s="1"/>
  <c r="F127" i="6" a="1"/>
  <c r="F127" i="6" s="1"/>
  <c r="G115" i="6" a="1"/>
  <c r="G115" i="6" s="1"/>
  <c r="I115" i="6" a="1"/>
  <c r="I115" i="6" s="1"/>
  <c r="D115" i="6" a="1"/>
  <c r="D115" i="6" s="1"/>
  <c r="F115" i="6" a="1"/>
  <c r="F115" i="6" s="1"/>
  <c r="I103" i="6" a="1"/>
  <c r="I103" i="6" s="1"/>
  <c r="F103" i="6" a="1"/>
  <c r="F103" i="6" s="1"/>
  <c r="G103" i="6" a="1"/>
  <c r="G103" i="6" s="1"/>
  <c r="D103" i="6" a="1"/>
  <c r="D103" i="6" s="1"/>
  <c r="F91" i="6" a="1"/>
  <c r="F91" i="6" s="1"/>
  <c r="G91" i="6" a="1"/>
  <c r="G91" i="6" s="1"/>
  <c r="I91" i="6" a="1"/>
  <c r="I91" i="6" s="1"/>
  <c r="D91" i="6" a="1"/>
  <c r="D91" i="6" s="1"/>
  <c r="D79" i="6" a="1"/>
  <c r="D79" i="6" s="1"/>
  <c r="F79" i="6" a="1"/>
  <c r="F79" i="6" s="1"/>
  <c r="G79" i="6" a="1"/>
  <c r="G79" i="6" s="1"/>
  <c r="I79" i="6" a="1"/>
  <c r="I79" i="6" s="1"/>
  <c r="F67" i="6" a="1"/>
  <c r="F67" i="6" s="1"/>
  <c r="G67" i="6" a="1"/>
  <c r="G67" i="6" s="1"/>
  <c r="I67" i="6" a="1"/>
  <c r="I67" i="6" s="1"/>
  <c r="D67" i="6" a="1"/>
  <c r="D67" i="6" s="1"/>
  <c r="F55" i="6" a="1"/>
  <c r="F55" i="6" s="1"/>
  <c r="G55" i="6" a="1"/>
  <c r="G55" i="6" s="1"/>
  <c r="I55" i="6" a="1"/>
  <c r="I55" i="6" s="1"/>
  <c r="D55" i="6" a="1"/>
  <c r="D55" i="6" s="1"/>
  <c r="D43" i="6" a="1"/>
  <c r="D43" i="6" s="1"/>
  <c r="F43" i="6" a="1"/>
  <c r="F43" i="6" s="1"/>
  <c r="G43" i="6" a="1"/>
  <c r="G43" i="6" s="1"/>
  <c r="I43" i="6" a="1"/>
  <c r="I43" i="6" s="1"/>
  <c r="G31" i="6" a="1"/>
  <c r="G31" i="6" s="1"/>
  <c r="I31" i="6" a="1"/>
  <c r="I31" i="6" s="1"/>
  <c r="D31" i="6" a="1"/>
  <c r="D31" i="6" s="1"/>
  <c r="D19" i="6" a="1"/>
  <c r="D19" i="6" s="1"/>
  <c r="D462" i="6" a="1"/>
  <c r="D462" i="6" s="1"/>
  <c r="G450" i="6" a="1"/>
  <c r="G450" i="6" s="1"/>
  <c r="I450" i="6" a="1"/>
  <c r="I450" i="6" s="1"/>
  <c r="D450" i="6" a="1"/>
  <c r="D450" i="6" s="1"/>
  <c r="D438" i="6" a="1"/>
  <c r="D438" i="6" s="1"/>
  <c r="G426" i="6" a="1"/>
  <c r="G426" i="6" s="1"/>
  <c r="I426" i="6" a="1"/>
  <c r="I426" i="6" s="1"/>
  <c r="D426" i="6" a="1"/>
  <c r="D426" i="6" s="1"/>
  <c r="D414" i="6" a="1"/>
  <c r="D414" i="6" s="1"/>
  <c r="F390" i="6" a="1"/>
  <c r="F390" i="6" s="1"/>
  <c r="G390" i="6" a="1"/>
  <c r="G390" i="6" s="1"/>
  <c r="I390" i="6" a="1"/>
  <c r="I390" i="6" s="1"/>
  <c r="D378" i="6" a="1"/>
  <c r="D378" i="6" s="1"/>
  <c r="F378" i="6" a="1"/>
  <c r="F378" i="6" s="1"/>
  <c r="G378" i="6" a="1"/>
  <c r="G378" i="6" s="1"/>
  <c r="D366" i="6" a="1"/>
  <c r="D366" i="6" s="1"/>
  <c r="G354" i="6" a="1"/>
  <c r="G354" i="6" s="1"/>
  <c r="I354" i="6" a="1"/>
  <c r="I354" i="6" s="1"/>
  <c r="D354" i="6" a="1"/>
  <c r="D354" i="6" s="1"/>
  <c r="D342" i="6" a="1"/>
  <c r="D342" i="6" s="1"/>
  <c r="F342" i="6" a="1"/>
  <c r="F342" i="6" s="1"/>
  <c r="D330" i="6" a="1"/>
  <c r="D330" i="6" s="1"/>
  <c r="F330" i="6" a="1"/>
  <c r="F330" i="6" s="1"/>
  <c r="I330" i="6" a="1"/>
  <c r="I330" i="6" s="1"/>
  <c r="G318" i="6" a="1"/>
  <c r="G318" i="6" s="1"/>
  <c r="I318" i="6" a="1"/>
  <c r="I318" i="6" s="1"/>
  <c r="D306" i="6" a="1"/>
  <c r="D306" i="6" s="1"/>
  <c r="I306" i="6" a="1"/>
  <c r="I306" i="6" s="1"/>
  <c r="I294" i="6" a="1"/>
  <c r="I294" i="6" s="1"/>
  <c r="D294" i="6" a="1"/>
  <c r="D294" i="6" s="1"/>
  <c r="F282" i="6" a="1"/>
  <c r="F282" i="6" s="1"/>
  <c r="G282" i="6" a="1"/>
  <c r="G282" i="6" s="1"/>
  <c r="I282" i="6" a="1"/>
  <c r="I282" i="6" s="1"/>
  <c r="D282" i="6" a="1"/>
  <c r="D282" i="6" s="1"/>
  <c r="D270" i="6" a="1"/>
  <c r="D270" i="6" s="1"/>
  <c r="F270" i="6" a="1"/>
  <c r="F270" i="6" s="1"/>
  <c r="G270" i="6" a="1"/>
  <c r="G270" i="6" s="1"/>
  <c r="I270" i="6" a="1"/>
  <c r="I270" i="6" s="1"/>
  <c r="G258" i="6" a="1"/>
  <c r="G258" i="6" s="1"/>
  <c r="I258" i="6" a="1"/>
  <c r="I258" i="6" s="1"/>
  <c r="D258" i="6" a="1"/>
  <c r="D258" i="6" s="1"/>
  <c r="F258" i="6" a="1"/>
  <c r="F258" i="6" s="1"/>
  <c r="D246" i="6" a="1"/>
  <c r="D246" i="6" s="1"/>
  <c r="G246" i="6" a="1"/>
  <c r="G246" i="6" s="1"/>
  <c r="F246" i="6" a="1"/>
  <c r="F246" i="6" s="1"/>
  <c r="I246" i="6" a="1"/>
  <c r="I246" i="6" s="1"/>
  <c r="I234" i="6" a="1"/>
  <c r="I234" i="6" s="1"/>
  <c r="G234" i="6" a="1"/>
  <c r="G234" i="6" s="1"/>
  <c r="D222" i="6" a="1"/>
  <c r="D222" i="6" s="1"/>
  <c r="F222" i="6" a="1"/>
  <c r="F222" i="6" s="1"/>
  <c r="G222" i="6" a="1"/>
  <c r="G222" i="6" s="1"/>
  <c r="I222" i="6" a="1"/>
  <c r="I222" i="6" s="1"/>
  <c r="D210" i="6" a="1"/>
  <c r="D210" i="6" s="1"/>
  <c r="F210" i="6" a="1"/>
  <c r="F210" i="6" s="1"/>
  <c r="G210" i="6" a="1"/>
  <c r="G210" i="6" s="1"/>
  <c r="I210" i="6" a="1"/>
  <c r="I210" i="6" s="1"/>
  <c r="D198" i="6" a="1"/>
  <c r="D198" i="6" s="1"/>
  <c r="F198" i="6" a="1"/>
  <c r="F198" i="6" s="1"/>
  <c r="G198" i="6" a="1"/>
  <c r="G198" i="6" s="1"/>
  <c r="I198" i="6" a="1"/>
  <c r="I198" i="6" s="1"/>
  <c r="D186" i="6" a="1"/>
  <c r="D186" i="6" s="1"/>
  <c r="F186" i="6" a="1"/>
  <c r="F186" i="6" s="1"/>
  <c r="G186" i="6" a="1"/>
  <c r="G186" i="6" s="1"/>
  <c r="I186" i="6" a="1"/>
  <c r="I186" i="6" s="1"/>
  <c r="F174" i="6" a="1"/>
  <c r="F174" i="6" s="1"/>
  <c r="G174" i="6" a="1"/>
  <c r="G174" i="6" s="1"/>
  <c r="D174" i="6" a="1"/>
  <c r="D174" i="6" s="1"/>
  <c r="I174" i="6" a="1"/>
  <c r="I174" i="6" s="1"/>
  <c r="F162" i="6" a="1"/>
  <c r="F162" i="6" s="1"/>
  <c r="I162" i="6" a="1"/>
  <c r="I162" i="6" s="1"/>
  <c r="D162" i="6" a="1"/>
  <c r="D162" i="6" s="1"/>
  <c r="G162" i="6" a="1"/>
  <c r="G162" i="6" s="1"/>
  <c r="I150" i="6" a="1"/>
  <c r="I150" i="6" s="1"/>
  <c r="D150" i="6" a="1"/>
  <c r="D150" i="6" s="1"/>
  <c r="F150" i="6" a="1"/>
  <c r="F150" i="6" s="1"/>
  <c r="I138" i="6" a="1"/>
  <c r="I138" i="6" s="1"/>
  <c r="G138" i="6" a="1"/>
  <c r="G138" i="6" s="1"/>
  <c r="D138" i="6" a="1"/>
  <c r="D138" i="6" s="1"/>
  <c r="F138" i="6" a="1"/>
  <c r="F138" i="6" s="1"/>
  <c r="F126" i="6" a="1"/>
  <c r="F126" i="6" s="1"/>
  <c r="G126" i="6" a="1"/>
  <c r="G126" i="6" s="1"/>
  <c r="I126" i="6" a="1"/>
  <c r="I126" i="6" s="1"/>
  <c r="D114" i="6" a="1"/>
  <c r="D114" i="6" s="1"/>
  <c r="F114" i="6" a="1"/>
  <c r="F114" i="6" s="1"/>
  <c r="I114" i="6" a="1"/>
  <c r="I114" i="6" s="1"/>
  <c r="G114" i="6" a="1"/>
  <c r="G114" i="6" s="1"/>
  <c r="F102" i="6" a="1"/>
  <c r="F102" i="6" s="1"/>
  <c r="G102" i="6" a="1"/>
  <c r="G102" i="6" s="1"/>
  <c r="I102" i="6" a="1"/>
  <c r="I102" i="6" s="1"/>
  <c r="D102" i="6" a="1"/>
  <c r="D102" i="6" s="1"/>
  <c r="G90" i="6" a="1"/>
  <c r="G90" i="6" s="1"/>
  <c r="I90" i="6" a="1"/>
  <c r="I90" i="6" s="1"/>
  <c r="D90" i="6" a="1"/>
  <c r="D90" i="6" s="1"/>
  <c r="F90" i="6" a="1"/>
  <c r="F90" i="6" s="1"/>
  <c r="G78" i="6" a="1"/>
  <c r="G78" i="6" s="1"/>
  <c r="I78" i="6" a="1"/>
  <c r="I78" i="6" s="1"/>
  <c r="F78" i="6" a="1"/>
  <c r="F78" i="6" s="1"/>
  <c r="I66" i="6" a="1"/>
  <c r="I66" i="6" s="1"/>
  <c r="D66" i="6" a="1"/>
  <c r="D66" i="6" s="1"/>
  <c r="F66" i="6" a="1"/>
  <c r="F66" i="6" s="1"/>
  <c r="G66" i="6" a="1"/>
  <c r="G66" i="6" s="1"/>
  <c r="D54" i="6" a="1"/>
  <c r="D54" i="6" s="1"/>
  <c r="G54" i="6" a="1"/>
  <c r="G54" i="6" s="1"/>
  <c r="I54" i="6" a="1"/>
  <c r="I54" i="6" s="1"/>
  <c r="F54" i="6" a="1"/>
  <c r="F54" i="6" s="1"/>
  <c r="I42" i="6" a="1"/>
  <c r="I42" i="6" s="1"/>
  <c r="D42" i="6" a="1"/>
  <c r="D42" i="6" s="1"/>
  <c r="F42" i="6" a="1"/>
  <c r="F42" i="6" s="1"/>
  <c r="G42" i="6" a="1"/>
  <c r="G42" i="6" s="1"/>
  <c r="D30" i="6" a="1"/>
  <c r="D30" i="6" s="1"/>
  <c r="F30" i="6" a="1"/>
  <c r="F30" i="6" s="1"/>
  <c r="G30" i="6" a="1"/>
  <c r="G30" i="6" s="1"/>
  <c r="I30" i="6" a="1"/>
  <c r="I30" i="6" s="1"/>
  <c r="D18" i="6" a="1"/>
  <c r="D18" i="6" s="1"/>
  <c r="G18" i="6" a="1"/>
  <c r="G18" i="6" s="1"/>
  <c r="I18" i="6" a="1"/>
  <c r="I18" i="6" s="1"/>
  <c r="I456" i="6" a="1"/>
  <c r="I456" i="6" s="1"/>
  <c r="F452" i="6" a="1"/>
  <c r="F452" i="6" s="1"/>
  <c r="F408" i="6" a="1"/>
  <c r="F408" i="6" s="1"/>
  <c r="D390" i="6" a="1"/>
  <c r="D390" i="6" s="1"/>
  <c r="F450" i="6" a="1"/>
  <c r="F450" i="6" s="1"/>
  <c r="G414" i="6" a="1"/>
  <c r="G414" i="6" s="1"/>
  <c r="F32" i="6" a="1"/>
  <c r="F32" i="6" s="1"/>
  <c r="D456" i="6" a="1"/>
  <c r="D456" i="6" s="1"/>
  <c r="D440" i="6" a="1"/>
  <c r="D440" i="6" s="1"/>
  <c r="I419" i="6" a="1"/>
  <c r="I419" i="6" s="1"/>
  <c r="F414" i="6" a="1"/>
  <c r="F414" i="6" s="1"/>
  <c r="D379" i="6" a="1"/>
  <c r="D379" i="6" s="1"/>
  <c r="I368" i="6" a="1"/>
  <c r="I368" i="6" s="1"/>
  <c r="G347" i="6" a="1"/>
  <c r="G347" i="6" s="1"/>
  <c r="G319" i="6" a="1"/>
  <c r="G319" i="6" s="1"/>
  <c r="D249" i="6" a="1"/>
  <c r="D249" i="6" s="1"/>
  <c r="D213" i="6" a="1"/>
  <c r="D213" i="6" s="1"/>
  <c r="I180" i="6" a="1"/>
  <c r="I180" i="6" s="1"/>
  <c r="F163" i="6" a="1"/>
  <c r="F163" i="6" s="1"/>
  <c r="I439" i="6" a="1"/>
  <c r="I439" i="6" s="1"/>
  <c r="G419" i="6" a="1"/>
  <c r="G419" i="6" s="1"/>
  <c r="F393" i="6" a="1"/>
  <c r="F393" i="6" s="1"/>
  <c r="I378" i="6" a="1"/>
  <c r="I378" i="6" s="1"/>
  <c r="D367" i="6" a="1"/>
  <c r="D367" i="6" s="1"/>
  <c r="F347" i="6" a="1"/>
  <c r="F347" i="6" s="1"/>
  <c r="F318" i="6" a="1"/>
  <c r="F318" i="6" s="1"/>
  <c r="D297" i="6" a="1"/>
  <c r="D297" i="6" s="1"/>
  <c r="D211" i="6" a="1"/>
  <c r="D211" i="6" s="1"/>
  <c r="G24" i="6" a="1"/>
  <c r="G24" i="6" s="1"/>
  <c r="D394" i="6" a="1"/>
  <c r="D394" i="6" s="1"/>
  <c r="F394" i="6" a="1"/>
  <c r="F394" i="6" s="1"/>
  <c r="D382" i="6" a="1"/>
  <c r="D382" i="6" s="1"/>
  <c r="F382" i="6" a="1"/>
  <c r="F382" i="6" s="1"/>
  <c r="G382" i="6" a="1"/>
  <c r="G382" i="6" s="1"/>
  <c r="I382" i="6" a="1"/>
  <c r="I382" i="6" s="1"/>
  <c r="D370" i="6" a="1"/>
  <c r="D370" i="6" s="1"/>
  <c r="F370" i="6" a="1"/>
  <c r="F370" i="6" s="1"/>
  <c r="G370" i="6" a="1"/>
  <c r="G370" i="6" s="1"/>
  <c r="I370" i="6" a="1"/>
  <c r="I370" i="6" s="1"/>
  <c r="D358" i="6" a="1"/>
  <c r="D358" i="6" s="1"/>
  <c r="F358" i="6" a="1"/>
  <c r="F358" i="6" s="1"/>
  <c r="G358" i="6" a="1"/>
  <c r="G358" i="6" s="1"/>
  <c r="I358" i="6" a="1"/>
  <c r="I358" i="6" s="1"/>
  <c r="D346" i="6" a="1"/>
  <c r="D346" i="6" s="1"/>
  <c r="F346" i="6" a="1"/>
  <c r="F346" i="6" s="1"/>
  <c r="G346" i="6" a="1"/>
  <c r="G346" i="6" s="1"/>
  <c r="I346" i="6" a="1"/>
  <c r="I346" i="6" s="1"/>
  <c r="D334" i="6" a="1"/>
  <c r="D334" i="6" s="1"/>
  <c r="F334" i="6" a="1"/>
  <c r="F334" i="6" s="1"/>
  <c r="G334" i="6" a="1"/>
  <c r="G334" i="6" s="1"/>
  <c r="I334" i="6" a="1"/>
  <c r="I334" i="6" s="1"/>
  <c r="G322" i="6" a="1"/>
  <c r="G322" i="6" s="1"/>
  <c r="I322" i="6" a="1"/>
  <c r="I322" i="6" s="1"/>
  <c r="D310" i="6" a="1"/>
  <c r="D310" i="6" s="1"/>
  <c r="D298" i="6" a="1"/>
  <c r="D298" i="6" s="1"/>
  <c r="I298" i="6" a="1"/>
  <c r="I298" i="6" s="1"/>
  <c r="I286" i="6" a="1"/>
  <c r="I286" i="6" s="1"/>
  <c r="D286" i="6" a="1"/>
  <c r="D286" i="6" s="1"/>
  <c r="F286" i="6" a="1"/>
  <c r="F286" i="6" s="1"/>
  <c r="G286" i="6" a="1"/>
  <c r="G286" i="6" s="1"/>
  <c r="D274" i="6" a="1"/>
  <c r="D274" i="6" s="1"/>
  <c r="F274" i="6" a="1"/>
  <c r="F274" i="6" s="1"/>
  <c r="I262" i="6" a="1"/>
  <c r="I262" i="6" s="1"/>
  <c r="D262" i="6" a="1"/>
  <c r="D262" i="6" s="1"/>
  <c r="G250" i="6" a="1"/>
  <c r="G250" i="6" s="1"/>
  <c r="I250" i="6" a="1"/>
  <c r="I250" i="6" s="1"/>
  <c r="F250" i="6" a="1"/>
  <c r="F250" i="6" s="1"/>
  <c r="D238" i="6" a="1"/>
  <c r="D238" i="6" s="1"/>
  <c r="D226" i="6" a="1"/>
  <c r="D226" i="6" s="1"/>
  <c r="F226" i="6" a="1"/>
  <c r="F226" i="6" s="1"/>
  <c r="I214" i="6" a="1"/>
  <c r="I214" i="6" s="1"/>
  <c r="D214" i="6" a="1"/>
  <c r="D214" i="6" s="1"/>
  <c r="F214" i="6" a="1"/>
  <c r="F214" i="6" s="1"/>
  <c r="G214" i="6" a="1"/>
  <c r="G214" i="6" s="1"/>
  <c r="D190" i="6" a="1"/>
  <c r="D190" i="6" s="1"/>
  <c r="F190" i="6" a="1"/>
  <c r="F190" i="6" s="1"/>
  <c r="I178" i="6" a="1"/>
  <c r="I178" i="6" s="1"/>
  <c r="D166" i="6" a="1"/>
  <c r="D166" i="6" s="1"/>
  <c r="F166" i="6" a="1"/>
  <c r="F166" i="6" s="1"/>
  <c r="G166" i="6" a="1"/>
  <c r="G166" i="6" s="1"/>
  <c r="D154" i="6" a="1"/>
  <c r="D154" i="6" s="1"/>
  <c r="G154" i="6" a="1"/>
  <c r="G154" i="6" s="1"/>
  <c r="F154" i="6" a="1"/>
  <c r="F154" i="6" s="1"/>
  <c r="I154" i="6" a="1"/>
  <c r="I154" i="6" s="1"/>
  <c r="I142" i="6" a="1"/>
  <c r="I142" i="6" s="1"/>
  <c r="D142" i="6" a="1"/>
  <c r="D142" i="6" s="1"/>
  <c r="F142" i="6" a="1"/>
  <c r="F142" i="6" s="1"/>
  <c r="G142" i="6" a="1"/>
  <c r="G142" i="6" s="1"/>
  <c r="G130" i="6" a="1"/>
  <c r="G130" i="6" s="1"/>
  <c r="I130" i="6" a="1"/>
  <c r="I130" i="6" s="1"/>
  <c r="D130" i="6" a="1"/>
  <c r="D130" i="6" s="1"/>
  <c r="D118" i="6" a="1"/>
  <c r="D118" i="6" s="1"/>
  <c r="F118" i="6" a="1"/>
  <c r="F118" i="6" s="1"/>
  <c r="D106" i="6" a="1"/>
  <c r="D106" i="6" s="1"/>
  <c r="I106" i="6" a="1"/>
  <c r="I106" i="6" s="1"/>
  <c r="D94" i="6" a="1"/>
  <c r="D94" i="6" s="1"/>
  <c r="F94" i="6" a="1"/>
  <c r="F94" i="6" s="1"/>
  <c r="G94" i="6" a="1"/>
  <c r="G94" i="6" s="1"/>
  <c r="I82" i="6" a="1"/>
  <c r="I82" i="6" s="1"/>
  <c r="F82" i="6" a="1"/>
  <c r="F82" i="6" s="1"/>
  <c r="G82" i="6" a="1"/>
  <c r="G82" i="6" s="1"/>
  <c r="F70" i="6" a="1"/>
  <c r="F70" i="6" s="1"/>
  <c r="G70" i="6" a="1"/>
  <c r="G70" i="6" s="1"/>
  <c r="I70" i="6" a="1"/>
  <c r="I70" i="6" s="1"/>
  <c r="D70" i="6" a="1"/>
  <c r="D70" i="6" s="1"/>
  <c r="D58" i="6" a="1"/>
  <c r="D58" i="6" s="1"/>
  <c r="F58" i="6" a="1"/>
  <c r="F58" i="6" s="1"/>
  <c r="G46" i="6" a="1"/>
  <c r="G46" i="6" s="1"/>
  <c r="I46" i="6" a="1"/>
  <c r="I46" i="6" s="1"/>
  <c r="D46" i="6" a="1"/>
  <c r="D46" i="6" s="1"/>
  <c r="G34" i="6" a="1"/>
  <c r="G34" i="6" s="1"/>
  <c r="I34" i="6" a="1"/>
  <c r="I34" i="6" s="1"/>
  <c r="D22" i="6" a="1"/>
  <c r="D22" i="6" s="1"/>
  <c r="G22" i="6" a="1"/>
  <c r="G22" i="6" s="1"/>
  <c r="I22" i="6" a="1"/>
  <c r="I22" i="6" s="1"/>
  <c r="F22" i="6" a="1"/>
  <c r="F22" i="6" s="1"/>
  <c r="D10" i="6" a="1"/>
  <c r="D10" i="6" s="1"/>
  <c r="F10" i="6" a="1"/>
  <c r="F10" i="6" s="1"/>
  <c r="G10" i="6" a="1"/>
  <c r="G10" i="6" s="1"/>
  <c r="I10" i="6" a="1"/>
  <c r="I10" i="6" s="1"/>
  <c r="I226" i="6" a="1"/>
  <c r="I226" i="6" s="1"/>
  <c r="D178" i="6" a="1"/>
  <c r="D178" i="6" s="1"/>
  <c r="I94" i="6" a="1"/>
  <c r="I94" i="6" s="1"/>
  <c r="I274" i="6" a="1"/>
  <c r="I274" i="6" s="1"/>
  <c r="G226" i="6" a="1"/>
  <c r="G226" i="6" s="1"/>
  <c r="I190" i="6" a="1"/>
  <c r="I190" i="6" s="1"/>
  <c r="G430" i="6" a="1"/>
  <c r="G430" i="6" s="1"/>
  <c r="F322" i="6" a="1"/>
  <c r="F322" i="6" s="1"/>
  <c r="G310" i="6" a="1"/>
  <c r="G310" i="6" s="1"/>
  <c r="G274" i="6" a="1"/>
  <c r="G274" i="6" s="1"/>
  <c r="G190" i="6" a="1"/>
  <c r="G190" i="6" s="1"/>
  <c r="F130" i="6" a="1"/>
  <c r="F130" i="6" s="1"/>
  <c r="F430" i="6" a="1"/>
  <c r="F430" i="6" s="1"/>
  <c r="F310" i="6" a="1"/>
  <c r="F310" i="6" s="1"/>
  <c r="G298" i="6" a="1"/>
  <c r="G298" i="6" s="1"/>
  <c r="G106" i="6" a="1"/>
  <c r="G106" i="6" s="1"/>
  <c r="I58" i="6" a="1"/>
  <c r="I58" i="6" s="1"/>
  <c r="I394" i="6" a="1"/>
  <c r="I394" i="6" s="1"/>
  <c r="D322" i="6" a="1"/>
  <c r="D322" i="6" s="1"/>
  <c r="F298" i="6" a="1"/>
  <c r="F298" i="6" s="1"/>
  <c r="I238" i="6" a="1"/>
  <c r="I238" i="6" s="1"/>
  <c r="D82" i="6" a="1"/>
  <c r="D82" i="6" s="1"/>
  <c r="G58" i="6" a="1"/>
  <c r="G58" i="6" s="1"/>
  <c r="F34" i="6" a="1"/>
  <c r="F34" i="6" s="1"/>
  <c r="F365" i="6" a="1"/>
  <c r="F365" i="6" s="1"/>
  <c r="I365" i="6" a="1"/>
  <c r="I365" i="6" s="1"/>
  <c r="F353" i="6" a="1"/>
  <c r="F353" i="6" s="1"/>
  <c r="I353" i="6" a="1"/>
  <c r="I353" i="6" s="1"/>
  <c r="F341" i="6" a="1"/>
  <c r="F341" i="6" s="1"/>
  <c r="I341" i="6" a="1"/>
  <c r="I341" i="6" s="1"/>
  <c r="F293" i="6" a="1"/>
  <c r="F293" i="6" s="1"/>
  <c r="D293" i="6" a="1"/>
  <c r="D293" i="6" s="1"/>
  <c r="D281" i="6" a="1"/>
  <c r="D281" i="6" s="1"/>
  <c r="F281" i="6" a="1"/>
  <c r="F281" i="6" s="1"/>
  <c r="G281" i="6" a="1"/>
  <c r="G281" i="6" s="1"/>
  <c r="I281" i="6" a="1"/>
  <c r="I281" i="6" s="1"/>
  <c r="F245" i="6" a="1"/>
  <c r="F245" i="6" s="1"/>
  <c r="G245" i="6" a="1"/>
  <c r="G245" i="6" s="1"/>
  <c r="I245" i="6" a="1"/>
  <c r="I245" i="6" s="1"/>
  <c r="D245" i="6" a="1"/>
  <c r="D245" i="6" s="1"/>
  <c r="D233" i="6" a="1"/>
  <c r="D233" i="6" s="1"/>
  <c r="F233" i="6" a="1"/>
  <c r="F233" i="6" s="1"/>
  <c r="G233" i="6" a="1"/>
  <c r="G233" i="6" s="1"/>
  <c r="D221" i="6" a="1"/>
  <c r="D221" i="6" s="1"/>
  <c r="F221" i="6" a="1"/>
  <c r="F221" i="6" s="1"/>
  <c r="G221" i="6" a="1"/>
  <c r="G221" i="6" s="1"/>
  <c r="I221" i="6" a="1"/>
  <c r="I221" i="6" s="1"/>
  <c r="F209" i="6" a="1"/>
  <c r="F209" i="6" s="1"/>
  <c r="G209" i="6" a="1"/>
  <c r="G209" i="6" s="1"/>
  <c r="I209" i="6" a="1"/>
  <c r="I209" i="6" s="1"/>
  <c r="F197" i="6" a="1"/>
  <c r="F197" i="6" s="1"/>
  <c r="G197" i="6" a="1"/>
  <c r="G197" i="6" s="1"/>
  <c r="I197" i="6" a="1"/>
  <c r="I197" i="6" s="1"/>
  <c r="I185" i="6" a="1"/>
  <c r="I185" i="6" s="1"/>
  <c r="D185" i="6" a="1"/>
  <c r="D185" i="6" s="1"/>
  <c r="G149" i="6" a="1"/>
  <c r="G149" i="6" s="1"/>
  <c r="I149" i="6" a="1"/>
  <c r="I149" i="6" s="1"/>
  <c r="F149" i="6" a="1"/>
  <c r="F149" i="6" s="1"/>
  <c r="D137" i="6" a="1"/>
  <c r="D137" i="6" s="1"/>
  <c r="F137" i="6" a="1"/>
  <c r="F137" i="6" s="1"/>
  <c r="D125" i="6" a="1"/>
  <c r="D125" i="6" s="1"/>
  <c r="F125" i="6" a="1"/>
  <c r="F125" i="6" s="1"/>
  <c r="G125" i="6" a="1"/>
  <c r="G125" i="6" s="1"/>
  <c r="F101" i="6" a="1"/>
  <c r="F101" i="6" s="1"/>
  <c r="D101" i="6" a="1"/>
  <c r="D101" i="6" s="1"/>
  <c r="G101" i="6" a="1"/>
  <c r="G101" i="6" s="1"/>
  <c r="D89" i="6" a="1"/>
  <c r="D89" i="6" s="1"/>
  <c r="F89" i="6" a="1"/>
  <c r="F89" i="6" s="1"/>
  <c r="G89" i="6" a="1"/>
  <c r="G89" i="6" s="1"/>
  <c r="I89" i="6" a="1"/>
  <c r="I89" i="6" s="1"/>
  <c r="D77" i="6" a="1"/>
  <c r="D77" i="6" s="1"/>
  <c r="F77" i="6" a="1"/>
  <c r="F77" i="6" s="1"/>
  <c r="F65" i="6" a="1"/>
  <c r="F65" i="6" s="1"/>
  <c r="G65" i="6" a="1"/>
  <c r="G65" i="6" s="1"/>
  <c r="D65" i="6" a="1"/>
  <c r="D65" i="6" s="1"/>
  <c r="G53" i="6" a="1"/>
  <c r="G53" i="6" s="1"/>
  <c r="I53" i="6" a="1"/>
  <c r="I53" i="6" s="1"/>
  <c r="D41" i="6" a="1"/>
  <c r="D41" i="6" s="1"/>
  <c r="F41" i="6" a="1"/>
  <c r="F41" i="6" s="1"/>
  <c r="G41" i="6" a="1"/>
  <c r="G41" i="6" s="1"/>
  <c r="I29" i="6" a="1"/>
  <c r="I29" i="6" s="1"/>
  <c r="F29" i="6" a="1"/>
  <c r="F29" i="6" s="1"/>
  <c r="G29" i="6" a="1"/>
  <c r="G29" i="6" s="1"/>
  <c r="D29" i="6" a="1"/>
  <c r="D29" i="6" s="1"/>
  <c r="I17" i="6" a="1"/>
  <c r="I17" i="6" s="1"/>
  <c r="F17" i="6" a="1"/>
  <c r="F17" i="6" s="1"/>
  <c r="G17" i="6" a="1"/>
  <c r="G17" i="6" s="1"/>
  <c r="F377" i="6" a="1"/>
  <c r="F377" i="6" s="1"/>
  <c r="D365" i="6" a="1"/>
  <c r="D365" i="6" s="1"/>
  <c r="D341" i="6" a="1"/>
  <c r="D341" i="6" s="1"/>
  <c r="D209" i="6" a="1"/>
  <c r="D209" i="6" s="1"/>
  <c r="F53" i="6" a="1"/>
  <c r="F53" i="6" s="1"/>
  <c r="D17" i="6" a="1"/>
  <c r="D17" i="6" s="1"/>
  <c r="D377" i="6" a="1"/>
  <c r="D377" i="6" s="1"/>
  <c r="D53" i="6" a="1"/>
  <c r="D53" i="6" s="1"/>
  <c r="F31" i="6" a="1"/>
  <c r="F31" i="6" s="1"/>
  <c r="F27" i="6" a="1"/>
  <c r="F27" i="6" s="1"/>
  <c r="D26" i="6" a="1"/>
  <c r="D26" i="6" s="1"/>
  <c r="F18" i="6" a="1"/>
  <c r="F18" i="6" s="1"/>
  <c r="F15" i="6" a="1"/>
  <c r="F15" i="6" s="1"/>
  <c r="G28" i="6" a="1"/>
  <c r="G28" i="6" s="1"/>
  <c r="I19" i="6" a="1"/>
  <c r="I19" i="6" s="1"/>
  <c r="I16" i="6" a="1"/>
  <c r="I16" i="6" s="1"/>
  <c r="G19" i="6" a="1"/>
  <c r="G19" i="6" s="1"/>
  <c r="G16" i="6" a="1"/>
  <c r="G16" i="6" s="1"/>
  <c r="F28" i="6" a="1"/>
  <c r="F28" i="6" s="1"/>
  <c r="F19" i="6" a="1"/>
  <c r="F19" i="6" s="1"/>
  <c r="F16" i="6" a="1"/>
  <c r="F16" i="6" s="1"/>
  <c r="G7" i="5"/>
  <c r="F7" i="5"/>
  <c r="G6" i="5"/>
  <c r="F6" i="5"/>
  <c r="B20" i="5"/>
  <c r="C215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H20" i="5" l="1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K20" i="5" l="1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E20" i="5"/>
  <c r="C2" i="5" s="1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L515" i="5" s="1" a="1"/>
  <c r="L515" i="5" s="1"/>
  <c r="C516" i="5"/>
  <c r="C517" i="5"/>
  <c r="C518" i="5"/>
  <c r="C519" i="5"/>
  <c r="C520" i="5"/>
  <c r="L520" i="5" s="1" a="1"/>
  <c r="L520" i="5" s="1"/>
  <c r="C521" i="5"/>
  <c r="L521" i="5" s="1" a="1"/>
  <c r="L521" i="5" s="1"/>
  <c r="C522" i="5"/>
  <c r="C523" i="5"/>
  <c r="C524" i="5"/>
  <c r="L524" i="5" s="1" a="1"/>
  <c r="L524" i="5" s="1"/>
  <c r="C525" i="5"/>
  <c r="C526" i="5"/>
  <c r="L526" i="5" s="1" a="1"/>
  <c r="L526" i="5" s="1"/>
  <c r="C527" i="5"/>
  <c r="C528" i="5"/>
  <c r="C529" i="5"/>
  <c r="L529" i="5" s="1" a="1"/>
  <c r="L529" i="5" s="1"/>
  <c r="C530" i="5"/>
  <c r="C531" i="5"/>
  <c r="L531" i="5" s="1" a="1"/>
  <c r="L531" i="5" s="1"/>
  <c r="C532" i="5"/>
  <c r="C533" i="5"/>
  <c r="L533" i="5" s="1" a="1"/>
  <c r="L533" i="5" s="1"/>
  <c r="C534" i="5"/>
  <c r="C535" i="5"/>
  <c r="L535" i="5" s="1" a="1"/>
  <c r="L535" i="5" s="1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L553" i="5" s="1" a="1"/>
  <c r="L553" i="5" s="1"/>
  <c r="C554" i="5"/>
  <c r="L554" i="5" s="1" a="1"/>
  <c r="L554" i="5" s="1"/>
  <c r="C555" i="5"/>
  <c r="L555" i="5" s="1" a="1"/>
  <c r="L555" i="5" s="1"/>
  <c r="C556" i="5"/>
  <c r="L556" i="5" s="1" a="1"/>
  <c r="L556" i="5" s="1"/>
  <c r="C557" i="5"/>
  <c r="L557" i="5" s="1" a="1"/>
  <c r="L557" i="5" s="1"/>
  <c r="C558" i="5"/>
  <c r="L558" i="5" s="1" a="1"/>
  <c r="L558" i="5" s="1"/>
  <c r="C559" i="5"/>
  <c r="L559" i="5" s="1" a="1"/>
  <c r="L559" i="5" s="1"/>
  <c r="C560" i="5"/>
  <c r="L560" i="5" s="1" a="1"/>
  <c r="L560" i="5" s="1"/>
  <c r="C561" i="5"/>
  <c r="L561" i="5" s="1" a="1"/>
  <c r="L561" i="5" s="1"/>
  <c r="C562" i="5"/>
  <c r="L562" i="5" s="1" a="1"/>
  <c r="L562" i="5" s="1"/>
  <c r="C563" i="5"/>
  <c r="L563" i="5" s="1" a="1"/>
  <c r="L563" i="5" s="1"/>
  <c r="C564" i="5"/>
  <c r="L564" i="5" s="1" a="1"/>
  <c r="L564" i="5" s="1"/>
  <c r="C565" i="5"/>
  <c r="L565" i="5" s="1" a="1"/>
  <c r="L565" i="5" s="1"/>
  <c r="C566" i="5"/>
  <c r="L566" i="5" s="1" a="1"/>
  <c r="L566" i="5" s="1"/>
  <c r="C567" i="5"/>
  <c r="L567" i="5" s="1" a="1"/>
  <c r="L567" i="5" s="1"/>
  <c r="C568" i="5"/>
  <c r="L568" i="5" s="1" a="1"/>
  <c r="L568" i="5" s="1"/>
  <c r="C569" i="5"/>
  <c r="L569" i="5" s="1" a="1"/>
  <c r="L569" i="5" s="1"/>
  <c r="C570" i="5"/>
  <c r="L570" i="5" s="1" a="1"/>
  <c r="L570" i="5" s="1"/>
  <c r="C571" i="5"/>
  <c r="L571" i="5" s="1" a="1"/>
  <c r="L571" i="5" s="1"/>
  <c r="C572" i="5"/>
  <c r="L572" i="5" s="1" a="1"/>
  <c r="L572" i="5" s="1"/>
  <c r="C573" i="5"/>
  <c r="L573" i="5" s="1" a="1"/>
  <c r="L573" i="5" s="1"/>
  <c r="C574" i="5"/>
  <c r="L574" i="5" s="1" a="1"/>
  <c r="L574" i="5" s="1"/>
  <c r="C575" i="5"/>
  <c r="L575" i="5" s="1" a="1"/>
  <c r="L575" i="5" s="1"/>
  <c r="C576" i="5"/>
  <c r="L576" i="5" s="1" a="1"/>
  <c r="L576" i="5" s="1"/>
  <c r="C577" i="5"/>
  <c r="L577" i="5" s="1" a="1"/>
  <c r="L577" i="5" s="1"/>
  <c r="C578" i="5"/>
  <c r="L578" i="5" s="1" a="1"/>
  <c r="L578" i="5" s="1"/>
  <c r="C579" i="5"/>
  <c r="L579" i="5" s="1" a="1"/>
  <c r="L579" i="5" s="1"/>
  <c r="C580" i="5"/>
  <c r="L580" i="5" s="1" a="1"/>
  <c r="L580" i="5" s="1"/>
  <c r="C581" i="5"/>
  <c r="L581" i="5" s="1" a="1"/>
  <c r="L581" i="5" s="1"/>
  <c r="C582" i="5"/>
  <c r="L582" i="5" s="1" a="1"/>
  <c r="L582" i="5" s="1"/>
  <c r="C583" i="5"/>
  <c r="L583" i="5" s="1" a="1"/>
  <c r="L583" i="5" s="1"/>
  <c r="C584" i="5"/>
  <c r="L584" i="5" s="1" a="1"/>
  <c r="L584" i="5" s="1"/>
  <c r="C585" i="5"/>
  <c r="L585" i="5" s="1" a="1"/>
  <c r="L585" i="5" s="1"/>
  <c r="C586" i="5"/>
  <c r="L586" i="5" s="1" a="1"/>
  <c r="L586" i="5" s="1"/>
  <c r="C587" i="5"/>
  <c r="L587" i="5" s="1" a="1"/>
  <c r="L587" i="5" s="1"/>
  <c r="C588" i="5"/>
  <c r="L588" i="5" s="1" a="1"/>
  <c r="L588" i="5" s="1"/>
  <c r="C589" i="5"/>
  <c r="L589" i="5" s="1" a="1"/>
  <c r="L589" i="5" s="1"/>
  <c r="C590" i="5"/>
  <c r="L590" i="5" s="1" a="1"/>
  <c r="L590" i="5" s="1"/>
  <c r="C591" i="5"/>
  <c r="L591" i="5" s="1" a="1"/>
  <c r="L591" i="5" s="1"/>
  <c r="C592" i="5"/>
  <c r="L592" i="5" s="1" a="1"/>
  <c r="L592" i="5" s="1"/>
  <c r="C593" i="5"/>
  <c r="L593" i="5" s="1" a="1"/>
  <c r="L593" i="5" s="1"/>
  <c r="C594" i="5"/>
  <c r="L594" i="5" s="1" a="1"/>
  <c r="L594" i="5" s="1"/>
  <c r="C595" i="5"/>
  <c r="L595" i="5" s="1" a="1"/>
  <c r="L595" i="5" s="1"/>
  <c r="C596" i="5"/>
  <c r="L596" i="5" s="1" a="1"/>
  <c r="L596" i="5" s="1"/>
  <c r="C597" i="5"/>
  <c r="L597" i="5" s="1" a="1"/>
  <c r="L597" i="5" s="1"/>
  <c r="C598" i="5"/>
  <c r="L598" i="5" s="1" a="1"/>
  <c r="L598" i="5" s="1"/>
  <c r="C599" i="5"/>
  <c r="L599" i="5" s="1" a="1"/>
  <c r="L599" i="5" s="1"/>
  <c r="C600" i="5"/>
  <c r="L600" i="5" s="1" a="1"/>
  <c r="L600" i="5" s="1"/>
  <c r="C601" i="5"/>
  <c r="L601" i="5" s="1" a="1"/>
  <c r="L601" i="5" s="1"/>
  <c r="C602" i="5"/>
  <c r="L602" i="5" s="1" a="1"/>
  <c r="L602" i="5" s="1"/>
  <c r="C603" i="5"/>
  <c r="L603" i="5" s="1" a="1"/>
  <c r="L603" i="5" s="1"/>
  <c r="C604" i="5"/>
  <c r="L604" i="5" s="1" a="1"/>
  <c r="L604" i="5" s="1"/>
  <c r="C605" i="5"/>
  <c r="L605" i="5" s="1" a="1"/>
  <c r="L605" i="5" s="1"/>
  <c r="C606" i="5"/>
  <c r="L606" i="5" s="1" a="1"/>
  <c r="L606" i="5" s="1"/>
  <c r="C607" i="5"/>
  <c r="L607" i="5" s="1" a="1"/>
  <c r="L607" i="5" s="1"/>
  <c r="C608" i="5"/>
  <c r="L608" i="5" s="1" a="1"/>
  <c r="L608" i="5" s="1"/>
  <c r="C609" i="5"/>
  <c r="L609" i="5" s="1" a="1"/>
  <c r="L609" i="5" s="1"/>
  <c r="C610" i="5"/>
  <c r="L610" i="5" s="1" a="1"/>
  <c r="L610" i="5" s="1"/>
  <c r="C611" i="5"/>
  <c r="L611" i="5" s="1" a="1"/>
  <c r="L611" i="5" s="1"/>
  <c r="C612" i="5"/>
  <c r="L612" i="5" s="1" a="1"/>
  <c r="L612" i="5" s="1"/>
  <c r="C613" i="5"/>
  <c r="L613" i="5" s="1" a="1"/>
  <c r="L613" i="5" s="1"/>
  <c r="C614" i="5"/>
  <c r="L614" i="5" s="1" a="1"/>
  <c r="L614" i="5" s="1"/>
  <c r="C615" i="5"/>
  <c r="L615" i="5" s="1" a="1"/>
  <c r="L615" i="5" s="1"/>
  <c r="C616" i="5"/>
  <c r="L616" i="5" s="1" a="1"/>
  <c r="L616" i="5" s="1"/>
  <c r="C617" i="5"/>
  <c r="L617" i="5" s="1" a="1"/>
  <c r="L617" i="5" s="1"/>
  <c r="C618" i="5"/>
  <c r="L618" i="5" s="1" a="1"/>
  <c r="L618" i="5" s="1"/>
  <c r="C619" i="5"/>
  <c r="L619" i="5" s="1" a="1"/>
  <c r="L619" i="5" s="1"/>
  <c r="C620" i="5"/>
  <c r="L620" i="5" s="1" a="1"/>
  <c r="L620" i="5" s="1"/>
  <c r="C621" i="5"/>
  <c r="L621" i="5" s="1" a="1"/>
  <c r="L621" i="5" s="1"/>
  <c r="C622" i="5"/>
  <c r="L622" i="5" s="1" a="1"/>
  <c r="L622" i="5" s="1"/>
  <c r="C623" i="5"/>
  <c r="L623" i="5" s="1" a="1"/>
  <c r="L623" i="5" s="1"/>
  <c r="C624" i="5"/>
  <c r="L624" i="5" s="1" a="1"/>
  <c r="L624" i="5" s="1"/>
  <c r="C625" i="5"/>
  <c r="L625" i="5" s="1" a="1"/>
  <c r="L625" i="5" s="1"/>
  <c r="C626" i="5"/>
  <c r="L626" i="5" s="1" a="1"/>
  <c r="L626" i="5" s="1"/>
  <c r="C627" i="5"/>
  <c r="L627" i="5" s="1" a="1"/>
  <c r="L627" i="5" s="1"/>
  <c r="C628" i="5"/>
  <c r="L628" i="5" s="1" a="1"/>
  <c r="L628" i="5" s="1"/>
  <c r="C629" i="5"/>
  <c r="L629" i="5" s="1" a="1"/>
  <c r="L629" i="5" s="1"/>
  <c r="C630" i="5"/>
  <c r="L630" i="5" s="1" a="1"/>
  <c r="L630" i="5" s="1"/>
  <c r="C631" i="5"/>
  <c r="L631" i="5" s="1" a="1"/>
  <c r="L631" i="5" s="1"/>
  <c r="C632" i="5"/>
  <c r="L632" i="5" s="1" a="1"/>
  <c r="L632" i="5" s="1"/>
  <c r="C633" i="5"/>
  <c r="L633" i="5" s="1" a="1"/>
  <c r="L633" i="5" s="1"/>
  <c r="C634" i="5"/>
  <c r="L634" i="5" s="1" a="1"/>
  <c r="L634" i="5" s="1"/>
  <c r="C635" i="5"/>
  <c r="L635" i="5" s="1" a="1"/>
  <c r="L635" i="5" s="1"/>
  <c r="C636" i="5"/>
  <c r="L636" i="5" s="1" a="1"/>
  <c r="L636" i="5" s="1"/>
  <c r="C637" i="5"/>
  <c r="L637" i="5" s="1" a="1"/>
  <c r="L637" i="5" s="1"/>
  <c r="C638" i="5"/>
  <c r="L638" i="5" s="1" a="1"/>
  <c r="L638" i="5" s="1"/>
  <c r="C639" i="5"/>
  <c r="L639" i="5" s="1" a="1"/>
  <c r="L639" i="5" s="1"/>
  <c r="C640" i="5"/>
  <c r="L640" i="5" s="1" a="1"/>
  <c r="L640" i="5" s="1"/>
  <c r="C641" i="5"/>
  <c r="L641" i="5" s="1" a="1"/>
  <c r="L641" i="5" s="1"/>
  <c r="C642" i="5"/>
  <c r="L642" i="5" s="1" a="1"/>
  <c r="L642" i="5" s="1"/>
  <c r="C643" i="5"/>
  <c r="L643" i="5" s="1" a="1"/>
  <c r="L643" i="5" s="1"/>
  <c r="C644" i="5"/>
  <c r="L644" i="5" s="1" a="1"/>
  <c r="L644" i="5" s="1"/>
  <c r="C645" i="5"/>
  <c r="L645" i="5" s="1" a="1"/>
  <c r="L645" i="5" s="1"/>
  <c r="C646" i="5"/>
  <c r="L646" i="5" s="1" a="1"/>
  <c r="L646" i="5" s="1"/>
  <c r="C647" i="5"/>
  <c r="L647" i="5" s="1" a="1"/>
  <c r="L647" i="5" s="1"/>
  <c r="C648" i="5"/>
  <c r="L648" i="5" s="1" a="1"/>
  <c r="L648" i="5" s="1"/>
  <c r="C649" i="5"/>
  <c r="L649" i="5" s="1" a="1"/>
  <c r="L649" i="5" s="1"/>
  <c r="C650" i="5"/>
  <c r="L650" i="5" s="1" a="1"/>
  <c r="L650" i="5" s="1"/>
  <c r="C651" i="5"/>
  <c r="L651" i="5" s="1" a="1"/>
  <c r="L651" i="5" s="1"/>
  <c r="C652" i="5"/>
  <c r="L652" i="5" s="1" a="1"/>
  <c r="L652" i="5" s="1"/>
  <c r="C653" i="5"/>
  <c r="L653" i="5" s="1" a="1"/>
  <c r="L653" i="5" s="1"/>
  <c r="C654" i="5"/>
  <c r="L654" i="5" s="1" a="1"/>
  <c r="L654" i="5" s="1"/>
  <c r="C655" i="5"/>
  <c r="L655" i="5" s="1" a="1"/>
  <c r="L655" i="5" s="1"/>
  <c r="C656" i="5"/>
  <c r="L656" i="5" s="1" a="1"/>
  <c r="L656" i="5" s="1"/>
  <c r="C657" i="5"/>
  <c r="L657" i="5" s="1" a="1"/>
  <c r="L657" i="5" s="1"/>
  <c r="C658" i="5"/>
  <c r="L658" i="5" s="1" a="1"/>
  <c r="L658" i="5" s="1"/>
  <c r="C659" i="5"/>
  <c r="L659" i="5" s="1" a="1"/>
  <c r="L659" i="5" s="1"/>
  <c r="C660" i="5"/>
  <c r="L660" i="5" s="1" a="1"/>
  <c r="L660" i="5" s="1"/>
  <c r="C661" i="5"/>
  <c r="L661" i="5" s="1" a="1"/>
  <c r="L661" i="5" s="1"/>
  <c r="C662" i="5"/>
  <c r="L662" i="5" s="1" a="1"/>
  <c r="L662" i="5" s="1"/>
  <c r="C663" i="5"/>
  <c r="L663" i="5" s="1" a="1"/>
  <c r="L663" i="5" s="1"/>
  <c r="C664" i="5"/>
  <c r="L664" i="5" s="1" a="1"/>
  <c r="L664" i="5" s="1"/>
  <c r="C665" i="5"/>
  <c r="L665" i="5" s="1" a="1"/>
  <c r="L665" i="5" s="1"/>
  <c r="C666" i="5"/>
  <c r="L666" i="5" s="1" a="1"/>
  <c r="L666" i="5" s="1"/>
  <c r="C667" i="5"/>
  <c r="L667" i="5" s="1" a="1"/>
  <c r="L667" i="5" s="1"/>
  <c r="C668" i="5"/>
  <c r="L668" i="5" s="1" a="1"/>
  <c r="L668" i="5" s="1"/>
  <c r="C669" i="5"/>
  <c r="L669" i="5" s="1" a="1"/>
  <c r="L669" i="5" s="1"/>
  <c r="C670" i="5"/>
  <c r="L670" i="5" s="1" a="1"/>
  <c r="L670" i="5" s="1"/>
  <c r="C671" i="5"/>
  <c r="L671" i="5" s="1" a="1"/>
  <c r="L671" i="5" s="1"/>
  <c r="C672" i="5"/>
  <c r="L672" i="5" s="1" a="1"/>
  <c r="L672" i="5" s="1"/>
  <c r="C673" i="5"/>
  <c r="L673" i="5" s="1" a="1"/>
  <c r="L673" i="5" s="1"/>
  <c r="C674" i="5"/>
  <c r="L674" i="5" s="1" a="1"/>
  <c r="L674" i="5" s="1"/>
  <c r="C675" i="5"/>
  <c r="L675" i="5" s="1" a="1"/>
  <c r="L675" i="5" s="1"/>
  <c r="C676" i="5"/>
  <c r="L676" i="5" s="1" a="1"/>
  <c r="L676" i="5" s="1"/>
  <c r="C677" i="5"/>
  <c r="L677" i="5" s="1" a="1"/>
  <c r="L677" i="5" s="1"/>
  <c r="C678" i="5"/>
  <c r="L678" i="5" s="1" a="1"/>
  <c r="L678" i="5" s="1"/>
  <c r="C679" i="5"/>
  <c r="L679" i="5" s="1" a="1"/>
  <c r="L679" i="5" s="1"/>
  <c r="C680" i="5"/>
  <c r="L680" i="5" s="1" a="1"/>
  <c r="L680" i="5" s="1"/>
  <c r="C681" i="5"/>
  <c r="L681" i="5" s="1" a="1"/>
  <c r="L681" i="5" s="1"/>
  <c r="C682" i="5"/>
  <c r="L682" i="5" s="1" a="1"/>
  <c r="L682" i="5" s="1"/>
  <c r="C683" i="5"/>
  <c r="L683" i="5" s="1" a="1"/>
  <c r="L683" i="5" s="1"/>
  <c r="C684" i="5"/>
  <c r="L684" i="5" s="1" a="1"/>
  <c r="L684" i="5" s="1"/>
  <c r="C685" i="5"/>
  <c r="L685" i="5" s="1" a="1"/>
  <c r="L685" i="5" s="1"/>
  <c r="C686" i="5"/>
  <c r="L686" i="5" s="1" a="1"/>
  <c r="L686" i="5" s="1"/>
  <c r="C687" i="5"/>
  <c r="L687" i="5" s="1" a="1"/>
  <c r="L687" i="5" s="1"/>
  <c r="C688" i="5"/>
  <c r="L688" i="5" s="1" a="1"/>
  <c r="L688" i="5" s="1"/>
  <c r="C689" i="5"/>
  <c r="L689" i="5" s="1" a="1"/>
  <c r="L689" i="5" s="1"/>
  <c r="C690" i="5"/>
  <c r="L690" i="5" s="1" a="1"/>
  <c r="L690" i="5" s="1"/>
  <c r="C691" i="5"/>
  <c r="L691" i="5" s="1" a="1"/>
  <c r="L691" i="5" s="1"/>
  <c r="C692" i="5"/>
  <c r="L692" i="5" s="1" a="1"/>
  <c r="L692" i="5" s="1"/>
  <c r="C693" i="5"/>
  <c r="L693" i="5" s="1" a="1"/>
  <c r="L693" i="5" s="1"/>
  <c r="C694" i="5"/>
  <c r="L694" i="5" s="1" a="1"/>
  <c r="L694" i="5" s="1"/>
  <c r="C695" i="5"/>
  <c r="L695" i="5" s="1" a="1"/>
  <c r="L695" i="5" s="1"/>
  <c r="C696" i="5"/>
  <c r="L696" i="5" s="1" a="1"/>
  <c r="L696" i="5" s="1"/>
  <c r="C697" i="5"/>
  <c r="L697" i="5" s="1" a="1"/>
  <c r="L697" i="5" s="1"/>
  <c r="C698" i="5"/>
  <c r="L698" i="5" s="1" a="1"/>
  <c r="L698" i="5" s="1"/>
  <c r="C699" i="5"/>
  <c r="L699" i="5" s="1" a="1"/>
  <c r="L699" i="5" s="1"/>
  <c r="C700" i="5"/>
  <c r="L700" i="5" s="1" a="1"/>
  <c r="L700" i="5" s="1"/>
  <c r="C701" i="5"/>
  <c r="L701" i="5" s="1" a="1"/>
  <c r="L701" i="5" s="1"/>
  <c r="C702" i="5"/>
  <c r="L702" i="5" s="1" a="1"/>
  <c r="L702" i="5" s="1"/>
  <c r="C703" i="5"/>
  <c r="L703" i="5" s="1" a="1"/>
  <c r="L703" i="5" s="1"/>
  <c r="C704" i="5"/>
  <c r="L704" i="5" s="1" a="1"/>
  <c r="L704" i="5" s="1"/>
  <c r="C705" i="5"/>
  <c r="L705" i="5" s="1" a="1"/>
  <c r="L705" i="5" s="1"/>
  <c r="C706" i="5"/>
  <c r="L706" i="5" s="1" a="1"/>
  <c r="L706" i="5" s="1"/>
  <c r="C707" i="5"/>
  <c r="L707" i="5" s="1" a="1"/>
  <c r="L707" i="5" s="1"/>
  <c r="C708" i="5"/>
  <c r="L708" i="5" s="1" a="1"/>
  <c r="L708" i="5" s="1"/>
  <c r="C709" i="5"/>
  <c r="L709" i="5" s="1" a="1"/>
  <c r="L709" i="5" s="1"/>
  <c r="C710" i="5"/>
  <c r="L710" i="5" s="1" a="1"/>
  <c r="L710" i="5" s="1"/>
  <c r="C711" i="5"/>
  <c r="L711" i="5" s="1" a="1"/>
  <c r="L711" i="5" s="1"/>
  <c r="C712" i="5"/>
  <c r="L712" i="5" s="1" a="1"/>
  <c r="L712" i="5" s="1"/>
  <c r="C713" i="5"/>
  <c r="L713" i="5" s="1" a="1"/>
  <c r="L713" i="5" s="1"/>
  <c r="C714" i="5"/>
  <c r="L714" i="5" s="1" a="1"/>
  <c r="L714" i="5" s="1"/>
  <c r="C715" i="5"/>
  <c r="L715" i="5" s="1" a="1"/>
  <c r="L715" i="5" s="1"/>
  <c r="C716" i="5"/>
  <c r="L716" i="5" s="1" a="1"/>
  <c r="L716" i="5" s="1"/>
  <c r="C717" i="5"/>
  <c r="L717" i="5" s="1" a="1"/>
  <c r="L717" i="5" s="1"/>
  <c r="C718" i="5"/>
  <c r="L718" i="5" s="1" a="1"/>
  <c r="L718" i="5" s="1"/>
  <c r="C719" i="5"/>
  <c r="L719" i="5" s="1" a="1"/>
  <c r="L719" i="5" s="1"/>
  <c r="C720" i="5"/>
  <c r="L720" i="5" s="1" a="1"/>
  <c r="L720" i="5" s="1"/>
  <c r="C721" i="5"/>
  <c r="L721" i="5" s="1" a="1"/>
  <c r="L721" i="5" s="1"/>
  <c r="C722" i="5"/>
  <c r="L722" i="5" s="1" a="1"/>
  <c r="L722" i="5" s="1"/>
  <c r="C723" i="5"/>
  <c r="L723" i="5" s="1" a="1"/>
  <c r="L723" i="5" s="1"/>
  <c r="C724" i="5"/>
  <c r="L724" i="5" s="1" a="1"/>
  <c r="L724" i="5" s="1"/>
  <c r="C725" i="5"/>
  <c r="L725" i="5" s="1" a="1"/>
  <c r="L725" i="5" s="1"/>
  <c r="C726" i="5"/>
  <c r="L726" i="5" s="1" a="1"/>
  <c r="L726" i="5" s="1"/>
  <c r="C727" i="5"/>
  <c r="L727" i="5" s="1" a="1"/>
  <c r="L727" i="5" s="1"/>
  <c r="C728" i="5"/>
  <c r="L728" i="5" s="1" a="1"/>
  <c r="L728" i="5" s="1"/>
  <c r="C729" i="5"/>
  <c r="L729" i="5" s="1" a="1"/>
  <c r="L729" i="5" s="1"/>
  <c r="C730" i="5"/>
  <c r="L730" i="5" s="1" a="1"/>
  <c r="L730" i="5" s="1"/>
  <c r="C731" i="5"/>
  <c r="L731" i="5" s="1" a="1"/>
  <c r="L731" i="5" s="1"/>
  <c r="C732" i="5"/>
  <c r="L732" i="5" s="1" a="1"/>
  <c r="L732" i="5" s="1"/>
  <c r="C733" i="5"/>
  <c r="L733" i="5" s="1" a="1"/>
  <c r="L733" i="5" s="1"/>
  <c r="C734" i="5"/>
  <c r="L734" i="5" s="1" a="1"/>
  <c r="L734" i="5" s="1"/>
  <c r="C735" i="5"/>
  <c r="L735" i="5" s="1" a="1"/>
  <c r="L735" i="5" s="1"/>
  <c r="C736" i="5"/>
  <c r="L736" i="5" s="1" a="1"/>
  <c r="L736" i="5" s="1"/>
  <c r="C737" i="5"/>
  <c r="L737" i="5" s="1" a="1"/>
  <c r="L737" i="5" s="1"/>
  <c r="C738" i="5"/>
  <c r="L738" i="5" s="1" a="1"/>
  <c r="L738" i="5" s="1"/>
  <c r="C739" i="5"/>
  <c r="L739" i="5" s="1" a="1"/>
  <c r="L739" i="5" s="1"/>
  <c r="C740" i="5"/>
  <c r="L740" i="5" s="1" a="1"/>
  <c r="L740" i="5" s="1"/>
  <c r="C741" i="5"/>
  <c r="L741" i="5" s="1" a="1"/>
  <c r="L741" i="5" s="1"/>
  <c r="C742" i="5"/>
  <c r="L742" i="5" s="1" a="1"/>
  <c r="L742" i="5" s="1"/>
  <c r="C743" i="5"/>
  <c r="L743" i="5" s="1" a="1"/>
  <c r="L743" i="5" s="1"/>
  <c r="C744" i="5"/>
  <c r="L744" i="5" s="1" a="1"/>
  <c r="L744" i="5" s="1"/>
  <c r="C745" i="5"/>
  <c r="L745" i="5" s="1" a="1"/>
  <c r="L745" i="5" s="1"/>
  <c r="C746" i="5"/>
  <c r="L746" i="5" s="1" a="1"/>
  <c r="L746" i="5" s="1"/>
  <c r="C747" i="5"/>
  <c r="L747" i="5" s="1" a="1"/>
  <c r="L747" i="5" s="1"/>
  <c r="C748" i="5"/>
  <c r="L748" i="5" s="1" a="1"/>
  <c r="L748" i="5" s="1"/>
  <c r="C749" i="5"/>
  <c r="L749" i="5" s="1" a="1"/>
  <c r="L749" i="5" s="1"/>
  <c r="C750" i="5"/>
  <c r="L750" i="5" s="1" a="1"/>
  <c r="L750" i="5" s="1"/>
  <c r="C751" i="5"/>
  <c r="L751" i="5" s="1" a="1"/>
  <c r="L751" i="5" s="1"/>
  <c r="C752" i="5"/>
  <c r="L752" i="5" s="1" a="1"/>
  <c r="L752" i="5" s="1"/>
  <c r="C753" i="5"/>
  <c r="L753" i="5" s="1" a="1"/>
  <c r="L753" i="5" s="1"/>
  <c r="C754" i="5"/>
  <c r="L754" i="5" s="1" a="1"/>
  <c r="L754" i="5" s="1"/>
  <c r="C755" i="5"/>
  <c r="L755" i="5" s="1" a="1"/>
  <c r="L755" i="5" s="1"/>
  <c r="C756" i="5"/>
  <c r="L756" i="5" s="1" a="1"/>
  <c r="L756" i="5" s="1"/>
  <c r="C757" i="5"/>
  <c r="L757" i="5" s="1" a="1"/>
  <c r="L757" i="5" s="1"/>
  <c r="C758" i="5"/>
  <c r="L758" i="5" s="1" a="1"/>
  <c r="L758" i="5" s="1"/>
  <c r="C759" i="5"/>
  <c r="L759" i="5" s="1" a="1"/>
  <c r="L759" i="5" s="1"/>
  <c r="C760" i="5"/>
  <c r="L760" i="5" s="1" a="1"/>
  <c r="L760" i="5" s="1"/>
  <c r="C761" i="5"/>
  <c r="L761" i="5" s="1" a="1"/>
  <c r="L761" i="5" s="1"/>
  <c r="C762" i="5"/>
  <c r="L762" i="5" s="1" a="1"/>
  <c r="L762" i="5" s="1"/>
  <c r="C763" i="5"/>
  <c r="L763" i="5" s="1" a="1"/>
  <c r="L763" i="5" s="1"/>
  <c r="C764" i="5"/>
  <c r="L764" i="5" s="1" a="1"/>
  <c r="L764" i="5" s="1"/>
  <c r="C765" i="5"/>
  <c r="L765" i="5" s="1" a="1"/>
  <c r="L765" i="5" s="1"/>
  <c r="C766" i="5"/>
  <c r="L766" i="5" s="1" a="1"/>
  <c r="L766" i="5" s="1"/>
  <c r="C767" i="5"/>
  <c r="L767" i="5" s="1" a="1"/>
  <c r="L767" i="5" s="1"/>
  <c r="C768" i="5"/>
  <c r="L768" i="5" s="1" a="1"/>
  <c r="L768" i="5" s="1"/>
  <c r="C769" i="5"/>
  <c r="L769" i="5" s="1" a="1"/>
  <c r="L769" i="5" s="1"/>
  <c r="C770" i="5"/>
  <c r="L770" i="5" s="1" a="1"/>
  <c r="L770" i="5" s="1"/>
  <c r="C771" i="5"/>
  <c r="L771" i="5" s="1" a="1"/>
  <c r="L771" i="5" s="1"/>
  <c r="C772" i="5"/>
  <c r="L772" i="5" s="1" a="1"/>
  <c r="L772" i="5" s="1"/>
  <c r="C773" i="5"/>
  <c r="L773" i="5" s="1" a="1"/>
  <c r="L773" i="5" s="1"/>
  <c r="C774" i="5"/>
  <c r="L774" i="5" s="1" a="1"/>
  <c r="L774" i="5" s="1"/>
  <c r="C775" i="5"/>
  <c r="L775" i="5" s="1" a="1"/>
  <c r="L775" i="5" s="1"/>
  <c r="C776" i="5"/>
  <c r="L776" i="5" s="1" a="1"/>
  <c r="L776" i="5" s="1"/>
  <c r="C777" i="5"/>
  <c r="L777" i="5" s="1" a="1"/>
  <c r="L777" i="5" s="1"/>
  <c r="C778" i="5"/>
  <c r="L778" i="5" s="1" a="1"/>
  <c r="L778" i="5" s="1"/>
  <c r="C779" i="5"/>
  <c r="L779" i="5" s="1" a="1"/>
  <c r="L779" i="5" s="1"/>
  <c r="C780" i="5"/>
  <c r="L780" i="5" s="1" a="1"/>
  <c r="L780" i="5" s="1"/>
  <c r="C781" i="5"/>
  <c r="L781" i="5" s="1" a="1"/>
  <c r="L781" i="5" s="1"/>
  <c r="C782" i="5"/>
  <c r="L782" i="5" s="1" a="1"/>
  <c r="L782" i="5" s="1"/>
  <c r="C783" i="5"/>
  <c r="L783" i="5" s="1" a="1"/>
  <c r="L783" i="5" s="1"/>
  <c r="C784" i="5"/>
  <c r="L784" i="5" s="1" a="1"/>
  <c r="L784" i="5" s="1"/>
  <c r="C785" i="5"/>
  <c r="L785" i="5" s="1" a="1"/>
  <c r="L785" i="5" s="1"/>
  <c r="C786" i="5"/>
  <c r="L786" i="5" s="1" a="1"/>
  <c r="L786" i="5" s="1"/>
  <c r="C787" i="5"/>
  <c r="L787" i="5" s="1" a="1"/>
  <c r="L787" i="5" s="1"/>
  <c r="C788" i="5"/>
  <c r="L788" i="5" s="1" a="1"/>
  <c r="L788" i="5" s="1"/>
  <c r="C789" i="5"/>
  <c r="L789" i="5" s="1" a="1"/>
  <c r="L789" i="5" s="1"/>
  <c r="C790" i="5"/>
  <c r="L790" i="5" s="1" a="1"/>
  <c r="L790" i="5" s="1"/>
  <c r="C791" i="5"/>
  <c r="L791" i="5" s="1" a="1"/>
  <c r="L791" i="5" s="1"/>
  <c r="C792" i="5"/>
  <c r="L792" i="5" s="1" a="1"/>
  <c r="L792" i="5" s="1"/>
  <c r="C793" i="5"/>
  <c r="L793" i="5" s="1" a="1"/>
  <c r="L793" i="5" s="1"/>
  <c r="C794" i="5"/>
  <c r="L794" i="5" s="1" a="1"/>
  <c r="L794" i="5" s="1"/>
  <c r="C795" i="5"/>
  <c r="L795" i="5" s="1" a="1"/>
  <c r="L795" i="5" s="1"/>
  <c r="C796" i="5"/>
  <c r="L796" i="5" s="1" a="1"/>
  <c r="L796" i="5" s="1"/>
  <c r="C797" i="5"/>
  <c r="L797" i="5" s="1" a="1"/>
  <c r="L797" i="5" s="1"/>
  <c r="C798" i="5"/>
  <c r="L798" i="5" s="1" a="1"/>
  <c r="L798" i="5" s="1"/>
  <c r="C799" i="5"/>
  <c r="L799" i="5" s="1" a="1"/>
  <c r="L799" i="5" s="1"/>
  <c r="C800" i="5"/>
  <c r="L800" i="5" s="1" a="1"/>
  <c r="L800" i="5" s="1"/>
  <c r="C801" i="5"/>
  <c r="L801" i="5" s="1" a="1"/>
  <c r="L801" i="5" s="1"/>
  <c r="C802" i="5"/>
  <c r="L802" i="5" s="1" a="1"/>
  <c r="L802" i="5" s="1"/>
  <c r="C803" i="5"/>
  <c r="L803" i="5" s="1" a="1"/>
  <c r="L803" i="5" s="1"/>
  <c r="C804" i="5"/>
  <c r="L804" i="5" s="1" a="1"/>
  <c r="L804" i="5" s="1"/>
  <c r="C805" i="5"/>
  <c r="L805" i="5" s="1" a="1"/>
  <c r="L805" i="5" s="1"/>
  <c r="C806" i="5"/>
  <c r="L806" i="5" s="1" a="1"/>
  <c r="L806" i="5" s="1"/>
  <c r="C807" i="5"/>
  <c r="L807" i="5" s="1" a="1"/>
  <c r="L807" i="5" s="1"/>
  <c r="C808" i="5"/>
  <c r="L808" i="5" s="1" a="1"/>
  <c r="L808" i="5" s="1"/>
  <c r="C809" i="5"/>
  <c r="L809" i="5" s="1" a="1"/>
  <c r="L809" i="5" s="1"/>
  <c r="C810" i="5"/>
  <c r="L810" i="5" s="1" a="1"/>
  <c r="L810" i="5" s="1"/>
  <c r="C811" i="5"/>
  <c r="L811" i="5" s="1" a="1"/>
  <c r="L811" i="5" s="1"/>
  <c r="C812" i="5"/>
  <c r="L812" i="5" s="1" a="1"/>
  <c r="L812" i="5" s="1"/>
  <c r="C813" i="5"/>
  <c r="L813" i="5" s="1" a="1"/>
  <c r="L813" i="5" s="1"/>
  <c r="C814" i="5"/>
  <c r="L814" i="5" s="1" a="1"/>
  <c r="L814" i="5" s="1"/>
  <c r="C815" i="5"/>
  <c r="L815" i="5" s="1" a="1"/>
  <c r="L815" i="5" s="1"/>
  <c r="C816" i="5"/>
  <c r="L816" i="5" s="1" a="1"/>
  <c r="L816" i="5" s="1"/>
  <c r="C817" i="5"/>
  <c r="L817" i="5" s="1" a="1"/>
  <c r="L817" i="5" s="1"/>
  <c r="C818" i="5"/>
  <c r="L818" i="5" s="1" a="1"/>
  <c r="L818" i="5" s="1"/>
  <c r="C819" i="5"/>
  <c r="L819" i="5" s="1" a="1"/>
  <c r="L819" i="5" s="1"/>
  <c r="C820" i="5"/>
  <c r="L820" i="5" s="1" a="1"/>
  <c r="L820" i="5" s="1"/>
  <c r="C821" i="5"/>
  <c r="L821" i="5" s="1" a="1"/>
  <c r="L821" i="5" s="1"/>
  <c r="C822" i="5"/>
  <c r="L822" i="5" s="1" a="1"/>
  <c r="L822" i="5" s="1"/>
  <c r="C823" i="5"/>
  <c r="L823" i="5" s="1" a="1"/>
  <c r="L823" i="5" s="1"/>
  <c r="C824" i="5"/>
  <c r="L824" i="5" s="1" a="1"/>
  <c r="L824" i="5" s="1"/>
  <c r="C825" i="5"/>
  <c r="L825" i="5" s="1" a="1"/>
  <c r="L825" i="5" s="1"/>
  <c r="C826" i="5"/>
  <c r="L826" i="5" s="1" a="1"/>
  <c r="L826" i="5" s="1"/>
  <c r="C827" i="5"/>
  <c r="L827" i="5" s="1" a="1"/>
  <c r="L827" i="5" s="1"/>
  <c r="C828" i="5"/>
  <c r="L828" i="5" s="1" a="1"/>
  <c r="L828" i="5" s="1"/>
  <c r="C829" i="5"/>
  <c r="L829" i="5" s="1" a="1"/>
  <c r="L829" i="5" s="1"/>
  <c r="C830" i="5"/>
  <c r="L830" i="5" s="1" a="1"/>
  <c r="L830" i="5" s="1"/>
  <c r="C831" i="5"/>
  <c r="L831" i="5" s="1" a="1"/>
  <c r="L831" i="5" s="1"/>
  <c r="C832" i="5"/>
  <c r="L832" i="5" s="1" a="1"/>
  <c r="L832" i="5" s="1"/>
  <c r="C833" i="5"/>
  <c r="L833" i="5" s="1" a="1"/>
  <c r="L833" i="5" s="1"/>
  <c r="C834" i="5"/>
  <c r="L834" i="5" s="1" a="1"/>
  <c r="L834" i="5" s="1"/>
  <c r="C835" i="5"/>
  <c r="L835" i="5" s="1" a="1"/>
  <c r="L835" i="5" s="1"/>
  <c r="C836" i="5"/>
  <c r="L836" i="5" s="1" a="1"/>
  <c r="L836" i="5" s="1"/>
  <c r="C837" i="5"/>
  <c r="L837" i="5" s="1" a="1"/>
  <c r="L837" i="5" s="1"/>
  <c r="C838" i="5"/>
  <c r="L838" i="5" s="1" a="1"/>
  <c r="L838" i="5" s="1"/>
  <c r="C839" i="5"/>
  <c r="L839" i="5" s="1" a="1"/>
  <c r="L839" i="5" s="1"/>
  <c r="C840" i="5"/>
  <c r="L840" i="5" s="1" a="1"/>
  <c r="L840" i="5" s="1"/>
  <c r="C841" i="5"/>
  <c r="L841" i="5" s="1" a="1"/>
  <c r="L841" i="5" s="1"/>
  <c r="C842" i="5"/>
  <c r="L842" i="5" s="1" a="1"/>
  <c r="L842" i="5" s="1"/>
  <c r="C843" i="5"/>
  <c r="L843" i="5" s="1" a="1"/>
  <c r="L843" i="5" s="1"/>
  <c r="C844" i="5"/>
  <c r="L844" i="5" s="1" a="1"/>
  <c r="L844" i="5" s="1"/>
  <c r="C845" i="5"/>
  <c r="L845" i="5" s="1" a="1"/>
  <c r="L845" i="5" s="1"/>
  <c r="C846" i="5"/>
  <c r="L846" i="5" s="1" a="1"/>
  <c r="L846" i="5" s="1"/>
  <c r="C847" i="5"/>
  <c r="L847" i="5" s="1" a="1"/>
  <c r="L847" i="5" s="1"/>
  <c r="C848" i="5"/>
  <c r="L848" i="5" s="1" a="1"/>
  <c r="L848" i="5" s="1"/>
  <c r="C849" i="5"/>
  <c r="L849" i="5" s="1" a="1"/>
  <c r="L849" i="5" s="1"/>
  <c r="C850" i="5"/>
  <c r="L850" i="5" s="1" a="1"/>
  <c r="L850" i="5" s="1"/>
  <c r="C851" i="5"/>
  <c r="L851" i="5" s="1" a="1"/>
  <c r="L851" i="5" s="1"/>
  <c r="C852" i="5"/>
  <c r="L852" i="5" s="1" a="1"/>
  <c r="L852" i="5" s="1"/>
  <c r="C853" i="5"/>
  <c r="L853" i="5" s="1" a="1"/>
  <c r="L853" i="5" s="1"/>
  <c r="C854" i="5"/>
  <c r="L854" i="5" s="1" a="1"/>
  <c r="L854" i="5" s="1"/>
  <c r="C855" i="5"/>
  <c r="L855" i="5" s="1" a="1"/>
  <c r="L855" i="5" s="1"/>
  <c r="C856" i="5"/>
  <c r="L856" i="5" s="1" a="1"/>
  <c r="L856" i="5" s="1"/>
  <c r="C857" i="5"/>
  <c r="L857" i="5" s="1" a="1"/>
  <c r="L857" i="5" s="1"/>
  <c r="C858" i="5"/>
  <c r="L858" i="5" s="1" a="1"/>
  <c r="L858" i="5" s="1"/>
  <c r="C859" i="5"/>
  <c r="L859" i="5" s="1" a="1"/>
  <c r="L859" i="5" s="1"/>
  <c r="C860" i="5"/>
  <c r="L860" i="5" s="1" a="1"/>
  <c r="L860" i="5" s="1"/>
  <c r="C861" i="5"/>
  <c r="L861" i="5" s="1" a="1"/>
  <c r="L861" i="5" s="1"/>
  <c r="C862" i="5"/>
  <c r="L862" i="5" s="1" a="1"/>
  <c r="L862" i="5" s="1"/>
  <c r="C863" i="5"/>
  <c r="L863" i="5" s="1" a="1"/>
  <c r="L863" i="5" s="1"/>
  <c r="C864" i="5"/>
  <c r="L864" i="5" s="1" a="1"/>
  <c r="L864" i="5" s="1"/>
  <c r="C865" i="5"/>
  <c r="L865" i="5" s="1" a="1"/>
  <c r="L865" i="5" s="1"/>
  <c r="C866" i="5"/>
  <c r="L866" i="5" s="1" a="1"/>
  <c r="L866" i="5" s="1"/>
  <c r="C867" i="5"/>
  <c r="L867" i="5" s="1" a="1"/>
  <c r="L867" i="5" s="1"/>
  <c r="C868" i="5"/>
  <c r="L868" i="5" s="1" a="1"/>
  <c r="L868" i="5" s="1"/>
  <c r="C869" i="5"/>
  <c r="L869" i="5" s="1" a="1"/>
  <c r="L869" i="5" s="1"/>
  <c r="C870" i="5"/>
  <c r="L870" i="5" s="1" a="1"/>
  <c r="L870" i="5" s="1"/>
  <c r="C871" i="5"/>
  <c r="L871" i="5" s="1" a="1"/>
  <c r="L871" i="5" s="1"/>
  <c r="C872" i="5"/>
  <c r="L872" i="5" s="1" a="1"/>
  <c r="L872" i="5" s="1"/>
  <c r="C873" i="5"/>
  <c r="L873" i="5" s="1" a="1"/>
  <c r="L873" i="5" s="1"/>
  <c r="C874" i="5"/>
  <c r="L874" i="5" s="1" a="1"/>
  <c r="L874" i="5" s="1"/>
  <c r="C875" i="5"/>
  <c r="L875" i="5" s="1" a="1"/>
  <c r="L875" i="5" s="1"/>
  <c r="C876" i="5"/>
  <c r="L876" i="5" s="1" a="1"/>
  <c r="L876" i="5" s="1"/>
  <c r="C877" i="5"/>
  <c r="L877" i="5" s="1" a="1"/>
  <c r="L877" i="5" s="1"/>
  <c r="C878" i="5"/>
  <c r="L878" i="5" s="1" a="1"/>
  <c r="L878" i="5" s="1"/>
  <c r="C879" i="5"/>
  <c r="L879" i="5" s="1" a="1"/>
  <c r="L879" i="5" s="1"/>
  <c r="C880" i="5"/>
  <c r="L880" i="5" s="1" a="1"/>
  <c r="L880" i="5" s="1"/>
  <c r="C881" i="5"/>
  <c r="L881" i="5" s="1" a="1"/>
  <c r="L881" i="5" s="1"/>
  <c r="C882" i="5"/>
  <c r="L882" i="5" s="1" a="1"/>
  <c r="L882" i="5" s="1"/>
  <c r="C883" i="5"/>
  <c r="L883" i="5" s="1" a="1"/>
  <c r="L883" i="5" s="1"/>
  <c r="C884" i="5"/>
  <c r="L884" i="5" s="1" a="1"/>
  <c r="L884" i="5" s="1"/>
  <c r="C885" i="5"/>
  <c r="L885" i="5" s="1" a="1"/>
  <c r="L885" i="5" s="1"/>
  <c r="C886" i="5"/>
  <c r="L886" i="5" s="1" a="1"/>
  <c r="L886" i="5" s="1"/>
  <c r="C887" i="5"/>
  <c r="L887" i="5" s="1" a="1"/>
  <c r="L887" i="5" s="1"/>
  <c r="C888" i="5"/>
  <c r="L888" i="5" s="1" a="1"/>
  <c r="L888" i="5" s="1"/>
  <c r="C889" i="5"/>
  <c r="L889" i="5" s="1" a="1"/>
  <c r="L889" i="5" s="1"/>
  <c r="C890" i="5"/>
  <c r="L890" i="5" s="1" a="1"/>
  <c r="L890" i="5" s="1"/>
  <c r="C891" i="5"/>
  <c r="L891" i="5" s="1" a="1"/>
  <c r="L891" i="5" s="1"/>
  <c r="C892" i="5"/>
  <c r="L892" i="5" s="1" a="1"/>
  <c r="L892" i="5" s="1"/>
  <c r="C893" i="5"/>
  <c r="L893" i="5" s="1" a="1"/>
  <c r="L893" i="5" s="1"/>
  <c r="C894" i="5"/>
  <c r="L894" i="5" s="1" a="1"/>
  <c r="L894" i="5" s="1"/>
  <c r="C895" i="5"/>
  <c r="L895" i="5" s="1" a="1"/>
  <c r="L895" i="5" s="1"/>
  <c r="C896" i="5"/>
  <c r="L896" i="5" s="1" a="1"/>
  <c r="L896" i="5" s="1"/>
  <c r="C897" i="5"/>
  <c r="L897" i="5" s="1" a="1"/>
  <c r="L897" i="5" s="1"/>
  <c r="C898" i="5"/>
  <c r="L898" i="5" s="1" a="1"/>
  <c r="L898" i="5" s="1"/>
  <c r="C899" i="5"/>
  <c r="L899" i="5" s="1" a="1"/>
  <c r="L899" i="5" s="1"/>
  <c r="C900" i="5"/>
  <c r="L900" i="5" s="1" a="1"/>
  <c r="L900" i="5" s="1"/>
  <c r="C901" i="5"/>
  <c r="L901" i="5" s="1" a="1"/>
  <c r="L901" i="5" s="1"/>
  <c r="C902" i="5"/>
  <c r="L902" i="5" s="1" a="1"/>
  <c r="L902" i="5" s="1"/>
  <c r="C903" i="5"/>
  <c r="L903" i="5" s="1" a="1"/>
  <c r="L903" i="5" s="1"/>
  <c r="C904" i="5"/>
  <c r="L904" i="5" s="1" a="1"/>
  <c r="L904" i="5" s="1"/>
  <c r="C905" i="5"/>
  <c r="L905" i="5" s="1" a="1"/>
  <c r="L905" i="5" s="1"/>
  <c r="C906" i="5"/>
  <c r="L906" i="5" s="1" a="1"/>
  <c r="L906" i="5" s="1"/>
  <c r="C907" i="5"/>
  <c r="L907" i="5" s="1" a="1"/>
  <c r="L907" i="5" s="1"/>
  <c r="C908" i="5"/>
  <c r="L908" i="5" s="1" a="1"/>
  <c r="L908" i="5" s="1"/>
  <c r="C909" i="5"/>
  <c r="L909" i="5" s="1" a="1"/>
  <c r="L909" i="5" s="1"/>
  <c r="C910" i="5"/>
  <c r="L910" i="5" s="1" a="1"/>
  <c r="L910" i="5" s="1"/>
  <c r="C911" i="5"/>
  <c r="L911" i="5" s="1" a="1"/>
  <c r="L911" i="5" s="1"/>
  <c r="C912" i="5"/>
  <c r="L912" i="5" s="1" a="1"/>
  <c r="L912" i="5" s="1"/>
  <c r="C913" i="5"/>
  <c r="L913" i="5" s="1" a="1"/>
  <c r="L913" i="5" s="1"/>
  <c r="C914" i="5"/>
  <c r="L914" i="5" s="1" a="1"/>
  <c r="L914" i="5" s="1"/>
  <c r="C915" i="5"/>
  <c r="L915" i="5" s="1" a="1"/>
  <c r="L915" i="5" s="1"/>
  <c r="C916" i="5"/>
  <c r="L916" i="5" s="1" a="1"/>
  <c r="L916" i="5" s="1"/>
  <c r="C917" i="5"/>
  <c r="L917" i="5" s="1" a="1"/>
  <c r="L917" i="5" s="1"/>
  <c r="C918" i="5"/>
  <c r="L918" i="5" s="1" a="1"/>
  <c r="L918" i="5" s="1"/>
  <c r="C919" i="5"/>
  <c r="L919" i="5" s="1" a="1"/>
  <c r="L919" i="5" s="1"/>
  <c r="C920" i="5"/>
  <c r="L920" i="5" s="1" a="1"/>
  <c r="L920" i="5" s="1"/>
  <c r="C921" i="5"/>
  <c r="L921" i="5" s="1" a="1"/>
  <c r="L921" i="5" s="1"/>
  <c r="C922" i="5"/>
  <c r="L922" i="5" s="1" a="1"/>
  <c r="L922" i="5" s="1"/>
  <c r="C923" i="5"/>
  <c r="L923" i="5" s="1" a="1"/>
  <c r="L923" i="5" s="1"/>
  <c r="C924" i="5"/>
  <c r="L924" i="5" s="1" a="1"/>
  <c r="L924" i="5" s="1"/>
  <c r="C925" i="5"/>
  <c r="L925" i="5" s="1" a="1"/>
  <c r="L925" i="5" s="1"/>
  <c r="C926" i="5"/>
  <c r="L926" i="5" s="1" a="1"/>
  <c r="L926" i="5" s="1"/>
  <c r="C927" i="5"/>
  <c r="L927" i="5" s="1" a="1"/>
  <c r="L927" i="5" s="1"/>
  <c r="C928" i="5"/>
  <c r="L928" i="5" s="1" a="1"/>
  <c r="L928" i="5" s="1"/>
  <c r="C929" i="5"/>
  <c r="L929" i="5" s="1" a="1"/>
  <c r="L929" i="5" s="1"/>
  <c r="C930" i="5"/>
  <c r="L930" i="5" s="1" a="1"/>
  <c r="L930" i="5" s="1"/>
  <c r="C931" i="5"/>
  <c r="L931" i="5" s="1" a="1"/>
  <c r="L931" i="5" s="1"/>
  <c r="C932" i="5"/>
  <c r="L932" i="5" s="1" a="1"/>
  <c r="L932" i="5" s="1"/>
  <c r="C933" i="5"/>
  <c r="L933" i="5" s="1" a="1"/>
  <c r="L933" i="5" s="1"/>
  <c r="C934" i="5"/>
  <c r="L934" i="5" s="1" a="1"/>
  <c r="L934" i="5" s="1"/>
  <c r="C935" i="5"/>
  <c r="L935" i="5" s="1" a="1"/>
  <c r="L935" i="5" s="1"/>
  <c r="C936" i="5"/>
  <c r="L936" i="5" s="1" a="1"/>
  <c r="L936" i="5" s="1"/>
  <c r="C937" i="5"/>
  <c r="L937" i="5" s="1" a="1"/>
  <c r="L937" i="5" s="1"/>
  <c r="C938" i="5"/>
  <c r="L938" i="5" s="1" a="1"/>
  <c r="L938" i="5" s="1"/>
  <c r="C939" i="5"/>
  <c r="L939" i="5" s="1" a="1"/>
  <c r="L939" i="5" s="1"/>
  <c r="C940" i="5"/>
  <c r="L940" i="5" s="1" a="1"/>
  <c r="L940" i="5" s="1"/>
  <c r="C941" i="5"/>
  <c r="L941" i="5" s="1" a="1"/>
  <c r="L941" i="5" s="1"/>
  <c r="C942" i="5"/>
  <c r="L942" i="5" s="1" a="1"/>
  <c r="L942" i="5" s="1"/>
  <c r="C943" i="5"/>
  <c r="L943" i="5" s="1" a="1"/>
  <c r="L943" i="5" s="1"/>
  <c r="C944" i="5"/>
  <c r="L944" i="5" s="1" a="1"/>
  <c r="L944" i="5" s="1"/>
  <c r="C945" i="5"/>
  <c r="L945" i="5" s="1" a="1"/>
  <c r="L945" i="5" s="1"/>
  <c r="C946" i="5"/>
  <c r="L946" i="5" s="1" a="1"/>
  <c r="L946" i="5" s="1"/>
  <c r="C947" i="5"/>
  <c r="L947" i="5" s="1" a="1"/>
  <c r="L947" i="5" s="1"/>
  <c r="C948" i="5"/>
  <c r="L948" i="5" s="1" a="1"/>
  <c r="L948" i="5" s="1"/>
  <c r="C949" i="5"/>
  <c r="L949" i="5" s="1" a="1"/>
  <c r="L949" i="5" s="1"/>
  <c r="C950" i="5"/>
  <c r="L950" i="5" s="1" a="1"/>
  <c r="L950" i="5" s="1"/>
  <c r="C951" i="5"/>
  <c r="L951" i="5" s="1" a="1"/>
  <c r="L951" i="5" s="1"/>
  <c r="C952" i="5"/>
  <c r="L952" i="5" s="1" a="1"/>
  <c r="L952" i="5" s="1"/>
  <c r="C953" i="5"/>
  <c r="L953" i="5" s="1" a="1"/>
  <c r="L953" i="5" s="1"/>
  <c r="C954" i="5"/>
  <c r="L954" i="5" s="1" a="1"/>
  <c r="L954" i="5" s="1"/>
  <c r="C955" i="5"/>
  <c r="L955" i="5" s="1" a="1"/>
  <c r="L955" i="5" s="1"/>
  <c r="C956" i="5"/>
  <c r="L956" i="5" s="1" a="1"/>
  <c r="L956" i="5" s="1"/>
  <c r="C957" i="5"/>
  <c r="L957" i="5" s="1" a="1"/>
  <c r="L957" i="5" s="1"/>
  <c r="C958" i="5"/>
  <c r="L958" i="5" s="1" a="1"/>
  <c r="L958" i="5" s="1"/>
  <c r="C959" i="5"/>
  <c r="L959" i="5" s="1" a="1"/>
  <c r="L959" i="5" s="1"/>
  <c r="C960" i="5"/>
  <c r="L960" i="5" s="1" a="1"/>
  <c r="L960" i="5" s="1"/>
  <c r="C961" i="5"/>
  <c r="L961" i="5" s="1" a="1"/>
  <c r="L961" i="5" s="1"/>
  <c r="C962" i="5"/>
  <c r="L962" i="5" s="1" a="1"/>
  <c r="L962" i="5" s="1"/>
  <c r="C963" i="5"/>
  <c r="L963" i="5" s="1" a="1"/>
  <c r="L963" i="5" s="1"/>
  <c r="C964" i="5"/>
  <c r="L964" i="5" s="1" a="1"/>
  <c r="L964" i="5" s="1"/>
  <c r="C965" i="5"/>
  <c r="L965" i="5" s="1" a="1"/>
  <c r="L965" i="5" s="1"/>
  <c r="C966" i="5"/>
  <c r="L966" i="5" s="1" a="1"/>
  <c r="L966" i="5" s="1"/>
  <c r="C967" i="5"/>
  <c r="L967" i="5" s="1" a="1"/>
  <c r="L967" i="5" s="1"/>
  <c r="C968" i="5"/>
  <c r="L968" i="5" s="1" a="1"/>
  <c r="L968" i="5" s="1"/>
  <c r="C969" i="5"/>
  <c r="L969" i="5" s="1" a="1"/>
  <c r="L969" i="5" s="1"/>
  <c r="C970" i="5"/>
  <c r="L970" i="5" s="1" a="1"/>
  <c r="L970" i="5" s="1"/>
  <c r="C971" i="5"/>
  <c r="L971" i="5" s="1" a="1"/>
  <c r="L971" i="5" s="1"/>
  <c r="C972" i="5"/>
  <c r="L972" i="5" s="1" a="1"/>
  <c r="L972" i="5" s="1"/>
  <c r="C973" i="5"/>
  <c r="L973" i="5" s="1" a="1"/>
  <c r="L973" i="5" s="1"/>
  <c r="C974" i="5"/>
  <c r="L974" i="5" s="1" a="1"/>
  <c r="L974" i="5" s="1"/>
  <c r="C975" i="5"/>
  <c r="L975" i="5" s="1" a="1"/>
  <c r="L975" i="5" s="1"/>
  <c r="C976" i="5"/>
  <c r="L976" i="5" s="1" a="1"/>
  <c r="L976" i="5" s="1"/>
  <c r="C977" i="5"/>
  <c r="L977" i="5" s="1" a="1"/>
  <c r="L977" i="5" s="1"/>
  <c r="C978" i="5"/>
  <c r="L978" i="5" s="1" a="1"/>
  <c r="L978" i="5" s="1"/>
  <c r="C979" i="5"/>
  <c r="L979" i="5" s="1" a="1"/>
  <c r="L979" i="5" s="1"/>
  <c r="C980" i="5"/>
  <c r="L980" i="5" s="1" a="1"/>
  <c r="L980" i="5" s="1"/>
  <c r="C981" i="5"/>
  <c r="L981" i="5" s="1" a="1"/>
  <c r="L981" i="5" s="1"/>
  <c r="C982" i="5"/>
  <c r="L982" i="5" s="1" a="1"/>
  <c r="L982" i="5" s="1"/>
  <c r="C983" i="5"/>
  <c r="L983" i="5" s="1" a="1"/>
  <c r="L983" i="5" s="1"/>
  <c r="C984" i="5"/>
  <c r="L984" i="5" s="1" a="1"/>
  <c r="L984" i="5" s="1"/>
  <c r="C985" i="5"/>
  <c r="L985" i="5" s="1" a="1"/>
  <c r="L985" i="5" s="1"/>
  <c r="C986" i="5"/>
  <c r="L986" i="5" s="1" a="1"/>
  <c r="L986" i="5" s="1"/>
  <c r="C987" i="5"/>
  <c r="L987" i="5" s="1" a="1"/>
  <c r="L987" i="5" s="1"/>
  <c r="C988" i="5"/>
  <c r="L988" i="5" s="1" a="1"/>
  <c r="L988" i="5" s="1"/>
  <c r="C989" i="5"/>
  <c r="L989" i="5" s="1" a="1"/>
  <c r="L989" i="5" s="1"/>
  <c r="C990" i="5"/>
  <c r="L990" i="5" s="1" a="1"/>
  <c r="L990" i="5" s="1"/>
  <c r="C991" i="5"/>
  <c r="L991" i="5" s="1" a="1"/>
  <c r="L991" i="5" s="1"/>
  <c r="C992" i="5"/>
  <c r="L992" i="5" s="1" a="1"/>
  <c r="L992" i="5" s="1"/>
  <c r="C993" i="5"/>
  <c r="L993" i="5" s="1" a="1"/>
  <c r="L993" i="5" s="1"/>
  <c r="C994" i="5"/>
  <c r="L994" i="5" s="1" a="1"/>
  <c r="L994" i="5" s="1"/>
  <c r="C995" i="5"/>
  <c r="L995" i="5" s="1" a="1"/>
  <c r="L995" i="5" s="1"/>
  <c r="C996" i="5"/>
  <c r="L996" i="5" s="1" a="1"/>
  <c r="L996" i="5" s="1"/>
  <c r="C997" i="5"/>
  <c r="L997" i="5" s="1" a="1"/>
  <c r="L997" i="5" s="1"/>
  <c r="C998" i="5"/>
  <c r="L998" i="5" s="1" a="1"/>
  <c r="L998" i="5" s="1"/>
  <c r="C999" i="5"/>
  <c r="L999" i="5" s="1" a="1"/>
  <c r="L999" i="5" s="1"/>
  <c r="C1000" i="5"/>
  <c r="L1000" i="5" s="1" a="1"/>
  <c r="L1000" i="5" s="1"/>
  <c r="C1001" i="5"/>
  <c r="L1001" i="5" s="1" a="1"/>
  <c r="L1001" i="5" s="1"/>
  <c r="C1002" i="5"/>
  <c r="L1002" i="5" s="1" a="1"/>
  <c r="L1002" i="5" s="1"/>
  <c r="C1003" i="5"/>
  <c r="L1003" i="5" s="1" a="1"/>
  <c r="L1003" i="5" s="1"/>
  <c r="C1004" i="5"/>
  <c r="L1004" i="5" s="1" a="1"/>
  <c r="L1004" i="5" s="1"/>
  <c r="C1005" i="5"/>
  <c r="L1005" i="5" s="1" a="1"/>
  <c r="L1005" i="5" s="1"/>
  <c r="C1006" i="5"/>
  <c r="L1006" i="5" s="1" a="1"/>
  <c r="L1006" i="5" s="1"/>
  <c r="C1007" i="5"/>
  <c r="L1007" i="5" s="1" a="1"/>
  <c r="L1007" i="5" s="1"/>
  <c r="C1008" i="5"/>
  <c r="L1008" i="5" s="1" a="1"/>
  <c r="L1008" i="5" s="1"/>
  <c r="C1009" i="5"/>
  <c r="L1009" i="5" s="1" a="1"/>
  <c r="L1009" i="5" s="1"/>
  <c r="C1010" i="5"/>
  <c r="L1010" i="5" s="1" a="1"/>
  <c r="L1010" i="5" s="1"/>
  <c r="C1011" i="5"/>
  <c r="L1011" i="5" s="1" a="1"/>
  <c r="L1011" i="5" s="1"/>
  <c r="C1012" i="5"/>
  <c r="L1012" i="5" s="1" a="1"/>
  <c r="L1012" i="5" s="1"/>
  <c r="C1013" i="5"/>
  <c r="L1013" i="5" s="1" a="1"/>
  <c r="L1013" i="5" s="1"/>
  <c r="C1014" i="5"/>
  <c r="L1014" i="5" s="1" a="1"/>
  <c r="L1014" i="5" s="1"/>
  <c r="C1015" i="5"/>
  <c r="L1015" i="5" s="1" a="1"/>
  <c r="L1015" i="5" s="1"/>
  <c r="C1016" i="5"/>
  <c r="L1016" i="5" s="1" a="1"/>
  <c r="L1016" i="5" s="1"/>
  <c r="C1017" i="5"/>
  <c r="L1017" i="5" s="1" a="1"/>
  <c r="L1017" i="5" s="1"/>
  <c r="C1018" i="5"/>
  <c r="L1018" i="5" s="1" a="1"/>
  <c r="L1018" i="5" s="1"/>
  <c r="C1019" i="5"/>
  <c r="L1019" i="5" s="1" a="1"/>
  <c r="L1019" i="5" s="1"/>
  <c r="C1020" i="5"/>
  <c r="L1020" i="5" s="1" a="1"/>
  <c r="L1020" i="5" s="1"/>
  <c r="C1021" i="5"/>
  <c r="L1021" i="5" s="1" a="1"/>
  <c r="L1021" i="5" s="1"/>
  <c r="C1022" i="5"/>
  <c r="L1022" i="5" s="1" a="1"/>
  <c r="L1022" i="5" s="1"/>
  <c r="C1023" i="5"/>
  <c r="L1023" i="5" s="1" a="1"/>
  <c r="L1023" i="5" s="1"/>
  <c r="C1024" i="5"/>
  <c r="L1024" i="5" s="1" a="1"/>
  <c r="L1024" i="5" s="1"/>
  <c r="C1025" i="5"/>
  <c r="L1025" i="5" s="1" a="1"/>
  <c r="L1025" i="5" s="1"/>
  <c r="C1026" i="5"/>
  <c r="L1026" i="5" s="1" a="1"/>
  <c r="L1026" i="5" s="1"/>
  <c r="C1027" i="5"/>
  <c r="L1027" i="5" s="1" a="1"/>
  <c r="L1027" i="5" s="1"/>
  <c r="C1028" i="5"/>
  <c r="L1028" i="5" s="1" a="1"/>
  <c r="L1028" i="5" s="1"/>
  <c r="C1029" i="5"/>
  <c r="L1029" i="5" s="1" a="1"/>
  <c r="L1029" i="5" s="1"/>
  <c r="C1030" i="5"/>
  <c r="L1030" i="5" s="1" a="1"/>
  <c r="L1030" i="5" s="1"/>
  <c r="C1031" i="5"/>
  <c r="L1031" i="5" s="1" a="1"/>
  <c r="L1031" i="5" s="1"/>
  <c r="C1032" i="5"/>
  <c r="L1032" i="5" s="1" a="1"/>
  <c r="L1032" i="5" s="1"/>
  <c r="C1033" i="5"/>
  <c r="L1033" i="5" s="1" a="1"/>
  <c r="L1033" i="5" s="1"/>
  <c r="C1034" i="5"/>
  <c r="L1034" i="5" s="1" a="1"/>
  <c r="L1034" i="5" s="1"/>
  <c r="C1035" i="5"/>
  <c r="L1035" i="5" s="1" a="1"/>
  <c r="L1035" i="5" s="1"/>
  <c r="C1036" i="5"/>
  <c r="L1036" i="5" s="1" a="1"/>
  <c r="L1036" i="5" s="1"/>
  <c r="C1037" i="5"/>
  <c r="L1037" i="5" s="1" a="1"/>
  <c r="L1037" i="5" s="1"/>
  <c r="C1038" i="5"/>
  <c r="L1038" i="5" s="1" a="1"/>
  <c r="L1038" i="5" s="1"/>
  <c r="C1039" i="5"/>
  <c r="L1039" i="5" s="1" a="1"/>
  <c r="L1039" i="5" s="1"/>
  <c r="C1040" i="5"/>
  <c r="L1040" i="5" s="1" a="1"/>
  <c r="L1040" i="5" s="1"/>
  <c r="C1041" i="5"/>
  <c r="L1041" i="5" s="1" a="1"/>
  <c r="L1041" i="5" s="1"/>
  <c r="C1042" i="5"/>
  <c r="L1042" i="5" s="1" a="1"/>
  <c r="L1042" i="5" s="1"/>
  <c r="C1043" i="5"/>
  <c r="L1043" i="5" s="1" a="1"/>
  <c r="L1043" i="5" s="1"/>
  <c r="C1044" i="5"/>
  <c r="L1044" i="5" s="1" a="1"/>
  <c r="L1044" i="5" s="1"/>
  <c r="C1045" i="5"/>
  <c r="L1045" i="5" s="1" a="1"/>
  <c r="L1045" i="5" s="1"/>
  <c r="C1046" i="5"/>
  <c r="L1046" i="5" s="1" a="1"/>
  <c r="L1046" i="5" s="1"/>
  <c r="C1047" i="5"/>
  <c r="L1047" i="5" s="1" a="1"/>
  <c r="L1047" i="5" s="1"/>
  <c r="C1048" i="5"/>
  <c r="L1048" i="5" s="1" a="1"/>
  <c r="L1048" i="5" s="1"/>
  <c r="C1049" i="5"/>
  <c r="L1049" i="5" s="1" a="1"/>
  <c r="L1049" i="5" s="1"/>
  <c r="C1050" i="5"/>
  <c r="L1050" i="5" s="1" a="1"/>
  <c r="L1050" i="5" s="1"/>
  <c r="C1051" i="5"/>
  <c r="L1051" i="5" s="1" a="1"/>
  <c r="L1051" i="5" s="1"/>
  <c r="C1052" i="5"/>
  <c r="L1052" i="5" s="1" a="1"/>
  <c r="L1052" i="5" s="1"/>
  <c r="C1053" i="5"/>
  <c r="L1053" i="5" s="1" a="1"/>
  <c r="L1053" i="5" s="1"/>
  <c r="C1054" i="5"/>
  <c r="L1054" i="5" s="1" a="1"/>
  <c r="L1054" i="5" s="1"/>
  <c r="C1055" i="5"/>
  <c r="L1055" i="5" s="1" a="1"/>
  <c r="L1055" i="5" s="1"/>
  <c r="C1056" i="5"/>
  <c r="L1056" i="5" s="1" a="1"/>
  <c r="L1056" i="5" s="1"/>
  <c r="C1057" i="5"/>
  <c r="L1057" i="5" s="1" a="1"/>
  <c r="L1057" i="5" s="1"/>
  <c r="C1058" i="5"/>
  <c r="L1058" i="5" s="1" a="1"/>
  <c r="L1058" i="5" s="1"/>
  <c r="C1059" i="5"/>
  <c r="L1059" i="5" s="1" a="1"/>
  <c r="L1059" i="5" s="1"/>
  <c r="C1060" i="5"/>
  <c r="L1060" i="5" s="1" a="1"/>
  <c r="L1060" i="5" s="1"/>
  <c r="C1061" i="5"/>
  <c r="L1061" i="5" s="1" a="1"/>
  <c r="L1061" i="5" s="1"/>
  <c r="C1062" i="5"/>
  <c r="L1062" i="5" s="1" a="1"/>
  <c r="L1062" i="5" s="1"/>
  <c r="C1063" i="5"/>
  <c r="L1063" i="5" s="1" a="1"/>
  <c r="L1063" i="5" s="1"/>
  <c r="C1064" i="5"/>
  <c r="L1064" i="5" s="1" a="1"/>
  <c r="L1064" i="5" s="1"/>
  <c r="C1065" i="5"/>
  <c r="L1065" i="5" s="1" a="1"/>
  <c r="L1065" i="5" s="1"/>
  <c r="C1066" i="5"/>
  <c r="L1066" i="5" s="1" a="1"/>
  <c r="L1066" i="5" s="1"/>
  <c r="C1067" i="5"/>
  <c r="L1067" i="5" s="1" a="1"/>
  <c r="L1067" i="5" s="1"/>
  <c r="C1068" i="5"/>
  <c r="L1068" i="5" s="1" a="1"/>
  <c r="L1068" i="5" s="1"/>
  <c r="C1069" i="5"/>
  <c r="L1069" i="5" s="1" a="1"/>
  <c r="L1069" i="5" s="1"/>
  <c r="C1070" i="5"/>
  <c r="L1070" i="5" s="1" a="1"/>
  <c r="L1070" i="5" s="1"/>
  <c r="C1071" i="5"/>
  <c r="L1071" i="5" s="1" a="1"/>
  <c r="L1071" i="5" s="1"/>
  <c r="C1072" i="5"/>
  <c r="L1072" i="5" s="1" a="1"/>
  <c r="L1072" i="5" s="1"/>
  <c r="C1073" i="5"/>
  <c r="L1073" i="5" s="1" a="1"/>
  <c r="L1073" i="5" s="1"/>
  <c r="C1074" i="5"/>
  <c r="L1074" i="5" s="1" a="1"/>
  <c r="L1074" i="5" s="1"/>
  <c r="C1075" i="5"/>
  <c r="L1075" i="5" s="1" a="1"/>
  <c r="L1075" i="5" s="1"/>
  <c r="C1076" i="5"/>
  <c r="L1076" i="5" s="1" a="1"/>
  <c r="L1076" i="5" s="1"/>
  <c r="C1077" i="5"/>
  <c r="L1077" i="5" s="1" a="1"/>
  <c r="L1077" i="5" s="1"/>
  <c r="C1078" i="5"/>
  <c r="L1078" i="5" s="1" a="1"/>
  <c r="L1078" i="5" s="1"/>
  <c r="C1079" i="5"/>
  <c r="L1079" i="5" s="1" a="1"/>
  <c r="L1079" i="5" s="1"/>
  <c r="C1080" i="5"/>
  <c r="L1080" i="5" s="1" a="1"/>
  <c r="L1080" i="5" s="1"/>
  <c r="C1081" i="5"/>
  <c r="L1081" i="5" s="1" a="1"/>
  <c r="L1081" i="5" s="1"/>
  <c r="C1082" i="5"/>
  <c r="L1082" i="5" s="1" a="1"/>
  <c r="L1082" i="5" s="1"/>
  <c r="C1083" i="5"/>
  <c r="L1083" i="5" s="1" a="1"/>
  <c r="L1083" i="5" s="1"/>
  <c r="C1084" i="5"/>
  <c r="L1084" i="5" s="1" a="1"/>
  <c r="L1084" i="5" s="1"/>
  <c r="C1085" i="5"/>
  <c r="L1085" i="5" s="1" a="1"/>
  <c r="L1085" i="5" s="1"/>
  <c r="C1086" i="5"/>
  <c r="L1086" i="5" s="1" a="1"/>
  <c r="L1086" i="5" s="1"/>
  <c r="C1087" i="5"/>
  <c r="L1087" i="5" s="1" a="1"/>
  <c r="L1087" i="5" s="1"/>
  <c r="C1088" i="5"/>
  <c r="L1088" i="5" s="1" a="1"/>
  <c r="L1088" i="5" s="1"/>
  <c r="C1089" i="5"/>
  <c r="L1089" i="5" s="1" a="1"/>
  <c r="L1089" i="5" s="1"/>
  <c r="C1090" i="5"/>
  <c r="L1090" i="5" s="1" a="1"/>
  <c r="L1090" i="5" s="1"/>
  <c r="C1091" i="5"/>
  <c r="L1091" i="5" s="1" a="1"/>
  <c r="L1091" i="5" s="1"/>
  <c r="C1092" i="5"/>
  <c r="L1092" i="5" s="1" a="1"/>
  <c r="L1092" i="5" s="1"/>
  <c r="C1093" i="5"/>
  <c r="L1093" i="5" s="1" a="1"/>
  <c r="L1093" i="5" s="1"/>
  <c r="C1094" i="5"/>
  <c r="L1094" i="5" s="1" a="1"/>
  <c r="L1094" i="5" s="1"/>
  <c r="C1095" i="5"/>
  <c r="L1095" i="5" s="1" a="1"/>
  <c r="L1095" i="5" s="1"/>
  <c r="C1096" i="5"/>
  <c r="L1096" i="5" s="1" a="1"/>
  <c r="L1096" i="5" s="1"/>
  <c r="C1097" i="5"/>
  <c r="L1097" i="5" s="1" a="1"/>
  <c r="L1097" i="5" s="1"/>
  <c r="C1098" i="5"/>
  <c r="L1098" i="5" s="1" a="1"/>
  <c r="L1098" i="5" s="1"/>
  <c r="C1099" i="5"/>
  <c r="L1099" i="5" s="1" a="1"/>
  <c r="L1099" i="5" s="1"/>
  <c r="C1100" i="5"/>
  <c r="L1100" i="5" s="1" a="1"/>
  <c r="L1100" i="5" s="1"/>
  <c r="C1101" i="5"/>
  <c r="L1101" i="5" s="1" a="1"/>
  <c r="L1101" i="5" s="1"/>
  <c r="C1102" i="5"/>
  <c r="L1102" i="5" s="1" a="1"/>
  <c r="L1102" i="5" s="1"/>
  <c r="C1103" i="5"/>
  <c r="L1103" i="5" s="1" a="1"/>
  <c r="L1103" i="5" s="1"/>
  <c r="C1104" i="5"/>
  <c r="L1104" i="5" s="1" a="1"/>
  <c r="L1104" i="5" s="1"/>
  <c r="C1105" i="5"/>
  <c r="L1105" i="5" s="1" a="1"/>
  <c r="L1105" i="5" s="1"/>
  <c r="C1106" i="5"/>
  <c r="L1106" i="5" s="1" a="1"/>
  <c r="L1106" i="5" s="1"/>
  <c r="L228" i="5" l="1" a="1"/>
  <c r="L228" i="5" s="1"/>
  <c r="L154" i="5" a="1"/>
  <c r="L154" i="5" s="1"/>
  <c r="L358" i="5" a="1"/>
  <c r="L358" i="5" s="1"/>
  <c r="L383" i="5" a="1"/>
  <c r="L383" i="5" s="1"/>
  <c r="L354" i="5" a="1"/>
  <c r="L354" i="5" s="1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466" i="5"/>
  <c r="B467" i="5"/>
  <c r="B468" i="5"/>
  <c r="B469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C203" i="4" l="1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B203" i="4"/>
  <c r="L203" i="4" s="1"/>
  <c r="B204" i="4"/>
  <c r="L204" i="4" s="1"/>
  <c r="B205" i="4"/>
  <c r="L205" i="4" s="1"/>
  <c r="B206" i="4"/>
  <c r="L206" i="4" s="1"/>
  <c r="B207" i="4"/>
  <c r="L207" i="4" s="1"/>
  <c r="B208" i="4"/>
  <c r="L208" i="4" s="1"/>
  <c r="B209" i="4"/>
  <c r="L209" i="4" s="1"/>
  <c r="B210" i="4"/>
  <c r="L210" i="4" s="1"/>
  <c r="B211" i="4"/>
  <c r="L211" i="4" s="1"/>
  <c r="B212" i="4"/>
  <c r="L212" i="4" s="1"/>
  <c r="B213" i="4"/>
  <c r="L213" i="4" s="1"/>
  <c r="B214" i="4"/>
  <c r="L214" i="4" s="1"/>
  <c r="B215" i="4"/>
  <c r="L215" i="4" s="1"/>
  <c r="B216" i="4"/>
  <c r="L216" i="4" s="1"/>
  <c r="B217" i="4"/>
  <c r="L217" i="4" s="1"/>
  <c r="B218" i="4"/>
  <c r="L218" i="4" s="1"/>
  <c r="B219" i="4"/>
  <c r="L219" i="4" s="1"/>
  <c r="B220" i="4"/>
  <c r="L220" i="4" s="1"/>
  <c r="B221" i="4"/>
  <c r="L221" i="4" s="1"/>
  <c r="B222" i="4"/>
  <c r="L222" i="4" s="1"/>
  <c r="B223" i="4"/>
  <c r="L223" i="4" s="1"/>
  <c r="B224" i="4"/>
  <c r="L224" i="4" s="1"/>
  <c r="B225" i="4"/>
  <c r="L225" i="4" s="1"/>
  <c r="B226" i="4"/>
  <c r="L226" i="4" s="1"/>
  <c r="B227" i="4"/>
  <c r="L227" i="4" s="1"/>
  <c r="B228" i="4"/>
  <c r="L228" i="4" s="1"/>
  <c r="B229" i="4"/>
  <c r="L229" i="4" s="1"/>
  <c r="B230" i="4"/>
  <c r="L230" i="4" s="1"/>
  <c r="B231" i="4"/>
  <c r="L231" i="4" s="1"/>
  <c r="B232" i="4"/>
  <c r="L232" i="4" s="1"/>
  <c r="B233" i="4"/>
  <c r="L233" i="4" s="1"/>
  <c r="B234" i="4"/>
  <c r="L234" i="4" s="1"/>
  <c r="B235" i="4"/>
  <c r="L235" i="4" s="1"/>
  <c r="B236" i="4"/>
  <c r="L236" i="4" s="1"/>
  <c r="B237" i="4"/>
  <c r="L237" i="4" s="1"/>
  <c r="B238" i="4"/>
  <c r="L238" i="4" s="1"/>
  <c r="B239" i="4"/>
  <c r="L239" i="4" s="1"/>
  <c r="B240" i="4"/>
  <c r="L240" i="4" s="1"/>
  <c r="B241" i="4"/>
  <c r="L241" i="4" s="1"/>
  <c r="B242" i="4"/>
  <c r="L242" i="4" s="1"/>
  <c r="B243" i="4"/>
  <c r="L243" i="4" s="1"/>
  <c r="B244" i="4"/>
  <c r="L244" i="4" s="1"/>
  <c r="B245" i="4"/>
  <c r="L245" i="4" s="1"/>
  <c r="B246" i="4"/>
  <c r="L246" i="4" s="1"/>
  <c r="B247" i="4"/>
  <c r="L247" i="4" s="1"/>
  <c r="B248" i="4"/>
  <c r="L248" i="4" s="1"/>
  <c r="B249" i="4"/>
  <c r="L249" i="4" s="1"/>
  <c r="B250" i="4"/>
  <c r="L250" i="4" s="1"/>
  <c r="B251" i="4"/>
  <c r="L251" i="4" s="1"/>
  <c r="B252" i="4"/>
  <c r="L252" i="4" s="1"/>
  <c r="B253" i="4"/>
  <c r="L253" i="4" s="1"/>
  <c r="B254" i="4"/>
  <c r="L254" i="4" s="1"/>
  <c r="B255" i="4"/>
  <c r="L255" i="4" s="1"/>
  <c r="B256" i="4"/>
  <c r="L256" i="4" s="1"/>
  <c r="B257" i="4"/>
  <c r="L257" i="4" s="1"/>
  <c r="B258" i="4"/>
  <c r="L258" i="4" s="1"/>
  <c r="B259" i="4"/>
  <c r="L259" i="4" s="1"/>
  <c r="B260" i="4"/>
  <c r="L260" i="4" s="1"/>
  <c r="B261" i="4"/>
  <c r="L261" i="4" s="1"/>
  <c r="B262" i="4"/>
  <c r="L262" i="4" s="1"/>
  <c r="B263" i="4"/>
  <c r="L263" i="4" s="1"/>
  <c r="B264" i="4"/>
  <c r="L264" i="4" s="1"/>
  <c r="B265" i="4"/>
  <c r="L265" i="4" s="1"/>
  <c r="B266" i="4"/>
  <c r="L266" i="4" s="1"/>
  <c r="B267" i="4"/>
  <c r="L267" i="4" s="1"/>
  <c r="B268" i="4"/>
  <c r="L268" i="4" s="1"/>
  <c r="B269" i="4"/>
  <c r="L269" i="4" s="1"/>
  <c r="B270" i="4"/>
  <c r="L270" i="4" s="1"/>
  <c r="B271" i="4"/>
  <c r="L271" i="4" s="1"/>
  <c r="B272" i="4"/>
  <c r="L272" i="4" s="1"/>
  <c r="B273" i="4"/>
  <c r="L273" i="4" s="1"/>
  <c r="B274" i="4"/>
  <c r="L274" i="4" s="1"/>
  <c r="B275" i="4"/>
  <c r="L275" i="4" s="1"/>
  <c r="B276" i="4"/>
  <c r="L276" i="4" s="1"/>
  <c r="B277" i="4"/>
  <c r="L277" i="4" s="1"/>
  <c r="B278" i="4"/>
  <c r="L278" i="4" s="1"/>
  <c r="B279" i="4"/>
  <c r="L279" i="4" s="1"/>
  <c r="B280" i="4"/>
  <c r="L280" i="4" s="1"/>
  <c r="B281" i="4"/>
  <c r="L281" i="4" s="1"/>
  <c r="B282" i="4"/>
  <c r="L282" i="4" s="1"/>
  <c r="B283" i="4"/>
  <c r="L283" i="4" s="1"/>
  <c r="B284" i="4"/>
  <c r="L284" i="4" s="1"/>
  <c r="B285" i="4"/>
  <c r="L285" i="4" s="1"/>
  <c r="B286" i="4"/>
  <c r="L286" i="4" s="1"/>
  <c r="B287" i="4"/>
  <c r="L287" i="4" s="1"/>
  <c r="B288" i="4"/>
  <c r="L288" i="4" s="1"/>
  <c r="B289" i="4"/>
  <c r="L289" i="4" s="1"/>
  <c r="B290" i="4"/>
  <c r="L290" i="4" s="1"/>
  <c r="B291" i="4"/>
  <c r="L291" i="4" s="1"/>
  <c r="B292" i="4"/>
  <c r="L292" i="4" s="1"/>
  <c r="B293" i="4"/>
  <c r="L293" i="4" s="1"/>
  <c r="B294" i="4"/>
  <c r="L294" i="4" s="1"/>
  <c r="B295" i="4"/>
  <c r="L295" i="4" s="1"/>
  <c r="B296" i="4"/>
  <c r="L296" i="4" s="1"/>
  <c r="B297" i="4"/>
  <c r="L297" i="4" s="1"/>
  <c r="B298" i="4"/>
  <c r="L298" i="4" s="1"/>
  <c r="B299" i="4"/>
  <c r="L299" i="4" s="1"/>
  <c r="B300" i="4"/>
  <c r="L300" i="4" s="1"/>
  <c r="B301" i="4"/>
  <c r="L301" i="4" s="1"/>
  <c r="B302" i="4"/>
  <c r="L302" i="4" s="1"/>
  <c r="B303" i="4"/>
  <c r="L303" i="4" s="1"/>
  <c r="B304" i="4"/>
  <c r="L304" i="4" s="1"/>
  <c r="B305" i="4"/>
  <c r="L305" i="4" s="1"/>
  <c r="B306" i="4"/>
  <c r="L306" i="4" s="1"/>
  <c r="B307" i="4"/>
  <c r="L307" i="4" s="1"/>
  <c r="B308" i="4"/>
  <c r="L308" i="4" s="1"/>
  <c r="B309" i="4"/>
  <c r="L309" i="4" s="1"/>
  <c r="B310" i="4"/>
  <c r="L310" i="4" s="1"/>
  <c r="B311" i="4"/>
  <c r="L311" i="4" s="1"/>
  <c r="B312" i="4"/>
  <c r="L312" i="4" s="1"/>
  <c r="B313" i="4"/>
  <c r="L313" i="4" s="1"/>
  <c r="B314" i="4"/>
  <c r="L314" i="4" s="1"/>
  <c r="B315" i="4"/>
  <c r="L315" i="4" s="1"/>
  <c r="B316" i="4"/>
  <c r="L316" i="4" s="1"/>
  <c r="B317" i="4"/>
  <c r="L317" i="4" s="1"/>
  <c r="B318" i="4"/>
  <c r="L318" i="4" s="1"/>
  <c r="B319" i="4"/>
  <c r="L319" i="4" s="1"/>
  <c r="B320" i="4"/>
  <c r="L320" i="4" s="1"/>
  <c r="B321" i="4"/>
  <c r="L321" i="4" s="1"/>
  <c r="B322" i="4"/>
  <c r="L322" i="4" s="1"/>
  <c r="B323" i="4"/>
  <c r="L323" i="4" s="1"/>
  <c r="B324" i="4"/>
  <c r="L324" i="4" s="1"/>
  <c r="B325" i="4"/>
  <c r="L325" i="4" s="1"/>
  <c r="B326" i="4"/>
  <c r="L326" i="4" s="1"/>
  <c r="B327" i="4"/>
  <c r="L327" i="4" s="1"/>
  <c r="B328" i="4"/>
  <c r="L328" i="4" s="1"/>
  <c r="B329" i="4"/>
  <c r="L329" i="4" s="1"/>
  <c r="B330" i="4"/>
  <c r="L330" i="4" s="1"/>
  <c r="B331" i="4"/>
  <c r="L331" i="4" s="1"/>
  <c r="B332" i="4"/>
  <c r="L332" i="4" s="1"/>
  <c r="B333" i="4"/>
  <c r="L333" i="4" s="1"/>
  <c r="B334" i="4"/>
  <c r="L334" i="4" s="1"/>
  <c r="B335" i="4"/>
  <c r="L335" i="4" s="1"/>
  <c r="B336" i="4"/>
  <c r="L336" i="4" s="1"/>
  <c r="B337" i="4"/>
  <c r="L337" i="4" s="1"/>
  <c r="B338" i="4"/>
  <c r="L338" i="4" s="1"/>
  <c r="B339" i="4"/>
  <c r="L339" i="4" s="1"/>
  <c r="B340" i="4"/>
  <c r="L340" i="4" s="1"/>
  <c r="B341" i="4"/>
  <c r="L341" i="4" s="1"/>
  <c r="B342" i="4"/>
  <c r="L342" i="4" s="1"/>
  <c r="B343" i="4"/>
  <c r="L343" i="4" s="1"/>
  <c r="B344" i="4"/>
  <c r="L344" i="4" s="1"/>
  <c r="B345" i="4"/>
  <c r="L345" i="4" s="1"/>
  <c r="B346" i="4"/>
  <c r="L346" i="4" s="1"/>
  <c r="B347" i="4"/>
  <c r="L347" i="4" s="1"/>
  <c r="B348" i="4"/>
  <c r="L348" i="4" s="1"/>
  <c r="B349" i="4"/>
  <c r="L349" i="4" s="1"/>
  <c r="B350" i="4"/>
  <c r="L350" i="4" s="1"/>
  <c r="B351" i="4"/>
  <c r="L351" i="4" s="1"/>
  <c r="B352" i="4"/>
  <c r="L352" i="4" s="1"/>
  <c r="B353" i="4"/>
  <c r="L353" i="4" s="1"/>
  <c r="B354" i="4"/>
  <c r="L354" i="4" s="1"/>
  <c r="B355" i="4"/>
  <c r="L355" i="4" s="1"/>
  <c r="B356" i="4"/>
  <c r="L356" i="4" s="1"/>
  <c r="B357" i="4"/>
  <c r="L357" i="4" s="1"/>
  <c r="B358" i="4"/>
  <c r="L358" i="4" s="1"/>
  <c r="B359" i="4"/>
  <c r="L359" i="4" s="1"/>
  <c r="B360" i="4"/>
  <c r="L360" i="4" s="1"/>
  <c r="B361" i="4"/>
  <c r="L361" i="4" s="1"/>
  <c r="B362" i="4"/>
  <c r="L362" i="4" s="1"/>
  <c r="B363" i="4"/>
  <c r="L363" i="4" s="1"/>
  <c r="B364" i="4"/>
  <c r="L364" i="4" s="1"/>
  <c r="B365" i="4"/>
  <c r="L365" i="4" s="1"/>
  <c r="B366" i="4"/>
  <c r="L366" i="4" s="1"/>
  <c r="B367" i="4"/>
  <c r="L367" i="4" s="1"/>
  <c r="B368" i="4"/>
  <c r="L368" i="4" s="1"/>
  <c r="B369" i="4"/>
  <c r="L369" i="4" s="1"/>
  <c r="B370" i="4"/>
  <c r="L370" i="4" s="1"/>
  <c r="B371" i="4"/>
  <c r="L371" i="4" s="1"/>
  <c r="B372" i="4"/>
  <c r="L372" i="4" s="1"/>
  <c r="B373" i="4"/>
  <c r="L373" i="4" s="1"/>
  <c r="B374" i="4"/>
  <c r="L374" i="4" s="1"/>
  <c r="B375" i="4"/>
  <c r="L375" i="4" s="1"/>
  <c r="B376" i="4"/>
  <c r="L376" i="4" s="1"/>
  <c r="B377" i="4"/>
  <c r="L377" i="4" s="1"/>
  <c r="B378" i="4"/>
  <c r="L378" i="4" s="1"/>
  <c r="B379" i="4"/>
  <c r="L379" i="4" s="1"/>
  <c r="B380" i="4"/>
  <c r="L380" i="4" s="1"/>
  <c r="B381" i="4"/>
  <c r="L381" i="4" s="1"/>
  <c r="B382" i="4"/>
  <c r="L382" i="4" s="1"/>
  <c r="B383" i="4"/>
  <c r="L383" i="4" s="1"/>
  <c r="B384" i="4"/>
  <c r="L384" i="4" s="1"/>
  <c r="B385" i="4"/>
  <c r="L385" i="4" s="1"/>
  <c r="B386" i="4"/>
  <c r="L386" i="4" s="1"/>
  <c r="B387" i="4"/>
  <c r="L387" i="4" s="1"/>
  <c r="B388" i="4"/>
  <c r="L388" i="4" s="1"/>
  <c r="B389" i="4"/>
  <c r="L389" i="4" s="1"/>
  <c r="B390" i="4"/>
  <c r="L390" i="4" s="1"/>
  <c r="B391" i="4"/>
  <c r="L391" i="4" s="1"/>
  <c r="B392" i="4"/>
  <c r="L392" i="4" s="1"/>
  <c r="B393" i="4"/>
  <c r="L393" i="4" s="1"/>
  <c r="B394" i="4"/>
  <c r="L394" i="4" s="1"/>
  <c r="B395" i="4"/>
  <c r="L395" i="4" s="1"/>
  <c r="B396" i="4"/>
  <c r="L396" i="4" s="1"/>
  <c r="B397" i="4"/>
  <c r="L397" i="4" s="1"/>
  <c r="B398" i="4"/>
  <c r="L398" i="4" s="1"/>
  <c r="B399" i="4"/>
  <c r="L399" i="4" s="1"/>
  <c r="B400" i="4"/>
  <c r="L400" i="4" s="1"/>
  <c r="B401" i="4"/>
  <c r="L401" i="4" s="1"/>
  <c r="B402" i="4"/>
  <c r="L402" i="4" s="1"/>
  <c r="B403" i="4"/>
  <c r="L403" i="4" s="1"/>
  <c r="B404" i="4"/>
  <c r="L404" i="4" s="1"/>
  <c r="B405" i="4"/>
  <c r="L405" i="4" s="1"/>
  <c r="B406" i="4"/>
  <c r="L406" i="4" s="1"/>
  <c r="B407" i="4"/>
  <c r="L407" i="4" s="1"/>
  <c r="B408" i="4"/>
  <c r="L408" i="4" s="1"/>
  <c r="B409" i="4"/>
  <c r="L409" i="4" s="1"/>
  <c r="B410" i="4"/>
  <c r="L410" i="4" s="1"/>
  <c r="B411" i="4"/>
  <c r="L411" i="4" s="1"/>
  <c r="B412" i="4"/>
  <c r="L412" i="4" s="1"/>
  <c r="B413" i="4"/>
  <c r="L413" i="4" s="1"/>
  <c r="B414" i="4"/>
  <c r="L414" i="4" s="1"/>
  <c r="B415" i="4"/>
  <c r="L415" i="4" s="1"/>
  <c r="B416" i="4"/>
  <c r="L416" i="4" s="1"/>
  <c r="B417" i="4"/>
  <c r="L417" i="4" s="1"/>
  <c r="B418" i="4"/>
  <c r="L418" i="4" s="1"/>
  <c r="B419" i="4"/>
  <c r="L419" i="4" s="1"/>
  <c r="B420" i="4"/>
  <c r="L420" i="4" s="1"/>
  <c r="B421" i="4"/>
  <c r="L421" i="4" s="1"/>
  <c r="B422" i="4"/>
  <c r="L422" i="4" s="1"/>
  <c r="B423" i="4"/>
  <c r="L423" i="4" s="1"/>
  <c r="B424" i="4"/>
  <c r="L424" i="4" s="1"/>
  <c r="B425" i="4"/>
  <c r="L425" i="4" s="1"/>
  <c r="B426" i="4"/>
  <c r="L426" i="4" s="1"/>
  <c r="B427" i="4"/>
  <c r="L427" i="4" s="1"/>
  <c r="B428" i="4"/>
  <c r="L428" i="4" s="1"/>
  <c r="B429" i="4"/>
  <c r="L429" i="4" s="1"/>
  <c r="B430" i="4"/>
  <c r="L430" i="4" s="1"/>
  <c r="B431" i="4"/>
  <c r="L431" i="4" s="1"/>
  <c r="B432" i="4"/>
  <c r="L432" i="4" s="1"/>
  <c r="B433" i="4"/>
  <c r="L433" i="4" s="1"/>
  <c r="B434" i="4"/>
  <c r="L434" i="4" s="1"/>
  <c r="B435" i="4"/>
  <c r="L435" i="4" s="1"/>
  <c r="B436" i="4"/>
  <c r="L436" i="4" s="1"/>
  <c r="B437" i="4"/>
  <c r="L437" i="4" s="1"/>
  <c r="B438" i="4"/>
  <c r="L438" i="4" s="1"/>
  <c r="B439" i="4"/>
  <c r="L439" i="4" s="1"/>
  <c r="B440" i="4"/>
  <c r="L440" i="4" s="1"/>
  <c r="B441" i="4"/>
  <c r="L441" i="4" s="1"/>
  <c r="B442" i="4"/>
  <c r="L442" i="4" s="1"/>
  <c r="B443" i="4"/>
  <c r="L443" i="4" s="1"/>
  <c r="B444" i="4"/>
  <c r="L444" i="4" s="1"/>
  <c r="B445" i="4"/>
  <c r="L445" i="4" s="1"/>
  <c r="B446" i="4"/>
  <c r="L446" i="4" s="1"/>
  <c r="B447" i="4"/>
  <c r="L447" i="4" s="1"/>
  <c r="B448" i="4"/>
  <c r="L448" i="4" s="1"/>
  <c r="B449" i="4"/>
  <c r="L449" i="4" s="1"/>
  <c r="B450" i="4"/>
  <c r="L450" i="4" s="1"/>
  <c r="B451" i="4"/>
  <c r="L451" i="4" s="1"/>
  <c r="B452" i="4"/>
  <c r="L452" i="4" s="1"/>
  <c r="B453" i="4"/>
  <c r="L453" i="4" s="1"/>
  <c r="B454" i="4"/>
  <c r="L454" i="4" s="1"/>
  <c r="B455" i="4"/>
  <c r="L455" i="4" s="1"/>
  <c r="B456" i="4"/>
  <c r="L456" i="4" s="1"/>
  <c r="B457" i="4"/>
  <c r="L457" i="4" s="1"/>
  <c r="B458" i="4"/>
  <c r="L458" i="4" s="1"/>
  <c r="B459" i="4"/>
  <c r="L459" i="4" s="1"/>
  <c r="B460" i="4"/>
  <c r="L460" i="4" s="1"/>
  <c r="B461" i="4"/>
  <c r="L461" i="4" s="1"/>
  <c r="B462" i="4"/>
  <c r="L462" i="4" s="1"/>
  <c r="B463" i="4"/>
  <c r="L463" i="4" s="1"/>
  <c r="B464" i="4"/>
  <c r="L464" i="4" s="1"/>
  <c r="B465" i="4"/>
  <c r="L465" i="4" s="1"/>
  <c r="B466" i="4"/>
  <c r="L466" i="4" s="1"/>
  <c r="B467" i="4"/>
  <c r="L467" i="4" s="1"/>
  <c r="B468" i="4"/>
  <c r="L468" i="4" s="1"/>
  <c r="B469" i="4"/>
  <c r="L469" i="4" s="1"/>
  <c r="B470" i="4"/>
  <c r="L470" i="4" s="1"/>
  <c r="B471" i="4"/>
  <c r="L471" i="4" s="1"/>
  <c r="B472" i="4"/>
  <c r="L472" i="4" s="1"/>
  <c r="B473" i="4"/>
  <c r="L473" i="4" s="1"/>
  <c r="B474" i="4"/>
  <c r="L474" i="4" s="1"/>
  <c r="B475" i="4"/>
  <c r="L475" i="4" s="1"/>
  <c r="B476" i="4"/>
  <c r="L476" i="4" s="1"/>
  <c r="B477" i="4"/>
  <c r="L477" i="4" s="1"/>
  <c r="B478" i="4"/>
  <c r="L478" i="4" s="1"/>
  <c r="B479" i="4"/>
  <c r="L479" i="4" s="1"/>
  <c r="B480" i="4"/>
  <c r="L480" i="4" s="1"/>
  <c r="B481" i="4"/>
  <c r="L481" i="4" s="1"/>
  <c r="B482" i="4"/>
  <c r="L482" i="4" s="1"/>
  <c r="B483" i="4"/>
  <c r="L483" i="4" s="1"/>
  <c r="B484" i="4"/>
  <c r="L484" i="4" s="1"/>
  <c r="B485" i="4"/>
  <c r="L485" i="4" s="1"/>
  <c r="B486" i="4"/>
  <c r="L486" i="4" s="1"/>
  <c r="B487" i="4"/>
  <c r="L487" i="4" s="1"/>
  <c r="B488" i="4"/>
  <c r="L488" i="4" s="1"/>
  <c r="B489" i="4"/>
  <c r="L489" i="4" s="1"/>
  <c r="B490" i="4"/>
  <c r="L490" i="4" s="1"/>
  <c r="B491" i="4"/>
  <c r="L491" i="4" s="1"/>
  <c r="B492" i="4"/>
  <c r="L492" i="4" s="1"/>
  <c r="B493" i="4"/>
  <c r="L493" i="4" s="1"/>
  <c r="B494" i="4"/>
  <c r="L494" i="4" s="1"/>
  <c r="B495" i="4"/>
  <c r="L495" i="4" s="1"/>
  <c r="B496" i="4"/>
  <c r="L496" i="4" s="1"/>
  <c r="B497" i="4"/>
  <c r="L497" i="4" s="1"/>
  <c r="B498" i="4"/>
  <c r="L498" i="4" s="1"/>
  <c r="B499" i="4"/>
  <c r="L499" i="4" s="1"/>
  <c r="B500" i="4"/>
  <c r="L500" i="4" s="1"/>
  <c r="B501" i="4"/>
  <c r="L501" i="4" s="1"/>
  <c r="B502" i="4"/>
  <c r="L502" i="4" s="1"/>
  <c r="B503" i="4"/>
  <c r="L503" i="4" s="1"/>
  <c r="B504" i="4"/>
  <c r="L504" i="4" s="1"/>
  <c r="B505" i="4"/>
  <c r="L505" i="4" s="1"/>
  <c r="B506" i="4"/>
  <c r="L506" i="4" s="1"/>
  <c r="B507" i="4"/>
  <c r="L507" i="4" s="1"/>
  <c r="B508" i="4"/>
  <c r="L508" i="4" s="1"/>
  <c r="B509" i="4"/>
  <c r="L509" i="4" s="1"/>
  <c r="B510" i="4"/>
  <c r="L510" i="4" s="1"/>
  <c r="B511" i="4"/>
  <c r="L511" i="4" s="1"/>
  <c r="B512" i="4"/>
  <c r="L512" i="4" s="1"/>
  <c r="B513" i="4"/>
  <c r="L513" i="4" s="1"/>
  <c r="B514" i="4"/>
  <c r="L514" i="4" s="1"/>
  <c r="B515" i="4"/>
  <c r="L515" i="4" s="1"/>
  <c r="B516" i="4"/>
  <c r="L516" i="4" s="1"/>
  <c r="B517" i="4"/>
  <c r="L517" i="4" s="1"/>
  <c r="B518" i="4"/>
  <c r="L518" i="4" s="1"/>
  <c r="B519" i="4"/>
  <c r="L519" i="4" s="1"/>
  <c r="B520" i="4"/>
  <c r="L520" i="4" s="1"/>
  <c r="B521" i="4"/>
  <c r="L521" i="4" s="1"/>
  <c r="B522" i="4"/>
  <c r="L522" i="4" s="1"/>
  <c r="B523" i="4"/>
  <c r="L523" i="4" s="1"/>
  <c r="B524" i="4"/>
  <c r="L524" i="4" s="1"/>
  <c r="B525" i="4"/>
  <c r="L525" i="4" s="1"/>
  <c r="B526" i="4"/>
  <c r="L526" i="4" s="1"/>
  <c r="B527" i="4"/>
  <c r="L527" i="4" s="1"/>
  <c r="B528" i="4"/>
  <c r="L528" i="4" s="1"/>
  <c r="B529" i="4"/>
  <c r="L529" i="4" s="1"/>
  <c r="B530" i="4"/>
  <c r="L530" i="4" s="1"/>
  <c r="B531" i="4"/>
  <c r="L531" i="4" s="1"/>
  <c r="B532" i="4"/>
  <c r="L532" i="4" s="1"/>
  <c r="B533" i="4"/>
  <c r="L533" i="4" s="1"/>
  <c r="B534" i="4"/>
  <c r="L534" i="4" s="1"/>
  <c r="B535" i="4"/>
  <c r="L535" i="4" s="1"/>
  <c r="B536" i="4"/>
  <c r="L536" i="4" s="1"/>
  <c r="B537" i="4"/>
  <c r="L537" i="4" s="1"/>
  <c r="B538" i="4"/>
  <c r="L538" i="4" s="1"/>
  <c r="B539" i="4"/>
  <c r="L539" i="4" s="1"/>
  <c r="B540" i="4"/>
  <c r="L540" i="4" s="1"/>
  <c r="B541" i="4"/>
  <c r="L541" i="4" s="1"/>
  <c r="B542" i="4"/>
  <c r="L542" i="4" s="1"/>
  <c r="B543" i="4"/>
  <c r="L543" i="4" s="1"/>
  <c r="B544" i="4"/>
  <c r="L544" i="4" s="1"/>
  <c r="B545" i="4"/>
  <c r="L545" i="4" s="1"/>
  <c r="B546" i="4"/>
  <c r="L546" i="4" s="1"/>
  <c r="B547" i="4"/>
  <c r="L547" i="4" s="1"/>
  <c r="B548" i="4"/>
  <c r="L548" i="4" s="1"/>
  <c r="B549" i="4"/>
  <c r="L549" i="4" s="1"/>
  <c r="B550" i="4"/>
  <c r="L550" i="4" s="1"/>
  <c r="B551" i="4"/>
  <c r="L551" i="4" s="1"/>
  <c r="B552" i="4"/>
  <c r="L552" i="4" s="1"/>
  <c r="B553" i="4"/>
  <c r="L553" i="4" s="1"/>
  <c r="B554" i="4"/>
  <c r="L554" i="4" s="1"/>
  <c r="B555" i="4"/>
  <c r="L555" i="4" s="1"/>
  <c r="B556" i="4"/>
  <c r="L556" i="4" s="1"/>
  <c r="B557" i="4"/>
  <c r="L557" i="4" s="1"/>
  <c r="B558" i="4"/>
  <c r="L558" i="4" s="1"/>
  <c r="B559" i="4"/>
  <c r="L559" i="4" s="1"/>
  <c r="B560" i="4"/>
  <c r="L560" i="4" s="1"/>
  <c r="B561" i="4"/>
  <c r="L561" i="4" s="1"/>
  <c r="B562" i="4"/>
  <c r="L562" i="4" s="1"/>
  <c r="B563" i="4"/>
  <c r="L563" i="4" s="1"/>
  <c r="B564" i="4"/>
  <c r="L564" i="4" s="1"/>
  <c r="B565" i="4"/>
  <c r="L565" i="4" s="1"/>
  <c r="B566" i="4"/>
  <c r="L566" i="4" s="1"/>
  <c r="B567" i="4"/>
  <c r="L567" i="4" s="1"/>
  <c r="B568" i="4"/>
  <c r="L568" i="4" s="1"/>
  <c r="B569" i="4"/>
  <c r="L569" i="4" s="1"/>
  <c r="B570" i="4"/>
  <c r="L570" i="4" s="1"/>
  <c r="B571" i="4"/>
  <c r="L571" i="4" s="1"/>
  <c r="B572" i="4"/>
  <c r="L572" i="4" s="1"/>
  <c r="B573" i="4"/>
  <c r="L573" i="4" s="1"/>
  <c r="B574" i="4"/>
  <c r="L574" i="4" s="1"/>
  <c r="B575" i="4"/>
  <c r="L575" i="4" s="1"/>
  <c r="B576" i="4"/>
  <c r="L576" i="4" s="1"/>
  <c r="B577" i="4"/>
  <c r="L577" i="4" s="1"/>
  <c r="B578" i="4"/>
  <c r="L578" i="4" s="1"/>
  <c r="B579" i="4"/>
  <c r="L579" i="4" s="1"/>
  <c r="B580" i="4"/>
  <c r="L580" i="4" s="1"/>
  <c r="B581" i="4"/>
  <c r="L581" i="4" s="1"/>
  <c r="B582" i="4"/>
  <c r="L582" i="4" s="1"/>
  <c r="B583" i="4"/>
  <c r="L583" i="4" s="1"/>
  <c r="B584" i="4"/>
  <c r="L584" i="4" s="1"/>
  <c r="B585" i="4"/>
  <c r="L585" i="4" s="1"/>
  <c r="B586" i="4"/>
  <c r="L586" i="4" s="1"/>
  <c r="B587" i="4"/>
  <c r="L587" i="4" s="1"/>
  <c r="B588" i="4"/>
  <c r="L588" i="4" s="1"/>
  <c r="B589" i="4"/>
  <c r="L589" i="4" s="1"/>
  <c r="B590" i="4"/>
  <c r="L590" i="4" s="1"/>
  <c r="B591" i="4"/>
  <c r="L591" i="4" s="1"/>
  <c r="B592" i="4"/>
  <c r="L592" i="4" s="1"/>
  <c r="B593" i="4"/>
  <c r="L593" i="4" s="1"/>
  <c r="B594" i="4"/>
  <c r="L594" i="4" s="1"/>
  <c r="B595" i="4"/>
  <c r="L595" i="4" s="1"/>
  <c r="B596" i="4"/>
  <c r="L596" i="4" s="1"/>
  <c r="B597" i="4"/>
  <c r="L597" i="4" s="1"/>
  <c r="B598" i="4"/>
  <c r="L598" i="4" s="1"/>
  <c r="B599" i="4"/>
  <c r="L599" i="4" s="1"/>
  <c r="B600" i="4"/>
  <c r="L600" i="4" s="1"/>
  <c r="B601" i="4"/>
  <c r="L601" i="4" s="1"/>
  <c r="B602" i="4"/>
  <c r="L602" i="4" s="1"/>
  <c r="B603" i="4"/>
  <c r="L603" i="4" s="1"/>
  <c r="B604" i="4"/>
  <c r="L604" i="4" s="1"/>
  <c r="B605" i="4"/>
  <c r="L605" i="4" s="1"/>
  <c r="B606" i="4"/>
  <c r="L606" i="4" s="1"/>
  <c r="B607" i="4"/>
  <c r="L607" i="4" s="1"/>
  <c r="B608" i="4"/>
  <c r="L608" i="4" s="1"/>
  <c r="B609" i="4"/>
  <c r="L609" i="4" s="1"/>
  <c r="B610" i="4"/>
  <c r="L610" i="4" s="1"/>
  <c r="B611" i="4"/>
  <c r="L611" i="4" s="1"/>
  <c r="B612" i="4"/>
  <c r="L612" i="4" s="1"/>
  <c r="B613" i="4"/>
  <c r="L613" i="4" s="1"/>
  <c r="B614" i="4"/>
  <c r="L614" i="4" s="1"/>
  <c r="B615" i="4"/>
  <c r="L615" i="4" s="1"/>
  <c r="B616" i="4"/>
  <c r="L616" i="4" s="1"/>
  <c r="B617" i="4"/>
  <c r="L617" i="4" s="1"/>
  <c r="B618" i="4"/>
  <c r="L618" i="4" s="1"/>
  <c r="B619" i="4"/>
  <c r="L619" i="4" s="1"/>
  <c r="B620" i="4"/>
  <c r="L620" i="4" s="1"/>
  <c r="B621" i="4"/>
  <c r="L621" i="4" s="1"/>
  <c r="B622" i="4"/>
  <c r="L622" i="4" s="1"/>
  <c r="B623" i="4"/>
  <c r="L623" i="4" s="1"/>
  <c r="B624" i="4"/>
  <c r="L624" i="4" s="1"/>
  <c r="B625" i="4"/>
  <c r="L625" i="4" s="1"/>
  <c r="B626" i="4"/>
  <c r="L626" i="4" s="1"/>
  <c r="B627" i="4"/>
  <c r="L627" i="4" s="1"/>
  <c r="B628" i="4"/>
  <c r="L628" i="4" s="1"/>
  <c r="B629" i="4"/>
  <c r="L629" i="4" s="1"/>
  <c r="B630" i="4"/>
  <c r="L630" i="4" s="1"/>
  <c r="B631" i="4"/>
  <c r="L631" i="4" s="1"/>
  <c r="B632" i="4"/>
  <c r="L632" i="4" s="1"/>
  <c r="B633" i="4"/>
  <c r="L633" i="4" s="1"/>
  <c r="B634" i="4"/>
  <c r="L634" i="4" s="1"/>
  <c r="B635" i="4"/>
  <c r="L635" i="4" s="1"/>
  <c r="B636" i="4"/>
  <c r="L636" i="4" s="1"/>
  <c r="B637" i="4"/>
  <c r="L637" i="4" s="1"/>
  <c r="B638" i="4"/>
  <c r="L638" i="4" s="1"/>
  <c r="B639" i="4"/>
  <c r="L639" i="4" s="1"/>
  <c r="B640" i="4"/>
  <c r="L640" i="4" s="1"/>
  <c r="B641" i="4"/>
  <c r="L641" i="4" s="1"/>
  <c r="B642" i="4"/>
  <c r="L642" i="4" s="1"/>
  <c r="B643" i="4"/>
  <c r="L643" i="4" s="1"/>
  <c r="B644" i="4"/>
  <c r="L644" i="4" s="1"/>
  <c r="B645" i="4"/>
  <c r="L645" i="4" s="1"/>
  <c r="B646" i="4"/>
  <c r="L646" i="4" s="1"/>
  <c r="B647" i="4"/>
  <c r="L647" i="4" s="1"/>
  <c r="B648" i="4"/>
  <c r="L648" i="4" s="1"/>
  <c r="B649" i="4"/>
  <c r="L649" i="4" s="1"/>
  <c r="B650" i="4"/>
  <c r="L650" i="4" s="1"/>
  <c r="B651" i="4"/>
  <c r="L651" i="4" s="1"/>
  <c r="B652" i="4"/>
  <c r="L652" i="4" s="1"/>
  <c r="B653" i="4"/>
  <c r="L653" i="4" s="1"/>
  <c r="B654" i="4"/>
  <c r="L654" i="4" s="1"/>
  <c r="B655" i="4"/>
  <c r="L655" i="4" s="1"/>
  <c r="B656" i="4"/>
  <c r="L656" i="4" s="1"/>
  <c r="B657" i="4"/>
  <c r="L657" i="4" s="1"/>
  <c r="B658" i="4"/>
  <c r="L658" i="4" s="1"/>
  <c r="B659" i="4"/>
  <c r="L659" i="4" s="1"/>
  <c r="B660" i="4"/>
  <c r="L660" i="4" s="1"/>
  <c r="B661" i="4"/>
  <c r="L661" i="4" s="1"/>
  <c r="B662" i="4"/>
  <c r="L662" i="4" s="1"/>
  <c r="B663" i="4"/>
  <c r="L663" i="4" s="1"/>
  <c r="B664" i="4"/>
  <c r="L664" i="4" s="1"/>
  <c r="B665" i="4"/>
  <c r="L665" i="4" s="1"/>
  <c r="B666" i="4"/>
  <c r="L666" i="4" s="1"/>
  <c r="B667" i="4"/>
  <c r="L667" i="4" s="1"/>
  <c r="B668" i="4"/>
  <c r="L668" i="4" s="1"/>
  <c r="B669" i="4"/>
  <c r="L669" i="4" s="1"/>
  <c r="B670" i="4"/>
  <c r="L670" i="4" s="1"/>
  <c r="B671" i="4"/>
  <c r="L671" i="4" s="1"/>
  <c r="B672" i="4"/>
  <c r="L672" i="4" s="1"/>
  <c r="B673" i="4"/>
  <c r="L673" i="4" s="1"/>
  <c r="B674" i="4"/>
  <c r="L674" i="4" s="1"/>
  <c r="B675" i="4"/>
  <c r="L675" i="4" s="1"/>
  <c r="B676" i="4"/>
  <c r="L676" i="4" s="1"/>
  <c r="B677" i="4"/>
  <c r="L677" i="4" s="1"/>
  <c r="B678" i="4"/>
  <c r="L678" i="4" s="1"/>
  <c r="B679" i="4"/>
  <c r="L679" i="4" s="1"/>
  <c r="B680" i="4"/>
  <c r="L680" i="4" s="1"/>
  <c r="B681" i="4"/>
  <c r="L681" i="4" s="1"/>
  <c r="B682" i="4"/>
  <c r="L682" i="4" s="1"/>
  <c r="B683" i="4"/>
  <c r="L683" i="4" s="1"/>
  <c r="B684" i="4"/>
  <c r="L684" i="4" s="1"/>
  <c r="B685" i="4"/>
  <c r="L685" i="4" s="1"/>
  <c r="B686" i="4"/>
  <c r="L686" i="4" s="1"/>
  <c r="B687" i="4"/>
  <c r="L687" i="4" s="1"/>
  <c r="B688" i="4"/>
  <c r="L688" i="4" s="1"/>
  <c r="B689" i="4"/>
  <c r="L689" i="4" s="1"/>
  <c r="B690" i="4"/>
  <c r="L690" i="4" s="1"/>
  <c r="B691" i="4"/>
  <c r="L691" i="4" s="1"/>
  <c r="B692" i="4"/>
  <c r="L692" i="4" s="1"/>
  <c r="B693" i="4"/>
  <c r="L693" i="4" s="1"/>
  <c r="B694" i="4"/>
  <c r="L694" i="4" s="1"/>
  <c r="B695" i="4"/>
  <c r="L695" i="4" s="1"/>
  <c r="B696" i="4"/>
  <c r="L696" i="4" s="1"/>
  <c r="B697" i="4"/>
  <c r="L697" i="4" s="1"/>
  <c r="B698" i="4"/>
  <c r="L698" i="4" s="1"/>
  <c r="B699" i="4"/>
  <c r="L699" i="4" s="1"/>
  <c r="B700" i="4"/>
  <c r="L700" i="4" s="1"/>
  <c r="B701" i="4"/>
  <c r="L701" i="4" s="1"/>
  <c r="B702" i="4"/>
  <c r="L702" i="4" s="1"/>
  <c r="B703" i="4"/>
  <c r="L703" i="4" s="1"/>
  <c r="B704" i="4"/>
  <c r="L704" i="4" s="1"/>
  <c r="B705" i="4"/>
  <c r="L705" i="4" s="1"/>
  <c r="B706" i="4"/>
  <c r="L706" i="4" s="1"/>
  <c r="B707" i="4"/>
  <c r="L707" i="4" s="1"/>
  <c r="B708" i="4"/>
  <c r="L708" i="4" s="1"/>
  <c r="B709" i="4"/>
  <c r="L709" i="4" s="1"/>
  <c r="B710" i="4"/>
  <c r="L710" i="4" s="1"/>
  <c r="B711" i="4"/>
  <c r="L711" i="4" s="1"/>
  <c r="B712" i="4"/>
  <c r="L712" i="4" s="1"/>
  <c r="B713" i="4"/>
  <c r="L713" i="4" s="1"/>
  <c r="B714" i="4"/>
  <c r="L714" i="4" s="1"/>
  <c r="B715" i="4"/>
  <c r="L715" i="4" s="1"/>
  <c r="B716" i="4"/>
  <c r="L716" i="4" s="1"/>
  <c r="B717" i="4"/>
  <c r="L717" i="4" s="1"/>
  <c r="B718" i="4"/>
  <c r="L718" i="4" s="1"/>
  <c r="B719" i="4"/>
  <c r="L719" i="4" s="1"/>
  <c r="B720" i="4"/>
  <c r="L720" i="4" s="1"/>
  <c r="B721" i="4"/>
  <c r="L721" i="4" s="1"/>
  <c r="B722" i="4"/>
  <c r="L722" i="4" s="1"/>
  <c r="B723" i="4"/>
  <c r="L723" i="4" s="1"/>
  <c r="B724" i="4"/>
  <c r="L724" i="4" s="1"/>
  <c r="B725" i="4"/>
  <c r="L725" i="4" s="1"/>
  <c r="B726" i="4"/>
  <c r="L726" i="4" s="1"/>
  <c r="B727" i="4"/>
  <c r="L727" i="4" s="1"/>
  <c r="B728" i="4"/>
  <c r="L728" i="4" s="1"/>
  <c r="B729" i="4"/>
  <c r="L729" i="4" s="1"/>
  <c r="B730" i="4"/>
  <c r="L730" i="4" s="1"/>
  <c r="B731" i="4"/>
  <c r="L731" i="4" s="1"/>
  <c r="B732" i="4"/>
  <c r="L732" i="4" s="1"/>
  <c r="B733" i="4"/>
  <c r="L733" i="4" s="1"/>
  <c r="B734" i="4"/>
  <c r="L734" i="4" s="1"/>
  <c r="B735" i="4"/>
  <c r="L735" i="4" s="1"/>
  <c r="B736" i="4"/>
  <c r="L736" i="4" s="1"/>
  <c r="B737" i="4"/>
  <c r="L737" i="4" s="1"/>
  <c r="B738" i="4"/>
  <c r="L738" i="4" s="1"/>
  <c r="B739" i="4"/>
  <c r="L739" i="4" s="1"/>
  <c r="B740" i="4"/>
  <c r="L740" i="4" s="1"/>
  <c r="B741" i="4"/>
  <c r="L741" i="4" s="1"/>
  <c r="B742" i="4"/>
  <c r="L742" i="4" s="1"/>
  <c r="B743" i="4"/>
  <c r="L743" i="4" s="1"/>
  <c r="B744" i="4"/>
  <c r="L744" i="4" s="1"/>
  <c r="B745" i="4"/>
  <c r="L745" i="4" s="1"/>
  <c r="B746" i="4"/>
  <c r="L746" i="4" s="1"/>
  <c r="B747" i="4"/>
  <c r="L747" i="4" s="1"/>
  <c r="B748" i="4"/>
  <c r="L748" i="4" s="1"/>
  <c r="B749" i="4"/>
  <c r="L749" i="4" s="1"/>
  <c r="B750" i="4"/>
  <c r="L750" i="4" s="1"/>
  <c r="B751" i="4"/>
  <c r="L751" i="4" s="1"/>
  <c r="B752" i="4"/>
  <c r="L752" i="4" s="1"/>
  <c r="B753" i="4"/>
  <c r="L753" i="4" s="1"/>
  <c r="B754" i="4"/>
  <c r="L754" i="4" s="1"/>
  <c r="B755" i="4"/>
  <c r="L755" i="4" s="1"/>
  <c r="B756" i="4"/>
  <c r="L756" i="4" s="1"/>
  <c r="B757" i="4"/>
  <c r="L757" i="4" s="1"/>
  <c r="B758" i="4"/>
  <c r="L758" i="4" s="1"/>
  <c r="B759" i="4"/>
  <c r="L759" i="4" s="1"/>
  <c r="B760" i="4"/>
  <c r="L760" i="4" s="1"/>
  <c r="B761" i="4"/>
  <c r="L761" i="4" s="1"/>
  <c r="B762" i="4"/>
  <c r="L762" i="4" s="1"/>
  <c r="B763" i="4"/>
  <c r="L763" i="4" s="1"/>
  <c r="B764" i="4"/>
  <c r="L764" i="4" s="1"/>
  <c r="B765" i="4"/>
  <c r="L765" i="4" s="1"/>
  <c r="B766" i="4"/>
  <c r="L766" i="4" s="1"/>
  <c r="B767" i="4"/>
  <c r="L767" i="4" s="1"/>
  <c r="B768" i="4"/>
  <c r="L768" i="4" s="1"/>
  <c r="B769" i="4"/>
  <c r="L769" i="4" s="1"/>
  <c r="B770" i="4"/>
  <c r="L770" i="4" s="1"/>
  <c r="B771" i="4"/>
  <c r="L771" i="4" s="1"/>
  <c r="B772" i="4"/>
  <c r="L772" i="4" s="1"/>
  <c r="B773" i="4"/>
  <c r="L773" i="4" s="1"/>
  <c r="B774" i="4"/>
  <c r="L774" i="4" s="1"/>
  <c r="B775" i="4"/>
  <c r="L775" i="4" s="1"/>
  <c r="B776" i="4"/>
  <c r="L776" i="4" s="1"/>
  <c r="B777" i="4"/>
  <c r="L777" i="4" s="1"/>
  <c r="B778" i="4"/>
  <c r="L778" i="4" s="1"/>
  <c r="B779" i="4"/>
  <c r="L779" i="4" s="1"/>
  <c r="B780" i="4"/>
  <c r="L780" i="4" s="1"/>
  <c r="B781" i="4"/>
  <c r="L781" i="4" s="1"/>
  <c r="B782" i="4"/>
  <c r="L782" i="4" s="1"/>
  <c r="B783" i="4"/>
  <c r="L783" i="4" s="1"/>
  <c r="B784" i="4"/>
  <c r="L784" i="4" s="1"/>
  <c r="B785" i="4"/>
  <c r="L785" i="4" s="1"/>
  <c r="B786" i="4"/>
  <c r="L786" i="4" s="1"/>
  <c r="B787" i="4"/>
  <c r="L787" i="4" s="1"/>
  <c r="B788" i="4"/>
  <c r="L788" i="4" s="1"/>
  <c r="B789" i="4"/>
  <c r="L789" i="4" s="1"/>
  <c r="B790" i="4"/>
  <c r="L790" i="4" s="1"/>
  <c r="B791" i="4"/>
  <c r="L791" i="4" s="1"/>
  <c r="B792" i="4"/>
  <c r="L792" i="4" s="1"/>
  <c r="B793" i="4"/>
  <c r="L793" i="4" s="1"/>
  <c r="B794" i="4"/>
  <c r="L794" i="4" s="1"/>
  <c r="B795" i="4"/>
  <c r="L795" i="4" s="1"/>
  <c r="B796" i="4"/>
  <c r="L796" i="4" s="1"/>
  <c r="B797" i="4"/>
  <c r="L797" i="4" s="1"/>
  <c r="B798" i="4"/>
  <c r="L798" i="4" s="1"/>
  <c r="B799" i="4"/>
  <c r="L799" i="4" s="1"/>
  <c r="B800" i="4"/>
  <c r="L800" i="4" s="1"/>
  <c r="B801" i="4"/>
  <c r="L801" i="4" s="1"/>
  <c r="B802" i="4"/>
  <c r="L802" i="4" s="1"/>
  <c r="B803" i="4"/>
  <c r="L803" i="4" s="1"/>
  <c r="B804" i="4"/>
  <c r="L804" i="4" s="1"/>
  <c r="B805" i="4"/>
  <c r="L805" i="4" s="1"/>
  <c r="B806" i="4"/>
  <c r="L806" i="4" s="1"/>
  <c r="B807" i="4"/>
  <c r="L807" i="4" s="1"/>
  <c r="B808" i="4"/>
  <c r="L808" i="4" s="1"/>
  <c r="B809" i="4"/>
  <c r="L809" i="4" s="1"/>
  <c r="B810" i="4"/>
  <c r="L810" i="4" s="1"/>
  <c r="B811" i="4"/>
  <c r="L811" i="4" s="1"/>
  <c r="B812" i="4"/>
  <c r="L812" i="4" s="1"/>
  <c r="B813" i="4"/>
  <c r="L813" i="4" s="1"/>
  <c r="B814" i="4"/>
  <c r="L814" i="4" s="1"/>
  <c r="B815" i="4"/>
  <c r="L815" i="4" s="1"/>
  <c r="B816" i="4"/>
  <c r="L816" i="4" s="1"/>
  <c r="B817" i="4"/>
  <c r="L817" i="4" s="1"/>
  <c r="B818" i="4"/>
  <c r="L818" i="4" s="1"/>
  <c r="B819" i="4"/>
  <c r="L819" i="4" s="1"/>
  <c r="B820" i="4"/>
  <c r="L820" i="4" s="1"/>
  <c r="B821" i="4"/>
  <c r="L821" i="4" s="1"/>
  <c r="B822" i="4"/>
  <c r="L822" i="4" s="1"/>
  <c r="B823" i="4"/>
  <c r="L823" i="4" s="1"/>
  <c r="B824" i="4"/>
  <c r="L824" i="4" s="1"/>
  <c r="B825" i="4"/>
  <c r="L825" i="4" s="1"/>
  <c r="B826" i="4"/>
  <c r="L826" i="4" s="1"/>
  <c r="B827" i="4"/>
  <c r="L827" i="4" s="1"/>
  <c r="B828" i="4"/>
  <c r="L828" i="4" s="1"/>
  <c r="B829" i="4"/>
  <c r="L829" i="4" s="1"/>
  <c r="B830" i="4"/>
  <c r="L830" i="4" s="1"/>
  <c r="B831" i="4"/>
  <c r="L831" i="4" s="1"/>
  <c r="B832" i="4"/>
  <c r="L832" i="4" s="1"/>
  <c r="B833" i="4"/>
  <c r="L833" i="4" s="1"/>
  <c r="B834" i="4"/>
  <c r="L834" i="4" s="1"/>
  <c r="B835" i="4"/>
  <c r="L835" i="4" s="1"/>
  <c r="B836" i="4"/>
  <c r="L836" i="4" s="1"/>
  <c r="B837" i="4"/>
  <c r="L837" i="4" s="1"/>
  <c r="B838" i="4"/>
  <c r="L838" i="4" s="1"/>
  <c r="B839" i="4"/>
  <c r="L839" i="4" s="1"/>
  <c r="B840" i="4"/>
  <c r="L840" i="4" s="1"/>
  <c r="B841" i="4"/>
  <c r="L841" i="4" s="1"/>
  <c r="B842" i="4"/>
  <c r="L842" i="4" s="1"/>
  <c r="B843" i="4"/>
  <c r="L843" i="4" s="1"/>
  <c r="B844" i="4"/>
  <c r="L844" i="4" s="1"/>
  <c r="B845" i="4"/>
  <c r="L845" i="4" s="1"/>
  <c r="B846" i="4"/>
  <c r="L846" i="4" s="1"/>
  <c r="B847" i="4"/>
  <c r="L847" i="4" s="1"/>
  <c r="B848" i="4"/>
  <c r="L848" i="4" s="1"/>
  <c r="B849" i="4"/>
  <c r="L849" i="4" s="1"/>
  <c r="B850" i="4"/>
  <c r="L850" i="4" s="1"/>
  <c r="B851" i="4"/>
  <c r="L851" i="4" s="1"/>
  <c r="B852" i="4"/>
  <c r="L852" i="4" s="1"/>
  <c r="B853" i="4"/>
  <c r="L853" i="4" s="1"/>
  <c r="B854" i="4"/>
  <c r="L854" i="4" s="1"/>
  <c r="B855" i="4"/>
  <c r="L855" i="4" s="1"/>
  <c r="B856" i="4"/>
  <c r="L856" i="4" s="1"/>
  <c r="B857" i="4"/>
  <c r="L857" i="4" s="1"/>
  <c r="B858" i="4"/>
  <c r="L858" i="4" s="1"/>
  <c r="B859" i="4"/>
  <c r="L859" i="4" s="1"/>
  <c r="B860" i="4"/>
  <c r="L860" i="4" s="1"/>
  <c r="B861" i="4"/>
  <c r="L861" i="4" s="1"/>
  <c r="B862" i="4"/>
  <c r="L862" i="4" s="1"/>
  <c r="B863" i="4"/>
  <c r="L863" i="4" s="1"/>
  <c r="B864" i="4"/>
  <c r="L864" i="4" s="1"/>
  <c r="B865" i="4"/>
  <c r="L865" i="4" s="1"/>
  <c r="B866" i="4"/>
  <c r="L866" i="4" s="1"/>
  <c r="B867" i="4"/>
  <c r="L867" i="4" s="1"/>
  <c r="B868" i="4"/>
  <c r="L868" i="4" s="1"/>
  <c r="B869" i="4"/>
  <c r="L869" i="4" s="1"/>
  <c r="B870" i="4"/>
  <c r="L870" i="4" s="1"/>
  <c r="B871" i="4"/>
  <c r="L871" i="4" s="1"/>
  <c r="B872" i="4"/>
  <c r="L872" i="4" s="1"/>
  <c r="B873" i="4"/>
  <c r="L873" i="4" s="1"/>
  <c r="B874" i="4"/>
  <c r="L874" i="4" s="1"/>
  <c r="B875" i="4"/>
  <c r="L875" i="4" s="1"/>
  <c r="B876" i="4"/>
  <c r="L876" i="4" s="1"/>
  <c r="B877" i="4"/>
  <c r="L877" i="4" s="1"/>
  <c r="B878" i="4"/>
  <c r="L878" i="4" s="1"/>
  <c r="B879" i="4"/>
  <c r="L879" i="4" s="1"/>
  <c r="B880" i="4"/>
  <c r="L880" i="4" s="1"/>
  <c r="B881" i="4"/>
  <c r="L881" i="4" s="1"/>
  <c r="B882" i="4"/>
  <c r="L882" i="4" s="1"/>
  <c r="B883" i="4"/>
  <c r="L883" i="4" s="1"/>
  <c r="B884" i="4"/>
  <c r="L884" i="4" s="1"/>
  <c r="B885" i="4"/>
  <c r="L885" i="4" s="1"/>
  <c r="B886" i="4"/>
  <c r="L886" i="4" s="1"/>
  <c r="B887" i="4"/>
  <c r="L887" i="4" s="1"/>
  <c r="B888" i="4"/>
  <c r="L888" i="4" s="1"/>
  <c r="B889" i="4"/>
  <c r="L889" i="4" s="1"/>
  <c r="B890" i="4"/>
  <c r="L890" i="4" s="1"/>
  <c r="B891" i="4"/>
  <c r="L891" i="4" s="1"/>
  <c r="B892" i="4"/>
  <c r="L892" i="4" s="1"/>
  <c r="B893" i="4"/>
  <c r="L893" i="4" s="1"/>
  <c r="B894" i="4"/>
  <c r="L894" i="4" s="1"/>
  <c r="B895" i="4"/>
  <c r="L895" i="4" s="1"/>
  <c r="B896" i="4"/>
  <c r="L896" i="4" s="1"/>
  <c r="B897" i="4"/>
  <c r="L897" i="4" s="1"/>
  <c r="B898" i="4"/>
  <c r="L898" i="4" s="1"/>
  <c r="B899" i="4"/>
  <c r="L899" i="4" s="1"/>
  <c r="B900" i="4"/>
  <c r="L900" i="4" s="1"/>
  <c r="B901" i="4"/>
  <c r="L901" i="4" s="1"/>
  <c r="B902" i="4"/>
  <c r="L902" i="4" s="1"/>
  <c r="B903" i="4"/>
  <c r="L903" i="4" s="1"/>
  <c r="B904" i="4"/>
  <c r="L904" i="4" s="1"/>
  <c r="B905" i="4"/>
  <c r="L905" i="4" s="1"/>
  <c r="B906" i="4"/>
  <c r="L906" i="4" s="1"/>
  <c r="B907" i="4"/>
  <c r="L907" i="4" s="1"/>
  <c r="B908" i="4"/>
  <c r="L908" i="4" s="1"/>
  <c r="B909" i="4"/>
  <c r="L909" i="4" s="1"/>
  <c r="B910" i="4"/>
  <c r="L910" i="4" s="1"/>
  <c r="B911" i="4"/>
  <c r="L911" i="4" s="1"/>
  <c r="B912" i="4"/>
  <c r="L912" i="4" s="1"/>
  <c r="B913" i="4"/>
  <c r="L913" i="4" s="1"/>
  <c r="B914" i="4"/>
  <c r="L914" i="4" s="1"/>
  <c r="B915" i="4"/>
  <c r="L915" i="4" s="1"/>
  <c r="B916" i="4"/>
  <c r="L916" i="4" s="1"/>
  <c r="B917" i="4"/>
  <c r="L917" i="4" s="1"/>
  <c r="B918" i="4"/>
  <c r="L918" i="4" s="1"/>
  <c r="B919" i="4"/>
  <c r="L919" i="4" s="1"/>
  <c r="B920" i="4"/>
  <c r="L920" i="4" s="1"/>
  <c r="B921" i="4"/>
  <c r="L921" i="4" s="1"/>
  <c r="B922" i="4"/>
  <c r="L922" i="4" s="1"/>
  <c r="B923" i="4"/>
  <c r="L923" i="4" s="1"/>
  <c r="B924" i="4"/>
  <c r="L924" i="4" s="1"/>
  <c r="B925" i="4"/>
  <c r="L925" i="4" s="1"/>
  <c r="B926" i="4"/>
  <c r="L926" i="4" s="1"/>
  <c r="B927" i="4"/>
  <c r="L927" i="4" s="1"/>
  <c r="B928" i="4"/>
  <c r="L928" i="4" s="1"/>
  <c r="B929" i="4"/>
  <c r="L929" i="4" s="1"/>
  <c r="B930" i="4"/>
  <c r="L930" i="4" s="1"/>
  <c r="B931" i="4"/>
  <c r="L931" i="4" s="1"/>
  <c r="B932" i="4"/>
  <c r="L932" i="4" s="1"/>
  <c r="B933" i="4"/>
  <c r="L933" i="4" s="1"/>
  <c r="B934" i="4"/>
  <c r="L934" i="4" s="1"/>
  <c r="B935" i="4"/>
  <c r="L935" i="4" s="1"/>
  <c r="B936" i="4"/>
  <c r="L936" i="4" s="1"/>
  <c r="B937" i="4"/>
  <c r="L937" i="4" s="1"/>
  <c r="B938" i="4"/>
  <c r="L938" i="4" s="1"/>
  <c r="B939" i="4"/>
  <c r="L939" i="4" s="1"/>
  <c r="B940" i="4"/>
  <c r="L940" i="4" s="1"/>
  <c r="B941" i="4"/>
  <c r="L941" i="4" s="1"/>
  <c r="B942" i="4"/>
  <c r="L942" i="4" s="1"/>
  <c r="B943" i="4"/>
  <c r="L943" i="4" s="1"/>
  <c r="B944" i="4"/>
  <c r="L944" i="4" s="1"/>
  <c r="B945" i="4"/>
  <c r="L945" i="4" s="1"/>
  <c r="B946" i="4"/>
  <c r="L946" i="4" s="1"/>
  <c r="B947" i="4"/>
  <c r="L947" i="4" s="1"/>
  <c r="B948" i="4"/>
  <c r="L948" i="4" s="1"/>
  <c r="B949" i="4"/>
  <c r="L949" i="4" s="1"/>
  <c r="B950" i="4"/>
  <c r="L950" i="4" s="1"/>
  <c r="B951" i="4"/>
  <c r="L951" i="4" s="1"/>
  <c r="B952" i="4"/>
  <c r="L952" i="4" s="1"/>
  <c r="B953" i="4"/>
  <c r="L953" i="4" s="1"/>
  <c r="B954" i="4"/>
  <c r="L954" i="4" s="1"/>
  <c r="B955" i="4"/>
  <c r="L955" i="4" s="1"/>
  <c r="B956" i="4"/>
  <c r="L956" i="4" s="1"/>
  <c r="B957" i="4"/>
  <c r="L957" i="4" s="1"/>
  <c r="B958" i="4"/>
  <c r="L958" i="4" s="1"/>
  <c r="B959" i="4"/>
  <c r="L959" i="4" s="1"/>
  <c r="B960" i="4"/>
  <c r="L960" i="4" s="1"/>
  <c r="B961" i="4"/>
  <c r="L961" i="4" s="1"/>
  <c r="B962" i="4"/>
  <c r="L962" i="4" s="1"/>
  <c r="B963" i="4"/>
  <c r="L963" i="4" s="1"/>
  <c r="B964" i="4"/>
  <c r="L964" i="4" s="1"/>
  <c r="B965" i="4"/>
  <c r="L965" i="4" s="1"/>
  <c r="B966" i="4"/>
  <c r="L966" i="4" s="1"/>
  <c r="B967" i="4"/>
  <c r="L967" i="4" s="1"/>
  <c r="B968" i="4"/>
  <c r="L968" i="4" s="1"/>
  <c r="B969" i="4"/>
  <c r="L969" i="4" s="1"/>
  <c r="B970" i="4"/>
  <c r="L970" i="4" s="1"/>
  <c r="B971" i="4"/>
  <c r="L971" i="4" s="1"/>
  <c r="B972" i="4"/>
  <c r="L972" i="4" s="1"/>
  <c r="B973" i="4"/>
  <c r="L973" i="4" s="1"/>
  <c r="B974" i="4"/>
  <c r="L974" i="4" s="1"/>
  <c r="B975" i="4"/>
  <c r="L975" i="4" s="1"/>
  <c r="B976" i="4"/>
  <c r="L976" i="4" s="1"/>
  <c r="B977" i="4"/>
  <c r="L977" i="4" s="1"/>
  <c r="B978" i="4"/>
  <c r="L978" i="4" s="1"/>
  <c r="B979" i="4"/>
  <c r="L979" i="4" s="1"/>
  <c r="B980" i="4"/>
  <c r="L980" i="4" s="1"/>
  <c r="B981" i="4"/>
  <c r="L981" i="4" s="1"/>
  <c r="B982" i="4"/>
  <c r="L982" i="4" s="1"/>
  <c r="B983" i="4"/>
  <c r="L983" i="4" s="1"/>
  <c r="B984" i="4"/>
  <c r="L984" i="4" s="1"/>
  <c r="B985" i="4"/>
  <c r="L985" i="4" s="1"/>
  <c r="B986" i="4"/>
  <c r="L986" i="4" s="1"/>
  <c r="B987" i="4"/>
  <c r="L987" i="4" s="1"/>
  <c r="B988" i="4"/>
  <c r="L988" i="4" s="1"/>
  <c r="B989" i="4"/>
  <c r="L989" i="4" s="1"/>
  <c r="B990" i="4"/>
  <c r="L990" i="4" s="1"/>
  <c r="B991" i="4"/>
  <c r="L991" i="4" s="1"/>
  <c r="B992" i="4"/>
  <c r="L992" i="4" s="1"/>
  <c r="B993" i="4"/>
  <c r="L993" i="4" s="1"/>
  <c r="B994" i="4"/>
  <c r="L994" i="4" s="1"/>
  <c r="B995" i="4"/>
  <c r="L995" i="4" s="1"/>
  <c r="B996" i="4"/>
  <c r="L996" i="4" s="1"/>
  <c r="B997" i="4"/>
  <c r="L997" i="4" s="1"/>
  <c r="B998" i="4"/>
  <c r="L998" i="4" s="1"/>
  <c r="B999" i="4"/>
  <c r="L999" i="4" s="1"/>
  <c r="B1000" i="4"/>
  <c r="L1000" i="4" s="1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B187" i="4"/>
  <c r="L187" i="4" s="1"/>
  <c r="B188" i="4"/>
  <c r="L188" i="4" s="1"/>
  <c r="B189" i="4"/>
  <c r="L189" i="4" s="1"/>
  <c r="B190" i="4"/>
  <c r="L190" i="4" s="1"/>
  <c r="B191" i="4"/>
  <c r="L191" i="4" s="1"/>
  <c r="B192" i="4"/>
  <c r="L192" i="4" s="1"/>
  <c r="B193" i="4"/>
  <c r="L193" i="4" s="1"/>
  <c r="B194" i="4"/>
  <c r="L194" i="4" s="1"/>
  <c r="B195" i="4"/>
  <c r="L195" i="4" s="1"/>
  <c r="B196" i="4"/>
  <c r="L196" i="4" s="1"/>
  <c r="B197" i="4"/>
  <c r="L197" i="4" s="1"/>
  <c r="B198" i="4"/>
  <c r="L198" i="4" s="1"/>
  <c r="B199" i="4"/>
  <c r="L199" i="4" s="1"/>
  <c r="B200" i="4"/>
  <c r="L200" i="4" s="1"/>
  <c r="B201" i="4"/>
  <c r="L201" i="4" s="1"/>
  <c r="B202" i="4"/>
  <c r="L202" i="4" s="1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B171" i="4"/>
  <c r="L171" i="4" s="1"/>
  <c r="B172" i="4"/>
  <c r="L172" i="4" s="1"/>
  <c r="B173" i="4"/>
  <c r="L173" i="4" s="1"/>
  <c r="B174" i="4"/>
  <c r="L174" i="4" s="1"/>
  <c r="B175" i="4"/>
  <c r="L175" i="4" s="1"/>
  <c r="B176" i="4"/>
  <c r="L176" i="4" s="1"/>
  <c r="B177" i="4"/>
  <c r="L177" i="4" s="1"/>
  <c r="B178" i="4"/>
  <c r="L178" i="4" s="1"/>
  <c r="B179" i="4"/>
  <c r="L179" i="4" s="1"/>
  <c r="B180" i="4"/>
  <c r="L180" i="4" s="1"/>
  <c r="B181" i="4"/>
  <c r="L181" i="4" s="1"/>
  <c r="B182" i="4"/>
  <c r="L182" i="4" s="1"/>
  <c r="B183" i="4"/>
  <c r="L183" i="4" s="1"/>
  <c r="B184" i="4"/>
  <c r="L184" i="4" s="1"/>
  <c r="B185" i="4"/>
  <c r="L185" i="4" s="1"/>
  <c r="B186" i="4"/>
  <c r="L186" i="4" s="1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B151" i="4"/>
  <c r="L151" i="4" s="1"/>
  <c r="B152" i="4"/>
  <c r="L152" i="4" s="1"/>
  <c r="B153" i="4"/>
  <c r="L153" i="4" s="1"/>
  <c r="B154" i="4"/>
  <c r="L154" i="4" s="1"/>
  <c r="B155" i="4"/>
  <c r="L155" i="4" s="1"/>
  <c r="B156" i="4"/>
  <c r="L156" i="4" s="1"/>
  <c r="B157" i="4"/>
  <c r="L157" i="4" s="1"/>
  <c r="B158" i="4"/>
  <c r="L158" i="4" s="1"/>
  <c r="B159" i="4"/>
  <c r="L159" i="4" s="1"/>
  <c r="B160" i="4"/>
  <c r="L160" i="4" s="1"/>
  <c r="B161" i="4"/>
  <c r="L161" i="4" s="1"/>
  <c r="B162" i="4"/>
  <c r="L162" i="4" s="1"/>
  <c r="B163" i="4"/>
  <c r="L163" i="4" s="1"/>
  <c r="B164" i="4"/>
  <c r="L164" i="4" s="1"/>
  <c r="B165" i="4"/>
  <c r="L165" i="4" s="1"/>
  <c r="B166" i="4"/>
  <c r="L166" i="4" s="1"/>
  <c r="B167" i="4"/>
  <c r="L167" i="4" s="1"/>
  <c r="B168" i="4"/>
  <c r="L168" i="4" s="1"/>
  <c r="B169" i="4"/>
  <c r="L169" i="4" s="1"/>
  <c r="B170" i="4"/>
  <c r="L170" i="4" s="1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B138" i="4"/>
  <c r="L138" i="4" s="1"/>
  <c r="B139" i="4"/>
  <c r="L139" i="4" s="1"/>
  <c r="B140" i="4"/>
  <c r="L140" i="4" s="1"/>
  <c r="B141" i="4"/>
  <c r="L141" i="4" s="1"/>
  <c r="B142" i="4"/>
  <c r="L142" i="4" s="1"/>
  <c r="B143" i="4"/>
  <c r="L143" i="4" s="1"/>
  <c r="B144" i="4"/>
  <c r="L144" i="4" s="1"/>
  <c r="B145" i="4"/>
  <c r="L145" i="4" s="1"/>
  <c r="B146" i="4"/>
  <c r="L146" i="4" s="1"/>
  <c r="B147" i="4"/>
  <c r="L147" i="4" s="1"/>
  <c r="B148" i="4"/>
  <c r="L148" i="4" s="1"/>
  <c r="B149" i="4"/>
  <c r="L149" i="4" s="1"/>
  <c r="B150" i="4"/>
  <c r="L150" i="4" s="1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B123" i="4"/>
  <c r="L123" i="4" s="1"/>
  <c r="B124" i="4"/>
  <c r="L124" i="4" s="1"/>
  <c r="B125" i="4"/>
  <c r="L125" i="4" s="1"/>
  <c r="B126" i="4"/>
  <c r="L126" i="4" s="1"/>
  <c r="B127" i="4"/>
  <c r="L127" i="4" s="1"/>
  <c r="B128" i="4"/>
  <c r="L128" i="4" s="1"/>
  <c r="B129" i="4"/>
  <c r="L129" i="4" s="1"/>
  <c r="B130" i="4"/>
  <c r="L130" i="4" s="1"/>
  <c r="B131" i="4"/>
  <c r="L131" i="4" s="1"/>
  <c r="B132" i="4"/>
  <c r="L132" i="4" s="1"/>
  <c r="B133" i="4"/>
  <c r="L133" i="4" s="1"/>
  <c r="B134" i="4"/>
  <c r="L134" i="4" s="1"/>
  <c r="B135" i="4"/>
  <c r="L135" i="4" s="1"/>
  <c r="B136" i="4"/>
  <c r="L136" i="4" s="1"/>
  <c r="B137" i="4"/>
  <c r="L137" i="4" s="1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B109" i="4"/>
  <c r="L109" i="4" s="1"/>
  <c r="B110" i="4"/>
  <c r="L110" i="4" s="1"/>
  <c r="B111" i="4"/>
  <c r="L111" i="4" s="1"/>
  <c r="B112" i="4"/>
  <c r="L112" i="4" s="1"/>
  <c r="B113" i="4"/>
  <c r="L113" i="4" s="1"/>
  <c r="B114" i="4"/>
  <c r="L114" i="4" s="1"/>
  <c r="B115" i="4"/>
  <c r="L115" i="4" s="1"/>
  <c r="B116" i="4"/>
  <c r="L116" i="4" s="1"/>
  <c r="B117" i="4"/>
  <c r="L117" i="4" s="1"/>
  <c r="B118" i="4"/>
  <c r="L118" i="4" s="1"/>
  <c r="B119" i="4"/>
  <c r="L119" i="4" s="1"/>
  <c r="B120" i="4"/>
  <c r="L120" i="4" s="1"/>
  <c r="B121" i="4"/>
  <c r="L121" i="4" s="1"/>
  <c r="B122" i="4"/>
  <c r="L122" i="4" s="1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B95" i="4"/>
  <c r="L95" i="4" s="1"/>
  <c r="B96" i="4"/>
  <c r="L96" i="4" s="1"/>
  <c r="B97" i="4"/>
  <c r="L97" i="4" s="1"/>
  <c r="B98" i="4"/>
  <c r="L98" i="4" s="1"/>
  <c r="B99" i="4"/>
  <c r="L99" i="4" s="1"/>
  <c r="B100" i="4"/>
  <c r="L100" i="4" s="1"/>
  <c r="B101" i="4"/>
  <c r="L101" i="4" s="1"/>
  <c r="B102" i="4"/>
  <c r="L102" i="4" s="1"/>
  <c r="B103" i="4"/>
  <c r="L103" i="4" s="1"/>
  <c r="B104" i="4"/>
  <c r="L104" i="4" s="1"/>
  <c r="B105" i="4"/>
  <c r="L105" i="4" s="1"/>
  <c r="B106" i="4"/>
  <c r="L106" i="4" s="1"/>
  <c r="B107" i="4"/>
  <c r="L107" i="4" s="1"/>
  <c r="B108" i="4"/>
  <c r="L108" i="4" s="1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B77" i="4"/>
  <c r="L77" i="4" s="1"/>
  <c r="B78" i="4"/>
  <c r="L78" i="4" s="1"/>
  <c r="B79" i="4"/>
  <c r="L79" i="4" s="1"/>
  <c r="B80" i="4"/>
  <c r="L80" i="4" s="1"/>
  <c r="B81" i="4"/>
  <c r="L81" i="4" s="1"/>
  <c r="B82" i="4"/>
  <c r="L82" i="4" s="1"/>
  <c r="B83" i="4"/>
  <c r="L83" i="4" s="1"/>
  <c r="B84" i="4"/>
  <c r="L84" i="4" s="1"/>
  <c r="B85" i="4"/>
  <c r="L85" i="4" s="1"/>
  <c r="B86" i="4"/>
  <c r="L86" i="4" s="1"/>
  <c r="B87" i="4"/>
  <c r="L87" i="4" s="1"/>
  <c r="B88" i="4"/>
  <c r="L88" i="4" s="1"/>
  <c r="B89" i="4"/>
  <c r="L89" i="4" s="1"/>
  <c r="B90" i="4"/>
  <c r="L90" i="4" s="1"/>
  <c r="B91" i="4"/>
  <c r="L91" i="4" s="1"/>
  <c r="B92" i="4"/>
  <c r="L92" i="4" s="1"/>
  <c r="B93" i="4"/>
  <c r="L93" i="4" s="1"/>
  <c r="B94" i="4"/>
  <c r="L94" i="4" s="1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B57" i="4"/>
  <c r="L57" i="4" s="1"/>
  <c r="B58" i="4"/>
  <c r="L58" i="4" s="1"/>
  <c r="B59" i="4"/>
  <c r="L59" i="4" s="1"/>
  <c r="B60" i="4"/>
  <c r="L60" i="4" s="1"/>
  <c r="B61" i="4"/>
  <c r="L61" i="4" s="1"/>
  <c r="B62" i="4"/>
  <c r="L62" i="4" s="1"/>
  <c r="B63" i="4"/>
  <c r="L63" i="4" s="1"/>
  <c r="B64" i="4"/>
  <c r="L64" i="4" s="1"/>
  <c r="B65" i="4"/>
  <c r="L65" i="4" s="1"/>
  <c r="B66" i="4"/>
  <c r="L66" i="4" s="1"/>
  <c r="B67" i="4"/>
  <c r="L67" i="4" s="1"/>
  <c r="B68" i="4"/>
  <c r="L68" i="4" s="1"/>
  <c r="B69" i="4"/>
  <c r="L69" i="4" s="1"/>
  <c r="B70" i="4"/>
  <c r="L70" i="4" s="1"/>
  <c r="B71" i="4"/>
  <c r="L71" i="4" s="1"/>
  <c r="B72" i="4"/>
  <c r="L72" i="4" s="1"/>
  <c r="B73" i="4"/>
  <c r="L73" i="4" s="1"/>
  <c r="B74" i="4"/>
  <c r="L74" i="4" s="1"/>
  <c r="B75" i="4"/>
  <c r="L75" i="4" s="1"/>
  <c r="B76" i="4"/>
  <c r="L76" i="4" s="1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B32" i="4"/>
  <c r="L32" i="4" s="1"/>
  <c r="B33" i="4"/>
  <c r="L33" i="4" s="1"/>
  <c r="B34" i="4"/>
  <c r="L34" i="4" s="1"/>
  <c r="B35" i="4"/>
  <c r="L35" i="4" s="1"/>
  <c r="B36" i="4"/>
  <c r="L36" i="4" s="1"/>
  <c r="B37" i="4"/>
  <c r="L37" i="4" s="1"/>
  <c r="B38" i="4"/>
  <c r="L38" i="4" s="1"/>
  <c r="B39" i="4"/>
  <c r="L39" i="4" s="1"/>
  <c r="B40" i="4"/>
  <c r="L40" i="4" s="1"/>
  <c r="B41" i="4"/>
  <c r="L41" i="4" s="1"/>
  <c r="B42" i="4"/>
  <c r="L42" i="4" s="1"/>
  <c r="B43" i="4"/>
  <c r="L43" i="4" s="1"/>
  <c r="B44" i="4"/>
  <c r="L44" i="4" s="1"/>
  <c r="B45" i="4"/>
  <c r="L45" i="4" s="1"/>
  <c r="B46" i="4"/>
  <c r="L46" i="4" s="1"/>
  <c r="B47" i="4"/>
  <c r="L47" i="4" s="1"/>
  <c r="B48" i="4"/>
  <c r="L48" i="4" s="1"/>
  <c r="B49" i="4"/>
  <c r="L49" i="4" s="1"/>
  <c r="B50" i="4"/>
  <c r="L50" i="4" s="1"/>
  <c r="B51" i="4"/>
  <c r="L51" i="4" s="1"/>
  <c r="B52" i="4"/>
  <c r="L52" i="4" s="1"/>
  <c r="B53" i="4"/>
  <c r="L53" i="4" s="1"/>
  <c r="B54" i="4"/>
  <c r="L54" i="4" s="1"/>
  <c r="B55" i="4"/>
  <c r="L55" i="4" s="1"/>
  <c r="B56" i="4"/>
  <c r="L56" i="4" s="1"/>
  <c r="C20" i="4"/>
  <c r="C21" i="4"/>
  <c r="C22" i="4"/>
  <c r="C23" i="4"/>
  <c r="C24" i="4"/>
  <c r="C25" i="4"/>
  <c r="C26" i="4"/>
  <c r="C27" i="4"/>
  <c r="C28" i="4"/>
  <c r="C29" i="4"/>
  <c r="C30" i="4"/>
  <c r="C31" i="4"/>
  <c r="D20" i="4"/>
  <c r="D21" i="4"/>
  <c r="D22" i="4"/>
  <c r="D23" i="4"/>
  <c r="D24" i="4"/>
  <c r="D25" i="4"/>
  <c r="D26" i="4"/>
  <c r="D27" i="4"/>
  <c r="D28" i="4"/>
  <c r="D29" i="4"/>
  <c r="D30" i="4"/>
  <c r="D31" i="4"/>
  <c r="E20" i="4"/>
  <c r="E21" i="4"/>
  <c r="E22" i="4"/>
  <c r="E23" i="4"/>
  <c r="E24" i="4"/>
  <c r="E25" i="4"/>
  <c r="E26" i="4"/>
  <c r="E27" i="4"/>
  <c r="E28" i="4"/>
  <c r="E29" i="4"/>
  <c r="E30" i="4"/>
  <c r="E31" i="4"/>
  <c r="F20" i="4"/>
  <c r="F21" i="4"/>
  <c r="F22" i="4"/>
  <c r="F23" i="4"/>
  <c r="F24" i="4"/>
  <c r="F25" i="4"/>
  <c r="F26" i="4"/>
  <c r="F27" i="4"/>
  <c r="F28" i="4"/>
  <c r="F29" i="4"/>
  <c r="F30" i="4"/>
  <c r="F31" i="4"/>
  <c r="G20" i="4"/>
  <c r="G21" i="4"/>
  <c r="G22" i="4"/>
  <c r="G23" i="4"/>
  <c r="G24" i="4"/>
  <c r="G25" i="4"/>
  <c r="G26" i="4"/>
  <c r="G27" i="4"/>
  <c r="G28" i="4"/>
  <c r="G29" i="4"/>
  <c r="G30" i="4"/>
  <c r="G31" i="4"/>
  <c r="H20" i="4"/>
  <c r="H21" i="4"/>
  <c r="H22" i="4"/>
  <c r="H23" i="4"/>
  <c r="H24" i="4"/>
  <c r="H25" i="4"/>
  <c r="H26" i="4"/>
  <c r="H27" i="4"/>
  <c r="H28" i="4"/>
  <c r="H29" i="4"/>
  <c r="H30" i="4"/>
  <c r="H31" i="4"/>
  <c r="I20" i="4"/>
  <c r="I21" i="4"/>
  <c r="I22" i="4"/>
  <c r="I23" i="4"/>
  <c r="I24" i="4"/>
  <c r="I25" i="4"/>
  <c r="I26" i="4"/>
  <c r="I27" i="4"/>
  <c r="I28" i="4"/>
  <c r="I29" i="4"/>
  <c r="I30" i="4"/>
  <c r="I31" i="4"/>
  <c r="J20" i="4"/>
  <c r="J21" i="4"/>
  <c r="J22" i="4"/>
  <c r="J23" i="4"/>
  <c r="J24" i="4"/>
  <c r="J25" i="4"/>
  <c r="J26" i="4"/>
  <c r="J27" i="4"/>
  <c r="J28" i="4"/>
  <c r="J29" i="4"/>
  <c r="J30" i="4"/>
  <c r="J31" i="4"/>
  <c r="K20" i="4"/>
  <c r="K21" i="4"/>
  <c r="K22" i="4"/>
  <c r="K23" i="4"/>
  <c r="K24" i="4"/>
  <c r="K25" i="4"/>
  <c r="K26" i="4"/>
  <c r="K27" i="4"/>
  <c r="K28" i="4"/>
  <c r="K29" i="4"/>
  <c r="K30" i="4"/>
  <c r="K31" i="4"/>
  <c r="B20" i="4"/>
  <c r="L20" i="4" s="1"/>
  <c r="B21" i="4"/>
  <c r="L21" i="4" s="1"/>
  <c r="B22" i="4"/>
  <c r="L22" i="4" s="1"/>
  <c r="B23" i="4"/>
  <c r="L23" i="4" s="1"/>
  <c r="B24" i="4"/>
  <c r="L24" i="4" s="1"/>
  <c r="B25" i="4"/>
  <c r="L25" i="4" s="1"/>
  <c r="B26" i="4"/>
  <c r="L26" i="4" s="1"/>
  <c r="B27" i="4"/>
  <c r="L27" i="4" s="1"/>
  <c r="B28" i="4"/>
  <c r="L28" i="4" s="1"/>
  <c r="B29" i="4"/>
  <c r="L29" i="4" s="1"/>
  <c r="B30" i="4"/>
  <c r="L30" i="4" s="1"/>
  <c r="B31" i="4"/>
  <c r="L31" i="4" s="1"/>
  <c r="A1" i="9" a="1"/>
  <c r="A1" i="9" s="1"/>
  <c r="B3" i="4" s="1"/>
  <c r="A1" i="7" a="1"/>
  <c r="H19" i="4" l="1"/>
  <c r="G19" i="4"/>
  <c r="F19" i="4"/>
  <c r="E19" i="4"/>
  <c r="D19" i="4"/>
  <c r="C19" i="4"/>
  <c r="B19" i="4"/>
  <c r="K19" i="4"/>
  <c r="J19" i="4"/>
  <c r="I19" i="4"/>
  <c r="I17" i="4"/>
  <c r="I16" i="4"/>
  <c r="E18" i="4"/>
  <c r="E17" i="4"/>
  <c r="K18" i="4"/>
  <c r="E16" i="4"/>
  <c r="I15" i="4"/>
  <c r="E15" i="4"/>
  <c r="J18" i="4"/>
  <c r="D18" i="4"/>
  <c r="K16" i="4"/>
  <c r="G16" i="4"/>
  <c r="C16" i="4"/>
  <c r="K15" i="4"/>
  <c r="G15" i="4"/>
  <c r="C15" i="4"/>
  <c r="G18" i="4"/>
  <c r="J17" i="4"/>
  <c r="F17" i="4"/>
  <c r="J16" i="4"/>
  <c r="F16" i="4"/>
  <c r="B18" i="4"/>
  <c r="F18" i="4"/>
  <c r="K17" i="4"/>
  <c r="G17" i="4"/>
  <c r="C17" i="4"/>
  <c r="J15" i="4"/>
  <c r="F15" i="4"/>
  <c r="B16" i="4"/>
  <c r="H16" i="4"/>
  <c r="D16" i="4"/>
  <c r="I18" i="4"/>
  <c r="C18" i="4"/>
  <c r="C480" i="3"/>
  <c r="C492" i="3"/>
  <c r="C504" i="3"/>
  <c r="C516" i="3"/>
  <c r="D482" i="3"/>
  <c r="D494" i="3"/>
  <c r="D506" i="3"/>
  <c r="D518" i="3"/>
  <c r="E484" i="3"/>
  <c r="E496" i="3"/>
  <c r="E508" i="3"/>
  <c r="F486" i="3"/>
  <c r="F498" i="3"/>
  <c r="F510" i="3"/>
  <c r="G476" i="3"/>
  <c r="G488" i="3"/>
  <c r="G500" i="3"/>
  <c r="G512" i="3"/>
  <c r="H478" i="3"/>
  <c r="H490" i="3"/>
  <c r="H502" i="3"/>
  <c r="H514" i="3"/>
  <c r="I480" i="3"/>
  <c r="I492" i="3"/>
  <c r="I504" i="3"/>
  <c r="I516" i="3"/>
  <c r="J482" i="3"/>
  <c r="J494" i="3"/>
  <c r="J506" i="3"/>
  <c r="J518" i="3"/>
  <c r="K484" i="3"/>
  <c r="K496" i="3"/>
  <c r="K508" i="3"/>
  <c r="C481" i="3"/>
  <c r="C493" i="3"/>
  <c r="C505" i="3"/>
  <c r="C517" i="3"/>
  <c r="D483" i="3"/>
  <c r="D495" i="3"/>
  <c r="D507" i="3"/>
  <c r="D519" i="3"/>
  <c r="E485" i="3"/>
  <c r="E497" i="3"/>
  <c r="E509" i="3"/>
  <c r="F475" i="3"/>
  <c r="F487" i="3"/>
  <c r="F499" i="3"/>
  <c r="F511" i="3"/>
  <c r="G477" i="3"/>
  <c r="G489" i="3"/>
  <c r="G501" i="3"/>
  <c r="G513" i="3"/>
  <c r="H479" i="3"/>
  <c r="H491" i="3"/>
  <c r="H503" i="3"/>
  <c r="H515" i="3"/>
  <c r="I481" i="3"/>
  <c r="I493" i="3"/>
  <c r="I505" i="3"/>
  <c r="I517" i="3"/>
  <c r="J483" i="3"/>
  <c r="J495" i="3"/>
  <c r="J507" i="3"/>
  <c r="J519" i="3"/>
  <c r="K485" i="3"/>
  <c r="K497" i="3"/>
  <c r="K509" i="3"/>
  <c r="C482" i="3"/>
  <c r="C494" i="3"/>
  <c r="C506" i="3"/>
  <c r="C518" i="3"/>
  <c r="D484" i="3"/>
  <c r="D496" i="3"/>
  <c r="D508" i="3"/>
  <c r="E486" i="3"/>
  <c r="E498" i="3"/>
  <c r="E510" i="3"/>
  <c r="F476" i="3"/>
  <c r="F488" i="3"/>
  <c r="F500" i="3"/>
  <c r="F512" i="3"/>
  <c r="G478" i="3"/>
  <c r="G490" i="3"/>
  <c r="G502" i="3"/>
  <c r="G514" i="3"/>
  <c r="H480" i="3"/>
  <c r="H492" i="3"/>
  <c r="H504" i="3"/>
  <c r="H516" i="3"/>
  <c r="I482" i="3"/>
  <c r="I494" i="3"/>
  <c r="I506" i="3"/>
  <c r="I518" i="3"/>
  <c r="J484" i="3"/>
  <c r="J496" i="3"/>
  <c r="J508" i="3"/>
  <c r="K486" i="3"/>
  <c r="K498" i="3"/>
  <c r="K510" i="3"/>
  <c r="C483" i="3"/>
  <c r="C495" i="3"/>
  <c r="C507" i="3"/>
  <c r="C519" i="3"/>
  <c r="D485" i="3"/>
  <c r="D497" i="3"/>
  <c r="D509" i="3"/>
  <c r="E475" i="3"/>
  <c r="E487" i="3"/>
  <c r="E499" i="3"/>
  <c r="E511" i="3"/>
  <c r="F477" i="3"/>
  <c r="F489" i="3"/>
  <c r="F501" i="3"/>
  <c r="F513" i="3"/>
  <c r="G479" i="3"/>
  <c r="G491" i="3"/>
  <c r="G503" i="3"/>
  <c r="G515" i="3"/>
  <c r="H481" i="3"/>
  <c r="H493" i="3"/>
  <c r="H505" i="3"/>
  <c r="H517" i="3"/>
  <c r="I483" i="3"/>
  <c r="I495" i="3"/>
  <c r="I507" i="3"/>
  <c r="I519" i="3"/>
  <c r="J485" i="3"/>
  <c r="J497" i="3"/>
  <c r="J509" i="3"/>
  <c r="K475" i="3"/>
  <c r="K487" i="3"/>
  <c r="K499" i="3"/>
  <c r="K511" i="3"/>
  <c r="C484" i="3"/>
  <c r="C496" i="3"/>
  <c r="C508" i="3"/>
  <c r="D486" i="3"/>
  <c r="D498" i="3"/>
  <c r="D510" i="3"/>
  <c r="E476" i="3"/>
  <c r="E488" i="3"/>
  <c r="E500" i="3"/>
  <c r="E512" i="3"/>
  <c r="F478" i="3"/>
  <c r="F490" i="3"/>
  <c r="F502" i="3"/>
  <c r="F514" i="3"/>
  <c r="G480" i="3"/>
  <c r="G492" i="3"/>
  <c r="G504" i="3"/>
  <c r="G516" i="3"/>
  <c r="H482" i="3"/>
  <c r="H494" i="3"/>
  <c r="H506" i="3"/>
  <c r="H518" i="3"/>
  <c r="I484" i="3"/>
  <c r="I496" i="3"/>
  <c r="I508" i="3"/>
  <c r="J486" i="3"/>
  <c r="J498" i="3"/>
  <c r="J510" i="3"/>
  <c r="K476" i="3"/>
  <c r="K488" i="3"/>
  <c r="K500" i="3"/>
  <c r="K512" i="3"/>
  <c r="C485" i="3"/>
  <c r="C497" i="3"/>
  <c r="C509" i="3"/>
  <c r="D475" i="3"/>
  <c r="D487" i="3"/>
  <c r="D499" i="3"/>
  <c r="D511" i="3"/>
  <c r="E477" i="3"/>
  <c r="E489" i="3"/>
  <c r="E501" i="3"/>
  <c r="E513" i="3"/>
  <c r="F479" i="3"/>
  <c r="F491" i="3"/>
  <c r="F503" i="3"/>
  <c r="F515" i="3"/>
  <c r="G481" i="3"/>
  <c r="G493" i="3"/>
  <c r="G505" i="3"/>
  <c r="G517" i="3"/>
  <c r="H483" i="3"/>
  <c r="H495" i="3"/>
  <c r="H507" i="3"/>
  <c r="H519" i="3"/>
  <c r="I485" i="3"/>
  <c r="I497" i="3"/>
  <c r="I509" i="3"/>
  <c r="J475" i="3"/>
  <c r="J487" i="3"/>
  <c r="J499" i="3"/>
  <c r="J511" i="3"/>
  <c r="K477" i="3"/>
  <c r="K489" i="3"/>
  <c r="K501" i="3"/>
  <c r="K513" i="3"/>
  <c r="C486" i="3"/>
  <c r="C498" i="3"/>
  <c r="C510" i="3"/>
  <c r="D476" i="3"/>
  <c r="D488" i="3"/>
  <c r="D500" i="3"/>
  <c r="D512" i="3"/>
  <c r="E478" i="3"/>
  <c r="E490" i="3"/>
  <c r="E502" i="3"/>
  <c r="E514" i="3"/>
  <c r="F480" i="3"/>
  <c r="F492" i="3"/>
  <c r="F504" i="3"/>
  <c r="F516" i="3"/>
  <c r="G482" i="3"/>
  <c r="G494" i="3"/>
  <c r="G506" i="3"/>
  <c r="G518" i="3"/>
  <c r="H484" i="3"/>
  <c r="H496" i="3"/>
  <c r="H508" i="3"/>
  <c r="I486" i="3"/>
  <c r="I498" i="3"/>
  <c r="I510" i="3"/>
  <c r="J476" i="3"/>
  <c r="J488" i="3"/>
  <c r="J500" i="3"/>
  <c r="J512" i="3"/>
  <c r="K478" i="3"/>
  <c r="K490" i="3"/>
  <c r="K502" i="3"/>
  <c r="K514" i="3"/>
  <c r="C475" i="3"/>
  <c r="C487" i="3"/>
  <c r="C499" i="3"/>
  <c r="C511" i="3"/>
  <c r="D477" i="3"/>
  <c r="D489" i="3"/>
  <c r="D501" i="3"/>
  <c r="D513" i="3"/>
  <c r="E479" i="3"/>
  <c r="E491" i="3"/>
  <c r="E503" i="3"/>
  <c r="E515" i="3"/>
  <c r="F481" i="3"/>
  <c r="F493" i="3"/>
  <c r="F505" i="3"/>
  <c r="F517" i="3"/>
  <c r="G483" i="3"/>
  <c r="G495" i="3"/>
  <c r="G507" i="3"/>
  <c r="G519" i="3"/>
  <c r="H485" i="3"/>
  <c r="H497" i="3"/>
  <c r="H509" i="3"/>
  <c r="I475" i="3"/>
  <c r="I487" i="3"/>
  <c r="I499" i="3"/>
  <c r="I511" i="3"/>
  <c r="J477" i="3"/>
  <c r="J489" i="3"/>
  <c r="J501" i="3"/>
  <c r="J513" i="3"/>
  <c r="K479" i="3"/>
  <c r="K491" i="3"/>
  <c r="K503" i="3"/>
  <c r="K515" i="3"/>
  <c r="C476" i="3"/>
  <c r="C488" i="3"/>
  <c r="C500" i="3"/>
  <c r="C512" i="3"/>
  <c r="D478" i="3"/>
  <c r="D490" i="3"/>
  <c r="D502" i="3"/>
  <c r="D514" i="3"/>
  <c r="E480" i="3"/>
  <c r="E492" i="3"/>
  <c r="E504" i="3"/>
  <c r="E516" i="3"/>
  <c r="F482" i="3"/>
  <c r="F494" i="3"/>
  <c r="F506" i="3"/>
  <c r="F518" i="3"/>
  <c r="G484" i="3"/>
  <c r="G496" i="3"/>
  <c r="G508" i="3"/>
  <c r="H486" i="3"/>
  <c r="H498" i="3"/>
  <c r="H510" i="3"/>
  <c r="I476" i="3"/>
  <c r="I488" i="3"/>
  <c r="I500" i="3"/>
  <c r="I512" i="3"/>
  <c r="J478" i="3"/>
  <c r="J490" i="3"/>
  <c r="J502" i="3"/>
  <c r="J514" i="3"/>
  <c r="K480" i="3"/>
  <c r="K492" i="3"/>
  <c r="K504" i="3"/>
  <c r="K516" i="3"/>
  <c r="C477" i="3"/>
  <c r="C489" i="3"/>
  <c r="C501" i="3"/>
  <c r="C513" i="3"/>
  <c r="D479" i="3"/>
  <c r="D491" i="3"/>
  <c r="D503" i="3"/>
  <c r="D515" i="3"/>
  <c r="E481" i="3"/>
  <c r="E493" i="3"/>
  <c r="E505" i="3"/>
  <c r="E517" i="3"/>
  <c r="F483" i="3"/>
  <c r="F495" i="3"/>
  <c r="F507" i="3"/>
  <c r="F519" i="3"/>
  <c r="G485" i="3"/>
  <c r="G497" i="3"/>
  <c r="G509" i="3"/>
  <c r="H475" i="3"/>
  <c r="H487" i="3"/>
  <c r="H499" i="3"/>
  <c r="H511" i="3"/>
  <c r="I477" i="3"/>
  <c r="I489" i="3"/>
  <c r="I501" i="3"/>
  <c r="I513" i="3"/>
  <c r="J479" i="3"/>
  <c r="J491" i="3"/>
  <c r="J503" i="3"/>
  <c r="J515" i="3"/>
  <c r="K481" i="3"/>
  <c r="K493" i="3"/>
  <c r="K505" i="3"/>
  <c r="K517" i="3"/>
  <c r="C478" i="3"/>
  <c r="C490" i="3"/>
  <c r="C502" i="3"/>
  <c r="C514" i="3"/>
  <c r="D480" i="3"/>
  <c r="D492" i="3"/>
  <c r="D504" i="3"/>
  <c r="D516" i="3"/>
  <c r="E482" i="3"/>
  <c r="E494" i="3"/>
  <c r="E506" i="3"/>
  <c r="E518" i="3"/>
  <c r="F484" i="3"/>
  <c r="F496" i="3"/>
  <c r="F508" i="3"/>
  <c r="G486" i="3"/>
  <c r="G498" i="3"/>
  <c r="G510" i="3"/>
  <c r="H476" i="3"/>
  <c r="H488" i="3"/>
  <c r="H500" i="3"/>
  <c r="H512" i="3"/>
  <c r="I478" i="3"/>
  <c r="I490" i="3"/>
  <c r="I502" i="3"/>
  <c r="I514" i="3"/>
  <c r="J480" i="3"/>
  <c r="J492" i="3"/>
  <c r="J504" i="3"/>
  <c r="J516" i="3"/>
  <c r="K482" i="3"/>
  <c r="K494" i="3"/>
  <c r="K506" i="3"/>
  <c r="K518" i="3"/>
  <c r="C479" i="3"/>
  <c r="C491" i="3"/>
  <c r="C503" i="3"/>
  <c r="C515" i="3"/>
  <c r="D481" i="3"/>
  <c r="D493" i="3"/>
  <c r="D505" i="3"/>
  <c r="D517" i="3"/>
  <c r="E483" i="3"/>
  <c r="E495" i="3"/>
  <c r="E507" i="3"/>
  <c r="E519" i="3"/>
  <c r="F485" i="3"/>
  <c r="F497" i="3"/>
  <c r="F509" i="3"/>
  <c r="G475" i="3"/>
  <c r="G487" i="3"/>
  <c r="G499" i="3"/>
  <c r="G511" i="3"/>
  <c r="H477" i="3"/>
  <c r="H489" i="3"/>
  <c r="H501" i="3"/>
  <c r="H513" i="3"/>
  <c r="I479" i="3"/>
  <c r="I491" i="3"/>
  <c r="I503" i="3"/>
  <c r="I515" i="3"/>
  <c r="J481" i="3"/>
  <c r="J493" i="3"/>
  <c r="J505" i="3"/>
  <c r="J517" i="3"/>
  <c r="K483" i="3"/>
  <c r="K495" i="3"/>
  <c r="K507" i="3"/>
  <c r="K519" i="3"/>
  <c r="B17" i="4"/>
  <c r="H17" i="4"/>
  <c r="D17" i="4"/>
  <c r="B15" i="4"/>
  <c r="H15" i="4"/>
  <c r="D15" i="4"/>
  <c r="H18" i="4"/>
  <c r="B12" i="4"/>
  <c r="K14" i="4"/>
  <c r="I12" i="4"/>
  <c r="G14" i="4"/>
  <c r="C14" i="4"/>
  <c r="J13" i="4"/>
  <c r="H11" i="4"/>
  <c r="F13" i="4"/>
  <c r="E12" i="4"/>
  <c r="D11" i="4"/>
  <c r="E11" i="4"/>
  <c r="B14" i="4"/>
  <c r="K12" i="4"/>
  <c r="J11" i="4"/>
  <c r="I14" i="4"/>
  <c r="H13" i="4"/>
  <c r="G12" i="4"/>
  <c r="F11" i="4"/>
  <c r="E14" i="4"/>
  <c r="D13" i="4"/>
  <c r="C12" i="4"/>
  <c r="B11" i="4"/>
  <c r="K13" i="4"/>
  <c r="J12" i="4"/>
  <c r="I11" i="4"/>
  <c r="H14" i="4"/>
  <c r="G13" i="4"/>
  <c r="F12" i="4"/>
  <c r="D14" i="4"/>
  <c r="C13" i="4"/>
  <c r="B13" i="4"/>
  <c r="K11" i="4"/>
  <c r="J14" i="4"/>
  <c r="I13" i="4"/>
  <c r="H12" i="4"/>
  <c r="G11" i="4"/>
  <c r="F14" i="4"/>
  <c r="E13" i="4"/>
  <c r="D12" i="4"/>
  <c r="C11" i="4"/>
  <c r="C446" i="3"/>
  <c r="C458" i="3"/>
  <c r="C470" i="3"/>
  <c r="D450" i="3"/>
  <c r="D462" i="3"/>
  <c r="D474" i="3"/>
  <c r="E442" i="3"/>
  <c r="E454" i="3"/>
  <c r="E466" i="3"/>
  <c r="F446" i="3"/>
  <c r="F458" i="3"/>
  <c r="F470" i="3"/>
  <c r="G450" i="3"/>
  <c r="G462" i="3"/>
  <c r="G474" i="3"/>
  <c r="H442" i="3"/>
  <c r="H454" i="3"/>
  <c r="H466" i="3"/>
  <c r="I446" i="3"/>
  <c r="I458" i="3"/>
  <c r="I470" i="3"/>
  <c r="J450" i="3"/>
  <c r="J462" i="3"/>
  <c r="J474" i="3"/>
  <c r="K442" i="3"/>
  <c r="K454" i="3"/>
  <c r="K466" i="3"/>
  <c r="C451" i="3"/>
  <c r="C463" i="3"/>
  <c r="D443" i="3"/>
  <c r="D455" i="3"/>
  <c r="D467" i="3"/>
  <c r="E447" i="3"/>
  <c r="E459" i="3"/>
  <c r="E471" i="3"/>
  <c r="F451" i="3"/>
  <c r="F463" i="3"/>
  <c r="G443" i="3"/>
  <c r="G455" i="3"/>
  <c r="G467" i="3"/>
  <c r="H447" i="3"/>
  <c r="H459" i="3"/>
  <c r="H471" i="3"/>
  <c r="I451" i="3"/>
  <c r="I463" i="3"/>
  <c r="J443" i="3"/>
  <c r="J455" i="3"/>
  <c r="J467" i="3"/>
  <c r="K447" i="3"/>
  <c r="K459" i="3"/>
  <c r="K471" i="3"/>
  <c r="C452" i="3"/>
  <c r="C464" i="3"/>
  <c r="D444" i="3"/>
  <c r="D456" i="3"/>
  <c r="D468" i="3"/>
  <c r="E448" i="3"/>
  <c r="E460" i="3"/>
  <c r="E472" i="3"/>
  <c r="F452" i="3"/>
  <c r="F464" i="3"/>
  <c r="G444" i="3"/>
  <c r="G456" i="3"/>
  <c r="G468" i="3"/>
  <c r="H448" i="3"/>
  <c r="H460" i="3"/>
  <c r="H472" i="3"/>
  <c r="I452" i="3"/>
  <c r="I464" i="3"/>
  <c r="J444" i="3"/>
  <c r="J456" i="3"/>
  <c r="J468" i="3"/>
  <c r="K448" i="3"/>
  <c r="K460" i="3"/>
  <c r="K472" i="3"/>
  <c r="C441" i="3"/>
  <c r="C453" i="3"/>
  <c r="C465" i="3"/>
  <c r="D445" i="3"/>
  <c r="D457" i="3"/>
  <c r="D469" i="3"/>
  <c r="E449" i="3"/>
  <c r="E461" i="3"/>
  <c r="E473" i="3"/>
  <c r="F441" i="3"/>
  <c r="C447" i="3"/>
  <c r="C459" i="3"/>
  <c r="C471" i="3"/>
  <c r="D451" i="3"/>
  <c r="D463" i="3"/>
  <c r="E443" i="3"/>
  <c r="E455" i="3"/>
  <c r="E467" i="3"/>
  <c r="F447" i="3"/>
  <c r="F459" i="3"/>
  <c r="F471" i="3"/>
  <c r="G451" i="3"/>
  <c r="G463" i="3"/>
  <c r="H443" i="3"/>
  <c r="H455" i="3"/>
  <c r="H467" i="3"/>
  <c r="I447" i="3"/>
  <c r="I459" i="3"/>
  <c r="I471" i="3"/>
  <c r="J451" i="3"/>
  <c r="J463" i="3"/>
  <c r="K443" i="3"/>
  <c r="K455" i="3"/>
  <c r="K467" i="3"/>
  <c r="C448" i="3"/>
  <c r="C460" i="3"/>
  <c r="C472" i="3"/>
  <c r="D452" i="3"/>
  <c r="D464" i="3"/>
  <c r="E444" i="3"/>
  <c r="E456" i="3"/>
  <c r="E468" i="3"/>
  <c r="F448" i="3"/>
  <c r="F460" i="3"/>
  <c r="F472" i="3"/>
  <c r="G452" i="3"/>
  <c r="G464" i="3"/>
  <c r="H444" i="3"/>
  <c r="H456" i="3"/>
  <c r="H468" i="3"/>
  <c r="I448" i="3"/>
  <c r="I460" i="3"/>
  <c r="I472" i="3"/>
  <c r="J452" i="3"/>
  <c r="J464" i="3"/>
  <c r="K444" i="3"/>
  <c r="K456" i="3"/>
  <c r="K468" i="3"/>
  <c r="C449" i="3"/>
  <c r="C461" i="3"/>
  <c r="C473" i="3"/>
  <c r="D441" i="3"/>
  <c r="D453" i="3"/>
  <c r="D465" i="3"/>
  <c r="E445" i="3"/>
  <c r="E457" i="3"/>
  <c r="E469" i="3"/>
  <c r="F449" i="3"/>
  <c r="F461" i="3"/>
  <c r="F473" i="3"/>
  <c r="G441" i="3"/>
  <c r="G453" i="3"/>
  <c r="G465" i="3"/>
  <c r="H445" i="3"/>
  <c r="H457" i="3"/>
  <c r="H469" i="3"/>
  <c r="I449" i="3"/>
  <c r="I461" i="3"/>
  <c r="I473" i="3"/>
  <c r="J441" i="3"/>
  <c r="J453" i="3"/>
  <c r="J465" i="3"/>
  <c r="K445" i="3"/>
  <c r="K457" i="3"/>
  <c r="K469" i="3"/>
  <c r="C450" i="3"/>
  <c r="C462" i="3"/>
  <c r="C474" i="3"/>
  <c r="D442" i="3"/>
  <c r="D454" i="3"/>
  <c r="D466" i="3"/>
  <c r="E446" i="3"/>
  <c r="E458" i="3"/>
  <c r="E470" i="3"/>
  <c r="F450" i="3"/>
  <c r="F462" i="3"/>
  <c r="F474" i="3"/>
  <c r="G442" i="3"/>
  <c r="G454" i="3"/>
  <c r="G466" i="3"/>
  <c r="H446" i="3"/>
  <c r="H458" i="3"/>
  <c r="H470" i="3"/>
  <c r="I450" i="3"/>
  <c r="I462" i="3"/>
  <c r="I474" i="3"/>
  <c r="J442" i="3"/>
  <c r="J454" i="3"/>
  <c r="J466" i="3"/>
  <c r="K446" i="3"/>
  <c r="K458" i="3"/>
  <c r="K470" i="3"/>
  <c r="C455" i="3"/>
  <c r="D461" i="3"/>
  <c r="E474" i="3"/>
  <c r="F443" i="3"/>
  <c r="F469" i="3"/>
  <c r="G446" i="3"/>
  <c r="G472" i="3"/>
  <c r="H441" i="3"/>
  <c r="H474" i="3"/>
  <c r="I442" i="3"/>
  <c r="I468" i="3"/>
  <c r="J445" i="3"/>
  <c r="J471" i="3"/>
  <c r="K473" i="3"/>
  <c r="C456" i="3"/>
  <c r="D470" i="3"/>
  <c r="F444" i="3"/>
  <c r="G447" i="3"/>
  <c r="G473" i="3"/>
  <c r="H449" i="3"/>
  <c r="I443" i="3"/>
  <c r="I469" i="3"/>
  <c r="J446" i="3"/>
  <c r="J472" i="3"/>
  <c r="K441" i="3"/>
  <c r="K474" i="3"/>
  <c r="C457" i="3"/>
  <c r="D471" i="3"/>
  <c r="F445" i="3"/>
  <c r="G448" i="3"/>
  <c r="H450" i="3"/>
  <c r="I444" i="3"/>
  <c r="J447" i="3"/>
  <c r="J473" i="3"/>
  <c r="K449" i="3"/>
  <c r="C454" i="3"/>
  <c r="D460" i="3"/>
  <c r="E465" i="3"/>
  <c r="F442" i="3"/>
  <c r="F468" i="3"/>
  <c r="G445" i="3"/>
  <c r="G471" i="3"/>
  <c r="H473" i="3"/>
  <c r="I441" i="3"/>
  <c r="I467" i="3"/>
  <c r="J470" i="3"/>
  <c r="K465" i="3"/>
  <c r="C466" i="3"/>
  <c r="D472" i="3"/>
  <c r="E441" i="3"/>
  <c r="F453" i="3"/>
  <c r="G449" i="3"/>
  <c r="H451" i="3"/>
  <c r="I445" i="3"/>
  <c r="J448" i="3"/>
  <c r="K450" i="3"/>
  <c r="C467" i="3"/>
  <c r="D473" i="3"/>
  <c r="E450" i="3"/>
  <c r="F454" i="3"/>
  <c r="G457" i="3"/>
  <c r="H452" i="3"/>
  <c r="I453" i="3"/>
  <c r="J449" i="3"/>
  <c r="K451" i="3"/>
  <c r="C468" i="3"/>
  <c r="D446" i="3"/>
  <c r="E451" i="3"/>
  <c r="F455" i="3"/>
  <c r="G458" i="3"/>
  <c r="H453" i="3"/>
  <c r="I454" i="3"/>
  <c r="J457" i="3"/>
  <c r="K452" i="3"/>
  <c r="C469" i="3"/>
  <c r="D447" i="3"/>
  <c r="E452" i="3"/>
  <c r="F456" i="3"/>
  <c r="G459" i="3"/>
  <c r="H461" i="3"/>
  <c r="I455" i="3"/>
  <c r="J458" i="3"/>
  <c r="K453" i="3"/>
  <c r="C442" i="3"/>
  <c r="D448" i="3"/>
  <c r="E453" i="3"/>
  <c r="F457" i="3"/>
  <c r="G460" i="3"/>
  <c r="H462" i="3"/>
  <c r="I456" i="3"/>
  <c r="J459" i="3"/>
  <c r="K461" i="3"/>
  <c r="C443" i="3"/>
  <c r="D449" i="3"/>
  <c r="E462" i="3"/>
  <c r="F465" i="3"/>
  <c r="G461" i="3"/>
  <c r="H463" i="3"/>
  <c r="I457" i="3"/>
  <c r="J460" i="3"/>
  <c r="K462" i="3"/>
  <c r="C444" i="3"/>
  <c r="D458" i="3"/>
  <c r="E463" i="3"/>
  <c r="F466" i="3"/>
  <c r="G469" i="3"/>
  <c r="H464" i="3"/>
  <c r="I465" i="3"/>
  <c r="J461" i="3"/>
  <c r="K463" i="3"/>
  <c r="C445" i="3"/>
  <c r="D459" i="3"/>
  <c r="E464" i="3"/>
  <c r="F467" i="3"/>
  <c r="G470" i="3"/>
  <c r="H465" i="3"/>
  <c r="I466" i="3"/>
  <c r="J469" i="3"/>
  <c r="K464" i="3"/>
  <c r="A1" i="7"/>
  <c r="C3" i="3"/>
  <c r="C7" i="3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11" i="3"/>
  <c r="C115" i="3"/>
  <c r="C119" i="3"/>
  <c r="C123" i="3"/>
  <c r="C127" i="3"/>
  <c r="C131" i="3"/>
  <c r="C135" i="3"/>
  <c r="C139" i="3"/>
  <c r="C143" i="3"/>
  <c r="C147" i="3"/>
  <c r="C151" i="3"/>
  <c r="C155" i="3"/>
  <c r="C159" i="3"/>
  <c r="C163" i="3"/>
  <c r="C167" i="3"/>
  <c r="C171" i="3"/>
  <c r="C175" i="3"/>
  <c r="C179" i="3"/>
  <c r="C183" i="3"/>
  <c r="C187" i="3"/>
  <c r="C4" i="3"/>
  <c r="C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12" i="3"/>
  <c r="C116" i="3"/>
  <c r="C120" i="3"/>
  <c r="C124" i="3"/>
  <c r="C128" i="3"/>
  <c r="C132" i="3"/>
  <c r="C136" i="3"/>
  <c r="C140" i="3"/>
  <c r="C144" i="3"/>
  <c r="C148" i="3"/>
  <c r="C152" i="3"/>
  <c r="C156" i="3"/>
  <c r="C160" i="3"/>
  <c r="C164" i="3"/>
  <c r="C168" i="3"/>
  <c r="C172" i="3"/>
  <c r="C176" i="3"/>
  <c r="C180" i="3"/>
  <c r="C184" i="3"/>
  <c r="C188" i="3"/>
  <c r="C192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13" i="3"/>
  <c r="C117" i="3"/>
  <c r="C121" i="3"/>
  <c r="C125" i="3"/>
  <c r="C129" i="3"/>
  <c r="C133" i="3"/>
  <c r="C137" i="3"/>
  <c r="C141" i="3"/>
  <c r="C145" i="3"/>
  <c r="C149" i="3"/>
  <c r="C153" i="3"/>
  <c r="C157" i="3"/>
  <c r="C161" i="3"/>
  <c r="C165" i="3"/>
  <c r="C169" i="3"/>
  <c r="C173" i="3"/>
  <c r="C177" i="3"/>
  <c r="C181" i="3"/>
  <c r="C185" i="3"/>
  <c r="C189" i="3"/>
  <c r="C193" i="3"/>
  <c r="C197" i="3"/>
  <c r="C201" i="3"/>
  <c r="C205" i="3"/>
  <c r="C209" i="3"/>
  <c r="C213" i="3"/>
  <c r="C217" i="3"/>
  <c r="C221" i="3"/>
  <c r="C225" i="3"/>
  <c r="C229" i="3"/>
  <c r="C233" i="3"/>
  <c r="C237" i="3"/>
  <c r="C241" i="3"/>
  <c r="C245" i="3"/>
  <c r="C249" i="3"/>
  <c r="C253" i="3"/>
  <c r="C257" i="3"/>
  <c r="C261" i="3"/>
  <c r="C265" i="3"/>
  <c r="C269" i="3"/>
  <c r="C273" i="3"/>
  <c r="C277" i="3"/>
  <c r="C281" i="3"/>
  <c r="C285" i="3"/>
  <c r="C289" i="3"/>
  <c r="C293" i="3"/>
  <c r="C297" i="3"/>
  <c r="C301" i="3"/>
  <c r="C305" i="3"/>
  <c r="C309" i="3"/>
  <c r="C313" i="3"/>
  <c r="C317" i="3"/>
  <c r="C321" i="3"/>
  <c r="C325" i="3"/>
  <c r="C329" i="3"/>
  <c r="C333" i="3"/>
  <c r="C337" i="3"/>
  <c r="C341" i="3"/>
  <c r="C6" i="3"/>
  <c r="C22" i="3"/>
  <c r="C38" i="3"/>
  <c r="C54" i="3"/>
  <c r="C70" i="3"/>
  <c r="C86" i="3"/>
  <c r="C102" i="3"/>
  <c r="C118" i="3"/>
  <c r="C134" i="3"/>
  <c r="C150" i="3"/>
  <c r="C166" i="3"/>
  <c r="C182" i="3"/>
  <c r="C194" i="3"/>
  <c r="C199" i="3"/>
  <c r="C204" i="3"/>
  <c r="C210" i="3"/>
  <c r="C215" i="3"/>
  <c r="C220" i="3"/>
  <c r="C226" i="3"/>
  <c r="C231" i="3"/>
  <c r="C236" i="3"/>
  <c r="C242" i="3"/>
  <c r="C247" i="3"/>
  <c r="C252" i="3"/>
  <c r="C258" i="3"/>
  <c r="C263" i="3"/>
  <c r="C268" i="3"/>
  <c r="C274" i="3"/>
  <c r="C279" i="3"/>
  <c r="C284" i="3"/>
  <c r="C290" i="3"/>
  <c r="C295" i="3"/>
  <c r="C300" i="3"/>
  <c r="C306" i="3"/>
  <c r="C311" i="3"/>
  <c r="C316" i="3"/>
  <c r="C322" i="3"/>
  <c r="C327" i="3"/>
  <c r="C332" i="3"/>
  <c r="C338" i="3"/>
  <c r="C343" i="3"/>
  <c r="C347" i="3"/>
  <c r="C351" i="3"/>
  <c r="C355" i="3"/>
  <c r="C359" i="3"/>
  <c r="C363" i="3"/>
  <c r="C367" i="3"/>
  <c r="C371" i="3"/>
  <c r="C375" i="3"/>
  <c r="C379" i="3"/>
  <c r="C383" i="3"/>
  <c r="C387" i="3"/>
  <c r="C391" i="3"/>
  <c r="C395" i="3"/>
  <c r="C399" i="3"/>
  <c r="C403" i="3"/>
  <c r="C407" i="3"/>
  <c r="C411" i="3"/>
  <c r="C415" i="3"/>
  <c r="C419" i="3"/>
  <c r="C423" i="3"/>
  <c r="C427" i="3"/>
  <c r="C431" i="3"/>
  <c r="C435" i="3"/>
  <c r="C439" i="3"/>
  <c r="C10" i="3"/>
  <c r="C26" i="3"/>
  <c r="C42" i="3"/>
  <c r="C58" i="3"/>
  <c r="C74" i="3"/>
  <c r="C90" i="3"/>
  <c r="C106" i="3"/>
  <c r="C122" i="3"/>
  <c r="C138" i="3"/>
  <c r="C154" i="3"/>
  <c r="C170" i="3"/>
  <c r="C186" i="3"/>
  <c r="C195" i="3"/>
  <c r="C200" i="3"/>
  <c r="C206" i="3"/>
  <c r="C211" i="3"/>
  <c r="C216" i="3"/>
  <c r="C222" i="3"/>
  <c r="C227" i="3"/>
  <c r="C232" i="3"/>
  <c r="C238" i="3"/>
  <c r="C243" i="3"/>
  <c r="C248" i="3"/>
  <c r="C254" i="3"/>
  <c r="C259" i="3"/>
  <c r="C264" i="3"/>
  <c r="C270" i="3"/>
  <c r="C275" i="3"/>
  <c r="C280" i="3"/>
  <c r="C286" i="3"/>
  <c r="C291" i="3"/>
  <c r="C296" i="3"/>
  <c r="C302" i="3"/>
  <c r="C307" i="3"/>
  <c r="C312" i="3"/>
  <c r="C318" i="3"/>
  <c r="C323" i="3"/>
  <c r="C328" i="3"/>
  <c r="C334" i="3"/>
  <c r="C339" i="3"/>
  <c r="C344" i="3"/>
  <c r="C348" i="3"/>
  <c r="C352" i="3"/>
  <c r="C356" i="3"/>
  <c r="C360" i="3"/>
  <c r="C364" i="3"/>
  <c r="C368" i="3"/>
  <c r="C372" i="3"/>
  <c r="C376" i="3"/>
  <c r="C380" i="3"/>
  <c r="C384" i="3"/>
  <c r="C388" i="3"/>
  <c r="C392" i="3"/>
  <c r="C396" i="3"/>
  <c r="C400" i="3"/>
  <c r="C404" i="3"/>
  <c r="C408" i="3"/>
  <c r="C412" i="3"/>
  <c r="C416" i="3"/>
  <c r="C420" i="3"/>
  <c r="C424" i="3"/>
  <c r="C428" i="3"/>
  <c r="C432" i="3"/>
  <c r="C436" i="3"/>
  <c r="C440" i="3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74" i="3"/>
  <c r="D78" i="3"/>
  <c r="D82" i="3"/>
  <c r="C14" i="3"/>
  <c r="C30" i="3"/>
  <c r="C46" i="3"/>
  <c r="C62" i="3"/>
  <c r="C78" i="3"/>
  <c r="C94" i="3"/>
  <c r="C110" i="3"/>
  <c r="C126" i="3"/>
  <c r="C142" i="3"/>
  <c r="C158" i="3"/>
  <c r="C174" i="3"/>
  <c r="C190" i="3"/>
  <c r="C196" i="3"/>
  <c r="C202" i="3"/>
  <c r="C207" i="3"/>
  <c r="C212" i="3"/>
  <c r="C218" i="3"/>
  <c r="C223" i="3"/>
  <c r="C228" i="3"/>
  <c r="C234" i="3"/>
  <c r="C239" i="3"/>
  <c r="C244" i="3"/>
  <c r="C250" i="3"/>
  <c r="C255" i="3"/>
  <c r="C260" i="3"/>
  <c r="C266" i="3"/>
  <c r="C271" i="3"/>
  <c r="C276" i="3"/>
  <c r="C282" i="3"/>
  <c r="C287" i="3"/>
  <c r="C292" i="3"/>
  <c r="C298" i="3"/>
  <c r="C303" i="3"/>
  <c r="C308" i="3"/>
  <c r="C314" i="3"/>
  <c r="C319" i="3"/>
  <c r="C324" i="3"/>
  <c r="C330" i="3"/>
  <c r="C335" i="3"/>
  <c r="C340" i="3"/>
  <c r="C345" i="3"/>
  <c r="C349" i="3"/>
  <c r="C353" i="3"/>
  <c r="C357" i="3"/>
  <c r="C361" i="3"/>
  <c r="C365" i="3"/>
  <c r="C369" i="3"/>
  <c r="C373" i="3"/>
  <c r="C377" i="3"/>
  <c r="C381" i="3"/>
  <c r="C385" i="3"/>
  <c r="C389" i="3"/>
  <c r="C393" i="3"/>
  <c r="C397" i="3"/>
  <c r="C401" i="3"/>
  <c r="C405" i="3"/>
  <c r="C409" i="3"/>
  <c r="C413" i="3"/>
  <c r="C417" i="3"/>
  <c r="C421" i="3"/>
  <c r="C425" i="3"/>
  <c r="C429" i="3"/>
  <c r="C433" i="3"/>
  <c r="C437" i="3"/>
  <c r="C18" i="3"/>
  <c r="C34" i="3"/>
  <c r="C50" i="3"/>
  <c r="C66" i="3"/>
  <c r="C82" i="3"/>
  <c r="C98" i="3"/>
  <c r="C114" i="3"/>
  <c r="C130" i="3"/>
  <c r="C146" i="3"/>
  <c r="C162" i="3"/>
  <c r="C178" i="3"/>
  <c r="C191" i="3"/>
  <c r="C198" i="3"/>
  <c r="C203" i="3"/>
  <c r="C208" i="3"/>
  <c r="C214" i="3"/>
  <c r="C219" i="3"/>
  <c r="C224" i="3"/>
  <c r="C230" i="3"/>
  <c r="C235" i="3"/>
  <c r="C240" i="3"/>
  <c r="C246" i="3"/>
  <c r="C251" i="3"/>
  <c r="C256" i="3"/>
  <c r="C262" i="3"/>
  <c r="C267" i="3"/>
  <c r="C272" i="3"/>
  <c r="C278" i="3"/>
  <c r="C283" i="3"/>
  <c r="C288" i="3"/>
  <c r="C294" i="3"/>
  <c r="C299" i="3"/>
  <c r="C304" i="3"/>
  <c r="C310" i="3"/>
  <c r="C315" i="3"/>
  <c r="C320" i="3"/>
  <c r="C326" i="3"/>
  <c r="C331" i="3"/>
  <c r="C336" i="3"/>
  <c r="C342" i="3"/>
  <c r="C346" i="3"/>
  <c r="C350" i="3"/>
  <c r="C354" i="3"/>
  <c r="C358" i="3"/>
  <c r="C362" i="3"/>
  <c r="C366" i="3"/>
  <c r="C370" i="3"/>
  <c r="C374" i="3"/>
  <c r="C378" i="3"/>
  <c r="C382" i="3"/>
  <c r="C386" i="3"/>
  <c r="C390" i="3"/>
  <c r="C394" i="3"/>
  <c r="C398" i="3"/>
  <c r="C402" i="3"/>
  <c r="C406" i="3"/>
  <c r="C410" i="3"/>
  <c r="C414" i="3"/>
  <c r="C418" i="3"/>
  <c r="C422" i="3"/>
  <c r="C426" i="3"/>
  <c r="C430" i="3"/>
  <c r="C434" i="3"/>
  <c r="C438" i="3"/>
  <c r="D4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5" i="3"/>
  <c r="D13" i="3"/>
  <c r="D21" i="3"/>
  <c r="D29" i="3"/>
  <c r="D37" i="3"/>
  <c r="D45" i="3"/>
  <c r="D53" i="3"/>
  <c r="D61" i="3"/>
  <c r="D69" i="3"/>
  <c r="D77" i="3"/>
  <c r="D84" i="3"/>
  <c r="D88" i="3"/>
  <c r="D92" i="3"/>
  <c r="D96" i="3"/>
  <c r="D100" i="3"/>
  <c r="D104" i="3"/>
  <c r="D108" i="3"/>
  <c r="D112" i="3"/>
  <c r="D116" i="3"/>
  <c r="D7" i="3"/>
  <c r="D15" i="3"/>
  <c r="D23" i="3"/>
  <c r="D31" i="3"/>
  <c r="D39" i="3"/>
  <c r="D47" i="3"/>
  <c r="D55" i="3"/>
  <c r="D63" i="3"/>
  <c r="D71" i="3"/>
  <c r="D79" i="3"/>
  <c r="D85" i="3"/>
  <c r="D89" i="3"/>
  <c r="D93" i="3"/>
  <c r="D97" i="3"/>
  <c r="D101" i="3"/>
  <c r="D105" i="3"/>
  <c r="D109" i="3"/>
  <c r="D113" i="3"/>
  <c r="D117" i="3"/>
  <c r="D121" i="3"/>
  <c r="D125" i="3"/>
  <c r="D129" i="3"/>
  <c r="D133" i="3"/>
  <c r="D137" i="3"/>
  <c r="D141" i="3"/>
  <c r="D145" i="3"/>
  <c r="D149" i="3"/>
  <c r="D153" i="3"/>
  <c r="D157" i="3"/>
  <c r="D161" i="3"/>
  <c r="D165" i="3"/>
  <c r="D169" i="3"/>
  <c r="D173" i="3"/>
  <c r="D177" i="3"/>
  <c r="D181" i="3"/>
  <c r="D185" i="3"/>
  <c r="D189" i="3"/>
  <c r="D193" i="3"/>
  <c r="D197" i="3"/>
  <c r="D9" i="3"/>
  <c r="D17" i="3"/>
  <c r="D25" i="3"/>
  <c r="D33" i="3"/>
  <c r="D41" i="3"/>
  <c r="D49" i="3"/>
  <c r="D57" i="3"/>
  <c r="D65" i="3"/>
  <c r="D73" i="3"/>
  <c r="D81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D194" i="3"/>
  <c r="D198" i="3"/>
  <c r="D202" i="3"/>
  <c r="D206" i="3"/>
  <c r="D210" i="3"/>
  <c r="D214" i="3"/>
  <c r="D218" i="3"/>
  <c r="D222" i="3"/>
  <c r="D226" i="3"/>
  <c r="D230" i="3"/>
  <c r="D234" i="3"/>
  <c r="D238" i="3"/>
  <c r="D242" i="3"/>
  <c r="D246" i="3"/>
  <c r="D250" i="3"/>
  <c r="D254" i="3"/>
  <c r="D258" i="3"/>
  <c r="D262" i="3"/>
  <c r="D266" i="3"/>
  <c r="D270" i="3"/>
  <c r="D274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350" i="3"/>
  <c r="D354" i="3"/>
  <c r="D358" i="3"/>
  <c r="D362" i="3"/>
  <c r="D366" i="3"/>
  <c r="D370" i="3"/>
  <c r="D374" i="3"/>
  <c r="D378" i="3"/>
  <c r="D382" i="3"/>
  <c r="D3" i="3"/>
  <c r="D35" i="3"/>
  <c r="D67" i="3"/>
  <c r="D91" i="3"/>
  <c r="D107" i="3"/>
  <c r="D120" i="3"/>
  <c r="D128" i="3"/>
  <c r="D136" i="3"/>
  <c r="D144" i="3"/>
  <c r="D152" i="3"/>
  <c r="D160" i="3"/>
  <c r="D168" i="3"/>
  <c r="D176" i="3"/>
  <c r="D184" i="3"/>
  <c r="D192" i="3"/>
  <c r="D200" i="3"/>
  <c r="D205" i="3"/>
  <c r="D211" i="3"/>
  <c r="D216" i="3"/>
  <c r="D221" i="3"/>
  <c r="D227" i="3"/>
  <c r="D232" i="3"/>
  <c r="D237" i="3"/>
  <c r="D243" i="3"/>
  <c r="D248" i="3"/>
  <c r="D253" i="3"/>
  <c r="D259" i="3"/>
  <c r="D264" i="3"/>
  <c r="D269" i="3"/>
  <c r="D275" i="3"/>
  <c r="D280" i="3"/>
  <c r="D285" i="3"/>
  <c r="D291" i="3"/>
  <c r="D296" i="3"/>
  <c r="D301" i="3"/>
  <c r="D307" i="3"/>
  <c r="D312" i="3"/>
  <c r="D317" i="3"/>
  <c r="D323" i="3"/>
  <c r="D328" i="3"/>
  <c r="D333" i="3"/>
  <c r="D339" i="3"/>
  <c r="D344" i="3"/>
  <c r="D349" i="3"/>
  <c r="D355" i="3"/>
  <c r="D360" i="3"/>
  <c r="D365" i="3"/>
  <c r="D371" i="3"/>
  <c r="D376" i="3"/>
  <c r="D381" i="3"/>
  <c r="D386" i="3"/>
  <c r="D390" i="3"/>
  <c r="D394" i="3"/>
  <c r="D398" i="3"/>
  <c r="D402" i="3"/>
  <c r="D406" i="3"/>
  <c r="D410" i="3"/>
  <c r="D414" i="3"/>
  <c r="D418" i="3"/>
  <c r="D422" i="3"/>
  <c r="D426" i="3"/>
  <c r="D430" i="3"/>
  <c r="D434" i="3"/>
  <c r="D438" i="3"/>
  <c r="E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D11" i="3"/>
  <c r="D43" i="3"/>
  <c r="D75" i="3"/>
  <c r="D95" i="3"/>
  <c r="D111" i="3"/>
  <c r="D123" i="3"/>
  <c r="D131" i="3"/>
  <c r="D139" i="3"/>
  <c r="D147" i="3"/>
  <c r="D155" i="3"/>
  <c r="D163" i="3"/>
  <c r="D171" i="3"/>
  <c r="D179" i="3"/>
  <c r="D187" i="3"/>
  <c r="D195" i="3"/>
  <c r="D201" i="3"/>
  <c r="D207" i="3"/>
  <c r="D212" i="3"/>
  <c r="D217" i="3"/>
  <c r="D223" i="3"/>
  <c r="D228" i="3"/>
  <c r="D233" i="3"/>
  <c r="D239" i="3"/>
  <c r="D244" i="3"/>
  <c r="D249" i="3"/>
  <c r="D255" i="3"/>
  <c r="D260" i="3"/>
  <c r="D265" i="3"/>
  <c r="D271" i="3"/>
  <c r="D276" i="3"/>
  <c r="D281" i="3"/>
  <c r="D287" i="3"/>
  <c r="D292" i="3"/>
  <c r="D297" i="3"/>
  <c r="D303" i="3"/>
  <c r="D308" i="3"/>
  <c r="D313" i="3"/>
  <c r="D319" i="3"/>
  <c r="D324" i="3"/>
  <c r="D329" i="3"/>
  <c r="D335" i="3"/>
  <c r="D340" i="3"/>
  <c r="D345" i="3"/>
  <c r="D351" i="3"/>
  <c r="D356" i="3"/>
  <c r="D361" i="3"/>
  <c r="D367" i="3"/>
  <c r="D372" i="3"/>
  <c r="D377" i="3"/>
  <c r="D383" i="3"/>
  <c r="D387" i="3"/>
  <c r="D391" i="3"/>
  <c r="D395" i="3"/>
  <c r="D399" i="3"/>
  <c r="D403" i="3"/>
  <c r="D407" i="3"/>
  <c r="D411" i="3"/>
  <c r="D415" i="3"/>
  <c r="D419" i="3"/>
  <c r="D423" i="3"/>
  <c r="D427" i="3"/>
  <c r="D431" i="3"/>
  <c r="D435" i="3"/>
  <c r="D439" i="3"/>
  <c r="E5" i="3"/>
  <c r="E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201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E285" i="3"/>
  <c r="E289" i="3"/>
  <c r="E293" i="3"/>
  <c r="E297" i="3"/>
  <c r="E301" i="3"/>
  <c r="E305" i="3"/>
  <c r="E309" i="3"/>
  <c r="E313" i="3"/>
  <c r="E317" i="3"/>
  <c r="E321" i="3"/>
  <c r="E325" i="3"/>
  <c r="E329" i="3"/>
  <c r="E333" i="3"/>
  <c r="E337" i="3"/>
  <c r="E341" i="3"/>
  <c r="E345" i="3"/>
  <c r="E349" i="3"/>
  <c r="E353" i="3"/>
  <c r="E357" i="3"/>
  <c r="E361" i="3"/>
  <c r="D19" i="3"/>
  <c r="D51" i="3"/>
  <c r="D83" i="3"/>
  <c r="D99" i="3"/>
  <c r="D115" i="3"/>
  <c r="D124" i="3"/>
  <c r="D132" i="3"/>
  <c r="D140" i="3"/>
  <c r="D148" i="3"/>
  <c r="D156" i="3"/>
  <c r="D164" i="3"/>
  <c r="D172" i="3"/>
  <c r="D180" i="3"/>
  <c r="D188" i="3"/>
  <c r="D196" i="3"/>
  <c r="D203" i="3"/>
  <c r="D208" i="3"/>
  <c r="D213" i="3"/>
  <c r="D219" i="3"/>
  <c r="D224" i="3"/>
  <c r="D229" i="3"/>
  <c r="D235" i="3"/>
  <c r="D240" i="3"/>
  <c r="D245" i="3"/>
  <c r="D251" i="3"/>
  <c r="D256" i="3"/>
  <c r="D261" i="3"/>
  <c r="D267" i="3"/>
  <c r="D272" i="3"/>
  <c r="D277" i="3"/>
  <c r="D283" i="3"/>
  <c r="D288" i="3"/>
  <c r="D293" i="3"/>
  <c r="D299" i="3"/>
  <c r="D304" i="3"/>
  <c r="D309" i="3"/>
  <c r="D315" i="3"/>
  <c r="D320" i="3"/>
  <c r="D325" i="3"/>
  <c r="D331" i="3"/>
  <c r="D336" i="3"/>
  <c r="D341" i="3"/>
  <c r="D347" i="3"/>
  <c r="D352" i="3"/>
  <c r="D357" i="3"/>
  <c r="D363" i="3"/>
  <c r="D368" i="3"/>
  <c r="D373" i="3"/>
  <c r="D379" i="3"/>
  <c r="D384" i="3"/>
  <c r="D388" i="3"/>
  <c r="D392" i="3"/>
  <c r="D396" i="3"/>
  <c r="D400" i="3"/>
  <c r="D404" i="3"/>
  <c r="D408" i="3"/>
  <c r="D412" i="3"/>
  <c r="D416" i="3"/>
  <c r="D420" i="3"/>
  <c r="D424" i="3"/>
  <c r="D428" i="3"/>
  <c r="D432" i="3"/>
  <c r="D436" i="3"/>
  <c r="D440" i="3"/>
  <c r="E6" i="3"/>
  <c r="E10" i="3"/>
  <c r="E14" i="3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D27" i="3"/>
  <c r="D59" i="3"/>
  <c r="D87" i="3"/>
  <c r="D103" i="3"/>
  <c r="D119" i="3"/>
  <c r="D127" i="3"/>
  <c r="D135" i="3"/>
  <c r="D143" i="3"/>
  <c r="D151" i="3"/>
  <c r="D159" i="3"/>
  <c r="D167" i="3"/>
  <c r="D175" i="3"/>
  <c r="D183" i="3"/>
  <c r="D191" i="3"/>
  <c r="D199" i="3"/>
  <c r="D204" i="3"/>
  <c r="D209" i="3"/>
  <c r="D215" i="3"/>
  <c r="D220" i="3"/>
  <c r="D225" i="3"/>
  <c r="D231" i="3"/>
  <c r="D236" i="3"/>
  <c r="D241" i="3"/>
  <c r="D247" i="3"/>
  <c r="D252" i="3"/>
  <c r="D257" i="3"/>
  <c r="D263" i="3"/>
  <c r="D268" i="3"/>
  <c r="D273" i="3"/>
  <c r="D279" i="3"/>
  <c r="D284" i="3"/>
  <c r="D289" i="3"/>
  <c r="D295" i="3"/>
  <c r="D300" i="3"/>
  <c r="D305" i="3"/>
  <c r="D311" i="3"/>
  <c r="D316" i="3"/>
  <c r="D321" i="3"/>
  <c r="D327" i="3"/>
  <c r="D332" i="3"/>
  <c r="D337" i="3"/>
  <c r="D343" i="3"/>
  <c r="D348" i="3"/>
  <c r="D353" i="3"/>
  <c r="D359" i="3"/>
  <c r="D364" i="3"/>
  <c r="D369" i="3"/>
  <c r="D375" i="3"/>
  <c r="D380" i="3"/>
  <c r="D385" i="3"/>
  <c r="D389" i="3"/>
  <c r="D393" i="3"/>
  <c r="D397" i="3"/>
  <c r="D401" i="3"/>
  <c r="D405" i="3"/>
  <c r="D409" i="3"/>
  <c r="D413" i="3"/>
  <c r="D417" i="3"/>
  <c r="D421" i="3"/>
  <c r="D425" i="3"/>
  <c r="D429" i="3"/>
  <c r="D433" i="3"/>
  <c r="D437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95" i="3"/>
  <c r="E299" i="3"/>
  <c r="E303" i="3"/>
  <c r="E307" i="3"/>
  <c r="E311" i="3"/>
  <c r="E315" i="3"/>
  <c r="E319" i="3"/>
  <c r="E323" i="3"/>
  <c r="E327" i="3"/>
  <c r="E331" i="3"/>
  <c r="E335" i="3"/>
  <c r="E339" i="3"/>
  <c r="E343" i="3"/>
  <c r="E347" i="3"/>
  <c r="E351" i="3"/>
  <c r="E355" i="3"/>
  <c r="E359" i="3"/>
  <c r="E363" i="3"/>
  <c r="E88" i="3"/>
  <c r="E104" i="3"/>
  <c r="E120" i="3"/>
  <c r="E136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290" i="3"/>
  <c r="E298" i="3"/>
  <c r="E306" i="3"/>
  <c r="E314" i="3"/>
  <c r="E322" i="3"/>
  <c r="E330" i="3"/>
  <c r="E338" i="3"/>
  <c r="E346" i="3"/>
  <c r="E354" i="3"/>
  <c r="E362" i="3"/>
  <c r="E367" i="3"/>
  <c r="E371" i="3"/>
  <c r="E375" i="3"/>
  <c r="E379" i="3"/>
  <c r="E383" i="3"/>
  <c r="E387" i="3"/>
  <c r="E391" i="3"/>
  <c r="E395" i="3"/>
  <c r="E399" i="3"/>
  <c r="E403" i="3"/>
  <c r="E407" i="3"/>
  <c r="E411" i="3"/>
  <c r="E415" i="3"/>
  <c r="E419" i="3"/>
  <c r="E423" i="3"/>
  <c r="E427" i="3"/>
  <c r="E431" i="3"/>
  <c r="E435" i="3"/>
  <c r="E439" i="3"/>
  <c r="F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F69" i="3"/>
  <c r="F73" i="3"/>
  <c r="F77" i="3"/>
  <c r="F81" i="3"/>
  <c r="F85" i="3"/>
  <c r="F89" i="3"/>
  <c r="F93" i="3"/>
  <c r="F97" i="3"/>
  <c r="F101" i="3"/>
  <c r="F105" i="3"/>
  <c r="F109" i="3"/>
  <c r="F113" i="3"/>
  <c r="F117" i="3"/>
  <c r="F121" i="3"/>
  <c r="F125" i="3"/>
  <c r="F129" i="3"/>
  <c r="F133" i="3"/>
  <c r="F137" i="3"/>
  <c r="F141" i="3"/>
  <c r="F145" i="3"/>
  <c r="F149" i="3"/>
  <c r="F153" i="3"/>
  <c r="F157" i="3"/>
  <c r="F161" i="3"/>
  <c r="F165" i="3"/>
  <c r="F169" i="3"/>
  <c r="F173" i="3"/>
  <c r="F177" i="3"/>
  <c r="F181" i="3"/>
  <c r="F185" i="3"/>
  <c r="F189" i="3"/>
  <c r="F193" i="3"/>
  <c r="F197" i="3"/>
  <c r="F201" i="3"/>
  <c r="F205" i="3"/>
  <c r="F209" i="3"/>
  <c r="F213" i="3"/>
  <c r="F217" i="3"/>
  <c r="F221" i="3"/>
  <c r="F225" i="3"/>
  <c r="F229" i="3"/>
  <c r="F233" i="3"/>
  <c r="F237" i="3"/>
  <c r="F241" i="3"/>
  <c r="F245" i="3"/>
  <c r="F249" i="3"/>
  <c r="F253" i="3"/>
  <c r="F257" i="3"/>
  <c r="F261" i="3"/>
  <c r="F265" i="3"/>
  <c r="F269" i="3"/>
  <c r="F273" i="3"/>
  <c r="F277" i="3"/>
  <c r="F281" i="3"/>
  <c r="F285" i="3"/>
  <c r="F289" i="3"/>
  <c r="F293" i="3"/>
  <c r="F297" i="3"/>
  <c r="F301" i="3"/>
  <c r="F305" i="3"/>
  <c r="F309" i="3"/>
  <c r="F313" i="3"/>
  <c r="F317" i="3"/>
  <c r="F321" i="3"/>
  <c r="F325" i="3"/>
  <c r="F329" i="3"/>
  <c r="F333" i="3"/>
  <c r="F337" i="3"/>
  <c r="F341" i="3"/>
  <c r="F345" i="3"/>
  <c r="F349" i="3"/>
  <c r="F353" i="3"/>
  <c r="F357" i="3"/>
  <c r="F361" i="3"/>
  <c r="F365" i="3"/>
  <c r="F369" i="3"/>
  <c r="F373" i="3"/>
  <c r="F377" i="3"/>
  <c r="F381" i="3"/>
  <c r="F385" i="3"/>
  <c r="F389" i="3"/>
  <c r="F393" i="3"/>
  <c r="F397" i="3"/>
  <c r="F401" i="3"/>
  <c r="F405" i="3"/>
  <c r="F409" i="3"/>
  <c r="F413" i="3"/>
  <c r="F417" i="3"/>
  <c r="F421" i="3"/>
  <c r="F425" i="3"/>
  <c r="F429" i="3"/>
  <c r="F433" i="3"/>
  <c r="F437" i="3"/>
  <c r="E92" i="3"/>
  <c r="E108" i="3"/>
  <c r="E124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60" i="3"/>
  <c r="E268" i="3"/>
  <c r="E276" i="3"/>
  <c r="E284" i="3"/>
  <c r="E292" i="3"/>
  <c r="E300" i="3"/>
  <c r="E308" i="3"/>
  <c r="E316" i="3"/>
  <c r="E324" i="3"/>
  <c r="E332" i="3"/>
  <c r="E340" i="3"/>
  <c r="E348" i="3"/>
  <c r="E356" i="3"/>
  <c r="E364" i="3"/>
  <c r="E368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166" i="3"/>
  <c r="F170" i="3"/>
  <c r="F174" i="3"/>
  <c r="F178" i="3"/>
  <c r="F182" i="3"/>
  <c r="F186" i="3"/>
  <c r="F190" i="3"/>
  <c r="F194" i="3"/>
  <c r="F198" i="3"/>
  <c r="F202" i="3"/>
  <c r="F206" i="3"/>
  <c r="F210" i="3"/>
  <c r="F214" i="3"/>
  <c r="F218" i="3"/>
  <c r="F222" i="3"/>
  <c r="F226" i="3"/>
  <c r="F230" i="3"/>
  <c r="F234" i="3"/>
  <c r="F238" i="3"/>
  <c r="F242" i="3"/>
  <c r="F246" i="3"/>
  <c r="F250" i="3"/>
  <c r="F254" i="3"/>
  <c r="F258" i="3"/>
  <c r="F262" i="3"/>
  <c r="F266" i="3"/>
  <c r="F270" i="3"/>
  <c r="F274" i="3"/>
  <c r="F278" i="3"/>
  <c r="F282" i="3"/>
  <c r="F286" i="3"/>
  <c r="F290" i="3"/>
  <c r="F294" i="3"/>
  <c r="F298" i="3"/>
  <c r="F302" i="3"/>
  <c r="F306" i="3"/>
  <c r="F310" i="3"/>
  <c r="F314" i="3"/>
  <c r="F318" i="3"/>
  <c r="F322" i="3"/>
  <c r="F326" i="3"/>
  <c r="F330" i="3"/>
  <c r="F334" i="3"/>
  <c r="F338" i="3"/>
  <c r="F342" i="3"/>
  <c r="F346" i="3"/>
  <c r="F350" i="3"/>
  <c r="F354" i="3"/>
  <c r="F358" i="3"/>
  <c r="F362" i="3"/>
  <c r="F366" i="3"/>
  <c r="F370" i="3"/>
  <c r="F374" i="3"/>
  <c r="F378" i="3"/>
  <c r="F382" i="3"/>
  <c r="F386" i="3"/>
  <c r="F390" i="3"/>
  <c r="F394" i="3"/>
  <c r="F398" i="3"/>
  <c r="F402" i="3"/>
  <c r="F406" i="3"/>
  <c r="F410" i="3"/>
  <c r="F414" i="3"/>
  <c r="F418" i="3"/>
  <c r="F422" i="3"/>
  <c r="F426" i="3"/>
  <c r="F430" i="3"/>
  <c r="F434" i="3"/>
  <c r="F438" i="3"/>
  <c r="G4" i="3"/>
  <c r="G8" i="3"/>
  <c r="G12" i="3"/>
  <c r="G16" i="3"/>
  <c r="G20" i="3"/>
  <c r="G24" i="3"/>
  <c r="G28" i="3"/>
  <c r="G32" i="3"/>
  <c r="G36" i="3"/>
  <c r="G40" i="3"/>
  <c r="E96" i="3"/>
  <c r="E112" i="3"/>
  <c r="E128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262" i="3"/>
  <c r="E270" i="3"/>
  <c r="E278" i="3"/>
  <c r="E286" i="3"/>
  <c r="E294" i="3"/>
  <c r="E302" i="3"/>
  <c r="E310" i="3"/>
  <c r="E318" i="3"/>
  <c r="E326" i="3"/>
  <c r="E334" i="3"/>
  <c r="E342" i="3"/>
  <c r="E350" i="3"/>
  <c r="E358" i="3"/>
  <c r="E365" i="3"/>
  <c r="E369" i="3"/>
  <c r="E373" i="3"/>
  <c r="E377" i="3"/>
  <c r="E381" i="3"/>
  <c r="E385" i="3"/>
  <c r="E389" i="3"/>
  <c r="E393" i="3"/>
  <c r="E397" i="3"/>
  <c r="E401" i="3"/>
  <c r="E405" i="3"/>
  <c r="E409" i="3"/>
  <c r="E413" i="3"/>
  <c r="E417" i="3"/>
  <c r="E421" i="3"/>
  <c r="E425" i="3"/>
  <c r="E429" i="3"/>
  <c r="E433" i="3"/>
  <c r="E437" i="3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403" i="3"/>
  <c r="F407" i="3"/>
  <c r="F411" i="3"/>
  <c r="F415" i="3"/>
  <c r="F419" i="3"/>
  <c r="F423" i="3"/>
  <c r="F427" i="3"/>
  <c r="F431" i="3"/>
  <c r="F435" i="3"/>
  <c r="F439" i="3"/>
  <c r="E100" i="3"/>
  <c r="E116" i="3"/>
  <c r="E132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352" i="3"/>
  <c r="E360" i="3"/>
  <c r="E366" i="3"/>
  <c r="E370" i="3"/>
  <c r="E374" i="3"/>
  <c r="E378" i="3"/>
  <c r="E382" i="3"/>
  <c r="E386" i="3"/>
  <c r="E390" i="3"/>
  <c r="E394" i="3"/>
  <c r="E398" i="3"/>
  <c r="E402" i="3"/>
  <c r="E406" i="3"/>
  <c r="E410" i="3"/>
  <c r="E414" i="3"/>
  <c r="E418" i="3"/>
  <c r="E422" i="3"/>
  <c r="E426" i="3"/>
  <c r="E430" i="3"/>
  <c r="E434" i="3"/>
  <c r="E438" i="3"/>
  <c r="F4" i="3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F176" i="3"/>
  <c r="F180" i="3"/>
  <c r="F184" i="3"/>
  <c r="F188" i="3"/>
  <c r="F192" i="3"/>
  <c r="F196" i="3"/>
  <c r="F200" i="3"/>
  <c r="F204" i="3"/>
  <c r="F208" i="3"/>
  <c r="F212" i="3"/>
  <c r="F216" i="3"/>
  <c r="F220" i="3"/>
  <c r="F224" i="3"/>
  <c r="F228" i="3"/>
  <c r="F232" i="3"/>
  <c r="F236" i="3"/>
  <c r="F240" i="3"/>
  <c r="F244" i="3"/>
  <c r="F248" i="3"/>
  <c r="F252" i="3"/>
  <c r="F256" i="3"/>
  <c r="F260" i="3"/>
  <c r="F264" i="3"/>
  <c r="F268" i="3"/>
  <c r="F272" i="3"/>
  <c r="F276" i="3"/>
  <c r="F280" i="3"/>
  <c r="F284" i="3"/>
  <c r="F288" i="3"/>
  <c r="F292" i="3"/>
  <c r="F296" i="3"/>
  <c r="F300" i="3"/>
  <c r="F304" i="3"/>
  <c r="F308" i="3"/>
  <c r="F312" i="3"/>
  <c r="F316" i="3"/>
  <c r="F320" i="3"/>
  <c r="F324" i="3"/>
  <c r="F328" i="3"/>
  <c r="F332" i="3"/>
  <c r="F336" i="3"/>
  <c r="F340" i="3"/>
  <c r="F344" i="3"/>
  <c r="F348" i="3"/>
  <c r="F352" i="3"/>
  <c r="F356" i="3"/>
  <c r="F360" i="3"/>
  <c r="F364" i="3"/>
  <c r="F368" i="3"/>
  <c r="F372" i="3"/>
  <c r="F376" i="3"/>
  <c r="F380" i="3"/>
  <c r="F384" i="3"/>
  <c r="F388" i="3"/>
  <c r="F392" i="3"/>
  <c r="F396" i="3"/>
  <c r="F400" i="3"/>
  <c r="F404" i="3"/>
  <c r="F408" i="3"/>
  <c r="F412" i="3"/>
  <c r="F416" i="3"/>
  <c r="F420" i="3"/>
  <c r="F424" i="3"/>
  <c r="F428" i="3"/>
  <c r="F432" i="3"/>
  <c r="F436" i="3"/>
  <c r="F440" i="3"/>
  <c r="G6" i="3"/>
  <c r="G10" i="3"/>
  <c r="G14" i="3"/>
  <c r="G18" i="3"/>
  <c r="G22" i="3"/>
  <c r="G26" i="3"/>
  <c r="G30" i="3"/>
  <c r="G34" i="3"/>
  <c r="G38" i="3"/>
  <c r="G42" i="3"/>
  <c r="G3" i="3"/>
  <c r="G11" i="3"/>
  <c r="G19" i="3"/>
  <c r="G27" i="3"/>
  <c r="G35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3" i="3"/>
  <c r="G287" i="3"/>
  <c r="G291" i="3"/>
  <c r="G295" i="3"/>
  <c r="G299" i="3"/>
  <c r="G303" i="3"/>
  <c r="G307" i="3"/>
  <c r="G311" i="3"/>
  <c r="G315" i="3"/>
  <c r="G319" i="3"/>
  <c r="G323" i="3"/>
  <c r="G327" i="3"/>
  <c r="G331" i="3"/>
  <c r="G335" i="3"/>
  <c r="G339" i="3"/>
  <c r="G343" i="3"/>
  <c r="G347" i="3"/>
  <c r="G351" i="3"/>
  <c r="G355" i="3"/>
  <c r="G359" i="3"/>
  <c r="G363" i="3"/>
  <c r="G367" i="3"/>
  <c r="G371" i="3"/>
  <c r="G375" i="3"/>
  <c r="G379" i="3"/>
  <c r="G383" i="3"/>
  <c r="G387" i="3"/>
  <c r="G391" i="3"/>
  <c r="G395" i="3"/>
  <c r="G399" i="3"/>
  <c r="G403" i="3"/>
  <c r="G407" i="3"/>
  <c r="G411" i="3"/>
  <c r="G415" i="3"/>
  <c r="G419" i="3"/>
  <c r="G423" i="3"/>
  <c r="G427" i="3"/>
  <c r="G431" i="3"/>
  <c r="G435" i="3"/>
  <c r="G439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G5" i="3"/>
  <c r="G13" i="3"/>
  <c r="G21" i="3"/>
  <c r="G29" i="3"/>
  <c r="G37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G152" i="3"/>
  <c r="G156" i="3"/>
  <c r="G160" i="3"/>
  <c r="G164" i="3"/>
  <c r="G168" i="3"/>
  <c r="G172" i="3"/>
  <c r="G176" i="3"/>
  <c r="G180" i="3"/>
  <c r="G184" i="3"/>
  <c r="G188" i="3"/>
  <c r="G192" i="3"/>
  <c r="G196" i="3"/>
  <c r="G200" i="3"/>
  <c r="G204" i="3"/>
  <c r="G208" i="3"/>
  <c r="G212" i="3"/>
  <c r="G216" i="3"/>
  <c r="G220" i="3"/>
  <c r="G224" i="3"/>
  <c r="G228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G292" i="3"/>
  <c r="G296" i="3"/>
  <c r="G300" i="3"/>
  <c r="G304" i="3"/>
  <c r="G308" i="3"/>
  <c r="G312" i="3"/>
  <c r="G316" i="3"/>
  <c r="G320" i="3"/>
  <c r="G324" i="3"/>
  <c r="G328" i="3"/>
  <c r="G332" i="3"/>
  <c r="G336" i="3"/>
  <c r="G340" i="3"/>
  <c r="G344" i="3"/>
  <c r="G348" i="3"/>
  <c r="G352" i="3"/>
  <c r="G356" i="3"/>
  <c r="G360" i="3"/>
  <c r="G364" i="3"/>
  <c r="G368" i="3"/>
  <c r="G372" i="3"/>
  <c r="G376" i="3"/>
  <c r="G380" i="3"/>
  <c r="G384" i="3"/>
  <c r="G388" i="3"/>
  <c r="G392" i="3"/>
  <c r="G396" i="3"/>
  <c r="G400" i="3"/>
  <c r="G404" i="3"/>
  <c r="G408" i="3"/>
  <c r="G412" i="3"/>
  <c r="G416" i="3"/>
  <c r="G420" i="3"/>
  <c r="G424" i="3"/>
  <c r="G428" i="3"/>
  <c r="G432" i="3"/>
  <c r="G436" i="3"/>
  <c r="G440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14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H202" i="3"/>
  <c r="H206" i="3"/>
  <c r="H210" i="3"/>
  <c r="H214" i="3"/>
  <c r="H218" i="3"/>
  <c r="H222" i="3"/>
  <c r="H226" i="3"/>
  <c r="H230" i="3"/>
  <c r="H234" i="3"/>
  <c r="H238" i="3"/>
  <c r="H242" i="3"/>
  <c r="H246" i="3"/>
  <c r="H250" i="3"/>
  <c r="H254" i="3"/>
  <c r="H258" i="3"/>
  <c r="H262" i="3"/>
  <c r="H266" i="3"/>
  <c r="H270" i="3"/>
  <c r="H274" i="3"/>
  <c r="H278" i="3"/>
  <c r="H282" i="3"/>
  <c r="H286" i="3"/>
  <c r="H290" i="3"/>
  <c r="H294" i="3"/>
  <c r="H298" i="3"/>
  <c r="H302" i="3"/>
  <c r="H306" i="3"/>
  <c r="H310" i="3"/>
  <c r="H314" i="3"/>
  <c r="H318" i="3"/>
  <c r="H322" i="3"/>
  <c r="H326" i="3"/>
  <c r="H330" i="3"/>
  <c r="H334" i="3"/>
  <c r="H338" i="3"/>
  <c r="H342" i="3"/>
  <c r="H346" i="3"/>
  <c r="H350" i="3"/>
  <c r="H354" i="3"/>
  <c r="H358" i="3"/>
  <c r="H362" i="3"/>
  <c r="H366" i="3"/>
  <c r="H370" i="3"/>
  <c r="H374" i="3"/>
  <c r="H378" i="3"/>
  <c r="H382" i="3"/>
  <c r="H386" i="3"/>
  <c r="H390" i="3"/>
  <c r="H394" i="3"/>
  <c r="H398" i="3"/>
  <c r="H402" i="3"/>
  <c r="H406" i="3"/>
  <c r="H410" i="3"/>
  <c r="H414" i="3"/>
  <c r="H418" i="3"/>
  <c r="H422" i="3"/>
  <c r="H426" i="3"/>
  <c r="H430" i="3"/>
  <c r="H434" i="3"/>
  <c r="H438" i="3"/>
  <c r="G7" i="3"/>
  <c r="G15" i="3"/>
  <c r="G23" i="3"/>
  <c r="G31" i="3"/>
  <c r="G39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257" i="3"/>
  <c r="G261" i="3"/>
  <c r="G265" i="3"/>
  <c r="G269" i="3"/>
  <c r="G273" i="3"/>
  <c r="G277" i="3"/>
  <c r="G281" i="3"/>
  <c r="G285" i="3"/>
  <c r="G289" i="3"/>
  <c r="G293" i="3"/>
  <c r="G297" i="3"/>
  <c r="G301" i="3"/>
  <c r="G305" i="3"/>
  <c r="G309" i="3"/>
  <c r="G313" i="3"/>
  <c r="G317" i="3"/>
  <c r="G321" i="3"/>
  <c r="G325" i="3"/>
  <c r="G329" i="3"/>
  <c r="G333" i="3"/>
  <c r="G337" i="3"/>
  <c r="G341" i="3"/>
  <c r="G345" i="3"/>
  <c r="G349" i="3"/>
  <c r="G353" i="3"/>
  <c r="G357" i="3"/>
  <c r="G361" i="3"/>
  <c r="G365" i="3"/>
  <c r="G369" i="3"/>
  <c r="G373" i="3"/>
  <c r="G377" i="3"/>
  <c r="G381" i="3"/>
  <c r="G385" i="3"/>
  <c r="G389" i="3"/>
  <c r="G393" i="3"/>
  <c r="G397" i="3"/>
  <c r="G401" i="3"/>
  <c r="G405" i="3"/>
  <c r="G409" i="3"/>
  <c r="G413" i="3"/>
  <c r="G417" i="3"/>
  <c r="G421" i="3"/>
  <c r="G425" i="3"/>
  <c r="G429" i="3"/>
  <c r="G433" i="3"/>
  <c r="G437" i="3"/>
  <c r="H3" i="3"/>
  <c r="H7" i="3"/>
  <c r="H11" i="3"/>
  <c r="H15" i="3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G9" i="3"/>
  <c r="G17" i="3"/>
  <c r="G25" i="3"/>
  <c r="G33" i="3"/>
  <c r="G41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G178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G294" i="3"/>
  <c r="G298" i="3"/>
  <c r="G302" i="3"/>
  <c r="G306" i="3"/>
  <c r="G310" i="3"/>
  <c r="G314" i="3"/>
  <c r="G318" i="3"/>
  <c r="G322" i="3"/>
  <c r="G326" i="3"/>
  <c r="G330" i="3"/>
  <c r="G334" i="3"/>
  <c r="G338" i="3"/>
  <c r="G342" i="3"/>
  <c r="G346" i="3"/>
  <c r="G350" i="3"/>
  <c r="G354" i="3"/>
  <c r="G358" i="3"/>
  <c r="G362" i="3"/>
  <c r="G366" i="3"/>
  <c r="G370" i="3"/>
  <c r="G374" i="3"/>
  <c r="G378" i="3"/>
  <c r="G382" i="3"/>
  <c r="G386" i="3"/>
  <c r="G390" i="3"/>
  <c r="G394" i="3"/>
  <c r="G398" i="3"/>
  <c r="G402" i="3"/>
  <c r="G406" i="3"/>
  <c r="G410" i="3"/>
  <c r="G414" i="3"/>
  <c r="G418" i="3"/>
  <c r="G422" i="3"/>
  <c r="G426" i="3"/>
  <c r="G430" i="3"/>
  <c r="G434" i="3"/>
  <c r="G438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265" i="3"/>
  <c r="H273" i="3"/>
  <c r="H281" i="3"/>
  <c r="H289" i="3"/>
  <c r="H297" i="3"/>
  <c r="H305" i="3"/>
  <c r="H313" i="3"/>
  <c r="H321" i="3"/>
  <c r="H329" i="3"/>
  <c r="H337" i="3"/>
  <c r="H345" i="3"/>
  <c r="H353" i="3"/>
  <c r="H361" i="3"/>
  <c r="H369" i="3"/>
  <c r="H377" i="3"/>
  <c r="H385" i="3"/>
  <c r="H393" i="3"/>
  <c r="H401" i="3"/>
  <c r="H409" i="3"/>
  <c r="H417" i="3"/>
  <c r="H425" i="3"/>
  <c r="H433" i="3"/>
  <c r="I3" i="3"/>
  <c r="I7" i="3"/>
  <c r="I11" i="3"/>
  <c r="I15" i="3"/>
  <c r="I19" i="3"/>
  <c r="I23" i="3"/>
  <c r="I27" i="3"/>
  <c r="I31" i="3"/>
  <c r="I35" i="3"/>
  <c r="I39" i="3"/>
  <c r="I43" i="3"/>
  <c r="I47" i="3"/>
  <c r="I51" i="3"/>
  <c r="I55" i="3"/>
  <c r="I59" i="3"/>
  <c r="I63" i="3"/>
  <c r="I67" i="3"/>
  <c r="I71" i="3"/>
  <c r="I75" i="3"/>
  <c r="I79" i="3"/>
  <c r="I83" i="3"/>
  <c r="I87" i="3"/>
  <c r="I91" i="3"/>
  <c r="I95" i="3"/>
  <c r="I99" i="3"/>
  <c r="I103" i="3"/>
  <c r="I107" i="3"/>
  <c r="I111" i="3"/>
  <c r="I115" i="3"/>
  <c r="I119" i="3"/>
  <c r="I123" i="3"/>
  <c r="I127" i="3"/>
  <c r="I131" i="3"/>
  <c r="I135" i="3"/>
  <c r="I139" i="3"/>
  <c r="I143" i="3"/>
  <c r="I147" i="3"/>
  <c r="I151" i="3"/>
  <c r="I155" i="3"/>
  <c r="I159" i="3"/>
  <c r="I163" i="3"/>
  <c r="I167" i="3"/>
  <c r="I171" i="3"/>
  <c r="I175" i="3"/>
  <c r="I179" i="3"/>
  <c r="I183" i="3"/>
  <c r="I187" i="3"/>
  <c r="I191" i="3"/>
  <c r="I195" i="3"/>
  <c r="I199" i="3"/>
  <c r="I203" i="3"/>
  <c r="I207" i="3"/>
  <c r="I211" i="3"/>
  <c r="I215" i="3"/>
  <c r="I219" i="3"/>
  <c r="I223" i="3"/>
  <c r="I227" i="3"/>
  <c r="I231" i="3"/>
  <c r="I235" i="3"/>
  <c r="I239" i="3"/>
  <c r="I243" i="3"/>
  <c r="I247" i="3"/>
  <c r="I251" i="3"/>
  <c r="I255" i="3"/>
  <c r="I259" i="3"/>
  <c r="I263" i="3"/>
  <c r="I267" i="3"/>
  <c r="I271" i="3"/>
  <c r="I275" i="3"/>
  <c r="I279" i="3"/>
  <c r="I283" i="3"/>
  <c r="I287" i="3"/>
  <c r="I291" i="3"/>
  <c r="I295" i="3"/>
  <c r="I299" i="3"/>
  <c r="I303" i="3"/>
  <c r="I307" i="3"/>
  <c r="I311" i="3"/>
  <c r="I315" i="3"/>
  <c r="I319" i="3"/>
  <c r="I323" i="3"/>
  <c r="I327" i="3"/>
  <c r="I331" i="3"/>
  <c r="I335" i="3"/>
  <c r="I339" i="3"/>
  <c r="I343" i="3"/>
  <c r="I347" i="3"/>
  <c r="I351" i="3"/>
  <c r="I355" i="3"/>
  <c r="I359" i="3"/>
  <c r="I363" i="3"/>
  <c r="I367" i="3"/>
  <c r="I371" i="3"/>
  <c r="I375" i="3"/>
  <c r="I379" i="3"/>
  <c r="I383" i="3"/>
  <c r="I387" i="3"/>
  <c r="I391" i="3"/>
  <c r="I395" i="3"/>
  <c r="I399" i="3"/>
  <c r="I403" i="3"/>
  <c r="I407" i="3"/>
  <c r="I411" i="3"/>
  <c r="I415" i="3"/>
  <c r="I419" i="3"/>
  <c r="I423" i="3"/>
  <c r="I427" i="3"/>
  <c r="I431" i="3"/>
  <c r="I435" i="3"/>
  <c r="I439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K3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H267" i="3"/>
  <c r="H275" i="3"/>
  <c r="H283" i="3"/>
  <c r="H291" i="3"/>
  <c r="H299" i="3"/>
  <c r="H307" i="3"/>
  <c r="H315" i="3"/>
  <c r="H323" i="3"/>
  <c r="H331" i="3"/>
  <c r="H339" i="3"/>
  <c r="H347" i="3"/>
  <c r="H355" i="3"/>
  <c r="H363" i="3"/>
  <c r="H371" i="3"/>
  <c r="H379" i="3"/>
  <c r="H387" i="3"/>
  <c r="H395" i="3"/>
  <c r="H403" i="3"/>
  <c r="H411" i="3"/>
  <c r="H419" i="3"/>
  <c r="H427" i="3"/>
  <c r="H435" i="3"/>
  <c r="I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H269" i="3"/>
  <c r="H277" i="3"/>
  <c r="H285" i="3"/>
  <c r="H293" i="3"/>
  <c r="H301" i="3"/>
  <c r="H309" i="3"/>
  <c r="H317" i="3"/>
  <c r="H325" i="3"/>
  <c r="H333" i="3"/>
  <c r="H341" i="3"/>
  <c r="H349" i="3"/>
  <c r="H357" i="3"/>
  <c r="H365" i="3"/>
  <c r="H373" i="3"/>
  <c r="H381" i="3"/>
  <c r="H389" i="3"/>
  <c r="H397" i="3"/>
  <c r="H405" i="3"/>
  <c r="H413" i="3"/>
  <c r="H421" i="3"/>
  <c r="H429" i="3"/>
  <c r="H437" i="3"/>
  <c r="I5" i="3"/>
  <c r="I9" i="3"/>
  <c r="I13" i="3"/>
  <c r="I17" i="3"/>
  <c r="I21" i="3"/>
  <c r="I25" i="3"/>
  <c r="I29" i="3"/>
  <c r="I33" i="3"/>
  <c r="I37" i="3"/>
  <c r="I41" i="3"/>
  <c r="I45" i="3"/>
  <c r="I49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J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H271" i="3"/>
  <c r="H279" i="3"/>
  <c r="H287" i="3"/>
  <c r="H295" i="3"/>
  <c r="H303" i="3"/>
  <c r="H311" i="3"/>
  <c r="H319" i="3"/>
  <c r="H327" i="3"/>
  <c r="H335" i="3"/>
  <c r="H343" i="3"/>
  <c r="H351" i="3"/>
  <c r="H359" i="3"/>
  <c r="H367" i="3"/>
  <c r="H375" i="3"/>
  <c r="H383" i="3"/>
  <c r="H391" i="3"/>
  <c r="H399" i="3"/>
  <c r="H407" i="3"/>
  <c r="H415" i="3"/>
  <c r="H423" i="3"/>
  <c r="H431" i="3"/>
  <c r="H439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30" i="3"/>
  <c r="I134" i="3"/>
  <c r="I138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K6" i="3"/>
  <c r="K10" i="3"/>
  <c r="K14" i="3"/>
  <c r="K18" i="3"/>
  <c r="K22" i="3"/>
  <c r="K26" i="3"/>
  <c r="K30" i="3"/>
  <c r="K34" i="3"/>
  <c r="K38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239" i="3"/>
  <c r="K247" i="3"/>
  <c r="K255" i="3"/>
  <c r="K263" i="3"/>
  <c r="K271" i="3"/>
  <c r="K279" i="3"/>
  <c r="K287" i="3"/>
  <c r="K295" i="3"/>
  <c r="K303" i="3"/>
  <c r="K311" i="3"/>
  <c r="K319" i="3"/>
  <c r="K327" i="3"/>
  <c r="K335" i="3"/>
  <c r="K343" i="3"/>
  <c r="K351" i="3"/>
  <c r="K359" i="3"/>
  <c r="K367" i="3"/>
  <c r="K375" i="3"/>
  <c r="K383" i="3"/>
  <c r="K391" i="3"/>
  <c r="K399" i="3"/>
  <c r="K405" i="3"/>
  <c r="K409" i="3"/>
  <c r="K413" i="3"/>
  <c r="K417" i="3"/>
  <c r="K421" i="3"/>
  <c r="K425" i="3"/>
  <c r="K429" i="3"/>
  <c r="K433" i="3"/>
  <c r="K437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K345" i="3"/>
  <c r="K353" i="3"/>
  <c r="K361" i="3"/>
  <c r="K369" i="3"/>
  <c r="K377" i="3"/>
  <c r="K385" i="3"/>
  <c r="K393" i="3"/>
  <c r="K401" i="3"/>
  <c r="K406" i="3"/>
  <c r="K410" i="3"/>
  <c r="K414" i="3"/>
  <c r="K418" i="3"/>
  <c r="K422" i="3"/>
  <c r="K426" i="3"/>
  <c r="K430" i="3"/>
  <c r="K434" i="3"/>
  <c r="K438" i="3"/>
  <c r="K123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91" i="3"/>
  <c r="K299" i="3"/>
  <c r="K307" i="3"/>
  <c r="K315" i="3"/>
  <c r="K323" i="3"/>
  <c r="K331" i="3"/>
  <c r="K339" i="3"/>
  <c r="K347" i="3"/>
  <c r="K355" i="3"/>
  <c r="K363" i="3"/>
  <c r="K371" i="3"/>
  <c r="K379" i="3"/>
  <c r="K387" i="3"/>
  <c r="K395" i="3"/>
  <c r="K403" i="3"/>
  <c r="K407" i="3"/>
  <c r="K411" i="3"/>
  <c r="K415" i="3"/>
  <c r="K419" i="3"/>
  <c r="K423" i="3"/>
  <c r="K427" i="3"/>
  <c r="K431" i="3"/>
  <c r="K435" i="3"/>
  <c r="K439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K341" i="3"/>
  <c r="K349" i="3"/>
  <c r="K357" i="3"/>
  <c r="K365" i="3"/>
  <c r="K373" i="3"/>
  <c r="K381" i="3"/>
  <c r="K389" i="3"/>
  <c r="K397" i="3"/>
  <c r="K404" i="3"/>
  <c r="K408" i="3"/>
  <c r="K412" i="3"/>
  <c r="K416" i="3"/>
  <c r="K420" i="3"/>
  <c r="K424" i="3"/>
  <c r="K428" i="3"/>
  <c r="K432" i="3"/>
  <c r="K436" i="3"/>
  <c r="K440" i="3"/>
  <c r="F3" i="4"/>
  <c r="J3" i="4"/>
  <c r="D4" i="4"/>
  <c r="H4" i="4"/>
  <c r="B5" i="4"/>
  <c r="F5" i="4"/>
  <c r="J5" i="4"/>
  <c r="D6" i="4"/>
  <c r="H6" i="4"/>
  <c r="B7" i="4"/>
  <c r="F7" i="4"/>
  <c r="J7" i="4"/>
  <c r="D8" i="4"/>
  <c r="H8" i="4"/>
  <c r="B9" i="4"/>
  <c r="F9" i="4"/>
  <c r="J9" i="4"/>
  <c r="D10" i="4"/>
  <c r="H10" i="4"/>
  <c r="C3" i="4"/>
  <c r="G3" i="4"/>
  <c r="K3" i="4"/>
  <c r="E4" i="4"/>
  <c r="I4" i="4"/>
  <c r="C5" i="4"/>
  <c r="G5" i="4"/>
  <c r="K5" i="4"/>
  <c r="E6" i="4"/>
  <c r="I6" i="4"/>
  <c r="C7" i="4"/>
  <c r="G7" i="4"/>
  <c r="K7" i="4"/>
  <c r="E8" i="4"/>
  <c r="I8" i="4"/>
  <c r="C9" i="4"/>
  <c r="G9" i="4"/>
  <c r="K9" i="4"/>
  <c r="E10" i="4"/>
  <c r="I10" i="4"/>
  <c r="D3" i="4"/>
  <c r="H3" i="4"/>
  <c r="B4" i="4"/>
  <c r="F4" i="4"/>
  <c r="J4" i="4"/>
  <c r="D5" i="4"/>
  <c r="H5" i="4"/>
  <c r="B6" i="4"/>
  <c r="F6" i="4"/>
  <c r="J6" i="4"/>
  <c r="D7" i="4"/>
  <c r="H7" i="4"/>
  <c r="B8" i="4"/>
  <c r="F8" i="4"/>
  <c r="J8" i="4"/>
  <c r="D9" i="4"/>
  <c r="H9" i="4"/>
  <c r="B10" i="4"/>
  <c r="F10" i="4"/>
  <c r="J10" i="4"/>
  <c r="E3" i="4"/>
  <c r="I3" i="4"/>
  <c r="C4" i="4"/>
  <c r="G4" i="4"/>
  <c r="K4" i="4"/>
  <c r="E5" i="4"/>
  <c r="I5" i="4"/>
  <c r="C6" i="4"/>
  <c r="G6" i="4"/>
  <c r="K6" i="4"/>
  <c r="E7" i="4"/>
  <c r="I7" i="4"/>
  <c r="C8" i="4"/>
  <c r="G8" i="4"/>
  <c r="K8" i="4"/>
  <c r="E9" i="4"/>
  <c r="I9" i="4"/>
  <c r="C10" i="4"/>
  <c r="G10" i="4"/>
  <c r="K10" i="4"/>
  <c r="L521" i="3"/>
  <c r="L533" i="3"/>
  <c r="L543" i="3"/>
  <c r="L566" i="3"/>
  <c r="L567" i="3"/>
  <c r="L568" i="3"/>
  <c r="L605" i="3"/>
  <c r="L611" i="3"/>
  <c r="L616" i="3"/>
  <c r="L638" i="3"/>
  <c r="L639" i="3"/>
  <c r="L640" i="3"/>
  <c r="L662" i="3"/>
  <c r="L667" i="3"/>
  <c r="L672" i="3"/>
  <c r="L674" i="3"/>
  <c r="L677" i="3"/>
  <c r="L695" i="3"/>
  <c r="L698" i="3"/>
  <c r="L699" i="3"/>
  <c r="L716" i="3"/>
  <c r="L719" i="3"/>
  <c r="L736" i="3"/>
  <c r="L737" i="3"/>
  <c r="L755" i="3"/>
  <c r="L758" i="3"/>
  <c r="L759" i="3"/>
  <c r="L760" i="3"/>
  <c r="L775" i="3"/>
  <c r="L776" i="3"/>
  <c r="L821" i="3"/>
  <c r="L855" i="3"/>
  <c r="L860" i="3"/>
  <c r="L863" i="3"/>
  <c r="L879" i="3"/>
  <c r="L884" i="3"/>
  <c r="L889" i="3"/>
  <c r="L890" i="3"/>
  <c r="L914" i="3"/>
  <c r="L927" i="3"/>
  <c r="L928" i="3"/>
  <c r="L931" i="3"/>
  <c r="L943" i="3"/>
  <c r="L962" i="3"/>
  <c r="L963" i="3"/>
  <c r="L968" i="3"/>
  <c r="L979" i="3"/>
  <c r="L980" i="3"/>
  <c r="L996" i="3"/>
  <c r="L1000" i="3"/>
  <c r="B994" i="3"/>
  <c r="L994" i="3" s="1"/>
  <c r="B995" i="3"/>
  <c r="L995" i="3" s="1"/>
  <c r="B996" i="3"/>
  <c r="B997" i="3"/>
  <c r="L997" i="3" s="1"/>
  <c r="B998" i="3"/>
  <c r="L998" i="3" s="1"/>
  <c r="B999" i="3"/>
  <c r="L999" i="3" s="1"/>
  <c r="B1000" i="3"/>
  <c r="B978" i="3"/>
  <c r="L978" i="3" s="1"/>
  <c r="B979" i="3"/>
  <c r="B980" i="3"/>
  <c r="B981" i="3"/>
  <c r="L981" i="3" s="1"/>
  <c r="B982" i="3"/>
  <c r="L982" i="3" s="1"/>
  <c r="B983" i="3"/>
  <c r="L983" i="3" s="1"/>
  <c r="B984" i="3"/>
  <c r="L984" i="3" s="1"/>
  <c r="B985" i="3"/>
  <c r="L985" i="3" s="1"/>
  <c r="B986" i="3"/>
  <c r="L986" i="3" s="1"/>
  <c r="B987" i="3"/>
  <c r="L987" i="3" s="1"/>
  <c r="B988" i="3"/>
  <c r="L988" i="3" s="1"/>
  <c r="B989" i="3"/>
  <c r="L989" i="3" s="1"/>
  <c r="B990" i="3"/>
  <c r="L990" i="3" s="1"/>
  <c r="B991" i="3"/>
  <c r="L991" i="3" s="1"/>
  <c r="B992" i="3"/>
  <c r="L992" i="3" s="1"/>
  <c r="B993" i="3"/>
  <c r="L993" i="3" s="1"/>
  <c r="B965" i="3"/>
  <c r="L965" i="3" s="1"/>
  <c r="B966" i="3"/>
  <c r="L966" i="3" s="1"/>
  <c r="B967" i="3"/>
  <c r="L967" i="3" s="1"/>
  <c r="B968" i="3"/>
  <c r="B969" i="3"/>
  <c r="L969" i="3" s="1"/>
  <c r="B970" i="3"/>
  <c r="L970" i="3" s="1"/>
  <c r="B971" i="3"/>
  <c r="L971" i="3" s="1"/>
  <c r="B972" i="3"/>
  <c r="L972" i="3" s="1"/>
  <c r="B973" i="3"/>
  <c r="L973" i="3" s="1"/>
  <c r="B974" i="3"/>
  <c r="L974" i="3" s="1"/>
  <c r="B975" i="3"/>
  <c r="L975" i="3" s="1"/>
  <c r="B976" i="3"/>
  <c r="L976" i="3" s="1"/>
  <c r="B977" i="3"/>
  <c r="L977" i="3" s="1"/>
  <c r="B947" i="3"/>
  <c r="L947" i="3" s="1"/>
  <c r="B948" i="3"/>
  <c r="L948" i="3" s="1"/>
  <c r="B949" i="3"/>
  <c r="L949" i="3" s="1"/>
  <c r="B950" i="3"/>
  <c r="L950" i="3" s="1"/>
  <c r="B951" i="3"/>
  <c r="L951" i="3" s="1"/>
  <c r="B952" i="3"/>
  <c r="L952" i="3" s="1"/>
  <c r="B953" i="3"/>
  <c r="L953" i="3" s="1"/>
  <c r="B954" i="3"/>
  <c r="L954" i="3" s="1"/>
  <c r="B955" i="3"/>
  <c r="L955" i="3" s="1"/>
  <c r="B956" i="3"/>
  <c r="L956" i="3" s="1"/>
  <c r="B957" i="3"/>
  <c r="L957" i="3" s="1"/>
  <c r="B958" i="3"/>
  <c r="L958" i="3" s="1"/>
  <c r="B959" i="3"/>
  <c r="L959" i="3" s="1"/>
  <c r="B960" i="3"/>
  <c r="L960" i="3" s="1"/>
  <c r="B961" i="3"/>
  <c r="L961" i="3" s="1"/>
  <c r="B962" i="3"/>
  <c r="B963" i="3"/>
  <c r="B964" i="3"/>
  <c r="L964" i="3" s="1"/>
  <c r="B935" i="3"/>
  <c r="L935" i="3" s="1"/>
  <c r="B936" i="3"/>
  <c r="L936" i="3" s="1"/>
  <c r="B937" i="3"/>
  <c r="L937" i="3" s="1"/>
  <c r="B938" i="3"/>
  <c r="L938" i="3" s="1"/>
  <c r="B939" i="3"/>
  <c r="L939" i="3" s="1"/>
  <c r="B940" i="3"/>
  <c r="L940" i="3" s="1"/>
  <c r="B941" i="3"/>
  <c r="L941" i="3" s="1"/>
  <c r="B942" i="3"/>
  <c r="L942" i="3" s="1"/>
  <c r="B943" i="3"/>
  <c r="B944" i="3"/>
  <c r="L944" i="3" s="1"/>
  <c r="B945" i="3"/>
  <c r="L945" i="3" s="1"/>
  <c r="B946" i="3"/>
  <c r="L946" i="3" s="1"/>
  <c r="B919" i="3"/>
  <c r="L919" i="3" s="1"/>
  <c r="B920" i="3"/>
  <c r="L920" i="3" s="1"/>
  <c r="B921" i="3"/>
  <c r="L921" i="3" s="1"/>
  <c r="B922" i="3"/>
  <c r="L922" i="3" s="1"/>
  <c r="B923" i="3"/>
  <c r="L923" i="3" s="1"/>
  <c r="B924" i="3"/>
  <c r="L924" i="3" s="1"/>
  <c r="B925" i="3"/>
  <c r="L925" i="3" s="1"/>
  <c r="B926" i="3"/>
  <c r="L926" i="3" s="1"/>
  <c r="B927" i="3"/>
  <c r="B928" i="3"/>
  <c r="B929" i="3"/>
  <c r="L929" i="3" s="1"/>
  <c r="B930" i="3"/>
  <c r="L930" i="3" s="1"/>
  <c r="B931" i="3"/>
  <c r="B932" i="3"/>
  <c r="L932" i="3" s="1"/>
  <c r="B933" i="3"/>
  <c r="L933" i="3" s="1"/>
  <c r="B934" i="3"/>
  <c r="L934" i="3" s="1"/>
  <c r="B906" i="3"/>
  <c r="L906" i="3" s="1"/>
  <c r="B907" i="3"/>
  <c r="L907" i="3" s="1"/>
  <c r="B908" i="3"/>
  <c r="L908" i="3" s="1"/>
  <c r="B909" i="3"/>
  <c r="L909" i="3" s="1"/>
  <c r="B910" i="3"/>
  <c r="L910" i="3" s="1"/>
  <c r="B911" i="3"/>
  <c r="L911" i="3" s="1"/>
  <c r="B912" i="3"/>
  <c r="L912" i="3" s="1"/>
  <c r="B913" i="3"/>
  <c r="L913" i="3" s="1"/>
  <c r="B914" i="3"/>
  <c r="B915" i="3"/>
  <c r="L915" i="3" s="1"/>
  <c r="B916" i="3"/>
  <c r="L916" i="3" s="1"/>
  <c r="B917" i="3"/>
  <c r="L917" i="3" s="1"/>
  <c r="B918" i="3"/>
  <c r="L918" i="3" s="1"/>
  <c r="B891" i="3"/>
  <c r="L891" i="3" s="1"/>
  <c r="B892" i="3"/>
  <c r="L892" i="3" s="1"/>
  <c r="B893" i="3"/>
  <c r="L893" i="3" s="1"/>
  <c r="B894" i="3"/>
  <c r="L894" i="3" s="1"/>
  <c r="B895" i="3"/>
  <c r="L895" i="3" s="1"/>
  <c r="B896" i="3"/>
  <c r="L896" i="3" s="1"/>
  <c r="B897" i="3"/>
  <c r="L897" i="3" s="1"/>
  <c r="B898" i="3"/>
  <c r="L898" i="3" s="1"/>
  <c r="B899" i="3"/>
  <c r="L899" i="3" s="1"/>
  <c r="B900" i="3"/>
  <c r="L900" i="3" s="1"/>
  <c r="B901" i="3"/>
  <c r="L901" i="3" s="1"/>
  <c r="B902" i="3"/>
  <c r="L902" i="3" s="1"/>
  <c r="B903" i="3"/>
  <c r="L903" i="3" s="1"/>
  <c r="B904" i="3"/>
  <c r="L904" i="3" s="1"/>
  <c r="B905" i="3"/>
  <c r="L905" i="3" s="1"/>
  <c r="B878" i="3"/>
  <c r="L878" i="3" s="1"/>
  <c r="B879" i="3"/>
  <c r="B880" i="3"/>
  <c r="L880" i="3" s="1"/>
  <c r="B881" i="3"/>
  <c r="L881" i="3" s="1"/>
  <c r="B882" i="3"/>
  <c r="L882" i="3" s="1"/>
  <c r="B883" i="3"/>
  <c r="L883" i="3" s="1"/>
  <c r="B884" i="3"/>
  <c r="B885" i="3"/>
  <c r="L885" i="3" s="1"/>
  <c r="B886" i="3"/>
  <c r="L886" i="3" s="1"/>
  <c r="B887" i="3"/>
  <c r="L887" i="3" s="1"/>
  <c r="B888" i="3"/>
  <c r="L888" i="3" s="1"/>
  <c r="B889" i="3"/>
  <c r="B890" i="3"/>
  <c r="B867" i="3"/>
  <c r="L867" i="3" s="1"/>
  <c r="B868" i="3"/>
  <c r="L868" i="3" s="1"/>
  <c r="B869" i="3"/>
  <c r="L869" i="3" s="1"/>
  <c r="B870" i="3"/>
  <c r="L870" i="3" s="1"/>
  <c r="B871" i="3"/>
  <c r="L871" i="3" s="1"/>
  <c r="B872" i="3"/>
  <c r="L872" i="3" s="1"/>
  <c r="B873" i="3"/>
  <c r="L873" i="3" s="1"/>
  <c r="B874" i="3"/>
  <c r="L874" i="3" s="1"/>
  <c r="B875" i="3"/>
  <c r="L875" i="3" s="1"/>
  <c r="B876" i="3"/>
  <c r="L876" i="3" s="1"/>
  <c r="B877" i="3"/>
  <c r="L877" i="3" s="1"/>
  <c r="B837" i="3"/>
  <c r="L837" i="3" s="1"/>
  <c r="B838" i="3"/>
  <c r="L838" i="3" s="1"/>
  <c r="B839" i="3"/>
  <c r="L839" i="3" s="1"/>
  <c r="B840" i="3"/>
  <c r="L840" i="3" s="1"/>
  <c r="B841" i="3"/>
  <c r="L841" i="3" s="1"/>
  <c r="B842" i="3"/>
  <c r="L842" i="3" s="1"/>
  <c r="B843" i="3"/>
  <c r="L843" i="3" s="1"/>
  <c r="B844" i="3"/>
  <c r="L844" i="3" s="1"/>
  <c r="B845" i="3"/>
  <c r="L845" i="3" s="1"/>
  <c r="B846" i="3"/>
  <c r="L846" i="3" s="1"/>
  <c r="B847" i="3"/>
  <c r="L847" i="3" s="1"/>
  <c r="B848" i="3"/>
  <c r="L848" i="3" s="1"/>
  <c r="B849" i="3"/>
  <c r="L849" i="3" s="1"/>
  <c r="B850" i="3"/>
  <c r="L850" i="3" s="1"/>
  <c r="B851" i="3"/>
  <c r="L851" i="3" s="1"/>
  <c r="B852" i="3"/>
  <c r="L852" i="3" s="1"/>
  <c r="B853" i="3"/>
  <c r="L853" i="3" s="1"/>
  <c r="B854" i="3"/>
  <c r="L854" i="3" s="1"/>
  <c r="B855" i="3"/>
  <c r="B856" i="3"/>
  <c r="L856" i="3" s="1"/>
  <c r="B857" i="3"/>
  <c r="L857" i="3" s="1"/>
  <c r="B858" i="3"/>
  <c r="L858" i="3" s="1"/>
  <c r="B859" i="3"/>
  <c r="L859" i="3" s="1"/>
  <c r="B860" i="3"/>
  <c r="B861" i="3"/>
  <c r="L861" i="3" s="1"/>
  <c r="B862" i="3"/>
  <c r="L862" i="3" s="1"/>
  <c r="B863" i="3"/>
  <c r="B864" i="3"/>
  <c r="L864" i="3" s="1"/>
  <c r="B865" i="3"/>
  <c r="L865" i="3" s="1"/>
  <c r="B866" i="3"/>
  <c r="L866" i="3" s="1"/>
  <c r="B821" i="3"/>
  <c r="B822" i="3"/>
  <c r="L822" i="3" s="1"/>
  <c r="B823" i="3"/>
  <c r="L823" i="3" s="1"/>
  <c r="B824" i="3"/>
  <c r="L824" i="3" s="1"/>
  <c r="B825" i="3"/>
  <c r="L825" i="3" s="1"/>
  <c r="B826" i="3"/>
  <c r="L826" i="3" s="1"/>
  <c r="B827" i="3"/>
  <c r="L827" i="3" s="1"/>
  <c r="B828" i="3"/>
  <c r="L828" i="3" s="1"/>
  <c r="B829" i="3"/>
  <c r="L829" i="3" s="1"/>
  <c r="B830" i="3"/>
  <c r="L830" i="3" s="1"/>
  <c r="B831" i="3"/>
  <c r="L831" i="3" s="1"/>
  <c r="B832" i="3"/>
  <c r="L832" i="3" s="1"/>
  <c r="B833" i="3"/>
  <c r="L833" i="3" s="1"/>
  <c r="B834" i="3"/>
  <c r="L834" i="3" s="1"/>
  <c r="B835" i="3"/>
  <c r="L835" i="3" s="1"/>
  <c r="B836" i="3"/>
  <c r="L836" i="3" s="1"/>
  <c r="B804" i="3"/>
  <c r="L804" i="3" s="1"/>
  <c r="B805" i="3"/>
  <c r="L805" i="3" s="1"/>
  <c r="B806" i="3"/>
  <c r="L806" i="3" s="1"/>
  <c r="B807" i="3"/>
  <c r="L807" i="3" s="1"/>
  <c r="B808" i="3"/>
  <c r="L808" i="3" s="1"/>
  <c r="B809" i="3"/>
  <c r="L809" i="3" s="1"/>
  <c r="B810" i="3"/>
  <c r="L810" i="3" s="1"/>
  <c r="B811" i="3"/>
  <c r="L811" i="3" s="1"/>
  <c r="B812" i="3"/>
  <c r="L812" i="3" s="1"/>
  <c r="B813" i="3"/>
  <c r="L813" i="3" s="1"/>
  <c r="B814" i="3"/>
  <c r="L814" i="3" s="1"/>
  <c r="B815" i="3"/>
  <c r="L815" i="3" s="1"/>
  <c r="B816" i="3"/>
  <c r="L816" i="3" s="1"/>
  <c r="B817" i="3"/>
  <c r="L817" i="3" s="1"/>
  <c r="B818" i="3"/>
  <c r="L818" i="3" s="1"/>
  <c r="B819" i="3"/>
  <c r="L819" i="3" s="1"/>
  <c r="B820" i="3"/>
  <c r="L820" i="3" s="1"/>
  <c r="B789" i="3"/>
  <c r="L789" i="3" s="1"/>
  <c r="B790" i="3"/>
  <c r="L790" i="3" s="1"/>
  <c r="B791" i="3"/>
  <c r="L791" i="3" s="1"/>
  <c r="B792" i="3"/>
  <c r="L792" i="3" s="1"/>
  <c r="B793" i="3"/>
  <c r="L793" i="3" s="1"/>
  <c r="B794" i="3"/>
  <c r="L794" i="3" s="1"/>
  <c r="B795" i="3"/>
  <c r="L795" i="3" s="1"/>
  <c r="B796" i="3"/>
  <c r="L796" i="3" s="1"/>
  <c r="B797" i="3"/>
  <c r="L797" i="3" s="1"/>
  <c r="B798" i="3"/>
  <c r="L798" i="3" s="1"/>
  <c r="B799" i="3"/>
  <c r="L799" i="3" s="1"/>
  <c r="B800" i="3"/>
  <c r="L800" i="3" s="1"/>
  <c r="B801" i="3"/>
  <c r="L801" i="3" s="1"/>
  <c r="B802" i="3"/>
  <c r="L802" i="3" s="1"/>
  <c r="B803" i="3"/>
  <c r="L803" i="3" s="1"/>
  <c r="B769" i="3"/>
  <c r="L769" i="3" s="1"/>
  <c r="B770" i="3"/>
  <c r="L770" i="3" s="1"/>
  <c r="B771" i="3"/>
  <c r="L771" i="3" s="1"/>
  <c r="B772" i="3"/>
  <c r="L772" i="3" s="1"/>
  <c r="B773" i="3"/>
  <c r="L773" i="3" s="1"/>
  <c r="B774" i="3"/>
  <c r="L774" i="3" s="1"/>
  <c r="B775" i="3"/>
  <c r="B776" i="3"/>
  <c r="B777" i="3"/>
  <c r="L777" i="3" s="1"/>
  <c r="B778" i="3"/>
  <c r="L778" i="3" s="1"/>
  <c r="B779" i="3"/>
  <c r="L779" i="3" s="1"/>
  <c r="B780" i="3"/>
  <c r="L780" i="3" s="1"/>
  <c r="B781" i="3"/>
  <c r="L781" i="3" s="1"/>
  <c r="B782" i="3"/>
  <c r="L782" i="3" s="1"/>
  <c r="B783" i="3"/>
  <c r="L783" i="3" s="1"/>
  <c r="B784" i="3"/>
  <c r="L784" i="3" s="1"/>
  <c r="B785" i="3"/>
  <c r="L785" i="3" s="1"/>
  <c r="B786" i="3"/>
  <c r="L786" i="3" s="1"/>
  <c r="B787" i="3"/>
  <c r="L787" i="3" s="1"/>
  <c r="B788" i="3"/>
  <c r="L788" i="3" s="1"/>
  <c r="B753" i="3"/>
  <c r="L753" i="3" s="1"/>
  <c r="B754" i="3"/>
  <c r="L754" i="3" s="1"/>
  <c r="B755" i="3"/>
  <c r="B756" i="3"/>
  <c r="L756" i="3" s="1"/>
  <c r="B757" i="3"/>
  <c r="L757" i="3" s="1"/>
  <c r="B758" i="3"/>
  <c r="B759" i="3"/>
  <c r="B760" i="3"/>
  <c r="B761" i="3"/>
  <c r="L761" i="3" s="1"/>
  <c r="B762" i="3"/>
  <c r="L762" i="3" s="1"/>
  <c r="B763" i="3"/>
  <c r="L763" i="3" s="1"/>
  <c r="B764" i="3"/>
  <c r="L764" i="3" s="1"/>
  <c r="B765" i="3"/>
  <c r="L765" i="3" s="1"/>
  <c r="B766" i="3"/>
  <c r="L766" i="3" s="1"/>
  <c r="B767" i="3"/>
  <c r="L767" i="3" s="1"/>
  <c r="B768" i="3"/>
  <c r="L768" i="3" s="1"/>
  <c r="B739" i="3"/>
  <c r="L739" i="3" s="1"/>
  <c r="B740" i="3"/>
  <c r="L740" i="3" s="1"/>
  <c r="B741" i="3"/>
  <c r="L741" i="3" s="1"/>
  <c r="B742" i="3"/>
  <c r="L742" i="3" s="1"/>
  <c r="B743" i="3"/>
  <c r="L743" i="3" s="1"/>
  <c r="B744" i="3"/>
  <c r="L744" i="3" s="1"/>
  <c r="B745" i="3"/>
  <c r="L745" i="3" s="1"/>
  <c r="B746" i="3"/>
  <c r="L746" i="3" s="1"/>
  <c r="B747" i="3"/>
  <c r="L747" i="3" s="1"/>
  <c r="B748" i="3"/>
  <c r="L748" i="3" s="1"/>
  <c r="B749" i="3"/>
  <c r="L749" i="3" s="1"/>
  <c r="B750" i="3"/>
  <c r="L750" i="3" s="1"/>
  <c r="B751" i="3"/>
  <c r="L751" i="3" s="1"/>
  <c r="B752" i="3"/>
  <c r="L752" i="3" s="1"/>
  <c r="B708" i="3"/>
  <c r="L708" i="3" s="1"/>
  <c r="B709" i="3"/>
  <c r="L709" i="3" s="1"/>
  <c r="B710" i="3"/>
  <c r="L710" i="3" s="1"/>
  <c r="B711" i="3"/>
  <c r="L711" i="3" s="1"/>
  <c r="B712" i="3"/>
  <c r="L712" i="3" s="1"/>
  <c r="B713" i="3"/>
  <c r="L713" i="3" s="1"/>
  <c r="B714" i="3"/>
  <c r="L714" i="3" s="1"/>
  <c r="B715" i="3"/>
  <c r="L715" i="3" s="1"/>
  <c r="B716" i="3"/>
  <c r="B717" i="3"/>
  <c r="L717" i="3" s="1"/>
  <c r="B718" i="3"/>
  <c r="L718" i="3" s="1"/>
  <c r="B719" i="3"/>
  <c r="B720" i="3"/>
  <c r="L720" i="3" s="1"/>
  <c r="B721" i="3"/>
  <c r="L721" i="3" s="1"/>
  <c r="B722" i="3"/>
  <c r="L722" i="3" s="1"/>
  <c r="B723" i="3"/>
  <c r="L723" i="3" s="1"/>
  <c r="B724" i="3"/>
  <c r="L724" i="3" s="1"/>
  <c r="B725" i="3"/>
  <c r="L725" i="3" s="1"/>
  <c r="B726" i="3"/>
  <c r="L726" i="3" s="1"/>
  <c r="B727" i="3"/>
  <c r="L727" i="3" s="1"/>
  <c r="B728" i="3"/>
  <c r="L728" i="3" s="1"/>
  <c r="B729" i="3"/>
  <c r="L729" i="3" s="1"/>
  <c r="B730" i="3"/>
  <c r="L730" i="3" s="1"/>
  <c r="B731" i="3"/>
  <c r="L731" i="3" s="1"/>
  <c r="B732" i="3"/>
  <c r="L732" i="3" s="1"/>
  <c r="B733" i="3"/>
  <c r="L733" i="3" s="1"/>
  <c r="B734" i="3"/>
  <c r="L734" i="3" s="1"/>
  <c r="B735" i="3"/>
  <c r="L735" i="3" s="1"/>
  <c r="B736" i="3"/>
  <c r="B737" i="3"/>
  <c r="B738" i="3"/>
  <c r="L738" i="3" s="1"/>
  <c r="B694" i="3"/>
  <c r="L694" i="3" s="1"/>
  <c r="B695" i="3"/>
  <c r="B696" i="3"/>
  <c r="L696" i="3" s="1"/>
  <c r="B697" i="3"/>
  <c r="L697" i="3" s="1"/>
  <c r="B698" i="3"/>
  <c r="B699" i="3"/>
  <c r="B700" i="3"/>
  <c r="L700" i="3" s="1"/>
  <c r="B701" i="3"/>
  <c r="L701" i="3" s="1"/>
  <c r="B702" i="3"/>
  <c r="L702" i="3" s="1"/>
  <c r="B703" i="3"/>
  <c r="L703" i="3" s="1"/>
  <c r="B704" i="3"/>
  <c r="L704" i="3" s="1"/>
  <c r="B705" i="3"/>
  <c r="L705" i="3" s="1"/>
  <c r="B706" i="3"/>
  <c r="L706" i="3" s="1"/>
  <c r="B707" i="3"/>
  <c r="L707" i="3" s="1"/>
  <c r="B678" i="3"/>
  <c r="L678" i="3" s="1"/>
  <c r="B679" i="3"/>
  <c r="L679" i="3" s="1"/>
  <c r="B680" i="3"/>
  <c r="L680" i="3" s="1"/>
  <c r="B681" i="3"/>
  <c r="L681" i="3" s="1"/>
  <c r="B682" i="3"/>
  <c r="L682" i="3" s="1"/>
  <c r="B683" i="3"/>
  <c r="L683" i="3" s="1"/>
  <c r="B684" i="3"/>
  <c r="L684" i="3" s="1"/>
  <c r="B685" i="3"/>
  <c r="L685" i="3" s="1"/>
  <c r="B686" i="3"/>
  <c r="L686" i="3" s="1"/>
  <c r="B687" i="3"/>
  <c r="L687" i="3" s="1"/>
  <c r="B688" i="3"/>
  <c r="L688" i="3" s="1"/>
  <c r="B689" i="3"/>
  <c r="L689" i="3" s="1"/>
  <c r="B690" i="3"/>
  <c r="L690" i="3" s="1"/>
  <c r="B691" i="3"/>
  <c r="L691" i="3" s="1"/>
  <c r="B692" i="3"/>
  <c r="L692" i="3" s="1"/>
  <c r="B693" i="3"/>
  <c r="L693" i="3" s="1"/>
  <c r="B658" i="3"/>
  <c r="L658" i="3" s="1"/>
  <c r="B659" i="3"/>
  <c r="L659" i="3" s="1"/>
  <c r="B660" i="3"/>
  <c r="L660" i="3" s="1"/>
  <c r="B661" i="3"/>
  <c r="L661" i="3" s="1"/>
  <c r="B662" i="3"/>
  <c r="B663" i="3"/>
  <c r="L663" i="3" s="1"/>
  <c r="B664" i="3"/>
  <c r="L664" i="3" s="1"/>
  <c r="B665" i="3"/>
  <c r="L665" i="3" s="1"/>
  <c r="B666" i="3"/>
  <c r="L666" i="3" s="1"/>
  <c r="B667" i="3"/>
  <c r="B668" i="3"/>
  <c r="L668" i="3" s="1"/>
  <c r="B669" i="3"/>
  <c r="L669" i="3" s="1"/>
  <c r="B670" i="3"/>
  <c r="L670" i="3" s="1"/>
  <c r="B671" i="3"/>
  <c r="L671" i="3" s="1"/>
  <c r="B672" i="3"/>
  <c r="B673" i="3"/>
  <c r="L673" i="3" s="1"/>
  <c r="B674" i="3"/>
  <c r="B675" i="3"/>
  <c r="L675" i="3" s="1"/>
  <c r="B676" i="3"/>
  <c r="L676" i="3" s="1"/>
  <c r="B677" i="3"/>
  <c r="B641" i="3"/>
  <c r="L641" i="3" s="1"/>
  <c r="B642" i="3"/>
  <c r="L642" i="3" s="1"/>
  <c r="B643" i="3"/>
  <c r="L643" i="3" s="1"/>
  <c r="B644" i="3"/>
  <c r="L644" i="3" s="1"/>
  <c r="B645" i="3"/>
  <c r="L645" i="3" s="1"/>
  <c r="B646" i="3"/>
  <c r="L646" i="3" s="1"/>
  <c r="B647" i="3"/>
  <c r="L647" i="3" s="1"/>
  <c r="B648" i="3"/>
  <c r="L648" i="3" s="1"/>
  <c r="B649" i="3"/>
  <c r="L649" i="3" s="1"/>
  <c r="B650" i="3"/>
  <c r="L650" i="3" s="1"/>
  <c r="B651" i="3"/>
  <c r="L651" i="3" s="1"/>
  <c r="B652" i="3"/>
  <c r="L652" i="3" s="1"/>
  <c r="B653" i="3"/>
  <c r="L653" i="3" s="1"/>
  <c r="B654" i="3"/>
  <c r="L654" i="3" s="1"/>
  <c r="B655" i="3"/>
  <c r="L655" i="3" s="1"/>
  <c r="B656" i="3"/>
  <c r="L656" i="3" s="1"/>
  <c r="B657" i="3"/>
  <c r="L657" i="3" s="1"/>
  <c r="B619" i="3"/>
  <c r="L619" i="3" s="1"/>
  <c r="B620" i="3"/>
  <c r="L620" i="3" s="1"/>
  <c r="B621" i="3"/>
  <c r="L621" i="3" s="1"/>
  <c r="B622" i="3"/>
  <c r="L622" i="3" s="1"/>
  <c r="B623" i="3"/>
  <c r="L623" i="3" s="1"/>
  <c r="B624" i="3"/>
  <c r="L624" i="3" s="1"/>
  <c r="B625" i="3"/>
  <c r="L625" i="3" s="1"/>
  <c r="B626" i="3"/>
  <c r="L626" i="3" s="1"/>
  <c r="B627" i="3"/>
  <c r="L627" i="3" s="1"/>
  <c r="B628" i="3"/>
  <c r="L628" i="3" s="1"/>
  <c r="B629" i="3"/>
  <c r="L629" i="3" s="1"/>
  <c r="B630" i="3"/>
  <c r="L630" i="3" s="1"/>
  <c r="B631" i="3"/>
  <c r="L631" i="3" s="1"/>
  <c r="B632" i="3"/>
  <c r="L632" i="3" s="1"/>
  <c r="B633" i="3"/>
  <c r="L633" i="3" s="1"/>
  <c r="B634" i="3"/>
  <c r="L634" i="3" s="1"/>
  <c r="B635" i="3"/>
  <c r="L635" i="3" s="1"/>
  <c r="B636" i="3"/>
  <c r="L636" i="3" s="1"/>
  <c r="B637" i="3"/>
  <c r="L637" i="3" s="1"/>
  <c r="B638" i="3"/>
  <c r="B639" i="3"/>
  <c r="B640" i="3"/>
  <c r="B601" i="3"/>
  <c r="L601" i="3" s="1"/>
  <c r="B602" i="3"/>
  <c r="L602" i="3" s="1"/>
  <c r="B603" i="3"/>
  <c r="L603" i="3" s="1"/>
  <c r="B604" i="3"/>
  <c r="L604" i="3" s="1"/>
  <c r="B605" i="3"/>
  <c r="B606" i="3"/>
  <c r="L606" i="3" s="1"/>
  <c r="B607" i="3"/>
  <c r="L607" i="3" s="1"/>
  <c r="B608" i="3"/>
  <c r="L608" i="3" s="1"/>
  <c r="B609" i="3"/>
  <c r="L609" i="3" s="1"/>
  <c r="B610" i="3"/>
  <c r="L610" i="3" s="1"/>
  <c r="B611" i="3"/>
  <c r="B612" i="3"/>
  <c r="L612" i="3" s="1"/>
  <c r="B613" i="3"/>
  <c r="L613" i="3" s="1"/>
  <c r="B614" i="3"/>
  <c r="L614" i="3" s="1"/>
  <c r="B615" i="3"/>
  <c r="L615" i="3" s="1"/>
  <c r="B616" i="3"/>
  <c r="B617" i="3"/>
  <c r="L617" i="3" s="1"/>
  <c r="B618" i="3"/>
  <c r="L618" i="3" s="1"/>
  <c r="B589" i="3"/>
  <c r="L589" i="3" s="1"/>
  <c r="B590" i="3"/>
  <c r="L590" i="3" s="1"/>
  <c r="B591" i="3"/>
  <c r="L591" i="3" s="1"/>
  <c r="B592" i="3"/>
  <c r="L592" i="3" s="1"/>
  <c r="B593" i="3"/>
  <c r="L593" i="3" s="1"/>
  <c r="B594" i="3"/>
  <c r="L594" i="3" s="1"/>
  <c r="B595" i="3"/>
  <c r="L595" i="3" s="1"/>
  <c r="B596" i="3"/>
  <c r="L596" i="3" s="1"/>
  <c r="B597" i="3"/>
  <c r="L597" i="3" s="1"/>
  <c r="B598" i="3"/>
  <c r="L598" i="3" s="1"/>
  <c r="B599" i="3"/>
  <c r="L599" i="3" s="1"/>
  <c r="B600" i="3"/>
  <c r="L600" i="3" s="1"/>
  <c r="B583" i="3"/>
  <c r="L583" i="3" s="1"/>
  <c r="B584" i="3"/>
  <c r="L584" i="3" s="1"/>
  <c r="B585" i="3"/>
  <c r="L585" i="3" s="1"/>
  <c r="B586" i="3"/>
  <c r="L586" i="3" s="1"/>
  <c r="B587" i="3"/>
  <c r="L587" i="3" s="1"/>
  <c r="B588" i="3"/>
  <c r="L588" i="3" s="1"/>
  <c r="B567" i="3"/>
  <c r="B568" i="3"/>
  <c r="B569" i="3"/>
  <c r="L569" i="3" s="1"/>
  <c r="B570" i="3"/>
  <c r="L570" i="3" s="1"/>
  <c r="B571" i="3"/>
  <c r="L571" i="3" s="1"/>
  <c r="B572" i="3"/>
  <c r="L572" i="3" s="1"/>
  <c r="B573" i="3"/>
  <c r="L573" i="3" s="1"/>
  <c r="B574" i="3"/>
  <c r="L574" i="3" s="1"/>
  <c r="B575" i="3"/>
  <c r="L575" i="3" s="1"/>
  <c r="B576" i="3"/>
  <c r="L576" i="3" s="1"/>
  <c r="B577" i="3"/>
  <c r="L577" i="3" s="1"/>
  <c r="B578" i="3"/>
  <c r="L578" i="3" s="1"/>
  <c r="B579" i="3"/>
  <c r="L579" i="3" s="1"/>
  <c r="B580" i="3"/>
  <c r="L580" i="3" s="1"/>
  <c r="B581" i="3"/>
  <c r="L581" i="3" s="1"/>
  <c r="B582" i="3"/>
  <c r="L582" i="3" s="1"/>
  <c r="B550" i="3"/>
  <c r="L550" i="3" s="1"/>
  <c r="B551" i="3"/>
  <c r="L551" i="3" s="1"/>
  <c r="B552" i="3"/>
  <c r="L552" i="3" s="1"/>
  <c r="B553" i="3"/>
  <c r="L553" i="3" s="1"/>
  <c r="B554" i="3"/>
  <c r="L554" i="3" s="1"/>
  <c r="B555" i="3"/>
  <c r="L555" i="3" s="1"/>
  <c r="B556" i="3"/>
  <c r="L556" i="3" s="1"/>
  <c r="B557" i="3"/>
  <c r="L557" i="3" s="1"/>
  <c r="B558" i="3"/>
  <c r="L558" i="3" s="1"/>
  <c r="B559" i="3"/>
  <c r="L559" i="3" s="1"/>
  <c r="B560" i="3"/>
  <c r="L560" i="3" s="1"/>
  <c r="B561" i="3"/>
  <c r="L561" i="3" s="1"/>
  <c r="B562" i="3"/>
  <c r="L562" i="3" s="1"/>
  <c r="B563" i="3"/>
  <c r="L563" i="3" s="1"/>
  <c r="B564" i="3"/>
  <c r="L564" i="3" s="1"/>
  <c r="B565" i="3"/>
  <c r="L565" i="3" s="1"/>
  <c r="B566" i="3"/>
  <c r="B520" i="3"/>
  <c r="L520" i="3" s="1"/>
  <c r="B521" i="3"/>
  <c r="B522" i="3"/>
  <c r="L522" i="3" s="1"/>
  <c r="B523" i="3"/>
  <c r="L523" i="3" s="1"/>
  <c r="B524" i="3"/>
  <c r="L524" i="3" s="1"/>
  <c r="B525" i="3"/>
  <c r="L525" i="3" s="1"/>
  <c r="B526" i="3"/>
  <c r="L526" i="3" s="1"/>
  <c r="B527" i="3"/>
  <c r="L527" i="3" s="1"/>
  <c r="B528" i="3"/>
  <c r="L528" i="3" s="1"/>
  <c r="B529" i="3"/>
  <c r="L529" i="3" s="1"/>
  <c r="B530" i="3"/>
  <c r="L530" i="3" s="1"/>
  <c r="B531" i="3"/>
  <c r="L531" i="3" s="1"/>
  <c r="B532" i="3"/>
  <c r="L532" i="3" s="1"/>
  <c r="B533" i="3"/>
  <c r="B534" i="3"/>
  <c r="L534" i="3" s="1"/>
  <c r="B535" i="3"/>
  <c r="L535" i="3" s="1"/>
  <c r="B536" i="3"/>
  <c r="L536" i="3" s="1"/>
  <c r="B537" i="3"/>
  <c r="L537" i="3" s="1"/>
  <c r="B538" i="3"/>
  <c r="L538" i="3" s="1"/>
  <c r="B539" i="3"/>
  <c r="L539" i="3" s="1"/>
  <c r="B540" i="3"/>
  <c r="L540" i="3" s="1"/>
  <c r="B541" i="3"/>
  <c r="L541" i="3" s="1"/>
  <c r="B542" i="3"/>
  <c r="L542" i="3" s="1"/>
  <c r="B543" i="3"/>
  <c r="B544" i="3"/>
  <c r="L544" i="3" s="1"/>
  <c r="B545" i="3"/>
  <c r="L545" i="3" s="1"/>
  <c r="B546" i="3"/>
  <c r="L546" i="3" s="1"/>
  <c r="B547" i="3"/>
  <c r="L547" i="3" s="1"/>
  <c r="B548" i="3"/>
  <c r="L548" i="3" s="1"/>
  <c r="B549" i="3"/>
  <c r="L549" i="3" s="1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43" i="3"/>
  <c r="B444" i="3"/>
  <c r="B445" i="3"/>
  <c r="B446" i="3"/>
  <c r="B447" i="3"/>
  <c r="B448" i="3"/>
  <c r="B449" i="3"/>
  <c r="B450" i="3"/>
  <c r="L19" i="4" l="1"/>
  <c r="L169" i="5" a="1"/>
  <c r="L169" i="5" s="1"/>
  <c r="L90" i="5" a="1"/>
  <c r="L90" i="5" s="1"/>
  <c r="L484" i="5" a="1"/>
  <c r="L484" i="5" s="1"/>
  <c r="L115" i="5" a="1"/>
  <c r="L115" i="5" s="1"/>
  <c r="L223" i="5" a="1"/>
  <c r="L223" i="5" s="1"/>
  <c r="L452" i="5" a="1"/>
  <c r="L452" i="5" s="1"/>
  <c r="L77" i="5" a="1"/>
  <c r="L77" i="5" s="1"/>
  <c r="L214" i="5" a="1"/>
  <c r="L214" i="5" s="1"/>
  <c r="L31" i="5" a="1"/>
  <c r="L31" i="5" s="1"/>
  <c r="L210" i="5" a="1"/>
  <c r="L210" i="5" s="1"/>
  <c r="L330" i="5" a="1"/>
  <c r="L330" i="5" s="1"/>
  <c r="L53" i="5" a="1"/>
  <c r="L53" i="5" s="1"/>
  <c r="L464" i="5" a="1"/>
  <c r="L464" i="5" s="1"/>
  <c r="L415" i="5" a="1"/>
  <c r="L415" i="5" s="1"/>
  <c r="L186" i="5" a="1"/>
  <c r="L186" i="5" s="1"/>
  <c r="L318" i="5" a="1"/>
  <c r="L318" i="5" s="1"/>
  <c r="L41" i="5" a="1"/>
  <c r="L41" i="5" s="1"/>
  <c r="L418" i="5" a="1"/>
  <c r="L418" i="5" s="1"/>
  <c r="L403" i="5" a="1"/>
  <c r="L403" i="5" s="1"/>
  <c r="L162" i="5" a="1"/>
  <c r="L162" i="5" s="1"/>
  <c r="L306" i="5" a="1"/>
  <c r="L306" i="5" s="1"/>
  <c r="L213" i="5" a="1"/>
  <c r="L213" i="5" s="1"/>
  <c r="L391" i="5" a="1"/>
  <c r="L391" i="5" s="1"/>
  <c r="L150" i="5" a="1"/>
  <c r="L150" i="5" s="1"/>
  <c r="L294" i="5" a="1"/>
  <c r="L294" i="5" s="1"/>
  <c r="L45" i="5" a="1"/>
  <c r="L45" i="5" s="1"/>
  <c r="L367" i="5" a="1"/>
  <c r="L367" i="5" s="1"/>
  <c r="L138" i="5" a="1"/>
  <c r="L138" i="5" s="1"/>
  <c r="L282" i="5" a="1"/>
  <c r="L282" i="5" s="1"/>
  <c r="L297" i="5" a="1"/>
  <c r="L297" i="5" s="1"/>
  <c r="L331" i="5" a="1"/>
  <c r="L331" i="5" s="1"/>
  <c r="L126" i="5" a="1"/>
  <c r="L126" i="5" s="1"/>
  <c r="L270" i="5" a="1"/>
  <c r="L270" i="5" s="1"/>
  <c r="L116" i="5" a="1"/>
  <c r="L116" i="5" s="1"/>
  <c r="L295" i="5" a="1"/>
  <c r="L295" i="5" s="1"/>
  <c r="L102" i="5" a="1"/>
  <c r="L102" i="5" s="1"/>
  <c r="L258" i="5" a="1"/>
  <c r="L258" i="5" s="1"/>
  <c r="L356" i="5" a="1"/>
  <c r="L356" i="5" s="1"/>
  <c r="L283" i="5" a="1"/>
  <c r="L283" i="5" s="1"/>
  <c r="L78" i="5" a="1"/>
  <c r="L78" i="5" s="1"/>
  <c r="L246" i="5" a="1"/>
  <c r="L246" i="5" s="1"/>
  <c r="L284" i="5" a="1"/>
  <c r="L284" i="5" s="1"/>
  <c r="L259" i="5" a="1"/>
  <c r="L259" i="5" s="1"/>
  <c r="L66" i="5" a="1"/>
  <c r="L66" i="5" s="1"/>
  <c r="L199" i="5" a="1"/>
  <c r="L199" i="5" s="1"/>
  <c r="L247" i="5" a="1"/>
  <c r="L247" i="5" s="1"/>
  <c r="L54" i="5" a="1"/>
  <c r="L54" i="5" s="1"/>
  <c r="L222" i="5" a="1"/>
  <c r="L222" i="5" s="1"/>
  <c r="L187" i="5" a="1"/>
  <c r="L187" i="5" s="1"/>
  <c r="L42" i="5" a="1"/>
  <c r="L42" i="5" s="1"/>
  <c r="L209" i="5" a="1"/>
  <c r="L209" i="5" s="1"/>
  <c r="L447" i="5" a="1"/>
  <c r="L447" i="5" s="1"/>
  <c r="L204" i="5" a="1"/>
  <c r="L204" i="5" s="1"/>
  <c r="L514" i="5" a="1"/>
  <c r="L514" i="5" s="1"/>
  <c r="L227" i="5" a="1"/>
  <c r="L227" i="5" s="1"/>
  <c r="L513" i="5" a="1"/>
  <c r="L513" i="5" s="1"/>
  <c r="L226" i="5" a="1"/>
  <c r="L226" i="5" s="1"/>
  <c r="L500" i="5" a="1"/>
  <c r="L500" i="5" s="1"/>
  <c r="L201" i="5" a="1"/>
  <c r="L201" i="5" s="1"/>
  <c r="L511" i="5" a="1"/>
  <c r="L511" i="5" s="1"/>
  <c r="L348" i="5" a="1"/>
  <c r="L348" i="5" s="1"/>
  <c r="L308" i="5" a="1"/>
  <c r="L308" i="5" s="1"/>
  <c r="L474" i="5" a="1"/>
  <c r="L474" i="5" s="1"/>
  <c r="L357" i="5" a="1"/>
  <c r="L357" i="5" s="1"/>
  <c r="L307" i="5" a="1"/>
  <c r="L307" i="5" s="1"/>
  <c r="L473" i="5" a="1"/>
  <c r="L473" i="5" s="1"/>
  <c r="L286" i="5" a="1"/>
  <c r="L286" i="5" s="1"/>
  <c r="L152" i="5" a="1"/>
  <c r="L152" i="5" s="1"/>
  <c r="L366" i="5" a="1"/>
  <c r="L366" i="5" s="1"/>
  <c r="L371" i="5" a="1"/>
  <c r="L371" i="5" s="1"/>
  <c r="L317" i="5" a="1"/>
  <c r="L317" i="5" s="1"/>
  <c r="L268" i="5" a="1"/>
  <c r="L268" i="5" s="1"/>
  <c r="L88" i="5" a="1"/>
  <c r="L88" i="5" s="1"/>
  <c r="L303" i="5" a="1"/>
  <c r="L303" i="5" s="1"/>
  <c r="L123" i="5" a="1"/>
  <c r="L123" i="5" s="1"/>
  <c r="L218" i="5" a="1"/>
  <c r="L218" i="5" s="1"/>
  <c r="L26" i="5" a="1"/>
  <c r="L26" i="5" s="1"/>
  <c r="L229" i="5" a="1"/>
  <c r="L229" i="5" s="1"/>
  <c r="L61" i="5" a="1"/>
  <c r="L61" i="5" s="1"/>
  <c r="L256" i="5" a="1"/>
  <c r="L256" i="5" s="1"/>
  <c r="L76" i="5" a="1"/>
  <c r="L76" i="5" s="1"/>
  <c r="L111" i="5" a="1"/>
  <c r="L111" i="5" s="1"/>
  <c r="L206" i="5" a="1"/>
  <c r="L206" i="5" s="1"/>
  <c r="L398" i="5" a="1"/>
  <c r="L398" i="5" s="1"/>
  <c r="L192" i="5" a="1"/>
  <c r="L192" i="5" s="1"/>
  <c r="L502" i="5" a="1"/>
  <c r="L502" i="5" s="1"/>
  <c r="L203" i="5" a="1"/>
  <c r="L203" i="5" s="1"/>
  <c r="L501" i="5" a="1"/>
  <c r="L501" i="5" s="1"/>
  <c r="L202" i="5" a="1"/>
  <c r="L202" i="5" s="1"/>
  <c r="L488" i="5" a="1"/>
  <c r="L488" i="5" s="1"/>
  <c r="L189" i="5" a="1"/>
  <c r="L189" i="5" s="1"/>
  <c r="L499" i="5" a="1"/>
  <c r="L499" i="5" s="1"/>
  <c r="L443" i="5" a="1"/>
  <c r="L443" i="5" s="1"/>
  <c r="L248" i="5" a="1"/>
  <c r="L248" i="5" s="1"/>
  <c r="L376" i="5" a="1"/>
  <c r="L376" i="5" s="1"/>
  <c r="L333" i="5" a="1"/>
  <c r="L333" i="5" s="1"/>
  <c r="L271" i="5" a="1"/>
  <c r="L271" i="5" s="1"/>
  <c r="L424" i="5" a="1"/>
  <c r="L424" i="5" s="1"/>
  <c r="L429" i="5" a="1"/>
  <c r="L429" i="5" s="1"/>
  <c r="L128" i="5" a="1"/>
  <c r="L128" i="5" s="1"/>
  <c r="L342" i="5" a="1"/>
  <c r="L342" i="5" s="1"/>
  <c r="L287" i="5" a="1"/>
  <c r="L287" i="5" s="1"/>
  <c r="L293" i="5" a="1"/>
  <c r="L293" i="5" s="1"/>
  <c r="L113" i="5" a="1"/>
  <c r="L113" i="5" s="1"/>
  <c r="L291" i="5" a="1"/>
  <c r="L291" i="5" s="1"/>
  <c r="L434" i="5" a="1"/>
  <c r="L434" i="5" s="1"/>
  <c r="L194" i="5" a="1"/>
  <c r="L194" i="5" s="1"/>
  <c r="L337" i="5" a="1"/>
  <c r="L337" i="5" s="1"/>
  <c r="L180" i="5" a="1"/>
  <c r="L180" i="5" s="1"/>
  <c r="L490" i="5" a="1"/>
  <c r="L490" i="5" s="1"/>
  <c r="L191" i="5" a="1"/>
  <c r="L191" i="5" s="1"/>
  <c r="L489" i="5" a="1"/>
  <c r="L489" i="5" s="1"/>
  <c r="L190" i="5" a="1"/>
  <c r="L190" i="5" s="1"/>
  <c r="L476" i="5" a="1"/>
  <c r="L476" i="5" s="1"/>
  <c r="L165" i="5" a="1"/>
  <c r="L165" i="5" s="1"/>
  <c r="L487" i="5" a="1"/>
  <c r="L487" i="5" s="1"/>
  <c r="L359" i="5" a="1"/>
  <c r="L359" i="5" s="1"/>
  <c r="L212" i="5" a="1"/>
  <c r="L212" i="5" s="1"/>
  <c r="L411" i="5" a="1"/>
  <c r="L411" i="5" s="1"/>
  <c r="L249" i="5" a="1"/>
  <c r="L249" i="5" s="1"/>
  <c r="L211" i="5" a="1"/>
  <c r="L211" i="5" s="1"/>
  <c r="L316" i="5" a="1"/>
  <c r="L316" i="5" s="1"/>
  <c r="L393" i="5" a="1"/>
  <c r="L393" i="5" s="1"/>
  <c r="L92" i="5" a="1"/>
  <c r="L92" i="5" s="1"/>
  <c r="L198" i="5" a="1"/>
  <c r="L198" i="5" s="1"/>
  <c r="L370" i="5" a="1"/>
  <c r="L370" i="5" s="1"/>
  <c r="L281" i="5" a="1"/>
  <c r="L281" i="5" s="1"/>
  <c r="L466" i="5" a="1"/>
  <c r="L466" i="5" s="1"/>
  <c r="L244" i="5" a="1"/>
  <c r="L244" i="5" s="1"/>
  <c r="L64" i="5" a="1"/>
  <c r="L64" i="5" s="1"/>
  <c r="L255" i="5" a="1"/>
  <c r="L255" i="5" s="1"/>
  <c r="L504" i="5" a="1"/>
  <c r="L504" i="5" s="1"/>
  <c r="L420" i="5" a="1"/>
  <c r="L420" i="5" s="1"/>
  <c r="L156" i="5" a="1"/>
  <c r="L156" i="5" s="1"/>
  <c r="L478" i="5" a="1"/>
  <c r="L478" i="5" s="1"/>
  <c r="L179" i="5" a="1"/>
  <c r="L179" i="5" s="1"/>
  <c r="L477" i="5" a="1"/>
  <c r="L477" i="5" s="1"/>
  <c r="L166" i="5" a="1"/>
  <c r="L166" i="5" s="1"/>
  <c r="L153" i="5" a="1"/>
  <c r="L153" i="5" s="1"/>
  <c r="L475" i="5" a="1"/>
  <c r="L475" i="5" s="1"/>
  <c r="L164" i="5" a="1"/>
  <c r="L164" i="5" s="1"/>
  <c r="L428" i="5" a="1"/>
  <c r="L428" i="5" s="1"/>
  <c r="L139" i="5" a="1"/>
  <c r="L139" i="5" s="1"/>
  <c r="L387" i="5" a="1"/>
  <c r="L387" i="5" s="1"/>
  <c r="L345" i="5" a="1"/>
  <c r="L345" i="5" s="1"/>
  <c r="L427" i="5" a="1"/>
  <c r="L427" i="5" s="1"/>
  <c r="L467" i="5" a="1"/>
  <c r="L467" i="5" s="1"/>
  <c r="L449" i="5" a="1"/>
  <c r="L449" i="5" s="1"/>
  <c r="L269" i="5" a="1"/>
  <c r="L269" i="5" s="1"/>
  <c r="L519" i="5" a="1"/>
  <c r="L519" i="5" s="1"/>
  <c r="L232" i="5" a="1"/>
  <c r="L232" i="5" s="1"/>
  <c r="L40" i="5" a="1"/>
  <c r="L40" i="5" s="1"/>
  <c r="L243" i="5" a="1"/>
  <c r="L243" i="5" s="1"/>
  <c r="L75" i="5" a="1"/>
  <c r="L75" i="5" s="1"/>
  <c r="L326" i="5" a="1"/>
  <c r="L326" i="5" s="1"/>
  <c r="L182" i="5" a="1"/>
  <c r="L182" i="5" s="1"/>
  <c r="L551" i="5" a="1"/>
  <c r="L551" i="5" s="1"/>
  <c r="L312" i="5" a="1"/>
  <c r="L312" i="5" s="1"/>
  <c r="L144" i="5" a="1"/>
  <c r="L144" i="5" s="1"/>
  <c r="L400" i="5" a="1"/>
  <c r="L400" i="5" s="1"/>
  <c r="L167" i="5" a="1"/>
  <c r="L167" i="5" s="1"/>
  <c r="L388" i="5" a="1"/>
  <c r="L388" i="5" s="1"/>
  <c r="L142" i="5" a="1"/>
  <c r="L142" i="5" s="1"/>
  <c r="L446" i="5" a="1"/>
  <c r="L446" i="5" s="1"/>
  <c r="L129" i="5" a="1"/>
  <c r="L129" i="5" s="1"/>
  <c r="L412" i="5" a="1"/>
  <c r="L412" i="5" s="1"/>
  <c r="L322" i="5" a="1"/>
  <c r="L322" i="5" s="1"/>
  <c r="L140" i="5" a="1"/>
  <c r="L140" i="5" s="1"/>
  <c r="L324" i="5" a="1"/>
  <c r="L324" i="5" s="1"/>
  <c r="L127" i="5" a="1"/>
  <c r="L127" i="5" s="1"/>
  <c r="L422" i="5" a="1"/>
  <c r="L422" i="5" s="1"/>
  <c r="L273" i="5" a="1"/>
  <c r="L273" i="5" s="1"/>
  <c r="L355" i="5" a="1"/>
  <c r="L355" i="5" s="1"/>
  <c r="L508" i="5" a="1"/>
  <c r="L508" i="5" s="1"/>
  <c r="L437" i="5" a="1"/>
  <c r="L437" i="5" s="1"/>
  <c r="L257" i="5" a="1"/>
  <c r="L257" i="5" s="1"/>
  <c r="L507" i="5" a="1"/>
  <c r="L507" i="5" s="1"/>
  <c r="L220" i="5" a="1"/>
  <c r="L220" i="5" s="1"/>
  <c r="L518" i="5" a="1"/>
  <c r="L518" i="5" s="1"/>
  <c r="L231" i="5" a="1"/>
  <c r="L231" i="5" s="1"/>
  <c r="L63" i="5" a="1"/>
  <c r="L63" i="5" s="1"/>
  <c r="L314" i="5" a="1"/>
  <c r="L314" i="5" s="1"/>
  <c r="L170" i="5" a="1"/>
  <c r="L170" i="5" s="1"/>
  <c r="L492" i="5" a="1"/>
  <c r="L492" i="5" s="1"/>
  <c r="L157" i="5" a="1"/>
  <c r="L157" i="5" s="1"/>
  <c r="L503" i="5" a="1"/>
  <c r="L503" i="5" s="1"/>
  <c r="L302" i="5" a="1"/>
  <c r="L302" i="5" s="1"/>
  <c r="L146" i="5" a="1"/>
  <c r="L146" i="5" s="1"/>
  <c r="L480" i="5" a="1"/>
  <c r="L480" i="5" s="1"/>
  <c r="L491" i="5" a="1"/>
  <c r="L491" i="5" s="1"/>
  <c r="L207" i="5" a="1"/>
  <c r="L207" i="5" s="1"/>
  <c r="L110" i="5" a="1"/>
  <c r="L110" i="5" s="1"/>
  <c r="L133" i="5" a="1"/>
  <c r="L133" i="5" s="1"/>
  <c r="L195" i="5" a="1"/>
  <c r="L195" i="5" s="1"/>
  <c r="L374" i="5" a="1"/>
  <c r="L374" i="5" s="1"/>
  <c r="L325" i="5" a="1"/>
  <c r="L325" i="5" s="1"/>
  <c r="L481" i="5" a="1"/>
  <c r="L481" i="5" s="1"/>
  <c r="L242" i="5" a="1"/>
  <c r="L242" i="5" s="1"/>
  <c r="L38" i="5" a="1"/>
  <c r="L38" i="5" s="1"/>
  <c r="L362" i="5" a="1"/>
  <c r="L362" i="5" s="1"/>
  <c r="L300" i="5" a="1"/>
  <c r="L300" i="5" s="1"/>
  <c r="L132" i="5" a="1"/>
  <c r="L132" i="5" s="1"/>
  <c r="L351" i="5" a="1"/>
  <c r="L351" i="5" s="1"/>
  <c r="L143" i="5" a="1"/>
  <c r="L143" i="5" s="1"/>
  <c r="L458" i="5" a="1"/>
  <c r="L458" i="5" s="1"/>
  <c r="L106" i="5" a="1"/>
  <c r="L106" i="5" s="1"/>
  <c r="L397" i="5" a="1"/>
  <c r="L397" i="5" s="1"/>
  <c r="L117" i="5" a="1"/>
  <c r="L117" i="5" s="1"/>
  <c r="L435" i="5" a="1"/>
  <c r="L435" i="5" s="1"/>
  <c r="L453" i="5" a="1"/>
  <c r="L453" i="5" s="1"/>
  <c r="L419" i="5" a="1"/>
  <c r="L419" i="5" s="1"/>
  <c r="L332" i="5" a="1"/>
  <c r="L332" i="5" s="1"/>
  <c r="L350" i="5" a="1"/>
  <c r="L350" i="5" s="1"/>
  <c r="L440" i="5" a="1"/>
  <c r="L440" i="5" s="1"/>
  <c r="L343" i="5" a="1"/>
  <c r="L343" i="5" s="1"/>
  <c r="L496" i="5" a="1"/>
  <c r="L496" i="5" s="1"/>
  <c r="L425" i="5" a="1"/>
  <c r="L425" i="5" s="1"/>
  <c r="L245" i="5" a="1"/>
  <c r="L245" i="5" s="1"/>
  <c r="L495" i="5" a="1"/>
  <c r="L495" i="5" s="1"/>
  <c r="L208" i="5" a="1"/>
  <c r="L208" i="5" s="1"/>
  <c r="L506" i="5" a="1"/>
  <c r="L506" i="5" s="1"/>
  <c r="L219" i="5" a="1"/>
  <c r="L219" i="5" s="1"/>
  <c r="L51" i="5" a="1"/>
  <c r="L51" i="5" s="1"/>
  <c r="L145" i="5" a="1"/>
  <c r="L145" i="5" s="1"/>
  <c r="L196" i="5" a="1"/>
  <c r="L196" i="5" s="1"/>
  <c r="L39" i="5" a="1"/>
  <c r="L39" i="5" s="1"/>
  <c r="L423" i="5" a="1"/>
  <c r="L423" i="5" s="1"/>
  <c r="L482" i="5" a="1"/>
  <c r="L482" i="5" s="1"/>
  <c r="L278" i="5" a="1"/>
  <c r="L278" i="5" s="1"/>
  <c r="L121" i="5" a="1"/>
  <c r="L121" i="5" s="1"/>
  <c r="L493" i="5" a="1"/>
  <c r="L493" i="5" s="1"/>
  <c r="L109" i="5" a="1"/>
  <c r="L109" i="5" s="1"/>
  <c r="L254" i="5" a="1"/>
  <c r="L254" i="5" s="1"/>
  <c r="L97" i="5" a="1"/>
  <c r="L97" i="5" s="1"/>
  <c r="L230" i="5" a="1"/>
  <c r="L230" i="5" s="1"/>
  <c r="L552" i="5" a="1"/>
  <c r="L552" i="5" s="1"/>
  <c r="L181" i="5" a="1"/>
  <c r="L181" i="5" s="1"/>
  <c r="L288" i="5" a="1"/>
  <c r="L288" i="5" s="1"/>
  <c r="L120" i="5" a="1"/>
  <c r="L120" i="5" s="1"/>
  <c r="L433" i="5" a="1"/>
  <c r="L433" i="5" s="1"/>
  <c r="L131" i="5" a="1"/>
  <c r="L131" i="5" s="1"/>
  <c r="L409" i="5" a="1"/>
  <c r="L409" i="5" s="1"/>
  <c r="L94" i="5" a="1"/>
  <c r="L94" i="5" s="1"/>
  <c r="L384" i="5" a="1"/>
  <c r="L384" i="5" s="1"/>
  <c r="L375" i="5" a="1"/>
  <c r="L375" i="5" s="1"/>
  <c r="L417" i="5" a="1"/>
  <c r="L417" i="5" s="1"/>
  <c r="L80" i="5" a="1"/>
  <c r="L80" i="5" s="1"/>
  <c r="L347" i="5" a="1"/>
  <c r="L347" i="5" s="1"/>
  <c r="L296" i="5" a="1"/>
  <c r="L296" i="5" s="1"/>
  <c r="L91" i="5" a="1"/>
  <c r="L91" i="5" s="1"/>
  <c r="L385" i="5" a="1"/>
  <c r="L385" i="5" s="1"/>
  <c r="L416" i="5" a="1"/>
  <c r="L416" i="5" s="1"/>
  <c r="L450" i="5" a="1"/>
  <c r="L450" i="5" s="1"/>
  <c r="L472" i="5" a="1"/>
  <c r="L472" i="5" s="1"/>
  <c r="L413" i="5" a="1"/>
  <c r="L413" i="5" s="1"/>
  <c r="L221" i="5" a="1"/>
  <c r="L221" i="5" s="1"/>
  <c r="L483" i="5" a="1"/>
  <c r="L483" i="5" s="1"/>
  <c r="L494" i="5" a="1"/>
  <c r="L494" i="5" s="1"/>
  <c r="L290" i="5" a="1"/>
  <c r="L290" i="5" s="1"/>
  <c r="L479" i="5" a="1"/>
  <c r="L479" i="5" s="1"/>
  <c r="L517" i="5" a="1"/>
  <c r="L517" i="5" s="1"/>
  <c r="L98" i="5" a="1"/>
  <c r="L98" i="5" s="1"/>
  <c r="L86" i="5" a="1"/>
  <c r="L86" i="5" s="1"/>
  <c r="L159" i="5" a="1"/>
  <c r="L159" i="5" s="1"/>
  <c r="L73" i="5" a="1"/>
  <c r="L73" i="5" s="1"/>
  <c r="L37" i="5" a="1"/>
  <c r="L37" i="5" s="1"/>
  <c r="L276" i="5" a="1"/>
  <c r="L276" i="5" s="1"/>
  <c r="L108" i="5" a="1"/>
  <c r="L108" i="5" s="1"/>
  <c r="L444" i="5" a="1"/>
  <c r="L444" i="5" s="1"/>
  <c r="L119" i="5" a="1"/>
  <c r="L119" i="5" s="1"/>
  <c r="L408" i="5" a="1"/>
  <c r="L408" i="5" s="1"/>
  <c r="L82" i="5" a="1"/>
  <c r="L82" i="5" s="1"/>
  <c r="L395" i="5" a="1"/>
  <c r="L395" i="5" s="1"/>
  <c r="L93" i="5" a="1"/>
  <c r="L93" i="5" s="1"/>
  <c r="L410" i="5" a="1"/>
  <c r="L410" i="5" s="1"/>
  <c r="L369" i="5" a="1"/>
  <c r="L369" i="5" s="1"/>
  <c r="L68" i="5" a="1"/>
  <c r="L68" i="5" s="1"/>
  <c r="L275" i="5" a="1"/>
  <c r="L275" i="5" s="1"/>
  <c r="L236" i="5" a="1"/>
  <c r="L236" i="5" s="1"/>
  <c r="L79" i="5" a="1"/>
  <c r="L79" i="5" s="1"/>
  <c r="L313" i="5" a="1"/>
  <c r="L313" i="5" s="1"/>
  <c r="L368" i="5" a="1"/>
  <c r="L368" i="5" s="1"/>
  <c r="L438" i="5" a="1"/>
  <c r="L438" i="5" s="1"/>
  <c r="L338" i="5" a="1"/>
  <c r="L338" i="5" s="1"/>
  <c r="L389" i="5" a="1"/>
  <c r="L389" i="5" s="1"/>
  <c r="L197" i="5" a="1"/>
  <c r="L197" i="5" s="1"/>
  <c r="L471" i="5" a="1"/>
  <c r="L471" i="5" s="1"/>
  <c r="L184" i="5" a="1"/>
  <c r="L184" i="5" s="1"/>
  <c r="L277" i="5" a="1"/>
  <c r="L277" i="5" s="1"/>
  <c r="L265" i="5" a="1"/>
  <c r="L265" i="5" s="1"/>
  <c r="L253" i="5" a="1"/>
  <c r="L253" i="5" s="1"/>
  <c r="L516" i="5" a="1"/>
  <c r="L516" i="5" s="1"/>
  <c r="L264" i="5" a="1"/>
  <c r="L264" i="5" s="1"/>
  <c r="L96" i="5" a="1"/>
  <c r="L96" i="5" s="1"/>
  <c r="L336" i="5" a="1"/>
  <c r="L336" i="5" s="1"/>
  <c r="L107" i="5" a="1"/>
  <c r="L107" i="5" s="1"/>
  <c r="L431" i="5" a="1"/>
  <c r="L431" i="5" s="1"/>
  <c r="L58" i="5" a="1"/>
  <c r="L58" i="5" s="1"/>
  <c r="L406" i="5" a="1"/>
  <c r="L406" i="5" s="1"/>
  <c r="L81" i="5" a="1"/>
  <c r="L81" i="5" s="1"/>
  <c r="L445" i="5" a="1"/>
  <c r="L445" i="5" s="1"/>
  <c r="L309" i="5" a="1"/>
  <c r="L309" i="5" s="1"/>
  <c r="L44" i="5" a="1"/>
  <c r="L44" i="5" s="1"/>
  <c r="L346" i="5" a="1"/>
  <c r="L346" i="5" s="1"/>
  <c r="L200" i="5" a="1"/>
  <c r="L200" i="5" s="1"/>
  <c r="L67" i="5" a="1"/>
  <c r="L67" i="5" s="1"/>
  <c r="L432" i="5" a="1"/>
  <c r="L432" i="5" s="1"/>
  <c r="L320" i="5" a="1"/>
  <c r="L320" i="5" s="1"/>
  <c r="L426" i="5" a="1"/>
  <c r="L426" i="5" s="1"/>
  <c r="L361" i="5" a="1"/>
  <c r="L361" i="5" s="1"/>
  <c r="L377" i="5" a="1"/>
  <c r="L377" i="5" s="1"/>
  <c r="L185" i="5" a="1"/>
  <c r="L185" i="5" s="1"/>
  <c r="L460" i="5" a="1"/>
  <c r="L460" i="5" s="1"/>
  <c r="L160" i="5" a="1"/>
  <c r="L160" i="5" s="1"/>
  <c r="L470" i="5" a="1"/>
  <c r="L470" i="5" s="1"/>
  <c r="L183" i="5" a="1"/>
  <c r="L183" i="5" s="1"/>
  <c r="L266" i="5" a="1"/>
  <c r="L266" i="5" s="1"/>
  <c r="L74" i="5" a="1"/>
  <c r="L74" i="5" s="1"/>
  <c r="L85" i="5" a="1"/>
  <c r="L85" i="5" s="1"/>
  <c r="L205" i="5" a="1"/>
  <c r="L205" i="5" s="1"/>
  <c r="L252" i="5" a="1"/>
  <c r="L252" i="5" s="1"/>
  <c r="L84" i="5" a="1"/>
  <c r="L84" i="5" s="1"/>
  <c r="L299" i="5" a="1"/>
  <c r="L299" i="5" s="1"/>
  <c r="L95" i="5" a="1"/>
  <c r="L95" i="5" s="1"/>
  <c r="L430" i="5" a="1"/>
  <c r="L430" i="5" s="1"/>
  <c r="L34" i="5" a="1"/>
  <c r="L34" i="5" s="1"/>
  <c r="L465" i="5" a="1"/>
  <c r="L465" i="5" s="1"/>
  <c r="L69" i="5" a="1"/>
  <c r="L69" i="5" s="1"/>
  <c r="L373" i="5" a="1"/>
  <c r="L373" i="5" s="1"/>
  <c r="L225" i="5" a="1"/>
  <c r="L225" i="5" s="1"/>
  <c r="L510" i="5" a="1"/>
  <c r="L510" i="5" s="1"/>
  <c r="L310" i="5" a="1"/>
  <c r="L310" i="5" s="1"/>
  <c r="L451" i="5" a="1"/>
  <c r="L451" i="5" s="1"/>
  <c r="L55" i="5" a="1"/>
  <c r="L55" i="5" s="1"/>
  <c r="L360" i="5" a="1"/>
  <c r="L360" i="5" s="1"/>
  <c r="L260" i="5" a="1"/>
  <c r="L260" i="5" s="1"/>
  <c r="L414" i="5" a="1"/>
  <c r="L414" i="5" s="1"/>
  <c r="L289" i="5" a="1"/>
  <c r="L289" i="5" s="1"/>
  <c r="L365" i="5" a="1"/>
  <c r="L365" i="5" s="1"/>
  <c r="L161" i="5" a="1"/>
  <c r="L161" i="5" s="1"/>
  <c r="L148" i="5" a="1"/>
  <c r="L148" i="5" s="1"/>
  <c r="L328" i="5" a="1"/>
  <c r="L328" i="5" s="1"/>
  <c r="L448" i="5" a="1"/>
  <c r="L448" i="5" s="1"/>
  <c r="L217" i="5" a="1"/>
  <c r="L217" i="5" s="1"/>
  <c r="L240" i="5" a="1"/>
  <c r="L240" i="5" s="1"/>
  <c r="L72" i="5" a="1"/>
  <c r="L72" i="5" s="1"/>
  <c r="L263" i="5" a="1"/>
  <c r="L263" i="5" s="1"/>
  <c r="L71" i="5" a="1"/>
  <c r="L71" i="5" s="1"/>
  <c r="L262" i="5" a="1"/>
  <c r="L262" i="5" s="1"/>
  <c r="L548" i="5" a="1"/>
  <c r="L548" i="5" s="1"/>
  <c r="L381" i="5" a="1"/>
  <c r="L381" i="5" s="1"/>
  <c r="L57" i="5" a="1"/>
  <c r="L57" i="5" s="1"/>
  <c r="L301" i="5" a="1"/>
  <c r="L301" i="5" s="1"/>
  <c r="L404" i="5" a="1"/>
  <c r="L404" i="5" s="1"/>
  <c r="L498" i="5" a="1"/>
  <c r="L498" i="5" s="1"/>
  <c r="L441" i="5" a="1"/>
  <c r="L441" i="5" s="1"/>
  <c r="L439" i="5" a="1"/>
  <c r="L439" i="5" s="1"/>
  <c r="L509" i="5" a="1"/>
  <c r="L509" i="5" s="1"/>
  <c r="L454" i="5" a="1"/>
  <c r="L454" i="5" s="1"/>
  <c r="L224" i="5" a="1"/>
  <c r="L224" i="5" s="1"/>
  <c r="L390" i="5" a="1"/>
  <c r="L390" i="5" s="1"/>
  <c r="L372" i="5" a="1"/>
  <c r="L372" i="5" s="1"/>
  <c r="L341" i="5" a="1"/>
  <c r="L341" i="5" s="1"/>
  <c r="L149" i="5" a="1"/>
  <c r="L149" i="5" s="1"/>
  <c r="L292" i="5" a="1"/>
  <c r="L292" i="5" s="1"/>
  <c r="L136" i="5" a="1"/>
  <c r="L136" i="5" s="1"/>
  <c r="L327" i="5" a="1"/>
  <c r="L327" i="5" s="1"/>
  <c r="L147" i="5" a="1"/>
  <c r="L147" i="5" s="1"/>
  <c r="L50" i="5" a="1"/>
  <c r="L50" i="5" s="1"/>
  <c r="L87" i="5" a="1"/>
  <c r="L87" i="5" s="1"/>
  <c r="L216" i="5" a="1"/>
  <c r="L216" i="5" s="1"/>
  <c r="L550" i="5" a="1"/>
  <c r="L550" i="5" s="1"/>
  <c r="L239" i="5" a="1"/>
  <c r="L239" i="5" s="1"/>
  <c r="L549" i="5" a="1"/>
  <c r="L549" i="5" s="1"/>
  <c r="L238" i="5" a="1"/>
  <c r="L238" i="5" s="1"/>
  <c r="L512" i="5" a="1"/>
  <c r="L512" i="5" s="1"/>
  <c r="L261" i="5" a="1"/>
  <c r="L261" i="5" s="1"/>
  <c r="L547" i="5" a="1"/>
  <c r="L547" i="5" s="1"/>
  <c r="L396" i="5" a="1"/>
  <c r="L396" i="5" s="1"/>
  <c r="L344" i="5" a="1"/>
  <c r="L344" i="5" s="1"/>
  <c r="L486" i="5" a="1"/>
  <c r="L486" i="5" s="1"/>
  <c r="L405" i="5" a="1"/>
  <c r="L405" i="5" s="1"/>
  <c r="L379" i="5" a="1"/>
  <c r="L379" i="5" s="1"/>
  <c r="L485" i="5" a="1"/>
  <c r="L485" i="5" s="1"/>
  <c r="L334" i="5" a="1"/>
  <c r="L334" i="5" s="1"/>
  <c r="L188" i="5" a="1"/>
  <c r="L188" i="5" s="1"/>
  <c r="L378" i="5" a="1"/>
  <c r="L378" i="5" s="1"/>
  <c r="L455" i="5" a="1"/>
  <c r="L455" i="5" s="1"/>
  <c r="L329" i="5" a="1"/>
  <c r="L329" i="5" s="1"/>
  <c r="L137" i="5" a="1"/>
  <c r="L137" i="5" s="1"/>
  <c r="L280" i="5" a="1"/>
  <c r="L280" i="5" s="1"/>
  <c r="L100" i="5" a="1"/>
  <c r="L100" i="5" s="1"/>
  <c r="L315" i="5" a="1"/>
  <c r="L315" i="5" s="1"/>
  <c r="L135" i="5" a="1"/>
  <c r="L135" i="5" s="1"/>
  <c r="L340" i="5" a="1"/>
  <c r="L340" i="5" s="1"/>
  <c r="L49" i="5" a="1"/>
  <c r="L49" i="5" s="1"/>
  <c r="L476" i="3"/>
  <c r="L479" i="3"/>
  <c r="L499" i="3"/>
  <c r="L487" i="3"/>
  <c r="L508" i="3"/>
  <c r="L491" i="3"/>
  <c r="L512" i="3"/>
  <c r="L481" i="3"/>
  <c r="L518" i="3"/>
  <c r="L497" i="3"/>
  <c r="L485" i="3"/>
  <c r="L516" i="3"/>
  <c r="L494" i="3"/>
  <c r="L515" i="3"/>
  <c r="L483" i="3"/>
  <c r="L482" i="3"/>
  <c r="L492" i="3"/>
  <c r="L513" i="3"/>
  <c r="L501" i="3"/>
  <c r="L504" i="3"/>
  <c r="L509" i="3"/>
  <c r="L496" i="3"/>
  <c r="L477" i="3"/>
  <c r="L507" i="3"/>
  <c r="L506" i="3"/>
  <c r="L517" i="3"/>
  <c r="L484" i="3"/>
  <c r="L503" i="3"/>
  <c r="L498" i="3"/>
  <c r="L486" i="3"/>
  <c r="L505" i="3"/>
  <c r="L493" i="3"/>
  <c r="L514" i="3"/>
  <c r="L502" i="3"/>
  <c r="L16" i="4"/>
  <c r="L530" i="5" s="1" a="1"/>
  <c r="L530" i="5" s="1"/>
  <c r="L25" i="5" a="1"/>
  <c r="L25" i="5" s="1"/>
  <c r="L176" i="5" a="1"/>
  <c r="L176" i="5" s="1"/>
  <c r="L36" i="5" a="1"/>
  <c r="L36" i="5" s="1"/>
  <c r="L32" i="5" a="1"/>
  <c r="L32" i="5" s="1"/>
  <c r="L24" i="5" a="1"/>
  <c r="L24" i="5" s="1"/>
  <c r="L215" i="5" a="1"/>
  <c r="L215" i="5" s="1"/>
  <c r="L23" i="5" a="1"/>
  <c r="L23" i="5" s="1"/>
  <c r="L407" i="5" a="1"/>
  <c r="L407" i="5" s="1"/>
  <c r="L335" i="5" a="1"/>
  <c r="L335" i="5" s="1"/>
  <c r="L311" i="5" a="1"/>
  <c r="L311" i="5" s="1"/>
  <c r="L178" i="5" a="1"/>
  <c r="L178" i="5" s="1"/>
  <c r="L538" i="5" a="1"/>
  <c r="L538" i="5" s="1"/>
  <c r="L537" i="5" a="1"/>
  <c r="L537" i="5" s="1"/>
  <c r="L237" i="5" a="1"/>
  <c r="L237" i="5" s="1"/>
  <c r="L241" i="5" a="1"/>
  <c r="L241" i="5" s="1"/>
  <c r="L469" i="5" a="1"/>
  <c r="L469" i="5" s="1"/>
  <c r="L436" i="5" a="1"/>
  <c r="L436" i="5" s="1"/>
  <c r="L267" i="5" a="1"/>
  <c r="L267" i="5" s="1"/>
  <c r="L539" i="5" a="1"/>
  <c r="L539" i="5" s="1"/>
  <c r="L546" i="5" a="1"/>
  <c r="L546" i="5" s="1"/>
  <c r="L386" i="5" a="1"/>
  <c r="L386" i="5" s="1"/>
  <c r="L163" i="5" a="1"/>
  <c r="L163" i="5" s="1"/>
  <c r="L62" i="5" a="1"/>
  <c r="L62" i="5" s="1"/>
  <c r="L168" i="5" a="1"/>
  <c r="L168" i="5" s="1"/>
  <c r="L545" i="5" a="1"/>
  <c r="L545" i="5" s="1"/>
  <c r="L542" i="5" a="1"/>
  <c r="L542" i="5" s="1"/>
  <c r="L505" i="5" a="1"/>
  <c r="L505" i="5" s="1"/>
  <c r="L541" i="5" a="1"/>
  <c r="L541" i="5" s="1"/>
  <c r="L175" i="5" a="1"/>
  <c r="L175" i="5" s="1"/>
  <c r="L35" i="5" a="1"/>
  <c r="L35" i="5" s="1"/>
  <c r="L43" i="5" a="1"/>
  <c r="L43" i="5" s="1"/>
  <c r="L46" i="5" a="1"/>
  <c r="L46" i="5" s="1"/>
  <c r="L174" i="5" a="1"/>
  <c r="L174" i="5" s="1"/>
  <c r="L536" i="5" a="1"/>
  <c r="L536" i="5" s="1"/>
  <c r="L544" i="5" a="1"/>
  <c r="L544" i="5" s="1"/>
  <c r="L321" i="5" a="1"/>
  <c r="L321" i="5" s="1"/>
  <c r="L171" i="5" a="1"/>
  <c r="L171" i="5" s="1"/>
  <c r="L540" i="5" a="1"/>
  <c r="L540" i="5" s="1"/>
  <c r="L124" i="5" a="1"/>
  <c r="L124" i="5" s="1"/>
  <c r="L285" i="5" a="1"/>
  <c r="L285" i="5" s="1"/>
  <c r="L173" i="5" a="1"/>
  <c r="L173" i="5" s="1"/>
  <c r="L172" i="5" a="1"/>
  <c r="L172" i="5" s="1"/>
  <c r="L99" i="5" a="1"/>
  <c r="L99" i="5" s="1"/>
  <c r="L177" i="5" a="1"/>
  <c r="L177" i="5" s="1"/>
  <c r="L543" i="5" a="1"/>
  <c r="L543" i="5" s="1"/>
  <c r="L33" i="5" a="1"/>
  <c r="L33" i="5" s="1"/>
  <c r="L233" i="5" a="1"/>
  <c r="L233" i="5" s="1"/>
  <c r="L511" i="3"/>
  <c r="L12" i="4"/>
  <c r="L523" i="5" s="1" a="1"/>
  <c r="L523" i="5" s="1"/>
  <c r="L480" i="3"/>
  <c r="L490" i="3"/>
  <c r="L475" i="3"/>
  <c r="L489" i="3"/>
  <c r="L510" i="3"/>
  <c r="L14" i="4"/>
  <c r="L527" i="5" s="1" a="1"/>
  <c r="L527" i="5" s="1"/>
  <c r="L488" i="3"/>
  <c r="L495" i="3"/>
  <c r="L15" i="4"/>
  <c r="L528" i="5" s="1" a="1"/>
  <c r="L528" i="5" s="1"/>
  <c r="L18" i="4"/>
  <c r="L534" i="5" s="1" a="1"/>
  <c r="L534" i="5" s="1"/>
  <c r="L500" i="3"/>
  <c r="L519" i="3"/>
  <c r="L13" i="4"/>
  <c r="L525" i="5" s="1" a="1"/>
  <c r="L525" i="5" s="1"/>
  <c r="L478" i="3"/>
  <c r="L17" i="4"/>
  <c r="L532" i="5" s="1" a="1"/>
  <c r="L532" i="5" s="1"/>
  <c r="L319" i="5" a="1"/>
  <c r="L319" i="5" s="1"/>
  <c r="L101" i="5" a="1"/>
  <c r="L101" i="5" s="1"/>
  <c r="L122" i="5" a="1"/>
  <c r="L122" i="5" s="1"/>
  <c r="L468" i="5" a="1"/>
  <c r="L468" i="5" s="1"/>
  <c r="L462" i="5" a="1"/>
  <c r="L462" i="5" s="1"/>
  <c r="L442" i="5" a="1"/>
  <c r="L442" i="5" s="1"/>
  <c r="L21" i="5" a="1"/>
  <c r="L21" i="5" s="1"/>
  <c r="L29" i="5" a="1"/>
  <c r="L29" i="5" s="1"/>
  <c r="L151" i="5" a="1"/>
  <c r="L151" i="5" s="1"/>
  <c r="L353" i="5" a="1"/>
  <c r="L353" i="5" s="1"/>
  <c r="L382" i="5" a="1"/>
  <c r="L382" i="5" s="1"/>
  <c r="L461" i="5" a="1"/>
  <c r="L461" i="5" s="1"/>
  <c r="L141" i="5" a="1"/>
  <c r="L141" i="5" s="1"/>
  <c r="L401" i="5" a="1"/>
  <c r="L401" i="5" s="1"/>
  <c r="L22" i="5" a="1"/>
  <c r="L22" i="5" s="1"/>
  <c r="L30" i="5" a="1"/>
  <c r="L30" i="5" s="1"/>
  <c r="L52" i="5" a="1"/>
  <c r="L52" i="5" s="1"/>
  <c r="L456" i="5" a="1"/>
  <c r="L456" i="5" s="1"/>
  <c r="L48" i="5" a="1"/>
  <c r="L48" i="5" s="1"/>
  <c r="L60" i="5" a="1"/>
  <c r="L60" i="5" s="1"/>
  <c r="L89" i="5" a="1"/>
  <c r="L89" i="5" s="1"/>
  <c r="L118" i="5" a="1"/>
  <c r="L118" i="5" s="1"/>
  <c r="L298" i="5" a="1"/>
  <c r="L298" i="5" s="1"/>
  <c r="L463" i="5" a="1"/>
  <c r="L463" i="5" s="1"/>
  <c r="L47" i="5" a="1"/>
  <c r="L47" i="5" s="1"/>
  <c r="L83" i="5" a="1"/>
  <c r="L83" i="5" s="1"/>
  <c r="L155" i="5" a="1"/>
  <c r="L155" i="5" s="1"/>
  <c r="L349" i="5" a="1"/>
  <c r="L349" i="5" s="1"/>
  <c r="L457" i="5" a="1"/>
  <c r="L457" i="5" s="1"/>
  <c r="L27" i="5" a="1"/>
  <c r="L27" i="5" s="1"/>
  <c r="L279" i="5" a="1"/>
  <c r="L279" i="5" s="1"/>
  <c r="L459" i="5" a="1"/>
  <c r="L459" i="5" s="1"/>
  <c r="L380" i="5" a="1"/>
  <c r="L380" i="5" s="1"/>
  <c r="L28" i="5" a="1"/>
  <c r="L28" i="5" s="1"/>
  <c r="L56" i="5" a="1"/>
  <c r="L56" i="5" s="1"/>
  <c r="L193" i="5" a="1"/>
  <c r="L193" i="5" s="1"/>
  <c r="L402" i="5" a="1"/>
  <c r="L402" i="5" s="1"/>
  <c r="L11" i="4"/>
  <c r="L235" i="5" s="1" a="1"/>
  <c r="L235" i="5" s="1"/>
  <c r="L9" i="4"/>
  <c r="L323" i="5" s="1" a="1"/>
  <c r="L323" i="5" s="1"/>
  <c r="L8" i="4"/>
  <c r="L305" i="5" s="1" a="1"/>
  <c r="L305" i="5" s="1"/>
  <c r="L6" i="4"/>
  <c r="L103" i="5" s="1" a="1"/>
  <c r="L103" i="5" s="1"/>
  <c r="L7" i="4"/>
  <c r="L104" i="5" s="1" a="1"/>
  <c r="L104" i="5" s="1"/>
  <c r="L10" i="4"/>
  <c r="L234" i="5" s="1" a="1"/>
  <c r="L234" i="5" s="1"/>
  <c r="L4" i="4"/>
  <c r="L112" i="5" s="1" a="1"/>
  <c r="L112" i="5" s="1"/>
  <c r="L5" i="4"/>
  <c r="L130" i="5" s="1" a="1"/>
  <c r="L130" i="5" s="1"/>
  <c r="L3" i="4"/>
  <c r="L70" i="5" s="1" a="1"/>
  <c r="L70" i="5" s="1"/>
  <c r="L446" i="3"/>
  <c r="L445" i="3"/>
  <c r="L469" i="3"/>
  <c r="L468" i="3"/>
  <c r="L457" i="3"/>
  <c r="L444" i="3"/>
  <c r="L452" i="3"/>
  <c r="L448" i="3"/>
  <c r="L451" i="3"/>
  <c r="L461" i="3"/>
  <c r="L460" i="3"/>
  <c r="L459" i="3"/>
  <c r="L449" i="3"/>
  <c r="L458" i="3"/>
  <c r="L473" i="3"/>
  <c r="L466" i="3"/>
  <c r="L465" i="3"/>
  <c r="L464" i="3"/>
  <c r="L456" i="3"/>
  <c r="L471" i="3"/>
  <c r="L443" i="3"/>
  <c r="L472" i="3"/>
  <c r="L470" i="3"/>
  <c r="L462" i="3"/>
  <c r="L467" i="3"/>
  <c r="L447" i="3"/>
  <c r="L454" i="3"/>
  <c r="L450" i="3"/>
  <c r="L455" i="3"/>
  <c r="L453" i="3"/>
  <c r="L463" i="3"/>
  <c r="L474" i="3"/>
  <c r="B6" i="3"/>
  <c r="L6" i="3" s="1"/>
  <c r="B437" i="3"/>
  <c r="L437" i="3" s="1"/>
  <c r="B433" i="3"/>
  <c r="L433" i="3" s="1"/>
  <c r="B429" i="3"/>
  <c r="L429" i="3" s="1"/>
  <c r="B425" i="3"/>
  <c r="L425" i="3" s="1"/>
  <c r="B421" i="3"/>
  <c r="L421" i="3" s="1"/>
  <c r="B417" i="3"/>
  <c r="L417" i="3" s="1"/>
  <c r="B413" i="3"/>
  <c r="L413" i="3" s="1"/>
  <c r="B409" i="3"/>
  <c r="L409" i="3" s="1"/>
  <c r="B405" i="3"/>
  <c r="L405" i="3" s="1"/>
  <c r="B401" i="3"/>
  <c r="L401" i="3" s="1"/>
  <c r="B397" i="3"/>
  <c r="L397" i="3" s="1"/>
  <c r="B393" i="3"/>
  <c r="L393" i="3" s="1"/>
  <c r="B389" i="3"/>
  <c r="L389" i="3" s="1"/>
  <c r="B385" i="3"/>
  <c r="L385" i="3" s="1"/>
  <c r="B381" i="3"/>
  <c r="L381" i="3" s="1"/>
  <c r="B377" i="3"/>
  <c r="L377" i="3" s="1"/>
  <c r="B373" i="3"/>
  <c r="L373" i="3" s="1"/>
  <c r="B369" i="3"/>
  <c r="L369" i="3" s="1"/>
  <c r="B365" i="3"/>
  <c r="L365" i="3" s="1"/>
  <c r="B361" i="3"/>
  <c r="L361" i="3" s="1"/>
  <c r="B357" i="3"/>
  <c r="L357" i="3" s="1"/>
  <c r="B353" i="3"/>
  <c r="L353" i="3" s="1"/>
  <c r="B349" i="3"/>
  <c r="L349" i="3" s="1"/>
  <c r="B345" i="3"/>
  <c r="L345" i="3" s="1"/>
  <c r="B341" i="3"/>
  <c r="L341" i="3" s="1"/>
  <c r="B326" i="3"/>
  <c r="L326" i="3" s="1"/>
  <c r="B310" i="3"/>
  <c r="L310" i="3" s="1"/>
  <c r="B294" i="3"/>
  <c r="L294" i="3" s="1"/>
  <c r="B278" i="3"/>
  <c r="L278" i="3" s="1"/>
  <c r="B262" i="3"/>
  <c r="L262" i="3" s="1"/>
  <c r="B246" i="3"/>
  <c r="L246" i="3" s="1"/>
  <c r="B230" i="3"/>
  <c r="L230" i="3" s="1"/>
  <c r="B214" i="3"/>
  <c r="L214" i="3" s="1"/>
  <c r="B198" i="3"/>
  <c r="L198" i="3" s="1"/>
  <c r="B182" i="3"/>
  <c r="L182" i="3" s="1"/>
  <c r="B166" i="3"/>
  <c r="L166" i="3" s="1"/>
  <c r="B150" i="3"/>
  <c r="L150" i="3" s="1"/>
  <c r="B134" i="3"/>
  <c r="L134" i="3" s="1"/>
  <c r="B118" i="3"/>
  <c r="L118" i="3" s="1"/>
  <c r="B102" i="3"/>
  <c r="L102" i="3" s="1"/>
  <c r="B86" i="3"/>
  <c r="L86" i="3" s="1"/>
  <c r="B70" i="3"/>
  <c r="L70" i="3" s="1"/>
  <c r="B54" i="3"/>
  <c r="L54" i="3" s="1"/>
  <c r="B38" i="3"/>
  <c r="L38" i="3" s="1"/>
  <c r="B22" i="3"/>
  <c r="L22" i="3" s="1"/>
  <c r="B7" i="3"/>
  <c r="L7" i="3" s="1"/>
  <c r="B11" i="3"/>
  <c r="L11" i="3" s="1"/>
  <c r="B15" i="3"/>
  <c r="L15" i="3" s="1"/>
  <c r="B19" i="3"/>
  <c r="L19" i="3" s="1"/>
  <c r="B23" i="3"/>
  <c r="L23" i="3" s="1"/>
  <c r="B27" i="3"/>
  <c r="L27" i="3" s="1"/>
  <c r="B31" i="3"/>
  <c r="L31" i="3" s="1"/>
  <c r="B35" i="3"/>
  <c r="L35" i="3" s="1"/>
  <c r="B39" i="3"/>
  <c r="L39" i="3" s="1"/>
  <c r="B43" i="3"/>
  <c r="L43" i="3" s="1"/>
  <c r="B47" i="3"/>
  <c r="L47" i="3" s="1"/>
  <c r="B51" i="3"/>
  <c r="L51" i="3" s="1"/>
  <c r="B55" i="3"/>
  <c r="L55" i="3" s="1"/>
  <c r="B59" i="3"/>
  <c r="L59" i="3" s="1"/>
  <c r="B63" i="3"/>
  <c r="L63" i="3" s="1"/>
  <c r="B67" i="3"/>
  <c r="L67" i="3" s="1"/>
  <c r="B71" i="3"/>
  <c r="L71" i="3" s="1"/>
  <c r="B75" i="3"/>
  <c r="L75" i="3" s="1"/>
  <c r="B79" i="3"/>
  <c r="L79" i="3" s="1"/>
  <c r="B83" i="3"/>
  <c r="L83" i="3" s="1"/>
  <c r="B87" i="3"/>
  <c r="L87" i="3" s="1"/>
  <c r="B91" i="3"/>
  <c r="L91" i="3" s="1"/>
  <c r="B95" i="3"/>
  <c r="L95" i="3" s="1"/>
  <c r="B99" i="3"/>
  <c r="L99" i="3" s="1"/>
  <c r="B103" i="3"/>
  <c r="L103" i="3" s="1"/>
  <c r="B107" i="3"/>
  <c r="L107" i="3" s="1"/>
  <c r="B111" i="3"/>
  <c r="L111" i="3" s="1"/>
  <c r="B115" i="3"/>
  <c r="L115" i="3" s="1"/>
  <c r="B119" i="3"/>
  <c r="L119" i="3" s="1"/>
  <c r="B123" i="3"/>
  <c r="L123" i="3" s="1"/>
  <c r="B127" i="3"/>
  <c r="L127" i="3" s="1"/>
  <c r="B131" i="3"/>
  <c r="L131" i="3" s="1"/>
  <c r="B135" i="3"/>
  <c r="L135" i="3" s="1"/>
  <c r="B139" i="3"/>
  <c r="L139" i="3" s="1"/>
  <c r="B143" i="3"/>
  <c r="L143" i="3" s="1"/>
  <c r="B147" i="3"/>
  <c r="L147" i="3" s="1"/>
  <c r="B151" i="3"/>
  <c r="L151" i="3" s="1"/>
  <c r="B155" i="3"/>
  <c r="L155" i="3" s="1"/>
  <c r="B159" i="3"/>
  <c r="L159" i="3" s="1"/>
  <c r="B163" i="3"/>
  <c r="L163" i="3" s="1"/>
  <c r="B167" i="3"/>
  <c r="L167" i="3" s="1"/>
  <c r="B171" i="3"/>
  <c r="L171" i="3" s="1"/>
  <c r="B175" i="3"/>
  <c r="L175" i="3" s="1"/>
  <c r="B179" i="3"/>
  <c r="L179" i="3" s="1"/>
  <c r="B183" i="3"/>
  <c r="L183" i="3" s="1"/>
  <c r="B187" i="3"/>
  <c r="L187" i="3" s="1"/>
  <c r="B191" i="3"/>
  <c r="L191" i="3" s="1"/>
  <c r="B195" i="3"/>
  <c r="L195" i="3" s="1"/>
  <c r="B199" i="3"/>
  <c r="L199" i="3" s="1"/>
  <c r="B203" i="3"/>
  <c r="L203" i="3" s="1"/>
  <c r="B207" i="3"/>
  <c r="L207" i="3" s="1"/>
  <c r="B211" i="3"/>
  <c r="L211" i="3" s="1"/>
  <c r="B215" i="3"/>
  <c r="L215" i="3" s="1"/>
  <c r="B219" i="3"/>
  <c r="L219" i="3" s="1"/>
  <c r="B223" i="3"/>
  <c r="L223" i="3" s="1"/>
  <c r="B227" i="3"/>
  <c r="L227" i="3" s="1"/>
  <c r="B231" i="3"/>
  <c r="L231" i="3" s="1"/>
  <c r="B235" i="3"/>
  <c r="L235" i="3" s="1"/>
  <c r="B239" i="3"/>
  <c r="L239" i="3" s="1"/>
  <c r="B243" i="3"/>
  <c r="L243" i="3" s="1"/>
  <c r="B247" i="3"/>
  <c r="L247" i="3" s="1"/>
  <c r="B251" i="3"/>
  <c r="L251" i="3" s="1"/>
  <c r="B255" i="3"/>
  <c r="L255" i="3" s="1"/>
  <c r="B259" i="3"/>
  <c r="L259" i="3" s="1"/>
  <c r="B263" i="3"/>
  <c r="L263" i="3" s="1"/>
  <c r="B267" i="3"/>
  <c r="L267" i="3" s="1"/>
  <c r="B271" i="3"/>
  <c r="L271" i="3" s="1"/>
  <c r="B275" i="3"/>
  <c r="L275" i="3" s="1"/>
  <c r="B279" i="3"/>
  <c r="L279" i="3" s="1"/>
  <c r="B283" i="3"/>
  <c r="L283" i="3" s="1"/>
  <c r="B287" i="3"/>
  <c r="L287" i="3" s="1"/>
  <c r="B291" i="3"/>
  <c r="L291" i="3" s="1"/>
  <c r="B295" i="3"/>
  <c r="L295" i="3" s="1"/>
  <c r="B299" i="3"/>
  <c r="L299" i="3" s="1"/>
  <c r="B303" i="3"/>
  <c r="L303" i="3" s="1"/>
  <c r="B307" i="3"/>
  <c r="L307" i="3" s="1"/>
  <c r="B311" i="3"/>
  <c r="L311" i="3" s="1"/>
  <c r="B315" i="3"/>
  <c r="L315" i="3" s="1"/>
  <c r="B319" i="3"/>
  <c r="L319" i="3" s="1"/>
  <c r="B323" i="3"/>
  <c r="L323" i="3" s="1"/>
  <c r="B327" i="3"/>
  <c r="L327" i="3" s="1"/>
  <c r="B331" i="3"/>
  <c r="L331" i="3" s="1"/>
  <c r="B335" i="3"/>
  <c r="L335" i="3" s="1"/>
  <c r="B339" i="3"/>
  <c r="L339" i="3" s="1"/>
  <c r="B4" i="3"/>
  <c r="L4" i="3" s="1"/>
  <c r="B8" i="3"/>
  <c r="L8" i="3" s="1"/>
  <c r="B12" i="3"/>
  <c r="L12" i="3" s="1"/>
  <c r="B16" i="3"/>
  <c r="L16" i="3" s="1"/>
  <c r="B20" i="3"/>
  <c r="L20" i="3" s="1"/>
  <c r="B24" i="3"/>
  <c r="L24" i="3" s="1"/>
  <c r="B28" i="3"/>
  <c r="L28" i="3" s="1"/>
  <c r="B32" i="3"/>
  <c r="L32" i="3" s="1"/>
  <c r="B36" i="3"/>
  <c r="L36" i="3" s="1"/>
  <c r="B40" i="3"/>
  <c r="L40" i="3" s="1"/>
  <c r="B44" i="3"/>
  <c r="L44" i="3" s="1"/>
  <c r="B48" i="3"/>
  <c r="L48" i="3" s="1"/>
  <c r="B52" i="3"/>
  <c r="L52" i="3" s="1"/>
  <c r="B56" i="3"/>
  <c r="L56" i="3" s="1"/>
  <c r="B60" i="3"/>
  <c r="L60" i="3" s="1"/>
  <c r="B64" i="3"/>
  <c r="L64" i="3" s="1"/>
  <c r="B68" i="3"/>
  <c r="L68" i="3" s="1"/>
  <c r="B72" i="3"/>
  <c r="L72" i="3" s="1"/>
  <c r="B76" i="3"/>
  <c r="L76" i="3" s="1"/>
  <c r="B80" i="3"/>
  <c r="L80" i="3" s="1"/>
  <c r="B84" i="3"/>
  <c r="L84" i="3" s="1"/>
  <c r="B88" i="3"/>
  <c r="L88" i="3" s="1"/>
  <c r="B92" i="3"/>
  <c r="L92" i="3" s="1"/>
  <c r="B96" i="3"/>
  <c r="L96" i="3" s="1"/>
  <c r="B100" i="3"/>
  <c r="L100" i="3" s="1"/>
  <c r="B104" i="3"/>
  <c r="L104" i="3" s="1"/>
  <c r="B108" i="3"/>
  <c r="L108" i="3" s="1"/>
  <c r="B112" i="3"/>
  <c r="L112" i="3" s="1"/>
  <c r="B116" i="3"/>
  <c r="L116" i="3" s="1"/>
  <c r="B120" i="3"/>
  <c r="L120" i="3" s="1"/>
  <c r="B124" i="3"/>
  <c r="L124" i="3" s="1"/>
  <c r="B128" i="3"/>
  <c r="L128" i="3" s="1"/>
  <c r="B132" i="3"/>
  <c r="L132" i="3" s="1"/>
  <c r="B136" i="3"/>
  <c r="L136" i="3" s="1"/>
  <c r="B140" i="3"/>
  <c r="L140" i="3" s="1"/>
  <c r="B144" i="3"/>
  <c r="L144" i="3" s="1"/>
  <c r="B148" i="3"/>
  <c r="L148" i="3" s="1"/>
  <c r="B152" i="3"/>
  <c r="L152" i="3" s="1"/>
  <c r="B156" i="3"/>
  <c r="L156" i="3" s="1"/>
  <c r="B160" i="3"/>
  <c r="L160" i="3" s="1"/>
  <c r="B164" i="3"/>
  <c r="L164" i="3" s="1"/>
  <c r="B168" i="3"/>
  <c r="L168" i="3" s="1"/>
  <c r="B172" i="3"/>
  <c r="L172" i="3" s="1"/>
  <c r="B176" i="3"/>
  <c r="L176" i="3" s="1"/>
  <c r="B180" i="3"/>
  <c r="L180" i="3" s="1"/>
  <c r="B184" i="3"/>
  <c r="L184" i="3" s="1"/>
  <c r="B188" i="3"/>
  <c r="L188" i="3" s="1"/>
  <c r="B192" i="3"/>
  <c r="L192" i="3" s="1"/>
  <c r="B196" i="3"/>
  <c r="L196" i="3" s="1"/>
  <c r="B200" i="3"/>
  <c r="L200" i="3" s="1"/>
  <c r="B204" i="3"/>
  <c r="L204" i="3" s="1"/>
  <c r="B208" i="3"/>
  <c r="L208" i="3" s="1"/>
  <c r="B212" i="3"/>
  <c r="L212" i="3" s="1"/>
  <c r="B216" i="3"/>
  <c r="L216" i="3" s="1"/>
  <c r="B220" i="3"/>
  <c r="L220" i="3" s="1"/>
  <c r="B224" i="3"/>
  <c r="L224" i="3" s="1"/>
  <c r="B228" i="3"/>
  <c r="L228" i="3" s="1"/>
  <c r="B232" i="3"/>
  <c r="L232" i="3" s="1"/>
  <c r="B236" i="3"/>
  <c r="L236" i="3" s="1"/>
  <c r="B240" i="3"/>
  <c r="L240" i="3" s="1"/>
  <c r="B244" i="3"/>
  <c r="L244" i="3" s="1"/>
  <c r="B248" i="3"/>
  <c r="L248" i="3" s="1"/>
  <c r="B252" i="3"/>
  <c r="L252" i="3" s="1"/>
  <c r="B256" i="3"/>
  <c r="L256" i="3" s="1"/>
  <c r="B260" i="3"/>
  <c r="L260" i="3" s="1"/>
  <c r="B264" i="3"/>
  <c r="L264" i="3" s="1"/>
  <c r="B268" i="3"/>
  <c r="L268" i="3" s="1"/>
  <c r="B272" i="3"/>
  <c r="L272" i="3" s="1"/>
  <c r="B276" i="3"/>
  <c r="L276" i="3" s="1"/>
  <c r="B280" i="3"/>
  <c r="L280" i="3" s="1"/>
  <c r="B284" i="3"/>
  <c r="L284" i="3" s="1"/>
  <c r="B288" i="3"/>
  <c r="L288" i="3" s="1"/>
  <c r="B292" i="3"/>
  <c r="L292" i="3" s="1"/>
  <c r="B296" i="3"/>
  <c r="L296" i="3" s="1"/>
  <c r="B300" i="3"/>
  <c r="L300" i="3" s="1"/>
  <c r="B304" i="3"/>
  <c r="L304" i="3" s="1"/>
  <c r="B308" i="3"/>
  <c r="L308" i="3" s="1"/>
  <c r="B312" i="3"/>
  <c r="L312" i="3" s="1"/>
  <c r="B316" i="3"/>
  <c r="L316" i="3" s="1"/>
  <c r="B320" i="3"/>
  <c r="L320" i="3" s="1"/>
  <c r="B324" i="3"/>
  <c r="L324" i="3" s="1"/>
  <c r="B328" i="3"/>
  <c r="L328" i="3" s="1"/>
  <c r="B332" i="3"/>
  <c r="L332" i="3" s="1"/>
  <c r="B336" i="3"/>
  <c r="L336" i="3" s="1"/>
  <c r="B340" i="3"/>
  <c r="L340" i="3" s="1"/>
  <c r="B441" i="3"/>
  <c r="L441" i="3" s="1"/>
  <c r="B5" i="3"/>
  <c r="L5" i="3" s="1"/>
  <c r="B9" i="3"/>
  <c r="L9" i="3" s="1"/>
  <c r="B13" i="3"/>
  <c r="L13" i="3" s="1"/>
  <c r="B17" i="3"/>
  <c r="L17" i="3" s="1"/>
  <c r="B21" i="3"/>
  <c r="L21" i="3" s="1"/>
  <c r="B25" i="3"/>
  <c r="L25" i="3" s="1"/>
  <c r="B29" i="3"/>
  <c r="L29" i="3" s="1"/>
  <c r="B33" i="3"/>
  <c r="L33" i="3" s="1"/>
  <c r="B37" i="3"/>
  <c r="L37" i="3" s="1"/>
  <c r="B41" i="3"/>
  <c r="L41" i="3" s="1"/>
  <c r="B45" i="3"/>
  <c r="L45" i="3" s="1"/>
  <c r="B49" i="3"/>
  <c r="L49" i="3" s="1"/>
  <c r="B53" i="3"/>
  <c r="L53" i="3" s="1"/>
  <c r="B57" i="3"/>
  <c r="L57" i="3" s="1"/>
  <c r="B61" i="3"/>
  <c r="L61" i="3" s="1"/>
  <c r="B65" i="3"/>
  <c r="L65" i="3" s="1"/>
  <c r="B69" i="3"/>
  <c r="L69" i="3" s="1"/>
  <c r="B73" i="3"/>
  <c r="L73" i="3" s="1"/>
  <c r="B77" i="3"/>
  <c r="L77" i="3" s="1"/>
  <c r="B81" i="3"/>
  <c r="L81" i="3" s="1"/>
  <c r="B85" i="3"/>
  <c r="L85" i="3" s="1"/>
  <c r="B89" i="3"/>
  <c r="L89" i="3" s="1"/>
  <c r="B93" i="3"/>
  <c r="L93" i="3" s="1"/>
  <c r="B97" i="3"/>
  <c r="L97" i="3" s="1"/>
  <c r="B101" i="3"/>
  <c r="L101" i="3" s="1"/>
  <c r="B105" i="3"/>
  <c r="L105" i="3" s="1"/>
  <c r="B109" i="3"/>
  <c r="L109" i="3" s="1"/>
  <c r="B113" i="3"/>
  <c r="L113" i="3" s="1"/>
  <c r="B117" i="3"/>
  <c r="L117" i="3" s="1"/>
  <c r="B121" i="3"/>
  <c r="L121" i="3" s="1"/>
  <c r="B125" i="3"/>
  <c r="L125" i="3" s="1"/>
  <c r="B129" i="3"/>
  <c r="L129" i="3" s="1"/>
  <c r="B133" i="3"/>
  <c r="L133" i="3" s="1"/>
  <c r="B137" i="3"/>
  <c r="L137" i="3" s="1"/>
  <c r="B141" i="3"/>
  <c r="L141" i="3" s="1"/>
  <c r="B145" i="3"/>
  <c r="L145" i="3" s="1"/>
  <c r="B149" i="3"/>
  <c r="L149" i="3" s="1"/>
  <c r="B153" i="3"/>
  <c r="L153" i="3" s="1"/>
  <c r="B157" i="3"/>
  <c r="L157" i="3" s="1"/>
  <c r="B161" i="3"/>
  <c r="L161" i="3" s="1"/>
  <c r="B165" i="3"/>
  <c r="L165" i="3" s="1"/>
  <c r="B169" i="3"/>
  <c r="L169" i="3" s="1"/>
  <c r="B173" i="3"/>
  <c r="L173" i="3" s="1"/>
  <c r="B177" i="3"/>
  <c r="L177" i="3" s="1"/>
  <c r="B181" i="3"/>
  <c r="L181" i="3" s="1"/>
  <c r="B185" i="3"/>
  <c r="L185" i="3" s="1"/>
  <c r="B189" i="3"/>
  <c r="L189" i="3" s="1"/>
  <c r="B193" i="3"/>
  <c r="L193" i="3" s="1"/>
  <c r="B197" i="3"/>
  <c r="L197" i="3" s="1"/>
  <c r="B201" i="3"/>
  <c r="L201" i="3" s="1"/>
  <c r="B205" i="3"/>
  <c r="L205" i="3" s="1"/>
  <c r="B209" i="3"/>
  <c r="L209" i="3" s="1"/>
  <c r="B213" i="3"/>
  <c r="L213" i="3" s="1"/>
  <c r="B217" i="3"/>
  <c r="L217" i="3" s="1"/>
  <c r="B221" i="3"/>
  <c r="L221" i="3" s="1"/>
  <c r="B225" i="3"/>
  <c r="L225" i="3" s="1"/>
  <c r="B229" i="3"/>
  <c r="L229" i="3" s="1"/>
  <c r="B233" i="3"/>
  <c r="L233" i="3" s="1"/>
  <c r="B237" i="3"/>
  <c r="L237" i="3" s="1"/>
  <c r="B241" i="3"/>
  <c r="L241" i="3" s="1"/>
  <c r="B245" i="3"/>
  <c r="L245" i="3" s="1"/>
  <c r="B249" i="3"/>
  <c r="L249" i="3" s="1"/>
  <c r="B253" i="3"/>
  <c r="L253" i="3" s="1"/>
  <c r="B257" i="3"/>
  <c r="L257" i="3" s="1"/>
  <c r="B261" i="3"/>
  <c r="L261" i="3" s="1"/>
  <c r="B265" i="3"/>
  <c r="L265" i="3" s="1"/>
  <c r="B269" i="3"/>
  <c r="L269" i="3" s="1"/>
  <c r="B273" i="3"/>
  <c r="L273" i="3" s="1"/>
  <c r="B277" i="3"/>
  <c r="L277" i="3" s="1"/>
  <c r="B281" i="3"/>
  <c r="L281" i="3" s="1"/>
  <c r="B285" i="3"/>
  <c r="L285" i="3" s="1"/>
  <c r="B289" i="3"/>
  <c r="L289" i="3" s="1"/>
  <c r="B293" i="3"/>
  <c r="L293" i="3" s="1"/>
  <c r="B297" i="3"/>
  <c r="L297" i="3" s="1"/>
  <c r="B301" i="3"/>
  <c r="L301" i="3" s="1"/>
  <c r="B305" i="3"/>
  <c r="L305" i="3" s="1"/>
  <c r="B309" i="3"/>
  <c r="L309" i="3" s="1"/>
  <c r="B313" i="3"/>
  <c r="L313" i="3" s="1"/>
  <c r="B317" i="3"/>
  <c r="L317" i="3" s="1"/>
  <c r="B321" i="3"/>
  <c r="L321" i="3" s="1"/>
  <c r="B325" i="3"/>
  <c r="L325" i="3" s="1"/>
  <c r="B329" i="3"/>
  <c r="L329" i="3" s="1"/>
  <c r="B333" i="3"/>
  <c r="L333" i="3" s="1"/>
  <c r="B337" i="3"/>
  <c r="L337" i="3" s="1"/>
  <c r="B440" i="3"/>
  <c r="L440" i="3" s="1"/>
  <c r="B436" i="3"/>
  <c r="L436" i="3" s="1"/>
  <c r="B432" i="3"/>
  <c r="L432" i="3" s="1"/>
  <c r="B428" i="3"/>
  <c r="L428" i="3" s="1"/>
  <c r="B424" i="3"/>
  <c r="L424" i="3" s="1"/>
  <c r="B420" i="3"/>
  <c r="L420" i="3" s="1"/>
  <c r="B416" i="3"/>
  <c r="L416" i="3" s="1"/>
  <c r="B412" i="3"/>
  <c r="L412" i="3" s="1"/>
  <c r="B408" i="3"/>
  <c r="L408" i="3" s="1"/>
  <c r="B404" i="3"/>
  <c r="L404" i="3" s="1"/>
  <c r="B400" i="3"/>
  <c r="L400" i="3" s="1"/>
  <c r="B396" i="3"/>
  <c r="L396" i="3" s="1"/>
  <c r="B392" i="3"/>
  <c r="L392" i="3" s="1"/>
  <c r="B388" i="3"/>
  <c r="L388" i="3" s="1"/>
  <c r="B384" i="3"/>
  <c r="L384" i="3" s="1"/>
  <c r="B380" i="3"/>
  <c r="L380" i="3" s="1"/>
  <c r="B376" i="3"/>
  <c r="L376" i="3" s="1"/>
  <c r="B372" i="3"/>
  <c r="L372" i="3" s="1"/>
  <c r="B368" i="3"/>
  <c r="L368" i="3" s="1"/>
  <c r="B364" i="3"/>
  <c r="L364" i="3" s="1"/>
  <c r="B360" i="3"/>
  <c r="L360" i="3" s="1"/>
  <c r="B356" i="3"/>
  <c r="L356" i="3" s="1"/>
  <c r="B352" i="3"/>
  <c r="L352" i="3" s="1"/>
  <c r="B348" i="3"/>
  <c r="L348" i="3" s="1"/>
  <c r="B344" i="3"/>
  <c r="L344" i="3" s="1"/>
  <c r="B338" i="3"/>
  <c r="L338" i="3" s="1"/>
  <c r="B322" i="3"/>
  <c r="L322" i="3" s="1"/>
  <c r="B306" i="3"/>
  <c r="L306" i="3" s="1"/>
  <c r="B290" i="3"/>
  <c r="L290" i="3" s="1"/>
  <c r="B274" i="3"/>
  <c r="L274" i="3" s="1"/>
  <c r="B258" i="3"/>
  <c r="L258" i="3" s="1"/>
  <c r="B242" i="3"/>
  <c r="L242" i="3" s="1"/>
  <c r="B226" i="3"/>
  <c r="L226" i="3" s="1"/>
  <c r="B210" i="3"/>
  <c r="L210" i="3" s="1"/>
  <c r="B194" i="3"/>
  <c r="L194" i="3" s="1"/>
  <c r="B178" i="3"/>
  <c r="L178" i="3" s="1"/>
  <c r="B162" i="3"/>
  <c r="L162" i="3" s="1"/>
  <c r="B146" i="3"/>
  <c r="L146" i="3" s="1"/>
  <c r="B130" i="3"/>
  <c r="L130" i="3" s="1"/>
  <c r="B114" i="3"/>
  <c r="L114" i="3" s="1"/>
  <c r="B98" i="3"/>
  <c r="L98" i="3" s="1"/>
  <c r="B82" i="3"/>
  <c r="L82" i="3" s="1"/>
  <c r="B66" i="3"/>
  <c r="L66" i="3" s="1"/>
  <c r="B50" i="3"/>
  <c r="L50" i="3" s="1"/>
  <c r="B34" i="3"/>
  <c r="L34" i="3" s="1"/>
  <c r="B18" i="3"/>
  <c r="L18" i="3" s="1"/>
  <c r="B442" i="3"/>
  <c r="L442" i="3" s="1"/>
  <c r="B439" i="3"/>
  <c r="L439" i="3" s="1"/>
  <c r="B435" i="3"/>
  <c r="L435" i="3" s="1"/>
  <c r="B431" i="3"/>
  <c r="L431" i="3" s="1"/>
  <c r="B427" i="3"/>
  <c r="L427" i="3" s="1"/>
  <c r="B423" i="3"/>
  <c r="L423" i="3" s="1"/>
  <c r="B419" i="3"/>
  <c r="L419" i="3" s="1"/>
  <c r="B415" i="3"/>
  <c r="L415" i="3" s="1"/>
  <c r="B411" i="3"/>
  <c r="L411" i="3" s="1"/>
  <c r="B407" i="3"/>
  <c r="L407" i="3" s="1"/>
  <c r="B403" i="3"/>
  <c r="L403" i="3" s="1"/>
  <c r="B399" i="3"/>
  <c r="L399" i="3" s="1"/>
  <c r="B395" i="3"/>
  <c r="L395" i="3" s="1"/>
  <c r="B391" i="3"/>
  <c r="L391" i="3" s="1"/>
  <c r="B387" i="3"/>
  <c r="L387" i="3" s="1"/>
  <c r="B383" i="3"/>
  <c r="L383" i="3" s="1"/>
  <c r="B379" i="3"/>
  <c r="L379" i="3" s="1"/>
  <c r="B375" i="3"/>
  <c r="L375" i="3" s="1"/>
  <c r="B371" i="3"/>
  <c r="L371" i="3" s="1"/>
  <c r="B367" i="3"/>
  <c r="L367" i="3" s="1"/>
  <c r="B363" i="3"/>
  <c r="L363" i="3" s="1"/>
  <c r="B359" i="3"/>
  <c r="L359" i="3" s="1"/>
  <c r="B355" i="3"/>
  <c r="L355" i="3" s="1"/>
  <c r="B351" i="3"/>
  <c r="L351" i="3" s="1"/>
  <c r="B347" i="3"/>
  <c r="L347" i="3" s="1"/>
  <c r="B343" i="3"/>
  <c r="L343" i="3" s="1"/>
  <c r="B334" i="3"/>
  <c r="L334" i="3" s="1"/>
  <c r="B318" i="3"/>
  <c r="L318" i="3" s="1"/>
  <c r="B302" i="3"/>
  <c r="L302" i="3" s="1"/>
  <c r="B286" i="3"/>
  <c r="L286" i="3" s="1"/>
  <c r="B270" i="3"/>
  <c r="L270" i="3" s="1"/>
  <c r="B254" i="3"/>
  <c r="L254" i="3" s="1"/>
  <c r="B238" i="3"/>
  <c r="L238" i="3" s="1"/>
  <c r="B222" i="3"/>
  <c r="L222" i="3" s="1"/>
  <c r="B206" i="3"/>
  <c r="L206" i="3" s="1"/>
  <c r="B190" i="3"/>
  <c r="L190" i="3" s="1"/>
  <c r="B174" i="3"/>
  <c r="L174" i="3" s="1"/>
  <c r="B158" i="3"/>
  <c r="L158" i="3" s="1"/>
  <c r="B142" i="3"/>
  <c r="L142" i="3" s="1"/>
  <c r="B126" i="3"/>
  <c r="L126" i="3" s="1"/>
  <c r="B110" i="3"/>
  <c r="L110" i="3" s="1"/>
  <c r="B94" i="3"/>
  <c r="L94" i="3" s="1"/>
  <c r="B78" i="3"/>
  <c r="L78" i="3" s="1"/>
  <c r="B62" i="3"/>
  <c r="L62" i="3" s="1"/>
  <c r="B46" i="3"/>
  <c r="L46" i="3" s="1"/>
  <c r="B30" i="3"/>
  <c r="L30" i="3" s="1"/>
  <c r="B14" i="3"/>
  <c r="L14" i="3" s="1"/>
  <c r="B438" i="3"/>
  <c r="L438" i="3" s="1"/>
  <c r="B434" i="3"/>
  <c r="L434" i="3" s="1"/>
  <c r="B430" i="3"/>
  <c r="L430" i="3" s="1"/>
  <c r="B426" i="3"/>
  <c r="L426" i="3" s="1"/>
  <c r="B422" i="3"/>
  <c r="L422" i="3" s="1"/>
  <c r="B418" i="3"/>
  <c r="L418" i="3" s="1"/>
  <c r="B414" i="3"/>
  <c r="L414" i="3" s="1"/>
  <c r="B410" i="3"/>
  <c r="L410" i="3" s="1"/>
  <c r="B406" i="3"/>
  <c r="L406" i="3" s="1"/>
  <c r="B402" i="3"/>
  <c r="L402" i="3" s="1"/>
  <c r="B398" i="3"/>
  <c r="L398" i="3" s="1"/>
  <c r="B394" i="3"/>
  <c r="L394" i="3" s="1"/>
  <c r="B390" i="3"/>
  <c r="L390" i="3" s="1"/>
  <c r="B386" i="3"/>
  <c r="L386" i="3" s="1"/>
  <c r="B382" i="3"/>
  <c r="L382" i="3" s="1"/>
  <c r="B378" i="3"/>
  <c r="L378" i="3" s="1"/>
  <c r="B374" i="3"/>
  <c r="L374" i="3" s="1"/>
  <c r="B370" i="3"/>
  <c r="L370" i="3" s="1"/>
  <c r="B366" i="3"/>
  <c r="L366" i="3" s="1"/>
  <c r="B362" i="3"/>
  <c r="L362" i="3" s="1"/>
  <c r="B358" i="3"/>
  <c r="L358" i="3" s="1"/>
  <c r="B354" i="3"/>
  <c r="L354" i="3" s="1"/>
  <c r="B350" i="3"/>
  <c r="L350" i="3" s="1"/>
  <c r="B346" i="3"/>
  <c r="L346" i="3" s="1"/>
  <c r="B342" i="3"/>
  <c r="L342" i="3" s="1"/>
  <c r="B330" i="3"/>
  <c r="L330" i="3" s="1"/>
  <c r="B314" i="3"/>
  <c r="L314" i="3" s="1"/>
  <c r="B298" i="3"/>
  <c r="L298" i="3" s="1"/>
  <c r="B282" i="3"/>
  <c r="L282" i="3" s="1"/>
  <c r="B266" i="3"/>
  <c r="L266" i="3" s="1"/>
  <c r="B250" i="3"/>
  <c r="L250" i="3" s="1"/>
  <c r="B234" i="3"/>
  <c r="L234" i="3" s="1"/>
  <c r="B218" i="3"/>
  <c r="L218" i="3" s="1"/>
  <c r="B202" i="3"/>
  <c r="L202" i="3" s="1"/>
  <c r="B186" i="3"/>
  <c r="L186" i="3" s="1"/>
  <c r="B170" i="3"/>
  <c r="L170" i="3" s="1"/>
  <c r="B154" i="3"/>
  <c r="L154" i="3" s="1"/>
  <c r="B138" i="3"/>
  <c r="L138" i="3" s="1"/>
  <c r="B122" i="3"/>
  <c r="L122" i="3" s="1"/>
  <c r="B106" i="3"/>
  <c r="L106" i="3" s="1"/>
  <c r="B90" i="3"/>
  <c r="L90" i="3" s="1"/>
  <c r="B74" i="3"/>
  <c r="L74" i="3" s="1"/>
  <c r="B58" i="3"/>
  <c r="L58" i="3" s="1"/>
  <c r="B42" i="3"/>
  <c r="L42" i="3" s="1"/>
  <c r="B26" i="3"/>
  <c r="L26" i="3" s="1"/>
  <c r="B10" i="3"/>
  <c r="L10" i="3" s="1"/>
  <c r="D15" i="5" l="1"/>
  <c r="L392" i="5" a="1"/>
  <c r="L392" i="5" s="1"/>
  <c r="L399" i="5" a="1"/>
  <c r="L399" i="5" s="1"/>
  <c r="L304" i="5" a="1"/>
  <c r="L304" i="5" s="1"/>
  <c r="L339" i="5" a="1"/>
  <c r="L339" i="5" s="1"/>
  <c r="L105" i="5" a="1"/>
  <c r="L105" i="5" s="1"/>
  <c r="L394" i="5" a="1"/>
  <c r="L394" i="5" s="1"/>
  <c r="L125" i="5" a="1"/>
  <c r="L125" i="5" s="1"/>
  <c r="L364" i="5" a="1"/>
  <c r="L364" i="5" s="1"/>
  <c r="L59" i="5" a="1"/>
  <c r="L59" i="5" s="1"/>
  <c r="L158" i="5" a="1"/>
  <c r="L158" i="5" s="1"/>
  <c r="L274" i="5" a="1"/>
  <c r="L274" i="5" s="1"/>
  <c r="L363" i="5" a="1"/>
  <c r="L363" i="5" s="1"/>
  <c r="L65" i="5" a="1"/>
  <c r="L65" i="5" s="1"/>
  <c r="L114" i="5" a="1"/>
  <c r="L114" i="5" s="1"/>
  <c r="L352" i="5" a="1"/>
  <c r="L352" i="5" s="1"/>
  <c r="L497" i="5" a="1"/>
  <c r="L497" i="5" s="1"/>
  <c r="L272" i="5" a="1"/>
  <c r="L272" i="5" s="1"/>
  <c r="L251" i="5" a="1"/>
  <c r="L251" i="5" s="1"/>
  <c r="L134" i="5" a="1"/>
  <c r="L134" i="5" s="1"/>
  <c r="L250" i="5" a="1"/>
  <c r="L250" i="5" s="1"/>
  <c r="L421" i="5" a="1"/>
  <c r="L421" i="5" s="1"/>
  <c r="L522" i="5" a="1"/>
  <c r="L522" i="5" s="1"/>
  <c r="B3" i="3"/>
  <c r="L3" i="3" s="1"/>
  <c r="D10" i="5" l="1"/>
  <c r="D5" i="5"/>
  <c r="D7" i="5"/>
  <c r="D14" i="5"/>
  <c r="D6" i="5"/>
  <c r="D8" i="5"/>
  <c r="D11" i="5"/>
  <c r="D9" i="5"/>
  <c r="D12" i="5"/>
  <c r="D13" i="5"/>
  <c r="D1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</authors>
  <commentList>
    <comment ref="M19" authorId="0" shapeId="0" xr:uid="{7B69EB64-A7C2-4A2F-914B-9DD5C163A092}">
      <text>
        <r>
          <rPr>
            <b/>
            <sz val="9"/>
            <color indexed="81"/>
            <rFont val="Segoe UI"/>
            <family val="2"/>
          </rPr>
          <t>André:</t>
        </r>
        <r>
          <rPr>
            <sz val="9"/>
            <color indexed="81"/>
            <rFont val="Segoe UI"/>
            <family val="2"/>
          </rPr>
          <t xml:space="preserve">
Caso a nota esteja como não lançada, justifique aqui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<sst xmlns="http://schemas.openxmlformats.org/spreadsheetml/2006/main" count="1149" uniqueCount="41">
  <si>
    <t>Fornecedor</t>
  </si>
  <si>
    <t>Desconto</t>
  </si>
  <si>
    <t>UF</t>
  </si>
  <si>
    <t>SERIE</t>
  </si>
  <si>
    <t>EMISSAO</t>
  </si>
  <si>
    <t>CNPJ EMISSOR</t>
  </si>
  <si>
    <t>CFOP</t>
  </si>
  <si>
    <t>SITUACAO</t>
  </si>
  <si>
    <t>TIPO</t>
  </si>
  <si>
    <t>VALOR</t>
  </si>
  <si>
    <t>NF</t>
  </si>
  <si>
    <t>FORNECEDOR</t>
  </si>
  <si>
    <t>RELAÇÃO</t>
  </si>
  <si>
    <t>STATUS</t>
  </si>
  <si>
    <t>FORNECEDOR:  - ***TODOS***</t>
  </si>
  <si>
    <t>TIPO: &lt;&lt;TODOS&gt;&gt;</t>
  </si>
  <si>
    <t>Entrada</t>
  </si>
  <si>
    <t>Vlr. Nota</t>
  </si>
  <si>
    <t>Valor Contas a Pagar</t>
  </si>
  <si>
    <t>Pedido</t>
  </si>
  <si>
    <t>Conferência</t>
  </si>
  <si>
    <t>Data Emissão</t>
  </si>
  <si>
    <t>RECEBIDAS</t>
  </si>
  <si>
    <t>DEVOLUÇÕES</t>
  </si>
  <si>
    <t>EM TRANSPORTE</t>
  </si>
  <si>
    <t>CANCELADAS</t>
  </si>
  <si>
    <t>DESAGREGAÇÕES</t>
  </si>
  <si>
    <t>Observação</t>
  </si>
  <si>
    <t>TOTAL DE NOTAS</t>
  </si>
  <si>
    <t>DEPOSITO: &lt;&lt;TODOS&gt;&gt;</t>
  </si>
  <si>
    <t>DESCARTE</t>
  </si>
  <si>
    <t>REJEITADAS</t>
  </si>
  <si>
    <t>NÃO LANÇADAS</t>
  </si>
  <si>
    <t>PARA REJEITAR</t>
  </si>
  <si>
    <t>FALTA CHEGAR</t>
  </si>
  <si>
    <t>NÃO PRECISA</t>
  </si>
  <si>
    <t>JUSTIFICATIVA</t>
  </si>
  <si>
    <t>Relação de Compras no Período (resumido)</t>
  </si>
  <si>
    <t>Por favor, alimente com os campos NF, Fornecedor e Vlr. Nota</t>
  </si>
  <si>
    <t>CHAVE</t>
  </si>
  <si>
    <t>BAIXA DE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</si>
</sst>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dd/mm/yyyy\ hh:mm:ss"/>
    <numFmt numFmtId="165" formatCode="00&quot;.&quot;000&quot;.&quot;000&quot;/&quot;0000&quot;-&quot;00"/>
    <numFmt numFmtId="166" formatCode="[$-16]dd\/mm\/yyyy"/>
    <numFmt numFmtId="167" formatCode="#,##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6" fillId="0" borderId="0" xfId="0" applyFont="1"/>
    <xf numFmtId="49" fontId="16" fillId="0" borderId="0" xfId="0" applyNumberFormat="1" applyFont="1"/>
    <xf numFmtId="164" fontId="0" fillId="0" borderId="0" xfId="0" applyNumberFormat="1"/>
    <xf numFmtId="49" fontId="0" fillId="0" borderId="0" xfId="0" applyNumberFormat="1"/>
    <xf numFmtId="44" fontId="0" fillId="0" borderId="0" xfId="1" applyFon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4" fontId="0" fillId="0" borderId="0" xfId="1" applyFont="1" applyFill="1"/>
    <xf numFmtId="0" fontId="0" fillId="33" borderId="0" xfId="0" applyFill="1"/>
    <xf numFmtId="165" fontId="0" fillId="33" borderId="0" xfId="0" applyNumberFormat="1" applyFill="1"/>
    <xf numFmtId="44" fontId="0" fillId="33" borderId="0" xfId="1" applyFont="1" applyFill="1"/>
    <xf numFmtId="0" fontId="18" fillId="33" borderId="0" xfId="0" applyFont="1" applyFill="1" applyAlignment="1">
      <alignment vertical="center"/>
    </xf>
    <xf numFmtId="0" fontId="13" fillId="33" borderId="0" xfId="0" applyFont="1" applyFill="1" applyAlignment="1">
      <alignment vertical="center"/>
    </xf>
    <xf numFmtId="165" fontId="17" fillId="0" borderId="0" xfId="0" applyNumberFormat="1" applyFont="1"/>
    <xf numFmtId="0" fontId="17" fillId="0" borderId="0" xfId="0" applyFont="1"/>
    <xf numFmtId="0" fontId="0" fillId="34" borderId="0" xfId="0" applyFill="1"/>
    <xf numFmtId="0" fontId="21" fillId="34" borderId="0" xfId="0" applyFont="1" applyFill="1"/>
    <xf numFmtId="4" fontId="0" fillId="0" borderId="0" xfId="0" applyNumberFormat="1"/>
    <xf numFmtId="0" fontId="16" fillId="0" borderId="0" xfId="0" applyFont="1" applyAlignment="1">
      <alignment horizontal="center" vertical="top" wrapText="1"/>
    </xf>
    <xf numFmtId="166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44" fontId="16" fillId="0" borderId="0" xfId="1" applyFont="1"/>
    <xf numFmtId="167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8" fillId="3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3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/>
    <xf numFmtId="0" fontId="0" fillId="0" borderId="0" xfId="0" applyNumberForma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4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&quot;.&quot;000&quot;.&quot;000&quot;/&quot;0000&quot;-&quot;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2</xdr:col>
      <xdr:colOff>20955</xdr:colOff>
      <xdr:row>4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1B3C8B-7881-FC8F-6359-32C4D681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609599</xdr:colOff>
      <xdr:row>4</xdr:row>
      <xdr:rowOff>76200</xdr:rowOff>
    </xdr:from>
    <xdr:to>
      <xdr:col>11</xdr:col>
      <xdr:colOff>3352800</xdr:colOff>
      <xdr:row>13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STATUS">
              <a:extLst>
                <a:ext uri="{FF2B5EF4-FFF2-40B4-BE49-F238E27FC236}">
                  <a16:creationId xmlns:a16="http://schemas.microsoft.com/office/drawing/2014/main" id="{64906331-A27E-3754-A139-DCA2AADE7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5174" y="838200"/>
              <a:ext cx="4305301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131445</xdr:colOff>
      <xdr:row>4</xdr:row>
      <xdr:rowOff>91440</xdr:rowOff>
    </xdr:from>
    <xdr:to>
      <xdr:col>9</xdr:col>
      <xdr:colOff>516255</xdr:colOff>
      <xdr:row>11</xdr:row>
      <xdr:rowOff>97155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58213002-CB5D-CFED-71F1-DC00A15DD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5905" y="838200"/>
              <a:ext cx="1853565" cy="126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85573F9-FC39-48F3-99B9-CC861F107715}" sourceName="STATUS">
  <extLst>
    <x:ext xmlns:x15="http://schemas.microsoft.com/office/spreadsheetml/2010/11/main" uri="{2F2917AC-EB37-4324-AD4E-5DD8C200BD13}">
      <x15:tableSlicerCache tableId="4" column="1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90FDF858-A682-47AD-8143-FC13ECAC2EFE}" sourceName="TIPO">
  <extLst>
    <x:ext xmlns:x15="http://schemas.microsoft.com/office/spreadsheetml/2010/11/main" uri="{2F2917AC-EB37-4324-AD4E-5DD8C200BD13}">
      <x15:tableSlicerCache tableId="4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3D46C61-3FBD-4964-BDA1-AC09CD401CEB}" cache="SegmentaçãodeDados_STATUS" caption="STATUS" columnCount="3" style="SlicerStyleLight6" rowHeight="257175"/>
  <slicer name="TIPO" xr10:uid="{04F3114E-FEFD-4F42-9927-8527CAC3AE9B}" cache="SegmentaçãodeDados_TIPO" caption="TIPO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C9B50-9E8A-4A31-B20A-D07FC13BD7AA}" name="RELATORIO" displayName="RELATORIO" ref="B19:O1106" totalsRowShown="0" dataDxfId="43">
  <autoFilter ref="B19:O1106" xr:uid="{2AA8BD31-0703-4A9A-851A-C6432AEF5E89}"/>
  <tableColumns count="14">
    <tableColumn id="1" xr3:uid="{B0B7B748-3F65-4249-86CD-5F87A5DC883F}" name="UF" dataDxfId="42">
      <calculatedColumnFormula>IF(SEFAZ!A2="","",SEFAZ!A2)</calculatedColumnFormula>
    </tableColumn>
    <tableColumn id="2" xr3:uid="{0784426D-E7DC-4BF7-A1CF-2F903131CE24}" name="NF" dataDxfId="41">
      <calculatedColumnFormula>IF(SEFAZ!C2="","",SEFAZ!C2)</calculatedColumnFormula>
    </tableColumn>
    <tableColumn id="3" xr3:uid="{C4858455-86D8-4CE8-BA9A-C7B046D08344}" name="SERIE" dataDxfId="40">
      <calculatedColumnFormula>IF(SEFAZ!D2="","",SEFAZ!D2)</calculatedColumnFormula>
    </tableColumn>
    <tableColumn id="4" xr3:uid="{08E7EEE4-A4B0-4B45-9B69-D6FBC8469E39}" name="EMISSAO" dataDxfId="39">
      <calculatedColumnFormula>IF(SEFAZ!E2="","",SEFAZ!E2)</calculatedColumnFormula>
    </tableColumn>
    <tableColumn id="5" xr3:uid="{0B9A2700-A838-4CD1-94E0-BE107B8A87A6}" name="CNPJ EMISSOR" dataDxfId="38">
      <calculatedColumnFormula>IF(SEFAZ!F2="","",VALUE(SUBSTITUTE(SEFAZ!F2,"'","")))</calculatedColumnFormula>
    </tableColumn>
    <tableColumn id="6" xr3:uid="{0944E1F2-9058-4ADD-A274-AE83664CB80C}" name="FORNECEDOR" dataDxfId="37">
      <calculatedColumnFormula>IF(SEFAZ!H2="","",SEFAZ!H2)</calculatedColumnFormula>
    </tableColumn>
    <tableColumn id="7" xr3:uid="{DA3857F6-FE8E-420F-B8E7-6A7224A32F8F}" name="CFOP" dataDxfId="36">
      <calculatedColumnFormula>IF(SEFAZ!L2="","",SEFAZ!L2)</calculatedColumnFormula>
    </tableColumn>
    <tableColumn id="8" xr3:uid="{86D810CF-28D8-47ED-B765-6C787813A03D}" name="SITUACAO" dataDxfId="35">
      <calculatedColumnFormula>IF(SEFAZ!N2="","",SEFAZ!N2)</calculatedColumnFormula>
    </tableColumn>
    <tableColumn id="9" xr3:uid="{F1B354C5-8A42-44AD-AEBC-837DC5AECC5F}" name="TIPO" dataDxfId="34">
      <calculatedColumnFormula>IF(SEFAZ!O2="","",SEFAZ!O2)</calculatedColumnFormula>
    </tableColumn>
    <tableColumn id="10" xr3:uid="{0425D9FD-FD18-45E9-B261-9C161CB08DBF}" name="VALOR" dataDxfId="33" dataCellStyle="Moeda">
      <calculatedColumnFormula>IF(SEFAZ!P2="","",SEFAZ!P2)</calculatedColumnFormula>
    </tableColumn>
    <tableColumn id="11" xr3:uid="{68EA5C25-6D8D-4F10-8C90-E1E15023135E}" name="STATUS" dataDxfId="32">
      <calculatedColumnFormula array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calculatedColumnFormula>
    </tableColumn>
    <tableColumn id="13" xr3:uid="{9672FFA6-3679-42E5-A988-69B68CE46959}" name="JUSTIFICATIVA" dataDxfId="31"/>
    <tableColumn id="12" xr3:uid="{F08AB48B-3C0E-424E-85B1-837A0C359386}" name="Observação" dataDxfId="30"/>
    <tableColumn id="14" xr3:uid="{9707A9A1-106A-4749-B49B-6C46C2D870F6}" name="CHAVE" dataDxfId="0">
      <calculatedColumnFormula>IF(SEFAZ!B2="","",SEFAZ!B2)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75ACF-0314-4865-A82A-62831B471712}" name="TABELA_ENTRADAS" displayName="TABELA_ENTRADAS" ref="B2:L1000" totalsRowShown="0">
  <autoFilter ref="B2:L1000" xr:uid="{2AA8BD31-0703-4A9A-851A-C6432AEF5E89}"/>
  <sortState xmlns:xlrd2="http://schemas.microsoft.com/office/spreadsheetml/2017/richdata2" ref="B3:L10">
    <sortCondition sortBy="cellColor" ref="J2:J10" dxfId="29"/>
  </sortState>
  <tableColumns count="11">
    <tableColumn id="1" xr3:uid="{C31E2042-8A93-409D-B53A-4BDBA38DDBB5}" name="UF" dataDxfId="28">
      <calculatedColumnFormula>IF('ENTRADAS-BASE'!A1="","",'ENTRADAS-BASE'!A1)</calculatedColumnFormula>
    </tableColumn>
    <tableColumn id="2" xr3:uid="{CD0D1B1B-C5CB-43F0-B98C-7B6728C9222B}" name="NF">
      <calculatedColumnFormula>IF('ENTRADAS-BASE'!B1="","",'ENTRADAS-BASE'!B1)</calculatedColumnFormula>
    </tableColumn>
    <tableColumn id="3" xr3:uid="{D0AB0AAA-997F-4B45-8CD1-B182C4249F81}" name="SERIE">
      <calculatedColumnFormula>IF('ENTRADAS-BASE'!C1="","",'ENTRADAS-BASE'!C1)</calculatedColumnFormula>
    </tableColumn>
    <tableColumn id="4" xr3:uid="{71E0437D-CBF0-4108-AE3B-79B715BE488A}" name="EMISSAO" dataDxfId="27">
      <calculatedColumnFormula>IF('ENTRADAS-BASE'!D1="","",'ENTRADAS-BASE'!D1)</calculatedColumnFormula>
    </tableColumn>
    <tableColumn id="5" xr3:uid="{AA1F71BB-A975-4A54-BC84-4B8CD60AABF4}" name="CNPJ EMISSOR" dataDxfId="26">
      <calculatedColumnFormula>IF('ENTRADAS-BASE'!E1="","",'ENTRADAS-BASE'!E1)</calculatedColumnFormula>
    </tableColumn>
    <tableColumn id="6" xr3:uid="{7875C0B3-F024-431F-807B-9BD601EF531F}" name="FORNECEDOR">
      <calculatedColumnFormula>IF('ENTRADAS-BASE'!F1="","",'ENTRADAS-BASE'!F1)</calculatedColumnFormula>
    </tableColumn>
    <tableColumn id="7" xr3:uid="{88F004D0-08D0-4DFF-A72B-C39ED3C785EA}" name="CFOP">
      <calculatedColumnFormula>IF('ENTRADAS-BASE'!G1="","",'ENTRADAS-BASE'!G1)</calculatedColumnFormula>
    </tableColumn>
    <tableColumn id="8" xr3:uid="{43539B95-5CFD-4971-924A-C9C9D0DD1BB8}" name="SITUACAO">
      <calculatedColumnFormula>IF('ENTRADAS-BASE'!H1="","",'ENTRADAS-BASE'!H1)</calculatedColumnFormula>
    </tableColumn>
    <tableColumn id="9" xr3:uid="{C37F2D42-6743-4E3A-9749-DEBE0B954D3F}" name="TIPO">
      <calculatedColumnFormula>IF('ENTRADAS-BASE'!I1="","",'ENTRADAS-BASE'!I1)</calculatedColumnFormula>
    </tableColumn>
    <tableColumn id="10" xr3:uid="{18DFCDED-EE67-4242-984D-0AD3C31F6FBA}" name="VALOR" dataDxfId="25" dataCellStyle="Moeda">
      <calculatedColumnFormula>IF('ENTRADAS-BASE'!J1="","",'ENTRADAS-BASE'!J1)</calculatedColumnFormula>
    </tableColumn>
    <tableColumn id="11" xr3:uid="{A9D897D8-9A4C-44C8-9B35-0ED0B6BDFAEB}" name="RELAÇÃO" dataDxfId="24">
      <calculatedColumnFormula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A8BD31-0703-4A9A-851A-C6432AEF5E89}" name="TABELA_SAIDAS" displayName="TABELA_SAIDAS" ref="B2:L1000" totalsRowShown="0">
  <autoFilter ref="B2:L1000" xr:uid="{2AA8BD31-0703-4A9A-851A-C6432AEF5E89}"/>
  <sortState xmlns:xlrd2="http://schemas.microsoft.com/office/spreadsheetml/2017/richdata2" ref="B3:L440">
    <sortCondition sortBy="cellColor" ref="J2:J440" dxfId="23"/>
  </sortState>
  <tableColumns count="11">
    <tableColumn id="1" xr3:uid="{5E1A7490-A264-49E1-9392-87ABE96A7646}" name="UF" dataDxfId="22">
      <calculatedColumnFormula>IF('SAÍDAS-BASE'!A1="","",'SAÍDAS-BASE'!A1)</calculatedColumnFormula>
    </tableColumn>
    <tableColumn id="2" xr3:uid="{C353142A-73A9-4C32-A24D-7ECE1644790B}" name="NF" dataDxfId="21">
      <calculatedColumnFormula>IF('SAÍDAS-BASE'!B1="","",'SAÍDAS-BASE'!B1)</calculatedColumnFormula>
    </tableColumn>
    <tableColumn id="3" xr3:uid="{55C42CFF-D4EB-4624-B424-7655D1407966}" name="SERIE" dataDxfId="20">
      <calculatedColumnFormula>IF('SAÍDAS-BASE'!C1="","",'SAÍDAS-BASE'!C1)</calculatedColumnFormula>
    </tableColumn>
    <tableColumn id="4" xr3:uid="{49487431-73B0-4E59-883F-31B83C40C0BC}" name="EMISSAO" dataDxfId="19">
      <calculatedColumnFormula>IF('SAÍDAS-BASE'!D1="","",'SAÍDAS-BASE'!D1)</calculatedColumnFormula>
    </tableColumn>
    <tableColumn id="5" xr3:uid="{90334490-0326-420F-B309-C9563623576C}" name="CNPJ EMISSOR" dataDxfId="18">
      <calculatedColumnFormula>IF('SAÍDAS-BASE'!E1="","",'SAÍDAS-BASE'!E1)</calculatedColumnFormula>
    </tableColumn>
    <tableColumn id="6" xr3:uid="{74070145-DA93-4A22-AF13-FC6E1FB5DE36}" name="FORNECEDOR" dataDxfId="17">
      <calculatedColumnFormula>IF('SAÍDAS-BASE'!F1="","",'SAÍDAS-BASE'!F1)</calculatedColumnFormula>
    </tableColumn>
    <tableColumn id="7" xr3:uid="{55AF05FE-52F9-4393-B813-8DB08586B74D}" name="CFOP" dataDxfId="16">
      <calculatedColumnFormula>IF('SAÍDAS-BASE'!G1="","",'SAÍDAS-BASE'!G1)</calculatedColumnFormula>
    </tableColumn>
    <tableColumn id="8" xr3:uid="{6F0491B9-8033-4B46-B2C1-548FBF71AA5C}" name="SITUACAO" dataDxfId="15">
      <calculatedColumnFormula>IF('SAÍDAS-BASE'!H1="","",'SAÍDAS-BASE'!H1)</calculatedColumnFormula>
    </tableColumn>
    <tableColumn id="9" xr3:uid="{16BE5CA3-3040-481E-BFA5-FDE68FB6613B}" name="TIPO" dataDxfId="14">
      <calculatedColumnFormula>IF('SAÍDAS-BASE'!I1="","",'SAÍDAS-BASE'!I1)</calculatedColumnFormula>
    </tableColumn>
    <tableColumn id="10" xr3:uid="{4CCD9BEB-0445-4D46-9C54-D0ABF2F59B17}" name="VALOR" dataDxfId="13" dataCellStyle="Moeda">
      <calculatedColumnFormula>IF('SAÍDAS-BASE'!J1="","",'SAÍDAS-BASE'!J1)</calculatedColumnFormula>
    </tableColumn>
    <tableColumn id="11" xr3:uid="{D1126F0C-6D1A-4E91-81FD-FDC6427FA2FE}" name="RELAÇÃO" dataDxfId="12">
      <calculatedColumnFormula>IF(TABELA_SAIDAS[[#This Row],[UF]]="","",IFERROR(IF(VLOOKUP(TABELA_SAIDAS[[#This Row],[VALOR]],TABELA_ENTRADAS[VALOR],1,FALSE),"DEVOLUÇÃO"),"SEM ENTRADAS"))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45F82-F448-4A9E-BBBE-A0FEBC5D72CD}" name="tabela_compras" displayName="tabela_compras" ref="A7:I2342" totalsRowShown="0" headerRowDxfId="11" dataDxfId="10">
  <autoFilter ref="A7:I2342" xr:uid="{49F45F82-F448-4A9E-BBBE-A0FEBC5D72CD}"/>
  <tableColumns count="9">
    <tableColumn id="1" xr3:uid="{AB11FFDA-F82B-41F2-9F9F-FFCA87A09BB6}" name="Entrada" dataDxfId="9">
      <calculatedColumnFormula>IF(SISTEMA!A2="","",SISTEMA!A2)</calculatedColumnFormula>
    </tableColumn>
    <tableColumn id="2" xr3:uid="{889DDA12-D066-4BE2-BD38-A7DFD05775F4}" name="NF" dataDxfId="8">
      <calculatedColumnFormula>IF(SISTEMA!B2="","",VALUE(SISTEMA!B2))</calculatedColumnFormula>
    </tableColumn>
    <tableColumn id="3" xr3:uid="{FCF62964-449B-40E5-B04E-39DB5F8B70E1}" name="Fornecedor" dataDxfId="7">
      <calculatedColumnFormula>IF(SISTEMA!C2="","",SISTEMA!C2)</calculatedColumnFormula>
    </tableColumn>
    <tableColumn id="4" xr3:uid="{603ED454-3486-415E-AECA-FC72C99AA701}" name="Desconto" dataDxfId="6" dataCellStyle="Moeda">
      <calculatedColumnFormula array="1">IFERROR(
    _xlfn.XLOOKUP(
        --tabela_compras[[#This Row],[NF]],
        --INDEX(SISTEMA!$A$2:$Z$100000,0,MATCH("NF",SISTEMA!$A$1:$Z$1,0)),
        INDEX(SISTEMA!$A$2:$Z$100000,0,MATCH(tabela_compras[[#Headers],[Desconto]],SISTEMA!$A$1:$Z$1,0))
    ),
    ""
)</calculatedColumnFormula>
    </tableColumn>
    <tableColumn id="5" xr3:uid="{B92D405A-D233-49F1-ADA9-8A78DD2928AC}" name="Vlr. Nota" dataDxfId="5" dataCellStyle="Moeda">
      <calculatedColumnFormula array="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calculatedColumnFormula>
    </tableColumn>
    <tableColumn id="6" xr3:uid="{4CA2E5A6-92B5-49C7-B77E-0DBC5E36CC7B}" name="Valor Contas a Pagar" dataDxfId="4" dataCellStyle="Moeda">
      <calculatedColumnFormula array="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calculatedColumnFormula>
    </tableColumn>
    <tableColumn id="7" xr3:uid="{8E109A0D-E7A0-48C9-9086-B12DD2D7BDE1}" name="Pedido" dataDxfId="3">
      <calculatedColumnFormula array="1">IFERROR(
    _xlfn.XLOOKUP(
        --tabela_compras[[#This Row],[NF]],
        --INDEX(SISTEMA!$A$2:$Z$100000,0,MATCH("NF",SISTEMA!$A$1:$Z$1,0)),
        INDEX(SISTEMA!$A$2:$Z$100000,0,MATCH(tabela_compras[[#Headers],[Pedido]],SISTEMA!$A$1:$Z$1,0))
    ),
    ""
)</calculatedColumnFormula>
    </tableColumn>
    <tableColumn id="8" xr3:uid="{790A0571-12C4-47A7-9C32-D5609291E164}" name="Conferência" dataDxfId="2"/>
    <tableColumn id="9" xr3:uid="{221765C4-D1A2-4463-B7BA-C3AACEC5B118}" name="Data Emissão" dataDxfId="1">
      <calculatedColumnFormula array="1">IFERROR(
    _xlfn.XLOOKUP(
        --tabela_compras[[#This Row],[NF]],
        --INDEX(SISTEMA!$A$2:$Z$100000,0,MATCH("NF",SISTEMA!$A$1:$Z$1,0)),
        INDEX(SISTEMA!$A$2:$Z$100000,0,MATCH(tabela_compras[[#Headers],[Data Emissão]],SISTEMA!$A$1:$Z$1,0))
    ),
    ""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F6D-BFDA-462F-9CAF-D895D4721D0C}">
  <sheetPr codeName="Planilha1"/>
  <dimension ref="B1:O1106"/>
  <sheetViews>
    <sheetView showGridLines="0" tabSelected="1" zoomScaleNormal="100" workbookViewId="0">
      <selection activeCell="F11" sqref="F11"/>
    </sheetView>
  </sheetViews>
  <sheetFormatPr defaultRowHeight="14.4" x14ac:dyDescent="0.3"/>
  <cols>
    <col min="1" max="1" width="4.6640625" customWidth="1"/>
    <col min="2" max="2" width="7.88671875" customWidth="1"/>
    <col min="5" max="5" width="11.33203125" customWidth="1"/>
    <col min="6" max="6" width="17.88671875" style="6" customWidth="1"/>
    <col min="7" max="7" width="16.109375" customWidth="1"/>
    <col min="8" max="8" width="9.109375" customWidth="1"/>
    <col min="9" max="9" width="12.33203125" customWidth="1"/>
    <col min="11" max="11" width="14.33203125" style="5" bestFit="1" customWidth="1"/>
    <col min="12" max="12" width="51.44140625" bestFit="1" customWidth="1"/>
    <col min="13" max="13" width="16.109375" bestFit="1" customWidth="1"/>
    <col min="14" max="14" width="13.88671875" bestFit="1" customWidth="1"/>
    <col min="15" max="15" width="46" customWidth="1"/>
  </cols>
  <sheetData>
    <row r="1" spans="2:11" s="12" customFormat="1" x14ac:dyDescent="0.3">
      <c r="F1" s="13"/>
      <c r="K1" s="14"/>
    </row>
    <row r="2" spans="2:11" s="12" customFormat="1" ht="15" customHeight="1" x14ac:dyDescent="0.3">
      <c r="C2" s="30" t="str">
        <f ca="1">IF(E20="",
    IF(DAY(TODAY())&gt;6,
        "RELATÓRIO FISCAL | "&amp;F6&amp;" "&amp;G6,
        "RELATÓRIO FISCAL | "&amp;F7&amp;" "&amp;G7
    ),
    "RELATÓRIO FISCAL | "&amp;UPPER(TEXT(E20,"mmmm"))&amp;" "&amp;TEXT(E20,"aaaa")
)</f>
        <v>RELATÓRIO FISCAL | AGOSTO 2026</v>
      </c>
      <c r="D2" s="30"/>
      <c r="E2" s="30"/>
      <c r="F2" s="30"/>
      <c r="G2" s="30"/>
      <c r="H2" s="30"/>
      <c r="I2" s="15"/>
      <c r="J2" s="15"/>
      <c r="K2" s="14"/>
    </row>
    <row r="3" spans="2:11" s="12" customFormat="1" ht="15" customHeight="1" x14ac:dyDescent="0.3">
      <c r="C3" s="30"/>
      <c r="D3" s="30"/>
      <c r="E3" s="30"/>
      <c r="F3" s="30"/>
      <c r="G3" s="30"/>
      <c r="H3" s="30"/>
      <c r="I3" s="15"/>
      <c r="J3" s="15"/>
      <c r="K3" s="14"/>
    </row>
    <row r="4" spans="2:11" s="12" customFormat="1" x14ac:dyDescent="0.3">
      <c r="C4" s="32" t="str" cm="1">
        <f t="array" ref="C4">_xlfn.IFS(
    SEFAZ!I2="","",
    SEFAZ!I2="'19234190000300'","UNIDADE: PONTA NEGRA",
    SEFAZ!I2="'19234190000130'","UNIDADE: PARQUE DEZ",
    SEFAZ!I2="'19234190000725'","UNIDADE: MORADA DO SOL",
    SEFAZ!I2="'19234190000482'","UNIDADE: MONTE DAS OLIVEIRAS")</f>
        <v/>
      </c>
      <c r="D4" s="32"/>
      <c r="E4" s="32"/>
      <c r="F4" s="32"/>
      <c r="G4" s="32"/>
      <c r="H4" s="16"/>
      <c r="I4" s="16"/>
      <c r="J4" s="16"/>
      <c r="K4" s="14"/>
    </row>
    <row r="5" spans="2:11" x14ac:dyDescent="0.3">
      <c r="B5" s="33" t="s">
        <v>22</v>
      </c>
      <c r="C5" s="33"/>
      <c r="D5">
        <f ca="1">COUNTIF(RELATORIO[STATUS],"RECEBIDA")</f>
        <v>0</v>
      </c>
    </row>
    <row r="6" spans="2:11" x14ac:dyDescent="0.3">
      <c r="B6" s="33" t="s">
        <v>32</v>
      </c>
      <c r="C6" s="33"/>
      <c r="D6">
        <f ca="1">COUNTIF(RELATORIO[STATUS],"NÃO LANÇADA")</f>
        <v>0</v>
      </c>
      <c r="F6" s="17" t="str">
        <f ca="1">UPPER(TEXT(TODAY(),"mmmm"))</f>
        <v>SETEMBRO</v>
      </c>
      <c r="G6" s="18" t="str">
        <f ca="1">TEXT(TODAY(),"aaaa")</f>
        <v>2026</v>
      </c>
    </row>
    <row r="7" spans="2:11" x14ac:dyDescent="0.3">
      <c r="B7" s="9" t="s">
        <v>25</v>
      </c>
      <c r="C7" s="9"/>
      <c r="D7">
        <f ca="1">COUNTIF(RELATORIO[STATUS],"CANCELADA")</f>
        <v>0</v>
      </c>
      <c r="F7" s="17" t="str">
        <f ca="1">UPPER(TEXT(EDATE(TODAY(), -1),"mmmm"))</f>
        <v>AGOSTO</v>
      </c>
      <c r="G7" s="18" t="str">
        <f ca="1">TEXT(EDATE(TODAY(),-1),"aaaa")</f>
        <v>2026</v>
      </c>
    </row>
    <row r="8" spans="2:11" x14ac:dyDescent="0.3">
      <c r="B8" s="9" t="s">
        <v>23</v>
      </c>
      <c r="C8" s="9"/>
      <c r="D8">
        <f ca="1">SUM(COUNTIF(RELATORIO[STATUS],"DEVOLUÇÃO"),COUNTIF(RELATORIO[STATUS],"DEVOLUÇÃO PARCIAL OU DEVOLUÇÃO DO MÊS ANTERIOR"))</f>
        <v>0</v>
      </c>
    </row>
    <row r="9" spans="2:11" x14ac:dyDescent="0.3">
      <c r="B9" s="9" t="s">
        <v>24</v>
      </c>
      <c r="C9" s="9"/>
      <c r="D9">
        <f ca="1">COUNTIF(RELATORIO[STATUS],"EM TRANSPORTE")</f>
        <v>0</v>
      </c>
    </row>
    <row r="10" spans="2:11" x14ac:dyDescent="0.3">
      <c r="B10" s="9" t="s">
        <v>26</v>
      </c>
      <c r="C10" s="9"/>
      <c r="D10">
        <f ca="1">COUNTIF(RELATORIO[STATUS],"DESAGREGAÇÃO")</f>
        <v>0</v>
      </c>
    </row>
    <row r="11" spans="2:11" x14ac:dyDescent="0.3">
      <c r="B11" s="9" t="s">
        <v>30</v>
      </c>
      <c r="C11" s="9"/>
      <c r="D11">
        <f ca="1">COUNTIF(RELATORIO[STATUS],B11)</f>
        <v>0</v>
      </c>
    </row>
    <row r="12" spans="2:11" x14ac:dyDescent="0.3">
      <c r="B12" s="9" t="s">
        <v>31</v>
      </c>
      <c r="C12" s="9"/>
      <c r="D12">
        <f ca="1">COUNTIF(RELATORIO[STATUS],"REJEITADA")</f>
        <v>0</v>
      </c>
    </row>
    <row r="13" spans="2:11" x14ac:dyDescent="0.3">
      <c r="B13" s="9" t="s">
        <v>33</v>
      </c>
      <c r="C13" s="9"/>
      <c r="D13">
        <f ca="1">COUNTIF(RELATORIO[STATUS],"PARA REJEITAR")</f>
        <v>0</v>
      </c>
    </row>
    <row r="14" spans="2:11" x14ac:dyDescent="0.3">
      <c r="B14" s="9" t="s">
        <v>34</v>
      </c>
      <c r="C14" s="9"/>
      <c r="D14">
        <f ca="1">COUNTIF(RELATORIO[STATUS],"FALTA CHEGAR")</f>
        <v>0</v>
      </c>
    </row>
    <row r="15" spans="2:11" x14ac:dyDescent="0.3">
      <c r="B15" s="9" t="s">
        <v>40</v>
      </c>
      <c r="C15" s="9"/>
      <c r="D15">
        <f ca="1">COUNTIF(RELATORIO[STATUS],"SAÍDA DE ESTOQUE")</f>
        <v>0</v>
      </c>
    </row>
    <row r="16" spans="2:11" x14ac:dyDescent="0.3">
      <c r="B16" s="31" t="s">
        <v>28</v>
      </c>
      <c r="C16" s="31"/>
      <c r="D16" s="1">
        <f ca="1">SUM(D5:D15)</f>
        <v>0</v>
      </c>
    </row>
    <row r="17" spans="2:15" x14ac:dyDescent="0.3">
      <c r="B17" s="31"/>
      <c r="C17" s="31"/>
      <c r="D17" s="1"/>
    </row>
    <row r="19" spans="2:15" x14ac:dyDescent="0.3">
      <c r="B19" t="s">
        <v>2</v>
      </c>
      <c r="C19" t="s">
        <v>10</v>
      </c>
      <c r="D19" t="s">
        <v>3</v>
      </c>
      <c r="E19" t="s">
        <v>4</v>
      </c>
      <c r="F19" s="6" t="s">
        <v>5</v>
      </c>
      <c r="G19" t="s">
        <v>11</v>
      </c>
      <c r="H19" t="s">
        <v>6</v>
      </c>
      <c r="I19" t="s">
        <v>7</v>
      </c>
      <c r="J19" t="s">
        <v>8</v>
      </c>
      <c r="K19" s="5" t="s">
        <v>9</v>
      </c>
      <c r="L19" t="s">
        <v>13</v>
      </c>
      <c r="M19" t="s">
        <v>36</v>
      </c>
      <c r="N19" t="s">
        <v>27</v>
      </c>
      <c r="O19" t="s">
        <v>39</v>
      </c>
    </row>
    <row r="20" spans="2:15" x14ac:dyDescent="0.3">
      <c r="B20" t="str">
        <f>IF(SEFAZ!A2="","",SEFAZ!A2)</f>
        <v/>
      </c>
      <c r="C20" t="str">
        <f>IF(SEFAZ!C2="","",SEFAZ!C2)</f>
        <v/>
      </c>
      <c r="D20" t="str">
        <f>IF(SEFAZ!D2="","",SEFAZ!D2)</f>
        <v/>
      </c>
      <c r="E20" s="7" t="str">
        <f>IF(SEFAZ!E2="","",SEFAZ!E2)</f>
        <v/>
      </c>
      <c r="F20" s="6" t="str">
        <f>IF(SEFAZ!F2="","",VALUE(SUBSTITUTE(SEFAZ!F2,"'","")))</f>
        <v/>
      </c>
      <c r="G20" t="str">
        <f>IF(SEFAZ!H2="","",SEFAZ!H2)</f>
        <v/>
      </c>
      <c r="H20" t="str">
        <f>IF(SEFAZ!L2="","",SEFAZ!L2)</f>
        <v/>
      </c>
      <c r="I20" t="str">
        <f>IF(SEFAZ!N2="","",SEFAZ!N2)</f>
        <v/>
      </c>
      <c r="J20" t="str">
        <f>IF(SEFAZ!O2="","",SEFAZ!O2)</f>
        <v/>
      </c>
      <c r="K20" s="11" t="str">
        <f>IF(SEFAZ!P2="","",SEFAZ!P2)</f>
        <v/>
      </c>
      <c r="L20" t="str" cm="1">
        <f t="array" aca="1" ref="L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" t="s">
        <v>35</v>
      </c>
      <c r="O20" s="36" t="str">
        <f>IF(SEFAZ!B2="","",SEFAZ!B2)</f>
        <v/>
      </c>
    </row>
    <row r="21" spans="2:15" x14ac:dyDescent="0.3">
      <c r="B21" t="str">
        <f>IF(SEFAZ!A3="","",SEFAZ!A3)</f>
        <v/>
      </c>
      <c r="C21" t="str">
        <f>IF(SEFAZ!C3="","",SEFAZ!C3)</f>
        <v/>
      </c>
      <c r="D21" t="str">
        <f>IF(SEFAZ!D3="","",SEFAZ!D3)</f>
        <v/>
      </c>
      <c r="E21" s="7" t="str">
        <f>IF(SEFAZ!E3="","",SEFAZ!E3)</f>
        <v/>
      </c>
      <c r="F21" s="6" t="str">
        <f>IF(SEFAZ!F3="","",VALUE(SUBSTITUTE(SEFAZ!F3,"'","")))</f>
        <v/>
      </c>
      <c r="G21" t="str">
        <f>IF(SEFAZ!H3="","",SEFAZ!H3)</f>
        <v/>
      </c>
      <c r="H21" t="str">
        <f>IF(SEFAZ!L3="","",SEFAZ!L3)</f>
        <v/>
      </c>
      <c r="I21" t="str">
        <f>IF(SEFAZ!N3="","",SEFAZ!N3)</f>
        <v/>
      </c>
      <c r="J21" t="str">
        <f>IF(SEFAZ!O3="","",SEFAZ!O3)</f>
        <v/>
      </c>
      <c r="K21" s="11" t="str">
        <f>IF(SEFAZ!P3="","",SEFAZ!P3)</f>
        <v/>
      </c>
      <c r="L21" t="str" cm="1">
        <f t="array" aca="1" ref="L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" t="s">
        <v>35</v>
      </c>
      <c r="O21" s="36" t="str">
        <f>IF(SEFAZ!B3="","",SEFAZ!B3)</f>
        <v/>
      </c>
    </row>
    <row r="22" spans="2:15" x14ac:dyDescent="0.3">
      <c r="B22" t="str">
        <f>IF(SEFAZ!A4="","",SEFAZ!A4)</f>
        <v/>
      </c>
      <c r="C22" t="str">
        <f>IF(SEFAZ!C4="","",SEFAZ!C4)</f>
        <v/>
      </c>
      <c r="D22" t="str">
        <f>IF(SEFAZ!D4="","",SEFAZ!D4)</f>
        <v/>
      </c>
      <c r="E22" s="7" t="str">
        <f>IF(SEFAZ!E4="","",SEFAZ!E4)</f>
        <v/>
      </c>
      <c r="F22" s="6" t="str">
        <f>IF(SEFAZ!F4="","",VALUE(SUBSTITUTE(SEFAZ!F4,"'","")))</f>
        <v/>
      </c>
      <c r="G22" t="str">
        <f>IF(SEFAZ!H4="","",SEFAZ!H4)</f>
        <v/>
      </c>
      <c r="H22" t="str">
        <f>IF(SEFAZ!L4="","",SEFAZ!L4)</f>
        <v/>
      </c>
      <c r="I22" t="str">
        <f>IF(SEFAZ!N4="","",SEFAZ!N4)</f>
        <v/>
      </c>
      <c r="J22" t="str">
        <f>IF(SEFAZ!O4="","",SEFAZ!O4)</f>
        <v/>
      </c>
      <c r="K22" s="11" t="str">
        <f>IF(SEFAZ!P4="","",SEFAZ!P4)</f>
        <v/>
      </c>
      <c r="L22" t="str" cm="1">
        <f t="array" aca="1" ref="L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" t="s">
        <v>35</v>
      </c>
      <c r="O22" s="36" t="str">
        <f>IF(SEFAZ!B4="","",SEFAZ!B4)</f>
        <v/>
      </c>
    </row>
    <row r="23" spans="2:15" x14ac:dyDescent="0.3">
      <c r="B23" t="str">
        <f>IF(SEFAZ!A5="","",SEFAZ!A5)</f>
        <v/>
      </c>
      <c r="C23" t="str">
        <f>IF(SEFAZ!C5="","",SEFAZ!C5)</f>
        <v/>
      </c>
      <c r="D23" t="str">
        <f>IF(SEFAZ!D5="","",SEFAZ!D5)</f>
        <v/>
      </c>
      <c r="E23" s="7" t="str">
        <f>IF(SEFAZ!E5="","",SEFAZ!E5)</f>
        <v/>
      </c>
      <c r="F23" s="6" t="str">
        <f>IF(SEFAZ!F5="","",VALUE(SUBSTITUTE(SEFAZ!F5,"'","")))</f>
        <v/>
      </c>
      <c r="G23" t="str">
        <f>IF(SEFAZ!H5="","",SEFAZ!H5)</f>
        <v/>
      </c>
      <c r="H23" t="str">
        <f>IF(SEFAZ!L5="","",SEFAZ!L5)</f>
        <v/>
      </c>
      <c r="I23" t="str">
        <f>IF(SEFAZ!N5="","",SEFAZ!N5)</f>
        <v/>
      </c>
      <c r="J23" t="str">
        <f>IF(SEFAZ!O5="","",SEFAZ!O5)</f>
        <v/>
      </c>
      <c r="K23" s="11" t="str">
        <f>IF(SEFAZ!P5="","",SEFAZ!P5)</f>
        <v/>
      </c>
      <c r="L23" t="str" cm="1">
        <f t="array" aca="1" ref="L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" t="s">
        <v>35</v>
      </c>
      <c r="O23" s="36" t="str">
        <f>IF(SEFAZ!B5="","",SEFAZ!B5)</f>
        <v/>
      </c>
    </row>
    <row r="24" spans="2:15" x14ac:dyDescent="0.3">
      <c r="B24" t="str">
        <f>IF(SEFAZ!A6="","",SEFAZ!A6)</f>
        <v/>
      </c>
      <c r="C24" t="str">
        <f>IF(SEFAZ!C6="","",SEFAZ!C6)</f>
        <v/>
      </c>
      <c r="D24" t="str">
        <f>IF(SEFAZ!D6="","",SEFAZ!D6)</f>
        <v/>
      </c>
      <c r="E24" s="7" t="str">
        <f>IF(SEFAZ!E6="","",SEFAZ!E6)</f>
        <v/>
      </c>
      <c r="F24" s="6" t="str">
        <f>IF(SEFAZ!F6="","",VALUE(SUBSTITUTE(SEFAZ!F6,"'","")))</f>
        <v/>
      </c>
      <c r="G24" t="str">
        <f>IF(SEFAZ!H6="","",SEFAZ!H6)</f>
        <v/>
      </c>
      <c r="H24" t="str">
        <f>IF(SEFAZ!L6="","",SEFAZ!L6)</f>
        <v/>
      </c>
      <c r="I24" t="str">
        <f>IF(SEFAZ!N6="","",SEFAZ!N6)</f>
        <v/>
      </c>
      <c r="J24" t="str">
        <f>IF(SEFAZ!O6="","",SEFAZ!O6)</f>
        <v/>
      </c>
      <c r="K24" s="11" t="str">
        <f>IF(SEFAZ!P6="","",SEFAZ!P6)</f>
        <v/>
      </c>
      <c r="L24" t="str" cm="1">
        <f t="array" aca="1" ref="L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" t="s">
        <v>35</v>
      </c>
      <c r="O24" s="36" t="str">
        <f>IF(SEFAZ!B6="","",SEFAZ!B6)</f>
        <v/>
      </c>
    </row>
    <row r="25" spans="2:15" x14ac:dyDescent="0.3">
      <c r="B25" t="str">
        <f>IF(SEFAZ!A7="","",SEFAZ!A7)</f>
        <v/>
      </c>
      <c r="C25" t="str">
        <f>IF(SEFAZ!C7="","",SEFAZ!C7)</f>
        <v/>
      </c>
      <c r="D25" t="str">
        <f>IF(SEFAZ!D7="","",SEFAZ!D7)</f>
        <v/>
      </c>
      <c r="E25" s="7" t="str">
        <f>IF(SEFAZ!E7="","",SEFAZ!E7)</f>
        <v/>
      </c>
      <c r="F25" s="6" t="str">
        <f>IF(SEFAZ!F7="","",VALUE(SUBSTITUTE(SEFAZ!F7,"'","")))</f>
        <v/>
      </c>
      <c r="G25" t="str">
        <f>IF(SEFAZ!H7="","",SEFAZ!H7)</f>
        <v/>
      </c>
      <c r="H25" t="str">
        <f>IF(SEFAZ!L7="","",SEFAZ!L7)</f>
        <v/>
      </c>
      <c r="I25" t="str">
        <f>IF(SEFAZ!N7="","",SEFAZ!N7)</f>
        <v/>
      </c>
      <c r="J25" t="str">
        <f>IF(SEFAZ!O7="","",SEFAZ!O7)</f>
        <v/>
      </c>
      <c r="K25" s="11" t="str">
        <f>IF(SEFAZ!P7="","",SEFAZ!P7)</f>
        <v/>
      </c>
      <c r="L25" t="str" cm="1">
        <f t="array" aca="1" ref="L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" t="s">
        <v>35</v>
      </c>
      <c r="O25" s="36" t="str">
        <f>IF(SEFAZ!B7="","",SEFAZ!B7)</f>
        <v/>
      </c>
    </row>
    <row r="26" spans="2:15" x14ac:dyDescent="0.3">
      <c r="B26" t="str">
        <f>IF(SEFAZ!A8="","",SEFAZ!A8)</f>
        <v/>
      </c>
      <c r="C26" t="str">
        <f>IF(SEFAZ!C8="","",SEFAZ!C8)</f>
        <v/>
      </c>
      <c r="D26" t="str">
        <f>IF(SEFAZ!D8="","",SEFAZ!D8)</f>
        <v/>
      </c>
      <c r="E26" s="7" t="str">
        <f>IF(SEFAZ!E8="","",SEFAZ!E8)</f>
        <v/>
      </c>
      <c r="F26" s="6" t="str">
        <f>IF(SEFAZ!F8="","",VALUE(SUBSTITUTE(SEFAZ!F8,"'","")))</f>
        <v/>
      </c>
      <c r="G26" t="str">
        <f>IF(SEFAZ!H8="","",SEFAZ!H8)</f>
        <v/>
      </c>
      <c r="H26" t="str">
        <f>IF(SEFAZ!L8="","",SEFAZ!L8)</f>
        <v/>
      </c>
      <c r="I26" t="str">
        <f>IF(SEFAZ!N8="","",SEFAZ!N8)</f>
        <v/>
      </c>
      <c r="J26" t="str">
        <f>IF(SEFAZ!O8="","",SEFAZ!O8)</f>
        <v/>
      </c>
      <c r="K26" s="11" t="str">
        <f>IF(SEFAZ!P8="","",SEFAZ!P8)</f>
        <v/>
      </c>
      <c r="L26" t="str" cm="1">
        <f t="array" aca="1" ref="L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" t="s">
        <v>35</v>
      </c>
      <c r="O26" s="36" t="str">
        <f>IF(SEFAZ!B8="","",SEFAZ!B8)</f>
        <v/>
      </c>
    </row>
    <row r="27" spans="2:15" x14ac:dyDescent="0.3">
      <c r="B27" t="str">
        <f>IF(SEFAZ!A9="","",SEFAZ!A9)</f>
        <v/>
      </c>
      <c r="C27" t="str">
        <f>IF(SEFAZ!C9="","",SEFAZ!C9)</f>
        <v/>
      </c>
      <c r="D27" t="str">
        <f>IF(SEFAZ!D9="","",SEFAZ!D9)</f>
        <v/>
      </c>
      <c r="E27" s="7" t="str">
        <f>IF(SEFAZ!E9="","",SEFAZ!E9)</f>
        <v/>
      </c>
      <c r="F27" s="6" t="str">
        <f>IF(SEFAZ!F9="","",VALUE(SUBSTITUTE(SEFAZ!F9,"'","")))</f>
        <v/>
      </c>
      <c r="G27" t="str">
        <f>IF(SEFAZ!H9="","",SEFAZ!H9)</f>
        <v/>
      </c>
      <c r="H27" t="str">
        <f>IF(SEFAZ!L9="","",SEFAZ!L9)</f>
        <v/>
      </c>
      <c r="I27" t="str">
        <f>IF(SEFAZ!N9="","",SEFAZ!N9)</f>
        <v/>
      </c>
      <c r="J27" t="str">
        <f>IF(SEFAZ!O9="","",SEFAZ!O9)</f>
        <v/>
      </c>
      <c r="K27" s="11" t="str">
        <f>IF(SEFAZ!P9="","",SEFAZ!P9)</f>
        <v/>
      </c>
      <c r="L27" t="str" cm="1">
        <f t="array" aca="1" ref="L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" t="s">
        <v>35</v>
      </c>
      <c r="O27" s="36" t="str">
        <f>IF(SEFAZ!B9="","",SEFAZ!B9)</f>
        <v/>
      </c>
    </row>
    <row r="28" spans="2:15" x14ac:dyDescent="0.3">
      <c r="B28" t="str">
        <f>IF(SEFAZ!A10="","",SEFAZ!A10)</f>
        <v/>
      </c>
      <c r="C28" t="str">
        <f>IF(SEFAZ!C10="","",SEFAZ!C10)</f>
        <v/>
      </c>
      <c r="D28" t="str">
        <f>IF(SEFAZ!D10="","",SEFAZ!D10)</f>
        <v/>
      </c>
      <c r="E28" s="7" t="str">
        <f>IF(SEFAZ!E10="","",SEFAZ!E10)</f>
        <v/>
      </c>
      <c r="F28" s="6" t="str">
        <f>IF(SEFAZ!F10="","",VALUE(SUBSTITUTE(SEFAZ!F10,"'","")))</f>
        <v/>
      </c>
      <c r="G28" t="str">
        <f>IF(SEFAZ!H10="","",SEFAZ!H10)</f>
        <v/>
      </c>
      <c r="H28" t="str">
        <f>IF(SEFAZ!L10="","",SEFAZ!L10)</f>
        <v/>
      </c>
      <c r="I28" t="str">
        <f>IF(SEFAZ!N10="","",SEFAZ!N10)</f>
        <v/>
      </c>
      <c r="J28" t="str">
        <f>IF(SEFAZ!O10="","",SEFAZ!O10)</f>
        <v/>
      </c>
      <c r="K28" s="11" t="str">
        <f>IF(SEFAZ!P10="","",SEFAZ!P10)</f>
        <v/>
      </c>
      <c r="L28" t="str" cm="1">
        <f t="array" aca="1" ref="L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" t="s">
        <v>35</v>
      </c>
      <c r="O28" s="36" t="str">
        <f>IF(SEFAZ!B10="","",SEFAZ!B10)</f>
        <v/>
      </c>
    </row>
    <row r="29" spans="2:15" x14ac:dyDescent="0.3">
      <c r="B29" t="str">
        <f>IF(SEFAZ!A11="","",SEFAZ!A11)</f>
        <v/>
      </c>
      <c r="C29" t="str">
        <f>IF(SEFAZ!C11="","",SEFAZ!C11)</f>
        <v/>
      </c>
      <c r="D29" t="str">
        <f>IF(SEFAZ!D11="","",SEFAZ!D11)</f>
        <v/>
      </c>
      <c r="E29" s="7" t="str">
        <f>IF(SEFAZ!E11="","",SEFAZ!E11)</f>
        <v/>
      </c>
      <c r="F29" s="6" t="str">
        <f>IF(SEFAZ!F11="","",VALUE(SUBSTITUTE(SEFAZ!F11,"'","")))</f>
        <v/>
      </c>
      <c r="G29" t="str">
        <f>IF(SEFAZ!H11="","",SEFAZ!H11)</f>
        <v/>
      </c>
      <c r="H29" t="str">
        <f>IF(SEFAZ!L11="","",SEFAZ!L11)</f>
        <v/>
      </c>
      <c r="I29" t="str">
        <f>IF(SEFAZ!N11="","",SEFAZ!N11)</f>
        <v/>
      </c>
      <c r="J29" t="str">
        <f>IF(SEFAZ!O11="","",SEFAZ!O11)</f>
        <v/>
      </c>
      <c r="K29" s="11" t="str">
        <f>IF(SEFAZ!P11="","",SEFAZ!P11)</f>
        <v/>
      </c>
      <c r="L29" t="str" cm="1">
        <f t="array" aca="1" ref="L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" t="s">
        <v>35</v>
      </c>
      <c r="O29" s="36" t="str">
        <f>IF(SEFAZ!B11="","",SEFAZ!B11)</f>
        <v/>
      </c>
    </row>
    <row r="30" spans="2:15" x14ac:dyDescent="0.3">
      <c r="B30" t="str">
        <f>IF(SEFAZ!A12="","",SEFAZ!A12)</f>
        <v/>
      </c>
      <c r="C30" t="str">
        <f>IF(SEFAZ!C12="","",SEFAZ!C12)</f>
        <v/>
      </c>
      <c r="D30" t="str">
        <f>IF(SEFAZ!D12="","",SEFAZ!D12)</f>
        <v/>
      </c>
      <c r="E30" s="7" t="str">
        <f>IF(SEFAZ!E12="","",SEFAZ!E12)</f>
        <v/>
      </c>
      <c r="F30" s="6" t="str">
        <f>IF(SEFAZ!F12="","",VALUE(SUBSTITUTE(SEFAZ!F12,"'","")))</f>
        <v/>
      </c>
      <c r="G30" t="str">
        <f>IF(SEFAZ!H12="","",SEFAZ!H12)</f>
        <v/>
      </c>
      <c r="H30" t="str">
        <f>IF(SEFAZ!L12="","",SEFAZ!L12)</f>
        <v/>
      </c>
      <c r="I30" t="str">
        <f>IF(SEFAZ!N12="","",SEFAZ!N12)</f>
        <v/>
      </c>
      <c r="J30" t="str">
        <f>IF(SEFAZ!O12="","",SEFAZ!O12)</f>
        <v/>
      </c>
      <c r="K30" s="11" t="str">
        <f>IF(SEFAZ!P12="","",SEFAZ!P12)</f>
        <v/>
      </c>
      <c r="L30" t="str" cm="1">
        <f t="array" aca="1" ref="L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" t="s">
        <v>35</v>
      </c>
      <c r="O30" s="36" t="str">
        <f>IF(SEFAZ!B12="","",SEFAZ!B12)</f>
        <v/>
      </c>
    </row>
    <row r="31" spans="2:15" x14ac:dyDescent="0.3">
      <c r="B31" t="str">
        <f>IF(SEFAZ!A13="","",SEFAZ!A13)</f>
        <v/>
      </c>
      <c r="C31" t="str">
        <f>IF(SEFAZ!C13="","",SEFAZ!C13)</f>
        <v/>
      </c>
      <c r="D31" t="str">
        <f>IF(SEFAZ!D13="","",SEFAZ!D13)</f>
        <v/>
      </c>
      <c r="E31" s="7" t="str">
        <f>IF(SEFAZ!E13="","",SEFAZ!E13)</f>
        <v/>
      </c>
      <c r="F31" s="6" t="str">
        <f>IF(SEFAZ!F13="","",VALUE(SUBSTITUTE(SEFAZ!F13,"'","")))</f>
        <v/>
      </c>
      <c r="G31" t="str">
        <f>IF(SEFAZ!H13="","",SEFAZ!H13)</f>
        <v/>
      </c>
      <c r="H31" t="str">
        <f>IF(SEFAZ!L13="","",SEFAZ!L13)</f>
        <v/>
      </c>
      <c r="I31" t="str">
        <f>IF(SEFAZ!N13="","",SEFAZ!N13)</f>
        <v/>
      </c>
      <c r="J31" t="str">
        <f>IF(SEFAZ!O13="","",SEFAZ!O13)</f>
        <v/>
      </c>
      <c r="K31" s="11" t="str">
        <f>IF(SEFAZ!P13="","",SEFAZ!P13)</f>
        <v/>
      </c>
      <c r="L31" t="str" cm="1">
        <f t="array" aca="1" ref="L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" t="s">
        <v>35</v>
      </c>
      <c r="O31" s="36" t="str">
        <f>IF(SEFAZ!B13="","",SEFAZ!B13)</f>
        <v/>
      </c>
    </row>
    <row r="32" spans="2:15" x14ac:dyDescent="0.3">
      <c r="B32" t="str">
        <f>IF(SEFAZ!A14="","",SEFAZ!A14)</f>
        <v/>
      </c>
      <c r="C32" t="str">
        <f>IF(SEFAZ!C14="","",SEFAZ!C14)</f>
        <v/>
      </c>
      <c r="D32" t="str">
        <f>IF(SEFAZ!D14="","",SEFAZ!D14)</f>
        <v/>
      </c>
      <c r="E32" s="7" t="str">
        <f>IF(SEFAZ!E14="","",SEFAZ!E14)</f>
        <v/>
      </c>
      <c r="F32" s="6" t="str">
        <f>IF(SEFAZ!F14="","",VALUE(SUBSTITUTE(SEFAZ!F14,"'","")))</f>
        <v/>
      </c>
      <c r="G32" t="str">
        <f>IF(SEFAZ!H14="","",SEFAZ!H14)</f>
        <v/>
      </c>
      <c r="H32" t="str">
        <f>IF(SEFAZ!L14="","",SEFAZ!L14)</f>
        <v/>
      </c>
      <c r="I32" t="str">
        <f>IF(SEFAZ!N14="","",SEFAZ!N14)</f>
        <v/>
      </c>
      <c r="J32" t="str">
        <f>IF(SEFAZ!O14="","",SEFAZ!O14)</f>
        <v/>
      </c>
      <c r="K32" s="11" t="str">
        <f>IF(SEFAZ!P14="","",SEFAZ!P14)</f>
        <v/>
      </c>
      <c r="L32" t="str" cm="1">
        <f t="array" aca="1" ref="L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" t="s">
        <v>35</v>
      </c>
      <c r="O32" s="36" t="str">
        <f>IF(SEFAZ!B14="","",SEFAZ!B14)</f>
        <v/>
      </c>
    </row>
    <row r="33" spans="2:15" x14ac:dyDescent="0.3">
      <c r="B33" t="str">
        <f>IF(SEFAZ!A15="","",SEFAZ!A15)</f>
        <v/>
      </c>
      <c r="C33" t="str">
        <f>IF(SEFAZ!C15="","",SEFAZ!C15)</f>
        <v/>
      </c>
      <c r="D33" t="str">
        <f>IF(SEFAZ!D15="","",SEFAZ!D15)</f>
        <v/>
      </c>
      <c r="E33" s="7" t="str">
        <f>IF(SEFAZ!E15="","",SEFAZ!E15)</f>
        <v/>
      </c>
      <c r="F33" s="6" t="str">
        <f>IF(SEFAZ!F15="","",VALUE(SUBSTITUTE(SEFAZ!F15,"'","")))</f>
        <v/>
      </c>
      <c r="G33" t="str">
        <f>IF(SEFAZ!H15="","",SEFAZ!H15)</f>
        <v/>
      </c>
      <c r="H33" t="str">
        <f>IF(SEFAZ!L15="","",SEFAZ!L15)</f>
        <v/>
      </c>
      <c r="I33" t="str">
        <f>IF(SEFAZ!N15="","",SEFAZ!N15)</f>
        <v/>
      </c>
      <c r="J33" t="str">
        <f>IF(SEFAZ!O15="","",SEFAZ!O15)</f>
        <v/>
      </c>
      <c r="K33" s="11" t="str">
        <f>IF(SEFAZ!P15="","",SEFAZ!P15)</f>
        <v/>
      </c>
      <c r="L33" t="str" cm="1">
        <f t="array" aca="1" ref="L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" t="s">
        <v>35</v>
      </c>
      <c r="O33" s="36" t="str">
        <f>IF(SEFAZ!B15="","",SEFAZ!B15)</f>
        <v/>
      </c>
    </row>
    <row r="34" spans="2:15" x14ac:dyDescent="0.3">
      <c r="B34" t="str">
        <f>IF(SEFAZ!A16="","",SEFAZ!A16)</f>
        <v/>
      </c>
      <c r="C34" t="str">
        <f>IF(SEFAZ!C16="","",SEFAZ!C16)</f>
        <v/>
      </c>
      <c r="D34" t="str">
        <f>IF(SEFAZ!D16="","",SEFAZ!D16)</f>
        <v/>
      </c>
      <c r="E34" s="7" t="str">
        <f>IF(SEFAZ!E16="","",SEFAZ!E16)</f>
        <v/>
      </c>
      <c r="F34" s="6" t="str">
        <f>IF(SEFAZ!F16="","",VALUE(SUBSTITUTE(SEFAZ!F16,"'","")))</f>
        <v/>
      </c>
      <c r="G34" t="str">
        <f>IF(SEFAZ!H16="","",SEFAZ!H16)</f>
        <v/>
      </c>
      <c r="H34" t="str">
        <f>IF(SEFAZ!L16="","",SEFAZ!L16)</f>
        <v/>
      </c>
      <c r="I34" t="str">
        <f>IF(SEFAZ!N16="","",SEFAZ!N16)</f>
        <v/>
      </c>
      <c r="J34" t="str">
        <f>IF(SEFAZ!O16="","",SEFAZ!O16)</f>
        <v/>
      </c>
      <c r="K34" s="11" t="str">
        <f>IF(SEFAZ!P16="","",SEFAZ!P16)</f>
        <v/>
      </c>
      <c r="L34" t="str" cm="1">
        <f t="array" aca="1" ref="L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" t="s">
        <v>35</v>
      </c>
      <c r="O34" s="36" t="str">
        <f>IF(SEFAZ!B16="","",SEFAZ!B16)</f>
        <v/>
      </c>
    </row>
    <row r="35" spans="2:15" x14ac:dyDescent="0.3">
      <c r="B35" t="str">
        <f>IF(SEFAZ!A17="","",SEFAZ!A17)</f>
        <v/>
      </c>
      <c r="C35" t="str">
        <f>IF(SEFAZ!C17="","",SEFAZ!C17)</f>
        <v/>
      </c>
      <c r="D35" t="str">
        <f>IF(SEFAZ!D17="","",SEFAZ!D17)</f>
        <v/>
      </c>
      <c r="E35" s="7" t="str">
        <f>IF(SEFAZ!E17="","",SEFAZ!E17)</f>
        <v/>
      </c>
      <c r="F35" s="6" t="str">
        <f>IF(SEFAZ!F17="","",VALUE(SUBSTITUTE(SEFAZ!F17,"'","")))</f>
        <v/>
      </c>
      <c r="G35" t="str">
        <f>IF(SEFAZ!H17="","",SEFAZ!H17)</f>
        <v/>
      </c>
      <c r="H35" t="str">
        <f>IF(SEFAZ!L17="","",SEFAZ!L17)</f>
        <v/>
      </c>
      <c r="I35" t="str">
        <f>IF(SEFAZ!N17="","",SEFAZ!N17)</f>
        <v/>
      </c>
      <c r="J35" t="str">
        <f>IF(SEFAZ!O17="","",SEFAZ!O17)</f>
        <v/>
      </c>
      <c r="K35" s="11" t="str">
        <f>IF(SEFAZ!P17="","",SEFAZ!P17)</f>
        <v/>
      </c>
      <c r="L35" t="str" cm="1">
        <f t="array" aca="1" ref="L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" t="s">
        <v>35</v>
      </c>
      <c r="O35" s="36" t="str">
        <f>IF(SEFAZ!B17="","",SEFAZ!B17)</f>
        <v/>
      </c>
    </row>
    <row r="36" spans="2:15" x14ac:dyDescent="0.3">
      <c r="B36" t="str">
        <f>IF(SEFAZ!A18="","",SEFAZ!A18)</f>
        <v/>
      </c>
      <c r="C36" t="str">
        <f>IF(SEFAZ!C18="","",SEFAZ!C18)</f>
        <v/>
      </c>
      <c r="D36" t="str">
        <f>IF(SEFAZ!D18="","",SEFAZ!D18)</f>
        <v/>
      </c>
      <c r="E36" s="7" t="str">
        <f>IF(SEFAZ!E18="","",SEFAZ!E18)</f>
        <v/>
      </c>
      <c r="F36" s="6" t="str">
        <f>IF(SEFAZ!F18="","",VALUE(SUBSTITUTE(SEFAZ!F18,"'","")))</f>
        <v/>
      </c>
      <c r="G36" t="str">
        <f>IF(SEFAZ!H18="","",SEFAZ!H18)</f>
        <v/>
      </c>
      <c r="H36" t="str">
        <f>IF(SEFAZ!L18="","",SEFAZ!L18)</f>
        <v/>
      </c>
      <c r="I36" t="str">
        <f>IF(SEFAZ!N18="","",SEFAZ!N18)</f>
        <v/>
      </c>
      <c r="J36" t="str">
        <f>IF(SEFAZ!O18="","",SEFAZ!O18)</f>
        <v/>
      </c>
      <c r="K36" s="11" t="str">
        <f>IF(SEFAZ!P18="","",SEFAZ!P18)</f>
        <v/>
      </c>
      <c r="L36" t="str" cm="1">
        <f t="array" aca="1" ref="L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" t="s">
        <v>35</v>
      </c>
      <c r="O36" s="36" t="str">
        <f>IF(SEFAZ!B18="","",SEFAZ!B18)</f>
        <v/>
      </c>
    </row>
    <row r="37" spans="2:15" x14ac:dyDescent="0.3">
      <c r="B37" t="str">
        <f>IF(SEFAZ!A19="","",SEFAZ!A19)</f>
        <v/>
      </c>
      <c r="C37" t="str">
        <f>IF(SEFAZ!C19="","",SEFAZ!C19)</f>
        <v/>
      </c>
      <c r="D37" t="str">
        <f>IF(SEFAZ!D19="","",SEFAZ!D19)</f>
        <v/>
      </c>
      <c r="E37" s="7" t="str">
        <f>IF(SEFAZ!E19="","",SEFAZ!E19)</f>
        <v/>
      </c>
      <c r="F37" s="6" t="str">
        <f>IF(SEFAZ!F19="","",VALUE(SUBSTITUTE(SEFAZ!F19,"'","")))</f>
        <v/>
      </c>
      <c r="G37" t="str">
        <f>IF(SEFAZ!H19="","",SEFAZ!H19)</f>
        <v/>
      </c>
      <c r="H37" t="str">
        <f>IF(SEFAZ!L19="","",SEFAZ!L19)</f>
        <v/>
      </c>
      <c r="I37" t="str">
        <f>IF(SEFAZ!N19="","",SEFAZ!N19)</f>
        <v/>
      </c>
      <c r="J37" t="str">
        <f>IF(SEFAZ!O19="","",SEFAZ!O19)</f>
        <v/>
      </c>
      <c r="K37" s="11" t="str">
        <f>IF(SEFAZ!P19="","",SEFAZ!P19)</f>
        <v/>
      </c>
      <c r="L37" t="str" cm="1">
        <f t="array" aca="1" ref="L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" t="s">
        <v>35</v>
      </c>
      <c r="O37" s="36" t="str">
        <f>IF(SEFAZ!B19="","",SEFAZ!B19)</f>
        <v/>
      </c>
    </row>
    <row r="38" spans="2:15" x14ac:dyDescent="0.3">
      <c r="B38" t="str">
        <f>IF(SEFAZ!A20="","",SEFAZ!A20)</f>
        <v/>
      </c>
      <c r="C38" t="str">
        <f>IF(SEFAZ!C20="","",SEFAZ!C20)</f>
        <v/>
      </c>
      <c r="D38" t="str">
        <f>IF(SEFAZ!D20="","",SEFAZ!D20)</f>
        <v/>
      </c>
      <c r="E38" s="7" t="str">
        <f>IF(SEFAZ!E20="","",SEFAZ!E20)</f>
        <v/>
      </c>
      <c r="F38" s="6" t="str">
        <f>IF(SEFAZ!F20="","",VALUE(SUBSTITUTE(SEFAZ!F20,"'","")))</f>
        <v/>
      </c>
      <c r="G38" t="str">
        <f>IF(SEFAZ!H20="","",SEFAZ!H20)</f>
        <v/>
      </c>
      <c r="H38" t="str">
        <f>IF(SEFAZ!L20="","",SEFAZ!L20)</f>
        <v/>
      </c>
      <c r="I38" t="str">
        <f>IF(SEFAZ!N20="","",SEFAZ!N20)</f>
        <v/>
      </c>
      <c r="J38" t="str">
        <f>IF(SEFAZ!O20="","",SEFAZ!O20)</f>
        <v/>
      </c>
      <c r="K38" s="11" t="str">
        <f>IF(SEFAZ!P20="","",SEFAZ!P20)</f>
        <v/>
      </c>
      <c r="L38" t="str" cm="1">
        <f t="array" aca="1" ref="L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" t="s">
        <v>35</v>
      </c>
      <c r="O38" s="36" t="str">
        <f>IF(SEFAZ!B20="","",SEFAZ!B20)</f>
        <v/>
      </c>
    </row>
    <row r="39" spans="2:15" x14ac:dyDescent="0.3">
      <c r="B39" t="str">
        <f>IF(SEFAZ!A21="","",SEFAZ!A21)</f>
        <v/>
      </c>
      <c r="C39" t="str">
        <f>IF(SEFAZ!C21="","",SEFAZ!C21)</f>
        <v/>
      </c>
      <c r="D39" t="str">
        <f>IF(SEFAZ!D21="","",SEFAZ!D21)</f>
        <v/>
      </c>
      <c r="E39" s="7" t="str">
        <f>IF(SEFAZ!E21="","",SEFAZ!E21)</f>
        <v/>
      </c>
      <c r="F39" s="6" t="str">
        <f>IF(SEFAZ!F21="","",VALUE(SUBSTITUTE(SEFAZ!F21,"'","")))</f>
        <v/>
      </c>
      <c r="G39" t="str">
        <f>IF(SEFAZ!H21="","",SEFAZ!H21)</f>
        <v/>
      </c>
      <c r="H39" t="str">
        <f>IF(SEFAZ!L21="","",SEFAZ!L21)</f>
        <v/>
      </c>
      <c r="I39" t="str">
        <f>IF(SEFAZ!N21="","",SEFAZ!N21)</f>
        <v/>
      </c>
      <c r="J39" t="str">
        <f>IF(SEFAZ!O21="","",SEFAZ!O21)</f>
        <v/>
      </c>
      <c r="K39" s="11" t="str">
        <f>IF(SEFAZ!P21="","",SEFAZ!P21)</f>
        <v/>
      </c>
      <c r="L39" t="str" cm="1">
        <f t="array" aca="1" ref="L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" t="s">
        <v>35</v>
      </c>
      <c r="O39" s="36" t="str">
        <f>IF(SEFAZ!B21="","",SEFAZ!B21)</f>
        <v/>
      </c>
    </row>
    <row r="40" spans="2:15" x14ac:dyDescent="0.3">
      <c r="B40" t="str">
        <f>IF(SEFAZ!A22="","",SEFAZ!A22)</f>
        <v/>
      </c>
      <c r="C40" t="str">
        <f>IF(SEFAZ!C22="","",SEFAZ!C22)</f>
        <v/>
      </c>
      <c r="D40" t="str">
        <f>IF(SEFAZ!D22="","",SEFAZ!D22)</f>
        <v/>
      </c>
      <c r="E40" s="7" t="str">
        <f>IF(SEFAZ!E22="","",SEFAZ!E22)</f>
        <v/>
      </c>
      <c r="F40" s="6" t="str">
        <f>IF(SEFAZ!F22="","",VALUE(SUBSTITUTE(SEFAZ!F22,"'","")))</f>
        <v/>
      </c>
      <c r="G40" t="str">
        <f>IF(SEFAZ!H22="","",SEFAZ!H22)</f>
        <v/>
      </c>
      <c r="H40" t="str">
        <f>IF(SEFAZ!L22="","",SEFAZ!L22)</f>
        <v/>
      </c>
      <c r="I40" t="str">
        <f>IF(SEFAZ!N22="","",SEFAZ!N22)</f>
        <v/>
      </c>
      <c r="J40" t="str">
        <f>IF(SEFAZ!O22="","",SEFAZ!O22)</f>
        <v/>
      </c>
      <c r="K40" s="11" t="str">
        <f>IF(SEFAZ!P22="","",SEFAZ!P22)</f>
        <v/>
      </c>
      <c r="L40" t="str" cm="1">
        <f t="array" aca="1" ref="L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" t="s">
        <v>35</v>
      </c>
      <c r="O40" s="36" t="str">
        <f>IF(SEFAZ!B22="","",SEFAZ!B22)</f>
        <v/>
      </c>
    </row>
    <row r="41" spans="2:15" x14ac:dyDescent="0.3">
      <c r="B41" t="str">
        <f>IF(SEFAZ!A23="","",SEFAZ!A23)</f>
        <v/>
      </c>
      <c r="C41" t="str">
        <f>IF(SEFAZ!C23="","",SEFAZ!C23)</f>
        <v/>
      </c>
      <c r="D41" t="str">
        <f>IF(SEFAZ!D23="","",SEFAZ!D23)</f>
        <v/>
      </c>
      <c r="E41" s="7" t="str">
        <f>IF(SEFAZ!E23="","",SEFAZ!E23)</f>
        <v/>
      </c>
      <c r="F41" s="6" t="str">
        <f>IF(SEFAZ!F23="","",VALUE(SUBSTITUTE(SEFAZ!F23,"'","")))</f>
        <v/>
      </c>
      <c r="G41" t="str">
        <f>IF(SEFAZ!H23="","",SEFAZ!H23)</f>
        <v/>
      </c>
      <c r="H41" t="str">
        <f>IF(SEFAZ!L23="","",SEFAZ!L23)</f>
        <v/>
      </c>
      <c r="I41" t="str">
        <f>IF(SEFAZ!N23="","",SEFAZ!N23)</f>
        <v/>
      </c>
      <c r="J41" t="str">
        <f>IF(SEFAZ!O23="","",SEFAZ!O23)</f>
        <v/>
      </c>
      <c r="K41" s="11" t="str">
        <f>IF(SEFAZ!P23="","",SEFAZ!P23)</f>
        <v/>
      </c>
      <c r="L41" t="str" cm="1">
        <f t="array" aca="1" ref="L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" t="s">
        <v>35</v>
      </c>
      <c r="O41" s="36" t="str">
        <f>IF(SEFAZ!B23="","",SEFAZ!B23)</f>
        <v/>
      </c>
    </row>
    <row r="42" spans="2:15" x14ac:dyDescent="0.3">
      <c r="B42" t="str">
        <f>IF(SEFAZ!A24="","",SEFAZ!A24)</f>
        <v/>
      </c>
      <c r="C42" t="str">
        <f>IF(SEFAZ!C24="","",SEFAZ!C24)</f>
        <v/>
      </c>
      <c r="D42" t="str">
        <f>IF(SEFAZ!D24="","",SEFAZ!D24)</f>
        <v/>
      </c>
      <c r="E42" s="7" t="str">
        <f>IF(SEFAZ!E24="","",SEFAZ!E24)</f>
        <v/>
      </c>
      <c r="F42" s="6" t="str">
        <f>IF(SEFAZ!F24="","",VALUE(SUBSTITUTE(SEFAZ!F24,"'","")))</f>
        <v/>
      </c>
      <c r="G42" t="str">
        <f>IF(SEFAZ!H24="","",SEFAZ!H24)</f>
        <v/>
      </c>
      <c r="H42" t="str">
        <f>IF(SEFAZ!L24="","",SEFAZ!L24)</f>
        <v/>
      </c>
      <c r="I42" t="str">
        <f>IF(SEFAZ!N24="","",SEFAZ!N24)</f>
        <v/>
      </c>
      <c r="J42" t="str">
        <f>IF(SEFAZ!O24="","",SEFAZ!O24)</f>
        <v/>
      </c>
      <c r="K42" s="11" t="str">
        <f>IF(SEFAZ!P24="","",SEFAZ!P24)</f>
        <v/>
      </c>
      <c r="L42" t="str" cm="1">
        <f t="array" aca="1" ref="L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" t="s">
        <v>35</v>
      </c>
      <c r="O42" s="36" t="str">
        <f>IF(SEFAZ!B24="","",SEFAZ!B24)</f>
        <v/>
      </c>
    </row>
    <row r="43" spans="2:15" x14ac:dyDescent="0.3">
      <c r="B43" t="str">
        <f>IF(SEFAZ!A25="","",SEFAZ!A25)</f>
        <v/>
      </c>
      <c r="C43" t="str">
        <f>IF(SEFAZ!C25="","",SEFAZ!C25)</f>
        <v/>
      </c>
      <c r="D43" t="str">
        <f>IF(SEFAZ!D25="","",SEFAZ!D25)</f>
        <v/>
      </c>
      <c r="E43" s="7" t="str">
        <f>IF(SEFAZ!E25="","",SEFAZ!E25)</f>
        <v/>
      </c>
      <c r="F43" s="6" t="str">
        <f>IF(SEFAZ!F25="","",VALUE(SUBSTITUTE(SEFAZ!F25,"'","")))</f>
        <v/>
      </c>
      <c r="G43" t="str">
        <f>IF(SEFAZ!H25="","",SEFAZ!H25)</f>
        <v/>
      </c>
      <c r="H43" t="str">
        <f>IF(SEFAZ!L25="","",SEFAZ!L25)</f>
        <v/>
      </c>
      <c r="I43" t="str">
        <f>IF(SEFAZ!N25="","",SEFAZ!N25)</f>
        <v/>
      </c>
      <c r="J43" t="str">
        <f>IF(SEFAZ!O25="","",SEFAZ!O25)</f>
        <v/>
      </c>
      <c r="K43" s="11" t="str">
        <f>IF(SEFAZ!P25="","",SEFAZ!P25)</f>
        <v/>
      </c>
      <c r="L43" t="str" cm="1">
        <f t="array" aca="1" ref="L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" t="s">
        <v>35</v>
      </c>
      <c r="O43" s="36" t="str">
        <f>IF(SEFAZ!B25="","",SEFAZ!B25)</f>
        <v/>
      </c>
    </row>
    <row r="44" spans="2:15" x14ac:dyDescent="0.3">
      <c r="B44" t="str">
        <f>IF(SEFAZ!A26="","",SEFAZ!A26)</f>
        <v/>
      </c>
      <c r="C44" t="str">
        <f>IF(SEFAZ!C26="","",SEFAZ!C26)</f>
        <v/>
      </c>
      <c r="D44" t="str">
        <f>IF(SEFAZ!D26="","",SEFAZ!D26)</f>
        <v/>
      </c>
      <c r="E44" s="7" t="str">
        <f>IF(SEFAZ!E26="","",SEFAZ!E26)</f>
        <v/>
      </c>
      <c r="F44" s="6" t="str">
        <f>IF(SEFAZ!F26="","",VALUE(SUBSTITUTE(SEFAZ!F26,"'","")))</f>
        <v/>
      </c>
      <c r="G44" t="str">
        <f>IF(SEFAZ!H26="","",SEFAZ!H26)</f>
        <v/>
      </c>
      <c r="H44" t="str">
        <f>IF(SEFAZ!L26="","",SEFAZ!L26)</f>
        <v/>
      </c>
      <c r="I44" t="str">
        <f>IF(SEFAZ!N26="","",SEFAZ!N26)</f>
        <v/>
      </c>
      <c r="J44" t="str">
        <f>IF(SEFAZ!O26="","",SEFAZ!O26)</f>
        <v/>
      </c>
      <c r="K44" s="11" t="str">
        <f>IF(SEFAZ!P26="","",SEFAZ!P26)</f>
        <v/>
      </c>
      <c r="L44" t="str" cm="1">
        <f t="array" aca="1" ref="L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" t="s">
        <v>35</v>
      </c>
      <c r="O44" s="36" t="str">
        <f>IF(SEFAZ!B26="","",SEFAZ!B26)</f>
        <v/>
      </c>
    </row>
    <row r="45" spans="2:15" x14ac:dyDescent="0.3">
      <c r="B45" t="str">
        <f>IF(SEFAZ!A27="","",SEFAZ!A27)</f>
        <v/>
      </c>
      <c r="C45" t="str">
        <f>IF(SEFAZ!C27="","",SEFAZ!C27)</f>
        <v/>
      </c>
      <c r="D45" t="str">
        <f>IF(SEFAZ!D27="","",SEFAZ!D27)</f>
        <v/>
      </c>
      <c r="E45" s="7" t="str">
        <f>IF(SEFAZ!E27="","",SEFAZ!E27)</f>
        <v/>
      </c>
      <c r="F45" s="6" t="str">
        <f>IF(SEFAZ!F27="","",VALUE(SUBSTITUTE(SEFAZ!F27,"'","")))</f>
        <v/>
      </c>
      <c r="G45" t="str">
        <f>IF(SEFAZ!H27="","",SEFAZ!H27)</f>
        <v/>
      </c>
      <c r="H45" t="str">
        <f>IF(SEFAZ!L27="","",SEFAZ!L27)</f>
        <v/>
      </c>
      <c r="I45" t="str">
        <f>IF(SEFAZ!N27="","",SEFAZ!N27)</f>
        <v/>
      </c>
      <c r="J45" t="str">
        <f>IF(SEFAZ!O27="","",SEFAZ!O27)</f>
        <v/>
      </c>
      <c r="K45" s="11" t="str">
        <f>IF(SEFAZ!P27="","",SEFAZ!P27)</f>
        <v/>
      </c>
      <c r="L45" t="str" cm="1">
        <f t="array" aca="1" ref="L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" t="s">
        <v>35</v>
      </c>
      <c r="O45" s="36" t="str">
        <f>IF(SEFAZ!B27="","",SEFAZ!B27)</f>
        <v/>
      </c>
    </row>
    <row r="46" spans="2:15" x14ac:dyDescent="0.3">
      <c r="B46" t="str">
        <f>IF(SEFAZ!A28="","",SEFAZ!A28)</f>
        <v/>
      </c>
      <c r="C46" t="str">
        <f>IF(SEFAZ!C28="","",SEFAZ!C28)</f>
        <v/>
      </c>
      <c r="D46" t="str">
        <f>IF(SEFAZ!D28="","",SEFAZ!D28)</f>
        <v/>
      </c>
      <c r="E46" s="7" t="str">
        <f>IF(SEFAZ!E28="","",SEFAZ!E28)</f>
        <v/>
      </c>
      <c r="F46" s="6" t="str">
        <f>IF(SEFAZ!F28="","",VALUE(SUBSTITUTE(SEFAZ!F28,"'","")))</f>
        <v/>
      </c>
      <c r="G46" t="str">
        <f>IF(SEFAZ!H28="","",SEFAZ!H28)</f>
        <v/>
      </c>
      <c r="H46" t="str">
        <f>IF(SEFAZ!L28="","",SEFAZ!L28)</f>
        <v/>
      </c>
      <c r="I46" t="str">
        <f>IF(SEFAZ!N28="","",SEFAZ!N28)</f>
        <v/>
      </c>
      <c r="J46" t="str">
        <f>IF(SEFAZ!O28="","",SEFAZ!O28)</f>
        <v/>
      </c>
      <c r="K46" s="11" t="str">
        <f>IF(SEFAZ!P28="","",SEFAZ!P28)</f>
        <v/>
      </c>
      <c r="L46" t="str" cm="1">
        <f t="array" aca="1" ref="L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" t="s">
        <v>35</v>
      </c>
      <c r="O46" s="36" t="str">
        <f>IF(SEFAZ!B28="","",SEFAZ!B28)</f>
        <v/>
      </c>
    </row>
    <row r="47" spans="2:15" x14ac:dyDescent="0.3">
      <c r="B47" t="str">
        <f>IF(SEFAZ!A29="","",SEFAZ!A29)</f>
        <v/>
      </c>
      <c r="C47" t="str">
        <f>IF(SEFAZ!C29="","",SEFAZ!C29)</f>
        <v/>
      </c>
      <c r="D47" t="str">
        <f>IF(SEFAZ!D29="","",SEFAZ!D29)</f>
        <v/>
      </c>
      <c r="E47" s="7" t="str">
        <f>IF(SEFAZ!E29="","",SEFAZ!E29)</f>
        <v/>
      </c>
      <c r="F47" s="6" t="str">
        <f>IF(SEFAZ!F29="","",VALUE(SUBSTITUTE(SEFAZ!F29,"'","")))</f>
        <v/>
      </c>
      <c r="G47" t="str">
        <f>IF(SEFAZ!H29="","",SEFAZ!H29)</f>
        <v/>
      </c>
      <c r="H47" t="str">
        <f>IF(SEFAZ!L29="","",SEFAZ!L29)</f>
        <v/>
      </c>
      <c r="I47" t="str">
        <f>IF(SEFAZ!N29="","",SEFAZ!N29)</f>
        <v/>
      </c>
      <c r="J47" t="str">
        <f>IF(SEFAZ!O29="","",SEFAZ!O29)</f>
        <v/>
      </c>
      <c r="K47" s="11" t="str">
        <f>IF(SEFAZ!P29="","",SEFAZ!P29)</f>
        <v/>
      </c>
      <c r="L47" t="str" cm="1">
        <f t="array" aca="1" ref="L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" t="s">
        <v>35</v>
      </c>
      <c r="O47" s="36" t="str">
        <f>IF(SEFAZ!B29="","",SEFAZ!B29)</f>
        <v/>
      </c>
    </row>
    <row r="48" spans="2:15" x14ac:dyDescent="0.3">
      <c r="B48" t="str">
        <f>IF(SEFAZ!A30="","",SEFAZ!A30)</f>
        <v/>
      </c>
      <c r="C48" t="str">
        <f>IF(SEFAZ!C30="","",SEFAZ!C30)</f>
        <v/>
      </c>
      <c r="D48" t="str">
        <f>IF(SEFAZ!D30="","",SEFAZ!D30)</f>
        <v/>
      </c>
      <c r="E48" s="7" t="str">
        <f>IF(SEFAZ!E30="","",SEFAZ!E30)</f>
        <v/>
      </c>
      <c r="F48" s="6" t="str">
        <f>IF(SEFAZ!F30="","",VALUE(SUBSTITUTE(SEFAZ!F30,"'","")))</f>
        <v/>
      </c>
      <c r="G48" t="str">
        <f>IF(SEFAZ!H30="","",SEFAZ!H30)</f>
        <v/>
      </c>
      <c r="H48" t="str">
        <f>IF(SEFAZ!L30="","",SEFAZ!L30)</f>
        <v/>
      </c>
      <c r="I48" t="str">
        <f>IF(SEFAZ!N30="","",SEFAZ!N30)</f>
        <v/>
      </c>
      <c r="J48" t="str">
        <f>IF(SEFAZ!O30="","",SEFAZ!O30)</f>
        <v/>
      </c>
      <c r="K48" s="11" t="str">
        <f>IF(SEFAZ!P30="","",SEFAZ!P30)</f>
        <v/>
      </c>
      <c r="L48" t="str" cm="1">
        <f t="array" aca="1" ref="L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" t="s">
        <v>35</v>
      </c>
      <c r="O48" s="36" t="str">
        <f>IF(SEFAZ!B30="","",SEFAZ!B30)</f>
        <v/>
      </c>
    </row>
    <row r="49" spans="2:15" x14ac:dyDescent="0.3">
      <c r="B49" t="str">
        <f>IF(SEFAZ!A31="","",SEFAZ!A31)</f>
        <v/>
      </c>
      <c r="C49" t="str">
        <f>IF(SEFAZ!C31="","",SEFAZ!C31)</f>
        <v/>
      </c>
      <c r="D49" t="str">
        <f>IF(SEFAZ!D31="","",SEFAZ!D31)</f>
        <v/>
      </c>
      <c r="E49" s="7" t="str">
        <f>IF(SEFAZ!E31="","",SEFAZ!E31)</f>
        <v/>
      </c>
      <c r="F49" s="6" t="str">
        <f>IF(SEFAZ!F31="","",VALUE(SUBSTITUTE(SEFAZ!F31,"'","")))</f>
        <v/>
      </c>
      <c r="G49" t="str">
        <f>IF(SEFAZ!H31="","",SEFAZ!H31)</f>
        <v/>
      </c>
      <c r="H49" t="str">
        <f>IF(SEFAZ!L31="","",SEFAZ!L31)</f>
        <v/>
      </c>
      <c r="I49" t="str">
        <f>IF(SEFAZ!N31="","",SEFAZ!N31)</f>
        <v/>
      </c>
      <c r="J49" t="str">
        <f>IF(SEFAZ!O31="","",SEFAZ!O31)</f>
        <v/>
      </c>
      <c r="K49" s="11" t="str">
        <f>IF(SEFAZ!P31="","",SEFAZ!P31)</f>
        <v/>
      </c>
      <c r="L49" t="str" cm="1">
        <f t="array" aca="1" ref="L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" t="s">
        <v>35</v>
      </c>
      <c r="O49" s="36" t="str">
        <f>IF(SEFAZ!B31="","",SEFAZ!B31)</f>
        <v/>
      </c>
    </row>
    <row r="50" spans="2:15" x14ac:dyDescent="0.3">
      <c r="B50" t="str">
        <f>IF(SEFAZ!A32="","",SEFAZ!A32)</f>
        <v/>
      </c>
      <c r="C50" t="str">
        <f>IF(SEFAZ!C32="","",SEFAZ!C32)</f>
        <v/>
      </c>
      <c r="D50" t="str">
        <f>IF(SEFAZ!D32="","",SEFAZ!D32)</f>
        <v/>
      </c>
      <c r="E50" s="7" t="str">
        <f>IF(SEFAZ!E32="","",SEFAZ!E32)</f>
        <v/>
      </c>
      <c r="F50" s="6" t="str">
        <f>IF(SEFAZ!F32="","",VALUE(SUBSTITUTE(SEFAZ!F32,"'","")))</f>
        <v/>
      </c>
      <c r="G50" t="str">
        <f>IF(SEFAZ!H32="","",SEFAZ!H32)</f>
        <v/>
      </c>
      <c r="H50" t="str">
        <f>IF(SEFAZ!L32="","",SEFAZ!L32)</f>
        <v/>
      </c>
      <c r="I50" t="str">
        <f>IF(SEFAZ!N32="","",SEFAZ!N32)</f>
        <v/>
      </c>
      <c r="J50" t="str">
        <f>IF(SEFAZ!O32="","",SEFAZ!O32)</f>
        <v/>
      </c>
      <c r="K50" s="11" t="str">
        <f>IF(SEFAZ!P32="","",SEFAZ!P32)</f>
        <v/>
      </c>
      <c r="L50" t="str" cm="1">
        <f t="array" aca="1" ref="L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" t="s">
        <v>35</v>
      </c>
      <c r="O50" s="36" t="str">
        <f>IF(SEFAZ!B32="","",SEFAZ!B32)</f>
        <v/>
      </c>
    </row>
    <row r="51" spans="2:15" x14ac:dyDescent="0.3">
      <c r="B51" t="str">
        <f>IF(SEFAZ!A33="","",SEFAZ!A33)</f>
        <v/>
      </c>
      <c r="C51" t="str">
        <f>IF(SEFAZ!C33="","",SEFAZ!C33)</f>
        <v/>
      </c>
      <c r="D51" t="str">
        <f>IF(SEFAZ!D33="","",SEFAZ!D33)</f>
        <v/>
      </c>
      <c r="E51" s="7" t="str">
        <f>IF(SEFAZ!E33="","",SEFAZ!E33)</f>
        <v/>
      </c>
      <c r="F51" s="6" t="str">
        <f>IF(SEFAZ!F33="","",VALUE(SUBSTITUTE(SEFAZ!F33,"'","")))</f>
        <v/>
      </c>
      <c r="G51" t="str">
        <f>IF(SEFAZ!H33="","",SEFAZ!H33)</f>
        <v/>
      </c>
      <c r="H51" t="str">
        <f>IF(SEFAZ!L33="","",SEFAZ!L33)</f>
        <v/>
      </c>
      <c r="I51" t="str">
        <f>IF(SEFAZ!N33="","",SEFAZ!N33)</f>
        <v/>
      </c>
      <c r="J51" t="str">
        <f>IF(SEFAZ!O33="","",SEFAZ!O33)</f>
        <v/>
      </c>
      <c r="K51" s="11" t="str">
        <f>IF(SEFAZ!P33="","",SEFAZ!P33)</f>
        <v/>
      </c>
      <c r="L51" t="str" cm="1">
        <f t="array" aca="1" ref="L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" t="s">
        <v>35</v>
      </c>
      <c r="O51" s="36" t="str">
        <f>IF(SEFAZ!B33="","",SEFAZ!B33)</f>
        <v/>
      </c>
    </row>
    <row r="52" spans="2:15" x14ac:dyDescent="0.3">
      <c r="B52" t="str">
        <f>IF(SEFAZ!A34="","",SEFAZ!A34)</f>
        <v/>
      </c>
      <c r="C52" t="str">
        <f>IF(SEFAZ!C34="","",SEFAZ!C34)</f>
        <v/>
      </c>
      <c r="D52" t="str">
        <f>IF(SEFAZ!D34="","",SEFAZ!D34)</f>
        <v/>
      </c>
      <c r="E52" s="7" t="str">
        <f>IF(SEFAZ!E34="","",SEFAZ!E34)</f>
        <v/>
      </c>
      <c r="F52" s="6" t="str">
        <f>IF(SEFAZ!F34="","",VALUE(SUBSTITUTE(SEFAZ!F34,"'","")))</f>
        <v/>
      </c>
      <c r="G52" t="str">
        <f>IF(SEFAZ!H34="","",SEFAZ!H34)</f>
        <v/>
      </c>
      <c r="H52" t="str">
        <f>IF(SEFAZ!L34="","",SEFAZ!L34)</f>
        <v/>
      </c>
      <c r="I52" t="str">
        <f>IF(SEFAZ!N34="","",SEFAZ!N34)</f>
        <v/>
      </c>
      <c r="J52" t="str">
        <f>IF(SEFAZ!O34="","",SEFAZ!O34)</f>
        <v/>
      </c>
      <c r="K52" s="11" t="str">
        <f>IF(SEFAZ!P34="","",SEFAZ!P34)</f>
        <v/>
      </c>
      <c r="L52" t="str" cm="1">
        <f t="array" aca="1" ref="L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" t="s">
        <v>35</v>
      </c>
      <c r="O52" s="36" t="str">
        <f>IF(SEFAZ!B34="","",SEFAZ!B34)</f>
        <v/>
      </c>
    </row>
    <row r="53" spans="2:15" x14ac:dyDescent="0.3">
      <c r="B53" t="str">
        <f>IF(SEFAZ!A35="","",SEFAZ!A35)</f>
        <v/>
      </c>
      <c r="C53" t="str">
        <f>IF(SEFAZ!C35="","",SEFAZ!C35)</f>
        <v/>
      </c>
      <c r="D53" t="str">
        <f>IF(SEFAZ!D35="","",SEFAZ!D35)</f>
        <v/>
      </c>
      <c r="E53" s="7" t="str">
        <f>IF(SEFAZ!E35="","",SEFAZ!E35)</f>
        <v/>
      </c>
      <c r="F53" s="6" t="str">
        <f>IF(SEFAZ!F35="","",VALUE(SUBSTITUTE(SEFAZ!F35,"'","")))</f>
        <v/>
      </c>
      <c r="G53" t="str">
        <f>IF(SEFAZ!H35="","",SEFAZ!H35)</f>
        <v/>
      </c>
      <c r="H53" t="str">
        <f>IF(SEFAZ!L35="","",SEFAZ!L35)</f>
        <v/>
      </c>
      <c r="I53" t="str">
        <f>IF(SEFAZ!N35="","",SEFAZ!N35)</f>
        <v/>
      </c>
      <c r="J53" t="str">
        <f>IF(SEFAZ!O35="","",SEFAZ!O35)</f>
        <v/>
      </c>
      <c r="K53" s="11" t="str">
        <f>IF(SEFAZ!P35="","",SEFAZ!P35)</f>
        <v/>
      </c>
      <c r="L53" t="str" cm="1">
        <f t="array" aca="1" ref="L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" t="s">
        <v>35</v>
      </c>
      <c r="O53" s="36" t="str">
        <f>IF(SEFAZ!B35="","",SEFAZ!B35)</f>
        <v/>
      </c>
    </row>
    <row r="54" spans="2:15" x14ac:dyDescent="0.3">
      <c r="B54" t="str">
        <f>IF(SEFAZ!A36="","",SEFAZ!A36)</f>
        <v/>
      </c>
      <c r="C54" t="str">
        <f>IF(SEFAZ!C36="","",SEFAZ!C36)</f>
        <v/>
      </c>
      <c r="D54" t="str">
        <f>IF(SEFAZ!D36="","",SEFAZ!D36)</f>
        <v/>
      </c>
      <c r="E54" s="7" t="str">
        <f>IF(SEFAZ!E36="","",SEFAZ!E36)</f>
        <v/>
      </c>
      <c r="F54" s="6" t="str">
        <f>IF(SEFAZ!F36="","",VALUE(SUBSTITUTE(SEFAZ!F36,"'","")))</f>
        <v/>
      </c>
      <c r="G54" t="str">
        <f>IF(SEFAZ!H36="","",SEFAZ!H36)</f>
        <v/>
      </c>
      <c r="H54" t="str">
        <f>IF(SEFAZ!L36="","",SEFAZ!L36)</f>
        <v/>
      </c>
      <c r="I54" t="str">
        <f>IF(SEFAZ!N36="","",SEFAZ!N36)</f>
        <v/>
      </c>
      <c r="J54" t="str">
        <f>IF(SEFAZ!O36="","",SEFAZ!O36)</f>
        <v/>
      </c>
      <c r="K54" s="11" t="str">
        <f>IF(SEFAZ!P36="","",SEFAZ!P36)</f>
        <v/>
      </c>
      <c r="L54" t="str" cm="1">
        <f t="array" aca="1" ref="L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" t="s">
        <v>35</v>
      </c>
      <c r="O54" s="36" t="str">
        <f>IF(SEFAZ!B36="","",SEFAZ!B36)</f>
        <v/>
      </c>
    </row>
    <row r="55" spans="2:15" x14ac:dyDescent="0.3">
      <c r="B55" t="str">
        <f>IF(SEFAZ!A37="","",SEFAZ!A37)</f>
        <v/>
      </c>
      <c r="C55" t="str">
        <f>IF(SEFAZ!C37="","",SEFAZ!C37)</f>
        <v/>
      </c>
      <c r="D55" t="str">
        <f>IF(SEFAZ!D37="","",SEFAZ!D37)</f>
        <v/>
      </c>
      <c r="E55" s="7" t="str">
        <f>IF(SEFAZ!E37="","",SEFAZ!E37)</f>
        <v/>
      </c>
      <c r="F55" s="6" t="str">
        <f>IF(SEFAZ!F37="","",VALUE(SUBSTITUTE(SEFAZ!F37,"'","")))</f>
        <v/>
      </c>
      <c r="G55" t="str">
        <f>IF(SEFAZ!H37="","",SEFAZ!H37)</f>
        <v/>
      </c>
      <c r="H55" t="str">
        <f>IF(SEFAZ!L37="","",SEFAZ!L37)</f>
        <v/>
      </c>
      <c r="I55" t="str">
        <f>IF(SEFAZ!N37="","",SEFAZ!N37)</f>
        <v/>
      </c>
      <c r="J55" t="str">
        <f>IF(SEFAZ!O37="","",SEFAZ!O37)</f>
        <v/>
      </c>
      <c r="K55" s="11" t="str">
        <f>IF(SEFAZ!P37="","",SEFAZ!P37)</f>
        <v/>
      </c>
      <c r="L55" t="str" cm="1">
        <f t="array" aca="1" ref="L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" t="s">
        <v>35</v>
      </c>
      <c r="O55" s="36" t="str">
        <f>IF(SEFAZ!B37="","",SEFAZ!B37)</f>
        <v/>
      </c>
    </row>
    <row r="56" spans="2:15" x14ac:dyDescent="0.3">
      <c r="B56" t="str">
        <f>IF(SEFAZ!A38="","",SEFAZ!A38)</f>
        <v/>
      </c>
      <c r="C56" t="str">
        <f>IF(SEFAZ!C38="","",SEFAZ!C38)</f>
        <v/>
      </c>
      <c r="D56" t="str">
        <f>IF(SEFAZ!D38="","",SEFAZ!D38)</f>
        <v/>
      </c>
      <c r="E56" s="7" t="str">
        <f>IF(SEFAZ!E38="","",SEFAZ!E38)</f>
        <v/>
      </c>
      <c r="F56" s="6" t="str">
        <f>IF(SEFAZ!F38="","",VALUE(SUBSTITUTE(SEFAZ!F38,"'","")))</f>
        <v/>
      </c>
      <c r="G56" t="str">
        <f>IF(SEFAZ!H38="","",SEFAZ!H38)</f>
        <v/>
      </c>
      <c r="H56" t="str">
        <f>IF(SEFAZ!L38="","",SEFAZ!L38)</f>
        <v/>
      </c>
      <c r="I56" t="str">
        <f>IF(SEFAZ!N38="","",SEFAZ!N38)</f>
        <v/>
      </c>
      <c r="J56" t="str">
        <f>IF(SEFAZ!O38="","",SEFAZ!O38)</f>
        <v/>
      </c>
      <c r="K56" s="11" t="str">
        <f>IF(SEFAZ!P38="","",SEFAZ!P38)</f>
        <v/>
      </c>
      <c r="L56" t="str" cm="1">
        <f t="array" aca="1" ref="L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" t="s">
        <v>35</v>
      </c>
      <c r="O56" s="36" t="str">
        <f>IF(SEFAZ!B38="","",SEFAZ!B38)</f>
        <v/>
      </c>
    </row>
    <row r="57" spans="2:15" x14ac:dyDescent="0.3">
      <c r="B57" t="str">
        <f>IF(SEFAZ!A39="","",SEFAZ!A39)</f>
        <v/>
      </c>
      <c r="C57" t="str">
        <f>IF(SEFAZ!C39="","",SEFAZ!C39)</f>
        <v/>
      </c>
      <c r="D57" t="str">
        <f>IF(SEFAZ!D39="","",SEFAZ!D39)</f>
        <v/>
      </c>
      <c r="E57" s="7" t="str">
        <f>IF(SEFAZ!E39="","",SEFAZ!E39)</f>
        <v/>
      </c>
      <c r="F57" s="6" t="str">
        <f>IF(SEFAZ!F39="","",VALUE(SUBSTITUTE(SEFAZ!F39,"'","")))</f>
        <v/>
      </c>
      <c r="G57" t="str">
        <f>IF(SEFAZ!H39="","",SEFAZ!H39)</f>
        <v/>
      </c>
      <c r="H57" t="str">
        <f>IF(SEFAZ!L39="","",SEFAZ!L39)</f>
        <v/>
      </c>
      <c r="I57" t="str">
        <f>IF(SEFAZ!N39="","",SEFAZ!N39)</f>
        <v/>
      </c>
      <c r="J57" t="str">
        <f>IF(SEFAZ!O39="","",SEFAZ!O39)</f>
        <v/>
      </c>
      <c r="K57" s="11" t="str">
        <f>IF(SEFAZ!P39="","",SEFAZ!P39)</f>
        <v/>
      </c>
      <c r="L57" t="str" cm="1">
        <f t="array" aca="1" ref="L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" t="s">
        <v>35</v>
      </c>
      <c r="O57" s="36" t="str">
        <f>IF(SEFAZ!B39="","",SEFAZ!B39)</f>
        <v/>
      </c>
    </row>
    <row r="58" spans="2:15" x14ac:dyDescent="0.3">
      <c r="B58" t="str">
        <f>IF(SEFAZ!A40="","",SEFAZ!A40)</f>
        <v/>
      </c>
      <c r="C58" t="str">
        <f>IF(SEFAZ!C40="","",SEFAZ!C40)</f>
        <v/>
      </c>
      <c r="D58" t="str">
        <f>IF(SEFAZ!D40="","",SEFAZ!D40)</f>
        <v/>
      </c>
      <c r="E58" s="7" t="str">
        <f>IF(SEFAZ!E40="","",SEFAZ!E40)</f>
        <v/>
      </c>
      <c r="F58" s="6" t="str">
        <f>IF(SEFAZ!F40="","",VALUE(SUBSTITUTE(SEFAZ!F40,"'","")))</f>
        <v/>
      </c>
      <c r="G58" t="str">
        <f>IF(SEFAZ!H40="","",SEFAZ!H40)</f>
        <v/>
      </c>
      <c r="H58" t="str">
        <f>IF(SEFAZ!L40="","",SEFAZ!L40)</f>
        <v/>
      </c>
      <c r="I58" t="str">
        <f>IF(SEFAZ!N40="","",SEFAZ!N40)</f>
        <v/>
      </c>
      <c r="J58" t="str">
        <f>IF(SEFAZ!O40="","",SEFAZ!O40)</f>
        <v/>
      </c>
      <c r="K58" s="11" t="str">
        <f>IF(SEFAZ!P40="","",SEFAZ!P40)</f>
        <v/>
      </c>
      <c r="L58" t="str" cm="1">
        <f t="array" aca="1" ref="L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" t="s">
        <v>35</v>
      </c>
      <c r="O58" s="36" t="str">
        <f>IF(SEFAZ!B40="","",SEFAZ!B40)</f>
        <v/>
      </c>
    </row>
    <row r="59" spans="2:15" x14ac:dyDescent="0.3">
      <c r="B59" t="str">
        <f>IF(SEFAZ!A41="","",SEFAZ!A41)</f>
        <v/>
      </c>
      <c r="C59" t="str">
        <f>IF(SEFAZ!C41="","",SEFAZ!C41)</f>
        <v/>
      </c>
      <c r="D59" t="str">
        <f>IF(SEFAZ!D41="","",SEFAZ!D41)</f>
        <v/>
      </c>
      <c r="E59" s="7" t="str">
        <f>IF(SEFAZ!E41="","",SEFAZ!E41)</f>
        <v/>
      </c>
      <c r="F59" s="6" t="str">
        <f>IF(SEFAZ!F41="","",VALUE(SUBSTITUTE(SEFAZ!F41,"'","")))</f>
        <v/>
      </c>
      <c r="G59" t="str">
        <f>IF(SEFAZ!H41="","",SEFAZ!H41)</f>
        <v/>
      </c>
      <c r="H59" t="str">
        <f>IF(SEFAZ!L41="","",SEFAZ!L41)</f>
        <v/>
      </c>
      <c r="I59" t="str">
        <f>IF(SEFAZ!N41="","",SEFAZ!N41)</f>
        <v/>
      </c>
      <c r="J59" t="str">
        <f>IF(SEFAZ!O41="","",SEFAZ!O41)</f>
        <v/>
      </c>
      <c r="K59" s="11" t="str">
        <f>IF(SEFAZ!P41="","",SEFAZ!P41)</f>
        <v/>
      </c>
      <c r="L59" t="str" cm="1">
        <f t="array" aca="1" ref="L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" t="s">
        <v>35</v>
      </c>
      <c r="O59" s="36" t="str">
        <f>IF(SEFAZ!B41="","",SEFAZ!B41)</f>
        <v/>
      </c>
    </row>
    <row r="60" spans="2:15" x14ac:dyDescent="0.3">
      <c r="B60" t="str">
        <f>IF(SEFAZ!A42="","",SEFAZ!A42)</f>
        <v/>
      </c>
      <c r="C60" t="str">
        <f>IF(SEFAZ!C42="","",SEFAZ!C42)</f>
        <v/>
      </c>
      <c r="D60" t="str">
        <f>IF(SEFAZ!D42="","",SEFAZ!D42)</f>
        <v/>
      </c>
      <c r="E60" s="7" t="str">
        <f>IF(SEFAZ!E42="","",SEFAZ!E42)</f>
        <v/>
      </c>
      <c r="F60" s="6" t="str">
        <f>IF(SEFAZ!F42="","",VALUE(SUBSTITUTE(SEFAZ!F42,"'","")))</f>
        <v/>
      </c>
      <c r="G60" t="str">
        <f>IF(SEFAZ!H42="","",SEFAZ!H42)</f>
        <v/>
      </c>
      <c r="H60" t="str">
        <f>IF(SEFAZ!L42="","",SEFAZ!L42)</f>
        <v/>
      </c>
      <c r="I60" t="str">
        <f>IF(SEFAZ!N42="","",SEFAZ!N42)</f>
        <v/>
      </c>
      <c r="J60" t="str">
        <f>IF(SEFAZ!O42="","",SEFAZ!O42)</f>
        <v/>
      </c>
      <c r="K60" s="11" t="str">
        <f>IF(SEFAZ!P42="","",SEFAZ!P42)</f>
        <v/>
      </c>
      <c r="L60" t="str" cm="1">
        <f t="array" aca="1" ref="L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" t="s">
        <v>35</v>
      </c>
      <c r="O60" s="36" t="str">
        <f>IF(SEFAZ!B42="","",SEFAZ!B42)</f>
        <v/>
      </c>
    </row>
    <row r="61" spans="2:15" x14ac:dyDescent="0.3">
      <c r="B61" t="str">
        <f>IF(SEFAZ!A43="","",SEFAZ!A43)</f>
        <v/>
      </c>
      <c r="C61" t="str">
        <f>IF(SEFAZ!C43="","",SEFAZ!C43)</f>
        <v/>
      </c>
      <c r="D61" t="str">
        <f>IF(SEFAZ!D43="","",SEFAZ!D43)</f>
        <v/>
      </c>
      <c r="E61" s="7" t="str">
        <f>IF(SEFAZ!E43="","",SEFAZ!E43)</f>
        <v/>
      </c>
      <c r="F61" s="6" t="str">
        <f>IF(SEFAZ!F43="","",VALUE(SUBSTITUTE(SEFAZ!F43,"'","")))</f>
        <v/>
      </c>
      <c r="G61" t="str">
        <f>IF(SEFAZ!H43="","",SEFAZ!H43)</f>
        <v/>
      </c>
      <c r="H61" t="str">
        <f>IF(SEFAZ!L43="","",SEFAZ!L43)</f>
        <v/>
      </c>
      <c r="I61" t="str">
        <f>IF(SEFAZ!N43="","",SEFAZ!N43)</f>
        <v/>
      </c>
      <c r="J61" t="str">
        <f>IF(SEFAZ!O43="","",SEFAZ!O43)</f>
        <v/>
      </c>
      <c r="K61" s="11" t="str">
        <f>IF(SEFAZ!P43="","",SEFAZ!P43)</f>
        <v/>
      </c>
      <c r="L61" t="str" cm="1">
        <f t="array" aca="1" ref="L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" t="s">
        <v>35</v>
      </c>
      <c r="O61" s="36" t="str">
        <f>IF(SEFAZ!B43="","",SEFAZ!B43)</f>
        <v/>
      </c>
    </row>
    <row r="62" spans="2:15" x14ac:dyDescent="0.3">
      <c r="B62" t="str">
        <f>IF(SEFAZ!A44="","",SEFAZ!A44)</f>
        <v/>
      </c>
      <c r="C62" t="str">
        <f>IF(SEFAZ!C44="","",SEFAZ!C44)</f>
        <v/>
      </c>
      <c r="D62" t="str">
        <f>IF(SEFAZ!D44="","",SEFAZ!D44)</f>
        <v/>
      </c>
      <c r="E62" s="7" t="str">
        <f>IF(SEFAZ!E44="","",SEFAZ!E44)</f>
        <v/>
      </c>
      <c r="F62" s="6" t="str">
        <f>IF(SEFAZ!F44="","",VALUE(SUBSTITUTE(SEFAZ!F44,"'","")))</f>
        <v/>
      </c>
      <c r="G62" t="str">
        <f>IF(SEFAZ!H44="","",SEFAZ!H44)</f>
        <v/>
      </c>
      <c r="H62" t="str">
        <f>IF(SEFAZ!L44="","",SEFAZ!L44)</f>
        <v/>
      </c>
      <c r="I62" t="str">
        <f>IF(SEFAZ!N44="","",SEFAZ!N44)</f>
        <v/>
      </c>
      <c r="J62" t="str">
        <f>IF(SEFAZ!O44="","",SEFAZ!O44)</f>
        <v/>
      </c>
      <c r="K62" s="11" t="str">
        <f>IF(SEFAZ!P44="","",SEFAZ!P44)</f>
        <v/>
      </c>
      <c r="L62" t="str" cm="1">
        <f t="array" aca="1" ref="L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" t="s">
        <v>35</v>
      </c>
      <c r="O62" s="36" t="str">
        <f>IF(SEFAZ!B44="","",SEFAZ!B44)</f>
        <v/>
      </c>
    </row>
    <row r="63" spans="2:15" x14ac:dyDescent="0.3">
      <c r="B63" t="str">
        <f>IF(SEFAZ!A45="","",SEFAZ!A45)</f>
        <v/>
      </c>
      <c r="C63" t="str">
        <f>IF(SEFAZ!C45="","",SEFAZ!C45)</f>
        <v/>
      </c>
      <c r="D63" t="str">
        <f>IF(SEFAZ!D45="","",SEFAZ!D45)</f>
        <v/>
      </c>
      <c r="E63" s="7" t="str">
        <f>IF(SEFAZ!E45="","",SEFAZ!E45)</f>
        <v/>
      </c>
      <c r="F63" s="6" t="str">
        <f>IF(SEFAZ!F45="","",VALUE(SUBSTITUTE(SEFAZ!F45,"'","")))</f>
        <v/>
      </c>
      <c r="G63" t="str">
        <f>IF(SEFAZ!H45="","",SEFAZ!H45)</f>
        <v/>
      </c>
      <c r="H63" t="str">
        <f>IF(SEFAZ!L45="","",SEFAZ!L45)</f>
        <v/>
      </c>
      <c r="I63" t="str">
        <f>IF(SEFAZ!N45="","",SEFAZ!N45)</f>
        <v/>
      </c>
      <c r="J63" t="str">
        <f>IF(SEFAZ!O45="","",SEFAZ!O45)</f>
        <v/>
      </c>
      <c r="K63" s="11" t="str">
        <f>IF(SEFAZ!P45="","",SEFAZ!P45)</f>
        <v/>
      </c>
      <c r="L63" t="str" cm="1">
        <f t="array" aca="1" ref="L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" t="s">
        <v>35</v>
      </c>
      <c r="O63" s="36" t="str">
        <f>IF(SEFAZ!B45="","",SEFAZ!B45)</f>
        <v/>
      </c>
    </row>
    <row r="64" spans="2:15" x14ac:dyDescent="0.3">
      <c r="B64" t="str">
        <f>IF(SEFAZ!A46="","",SEFAZ!A46)</f>
        <v/>
      </c>
      <c r="C64" t="str">
        <f>IF(SEFAZ!C46="","",SEFAZ!C46)</f>
        <v/>
      </c>
      <c r="D64" t="str">
        <f>IF(SEFAZ!D46="","",SEFAZ!D46)</f>
        <v/>
      </c>
      <c r="E64" s="7" t="str">
        <f>IF(SEFAZ!E46="","",SEFAZ!E46)</f>
        <v/>
      </c>
      <c r="F64" s="6" t="str">
        <f>IF(SEFAZ!F46="","",VALUE(SUBSTITUTE(SEFAZ!F46,"'","")))</f>
        <v/>
      </c>
      <c r="G64" t="str">
        <f>IF(SEFAZ!H46="","",SEFAZ!H46)</f>
        <v/>
      </c>
      <c r="H64" t="str">
        <f>IF(SEFAZ!L46="","",SEFAZ!L46)</f>
        <v/>
      </c>
      <c r="I64" t="str">
        <f>IF(SEFAZ!N46="","",SEFAZ!N46)</f>
        <v/>
      </c>
      <c r="J64" t="str">
        <f>IF(SEFAZ!O46="","",SEFAZ!O46)</f>
        <v/>
      </c>
      <c r="K64" s="11" t="str">
        <f>IF(SEFAZ!P46="","",SEFAZ!P46)</f>
        <v/>
      </c>
      <c r="L64" t="str" cm="1">
        <f t="array" aca="1" ref="L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" t="s">
        <v>35</v>
      </c>
      <c r="O64" s="36" t="str">
        <f>IF(SEFAZ!B46="","",SEFAZ!B46)</f>
        <v/>
      </c>
    </row>
    <row r="65" spans="2:15" x14ac:dyDescent="0.3">
      <c r="B65" t="str">
        <f>IF(SEFAZ!A47="","",SEFAZ!A47)</f>
        <v/>
      </c>
      <c r="C65" t="str">
        <f>IF(SEFAZ!C47="","",SEFAZ!C47)</f>
        <v/>
      </c>
      <c r="D65" t="str">
        <f>IF(SEFAZ!D47="","",SEFAZ!D47)</f>
        <v/>
      </c>
      <c r="E65" s="7" t="str">
        <f>IF(SEFAZ!E47="","",SEFAZ!E47)</f>
        <v/>
      </c>
      <c r="F65" s="6" t="str">
        <f>IF(SEFAZ!F47="","",VALUE(SUBSTITUTE(SEFAZ!F47,"'","")))</f>
        <v/>
      </c>
      <c r="G65" t="str">
        <f>IF(SEFAZ!H47="","",SEFAZ!H47)</f>
        <v/>
      </c>
      <c r="H65" t="str">
        <f>IF(SEFAZ!L47="","",SEFAZ!L47)</f>
        <v/>
      </c>
      <c r="I65" t="str">
        <f>IF(SEFAZ!N47="","",SEFAZ!N47)</f>
        <v/>
      </c>
      <c r="J65" t="str">
        <f>IF(SEFAZ!O47="","",SEFAZ!O47)</f>
        <v/>
      </c>
      <c r="K65" s="11" t="str">
        <f>IF(SEFAZ!P47="","",SEFAZ!P47)</f>
        <v/>
      </c>
      <c r="L65" t="str" cm="1">
        <f t="array" aca="1" ref="L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" t="s">
        <v>35</v>
      </c>
      <c r="O65" s="36" t="str">
        <f>IF(SEFAZ!B47="","",SEFAZ!B47)</f>
        <v/>
      </c>
    </row>
    <row r="66" spans="2:15" x14ac:dyDescent="0.3">
      <c r="B66" t="str">
        <f>IF(SEFAZ!A48="","",SEFAZ!A48)</f>
        <v/>
      </c>
      <c r="C66" t="str">
        <f>IF(SEFAZ!C48="","",SEFAZ!C48)</f>
        <v/>
      </c>
      <c r="D66" t="str">
        <f>IF(SEFAZ!D48="","",SEFAZ!D48)</f>
        <v/>
      </c>
      <c r="E66" s="7" t="str">
        <f>IF(SEFAZ!E48="","",SEFAZ!E48)</f>
        <v/>
      </c>
      <c r="F66" s="6" t="str">
        <f>IF(SEFAZ!F48="","",VALUE(SUBSTITUTE(SEFAZ!F48,"'","")))</f>
        <v/>
      </c>
      <c r="G66" t="str">
        <f>IF(SEFAZ!H48="","",SEFAZ!H48)</f>
        <v/>
      </c>
      <c r="H66" t="str">
        <f>IF(SEFAZ!L48="","",SEFAZ!L48)</f>
        <v/>
      </c>
      <c r="I66" t="str">
        <f>IF(SEFAZ!N48="","",SEFAZ!N48)</f>
        <v/>
      </c>
      <c r="J66" t="str">
        <f>IF(SEFAZ!O48="","",SEFAZ!O48)</f>
        <v/>
      </c>
      <c r="K66" s="11" t="str">
        <f>IF(SEFAZ!P48="","",SEFAZ!P48)</f>
        <v/>
      </c>
      <c r="L66" t="str" cm="1">
        <f t="array" aca="1" ref="L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" t="s">
        <v>35</v>
      </c>
      <c r="O66" s="36" t="str">
        <f>IF(SEFAZ!B48="","",SEFAZ!B48)</f>
        <v/>
      </c>
    </row>
    <row r="67" spans="2:15" x14ac:dyDescent="0.3">
      <c r="B67" t="str">
        <f>IF(SEFAZ!A49="","",SEFAZ!A49)</f>
        <v/>
      </c>
      <c r="C67" t="str">
        <f>IF(SEFAZ!C49="","",SEFAZ!C49)</f>
        <v/>
      </c>
      <c r="D67" t="str">
        <f>IF(SEFAZ!D49="","",SEFAZ!D49)</f>
        <v/>
      </c>
      <c r="E67" s="7" t="str">
        <f>IF(SEFAZ!E49="","",SEFAZ!E49)</f>
        <v/>
      </c>
      <c r="F67" s="6" t="str">
        <f>IF(SEFAZ!F49="","",VALUE(SUBSTITUTE(SEFAZ!F49,"'","")))</f>
        <v/>
      </c>
      <c r="G67" t="str">
        <f>IF(SEFAZ!H49="","",SEFAZ!H49)</f>
        <v/>
      </c>
      <c r="H67" t="str">
        <f>IF(SEFAZ!L49="","",SEFAZ!L49)</f>
        <v/>
      </c>
      <c r="I67" t="str">
        <f>IF(SEFAZ!N49="","",SEFAZ!N49)</f>
        <v/>
      </c>
      <c r="J67" t="str">
        <f>IF(SEFAZ!O49="","",SEFAZ!O49)</f>
        <v/>
      </c>
      <c r="K67" s="11" t="str">
        <f>IF(SEFAZ!P49="","",SEFAZ!P49)</f>
        <v/>
      </c>
      <c r="L67" t="str" cm="1">
        <f t="array" aca="1" ref="L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" t="s">
        <v>35</v>
      </c>
      <c r="O67" s="36" t="str">
        <f>IF(SEFAZ!B49="","",SEFAZ!B49)</f>
        <v/>
      </c>
    </row>
    <row r="68" spans="2:15" x14ac:dyDescent="0.3">
      <c r="B68" t="str">
        <f>IF(SEFAZ!A50="","",SEFAZ!A50)</f>
        <v/>
      </c>
      <c r="C68" t="str">
        <f>IF(SEFAZ!C50="","",SEFAZ!C50)</f>
        <v/>
      </c>
      <c r="D68" t="str">
        <f>IF(SEFAZ!D50="","",SEFAZ!D50)</f>
        <v/>
      </c>
      <c r="E68" s="7" t="str">
        <f>IF(SEFAZ!E50="","",SEFAZ!E50)</f>
        <v/>
      </c>
      <c r="F68" s="6" t="str">
        <f>IF(SEFAZ!F50="","",VALUE(SUBSTITUTE(SEFAZ!F50,"'","")))</f>
        <v/>
      </c>
      <c r="G68" t="str">
        <f>IF(SEFAZ!H50="","",SEFAZ!H50)</f>
        <v/>
      </c>
      <c r="H68" t="str">
        <f>IF(SEFAZ!L50="","",SEFAZ!L50)</f>
        <v/>
      </c>
      <c r="I68" t="str">
        <f>IF(SEFAZ!N50="","",SEFAZ!N50)</f>
        <v/>
      </c>
      <c r="J68" t="str">
        <f>IF(SEFAZ!O50="","",SEFAZ!O50)</f>
        <v/>
      </c>
      <c r="K68" s="11" t="str">
        <f>IF(SEFAZ!P50="","",SEFAZ!P50)</f>
        <v/>
      </c>
      <c r="L68" t="str" cm="1">
        <f t="array" aca="1" ref="L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" t="s">
        <v>35</v>
      </c>
      <c r="O68" s="36" t="str">
        <f>IF(SEFAZ!B50="","",SEFAZ!B50)</f>
        <v/>
      </c>
    </row>
    <row r="69" spans="2:15" x14ac:dyDescent="0.3">
      <c r="B69" t="str">
        <f>IF(SEFAZ!A51="","",SEFAZ!A51)</f>
        <v/>
      </c>
      <c r="C69" t="str">
        <f>IF(SEFAZ!C51="","",SEFAZ!C51)</f>
        <v/>
      </c>
      <c r="D69" t="str">
        <f>IF(SEFAZ!D51="","",SEFAZ!D51)</f>
        <v/>
      </c>
      <c r="E69" s="7" t="str">
        <f>IF(SEFAZ!E51="","",SEFAZ!E51)</f>
        <v/>
      </c>
      <c r="F69" s="6" t="str">
        <f>IF(SEFAZ!F51="","",VALUE(SUBSTITUTE(SEFAZ!F51,"'","")))</f>
        <v/>
      </c>
      <c r="G69" t="str">
        <f>IF(SEFAZ!H51="","",SEFAZ!H51)</f>
        <v/>
      </c>
      <c r="H69" t="str">
        <f>IF(SEFAZ!L51="","",SEFAZ!L51)</f>
        <v/>
      </c>
      <c r="I69" t="str">
        <f>IF(SEFAZ!N51="","",SEFAZ!N51)</f>
        <v/>
      </c>
      <c r="J69" t="str">
        <f>IF(SEFAZ!O51="","",SEFAZ!O51)</f>
        <v/>
      </c>
      <c r="K69" s="11" t="str">
        <f>IF(SEFAZ!P51="","",SEFAZ!P51)</f>
        <v/>
      </c>
      <c r="L69" t="str" cm="1">
        <f t="array" aca="1" ref="L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" t="s">
        <v>35</v>
      </c>
      <c r="O69" s="36" t="str">
        <f>IF(SEFAZ!B51="","",SEFAZ!B51)</f>
        <v/>
      </c>
    </row>
    <row r="70" spans="2:15" x14ac:dyDescent="0.3">
      <c r="B70" t="str">
        <f>IF(SEFAZ!A52="","",SEFAZ!A52)</f>
        <v/>
      </c>
      <c r="C70" t="str">
        <f>IF(SEFAZ!C52="","",SEFAZ!C52)</f>
        <v/>
      </c>
      <c r="D70" t="str">
        <f>IF(SEFAZ!D52="","",SEFAZ!D52)</f>
        <v/>
      </c>
      <c r="E70" s="7" t="str">
        <f>IF(SEFAZ!E52="","",SEFAZ!E52)</f>
        <v/>
      </c>
      <c r="F70" s="6" t="str">
        <f>IF(SEFAZ!F52="","",VALUE(SUBSTITUTE(SEFAZ!F52,"'","")))</f>
        <v/>
      </c>
      <c r="G70" t="str">
        <f>IF(SEFAZ!H52="","",SEFAZ!H52)</f>
        <v/>
      </c>
      <c r="H70" t="str">
        <f>IF(SEFAZ!L52="","",SEFAZ!L52)</f>
        <v/>
      </c>
      <c r="I70" t="str">
        <f>IF(SEFAZ!N52="","",SEFAZ!N52)</f>
        <v/>
      </c>
      <c r="J70" t="str">
        <f>IF(SEFAZ!O52="","",SEFAZ!O52)</f>
        <v/>
      </c>
      <c r="K70" s="11" t="str">
        <f>IF(SEFAZ!P52="","",SEFAZ!P52)</f>
        <v/>
      </c>
      <c r="L70" t="str" cm="1">
        <f t="array" aca="1" ref="L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" t="s">
        <v>35</v>
      </c>
      <c r="O70" s="36" t="str">
        <f>IF(SEFAZ!B52="","",SEFAZ!B52)</f>
        <v/>
      </c>
    </row>
    <row r="71" spans="2:15" x14ac:dyDescent="0.3">
      <c r="B71" t="str">
        <f>IF(SEFAZ!A53="","",SEFAZ!A53)</f>
        <v/>
      </c>
      <c r="C71" t="str">
        <f>IF(SEFAZ!C53="","",SEFAZ!C53)</f>
        <v/>
      </c>
      <c r="D71" t="str">
        <f>IF(SEFAZ!D53="","",SEFAZ!D53)</f>
        <v/>
      </c>
      <c r="E71" s="7" t="str">
        <f>IF(SEFAZ!E53="","",SEFAZ!E53)</f>
        <v/>
      </c>
      <c r="F71" s="6" t="str">
        <f>IF(SEFAZ!F53="","",VALUE(SUBSTITUTE(SEFAZ!F53,"'","")))</f>
        <v/>
      </c>
      <c r="G71" t="str">
        <f>IF(SEFAZ!H53="","",SEFAZ!H53)</f>
        <v/>
      </c>
      <c r="H71" t="str">
        <f>IF(SEFAZ!L53="","",SEFAZ!L53)</f>
        <v/>
      </c>
      <c r="I71" t="str">
        <f>IF(SEFAZ!N53="","",SEFAZ!N53)</f>
        <v/>
      </c>
      <c r="J71" t="str">
        <f>IF(SEFAZ!O53="","",SEFAZ!O53)</f>
        <v/>
      </c>
      <c r="K71" s="11" t="str">
        <f>IF(SEFAZ!P53="","",SEFAZ!P53)</f>
        <v/>
      </c>
      <c r="L71" t="str" cm="1">
        <f t="array" aca="1" ref="L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" t="s">
        <v>35</v>
      </c>
      <c r="O71" s="36" t="str">
        <f>IF(SEFAZ!B53="","",SEFAZ!B53)</f>
        <v/>
      </c>
    </row>
    <row r="72" spans="2:15" x14ac:dyDescent="0.3">
      <c r="B72" t="str">
        <f>IF(SEFAZ!A54="","",SEFAZ!A54)</f>
        <v/>
      </c>
      <c r="C72" t="str">
        <f>IF(SEFAZ!C54="","",SEFAZ!C54)</f>
        <v/>
      </c>
      <c r="D72" t="str">
        <f>IF(SEFAZ!D54="","",SEFAZ!D54)</f>
        <v/>
      </c>
      <c r="E72" s="7" t="str">
        <f>IF(SEFAZ!E54="","",SEFAZ!E54)</f>
        <v/>
      </c>
      <c r="F72" s="6" t="str">
        <f>IF(SEFAZ!F54="","",VALUE(SUBSTITUTE(SEFAZ!F54,"'","")))</f>
        <v/>
      </c>
      <c r="G72" t="str">
        <f>IF(SEFAZ!H54="","",SEFAZ!H54)</f>
        <v/>
      </c>
      <c r="H72" t="str">
        <f>IF(SEFAZ!L54="","",SEFAZ!L54)</f>
        <v/>
      </c>
      <c r="I72" t="str">
        <f>IF(SEFAZ!N54="","",SEFAZ!N54)</f>
        <v/>
      </c>
      <c r="J72" t="str">
        <f>IF(SEFAZ!O54="","",SEFAZ!O54)</f>
        <v/>
      </c>
      <c r="K72" s="11" t="str">
        <f>IF(SEFAZ!P54="","",SEFAZ!P54)</f>
        <v/>
      </c>
      <c r="L72" t="str" cm="1">
        <f t="array" aca="1" ref="L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" t="s">
        <v>35</v>
      </c>
      <c r="O72" s="36" t="str">
        <f>IF(SEFAZ!B54="","",SEFAZ!B54)</f>
        <v/>
      </c>
    </row>
    <row r="73" spans="2:15" x14ac:dyDescent="0.3">
      <c r="B73" t="str">
        <f>IF(SEFAZ!A55="","",SEFAZ!A55)</f>
        <v/>
      </c>
      <c r="C73" t="str">
        <f>IF(SEFAZ!C55="","",SEFAZ!C55)</f>
        <v/>
      </c>
      <c r="D73" t="str">
        <f>IF(SEFAZ!D55="","",SEFAZ!D55)</f>
        <v/>
      </c>
      <c r="E73" s="7" t="str">
        <f>IF(SEFAZ!E55="","",SEFAZ!E55)</f>
        <v/>
      </c>
      <c r="F73" s="6" t="str">
        <f>IF(SEFAZ!F55="","",VALUE(SUBSTITUTE(SEFAZ!F55,"'","")))</f>
        <v/>
      </c>
      <c r="G73" t="str">
        <f>IF(SEFAZ!H55="","",SEFAZ!H55)</f>
        <v/>
      </c>
      <c r="H73" t="str">
        <f>IF(SEFAZ!L55="","",SEFAZ!L55)</f>
        <v/>
      </c>
      <c r="I73" t="str">
        <f>IF(SEFAZ!N55="","",SEFAZ!N55)</f>
        <v/>
      </c>
      <c r="J73" t="str">
        <f>IF(SEFAZ!O55="","",SEFAZ!O55)</f>
        <v/>
      </c>
      <c r="K73" s="11" t="str">
        <f>IF(SEFAZ!P55="","",SEFAZ!P55)</f>
        <v/>
      </c>
      <c r="L73" t="str" cm="1">
        <f t="array" aca="1" ref="L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" t="s">
        <v>35</v>
      </c>
      <c r="O73" s="36" t="str">
        <f>IF(SEFAZ!B55="","",SEFAZ!B55)</f>
        <v/>
      </c>
    </row>
    <row r="74" spans="2:15" x14ac:dyDescent="0.3">
      <c r="B74" t="str">
        <f>IF(SEFAZ!A56="","",SEFAZ!A56)</f>
        <v/>
      </c>
      <c r="C74" t="str">
        <f>IF(SEFAZ!C56="","",SEFAZ!C56)</f>
        <v/>
      </c>
      <c r="D74" t="str">
        <f>IF(SEFAZ!D56="","",SEFAZ!D56)</f>
        <v/>
      </c>
      <c r="E74" s="7" t="str">
        <f>IF(SEFAZ!E56="","",SEFAZ!E56)</f>
        <v/>
      </c>
      <c r="F74" s="6" t="str">
        <f>IF(SEFAZ!F56="","",VALUE(SUBSTITUTE(SEFAZ!F56,"'","")))</f>
        <v/>
      </c>
      <c r="G74" t="str">
        <f>IF(SEFAZ!H56="","",SEFAZ!H56)</f>
        <v/>
      </c>
      <c r="H74" t="str">
        <f>IF(SEFAZ!L56="","",SEFAZ!L56)</f>
        <v/>
      </c>
      <c r="I74" t="str">
        <f>IF(SEFAZ!N56="","",SEFAZ!N56)</f>
        <v/>
      </c>
      <c r="J74" t="str">
        <f>IF(SEFAZ!O56="","",SEFAZ!O56)</f>
        <v/>
      </c>
      <c r="K74" s="11" t="str">
        <f>IF(SEFAZ!P56="","",SEFAZ!P56)</f>
        <v/>
      </c>
      <c r="L74" t="str" cm="1">
        <f t="array" aca="1" ref="L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" t="s">
        <v>35</v>
      </c>
      <c r="O74" s="36" t="str">
        <f>IF(SEFAZ!B56="","",SEFAZ!B56)</f>
        <v/>
      </c>
    </row>
    <row r="75" spans="2:15" x14ac:dyDescent="0.3">
      <c r="B75" t="str">
        <f>IF(SEFAZ!A57="","",SEFAZ!A57)</f>
        <v/>
      </c>
      <c r="C75" t="str">
        <f>IF(SEFAZ!C57="","",SEFAZ!C57)</f>
        <v/>
      </c>
      <c r="D75" t="str">
        <f>IF(SEFAZ!D57="","",SEFAZ!D57)</f>
        <v/>
      </c>
      <c r="E75" s="7" t="str">
        <f>IF(SEFAZ!E57="","",SEFAZ!E57)</f>
        <v/>
      </c>
      <c r="F75" s="6" t="str">
        <f>IF(SEFAZ!F57="","",VALUE(SUBSTITUTE(SEFAZ!F57,"'","")))</f>
        <v/>
      </c>
      <c r="G75" t="str">
        <f>IF(SEFAZ!H57="","",SEFAZ!H57)</f>
        <v/>
      </c>
      <c r="H75" t="str">
        <f>IF(SEFAZ!L57="","",SEFAZ!L57)</f>
        <v/>
      </c>
      <c r="I75" t="str">
        <f>IF(SEFAZ!N57="","",SEFAZ!N57)</f>
        <v/>
      </c>
      <c r="J75" t="str">
        <f>IF(SEFAZ!O57="","",SEFAZ!O57)</f>
        <v/>
      </c>
      <c r="K75" s="11" t="str">
        <f>IF(SEFAZ!P57="","",SEFAZ!P57)</f>
        <v/>
      </c>
      <c r="L75" t="str" cm="1">
        <f t="array" aca="1" ref="L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" t="s">
        <v>35</v>
      </c>
      <c r="O75" s="36" t="str">
        <f>IF(SEFAZ!B57="","",SEFAZ!B57)</f>
        <v/>
      </c>
    </row>
    <row r="76" spans="2:15" x14ac:dyDescent="0.3">
      <c r="B76" t="str">
        <f>IF(SEFAZ!A58="","",SEFAZ!A58)</f>
        <v/>
      </c>
      <c r="C76" t="str">
        <f>IF(SEFAZ!C58="","",SEFAZ!C58)</f>
        <v/>
      </c>
      <c r="D76" t="str">
        <f>IF(SEFAZ!D58="","",SEFAZ!D58)</f>
        <v/>
      </c>
      <c r="E76" s="7" t="str">
        <f>IF(SEFAZ!E58="","",SEFAZ!E58)</f>
        <v/>
      </c>
      <c r="F76" s="6" t="str">
        <f>IF(SEFAZ!F58="","",VALUE(SUBSTITUTE(SEFAZ!F58,"'","")))</f>
        <v/>
      </c>
      <c r="G76" t="str">
        <f>IF(SEFAZ!H58="","",SEFAZ!H58)</f>
        <v/>
      </c>
      <c r="H76" t="str">
        <f>IF(SEFAZ!L58="","",SEFAZ!L58)</f>
        <v/>
      </c>
      <c r="I76" t="str">
        <f>IF(SEFAZ!N58="","",SEFAZ!N58)</f>
        <v/>
      </c>
      <c r="J76" t="str">
        <f>IF(SEFAZ!O58="","",SEFAZ!O58)</f>
        <v/>
      </c>
      <c r="K76" s="11" t="str">
        <f>IF(SEFAZ!P58="","",SEFAZ!P58)</f>
        <v/>
      </c>
      <c r="L76" t="str" cm="1">
        <f t="array" aca="1" ref="L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" t="s">
        <v>35</v>
      </c>
      <c r="O76" s="36" t="str">
        <f>IF(SEFAZ!B58="","",SEFAZ!B58)</f>
        <v/>
      </c>
    </row>
    <row r="77" spans="2:15" x14ac:dyDescent="0.3">
      <c r="B77" t="str">
        <f>IF(SEFAZ!A59="","",SEFAZ!A59)</f>
        <v/>
      </c>
      <c r="C77" t="str">
        <f>IF(SEFAZ!C59="","",SEFAZ!C59)</f>
        <v/>
      </c>
      <c r="D77" t="str">
        <f>IF(SEFAZ!D59="","",SEFAZ!D59)</f>
        <v/>
      </c>
      <c r="E77" s="7" t="str">
        <f>IF(SEFAZ!E59="","",SEFAZ!E59)</f>
        <v/>
      </c>
      <c r="F77" s="6" t="str">
        <f>IF(SEFAZ!F59="","",VALUE(SUBSTITUTE(SEFAZ!F59,"'","")))</f>
        <v/>
      </c>
      <c r="G77" t="str">
        <f>IF(SEFAZ!H59="","",SEFAZ!H59)</f>
        <v/>
      </c>
      <c r="H77" t="str">
        <f>IF(SEFAZ!L59="","",SEFAZ!L59)</f>
        <v/>
      </c>
      <c r="I77" t="str">
        <f>IF(SEFAZ!N59="","",SEFAZ!N59)</f>
        <v/>
      </c>
      <c r="J77" t="str">
        <f>IF(SEFAZ!O59="","",SEFAZ!O59)</f>
        <v/>
      </c>
      <c r="K77" s="11" t="str">
        <f>IF(SEFAZ!P59="","",SEFAZ!P59)</f>
        <v/>
      </c>
      <c r="L77" t="str" cm="1">
        <f t="array" aca="1" ref="L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" t="s">
        <v>35</v>
      </c>
      <c r="O77" s="36" t="str">
        <f>IF(SEFAZ!B59="","",SEFAZ!B59)</f>
        <v/>
      </c>
    </row>
    <row r="78" spans="2:15" x14ac:dyDescent="0.3">
      <c r="B78" t="str">
        <f>IF(SEFAZ!A60="","",SEFAZ!A60)</f>
        <v/>
      </c>
      <c r="C78" t="str">
        <f>IF(SEFAZ!C60="","",SEFAZ!C60)</f>
        <v/>
      </c>
      <c r="D78" t="str">
        <f>IF(SEFAZ!D60="","",SEFAZ!D60)</f>
        <v/>
      </c>
      <c r="E78" s="7" t="str">
        <f>IF(SEFAZ!E60="","",SEFAZ!E60)</f>
        <v/>
      </c>
      <c r="F78" s="6" t="str">
        <f>IF(SEFAZ!F60="","",VALUE(SUBSTITUTE(SEFAZ!F60,"'","")))</f>
        <v/>
      </c>
      <c r="G78" t="str">
        <f>IF(SEFAZ!H60="","",SEFAZ!H60)</f>
        <v/>
      </c>
      <c r="H78" t="str">
        <f>IF(SEFAZ!L60="","",SEFAZ!L60)</f>
        <v/>
      </c>
      <c r="I78" t="str">
        <f>IF(SEFAZ!N60="","",SEFAZ!N60)</f>
        <v/>
      </c>
      <c r="J78" t="str">
        <f>IF(SEFAZ!O60="","",SEFAZ!O60)</f>
        <v/>
      </c>
      <c r="K78" s="11" t="str">
        <f>IF(SEFAZ!P60="","",SEFAZ!P60)</f>
        <v/>
      </c>
      <c r="L78" t="str" cm="1">
        <f t="array" aca="1" ref="L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" t="s">
        <v>35</v>
      </c>
      <c r="O78" s="36" t="str">
        <f>IF(SEFAZ!B60="","",SEFAZ!B60)</f>
        <v/>
      </c>
    </row>
    <row r="79" spans="2:15" x14ac:dyDescent="0.3">
      <c r="B79" t="str">
        <f>IF(SEFAZ!A61="","",SEFAZ!A61)</f>
        <v/>
      </c>
      <c r="C79" t="str">
        <f>IF(SEFAZ!C61="","",SEFAZ!C61)</f>
        <v/>
      </c>
      <c r="D79" t="str">
        <f>IF(SEFAZ!D61="","",SEFAZ!D61)</f>
        <v/>
      </c>
      <c r="E79" s="7" t="str">
        <f>IF(SEFAZ!E61="","",SEFAZ!E61)</f>
        <v/>
      </c>
      <c r="F79" s="6" t="str">
        <f>IF(SEFAZ!F61="","",VALUE(SUBSTITUTE(SEFAZ!F61,"'","")))</f>
        <v/>
      </c>
      <c r="G79" t="str">
        <f>IF(SEFAZ!H61="","",SEFAZ!H61)</f>
        <v/>
      </c>
      <c r="H79" t="str">
        <f>IF(SEFAZ!L61="","",SEFAZ!L61)</f>
        <v/>
      </c>
      <c r="I79" t="str">
        <f>IF(SEFAZ!N61="","",SEFAZ!N61)</f>
        <v/>
      </c>
      <c r="J79" t="str">
        <f>IF(SEFAZ!O61="","",SEFAZ!O61)</f>
        <v/>
      </c>
      <c r="K79" s="11" t="str">
        <f>IF(SEFAZ!P61="","",SEFAZ!P61)</f>
        <v/>
      </c>
      <c r="L79" t="str" cm="1">
        <f t="array" aca="1" ref="L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" t="s">
        <v>35</v>
      </c>
      <c r="O79" s="36" t="str">
        <f>IF(SEFAZ!B61="","",SEFAZ!B61)</f>
        <v/>
      </c>
    </row>
    <row r="80" spans="2:15" x14ac:dyDescent="0.3">
      <c r="B80" t="str">
        <f>IF(SEFAZ!A62="","",SEFAZ!A62)</f>
        <v/>
      </c>
      <c r="C80" t="str">
        <f>IF(SEFAZ!C62="","",SEFAZ!C62)</f>
        <v/>
      </c>
      <c r="D80" t="str">
        <f>IF(SEFAZ!D62="","",SEFAZ!D62)</f>
        <v/>
      </c>
      <c r="E80" s="7" t="str">
        <f>IF(SEFAZ!E62="","",SEFAZ!E62)</f>
        <v/>
      </c>
      <c r="F80" s="6" t="str">
        <f>IF(SEFAZ!F62="","",VALUE(SUBSTITUTE(SEFAZ!F62,"'","")))</f>
        <v/>
      </c>
      <c r="G80" t="str">
        <f>IF(SEFAZ!H62="","",SEFAZ!H62)</f>
        <v/>
      </c>
      <c r="H80" t="str">
        <f>IF(SEFAZ!L62="","",SEFAZ!L62)</f>
        <v/>
      </c>
      <c r="I80" t="str">
        <f>IF(SEFAZ!N62="","",SEFAZ!N62)</f>
        <v/>
      </c>
      <c r="J80" t="str">
        <f>IF(SEFAZ!O62="","",SEFAZ!O62)</f>
        <v/>
      </c>
      <c r="K80" s="11" t="str">
        <f>IF(SEFAZ!P62="","",SEFAZ!P62)</f>
        <v/>
      </c>
      <c r="L80" t="str" cm="1">
        <f t="array" aca="1" ref="L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" t="s">
        <v>35</v>
      </c>
      <c r="O80" s="36" t="str">
        <f>IF(SEFAZ!B62="","",SEFAZ!B62)</f>
        <v/>
      </c>
    </row>
    <row r="81" spans="2:15" x14ac:dyDescent="0.3">
      <c r="B81" t="str">
        <f>IF(SEFAZ!A63="","",SEFAZ!A63)</f>
        <v/>
      </c>
      <c r="C81" t="str">
        <f>IF(SEFAZ!C63="","",SEFAZ!C63)</f>
        <v/>
      </c>
      <c r="D81" t="str">
        <f>IF(SEFAZ!D63="","",SEFAZ!D63)</f>
        <v/>
      </c>
      <c r="E81" s="7" t="str">
        <f>IF(SEFAZ!E63="","",SEFAZ!E63)</f>
        <v/>
      </c>
      <c r="F81" s="6" t="str">
        <f>IF(SEFAZ!F63="","",VALUE(SUBSTITUTE(SEFAZ!F63,"'","")))</f>
        <v/>
      </c>
      <c r="G81" t="str">
        <f>IF(SEFAZ!H63="","",SEFAZ!H63)</f>
        <v/>
      </c>
      <c r="H81" t="str">
        <f>IF(SEFAZ!L63="","",SEFAZ!L63)</f>
        <v/>
      </c>
      <c r="I81" t="str">
        <f>IF(SEFAZ!N63="","",SEFAZ!N63)</f>
        <v/>
      </c>
      <c r="J81" t="str">
        <f>IF(SEFAZ!O63="","",SEFAZ!O63)</f>
        <v/>
      </c>
      <c r="K81" s="11" t="str">
        <f>IF(SEFAZ!P63="","",SEFAZ!P63)</f>
        <v/>
      </c>
      <c r="L81" t="str" cm="1">
        <f t="array" aca="1" ref="L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" t="s">
        <v>35</v>
      </c>
      <c r="O81" s="36" t="str">
        <f>IF(SEFAZ!B63="","",SEFAZ!B63)</f>
        <v/>
      </c>
    </row>
    <row r="82" spans="2:15" x14ac:dyDescent="0.3">
      <c r="B82" t="str">
        <f>IF(SEFAZ!A64="","",SEFAZ!A64)</f>
        <v/>
      </c>
      <c r="C82" t="str">
        <f>IF(SEFAZ!C64="","",SEFAZ!C64)</f>
        <v/>
      </c>
      <c r="D82" t="str">
        <f>IF(SEFAZ!D64="","",SEFAZ!D64)</f>
        <v/>
      </c>
      <c r="E82" s="7" t="str">
        <f>IF(SEFAZ!E64="","",SEFAZ!E64)</f>
        <v/>
      </c>
      <c r="F82" s="6" t="str">
        <f>IF(SEFAZ!F64="","",VALUE(SUBSTITUTE(SEFAZ!F64,"'","")))</f>
        <v/>
      </c>
      <c r="G82" t="str">
        <f>IF(SEFAZ!H64="","",SEFAZ!H64)</f>
        <v/>
      </c>
      <c r="H82" t="str">
        <f>IF(SEFAZ!L64="","",SEFAZ!L64)</f>
        <v/>
      </c>
      <c r="I82" t="str">
        <f>IF(SEFAZ!N64="","",SEFAZ!N64)</f>
        <v/>
      </c>
      <c r="J82" t="str">
        <f>IF(SEFAZ!O64="","",SEFAZ!O64)</f>
        <v/>
      </c>
      <c r="K82" s="11" t="str">
        <f>IF(SEFAZ!P64="","",SEFAZ!P64)</f>
        <v/>
      </c>
      <c r="L82" t="str" cm="1">
        <f t="array" aca="1" ref="L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" t="s">
        <v>35</v>
      </c>
      <c r="O82" s="36" t="str">
        <f>IF(SEFAZ!B64="","",SEFAZ!B64)</f>
        <v/>
      </c>
    </row>
    <row r="83" spans="2:15" x14ac:dyDescent="0.3">
      <c r="B83" t="str">
        <f>IF(SEFAZ!A65="","",SEFAZ!A65)</f>
        <v/>
      </c>
      <c r="C83" t="str">
        <f>IF(SEFAZ!C65="","",SEFAZ!C65)</f>
        <v/>
      </c>
      <c r="D83" t="str">
        <f>IF(SEFAZ!D65="","",SEFAZ!D65)</f>
        <v/>
      </c>
      <c r="E83" s="7" t="str">
        <f>IF(SEFAZ!E65="","",SEFAZ!E65)</f>
        <v/>
      </c>
      <c r="F83" s="6" t="str">
        <f>IF(SEFAZ!F65="","",VALUE(SUBSTITUTE(SEFAZ!F65,"'","")))</f>
        <v/>
      </c>
      <c r="G83" t="str">
        <f>IF(SEFAZ!H65="","",SEFAZ!H65)</f>
        <v/>
      </c>
      <c r="H83" t="str">
        <f>IF(SEFAZ!L65="","",SEFAZ!L65)</f>
        <v/>
      </c>
      <c r="I83" t="str">
        <f>IF(SEFAZ!N65="","",SEFAZ!N65)</f>
        <v/>
      </c>
      <c r="J83" t="str">
        <f>IF(SEFAZ!O65="","",SEFAZ!O65)</f>
        <v/>
      </c>
      <c r="K83" s="11" t="str">
        <f>IF(SEFAZ!P65="","",SEFAZ!P65)</f>
        <v/>
      </c>
      <c r="L83" t="str" cm="1">
        <f t="array" aca="1" ref="L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" t="s">
        <v>35</v>
      </c>
      <c r="O83" s="36" t="str">
        <f>IF(SEFAZ!B65="","",SEFAZ!B65)</f>
        <v/>
      </c>
    </row>
    <row r="84" spans="2:15" x14ac:dyDescent="0.3">
      <c r="B84" t="str">
        <f>IF(SEFAZ!A66="","",SEFAZ!A66)</f>
        <v/>
      </c>
      <c r="C84" t="str">
        <f>IF(SEFAZ!C66="","",SEFAZ!C66)</f>
        <v/>
      </c>
      <c r="D84" t="str">
        <f>IF(SEFAZ!D66="","",SEFAZ!D66)</f>
        <v/>
      </c>
      <c r="E84" s="7" t="str">
        <f>IF(SEFAZ!E66="","",SEFAZ!E66)</f>
        <v/>
      </c>
      <c r="F84" s="6" t="str">
        <f>IF(SEFAZ!F66="","",VALUE(SUBSTITUTE(SEFAZ!F66,"'","")))</f>
        <v/>
      </c>
      <c r="G84" t="str">
        <f>IF(SEFAZ!H66="","",SEFAZ!H66)</f>
        <v/>
      </c>
      <c r="H84" t="str">
        <f>IF(SEFAZ!L66="","",SEFAZ!L66)</f>
        <v/>
      </c>
      <c r="I84" t="str">
        <f>IF(SEFAZ!N66="","",SEFAZ!N66)</f>
        <v/>
      </c>
      <c r="J84" t="str">
        <f>IF(SEFAZ!O66="","",SEFAZ!O66)</f>
        <v/>
      </c>
      <c r="K84" s="11" t="str">
        <f>IF(SEFAZ!P66="","",SEFAZ!P66)</f>
        <v/>
      </c>
      <c r="L84" t="str" cm="1">
        <f t="array" aca="1" ref="L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" t="s">
        <v>35</v>
      </c>
      <c r="O84" s="36" t="str">
        <f>IF(SEFAZ!B66="","",SEFAZ!B66)</f>
        <v/>
      </c>
    </row>
    <row r="85" spans="2:15" x14ac:dyDescent="0.3">
      <c r="B85" t="str">
        <f>IF(SEFAZ!A67="","",SEFAZ!A67)</f>
        <v/>
      </c>
      <c r="C85" t="str">
        <f>IF(SEFAZ!C67="","",SEFAZ!C67)</f>
        <v/>
      </c>
      <c r="D85" t="str">
        <f>IF(SEFAZ!D67="","",SEFAZ!D67)</f>
        <v/>
      </c>
      <c r="E85" s="7" t="str">
        <f>IF(SEFAZ!E67="","",SEFAZ!E67)</f>
        <v/>
      </c>
      <c r="F85" s="6" t="str">
        <f>IF(SEFAZ!F67="","",VALUE(SUBSTITUTE(SEFAZ!F67,"'","")))</f>
        <v/>
      </c>
      <c r="G85" t="str">
        <f>IF(SEFAZ!H67="","",SEFAZ!H67)</f>
        <v/>
      </c>
      <c r="H85" t="str">
        <f>IF(SEFAZ!L67="","",SEFAZ!L67)</f>
        <v/>
      </c>
      <c r="I85" t="str">
        <f>IF(SEFAZ!N67="","",SEFAZ!N67)</f>
        <v/>
      </c>
      <c r="J85" t="str">
        <f>IF(SEFAZ!O67="","",SEFAZ!O67)</f>
        <v/>
      </c>
      <c r="K85" s="11" t="str">
        <f>IF(SEFAZ!P67="","",SEFAZ!P67)</f>
        <v/>
      </c>
      <c r="L85" t="str" cm="1">
        <f t="array" aca="1" ref="L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" t="s">
        <v>35</v>
      </c>
      <c r="O85" s="36" t="str">
        <f>IF(SEFAZ!B67="","",SEFAZ!B67)</f>
        <v/>
      </c>
    </row>
    <row r="86" spans="2:15" x14ac:dyDescent="0.3">
      <c r="B86" t="str">
        <f>IF(SEFAZ!A68="","",SEFAZ!A68)</f>
        <v/>
      </c>
      <c r="C86" t="str">
        <f>IF(SEFAZ!C68="","",SEFAZ!C68)</f>
        <v/>
      </c>
      <c r="D86" t="str">
        <f>IF(SEFAZ!D68="","",SEFAZ!D68)</f>
        <v/>
      </c>
      <c r="E86" s="7" t="str">
        <f>IF(SEFAZ!E68="","",SEFAZ!E68)</f>
        <v/>
      </c>
      <c r="F86" s="6" t="str">
        <f>IF(SEFAZ!F68="","",VALUE(SUBSTITUTE(SEFAZ!F68,"'","")))</f>
        <v/>
      </c>
      <c r="G86" t="str">
        <f>IF(SEFAZ!H68="","",SEFAZ!H68)</f>
        <v/>
      </c>
      <c r="H86" t="str">
        <f>IF(SEFAZ!L68="","",SEFAZ!L68)</f>
        <v/>
      </c>
      <c r="I86" t="str">
        <f>IF(SEFAZ!N68="","",SEFAZ!N68)</f>
        <v/>
      </c>
      <c r="J86" t="str">
        <f>IF(SEFAZ!O68="","",SEFAZ!O68)</f>
        <v/>
      </c>
      <c r="K86" s="11" t="str">
        <f>IF(SEFAZ!P68="","",SEFAZ!P68)</f>
        <v/>
      </c>
      <c r="L86" t="str" cm="1">
        <f t="array" aca="1" ref="L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" t="s">
        <v>35</v>
      </c>
      <c r="O86" s="36" t="str">
        <f>IF(SEFAZ!B68="","",SEFAZ!B68)</f>
        <v/>
      </c>
    </row>
    <row r="87" spans="2:15" x14ac:dyDescent="0.3">
      <c r="B87" t="str">
        <f>IF(SEFAZ!A69="","",SEFAZ!A69)</f>
        <v/>
      </c>
      <c r="C87" t="str">
        <f>IF(SEFAZ!C69="","",SEFAZ!C69)</f>
        <v/>
      </c>
      <c r="D87" t="str">
        <f>IF(SEFAZ!D69="","",SEFAZ!D69)</f>
        <v/>
      </c>
      <c r="E87" s="7" t="str">
        <f>IF(SEFAZ!E69="","",SEFAZ!E69)</f>
        <v/>
      </c>
      <c r="F87" s="6" t="str">
        <f>IF(SEFAZ!F69="","",VALUE(SUBSTITUTE(SEFAZ!F69,"'","")))</f>
        <v/>
      </c>
      <c r="G87" t="str">
        <f>IF(SEFAZ!H69="","",SEFAZ!H69)</f>
        <v/>
      </c>
      <c r="H87" t="str">
        <f>IF(SEFAZ!L69="","",SEFAZ!L69)</f>
        <v/>
      </c>
      <c r="I87" t="str">
        <f>IF(SEFAZ!N69="","",SEFAZ!N69)</f>
        <v/>
      </c>
      <c r="J87" t="str">
        <f>IF(SEFAZ!O69="","",SEFAZ!O69)</f>
        <v/>
      </c>
      <c r="K87" s="11" t="str">
        <f>IF(SEFAZ!P69="","",SEFAZ!P69)</f>
        <v/>
      </c>
      <c r="L87" t="str" cm="1">
        <f t="array" aca="1" ref="L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" t="s">
        <v>35</v>
      </c>
      <c r="O87" s="36" t="str">
        <f>IF(SEFAZ!B69="","",SEFAZ!B69)</f>
        <v/>
      </c>
    </row>
    <row r="88" spans="2:15" x14ac:dyDescent="0.3">
      <c r="B88" t="str">
        <f>IF(SEFAZ!A70="","",SEFAZ!A70)</f>
        <v/>
      </c>
      <c r="C88" t="str">
        <f>IF(SEFAZ!C70="","",SEFAZ!C70)</f>
        <v/>
      </c>
      <c r="D88" t="str">
        <f>IF(SEFAZ!D70="","",SEFAZ!D70)</f>
        <v/>
      </c>
      <c r="E88" s="7" t="str">
        <f>IF(SEFAZ!E70="","",SEFAZ!E70)</f>
        <v/>
      </c>
      <c r="F88" s="6" t="str">
        <f>IF(SEFAZ!F70="","",VALUE(SUBSTITUTE(SEFAZ!F70,"'","")))</f>
        <v/>
      </c>
      <c r="G88" t="str">
        <f>IF(SEFAZ!H70="","",SEFAZ!H70)</f>
        <v/>
      </c>
      <c r="H88" t="str">
        <f>IF(SEFAZ!L70="","",SEFAZ!L70)</f>
        <v/>
      </c>
      <c r="I88" t="str">
        <f>IF(SEFAZ!N70="","",SEFAZ!N70)</f>
        <v/>
      </c>
      <c r="J88" t="str">
        <f>IF(SEFAZ!O70="","",SEFAZ!O70)</f>
        <v/>
      </c>
      <c r="K88" s="11" t="str">
        <f>IF(SEFAZ!P70="","",SEFAZ!P70)</f>
        <v/>
      </c>
      <c r="L88" t="str" cm="1">
        <f t="array" aca="1" ref="L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" t="s">
        <v>35</v>
      </c>
      <c r="O88" s="36" t="str">
        <f>IF(SEFAZ!B70="","",SEFAZ!B70)</f>
        <v/>
      </c>
    </row>
    <row r="89" spans="2:15" x14ac:dyDescent="0.3">
      <c r="B89" t="str">
        <f>IF(SEFAZ!A71="","",SEFAZ!A71)</f>
        <v/>
      </c>
      <c r="C89" t="str">
        <f>IF(SEFAZ!C71="","",SEFAZ!C71)</f>
        <v/>
      </c>
      <c r="D89" t="str">
        <f>IF(SEFAZ!D71="","",SEFAZ!D71)</f>
        <v/>
      </c>
      <c r="E89" s="7" t="str">
        <f>IF(SEFAZ!E71="","",SEFAZ!E71)</f>
        <v/>
      </c>
      <c r="F89" s="6" t="str">
        <f>IF(SEFAZ!F71="","",VALUE(SUBSTITUTE(SEFAZ!F71,"'","")))</f>
        <v/>
      </c>
      <c r="G89" t="str">
        <f>IF(SEFAZ!H71="","",SEFAZ!H71)</f>
        <v/>
      </c>
      <c r="H89" t="str">
        <f>IF(SEFAZ!L71="","",SEFAZ!L71)</f>
        <v/>
      </c>
      <c r="I89" t="str">
        <f>IF(SEFAZ!N71="","",SEFAZ!N71)</f>
        <v/>
      </c>
      <c r="J89" t="str">
        <f>IF(SEFAZ!O71="","",SEFAZ!O71)</f>
        <v/>
      </c>
      <c r="K89" s="11" t="str">
        <f>IF(SEFAZ!P71="","",SEFAZ!P71)</f>
        <v/>
      </c>
      <c r="L89" t="str" cm="1">
        <f t="array" aca="1" ref="L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" t="s">
        <v>35</v>
      </c>
      <c r="O89" s="36" t="str">
        <f>IF(SEFAZ!B71="","",SEFAZ!B71)</f>
        <v/>
      </c>
    </row>
    <row r="90" spans="2:15" x14ac:dyDescent="0.3">
      <c r="B90" t="str">
        <f>IF(SEFAZ!A72="","",SEFAZ!A72)</f>
        <v/>
      </c>
      <c r="C90" t="str">
        <f>IF(SEFAZ!C72="","",SEFAZ!C72)</f>
        <v/>
      </c>
      <c r="D90" t="str">
        <f>IF(SEFAZ!D72="","",SEFAZ!D72)</f>
        <v/>
      </c>
      <c r="E90" s="7" t="str">
        <f>IF(SEFAZ!E72="","",SEFAZ!E72)</f>
        <v/>
      </c>
      <c r="F90" s="6" t="str">
        <f>IF(SEFAZ!F72="","",VALUE(SUBSTITUTE(SEFAZ!F72,"'","")))</f>
        <v/>
      </c>
      <c r="G90" t="str">
        <f>IF(SEFAZ!H72="","",SEFAZ!H72)</f>
        <v/>
      </c>
      <c r="H90" t="str">
        <f>IF(SEFAZ!L72="","",SEFAZ!L72)</f>
        <v/>
      </c>
      <c r="I90" t="str">
        <f>IF(SEFAZ!N72="","",SEFAZ!N72)</f>
        <v/>
      </c>
      <c r="J90" t="str">
        <f>IF(SEFAZ!O72="","",SEFAZ!O72)</f>
        <v/>
      </c>
      <c r="K90" s="11" t="str">
        <f>IF(SEFAZ!P72="","",SEFAZ!P72)</f>
        <v/>
      </c>
      <c r="L90" t="str" cm="1">
        <f t="array" aca="1" ref="L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" t="s">
        <v>35</v>
      </c>
      <c r="O90" s="36" t="str">
        <f>IF(SEFAZ!B72="","",SEFAZ!B72)</f>
        <v/>
      </c>
    </row>
    <row r="91" spans="2:15" x14ac:dyDescent="0.3">
      <c r="B91" t="str">
        <f>IF(SEFAZ!A73="","",SEFAZ!A73)</f>
        <v/>
      </c>
      <c r="C91" t="str">
        <f>IF(SEFAZ!C73="","",SEFAZ!C73)</f>
        <v/>
      </c>
      <c r="D91" t="str">
        <f>IF(SEFAZ!D73="","",SEFAZ!D73)</f>
        <v/>
      </c>
      <c r="E91" s="7" t="str">
        <f>IF(SEFAZ!E73="","",SEFAZ!E73)</f>
        <v/>
      </c>
      <c r="F91" s="6" t="str">
        <f>IF(SEFAZ!F73="","",VALUE(SUBSTITUTE(SEFAZ!F73,"'","")))</f>
        <v/>
      </c>
      <c r="G91" t="str">
        <f>IF(SEFAZ!H73="","",SEFAZ!H73)</f>
        <v/>
      </c>
      <c r="H91" t="str">
        <f>IF(SEFAZ!L73="","",SEFAZ!L73)</f>
        <v/>
      </c>
      <c r="I91" t="str">
        <f>IF(SEFAZ!N73="","",SEFAZ!N73)</f>
        <v/>
      </c>
      <c r="J91" t="str">
        <f>IF(SEFAZ!O73="","",SEFAZ!O73)</f>
        <v/>
      </c>
      <c r="K91" s="11" t="str">
        <f>IF(SEFAZ!P73="","",SEFAZ!P73)</f>
        <v/>
      </c>
      <c r="L91" t="str" cm="1">
        <f t="array" aca="1" ref="L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" t="s">
        <v>35</v>
      </c>
      <c r="O91" s="36" t="str">
        <f>IF(SEFAZ!B73="","",SEFAZ!B73)</f>
        <v/>
      </c>
    </row>
    <row r="92" spans="2:15" x14ac:dyDescent="0.3">
      <c r="B92" t="str">
        <f>IF(SEFAZ!A74="","",SEFAZ!A74)</f>
        <v/>
      </c>
      <c r="C92" t="str">
        <f>IF(SEFAZ!C74="","",SEFAZ!C74)</f>
        <v/>
      </c>
      <c r="D92" t="str">
        <f>IF(SEFAZ!D74="","",SEFAZ!D74)</f>
        <v/>
      </c>
      <c r="E92" s="7" t="str">
        <f>IF(SEFAZ!E74="","",SEFAZ!E74)</f>
        <v/>
      </c>
      <c r="F92" s="6" t="str">
        <f>IF(SEFAZ!F74="","",VALUE(SUBSTITUTE(SEFAZ!F74,"'","")))</f>
        <v/>
      </c>
      <c r="G92" t="str">
        <f>IF(SEFAZ!H74="","",SEFAZ!H74)</f>
        <v/>
      </c>
      <c r="H92" t="str">
        <f>IF(SEFAZ!L74="","",SEFAZ!L74)</f>
        <v/>
      </c>
      <c r="I92" t="str">
        <f>IF(SEFAZ!N74="","",SEFAZ!N74)</f>
        <v/>
      </c>
      <c r="J92" t="str">
        <f>IF(SEFAZ!O74="","",SEFAZ!O74)</f>
        <v/>
      </c>
      <c r="K92" s="11" t="str">
        <f>IF(SEFAZ!P74="","",SEFAZ!P74)</f>
        <v/>
      </c>
      <c r="L92" t="str" cm="1">
        <f t="array" aca="1" ref="L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" t="s">
        <v>35</v>
      </c>
      <c r="O92" s="36" t="str">
        <f>IF(SEFAZ!B74="","",SEFAZ!B74)</f>
        <v/>
      </c>
    </row>
    <row r="93" spans="2:15" x14ac:dyDescent="0.3">
      <c r="B93" t="str">
        <f>IF(SEFAZ!A75="","",SEFAZ!A75)</f>
        <v/>
      </c>
      <c r="C93" t="str">
        <f>IF(SEFAZ!C75="","",SEFAZ!C75)</f>
        <v/>
      </c>
      <c r="D93" t="str">
        <f>IF(SEFAZ!D75="","",SEFAZ!D75)</f>
        <v/>
      </c>
      <c r="E93" s="7" t="str">
        <f>IF(SEFAZ!E75="","",SEFAZ!E75)</f>
        <v/>
      </c>
      <c r="F93" s="6" t="str">
        <f>IF(SEFAZ!F75="","",VALUE(SUBSTITUTE(SEFAZ!F75,"'","")))</f>
        <v/>
      </c>
      <c r="G93" t="str">
        <f>IF(SEFAZ!H75="","",SEFAZ!H75)</f>
        <v/>
      </c>
      <c r="H93" t="str">
        <f>IF(SEFAZ!L75="","",SEFAZ!L75)</f>
        <v/>
      </c>
      <c r="I93" t="str">
        <f>IF(SEFAZ!N75="","",SEFAZ!N75)</f>
        <v/>
      </c>
      <c r="J93" t="str">
        <f>IF(SEFAZ!O75="","",SEFAZ!O75)</f>
        <v/>
      </c>
      <c r="K93" s="11" t="str">
        <f>IF(SEFAZ!P75="","",SEFAZ!P75)</f>
        <v/>
      </c>
      <c r="L93" t="str" cm="1">
        <f t="array" aca="1" ref="L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" t="s">
        <v>35</v>
      </c>
      <c r="O93" s="36" t="str">
        <f>IF(SEFAZ!B75="","",SEFAZ!B75)</f>
        <v/>
      </c>
    </row>
    <row r="94" spans="2:15" x14ac:dyDescent="0.3">
      <c r="B94" t="str">
        <f>IF(SEFAZ!A76="","",SEFAZ!A76)</f>
        <v/>
      </c>
      <c r="C94" t="str">
        <f>IF(SEFAZ!C76="","",SEFAZ!C76)</f>
        <v/>
      </c>
      <c r="D94" t="str">
        <f>IF(SEFAZ!D76="","",SEFAZ!D76)</f>
        <v/>
      </c>
      <c r="E94" s="7" t="str">
        <f>IF(SEFAZ!E76="","",SEFAZ!E76)</f>
        <v/>
      </c>
      <c r="F94" s="6" t="str">
        <f>IF(SEFAZ!F76="","",VALUE(SUBSTITUTE(SEFAZ!F76,"'","")))</f>
        <v/>
      </c>
      <c r="G94" t="str">
        <f>IF(SEFAZ!H76="","",SEFAZ!H76)</f>
        <v/>
      </c>
      <c r="H94" t="str">
        <f>IF(SEFAZ!L76="","",SEFAZ!L76)</f>
        <v/>
      </c>
      <c r="I94" t="str">
        <f>IF(SEFAZ!N76="","",SEFAZ!N76)</f>
        <v/>
      </c>
      <c r="J94" t="str">
        <f>IF(SEFAZ!O76="","",SEFAZ!O76)</f>
        <v/>
      </c>
      <c r="K94" s="11" t="str">
        <f>IF(SEFAZ!P76="","",SEFAZ!P76)</f>
        <v/>
      </c>
      <c r="L94" t="str" cm="1">
        <f t="array" aca="1" ref="L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" t="s">
        <v>35</v>
      </c>
      <c r="O94" s="36" t="str">
        <f>IF(SEFAZ!B76="","",SEFAZ!B76)</f>
        <v/>
      </c>
    </row>
    <row r="95" spans="2:15" x14ac:dyDescent="0.3">
      <c r="B95" t="str">
        <f>IF(SEFAZ!A77="","",SEFAZ!A77)</f>
        <v/>
      </c>
      <c r="C95" t="str">
        <f>IF(SEFAZ!C77="","",SEFAZ!C77)</f>
        <v/>
      </c>
      <c r="D95" t="str">
        <f>IF(SEFAZ!D77="","",SEFAZ!D77)</f>
        <v/>
      </c>
      <c r="E95" s="7" t="str">
        <f>IF(SEFAZ!E77="","",SEFAZ!E77)</f>
        <v/>
      </c>
      <c r="F95" s="6" t="str">
        <f>IF(SEFAZ!F77="","",VALUE(SUBSTITUTE(SEFAZ!F77,"'","")))</f>
        <v/>
      </c>
      <c r="G95" t="str">
        <f>IF(SEFAZ!H77="","",SEFAZ!H77)</f>
        <v/>
      </c>
      <c r="H95" t="str">
        <f>IF(SEFAZ!L77="","",SEFAZ!L77)</f>
        <v/>
      </c>
      <c r="I95" t="str">
        <f>IF(SEFAZ!N77="","",SEFAZ!N77)</f>
        <v/>
      </c>
      <c r="J95" t="str">
        <f>IF(SEFAZ!O77="","",SEFAZ!O77)</f>
        <v/>
      </c>
      <c r="K95" s="11" t="str">
        <f>IF(SEFAZ!P77="","",SEFAZ!P77)</f>
        <v/>
      </c>
      <c r="L95" t="str" cm="1">
        <f t="array" aca="1" ref="L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" t="s">
        <v>35</v>
      </c>
      <c r="O95" s="36" t="str">
        <f>IF(SEFAZ!B77="","",SEFAZ!B77)</f>
        <v/>
      </c>
    </row>
    <row r="96" spans="2:15" x14ac:dyDescent="0.3">
      <c r="B96" t="str">
        <f>IF(SEFAZ!A78="","",SEFAZ!A78)</f>
        <v/>
      </c>
      <c r="C96" t="str">
        <f>IF(SEFAZ!C78="","",SEFAZ!C78)</f>
        <v/>
      </c>
      <c r="D96" t="str">
        <f>IF(SEFAZ!D78="","",SEFAZ!D78)</f>
        <v/>
      </c>
      <c r="E96" s="7" t="str">
        <f>IF(SEFAZ!E78="","",SEFAZ!E78)</f>
        <v/>
      </c>
      <c r="F96" s="6" t="str">
        <f>IF(SEFAZ!F78="","",VALUE(SUBSTITUTE(SEFAZ!F78,"'","")))</f>
        <v/>
      </c>
      <c r="G96" t="str">
        <f>IF(SEFAZ!H78="","",SEFAZ!H78)</f>
        <v/>
      </c>
      <c r="H96" t="str">
        <f>IF(SEFAZ!L78="","",SEFAZ!L78)</f>
        <v/>
      </c>
      <c r="I96" t="str">
        <f>IF(SEFAZ!N78="","",SEFAZ!N78)</f>
        <v/>
      </c>
      <c r="J96" t="str">
        <f>IF(SEFAZ!O78="","",SEFAZ!O78)</f>
        <v/>
      </c>
      <c r="K96" s="11" t="str">
        <f>IF(SEFAZ!P78="","",SEFAZ!P78)</f>
        <v/>
      </c>
      <c r="L96" t="str" cm="1">
        <f t="array" aca="1" ref="L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" t="s">
        <v>35</v>
      </c>
      <c r="O96" s="36" t="str">
        <f>IF(SEFAZ!B78="","",SEFAZ!B78)</f>
        <v/>
      </c>
    </row>
    <row r="97" spans="2:15" x14ac:dyDescent="0.3">
      <c r="B97" t="str">
        <f>IF(SEFAZ!A79="","",SEFAZ!A79)</f>
        <v/>
      </c>
      <c r="C97" t="str">
        <f>IF(SEFAZ!C79="","",SEFAZ!C79)</f>
        <v/>
      </c>
      <c r="D97" t="str">
        <f>IF(SEFAZ!D79="","",SEFAZ!D79)</f>
        <v/>
      </c>
      <c r="E97" s="7" t="str">
        <f>IF(SEFAZ!E79="","",SEFAZ!E79)</f>
        <v/>
      </c>
      <c r="F97" s="6" t="str">
        <f>IF(SEFAZ!F79="","",VALUE(SUBSTITUTE(SEFAZ!F79,"'","")))</f>
        <v/>
      </c>
      <c r="G97" t="str">
        <f>IF(SEFAZ!H79="","",SEFAZ!H79)</f>
        <v/>
      </c>
      <c r="H97" t="str">
        <f>IF(SEFAZ!L79="","",SEFAZ!L79)</f>
        <v/>
      </c>
      <c r="I97" t="str">
        <f>IF(SEFAZ!N79="","",SEFAZ!N79)</f>
        <v/>
      </c>
      <c r="J97" t="str">
        <f>IF(SEFAZ!O79="","",SEFAZ!O79)</f>
        <v/>
      </c>
      <c r="K97" s="11" t="str">
        <f>IF(SEFAZ!P79="","",SEFAZ!P79)</f>
        <v/>
      </c>
      <c r="L97" t="str" cm="1">
        <f t="array" aca="1" ref="L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" t="s">
        <v>35</v>
      </c>
      <c r="O97" s="36" t="str">
        <f>IF(SEFAZ!B79="","",SEFAZ!B79)</f>
        <v/>
      </c>
    </row>
    <row r="98" spans="2:15" x14ac:dyDescent="0.3">
      <c r="B98" t="str">
        <f>IF(SEFAZ!A80="","",SEFAZ!A80)</f>
        <v/>
      </c>
      <c r="C98" t="str">
        <f>IF(SEFAZ!C80="","",SEFAZ!C80)</f>
        <v/>
      </c>
      <c r="D98" t="str">
        <f>IF(SEFAZ!D80="","",SEFAZ!D80)</f>
        <v/>
      </c>
      <c r="E98" s="7" t="str">
        <f>IF(SEFAZ!E80="","",SEFAZ!E80)</f>
        <v/>
      </c>
      <c r="F98" s="6" t="str">
        <f>IF(SEFAZ!F80="","",VALUE(SUBSTITUTE(SEFAZ!F80,"'","")))</f>
        <v/>
      </c>
      <c r="G98" t="str">
        <f>IF(SEFAZ!H80="","",SEFAZ!H80)</f>
        <v/>
      </c>
      <c r="H98" t="str">
        <f>IF(SEFAZ!L80="","",SEFAZ!L80)</f>
        <v/>
      </c>
      <c r="I98" t="str">
        <f>IF(SEFAZ!N80="","",SEFAZ!N80)</f>
        <v/>
      </c>
      <c r="J98" t="str">
        <f>IF(SEFAZ!O80="","",SEFAZ!O80)</f>
        <v/>
      </c>
      <c r="K98" s="11" t="str">
        <f>IF(SEFAZ!P80="","",SEFAZ!P80)</f>
        <v/>
      </c>
      <c r="L98" t="str" cm="1">
        <f t="array" aca="1" ref="L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" t="s">
        <v>35</v>
      </c>
      <c r="O98" s="36" t="str">
        <f>IF(SEFAZ!B80="","",SEFAZ!B80)</f>
        <v/>
      </c>
    </row>
    <row r="99" spans="2:15" x14ac:dyDescent="0.3">
      <c r="B99" t="str">
        <f>IF(SEFAZ!A81="","",SEFAZ!A81)</f>
        <v/>
      </c>
      <c r="C99" t="str">
        <f>IF(SEFAZ!C81="","",SEFAZ!C81)</f>
        <v/>
      </c>
      <c r="D99" t="str">
        <f>IF(SEFAZ!D81="","",SEFAZ!D81)</f>
        <v/>
      </c>
      <c r="E99" s="7" t="str">
        <f>IF(SEFAZ!E81="","",SEFAZ!E81)</f>
        <v/>
      </c>
      <c r="F99" s="6" t="str">
        <f>IF(SEFAZ!F81="","",VALUE(SUBSTITUTE(SEFAZ!F81,"'","")))</f>
        <v/>
      </c>
      <c r="G99" t="str">
        <f>IF(SEFAZ!H81="","",SEFAZ!H81)</f>
        <v/>
      </c>
      <c r="H99" t="str">
        <f>IF(SEFAZ!L81="","",SEFAZ!L81)</f>
        <v/>
      </c>
      <c r="I99" t="str">
        <f>IF(SEFAZ!N81="","",SEFAZ!N81)</f>
        <v/>
      </c>
      <c r="J99" t="str">
        <f>IF(SEFAZ!O81="","",SEFAZ!O81)</f>
        <v/>
      </c>
      <c r="K99" s="11" t="str">
        <f>IF(SEFAZ!P81="","",SEFAZ!P81)</f>
        <v/>
      </c>
      <c r="L99" t="str" cm="1">
        <f t="array" aca="1" ref="L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" t="s">
        <v>35</v>
      </c>
      <c r="O99" s="36" t="str">
        <f>IF(SEFAZ!B81="","",SEFAZ!B81)</f>
        <v/>
      </c>
    </row>
    <row r="100" spans="2:15" x14ac:dyDescent="0.3">
      <c r="B100" t="str">
        <f>IF(SEFAZ!A82="","",SEFAZ!A82)</f>
        <v/>
      </c>
      <c r="C100" t="str">
        <f>IF(SEFAZ!C82="","",SEFAZ!C82)</f>
        <v/>
      </c>
      <c r="D100" t="str">
        <f>IF(SEFAZ!D82="","",SEFAZ!D82)</f>
        <v/>
      </c>
      <c r="E100" s="7" t="str">
        <f>IF(SEFAZ!E82="","",SEFAZ!E82)</f>
        <v/>
      </c>
      <c r="F100" s="6" t="str">
        <f>IF(SEFAZ!F82="","",VALUE(SUBSTITUTE(SEFAZ!F82,"'","")))</f>
        <v/>
      </c>
      <c r="G100" t="str">
        <f>IF(SEFAZ!H82="","",SEFAZ!H82)</f>
        <v/>
      </c>
      <c r="H100" t="str">
        <f>IF(SEFAZ!L82="","",SEFAZ!L82)</f>
        <v/>
      </c>
      <c r="I100" t="str">
        <f>IF(SEFAZ!N82="","",SEFAZ!N82)</f>
        <v/>
      </c>
      <c r="J100" t="str">
        <f>IF(SEFAZ!O82="","",SEFAZ!O82)</f>
        <v/>
      </c>
      <c r="K100" s="11" t="str">
        <f>IF(SEFAZ!P82="","",SEFAZ!P82)</f>
        <v/>
      </c>
      <c r="L100" t="str" cm="1">
        <f t="array" aca="1" ref="L1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" t="s">
        <v>35</v>
      </c>
      <c r="O100" s="36" t="str">
        <f>IF(SEFAZ!B82="","",SEFAZ!B82)</f>
        <v/>
      </c>
    </row>
    <row r="101" spans="2:15" x14ac:dyDescent="0.3">
      <c r="B101" t="str">
        <f>IF(SEFAZ!A83="","",SEFAZ!A83)</f>
        <v/>
      </c>
      <c r="C101" t="str">
        <f>IF(SEFAZ!C83="","",SEFAZ!C83)</f>
        <v/>
      </c>
      <c r="D101" t="str">
        <f>IF(SEFAZ!D83="","",SEFAZ!D83)</f>
        <v/>
      </c>
      <c r="E101" s="7" t="str">
        <f>IF(SEFAZ!E83="","",SEFAZ!E83)</f>
        <v/>
      </c>
      <c r="F101" s="6" t="str">
        <f>IF(SEFAZ!F83="","",VALUE(SUBSTITUTE(SEFAZ!F83,"'","")))</f>
        <v/>
      </c>
      <c r="G101" t="str">
        <f>IF(SEFAZ!H83="","",SEFAZ!H83)</f>
        <v/>
      </c>
      <c r="H101" t="str">
        <f>IF(SEFAZ!L83="","",SEFAZ!L83)</f>
        <v/>
      </c>
      <c r="I101" t="str">
        <f>IF(SEFAZ!N83="","",SEFAZ!N83)</f>
        <v/>
      </c>
      <c r="J101" t="str">
        <f>IF(SEFAZ!O83="","",SEFAZ!O83)</f>
        <v/>
      </c>
      <c r="K101" s="11" t="str">
        <f>IF(SEFAZ!P83="","",SEFAZ!P83)</f>
        <v/>
      </c>
      <c r="L101" t="str" cm="1">
        <f t="array" aca="1" ref="L1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" t="s">
        <v>35</v>
      </c>
      <c r="O101" s="36" t="str">
        <f>IF(SEFAZ!B83="","",SEFAZ!B83)</f>
        <v/>
      </c>
    </row>
    <row r="102" spans="2:15" x14ac:dyDescent="0.3">
      <c r="B102" t="str">
        <f>IF(SEFAZ!A84="","",SEFAZ!A84)</f>
        <v/>
      </c>
      <c r="C102" t="str">
        <f>IF(SEFAZ!C84="","",SEFAZ!C84)</f>
        <v/>
      </c>
      <c r="D102" t="str">
        <f>IF(SEFAZ!D84="","",SEFAZ!D84)</f>
        <v/>
      </c>
      <c r="E102" s="7" t="str">
        <f>IF(SEFAZ!E84="","",SEFAZ!E84)</f>
        <v/>
      </c>
      <c r="F102" s="6" t="str">
        <f>IF(SEFAZ!F84="","",VALUE(SUBSTITUTE(SEFAZ!F84,"'","")))</f>
        <v/>
      </c>
      <c r="G102" t="str">
        <f>IF(SEFAZ!H84="","",SEFAZ!H84)</f>
        <v/>
      </c>
      <c r="H102" t="str">
        <f>IF(SEFAZ!L84="","",SEFAZ!L84)</f>
        <v/>
      </c>
      <c r="I102" t="str">
        <f>IF(SEFAZ!N84="","",SEFAZ!N84)</f>
        <v/>
      </c>
      <c r="J102" t="str">
        <f>IF(SEFAZ!O84="","",SEFAZ!O84)</f>
        <v/>
      </c>
      <c r="K102" s="11" t="str">
        <f>IF(SEFAZ!P84="","",SEFAZ!P84)</f>
        <v/>
      </c>
      <c r="L102" t="str" cm="1">
        <f t="array" aca="1" ref="L1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" t="s">
        <v>35</v>
      </c>
      <c r="O102" s="36" t="str">
        <f>IF(SEFAZ!B84="","",SEFAZ!B84)</f>
        <v/>
      </c>
    </row>
    <row r="103" spans="2:15" x14ac:dyDescent="0.3">
      <c r="B103" t="str">
        <f>IF(SEFAZ!A85="","",SEFAZ!A85)</f>
        <v/>
      </c>
      <c r="C103" t="str">
        <f>IF(SEFAZ!C85="","",SEFAZ!C85)</f>
        <v/>
      </c>
      <c r="D103" t="str">
        <f>IF(SEFAZ!D85="","",SEFAZ!D85)</f>
        <v/>
      </c>
      <c r="E103" s="7" t="str">
        <f>IF(SEFAZ!E85="","",SEFAZ!E85)</f>
        <v/>
      </c>
      <c r="F103" s="6" t="str">
        <f>IF(SEFAZ!F85="","",VALUE(SUBSTITUTE(SEFAZ!F85,"'","")))</f>
        <v/>
      </c>
      <c r="G103" t="str">
        <f>IF(SEFAZ!H85="","",SEFAZ!H85)</f>
        <v/>
      </c>
      <c r="H103" t="str">
        <f>IF(SEFAZ!L85="","",SEFAZ!L85)</f>
        <v/>
      </c>
      <c r="I103" t="str">
        <f>IF(SEFAZ!N85="","",SEFAZ!N85)</f>
        <v/>
      </c>
      <c r="J103" t="str">
        <f>IF(SEFAZ!O85="","",SEFAZ!O85)</f>
        <v/>
      </c>
      <c r="K103" s="11" t="str">
        <f>IF(SEFAZ!P85="","",SEFAZ!P85)</f>
        <v/>
      </c>
      <c r="L103" t="str" cm="1">
        <f t="array" aca="1" ref="L1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" t="s">
        <v>35</v>
      </c>
      <c r="O103" s="36" t="str">
        <f>IF(SEFAZ!B85="","",SEFAZ!B85)</f>
        <v/>
      </c>
    </row>
    <row r="104" spans="2:15" x14ac:dyDescent="0.3">
      <c r="B104" t="str">
        <f>IF(SEFAZ!A86="","",SEFAZ!A86)</f>
        <v/>
      </c>
      <c r="C104" t="str">
        <f>IF(SEFAZ!C86="","",SEFAZ!C86)</f>
        <v/>
      </c>
      <c r="D104" t="str">
        <f>IF(SEFAZ!D86="","",SEFAZ!D86)</f>
        <v/>
      </c>
      <c r="E104" s="7" t="str">
        <f>IF(SEFAZ!E86="","",SEFAZ!E86)</f>
        <v/>
      </c>
      <c r="F104" s="6" t="str">
        <f>IF(SEFAZ!F86="","",VALUE(SUBSTITUTE(SEFAZ!F86,"'","")))</f>
        <v/>
      </c>
      <c r="G104" t="str">
        <f>IF(SEFAZ!H86="","",SEFAZ!H86)</f>
        <v/>
      </c>
      <c r="H104" t="str">
        <f>IF(SEFAZ!L86="","",SEFAZ!L86)</f>
        <v/>
      </c>
      <c r="I104" t="str">
        <f>IF(SEFAZ!N86="","",SEFAZ!N86)</f>
        <v/>
      </c>
      <c r="J104" t="str">
        <f>IF(SEFAZ!O86="","",SEFAZ!O86)</f>
        <v/>
      </c>
      <c r="K104" s="11" t="str">
        <f>IF(SEFAZ!P86="","",SEFAZ!P86)</f>
        <v/>
      </c>
      <c r="L104" t="str" cm="1">
        <f t="array" aca="1" ref="L1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" t="s">
        <v>35</v>
      </c>
      <c r="O104" s="36" t="str">
        <f>IF(SEFAZ!B86="","",SEFAZ!B86)</f>
        <v/>
      </c>
    </row>
    <row r="105" spans="2:15" x14ac:dyDescent="0.3">
      <c r="B105" t="str">
        <f>IF(SEFAZ!A87="","",SEFAZ!A87)</f>
        <v/>
      </c>
      <c r="C105" t="str">
        <f>IF(SEFAZ!C87="","",SEFAZ!C87)</f>
        <v/>
      </c>
      <c r="D105" t="str">
        <f>IF(SEFAZ!D87="","",SEFAZ!D87)</f>
        <v/>
      </c>
      <c r="E105" s="7" t="str">
        <f>IF(SEFAZ!E87="","",SEFAZ!E87)</f>
        <v/>
      </c>
      <c r="F105" s="6" t="str">
        <f>IF(SEFAZ!F87="","",VALUE(SUBSTITUTE(SEFAZ!F87,"'","")))</f>
        <v/>
      </c>
      <c r="G105" t="str">
        <f>IF(SEFAZ!H87="","",SEFAZ!H87)</f>
        <v/>
      </c>
      <c r="H105" t="str">
        <f>IF(SEFAZ!L87="","",SEFAZ!L87)</f>
        <v/>
      </c>
      <c r="I105" t="str">
        <f>IF(SEFAZ!N87="","",SEFAZ!N87)</f>
        <v/>
      </c>
      <c r="J105" t="str">
        <f>IF(SEFAZ!O87="","",SEFAZ!O87)</f>
        <v/>
      </c>
      <c r="K105" s="11" t="str">
        <f>IF(SEFAZ!P87="","",SEFAZ!P87)</f>
        <v/>
      </c>
      <c r="L105" t="str" cm="1">
        <f t="array" aca="1" ref="L1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" t="s">
        <v>35</v>
      </c>
      <c r="O105" s="36" t="str">
        <f>IF(SEFAZ!B87="","",SEFAZ!B87)</f>
        <v/>
      </c>
    </row>
    <row r="106" spans="2:15" x14ac:dyDescent="0.3">
      <c r="B106" t="str">
        <f>IF(SEFAZ!A88="","",SEFAZ!A88)</f>
        <v/>
      </c>
      <c r="C106" t="str">
        <f>IF(SEFAZ!C88="","",SEFAZ!C88)</f>
        <v/>
      </c>
      <c r="D106" t="str">
        <f>IF(SEFAZ!D88="","",SEFAZ!D88)</f>
        <v/>
      </c>
      <c r="E106" s="7" t="str">
        <f>IF(SEFAZ!E88="","",SEFAZ!E88)</f>
        <v/>
      </c>
      <c r="F106" s="6" t="str">
        <f>IF(SEFAZ!F88="","",VALUE(SUBSTITUTE(SEFAZ!F88,"'","")))</f>
        <v/>
      </c>
      <c r="G106" t="str">
        <f>IF(SEFAZ!H88="","",SEFAZ!H88)</f>
        <v/>
      </c>
      <c r="H106" t="str">
        <f>IF(SEFAZ!L88="","",SEFAZ!L88)</f>
        <v/>
      </c>
      <c r="I106" t="str">
        <f>IF(SEFAZ!N88="","",SEFAZ!N88)</f>
        <v/>
      </c>
      <c r="J106" t="str">
        <f>IF(SEFAZ!O88="","",SEFAZ!O88)</f>
        <v/>
      </c>
      <c r="K106" s="11" t="str">
        <f>IF(SEFAZ!P88="","",SEFAZ!P88)</f>
        <v/>
      </c>
      <c r="L106" t="str" cm="1">
        <f t="array" aca="1" ref="L1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" t="s">
        <v>35</v>
      </c>
      <c r="O106" s="36" t="str">
        <f>IF(SEFAZ!B88="","",SEFAZ!B88)</f>
        <v/>
      </c>
    </row>
    <row r="107" spans="2:15" x14ac:dyDescent="0.3">
      <c r="B107" t="str">
        <f>IF(SEFAZ!A89="","",SEFAZ!A89)</f>
        <v/>
      </c>
      <c r="C107" t="str">
        <f>IF(SEFAZ!C89="","",SEFAZ!C89)</f>
        <v/>
      </c>
      <c r="D107" t="str">
        <f>IF(SEFAZ!D89="","",SEFAZ!D89)</f>
        <v/>
      </c>
      <c r="E107" s="7" t="str">
        <f>IF(SEFAZ!E89="","",SEFAZ!E89)</f>
        <v/>
      </c>
      <c r="F107" s="6" t="str">
        <f>IF(SEFAZ!F89="","",VALUE(SUBSTITUTE(SEFAZ!F89,"'","")))</f>
        <v/>
      </c>
      <c r="G107" t="str">
        <f>IF(SEFAZ!H89="","",SEFAZ!H89)</f>
        <v/>
      </c>
      <c r="H107" t="str">
        <f>IF(SEFAZ!L89="","",SEFAZ!L89)</f>
        <v/>
      </c>
      <c r="I107" t="str">
        <f>IF(SEFAZ!N89="","",SEFAZ!N89)</f>
        <v/>
      </c>
      <c r="J107" t="str">
        <f>IF(SEFAZ!O89="","",SEFAZ!O89)</f>
        <v/>
      </c>
      <c r="K107" s="11" t="str">
        <f>IF(SEFAZ!P89="","",SEFAZ!P89)</f>
        <v/>
      </c>
      <c r="L107" t="str" cm="1">
        <f t="array" aca="1" ref="L1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" t="s">
        <v>35</v>
      </c>
      <c r="O107" s="36" t="str">
        <f>IF(SEFAZ!B89="","",SEFAZ!B89)</f>
        <v/>
      </c>
    </row>
    <row r="108" spans="2:15" x14ac:dyDescent="0.3">
      <c r="B108" t="str">
        <f>IF(SEFAZ!A90="","",SEFAZ!A90)</f>
        <v/>
      </c>
      <c r="C108" t="str">
        <f>IF(SEFAZ!C90="","",SEFAZ!C90)</f>
        <v/>
      </c>
      <c r="D108" t="str">
        <f>IF(SEFAZ!D90="","",SEFAZ!D90)</f>
        <v/>
      </c>
      <c r="E108" s="7" t="str">
        <f>IF(SEFAZ!E90="","",SEFAZ!E90)</f>
        <v/>
      </c>
      <c r="F108" s="6" t="str">
        <f>IF(SEFAZ!F90="","",VALUE(SUBSTITUTE(SEFAZ!F90,"'","")))</f>
        <v/>
      </c>
      <c r="G108" t="str">
        <f>IF(SEFAZ!H90="","",SEFAZ!H90)</f>
        <v/>
      </c>
      <c r="H108" t="str">
        <f>IF(SEFAZ!L90="","",SEFAZ!L90)</f>
        <v/>
      </c>
      <c r="I108" t="str">
        <f>IF(SEFAZ!N90="","",SEFAZ!N90)</f>
        <v/>
      </c>
      <c r="J108" t="str">
        <f>IF(SEFAZ!O90="","",SEFAZ!O90)</f>
        <v/>
      </c>
      <c r="K108" s="11" t="str">
        <f>IF(SEFAZ!P90="","",SEFAZ!P90)</f>
        <v/>
      </c>
      <c r="L108" t="str" cm="1">
        <f t="array" aca="1" ref="L1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" t="s">
        <v>35</v>
      </c>
      <c r="O108" s="36" t="str">
        <f>IF(SEFAZ!B90="","",SEFAZ!B90)</f>
        <v/>
      </c>
    </row>
    <row r="109" spans="2:15" x14ac:dyDescent="0.3">
      <c r="B109" t="str">
        <f>IF(SEFAZ!A91="","",SEFAZ!A91)</f>
        <v/>
      </c>
      <c r="C109" t="str">
        <f>IF(SEFAZ!C91="","",SEFAZ!C91)</f>
        <v/>
      </c>
      <c r="D109" t="str">
        <f>IF(SEFAZ!D91="","",SEFAZ!D91)</f>
        <v/>
      </c>
      <c r="E109" s="7" t="str">
        <f>IF(SEFAZ!E91="","",SEFAZ!E91)</f>
        <v/>
      </c>
      <c r="F109" s="6" t="str">
        <f>IF(SEFAZ!F91="","",VALUE(SUBSTITUTE(SEFAZ!F91,"'","")))</f>
        <v/>
      </c>
      <c r="G109" t="str">
        <f>IF(SEFAZ!H91="","",SEFAZ!H91)</f>
        <v/>
      </c>
      <c r="H109" t="str">
        <f>IF(SEFAZ!L91="","",SEFAZ!L91)</f>
        <v/>
      </c>
      <c r="I109" t="str">
        <f>IF(SEFAZ!N91="","",SEFAZ!N91)</f>
        <v/>
      </c>
      <c r="J109" t="str">
        <f>IF(SEFAZ!O91="","",SEFAZ!O91)</f>
        <v/>
      </c>
      <c r="K109" s="11" t="str">
        <f>IF(SEFAZ!P91="","",SEFAZ!P91)</f>
        <v/>
      </c>
      <c r="L109" t="str" cm="1">
        <f t="array" aca="1" ref="L1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" t="s">
        <v>35</v>
      </c>
      <c r="O109" s="36" t="str">
        <f>IF(SEFAZ!B91="","",SEFAZ!B91)</f>
        <v/>
      </c>
    </row>
    <row r="110" spans="2:15" x14ac:dyDescent="0.3">
      <c r="B110" t="str">
        <f>IF(SEFAZ!A92="","",SEFAZ!A92)</f>
        <v/>
      </c>
      <c r="C110" t="str">
        <f>IF(SEFAZ!C92="","",SEFAZ!C92)</f>
        <v/>
      </c>
      <c r="D110" t="str">
        <f>IF(SEFAZ!D92="","",SEFAZ!D92)</f>
        <v/>
      </c>
      <c r="E110" s="7" t="str">
        <f>IF(SEFAZ!E92="","",SEFAZ!E92)</f>
        <v/>
      </c>
      <c r="F110" s="6" t="str">
        <f>IF(SEFAZ!F92="","",VALUE(SUBSTITUTE(SEFAZ!F92,"'","")))</f>
        <v/>
      </c>
      <c r="G110" t="str">
        <f>IF(SEFAZ!H92="","",SEFAZ!H92)</f>
        <v/>
      </c>
      <c r="H110" t="str">
        <f>IF(SEFAZ!L92="","",SEFAZ!L92)</f>
        <v/>
      </c>
      <c r="I110" t="str">
        <f>IF(SEFAZ!N92="","",SEFAZ!N92)</f>
        <v/>
      </c>
      <c r="J110" t="str">
        <f>IF(SEFAZ!O92="","",SEFAZ!O92)</f>
        <v/>
      </c>
      <c r="K110" s="11" t="str">
        <f>IF(SEFAZ!P92="","",SEFAZ!P92)</f>
        <v/>
      </c>
      <c r="L110" t="str" cm="1">
        <f t="array" aca="1" ref="L1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" t="s">
        <v>35</v>
      </c>
      <c r="O110" s="36" t="str">
        <f>IF(SEFAZ!B92="","",SEFAZ!B92)</f>
        <v/>
      </c>
    </row>
    <row r="111" spans="2:15" x14ac:dyDescent="0.3">
      <c r="B111" t="str">
        <f>IF(SEFAZ!A93="","",SEFAZ!A93)</f>
        <v/>
      </c>
      <c r="C111" t="str">
        <f>IF(SEFAZ!C93="","",SEFAZ!C93)</f>
        <v/>
      </c>
      <c r="D111" t="str">
        <f>IF(SEFAZ!D93="","",SEFAZ!D93)</f>
        <v/>
      </c>
      <c r="E111" s="7" t="str">
        <f>IF(SEFAZ!E93="","",SEFAZ!E93)</f>
        <v/>
      </c>
      <c r="F111" s="6" t="str">
        <f>IF(SEFAZ!F93="","",VALUE(SUBSTITUTE(SEFAZ!F93,"'","")))</f>
        <v/>
      </c>
      <c r="G111" t="str">
        <f>IF(SEFAZ!H93="","",SEFAZ!H93)</f>
        <v/>
      </c>
      <c r="H111" t="str">
        <f>IF(SEFAZ!L93="","",SEFAZ!L93)</f>
        <v/>
      </c>
      <c r="I111" t="str">
        <f>IF(SEFAZ!N93="","",SEFAZ!N93)</f>
        <v/>
      </c>
      <c r="J111" t="str">
        <f>IF(SEFAZ!O93="","",SEFAZ!O93)</f>
        <v/>
      </c>
      <c r="K111" s="11" t="str">
        <f>IF(SEFAZ!P93="","",SEFAZ!P93)</f>
        <v/>
      </c>
      <c r="L111" t="str" cm="1">
        <f t="array" aca="1" ref="L1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1" t="s">
        <v>35</v>
      </c>
      <c r="O111" s="36" t="str">
        <f>IF(SEFAZ!B93="","",SEFAZ!B93)</f>
        <v/>
      </c>
    </row>
    <row r="112" spans="2:15" x14ac:dyDescent="0.3">
      <c r="B112" t="str">
        <f>IF(SEFAZ!A94="","",SEFAZ!A94)</f>
        <v/>
      </c>
      <c r="C112" t="str">
        <f>IF(SEFAZ!C94="","",SEFAZ!C94)</f>
        <v/>
      </c>
      <c r="D112" t="str">
        <f>IF(SEFAZ!D94="","",SEFAZ!D94)</f>
        <v/>
      </c>
      <c r="E112" s="7" t="str">
        <f>IF(SEFAZ!E94="","",SEFAZ!E94)</f>
        <v/>
      </c>
      <c r="F112" s="6" t="str">
        <f>IF(SEFAZ!F94="","",VALUE(SUBSTITUTE(SEFAZ!F94,"'","")))</f>
        <v/>
      </c>
      <c r="G112" t="str">
        <f>IF(SEFAZ!H94="","",SEFAZ!H94)</f>
        <v/>
      </c>
      <c r="H112" t="str">
        <f>IF(SEFAZ!L94="","",SEFAZ!L94)</f>
        <v/>
      </c>
      <c r="I112" t="str">
        <f>IF(SEFAZ!N94="","",SEFAZ!N94)</f>
        <v/>
      </c>
      <c r="J112" t="str">
        <f>IF(SEFAZ!O94="","",SEFAZ!O94)</f>
        <v/>
      </c>
      <c r="K112" s="11" t="str">
        <f>IF(SEFAZ!P94="","",SEFAZ!P94)</f>
        <v/>
      </c>
      <c r="L112" t="str" cm="1">
        <f t="array" aca="1" ref="L1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2" t="s">
        <v>35</v>
      </c>
      <c r="O112" s="36" t="str">
        <f>IF(SEFAZ!B94="","",SEFAZ!B94)</f>
        <v/>
      </c>
    </row>
    <row r="113" spans="2:15" x14ac:dyDescent="0.3">
      <c r="B113" t="str">
        <f>IF(SEFAZ!A95="","",SEFAZ!A95)</f>
        <v/>
      </c>
      <c r="C113" t="str">
        <f>IF(SEFAZ!C95="","",SEFAZ!C95)</f>
        <v/>
      </c>
      <c r="D113" t="str">
        <f>IF(SEFAZ!D95="","",SEFAZ!D95)</f>
        <v/>
      </c>
      <c r="E113" s="7" t="str">
        <f>IF(SEFAZ!E95="","",SEFAZ!E95)</f>
        <v/>
      </c>
      <c r="F113" s="6" t="str">
        <f>IF(SEFAZ!F95="","",VALUE(SUBSTITUTE(SEFAZ!F95,"'","")))</f>
        <v/>
      </c>
      <c r="G113" t="str">
        <f>IF(SEFAZ!H95="","",SEFAZ!H95)</f>
        <v/>
      </c>
      <c r="H113" t="str">
        <f>IF(SEFAZ!L95="","",SEFAZ!L95)</f>
        <v/>
      </c>
      <c r="I113" t="str">
        <f>IF(SEFAZ!N95="","",SEFAZ!N95)</f>
        <v/>
      </c>
      <c r="J113" t="str">
        <f>IF(SEFAZ!O95="","",SEFAZ!O95)</f>
        <v/>
      </c>
      <c r="K113" s="11" t="str">
        <f>IF(SEFAZ!P95="","",SEFAZ!P95)</f>
        <v/>
      </c>
      <c r="L113" t="str" cm="1">
        <f t="array" aca="1" ref="L1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3" t="s">
        <v>35</v>
      </c>
      <c r="O113" s="36" t="str">
        <f>IF(SEFAZ!B95="","",SEFAZ!B95)</f>
        <v/>
      </c>
    </row>
    <row r="114" spans="2:15" x14ac:dyDescent="0.3">
      <c r="B114" t="str">
        <f>IF(SEFAZ!A96="","",SEFAZ!A96)</f>
        <v/>
      </c>
      <c r="C114" t="str">
        <f>IF(SEFAZ!C96="","",SEFAZ!C96)</f>
        <v/>
      </c>
      <c r="D114" t="str">
        <f>IF(SEFAZ!D96="","",SEFAZ!D96)</f>
        <v/>
      </c>
      <c r="E114" s="7" t="str">
        <f>IF(SEFAZ!E96="","",SEFAZ!E96)</f>
        <v/>
      </c>
      <c r="F114" s="6" t="str">
        <f>IF(SEFAZ!F96="","",VALUE(SUBSTITUTE(SEFAZ!F96,"'","")))</f>
        <v/>
      </c>
      <c r="G114" t="str">
        <f>IF(SEFAZ!H96="","",SEFAZ!H96)</f>
        <v/>
      </c>
      <c r="H114" t="str">
        <f>IF(SEFAZ!L96="","",SEFAZ!L96)</f>
        <v/>
      </c>
      <c r="I114" t="str">
        <f>IF(SEFAZ!N96="","",SEFAZ!N96)</f>
        <v/>
      </c>
      <c r="J114" t="str">
        <f>IF(SEFAZ!O96="","",SEFAZ!O96)</f>
        <v/>
      </c>
      <c r="K114" s="11" t="str">
        <f>IF(SEFAZ!P96="","",SEFAZ!P96)</f>
        <v/>
      </c>
      <c r="L114" t="str" cm="1">
        <f t="array" aca="1" ref="L1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4" t="s">
        <v>35</v>
      </c>
      <c r="O114" s="36" t="str">
        <f>IF(SEFAZ!B96="","",SEFAZ!B96)</f>
        <v/>
      </c>
    </row>
    <row r="115" spans="2:15" x14ac:dyDescent="0.3">
      <c r="B115" t="str">
        <f>IF(SEFAZ!A97="","",SEFAZ!A97)</f>
        <v/>
      </c>
      <c r="C115" t="str">
        <f>IF(SEFAZ!C97="","",SEFAZ!C97)</f>
        <v/>
      </c>
      <c r="D115" t="str">
        <f>IF(SEFAZ!D97="","",SEFAZ!D97)</f>
        <v/>
      </c>
      <c r="E115" s="7" t="str">
        <f>IF(SEFAZ!E97="","",SEFAZ!E97)</f>
        <v/>
      </c>
      <c r="F115" s="6" t="str">
        <f>IF(SEFAZ!F97="","",VALUE(SUBSTITUTE(SEFAZ!F97,"'","")))</f>
        <v/>
      </c>
      <c r="G115" t="str">
        <f>IF(SEFAZ!H97="","",SEFAZ!H97)</f>
        <v/>
      </c>
      <c r="H115" t="str">
        <f>IF(SEFAZ!L97="","",SEFAZ!L97)</f>
        <v/>
      </c>
      <c r="I115" t="str">
        <f>IF(SEFAZ!N97="","",SEFAZ!N97)</f>
        <v/>
      </c>
      <c r="J115" t="str">
        <f>IF(SEFAZ!O97="","",SEFAZ!O97)</f>
        <v/>
      </c>
      <c r="K115" s="11" t="str">
        <f>IF(SEFAZ!P97="","",SEFAZ!P97)</f>
        <v/>
      </c>
      <c r="L115" t="str" cm="1">
        <f t="array" aca="1" ref="L1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5" t="s">
        <v>35</v>
      </c>
      <c r="O115" s="36" t="str">
        <f>IF(SEFAZ!B97="","",SEFAZ!B97)</f>
        <v/>
      </c>
    </row>
    <row r="116" spans="2:15" x14ac:dyDescent="0.3">
      <c r="B116" t="str">
        <f>IF(SEFAZ!A98="","",SEFAZ!A98)</f>
        <v/>
      </c>
      <c r="C116" t="str">
        <f>IF(SEFAZ!C98="","",SEFAZ!C98)</f>
        <v/>
      </c>
      <c r="D116" t="str">
        <f>IF(SEFAZ!D98="","",SEFAZ!D98)</f>
        <v/>
      </c>
      <c r="E116" s="7" t="str">
        <f>IF(SEFAZ!E98="","",SEFAZ!E98)</f>
        <v/>
      </c>
      <c r="F116" s="6" t="str">
        <f>IF(SEFAZ!F98="","",VALUE(SUBSTITUTE(SEFAZ!F98,"'","")))</f>
        <v/>
      </c>
      <c r="G116" t="str">
        <f>IF(SEFAZ!H98="","",SEFAZ!H98)</f>
        <v/>
      </c>
      <c r="H116" t="str">
        <f>IF(SEFAZ!L98="","",SEFAZ!L98)</f>
        <v/>
      </c>
      <c r="I116" t="str">
        <f>IF(SEFAZ!N98="","",SEFAZ!N98)</f>
        <v/>
      </c>
      <c r="J116" t="str">
        <f>IF(SEFAZ!O98="","",SEFAZ!O98)</f>
        <v/>
      </c>
      <c r="K116" s="11" t="str">
        <f>IF(SEFAZ!P98="","",SEFAZ!P98)</f>
        <v/>
      </c>
      <c r="L116" t="str" cm="1">
        <f t="array" aca="1" ref="L1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6" t="s">
        <v>35</v>
      </c>
      <c r="O116" s="36" t="str">
        <f>IF(SEFAZ!B98="","",SEFAZ!B98)</f>
        <v/>
      </c>
    </row>
    <row r="117" spans="2:15" x14ac:dyDescent="0.3">
      <c r="B117" t="str">
        <f>IF(SEFAZ!A99="","",SEFAZ!A99)</f>
        <v/>
      </c>
      <c r="C117" t="str">
        <f>IF(SEFAZ!C99="","",SEFAZ!C99)</f>
        <v/>
      </c>
      <c r="D117" t="str">
        <f>IF(SEFAZ!D99="","",SEFAZ!D99)</f>
        <v/>
      </c>
      <c r="E117" s="7" t="str">
        <f>IF(SEFAZ!E99="","",SEFAZ!E99)</f>
        <v/>
      </c>
      <c r="F117" s="6" t="str">
        <f>IF(SEFAZ!F99="","",VALUE(SUBSTITUTE(SEFAZ!F99,"'","")))</f>
        <v/>
      </c>
      <c r="G117" t="str">
        <f>IF(SEFAZ!H99="","",SEFAZ!H99)</f>
        <v/>
      </c>
      <c r="H117" t="str">
        <f>IF(SEFAZ!L99="","",SEFAZ!L99)</f>
        <v/>
      </c>
      <c r="I117" t="str">
        <f>IF(SEFAZ!N99="","",SEFAZ!N99)</f>
        <v/>
      </c>
      <c r="J117" t="str">
        <f>IF(SEFAZ!O99="","",SEFAZ!O99)</f>
        <v/>
      </c>
      <c r="K117" s="11" t="str">
        <f>IF(SEFAZ!P99="","",SEFAZ!P99)</f>
        <v/>
      </c>
      <c r="L117" t="str" cm="1">
        <f t="array" aca="1" ref="L1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7" t="s">
        <v>35</v>
      </c>
      <c r="O117" s="36" t="str">
        <f>IF(SEFAZ!B99="","",SEFAZ!B99)</f>
        <v/>
      </c>
    </row>
    <row r="118" spans="2:15" x14ac:dyDescent="0.3">
      <c r="B118" t="str">
        <f>IF(SEFAZ!A100="","",SEFAZ!A100)</f>
        <v/>
      </c>
      <c r="C118" t="str">
        <f>IF(SEFAZ!C100="","",SEFAZ!C100)</f>
        <v/>
      </c>
      <c r="D118" t="str">
        <f>IF(SEFAZ!D100="","",SEFAZ!D100)</f>
        <v/>
      </c>
      <c r="E118" s="7" t="str">
        <f>IF(SEFAZ!E100="","",SEFAZ!E100)</f>
        <v/>
      </c>
      <c r="F118" s="6" t="str">
        <f>IF(SEFAZ!F100="","",VALUE(SUBSTITUTE(SEFAZ!F100,"'","")))</f>
        <v/>
      </c>
      <c r="G118" t="str">
        <f>IF(SEFAZ!H100="","",SEFAZ!H100)</f>
        <v/>
      </c>
      <c r="H118" t="str">
        <f>IF(SEFAZ!L100="","",SEFAZ!L100)</f>
        <v/>
      </c>
      <c r="I118" t="str">
        <f>IF(SEFAZ!N100="","",SEFAZ!N100)</f>
        <v/>
      </c>
      <c r="J118" t="str">
        <f>IF(SEFAZ!O100="","",SEFAZ!O100)</f>
        <v/>
      </c>
      <c r="K118" s="11" t="str">
        <f>IF(SEFAZ!P100="","",SEFAZ!P100)</f>
        <v/>
      </c>
      <c r="L118" t="str" cm="1">
        <f t="array" aca="1" ref="L1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8" t="s">
        <v>35</v>
      </c>
      <c r="O118" s="36" t="str">
        <f>IF(SEFAZ!B100="","",SEFAZ!B100)</f>
        <v/>
      </c>
    </row>
    <row r="119" spans="2:15" x14ac:dyDescent="0.3">
      <c r="B119" t="str">
        <f>IF(SEFAZ!A101="","",SEFAZ!A101)</f>
        <v/>
      </c>
      <c r="C119" t="str">
        <f>IF(SEFAZ!C101="","",SEFAZ!C101)</f>
        <v/>
      </c>
      <c r="D119" t="str">
        <f>IF(SEFAZ!D101="","",SEFAZ!D101)</f>
        <v/>
      </c>
      <c r="E119" s="7" t="str">
        <f>IF(SEFAZ!E101="","",SEFAZ!E101)</f>
        <v/>
      </c>
      <c r="F119" s="6" t="str">
        <f>IF(SEFAZ!F101="","",VALUE(SUBSTITUTE(SEFAZ!F101,"'","")))</f>
        <v/>
      </c>
      <c r="G119" t="str">
        <f>IF(SEFAZ!H101="","",SEFAZ!H101)</f>
        <v/>
      </c>
      <c r="H119" t="str">
        <f>IF(SEFAZ!L101="","",SEFAZ!L101)</f>
        <v/>
      </c>
      <c r="I119" t="str">
        <f>IF(SEFAZ!N101="","",SEFAZ!N101)</f>
        <v/>
      </c>
      <c r="J119" t="str">
        <f>IF(SEFAZ!O101="","",SEFAZ!O101)</f>
        <v/>
      </c>
      <c r="K119" s="11" t="str">
        <f>IF(SEFAZ!P101="","",SEFAZ!P101)</f>
        <v/>
      </c>
      <c r="L119" t="str" cm="1">
        <f t="array" aca="1" ref="L1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9" t="s">
        <v>35</v>
      </c>
      <c r="O119" s="36" t="str">
        <f>IF(SEFAZ!B101="","",SEFAZ!B101)</f>
        <v/>
      </c>
    </row>
    <row r="120" spans="2:15" x14ac:dyDescent="0.3">
      <c r="B120" t="str">
        <f>IF(SEFAZ!A102="","",SEFAZ!A102)</f>
        <v/>
      </c>
      <c r="C120" t="str">
        <f>IF(SEFAZ!C102="","",SEFAZ!C102)</f>
        <v/>
      </c>
      <c r="D120" t="str">
        <f>IF(SEFAZ!D102="","",SEFAZ!D102)</f>
        <v/>
      </c>
      <c r="E120" s="7" t="str">
        <f>IF(SEFAZ!E102="","",SEFAZ!E102)</f>
        <v/>
      </c>
      <c r="F120" s="6" t="str">
        <f>IF(SEFAZ!F102="","",VALUE(SUBSTITUTE(SEFAZ!F102,"'","")))</f>
        <v/>
      </c>
      <c r="G120" t="str">
        <f>IF(SEFAZ!H102="","",SEFAZ!H102)</f>
        <v/>
      </c>
      <c r="H120" t="str">
        <f>IF(SEFAZ!L102="","",SEFAZ!L102)</f>
        <v/>
      </c>
      <c r="I120" t="str">
        <f>IF(SEFAZ!N102="","",SEFAZ!N102)</f>
        <v/>
      </c>
      <c r="J120" t="str">
        <f>IF(SEFAZ!O102="","",SEFAZ!O102)</f>
        <v/>
      </c>
      <c r="K120" s="11" t="str">
        <f>IF(SEFAZ!P102="","",SEFAZ!P102)</f>
        <v/>
      </c>
      <c r="L120" t="str" cm="1">
        <f t="array" aca="1" ref="L1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0" t="s">
        <v>35</v>
      </c>
      <c r="O120" s="36" t="str">
        <f>IF(SEFAZ!B102="","",SEFAZ!B102)</f>
        <v/>
      </c>
    </row>
    <row r="121" spans="2:15" x14ac:dyDescent="0.3">
      <c r="B121" t="str">
        <f>IF(SEFAZ!A103="","",SEFAZ!A103)</f>
        <v/>
      </c>
      <c r="C121" t="str">
        <f>IF(SEFAZ!C103="","",SEFAZ!C103)</f>
        <v/>
      </c>
      <c r="D121" t="str">
        <f>IF(SEFAZ!D103="","",SEFAZ!D103)</f>
        <v/>
      </c>
      <c r="E121" s="7" t="str">
        <f>IF(SEFAZ!E103="","",SEFAZ!E103)</f>
        <v/>
      </c>
      <c r="F121" s="6" t="str">
        <f>IF(SEFAZ!F103="","",VALUE(SUBSTITUTE(SEFAZ!F103,"'","")))</f>
        <v/>
      </c>
      <c r="G121" t="str">
        <f>IF(SEFAZ!H103="","",SEFAZ!H103)</f>
        <v/>
      </c>
      <c r="H121" t="str">
        <f>IF(SEFAZ!L103="","",SEFAZ!L103)</f>
        <v/>
      </c>
      <c r="I121" t="str">
        <f>IF(SEFAZ!N103="","",SEFAZ!N103)</f>
        <v/>
      </c>
      <c r="J121" t="str">
        <f>IF(SEFAZ!O103="","",SEFAZ!O103)</f>
        <v/>
      </c>
      <c r="K121" s="11" t="str">
        <f>IF(SEFAZ!P103="","",SEFAZ!P103)</f>
        <v/>
      </c>
      <c r="L121" t="str" cm="1">
        <f t="array" aca="1" ref="L1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1" t="s">
        <v>35</v>
      </c>
      <c r="O121" s="36" t="str">
        <f>IF(SEFAZ!B103="","",SEFAZ!B103)</f>
        <v/>
      </c>
    </row>
    <row r="122" spans="2:15" x14ac:dyDescent="0.3">
      <c r="B122" t="str">
        <f>IF(SEFAZ!A104="","",SEFAZ!A104)</f>
        <v/>
      </c>
      <c r="C122" t="str">
        <f>IF(SEFAZ!C104="","",SEFAZ!C104)</f>
        <v/>
      </c>
      <c r="D122" t="str">
        <f>IF(SEFAZ!D104="","",SEFAZ!D104)</f>
        <v/>
      </c>
      <c r="E122" s="7" t="str">
        <f>IF(SEFAZ!E104="","",SEFAZ!E104)</f>
        <v/>
      </c>
      <c r="F122" s="6" t="str">
        <f>IF(SEFAZ!F104="","",VALUE(SUBSTITUTE(SEFAZ!F104,"'","")))</f>
        <v/>
      </c>
      <c r="G122" t="str">
        <f>IF(SEFAZ!H104="","",SEFAZ!H104)</f>
        <v/>
      </c>
      <c r="H122" t="str">
        <f>IF(SEFAZ!L104="","",SEFAZ!L104)</f>
        <v/>
      </c>
      <c r="I122" t="str">
        <f>IF(SEFAZ!N104="","",SEFAZ!N104)</f>
        <v/>
      </c>
      <c r="J122" t="str">
        <f>IF(SEFAZ!O104="","",SEFAZ!O104)</f>
        <v/>
      </c>
      <c r="K122" s="11" t="str">
        <f>IF(SEFAZ!P104="","",SEFAZ!P104)</f>
        <v/>
      </c>
      <c r="L122" t="str" cm="1">
        <f t="array" aca="1" ref="L1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2" t="s">
        <v>35</v>
      </c>
      <c r="O122" s="36" t="str">
        <f>IF(SEFAZ!B104="","",SEFAZ!B104)</f>
        <v/>
      </c>
    </row>
    <row r="123" spans="2:15" x14ac:dyDescent="0.3">
      <c r="B123" t="str">
        <f>IF(SEFAZ!A105="","",SEFAZ!A105)</f>
        <v/>
      </c>
      <c r="C123" t="str">
        <f>IF(SEFAZ!C105="","",SEFAZ!C105)</f>
        <v/>
      </c>
      <c r="D123" t="str">
        <f>IF(SEFAZ!D105="","",SEFAZ!D105)</f>
        <v/>
      </c>
      <c r="E123" s="7" t="str">
        <f>IF(SEFAZ!E105="","",SEFAZ!E105)</f>
        <v/>
      </c>
      <c r="F123" s="6" t="str">
        <f>IF(SEFAZ!F105="","",VALUE(SUBSTITUTE(SEFAZ!F105,"'","")))</f>
        <v/>
      </c>
      <c r="G123" t="str">
        <f>IF(SEFAZ!H105="","",SEFAZ!H105)</f>
        <v/>
      </c>
      <c r="H123" t="str">
        <f>IF(SEFAZ!L105="","",SEFAZ!L105)</f>
        <v/>
      </c>
      <c r="I123" t="str">
        <f>IF(SEFAZ!N105="","",SEFAZ!N105)</f>
        <v/>
      </c>
      <c r="J123" t="str">
        <f>IF(SEFAZ!O105="","",SEFAZ!O105)</f>
        <v/>
      </c>
      <c r="K123" s="11" t="str">
        <f>IF(SEFAZ!P105="","",SEFAZ!P105)</f>
        <v/>
      </c>
      <c r="L123" t="str" cm="1">
        <f t="array" aca="1" ref="L1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3" t="s">
        <v>35</v>
      </c>
      <c r="O123" s="36" t="str">
        <f>IF(SEFAZ!B105="","",SEFAZ!B105)</f>
        <v/>
      </c>
    </row>
    <row r="124" spans="2:15" x14ac:dyDescent="0.3">
      <c r="B124" t="str">
        <f>IF(SEFAZ!A106="","",SEFAZ!A106)</f>
        <v/>
      </c>
      <c r="C124" t="str">
        <f>IF(SEFAZ!C106="","",SEFAZ!C106)</f>
        <v/>
      </c>
      <c r="D124" t="str">
        <f>IF(SEFAZ!D106="","",SEFAZ!D106)</f>
        <v/>
      </c>
      <c r="E124" s="7" t="str">
        <f>IF(SEFAZ!E106="","",SEFAZ!E106)</f>
        <v/>
      </c>
      <c r="F124" s="6" t="str">
        <f>IF(SEFAZ!F106="","",VALUE(SUBSTITUTE(SEFAZ!F106,"'","")))</f>
        <v/>
      </c>
      <c r="G124" t="str">
        <f>IF(SEFAZ!H106="","",SEFAZ!H106)</f>
        <v/>
      </c>
      <c r="H124" t="str">
        <f>IF(SEFAZ!L106="","",SEFAZ!L106)</f>
        <v/>
      </c>
      <c r="I124" t="str">
        <f>IF(SEFAZ!N106="","",SEFAZ!N106)</f>
        <v/>
      </c>
      <c r="J124" t="str">
        <f>IF(SEFAZ!O106="","",SEFAZ!O106)</f>
        <v/>
      </c>
      <c r="K124" s="11" t="str">
        <f>IF(SEFAZ!P106="","",SEFAZ!P106)</f>
        <v/>
      </c>
      <c r="L124" t="str" cm="1">
        <f t="array" aca="1" ref="L1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4" t="s">
        <v>35</v>
      </c>
      <c r="O124" s="36" t="str">
        <f>IF(SEFAZ!B106="","",SEFAZ!B106)</f>
        <v/>
      </c>
    </row>
    <row r="125" spans="2:15" x14ac:dyDescent="0.3">
      <c r="B125" t="str">
        <f>IF(SEFAZ!A107="","",SEFAZ!A107)</f>
        <v/>
      </c>
      <c r="C125" t="str">
        <f>IF(SEFAZ!C107="","",SEFAZ!C107)</f>
        <v/>
      </c>
      <c r="D125" t="str">
        <f>IF(SEFAZ!D107="","",SEFAZ!D107)</f>
        <v/>
      </c>
      <c r="E125" s="7" t="str">
        <f>IF(SEFAZ!E107="","",SEFAZ!E107)</f>
        <v/>
      </c>
      <c r="F125" s="6" t="str">
        <f>IF(SEFAZ!F107="","",VALUE(SUBSTITUTE(SEFAZ!F107,"'","")))</f>
        <v/>
      </c>
      <c r="G125" t="str">
        <f>IF(SEFAZ!H107="","",SEFAZ!H107)</f>
        <v/>
      </c>
      <c r="H125" t="str">
        <f>IF(SEFAZ!L107="","",SEFAZ!L107)</f>
        <v/>
      </c>
      <c r="I125" t="str">
        <f>IF(SEFAZ!N107="","",SEFAZ!N107)</f>
        <v/>
      </c>
      <c r="J125" t="str">
        <f>IF(SEFAZ!O107="","",SEFAZ!O107)</f>
        <v/>
      </c>
      <c r="K125" s="11" t="str">
        <f>IF(SEFAZ!P107="","",SEFAZ!P107)</f>
        <v/>
      </c>
      <c r="L125" t="str" cm="1">
        <f t="array" aca="1" ref="L1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5" t="s">
        <v>35</v>
      </c>
      <c r="O125" s="36" t="str">
        <f>IF(SEFAZ!B107="","",SEFAZ!B107)</f>
        <v/>
      </c>
    </row>
    <row r="126" spans="2:15" x14ac:dyDescent="0.3">
      <c r="B126" t="str">
        <f>IF(SEFAZ!A108="","",SEFAZ!A108)</f>
        <v/>
      </c>
      <c r="C126" t="str">
        <f>IF(SEFAZ!C108="","",SEFAZ!C108)</f>
        <v/>
      </c>
      <c r="D126" t="str">
        <f>IF(SEFAZ!D108="","",SEFAZ!D108)</f>
        <v/>
      </c>
      <c r="E126" s="7" t="str">
        <f>IF(SEFAZ!E108="","",SEFAZ!E108)</f>
        <v/>
      </c>
      <c r="F126" s="6" t="str">
        <f>IF(SEFAZ!F108="","",VALUE(SUBSTITUTE(SEFAZ!F108,"'","")))</f>
        <v/>
      </c>
      <c r="G126" t="str">
        <f>IF(SEFAZ!H108="","",SEFAZ!H108)</f>
        <v/>
      </c>
      <c r="H126" t="str">
        <f>IF(SEFAZ!L108="","",SEFAZ!L108)</f>
        <v/>
      </c>
      <c r="I126" t="str">
        <f>IF(SEFAZ!N108="","",SEFAZ!N108)</f>
        <v/>
      </c>
      <c r="J126" t="str">
        <f>IF(SEFAZ!O108="","",SEFAZ!O108)</f>
        <v/>
      </c>
      <c r="K126" s="11" t="str">
        <f>IF(SEFAZ!P108="","",SEFAZ!P108)</f>
        <v/>
      </c>
      <c r="L126" t="str" cm="1">
        <f t="array" aca="1" ref="L1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6" t="s">
        <v>35</v>
      </c>
      <c r="O126" s="36" t="str">
        <f>IF(SEFAZ!B108="","",SEFAZ!B108)</f>
        <v/>
      </c>
    </row>
    <row r="127" spans="2:15" x14ac:dyDescent="0.3">
      <c r="B127" t="str">
        <f>IF(SEFAZ!A109="","",SEFAZ!A109)</f>
        <v/>
      </c>
      <c r="C127" t="str">
        <f>IF(SEFAZ!C109="","",SEFAZ!C109)</f>
        <v/>
      </c>
      <c r="D127" t="str">
        <f>IF(SEFAZ!D109="","",SEFAZ!D109)</f>
        <v/>
      </c>
      <c r="E127" s="7" t="str">
        <f>IF(SEFAZ!E109="","",SEFAZ!E109)</f>
        <v/>
      </c>
      <c r="F127" s="6" t="str">
        <f>IF(SEFAZ!F109="","",VALUE(SUBSTITUTE(SEFAZ!F109,"'","")))</f>
        <v/>
      </c>
      <c r="G127" t="str">
        <f>IF(SEFAZ!H109="","",SEFAZ!H109)</f>
        <v/>
      </c>
      <c r="H127" t="str">
        <f>IF(SEFAZ!L109="","",SEFAZ!L109)</f>
        <v/>
      </c>
      <c r="I127" t="str">
        <f>IF(SEFAZ!N109="","",SEFAZ!N109)</f>
        <v/>
      </c>
      <c r="J127" t="str">
        <f>IF(SEFAZ!O109="","",SEFAZ!O109)</f>
        <v/>
      </c>
      <c r="K127" s="11" t="str">
        <f>IF(SEFAZ!P109="","",SEFAZ!P109)</f>
        <v/>
      </c>
      <c r="L127" t="str" cm="1">
        <f t="array" aca="1" ref="L1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7" t="s">
        <v>35</v>
      </c>
      <c r="O127" s="36" t="str">
        <f>IF(SEFAZ!B109="","",SEFAZ!B109)</f>
        <v/>
      </c>
    </row>
    <row r="128" spans="2:15" x14ac:dyDescent="0.3">
      <c r="B128" t="str">
        <f>IF(SEFAZ!A110="","",SEFAZ!A110)</f>
        <v/>
      </c>
      <c r="C128" t="str">
        <f>IF(SEFAZ!C110="","",SEFAZ!C110)</f>
        <v/>
      </c>
      <c r="D128" t="str">
        <f>IF(SEFAZ!D110="","",SEFAZ!D110)</f>
        <v/>
      </c>
      <c r="E128" s="7" t="str">
        <f>IF(SEFAZ!E110="","",SEFAZ!E110)</f>
        <v/>
      </c>
      <c r="F128" s="6" t="str">
        <f>IF(SEFAZ!F110="","",VALUE(SUBSTITUTE(SEFAZ!F110,"'","")))</f>
        <v/>
      </c>
      <c r="G128" t="str">
        <f>IF(SEFAZ!H110="","",SEFAZ!H110)</f>
        <v/>
      </c>
      <c r="H128" t="str">
        <f>IF(SEFAZ!L110="","",SEFAZ!L110)</f>
        <v/>
      </c>
      <c r="I128" t="str">
        <f>IF(SEFAZ!N110="","",SEFAZ!N110)</f>
        <v/>
      </c>
      <c r="J128" t="str">
        <f>IF(SEFAZ!O110="","",SEFAZ!O110)</f>
        <v/>
      </c>
      <c r="K128" s="11" t="str">
        <f>IF(SEFAZ!P110="","",SEFAZ!P110)</f>
        <v/>
      </c>
      <c r="L128" t="str" cm="1">
        <f t="array" aca="1" ref="L1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8" t="s">
        <v>35</v>
      </c>
      <c r="O128" s="36" t="str">
        <f>IF(SEFAZ!B110="","",SEFAZ!B110)</f>
        <v/>
      </c>
    </row>
    <row r="129" spans="2:15" x14ac:dyDescent="0.3">
      <c r="B129" t="str">
        <f>IF(SEFAZ!A111="","",SEFAZ!A111)</f>
        <v/>
      </c>
      <c r="C129" t="str">
        <f>IF(SEFAZ!C111="","",SEFAZ!C111)</f>
        <v/>
      </c>
      <c r="D129" t="str">
        <f>IF(SEFAZ!D111="","",SEFAZ!D111)</f>
        <v/>
      </c>
      <c r="E129" s="7" t="str">
        <f>IF(SEFAZ!E111="","",SEFAZ!E111)</f>
        <v/>
      </c>
      <c r="F129" s="6" t="str">
        <f>IF(SEFAZ!F111="","",VALUE(SUBSTITUTE(SEFAZ!F111,"'","")))</f>
        <v/>
      </c>
      <c r="G129" t="str">
        <f>IF(SEFAZ!H111="","",SEFAZ!H111)</f>
        <v/>
      </c>
      <c r="H129" t="str">
        <f>IF(SEFAZ!L111="","",SEFAZ!L111)</f>
        <v/>
      </c>
      <c r="I129" t="str">
        <f>IF(SEFAZ!N111="","",SEFAZ!N111)</f>
        <v/>
      </c>
      <c r="J129" t="str">
        <f>IF(SEFAZ!O111="","",SEFAZ!O111)</f>
        <v/>
      </c>
      <c r="K129" s="11" t="str">
        <f>IF(SEFAZ!P111="","",SEFAZ!P111)</f>
        <v/>
      </c>
      <c r="L129" t="str" cm="1">
        <f t="array" aca="1" ref="L1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29" t="s">
        <v>35</v>
      </c>
      <c r="O129" s="36" t="str">
        <f>IF(SEFAZ!B111="","",SEFAZ!B111)</f>
        <v/>
      </c>
    </row>
    <row r="130" spans="2:15" x14ac:dyDescent="0.3">
      <c r="B130" t="str">
        <f>IF(SEFAZ!A112="","",SEFAZ!A112)</f>
        <v/>
      </c>
      <c r="C130" t="str">
        <f>IF(SEFAZ!C112="","",SEFAZ!C112)</f>
        <v/>
      </c>
      <c r="D130" t="str">
        <f>IF(SEFAZ!D112="","",SEFAZ!D112)</f>
        <v/>
      </c>
      <c r="E130" s="7" t="str">
        <f>IF(SEFAZ!E112="","",SEFAZ!E112)</f>
        <v/>
      </c>
      <c r="F130" s="6" t="str">
        <f>IF(SEFAZ!F112="","",VALUE(SUBSTITUTE(SEFAZ!F112,"'","")))</f>
        <v/>
      </c>
      <c r="G130" t="str">
        <f>IF(SEFAZ!H112="","",SEFAZ!H112)</f>
        <v/>
      </c>
      <c r="H130" t="str">
        <f>IF(SEFAZ!L112="","",SEFAZ!L112)</f>
        <v/>
      </c>
      <c r="I130" t="str">
        <f>IF(SEFAZ!N112="","",SEFAZ!N112)</f>
        <v/>
      </c>
      <c r="J130" t="str">
        <f>IF(SEFAZ!O112="","",SEFAZ!O112)</f>
        <v/>
      </c>
      <c r="K130" s="11" t="str">
        <f>IF(SEFAZ!P112="","",SEFAZ!P112)</f>
        <v/>
      </c>
      <c r="L130" t="str" cm="1">
        <f t="array" aca="1" ref="L1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0" t="s">
        <v>35</v>
      </c>
      <c r="O130" s="36" t="str">
        <f>IF(SEFAZ!B112="","",SEFAZ!B112)</f>
        <v/>
      </c>
    </row>
    <row r="131" spans="2:15" x14ac:dyDescent="0.3">
      <c r="B131" t="str">
        <f>IF(SEFAZ!A113="","",SEFAZ!A113)</f>
        <v/>
      </c>
      <c r="C131" t="str">
        <f>IF(SEFAZ!C113="","",SEFAZ!C113)</f>
        <v/>
      </c>
      <c r="D131" t="str">
        <f>IF(SEFAZ!D113="","",SEFAZ!D113)</f>
        <v/>
      </c>
      <c r="E131" s="7" t="str">
        <f>IF(SEFAZ!E113="","",SEFAZ!E113)</f>
        <v/>
      </c>
      <c r="F131" s="6" t="str">
        <f>IF(SEFAZ!F113="","",VALUE(SUBSTITUTE(SEFAZ!F113,"'","")))</f>
        <v/>
      </c>
      <c r="G131" t="str">
        <f>IF(SEFAZ!H113="","",SEFAZ!H113)</f>
        <v/>
      </c>
      <c r="H131" t="str">
        <f>IF(SEFAZ!L113="","",SEFAZ!L113)</f>
        <v/>
      </c>
      <c r="I131" t="str">
        <f>IF(SEFAZ!N113="","",SEFAZ!N113)</f>
        <v/>
      </c>
      <c r="J131" t="str">
        <f>IF(SEFAZ!O113="","",SEFAZ!O113)</f>
        <v/>
      </c>
      <c r="K131" s="11" t="str">
        <f>IF(SEFAZ!P113="","",SEFAZ!P113)</f>
        <v/>
      </c>
      <c r="L131" t="str" cm="1">
        <f t="array" aca="1" ref="L1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1" t="s">
        <v>35</v>
      </c>
      <c r="O131" s="36" t="str">
        <f>IF(SEFAZ!B113="","",SEFAZ!B113)</f>
        <v/>
      </c>
    </row>
    <row r="132" spans="2:15" x14ac:dyDescent="0.3">
      <c r="B132" t="str">
        <f>IF(SEFAZ!A114="","",SEFAZ!A114)</f>
        <v/>
      </c>
      <c r="C132" t="str">
        <f>IF(SEFAZ!C114="","",SEFAZ!C114)</f>
        <v/>
      </c>
      <c r="D132" t="str">
        <f>IF(SEFAZ!D114="","",SEFAZ!D114)</f>
        <v/>
      </c>
      <c r="E132" s="7" t="str">
        <f>IF(SEFAZ!E114="","",SEFAZ!E114)</f>
        <v/>
      </c>
      <c r="F132" s="6" t="str">
        <f>IF(SEFAZ!F114="","",VALUE(SUBSTITUTE(SEFAZ!F114,"'","")))</f>
        <v/>
      </c>
      <c r="G132" t="str">
        <f>IF(SEFAZ!H114="","",SEFAZ!H114)</f>
        <v/>
      </c>
      <c r="H132" t="str">
        <f>IF(SEFAZ!L114="","",SEFAZ!L114)</f>
        <v/>
      </c>
      <c r="I132" t="str">
        <f>IF(SEFAZ!N114="","",SEFAZ!N114)</f>
        <v/>
      </c>
      <c r="J132" t="str">
        <f>IF(SEFAZ!O114="","",SEFAZ!O114)</f>
        <v/>
      </c>
      <c r="K132" s="11" t="str">
        <f>IF(SEFAZ!P114="","",SEFAZ!P114)</f>
        <v/>
      </c>
      <c r="L132" t="str" cm="1">
        <f t="array" aca="1" ref="L1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2" t="s">
        <v>35</v>
      </c>
      <c r="O132" s="36" t="str">
        <f>IF(SEFAZ!B114="","",SEFAZ!B114)</f>
        <v/>
      </c>
    </row>
    <row r="133" spans="2:15" x14ac:dyDescent="0.3">
      <c r="B133" t="str">
        <f>IF(SEFAZ!A115="","",SEFAZ!A115)</f>
        <v/>
      </c>
      <c r="C133" t="str">
        <f>IF(SEFAZ!C115="","",SEFAZ!C115)</f>
        <v/>
      </c>
      <c r="D133" t="str">
        <f>IF(SEFAZ!D115="","",SEFAZ!D115)</f>
        <v/>
      </c>
      <c r="E133" s="7" t="str">
        <f>IF(SEFAZ!E115="","",SEFAZ!E115)</f>
        <v/>
      </c>
      <c r="F133" s="6" t="str">
        <f>IF(SEFAZ!F115="","",VALUE(SUBSTITUTE(SEFAZ!F115,"'","")))</f>
        <v/>
      </c>
      <c r="G133" t="str">
        <f>IF(SEFAZ!H115="","",SEFAZ!H115)</f>
        <v/>
      </c>
      <c r="H133" t="str">
        <f>IF(SEFAZ!L115="","",SEFAZ!L115)</f>
        <v/>
      </c>
      <c r="I133" t="str">
        <f>IF(SEFAZ!N115="","",SEFAZ!N115)</f>
        <v/>
      </c>
      <c r="J133" t="str">
        <f>IF(SEFAZ!O115="","",SEFAZ!O115)</f>
        <v/>
      </c>
      <c r="K133" s="11" t="str">
        <f>IF(SEFAZ!P115="","",SEFAZ!P115)</f>
        <v/>
      </c>
      <c r="L133" t="str" cm="1">
        <f t="array" aca="1" ref="L1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3" t="s">
        <v>35</v>
      </c>
      <c r="O133" s="36" t="str">
        <f>IF(SEFAZ!B115="","",SEFAZ!B115)</f>
        <v/>
      </c>
    </row>
    <row r="134" spans="2:15" x14ac:dyDescent="0.3">
      <c r="B134" t="str">
        <f>IF(SEFAZ!A116="","",SEFAZ!A116)</f>
        <v/>
      </c>
      <c r="C134" t="str">
        <f>IF(SEFAZ!C116="","",SEFAZ!C116)</f>
        <v/>
      </c>
      <c r="D134" t="str">
        <f>IF(SEFAZ!D116="","",SEFAZ!D116)</f>
        <v/>
      </c>
      <c r="E134" s="7" t="str">
        <f>IF(SEFAZ!E116="","",SEFAZ!E116)</f>
        <v/>
      </c>
      <c r="F134" s="6" t="str">
        <f>IF(SEFAZ!F116="","",VALUE(SUBSTITUTE(SEFAZ!F116,"'","")))</f>
        <v/>
      </c>
      <c r="G134" t="str">
        <f>IF(SEFAZ!H116="","",SEFAZ!H116)</f>
        <v/>
      </c>
      <c r="H134" t="str">
        <f>IF(SEFAZ!L116="","",SEFAZ!L116)</f>
        <v/>
      </c>
      <c r="I134" t="str">
        <f>IF(SEFAZ!N116="","",SEFAZ!N116)</f>
        <v/>
      </c>
      <c r="J134" t="str">
        <f>IF(SEFAZ!O116="","",SEFAZ!O116)</f>
        <v/>
      </c>
      <c r="K134" s="11" t="str">
        <f>IF(SEFAZ!P116="","",SEFAZ!P116)</f>
        <v/>
      </c>
      <c r="L134" t="str" cm="1">
        <f t="array" aca="1" ref="L1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4" t="s">
        <v>35</v>
      </c>
      <c r="O134" s="36" t="str">
        <f>IF(SEFAZ!B116="","",SEFAZ!B116)</f>
        <v/>
      </c>
    </row>
    <row r="135" spans="2:15" x14ac:dyDescent="0.3">
      <c r="B135" t="str">
        <f>IF(SEFAZ!A117="","",SEFAZ!A117)</f>
        <v/>
      </c>
      <c r="C135" t="str">
        <f>IF(SEFAZ!C117="","",SEFAZ!C117)</f>
        <v/>
      </c>
      <c r="D135" t="str">
        <f>IF(SEFAZ!D117="","",SEFAZ!D117)</f>
        <v/>
      </c>
      <c r="E135" s="7" t="str">
        <f>IF(SEFAZ!E117="","",SEFAZ!E117)</f>
        <v/>
      </c>
      <c r="F135" s="6" t="str">
        <f>IF(SEFAZ!F117="","",VALUE(SUBSTITUTE(SEFAZ!F117,"'","")))</f>
        <v/>
      </c>
      <c r="G135" t="str">
        <f>IF(SEFAZ!H117="","",SEFAZ!H117)</f>
        <v/>
      </c>
      <c r="H135" t="str">
        <f>IF(SEFAZ!L117="","",SEFAZ!L117)</f>
        <v/>
      </c>
      <c r="I135" t="str">
        <f>IF(SEFAZ!N117="","",SEFAZ!N117)</f>
        <v/>
      </c>
      <c r="J135" t="str">
        <f>IF(SEFAZ!O117="","",SEFAZ!O117)</f>
        <v/>
      </c>
      <c r="K135" s="11" t="str">
        <f>IF(SEFAZ!P117="","",SEFAZ!P117)</f>
        <v/>
      </c>
      <c r="L135" t="str" cm="1">
        <f t="array" aca="1" ref="L1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5" t="s">
        <v>35</v>
      </c>
      <c r="O135" s="36" t="str">
        <f>IF(SEFAZ!B117="","",SEFAZ!B117)</f>
        <v/>
      </c>
    </row>
    <row r="136" spans="2:15" x14ac:dyDescent="0.3">
      <c r="B136" t="str">
        <f>IF(SEFAZ!A118="","",SEFAZ!A118)</f>
        <v/>
      </c>
      <c r="C136" t="str">
        <f>IF(SEFAZ!C118="","",SEFAZ!C118)</f>
        <v/>
      </c>
      <c r="D136" t="str">
        <f>IF(SEFAZ!D118="","",SEFAZ!D118)</f>
        <v/>
      </c>
      <c r="E136" s="7" t="str">
        <f>IF(SEFAZ!E118="","",SEFAZ!E118)</f>
        <v/>
      </c>
      <c r="F136" s="6" t="str">
        <f>IF(SEFAZ!F118="","",VALUE(SUBSTITUTE(SEFAZ!F118,"'","")))</f>
        <v/>
      </c>
      <c r="G136" t="str">
        <f>IF(SEFAZ!H118="","",SEFAZ!H118)</f>
        <v/>
      </c>
      <c r="H136" t="str">
        <f>IF(SEFAZ!L118="","",SEFAZ!L118)</f>
        <v/>
      </c>
      <c r="I136" t="str">
        <f>IF(SEFAZ!N118="","",SEFAZ!N118)</f>
        <v/>
      </c>
      <c r="J136" t="str">
        <f>IF(SEFAZ!O118="","",SEFAZ!O118)</f>
        <v/>
      </c>
      <c r="K136" s="11" t="str">
        <f>IF(SEFAZ!P118="","",SEFAZ!P118)</f>
        <v/>
      </c>
      <c r="L136" t="str" cm="1">
        <f t="array" aca="1" ref="L1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6" t="s">
        <v>35</v>
      </c>
      <c r="O136" s="36" t="str">
        <f>IF(SEFAZ!B118="","",SEFAZ!B118)</f>
        <v/>
      </c>
    </row>
    <row r="137" spans="2:15" x14ac:dyDescent="0.3">
      <c r="B137" t="str">
        <f>IF(SEFAZ!A119="","",SEFAZ!A119)</f>
        <v/>
      </c>
      <c r="C137" t="str">
        <f>IF(SEFAZ!C119="","",SEFAZ!C119)</f>
        <v/>
      </c>
      <c r="D137" t="str">
        <f>IF(SEFAZ!D119="","",SEFAZ!D119)</f>
        <v/>
      </c>
      <c r="E137" s="7" t="str">
        <f>IF(SEFAZ!E119="","",SEFAZ!E119)</f>
        <v/>
      </c>
      <c r="F137" s="6" t="str">
        <f>IF(SEFAZ!F119="","",VALUE(SUBSTITUTE(SEFAZ!F119,"'","")))</f>
        <v/>
      </c>
      <c r="G137" t="str">
        <f>IF(SEFAZ!H119="","",SEFAZ!H119)</f>
        <v/>
      </c>
      <c r="H137" t="str">
        <f>IF(SEFAZ!L119="","",SEFAZ!L119)</f>
        <v/>
      </c>
      <c r="I137" t="str">
        <f>IF(SEFAZ!N119="","",SEFAZ!N119)</f>
        <v/>
      </c>
      <c r="J137" t="str">
        <f>IF(SEFAZ!O119="","",SEFAZ!O119)</f>
        <v/>
      </c>
      <c r="K137" s="11" t="str">
        <f>IF(SEFAZ!P119="","",SEFAZ!P119)</f>
        <v/>
      </c>
      <c r="L137" t="str" cm="1">
        <f t="array" aca="1" ref="L1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7" t="s">
        <v>35</v>
      </c>
      <c r="O137" s="36" t="str">
        <f>IF(SEFAZ!B119="","",SEFAZ!B119)</f>
        <v/>
      </c>
    </row>
    <row r="138" spans="2:15" x14ac:dyDescent="0.3">
      <c r="B138" t="str">
        <f>IF(SEFAZ!A120="","",SEFAZ!A120)</f>
        <v/>
      </c>
      <c r="C138" t="str">
        <f>IF(SEFAZ!C120="","",SEFAZ!C120)</f>
        <v/>
      </c>
      <c r="D138" t="str">
        <f>IF(SEFAZ!D120="","",SEFAZ!D120)</f>
        <v/>
      </c>
      <c r="E138" s="7" t="str">
        <f>IF(SEFAZ!E120="","",SEFAZ!E120)</f>
        <v/>
      </c>
      <c r="F138" s="6" t="str">
        <f>IF(SEFAZ!F120="","",VALUE(SUBSTITUTE(SEFAZ!F120,"'","")))</f>
        <v/>
      </c>
      <c r="G138" t="str">
        <f>IF(SEFAZ!H120="","",SEFAZ!H120)</f>
        <v/>
      </c>
      <c r="H138" t="str">
        <f>IF(SEFAZ!L120="","",SEFAZ!L120)</f>
        <v/>
      </c>
      <c r="I138" t="str">
        <f>IF(SEFAZ!N120="","",SEFAZ!N120)</f>
        <v/>
      </c>
      <c r="J138" t="str">
        <f>IF(SEFAZ!O120="","",SEFAZ!O120)</f>
        <v/>
      </c>
      <c r="K138" s="11" t="str">
        <f>IF(SEFAZ!P120="","",SEFAZ!P120)</f>
        <v/>
      </c>
      <c r="L138" t="str" cm="1">
        <f t="array" aca="1" ref="L1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8" t="s">
        <v>35</v>
      </c>
      <c r="O138" s="36" t="str">
        <f>IF(SEFAZ!B120="","",SEFAZ!B120)</f>
        <v/>
      </c>
    </row>
    <row r="139" spans="2:15" x14ac:dyDescent="0.3">
      <c r="B139" t="str">
        <f>IF(SEFAZ!A121="","",SEFAZ!A121)</f>
        <v/>
      </c>
      <c r="C139" t="str">
        <f>IF(SEFAZ!C121="","",SEFAZ!C121)</f>
        <v/>
      </c>
      <c r="D139" t="str">
        <f>IF(SEFAZ!D121="","",SEFAZ!D121)</f>
        <v/>
      </c>
      <c r="E139" s="7" t="str">
        <f>IF(SEFAZ!E121="","",SEFAZ!E121)</f>
        <v/>
      </c>
      <c r="F139" s="6" t="str">
        <f>IF(SEFAZ!F121="","",VALUE(SUBSTITUTE(SEFAZ!F121,"'","")))</f>
        <v/>
      </c>
      <c r="G139" t="str">
        <f>IF(SEFAZ!H121="","",SEFAZ!H121)</f>
        <v/>
      </c>
      <c r="H139" t="str">
        <f>IF(SEFAZ!L121="","",SEFAZ!L121)</f>
        <v/>
      </c>
      <c r="I139" t="str">
        <f>IF(SEFAZ!N121="","",SEFAZ!N121)</f>
        <v/>
      </c>
      <c r="J139" t="str">
        <f>IF(SEFAZ!O121="","",SEFAZ!O121)</f>
        <v/>
      </c>
      <c r="K139" s="11" t="str">
        <f>IF(SEFAZ!P121="","",SEFAZ!P121)</f>
        <v/>
      </c>
      <c r="L139" t="str" cm="1">
        <f t="array" aca="1" ref="L1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39" t="s">
        <v>35</v>
      </c>
      <c r="O139" s="36" t="str">
        <f>IF(SEFAZ!B121="","",SEFAZ!B121)</f>
        <v/>
      </c>
    </row>
    <row r="140" spans="2:15" x14ac:dyDescent="0.3">
      <c r="B140" t="str">
        <f>IF(SEFAZ!A122="","",SEFAZ!A122)</f>
        <v/>
      </c>
      <c r="C140" t="str">
        <f>IF(SEFAZ!C122="","",SEFAZ!C122)</f>
        <v/>
      </c>
      <c r="D140" t="str">
        <f>IF(SEFAZ!D122="","",SEFAZ!D122)</f>
        <v/>
      </c>
      <c r="E140" s="7" t="str">
        <f>IF(SEFAZ!E122="","",SEFAZ!E122)</f>
        <v/>
      </c>
      <c r="F140" s="6" t="str">
        <f>IF(SEFAZ!F122="","",VALUE(SUBSTITUTE(SEFAZ!F122,"'","")))</f>
        <v/>
      </c>
      <c r="G140" t="str">
        <f>IF(SEFAZ!H122="","",SEFAZ!H122)</f>
        <v/>
      </c>
      <c r="H140" t="str">
        <f>IF(SEFAZ!L122="","",SEFAZ!L122)</f>
        <v/>
      </c>
      <c r="I140" t="str">
        <f>IF(SEFAZ!N122="","",SEFAZ!N122)</f>
        <v/>
      </c>
      <c r="J140" t="str">
        <f>IF(SEFAZ!O122="","",SEFAZ!O122)</f>
        <v/>
      </c>
      <c r="K140" s="11" t="str">
        <f>IF(SEFAZ!P122="","",SEFAZ!P122)</f>
        <v/>
      </c>
      <c r="L140" t="str" cm="1">
        <f t="array" aca="1" ref="L1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0" t="s">
        <v>35</v>
      </c>
      <c r="O140" s="36" t="str">
        <f>IF(SEFAZ!B122="","",SEFAZ!B122)</f>
        <v/>
      </c>
    </row>
    <row r="141" spans="2:15" x14ac:dyDescent="0.3">
      <c r="B141" t="str">
        <f>IF(SEFAZ!A123="","",SEFAZ!A123)</f>
        <v/>
      </c>
      <c r="C141" t="str">
        <f>IF(SEFAZ!C123="","",SEFAZ!C123)</f>
        <v/>
      </c>
      <c r="D141" t="str">
        <f>IF(SEFAZ!D123="","",SEFAZ!D123)</f>
        <v/>
      </c>
      <c r="E141" s="7" t="str">
        <f>IF(SEFAZ!E123="","",SEFAZ!E123)</f>
        <v/>
      </c>
      <c r="F141" s="6" t="str">
        <f>IF(SEFAZ!F123="","",VALUE(SUBSTITUTE(SEFAZ!F123,"'","")))</f>
        <v/>
      </c>
      <c r="G141" t="str">
        <f>IF(SEFAZ!H123="","",SEFAZ!H123)</f>
        <v/>
      </c>
      <c r="H141" t="str">
        <f>IF(SEFAZ!L123="","",SEFAZ!L123)</f>
        <v/>
      </c>
      <c r="I141" t="str">
        <f>IF(SEFAZ!N123="","",SEFAZ!N123)</f>
        <v/>
      </c>
      <c r="J141" t="str">
        <f>IF(SEFAZ!O123="","",SEFAZ!O123)</f>
        <v/>
      </c>
      <c r="K141" s="11" t="str">
        <f>IF(SEFAZ!P123="","",SEFAZ!P123)</f>
        <v/>
      </c>
      <c r="L141" t="str" cm="1">
        <f t="array" aca="1" ref="L1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1" t="s">
        <v>35</v>
      </c>
      <c r="O141" s="36" t="str">
        <f>IF(SEFAZ!B123="","",SEFAZ!B123)</f>
        <v/>
      </c>
    </row>
    <row r="142" spans="2:15" x14ac:dyDescent="0.3">
      <c r="B142" t="str">
        <f>IF(SEFAZ!A124="","",SEFAZ!A124)</f>
        <v/>
      </c>
      <c r="C142" t="str">
        <f>IF(SEFAZ!C124="","",SEFAZ!C124)</f>
        <v/>
      </c>
      <c r="D142" t="str">
        <f>IF(SEFAZ!D124="","",SEFAZ!D124)</f>
        <v/>
      </c>
      <c r="E142" s="7" t="str">
        <f>IF(SEFAZ!E124="","",SEFAZ!E124)</f>
        <v/>
      </c>
      <c r="F142" s="6" t="str">
        <f>IF(SEFAZ!F124="","",VALUE(SUBSTITUTE(SEFAZ!F124,"'","")))</f>
        <v/>
      </c>
      <c r="G142" t="str">
        <f>IF(SEFAZ!H124="","",SEFAZ!H124)</f>
        <v/>
      </c>
      <c r="H142" t="str">
        <f>IF(SEFAZ!L124="","",SEFAZ!L124)</f>
        <v/>
      </c>
      <c r="I142" t="str">
        <f>IF(SEFAZ!N124="","",SEFAZ!N124)</f>
        <v/>
      </c>
      <c r="J142" t="str">
        <f>IF(SEFAZ!O124="","",SEFAZ!O124)</f>
        <v/>
      </c>
      <c r="K142" s="11" t="str">
        <f>IF(SEFAZ!P124="","",SEFAZ!P124)</f>
        <v/>
      </c>
      <c r="L142" t="str" cm="1">
        <f t="array" aca="1" ref="L1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2" t="s">
        <v>35</v>
      </c>
      <c r="O142" s="36" t="str">
        <f>IF(SEFAZ!B124="","",SEFAZ!B124)</f>
        <v/>
      </c>
    </row>
    <row r="143" spans="2:15" x14ac:dyDescent="0.3">
      <c r="B143" t="str">
        <f>IF(SEFAZ!A125="","",SEFAZ!A125)</f>
        <v/>
      </c>
      <c r="C143" t="str">
        <f>IF(SEFAZ!C125="","",SEFAZ!C125)</f>
        <v/>
      </c>
      <c r="D143" t="str">
        <f>IF(SEFAZ!D125="","",SEFAZ!D125)</f>
        <v/>
      </c>
      <c r="E143" s="7" t="str">
        <f>IF(SEFAZ!E125="","",SEFAZ!E125)</f>
        <v/>
      </c>
      <c r="F143" s="6" t="str">
        <f>IF(SEFAZ!F125="","",VALUE(SUBSTITUTE(SEFAZ!F125,"'","")))</f>
        <v/>
      </c>
      <c r="G143" t="str">
        <f>IF(SEFAZ!H125="","",SEFAZ!H125)</f>
        <v/>
      </c>
      <c r="H143" t="str">
        <f>IF(SEFAZ!L125="","",SEFAZ!L125)</f>
        <v/>
      </c>
      <c r="I143" t="str">
        <f>IF(SEFAZ!N125="","",SEFAZ!N125)</f>
        <v/>
      </c>
      <c r="J143" t="str">
        <f>IF(SEFAZ!O125="","",SEFAZ!O125)</f>
        <v/>
      </c>
      <c r="K143" s="11" t="str">
        <f>IF(SEFAZ!P125="","",SEFAZ!P125)</f>
        <v/>
      </c>
      <c r="L143" t="str" cm="1">
        <f t="array" aca="1" ref="L1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3" t="s">
        <v>35</v>
      </c>
      <c r="O143" s="36" t="str">
        <f>IF(SEFAZ!B125="","",SEFAZ!B125)</f>
        <v/>
      </c>
    </row>
    <row r="144" spans="2:15" x14ac:dyDescent="0.3">
      <c r="B144" t="str">
        <f>IF(SEFAZ!A126="","",SEFAZ!A126)</f>
        <v/>
      </c>
      <c r="C144" t="str">
        <f>IF(SEFAZ!C126="","",SEFAZ!C126)</f>
        <v/>
      </c>
      <c r="D144" t="str">
        <f>IF(SEFAZ!D126="","",SEFAZ!D126)</f>
        <v/>
      </c>
      <c r="E144" s="7" t="str">
        <f>IF(SEFAZ!E126="","",SEFAZ!E126)</f>
        <v/>
      </c>
      <c r="F144" s="6" t="str">
        <f>IF(SEFAZ!F126="","",VALUE(SUBSTITUTE(SEFAZ!F126,"'","")))</f>
        <v/>
      </c>
      <c r="G144" t="str">
        <f>IF(SEFAZ!H126="","",SEFAZ!H126)</f>
        <v/>
      </c>
      <c r="H144" t="str">
        <f>IF(SEFAZ!L126="","",SEFAZ!L126)</f>
        <v/>
      </c>
      <c r="I144" t="str">
        <f>IF(SEFAZ!N126="","",SEFAZ!N126)</f>
        <v/>
      </c>
      <c r="J144" t="str">
        <f>IF(SEFAZ!O126="","",SEFAZ!O126)</f>
        <v/>
      </c>
      <c r="K144" s="11" t="str">
        <f>IF(SEFAZ!P126="","",SEFAZ!P126)</f>
        <v/>
      </c>
      <c r="L144" t="str" cm="1">
        <f t="array" aca="1" ref="L1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4" t="s">
        <v>35</v>
      </c>
      <c r="O144" s="36" t="str">
        <f>IF(SEFAZ!B126="","",SEFAZ!B126)</f>
        <v/>
      </c>
    </row>
    <row r="145" spans="2:15" x14ac:dyDescent="0.3">
      <c r="B145" t="str">
        <f>IF(SEFAZ!A127="","",SEFAZ!A127)</f>
        <v/>
      </c>
      <c r="C145" t="str">
        <f>IF(SEFAZ!C127="","",SEFAZ!C127)</f>
        <v/>
      </c>
      <c r="D145" t="str">
        <f>IF(SEFAZ!D127="","",SEFAZ!D127)</f>
        <v/>
      </c>
      <c r="E145" s="7" t="str">
        <f>IF(SEFAZ!E127="","",SEFAZ!E127)</f>
        <v/>
      </c>
      <c r="F145" s="6" t="str">
        <f>IF(SEFAZ!F127="","",VALUE(SUBSTITUTE(SEFAZ!F127,"'","")))</f>
        <v/>
      </c>
      <c r="G145" t="str">
        <f>IF(SEFAZ!H127="","",SEFAZ!H127)</f>
        <v/>
      </c>
      <c r="H145" t="str">
        <f>IF(SEFAZ!L127="","",SEFAZ!L127)</f>
        <v/>
      </c>
      <c r="I145" t="str">
        <f>IF(SEFAZ!N127="","",SEFAZ!N127)</f>
        <v/>
      </c>
      <c r="J145" t="str">
        <f>IF(SEFAZ!O127="","",SEFAZ!O127)</f>
        <v/>
      </c>
      <c r="K145" s="11" t="str">
        <f>IF(SEFAZ!P127="","",SEFAZ!P127)</f>
        <v/>
      </c>
      <c r="L145" t="str" cm="1">
        <f t="array" aca="1" ref="L1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5" t="s">
        <v>35</v>
      </c>
      <c r="O145" s="36" t="str">
        <f>IF(SEFAZ!B127="","",SEFAZ!B127)</f>
        <v/>
      </c>
    </row>
    <row r="146" spans="2:15" x14ac:dyDescent="0.3">
      <c r="B146" t="str">
        <f>IF(SEFAZ!A128="","",SEFAZ!A128)</f>
        <v/>
      </c>
      <c r="C146" t="str">
        <f>IF(SEFAZ!C128="","",SEFAZ!C128)</f>
        <v/>
      </c>
      <c r="D146" t="str">
        <f>IF(SEFAZ!D128="","",SEFAZ!D128)</f>
        <v/>
      </c>
      <c r="E146" s="7" t="str">
        <f>IF(SEFAZ!E128="","",SEFAZ!E128)</f>
        <v/>
      </c>
      <c r="F146" s="6" t="str">
        <f>IF(SEFAZ!F128="","",VALUE(SUBSTITUTE(SEFAZ!F128,"'","")))</f>
        <v/>
      </c>
      <c r="G146" t="str">
        <f>IF(SEFAZ!H128="","",SEFAZ!H128)</f>
        <v/>
      </c>
      <c r="H146" t="str">
        <f>IF(SEFAZ!L128="","",SEFAZ!L128)</f>
        <v/>
      </c>
      <c r="I146" t="str">
        <f>IF(SEFAZ!N128="","",SEFAZ!N128)</f>
        <v/>
      </c>
      <c r="J146" t="str">
        <f>IF(SEFAZ!O128="","",SEFAZ!O128)</f>
        <v/>
      </c>
      <c r="K146" s="11" t="str">
        <f>IF(SEFAZ!P128="","",SEFAZ!P128)</f>
        <v/>
      </c>
      <c r="L146" t="str" cm="1">
        <f t="array" aca="1" ref="L1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6" t="s">
        <v>35</v>
      </c>
      <c r="O146" s="36" t="str">
        <f>IF(SEFAZ!B128="","",SEFAZ!B128)</f>
        <v/>
      </c>
    </row>
    <row r="147" spans="2:15" x14ac:dyDescent="0.3">
      <c r="B147" t="str">
        <f>IF(SEFAZ!A129="","",SEFAZ!A129)</f>
        <v/>
      </c>
      <c r="C147" t="str">
        <f>IF(SEFAZ!C129="","",SEFAZ!C129)</f>
        <v/>
      </c>
      <c r="D147" t="str">
        <f>IF(SEFAZ!D129="","",SEFAZ!D129)</f>
        <v/>
      </c>
      <c r="E147" s="7" t="str">
        <f>IF(SEFAZ!E129="","",SEFAZ!E129)</f>
        <v/>
      </c>
      <c r="F147" s="6" t="str">
        <f>IF(SEFAZ!F129="","",VALUE(SUBSTITUTE(SEFAZ!F129,"'","")))</f>
        <v/>
      </c>
      <c r="G147" t="str">
        <f>IF(SEFAZ!H129="","",SEFAZ!H129)</f>
        <v/>
      </c>
      <c r="H147" t="str">
        <f>IF(SEFAZ!L129="","",SEFAZ!L129)</f>
        <v/>
      </c>
      <c r="I147" t="str">
        <f>IF(SEFAZ!N129="","",SEFAZ!N129)</f>
        <v/>
      </c>
      <c r="J147" t="str">
        <f>IF(SEFAZ!O129="","",SEFAZ!O129)</f>
        <v/>
      </c>
      <c r="K147" s="11" t="str">
        <f>IF(SEFAZ!P129="","",SEFAZ!P129)</f>
        <v/>
      </c>
      <c r="L147" t="str" cm="1">
        <f t="array" aca="1" ref="L1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7" t="s">
        <v>35</v>
      </c>
      <c r="O147" s="36" t="str">
        <f>IF(SEFAZ!B129="","",SEFAZ!B129)</f>
        <v/>
      </c>
    </row>
    <row r="148" spans="2:15" x14ac:dyDescent="0.3">
      <c r="B148" t="str">
        <f>IF(SEFAZ!A130="","",SEFAZ!A130)</f>
        <v/>
      </c>
      <c r="C148" t="str">
        <f>IF(SEFAZ!C130="","",SEFAZ!C130)</f>
        <v/>
      </c>
      <c r="D148" t="str">
        <f>IF(SEFAZ!D130="","",SEFAZ!D130)</f>
        <v/>
      </c>
      <c r="E148" s="7" t="str">
        <f>IF(SEFAZ!E130="","",SEFAZ!E130)</f>
        <v/>
      </c>
      <c r="F148" s="6" t="str">
        <f>IF(SEFAZ!F130="","",VALUE(SUBSTITUTE(SEFAZ!F130,"'","")))</f>
        <v/>
      </c>
      <c r="G148" t="str">
        <f>IF(SEFAZ!H130="","",SEFAZ!H130)</f>
        <v/>
      </c>
      <c r="H148" t="str">
        <f>IF(SEFAZ!L130="","",SEFAZ!L130)</f>
        <v/>
      </c>
      <c r="I148" t="str">
        <f>IF(SEFAZ!N130="","",SEFAZ!N130)</f>
        <v/>
      </c>
      <c r="J148" t="str">
        <f>IF(SEFAZ!O130="","",SEFAZ!O130)</f>
        <v/>
      </c>
      <c r="K148" s="11" t="str">
        <f>IF(SEFAZ!P130="","",SEFAZ!P130)</f>
        <v/>
      </c>
      <c r="L148" t="str" cm="1">
        <f t="array" aca="1" ref="L1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8" t="s">
        <v>35</v>
      </c>
      <c r="O148" s="36" t="str">
        <f>IF(SEFAZ!B130="","",SEFAZ!B130)</f>
        <v/>
      </c>
    </row>
    <row r="149" spans="2:15" x14ac:dyDescent="0.3">
      <c r="B149" t="str">
        <f>IF(SEFAZ!A131="","",SEFAZ!A131)</f>
        <v/>
      </c>
      <c r="C149" t="str">
        <f>IF(SEFAZ!C131="","",SEFAZ!C131)</f>
        <v/>
      </c>
      <c r="D149" t="str">
        <f>IF(SEFAZ!D131="","",SEFAZ!D131)</f>
        <v/>
      </c>
      <c r="E149" s="7" t="str">
        <f>IF(SEFAZ!E131="","",SEFAZ!E131)</f>
        <v/>
      </c>
      <c r="F149" s="6" t="str">
        <f>IF(SEFAZ!F131="","",VALUE(SUBSTITUTE(SEFAZ!F131,"'","")))</f>
        <v/>
      </c>
      <c r="G149" t="str">
        <f>IF(SEFAZ!H131="","",SEFAZ!H131)</f>
        <v/>
      </c>
      <c r="H149" t="str">
        <f>IF(SEFAZ!L131="","",SEFAZ!L131)</f>
        <v/>
      </c>
      <c r="I149" t="str">
        <f>IF(SEFAZ!N131="","",SEFAZ!N131)</f>
        <v/>
      </c>
      <c r="J149" t="str">
        <f>IF(SEFAZ!O131="","",SEFAZ!O131)</f>
        <v/>
      </c>
      <c r="K149" s="11" t="str">
        <f>IF(SEFAZ!P131="","",SEFAZ!P131)</f>
        <v/>
      </c>
      <c r="L149" t="str" cm="1">
        <f t="array" aca="1" ref="L1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49" t="s">
        <v>35</v>
      </c>
      <c r="O149" s="36" t="str">
        <f>IF(SEFAZ!B131="","",SEFAZ!B131)</f>
        <v/>
      </c>
    </row>
    <row r="150" spans="2:15" x14ac:dyDescent="0.3">
      <c r="B150" t="str">
        <f>IF(SEFAZ!A132="","",SEFAZ!A132)</f>
        <v/>
      </c>
      <c r="C150" t="str">
        <f>IF(SEFAZ!C132="","",SEFAZ!C132)</f>
        <v/>
      </c>
      <c r="D150" t="str">
        <f>IF(SEFAZ!D132="","",SEFAZ!D132)</f>
        <v/>
      </c>
      <c r="E150" s="7" t="str">
        <f>IF(SEFAZ!E132="","",SEFAZ!E132)</f>
        <v/>
      </c>
      <c r="F150" s="6" t="str">
        <f>IF(SEFAZ!F132="","",VALUE(SUBSTITUTE(SEFAZ!F132,"'","")))</f>
        <v/>
      </c>
      <c r="G150" t="str">
        <f>IF(SEFAZ!H132="","",SEFAZ!H132)</f>
        <v/>
      </c>
      <c r="H150" t="str">
        <f>IF(SEFAZ!L132="","",SEFAZ!L132)</f>
        <v/>
      </c>
      <c r="I150" t="str">
        <f>IF(SEFAZ!N132="","",SEFAZ!N132)</f>
        <v/>
      </c>
      <c r="J150" t="str">
        <f>IF(SEFAZ!O132="","",SEFAZ!O132)</f>
        <v/>
      </c>
      <c r="K150" s="11" t="str">
        <f>IF(SEFAZ!P132="","",SEFAZ!P132)</f>
        <v/>
      </c>
      <c r="L150" t="str" cm="1">
        <f t="array" aca="1" ref="L1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0" t="s">
        <v>35</v>
      </c>
      <c r="O150" s="36" t="str">
        <f>IF(SEFAZ!B132="","",SEFAZ!B132)</f>
        <v/>
      </c>
    </row>
    <row r="151" spans="2:15" x14ac:dyDescent="0.3">
      <c r="B151" t="str">
        <f>IF(SEFAZ!A133="","",SEFAZ!A133)</f>
        <v/>
      </c>
      <c r="C151" t="str">
        <f>IF(SEFAZ!C133="","",SEFAZ!C133)</f>
        <v/>
      </c>
      <c r="D151" t="str">
        <f>IF(SEFAZ!D133="","",SEFAZ!D133)</f>
        <v/>
      </c>
      <c r="E151" s="7" t="str">
        <f>IF(SEFAZ!E133="","",SEFAZ!E133)</f>
        <v/>
      </c>
      <c r="F151" s="6" t="str">
        <f>IF(SEFAZ!F133="","",VALUE(SUBSTITUTE(SEFAZ!F133,"'","")))</f>
        <v/>
      </c>
      <c r="G151" t="str">
        <f>IF(SEFAZ!H133="","",SEFAZ!H133)</f>
        <v/>
      </c>
      <c r="H151" t="str">
        <f>IF(SEFAZ!L133="","",SEFAZ!L133)</f>
        <v/>
      </c>
      <c r="I151" t="str">
        <f>IF(SEFAZ!N133="","",SEFAZ!N133)</f>
        <v/>
      </c>
      <c r="J151" t="str">
        <f>IF(SEFAZ!O133="","",SEFAZ!O133)</f>
        <v/>
      </c>
      <c r="K151" s="11" t="str">
        <f>IF(SEFAZ!P133="","",SEFAZ!P133)</f>
        <v/>
      </c>
      <c r="L151" t="str" cm="1">
        <f t="array" aca="1" ref="L1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1" t="s">
        <v>35</v>
      </c>
      <c r="O151" s="36" t="str">
        <f>IF(SEFAZ!B133="","",SEFAZ!B133)</f>
        <v/>
      </c>
    </row>
    <row r="152" spans="2:15" x14ac:dyDescent="0.3">
      <c r="B152" t="str">
        <f>IF(SEFAZ!A134="","",SEFAZ!A134)</f>
        <v/>
      </c>
      <c r="C152" t="str">
        <f>IF(SEFAZ!C134="","",SEFAZ!C134)</f>
        <v/>
      </c>
      <c r="D152" t="str">
        <f>IF(SEFAZ!D134="","",SEFAZ!D134)</f>
        <v/>
      </c>
      <c r="E152" s="7" t="str">
        <f>IF(SEFAZ!E134="","",SEFAZ!E134)</f>
        <v/>
      </c>
      <c r="F152" s="6" t="str">
        <f>IF(SEFAZ!F134="","",VALUE(SUBSTITUTE(SEFAZ!F134,"'","")))</f>
        <v/>
      </c>
      <c r="G152" t="str">
        <f>IF(SEFAZ!H134="","",SEFAZ!H134)</f>
        <v/>
      </c>
      <c r="H152" t="str">
        <f>IF(SEFAZ!L134="","",SEFAZ!L134)</f>
        <v/>
      </c>
      <c r="I152" t="str">
        <f>IF(SEFAZ!N134="","",SEFAZ!N134)</f>
        <v/>
      </c>
      <c r="J152" t="str">
        <f>IF(SEFAZ!O134="","",SEFAZ!O134)</f>
        <v/>
      </c>
      <c r="K152" s="11" t="str">
        <f>IF(SEFAZ!P134="","",SEFAZ!P134)</f>
        <v/>
      </c>
      <c r="L152" t="str" cm="1">
        <f t="array" aca="1" ref="L1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2" t="s">
        <v>35</v>
      </c>
      <c r="O152" s="36" t="str">
        <f>IF(SEFAZ!B134="","",SEFAZ!B134)</f>
        <v/>
      </c>
    </row>
    <row r="153" spans="2:15" x14ac:dyDescent="0.3">
      <c r="B153" t="str">
        <f>IF(SEFAZ!A135="","",SEFAZ!A135)</f>
        <v/>
      </c>
      <c r="C153" t="str">
        <f>IF(SEFAZ!C135="","",SEFAZ!C135)</f>
        <v/>
      </c>
      <c r="D153" t="str">
        <f>IF(SEFAZ!D135="","",SEFAZ!D135)</f>
        <v/>
      </c>
      <c r="E153" s="7" t="str">
        <f>IF(SEFAZ!E135="","",SEFAZ!E135)</f>
        <v/>
      </c>
      <c r="F153" s="6" t="str">
        <f>IF(SEFAZ!F135="","",VALUE(SUBSTITUTE(SEFAZ!F135,"'","")))</f>
        <v/>
      </c>
      <c r="G153" t="str">
        <f>IF(SEFAZ!H135="","",SEFAZ!H135)</f>
        <v/>
      </c>
      <c r="H153" t="str">
        <f>IF(SEFAZ!L135="","",SEFAZ!L135)</f>
        <v/>
      </c>
      <c r="I153" t="str">
        <f>IF(SEFAZ!N135="","",SEFAZ!N135)</f>
        <v/>
      </c>
      <c r="J153" t="str">
        <f>IF(SEFAZ!O135="","",SEFAZ!O135)</f>
        <v/>
      </c>
      <c r="K153" s="11" t="str">
        <f>IF(SEFAZ!P135="","",SEFAZ!P135)</f>
        <v/>
      </c>
      <c r="L153" t="str" cm="1">
        <f t="array" aca="1" ref="L1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3" t="s">
        <v>35</v>
      </c>
      <c r="O153" s="36" t="str">
        <f>IF(SEFAZ!B135="","",SEFAZ!B135)</f>
        <v/>
      </c>
    </row>
    <row r="154" spans="2:15" x14ac:dyDescent="0.3">
      <c r="B154" t="str">
        <f>IF(SEFAZ!A136="","",SEFAZ!A136)</f>
        <v/>
      </c>
      <c r="C154" t="str">
        <f>IF(SEFAZ!C136="","",SEFAZ!C136)</f>
        <v/>
      </c>
      <c r="D154" t="str">
        <f>IF(SEFAZ!D136="","",SEFAZ!D136)</f>
        <v/>
      </c>
      <c r="E154" s="7" t="str">
        <f>IF(SEFAZ!E136="","",SEFAZ!E136)</f>
        <v/>
      </c>
      <c r="F154" s="6" t="str">
        <f>IF(SEFAZ!F136="","",VALUE(SUBSTITUTE(SEFAZ!F136,"'","")))</f>
        <v/>
      </c>
      <c r="G154" t="str">
        <f>IF(SEFAZ!H136="","",SEFAZ!H136)</f>
        <v/>
      </c>
      <c r="H154" t="str">
        <f>IF(SEFAZ!L136="","",SEFAZ!L136)</f>
        <v/>
      </c>
      <c r="I154" t="str">
        <f>IF(SEFAZ!N136="","",SEFAZ!N136)</f>
        <v/>
      </c>
      <c r="J154" t="str">
        <f>IF(SEFAZ!O136="","",SEFAZ!O136)</f>
        <v/>
      </c>
      <c r="K154" s="11" t="str">
        <f>IF(SEFAZ!P136="","",SEFAZ!P136)</f>
        <v/>
      </c>
      <c r="L154" t="str" cm="1">
        <f t="array" aca="1" ref="L1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4" t="s">
        <v>35</v>
      </c>
      <c r="O154" s="36" t="str">
        <f>IF(SEFAZ!B136="","",SEFAZ!B136)</f>
        <v/>
      </c>
    </row>
    <row r="155" spans="2:15" x14ac:dyDescent="0.3">
      <c r="B155" t="str">
        <f>IF(SEFAZ!A137="","",SEFAZ!A137)</f>
        <v/>
      </c>
      <c r="C155" t="str">
        <f>IF(SEFAZ!C137="","",SEFAZ!C137)</f>
        <v/>
      </c>
      <c r="D155" t="str">
        <f>IF(SEFAZ!D137="","",SEFAZ!D137)</f>
        <v/>
      </c>
      <c r="E155" s="7" t="str">
        <f>IF(SEFAZ!E137="","",SEFAZ!E137)</f>
        <v/>
      </c>
      <c r="F155" s="6" t="str">
        <f>IF(SEFAZ!F137="","",VALUE(SUBSTITUTE(SEFAZ!F137,"'","")))</f>
        <v/>
      </c>
      <c r="G155" t="str">
        <f>IF(SEFAZ!H137="","",SEFAZ!H137)</f>
        <v/>
      </c>
      <c r="H155" t="str">
        <f>IF(SEFAZ!L137="","",SEFAZ!L137)</f>
        <v/>
      </c>
      <c r="I155" t="str">
        <f>IF(SEFAZ!N137="","",SEFAZ!N137)</f>
        <v/>
      </c>
      <c r="J155" t="str">
        <f>IF(SEFAZ!O137="","",SEFAZ!O137)</f>
        <v/>
      </c>
      <c r="K155" s="11" t="str">
        <f>IF(SEFAZ!P137="","",SEFAZ!P137)</f>
        <v/>
      </c>
      <c r="L155" t="str" cm="1">
        <f t="array" aca="1" ref="L1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5" t="s">
        <v>35</v>
      </c>
      <c r="O155" s="36" t="str">
        <f>IF(SEFAZ!B137="","",SEFAZ!B137)</f>
        <v/>
      </c>
    </row>
    <row r="156" spans="2:15" x14ac:dyDescent="0.3">
      <c r="B156" t="str">
        <f>IF(SEFAZ!A138="","",SEFAZ!A138)</f>
        <v/>
      </c>
      <c r="C156" t="str">
        <f>IF(SEFAZ!C138="","",SEFAZ!C138)</f>
        <v/>
      </c>
      <c r="D156" t="str">
        <f>IF(SEFAZ!D138="","",SEFAZ!D138)</f>
        <v/>
      </c>
      <c r="E156" s="7" t="str">
        <f>IF(SEFAZ!E138="","",SEFAZ!E138)</f>
        <v/>
      </c>
      <c r="F156" s="6" t="str">
        <f>IF(SEFAZ!F138="","",VALUE(SUBSTITUTE(SEFAZ!F138,"'","")))</f>
        <v/>
      </c>
      <c r="G156" t="str">
        <f>IF(SEFAZ!H138="","",SEFAZ!H138)</f>
        <v/>
      </c>
      <c r="H156" t="str">
        <f>IF(SEFAZ!L138="","",SEFAZ!L138)</f>
        <v/>
      </c>
      <c r="I156" t="str">
        <f>IF(SEFAZ!N138="","",SEFAZ!N138)</f>
        <v/>
      </c>
      <c r="J156" t="str">
        <f>IF(SEFAZ!O138="","",SEFAZ!O138)</f>
        <v/>
      </c>
      <c r="K156" s="11" t="str">
        <f>IF(SEFAZ!P138="","",SEFAZ!P138)</f>
        <v/>
      </c>
      <c r="L156" t="str" cm="1">
        <f t="array" aca="1" ref="L1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6" t="s">
        <v>35</v>
      </c>
      <c r="O156" s="36" t="str">
        <f>IF(SEFAZ!B138="","",SEFAZ!B138)</f>
        <v/>
      </c>
    </row>
    <row r="157" spans="2:15" x14ac:dyDescent="0.3">
      <c r="B157" t="str">
        <f>IF(SEFAZ!A139="","",SEFAZ!A139)</f>
        <v/>
      </c>
      <c r="C157" t="str">
        <f>IF(SEFAZ!C139="","",SEFAZ!C139)</f>
        <v/>
      </c>
      <c r="D157" t="str">
        <f>IF(SEFAZ!D139="","",SEFAZ!D139)</f>
        <v/>
      </c>
      <c r="E157" s="7" t="str">
        <f>IF(SEFAZ!E139="","",SEFAZ!E139)</f>
        <v/>
      </c>
      <c r="F157" s="6" t="str">
        <f>IF(SEFAZ!F139="","",VALUE(SUBSTITUTE(SEFAZ!F139,"'","")))</f>
        <v/>
      </c>
      <c r="G157" t="str">
        <f>IF(SEFAZ!H139="","",SEFAZ!H139)</f>
        <v/>
      </c>
      <c r="H157" t="str">
        <f>IF(SEFAZ!L139="","",SEFAZ!L139)</f>
        <v/>
      </c>
      <c r="I157" t="str">
        <f>IF(SEFAZ!N139="","",SEFAZ!N139)</f>
        <v/>
      </c>
      <c r="J157" t="str">
        <f>IF(SEFAZ!O139="","",SEFAZ!O139)</f>
        <v/>
      </c>
      <c r="K157" s="11" t="str">
        <f>IF(SEFAZ!P139="","",SEFAZ!P139)</f>
        <v/>
      </c>
      <c r="L157" t="str" cm="1">
        <f t="array" aca="1" ref="L1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7" t="s">
        <v>35</v>
      </c>
      <c r="O157" s="36" t="str">
        <f>IF(SEFAZ!B139="","",SEFAZ!B139)</f>
        <v/>
      </c>
    </row>
    <row r="158" spans="2:15" x14ac:dyDescent="0.3">
      <c r="B158" t="str">
        <f>IF(SEFAZ!A140="","",SEFAZ!A140)</f>
        <v/>
      </c>
      <c r="C158" t="str">
        <f>IF(SEFAZ!C140="","",SEFAZ!C140)</f>
        <v/>
      </c>
      <c r="D158" t="str">
        <f>IF(SEFAZ!D140="","",SEFAZ!D140)</f>
        <v/>
      </c>
      <c r="E158" s="7" t="str">
        <f>IF(SEFAZ!E140="","",SEFAZ!E140)</f>
        <v/>
      </c>
      <c r="F158" s="6" t="str">
        <f>IF(SEFAZ!F140="","",VALUE(SUBSTITUTE(SEFAZ!F140,"'","")))</f>
        <v/>
      </c>
      <c r="G158" t="str">
        <f>IF(SEFAZ!H140="","",SEFAZ!H140)</f>
        <v/>
      </c>
      <c r="H158" t="str">
        <f>IF(SEFAZ!L140="","",SEFAZ!L140)</f>
        <v/>
      </c>
      <c r="I158" t="str">
        <f>IF(SEFAZ!N140="","",SEFAZ!N140)</f>
        <v/>
      </c>
      <c r="J158" t="str">
        <f>IF(SEFAZ!O140="","",SEFAZ!O140)</f>
        <v/>
      </c>
      <c r="K158" s="11" t="str">
        <f>IF(SEFAZ!P140="","",SEFAZ!P140)</f>
        <v/>
      </c>
      <c r="L158" t="str" cm="1">
        <f t="array" aca="1" ref="L1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8" t="s">
        <v>35</v>
      </c>
      <c r="O158" s="36" t="str">
        <f>IF(SEFAZ!B140="","",SEFAZ!B140)</f>
        <v/>
      </c>
    </row>
    <row r="159" spans="2:15" x14ac:dyDescent="0.3">
      <c r="B159" t="str">
        <f>IF(SEFAZ!A141="","",SEFAZ!A141)</f>
        <v/>
      </c>
      <c r="C159" t="str">
        <f>IF(SEFAZ!C141="","",SEFAZ!C141)</f>
        <v/>
      </c>
      <c r="D159" t="str">
        <f>IF(SEFAZ!D141="","",SEFAZ!D141)</f>
        <v/>
      </c>
      <c r="E159" s="7" t="str">
        <f>IF(SEFAZ!E141="","",SEFAZ!E141)</f>
        <v/>
      </c>
      <c r="F159" s="6" t="str">
        <f>IF(SEFAZ!F141="","",VALUE(SUBSTITUTE(SEFAZ!F141,"'","")))</f>
        <v/>
      </c>
      <c r="G159" t="str">
        <f>IF(SEFAZ!H141="","",SEFAZ!H141)</f>
        <v/>
      </c>
      <c r="H159" t="str">
        <f>IF(SEFAZ!L141="","",SEFAZ!L141)</f>
        <v/>
      </c>
      <c r="I159" t="str">
        <f>IF(SEFAZ!N141="","",SEFAZ!N141)</f>
        <v/>
      </c>
      <c r="J159" t="str">
        <f>IF(SEFAZ!O141="","",SEFAZ!O141)</f>
        <v/>
      </c>
      <c r="K159" s="11" t="str">
        <f>IF(SEFAZ!P141="","",SEFAZ!P141)</f>
        <v/>
      </c>
      <c r="L159" t="str" cm="1">
        <f t="array" aca="1" ref="L1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59" t="s">
        <v>35</v>
      </c>
      <c r="O159" s="36" t="str">
        <f>IF(SEFAZ!B141="","",SEFAZ!B141)</f>
        <v/>
      </c>
    </row>
    <row r="160" spans="2:15" x14ac:dyDescent="0.3">
      <c r="B160" t="str">
        <f>IF(SEFAZ!A142="","",SEFAZ!A142)</f>
        <v/>
      </c>
      <c r="C160" t="str">
        <f>IF(SEFAZ!C142="","",SEFAZ!C142)</f>
        <v/>
      </c>
      <c r="D160" t="str">
        <f>IF(SEFAZ!D142="","",SEFAZ!D142)</f>
        <v/>
      </c>
      <c r="E160" s="7" t="str">
        <f>IF(SEFAZ!E142="","",SEFAZ!E142)</f>
        <v/>
      </c>
      <c r="F160" s="6" t="str">
        <f>IF(SEFAZ!F142="","",VALUE(SUBSTITUTE(SEFAZ!F142,"'","")))</f>
        <v/>
      </c>
      <c r="G160" t="str">
        <f>IF(SEFAZ!H142="","",SEFAZ!H142)</f>
        <v/>
      </c>
      <c r="H160" t="str">
        <f>IF(SEFAZ!L142="","",SEFAZ!L142)</f>
        <v/>
      </c>
      <c r="I160" t="str">
        <f>IF(SEFAZ!N142="","",SEFAZ!N142)</f>
        <v/>
      </c>
      <c r="J160" t="str">
        <f>IF(SEFAZ!O142="","",SEFAZ!O142)</f>
        <v/>
      </c>
      <c r="K160" s="11" t="str">
        <f>IF(SEFAZ!P142="","",SEFAZ!P142)</f>
        <v/>
      </c>
      <c r="L160" t="str" cm="1">
        <f t="array" aca="1" ref="L1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0" t="s">
        <v>35</v>
      </c>
      <c r="O160" s="36" t="str">
        <f>IF(SEFAZ!B142="","",SEFAZ!B142)</f>
        <v/>
      </c>
    </row>
    <row r="161" spans="2:15" x14ac:dyDescent="0.3">
      <c r="B161" t="str">
        <f>IF(SEFAZ!A143="","",SEFAZ!A143)</f>
        <v/>
      </c>
      <c r="C161" t="str">
        <f>IF(SEFAZ!C143="","",SEFAZ!C143)</f>
        <v/>
      </c>
      <c r="D161" t="str">
        <f>IF(SEFAZ!D143="","",SEFAZ!D143)</f>
        <v/>
      </c>
      <c r="E161" s="7" t="str">
        <f>IF(SEFAZ!E143="","",SEFAZ!E143)</f>
        <v/>
      </c>
      <c r="F161" s="6" t="str">
        <f>IF(SEFAZ!F143="","",VALUE(SUBSTITUTE(SEFAZ!F143,"'","")))</f>
        <v/>
      </c>
      <c r="G161" t="str">
        <f>IF(SEFAZ!H143="","",SEFAZ!H143)</f>
        <v/>
      </c>
      <c r="H161" t="str">
        <f>IF(SEFAZ!L143="","",SEFAZ!L143)</f>
        <v/>
      </c>
      <c r="I161" t="str">
        <f>IF(SEFAZ!N143="","",SEFAZ!N143)</f>
        <v/>
      </c>
      <c r="J161" t="str">
        <f>IF(SEFAZ!O143="","",SEFAZ!O143)</f>
        <v/>
      </c>
      <c r="K161" s="11" t="str">
        <f>IF(SEFAZ!P143="","",SEFAZ!P143)</f>
        <v/>
      </c>
      <c r="L161" t="str" cm="1">
        <f t="array" aca="1" ref="L1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1" t="s">
        <v>35</v>
      </c>
      <c r="O161" s="36" t="str">
        <f>IF(SEFAZ!B143="","",SEFAZ!B143)</f>
        <v/>
      </c>
    </row>
    <row r="162" spans="2:15" x14ac:dyDescent="0.3">
      <c r="B162" t="str">
        <f>IF(SEFAZ!A144="","",SEFAZ!A144)</f>
        <v/>
      </c>
      <c r="C162" t="str">
        <f>IF(SEFAZ!C144="","",SEFAZ!C144)</f>
        <v/>
      </c>
      <c r="D162" t="str">
        <f>IF(SEFAZ!D144="","",SEFAZ!D144)</f>
        <v/>
      </c>
      <c r="E162" s="7" t="str">
        <f>IF(SEFAZ!E144="","",SEFAZ!E144)</f>
        <v/>
      </c>
      <c r="F162" s="6" t="str">
        <f>IF(SEFAZ!F144="","",VALUE(SUBSTITUTE(SEFAZ!F144,"'","")))</f>
        <v/>
      </c>
      <c r="G162" t="str">
        <f>IF(SEFAZ!H144="","",SEFAZ!H144)</f>
        <v/>
      </c>
      <c r="H162" t="str">
        <f>IF(SEFAZ!L144="","",SEFAZ!L144)</f>
        <v/>
      </c>
      <c r="I162" t="str">
        <f>IF(SEFAZ!N144="","",SEFAZ!N144)</f>
        <v/>
      </c>
      <c r="J162" t="str">
        <f>IF(SEFAZ!O144="","",SEFAZ!O144)</f>
        <v/>
      </c>
      <c r="K162" s="11" t="str">
        <f>IF(SEFAZ!P144="","",SEFAZ!P144)</f>
        <v/>
      </c>
      <c r="L162" t="str" cm="1">
        <f t="array" aca="1" ref="L1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2" t="s">
        <v>35</v>
      </c>
      <c r="O162" s="36" t="str">
        <f>IF(SEFAZ!B144="","",SEFAZ!B144)</f>
        <v/>
      </c>
    </row>
    <row r="163" spans="2:15" x14ac:dyDescent="0.3">
      <c r="B163" t="str">
        <f>IF(SEFAZ!A145="","",SEFAZ!A145)</f>
        <v/>
      </c>
      <c r="C163" t="str">
        <f>IF(SEFAZ!C145="","",SEFAZ!C145)</f>
        <v/>
      </c>
      <c r="D163" t="str">
        <f>IF(SEFAZ!D145="","",SEFAZ!D145)</f>
        <v/>
      </c>
      <c r="E163" s="7" t="str">
        <f>IF(SEFAZ!E145="","",SEFAZ!E145)</f>
        <v/>
      </c>
      <c r="F163" s="6" t="str">
        <f>IF(SEFAZ!F145="","",VALUE(SUBSTITUTE(SEFAZ!F145,"'","")))</f>
        <v/>
      </c>
      <c r="G163" t="str">
        <f>IF(SEFAZ!H145="","",SEFAZ!H145)</f>
        <v/>
      </c>
      <c r="H163" t="str">
        <f>IF(SEFAZ!L145="","",SEFAZ!L145)</f>
        <v/>
      </c>
      <c r="I163" t="str">
        <f>IF(SEFAZ!N145="","",SEFAZ!N145)</f>
        <v/>
      </c>
      <c r="J163" t="str">
        <f>IF(SEFAZ!O145="","",SEFAZ!O145)</f>
        <v/>
      </c>
      <c r="K163" s="11" t="str">
        <f>IF(SEFAZ!P145="","",SEFAZ!P145)</f>
        <v/>
      </c>
      <c r="L163" t="str" cm="1">
        <f t="array" aca="1" ref="L1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3" t="s">
        <v>35</v>
      </c>
      <c r="O163" s="36" t="str">
        <f>IF(SEFAZ!B145="","",SEFAZ!B145)</f>
        <v/>
      </c>
    </row>
    <row r="164" spans="2:15" x14ac:dyDescent="0.3">
      <c r="B164" t="str">
        <f>IF(SEFAZ!A146="","",SEFAZ!A146)</f>
        <v/>
      </c>
      <c r="C164" t="str">
        <f>IF(SEFAZ!C146="","",SEFAZ!C146)</f>
        <v/>
      </c>
      <c r="D164" t="str">
        <f>IF(SEFAZ!D146="","",SEFAZ!D146)</f>
        <v/>
      </c>
      <c r="E164" s="7" t="str">
        <f>IF(SEFAZ!E146="","",SEFAZ!E146)</f>
        <v/>
      </c>
      <c r="F164" s="6" t="str">
        <f>IF(SEFAZ!F146="","",VALUE(SUBSTITUTE(SEFAZ!F146,"'","")))</f>
        <v/>
      </c>
      <c r="G164" t="str">
        <f>IF(SEFAZ!H146="","",SEFAZ!H146)</f>
        <v/>
      </c>
      <c r="H164" t="str">
        <f>IF(SEFAZ!L146="","",SEFAZ!L146)</f>
        <v/>
      </c>
      <c r="I164" t="str">
        <f>IF(SEFAZ!N146="","",SEFAZ!N146)</f>
        <v/>
      </c>
      <c r="J164" t="str">
        <f>IF(SEFAZ!O146="","",SEFAZ!O146)</f>
        <v/>
      </c>
      <c r="K164" s="11" t="str">
        <f>IF(SEFAZ!P146="","",SEFAZ!P146)</f>
        <v/>
      </c>
      <c r="L164" t="str" cm="1">
        <f t="array" aca="1" ref="L1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4" t="s">
        <v>35</v>
      </c>
      <c r="O164" s="36" t="str">
        <f>IF(SEFAZ!B146="","",SEFAZ!B146)</f>
        <v/>
      </c>
    </row>
    <row r="165" spans="2:15" x14ac:dyDescent="0.3">
      <c r="B165" t="str">
        <f>IF(SEFAZ!A147="","",SEFAZ!A147)</f>
        <v/>
      </c>
      <c r="C165" t="str">
        <f>IF(SEFAZ!C147="","",SEFAZ!C147)</f>
        <v/>
      </c>
      <c r="D165" t="str">
        <f>IF(SEFAZ!D147="","",SEFAZ!D147)</f>
        <v/>
      </c>
      <c r="E165" s="7" t="str">
        <f>IF(SEFAZ!E147="","",SEFAZ!E147)</f>
        <v/>
      </c>
      <c r="F165" s="6" t="str">
        <f>IF(SEFAZ!F147="","",VALUE(SUBSTITUTE(SEFAZ!F147,"'","")))</f>
        <v/>
      </c>
      <c r="G165" t="str">
        <f>IF(SEFAZ!H147="","",SEFAZ!H147)</f>
        <v/>
      </c>
      <c r="H165" t="str">
        <f>IF(SEFAZ!L147="","",SEFAZ!L147)</f>
        <v/>
      </c>
      <c r="I165" t="str">
        <f>IF(SEFAZ!N147="","",SEFAZ!N147)</f>
        <v/>
      </c>
      <c r="J165" t="str">
        <f>IF(SEFAZ!O147="","",SEFAZ!O147)</f>
        <v/>
      </c>
      <c r="K165" s="11" t="str">
        <f>IF(SEFAZ!P147="","",SEFAZ!P147)</f>
        <v/>
      </c>
      <c r="L165" t="str" cm="1">
        <f t="array" aca="1" ref="L1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5" t="s">
        <v>35</v>
      </c>
      <c r="O165" s="36" t="str">
        <f>IF(SEFAZ!B147="","",SEFAZ!B147)</f>
        <v/>
      </c>
    </row>
    <row r="166" spans="2:15" x14ac:dyDescent="0.3">
      <c r="B166" t="str">
        <f>IF(SEFAZ!A148="","",SEFAZ!A148)</f>
        <v/>
      </c>
      <c r="C166" t="str">
        <f>IF(SEFAZ!C148="","",SEFAZ!C148)</f>
        <v/>
      </c>
      <c r="D166" t="str">
        <f>IF(SEFAZ!D148="","",SEFAZ!D148)</f>
        <v/>
      </c>
      <c r="E166" s="7" t="str">
        <f>IF(SEFAZ!E148="","",SEFAZ!E148)</f>
        <v/>
      </c>
      <c r="F166" s="6" t="str">
        <f>IF(SEFAZ!F148="","",VALUE(SUBSTITUTE(SEFAZ!F148,"'","")))</f>
        <v/>
      </c>
      <c r="G166" t="str">
        <f>IF(SEFAZ!H148="","",SEFAZ!H148)</f>
        <v/>
      </c>
      <c r="H166" t="str">
        <f>IF(SEFAZ!L148="","",SEFAZ!L148)</f>
        <v/>
      </c>
      <c r="I166" t="str">
        <f>IF(SEFAZ!N148="","",SEFAZ!N148)</f>
        <v/>
      </c>
      <c r="J166" t="str">
        <f>IF(SEFAZ!O148="","",SEFAZ!O148)</f>
        <v/>
      </c>
      <c r="K166" s="11" t="str">
        <f>IF(SEFAZ!P148="","",SEFAZ!P148)</f>
        <v/>
      </c>
      <c r="L166" t="str" cm="1">
        <f t="array" aca="1" ref="L1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6" t="s">
        <v>35</v>
      </c>
      <c r="O166" s="36" t="str">
        <f>IF(SEFAZ!B148="","",SEFAZ!B148)</f>
        <v/>
      </c>
    </row>
    <row r="167" spans="2:15" x14ac:dyDescent="0.3">
      <c r="B167" t="str">
        <f>IF(SEFAZ!A149="","",SEFAZ!A149)</f>
        <v/>
      </c>
      <c r="C167" t="str">
        <f>IF(SEFAZ!C149="","",SEFAZ!C149)</f>
        <v/>
      </c>
      <c r="D167" t="str">
        <f>IF(SEFAZ!D149="","",SEFAZ!D149)</f>
        <v/>
      </c>
      <c r="E167" s="7" t="str">
        <f>IF(SEFAZ!E149="","",SEFAZ!E149)</f>
        <v/>
      </c>
      <c r="F167" s="6" t="str">
        <f>IF(SEFAZ!F149="","",VALUE(SUBSTITUTE(SEFAZ!F149,"'","")))</f>
        <v/>
      </c>
      <c r="G167" t="str">
        <f>IF(SEFAZ!H149="","",SEFAZ!H149)</f>
        <v/>
      </c>
      <c r="H167" t="str">
        <f>IF(SEFAZ!L149="","",SEFAZ!L149)</f>
        <v/>
      </c>
      <c r="I167" t="str">
        <f>IF(SEFAZ!N149="","",SEFAZ!N149)</f>
        <v/>
      </c>
      <c r="J167" t="str">
        <f>IF(SEFAZ!O149="","",SEFAZ!O149)</f>
        <v/>
      </c>
      <c r="K167" s="11" t="str">
        <f>IF(SEFAZ!P149="","",SEFAZ!P149)</f>
        <v/>
      </c>
      <c r="L167" t="str" cm="1">
        <f t="array" aca="1" ref="L1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7" t="s">
        <v>35</v>
      </c>
      <c r="O167" s="36" t="str">
        <f>IF(SEFAZ!B149="","",SEFAZ!B149)</f>
        <v/>
      </c>
    </row>
    <row r="168" spans="2:15" x14ac:dyDescent="0.3">
      <c r="B168" t="str">
        <f>IF(SEFAZ!A150="","",SEFAZ!A150)</f>
        <v/>
      </c>
      <c r="C168" t="str">
        <f>IF(SEFAZ!C150="","",SEFAZ!C150)</f>
        <v/>
      </c>
      <c r="D168" t="str">
        <f>IF(SEFAZ!D150="","",SEFAZ!D150)</f>
        <v/>
      </c>
      <c r="E168" s="7" t="str">
        <f>IF(SEFAZ!E150="","",SEFAZ!E150)</f>
        <v/>
      </c>
      <c r="F168" s="6" t="str">
        <f>IF(SEFAZ!F150="","",VALUE(SUBSTITUTE(SEFAZ!F150,"'","")))</f>
        <v/>
      </c>
      <c r="G168" t="str">
        <f>IF(SEFAZ!H150="","",SEFAZ!H150)</f>
        <v/>
      </c>
      <c r="H168" t="str">
        <f>IF(SEFAZ!L150="","",SEFAZ!L150)</f>
        <v/>
      </c>
      <c r="I168" t="str">
        <f>IF(SEFAZ!N150="","",SEFAZ!N150)</f>
        <v/>
      </c>
      <c r="J168" t="str">
        <f>IF(SEFAZ!O150="","",SEFAZ!O150)</f>
        <v/>
      </c>
      <c r="K168" s="11" t="str">
        <f>IF(SEFAZ!P150="","",SEFAZ!P150)</f>
        <v/>
      </c>
      <c r="L168" t="str" cm="1">
        <f t="array" aca="1" ref="L1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8" t="s">
        <v>35</v>
      </c>
      <c r="O168" s="36" t="str">
        <f>IF(SEFAZ!B150="","",SEFAZ!B150)</f>
        <v/>
      </c>
    </row>
    <row r="169" spans="2:15" x14ac:dyDescent="0.3">
      <c r="B169" t="str">
        <f>IF(SEFAZ!A151="","",SEFAZ!A151)</f>
        <v/>
      </c>
      <c r="C169" t="str">
        <f>IF(SEFAZ!C151="","",SEFAZ!C151)</f>
        <v/>
      </c>
      <c r="D169" t="str">
        <f>IF(SEFAZ!D151="","",SEFAZ!D151)</f>
        <v/>
      </c>
      <c r="E169" s="7" t="str">
        <f>IF(SEFAZ!E151="","",SEFAZ!E151)</f>
        <v/>
      </c>
      <c r="F169" s="6" t="str">
        <f>IF(SEFAZ!F151="","",VALUE(SUBSTITUTE(SEFAZ!F151,"'","")))</f>
        <v/>
      </c>
      <c r="G169" t="str">
        <f>IF(SEFAZ!H151="","",SEFAZ!H151)</f>
        <v/>
      </c>
      <c r="H169" t="str">
        <f>IF(SEFAZ!L151="","",SEFAZ!L151)</f>
        <v/>
      </c>
      <c r="I169" t="str">
        <f>IF(SEFAZ!N151="","",SEFAZ!N151)</f>
        <v/>
      </c>
      <c r="J169" t="str">
        <f>IF(SEFAZ!O151="","",SEFAZ!O151)</f>
        <v/>
      </c>
      <c r="K169" s="11" t="str">
        <f>IF(SEFAZ!P151="","",SEFAZ!P151)</f>
        <v/>
      </c>
      <c r="L169" t="str" cm="1">
        <f t="array" aca="1" ref="L1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69" t="s">
        <v>35</v>
      </c>
      <c r="O169" s="36" t="str">
        <f>IF(SEFAZ!B151="","",SEFAZ!B151)</f>
        <v/>
      </c>
    </row>
    <row r="170" spans="2:15" x14ac:dyDescent="0.3">
      <c r="B170" t="str">
        <f>IF(SEFAZ!A152="","",SEFAZ!A152)</f>
        <v/>
      </c>
      <c r="C170" t="str">
        <f>IF(SEFAZ!C152="","",SEFAZ!C152)</f>
        <v/>
      </c>
      <c r="D170" t="str">
        <f>IF(SEFAZ!D152="","",SEFAZ!D152)</f>
        <v/>
      </c>
      <c r="E170" s="7" t="str">
        <f>IF(SEFAZ!E152="","",SEFAZ!E152)</f>
        <v/>
      </c>
      <c r="F170" s="6" t="str">
        <f>IF(SEFAZ!F152="","",VALUE(SUBSTITUTE(SEFAZ!F152,"'","")))</f>
        <v/>
      </c>
      <c r="G170" t="str">
        <f>IF(SEFAZ!H152="","",SEFAZ!H152)</f>
        <v/>
      </c>
      <c r="H170" t="str">
        <f>IF(SEFAZ!L152="","",SEFAZ!L152)</f>
        <v/>
      </c>
      <c r="I170" t="str">
        <f>IF(SEFAZ!N152="","",SEFAZ!N152)</f>
        <v/>
      </c>
      <c r="J170" t="str">
        <f>IF(SEFAZ!O152="","",SEFAZ!O152)</f>
        <v/>
      </c>
      <c r="K170" s="11" t="str">
        <f>IF(SEFAZ!P152="","",SEFAZ!P152)</f>
        <v/>
      </c>
      <c r="L170" t="str" cm="1">
        <f t="array" aca="1" ref="L1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0" t="s">
        <v>35</v>
      </c>
      <c r="O170" s="36" t="str">
        <f>IF(SEFAZ!B152="","",SEFAZ!B152)</f>
        <v/>
      </c>
    </row>
    <row r="171" spans="2:15" x14ac:dyDescent="0.3">
      <c r="B171" t="str">
        <f>IF(SEFAZ!A153="","",SEFAZ!A153)</f>
        <v/>
      </c>
      <c r="C171" t="str">
        <f>IF(SEFAZ!C153="","",SEFAZ!C153)</f>
        <v/>
      </c>
      <c r="D171" t="str">
        <f>IF(SEFAZ!D153="","",SEFAZ!D153)</f>
        <v/>
      </c>
      <c r="E171" s="7" t="str">
        <f>IF(SEFAZ!E153="","",SEFAZ!E153)</f>
        <v/>
      </c>
      <c r="F171" s="6" t="str">
        <f>IF(SEFAZ!F153="","",VALUE(SUBSTITUTE(SEFAZ!F153,"'","")))</f>
        <v/>
      </c>
      <c r="G171" t="str">
        <f>IF(SEFAZ!H153="","",SEFAZ!H153)</f>
        <v/>
      </c>
      <c r="H171" t="str">
        <f>IF(SEFAZ!L153="","",SEFAZ!L153)</f>
        <v/>
      </c>
      <c r="I171" t="str">
        <f>IF(SEFAZ!N153="","",SEFAZ!N153)</f>
        <v/>
      </c>
      <c r="J171" t="str">
        <f>IF(SEFAZ!O153="","",SEFAZ!O153)</f>
        <v/>
      </c>
      <c r="K171" s="11" t="str">
        <f>IF(SEFAZ!P153="","",SEFAZ!P153)</f>
        <v/>
      </c>
      <c r="L171" t="str" cm="1">
        <f t="array" aca="1" ref="L1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1" t="s">
        <v>35</v>
      </c>
      <c r="O171" s="36" t="str">
        <f>IF(SEFAZ!B153="","",SEFAZ!B153)</f>
        <v/>
      </c>
    </row>
    <row r="172" spans="2:15" x14ac:dyDescent="0.3">
      <c r="B172" t="str">
        <f>IF(SEFAZ!A154="","",SEFAZ!A154)</f>
        <v/>
      </c>
      <c r="C172" t="str">
        <f>IF(SEFAZ!C154="","",SEFAZ!C154)</f>
        <v/>
      </c>
      <c r="D172" t="str">
        <f>IF(SEFAZ!D154="","",SEFAZ!D154)</f>
        <v/>
      </c>
      <c r="E172" s="7" t="str">
        <f>IF(SEFAZ!E154="","",SEFAZ!E154)</f>
        <v/>
      </c>
      <c r="F172" s="6" t="str">
        <f>IF(SEFAZ!F154="","",VALUE(SUBSTITUTE(SEFAZ!F154,"'","")))</f>
        <v/>
      </c>
      <c r="G172" t="str">
        <f>IF(SEFAZ!H154="","",SEFAZ!H154)</f>
        <v/>
      </c>
      <c r="H172" t="str">
        <f>IF(SEFAZ!L154="","",SEFAZ!L154)</f>
        <v/>
      </c>
      <c r="I172" t="str">
        <f>IF(SEFAZ!N154="","",SEFAZ!N154)</f>
        <v/>
      </c>
      <c r="J172" t="str">
        <f>IF(SEFAZ!O154="","",SEFAZ!O154)</f>
        <v/>
      </c>
      <c r="K172" s="11" t="str">
        <f>IF(SEFAZ!P154="","",SEFAZ!P154)</f>
        <v/>
      </c>
      <c r="L172" t="str" cm="1">
        <f t="array" aca="1" ref="L1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2" t="s">
        <v>35</v>
      </c>
      <c r="O172" s="36" t="str">
        <f>IF(SEFAZ!B154="","",SEFAZ!B154)</f>
        <v/>
      </c>
    </row>
    <row r="173" spans="2:15" x14ac:dyDescent="0.3">
      <c r="B173" t="str">
        <f>IF(SEFAZ!A155="","",SEFAZ!A155)</f>
        <v/>
      </c>
      <c r="C173" t="str">
        <f>IF(SEFAZ!C155="","",SEFAZ!C155)</f>
        <v/>
      </c>
      <c r="D173" t="str">
        <f>IF(SEFAZ!D155="","",SEFAZ!D155)</f>
        <v/>
      </c>
      <c r="E173" s="7" t="str">
        <f>IF(SEFAZ!E155="","",SEFAZ!E155)</f>
        <v/>
      </c>
      <c r="F173" s="6" t="str">
        <f>IF(SEFAZ!F155="","",VALUE(SUBSTITUTE(SEFAZ!F155,"'","")))</f>
        <v/>
      </c>
      <c r="G173" t="str">
        <f>IF(SEFAZ!H155="","",SEFAZ!H155)</f>
        <v/>
      </c>
      <c r="H173" t="str">
        <f>IF(SEFAZ!L155="","",SEFAZ!L155)</f>
        <v/>
      </c>
      <c r="I173" t="str">
        <f>IF(SEFAZ!N155="","",SEFAZ!N155)</f>
        <v/>
      </c>
      <c r="J173" t="str">
        <f>IF(SEFAZ!O155="","",SEFAZ!O155)</f>
        <v/>
      </c>
      <c r="K173" s="11" t="str">
        <f>IF(SEFAZ!P155="","",SEFAZ!P155)</f>
        <v/>
      </c>
      <c r="L173" t="str" cm="1">
        <f t="array" aca="1" ref="L1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3" t="s">
        <v>35</v>
      </c>
      <c r="O173" s="36" t="str">
        <f>IF(SEFAZ!B155="","",SEFAZ!B155)</f>
        <v/>
      </c>
    </row>
    <row r="174" spans="2:15" x14ac:dyDescent="0.3">
      <c r="B174" t="str">
        <f>IF(SEFAZ!A156="","",SEFAZ!A156)</f>
        <v/>
      </c>
      <c r="C174" t="str">
        <f>IF(SEFAZ!C156="","",SEFAZ!C156)</f>
        <v/>
      </c>
      <c r="D174" t="str">
        <f>IF(SEFAZ!D156="","",SEFAZ!D156)</f>
        <v/>
      </c>
      <c r="E174" s="7" t="str">
        <f>IF(SEFAZ!E156="","",SEFAZ!E156)</f>
        <v/>
      </c>
      <c r="F174" s="6" t="str">
        <f>IF(SEFAZ!F156="","",VALUE(SUBSTITUTE(SEFAZ!F156,"'","")))</f>
        <v/>
      </c>
      <c r="G174" t="str">
        <f>IF(SEFAZ!H156="","",SEFAZ!H156)</f>
        <v/>
      </c>
      <c r="H174" t="str">
        <f>IF(SEFAZ!L156="","",SEFAZ!L156)</f>
        <v/>
      </c>
      <c r="I174" t="str">
        <f>IF(SEFAZ!N156="","",SEFAZ!N156)</f>
        <v/>
      </c>
      <c r="J174" t="str">
        <f>IF(SEFAZ!O156="","",SEFAZ!O156)</f>
        <v/>
      </c>
      <c r="K174" s="11" t="str">
        <f>IF(SEFAZ!P156="","",SEFAZ!P156)</f>
        <v/>
      </c>
      <c r="L174" t="str" cm="1">
        <f t="array" aca="1" ref="L1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4" t="s">
        <v>35</v>
      </c>
      <c r="O174" s="36" t="str">
        <f>IF(SEFAZ!B156="","",SEFAZ!B156)</f>
        <v/>
      </c>
    </row>
    <row r="175" spans="2:15" x14ac:dyDescent="0.3">
      <c r="B175" t="str">
        <f>IF(SEFAZ!A157="","",SEFAZ!A157)</f>
        <v/>
      </c>
      <c r="C175" t="str">
        <f>IF(SEFAZ!C157="","",SEFAZ!C157)</f>
        <v/>
      </c>
      <c r="D175" t="str">
        <f>IF(SEFAZ!D157="","",SEFAZ!D157)</f>
        <v/>
      </c>
      <c r="E175" s="7" t="str">
        <f>IF(SEFAZ!E157="","",SEFAZ!E157)</f>
        <v/>
      </c>
      <c r="F175" s="6" t="str">
        <f>IF(SEFAZ!F157="","",VALUE(SUBSTITUTE(SEFAZ!F157,"'","")))</f>
        <v/>
      </c>
      <c r="G175" t="str">
        <f>IF(SEFAZ!H157="","",SEFAZ!H157)</f>
        <v/>
      </c>
      <c r="H175" t="str">
        <f>IF(SEFAZ!L157="","",SEFAZ!L157)</f>
        <v/>
      </c>
      <c r="I175" t="str">
        <f>IF(SEFAZ!N157="","",SEFAZ!N157)</f>
        <v/>
      </c>
      <c r="J175" t="str">
        <f>IF(SEFAZ!O157="","",SEFAZ!O157)</f>
        <v/>
      </c>
      <c r="K175" s="11" t="str">
        <f>IF(SEFAZ!P157="","",SEFAZ!P157)</f>
        <v/>
      </c>
      <c r="L175" t="str" cm="1">
        <f t="array" aca="1" ref="L1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5" t="s">
        <v>35</v>
      </c>
      <c r="O175" s="36" t="str">
        <f>IF(SEFAZ!B157="","",SEFAZ!B157)</f>
        <v/>
      </c>
    </row>
    <row r="176" spans="2:15" x14ac:dyDescent="0.3">
      <c r="B176" t="str">
        <f>IF(SEFAZ!A158="","",SEFAZ!A158)</f>
        <v/>
      </c>
      <c r="C176" t="str">
        <f>IF(SEFAZ!C158="","",SEFAZ!C158)</f>
        <v/>
      </c>
      <c r="D176" t="str">
        <f>IF(SEFAZ!D158="","",SEFAZ!D158)</f>
        <v/>
      </c>
      <c r="E176" s="7" t="str">
        <f>IF(SEFAZ!E158="","",SEFAZ!E158)</f>
        <v/>
      </c>
      <c r="F176" s="6" t="str">
        <f>IF(SEFAZ!F158="","",VALUE(SUBSTITUTE(SEFAZ!F158,"'","")))</f>
        <v/>
      </c>
      <c r="G176" t="str">
        <f>IF(SEFAZ!H158="","",SEFAZ!H158)</f>
        <v/>
      </c>
      <c r="H176" t="str">
        <f>IF(SEFAZ!L158="","",SEFAZ!L158)</f>
        <v/>
      </c>
      <c r="I176" t="str">
        <f>IF(SEFAZ!N158="","",SEFAZ!N158)</f>
        <v/>
      </c>
      <c r="J176" t="str">
        <f>IF(SEFAZ!O158="","",SEFAZ!O158)</f>
        <v/>
      </c>
      <c r="K176" s="11" t="str">
        <f>IF(SEFAZ!P158="","",SEFAZ!P158)</f>
        <v/>
      </c>
      <c r="L176" t="str" cm="1">
        <f t="array" aca="1" ref="L1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6" t="s">
        <v>35</v>
      </c>
      <c r="O176" s="36" t="str">
        <f>IF(SEFAZ!B158="","",SEFAZ!B158)</f>
        <v/>
      </c>
    </row>
    <row r="177" spans="2:15" x14ac:dyDescent="0.3">
      <c r="B177" t="str">
        <f>IF(SEFAZ!A159="","",SEFAZ!A159)</f>
        <v/>
      </c>
      <c r="C177" t="str">
        <f>IF(SEFAZ!C159="","",SEFAZ!C159)</f>
        <v/>
      </c>
      <c r="D177" t="str">
        <f>IF(SEFAZ!D159="","",SEFAZ!D159)</f>
        <v/>
      </c>
      <c r="E177" s="7" t="str">
        <f>IF(SEFAZ!E159="","",SEFAZ!E159)</f>
        <v/>
      </c>
      <c r="F177" s="6" t="str">
        <f>IF(SEFAZ!F159="","",VALUE(SUBSTITUTE(SEFAZ!F159,"'","")))</f>
        <v/>
      </c>
      <c r="G177" t="str">
        <f>IF(SEFAZ!H159="","",SEFAZ!H159)</f>
        <v/>
      </c>
      <c r="H177" t="str">
        <f>IF(SEFAZ!L159="","",SEFAZ!L159)</f>
        <v/>
      </c>
      <c r="I177" t="str">
        <f>IF(SEFAZ!N159="","",SEFAZ!N159)</f>
        <v/>
      </c>
      <c r="J177" t="str">
        <f>IF(SEFAZ!O159="","",SEFAZ!O159)</f>
        <v/>
      </c>
      <c r="K177" s="11" t="str">
        <f>IF(SEFAZ!P159="","",SEFAZ!P159)</f>
        <v/>
      </c>
      <c r="L177" t="str" cm="1">
        <f t="array" aca="1" ref="L1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7" t="s">
        <v>35</v>
      </c>
      <c r="O177" s="36" t="str">
        <f>IF(SEFAZ!B159="","",SEFAZ!B159)</f>
        <v/>
      </c>
    </row>
    <row r="178" spans="2:15" x14ac:dyDescent="0.3">
      <c r="B178" t="str">
        <f>IF(SEFAZ!A160="","",SEFAZ!A160)</f>
        <v/>
      </c>
      <c r="C178" t="str">
        <f>IF(SEFAZ!C160="","",SEFAZ!C160)</f>
        <v/>
      </c>
      <c r="D178" t="str">
        <f>IF(SEFAZ!D160="","",SEFAZ!D160)</f>
        <v/>
      </c>
      <c r="E178" s="7" t="str">
        <f>IF(SEFAZ!E160="","",SEFAZ!E160)</f>
        <v/>
      </c>
      <c r="F178" s="6" t="str">
        <f>IF(SEFAZ!F160="","",VALUE(SUBSTITUTE(SEFAZ!F160,"'","")))</f>
        <v/>
      </c>
      <c r="G178" t="str">
        <f>IF(SEFAZ!H160="","",SEFAZ!H160)</f>
        <v/>
      </c>
      <c r="H178" t="str">
        <f>IF(SEFAZ!L160="","",SEFAZ!L160)</f>
        <v/>
      </c>
      <c r="I178" t="str">
        <f>IF(SEFAZ!N160="","",SEFAZ!N160)</f>
        <v/>
      </c>
      <c r="J178" t="str">
        <f>IF(SEFAZ!O160="","",SEFAZ!O160)</f>
        <v/>
      </c>
      <c r="K178" s="11" t="str">
        <f>IF(SEFAZ!P160="","",SEFAZ!P160)</f>
        <v/>
      </c>
      <c r="L178" t="str" cm="1">
        <f t="array" aca="1" ref="L1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8" t="s">
        <v>35</v>
      </c>
      <c r="O178" s="36" t="str">
        <f>IF(SEFAZ!B160="","",SEFAZ!B160)</f>
        <v/>
      </c>
    </row>
    <row r="179" spans="2:15" x14ac:dyDescent="0.3">
      <c r="B179" t="str">
        <f>IF(SEFAZ!A161="","",SEFAZ!A161)</f>
        <v/>
      </c>
      <c r="C179" t="str">
        <f>IF(SEFAZ!C161="","",SEFAZ!C161)</f>
        <v/>
      </c>
      <c r="D179" t="str">
        <f>IF(SEFAZ!D161="","",SEFAZ!D161)</f>
        <v/>
      </c>
      <c r="E179" s="7" t="str">
        <f>IF(SEFAZ!E161="","",SEFAZ!E161)</f>
        <v/>
      </c>
      <c r="F179" s="6" t="str">
        <f>IF(SEFAZ!F161="","",VALUE(SUBSTITUTE(SEFAZ!F161,"'","")))</f>
        <v/>
      </c>
      <c r="G179" t="str">
        <f>IF(SEFAZ!H161="","",SEFAZ!H161)</f>
        <v/>
      </c>
      <c r="H179" t="str">
        <f>IF(SEFAZ!L161="","",SEFAZ!L161)</f>
        <v/>
      </c>
      <c r="I179" t="str">
        <f>IF(SEFAZ!N161="","",SEFAZ!N161)</f>
        <v/>
      </c>
      <c r="J179" t="str">
        <f>IF(SEFAZ!O161="","",SEFAZ!O161)</f>
        <v/>
      </c>
      <c r="K179" s="11" t="str">
        <f>IF(SEFAZ!P161="","",SEFAZ!P161)</f>
        <v/>
      </c>
      <c r="L179" t="str" cm="1">
        <f t="array" aca="1" ref="L1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79" t="s">
        <v>35</v>
      </c>
      <c r="O179" s="36" t="str">
        <f>IF(SEFAZ!B161="","",SEFAZ!B161)</f>
        <v/>
      </c>
    </row>
    <row r="180" spans="2:15" x14ac:dyDescent="0.3">
      <c r="B180" t="str">
        <f>IF(SEFAZ!A162="","",SEFAZ!A162)</f>
        <v/>
      </c>
      <c r="C180" t="str">
        <f>IF(SEFAZ!C162="","",SEFAZ!C162)</f>
        <v/>
      </c>
      <c r="D180" t="str">
        <f>IF(SEFAZ!D162="","",SEFAZ!D162)</f>
        <v/>
      </c>
      <c r="E180" s="7" t="str">
        <f>IF(SEFAZ!E162="","",SEFAZ!E162)</f>
        <v/>
      </c>
      <c r="F180" s="6" t="str">
        <f>IF(SEFAZ!F162="","",VALUE(SUBSTITUTE(SEFAZ!F162,"'","")))</f>
        <v/>
      </c>
      <c r="G180" t="str">
        <f>IF(SEFAZ!H162="","",SEFAZ!H162)</f>
        <v/>
      </c>
      <c r="H180" t="str">
        <f>IF(SEFAZ!L162="","",SEFAZ!L162)</f>
        <v/>
      </c>
      <c r="I180" t="str">
        <f>IF(SEFAZ!N162="","",SEFAZ!N162)</f>
        <v/>
      </c>
      <c r="J180" t="str">
        <f>IF(SEFAZ!O162="","",SEFAZ!O162)</f>
        <v/>
      </c>
      <c r="K180" s="11" t="str">
        <f>IF(SEFAZ!P162="","",SEFAZ!P162)</f>
        <v/>
      </c>
      <c r="L180" t="str" cm="1">
        <f t="array" aca="1" ref="L1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0" t="s">
        <v>35</v>
      </c>
      <c r="O180" s="36" t="str">
        <f>IF(SEFAZ!B162="","",SEFAZ!B162)</f>
        <v/>
      </c>
    </row>
    <row r="181" spans="2:15" x14ac:dyDescent="0.3">
      <c r="B181" t="str">
        <f>IF(SEFAZ!A163="","",SEFAZ!A163)</f>
        <v/>
      </c>
      <c r="C181" t="str">
        <f>IF(SEFAZ!C163="","",SEFAZ!C163)</f>
        <v/>
      </c>
      <c r="D181" t="str">
        <f>IF(SEFAZ!D163="","",SEFAZ!D163)</f>
        <v/>
      </c>
      <c r="E181" s="7" t="str">
        <f>IF(SEFAZ!E163="","",SEFAZ!E163)</f>
        <v/>
      </c>
      <c r="F181" s="6" t="str">
        <f>IF(SEFAZ!F163="","",VALUE(SUBSTITUTE(SEFAZ!F163,"'","")))</f>
        <v/>
      </c>
      <c r="G181" t="str">
        <f>IF(SEFAZ!H163="","",SEFAZ!H163)</f>
        <v/>
      </c>
      <c r="H181" t="str">
        <f>IF(SEFAZ!L163="","",SEFAZ!L163)</f>
        <v/>
      </c>
      <c r="I181" t="str">
        <f>IF(SEFAZ!N163="","",SEFAZ!N163)</f>
        <v/>
      </c>
      <c r="J181" t="str">
        <f>IF(SEFAZ!O163="","",SEFAZ!O163)</f>
        <v/>
      </c>
      <c r="K181" s="11" t="str">
        <f>IF(SEFAZ!P163="","",SEFAZ!P163)</f>
        <v/>
      </c>
      <c r="L181" t="str" cm="1">
        <f t="array" aca="1" ref="L1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1" t="s">
        <v>35</v>
      </c>
      <c r="O181" s="36" t="str">
        <f>IF(SEFAZ!B163="","",SEFAZ!B163)</f>
        <v/>
      </c>
    </row>
    <row r="182" spans="2:15" x14ac:dyDescent="0.3">
      <c r="B182" t="str">
        <f>IF(SEFAZ!A164="","",SEFAZ!A164)</f>
        <v/>
      </c>
      <c r="C182" t="str">
        <f>IF(SEFAZ!C164="","",SEFAZ!C164)</f>
        <v/>
      </c>
      <c r="D182" t="str">
        <f>IF(SEFAZ!D164="","",SEFAZ!D164)</f>
        <v/>
      </c>
      <c r="E182" s="7" t="str">
        <f>IF(SEFAZ!E164="","",SEFAZ!E164)</f>
        <v/>
      </c>
      <c r="F182" s="6" t="str">
        <f>IF(SEFAZ!F164="","",VALUE(SUBSTITUTE(SEFAZ!F164,"'","")))</f>
        <v/>
      </c>
      <c r="G182" t="str">
        <f>IF(SEFAZ!H164="","",SEFAZ!H164)</f>
        <v/>
      </c>
      <c r="H182" t="str">
        <f>IF(SEFAZ!L164="","",SEFAZ!L164)</f>
        <v/>
      </c>
      <c r="I182" t="str">
        <f>IF(SEFAZ!N164="","",SEFAZ!N164)</f>
        <v/>
      </c>
      <c r="J182" t="str">
        <f>IF(SEFAZ!O164="","",SEFAZ!O164)</f>
        <v/>
      </c>
      <c r="K182" s="11" t="str">
        <f>IF(SEFAZ!P164="","",SEFAZ!P164)</f>
        <v/>
      </c>
      <c r="L182" t="str" cm="1">
        <f t="array" aca="1" ref="L1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2" t="s">
        <v>35</v>
      </c>
      <c r="O182" s="36" t="str">
        <f>IF(SEFAZ!B164="","",SEFAZ!B164)</f>
        <v/>
      </c>
    </row>
    <row r="183" spans="2:15" x14ac:dyDescent="0.3">
      <c r="B183" t="str">
        <f>IF(SEFAZ!A165="","",SEFAZ!A165)</f>
        <v/>
      </c>
      <c r="C183" t="str">
        <f>IF(SEFAZ!C165="","",SEFAZ!C165)</f>
        <v/>
      </c>
      <c r="D183" t="str">
        <f>IF(SEFAZ!D165="","",SEFAZ!D165)</f>
        <v/>
      </c>
      <c r="E183" s="7" t="str">
        <f>IF(SEFAZ!E165="","",SEFAZ!E165)</f>
        <v/>
      </c>
      <c r="F183" s="6" t="str">
        <f>IF(SEFAZ!F165="","",VALUE(SUBSTITUTE(SEFAZ!F165,"'","")))</f>
        <v/>
      </c>
      <c r="G183" t="str">
        <f>IF(SEFAZ!H165="","",SEFAZ!H165)</f>
        <v/>
      </c>
      <c r="H183" t="str">
        <f>IF(SEFAZ!L165="","",SEFAZ!L165)</f>
        <v/>
      </c>
      <c r="I183" t="str">
        <f>IF(SEFAZ!N165="","",SEFAZ!N165)</f>
        <v/>
      </c>
      <c r="J183" t="str">
        <f>IF(SEFAZ!O165="","",SEFAZ!O165)</f>
        <v/>
      </c>
      <c r="K183" s="11" t="str">
        <f>IF(SEFAZ!P165="","",SEFAZ!P165)</f>
        <v/>
      </c>
      <c r="L183" t="str" cm="1">
        <f t="array" aca="1" ref="L1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3" t="s">
        <v>35</v>
      </c>
      <c r="O183" s="36" t="str">
        <f>IF(SEFAZ!B165="","",SEFAZ!B165)</f>
        <v/>
      </c>
    </row>
    <row r="184" spans="2:15" x14ac:dyDescent="0.3">
      <c r="B184" t="str">
        <f>IF(SEFAZ!A166="","",SEFAZ!A166)</f>
        <v/>
      </c>
      <c r="C184" t="str">
        <f>IF(SEFAZ!C166="","",SEFAZ!C166)</f>
        <v/>
      </c>
      <c r="D184" t="str">
        <f>IF(SEFAZ!D166="","",SEFAZ!D166)</f>
        <v/>
      </c>
      <c r="E184" s="7" t="str">
        <f>IF(SEFAZ!E166="","",SEFAZ!E166)</f>
        <v/>
      </c>
      <c r="F184" s="6" t="str">
        <f>IF(SEFAZ!F166="","",VALUE(SUBSTITUTE(SEFAZ!F166,"'","")))</f>
        <v/>
      </c>
      <c r="G184" t="str">
        <f>IF(SEFAZ!H166="","",SEFAZ!H166)</f>
        <v/>
      </c>
      <c r="H184" t="str">
        <f>IF(SEFAZ!L166="","",SEFAZ!L166)</f>
        <v/>
      </c>
      <c r="I184" t="str">
        <f>IF(SEFAZ!N166="","",SEFAZ!N166)</f>
        <v/>
      </c>
      <c r="J184" t="str">
        <f>IF(SEFAZ!O166="","",SEFAZ!O166)</f>
        <v/>
      </c>
      <c r="K184" s="11" t="str">
        <f>IF(SEFAZ!P166="","",SEFAZ!P166)</f>
        <v/>
      </c>
      <c r="L184" t="str" cm="1">
        <f t="array" aca="1" ref="L1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4" t="s">
        <v>35</v>
      </c>
      <c r="O184" s="36" t="str">
        <f>IF(SEFAZ!B166="","",SEFAZ!B166)</f>
        <v/>
      </c>
    </row>
    <row r="185" spans="2:15" x14ac:dyDescent="0.3">
      <c r="B185" t="str">
        <f>IF(SEFAZ!A167="","",SEFAZ!A167)</f>
        <v/>
      </c>
      <c r="C185" t="str">
        <f>IF(SEFAZ!C167="","",SEFAZ!C167)</f>
        <v/>
      </c>
      <c r="D185" t="str">
        <f>IF(SEFAZ!D167="","",SEFAZ!D167)</f>
        <v/>
      </c>
      <c r="E185" s="7" t="str">
        <f>IF(SEFAZ!E167="","",SEFAZ!E167)</f>
        <v/>
      </c>
      <c r="F185" s="6" t="str">
        <f>IF(SEFAZ!F167="","",VALUE(SUBSTITUTE(SEFAZ!F167,"'","")))</f>
        <v/>
      </c>
      <c r="G185" t="str">
        <f>IF(SEFAZ!H167="","",SEFAZ!H167)</f>
        <v/>
      </c>
      <c r="H185" t="str">
        <f>IF(SEFAZ!L167="","",SEFAZ!L167)</f>
        <v/>
      </c>
      <c r="I185" t="str">
        <f>IF(SEFAZ!N167="","",SEFAZ!N167)</f>
        <v/>
      </c>
      <c r="J185" t="str">
        <f>IF(SEFAZ!O167="","",SEFAZ!O167)</f>
        <v/>
      </c>
      <c r="K185" s="11" t="str">
        <f>IF(SEFAZ!P167="","",SEFAZ!P167)</f>
        <v/>
      </c>
      <c r="L185" t="str" cm="1">
        <f t="array" aca="1" ref="L1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5" t="s">
        <v>35</v>
      </c>
      <c r="O185" s="36" t="str">
        <f>IF(SEFAZ!B167="","",SEFAZ!B167)</f>
        <v/>
      </c>
    </row>
    <row r="186" spans="2:15" x14ac:dyDescent="0.3">
      <c r="B186" t="str">
        <f>IF(SEFAZ!A168="","",SEFAZ!A168)</f>
        <v/>
      </c>
      <c r="C186" t="str">
        <f>IF(SEFAZ!C168="","",SEFAZ!C168)</f>
        <v/>
      </c>
      <c r="D186" t="str">
        <f>IF(SEFAZ!D168="","",SEFAZ!D168)</f>
        <v/>
      </c>
      <c r="E186" s="7" t="str">
        <f>IF(SEFAZ!E168="","",SEFAZ!E168)</f>
        <v/>
      </c>
      <c r="F186" s="6" t="str">
        <f>IF(SEFAZ!F168="","",VALUE(SUBSTITUTE(SEFAZ!F168,"'","")))</f>
        <v/>
      </c>
      <c r="G186" t="str">
        <f>IF(SEFAZ!H168="","",SEFAZ!H168)</f>
        <v/>
      </c>
      <c r="H186" t="str">
        <f>IF(SEFAZ!L168="","",SEFAZ!L168)</f>
        <v/>
      </c>
      <c r="I186" t="str">
        <f>IF(SEFAZ!N168="","",SEFAZ!N168)</f>
        <v/>
      </c>
      <c r="J186" t="str">
        <f>IF(SEFAZ!O168="","",SEFAZ!O168)</f>
        <v/>
      </c>
      <c r="K186" s="11" t="str">
        <f>IF(SEFAZ!P168="","",SEFAZ!P168)</f>
        <v/>
      </c>
      <c r="L186" t="str" cm="1">
        <f t="array" aca="1" ref="L1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6" t="s">
        <v>35</v>
      </c>
      <c r="O186" s="36" t="str">
        <f>IF(SEFAZ!B168="","",SEFAZ!B168)</f>
        <v/>
      </c>
    </row>
    <row r="187" spans="2:15" x14ac:dyDescent="0.3">
      <c r="B187" t="str">
        <f>IF(SEFAZ!A169="","",SEFAZ!A169)</f>
        <v/>
      </c>
      <c r="C187" t="str">
        <f>IF(SEFAZ!C169="","",SEFAZ!C169)</f>
        <v/>
      </c>
      <c r="D187" t="str">
        <f>IF(SEFAZ!D169="","",SEFAZ!D169)</f>
        <v/>
      </c>
      <c r="E187" s="7" t="str">
        <f>IF(SEFAZ!E169="","",SEFAZ!E169)</f>
        <v/>
      </c>
      <c r="F187" s="6" t="str">
        <f>IF(SEFAZ!F169="","",VALUE(SUBSTITUTE(SEFAZ!F169,"'","")))</f>
        <v/>
      </c>
      <c r="G187" t="str">
        <f>IF(SEFAZ!H169="","",SEFAZ!H169)</f>
        <v/>
      </c>
      <c r="H187" t="str">
        <f>IF(SEFAZ!L169="","",SEFAZ!L169)</f>
        <v/>
      </c>
      <c r="I187" t="str">
        <f>IF(SEFAZ!N169="","",SEFAZ!N169)</f>
        <v/>
      </c>
      <c r="J187" t="str">
        <f>IF(SEFAZ!O169="","",SEFAZ!O169)</f>
        <v/>
      </c>
      <c r="K187" s="11" t="str">
        <f>IF(SEFAZ!P169="","",SEFAZ!P169)</f>
        <v/>
      </c>
      <c r="L187" t="str" cm="1">
        <f t="array" aca="1" ref="L1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7" t="s">
        <v>35</v>
      </c>
      <c r="O187" s="36" t="str">
        <f>IF(SEFAZ!B169="","",SEFAZ!B169)</f>
        <v/>
      </c>
    </row>
    <row r="188" spans="2:15" x14ac:dyDescent="0.3">
      <c r="B188" t="str">
        <f>IF(SEFAZ!A170="","",SEFAZ!A170)</f>
        <v/>
      </c>
      <c r="C188" t="str">
        <f>IF(SEFAZ!C170="","",SEFAZ!C170)</f>
        <v/>
      </c>
      <c r="D188" t="str">
        <f>IF(SEFAZ!D170="","",SEFAZ!D170)</f>
        <v/>
      </c>
      <c r="E188" s="7" t="str">
        <f>IF(SEFAZ!E170="","",SEFAZ!E170)</f>
        <v/>
      </c>
      <c r="F188" s="6" t="str">
        <f>IF(SEFAZ!F170="","",VALUE(SUBSTITUTE(SEFAZ!F170,"'","")))</f>
        <v/>
      </c>
      <c r="G188" t="str">
        <f>IF(SEFAZ!H170="","",SEFAZ!H170)</f>
        <v/>
      </c>
      <c r="H188" t="str">
        <f>IF(SEFAZ!L170="","",SEFAZ!L170)</f>
        <v/>
      </c>
      <c r="I188" t="str">
        <f>IF(SEFAZ!N170="","",SEFAZ!N170)</f>
        <v/>
      </c>
      <c r="J188" t="str">
        <f>IF(SEFAZ!O170="","",SEFAZ!O170)</f>
        <v/>
      </c>
      <c r="K188" s="11" t="str">
        <f>IF(SEFAZ!P170="","",SEFAZ!P170)</f>
        <v/>
      </c>
      <c r="L188" t="str" cm="1">
        <f t="array" aca="1" ref="L1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8" t="s">
        <v>35</v>
      </c>
      <c r="O188" s="36" t="str">
        <f>IF(SEFAZ!B170="","",SEFAZ!B170)</f>
        <v/>
      </c>
    </row>
    <row r="189" spans="2:15" x14ac:dyDescent="0.3">
      <c r="B189" t="str">
        <f>IF(SEFAZ!A171="","",SEFAZ!A171)</f>
        <v/>
      </c>
      <c r="C189" t="str">
        <f>IF(SEFAZ!C171="","",SEFAZ!C171)</f>
        <v/>
      </c>
      <c r="D189" t="str">
        <f>IF(SEFAZ!D171="","",SEFAZ!D171)</f>
        <v/>
      </c>
      <c r="E189" s="7" t="str">
        <f>IF(SEFAZ!E171="","",SEFAZ!E171)</f>
        <v/>
      </c>
      <c r="F189" s="6" t="str">
        <f>IF(SEFAZ!F171="","",VALUE(SUBSTITUTE(SEFAZ!F171,"'","")))</f>
        <v/>
      </c>
      <c r="G189" t="str">
        <f>IF(SEFAZ!H171="","",SEFAZ!H171)</f>
        <v/>
      </c>
      <c r="H189" t="str">
        <f>IF(SEFAZ!L171="","",SEFAZ!L171)</f>
        <v/>
      </c>
      <c r="I189" t="str">
        <f>IF(SEFAZ!N171="","",SEFAZ!N171)</f>
        <v/>
      </c>
      <c r="J189" t="str">
        <f>IF(SEFAZ!O171="","",SEFAZ!O171)</f>
        <v/>
      </c>
      <c r="K189" s="11" t="str">
        <f>IF(SEFAZ!P171="","",SEFAZ!P171)</f>
        <v/>
      </c>
      <c r="L189" t="str" cm="1">
        <f t="array" aca="1" ref="L1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89" t="s">
        <v>35</v>
      </c>
      <c r="O189" s="36" t="str">
        <f>IF(SEFAZ!B171="","",SEFAZ!B171)</f>
        <v/>
      </c>
    </row>
    <row r="190" spans="2:15" x14ac:dyDescent="0.3">
      <c r="B190" t="str">
        <f>IF(SEFAZ!A172="","",SEFAZ!A172)</f>
        <v/>
      </c>
      <c r="C190" t="str">
        <f>IF(SEFAZ!C172="","",SEFAZ!C172)</f>
        <v/>
      </c>
      <c r="D190" t="str">
        <f>IF(SEFAZ!D172="","",SEFAZ!D172)</f>
        <v/>
      </c>
      <c r="E190" s="7" t="str">
        <f>IF(SEFAZ!E172="","",SEFAZ!E172)</f>
        <v/>
      </c>
      <c r="F190" s="6" t="str">
        <f>IF(SEFAZ!F172="","",VALUE(SUBSTITUTE(SEFAZ!F172,"'","")))</f>
        <v/>
      </c>
      <c r="G190" t="str">
        <f>IF(SEFAZ!H172="","",SEFAZ!H172)</f>
        <v/>
      </c>
      <c r="H190" t="str">
        <f>IF(SEFAZ!L172="","",SEFAZ!L172)</f>
        <v/>
      </c>
      <c r="I190" t="str">
        <f>IF(SEFAZ!N172="","",SEFAZ!N172)</f>
        <v/>
      </c>
      <c r="J190" t="str">
        <f>IF(SEFAZ!O172="","",SEFAZ!O172)</f>
        <v/>
      </c>
      <c r="K190" s="11" t="str">
        <f>IF(SEFAZ!P172="","",SEFAZ!P172)</f>
        <v/>
      </c>
      <c r="L190" t="str" cm="1">
        <f t="array" aca="1" ref="L1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0" t="s">
        <v>35</v>
      </c>
      <c r="O190" s="36" t="str">
        <f>IF(SEFAZ!B172="","",SEFAZ!B172)</f>
        <v/>
      </c>
    </row>
    <row r="191" spans="2:15" x14ac:dyDescent="0.3">
      <c r="B191" t="str">
        <f>IF(SEFAZ!A173="","",SEFAZ!A173)</f>
        <v/>
      </c>
      <c r="C191" t="str">
        <f>IF(SEFAZ!C173="","",SEFAZ!C173)</f>
        <v/>
      </c>
      <c r="D191" t="str">
        <f>IF(SEFAZ!D173="","",SEFAZ!D173)</f>
        <v/>
      </c>
      <c r="E191" s="7" t="str">
        <f>IF(SEFAZ!E173="","",SEFAZ!E173)</f>
        <v/>
      </c>
      <c r="F191" s="6" t="str">
        <f>IF(SEFAZ!F173="","",VALUE(SUBSTITUTE(SEFAZ!F173,"'","")))</f>
        <v/>
      </c>
      <c r="G191" t="str">
        <f>IF(SEFAZ!H173="","",SEFAZ!H173)</f>
        <v/>
      </c>
      <c r="H191" t="str">
        <f>IF(SEFAZ!L173="","",SEFAZ!L173)</f>
        <v/>
      </c>
      <c r="I191" t="str">
        <f>IF(SEFAZ!N173="","",SEFAZ!N173)</f>
        <v/>
      </c>
      <c r="J191" t="str">
        <f>IF(SEFAZ!O173="","",SEFAZ!O173)</f>
        <v/>
      </c>
      <c r="K191" s="11" t="str">
        <f>IF(SEFAZ!P173="","",SEFAZ!P173)</f>
        <v/>
      </c>
      <c r="L191" t="str" cm="1">
        <f t="array" aca="1" ref="L1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1" t="s">
        <v>35</v>
      </c>
      <c r="O191" s="36" t="str">
        <f>IF(SEFAZ!B173="","",SEFAZ!B173)</f>
        <v/>
      </c>
    </row>
    <row r="192" spans="2:15" x14ac:dyDescent="0.3">
      <c r="B192" t="str">
        <f>IF(SEFAZ!A174="","",SEFAZ!A174)</f>
        <v/>
      </c>
      <c r="C192" t="str">
        <f>IF(SEFAZ!C174="","",SEFAZ!C174)</f>
        <v/>
      </c>
      <c r="D192" t="str">
        <f>IF(SEFAZ!D174="","",SEFAZ!D174)</f>
        <v/>
      </c>
      <c r="E192" s="7" t="str">
        <f>IF(SEFAZ!E174="","",SEFAZ!E174)</f>
        <v/>
      </c>
      <c r="F192" s="6" t="str">
        <f>IF(SEFAZ!F174="","",VALUE(SUBSTITUTE(SEFAZ!F174,"'","")))</f>
        <v/>
      </c>
      <c r="G192" t="str">
        <f>IF(SEFAZ!H174="","",SEFAZ!H174)</f>
        <v/>
      </c>
      <c r="H192" t="str">
        <f>IF(SEFAZ!L174="","",SEFAZ!L174)</f>
        <v/>
      </c>
      <c r="I192" t="str">
        <f>IF(SEFAZ!N174="","",SEFAZ!N174)</f>
        <v/>
      </c>
      <c r="J192" t="str">
        <f>IF(SEFAZ!O174="","",SEFAZ!O174)</f>
        <v/>
      </c>
      <c r="K192" s="11" t="str">
        <f>IF(SEFAZ!P174="","",SEFAZ!P174)</f>
        <v/>
      </c>
      <c r="L192" t="str" cm="1">
        <f t="array" aca="1" ref="L1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2" t="s">
        <v>35</v>
      </c>
      <c r="O192" s="36" t="str">
        <f>IF(SEFAZ!B174="","",SEFAZ!B174)</f>
        <v/>
      </c>
    </row>
    <row r="193" spans="2:15" x14ac:dyDescent="0.3">
      <c r="B193" t="str">
        <f>IF(SEFAZ!A175="","",SEFAZ!A175)</f>
        <v/>
      </c>
      <c r="C193" t="str">
        <f>IF(SEFAZ!C175="","",SEFAZ!C175)</f>
        <v/>
      </c>
      <c r="D193" t="str">
        <f>IF(SEFAZ!D175="","",SEFAZ!D175)</f>
        <v/>
      </c>
      <c r="E193" s="7" t="str">
        <f>IF(SEFAZ!E175="","",SEFAZ!E175)</f>
        <v/>
      </c>
      <c r="F193" s="6" t="str">
        <f>IF(SEFAZ!F175="","",VALUE(SUBSTITUTE(SEFAZ!F175,"'","")))</f>
        <v/>
      </c>
      <c r="G193" t="str">
        <f>IF(SEFAZ!H175="","",SEFAZ!H175)</f>
        <v/>
      </c>
      <c r="H193" t="str">
        <f>IF(SEFAZ!L175="","",SEFAZ!L175)</f>
        <v/>
      </c>
      <c r="I193" t="str">
        <f>IF(SEFAZ!N175="","",SEFAZ!N175)</f>
        <v/>
      </c>
      <c r="J193" t="str">
        <f>IF(SEFAZ!O175="","",SEFAZ!O175)</f>
        <v/>
      </c>
      <c r="K193" s="11" t="str">
        <f>IF(SEFAZ!P175="","",SEFAZ!P175)</f>
        <v/>
      </c>
      <c r="L193" t="str" cm="1">
        <f t="array" aca="1" ref="L1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3" t="s">
        <v>35</v>
      </c>
      <c r="O193" s="36" t="str">
        <f>IF(SEFAZ!B175="","",SEFAZ!B175)</f>
        <v/>
      </c>
    </row>
    <row r="194" spans="2:15" x14ac:dyDescent="0.3">
      <c r="B194" t="str">
        <f>IF(SEFAZ!A176="","",SEFAZ!A176)</f>
        <v/>
      </c>
      <c r="C194" t="str">
        <f>IF(SEFAZ!C176="","",SEFAZ!C176)</f>
        <v/>
      </c>
      <c r="D194" t="str">
        <f>IF(SEFAZ!D176="","",SEFAZ!D176)</f>
        <v/>
      </c>
      <c r="E194" s="7" t="str">
        <f>IF(SEFAZ!E176="","",SEFAZ!E176)</f>
        <v/>
      </c>
      <c r="F194" s="6" t="str">
        <f>IF(SEFAZ!F176="","",VALUE(SUBSTITUTE(SEFAZ!F176,"'","")))</f>
        <v/>
      </c>
      <c r="G194" t="str">
        <f>IF(SEFAZ!H176="","",SEFAZ!H176)</f>
        <v/>
      </c>
      <c r="H194" t="str">
        <f>IF(SEFAZ!L176="","",SEFAZ!L176)</f>
        <v/>
      </c>
      <c r="I194" t="str">
        <f>IF(SEFAZ!N176="","",SEFAZ!N176)</f>
        <v/>
      </c>
      <c r="J194" t="str">
        <f>IF(SEFAZ!O176="","",SEFAZ!O176)</f>
        <v/>
      </c>
      <c r="K194" s="11" t="str">
        <f>IF(SEFAZ!P176="","",SEFAZ!P176)</f>
        <v/>
      </c>
      <c r="L194" t="str" cm="1">
        <f t="array" aca="1" ref="L1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4" t="s">
        <v>35</v>
      </c>
      <c r="O194" s="36" t="str">
        <f>IF(SEFAZ!B176="","",SEFAZ!B176)</f>
        <v/>
      </c>
    </row>
    <row r="195" spans="2:15" x14ac:dyDescent="0.3">
      <c r="B195" t="str">
        <f>IF(SEFAZ!A177="","",SEFAZ!A177)</f>
        <v/>
      </c>
      <c r="C195" t="str">
        <f>IF(SEFAZ!C177="","",SEFAZ!C177)</f>
        <v/>
      </c>
      <c r="D195" t="str">
        <f>IF(SEFAZ!D177="","",SEFAZ!D177)</f>
        <v/>
      </c>
      <c r="E195" s="7" t="str">
        <f>IF(SEFAZ!E177="","",SEFAZ!E177)</f>
        <v/>
      </c>
      <c r="F195" s="6" t="str">
        <f>IF(SEFAZ!F177="","",VALUE(SUBSTITUTE(SEFAZ!F177,"'","")))</f>
        <v/>
      </c>
      <c r="G195" t="str">
        <f>IF(SEFAZ!H177="","",SEFAZ!H177)</f>
        <v/>
      </c>
      <c r="H195" t="str">
        <f>IF(SEFAZ!L177="","",SEFAZ!L177)</f>
        <v/>
      </c>
      <c r="I195" t="str">
        <f>IF(SEFAZ!N177="","",SEFAZ!N177)</f>
        <v/>
      </c>
      <c r="J195" t="str">
        <f>IF(SEFAZ!O177="","",SEFAZ!O177)</f>
        <v/>
      </c>
      <c r="K195" s="11" t="str">
        <f>IF(SEFAZ!P177="","",SEFAZ!P177)</f>
        <v/>
      </c>
      <c r="L195" t="str" cm="1">
        <f t="array" aca="1" ref="L1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5" t="s">
        <v>35</v>
      </c>
      <c r="O195" s="36" t="str">
        <f>IF(SEFAZ!B177="","",SEFAZ!B177)</f>
        <v/>
      </c>
    </row>
    <row r="196" spans="2:15" x14ac:dyDescent="0.3">
      <c r="B196" t="str">
        <f>IF(SEFAZ!A178="","",SEFAZ!A178)</f>
        <v/>
      </c>
      <c r="C196" t="str">
        <f>IF(SEFAZ!C178="","",SEFAZ!C178)</f>
        <v/>
      </c>
      <c r="D196" t="str">
        <f>IF(SEFAZ!D178="","",SEFAZ!D178)</f>
        <v/>
      </c>
      <c r="E196" s="7" t="str">
        <f>IF(SEFAZ!E178="","",SEFAZ!E178)</f>
        <v/>
      </c>
      <c r="F196" s="6" t="str">
        <f>IF(SEFAZ!F178="","",VALUE(SUBSTITUTE(SEFAZ!F178,"'","")))</f>
        <v/>
      </c>
      <c r="G196" t="str">
        <f>IF(SEFAZ!H178="","",SEFAZ!H178)</f>
        <v/>
      </c>
      <c r="H196" t="str">
        <f>IF(SEFAZ!L178="","",SEFAZ!L178)</f>
        <v/>
      </c>
      <c r="I196" t="str">
        <f>IF(SEFAZ!N178="","",SEFAZ!N178)</f>
        <v/>
      </c>
      <c r="J196" t="str">
        <f>IF(SEFAZ!O178="","",SEFAZ!O178)</f>
        <v/>
      </c>
      <c r="K196" s="11" t="str">
        <f>IF(SEFAZ!P178="","",SEFAZ!P178)</f>
        <v/>
      </c>
      <c r="L196" t="str" cm="1">
        <f t="array" aca="1" ref="L1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6" t="s">
        <v>35</v>
      </c>
      <c r="O196" s="36" t="str">
        <f>IF(SEFAZ!B178="","",SEFAZ!B178)</f>
        <v/>
      </c>
    </row>
    <row r="197" spans="2:15" x14ac:dyDescent="0.3">
      <c r="B197" t="str">
        <f>IF(SEFAZ!A179="","",SEFAZ!A179)</f>
        <v/>
      </c>
      <c r="C197" t="str">
        <f>IF(SEFAZ!C179="","",SEFAZ!C179)</f>
        <v/>
      </c>
      <c r="D197" t="str">
        <f>IF(SEFAZ!D179="","",SEFAZ!D179)</f>
        <v/>
      </c>
      <c r="E197" s="7" t="str">
        <f>IF(SEFAZ!E179="","",SEFAZ!E179)</f>
        <v/>
      </c>
      <c r="F197" s="6" t="str">
        <f>IF(SEFAZ!F179="","",VALUE(SUBSTITUTE(SEFAZ!F179,"'","")))</f>
        <v/>
      </c>
      <c r="G197" t="str">
        <f>IF(SEFAZ!H179="","",SEFAZ!H179)</f>
        <v/>
      </c>
      <c r="H197" t="str">
        <f>IF(SEFAZ!L179="","",SEFAZ!L179)</f>
        <v/>
      </c>
      <c r="I197" t="str">
        <f>IF(SEFAZ!N179="","",SEFAZ!N179)</f>
        <v/>
      </c>
      <c r="J197" t="str">
        <f>IF(SEFAZ!O179="","",SEFAZ!O179)</f>
        <v/>
      </c>
      <c r="K197" s="11" t="str">
        <f>IF(SEFAZ!P179="","",SEFAZ!P179)</f>
        <v/>
      </c>
      <c r="L197" t="str" cm="1">
        <f t="array" aca="1" ref="L1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7" t="s">
        <v>35</v>
      </c>
      <c r="O197" s="36" t="str">
        <f>IF(SEFAZ!B179="","",SEFAZ!B179)</f>
        <v/>
      </c>
    </row>
    <row r="198" spans="2:15" x14ac:dyDescent="0.3">
      <c r="B198" t="str">
        <f>IF(SEFAZ!A180="","",SEFAZ!A180)</f>
        <v/>
      </c>
      <c r="C198" t="str">
        <f>IF(SEFAZ!C180="","",SEFAZ!C180)</f>
        <v/>
      </c>
      <c r="D198" t="str">
        <f>IF(SEFAZ!D180="","",SEFAZ!D180)</f>
        <v/>
      </c>
      <c r="E198" s="7" t="str">
        <f>IF(SEFAZ!E180="","",SEFAZ!E180)</f>
        <v/>
      </c>
      <c r="F198" s="6" t="str">
        <f>IF(SEFAZ!F180="","",VALUE(SUBSTITUTE(SEFAZ!F180,"'","")))</f>
        <v/>
      </c>
      <c r="G198" t="str">
        <f>IF(SEFAZ!H180="","",SEFAZ!H180)</f>
        <v/>
      </c>
      <c r="H198" t="str">
        <f>IF(SEFAZ!L180="","",SEFAZ!L180)</f>
        <v/>
      </c>
      <c r="I198" t="str">
        <f>IF(SEFAZ!N180="","",SEFAZ!N180)</f>
        <v/>
      </c>
      <c r="J198" t="str">
        <f>IF(SEFAZ!O180="","",SEFAZ!O180)</f>
        <v/>
      </c>
      <c r="K198" s="11" t="str">
        <f>IF(SEFAZ!P180="","",SEFAZ!P180)</f>
        <v/>
      </c>
      <c r="L198" t="str" cm="1">
        <f t="array" aca="1" ref="L1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8" t="s">
        <v>35</v>
      </c>
      <c r="O198" s="36" t="str">
        <f>IF(SEFAZ!B180="","",SEFAZ!B180)</f>
        <v/>
      </c>
    </row>
    <row r="199" spans="2:15" x14ac:dyDescent="0.3">
      <c r="B199" t="str">
        <f>IF(SEFAZ!A181="","",SEFAZ!A181)</f>
        <v/>
      </c>
      <c r="C199" t="str">
        <f>IF(SEFAZ!C181="","",SEFAZ!C181)</f>
        <v/>
      </c>
      <c r="D199" t="str">
        <f>IF(SEFAZ!D181="","",SEFAZ!D181)</f>
        <v/>
      </c>
      <c r="E199" s="7" t="str">
        <f>IF(SEFAZ!E181="","",SEFAZ!E181)</f>
        <v/>
      </c>
      <c r="F199" s="6" t="str">
        <f>IF(SEFAZ!F181="","",VALUE(SUBSTITUTE(SEFAZ!F181,"'","")))</f>
        <v/>
      </c>
      <c r="G199" t="str">
        <f>IF(SEFAZ!H181="","",SEFAZ!H181)</f>
        <v/>
      </c>
      <c r="H199" t="str">
        <f>IF(SEFAZ!L181="","",SEFAZ!L181)</f>
        <v/>
      </c>
      <c r="I199" t="str">
        <f>IF(SEFAZ!N181="","",SEFAZ!N181)</f>
        <v/>
      </c>
      <c r="J199" t="str">
        <f>IF(SEFAZ!O181="","",SEFAZ!O181)</f>
        <v/>
      </c>
      <c r="K199" s="11" t="str">
        <f>IF(SEFAZ!P181="","",SEFAZ!P181)</f>
        <v/>
      </c>
      <c r="L199" t="str" cm="1">
        <f t="array" aca="1" ref="L1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99" t="s">
        <v>35</v>
      </c>
      <c r="O199" s="36" t="str">
        <f>IF(SEFAZ!B181="","",SEFAZ!B181)</f>
        <v/>
      </c>
    </row>
    <row r="200" spans="2:15" x14ac:dyDescent="0.3">
      <c r="B200" t="str">
        <f>IF(SEFAZ!A182="","",SEFAZ!A182)</f>
        <v/>
      </c>
      <c r="C200" t="str">
        <f>IF(SEFAZ!C182="","",SEFAZ!C182)</f>
        <v/>
      </c>
      <c r="D200" t="str">
        <f>IF(SEFAZ!D182="","",SEFAZ!D182)</f>
        <v/>
      </c>
      <c r="E200" s="7" t="str">
        <f>IF(SEFAZ!E182="","",SEFAZ!E182)</f>
        <v/>
      </c>
      <c r="F200" s="6" t="str">
        <f>IF(SEFAZ!F182="","",VALUE(SUBSTITUTE(SEFAZ!F182,"'","")))</f>
        <v/>
      </c>
      <c r="G200" t="str">
        <f>IF(SEFAZ!H182="","",SEFAZ!H182)</f>
        <v/>
      </c>
      <c r="H200" t="str">
        <f>IF(SEFAZ!L182="","",SEFAZ!L182)</f>
        <v/>
      </c>
      <c r="I200" t="str">
        <f>IF(SEFAZ!N182="","",SEFAZ!N182)</f>
        <v/>
      </c>
      <c r="J200" t="str">
        <f>IF(SEFAZ!O182="","",SEFAZ!O182)</f>
        <v/>
      </c>
      <c r="K200" s="11" t="str">
        <f>IF(SEFAZ!P182="","",SEFAZ!P182)</f>
        <v/>
      </c>
      <c r="L200" t="str" cm="1">
        <f t="array" aca="1" ref="L2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0" t="s">
        <v>35</v>
      </c>
      <c r="O200" s="36" t="str">
        <f>IF(SEFAZ!B182="","",SEFAZ!B182)</f>
        <v/>
      </c>
    </row>
    <row r="201" spans="2:15" x14ac:dyDescent="0.3">
      <c r="B201" t="str">
        <f>IF(SEFAZ!A183="","",SEFAZ!A183)</f>
        <v/>
      </c>
      <c r="C201" t="str">
        <f>IF(SEFAZ!C183="","",SEFAZ!C183)</f>
        <v/>
      </c>
      <c r="D201" t="str">
        <f>IF(SEFAZ!D183="","",SEFAZ!D183)</f>
        <v/>
      </c>
      <c r="E201" s="7" t="str">
        <f>IF(SEFAZ!E183="","",SEFAZ!E183)</f>
        <v/>
      </c>
      <c r="F201" s="6" t="str">
        <f>IF(SEFAZ!F183="","",VALUE(SUBSTITUTE(SEFAZ!F183,"'","")))</f>
        <v/>
      </c>
      <c r="G201" t="str">
        <f>IF(SEFAZ!H183="","",SEFAZ!H183)</f>
        <v/>
      </c>
      <c r="H201" t="str">
        <f>IF(SEFAZ!L183="","",SEFAZ!L183)</f>
        <v/>
      </c>
      <c r="I201" t="str">
        <f>IF(SEFAZ!N183="","",SEFAZ!N183)</f>
        <v/>
      </c>
      <c r="J201" t="str">
        <f>IF(SEFAZ!O183="","",SEFAZ!O183)</f>
        <v/>
      </c>
      <c r="K201" s="11" t="str">
        <f>IF(SEFAZ!P183="","",SEFAZ!P183)</f>
        <v/>
      </c>
      <c r="L201" t="str" cm="1">
        <f t="array" aca="1" ref="L2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1" t="s">
        <v>35</v>
      </c>
      <c r="O201" s="36" t="str">
        <f>IF(SEFAZ!B183="","",SEFAZ!B183)</f>
        <v/>
      </c>
    </row>
    <row r="202" spans="2:15" x14ac:dyDescent="0.3">
      <c r="B202" t="str">
        <f>IF(SEFAZ!A184="","",SEFAZ!A184)</f>
        <v/>
      </c>
      <c r="C202" t="str">
        <f>IF(SEFAZ!C184="","",SEFAZ!C184)</f>
        <v/>
      </c>
      <c r="D202" t="str">
        <f>IF(SEFAZ!D184="","",SEFAZ!D184)</f>
        <v/>
      </c>
      <c r="E202" s="7" t="str">
        <f>IF(SEFAZ!E184="","",SEFAZ!E184)</f>
        <v/>
      </c>
      <c r="F202" s="6" t="str">
        <f>IF(SEFAZ!F184="","",VALUE(SUBSTITUTE(SEFAZ!F184,"'","")))</f>
        <v/>
      </c>
      <c r="G202" t="str">
        <f>IF(SEFAZ!H184="","",SEFAZ!H184)</f>
        <v/>
      </c>
      <c r="H202" t="str">
        <f>IF(SEFAZ!L184="","",SEFAZ!L184)</f>
        <v/>
      </c>
      <c r="I202" t="str">
        <f>IF(SEFAZ!N184="","",SEFAZ!N184)</f>
        <v/>
      </c>
      <c r="J202" t="str">
        <f>IF(SEFAZ!O184="","",SEFAZ!O184)</f>
        <v/>
      </c>
      <c r="K202" s="11" t="str">
        <f>IF(SEFAZ!P184="","",SEFAZ!P184)</f>
        <v/>
      </c>
      <c r="L202" t="str" cm="1">
        <f t="array" aca="1" ref="L2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2" t="s">
        <v>35</v>
      </c>
      <c r="O202" s="36" t="str">
        <f>IF(SEFAZ!B184="","",SEFAZ!B184)</f>
        <v/>
      </c>
    </row>
    <row r="203" spans="2:15" x14ac:dyDescent="0.3">
      <c r="B203" t="str">
        <f>IF(SEFAZ!A185="","",SEFAZ!A185)</f>
        <v/>
      </c>
      <c r="C203" t="str">
        <f>IF(SEFAZ!C185="","",SEFAZ!C185)</f>
        <v/>
      </c>
      <c r="D203" t="str">
        <f>IF(SEFAZ!D185="","",SEFAZ!D185)</f>
        <v/>
      </c>
      <c r="E203" s="7" t="str">
        <f>IF(SEFAZ!E185="","",SEFAZ!E185)</f>
        <v/>
      </c>
      <c r="F203" s="6" t="str">
        <f>IF(SEFAZ!F185="","",VALUE(SUBSTITUTE(SEFAZ!F185,"'","")))</f>
        <v/>
      </c>
      <c r="G203" t="str">
        <f>IF(SEFAZ!H185="","",SEFAZ!H185)</f>
        <v/>
      </c>
      <c r="H203" t="str">
        <f>IF(SEFAZ!L185="","",SEFAZ!L185)</f>
        <v/>
      </c>
      <c r="I203" t="str">
        <f>IF(SEFAZ!N185="","",SEFAZ!N185)</f>
        <v/>
      </c>
      <c r="J203" t="str">
        <f>IF(SEFAZ!O185="","",SEFAZ!O185)</f>
        <v/>
      </c>
      <c r="K203" s="11" t="str">
        <f>IF(SEFAZ!P185="","",SEFAZ!P185)</f>
        <v/>
      </c>
      <c r="L203" t="str" cm="1">
        <f t="array" aca="1" ref="L2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3" t="s">
        <v>35</v>
      </c>
      <c r="O203" s="36" t="str">
        <f>IF(SEFAZ!B185="","",SEFAZ!B185)</f>
        <v/>
      </c>
    </row>
    <row r="204" spans="2:15" x14ac:dyDescent="0.3">
      <c r="B204" t="str">
        <f>IF(SEFAZ!A186="","",SEFAZ!A186)</f>
        <v/>
      </c>
      <c r="C204" t="str">
        <f>IF(SEFAZ!C186="","",SEFAZ!C186)</f>
        <v/>
      </c>
      <c r="D204" t="str">
        <f>IF(SEFAZ!D186="","",SEFAZ!D186)</f>
        <v/>
      </c>
      <c r="E204" s="7" t="str">
        <f>IF(SEFAZ!E186="","",SEFAZ!E186)</f>
        <v/>
      </c>
      <c r="F204" s="6" t="str">
        <f>IF(SEFAZ!F186="","",VALUE(SUBSTITUTE(SEFAZ!F186,"'","")))</f>
        <v/>
      </c>
      <c r="G204" t="str">
        <f>IF(SEFAZ!H186="","",SEFAZ!H186)</f>
        <v/>
      </c>
      <c r="H204" t="str">
        <f>IF(SEFAZ!L186="","",SEFAZ!L186)</f>
        <v/>
      </c>
      <c r="I204" t="str">
        <f>IF(SEFAZ!N186="","",SEFAZ!N186)</f>
        <v/>
      </c>
      <c r="J204" t="str">
        <f>IF(SEFAZ!O186="","",SEFAZ!O186)</f>
        <v/>
      </c>
      <c r="K204" s="11" t="str">
        <f>IF(SEFAZ!P186="","",SEFAZ!P186)</f>
        <v/>
      </c>
      <c r="L204" t="str" cm="1">
        <f t="array" aca="1" ref="L2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4" t="s">
        <v>35</v>
      </c>
      <c r="O204" s="36" t="str">
        <f>IF(SEFAZ!B186="","",SEFAZ!B186)</f>
        <v/>
      </c>
    </row>
    <row r="205" spans="2:15" x14ac:dyDescent="0.3">
      <c r="B205" t="str">
        <f>IF(SEFAZ!A187="","",SEFAZ!A187)</f>
        <v/>
      </c>
      <c r="C205" t="str">
        <f>IF(SEFAZ!C187="","",SEFAZ!C187)</f>
        <v/>
      </c>
      <c r="D205" t="str">
        <f>IF(SEFAZ!D187="","",SEFAZ!D187)</f>
        <v/>
      </c>
      <c r="E205" s="7" t="str">
        <f>IF(SEFAZ!E187="","",SEFAZ!E187)</f>
        <v/>
      </c>
      <c r="F205" s="6" t="str">
        <f>IF(SEFAZ!F187="","",VALUE(SUBSTITUTE(SEFAZ!F187,"'","")))</f>
        <v/>
      </c>
      <c r="G205" t="str">
        <f>IF(SEFAZ!H187="","",SEFAZ!H187)</f>
        <v/>
      </c>
      <c r="H205" t="str">
        <f>IF(SEFAZ!L187="","",SEFAZ!L187)</f>
        <v/>
      </c>
      <c r="I205" t="str">
        <f>IF(SEFAZ!N187="","",SEFAZ!N187)</f>
        <v/>
      </c>
      <c r="J205" t="str">
        <f>IF(SEFAZ!O187="","",SEFAZ!O187)</f>
        <v/>
      </c>
      <c r="K205" s="11" t="str">
        <f>IF(SEFAZ!P187="","",SEFAZ!P187)</f>
        <v/>
      </c>
      <c r="L205" t="str" cm="1">
        <f t="array" aca="1" ref="L2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5" t="s">
        <v>35</v>
      </c>
      <c r="O205" s="36" t="str">
        <f>IF(SEFAZ!B187="","",SEFAZ!B187)</f>
        <v/>
      </c>
    </row>
    <row r="206" spans="2:15" x14ac:dyDescent="0.3">
      <c r="B206" t="str">
        <f>IF(SEFAZ!A188="","",SEFAZ!A188)</f>
        <v/>
      </c>
      <c r="C206" t="str">
        <f>IF(SEFAZ!C188="","",SEFAZ!C188)</f>
        <v/>
      </c>
      <c r="D206" t="str">
        <f>IF(SEFAZ!D188="","",SEFAZ!D188)</f>
        <v/>
      </c>
      <c r="E206" s="7" t="str">
        <f>IF(SEFAZ!E188="","",SEFAZ!E188)</f>
        <v/>
      </c>
      <c r="F206" s="6" t="str">
        <f>IF(SEFAZ!F188="","",VALUE(SUBSTITUTE(SEFAZ!F188,"'","")))</f>
        <v/>
      </c>
      <c r="G206" t="str">
        <f>IF(SEFAZ!H188="","",SEFAZ!H188)</f>
        <v/>
      </c>
      <c r="H206" t="str">
        <f>IF(SEFAZ!L188="","",SEFAZ!L188)</f>
        <v/>
      </c>
      <c r="I206" t="str">
        <f>IF(SEFAZ!N188="","",SEFAZ!N188)</f>
        <v/>
      </c>
      <c r="J206" t="str">
        <f>IF(SEFAZ!O188="","",SEFAZ!O188)</f>
        <v/>
      </c>
      <c r="K206" s="11" t="str">
        <f>IF(SEFAZ!P188="","",SEFAZ!P188)</f>
        <v/>
      </c>
      <c r="L206" t="str" cm="1">
        <f t="array" aca="1" ref="L2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6" t="s">
        <v>35</v>
      </c>
      <c r="O206" s="36" t="str">
        <f>IF(SEFAZ!B188="","",SEFAZ!B188)</f>
        <v/>
      </c>
    </row>
    <row r="207" spans="2:15" x14ac:dyDescent="0.3">
      <c r="B207" t="str">
        <f>IF(SEFAZ!A189="","",SEFAZ!A189)</f>
        <v/>
      </c>
      <c r="C207" t="str">
        <f>IF(SEFAZ!C189="","",SEFAZ!C189)</f>
        <v/>
      </c>
      <c r="D207" t="str">
        <f>IF(SEFAZ!D189="","",SEFAZ!D189)</f>
        <v/>
      </c>
      <c r="E207" s="7" t="str">
        <f>IF(SEFAZ!E189="","",SEFAZ!E189)</f>
        <v/>
      </c>
      <c r="F207" s="6" t="str">
        <f>IF(SEFAZ!F189="","",VALUE(SUBSTITUTE(SEFAZ!F189,"'","")))</f>
        <v/>
      </c>
      <c r="G207" t="str">
        <f>IF(SEFAZ!H189="","",SEFAZ!H189)</f>
        <v/>
      </c>
      <c r="H207" t="str">
        <f>IF(SEFAZ!L189="","",SEFAZ!L189)</f>
        <v/>
      </c>
      <c r="I207" t="str">
        <f>IF(SEFAZ!N189="","",SEFAZ!N189)</f>
        <v/>
      </c>
      <c r="J207" t="str">
        <f>IF(SEFAZ!O189="","",SEFAZ!O189)</f>
        <v/>
      </c>
      <c r="K207" s="11" t="str">
        <f>IF(SEFAZ!P189="","",SEFAZ!P189)</f>
        <v/>
      </c>
      <c r="L207" t="str" cm="1">
        <f t="array" aca="1" ref="L2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7" t="s">
        <v>35</v>
      </c>
      <c r="O207" s="36" t="str">
        <f>IF(SEFAZ!B189="","",SEFAZ!B189)</f>
        <v/>
      </c>
    </row>
    <row r="208" spans="2:15" x14ac:dyDescent="0.3">
      <c r="B208" t="str">
        <f>IF(SEFAZ!A190="","",SEFAZ!A190)</f>
        <v/>
      </c>
      <c r="C208" t="str">
        <f>IF(SEFAZ!C190="","",SEFAZ!C190)</f>
        <v/>
      </c>
      <c r="D208" t="str">
        <f>IF(SEFAZ!D190="","",SEFAZ!D190)</f>
        <v/>
      </c>
      <c r="E208" s="7" t="str">
        <f>IF(SEFAZ!E190="","",SEFAZ!E190)</f>
        <v/>
      </c>
      <c r="F208" s="6" t="str">
        <f>IF(SEFAZ!F190="","",VALUE(SUBSTITUTE(SEFAZ!F190,"'","")))</f>
        <v/>
      </c>
      <c r="G208" t="str">
        <f>IF(SEFAZ!H190="","",SEFAZ!H190)</f>
        <v/>
      </c>
      <c r="H208" t="str">
        <f>IF(SEFAZ!L190="","",SEFAZ!L190)</f>
        <v/>
      </c>
      <c r="I208" t="str">
        <f>IF(SEFAZ!N190="","",SEFAZ!N190)</f>
        <v/>
      </c>
      <c r="J208" t="str">
        <f>IF(SEFAZ!O190="","",SEFAZ!O190)</f>
        <v/>
      </c>
      <c r="K208" s="11" t="str">
        <f>IF(SEFAZ!P190="","",SEFAZ!P190)</f>
        <v/>
      </c>
      <c r="L208" t="str" cm="1">
        <f t="array" aca="1" ref="L2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8" t="s">
        <v>35</v>
      </c>
      <c r="O208" s="36" t="str">
        <f>IF(SEFAZ!B190="","",SEFAZ!B190)</f>
        <v/>
      </c>
    </row>
    <row r="209" spans="2:15" x14ac:dyDescent="0.3">
      <c r="B209" t="str">
        <f>IF(SEFAZ!A191="","",SEFAZ!A191)</f>
        <v/>
      </c>
      <c r="C209" t="str">
        <f>IF(SEFAZ!C191="","",SEFAZ!C191)</f>
        <v/>
      </c>
      <c r="D209" t="str">
        <f>IF(SEFAZ!D191="","",SEFAZ!D191)</f>
        <v/>
      </c>
      <c r="E209" s="7" t="str">
        <f>IF(SEFAZ!E191="","",SEFAZ!E191)</f>
        <v/>
      </c>
      <c r="F209" s="6" t="str">
        <f>IF(SEFAZ!F191="","",VALUE(SUBSTITUTE(SEFAZ!F191,"'","")))</f>
        <v/>
      </c>
      <c r="G209" t="str">
        <f>IF(SEFAZ!H191="","",SEFAZ!H191)</f>
        <v/>
      </c>
      <c r="H209" t="str">
        <f>IF(SEFAZ!L191="","",SEFAZ!L191)</f>
        <v/>
      </c>
      <c r="I209" t="str">
        <f>IF(SEFAZ!N191="","",SEFAZ!N191)</f>
        <v/>
      </c>
      <c r="J209" t="str">
        <f>IF(SEFAZ!O191="","",SEFAZ!O191)</f>
        <v/>
      </c>
      <c r="K209" s="11" t="str">
        <f>IF(SEFAZ!P191="","",SEFAZ!P191)</f>
        <v/>
      </c>
      <c r="L209" t="str" cm="1">
        <f t="array" aca="1" ref="L2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09" t="s">
        <v>35</v>
      </c>
      <c r="O209" s="36" t="str">
        <f>IF(SEFAZ!B191="","",SEFAZ!B191)</f>
        <v/>
      </c>
    </row>
    <row r="210" spans="2:15" x14ac:dyDescent="0.3">
      <c r="B210" t="str">
        <f>IF(SEFAZ!A192="","",SEFAZ!A192)</f>
        <v/>
      </c>
      <c r="C210" t="str">
        <f>IF(SEFAZ!C192="","",SEFAZ!C192)</f>
        <v/>
      </c>
      <c r="D210" t="str">
        <f>IF(SEFAZ!D192="","",SEFAZ!D192)</f>
        <v/>
      </c>
      <c r="E210" s="7" t="str">
        <f>IF(SEFAZ!E192="","",SEFAZ!E192)</f>
        <v/>
      </c>
      <c r="F210" s="6" t="str">
        <f>IF(SEFAZ!F192="","",VALUE(SUBSTITUTE(SEFAZ!F192,"'","")))</f>
        <v/>
      </c>
      <c r="G210" t="str">
        <f>IF(SEFAZ!H192="","",SEFAZ!H192)</f>
        <v/>
      </c>
      <c r="H210" t="str">
        <f>IF(SEFAZ!L192="","",SEFAZ!L192)</f>
        <v/>
      </c>
      <c r="I210" t="str">
        <f>IF(SEFAZ!N192="","",SEFAZ!N192)</f>
        <v/>
      </c>
      <c r="J210" t="str">
        <f>IF(SEFAZ!O192="","",SEFAZ!O192)</f>
        <v/>
      </c>
      <c r="K210" s="11" t="str">
        <f>IF(SEFAZ!P192="","",SEFAZ!P192)</f>
        <v/>
      </c>
      <c r="L210" t="str" cm="1">
        <f t="array" aca="1" ref="L2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0" t="s">
        <v>35</v>
      </c>
      <c r="O210" s="36" t="str">
        <f>IF(SEFAZ!B192="","",SEFAZ!B192)</f>
        <v/>
      </c>
    </row>
    <row r="211" spans="2:15" x14ac:dyDescent="0.3">
      <c r="B211" t="str">
        <f>IF(SEFAZ!A193="","",SEFAZ!A193)</f>
        <v/>
      </c>
      <c r="C211" t="str">
        <f>IF(SEFAZ!C193="","",SEFAZ!C193)</f>
        <v/>
      </c>
      <c r="D211" t="str">
        <f>IF(SEFAZ!D193="","",SEFAZ!D193)</f>
        <v/>
      </c>
      <c r="E211" s="7" t="str">
        <f>IF(SEFAZ!E193="","",SEFAZ!E193)</f>
        <v/>
      </c>
      <c r="F211" s="6" t="str">
        <f>IF(SEFAZ!F193="","",VALUE(SUBSTITUTE(SEFAZ!F193,"'","")))</f>
        <v/>
      </c>
      <c r="G211" t="str">
        <f>IF(SEFAZ!H193="","",SEFAZ!H193)</f>
        <v/>
      </c>
      <c r="H211" t="str">
        <f>IF(SEFAZ!L193="","",SEFAZ!L193)</f>
        <v/>
      </c>
      <c r="I211" t="str">
        <f>IF(SEFAZ!N193="","",SEFAZ!N193)</f>
        <v/>
      </c>
      <c r="J211" t="str">
        <f>IF(SEFAZ!O193="","",SEFAZ!O193)</f>
        <v/>
      </c>
      <c r="K211" s="11" t="str">
        <f>IF(SEFAZ!P193="","",SEFAZ!P193)</f>
        <v/>
      </c>
      <c r="L211" t="str" cm="1">
        <f t="array" aca="1" ref="L2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1" t="s">
        <v>35</v>
      </c>
      <c r="O211" s="36" t="str">
        <f>IF(SEFAZ!B193="","",SEFAZ!B193)</f>
        <v/>
      </c>
    </row>
    <row r="212" spans="2:15" x14ac:dyDescent="0.3">
      <c r="B212" t="str">
        <f>IF(SEFAZ!A194="","",SEFAZ!A194)</f>
        <v/>
      </c>
      <c r="C212" t="str">
        <f>IF(SEFAZ!C194="","",SEFAZ!C194)</f>
        <v/>
      </c>
      <c r="D212" t="str">
        <f>IF(SEFAZ!D194="","",SEFAZ!D194)</f>
        <v/>
      </c>
      <c r="E212" s="7" t="str">
        <f>IF(SEFAZ!E194="","",SEFAZ!E194)</f>
        <v/>
      </c>
      <c r="F212" s="6" t="str">
        <f>IF(SEFAZ!F194="","",VALUE(SUBSTITUTE(SEFAZ!F194,"'","")))</f>
        <v/>
      </c>
      <c r="G212" t="str">
        <f>IF(SEFAZ!H194="","",SEFAZ!H194)</f>
        <v/>
      </c>
      <c r="H212" t="str">
        <f>IF(SEFAZ!L194="","",SEFAZ!L194)</f>
        <v/>
      </c>
      <c r="I212" t="str">
        <f>IF(SEFAZ!N194="","",SEFAZ!N194)</f>
        <v/>
      </c>
      <c r="J212" t="str">
        <f>IF(SEFAZ!O194="","",SEFAZ!O194)</f>
        <v/>
      </c>
      <c r="K212" s="11" t="str">
        <f>IF(SEFAZ!P194="","",SEFAZ!P194)</f>
        <v/>
      </c>
      <c r="L212" t="str" cm="1">
        <f t="array" aca="1" ref="L2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2" t="s">
        <v>35</v>
      </c>
      <c r="O212" s="36" t="str">
        <f>IF(SEFAZ!B194="","",SEFAZ!B194)</f>
        <v/>
      </c>
    </row>
    <row r="213" spans="2:15" x14ac:dyDescent="0.3">
      <c r="B213" t="str">
        <f>IF(SEFAZ!A195="","",SEFAZ!A195)</f>
        <v/>
      </c>
      <c r="C213" t="str">
        <f>IF(SEFAZ!C195="","",SEFAZ!C195)</f>
        <v/>
      </c>
      <c r="D213" t="str">
        <f>IF(SEFAZ!D195="","",SEFAZ!D195)</f>
        <v/>
      </c>
      <c r="E213" s="7" t="str">
        <f>IF(SEFAZ!E195="","",SEFAZ!E195)</f>
        <v/>
      </c>
      <c r="F213" s="6" t="str">
        <f>IF(SEFAZ!F195="","",VALUE(SUBSTITUTE(SEFAZ!F195,"'","")))</f>
        <v/>
      </c>
      <c r="G213" t="str">
        <f>IF(SEFAZ!H195="","",SEFAZ!H195)</f>
        <v/>
      </c>
      <c r="H213" t="str">
        <f>IF(SEFAZ!L195="","",SEFAZ!L195)</f>
        <v/>
      </c>
      <c r="I213" t="str">
        <f>IF(SEFAZ!N195="","",SEFAZ!N195)</f>
        <v/>
      </c>
      <c r="J213" t="str">
        <f>IF(SEFAZ!O195="","",SEFAZ!O195)</f>
        <v/>
      </c>
      <c r="K213" s="11" t="str">
        <f>IF(SEFAZ!P195="","",SEFAZ!P195)</f>
        <v/>
      </c>
      <c r="L213" t="str" cm="1">
        <f t="array" aca="1" ref="L2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3" t="s">
        <v>35</v>
      </c>
      <c r="O213" s="36" t="str">
        <f>IF(SEFAZ!B195="","",SEFAZ!B195)</f>
        <v/>
      </c>
    </row>
    <row r="214" spans="2:15" x14ac:dyDescent="0.3">
      <c r="B214" t="str">
        <f>IF(SEFAZ!A196="","",SEFAZ!A196)</f>
        <v/>
      </c>
      <c r="C214" t="str">
        <f>IF(SEFAZ!C196="","",SEFAZ!C196)</f>
        <v/>
      </c>
      <c r="D214" t="str">
        <f>IF(SEFAZ!D196="","",SEFAZ!D196)</f>
        <v/>
      </c>
      <c r="E214" s="7" t="str">
        <f>IF(SEFAZ!E196="","",SEFAZ!E196)</f>
        <v/>
      </c>
      <c r="F214" s="6" t="str">
        <f>IF(SEFAZ!F196="","",VALUE(SUBSTITUTE(SEFAZ!F196,"'","")))</f>
        <v/>
      </c>
      <c r="G214" t="str">
        <f>IF(SEFAZ!H196="","",SEFAZ!H196)</f>
        <v/>
      </c>
      <c r="H214" t="str">
        <f>IF(SEFAZ!L196="","",SEFAZ!L196)</f>
        <v/>
      </c>
      <c r="I214" t="str">
        <f>IF(SEFAZ!N196="","",SEFAZ!N196)</f>
        <v/>
      </c>
      <c r="J214" t="str">
        <f>IF(SEFAZ!O196="","",SEFAZ!O196)</f>
        <v/>
      </c>
      <c r="K214" s="11" t="str">
        <f>IF(SEFAZ!P196="","",SEFAZ!P196)</f>
        <v/>
      </c>
      <c r="L214" t="str" cm="1">
        <f t="array" aca="1" ref="L2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4" t="s">
        <v>35</v>
      </c>
      <c r="O214" s="36" t="str">
        <f>IF(SEFAZ!B196="","",SEFAZ!B196)</f>
        <v/>
      </c>
    </row>
    <row r="215" spans="2:15" x14ac:dyDescent="0.3">
      <c r="B215" t="str">
        <f>IF(SEFAZ!A197="","",SEFAZ!A197)</f>
        <v/>
      </c>
      <c r="C215" t="str">
        <f>IF(SEFAZ!C197="","",SEFAZ!C197)</f>
        <v/>
      </c>
      <c r="D215" t="str">
        <f>IF(SEFAZ!D197="","",SEFAZ!D197)</f>
        <v/>
      </c>
      <c r="E215" s="7" t="str">
        <f>IF(SEFAZ!E197="","",SEFAZ!E197)</f>
        <v/>
      </c>
      <c r="F215" s="6" t="str">
        <f>IF(SEFAZ!F197="","",VALUE(SUBSTITUTE(SEFAZ!F197,"'","")))</f>
        <v/>
      </c>
      <c r="G215" t="str">
        <f>IF(SEFAZ!H197="","",SEFAZ!H197)</f>
        <v/>
      </c>
      <c r="H215" t="str">
        <f>IF(SEFAZ!L197="","",SEFAZ!L197)</f>
        <v/>
      </c>
      <c r="I215" t="str">
        <f>IF(SEFAZ!N197="","",SEFAZ!N197)</f>
        <v/>
      </c>
      <c r="J215" t="str">
        <f>IF(SEFAZ!O197="","",SEFAZ!O197)</f>
        <v/>
      </c>
      <c r="K215" s="11" t="str">
        <f>IF(SEFAZ!P197="","",SEFAZ!P197)</f>
        <v/>
      </c>
      <c r="L215" t="str" cm="1">
        <f t="array" aca="1" ref="L2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5" t="s">
        <v>35</v>
      </c>
      <c r="O215" s="36" t="str">
        <f>IF(SEFAZ!B197="","",SEFAZ!B197)</f>
        <v/>
      </c>
    </row>
    <row r="216" spans="2:15" x14ac:dyDescent="0.3">
      <c r="B216" t="str">
        <f>IF(SEFAZ!A198="","",SEFAZ!A198)</f>
        <v/>
      </c>
      <c r="C216" t="str">
        <f>IF(SEFAZ!C198="","",SEFAZ!C198)</f>
        <v/>
      </c>
      <c r="D216" t="str">
        <f>IF(SEFAZ!D198="","",SEFAZ!D198)</f>
        <v/>
      </c>
      <c r="E216" s="7" t="str">
        <f>IF(SEFAZ!E198="","",SEFAZ!E198)</f>
        <v/>
      </c>
      <c r="F216" s="6" t="str">
        <f>IF(SEFAZ!F198="","",VALUE(SUBSTITUTE(SEFAZ!F198,"'","")))</f>
        <v/>
      </c>
      <c r="G216" t="str">
        <f>IF(SEFAZ!H198="","",SEFAZ!H198)</f>
        <v/>
      </c>
      <c r="H216" t="str">
        <f>IF(SEFAZ!L198="","",SEFAZ!L198)</f>
        <v/>
      </c>
      <c r="I216" t="str">
        <f>IF(SEFAZ!N198="","",SEFAZ!N198)</f>
        <v/>
      </c>
      <c r="J216" t="str">
        <f>IF(SEFAZ!O198="","",SEFAZ!O198)</f>
        <v/>
      </c>
      <c r="K216" s="11" t="str">
        <f>IF(SEFAZ!P198="","",SEFAZ!P198)</f>
        <v/>
      </c>
      <c r="L216" t="str" cm="1">
        <f t="array" aca="1" ref="L2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6" t="s">
        <v>35</v>
      </c>
      <c r="O216" s="36" t="str">
        <f>IF(SEFAZ!B198="","",SEFAZ!B198)</f>
        <v/>
      </c>
    </row>
    <row r="217" spans="2:15" x14ac:dyDescent="0.3">
      <c r="B217" t="str">
        <f>IF(SEFAZ!A199="","",SEFAZ!A199)</f>
        <v/>
      </c>
      <c r="C217" t="str">
        <f>IF(SEFAZ!C199="","",SEFAZ!C199)</f>
        <v/>
      </c>
      <c r="D217" t="str">
        <f>IF(SEFAZ!D199="","",SEFAZ!D199)</f>
        <v/>
      </c>
      <c r="E217" s="7" t="str">
        <f>IF(SEFAZ!E199="","",SEFAZ!E199)</f>
        <v/>
      </c>
      <c r="F217" s="6" t="str">
        <f>IF(SEFAZ!F199="","",VALUE(SUBSTITUTE(SEFAZ!F199,"'","")))</f>
        <v/>
      </c>
      <c r="G217" t="str">
        <f>IF(SEFAZ!H199="","",SEFAZ!H199)</f>
        <v/>
      </c>
      <c r="H217" t="str">
        <f>IF(SEFAZ!L199="","",SEFAZ!L199)</f>
        <v/>
      </c>
      <c r="I217" t="str">
        <f>IF(SEFAZ!N199="","",SEFAZ!N199)</f>
        <v/>
      </c>
      <c r="J217" t="str">
        <f>IF(SEFAZ!O199="","",SEFAZ!O199)</f>
        <v/>
      </c>
      <c r="K217" s="11" t="str">
        <f>IF(SEFAZ!P199="","",SEFAZ!P199)</f>
        <v/>
      </c>
      <c r="L217" t="str" cm="1">
        <f t="array" aca="1" ref="L2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7" t="s">
        <v>35</v>
      </c>
      <c r="O217" s="36" t="str">
        <f>IF(SEFAZ!B199="","",SEFAZ!B199)</f>
        <v/>
      </c>
    </row>
    <row r="218" spans="2:15" x14ac:dyDescent="0.3">
      <c r="B218" t="str">
        <f>IF(SEFAZ!A200="","",SEFAZ!A200)</f>
        <v/>
      </c>
      <c r="C218" t="str">
        <f>IF(SEFAZ!C200="","",SEFAZ!C200)</f>
        <v/>
      </c>
      <c r="D218" t="str">
        <f>IF(SEFAZ!D200="","",SEFAZ!D200)</f>
        <v/>
      </c>
      <c r="E218" s="7" t="str">
        <f>IF(SEFAZ!E200="","",SEFAZ!E200)</f>
        <v/>
      </c>
      <c r="F218" s="6" t="str">
        <f>IF(SEFAZ!F200="","",VALUE(SUBSTITUTE(SEFAZ!F200,"'","")))</f>
        <v/>
      </c>
      <c r="G218" t="str">
        <f>IF(SEFAZ!H200="","",SEFAZ!H200)</f>
        <v/>
      </c>
      <c r="H218" t="str">
        <f>IF(SEFAZ!L200="","",SEFAZ!L200)</f>
        <v/>
      </c>
      <c r="I218" t="str">
        <f>IF(SEFAZ!N200="","",SEFAZ!N200)</f>
        <v/>
      </c>
      <c r="J218" t="str">
        <f>IF(SEFAZ!O200="","",SEFAZ!O200)</f>
        <v/>
      </c>
      <c r="K218" s="11" t="str">
        <f>IF(SEFAZ!P200="","",SEFAZ!P200)</f>
        <v/>
      </c>
      <c r="L218" t="str" cm="1">
        <f t="array" aca="1" ref="L2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8" t="s">
        <v>35</v>
      </c>
      <c r="O218" s="36" t="str">
        <f>IF(SEFAZ!B200="","",SEFAZ!B200)</f>
        <v/>
      </c>
    </row>
    <row r="219" spans="2:15" x14ac:dyDescent="0.3">
      <c r="B219" t="str">
        <f>IF(SEFAZ!A201="","",SEFAZ!A201)</f>
        <v/>
      </c>
      <c r="C219" t="str">
        <f>IF(SEFAZ!C201="","",SEFAZ!C201)</f>
        <v/>
      </c>
      <c r="D219" t="str">
        <f>IF(SEFAZ!D201="","",SEFAZ!D201)</f>
        <v/>
      </c>
      <c r="E219" s="7" t="str">
        <f>IF(SEFAZ!E201="","",SEFAZ!E201)</f>
        <v/>
      </c>
      <c r="F219" s="6" t="str">
        <f>IF(SEFAZ!F201="","",VALUE(SUBSTITUTE(SEFAZ!F201,"'","")))</f>
        <v/>
      </c>
      <c r="G219" t="str">
        <f>IF(SEFAZ!H201="","",SEFAZ!H201)</f>
        <v/>
      </c>
      <c r="H219" t="str">
        <f>IF(SEFAZ!L201="","",SEFAZ!L201)</f>
        <v/>
      </c>
      <c r="I219" t="str">
        <f>IF(SEFAZ!N201="","",SEFAZ!N201)</f>
        <v/>
      </c>
      <c r="J219" t="str">
        <f>IF(SEFAZ!O201="","",SEFAZ!O201)</f>
        <v/>
      </c>
      <c r="K219" s="11" t="str">
        <f>IF(SEFAZ!P201="","",SEFAZ!P201)</f>
        <v/>
      </c>
      <c r="L219" t="str" cm="1">
        <f t="array" aca="1" ref="L2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19" t="s">
        <v>35</v>
      </c>
      <c r="O219" s="36" t="str">
        <f>IF(SEFAZ!B201="","",SEFAZ!B201)</f>
        <v/>
      </c>
    </row>
    <row r="220" spans="2:15" x14ac:dyDescent="0.3">
      <c r="B220" t="str">
        <f>IF(SEFAZ!A202="","",SEFAZ!A202)</f>
        <v/>
      </c>
      <c r="C220" t="str">
        <f>IF(SEFAZ!C202="","",SEFAZ!C202)</f>
        <v/>
      </c>
      <c r="D220" t="str">
        <f>IF(SEFAZ!D202="","",SEFAZ!D202)</f>
        <v/>
      </c>
      <c r="E220" s="7" t="str">
        <f>IF(SEFAZ!E202="","",SEFAZ!E202)</f>
        <v/>
      </c>
      <c r="F220" s="6" t="str">
        <f>IF(SEFAZ!F202="","",VALUE(SUBSTITUTE(SEFAZ!F202,"'","")))</f>
        <v/>
      </c>
      <c r="G220" t="str">
        <f>IF(SEFAZ!H202="","",SEFAZ!H202)</f>
        <v/>
      </c>
      <c r="H220" t="str">
        <f>IF(SEFAZ!L202="","",SEFAZ!L202)</f>
        <v/>
      </c>
      <c r="I220" t="str">
        <f>IF(SEFAZ!N202="","",SEFAZ!N202)</f>
        <v/>
      </c>
      <c r="J220" t="str">
        <f>IF(SEFAZ!O202="","",SEFAZ!O202)</f>
        <v/>
      </c>
      <c r="K220" s="11" t="str">
        <f>IF(SEFAZ!P202="","",SEFAZ!P202)</f>
        <v/>
      </c>
      <c r="L220" t="str" cm="1">
        <f t="array" aca="1" ref="L2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0" t="s">
        <v>35</v>
      </c>
      <c r="O220" s="36" t="str">
        <f>IF(SEFAZ!B202="","",SEFAZ!B202)</f>
        <v/>
      </c>
    </row>
    <row r="221" spans="2:15" x14ac:dyDescent="0.3">
      <c r="B221" t="str">
        <f>IF(SEFAZ!A203="","",SEFAZ!A203)</f>
        <v/>
      </c>
      <c r="C221" t="str">
        <f>IF(SEFAZ!C203="","",SEFAZ!C203)</f>
        <v/>
      </c>
      <c r="D221" t="str">
        <f>IF(SEFAZ!D203="","",SEFAZ!D203)</f>
        <v/>
      </c>
      <c r="E221" s="7" t="str">
        <f>IF(SEFAZ!E203="","",SEFAZ!E203)</f>
        <v/>
      </c>
      <c r="F221" s="6" t="str">
        <f>IF(SEFAZ!F203="","",VALUE(SUBSTITUTE(SEFAZ!F203,"'","")))</f>
        <v/>
      </c>
      <c r="G221" t="str">
        <f>IF(SEFAZ!H203="","",SEFAZ!H203)</f>
        <v/>
      </c>
      <c r="H221" t="str">
        <f>IF(SEFAZ!L203="","",SEFAZ!L203)</f>
        <v/>
      </c>
      <c r="I221" t="str">
        <f>IF(SEFAZ!N203="","",SEFAZ!N203)</f>
        <v/>
      </c>
      <c r="J221" t="str">
        <f>IF(SEFAZ!O203="","",SEFAZ!O203)</f>
        <v/>
      </c>
      <c r="K221" s="11" t="str">
        <f>IF(SEFAZ!P203="","",SEFAZ!P203)</f>
        <v/>
      </c>
      <c r="L221" t="str" cm="1">
        <f t="array" aca="1" ref="L2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1" t="s">
        <v>35</v>
      </c>
      <c r="O221" s="36" t="str">
        <f>IF(SEFAZ!B203="","",SEFAZ!B203)</f>
        <v/>
      </c>
    </row>
    <row r="222" spans="2:15" x14ac:dyDescent="0.3">
      <c r="B222" t="str">
        <f>IF(SEFAZ!A204="","",SEFAZ!A204)</f>
        <v/>
      </c>
      <c r="C222" t="str">
        <f>IF(SEFAZ!C204="","",SEFAZ!C204)</f>
        <v/>
      </c>
      <c r="D222" t="str">
        <f>IF(SEFAZ!D204="","",SEFAZ!D204)</f>
        <v/>
      </c>
      <c r="E222" s="7" t="str">
        <f>IF(SEFAZ!E204="","",SEFAZ!E204)</f>
        <v/>
      </c>
      <c r="F222" s="6" t="str">
        <f>IF(SEFAZ!F204="","",VALUE(SUBSTITUTE(SEFAZ!F204,"'","")))</f>
        <v/>
      </c>
      <c r="G222" t="str">
        <f>IF(SEFAZ!H204="","",SEFAZ!H204)</f>
        <v/>
      </c>
      <c r="H222" t="str">
        <f>IF(SEFAZ!L204="","",SEFAZ!L204)</f>
        <v/>
      </c>
      <c r="I222" t="str">
        <f>IF(SEFAZ!N204="","",SEFAZ!N204)</f>
        <v/>
      </c>
      <c r="J222" t="str">
        <f>IF(SEFAZ!O204="","",SEFAZ!O204)</f>
        <v/>
      </c>
      <c r="K222" s="11" t="str">
        <f>IF(SEFAZ!P204="","",SEFAZ!P204)</f>
        <v/>
      </c>
      <c r="L222" t="str" cm="1">
        <f t="array" aca="1" ref="L2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2" t="s">
        <v>35</v>
      </c>
      <c r="O222" s="36" t="str">
        <f>IF(SEFAZ!B204="","",SEFAZ!B204)</f>
        <v/>
      </c>
    </row>
    <row r="223" spans="2:15" x14ac:dyDescent="0.3">
      <c r="B223" t="str">
        <f>IF(SEFAZ!A205="","",SEFAZ!A205)</f>
        <v/>
      </c>
      <c r="C223" t="str">
        <f>IF(SEFAZ!C205="","",SEFAZ!C205)</f>
        <v/>
      </c>
      <c r="D223" t="str">
        <f>IF(SEFAZ!D205="","",SEFAZ!D205)</f>
        <v/>
      </c>
      <c r="E223" s="7" t="str">
        <f>IF(SEFAZ!E205="","",SEFAZ!E205)</f>
        <v/>
      </c>
      <c r="F223" s="6" t="str">
        <f>IF(SEFAZ!F205="","",VALUE(SUBSTITUTE(SEFAZ!F205,"'","")))</f>
        <v/>
      </c>
      <c r="G223" t="str">
        <f>IF(SEFAZ!H205="","",SEFAZ!H205)</f>
        <v/>
      </c>
      <c r="H223" t="str">
        <f>IF(SEFAZ!L205="","",SEFAZ!L205)</f>
        <v/>
      </c>
      <c r="I223" t="str">
        <f>IF(SEFAZ!N205="","",SEFAZ!N205)</f>
        <v/>
      </c>
      <c r="J223" t="str">
        <f>IF(SEFAZ!O205="","",SEFAZ!O205)</f>
        <v/>
      </c>
      <c r="K223" s="11" t="str">
        <f>IF(SEFAZ!P205="","",SEFAZ!P205)</f>
        <v/>
      </c>
      <c r="L223" t="str" cm="1">
        <f t="array" aca="1" ref="L2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3" t="s">
        <v>35</v>
      </c>
      <c r="O223" s="36" t="str">
        <f>IF(SEFAZ!B205="","",SEFAZ!B205)</f>
        <v/>
      </c>
    </row>
    <row r="224" spans="2:15" x14ac:dyDescent="0.3">
      <c r="B224" t="str">
        <f>IF(SEFAZ!A206="","",SEFAZ!A206)</f>
        <v/>
      </c>
      <c r="C224" t="str">
        <f>IF(SEFAZ!C206="","",SEFAZ!C206)</f>
        <v/>
      </c>
      <c r="D224" t="str">
        <f>IF(SEFAZ!D206="","",SEFAZ!D206)</f>
        <v/>
      </c>
      <c r="E224" s="7" t="str">
        <f>IF(SEFAZ!E206="","",SEFAZ!E206)</f>
        <v/>
      </c>
      <c r="F224" s="6" t="str">
        <f>IF(SEFAZ!F206="","",VALUE(SUBSTITUTE(SEFAZ!F206,"'","")))</f>
        <v/>
      </c>
      <c r="G224" t="str">
        <f>IF(SEFAZ!H206="","",SEFAZ!H206)</f>
        <v/>
      </c>
      <c r="H224" t="str">
        <f>IF(SEFAZ!L206="","",SEFAZ!L206)</f>
        <v/>
      </c>
      <c r="I224" t="str">
        <f>IF(SEFAZ!N206="","",SEFAZ!N206)</f>
        <v/>
      </c>
      <c r="J224" t="str">
        <f>IF(SEFAZ!O206="","",SEFAZ!O206)</f>
        <v/>
      </c>
      <c r="K224" s="11" t="str">
        <f>IF(SEFAZ!P206="","",SEFAZ!P206)</f>
        <v/>
      </c>
      <c r="L224" t="str" cm="1">
        <f t="array" aca="1" ref="L2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4" t="s">
        <v>35</v>
      </c>
      <c r="O224" s="36" t="str">
        <f>IF(SEFAZ!B206="","",SEFAZ!B206)</f>
        <v/>
      </c>
    </row>
    <row r="225" spans="2:15" x14ac:dyDescent="0.3">
      <c r="B225" t="str">
        <f>IF(SEFAZ!A207="","",SEFAZ!A207)</f>
        <v/>
      </c>
      <c r="C225" t="str">
        <f>IF(SEFAZ!C207="","",SEFAZ!C207)</f>
        <v/>
      </c>
      <c r="D225" t="str">
        <f>IF(SEFAZ!D207="","",SEFAZ!D207)</f>
        <v/>
      </c>
      <c r="E225" s="7" t="str">
        <f>IF(SEFAZ!E207="","",SEFAZ!E207)</f>
        <v/>
      </c>
      <c r="F225" s="6" t="str">
        <f>IF(SEFAZ!F207="","",VALUE(SUBSTITUTE(SEFAZ!F207,"'","")))</f>
        <v/>
      </c>
      <c r="G225" t="str">
        <f>IF(SEFAZ!H207="","",SEFAZ!H207)</f>
        <v/>
      </c>
      <c r="H225" t="str">
        <f>IF(SEFAZ!L207="","",SEFAZ!L207)</f>
        <v/>
      </c>
      <c r="I225" t="str">
        <f>IF(SEFAZ!N207="","",SEFAZ!N207)</f>
        <v/>
      </c>
      <c r="J225" t="str">
        <f>IF(SEFAZ!O207="","",SEFAZ!O207)</f>
        <v/>
      </c>
      <c r="K225" s="11" t="str">
        <f>IF(SEFAZ!P207="","",SEFAZ!P207)</f>
        <v/>
      </c>
      <c r="L225" t="str" cm="1">
        <f t="array" aca="1" ref="L2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5" t="s">
        <v>35</v>
      </c>
      <c r="O225" s="36" t="str">
        <f>IF(SEFAZ!B207="","",SEFAZ!B207)</f>
        <v/>
      </c>
    </row>
    <row r="226" spans="2:15" x14ac:dyDescent="0.3">
      <c r="B226" t="str">
        <f>IF(SEFAZ!A208="","",SEFAZ!A208)</f>
        <v/>
      </c>
      <c r="C226" t="str">
        <f>IF(SEFAZ!C208="","",SEFAZ!C208)</f>
        <v/>
      </c>
      <c r="D226" t="str">
        <f>IF(SEFAZ!D208="","",SEFAZ!D208)</f>
        <v/>
      </c>
      <c r="E226" s="7" t="str">
        <f>IF(SEFAZ!E208="","",SEFAZ!E208)</f>
        <v/>
      </c>
      <c r="F226" s="6" t="str">
        <f>IF(SEFAZ!F208="","",VALUE(SUBSTITUTE(SEFAZ!F208,"'","")))</f>
        <v/>
      </c>
      <c r="G226" t="str">
        <f>IF(SEFAZ!H208="","",SEFAZ!H208)</f>
        <v/>
      </c>
      <c r="H226" t="str">
        <f>IF(SEFAZ!L208="","",SEFAZ!L208)</f>
        <v/>
      </c>
      <c r="I226" t="str">
        <f>IF(SEFAZ!N208="","",SEFAZ!N208)</f>
        <v/>
      </c>
      <c r="J226" t="str">
        <f>IF(SEFAZ!O208="","",SEFAZ!O208)</f>
        <v/>
      </c>
      <c r="K226" s="11" t="str">
        <f>IF(SEFAZ!P208="","",SEFAZ!P208)</f>
        <v/>
      </c>
      <c r="L226" t="str" cm="1">
        <f t="array" aca="1" ref="L2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6" t="s">
        <v>35</v>
      </c>
      <c r="O226" s="36" t="str">
        <f>IF(SEFAZ!B208="","",SEFAZ!B208)</f>
        <v/>
      </c>
    </row>
    <row r="227" spans="2:15" x14ac:dyDescent="0.3">
      <c r="B227" t="str">
        <f>IF(SEFAZ!A209="","",SEFAZ!A209)</f>
        <v/>
      </c>
      <c r="C227" t="str">
        <f>IF(SEFAZ!C209="","",SEFAZ!C209)</f>
        <v/>
      </c>
      <c r="D227" t="str">
        <f>IF(SEFAZ!D209="","",SEFAZ!D209)</f>
        <v/>
      </c>
      <c r="E227" s="7" t="str">
        <f>IF(SEFAZ!E209="","",SEFAZ!E209)</f>
        <v/>
      </c>
      <c r="F227" s="6" t="str">
        <f>IF(SEFAZ!F209="","",VALUE(SUBSTITUTE(SEFAZ!F209,"'","")))</f>
        <v/>
      </c>
      <c r="G227" t="str">
        <f>IF(SEFAZ!H209="","",SEFAZ!H209)</f>
        <v/>
      </c>
      <c r="H227" t="str">
        <f>IF(SEFAZ!L209="","",SEFAZ!L209)</f>
        <v/>
      </c>
      <c r="I227" t="str">
        <f>IF(SEFAZ!N209="","",SEFAZ!N209)</f>
        <v/>
      </c>
      <c r="J227" t="str">
        <f>IF(SEFAZ!O209="","",SEFAZ!O209)</f>
        <v/>
      </c>
      <c r="K227" s="11" t="str">
        <f>IF(SEFAZ!P209="","",SEFAZ!P209)</f>
        <v/>
      </c>
      <c r="L227" t="str" cm="1">
        <f t="array" aca="1" ref="L2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7" t="s">
        <v>35</v>
      </c>
      <c r="O227" s="36" t="str">
        <f>IF(SEFAZ!B209="","",SEFAZ!B209)</f>
        <v/>
      </c>
    </row>
    <row r="228" spans="2:15" x14ac:dyDescent="0.3">
      <c r="B228" t="str">
        <f>IF(SEFAZ!A210="","",SEFAZ!A210)</f>
        <v/>
      </c>
      <c r="C228" t="str">
        <f>IF(SEFAZ!C210="","",SEFAZ!C210)</f>
        <v/>
      </c>
      <c r="D228" t="str">
        <f>IF(SEFAZ!D210="","",SEFAZ!D210)</f>
        <v/>
      </c>
      <c r="E228" s="7" t="str">
        <f>IF(SEFAZ!E210="","",SEFAZ!E210)</f>
        <v/>
      </c>
      <c r="F228" s="6" t="str">
        <f>IF(SEFAZ!F210="","",VALUE(SUBSTITUTE(SEFAZ!F210,"'","")))</f>
        <v/>
      </c>
      <c r="G228" t="str">
        <f>IF(SEFAZ!H210="","",SEFAZ!H210)</f>
        <v/>
      </c>
      <c r="H228" t="str">
        <f>IF(SEFAZ!L210="","",SEFAZ!L210)</f>
        <v/>
      </c>
      <c r="I228" t="str">
        <f>IF(SEFAZ!N210="","",SEFAZ!N210)</f>
        <v/>
      </c>
      <c r="J228" t="str">
        <f>IF(SEFAZ!O210="","",SEFAZ!O210)</f>
        <v/>
      </c>
      <c r="K228" s="11" t="str">
        <f>IF(SEFAZ!P210="","",SEFAZ!P210)</f>
        <v/>
      </c>
      <c r="L228" t="str" cm="1">
        <f t="array" aca="1" ref="L2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8" t="s">
        <v>35</v>
      </c>
      <c r="O228" s="36" t="str">
        <f>IF(SEFAZ!B210="","",SEFAZ!B210)</f>
        <v/>
      </c>
    </row>
    <row r="229" spans="2:15" x14ac:dyDescent="0.3">
      <c r="B229" t="str">
        <f>IF(SEFAZ!A211="","",SEFAZ!A211)</f>
        <v/>
      </c>
      <c r="C229" t="str">
        <f>IF(SEFAZ!C211="","",SEFAZ!C211)</f>
        <v/>
      </c>
      <c r="D229" t="str">
        <f>IF(SEFAZ!D211="","",SEFAZ!D211)</f>
        <v/>
      </c>
      <c r="E229" s="7" t="str">
        <f>IF(SEFAZ!E211="","",SEFAZ!E211)</f>
        <v/>
      </c>
      <c r="F229" s="6" t="str">
        <f>IF(SEFAZ!F211="","",VALUE(SUBSTITUTE(SEFAZ!F211,"'","")))</f>
        <v/>
      </c>
      <c r="G229" t="str">
        <f>IF(SEFAZ!H211="","",SEFAZ!H211)</f>
        <v/>
      </c>
      <c r="H229" t="str">
        <f>IF(SEFAZ!L211="","",SEFAZ!L211)</f>
        <v/>
      </c>
      <c r="I229" t="str">
        <f>IF(SEFAZ!N211="","",SEFAZ!N211)</f>
        <v/>
      </c>
      <c r="J229" t="str">
        <f>IF(SEFAZ!O211="","",SEFAZ!O211)</f>
        <v/>
      </c>
      <c r="K229" s="11" t="str">
        <f>IF(SEFAZ!P211="","",SEFAZ!P211)</f>
        <v/>
      </c>
      <c r="L229" t="str" cm="1">
        <f t="array" aca="1" ref="L2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29" t="s">
        <v>35</v>
      </c>
      <c r="O229" s="36" t="str">
        <f>IF(SEFAZ!B211="","",SEFAZ!B211)</f>
        <v/>
      </c>
    </row>
    <row r="230" spans="2:15" x14ac:dyDescent="0.3">
      <c r="B230" t="str">
        <f>IF(SEFAZ!A212="","",SEFAZ!A212)</f>
        <v/>
      </c>
      <c r="C230" t="str">
        <f>IF(SEFAZ!C212="","",SEFAZ!C212)</f>
        <v/>
      </c>
      <c r="D230" t="str">
        <f>IF(SEFAZ!D212="","",SEFAZ!D212)</f>
        <v/>
      </c>
      <c r="E230" s="7" t="str">
        <f>IF(SEFAZ!E212="","",SEFAZ!E212)</f>
        <v/>
      </c>
      <c r="F230" s="6" t="str">
        <f>IF(SEFAZ!F212="","",VALUE(SUBSTITUTE(SEFAZ!F212,"'","")))</f>
        <v/>
      </c>
      <c r="G230" t="str">
        <f>IF(SEFAZ!H212="","",SEFAZ!H212)</f>
        <v/>
      </c>
      <c r="H230" t="str">
        <f>IF(SEFAZ!L212="","",SEFAZ!L212)</f>
        <v/>
      </c>
      <c r="I230" t="str">
        <f>IF(SEFAZ!N212="","",SEFAZ!N212)</f>
        <v/>
      </c>
      <c r="J230" t="str">
        <f>IF(SEFAZ!O212="","",SEFAZ!O212)</f>
        <v/>
      </c>
      <c r="K230" s="11" t="str">
        <f>IF(SEFAZ!P212="","",SEFAZ!P212)</f>
        <v/>
      </c>
      <c r="L230" t="str" cm="1">
        <f t="array" aca="1" ref="L2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0" t="s">
        <v>35</v>
      </c>
      <c r="O230" s="36" t="str">
        <f>IF(SEFAZ!B212="","",SEFAZ!B212)</f>
        <v/>
      </c>
    </row>
    <row r="231" spans="2:15" x14ac:dyDescent="0.3">
      <c r="B231" t="str">
        <f>IF(SEFAZ!A213="","",SEFAZ!A213)</f>
        <v/>
      </c>
      <c r="C231" t="str">
        <f>IF(SEFAZ!C213="","",SEFAZ!C213)</f>
        <v/>
      </c>
      <c r="D231" t="str">
        <f>IF(SEFAZ!D213="","",SEFAZ!D213)</f>
        <v/>
      </c>
      <c r="E231" s="7" t="str">
        <f>IF(SEFAZ!E213="","",SEFAZ!E213)</f>
        <v/>
      </c>
      <c r="F231" s="6" t="str">
        <f>IF(SEFAZ!F213="","",VALUE(SUBSTITUTE(SEFAZ!F213,"'","")))</f>
        <v/>
      </c>
      <c r="G231" t="str">
        <f>IF(SEFAZ!H213="","",SEFAZ!H213)</f>
        <v/>
      </c>
      <c r="H231" t="str">
        <f>IF(SEFAZ!L213="","",SEFAZ!L213)</f>
        <v/>
      </c>
      <c r="I231" t="str">
        <f>IF(SEFAZ!N213="","",SEFAZ!N213)</f>
        <v/>
      </c>
      <c r="J231" t="str">
        <f>IF(SEFAZ!O213="","",SEFAZ!O213)</f>
        <v/>
      </c>
      <c r="K231" s="11" t="str">
        <f>IF(SEFAZ!P213="","",SEFAZ!P213)</f>
        <v/>
      </c>
      <c r="L231" t="str" cm="1">
        <f t="array" aca="1" ref="L2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1" t="s">
        <v>35</v>
      </c>
      <c r="O231" s="36" t="str">
        <f>IF(SEFAZ!B213="","",SEFAZ!B213)</f>
        <v/>
      </c>
    </row>
    <row r="232" spans="2:15" x14ac:dyDescent="0.3">
      <c r="B232" t="str">
        <f>IF(SEFAZ!A214="","",SEFAZ!A214)</f>
        <v/>
      </c>
      <c r="C232" t="str">
        <f>IF(SEFAZ!C214="","",SEFAZ!C214)</f>
        <v/>
      </c>
      <c r="D232" t="str">
        <f>IF(SEFAZ!D214="","",SEFAZ!D214)</f>
        <v/>
      </c>
      <c r="E232" s="7" t="str">
        <f>IF(SEFAZ!E214="","",SEFAZ!E214)</f>
        <v/>
      </c>
      <c r="F232" s="6" t="str">
        <f>IF(SEFAZ!F214="","",VALUE(SUBSTITUTE(SEFAZ!F214,"'","")))</f>
        <v/>
      </c>
      <c r="G232" t="str">
        <f>IF(SEFAZ!H214="","",SEFAZ!H214)</f>
        <v/>
      </c>
      <c r="H232" t="str">
        <f>IF(SEFAZ!L214="","",SEFAZ!L214)</f>
        <v/>
      </c>
      <c r="I232" t="str">
        <f>IF(SEFAZ!N214="","",SEFAZ!N214)</f>
        <v/>
      </c>
      <c r="J232" t="str">
        <f>IF(SEFAZ!O214="","",SEFAZ!O214)</f>
        <v/>
      </c>
      <c r="K232" s="11" t="str">
        <f>IF(SEFAZ!P214="","",SEFAZ!P214)</f>
        <v/>
      </c>
      <c r="L232" t="str" cm="1">
        <f t="array" aca="1" ref="L2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2" t="s">
        <v>35</v>
      </c>
      <c r="O232" s="36" t="str">
        <f>IF(SEFAZ!B214="","",SEFAZ!B214)</f>
        <v/>
      </c>
    </row>
    <row r="233" spans="2:15" x14ac:dyDescent="0.3">
      <c r="B233" t="str">
        <f>IF(SEFAZ!A215="","",SEFAZ!A215)</f>
        <v/>
      </c>
      <c r="C233" t="str">
        <f>IF(SEFAZ!C215="","",SEFAZ!C215)</f>
        <v/>
      </c>
      <c r="D233" t="str">
        <f>IF(SEFAZ!D215="","",SEFAZ!D215)</f>
        <v/>
      </c>
      <c r="E233" s="7" t="str">
        <f>IF(SEFAZ!E215="","",SEFAZ!E215)</f>
        <v/>
      </c>
      <c r="F233" s="6" t="str">
        <f>IF(SEFAZ!F215="","",VALUE(SUBSTITUTE(SEFAZ!F215,"'","")))</f>
        <v/>
      </c>
      <c r="G233" t="str">
        <f>IF(SEFAZ!H215="","",SEFAZ!H215)</f>
        <v/>
      </c>
      <c r="H233" t="str">
        <f>IF(SEFAZ!L215="","",SEFAZ!L215)</f>
        <v/>
      </c>
      <c r="I233" t="str">
        <f>IF(SEFAZ!N215="","",SEFAZ!N215)</f>
        <v/>
      </c>
      <c r="J233" t="str">
        <f>IF(SEFAZ!O215="","",SEFAZ!O215)</f>
        <v/>
      </c>
      <c r="K233" s="11" t="str">
        <f>IF(SEFAZ!P215="","",SEFAZ!P215)</f>
        <v/>
      </c>
      <c r="L233" t="str" cm="1">
        <f t="array" aca="1" ref="L2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3" t="s">
        <v>35</v>
      </c>
      <c r="O233" s="36" t="str">
        <f>IF(SEFAZ!B215="","",SEFAZ!B215)</f>
        <v/>
      </c>
    </row>
    <row r="234" spans="2:15" x14ac:dyDescent="0.3">
      <c r="B234" t="str">
        <f>IF(SEFAZ!A216="","",SEFAZ!A216)</f>
        <v/>
      </c>
      <c r="C234" t="str">
        <f>IF(SEFAZ!C216="","",SEFAZ!C216)</f>
        <v/>
      </c>
      <c r="D234" t="str">
        <f>IF(SEFAZ!D216="","",SEFAZ!D216)</f>
        <v/>
      </c>
      <c r="E234" s="7" t="str">
        <f>IF(SEFAZ!E216="","",SEFAZ!E216)</f>
        <v/>
      </c>
      <c r="F234" s="6" t="str">
        <f>IF(SEFAZ!F216="","",VALUE(SUBSTITUTE(SEFAZ!F216,"'","")))</f>
        <v/>
      </c>
      <c r="G234" t="str">
        <f>IF(SEFAZ!H216="","",SEFAZ!H216)</f>
        <v/>
      </c>
      <c r="H234" t="str">
        <f>IF(SEFAZ!L216="","",SEFAZ!L216)</f>
        <v/>
      </c>
      <c r="I234" t="str">
        <f>IF(SEFAZ!N216="","",SEFAZ!N216)</f>
        <v/>
      </c>
      <c r="J234" t="str">
        <f>IF(SEFAZ!O216="","",SEFAZ!O216)</f>
        <v/>
      </c>
      <c r="K234" s="11" t="str">
        <f>IF(SEFAZ!P216="","",SEFAZ!P216)</f>
        <v/>
      </c>
      <c r="L234" t="str" cm="1">
        <f t="array" aca="1" ref="L2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4" t="s">
        <v>35</v>
      </c>
      <c r="O234" s="36" t="str">
        <f>IF(SEFAZ!B216="","",SEFAZ!B216)</f>
        <v/>
      </c>
    </row>
    <row r="235" spans="2:15" x14ac:dyDescent="0.3">
      <c r="B235" t="str">
        <f>IF(SEFAZ!A217="","",SEFAZ!A217)</f>
        <v/>
      </c>
      <c r="C235" t="str">
        <f>IF(SEFAZ!C217="","",SEFAZ!C217)</f>
        <v/>
      </c>
      <c r="D235" t="str">
        <f>IF(SEFAZ!D217="","",SEFAZ!D217)</f>
        <v/>
      </c>
      <c r="E235" s="7" t="str">
        <f>IF(SEFAZ!E217="","",SEFAZ!E217)</f>
        <v/>
      </c>
      <c r="F235" s="6" t="str">
        <f>IF(SEFAZ!F217="","",VALUE(SUBSTITUTE(SEFAZ!F217,"'","")))</f>
        <v/>
      </c>
      <c r="G235" t="str">
        <f>IF(SEFAZ!H217="","",SEFAZ!H217)</f>
        <v/>
      </c>
      <c r="H235" t="str">
        <f>IF(SEFAZ!L217="","",SEFAZ!L217)</f>
        <v/>
      </c>
      <c r="I235" t="str">
        <f>IF(SEFAZ!N217="","",SEFAZ!N217)</f>
        <v/>
      </c>
      <c r="J235" t="str">
        <f>IF(SEFAZ!O217="","",SEFAZ!O217)</f>
        <v/>
      </c>
      <c r="K235" s="11" t="str">
        <f>IF(SEFAZ!P217="","",SEFAZ!P217)</f>
        <v/>
      </c>
      <c r="L235" t="str" cm="1">
        <f t="array" aca="1" ref="L2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5" t="s">
        <v>35</v>
      </c>
      <c r="O235" s="36" t="str">
        <f>IF(SEFAZ!B217="","",SEFAZ!B217)</f>
        <v/>
      </c>
    </row>
    <row r="236" spans="2:15" x14ac:dyDescent="0.3">
      <c r="B236" t="str">
        <f>IF(SEFAZ!A218="","",SEFAZ!A218)</f>
        <v/>
      </c>
      <c r="C236" t="str">
        <f>IF(SEFAZ!C218="","",SEFAZ!C218)</f>
        <v/>
      </c>
      <c r="D236" t="str">
        <f>IF(SEFAZ!D218="","",SEFAZ!D218)</f>
        <v/>
      </c>
      <c r="E236" s="7" t="str">
        <f>IF(SEFAZ!E218="","",SEFAZ!E218)</f>
        <v/>
      </c>
      <c r="F236" s="6" t="str">
        <f>IF(SEFAZ!F218="","",VALUE(SUBSTITUTE(SEFAZ!F218,"'","")))</f>
        <v/>
      </c>
      <c r="G236" t="str">
        <f>IF(SEFAZ!H218="","",SEFAZ!H218)</f>
        <v/>
      </c>
      <c r="H236" t="str">
        <f>IF(SEFAZ!L218="","",SEFAZ!L218)</f>
        <v/>
      </c>
      <c r="I236" t="str">
        <f>IF(SEFAZ!N218="","",SEFAZ!N218)</f>
        <v/>
      </c>
      <c r="J236" t="str">
        <f>IF(SEFAZ!O218="","",SEFAZ!O218)</f>
        <v/>
      </c>
      <c r="K236" s="11" t="str">
        <f>IF(SEFAZ!P218="","",SEFAZ!P218)</f>
        <v/>
      </c>
      <c r="L236" t="str" cm="1">
        <f t="array" aca="1" ref="L2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6" t="s">
        <v>35</v>
      </c>
      <c r="O236" s="36" t="str">
        <f>IF(SEFAZ!B218="","",SEFAZ!B218)</f>
        <v/>
      </c>
    </row>
    <row r="237" spans="2:15" x14ac:dyDescent="0.3">
      <c r="B237" t="str">
        <f>IF(SEFAZ!A219="","",SEFAZ!A219)</f>
        <v/>
      </c>
      <c r="C237" t="str">
        <f>IF(SEFAZ!C219="","",SEFAZ!C219)</f>
        <v/>
      </c>
      <c r="D237" t="str">
        <f>IF(SEFAZ!D219="","",SEFAZ!D219)</f>
        <v/>
      </c>
      <c r="E237" s="7" t="str">
        <f>IF(SEFAZ!E219="","",SEFAZ!E219)</f>
        <v/>
      </c>
      <c r="F237" s="6" t="str">
        <f>IF(SEFAZ!F219="","",VALUE(SUBSTITUTE(SEFAZ!F219,"'","")))</f>
        <v/>
      </c>
      <c r="G237" t="str">
        <f>IF(SEFAZ!H219="","",SEFAZ!H219)</f>
        <v/>
      </c>
      <c r="H237" t="str">
        <f>IF(SEFAZ!L219="","",SEFAZ!L219)</f>
        <v/>
      </c>
      <c r="I237" t="str">
        <f>IF(SEFAZ!N219="","",SEFAZ!N219)</f>
        <v/>
      </c>
      <c r="J237" t="str">
        <f>IF(SEFAZ!O219="","",SEFAZ!O219)</f>
        <v/>
      </c>
      <c r="K237" s="11" t="str">
        <f>IF(SEFAZ!P219="","",SEFAZ!P219)</f>
        <v/>
      </c>
      <c r="L237" t="str" cm="1">
        <f t="array" aca="1" ref="L2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7" t="s">
        <v>35</v>
      </c>
      <c r="O237" s="36" t="str">
        <f>IF(SEFAZ!B219="","",SEFAZ!B219)</f>
        <v/>
      </c>
    </row>
    <row r="238" spans="2:15" x14ac:dyDescent="0.3">
      <c r="B238" t="str">
        <f>IF(SEFAZ!A220="","",SEFAZ!A220)</f>
        <v/>
      </c>
      <c r="C238" t="str">
        <f>IF(SEFAZ!C220="","",SEFAZ!C220)</f>
        <v/>
      </c>
      <c r="D238" t="str">
        <f>IF(SEFAZ!D220="","",SEFAZ!D220)</f>
        <v/>
      </c>
      <c r="E238" s="7" t="str">
        <f>IF(SEFAZ!E220="","",SEFAZ!E220)</f>
        <v/>
      </c>
      <c r="F238" s="6" t="str">
        <f>IF(SEFAZ!F220="","",VALUE(SUBSTITUTE(SEFAZ!F220,"'","")))</f>
        <v/>
      </c>
      <c r="G238" t="str">
        <f>IF(SEFAZ!H220="","",SEFAZ!H220)</f>
        <v/>
      </c>
      <c r="H238" t="str">
        <f>IF(SEFAZ!L220="","",SEFAZ!L220)</f>
        <v/>
      </c>
      <c r="I238" t="str">
        <f>IF(SEFAZ!N220="","",SEFAZ!N220)</f>
        <v/>
      </c>
      <c r="J238" t="str">
        <f>IF(SEFAZ!O220="","",SEFAZ!O220)</f>
        <v/>
      </c>
      <c r="K238" s="11" t="str">
        <f>IF(SEFAZ!P220="","",SEFAZ!P220)</f>
        <v/>
      </c>
      <c r="L238" t="str" cm="1">
        <f t="array" aca="1" ref="L2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8" t="s">
        <v>35</v>
      </c>
      <c r="O238" s="36" t="str">
        <f>IF(SEFAZ!B220="","",SEFAZ!B220)</f>
        <v/>
      </c>
    </row>
    <row r="239" spans="2:15" x14ac:dyDescent="0.3">
      <c r="B239" t="str">
        <f>IF(SEFAZ!A221="","",SEFAZ!A221)</f>
        <v/>
      </c>
      <c r="C239" t="str">
        <f>IF(SEFAZ!C221="","",SEFAZ!C221)</f>
        <v/>
      </c>
      <c r="D239" t="str">
        <f>IF(SEFAZ!D221="","",SEFAZ!D221)</f>
        <v/>
      </c>
      <c r="E239" s="7" t="str">
        <f>IF(SEFAZ!E221="","",SEFAZ!E221)</f>
        <v/>
      </c>
      <c r="F239" s="6" t="str">
        <f>IF(SEFAZ!F221="","",VALUE(SUBSTITUTE(SEFAZ!F221,"'","")))</f>
        <v/>
      </c>
      <c r="G239" t="str">
        <f>IF(SEFAZ!H221="","",SEFAZ!H221)</f>
        <v/>
      </c>
      <c r="H239" t="str">
        <f>IF(SEFAZ!L221="","",SEFAZ!L221)</f>
        <v/>
      </c>
      <c r="I239" t="str">
        <f>IF(SEFAZ!N221="","",SEFAZ!N221)</f>
        <v/>
      </c>
      <c r="J239" t="str">
        <f>IF(SEFAZ!O221="","",SEFAZ!O221)</f>
        <v/>
      </c>
      <c r="K239" s="11" t="str">
        <f>IF(SEFAZ!P221="","",SEFAZ!P221)</f>
        <v/>
      </c>
      <c r="L239" t="str" cm="1">
        <f t="array" aca="1" ref="L2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39" t="s">
        <v>35</v>
      </c>
      <c r="O239" s="36" t="str">
        <f>IF(SEFAZ!B221="","",SEFAZ!B221)</f>
        <v/>
      </c>
    </row>
    <row r="240" spans="2:15" x14ac:dyDescent="0.3">
      <c r="B240" t="str">
        <f>IF(SEFAZ!A222="","",SEFAZ!A222)</f>
        <v/>
      </c>
      <c r="C240" t="str">
        <f>IF(SEFAZ!C222="","",SEFAZ!C222)</f>
        <v/>
      </c>
      <c r="D240" t="str">
        <f>IF(SEFAZ!D222="","",SEFAZ!D222)</f>
        <v/>
      </c>
      <c r="E240" s="7" t="str">
        <f>IF(SEFAZ!E222="","",SEFAZ!E222)</f>
        <v/>
      </c>
      <c r="F240" s="6" t="str">
        <f>IF(SEFAZ!F222="","",VALUE(SUBSTITUTE(SEFAZ!F222,"'","")))</f>
        <v/>
      </c>
      <c r="G240" t="str">
        <f>IF(SEFAZ!H222="","",SEFAZ!H222)</f>
        <v/>
      </c>
      <c r="H240" t="str">
        <f>IF(SEFAZ!L222="","",SEFAZ!L222)</f>
        <v/>
      </c>
      <c r="I240" t="str">
        <f>IF(SEFAZ!N222="","",SEFAZ!N222)</f>
        <v/>
      </c>
      <c r="J240" t="str">
        <f>IF(SEFAZ!O222="","",SEFAZ!O222)</f>
        <v/>
      </c>
      <c r="K240" s="11" t="str">
        <f>IF(SEFAZ!P222="","",SEFAZ!P222)</f>
        <v/>
      </c>
      <c r="L240" t="str" cm="1">
        <f t="array" aca="1" ref="L2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0" t="s">
        <v>35</v>
      </c>
      <c r="O240" s="36" t="str">
        <f>IF(SEFAZ!B222="","",SEFAZ!B222)</f>
        <v/>
      </c>
    </row>
    <row r="241" spans="2:15" x14ac:dyDescent="0.3">
      <c r="B241" t="str">
        <f>IF(SEFAZ!A223="","",SEFAZ!A223)</f>
        <v/>
      </c>
      <c r="C241" t="str">
        <f>IF(SEFAZ!C223="","",SEFAZ!C223)</f>
        <v/>
      </c>
      <c r="D241" t="str">
        <f>IF(SEFAZ!D223="","",SEFAZ!D223)</f>
        <v/>
      </c>
      <c r="E241" s="7" t="str">
        <f>IF(SEFAZ!E223="","",SEFAZ!E223)</f>
        <v/>
      </c>
      <c r="F241" s="6" t="str">
        <f>IF(SEFAZ!F223="","",VALUE(SUBSTITUTE(SEFAZ!F223,"'","")))</f>
        <v/>
      </c>
      <c r="G241" t="str">
        <f>IF(SEFAZ!H223="","",SEFAZ!H223)</f>
        <v/>
      </c>
      <c r="H241" t="str">
        <f>IF(SEFAZ!L223="","",SEFAZ!L223)</f>
        <v/>
      </c>
      <c r="I241" t="str">
        <f>IF(SEFAZ!N223="","",SEFAZ!N223)</f>
        <v/>
      </c>
      <c r="J241" t="str">
        <f>IF(SEFAZ!O223="","",SEFAZ!O223)</f>
        <v/>
      </c>
      <c r="K241" s="11" t="str">
        <f>IF(SEFAZ!P223="","",SEFAZ!P223)</f>
        <v/>
      </c>
      <c r="L241" t="str" cm="1">
        <f t="array" aca="1" ref="L2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1" t="s">
        <v>35</v>
      </c>
      <c r="O241" s="36" t="str">
        <f>IF(SEFAZ!B223="","",SEFAZ!B223)</f>
        <v/>
      </c>
    </row>
    <row r="242" spans="2:15" x14ac:dyDescent="0.3">
      <c r="B242" t="str">
        <f>IF(SEFAZ!A224="","",SEFAZ!A224)</f>
        <v/>
      </c>
      <c r="C242" t="str">
        <f>IF(SEFAZ!C224="","",SEFAZ!C224)</f>
        <v/>
      </c>
      <c r="D242" t="str">
        <f>IF(SEFAZ!D224="","",SEFAZ!D224)</f>
        <v/>
      </c>
      <c r="E242" s="7" t="str">
        <f>IF(SEFAZ!E224="","",SEFAZ!E224)</f>
        <v/>
      </c>
      <c r="F242" s="6" t="str">
        <f>IF(SEFAZ!F224="","",VALUE(SUBSTITUTE(SEFAZ!F224,"'","")))</f>
        <v/>
      </c>
      <c r="G242" t="str">
        <f>IF(SEFAZ!H224="","",SEFAZ!H224)</f>
        <v/>
      </c>
      <c r="H242" t="str">
        <f>IF(SEFAZ!L224="","",SEFAZ!L224)</f>
        <v/>
      </c>
      <c r="I242" t="str">
        <f>IF(SEFAZ!N224="","",SEFAZ!N224)</f>
        <v/>
      </c>
      <c r="J242" t="str">
        <f>IF(SEFAZ!O224="","",SEFAZ!O224)</f>
        <v/>
      </c>
      <c r="K242" s="11" t="str">
        <f>IF(SEFAZ!P224="","",SEFAZ!P224)</f>
        <v/>
      </c>
      <c r="L242" t="str" cm="1">
        <f t="array" aca="1" ref="L2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2" t="s">
        <v>35</v>
      </c>
      <c r="O242" s="36" t="str">
        <f>IF(SEFAZ!B224="","",SEFAZ!B224)</f>
        <v/>
      </c>
    </row>
    <row r="243" spans="2:15" x14ac:dyDescent="0.3">
      <c r="B243" t="str">
        <f>IF(SEFAZ!A225="","",SEFAZ!A225)</f>
        <v/>
      </c>
      <c r="C243" t="str">
        <f>IF(SEFAZ!C225="","",SEFAZ!C225)</f>
        <v/>
      </c>
      <c r="D243" t="str">
        <f>IF(SEFAZ!D225="","",SEFAZ!D225)</f>
        <v/>
      </c>
      <c r="E243" s="7" t="str">
        <f>IF(SEFAZ!E225="","",SEFAZ!E225)</f>
        <v/>
      </c>
      <c r="F243" s="6" t="str">
        <f>IF(SEFAZ!F225="","",VALUE(SUBSTITUTE(SEFAZ!F225,"'","")))</f>
        <v/>
      </c>
      <c r="G243" t="str">
        <f>IF(SEFAZ!H225="","",SEFAZ!H225)</f>
        <v/>
      </c>
      <c r="H243" t="str">
        <f>IF(SEFAZ!L225="","",SEFAZ!L225)</f>
        <v/>
      </c>
      <c r="I243" t="str">
        <f>IF(SEFAZ!N225="","",SEFAZ!N225)</f>
        <v/>
      </c>
      <c r="J243" t="str">
        <f>IF(SEFAZ!O225="","",SEFAZ!O225)</f>
        <v/>
      </c>
      <c r="K243" s="11" t="str">
        <f>IF(SEFAZ!P225="","",SEFAZ!P225)</f>
        <v/>
      </c>
      <c r="L243" t="str" cm="1">
        <f t="array" aca="1" ref="L2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3" t="s">
        <v>35</v>
      </c>
      <c r="O243" s="36" t="str">
        <f>IF(SEFAZ!B225="","",SEFAZ!B225)</f>
        <v/>
      </c>
    </row>
    <row r="244" spans="2:15" x14ac:dyDescent="0.3">
      <c r="B244" t="str">
        <f>IF(SEFAZ!A226="","",SEFAZ!A226)</f>
        <v/>
      </c>
      <c r="C244" t="str">
        <f>IF(SEFAZ!C226="","",SEFAZ!C226)</f>
        <v/>
      </c>
      <c r="D244" t="str">
        <f>IF(SEFAZ!D226="","",SEFAZ!D226)</f>
        <v/>
      </c>
      <c r="E244" s="7" t="str">
        <f>IF(SEFAZ!E226="","",SEFAZ!E226)</f>
        <v/>
      </c>
      <c r="F244" s="6" t="str">
        <f>IF(SEFAZ!F226="","",VALUE(SUBSTITUTE(SEFAZ!F226,"'","")))</f>
        <v/>
      </c>
      <c r="G244" t="str">
        <f>IF(SEFAZ!H226="","",SEFAZ!H226)</f>
        <v/>
      </c>
      <c r="H244" t="str">
        <f>IF(SEFAZ!L226="","",SEFAZ!L226)</f>
        <v/>
      </c>
      <c r="I244" t="str">
        <f>IF(SEFAZ!N226="","",SEFAZ!N226)</f>
        <v/>
      </c>
      <c r="J244" t="str">
        <f>IF(SEFAZ!O226="","",SEFAZ!O226)</f>
        <v/>
      </c>
      <c r="K244" s="11" t="str">
        <f>IF(SEFAZ!P226="","",SEFAZ!P226)</f>
        <v/>
      </c>
      <c r="L244" t="str" cm="1">
        <f t="array" aca="1" ref="L2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4" t="s">
        <v>35</v>
      </c>
      <c r="O244" s="36" t="str">
        <f>IF(SEFAZ!B226="","",SEFAZ!B226)</f>
        <v/>
      </c>
    </row>
    <row r="245" spans="2:15" x14ac:dyDescent="0.3">
      <c r="B245" t="str">
        <f>IF(SEFAZ!A227="","",SEFAZ!A227)</f>
        <v/>
      </c>
      <c r="C245" t="str">
        <f>IF(SEFAZ!C227="","",SEFAZ!C227)</f>
        <v/>
      </c>
      <c r="D245" t="str">
        <f>IF(SEFAZ!D227="","",SEFAZ!D227)</f>
        <v/>
      </c>
      <c r="E245" s="7" t="str">
        <f>IF(SEFAZ!E227="","",SEFAZ!E227)</f>
        <v/>
      </c>
      <c r="F245" s="6" t="str">
        <f>IF(SEFAZ!F227="","",VALUE(SUBSTITUTE(SEFAZ!F227,"'","")))</f>
        <v/>
      </c>
      <c r="G245" t="str">
        <f>IF(SEFAZ!H227="","",SEFAZ!H227)</f>
        <v/>
      </c>
      <c r="H245" t="str">
        <f>IF(SEFAZ!L227="","",SEFAZ!L227)</f>
        <v/>
      </c>
      <c r="I245" t="str">
        <f>IF(SEFAZ!N227="","",SEFAZ!N227)</f>
        <v/>
      </c>
      <c r="J245" t="str">
        <f>IF(SEFAZ!O227="","",SEFAZ!O227)</f>
        <v/>
      </c>
      <c r="K245" s="11" t="str">
        <f>IF(SEFAZ!P227="","",SEFAZ!P227)</f>
        <v/>
      </c>
      <c r="L245" t="str" cm="1">
        <f t="array" aca="1" ref="L2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5" t="s">
        <v>35</v>
      </c>
      <c r="O245" s="36" t="str">
        <f>IF(SEFAZ!B227="","",SEFAZ!B227)</f>
        <v/>
      </c>
    </row>
    <row r="246" spans="2:15" x14ac:dyDescent="0.3">
      <c r="B246" t="str">
        <f>IF(SEFAZ!A228="","",SEFAZ!A228)</f>
        <v/>
      </c>
      <c r="C246" t="str">
        <f>IF(SEFAZ!C228="","",SEFAZ!C228)</f>
        <v/>
      </c>
      <c r="D246" t="str">
        <f>IF(SEFAZ!D228="","",SEFAZ!D228)</f>
        <v/>
      </c>
      <c r="E246" s="7" t="str">
        <f>IF(SEFAZ!E228="","",SEFAZ!E228)</f>
        <v/>
      </c>
      <c r="F246" s="6" t="str">
        <f>IF(SEFAZ!F228="","",VALUE(SUBSTITUTE(SEFAZ!F228,"'","")))</f>
        <v/>
      </c>
      <c r="G246" t="str">
        <f>IF(SEFAZ!H228="","",SEFAZ!H228)</f>
        <v/>
      </c>
      <c r="H246" t="str">
        <f>IF(SEFAZ!L228="","",SEFAZ!L228)</f>
        <v/>
      </c>
      <c r="I246" t="str">
        <f>IF(SEFAZ!N228="","",SEFAZ!N228)</f>
        <v/>
      </c>
      <c r="J246" t="str">
        <f>IF(SEFAZ!O228="","",SEFAZ!O228)</f>
        <v/>
      </c>
      <c r="K246" s="11" t="str">
        <f>IF(SEFAZ!P228="","",SEFAZ!P228)</f>
        <v/>
      </c>
      <c r="L246" t="str" cm="1">
        <f t="array" aca="1" ref="L2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6" t="s">
        <v>35</v>
      </c>
      <c r="O246" s="36" t="str">
        <f>IF(SEFAZ!B228="","",SEFAZ!B228)</f>
        <v/>
      </c>
    </row>
    <row r="247" spans="2:15" x14ac:dyDescent="0.3">
      <c r="B247" t="str">
        <f>IF(SEFAZ!A229="","",SEFAZ!A229)</f>
        <v/>
      </c>
      <c r="C247" t="str">
        <f>IF(SEFAZ!C229="","",SEFAZ!C229)</f>
        <v/>
      </c>
      <c r="D247" t="str">
        <f>IF(SEFAZ!D229="","",SEFAZ!D229)</f>
        <v/>
      </c>
      <c r="E247" s="7" t="str">
        <f>IF(SEFAZ!E229="","",SEFAZ!E229)</f>
        <v/>
      </c>
      <c r="F247" s="6" t="str">
        <f>IF(SEFAZ!F229="","",VALUE(SUBSTITUTE(SEFAZ!F229,"'","")))</f>
        <v/>
      </c>
      <c r="G247" t="str">
        <f>IF(SEFAZ!H229="","",SEFAZ!H229)</f>
        <v/>
      </c>
      <c r="H247" t="str">
        <f>IF(SEFAZ!L229="","",SEFAZ!L229)</f>
        <v/>
      </c>
      <c r="I247" t="str">
        <f>IF(SEFAZ!N229="","",SEFAZ!N229)</f>
        <v/>
      </c>
      <c r="J247" t="str">
        <f>IF(SEFAZ!O229="","",SEFAZ!O229)</f>
        <v/>
      </c>
      <c r="K247" s="11" t="str">
        <f>IF(SEFAZ!P229="","",SEFAZ!P229)</f>
        <v/>
      </c>
      <c r="L247" t="str" cm="1">
        <f t="array" aca="1" ref="L2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7" t="s">
        <v>35</v>
      </c>
      <c r="O247" s="36" t="str">
        <f>IF(SEFAZ!B229="","",SEFAZ!B229)</f>
        <v/>
      </c>
    </row>
    <row r="248" spans="2:15" x14ac:dyDescent="0.3">
      <c r="B248" t="str">
        <f>IF(SEFAZ!A230="","",SEFAZ!A230)</f>
        <v/>
      </c>
      <c r="C248" t="str">
        <f>IF(SEFAZ!C230="","",SEFAZ!C230)</f>
        <v/>
      </c>
      <c r="D248" t="str">
        <f>IF(SEFAZ!D230="","",SEFAZ!D230)</f>
        <v/>
      </c>
      <c r="E248" s="7" t="str">
        <f>IF(SEFAZ!E230="","",SEFAZ!E230)</f>
        <v/>
      </c>
      <c r="F248" s="6" t="str">
        <f>IF(SEFAZ!F230="","",VALUE(SUBSTITUTE(SEFAZ!F230,"'","")))</f>
        <v/>
      </c>
      <c r="G248" t="str">
        <f>IF(SEFAZ!H230="","",SEFAZ!H230)</f>
        <v/>
      </c>
      <c r="H248" t="str">
        <f>IF(SEFAZ!L230="","",SEFAZ!L230)</f>
        <v/>
      </c>
      <c r="I248" t="str">
        <f>IF(SEFAZ!N230="","",SEFAZ!N230)</f>
        <v/>
      </c>
      <c r="J248" t="str">
        <f>IF(SEFAZ!O230="","",SEFAZ!O230)</f>
        <v/>
      </c>
      <c r="K248" s="11" t="str">
        <f>IF(SEFAZ!P230="","",SEFAZ!P230)</f>
        <v/>
      </c>
      <c r="L248" t="str" cm="1">
        <f t="array" aca="1" ref="L2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8" t="s">
        <v>35</v>
      </c>
      <c r="O248" s="36" t="str">
        <f>IF(SEFAZ!B230="","",SEFAZ!B230)</f>
        <v/>
      </c>
    </row>
    <row r="249" spans="2:15" x14ac:dyDescent="0.3">
      <c r="B249" t="str">
        <f>IF(SEFAZ!A231="","",SEFAZ!A231)</f>
        <v/>
      </c>
      <c r="C249" t="str">
        <f>IF(SEFAZ!C231="","",SEFAZ!C231)</f>
        <v/>
      </c>
      <c r="D249" t="str">
        <f>IF(SEFAZ!D231="","",SEFAZ!D231)</f>
        <v/>
      </c>
      <c r="E249" s="7" t="str">
        <f>IF(SEFAZ!E231="","",SEFAZ!E231)</f>
        <v/>
      </c>
      <c r="F249" s="6" t="str">
        <f>IF(SEFAZ!F231="","",VALUE(SUBSTITUTE(SEFAZ!F231,"'","")))</f>
        <v/>
      </c>
      <c r="G249" t="str">
        <f>IF(SEFAZ!H231="","",SEFAZ!H231)</f>
        <v/>
      </c>
      <c r="H249" t="str">
        <f>IF(SEFAZ!L231="","",SEFAZ!L231)</f>
        <v/>
      </c>
      <c r="I249" t="str">
        <f>IF(SEFAZ!N231="","",SEFAZ!N231)</f>
        <v/>
      </c>
      <c r="J249" t="str">
        <f>IF(SEFAZ!O231="","",SEFAZ!O231)</f>
        <v/>
      </c>
      <c r="K249" s="11" t="str">
        <f>IF(SEFAZ!P231="","",SEFAZ!P231)</f>
        <v/>
      </c>
      <c r="L249" t="str" cm="1">
        <f t="array" aca="1" ref="L2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49" t="s">
        <v>35</v>
      </c>
      <c r="O249" s="36" t="str">
        <f>IF(SEFAZ!B231="","",SEFAZ!B231)</f>
        <v/>
      </c>
    </row>
    <row r="250" spans="2:15" x14ac:dyDescent="0.3">
      <c r="B250" t="str">
        <f>IF(SEFAZ!A232="","",SEFAZ!A232)</f>
        <v/>
      </c>
      <c r="C250" t="str">
        <f>IF(SEFAZ!C232="","",SEFAZ!C232)</f>
        <v/>
      </c>
      <c r="D250" t="str">
        <f>IF(SEFAZ!D232="","",SEFAZ!D232)</f>
        <v/>
      </c>
      <c r="E250" s="7" t="str">
        <f>IF(SEFAZ!E232="","",SEFAZ!E232)</f>
        <v/>
      </c>
      <c r="F250" s="6" t="str">
        <f>IF(SEFAZ!F232="","",VALUE(SUBSTITUTE(SEFAZ!F232,"'","")))</f>
        <v/>
      </c>
      <c r="G250" t="str">
        <f>IF(SEFAZ!H232="","",SEFAZ!H232)</f>
        <v/>
      </c>
      <c r="H250" t="str">
        <f>IF(SEFAZ!L232="","",SEFAZ!L232)</f>
        <v/>
      </c>
      <c r="I250" t="str">
        <f>IF(SEFAZ!N232="","",SEFAZ!N232)</f>
        <v/>
      </c>
      <c r="J250" t="str">
        <f>IF(SEFAZ!O232="","",SEFAZ!O232)</f>
        <v/>
      </c>
      <c r="K250" s="11" t="str">
        <f>IF(SEFAZ!P232="","",SEFAZ!P232)</f>
        <v/>
      </c>
      <c r="L250" t="str" cm="1">
        <f t="array" aca="1" ref="L2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0" t="s">
        <v>35</v>
      </c>
      <c r="O250" s="36" t="str">
        <f>IF(SEFAZ!B232="","",SEFAZ!B232)</f>
        <v/>
      </c>
    </row>
    <row r="251" spans="2:15" x14ac:dyDescent="0.3">
      <c r="B251" t="str">
        <f>IF(SEFAZ!A233="","",SEFAZ!A233)</f>
        <v/>
      </c>
      <c r="C251" t="str">
        <f>IF(SEFAZ!C233="","",SEFAZ!C233)</f>
        <v/>
      </c>
      <c r="D251" t="str">
        <f>IF(SEFAZ!D233="","",SEFAZ!D233)</f>
        <v/>
      </c>
      <c r="E251" s="7" t="str">
        <f>IF(SEFAZ!E233="","",SEFAZ!E233)</f>
        <v/>
      </c>
      <c r="F251" s="6" t="str">
        <f>IF(SEFAZ!F233="","",VALUE(SUBSTITUTE(SEFAZ!F233,"'","")))</f>
        <v/>
      </c>
      <c r="G251" t="str">
        <f>IF(SEFAZ!H233="","",SEFAZ!H233)</f>
        <v/>
      </c>
      <c r="H251" t="str">
        <f>IF(SEFAZ!L233="","",SEFAZ!L233)</f>
        <v/>
      </c>
      <c r="I251" t="str">
        <f>IF(SEFAZ!N233="","",SEFAZ!N233)</f>
        <v/>
      </c>
      <c r="J251" t="str">
        <f>IF(SEFAZ!O233="","",SEFAZ!O233)</f>
        <v/>
      </c>
      <c r="K251" s="11" t="str">
        <f>IF(SEFAZ!P233="","",SEFAZ!P233)</f>
        <v/>
      </c>
      <c r="L251" t="str" cm="1">
        <f t="array" aca="1" ref="L2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1" t="s">
        <v>35</v>
      </c>
      <c r="O251" s="36" t="str">
        <f>IF(SEFAZ!B233="","",SEFAZ!B233)</f>
        <v/>
      </c>
    </row>
    <row r="252" spans="2:15" x14ac:dyDescent="0.3">
      <c r="B252" t="str">
        <f>IF(SEFAZ!A234="","",SEFAZ!A234)</f>
        <v/>
      </c>
      <c r="C252" t="str">
        <f>IF(SEFAZ!C234="","",SEFAZ!C234)</f>
        <v/>
      </c>
      <c r="D252" t="str">
        <f>IF(SEFAZ!D234="","",SEFAZ!D234)</f>
        <v/>
      </c>
      <c r="E252" s="7" t="str">
        <f>IF(SEFAZ!E234="","",SEFAZ!E234)</f>
        <v/>
      </c>
      <c r="F252" s="6" t="str">
        <f>IF(SEFAZ!F234="","",VALUE(SUBSTITUTE(SEFAZ!F234,"'","")))</f>
        <v/>
      </c>
      <c r="G252" t="str">
        <f>IF(SEFAZ!H234="","",SEFAZ!H234)</f>
        <v/>
      </c>
      <c r="H252" t="str">
        <f>IF(SEFAZ!L234="","",SEFAZ!L234)</f>
        <v/>
      </c>
      <c r="I252" t="str">
        <f>IF(SEFAZ!N234="","",SEFAZ!N234)</f>
        <v/>
      </c>
      <c r="J252" t="str">
        <f>IF(SEFAZ!O234="","",SEFAZ!O234)</f>
        <v/>
      </c>
      <c r="K252" s="11" t="str">
        <f>IF(SEFAZ!P234="","",SEFAZ!P234)</f>
        <v/>
      </c>
      <c r="L252" t="str" cm="1">
        <f t="array" aca="1" ref="L2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2" t="s">
        <v>35</v>
      </c>
      <c r="O252" s="36" t="str">
        <f>IF(SEFAZ!B234="","",SEFAZ!B234)</f>
        <v/>
      </c>
    </row>
    <row r="253" spans="2:15" x14ac:dyDescent="0.3">
      <c r="B253" t="str">
        <f>IF(SEFAZ!A235="","",SEFAZ!A235)</f>
        <v/>
      </c>
      <c r="C253" t="str">
        <f>IF(SEFAZ!C235="","",SEFAZ!C235)</f>
        <v/>
      </c>
      <c r="D253" t="str">
        <f>IF(SEFAZ!D235="","",SEFAZ!D235)</f>
        <v/>
      </c>
      <c r="E253" s="7" t="str">
        <f>IF(SEFAZ!E235="","",SEFAZ!E235)</f>
        <v/>
      </c>
      <c r="F253" s="6" t="str">
        <f>IF(SEFAZ!F235="","",VALUE(SUBSTITUTE(SEFAZ!F235,"'","")))</f>
        <v/>
      </c>
      <c r="G253" t="str">
        <f>IF(SEFAZ!H235="","",SEFAZ!H235)</f>
        <v/>
      </c>
      <c r="H253" t="str">
        <f>IF(SEFAZ!L235="","",SEFAZ!L235)</f>
        <v/>
      </c>
      <c r="I253" t="str">
        <f>IF(SEFAZ!N235="","",SEFAZ!N235)</f>
        <v/>
      </c>
      <c r="J253" t="str">
        <f>IF(SEFAZ!O235="","",SEFAZ!O235)</f>
        <v/>
      </c>
      <c r="K253" s="11" t="str">
        <f>IF(SEFAZ!P235="","",SEFAZ!P235)</f>
        <v/>
      </c>
      <c r="L253" t="str" cm="1">
        <f t="array" aca="1" ref="L2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3" t="s">
        <v>35</v>
      </c>
      <c r="O253" s="36" t="str">
        <f>IF(SEFAZ!B235="","",SEFAZ!B235)</f>
        <v/>
      </c>
    </row>
    <row r="254" spans="2:15" x14ac:dyDescent="0.3">
      <c r="B254" t="str">
        <f>IF(SEFAZ!A236="","",SEFAZ!A236)</f>
        <v/>
      </c>
      <c r="C254" t="str">
        <f>IF(SEFAZ!C236="","",SEFAZ!C236)</f>
        <v/>
      </c>
      <c r="D254" t="str">
        <f>IF(SEFAZ!D236="","",SEFAZ!D236)</f>
        <v/>
      </c>
      <c r="E254" s="7" t="str">
        <f>IF(SEFAZ!E236="","",SEFAZ!E236)</f>
        <v/>
      </c>
      <c r="F254" s="6" t="str">
        <f>IF(SEFAZ!F236="","",VALUE(SUBSTITUTE(SEFAZ!F236,"'","")))</f>
        <v/>
      </c>
      <c r="G254" t="str">
        <f>IF(SEFAZ!H236="","",SEFAZ!H236)</f>
        <v/>
      </c>
      <c r="H254" t="str">
        <f>IF(SEFAZ!L236="","",SEFAZ!L236)</f>
        <v/>
      </c>
      <c r="I254" t="str">
        <f>IF(SEFAZ!N236="","",SEFAZ!N236)</f>
        <v/>
      </c>
      <c r="J254" t="str">
        <f>IF(SEFAZ!O236="","",SEFAZ!O236)</f>
        <v/>
      </c>
      <c r="K254" s="11" t="str">
        <f>IF(SEFAZ!P236="","",SEFAZ!P236)</f>
        <v/>
      </c>
      <c r="L254" t="str" cm="1">
        <f t="array" aca="1" ref="L2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4" t="s">
        <v>35</v>
      </c>
      <c r="O254" s="36" t="str">
        <f>IF(SEFAZ!B236="","",SEFAZ!B236)</f>
        <v/>
      </c>
    </row>
    <row r="255" spans="2:15" x14ac:dyDescent="0.3">
      <c r="B255" t="str">
        <f>IF(SEFAZ!A237="","",SEFAZ!A237)</f>
        <v/>
      </c>
      <c r="C255" t="str">
        <f>IF(SEFAZ!C237="","",SEFAZ!C237)</f>
        <v/>
      </c>
      <c r="D255" t="str">
        <f>IF(SEFAZ!D237="","",SEFAZ!D237)</f>
        <v/>
      </c>
      <c r="E255" s="7" t="str">
        <f>IF(SEFAZ!E237="","",SEFAZ!E237)</f>
        <v/>
      </c>
      <c r="F255" s="6" t="str">
        <f>IF(SEFAZ!F237="","",VALUE(SUBSTITUTE(SEFAZ!F237,"'","")))</f>
        <v/>
      </c>
      <c r="G255" t="str">
        <f>IF(SEFAZ!H237="","",SEFAZ!H237)</f>
        <v/>
      </c>
      <c r="H255" t="str">
        <f>IF(SEFAZ!L237="","",SEFAZ!L237)</f>
        <v/>
      </c>
      <c r="I255" t="str">
        <f>IF(SEFAZ!N237="","",SEFAZ!N237)</f>
        <v/>
      </c>
      <c r="J255" t="str">
        <f>IF(SEFAZ!O237="","",SEFAZ!O237)</f>
        <v/>
      </c>
      <c r="K255" s="11" t="str">
        <f>IF(SEFAZ!P237="","",SEFAZ!P237)</f>
        <v/>
      </c>
      <c r="L255" t="str" cm="1">
        <f t="array" aca="1" ref="L2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5" t="s">
        <v>35</v>
      </c>
      <c r="O255" s="36" t="str">
        <f>IF(SEFAZ!B237="","",SEFAZ!B237)</f>
        <v/>
      </c>
    </row>
    <row r="256" spans="2:15" x14ac:dyDescent="0.3">
      <c r="B256" t="str">
        <f>IF(SEFAZ!A238="","",SEFAZ!A238)</f>
        <v/>
      </c>
      <c r="C256" t="str">
        <f>IF(SEFAZ!C238="","",SEFAZ!C238)</f>
        <v/>
      </c>
      <c r="D256" t="str">
        <f>IF(SEFAZ!D238="","",SEFAZ!D238)</f>
        <v/>
      </c>
      <c r="E256" s="7" t="str">
        <f>IF(SEFAZ!E238="","",SEFAZ!E238)</f>
        <v/>
      </c>
      <c r="F256" s="6" t="str">
        <f>IF(SEFAZ!F238="","",VALUE(SUBSTITUTE(SEFAZ!F238,"'","")))</f>
        <v/>
      </c>
      <c r="G256" t="str">
        <f>IF(SEFAZ!H238="","",SEFAZ!H238)</f>
        <v/>
      </c>
      <c r="H256" t="str">
        <f>IF(SEFAZ!L238="","",SEFAZ!L238)</f>
        <v/>
      </c>
      <c r="I256" t="str">
        <f>IF(SEFAZ!N238="","",SEFAZ!N238)</f>
        <v/>
      </c>
      <c r="J256" t="str">
        <f>IF(SEFAZ!O238="","",SEFAZ!O238)</f>
        <v/>
      </c>
      <c r="K256" s="11" t="str">
        <f>IF(SEFAZ!P238="","",SEFAZ!P238)</f>
        <v/>
      </c>
      <c r="L256" t="str" cm="1">
        <f t="array" aca="1" ref="L2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6" t="s">
        <v>35</v>
      </c>
      <c r="O256" s="36" t="str">
        <f>IF(SEFAZ!B238="","",SEFAZ!B238)</f>
        <v/>
      </c>
    </row>
    <row r="257" spans="2:15" x14ac:dyDescent="0.3">
      <c r="B257" t="str">
        <f>IF(SEFAZ!A239="","",SEFAZ!A239)</f>
        <v/>
      </c>
      <c r="C257" t="str">
        <f>IF(SEFAZ!C239="","",SEFAZ!C239)</f>
        <v/>
      </c>
      <c r="D257" t="str">
        <f>IF(SEFAZ!D239="","",SEFAZ!D239)</f>
        <v/>
      </c>
      <c r="E257" s="7" t="str">
        <f>IF(SEFAZ!E239="","",SEFAZ!E239)</f>
        <v/>
      </c>
      <c r="F257" s="6" t="str">
        <f>IF(SEFAZ!F239="","",VALUE(SUBSTITUTE(SEFAZ!F239,"'","")))</f>
        <v/>
      </c>
      <c r="G257" t="str">
        <f>IF(SEFAZ!H239="","",SEFAZ!H239)</f>
        <v/>
      </c>
      <c r="H257" t="str">
        <f>IF(SEFAZ!L239="","",SEFAZ!L239)</f>
        <v/>
      </c>
      <c r="I257" t="str">
        <f>IF(SEFAZ!N239="","",SEFAZ!N239)</f>
        <v/>
      </c>
      <c r="J257" t="str">
        <f>IF(SEFAZ!O239="","",SEFAZ!O239)</f>
        <v/>
      </c>
      <c r="K257" s="11" t="str">
        <f>IF(SEFAZ!P239="","",SEFAZ!P239)</f>
        <v/>
      </c>
      <c r="L257" t="str" cm="1">
        <f t="array" aca="1" ref="L2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7" t="s">
        <v>35</v>
      </c>
      <c r="O257" s="36" t="str">
        <f>IF(SEFAZ!B239="","",SEFAZ!B239)</f>
        <v/>
      </c>
    </row>
    <row r="258" spans="2:15" x14ac:dyDescent="0.3">
      <c r="B258" t="str">
        <f>IF(SEFAZ!A240="","",SEFAZ!A240)</f>
        <v/>
      </c>
      <c r="C258" t="str">
        <f>IF(SEFAZ!C240="","",SEFAZ!C240)</f>
        <v/>
      </c>
      <c r="D258" t="str">
        <f>IF(SEFAZ!D240="","",SEFAZ!D240)</f>
        <v/>
      </c>
      <c r="E258" s="7" t="str">
        <f>IF(SEFAZ!E240="","",SEFAZ!E240)</f>
        <v/>
      </c>
      <c r="F258" s="6" t="str">
        <f>IF(SEFAZ!F240="","",VALUE(SUBSTITUTE(SEFAZ!F240,"'","")))</f>
        <v/>
      </c>
      <c r="G258" t="str">
        <f>IF(SEFAZ!H240="","",SEFAZ!H240)</f>
        <v/>
      </c>
      <c r="H258" t="str">
        <f>IF(SEFAZ!L240="","",SEFAZ!L240)</f>
        <v/>
      </c>
      <c r="I258" t="str">
        <f>IF(SEFAZ!N240="","",SEFAZ!N240)</f>
        <v/>
      </c>
      <c r="J258" t="str">
        <f>IF(SEFAZ!O240="","",SEFAZ!O240)</f>
        <v/>
      </c>
      <c r="K258" s="11" t="str">
        <f>IF(SEFAZ!P240="","",SEFAZ!P240)</f>
        <v/>
      </c>
      <c r="L258" t="str" cm="1">
        <f t="array" aca="1" ref="L2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8" t="s">
        <v>35</v>
      </c>
      <c r="O258" s="36" t="str">
        <f>IF(SEFAZ!B240="","",SEFAZ!B240)</f>
        <v/>
      </c>
    </row>
    <row r="259" spans="2:15" x14ac:dyDescent="0.3">
      <c r="B259" t="str">
        <f>IF(SEFAZ!A241="","",SEFAZ!A241)</f>
        <v/>
      </c>
      <c r="C259" t="str">
        <f>IF(SEFAZ!C241="","",SEFAZ!C241)</f>
        <v/>
      </c>
      <c r="D259" t="str">
        <f>IF(SEFAZ!D241="","",SEFAZ!D241)</f>
        <v/>
      </c>
      <c r="E259" s="7" t="str">
        <f>IF(SEFAZ!E241="","",SEFAZ!E241)</f>
        <v/>
      </c>
      <c r="F259" s="6" t="str">
        <f>IF(SEFAZ!F241="","",VALUE(SUBSTITUTE(SEFAZ!F241,"'","")))</f>
        <v/>
      </c>
      <c r="G259" t="str">
        <f>IF(SEFAZ!H241="","",SEFAZ!H241)</f>
        <v/>
      </c>
      <c r="H259" t="str">
        <f>IF(SEFAZ!L241="","",SEFAZ!L241)</f>
        <v/>
      </c>
      <c r="I259" t="str">
        <f>IF(SEFAZ!N241="","",SEFAZ!N241)</f>
        <v/>
      </c>
      <c r="J259" t="str">
        <f>IF(SEFAZ!O241="","",SEFAZ!O241)</f>
        <v/>
      </c>
      <c r="K259" s="11" t="str">
        <f>IF(SEFAZ!P241="","",SEFAZ!P241)</f>
        <v/>
      </c>
      <c r="L259" t="str" cm="1">
        <f t="array" aca="1" ref="L2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59" t="s">
        <v>35</v>
      </c>
      <c r="O259" s="36" t="str">
        <f>IF(SEFAZ!B241="","",SEFAZ!B241)</f>
        <v/>
      </c>
    </row>
    <row r="260" spans="2:15" x14ac:dyDescent="0.3">
      <c r="B260" t="str">
        <f>IF(SEFAZ!A242="","",SEFAZ!A242)</f>
        <v/>
      </c>
      <c r="C260" t="str">
        <f>IF(SEFAZ!C242="","",SEFAZ!C242)</f>
        <v/>
      </c>
      <c r="D260" t="str">
        <f>IF(SEFAZ!D242="","",SEFAZ!D242)</f>
        <v/>
      </c>
      <c r="E260" s="7" t="str">
        <f>IF(SEFAZ!E242="","",SEFAZ!E242)</f>
        <v/>
      </c>
      <c r="F260" s="6" t="str">
        <f>IF(SEFAZ!F242="","",VALUE(SUBSTITUTE(SEFAZ!F242,"'","")))</f>
        <v/>
      </c>
      <c r="G260" t="str">
        <f>IF(SEFAZ!H242="","",SEFAZ!H242)</f>
        <v/>
      </c>
      <c r="H260" t="str">
        <f>IF(SEFAZ!L242="","",SEFAZ!L242)</f>
        <v/>
      </c>
      <c r="I260" t="str">
        <f>IF(SEFAZ!N242="","",SEFAZ!N242)</f>
        <v/>
      </c>
      <c r="J260" t="str">
        <f>IF(SEFAZ!O242="","",SEFAZ!O242)</f>
        <v/>
      </c>
      <c r="K260" s="11" t="str">
        <f>IF(SEFAZ!P242="","",SEFAZ!P242)</f>
        <v/>
      </c>
      <c r="L260" t="str" cm="1">
        <f t="array" aca="1" ref="L2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0" t="s">
        <v>35</v>
      </c>
      <c r="O260" s="36" t="str">
        <f>IF(SEFAZ!B242="","",SEFAZ!B242)</f>
        <v/>
      </c>
    </row>
    <row r="261" spans="2:15" x14ac:dyDescent="0.3">
      <c r="B261" t="str">
        <f>IF(SEFAZ!A243="","",SEFAZ!A243)</f>
        <v/>
      </c>
      <c r="C261" t="str">
        <f>IF(SEFAZ!C243="","",SEFAZ!C243)</f>
        <v/>
      </c>
      <c r="D261" t="str">
        <f>IF(SEFAZ!D243="","",SEFAZ!D243)</f>
        <v/>
      </c>
      <c r="E261" s="7" t="str">
        <f>IF(SEFAZ!E243="","",SEFAZ!E243)</f>
        <v/>
      </c>
      <c r="F261" s="6" t="str">
        <f>IF(SEFAZ!F243="","",VALUE(SUBSTITUTE(SEFAZ!F243,"'","")))</f>
        <v/>
      </c>
      <c r="G261" t="str">
        <f>IF(SEFAZ!H243="","",SEFAZ!H243)</f>
        <v/>
      </c>
      <c r="H261" t="str">
        <f>IF(SEFAZ!L243="","",SEFAZ!L243)</f>
        <v/>
      </c>
      <c r="I261" t="str">
        <f>IF(SEFAZ!N243="","",SEFAZ!N243)</f>
        <v/>
      </c>
      <c r="J261" t="str">
        <f>IF(SEFAZ!O243="","",SEFAZ!O243)</f>
        <v/>
      </c>
      <c r="K261" s="11" t="str">
        <f>IF(SEFAZ!P243="","",SEFAZ!P243)</f>
        <v/>
      </c>
      <c r="L261" t="str" cm="1">
        <f t="array" aca="1" ref="L2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1" t="s">
        <v>35</v>
      </c>
      <c r="O261" s="36" t="str">
        <f>IF(SEFAZ!B243="","",SEFAZ!B243)</f>
        <v/>
      </c>
    </row>
    <row r="262" spans="2:15" x14ac:dyDescent="0.3">
      <c r="B262" t="str">
        <f>IF(SEFAZ!A244="","",SEFAZ!A244)</f>
        <v/>
      </c>
      <c r="C262" t="str">
        <f>IF(SEFAZ!C244="","",SEFAZ!C244)</f>
        <v/>
      </c>
      <c r="D262" t="str">
        <f>IF(SEFAZ!D244="","",SEFAZ!D244)</f>
        <v/>
      </c>
      <c r="E262" s="7" t="str">
        <f>IF(SEFAZ!E244="","",SEFAZ!E244)</f>
        <v/>
      </c>
      <c r="F262" s="6" t="str">
        <f>IF(SEFAZ!F244="","",VALUE(SUBSTITUTE(SEFAZ!F244,"'","")))</f>
        <v/>
      </c>
      <c r="G262" t="str">
        <f>IF(SEFAZ!H244="","",SEFAZ!H244)</f>
        <v/>
      </c>
      <c r="H262" t="str">
        <f>IF(SEFAZ!L244="","",SEFAZ!L244)</f>
        <v/>
      </c>
      <c r="I262" t="str">
        <f>IF(SEFAZ!N244="","",SEFAZ!N244)</f>
        <v/>
      </c>
      <c r="J262" t="str">
        <f>IF(SEFAZ!O244="","",SEFAZ!O244)</f>
        <v/>
      </c>
      <c r="K262" s="11" t="str">
        <f>IF(SEFAZ!P244="","",SEFAZ!P244)</f>
        <v/>
      </c>
      <c r="L262" t="str" cm="1">
        <f t="array" aca="1" ref="L2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2" t="s">
        <v>35</v>
      </c>
      <c r="O262" s="36" t="str">
        <f>IF(SEFAZ!B244="","",SEFAZ!B244)</f>
        <v/>
      </c>
    </row>
    <row r="263" spans="2:15" x14ac:dyDescent="0.3">
      <c r="B263" t="str">
        <f>IF(SEFAZ!A245="","",SEFAZ!A245)</f>
        <v/>
      </c>
      <c r="C263" t="str">
        <f>IF(SEFAZ!C245="","",SEFAZ!C245)</f>
        <v/>
      </c>
      <c r="D263" t="str">
        <f>IF(SEFAZ!D245="","",SEFAZ!D245)</f>
        <v/>
      </c>
      <c r="E263" s="7" t="str">
        <f>IF(SEFAZ!E245="","",SEFAZ!E245)</f>
        <v/>
      </c>
      <c r="F263" s="6" t="str">
        <f>IF(SEFAZ!F245="","",VALUE(SUBSTITUTE(SEFAZ!F245,"'","")))</f>
        <v/>
      </c>
      <c r="G263" t="str">
        <f>IF(SEFAZ!H245="","",SEFAZ!H245)</f>
        <v/>
      </c>
      <c r="H263" t="str">
        <f>IF(SEFAZ!L245="","",SEFAZ!L245)</f>
        <v/>
      </c>
      <c r="I263" t="str">
        <f>IF(SEFAZ!N245="","",SEFAZ!N245)</f>
        <v/>
      </c>
      <c r="J263" t="str">
        <f>IF(SEFAZ!O245="","",SEFAZ!O245)</f>
        <v/>
      </c>
      <c r="K263" s="11" t="str">
        <f>IF(SEFAZ!P245="","",SEFAZ!P245)</f>
        <v/>
      </c>
      <c r="L263" t="str" cm="1">
        <f t="array" aca="1" ref="L2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3" t="s">
        <v>35</v>
      </c>
      <c r="O263" s="36" t="str">
        <f>IF(SEFAZ!B245="","",SEFAZ!B245)</f>
        <v/>
      </c>
    </row>
    <row r="264" spans="2:15" x14ac:dyDescent="0.3">
      <c r="B264" t="str">
        <f>IF(SEFAZ!A246="","",SEFAZ!A246)</f>
        <v/>
      </c>
      <c r="C264" t="str">
        <f>IF(SEFAZ!C246="","",SEFAZ!C246)</f>
        <v/>
      </c>
      <c r="D264" t="str">
        <f>IF(SEFAZ!D246="","",SEFAZ!D246)</f>
        <v/>
      </c>
      <c r="E264" s="7" t="str">
        <f>IF(SEFAZ!E246="","",SEFAZ!E246)</f>
        <v/>
      </c>
      <c r="F264" s="6" t="str">
        <f>IF(SEFAZ!F246="","",VALUE(SUBSTITUTE(SEFAZ!F246,"'","")))</f>
        <v/>
      </c>
      <c r="G264" t="str">
        <f>IF(SEFAZ!H246="","",SEFAZ!H246)</f>
        <v/>
      </c>
      <c r="H264" t="str">
        <f>IF(SEFAZ!L246="","",SEFAZ!L246)</f>
        <v/>
      </c>
      <c r="I264" t="str">
        <f>IF(SEFAZ!N246="","",SEFAZ!N246)</f>
        <v/>
      </c>
      <c r="J264" t="str">
        <f>IF(SEFAZ!O246="","",SEFAZ!O246)</f>
        <v/>
      </c>
      <c r="K264" s="11" t="str">
        <f>IF(SEFAZ!P246="","",SEFAZ!P246)</f>
        <v/>
      </c>
      <c r="L264" t="str" cm="1">
        <f t="array" aca="1" ref="L2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4" t="s">
        <v>35</v>
      </c>
      <c r="O264" s="36" t="str">
        <f>IF(SEFAZ!B246="","",SEFAZ!B246)</f>
        <v/>
      </c>
    </row>
    <row r="265" spans="2:15" x14ac:dyDescent="0.3">
      <c r="B265" t="str">
        <f>IF(SEFAZ!A247="","",SEFAZ!A247)</f>
        <v/>
      </c>
      <c r="C265" t="str">
        <f>IF(SEFAZ!C247="","",SEFAZ!C247)</f>
        <v/>
      </c>
      <c r="D265" t="str">
        <f>IF(SEFAZ!D247="","",SEFAZ!D247)</f>
        <v/>
      </c>
      <c r="E265" s="7" t="str">
        <f>IF(SEFAZ!E247="","",SEFAZ!E247)</f>
        <v/>
      </c>
      <c r="F265" s="6" t="str">
        <f>IF(SEFAZ!F247="","",VALUE(SUBSTITUTE(SEFAZ!F247,"'","")))</f>
        <v/>
      </c>
      <c r="G265" t="str">
        <f>IF(SEFAZ!H247="","",SEFAZ!H247)</f>
        <v/>
      </c>
      <c r="H265" t="str">
        <f>IF(SEFAZ!L247="","",SEFAZ!L247)</f>
        <v/>
      </c>
      <c r="I265" t="str">
        <f>IF(SEFAZ!N247="","",SEFAZ!N247)</f>
        <v/>
      </c>
      <c r="J265" t="str">
        <f>IF(SEFAZ!O247="","",SEFAZ!O247)</f>
        <v/>
      </c>
      <c r="K265" s="11" t="str">
        <f>IF(SEFAZ!P247="","",SEFAZ!P247)</f>
        <v/>
      </c>
      <c r="L265" t="str" cm="1">
        <f t="array" aca="1" ref="L2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5" t="s">
        <v>35</v>
      </c>
      <c r="O265" s="36" t="str">
        <f>IF(SEFAZ!B247="","",SEFAZ!B247)</f>
        <v/>
      </c>
    </row>
    <row r="266" spans="2:15" x14ac:dyDescent="0.3">
      <c r="B266" t="str">
        <f>IF(SEFAZ!A248="","",SEFAZ!A248)</f>
        <v/>
      </c>
      <c r="C266" t="str">
        <f>IF(SEFAZ!C248="","",SEFAZ!C248)</f>
        <v/>
      </c>
      <c r="D266" t="str">
        <f>IF(SEFAZ!D248="","",SEFAZ!D248)</f>
        <v/>
      </c>
      <c r="E266" s="7" t="str">
        <f>IF(SEFAZ!E248="","",SEFAZ!E248)</f>
        <v/>
      </c>
      <c r="F266" s="6" t="str">
        <f>IF(SEFAZ!F248="","",VALUE(SUBSTITUTE(SEFAZ!F248,"'","")))</f>
        <v/>
      </c>
      <c r="G266" t="str">
        <f>IF(SEFAZ!H248="","",SEFAZ!H248)</f>
        <v/>
      </c>
      <c r="H266" t="str">
        <f>IF(SEFAZ!L248="","",SEFAZ!L248)</f>
        <v/>
      </c>
      <c r="I266" t="str">
        <f>IF(SEFAZ!N248="","",SEFAZ!N248)</f>
        <v/>
      </c>
      <c r="J266" t="str">
        <f>IF(SEFAZ!O248="","",SEFAZ!O248)</f>
        <v/>
      </c>
      <c r="K266" s="11" t="str">
        <f>IF(SEFAZ!P248="","",SEFAZ!P248)</f>
        <v/>
      </c>
      <c r="L266" t="str" cm="1">
        <f t="array" aca="1" ref="L2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6" t="s">
        <v>35</v>
      </c>
      <c r="O266" s="36" t="str">
        <f>IF(SEFAZ!B248="","",SEFAZ!B248)</f>
        <v/>
      </c>
    </row>
    <row r="267" spans="2:15" x14ac:dyDescent="0.3">
      <c r="B267" t="str">
        <f>IF(SEFAZ!A249="","",SEFAZ!A249)</f>
        <v/>
      </c>
      <c r="C267" t="str">
        <f>IF(SEFAZ!C249="","",SEFAZ!C249)</f>
        <v/>
      </c>
      <c r="D267" t="str">
        <f>IF(SEFAZ!D249="","",SEFAZ!D249)</f>
        <v/>
      </c>
      <c r="E267" s="7" t="str">
        <f>IF(SEFAZ!E249="","",SEFAZ!E249)</f>
        <v/>
      </c>
      <c r="F267" s="6" t="str">
        <f>IF(SEFAZ!F249="","",VALUE(SUBSTITUTE(SEFAZ!F249,"'","")))</f>
        <v/>
      </c>
      <c r="G267" t="str">
        <f>IF(SEFAZ!H249="","",SEFAZ!H249)</f>
        <v/>
      </c>
      <c r="H267" t="str">
        <f>IF(SEFAZ!L249="","",SEFAZ!L249)</f>
        <v/>
      </c>
      <c r="I267" t="str">
        <f>IF(SEFAZ!N249="","",SEFAZ!N249)</f>
        <v/>
      </c>
      <c r="J267" t="str">
        <f>IF(SEFAZ!O249="","",SEFAZ!O249)</f>
        <v/>
      </c>
      <c r="K267" s="11" t="str">
        <f>IF(SEFAZ!P249="","",SEFAZ!P249)</f>
        <v/>
      </c>
      <c r="L267" t="str" cm="1">
        <f t="array" aca="1" ref="L2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7" t="s">
        <v>35</v>
      </c>
      <c r="O267" s="36" t="str">
        <f>IF(SEFAZ!B249="","",SEFAZ!B249)</f>
        <v/>
      </c>
    </row>
    <row r="268" spans="2:15" x14ac:dyDescent="0.3">
      <c r="B268" t="str">
        <f>IF(SEFAZ!A250="","",SEFAZ!A250)</f>
        <v/>
      </c>
      <c r="C268" t="str">
        <f>IF(SEFAZ!C250="","",SEFAZ!C250)</f>
        <v/>
      </c>
      <c r="D268" t="str">
        <f>IF(SEFAZ!D250="","",SEFAZ!D250)</f>
        <v/>
      </c>
      <c r="E268" s="7" t="str">
        <f>IF(SEFAZ!E250="","",SEFAZ!E250)</f>
        <v/>
      </c>
      <c r="F268" s="6" t="str">
        <f>IF(SEFAZ!F250="","",VALUE(SUBSTITUTE(SEFAZ!F250,"'","")))</f>
        <v/>
      </c>
      <c r="G268" t="str">
        <f>IF(SEFAZ!H250="","",SEFAZ!H250)</f>
        <v/>
      </c>
      <c r="H268" t="str">
        <f>IF(SEFAZ!L250="","",SEFAZ!L250)</f>
        <v/>
      </c>
      <c r="I268" t="str">
        <f>IF(SEFAZ!N250="","",SEFAZ!N250)</f>
        <v/>
      </c>
      <c r="J268" t="str">
        <f>IF(SEFAZ!O250="","",SEFAZ!O250)</f>
        <v/>
      </c>
      <c r="K268" s="11" t="str">
        <f>IF(SEFAZ!P250="","",SEFAZ!P250)</f>
        <v/>
      </c>
      <c r="L268" t="str" cm="1">
        <f t="array" aca="1" ref="L2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8" t="s">
        <v>35</v>
      </c>
      <c r="O268" s="36" t="str">
        <f>IF(SEFAZ!B250="","",SEFAZ!B250)</f>
        <v/>
      </c>
    </row>
    <row r="269" spans="2:15" x14ac:dyDescent="0.3">
      <c r="B269" t="str">
        <f>IF(SEFAZ!A251="","",SEFAZ!A251)</f>
        <v/>
      </c>
      <c r="C269" t="str">
        <f>IF(SEFAZ!C251="","",SEFAZ!C251)</f>
        <v/>
      </c>
      <c r="D269" t="str">
        <f>IF(SEFAZ!D251="","",SEFAZ!D251)</f>
        <v/>
      </c>
      <c r="E269" s="7" t="str">
        <f>IF(SEFAZ!E251="","",SEFAZ!E251)</f>
        <v/>
      </c>
      <c r="F269" s="6" t="str">
        <f>IF(SEFAZ!F251="","",VALUE(SUBSTITUTE(SEFAZ!F251,"'","")))</f>
        <v/>
      </c>
      <c r="G269" t="str">
        <f>IF(SEFAZ!H251="","",SEFAZ!H251)</f>
        <v/>
      </c>
      <c r="H269" t="str">
        <f>IF(SEFAZ!L251="","",SEFAZ!L251)</f>
        <v/>
      </c>
      <c r="I269" t="str">
        <f>IF(SEFAZ!N251="","",SEFAZ!N251)</f>
        <v/>
      </c>
      <c r="J269" t="str">
        <f>IF(SEFAZ!O251="","",SEFAZ!O251)</f>
        <v/>
      </c>
      <c r="K269" s="11" t="str">
        <f>IF(SEFAZ!P251="","",SEFAZ!P251)</f>
        <v/>
      </c>
      <c r="L269" t="str" cm="1">
        <f t="array" aca="1" ref="L2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69" t="s">
        <v>35</v>
      </c>
      <c r="O269" s="36" t="str">
        <f>IF(SEFAZ!B251="","",SEFAZ!B251)</f>
        <v/>
      </c>
    </row>
    <row r="270" spans="2:15" x14ac:dyDescent="0.3">
      <c r="B270" t="str">
        <f>IF(SEFAZ!A252="","",SEFAZ!A252)</f>
        <v/>
      </c>
      <c r="C270" t="str">
        <f>IF(SEFAZ!C252="","",SEFAZ!C252)</f>
        <v/>
      </c>
      <c r="D270" t="str">
        <f>IF(SEFAZ!D252="","",SEFAZ!D252)</f>
        <v/>
      </c>
      <c r="E270" s="7" t="str">
        <f>IF(SEFAZ!E252="","",SEFAZ!E252)</f>
        <v/>
      </c>
      <c r="F270" s="6" t="str">
        <f>IF(SEFAZ!F252="","",VALUE(SUBSTITUTE(SEFAZ!F252,"'","")))</f>
        <v/>
      </c>
      <c r="G270" t="str">
        <f>IF(SEFAZ!H252="","",SEFAZ!H252)</f>
        <v/>
      </c>
      <c r="H270" t="str">
        <f>IF(SEFAZ!L252="","",SEFAZ!L252)</f>
        <v/>
      </c>
      <c r="I270" t="str">
        <f>IF(SEFAZ!N252="","",SEFAZ!N252)</f>
        <v/>
      </c>
      <c r="J270" t="str">
        <f>IF(SEFAZ!O252="","",SEFAZ!O252)</f>
        <v/>
      </c>
      <c r="K270" s="11" t="str">
        <f>IF(SEFAZ!P252="","",SEFAZ!P252)</f>
        <v/>
      </c>
      <c r="L270" t="str" cm="1">
        <f t="array" aca="1" ref="L2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0" t="s">
        <v>35</v>
      </c>
      <c r="O270" s="36" t="str">
        <f>IF(SEFAZ!B252="","",SEFAZ!B252)</f>
        <v/>
      </c>
    </row>
    <row r="271" spans="2:15" x14ac:dyDescent="0.3">
      <c r="B271" t="str">
        <f>IF(SEFAZ!A253="","",SEFAZ!A253)</f>
        <v/>
      </c>
      <c r="C271" t="str">
        <f>IF(SEFAZ!C253="","",SEFAZ!C253)</f>
        <v/>
      </c>
      <c r="D271" t="str">
        <f>IF(SEFAZ!D253="","",SEFAZ!D253)</f>
        <v/>
      </c>
      <c r="E271" s="7" t="str">
        <f>IF(SEFAZ!E253="","",SEFAZ!E253)</f>
        <v/>
      </c>
      <c r="F271" s="6" t="str">
        <f>IF(SEFAZ!F253="","",VALUE(SUBSTITUTE(SEFAZ!F253,"'","")))</f>
        <v/>
      </c>
      <c r="G271" t="str">
        <f>IF(SEFAZ!H253="","",SEFAZ!H253)</f>
        <v/>
      </c>
      <c r="H271" t="str">
        <f>IF(SEFAZ!L253="","",SEFAZ!L253)</f>
        <v/>
      </c>
      <c r="I271" t="str">
        <f>IF(SEFAZ!N253="","",SEFAZ!N253)</f>
        <v/>
      </c>
      <c r="J271" t="str">
        <f>IF(SEFAZ!O253="","",SEFAZ!O253)</f>
        <v/>
      </c>
      <c r="K271" s="11" t="str">
        <f>IF(SEFAZ!P253="","",SEFAZ!P253)</f>
        <v/>
      </c>
      <c r="L271" t="str" cm="1">
        <f t="array" aca="1" ref="L2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1" t="s">
        <v>35</v>
      </c>
      <c r="O271" s="36" t="str">
        <f>IF(SEFAZ!B253="","",SEFAZ!B253)</f>
        <v/>
      </c>
    </row>
    <row r="272" spans="2:15" x14ac:dyDescent="0.3">
      <c r="B272" t="str">
        <f>IF(SEFAZ!A254="","",SEFAZ!A254)</f>
        <v/>
      </c>
      <c r="C272" t="str">
        <f>IF(SEFAZ!C254="","",SEFAZ!C254)</f>
        <v/>
      </c>
      <c r="D272" t="str">
        <f>IF(SEFAZ!D254="","",SEFAZ!D254)</f>
        <v/>
      </c>
      <c r="E272" s="7" t="str">
        <f>IF(SEFAZ!E254="","",SEFAZ!E254)</f>
        <v/>
      </c>
      <c r="F272" s="6" t="str">
        <f>IF(SEFAZ!F254="","",VALUE(SUBSTITUTE(SEFAZ!F254,"'","")))</f>
        <v/>
      </c>
      <c r="G272" t="str">
        <f>IF(SEFAZ!H254="","",SEFAZ!H254)</f>
        <v/>
      </c>
      <c r="H272" t="str">
        <f>IF(SEFAZ!L254="","",SEFAZ!L254)</f>
        <v/>
      </c>
      <c r="I272" t="str">
        <f>IF(SEFAZ!N254="","",SEFAZ!N254)</f>
        <v/>
      </c>
      <c r="J272" t="str">
        <f>IF(SEFAZ!O254="","",SEFAZ!O254)</f>
        <v/>
      </c>
      <c r="K272" s="11" t="str">
        <f>IF(SEFAZ!P254="","",SEFAZ!P254)</f>
        <v/>
      </c>
      <c r="L272" t="str" cm="1">
        <f t="array" aca="1" ref="L2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2" t="s">
        <v>35</v>
      </c>
      <c r="O272" s="36" t="str">
        <f>IF(SEFAZ!B254="","",SEFAZ!B254)</f>
        <v/>
      </c>
    </row>
    <row r="273" spans="2:15" x14ac:dyDescent="0.3">
      <c r="B273" t="str">
        <f>IF(SEFAZ!A255="","",SEFAZ!A255)</f>
        <v/>
      </c>
      <c r="C273" t="str">
        <f>IF(SEFAZ!C255="","",SEFAZ!C255)</f>
        <v/>
      </c>
      <c r="D273" t="str">
        <f>IF(SEFAZ!D255="","",SEFAZ!D255)</f>
        <v/>
      </c>
      <c r="E273" s="7" t="str">
        <f>IF(SEFAZ!E255="","",SEFAZ!E255)</f>
        <v/>
      </c>
      <c r="F273" s="6" t="str">
        <f>IF(SEFAZ!F255="","",VALUE(SUBSTITUTE(SEFAZ!F255,"'","")))</f>
        <v/>
      </c>
      <c r="G273" t="str">
        <f>IF(SEFAZ!H255="","",SEFAZ!H255)</f>
        <v/>
      </c>
      <c r="H273" t="str">
        <f>IF(SEFAZ!L255="","",SEFAZ!L255)</f>
        <v/>
      </c>
      <c r="I273" t="str">
        <f>IF(SEFAZ!N255="","",SEFAZ!N255)</f>
        <v/>
      </c>
      <c r="J273" t="str">
        <f>IF(SEFAZ!O255="","",SEFAZ!O255)</f>
        <v/>
      </c>
      <c r="K273" s="11" t="str">
        <f>IF(SEFAZ!P255="","",SEFAZ!P255)</f>
        <v/>
      </c>
      <c r="L273" t="str" cm="1">
        <f t="array" aca="1" ref="L2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3" t="s">
        <v>35</v>
      </c>
      <c r="O273" s="36" t="str">
        <f>IF(SEFAZ!B255="","",SEFAZ!B255)</f>
        <v/>
      </c>
    </row>
    <row r="274" spans="2:15" x14ac:dyDescent="0.3">
      <c r="B274" t="str">
        <f>IF(SEFAZ!A256="","",SEFAZ!A256)</f>
        <v/>
      </c>
      <c r="C274" t="str">
        <f>IF(SEFAZ!C256="","",SEFAZ!C256)</f>
        <v/>
      </c>
      <c r="D274" t="str">
        <f>IF(SEFAZ!D256="","",SEFAZ!D256)</f>
        <v/>
      </c>
      <c r="E274" s="7" t="str">
        <f>IF(SEFAZ!E256="","",SEFAZ!E256)</f>
        <v/>
      </c>
      <c r="F274" s="6" t="str">
        <f>IF(SEFAZ!F256="","",VALUE(SUBSTITUTE(SEFAZ!F256,"'","")))</f>
        <v/>
      </c>
      <c r="G274" t="str">
        <f>IF(SEFAZ!H256="","",SEFAZ!H256)</f>
        <v/>
      </c>
      <c r="H274" t="str">
        <f>IF(SEFAZ!L256="","",SEFAZ!L256)</f>
        <v/>
      </c>
      <c r="I274" t="str">
        <f>IF(SEFAZ!N256="","",SEFAZ!N256)</f>
        <v/>
      </c>
      <c r="J274" t="str">
        <f>IF(SEFAZ!O256="","",SEFAZ!O256)</f>
        <v/>
      </c>
      <c r="K274" s="11" t="str">
        <f>IF(SEFAZ!P256="","",SEFAZ!P256)</f>
        <v/>
      </c>
      <c r="L274" t="str" cm="1">
        <f t="array" aca="1" ref="L2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4" t="s">
        <v>35</v>
      </c>
      <c r="O274" s="36" t="str">
        <f>IF(SEFAZ!B256="","",SEFAZ!B256)</f>
        <v/>
      </c>
    </row>
    <row r="275" spans="2:15" x14ac:dyDescent="0.3">
      <c r="B275" t="str">
        <f>IF(SEFAZ!A257="","",SEFAZ!A257)</f>
        <v/>
      </c>
      <c r="C275" t="str">
        <f>IF(SEFAZ!C257="","",SEFAZ!C257)</f>
        <v/>
      </c>
      <c r="D275" t="str">
        <f>IF(SEFAZ!D257="","",SEFAZ!D257)</f>
        <v/>
      </c>
      <c r="E275" s="7" t="str">
        <f>IF(SEFAZ!E257="","",SEFAZ!E257)</f>
        <v/>
      </c>
      <c r="F275" s="6" t="str">
        <f>IF(SEFAZ!F257="","",VALUE(SUBSTITUTE(SEFAZ!F257,"'","")))</f>
        <v/>
      </c>
      <c r="G275" t="str">
        <f>IF(SEFAZ!H257="","",SEFAZ!H257)</f>
        <v/>
      </c>
      <c r="H275" t="str">
        <f>IF(SEFAZ!L257="","",SEFAZ!L257)</f>
        <v/>
      </c>
      <c r="I275" t="str">
        <f>IF(SEFAZ!N257="","",SEFAZ!N257)</f>
        <v/>
      </c>
      <c r="J275" t="str">
        <f>IF(SEFAZ!O257="","",SEFAZ!O257)</f>
        <v/>
      </c>
      <c r="K275" s="11" t="str">
        <f>IF(SEFAZ!P257="","",SEFAZ!P257)</f>
        <v/>
      </c>
      <c r="L275" t="str" cm="1">
        <f t="array" aca="1" ref="L2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5" t="s">
        <v>35</v>
      </c>
      <c r="O275" s="36" t="str">
        <f>IF(SEFAZ!B257="","",SEFAZ!B257)</f>
        <v/>
      </c>
    </row>
    <row r="276" spans="2:15" x14ac:dyDescent="0.3">
      <c r="B276" t="str">
        <f>IF(SEFAZ!A258="","",SEFAZ!A258)</f>
        <v/>
      </c>
      <c r="C276" t="str">
        <f>IF(SEFAZ!C258="","",SEFAZ!C258)</f>
        <v/>
      </c>
      <c r="D276" t="str">
        <f>IF(SEFAZ!D258="","",SEFAZ!D258)</f>
        <v/>
      </c>
      <c r="E276" s="7" t="str">
        <f>IF(SEFAZ!E258="","",SEFAZ!E258)</f>
        <v/>
      </c>
      <c r="F276" s="6" t="str">
        <f>IF(SEFAZ!F258="","",VALUE(SUBSTITUTE(SEFAZ!F258,"'","")))</f>
        <v/>
      </c>
      <c r="G276" t="str">
        <f>IF(SEFAZ!H258="","",SEFAZ!H258)</f>
        <v/>
      </c>
      <c r="H276" t="str">
        <f>IF(SEFAZ!L258="","",SEFAZ!L258)</f>
        <v/>
      </c>
      <c r="I276" t="str">
        <f>IF(SEFAZ!N258="","",SEFAZ!N258)</f>
        <v/>
      </c>
      <c r="J276" t="str">
        <f>IF(SEFAZ!O258="","",SEFAZ!O258)</f>
        <v/>
      </c>
      <c r="K276" s="11" t="str">
        <f>IF(SEFAZ!P258="","",SEFAZ!P258)</f>
        <v/>
      </c>
      <c r="L276" t="str" cm="1">
        <f t="array" aca="1" ref="L2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6" t="s">
        <v>35</v>
      </c>
      <c r="O276" s="36" t="str">
        <f>IF(SEFAZ!B258="","",SEFAZ!B258)</f>
        <v/>
      </c>
    </row>
    <row r="277" spans="2:15" x14ac:dyDescent="0.3">
      <c r="B277" t="str">
        <f>IF(SEFAZ!A259="","",SEFAZ!A259)</f>
        <v/>
      </c>
      <c r="C277" t="str">
        <f>IF(SEFAZ!C259="","",SEFAZ!C259)</f>
        <v/>
      </c>
      <c r="D277" t="str">
        <f>IF(SEFAZ!D259="","",SEFAZ!D259)</f>
        <v/>
      </c>
      <c r="E277" s="7" t="str">
        <f>IF(SEFAZ!E259="","",SEFAZ!E259)</f>
        <v/>
      </c>
      <c r="F277" s="6" t="str">
        <f>IF(SEFAZ!F259="","",VALUE(SUBSTITUTE(SEFAZ!F259,"'","")))</f>
        <v/>
      </c>
      <c r="G277" t="str">
        <f>IF(SEFAZ!H259="","",SEFAZ!H259)</f>
        <v/>
      </c>
      <c r="H277" t="str">
        <f>IF(SEFAZ!L259="","",SEFAZ!L259)</f>
        <v/>
      </c>
      <c r="I277" t="str">
        <f>IF(SEFAZ!N259="","",SEFAZ!N259)</f>
        <v/>
      </c>
      <c r="J277" t="str">
        <f>IF(SEFAZ!O259="","",SEFAZ!O259)</f>
        <v/>
      </c>
      <c r="K277" s="11" t="str">
        <f>IF(SEFAZ!P259="","",SEFAZ!P259)</f>
        <v/>
      </c>
      <c r="L277" t="str" cm="1">
        <f t="array" aca="1" ref="L2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7" t="s">
        <v>35</v>
      </c>
      <c r="O277" s="36" t="str">
        <f>IF(SEFAZ!B259="","",SEFAZ!B259)</f>
        <v/>
      </c>
    </row>
    <row r="278" spans="2:15" x14ac:dyDescent="0.3">
      <c r="B278" t="str">
        <f>IF(SEFAZ!A260="","",SEFAZ!A260)</f>
        <v/>
      </c>
      <c r="C278" t="str">
        <f>IF(SEFAZ!C260="","",SEFAZ!C260)</f>
        <v/>
      </c>
      <c r="D278" t="str">
        <f>IF(SEFAZ!D260="","",SEFAZ!D260)</f>
        <v/>
      </c>
      <c r="E278" s="7" t="str">
        <f>IF(SEFAZ!E260="","",SEFAZ!E260)</f>
        <v/>
      </c>
      <c r="F278" s="6" t="str">
        <f>IF(SEFAZ!F260="","",VALUE(SUBSTITUTE(SEFAZ!F260,"'","")))</f>
        <v/>
      </c>
      <c r="G278" t="str">
        <f>IF(SEFAZ!H260="","",SEFAZ!H260)</f>
        <v/>
      </c>
      <c r="H278" t="str">
        <f>IF(SEFAZ!L260="","",SEFAZ!L260)</f>
        <v/>
      </c>
      <c r="I278" t="str">
        <f>IF(SEFAZ!N260="","",SEFAZ!N260)</f>
        <v/>
      </c>
      <c r="J278" t="str">
        <f>IF(SEFAZ!O260="","",SEFAZ!O260)</f>
        <v/>
      </c>
      <c r="K278" s="11" t="str">
        <f>IF(SEFAZ!P260="","",SEFAZ!P260)</f>
        <v/>
      </c>
      <c r="L278" t="str" cm="1">
        <f t="array" aca="1" ref="L2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8" t="s">
        <v>35</v>
      </c>
      <c r="O278" s="36" t="str">
        <f>IF(SEFAZ!B260="","",SEFAZ!B260)</f>
        <v/>
      </c>
    </row>
    <row r="279" spans="2:15" x14ac:dyDescent="0.3">
      <c r="B279" t="str">
        <f>IF(SEFAZ!A261="","",SEFAZ!A261)</f>
        <v/>
      </c>
      <c r="C279" t="str">
        <f>IF(SEFAZ!C261="","",SEFAZ!C261)</f>
        <v/>
      </c>
      <c r="D279" t="str">
        <f>IF(SEFAZ!D261="","",SEFAZ!D261)</f>
        <v/>
      </c>
      <c r="E279" s="7" t="str">
        <f>IF(SEFAZ!E261="","",SEFAZ!E261)</f>
        <v/>
      </c>
      <c r="F279" s="6" t="str">
        <f>IF(SEFAZ!F261="","",VALUE(SUBSTITUTE(SEFAZ!F261,"'","")))</f>
        <v/>
      </c>
      <c r="G279" t="str">
        <f>IF(SEFAZ!H261="","",SEFAZ!H261)</f>
        <v/>
      </c>
      <c r="H279" t="str">
        <f>IF(SEFAZ!L261="","",SEFAZ!L261)</f>
        <v/>
      </c>
      <c r="I279" t="str">
        <f>IF(SEFAZ!N261="","",SEFAZ!N261)</f>
        <v/>
      </c>
      <c r="J279" t="str">
        <f>IF(SEFAZ!O261="","",SEFAZ!O261)</f>
        <v/>
      </c>
      <c r="K279" s="11" t="str">
        <f>IF(SEFAZ!P261="","",SEFAZ!P261)</f>
        <v/>
      </c>
      <c r="L279" t="str" cm="1">
        <f t="array" aca="1" ref="L2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79" t="s">
        <v>35</v>
      </c>
      <c r="O279" s="36" t="str">
        <f>IF(SEFAZ!B261="","",SEFAZ!B261)</f>
        <v/>
      </c>
    </row>
    <row r="280" spans="2:15" x14ac:dyDescent="0.3">
      <c r="B280" t="str">
        <f>IF(SEFAZ!A262="","",SEFAZ!A262)</f>
        <v/>
      </c>
      <c r="C280" t="str">
        <f>IF(SEFAZ!C262="","",SEFAZ!C262)</f>
        <v/>
      </c>
      <c r="D280" t="str">
        <f>IF(SEFAZ!D262="","",SEFAZ!D262)</f>
        <v/>
      </c>
      <c r="E280" s="7" t="str">
        <f>IF(SEFAZ!E262="","",SEFAZ!E262)</f>
        <v/>
      </c>
      <c r="F280" s="6" t="str">
        <f>IF(SEFAZ!F262="","",VALUE(SUBSTITUTE(SEFAZ!F262,"'","")))</f>
        <v/>
      </c>
      <c r="G280" t="str">
        <f>IF(SEFAZ!H262="","",SEFAZ!H262)</f>
        <v/>
      </c>
      <c r="H280" t="str">
        <f>IF(SEFAZ!L262="","",SEFAZ!L262)</f>
        <v/>
      </c>
      <c r="I280" t="str">
        <f>IF(SEFAZ!N262="","",SEFAZ!N262)</f>
        <v/>
      </c>
      <c r="J280" t="str">
        <f>IF(SEFAZ!O262="","",SEFAZ!O262)</f>
        <v/>
      </c>
      <c r="K280" s="11" t="str">
        <f>IF(SEFAZ!P262="","",SEFAZ!P262)</f>
        <v/>
      </c>
      <c r="L280" t="str" cm="1">
        <f t="array" aca="1" ref="L2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0" t="s">
        <v>35</v>
      </c>
      <c r="O280" s="36" t="str">
        <f>IF(SEFAZ!B262="","",SEFAZ!B262)</f>
        <v/>
      </c>
    </row>
    <row r="281" spans="2:15" x14ac:dyDescent="0.3">
      <c r="B281" t="str">
        <f>IF(SEFAZ!A263="","",SEFAZ!A263)</f>
        <v/>
      </c>
      <c r="C281" t="str">
        <f>IF(SEFAZ!C263="","",SEFAZ!C263)</f>
        <v/>
      </c>
      <c r="D281" t="str">
        <f>IF(SEFAZ!D263="","",SEFAZ!D263)</f>
        <v/>
      </c>
      <c r="E281" s="7" t="str">
        <f>IF(SEFAZ!E263="","",SEFAZ!E263)</f>
        <v/>
      </c>
      <c r="F281" s="6" t="str">
        <f>IF(SEFAZ!F263="","",VALUE(SUBSTITUTE(SEFAZ!F263,"'","")))</f>
        <v/>
      </c>
      <c r="G281" t="str">
        <f>IF(SEFAZ!H263="","",SEFAZ!H263)</f>
        <v/>
      </c>
      <c r="H281" t="str">
        <f>IF(SEFAZ!L263="","",SEFAZ!L263)</f>
        <v/>
      </c>
      <c r="I281" t="str">
        <f>IF(SEFAZ!N263="","",SEFAZ!N263)</f>
        <v/>
      </c>
      <c r="J281" t="str">
        <f>IF(SEFAZ!O263="","",SEFAZ!O263)</f>
        <v/>
      </c>
      <c r="K281" s="11" t="str">
        <f>IF(SEFAZ!P263="","",SEFAZ!P263)</f>
        <v/>
      </c>
      <c r="L281" t="str" cm="1">
        <f t="array" aca="1" ref="L2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1" t="s">
        <v>35</v>
      </c>
      <c r="O281" s="36" t="str">
        <f>IF(SEFAZ!B263="","",SEFAZ!B263)</f>
        <v/>
      </c>
    </row>
    <row r="282" spans="2:15" x14ac:dyDescent="0.3">
      <c r="B282" t="str">
        <f>IF(SEFAZ!A264="","",SEFAZ!A264)</f>
        <v/>
      </c>
      <c r="C282" t="str">
        <f>IF(SEFAZ!C264="","",SEFAZ!C264)</f>
        <v/>
      </c>
      <c r="D282" t="str">
        <f>IF(SEFAZ!D264="","",SEFAZ!D264)</f>
        <v/>
      </c>
      <c r="E282" s="7" t="str">
        <f>IF(SEFAZ!E264="","",SEFAZ!E264)</f>
        <v/>
      </c>
      <c r="F282" s="6" t="str">
        <f>IF(SEFAZ!F264="","",VALUE(SUBSTITUTE(SEFAZ!F264,"'","")))</f>
        <v/>
      </c>
      <c r="G282" t="str">
        <f>IF(SEFAZ!H264="","",SEFAZ!H264)</f>
        <v/>
      </c>
      <c r="H282" t="str">
        <f>IF(SEFAZ!L264="","",SEFAZ!L264)</f>
        <v/>
      </c>
      <c r="I282" t="str">
        <f>IF(SEFAZ!N264="","",SEFAZ!N264)</f>
        <v/>
      </c>
      <c r="J282" t="str">
        <f>IF(SEFAZ!O264="","",SEFAZ!O264)</f>
        <v/>
      </c>
      <c r="K282" s="11" t="str">
        <f>IF(SEFAZ!P264="","",SEFAZ!P264)</f>
        <v/>
      </c>
      <c r="L282" t="str" cm="1">
        <f t="array" aca="1" ref="L2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2" t="s">
        <v>35</v>
      </c>
      <c r="O282" s="36" t="str">
        <f>IF(SEFAZ!B264="","",SEFAZ!B264)</f>
        <v/>
      </c>
    </row>
    <row r="283" spans="2:15" x14ac:dyDescent="0.3">
      <c r="B283" t="str">
        <f>IF(SEFAZ!A265="","",SEFAZ!A265)</f>
        <v/>
      </c>
      <c r="C283" t="str">
        <f>IF(SEFAZ!C265="","",SEFAZ!C265)</f>
        <v/>
      </c>
      <c r="D283" t="str">
        <f>IF(SEFAZ!D265="","",SEFAZ!D265)</f>
        <v/>
      </c>
      <c r="E283" s="7" t="str">
        <f>IF(SEFAZ!E265="","",SEFAZ!E265)</f>
        <v/>
      </c>
      <c r="F283" s="6" t="str">
        <f>IF(SEFAZ!F265="","",VALUE(SUBSTITUTE(SEFAZ!F265,"'","")))</f>
        <v/>
      </c>
      <c r="G283" t="str">
        <f>IF(SEFAZ!H265="","",SEFAZ!H265)</f>
        <v/>
      </c>
      <c r="H283" t="str">
        <f>IF(SEFAZ!L265="","",SEFAZ!L265)</f>
        <v/>
      </c>
      <c r="I283" t="str">
        <f>IF(SEFAZ!N265="","",SEFAZ!N265)</f>
        <v/>
      </c>
      <c r="J283" t="str">
        <f>IF(SEFAZ!O265="","",SEFAZ!O265)</f>
        <v/>
      </c>
      <c r="K283" s="11" t="str">
        <f>IF(SEFAZ!P265="","",SEFAZ!P265)</f>
        <v/>
      </c>
      <c r="L283" t="str" cm="1">
        <f t="array" aca="1" ref="L2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3" t="s">
        <v>35</v>
      </c>
      <c r="O283" s="36" t="str">
        <f>IF(SEFAZ!B265="","",SEFAZ!B265)</f>
        <v/>
      </c>
    </row>
    <row r="284" spans="2:15" x14ac:dyDescent="0.3">
      <c r="B284" t="str">
        <f>IF(SEFAZ!A266="","",SEFAZ!A266)</f>
        <v/>
      </c>
      <c r="C284" t="str">
        <f>IF(SEFAZ!C266="","",SEFAZ!C266)</f>
        <v/>
      </c>
      <c r="D284" t="str">
        <f>IF(SEFAZ!D266="","",SEFAZ!D266)</f>
        <v/>
      </c>
      <c r="E284" s="7" t="str">
        <f>IF(SEFAZ!E266="","",SEFAZ!E266)</f>
        <v/>
      </c>
      <c r="F284" s="6" t="str">
        <f>IF(SEFAZ!F266="","",VALUE(SUBSTITUTE(SEFAZ!F266,"'","")))</f>
        <v/>
      </c>
      <c r="G284" t="str">
        <f>IF(SEFAZ!H266="","",SEFAZ!H266)</f>
        <v/>
      </c>
      <c r="H284" t="str">
        <f>IF(SEFAZ!L266="","",SEFAZ!L266)</f>
        <v/>
      </c>
      <c r="I284" t="str">
        <f>IF(SEFAZ!N266="","",SEFAZ!N266)</f>
        <v/>
      </c>
      <c r="J284" t="str">
        <f>IF(SEFAZ!O266="","",SEFAZ!O266)</f>
        <v/>
      </c>
      <c r="K284" s="11" t="str">
        <f>IF(SEFAZ!P266="","",SEFAZ!P266)</f>
        <v/>
      </c>
      <c r="L284" t="str" cm="1">
        <f t="array" aca="1" ref="L2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4" t="s">
        <v>35</v>
      </c>
      <c r="O284" s="36" t="str">
        <f>IF(SEFAZ!B266="","",SEFAZ!B266)</f>
        <v/>
      </c>
    </row>
    <row r="285" spans="2:15" x14ac:dyDescent="0.3">
      <c r="B285" t="str">
        <f>IF(SEFAZ!A267="","",SEFAZ!A267)</f>
        <v/>
      </c>
      <c r="C285" t="str">
        <f>IF(SEFAZ!C267="","",SEFAZ!C267)</f>
        <v/>
      </c>
      <c r="D285" t="str">
        <f>IF(SEFAZ!D267="","",SEFAZ!D267)</f>
        <v/>
      </c>
      <c r="E285" s="7" t="str">
        <f>IF(SEFAZ!E267="","",SEFAZ!E267)</f>
        <v/>
      </c>
      <c r="F285" s="6" t="str">
        <f>IF(SEFAZ!F267="","",VALUE(SUBSTITUTE(SEFAZ!F267,"'","")))</f>
        <v/>
      </c>
      <c r="G285" t="str">
        <f>IF(SEFAZ!H267="","",SEFAZ!H267)</f>
        <v/>
      </c>
      <c r="H285" t="str">
        <f>IF(SEFAZ!L267="","",SEFAZ!L267)</f>
        <v/>
      </c>
      <c r="I285" t="str">
        <f>IF(SEFAZ!N267="","",SEFAZ!N267)</f>
        <v/>
      </c>
      <c r="J285" t="str">
        <f>IF(SEFAZ!O267="","",SEFAZ!O267)</f>
        <v/>
      </c>
      <c r="K285" s="11" t="str">
        <f>IF(SEFAZ!P267="","",SEFAZ!P267)</f>
        <v/>
      </c>
      <c r="L285" t="str" cm="1">
        <f t="array" aca="1" ref="L2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5" t="s">
        <v>35</v>
      </c>
      <c r="O285" s="36" t="str">
        <f>IF(SEFAZ!B267="","",SEFAZ!B267)</f>
        <v/>
      </c>
    </row>
    <row r="286" spans="2:15" x14ac:dyDescent="0.3">
      <c r="B286" t="str">
        <f>IF(SEFAZ!A268="","",SEFAZ!A268)</f>
        <v/>
      </c>
      <c r="C286" t="str">
        <f>IF(SEFAZ!C268="","",SEFAZ!C268)</f>
        <v/>
      </c>
      <c r="D286" t="str">
        <f>IF(SEFAZ!D268="","",SEFAZ!D268)</f>
        <v/>
      </c>
      <c r="E286" s="7" t="str">
        <f>IF(SEFAZ!E268="","",SEFAZ!E268)</f>
        <v/>
      </c>
      <c r="F286" s="6" t="str">
        <f>IF(SEFAZ!F268="","",VALUE(SUBSTITUTE(SEFAZ!F268,"'","")))</f>
        <v/>
      </c>
      <c r="G286" t="str">
        <f>IF(SEFAZ!H268="","",SEFAZ!H268)</f>
        <v/>
      </c>
      <c r="H286" t="str">
        <f>IF(SEFAZ!L268="","",SEFAZ!L268)</f>
        <v/>
      </c>
      <c r="I286" t="str">
        <f>IF(SEFAZ!N268="","",SEFAZ!N268)</f>
        <v/>
      </c>
      <c r="J286" t="str">
        <f>IF(SEFAZ!O268="","",SEFAZ!O268)</f>
        <v/>
      </c>
      <c r="K286" s="11" t="str">
        <f>IF(SEFAZ!P268="","",SEFAZ!P268)</f>
        <v/>
      </c>
      <c r="L286" t="str" cm="1">
        <f t="array" aca="1" ref="L2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6" t="s">
        <v>35</v>
      </c>
      <c r="O286" s="36" t="str">
        <f>IF(SEFAZ!B268="","",SEFAZ!B268)</f>
        <v/>
      </c>
    </row>
    <row r="287" spans="2:15" x14ac:dyDescent="0.3">
      <c r="B287" t="str">
        <f>IF(SEFAZ!A269="","",SEFAZ!A269)</f>
        <v/>
      </c>
      <c r="C287" t="str">
        <f>IF(SEFAZ!C269="","",SEFAZ!C269)</f>
        <v/>
      </c>
      <c r="D287" t="str">
        <f>IF(SEFAZ!D269="","",SEFAZ!D269)</f>
        <v/>
      </c>
      <c r="E287" s="7" t="str">
        <f>IF(SEFAZ!E269="","",SEFAZ!E269)</f>
        <v/>
      </c>
      <c r="F287" s="6" t="str">
        <f>IF(SEFAZ!F269="","",VALUE(SUBSTITUTE(SEFAZ!F269,"'","")))</f>
        <v/>
      </c>
      <c r="G287" t="str">
        <f>IF(SEFAZ!H269="","",SEFAZ!H269)</f>
        <v/>
      </c>
      <c r="H287" t="str">
        <f>IF(SEFAZ!L269="","",SEFAZ!L269)</f>
        <v/>
      </c>
      <c r="I287" t="str">
        <f>IF(SEFAZ!N269="","",SEFAZ!N269)</f>
        <v/>
      </c>
      <c r="J287" t="str">
        <f>IF(SEFAZ!O269="","",SEFAZ!O269)</f>
        <v/>
      </c>
      <c r="K287" s="11" t="str">
        <f>IF(SEFAZ!P269="","",SEFAZ!P269)</f>
        <v/>
      </c>
      <c r="L287" t="str" cm="1">
        <f t="array" aca="1" ref="L2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7" t="s">
        <v>35</v>
      </c>
      <c r="O287" s="36" t="str">
        <f>IF(SEFAZ!B269="","",SEFAZ!B269)</f>
        <v/>
      </c>
    </row>
    <row r="288" spans="2:15" x14ac:dyDescent="0.3">
      <c r="B288" t="str">
        <f>IF(SEFAZ!A270="","",SEFAZ!A270)</f>
        <v/>
      </c>
      <c r="C288" t="str">
        <f>IF(SEFAZ!C270="","",SEFAZ!C270)</f>
        <v/>
      </c>
      <c r="D288" t="str">
        <f>IF(SEFAZ!D270="","",SEFAZ!D270)</f>
        <v/>
      </c>
      <c r="E288" s="7" t="str">
        <f>IF(SEFAZ!E270="","",SEFAZ!E270)</f>
        <v/>
      </c>
      <c r="F288" s="6" t="str">
        <f>IF(SEFAZ!F270="","",VALUE(SUBSTITUTE(SEFAZ!F270,"'","")))</f>
        <v/>
      </c>
      <c r="G288" t="str">
        <f>IF(SEFAZ!H270="","",SEFAZ!H270)</f>
        <v/>
      </c>
      <c r="H288" t="str">
        <f>IF(SEFAZ!L270="","",SEFAZ!L270)</f>
        <v/>
      </c>
      <c r="I288" t="str">
        <f>IF(SEFAZ!N270="","",SEFAZ!N270)</f>
        <v/>
      </c>
      <c r="J288" t="str">
        <f>IF(SEFAZ!O270="","",SEFAZ!O270)</f>
        <v/>
      </c>
      <c r="K288" s="11" t="str">
        <f>IF(SEFAZ!P270="","",SEFAZ!P270)</f>
        <v/>
      </c>
      <c r="L288" t="str" cm="1">
        <f t="array" aca="1" ref="L2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8" t="s">
        <v>35</v>
      </c>
      <c r="O288" s="36" t="str">
        <f>IF(SEFAZ!B270="","",SEFAZ!B270)</f>
        <v/>
      </c>
    </row>
    <row r="289" spans="2:15" x14ac:dyDescent="0.3">
      <c r="B289" t="str">
        <f>IF(SEFAZ!A271="","",SEFAZ!A271)</f>
        <v/>
      </c>
      <c r="C289" t="str">
        <f>IF(SEFAZ!C271="","",SEFAZ!C271)</f>
        <v/>
      </c>
      <c r="D289" t="str">
        <f>IF(SEFAZ!D271="","",SEFAZ!D271)</f>
        <v/>
      </c>
      <c r="E289" s="7" t="str">
        <f>IF(SEFAZ!E271="","",SEFAZ!E271)</f>
        <v/>
      </c>
      <c r="F289" s="6" t="str">
        <f>IF(SEFAZ!F271="","",VALUE(SUBSTITUTE(SEFAZ!F271,"'","")))</f>
        <v/>
      </c>
      <c r="G289" t="str">
        <f>IF(SEFAZ!H271="","",SEFAZ!H271)</f>
        <v/>
      </c>
      <c r="H289" t="str">
        <f>IF(SEFAZ!L271="","",SEFAZ!L271)</f>
        <v/>
      </c>
      <c r="I289" t="str">
        <f>IF(SEFAZ!N271="","",SEFAZ!N271)</f>
        <v/>
      </c>
      <c r="J289" t="str">
        <f>IF(SEFAZ!O271="","",SEFAZ!O271)</f>
        <v/>
      </c>
      <c r="K289" s="11" t="str">
        <f>IF(SEFAZ!P271="","",SEFAZ!P271)</f>
        <v/>
      </c>
      <c r="L289" t="str" cm="1">
        <f t="array" aca="1" ref="L2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89" t="s">
        <v>35</v>
      </c>
      <c r="O289" s="36" t="str">
        <f>IF(SEFAZ!B271="","",SEFAZ!B271)</f>
        <v/>
      </c>
    </row>
    <row r="290" spans="2:15" x14ac:dyDescent="0.3">
      <c r="B290" t="str">
        <f>IF(SEFAZ!A272="","",SEFAZ!A272)</f>
        <v/>
      </c>
      <c r="C290" t="str">
        <f>IF(SEFAZ!C272="","",SEFAZ!C272)</f>
        <v/>
      </c>
      <c r="D290" t="str">
        <f>IF(SEFAZ!D272="","",SEFAZ!D272)</f>
        <v/>
      </c>
      <c r="E290" s="7" t="str">
        <f>IF(SEFAZ!E272="","",SEFAZ!E272)</f>
        <v/>
      </c>
      <c r="F290" s="6" t="str">
        <f>IF(SEFAZ!F272="","",VALUE(SUBSTITUTE(SEFAZ!F272,"'","")))</f>
        <v/>
      </c>
      <c r="G290" t="str">
        <f>IF(SEFAZ!H272="","",SEFAZ!H272)</f>
        <v/>
      </c>
      <c r="H290" t="str">
        <f>IF(SEFAZ!L272="","",SEFAZ!L272)</f>
        <v/>
      </c>
      <c r="I290" t="str">
        <f>IF(SEFAZ!N272="","",SEFAZ!N272)</f>
        <v/>
      </c>
      <c r="J290" t="str">
        <f>IF(SEFAZ!O272="","",SEFAZ!O272)</f>
        <v/>
      </c>
      <c r="K290" s="11" t="str">
        <f>IF(SEFAZ!P272="","",SEFAZ!P272)</f>
        <v/>
      </c>
      <c r="L290" t="str" cm="1">
        <f t="array" aca="1" ref="L2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0" t="s">
        <v>35</v>
      </c>
      <c r="O290" s="36" t="str">
        <f>IF(SEFAZ!B272="","",SEFAZ!B272)</f>
        <v/>
      </c>
    </row>
    <row r="291" spans="2:15" x14ac:dyDescent="0.3">
      <c r="B291" t="str">
        <f>IF(SEFAZ!A273="","",SEFAZ!A273)</f>
        <v/>
      </c>
      <c r="C291" t="str">
        <f>IF(SEFAZ!C273="","",SEFAZ!C273)</f>
        <v/>
      </c>
      <c r="D291" t="str">
        <f>IF(SEFAZ!D273="","",SEFAZ!D273)</f>
        <v/>
      </c>
      <c r="E291" s="7" t="str">
        <f>IF(SEFAZ!E273="","",SEFAZ!E273)</f>
        <v/>
      </c>
      <c r="F291" s="6" t="str">
        <f>IF(SEFAZ!F273="","",VALUE(SUBSTITUTE(SEFAZ!F273,"'","")))</f>
        <v/>
      </c>
      <c r="G291" t="str">
        <f>IF(SEFAZ!H273="","",SEFAZ!H273)</f>
        <v/>
      </c>
      <c r="H291" t="str">
        <f>IF(SEFAZ!L273="","",SEFAZ!L273)</f>
        <v/>
      </c>
      <c r="I291" t="str">
        <f>IF(SEFAZ!N273="","",SEFAZ!N273)</f>
        <v/>
      </c>
      <c r="J291" t="str">
        <f>IF(SEFAZ!O273="","",SEFAZ!O273)</f>
        <v/>
      </c>
      <c r="K291" s="11" t="str">
        <f>IF(SEFAZ!P273="","",SEFAZ!P273)</f>
        <v/>
      </c>
      <c r="L291" t="str" cm="1">
        <f t="array" aca="1" ref="L2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1" t="s">
        <v>35</v>
      </c>
      <c r="O291" s="36" t="str">
        <f>IF(SEFAZ!B273="","",SEFAZ!B273)</f>
        <v/>
      </c>
    </row>
    <row r="292" spans="2:15" x14ac:dyDescent="0.3">
      <c r="B292" t="str">
        <f>IF(SEFAZ!A274="","",SEFAZ!A274)</f>
        <v/>
      </c>
      <c r="C292" t="str">
        <f>IF(SEFAZ!C274="","",SEFAZ!C274)</f>
        <v/>
      </c>
      <c r="D292" t="str">
        <f>IF(SEFAZ!D274="","",SEFAZ!D274)</f>
        <v/>
      </c>
      <c r="E292" s="7" t="str">
        <f>IF(SEFAZ!E274="","",SEFAZ!E274)</f>
        <v/>
      </c>
      <c r="F292" s="6" t="str">
        <f>IF(SEFAZ!F274="","",VALUE(SUBSTITUTE(SEFAZ!F274,"'","")))</f>
        <v/>
      </c>
      <c r="G292" t="str">
        <f>IF(SEFAZ!H274="","",SEFAZ!H274)</f>
        <v/>
      </c>
      <c r="H292" t="str">
        <f>IF(SEFAZ!L274="","",SEFAZ!L274)</f>
        <v/>
      </c>
      <c r="I292" t="str">
        <f>IF(SEFAZ!N274="","",SEFAZ!N274)</f>
        <v/>
      </c>
      <c r="J292" t="str">
        <f>IF(SEFAZ!O274="","",SEFAZ!O274)</f>
        <v/>
      </c>
      <c r="K292" s="11" t="str">
        <f>IF(SEFAZ!P274="","",SEFAZ!P274)</f>
        <v/>
      </c>
      <c r="L292" t="str" cm="1">
        <f t="array" aca="1" ref="L2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2" t="s">
        <v>35</v>
      </c>
      <c r="O292" s="36" t="str">
        <f>IF(SEFAZ!B274="","",SEFAZ!B274)</f>
        <v/>
      </c>
    </row>
    <row r="293" spans="2:15" x14ac:dyDescent="0.3">
      <c r="B293" t="str">
        <f>IF(SEFAZ!A275="","",SEFAZ!A275)</f>
        <v/>
      </c>
      <c r="C293" t="str">
        <f>IF(SEFAZ!C275="","",SEFAZ!C275)</f>
        <v/>
      </c>
      <c r="D293" t="str">
        <f>IF(SEFAZ!D275="","",SEFAZ!D275)</f>
        <v/>
      </c>
      <c r="E293" s="7" t="str">
        <f>IF(SEFAZ!E275="","",SEFAZ!E275)</f>
        <v/>
      </c>
      <c r="F293" s="6" t="str">
        <f>IF(SEFAZ!F275="","",VALUE(SUBSTITUTE(SEFAZ!F275,"'","")))</f>
        <v/>
      </c>
      <c r="G293" t="str">
        <f>IF(SEFAZ!H275="","",SEFAZ!H275)</f>
        <v/>
      </c>
      <c r="H293" t="str">
        <f>IF(SEFAZ!L275="","",SEFAZ!L275)</f>
        <v/>
      </c>
      <c r="I293" t="str">
        <f>IF(SEFAZ!N275="","",SEFAZ!N275)</f>
        <v/>
      </c>
      <c r="J293" t="str">
        <f>IF(SEFAZ!O275="","",SEFAZ!O275)</f>
        <v/>
      </c>
      <c r="K293" s="11" t="str">
        <f>IF(SEFAZ!P275="","",SEFAZ!P275)</f>
        <v/>
      </c>
      <c r="L293" t="str" cm="1">
        <f t="array" aca="1" ref="L2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3" t="s">
        <v>35</v>
      </c>
      <c r="O293" s="36" t="str">
        <f>IF(SEFAZ!B275="","",SEFAZ!B275)</f>
        <v/>
      </c>
    </row>
    <row r="294" spans="2:15" x14ac:dyDescent="0.3">
      <c r="B294" t="str">
        <f>IF(SEFAZ!A276="","",SEFAZ!A276)</f>
        <v/>
      </c>
      <c r="C294" t="str">
        <f>IF(SEFAZ!C276="","",SEFAZ!C276)</f>
        <v/>
      </c>
      <c r="D294" t="str">
        <f>IF(SEFAZ!D276="","",SEFAZ!D276)</f>
        <v/>
      </c>
      <c r="E294" s="7" t="str">
        <f>IF(SEFAZ!E276="","",SEFAZ!E276)</f>
        <v/>
      </c>
      <c r="F294" s="6" t="str">
        <f>IF(SEFAZ!F276="","",VALUE(SUBSTITUTE(SEFAZ!F276,"'","")))</f>
        <v/>
      </c>
      <c r="G294" t="str">
        <f>IF(SEFAZ!H276="","",SEFAZ!H276)</f>
        <v/>
      </c>
      <c r="H294" t="str">
        <f>IF(SEFAZ!L276="","",SEFAZ!L276)</f>
        <v/>
      </c>
      <c r="I294" t="str">
        <f>IF(SEFAZ!N276="","",SEFAZ!N276)</f>
        <v/>
      </c>
      <c r="J294" t="str">
        <f>IF(SEFAZ!O276="","",SEFAZ!O276)</f>
        <v/>
      </c>
      <c r="K294" s="11" t="str">
        <f>IF(SEFAZ!P276="","",SEFAZ!P276)</f>
        <v/>
      </c>
      <c r="L294" t="str" cm="1">
        <f t="array" aca="1" ref="L2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4" t="s">
        <v>35</v>
      </c>
      <c r="O294" s="36" t="str">
        <f>IF(SEFAZ!B276="","",SEFAZ!B276)</f>
        <v/>
      </c>
    </row>
    <row r="295" spans="2:15" x14ac:dyDescent="0.3">
      <c r="B295" t="str">
        <f>IF(SEFAZ!A277="","",SEFAZ!A277)</f>
        <v/>
      </c>
      <c r="C295" t="str">
        <f>IF(SEFAZ!C277="","",SEFAZ!C277)</f>
        <v/>
      </c>
      <c r="D295" t="str">
        <f>IF(SEFAZ!D277="","",SEFAZ!D277)</f>
        <v/>
      </c>
      <c r="E295" s="7" t="str">
        <f>IF(SEFAZ!E277="","",SEFAZ!E277)</f>
        <v/>
      </c>
      <c r="F295" s="6" t="str">
        <f>IF(SEFAZ!F277="","",VALUE(SUBSTITUTE(SEFAZ!F277,"'","")))</f>
        <v/>
      </c>
      <c r="G295" t="str">
        <f>IF(SEFAZ!H277="","",SEFAZ!H277)</f>
        <v/>
      </c>
      <c r="H295" t="str">
        <f>IF(SEFAZ!L277="","",SEFAZ!L277)</f>
        <v/>
      </c>
      <c r="I295" t="str">
        <f>IF(SEFAZ!N277="","",SEFAZ!N277)</f>
        <v/>
      </c>
      <c r="J295" t="str">
        <f>IF(SEFAZ!O277="","",SEFAZ!O277)</f>
        <v/>
      </c>
      <c r="K295" s="11" t="str">
        <f>IF(SEFAZ!P277="","",SEFAZ!P277)</f>
        <v/>
      </c>
      <c r="L295" t="str" cm="1">
        <f t="array" aca="1" ref="L2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5" t="s">
        <v>35</v>
      </c>
      <c r="O295" s="36" t="str">
        <f>IF(SEFAZ!B277="","",SEFAZ!B277)</f>
        <v/>
      </c>
    </row>
    <row r="296" spans="2:15" x14ac:dyDescent="0.3">
      <c r="B296" t="str">
        <f>IF(SEFAZ!A278="","",SEFAZ!A278)</f>
        <v/>
      </c>
      <c r="C296" t="str">
        <f>IF(SEFAZ!C278="","",SEFAZ!C278)</f>
        <v/>
      </c>
      <c r="D296" t="str">
        <f>IF(SEFAZ!D278="","",SEFAZ!D278)</f>
        <v/>
      </c>
      <c r="E296" s="7" t="str">
        <f>IF(SEFAZ!E278="","",SEFAZ!E278)</f>
        <v/>
      </c>
      <c r="F296" s="6" t="str">
        <f>IF(SEFAZ!F278="","",VALUE(SUBSTITUTE(SEFAZ!F278,"'","")))</f>
        <v/>
      </c>
      <c r="G296" t="str">
        <f>IF(SEFAZ!H278="","",SEFAZ!H278)</f>
        <v/>
      </c>
      <c r="H296" t="str">
        <f>IF(SEFAZ!L278="","",SEFAZ!L278)</f>
        <v/>
      </c>
      <c r="I296" t="str">
        <f>IF(SEFAZ!N278="","",SEFAZ!N278)</f>
        <v/>
      </c>
      <c r="J296" t="str">
        <f>IF(SEFAZ!O278="","",SEFAZ!O278)</f>
        <v/>
      </c>
      <c r="K296" s="11" t="str">
        <f>IF(SEFAZ!P278="","",SEFAZ!P278)</f>
        <v/>
      </c>
      <c r="L296" t="str" cm="1">
        <f t="array" aca="1" ref="L2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6" t="s">
        <v>35</v>
      </c>
      <c r="O296" s="36" t="str">
        <f>IF(SEFAZ!B278="","",SEFAZ!B278)</f>
        <v/>
      </c>
    </row>
    <row r="297" spans="2:15" x14ac:dyDescent="0.3">
      <c r="B297" t="str">
        <f>IF(SEFAZ!A279="","",SEFAZ!A279)</f>
        <v/>
      </c>
      <c r="C297" t="str">
        <f>IF(SEFAZ!C279="","",SEFAZ!C279)</f>
        <v/>
      </c>
      <c r="D297" t="str">
        <f>IF(SEFAZ!D279="","",SEFAZ!D279)</f>
        <v/>
      </c>
      <c r="E297" s="7" t="str">
        <f>IF(SEFAZ!E279="","",SEFAZ!E279)</f>
        <v/>
      </c>
      <c r="F297" s="6" t="str">
        <f>IF(SEFAZ!F279="","",VALUE(SUBSTITUTE(SEFAZ!F279,"'","")))</f>
        <v/>
      </c>
      <c r="G297" t="str">
        <f>IF(SEFAZ!H279="","",SEFAZ!H279)</f>
        <v/>
      </c>
      <c r="H297" t="str">
        <f>IF(SEFAZ!L279="","",SEFAZ!L279)</f>
        <v/>
      </c>
      <c r="I297" t="str">
        <f>IF(SEFAZ!N279="","",SEFAZ!N279)</f>
        <v/>
      </c>
      <c r="J297" t="str">
        <f>IF(SEFAZ!O279="","",SEFAZ!O279)</f>
        <v/>
      </c>
      <c r="K297" s="11" t="str">
        <f>IF(SEFAZ!P279="","",SEFAZ!P279)</f>
        <v/>
      </c>
      <c r="L297" t="str" cm="1">
        <f t="array" aca="1" ref="L2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7" t="s">
        <v>35</v>
      </c>
      <c r="O297" s="36" t="str">
        <f>IF(SEFAZ!B279="","",SEFAZ!B279)</f>
        <v/>
      </c>
    </row>
    <row r="298" spans="2:15" x14ac:dyDescent="0.3">
      <c r="B298" t="str">
        <f>IF(SEFAZ!A280="","",SEFAZ!A280)</f>
        <v/>
      </c>
      <c r="C298" t="str">
        <f>IF(SEFAZ!C280="","",SEFAZ!C280)</f>
        <v/>
      </c>
      <c r="D298" t="str">
        <f>IF(SEFAZ!D280="","",SEFAZ!D280)</f>
        <v/>
      </c>
      <c r="E298" s="7" t="str">
        <f>IF(SEFAZ!E280="","",SEFAZ!E280)</f>
        <v/>
      </c>
      <c r="F298" s="6" t="str">
        <f>IF(SEFAZ!F280="","",VALUE(SUBSTITUTE(SEFAZ!F280,"'","")))</f>
        <v/>
      </c>
      <c r="G298" t="str">
        <f>IF(SEFAZ!H280="","",SEFAZ!H280)</f>
        <v/>
      </c>
      <c r="H298" t="str">
        <f>IF(SEFAZ!L280="","",SEFAZ!L280)</f>
        <v/>
      </c>
      <c r="I298" t="str">
        <f>IF(SEFAZ!N280="","",SEFAZ!N280)</f>
        <v/>
      </c>
      <c r="J298" t="str">
        <f>IF(SEFAZ!O280="","",SEFAZ!O280)</f>
        <v/>
      </c>
      <c r="K298" s="11" t="str">
        <f>IF(SEFAZ!P280="","",SEFAZ!P280)</f>
        <v/>
      </c>
      <c r="L298" t="str" cm="1">
        <f t="array" aca="1" ref="L2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8" t="s">
        <v>35</v>
      </c>
      <c r="O298" s="36" t="str">
        <f>IF(SEFAZ!B280="","",SEFAZ!B280)</f>
        <v/>
      </c>
    </row>
    <row r="299" spans="2:15" x14ac:dyDescent="0.3">
      <c r="B299" t="str">
        <f>IF(SEFAZ!A281="","",SEFAZ!A281)</f>
        <v/>
      </c>
      <c r="C299" t="str">
        <f>IF(SEFAZ!C281="","",SEFAZ!C281)</f>
        <v/>
      </c>
      <c r="D299" t="str">
        <f>IF(SEFAZ!D281="","",SEFAZ!D281)</f>
        <v/>
      </c>
      <c r="E299" s="7" t="str">
        <f>IF(SEFAZ!E281="","",SEFAZ!E281)</f>
        <v/>
      </c>
      <c r="F299" s="6" t="str">
        <f>IF(SEFAZ!F281="","",VALUE(SUBSTITUTE(SEFAZ!F281,"'","")))</f>
        <v/>
      </c>
      <c r="G299" t="str">
        <f>IF(SEFAZ!H281="","",SEFAZ!H281)</f>
        <v/>
      </c>
      <c r="H299" t="str">
        <f>IF(SEFAZ!L281="","",SEFAZ!L281)</f>
        <v/>
      </c>
      <c r="I299" t="str">
        <f>IF(SEFAZ!N281="","",SEFAZ!N281)</f>
        <v/>
      </c>
      <c r="J299" t="str">
        <f>IF(SEFAZ!O281="","",SEFAZ!O281)</f>
        <v/>
      </c>
      <c r="K299" s="11" t="str">
        <f>IF(SEFAZ!P281="","",SEFAZ!P281)</f>
        <v/>
      </c>
      <c r="L299" t="str" cm="1">
        <f t="array" aca="1" ref="L2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299" t="s">
        <v>35</v>
      </c>
      <c r="O299" s="36" t="str">
        <f>IF(SEFAZ!B281="","",SEFAZ!B281)</f>
        <v/>
      </c>
    </row>
    <row r="300" spans="2:15" x14ac:dyDescent="0.3">
      <c r="B300" t="str">
        <f>IF(SEFAZ!A282="","",SEFAZ!A282)</f>
        <v/>
      </c>
      <c r="C300" t="str">
        <f>IF(SEFAZ!C282="","",SEFAZ!C282)</f>
        <v/>
      </c>
      <c r="D300" t="str">
        <f>IF(SEFAZ!D282="","",SEFAZ!D282)</f>
        <v/>
      </c>
      <c r="E300" s="7" t="str">
        <f>IF(SEFAZ!E282="","",SEFAZ!E282)</f>
        <v/>
      </c>
      <c r="F300" s="6" t="str">
        <f>IF(SEFAZ!F282="","",VALUE(SUBSTITUTE(SEFAZ!F282,"'","")))</f>
        <v/>
      </c>
      <c r="G300" t="str">
        <f>IF(SEFAZ!H282="","",SEFAZ!H282)</f>
        <v/>
      </c>
      <c r="H300" t="str">
        <f>IF(SEFAZ!L282="","",SEFAZ!L282)</f>
        <v/>
      </c>
      <c r="I300" t="str">
        <f>IF(SEFAZ!N282="","",SEFAZ!N282)</f>
        <v/>
      </c>
      <c r="J300" t="str">
        <f>IF(SEFAZ!O282="","",SEFAZ!O282)</f>
        <v/>
      </c>
      <c r="K300" s="11" t="str">
        <f>IF(SEFAZ!P282="","",SEFAZ!P282)</f>
        <v/>
      </c>
      <c r="L300" t="str" cm="1">
        <f t="array" aca="1" ref="L3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0" t="s">
        <v>35</v>
      </c>
      <c r="O300" s="36" t="str">
        <f>IF(SEFAZ!B282="","",SEFAZ!B282)</f>
        <v/>
      </c>
    </row>
    <row r="301" spans="2:15" x14ac:dyDescent="0.3">
      <c r="B301" t="str">
        <f>IF(SEFAZ!A283="","",SEFAZ!A283)</f>
        <v/>
      </c>
      <c r="C301" t="str">
        <f>IF(SEFAZ!C283="","",SEFAZ!C283)</f>
        <v/>
      </c>
      <c r="D301" t="str">
        <f>IF(SEFAZ!D283="","",SEFAZ!D283)</f>
        <v/>
      </c>
      <c r="E301" s="7" t="str">
        <f>IF(SEFAZ!E283="","",SEFAZ!E283)</f>
        <v/>
      </c>
      <c r="F301" s="6" t="str">
        <f>IF(SEFAZ!F283="","",VALUE(SUBSTITUTE(SEFAZ!F283,"'","")))</f>
        <v/>
      </c>
      <c r="G301" t="str">
        <f>IF(SEFAZ!H283="","",SEFAZ!H283)</f>
        <v/>
      </c>
      <c r="H301" t="str">
        <f>IF(SEFAZ!L283="","",SEFAZ!L283)</f>
        <v/>
      </c>
      <c r="I301" t="str">
        <f>IF(SEFAZ!N283="","",SEFAZ!N283)</f>
        <v/>
      </c>
      <c r="J301" t="str">
        <f>IF(SEFAZ!O283="","",SEFAZ!O283)</f>
        <v/>
      </c>
      <c r="K301" s="11" t="str">
        <f>IF(SEFAZ!P283="","",SEFAZ!P283)</f>
        <v/>
      </c>
      <c r="L301" t="str" cm="1">
        <f t="array" aca="1" ref="L3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1" t="s">
        <v>35</v>
      </c>
      <c r="O301" s="36" t="str">
        <f>IF(SEFAZ!B283="","",SEFAZ!B283)</f>
        <v/>
      </c>
    </row>
    <row r="302" spans="2:15" x14ac:dyDescent="0.3">
      <c r="B302" t="str">
        <f>IF(SEFAZ!A284="","",SEFAZ!A284)</f>
        <v/>
      </c>
      <c r="C302" t="str">
        <f>IF(SEFAZ!C284="","",SEFAZ!C284)</f>
        <v/>
      </c>
      <c r="D302" t="str">
        <f>IF(SEFAZ!D284="","",SEFAZ!D284)</f>
        <v/>
      </c>
      <c r="E302" s="7" t="str">
        <f>IF(SEFAZ!E284="","",SEFAZ!E284)</f>
        <v/>
      </c>
      <c r="F302" s="6" t="str">
        <f>IF(SEFAZ!F284="","",VALUE(SUBSTITUTE(SEFAZ!F284,"'","")))</f>
        <v/>
      </c>
      <c r="G302" t="str">
        <f>IF(SEFAZ!H284="","",SEFAZ!H284)</f>
        <v/>
      </c>
      <c r="H302" t="str">
        <f>IF(SEFAZ!L284="","",SEFAZ!L284)</f>
        <v/>
      </c>
      <c r="I302" t="str">
        <f>IF(SEFAZ!N284="","",SEFAZ!N284)</f>
        <v/>
      </c>
      <c r="J302" t="str">
        <f>IF(SEFAZ!O284="","",SEFAZ!O284)</f>
        <v/>
      </c>
      <c r="K302" s="11" t="str">
        <f>IF(SEFAZ!P284="","",SEFAZ!P284)</f>
        <v/>
      </c>
      <c r="L302" t="str" cm="1">
        <f t="array" aca="1" ref="L3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2" t="s">
        <v>35</v>
      </c>
      <c r="O302" s="36" t="str">
        <f>IF(SEFAZ!B284="","",SEFAZ!B284)</f>
        <v/>
      </c>
    </row>
    <row r="303" spans="2:15" x14ac:dyDescent="0.3">
      <c r="B303" t="str">
        <f>IF(SEFAZ!A285="","",SEFAZ!A285)</f>
        <v/>
      </c>
      <c r="C303" t="str">
        <f>IF(SEFAZ!C285="","",SEFAZ!C285)</f>
        <v/>
      </c>
      <c r="D303" t="str">
        <f>IF(SEFAZ!D285="","",SEFAZ!D285)</f>
        <v/>
      </c>
      <c r="E303" s="7" t="str">
        <f>IF(SEFAZ!E285="","",SEFAZ!E285)</f>
        <v/>
      </c>
      <c r="F303" s="6" t="str">
        <f>IF(SEFAZ!F285="","",VALUE(SUBSTITUTE(SEFAZ!F285,"'","")))</f>
        <v/>
      </c>
      <c r="G303" t="str">
        <f>IF(SEFAZ!H285="","",SEFAZ!H285)</f>
        <v/>
      </c>
      <c r="H303" t="str">
        <f>IF(SEFAZ!L285="","",SEFAZ!L285)</f>
        <v/>
      </c>
      <c r="I303" t="str">
        <f>IF(SEFAZ!N285="","",SEFAZ!N285)</f>
        <v/>
      </c>
      <c r="J303" t="str">
        <f>IF(SEFAZ!O285="","",SEFAZ!O285)</f>
        <v/>
      </c>
      <c r="K303" s="11" t="str">
        <f>IF(SEFAZ!P285="","",SEFAZ!P285)</f>
        <v/>
      </c>
      <c r="L303" t="str" cm="1">
        <f t="array" aca="1" ref="L3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3" t="s">
        <v>35</v>
      </c>
      <c r="O303" s="36" t="str">
        <f>IF(SEFAZ!B285="","",SEFAZ!B285)</f>
        <v/>
      </c>
    </row>
    <row r="304" spans="2:15" x14ac:dyDescent="0.3">
      <c r="B304" t="str">
        <f>IF(SEFAZ!A286="","",SEFAZ!A286)</f>
        <v/>
      </c>
      <c r="C304" t="str">
        <f>IF(SEFAZ!C286="","",SEFAZ!C286)</f>
        <v/>
      </c>
      <c r="D304" t="str">
        <f>IF(SEFAZ!D286="","",SEFAZ!D286)</f>
        <v/>
      </c>
      <c r="E304" s="7" t="str">
        <f>IF(SEFAZ!E286="","",SEFAZ!E286)</f>
        <v/>
      </c>
      <c r="F304" s="6" t="str">
        <f>IF(SEFAZ!F286="","",VALUE(SUBSTITUTE(SEFAZ!F286,"'","")))</f>
        <v/>
      </c>
      <c r="G304" t="str">
        <f>IF(SEFAZ!H286="","",SEFAZ!H286)</f>
        <v/>
      </c>
      <c r="H304" t="str">
        <f>IF(SEFAZ!L286="","",SEFAZ!L286)</f>
        <v/>
      </c>
      <c r="I304" t="str">
        <f>IF(SEFAZ!N286="","",SEFAZ!N286)</f>
        <v/>
      </c>
      <c r="J304" t="str">
        <f>IF(SEFAZ!O286="","",SEFAZ!O286)</f>
        <v/>
      </c>
      <c r="K304" s="11" t="str">
        <f>IF(SEFAZ!P286="","",SEFAZ!P286)</f>
        <v/>
      </c>
      <c r="L304" t="str" cm="1">
        <f t="array" aca="1" ref="L3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4" t="s">
        <v>35</v>
      </c>
      <c r="O304" s="36" t="str">
        <f>IF(SEFAZ!B286="","",SEFAZ!B286)</f>
        <v/>
      </c>
    </row>
    <row r="305" spans="2:15" x14ac:dyDescent="0.3">
      <c r="B305" t="str">
        <f>IF(SEFAZ!A287="","",SEFAZ!A287)</f>
        <v/>
      </c>
      <c r="C305" t="str">
        <f>IF(SEFAZ!C287="","",SEFAZ!C287)</f>
        <v/>
      </c>
      <c r="D305" t="str">
        <f>IF(SEFAZ!D287="","",SEFAZ!D287)</f>
        <v/>
      </c>
      <c r="E305" s="7" t="str">
        <f>IF(SEFAZ!E287="","",SEFAZ!E287)</f>
        <v/>
      </c>
      <c r="F305" s="6" t="str">
        <f>IF(SEFAZ!F287="","",VALUE(SUBSTITUTE(SEFAZ!F287,"'","")))</f>
        <v/>
      </c>
      <c r="G305" t="str">
        <f>IF(SEFAZ!H287="","",SEFAZ!H287)</f>
        <v/>
      </c>
      <c r="H305" t="str">
        <f>IF(SEFAZ!L287="","",SEFAZ!L287)</f>
        <v/>
      </c>
      <c r="I305" t="str">
        <f>IF(SEFAZ!N287="","",SEFAZ!N287)</f>
        <v/>
      </c>
      <c r="J305" t="str">
        <f>IF(SEFAZ!O287="","",SEFAZ!O287)</f>
        <v/>
      </c>
      <c r="K305" s="11" t="str">
        <f>IF(SEFAZ!P287="","",SEFAZ!P287)</f>
        <v/>
      </c>
      <c r="L305" t="str" cm="1">
        <f t="array" aca="1" ref="L3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5" t="s">
        <v>35</v>
      </c>
      <c r="O305" s="36" t="str">
        <f>IF(SEFAZ!B287="","",SEFAZ!B287)</f>
        <v/>
      </c>
    </row>
    <row r="306" spans="2:15" x14ac:dyDescent="0.3">
      <c r="B306" t="str">
        <f>IF(SEFAZ!A288="","",SEFAZ!A288)</f>
        <v/>
      </c>
      <c r="C306" t="str">
        <f>IF(SEFAZ!C288="","",SEFAZ!C288)</f>
        <v/>
      </c>
      <c r="D306" t="str">
        <f>IF(SEFAZ!D288="","",SEFAZ!D288)</f>
        <v/>
      </c>
      <c r="E306" s="7" t="str">
        <f>IF(SEFAZ!E288="","",SEFAZ!E288)</f>
        <v/>
      </c>
      <c r="F306" s="6" t="str">
        <f>IF(SEFAZ!F288="","",VALUE(SUBSTITUTE(SEFAZ!F288,"'","")))</f>
        <v/>
      </c>
      <c r="G306" t="str">
        <f>IF(SEFAZ!H288="","",SEFAZ!H288)</f>
        <v/>
      </c>
      <c r="H306" t="str">
        <f>IF(SEFAZ!L288="","",SEFAZ!L288)</f>
        <v/>
      </c>
      <c r="I306" t="str">
        <f>IF(SEFAZ!N288="","",SEFAZ!N288)</f>
        <v/>
      </c>
      <c r="J306" t="str">
        <f>IF(SEFAZ!O288="","",SEFAZ!O288)</f>
        <v/>
      </c>
      <c r="K306" s="11" t="str">
        <f>IF(SEFAZ!P288="","",SEFAZ!P288)</f>
        <v/>
      </c>
      <c r="L306" t="str" cm="1">
        <f t="array" aca="1" ref="L3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6" t="s">
        <v>35</v>
      </c>
      <c r="O306" s="36" t="str">
        <f>IF(SEFAZ!B288="","",SEFAZ!B288)</f>
        <v/>
      </c>
    </row>
    <row r="307" spans="2:15" x14ac:dyDescent="0.3">
      <c r="B307" t="str">
        <f>IF(SEFAZ!A289="","",SEFAZ!A289)</f>
        <v/>
      </c>
      <c r="C307" t="str">
        <f>IF(SEFAZ!C289="","",SEFAZ!C289)</f>
        <v/>
      </c>
      <c r="D307" t="str">
        <f>IF(SEFAZ!D289="","",SEFAZ!D289)</f>
        <v/>
      </c>
      <c r="E307" s="7" t="str">
        <f>IF(SEFAZ!E289="","",SEFAZ!E289)</f>
        <v/>
      </c>
      <c r="F307" s="6" t="str">
        <f>IF(SEFAZ!F289="","",VALUE(SUBSTITUTE(SEFAZ!F289,"'","")))</f>
        <v/>
      </c>
      <c r="G307" t="str">
        <f>IF(SEFAZ!H289="","",SEFAZ!H289)</f>
        <v/>
      </c>
      <c r="H307" t="str">
        <f>IF(SEFAZ!L289="","",SEFAZ!L289)</f>
        <v/>
      </c>
      <c r="I307" t="str">
        <f>IF(SEFAZ!N289="","",SEFAZ!N289)</f>
        <v/>
      </c>
      <c r="J307" t="str">
        <f>IF(SEFAZ!O289="","",SEFAZ!O289)</f>
        <v/>
      </c>
      <c r="K307" s="11" t="str">
        <f>IF(SEFAZ!P289="","",SEFAZ!P289)</f>
        <v/>
      </c>
      <c r="L307" t="str" cm="1">
        <f t="array" aca="1" ref="L3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7" t="s">
        <v>35</v>
      </c>
      <c r="O307" s="36" t="str">
        <f>IF(SEFAZ!B289="","",SEFAZ!B289)</f>
        <v/>
      </c>
    </row>
    <row r="308" spans="2:15" x14ac:dyDescent="0.3">
      <c r="B308" t="str">
        <f>IF(SEFAZ!A290="","",SEFAZ!A290)</f>
        <v/>
      </c>
      <c r="C308" t="str">
        <f>IF(SEFAZ!C290="","",SEFAZ!C290)</f>
        <v/>
      </c>
      <c r="D308" t="str">
        <f>IF(SEFAZ!D290="","",SEFAZ!D290)</f>
        <v/>
      </c>
      <c r="E308" s="7" t="str">
        <f>IF(SEFAZ!E290="","",SEFAZ!E290)</f>
        <v/>
      </c>
      <c r="F308" s="6" t="str">
        <f>IF(SEFAZ!F290="","",VALUE(SUBSTITUTE(SEFAZ!F290,"'","")))</f>
        <v/>
      </c>
      <c r="G308" t="str">
        <f>IF(SEFAZ!H290="","",SEFAZ!H290)</f>
        <v/>
      </c>
      <c r="H308" t="str">
        <f>IF(SEFAZ!L290="","",SEFAZ!L290)</f>
        <v/>
      </c>
      <c r="I308" t="str">
        <f>IF(SEFAZ!N290="","",SEFAZ!N290)</f>
        <v/>
      </c>
      <c r="J308" t="str">
        <f>IF(SEFAZ!O290="","",SEFAZ!O290)</f>
        <v/>
      </c>
      <c r="K308" s="11" t="str">
        <f>IF(SEFAZ!P290="","",SEFAZ!P290)</f>
        <v/>
      </c>
      <c r="L308" t="str" cm="1">
        <f t="array" aca="1" ref="L3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8" t="s">
        <v>35</v>
      </c>
      <c r="O308" s="36" t="str">
        <f>IF(SEFAZ!B290="","",SEFAZ!B290)</f>
        <v/>
      </c>
    </row>
    <row r="309" spans="2:15" x14ac:dyDescent="0.3">
      <c r="B309" t="str">
        <f>IF(SEFAZ!A291="","",SEFAZ!A291)</f>
        <v/>
      </c>
      <c r="C309" t="str">
        <f>IF(SEFAZ!C291="","",SEFAZ!C291)</f>
        <v/>
      </c>
      <c r="D309" t="str">
        <f>IF(SEFAZ!D291="","",SEFAZ!D291)</f>
        <v/>
      </c>
      <c r="E309" s="7" t="str">
        <f>IF(SEFAZ!E291="","",SEFAZ!E291)</f>
        <v/>
      </c>
      <c r="F309" s="6" t="str">
        <f>IF(SEFAZ!F291="","",VALUE(SUBSTITUTE(SEFAZ!F291,"'","")))</f>
        <v/>
      </c>
      <c r="G309" t="str">
        <f>IF(SEFAZ!H291="","",SEFAZ!H291)</f>
        <v/>
      </c>
      <c r="H309" t="str">
        <f>IF(SEFAZ!L291="","",SEFAZ!L291)</f>
        <v/>
      </c>
      <c r="I309" t="str">
        <f>IF(SEFAZ!N291="","",SEFAZ!N291)</f>
        <v/>
      </c>
      <c r="J309" t="str">
        <f>IF(SEFAZ!O291="","",SEFAZ!O291)</f>
        <v/>
      </c>
      <c r="K309" s="11" t="str">
        <f>IF(SEFAZ!P291="","",SEFAZ!P291)</f>
        <v/>
      </c>
      <c r="L309" t="str" cm="1">
        <f t="array" aca="1" ref="L3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09" t="s">
        <v>35</v>
      </c>
      <c r="O309" s="36" t="str">
        <f>IF(SEFAZ!B291="","",SEFAZ!B291)</f>
        <v/>
      </c>
    </row>
    <row r="310" spans="2:15" x14ac:dyDescent="0.3">
      <c r="B310" t="str">
        <f>IF(SEFAZ!A292="","",SEFAZ!A292)</f>
        <v/>
      </c>
      <c r="C310" t="str">
        <f>IF(SEFAZ!C292="","",SEFAZ!C292)</f>
        <v/>
      </c>
      <c r="D310" t="str">
        <f>IF(SEFAZ!D292="","",SEFAZ!D292)</f>
        <v/>
      </c>
      <c r="E310" s="7" t="str">
        <f>IF(SEFAZ!E292="","",SEFAZ!E292)</f>
        <v/>
      </c>
      <c r="F310" s="6" t="str">
        <f>IF(SEFAZ!F292="","",VALUE(SUBSTITUTE(SEFAZ!F292,"'","")))</f>
        <v/>
      </c>
      <c r="G310" t="str">
        <f>IF(SEFAZ!H292="","",SEFAZ!H292)</f>
        <v/>
      </c>
      <c r="H310" t="str">
        <f>IF(SEFAZ!L292="","",SEFAZ!L292)</f>
        <v/>
      </c>
      <c r="I310" t="str">
        <f>IF(SEFAZ!N292="","",SEFAZ!N292)</f>
        <v/>
      </c>
      <c r="J310" t="str">
        <f>IF(SEFAZ!O292="","",SEFAZ!O292)</f>
        <v/>
      </c>
      <c r="K310" s="11" t="str">
        <f>IF(SEFAZ!P292="","",SEFAZ!P292)</f>
        <v/>
      </c>
      <c r="L310" t="str" cm="1">
        <f t="array" aca="1" ref="L3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0" t="s">
        <v>35</v>
      </c>
      <c r="O310" s="36" t="str">
        <f>IF(SEFAZ!B292="","",SEFAZ!B292)</f>
        <v/>
      </c>
    </row>
    <row r="311" spans="2:15" x14ac:dyDescent="0.3">
      <c r="B311" t="str">
        <f>IF(SEFAZ!A293="","",SEFAZ!A293)</f>
        <v/>
      </c>
      <c r="C311" t="str">
        <f>IF(SEFAZ!C293="","",SEFAZ!C293)</f>
        <v/>
      </c>
      <c r="D311" t="str">
        <f>IF(SEFAZ!D293="","",SEFAZ!D293)</f>
        <v/>
      </c>
      <c r="E311" s="7" t="str">
        <f>IF(SEFAZ!E293="","",SEFAZ!E293)</f>
        <v/>
      </c>
      <c r="F311" s="6" t="str">
        <f>IF(SEFAZ!F293="","",VALUE(SUBSTITUTE(SEFAZ!F293,"'","")))</f>
        <v/>
      </c>
      <c r="G311" t="str">
        <f>IF(SEFAZ!H293="","",SEFAZ!H293)</f>
        <v/>
      </c>
      <c r="H311" t="str">
        <f>IF(SEFAZ!L293="","",SEFAZ!L293)</f>
        <v/>
      </c>
      <c r="I311" t="str">
        <f>IF(SEFAZ!N293="","",SEFAZ!N293)</f>
        <v/>
      </c>
      <c r="J311" t="str">
        <f>IF(SEFAZ!O293="","",SEFAZ!O293)</f>
        <v/>
      </c>
      <c r="K311" s="11" t="str">
        <f>IF(SEFAZ!P293="","",SEFAZ!P293)</f>
        <v/>
      </c>
      <c r="L311" t="str" cm="1">
        <f t="array" aca="1" ref="L3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1" t="s">
        <v>35</v>
      </c>
      <c r="O311" s="36" t="str">
        <f>IF(SEFAZ!B293="","",SEFAZ!B293)</f>
        <v/>
      </c>
    </row>
    <row r="312" spans="2:15" x14ac:dyDescent="0.3">
      <c r="B312" t="str">
        <f>IF(SEFAZ!A294="","",SEFAZ!A294)</f>
        <v/>
      </c>
      <c r="C312" t="str">
        <f>IF(SEFAZ!C294="","",SEFAZ!C294)</f>
        <v/>
      </c>
      <c r="D312" t="str">
        <f>IF(SEFAZ!D294="","",SEFAZ!D294)</f>
        <v/>
      </c>
      <c r="E312" s="7" t="str">
        <f>IF(SEFAZ!E294="","",SEFAZ!E294)</f>
        <v/>
      </c>
      <c r="F312" s="6" t="str">
        <f>IF(SEFAZ!F294="","",VALUE(SUBSTITUTE(SEFAZ!F294,"'","")))</f>
        <v/>
      </c>
      <c r="G312" t="str">
        <f>IF(SEFAZ!H294="","",SEFAZ!H294)</f>
        <v/>
      </c>
      <c r="H312" t="str">
        <f>IF(SEFAZ!L294="","",SEFAZ!L294)</f>
        <v/>
      </c>
      <c r="I312" t="str">
        <f>IF(SEFAZ!N294="","",SEFAZ!N294)</f>
        <v/>
      </c>
      <c r="J312" t="str">
        <f>IF(SEFAZ!O294="","",SEFAZ!O294)</f>
        <v/>
      </c>
      <c r="K312" s="11" t="str">
        <f>IF(SEFAZ!P294="","",SEFAZ!P294)</f>
        <v/>
      </c>
      <c r="L312" t="str" cm="1">
        <f t="array" aca="1" ref="L3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2" t="s">
        <v>35</v>
      </c>
      <c r="O312" s="36" t="str">
        <f>IF(SEFAZ!B294="","",SEFAZ!B294)</f>
        <v/>
      </c>
    </row>
    <row r="313" spans="2:15" x14ac:dyDescent="0.3">
      <c r="B313" t="str">
        <f>IF(SEFAZ!A295="","",SEFAZ!A295)</f>
        <v/>
      </c>
      <c r="C313" t="str">
        <f>IF(SEFAZ!C295="","",SEFAZ!C295)</f>
        <v/>
      </c>
      <c r="D313" t="str">
        <f>IF(SEFAZ!D295="","",SEFAZ!D295)</f>
        <v/>
      </c>
      <c r="E313" s="7" t="str">
        <f>IF(SEFAZ!E295="","",SEFAZ!E295)</f>
        <v/>
      </c>
      <c r="F313" s="6" t="str">
        <f>IF(SEFAZ!F295="","",VALUE(SUBSTITUTE(SEFAZ!F295,"'","")))</f>
        <v/>
      </c>
      <c r="G313" t="str">
        <f>IF(SEFAZ!H295="","",SEFAZ!H295)</f>
        <v/>
      </c>
      <c r="H313" t="str">
        <f>IF(SEFAZ!L295="","",SEFAZ!L295)</f>
        <v/>
      </c>
      <c r="I313" t="str">
        <f>IF(SEFAZ!N295="","",SEFAZ!N295)</f>
        <v/>
      </c>
      <c r="J313" t="str">
        <f>IF(SEFAZ!O295="","",SEFAZ!O295)</f>
        <v/>
      </c>
      <c r="K313" s="11" t="str">
        <f>IF(SEFAZ!P295="","",SEFAZ!P295)</f>
        <v/>
      </c>
      <c r="L313" t="str" cm="1">
        <f t="array" aca="1" ref="L3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3" t="s">
        <v>35</v>
      </c>
      <c r="O313" s="36" t="str">
        <f>IF(SEFAZ!B295="","",SEFAZ!B295)</f>
        <v/>
      </c>
    </row>
    <row r="314" spans="2:15" x14ac:dyDescent="0.3">
      <c r="B314" t="str">
        <f>IF(SEFAZ!A296="","",SEFAZ!A296)</f>
        <v/>
      </c>
      <c r="C314" t="str">
        <f>IF(SEFAZ!C296="","",SEFAZ!C296)</f>
        <v/>
      </c>
      <c r="D314" t="str">
        <f>IF(SEFAZ!D296="","",SEFAZ!D296)</f>
        <v/>
      </c>
      <c r="E314" s="7" t="str">
        <f>IF(SEFAZ!E296="","",SEFAZ!E296)</f>
        <v/>
      </c>
      <c r="F314" s="6" t="str">
        <f>IF(SEFAZ!F296="","",VALUE(SUBSTITUTE(SEFAZ!F296,"'","")))</f>
        <v/>
      </c>
      <c r="G314" t="str">
        <f>IF(SEFAZ!H296="","",SEFAZ!H296)</f>
        <v/>
      </c>
      <c r="H314" t="str">
        <f>IF(SEFAZ!L296="","",SEFAZ!L296)</f>
        <v/>
      </c>
      <c r="I314" t="str">
        <f>IF(SEFAZ!N296="","",SEFAZ!N296)</f>
        <v/>
      </c>
      <c r="J314" t="str">
        <f>IF(SEFAZ!O296="","",SEFAZ!O296)</f>
        <v/>
      </c>
      <c r="K314" s="11" t="str">
        <f>IF(SEFAZ!P296="","",SEFAZ!P296)</f>
        <v/>
      </c>
      <c r="L314" t="str" cm="1">
        <f t="array" aca="1" ref="L3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4" t="s">
        <v>35</v>
      </c>
      <c r="O314" s="36" t="str">
        <f>IF(SEFAZ!B296="","",SEFAZ!B296)</f>
        <v/>
      </c>
    </row>
    <row r="315" spans="2:15" x14ac:dyDescent="0.3">
      <c r="B315" t="str">
        <f>IF(SEFAZ!A297="","",SEFAZ!A297)</f>
        <v/>
      </c>
      <c r="C315" t="str">
        <f>IF(SEFAZ!C297="","",SEFAZ!C297)</f>
        <v/>
      </c>
      <c r="D315" t="str">
        <f>IF(SEFAZ!D297="","",SEFAZ!D297)</f>
        <v/>
      </c>
      <c r="E315" s="7" t="str">
        <f>IF(SEFAZ!E297="","",SEFAZ!E297)</f>
        <v/>
      </c>
      <c r="F315" s="6" t="str">
        <f>IF(SEFAZ!F297="","",VALUE(SUBSTITUTE(SEFAZ!F297,"'","")))</f>
        <v/>
      </c>
      <c r="G315" t="str">
        <f>IF(SEFAZ!H297="","",SEFAZ!H297)</f>
        <v/>
      </c>
      <c r="H315" t="str">
        <f>IF(SEFAZ!L297="","",SEFAZ!L297)</f>
        <v/>
      </c>
      <c r="I315" t="str">
        <f>IF(SEFAZ!N297="","",SEFAZ!N297)</f>
        <v/>
      </c>
      <c r="J315" t="str">
        <f>IF(SEFAZ!O297="","",SEFAZ!O297)</f>
        <v/>
      </c>
      <c r="K315" s="11" t="str">
        <f>IF(SEFAZ!P297="","",SEFAZ!P297)</f>
        <v/>
      </c>
      <c r="L315" t="str" cm="1">
        <f t="array" aca="1" ref="L3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5" t="s">
        <v>35</v>
      </c>
      <c r="O315" s="36" t="str">
        <f>IF(SEFAZ!B297="","",SEFAZ!B297)</f>
        <v/>
      </c>
    </row>
    <row r="316" spans="2:15" x14ac:dyDescent="0.3">
      <c r="B316" t="str">
        <f>IF(SEFAZ!A298="","",SEFAZ!A298)</f>
        <v/>
      </c>
      <c r="C316" t="str">
        <f>IF(SEFAZ!C298="","",SEFAZ!C298)</f>
        <v/>
      </c>
      <c r="D316" t="str">
        <f>IF(SEFAZ!D298="","",SEFAZ!D298)</f>
        <v/>
      </c>
      <c r="E316" s="7" t="str">
        <f>IF(SEFAZ!E298="","",SEFAZ!E298)</f>
        <v/>
      </c>
      <c r="F316" s="6" t="str">
        <f>IF(SEFAZ!F298="","",VALUE(SUBSTITUTE(SEFAZ!F298,"'","")))</f>
        <v/>
      </c>
      <c r="G316" t="str">
        <f>IF(SEFAZ!H298="","",SEFAZ!H298)</f>
        <v/>
      </c>
      <c r="H316" t="str">
        <f>IF(SEFAZ!L298="","",SEFAZ!L298)</f>
        <v/>
      </c>
      <c r="I316" t="str">
        <f>IF(SEFAZ!N298="","",SEFAZ!N298)</f>
        <v/>
      </c>
      <c r="J316" t="str">
        <f>IF(SEFAZ!O298="","",SEFAZ!O298)</f>
        <v/>
      </c>
      <c r="K316" s="11" t="str">
        <f>IF(SEFAZ!P298="","",SEFAZ!P298)</f>
        <v/>
      </c>
      <c r="L316" t="str" cm="1">
        <f t="array" aca="1" ref="L3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6" t="s">
        <v>35</v>
      </c>
      <c r="O316" s="36" t="str">
        <f>IF(SEFAZ!B298="","",SEFAZ!B298)</f>
        <v/>
      </c>
    </row>
    <row r="317" spans="2:15" x14ac:dyDescent="0.3">
      <c r="B317" t="str">
        <f>IF(SEFAZ!A299="","",SEFAZ!A299)</f>
        <v/>
      </c>
      <c r="C317" t="str">
        <f>IF(SEFAZ!C299="","",SEFAZ!C299)</f>
        <v/>
      </c>
      <c r="D317" t="str">
        <f>IF(SEFAZ!D299="","",SEFAZ!D299)</f>
        <v/>
      </c>
      <c r="E317" s="7" t="str">
        <f>IF(SEFAZ!E299="","",SEFAZ!E299)</f>
        <v/>
      </c>
      <c r="F317" s="6" t="str">
        <f>IF(SEFAZ!F299="","",VALUE(SUBSTITUTE(SEFAZ!F299,"'","")))</f>
        <v/>
      </c>
      <c r="G317" t="str">
        <f>IF(SEFAZ!H299="","",SEFAZ!H299)</f>
        <v/>
      </c>
      <c r="H317" t="str">
        <f>IF(SEFAZ!L299="","",SEFAZ!L299)</f>
        <v/>
      </c>
      <c r="I317" t="str">
        <f>IF(SEFAZ!N299="","",SEFAZ!N299)</f>
        <v/>
      </c>
      <c r="J317" t="str">
        <f>IF(SEFAZ!O299="","",SEFAZ!O299)</f>
        <v/>
      </c>
      <c r="K317" s="11" t="str">
        <f>IF(SEFAZ!P299="","",SEFAZ!P299)</f>
        <v/>
      </c>
      <c r="L317" t="str" cm="1">
        <f t="array" aca="1" ref="L3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7" t="s">
        <v>35</v>
      </c>
      <c r="O317" s="36" t="str">
        <f>IF(SEFAZ!B299="","",SEFAZ!B299)</f>
        <v/>
      </c>
    </row>
    <row r="318" spans="2:15" x14ac:dyDescent="0.3">
      <c r="B318" t="str">
        <f>IF(SEFAZ!A300="","",SEFAZ!A300)</f>
        <v/>
      </c>
      <c r="C318" t="str">
        <f>IF(SEFAZ!C300="","",SEFAZ!C300)</f>
        <v/>
      </c>
      <c r="D318" t="str">
        <f>IF(SEFAZ!D300="","",SEFAZ!D300)</f>
        <v/>
      </c>
      <c r="E318" s="7" t="str">
        <f>IF(SEFAZ!E300="","",SEFAZ!E300)</f>
        <v/>
      </c>
      <c r="F318" s="6" t="str">
        <f>IF(SEFAZ!F300="","",VALUE(SUBSTITUTE(SEFAZ!F300,"'","")))</f>
        <v/>
      </c>
      <c r="G318" t="str">
        <f>IF(SEFAZ!H300="","",SEFAZ!H300)</f>
        <v/>
      </c>
      <c r="H318" t="str">
        <f>IF(SEFAZ!L300="","",SEFAZ!L300)</f>
        <v/>
      </c>
      <c r="I318" t="str">
        <f>IF(SEFAZ!N300="","",SEFAZ!N300)</f>
        <v/>
      </c>
      <c r="J318" t="str">
        <f>IF(SEFAZ!O300="","",SEFAZ!O300)</f>
        <v/>
      </c>
      <c r="K318" s="11" t="str">
        <f>IF(SEFAZ!P300="","",SEFAZ!P300)</f>
        <v/>
      </c>
      <c r="L318" t="str" cm="1">
        <f t="array" aca="1" ref="L3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8" t="s">
        <v>35</v>
      </c>
      <c r="O318" s="36" t="str">
        <f>IF(SEFAZ!B300="","",SEFAZ!B300)</f>
        <v/>
      </c>
    </row>
    <row r="319" spans="2:15" x14ac:dyDescent="0.3">
      <c r="B319" t="str">
        <f>IF(SEFAZ!A301="","",SEFAZ!A301)</f>
        <v/>
      </c>
      <c r="C319" t="str">
        <f>IF(SEFAZ!C301="","",SEFAZ!C301)</f>
        <v/>
      </c>
      <c r="D319" t="str">
        <f>IF(SEFAZ!D301="","",SEFAZ!D301)</f>
        <v/>
      </c>
      <c r="E319" s="7" t="str">
        <f>IF(SEFAZ!E301="","",SEFAZ!E301)</f>
        <v/>
      </c>
      <c r="F319" s="6" t="str">
        <f>IF(SEFAZ!F301="","",VALUE(SUBSTITUTE(SEFAZ!F301,"'","")))</f>
        <v/>
      </c>
      <c r="G319" t="str">
        <f>IF(SEFAZ!H301="","",SEFAZ!H301)</f>
        <v/>
      </c>
      <c r="H319" t="str">
        <f>IF(SEFAZ!L301="","",SEFAZ!L301)</f>
        <v/>
      </c>
      <c r="I319" t="str">
        <f>IF(SEFAZ!N301="","",SEFAZ!N301)</f>
        <v/>
      </c>
      <c r="J319" t="str">
        <f>IF(SEFAZ!O301="","",SEFAZ!O301)</f>
        <v/>
      </c>
      <c r="K319" s="11" t="str">
        <f>IF(SEFAZ!P301="","",SEFAZ!P301)</f>
        <v/>
      </c>
      <c r="L319" t="str" cm="1">
        <f t="array" aca="1" ref="L3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19" t="s">
        <v>35</v>
      </c>
      <c r="O319" s="36" t="str">
        <f>IF(SEFAZ!B301="","",SEFAZ!B301)</f>
        <v/>
      </c>
    </row>
    <row r="320" spans="2:15" x14ac:dyDescent="0.3">
      <c r="B320" t="str">
        <f>IF(SEFAZ!A302="","",SEFAZ!A302)</f>
        <v/>
      </c>
      <c r="C320" t="str">
        <f>IF(SEFAZ!C302="","",SEFAZ!C302)</f>
        <v/>
      </c>
      <c r="D320" t="str">
        <f>IF(SEFAZ!D302="","",SEFAZ!D302)</f>
        <v/>
      </c>
      <c r="E320" s="7" t="str">
        <f>IF(SEFAZ!E302="","",SEFAZ!E302)</f>
        <v/>
      </c>
      <c r="F320" s="6" t="str">
        <f>IF(SEFAZ!F302="","",VALUE(SUBSTITUTE(SEFAZ!F302,"'","")))</f>
        <v/>
      </c>
      <c r="G320" t="str">
        <f>IF(SEFAZ!H302="","",SEFAZ!H302)</f>
        <v/>
      </c>
      <c r="H320" t="str">
        <f>IF(SEFAZ!L302="","",SEFAZ!L302)</f>
        <v/>
      </c>
      <c r="I320" t="str">
        <f>IF(SEFAZ!N302="","",SEFAZ!N302)</f>
        <v/>
      </c>
      <c r="J320" t="str">
        <f>IF(SEFAZ!O302="","",SEFAZ!O302)</f>
        <v/>
      </c>
      <c r="K320" s="11" t="str">
        <f>IF(SEFAZ!P302="","",SEFAZ!P302)</f>
        <v/>
      </c>
      <c r="L320" t="str" cm="1">
        <f t="array" aca="1" ref="L3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0" t="s">
        <v>35</v>
      </c>
      <c r="O320" s="36" t="str">
        <f>IF(SEFAZ!B302="","",SEFAZ!B302)</f>
        <v/>
      </c>
    </row>
    <row r="321" spans="2:15" x14ac:dyDescent="0.3">
      <c r="B321" t="str">
        <f>IF(SEFAZ!A303="","",SEFAZ!A303)</f>
        <v/>
      </c>
      <c r="C321" t="str">
        <f>IF(SEFAZ!C303="","",SEFAZ!C303)</f>
        <v/>
      </c>
      <c r="D321" t="str">
        <f>IF(SEFAZ!D303="","",SEFAZ!D303)</f>
        <v/>
      </c>
      <c r="E321" s="7" t="str">
        <f>IF(SEFAZ!E303="","",SEFAZ!E303)</f>
        <v/>
      </c>
      <c r="F321" s="6" t="str">
        <f>IF(SEFAZ!F303="","",VALUE(SUBSTITUTE(SEFAZ!F303,"'","")))</f>
        <v/>
      </c>
      <c r="G321" t="str">
        <f>IF(SEFAZ!H303="","",SEFAZ!H303)</f>
        <v/>
      </c>
      <c r="H321" t="str">
        <f>IF(SEFAZ!L303="","",SEFAZ!L303)</f>
        <v/>
      </c>
      <c r="I321" t="str">
        <f>IF(SEFAZ!N303="","",SEFAZ!N303)</f>
        <v/>
      </c>
      <c r="J321" t="str">
        <f>IF(SEFAZ!O303="","",SEFAZ!O303)</f>
        <v/>
      </c>
      <c r="K321" s="11" t="str">
        <f>IF(SEFAZ!P303="","",SEFAZ!P303)</f>
        <v/>
      </c>
      <c r="L321" t="str" cm="1">
        <f t="array" aca="1" ref="L3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1" t="s">
        <v>35</v>
      </c>
      <c r="O321" s="36" t="str">
        <f>IF(SEFAZ!B303="","",SEFAZ!B303)</f>
        <v/>
      </c>
    </row>
    <row r="322" spans="2:15" x14ac:dyDescent="0.3">
      <c r="B322" t="str">
        <f>IF(SEFAZ!A304="","",SEFAZ!A304)</f>
        <v/>
      </c>
      <c r="C322" t="str">
        <f>IF(SEFAZ!C304="","",SEFAZ!C304)</f>
        <v/>
      </c>
      <c r="D322" t="str">
        <f>IF(SEFAZ!D304="","",SEFAZ!D304)</f>
        <v/>
      </c>
      <c r="E322" s="7" t="str">
        <f>IF(SEFAZ!E304="","",SEFAZ!E304)</f>
        <v/>
      </c>
      <c r="F322" s="6" t="str">
        <f>IF(SEFAZ!F304="","",VALUE(SUBSTITUTE(SEFAZ!F304,"'","")))</f>
        <v/>
      </c>
      <c r="G322" t="str">
        <f>IF(SEFAZ!H304="","",SEFAZ!H304)</f>
        <v/>
      </c>
      <c r="H322" t="str">
        <f>IF(SEFAZ!L304="","",SEFAZ!L304)</f>
        <v/>
      </c>
      <c r="I322" t="str">
        <f>IF(SEFAZ!N304="","",SEFAZ!N304)</f>
        <v/>
      </c>
      <c r="J322" t="str">
        <f>IF(SEFAZ!O304="","",SEFAZ!O304)</f>
        <v/>
      </c>
      <c r="K322" s="11" t="str">
        <f>IF(SEFAZ!P304="","",SEFAZ!P304)</f>
        <v/>
      </c>
      <c r="L322" t="str" cm="1">
        <f t="array" aca="1" ref="L3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2" t="s">
        <v>35</v>
      </c>
      <c r="O322" s="36" t="str">
        <f>IF(SEFAZ!B304="","",SEFAZ!B304)</f>
        <v/>
      </c>
    </row>
    <row r="323" spans="2:15" x14ac:dyDescent="0.3">
      <c r="B323" t="str">
        <f>IF(SEFAZ!A305="","",SEFAZ!A305)</f>
        <v/>
      </c>
      <c r="C323" t="str">
        <f>IF(SEFAZ!C305="","",SEFAZ!C305)</f>
        <v/>
      </c>
      <c r="D323" t="str">
        <f>IF(SEFAZ!D305="","",SEFAZ!D305)</f>
        <v/>
      </c>
      <c r="E323" s="7" t="str">
        <f>IF(SEFAZ!E305="","",SEFAZ!E305)</f>
        <v/>
      </c>
      <c r="F323" s="6" t="str">
        <f>IF(SEFAZ!F305="","",VALUE(SUBSTITUTE(SEFAZ!F305,"'","")))</f>
        <v/>
      </c>
      <c r="G323" t="str">
        <f>IF(SEFAZ!H305="","",SEFAZ!H305)</f>
        <v/>
      </c>
      <c r="H323" t="str">
        <f>IF(SEFAZ!L305="","",SEFAZ!L305)</f>
        <v/>
      </c>
      <c r="I323" t="str">
        <f>IF(SEFAZ!N305="","",SEFAZ!N305)</f>
        <v/>
      </c>
      <c r="J323" t="str">
        <f>IF(SEFAZ!O305="","",SEFAZ!O305)</f>
        <v/>
      </c>
      <c r="K323" s="11" t="str">
        <f>IF(SEFAZ!P305="","",SEFAZ!P305)</f>
        <v/>
      </c>
      <c r="L323" t="str" cm="1">
        <f t="array" aca="1" ref="L3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3" t="s">
        <v>35</v>
      </c>
      <c r="O323" s="36" t="str">
        <f>IF(SEFAZ!B305="","",SEFAZ!B305)</f>
        <v/>
      </c>
    </row>
    <row r="324" spans="2:15" x14ac:dyDescent="0.3">
      <c r="B324" t="str">
        <f>IF(SEFAZ!A306="","",SEFAZ!A306)</f>
        <v/>
      </c>
      <c r="C324" t="str">
        <f>IF(SEFAZ!C306="","",SEFAZ!C306)</f>
        <v/>
      </c>
      <c r="D324" t="str">
        <f>IF(SEFAZ!D306="","",SEFAZ!D306)</f>
        <v/>
      </c>
      <c r="E324" s="7" t="str">
        <f>IF(SEFAZ!E306="","",SEFAZ!E306)</f>
        <v/>
      </c>
      <c r="F324" s="6" t="str">
        <f>IF(SEFAZ!F306="","",VALUE(SUBSTITUTE(SEFAZ!F306,"'","")))</f>
        <v/>
      </c>
      <c r="G324" t="str">
        <f>IF(SEFAZ!H306="","",SEFAZ!H306)</f>
        <v/>
      </c>
      <c r="H324" t="str">
        <f>IF(SEFAZ!L306="","",SEFAZ!L306)</f>
        <v/>
      </c>
      <c r="I324" t="str">
        <f>IF(SEFAZ!N306="","",SEFAZ!N306)</f>
        <v/>
      </c>
      <c r="J324" t="str">
        <f>IF(SEFAZ!O306="","",SEFAZ!O306)</f>
        <v/>
      </c>
      <c r="K324" s="11" t="str">
        <f>IF(SEFAZ!P306="","",SEFAZ!P306)</f>
        <v/>
      </c>
      <c r="L324" t="str" cm="1">
        <f t="array" aca="1" ref="L3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4" t="s">
        <v>35</v>
      </c>
      <c r="O324" s="36" t="str">
        <f>IF(SEFAZ!B306="","",SEFAZ!B306)</f>
        <v/>
      </c>
    </row>
    <row r="325" spans="2:15" x14ac:dyDescent="0.3">
      <c r="B325" t="str">
        <f>IF(SEFAZ!A307="","",SEFAZ!A307)</f>
        <v/>
      </c>
      <c r="C325" t="str">
        <f>IF(SEFAZ!C307="","",SEFAZ!C307)</f>
        <v/>
      </c>
      <c r="D325" t="str">
        <f>IF(SEFAZ!D307="","",SEFAZ!D307)</f>
        <v/>
      </c>
      <c r="E325" s="7" t="str">
        <f>IF(SEFAZ!E307="","",SEFAZ!E307)</f>
        <v/>
      </c>
      <c r="F325" s="6" t="str">
        <f>IF(SEFAZ!F307="","",VALUE(SUBSTITUTE(SEFAZ!F307,"'","")))</f>
        <v/>
      </c>
      <c r="G325" t="str">
        <f>IF(SEFAZ!H307="","",SEFAZ!H307)</f>
        <v/>
      </c>
      <c r="H325" t="str">
        <f>IF(SEFAZ!L307="","",SEFAZ!L307)</f>
        <v/>
      </c>
      <c r="I325" t="str">
        <f>IF(SEFAZ!N307="","",SEFAZ!N307)</f>
        <v/>
      </c>
      <c r="J325" t="str">
        <f>IF(SEFAZ!O307="","",SEFAZ!O307)</f>
        <v/>
      </c>
      <c r="K325" s="11" t="str">
        <f>IF(SEFAZ!P307="","",SEFAZ!P307)</f>
        <v/>
      </c>
      <c r="L325" t="str" cm="1">
        <f t="array" aca="1" ref="L3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5" t="s">
        <v>35</v>
      </c>
      <c r="O325" s="36" t="str">
        <f>IF(SEFAZ!B307="","",SEFAZ!B307)</f>
        <v/>
      </c>
    </row>
    <row r="326" spans="2:15" x14ac:dyDescent="0.3">
      <c r="B326" t="str">
        <f>IF(SEFAZ!A308="","",SEFAZ!A308)</f>
        <v/>
      </c>
      <c r="C326" t="str">
        <f>IF(SEFAZ!C308="","",SEFAZ!C308)</f>
        <v/>
      </c>
      <c r="D326" t="str">
        <f>IF(SEFAZ!D308="","",SEFAZ!D308)</f>
        <v/>
      </c>
      <c r="E326" s="7" t="str">
        <f>IF(SEFAZ!E308="","",SEFAZ!E308)</f>
        <v/>
      </c>
      <c r="F326" s="6" t="str">
        <f>IF(SEFAZ!F308="","",VALUE(SUBSTITUTE(SEFAZ!F308,"'","")))</f>
        <v/>
      </c>
      <c r="G326" t="str">
        <f>IF(SEFAZ!H308="","",SEFAZ!H308)</f>
        <v/>
      </c>
      <c r="H326" t="str">
        <f>IF(SEFAZ!L308="","",SEFAZ!L308)</f>
        <v/>
      </c>
      <c r="I326" t="str">
        <f>IF(SEFAZ!N308="","",SEFAZ!N308)</f>
        <v/>
      </c>
      <c r="J326" t="str">
        <f>IF(SEFAZ!O308="","",SEFAZ!O308)</f>
        <v/>
      </c>
      <c r="K326" s="11" t="str">
        <f>IF(SEFAZ!P308="","",SEFAZ!P308)</f>
        <v/>
      </c>
      <c r="L326" t="str" cm="1">
        <f t="array" aca="1" ref="L3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6" t="s">
        <v>35</v>
      </c>
      <c r="O326" s="36" t="str">
        <f>IF(SEFAZ!B308="","",SEFAZ!B308)</f>
        <v/>
      </c>
    </row>
    <row r="327" spans="2:15" x14ac:dyDescent="0.3">
      <c r="B327" t="str">
        <f>IF(SEFAZ!A309="","",SEFAZ!A309)</f>
        <v/>
      </c>
      <c r="C327" t="str">
        <f>IF(SEFAZ!C309="","",SEFAZ!C309)</f>
        <v/>
      </c>
      <c r="D327" t="str">
        <f>IF(SEFAZ!D309="","",SEFAZ!D309)</f>
        <v/>
      </c>
      <c r="E327" s="7" t="str">
        <f>IF(SEFAZ!E309="","",SEFAZ!E309)</f>
        <v/>
      </c>
      <c r="F327" s="6" t="str">
        <f>IF(SEFAZ!F309="","",VALUE(SUBSTITUTE(SEFAZ!F309,"'","")))</f>
        <v/>
      </c>
      <c r="G327" t="str">
        <f>IF(SEFAZ!H309="","",SEFAZ!H309)</f>
        <v/>
      </c>
      <c r="H327" t="str">
        <f>IF(SEFAZ!L309="","",SEFAZ!L309)</f>
        <v/>
      </c>
      <c r="I327" t="str">
        <f>IF(SEFAZ!N309="","",SEFAZ!N309)</f>
        <v/>
      </c>
      <c r="J327" t="str">
        <f>IF(SEFAZ!O309="","",SEFAZ!O309)</f>
        <v/>
      </c>
      <c r="K327" s="11" t="str">
        <f>IF(SEFAZ!P309="","",SEFAZ!P309)</f>
        <v/>
      </c>
      <c r="L327" t="str" cm="1">
        <f t="array" aca="1" ref="L3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7" t="s">
        <v>35</v>
      </c>
      <c r="O327" s="36" t="str">
        <f>IF(SEFAZ!B309="","",SEFAZ!B309)</f>
        <v/>
      </c>
    </row>
    <row r="328" spans="2:15" x14ac:dyDescent="0.3">
      <c r="B328" t="str">
        <f>IF(SEFAZ!A310="","",SEFAZ!A310)</f>
        <v/>
      </c>
      <c r="C328" t="str">
        <f>IF(SEFAZ!C310="","",SEFAZ!C310)</f>
        <v/>
      </c>
      <c r="D328" t="str">
        <f>IF(SEFAZ!D310="","",SEFAZ!D310)</f>
        <v/>
      </c>
      <c r="E328" s="7" t="str">
        <f>IF(SEFAZ!E310="","",SEFAZ!E310)</f>
        <v/>
      </c>
      <c r="F328" s="6" t="str">
        <f>IF(SEFAZ!F310="","",VALUE(SUBSTITUTE(SEFAZ!F310,"'","")))</f>
        <v/>
      </c>
      <c r="G328" t="str">
        <f>IF(SEFAZ!H310="","",SEFAZ!H310)</f>
        <v/>
      </c>
      <c r="H328" t="str">
        <f>IF(SEFAZ!L310="","",SEFAZ!L310)</f>
        <v/>
      </c>
      <c r="I328" t="str">
        <f>IF(SEFAZ!N310="","",SEFAZ!N310)</f>
        <v/>
      </c>
      <c r="J328" t="str">
        <f>IF(SEFAZ!O310="","",SEFAZ!O310)</f>
        <v/>
      </c>
      <c r="K328" s="11" t="str">
        <f>IF(SEFAZ!P310="","",SEFAZ!P310)</f>
        <v/>
      </c>
      <c r="L328" t="str" cm="1">
        <f t="array" aca="1" ref="L3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8" t="s">
        <v>35</v>
      </c>
      <c r="O328" s="36" t="str">
        <f>IF(SEFAZ!B310="","",SEFAZ!B310)</f>
        <v/>
      </c>
    </row>
    <row r="329" spans="2:15" x14ac:dyDescent="0.3">
      <c r="B329" t="str">
        <f>IF(SEFAZ!A311="","",SEFAZ!A311)</f>
        <v/>
      </c>
      <c r="C329" t="str">
        <f>IF(SEFAZ!C311="","",SEFAZ!C311)</f>
        <v/>
      </c>
      <c r="D329" t="str">
        <f>IF(SEFAZ!D311="","",SEFAZ!D311)</f>
        <v/>
      </c>
      <c r="E329" s="7" t="str">
        <f>IF(SEFAZ!E311="","",SEFAZ!E311)</f>
        <v/>
      </c>
      <c r="F329" s="6" t="str">
        <f>IF(SEFAZ!F311="","",VALUE(SUBSTITUTE(SEFAZ!F311,"'","")))</f>
        <v/>
      </c>
      <c r="G329" t="str">
        <f>IF(SEFAZ!H311="","",SEFAZ!H311)</f>
        <v/>
      </c>
      <c r="H329" t="str">
        <f>IF(SEFAZ!L311="","",SEFAZ!L311)</f>
        <v/>
      </c>
      <c r="I329" t="str">
        <f>IF(SEFAZ!N311="","",SEFAZ!N311)</f>
        <v/>
      </c>
      <c r="J329" t="str">
        <f>IF(SEFAZ!O311="","",SEFAZ!O311)</f>
        <v/>
      </c>
      <c r="K329" s="11" t="str">
        <f>IF(SEFAZ!P311="","",SEFAZ!P311)</f>
        <v/>
      </c>
      <c r="L329" t="str" cm="1">
        <f t="array" aca="1" ref="L3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29" t="s">
        <v>35</v>
      </c>
      <c r="O329" s="36" t="str">
        <f>IF(SEFAZ!B311="","",SEFAZ!B311)</f>
        <v/>
      </c>
    </row>
    <row r="330" spans="2:15" x14ac:dyDescent="0.3">
      <c r="B330" t="str">
        <f>IF(SEFAZ!A312="","",SEFAZ!A312)</f>
        <v/>
      </c>
      <c r="C330" t="str">
        <f>IF(SEFAZ!C312="","",SEFAZ!C312)</f>
        <v/>
      </c>
      <c r="D330" t="str">
        <f>IF(SEFAZ!D312="","",SEFAZ!D312)</f>
        <v/>
      </c>
      <c r="E330" s="7" t="str">
        <f>IF(SEFAZ!E312="","",SEFAZ!E312)</f>
        <v/>
      </c>
      <c r="F330" s="6" t="str">
        <f>IF(SEFAZ!F312="","",VALUE(SUBSTITUTE(SEFAZ!F312,"'","")))</f>
        <v/>
      </c>
      <c r="G330" t="str">
        <f>IF(SEFAZ!H312="","",SEFAZ!H312)</f>
        <v/>
      </c>
      <c r="H330" t="str">
        <f>IF(SEFAZ!L312="","",SEFAZ!L312)</f>
        <v/>
      </c>
      <c r="I330" t="str">
        <f>IF(SEFAZ!N312="","",SEFAZ!N312)</f>
        <v/>
      </c>
      <c r="J330" t="str">
        <f>IF(SEFAZ!O312="","",SEFAZ!O312)</f>
        <v/>
      </c>
      <c r="K330" s="11" t="str">
        <f>IF(SEFAZ!P312="","",SEFAZ!P312)</f>
        <v/>
      </c>
      <c r="L330" t="str" cm="1">
        <f t="array" aca="1" ref="L3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0" t="s">
        <v>35</v>
      </c>
      <c r="O330" s="36" t="str">
        <f>IF(SEFAZ!B312="","",SEFAZ!B312)</f>
        <v/>
      </c>
    </row>
    <row r="331" spans="2:15" x14ac:dyDescent="0.3">
      <c r="B331" t="str">
        <f>IF(SEFAZ!A313="","",SEFAZ!A313)</f>
        <v/>
      </c>
      <c r="C331" t="str">
        <f>IF(SEFAZ!C313="","",SEFAZ!C313)</f>
        <v/>
      </c>
      <c r="D331" t="str">
        <f>IF(SEFAZ!D313="","",SEFAZ!D313)</f>
        <v/>
      </c>
      <c r="E331" s="7" t="str">
        <f>IF(SEFAZ!E313="","",SEFAZ!E313)</f>
        <v/>
      </c>
      <c r="F331" s="6" t="str">
        <f>IF(SEFAZ!F313="","",VALUE(SUBSTITUTE(SEFAZ!F313,"'","")))</f>
        <v/>
      </c>
      <c r="G331" t="str">
        <f>IF(SEFAZ!H313="","",SEFAZ!H313)</f>
        <v/>
      </c>
      <c r="H331" t="str">
        <f>IF(SEFAZ!L313="","",SEFAZ!L313)</f>
        <v/>
      </c>
      <c r="I331" t="str">
        <f>IF(SEFAZ!N313="","",SEFAZ!N313)</f>
        <v/>
      </c>
      <c r="J331" t="str">
        <f>IF(SEFAZ!O313="","",SEFAZ!O313)</f>
        <v/>
      </c>
      <c r="K331" s="11" t="str">
        <f>IF(SEFAZ!P313="","",SEFAZ!P313)</f>
        <v/>
      </c>
      <c r="L331" t="str" cm="1">
        <f t="array" aca="1" ref="L3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1" t="s">
        <v>35</v>
      </c>
      <c r="O331" s="36" t="str">
        <f>IF(SEFAZ!B313="","",SEFAZ!B313)</f>
        <v/>
      </c>
    </row>
    <row r="332" spans="2:15" x14ac:dyDescent="0.3">
      <c r="B332" t="str">
        <f>IF(SEFAZ!A314="","",SEFAZ!A314)</f>
        <v/>
      </c>
      <c r="C332" t="str">
        <f>IF(SEFAZ!C314="","",SEFAZ!C314)</f>
        <v/>
      </c>
      <c r="D332" t="str">
        <f>IF(SEFAZ!D314="","",SEFAZ!D314)</f>
        <v/>
      </c>
      <c r="E332" s="7" t="str">
        <f>IF(SEFAZ!E314="","",SEFAZ!E314)</f>
        <v/>
      </c>
      <c r="F332" s="6" t="str">
        <f>IF(SEFAZ!F314="","",VALUE(SUBSTITUTE(SEFAZ!F314,"'","")))</f>
        <v/>
      </c>
      <c r="G332" t="str">
        <f>IF(SEFAZ!H314="","",SEFAZ!H314)</f>
        <v/>
      </c>
      <c r="H332" t="str">
        <f>IF(SEFAZ!L314="","",SEFAZ!L314)</f>
        <v/>
      </c>
      <c r="I332" t="str">
        <f>IF(SEFAZ!N314="","",SEFAZ!N314)</f>
        <v/>
      </c>
      <c r="J332" t="str">
        <f>IF(SEFAZ!O314="","",SEFAZ!O314)</f>
        <v/>
      </c>
      <c r="K332" s="11" t="str">
        <f>IF(SEFAZ!P314="","",SEFAZ!P314)</f>
        <v/>
      </c>
      <c r="L332" t="str" cm="1">
        <f t="array" aca="1" ref="L3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2" t="s">
        <v>35</v>
      </c>
      <c r="O332" s="36" t="str">
        <f>IF(SEFAZ!B314="","",SEFAZ!B314)</f>
        <v/>
      </c>
    </row>
    <row r="333" spans="2:15" x14ac:dyDescent="0.3">
      <c r="B333" t="str">
        <f>IF(SEFAZ!A315="","",SEFAZ!A315)</f>
        <v/>
      </c>
      <c r="C333" t="str">
        <f>IF(SEFAZ!C315="","",SEFAZ!C315)</f>
        <v/>
      </c>
      <c r="D333" t="str">
        <f>IF(SEFAZ!D315="","",SEFAZ!D315)</f>
        <v/>
      </c>
      <c r="E333" s="7" t="str">
        <f>IF(SEFAZ!E315="","",SEFAZ!E315)</f>
        <v/>
      </c>
      <c r="F333" s="6" t="str">
        <f>IF(SEFAZ!F315="","",VALUE(SUBSTITUTE(SEFAZ!F315,"'","")))</f>
        <v/>
      </c>
      <c r="G333" t="str">
        <f>IF(SEFAZ!H315="","",SEFAZ!H315)</f>
        <v/>
      </c>
      <c r="H333" t="str">
        <f>IF(SEFAZ!L315="","",SEFAZ!L315)</f>
        <v/>
      </c>
      <c r="I333" t="str">
        <f>IF(SEFAZ!N315="","",SEFAZ!N315)</f>
        <v/>
      </c>
      <c r="J333" t="str">
        <f>IF(SEFAZ!O315="","",SEFAZ!O315)</f>
        <v/>
      </c>
      <c r="K333" s="11" t="str">
        <f>IF(SEFAZ!P315="","",SEFAZ!P315)</f>
        <v/>
      </c>
      <c r="L333" t="str" cm="1">
        <f t="array" aca="1" ref="L3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3" t="s">
        <v>35</v>
      </c>
      <c r="O333" s="36" t="str">
        <f>IF(SEFAZ!B315="","",SEFAZ!B315)</f>
        <v/>
      </c>
    </row>
    <row r="334" spans="2:15" x14ac:dyDescent="0.3">
      <c r="B334" t="str">
        <f>IF(SEFAZ!A316="","",SEFAZ!A316)</f>
        <v/>
      </c>
      <c r="C334" t="str">
        <f>IF(SEFAZ!C316="","",SEFAZ!C316)</f>
        <v/>
      </c>
      <c r="D334" t="str">
        <f>IF(SEFAZ!D316="","",SEFAZ!D316)</f>
        <v/>
      </c>
      <c r="E334" s="7" t="str">
        <f>IF(SEFAZ!E316="","",SEFAZ!E316)</f>
        <v/>
      </c>
      <c r="F334" s="6" t="str">
        <f>IF(SEFAZ!F316="","",VALUE(SUBSTITUTE(SEFAZ!F316,"'","")))</f>
        <v/>
      </c>
      <c r="G334" t="str">
        <f>IF(SEFAZ!H316="","",SEFAZ!H316)</f>
        <v/>
      </c>
      <c r="H334" t="str">
        <f>IF(SEFAZ!L316="","",SEFAZ!L316)</f>
        <v/>
      </c>
      <c r="I334" t="str">
        <f>IF(SEFAZ!N316="","",SEFAZ!N316)</f>
        <v/>
      </c>
      <c r="J334" t="str">
        <f>IF(SEFAZ!O316="","",SEFAZ!O316)</f>
        <v/>
      </c>
      <c r="K334" s="11" t="str">
        <f>IF(SEFAZ!P316="","",SEFAZ!P316)</f>
        <v/>
      </c>
      <c r="L334" t="str" cm="1">
        <f t="array" aca="1" ref="L3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4" t="s">
        <v>35</v>
      </c>
      <c r="O334" s="36" t="str">
        <f>IF(SEFAZ!B316="","",SEFAZ!B316)</f>
        <v/>
      </c>
    </row>
    <row r="335" spans="2:15" x14ac:dyDescent="0.3">
      <c r="B335" t="str">
        <f>IF(SEFAZ!A317="","",SEFAZ!A317)</f>
        <v/>
      </c>
      <c r="C335" t="str">
        <f>IF(SEFAZ!C317="","",SEFAZ!C317)</f>
        <v/>
      </c>
      <c r="D335" t="str">
        <f>IF(SEFAZ!D317="","",SEFAZ!D317)</f>
        <v/>
      </c>
      <c r="E335" s="7" t="str">
        <f>IF(SEFAZ!E317="","",SEFAZ!E317)</f>
        <v/>
      </c>
      <c r="F335" s="6" t="str">
        <f>IF(SEFAZ!F317="","",VALUE(SUBSTITUTE(SEFAZ!F317,"'","")))</f>
        <v/>
      </c>
      <c r="G335" t="str">
        <f>IF(SEFAZ!H317="","",SEFAZ!H317)</f>
        <v/>
      </c>
      <c r="H335" t="str">
        <f>IF(SEFAZ!L317="","",SEFAZ!L317)</f>
        <v/>
      </c>
      <c r="I335" t="str">
        <f>IF(SEFAZ!N317="","",SEFAZ!N317)</f>
        <v/>
      </c>
      <c r="J335" t="str">
        <f>IF(SEFAZ!O317="","",SEFAZ!O317)</f>
        <v/>
      </c>
      <c r="K335" s="11" t="str">
        <f>IF(SEFAZ!P317="","",SEFAZ!P317)</f>
        <v/>
      </c>
      <c r="L335" t="str" cm="1">
        <f t="array" aca="1" ref="L3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5" t="s">
        <v>35</v>
      </c>
      <c r="O335" s="36" t="str">
        <f>IF(SEFAZ!B317="","",SEFAZ!B317)</f>
        <v/>
      </c>
    </row>
    <row r="336" spans="2:15" x14ac:dyDescent="0.3">
      <c r="B336" t="str">
        <f>IF(SEFAZ!A318="","",SEFAZ!A318)</f>
        <v/>
      </c>
      <c r="C336" t="str">
        <f>IF(SEFAZ!C318="","",SEFAZ!C318)</f>
        <v/>
      </c>
      <c r="D336" t="str">
        <f>IF(SEFAZ!D318="","",SEFAZ!D318)</f>
        <v/>
      </c>
      <c r="E336" s="7" t="str">
        <f>IF(SEFAZ!E318="","",SEFAZ!E318)</f>
        <v/>
      </c>
      <c r="F336" s="6" t="str">
        <f>IF(SEFAZ!F318="","",VALUE(SUBSTITUTE(SEFAZ!F318,"'","")))</f>
        <v/>
      </c>
      <c r="G336" t="str">
        <f>IF(SEFAZ!H318="","",SEFAZ!H318)</f>
        <v/>
      </c>
      <c r="H336" t="str">
        <f>IF(SEFAZ!L318="","",SEFAZ!L318)</f>
        <v/>
      </c>
      <c r="I336" t="str">
        <f>IF(SEFAZ!N318="","",SEFAZ!N318)</f>
        <v/>
      </c>
      <c r="J336" t="str">
        <f>IF(SEFAZ!O318="","",SEFAZ!O318)</f>
        <v/>
      </c>
      <c r="K336" s="11" t="str">
        <f>IF(SEFAZ!P318="","",SEFAZ!P318)</f>
        <v/>
      </c>
      <c r="L336" t="str" cm="1">
        <f t="array" aca="1" ref="L3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6" t="s">
        <v>35</v>
      </c>
      <c r="O336" s="36" t="str">
        <f>IF(SEFAZ!B318="","",SEFAZ!B318)</f>
        <v/>
      </c>
    </row>
    <row r="337" spans="2:15" x14ac:dyDescent="0.3">
      <c r="B337" t="str">
        <f>IF(SEFAZ!A319="","",SEFAZ!A319)</f>
        <v/>
      </c>
      <c r="C337" t="str">
        <f>IF(SEFAZ!C319="","",SEFAZ!C319)</f>
        <v/>
      </c>
      <c r="D337" t="str">
        <f>IF(SEFAZ!D319="","",SEFAZ!D319)</f>
        <v/>
      </c>
      <c r="E337" s="7" t="str">
        <f>IF(SEFAZ!E319="","",SEFAZ!E319)</f>
        <v/>
      </c>
      <c r="F337" s="6" t="str">
        <f>IF(SEFAZ!F319="","",VALUE(SUBSTITUTE(SEFAZ!F319,"'","")))</f>
        <v/>
      </c>
      <c r="G337" t="str">
        <f>IF(SEFAZ!H319="","",SEFAZ!H319)</f>
        <v/>
      </c>
      <c r="H337" t="str">
        <f>IF(SEFAZ!L319="","",SEFAZ!L319)</f>
        <v/>
      </c>
      <c r="I337" t="str">
        <f>IF(SEFAZ!N319="","",SEFAZ!N319)</f>
        <v/>
      </c>
      <c r="J337" t="str">
        <f>IF(SEFAZ!O319="","",SEFAZ!O319)</f>
        <v/>
      </c>
      <c r="K337" s="11" t="str">
        <f>IF(SEFAZ!P319="","",SEFAZ!P319)</f>
        <v/>
      </c>
      <c r="L337" t="str" cm="1">
        <f t="array" aca="1" ref="L3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7" t="s">
        <v>35</v>
      </c>
      <c r="O337" s="36" t="str">
        <f>IF(SEFAZ!B319="","",SEFAZ!B319)</f>
        <v/>
      </c>
    </row>
    <row r="338" spans="2:15" x14ac:dyDescent="0.3">
      <c r="B338" t="str">
        <f>IF(SEFAZ!A320="","",SEFAZ!A320)</f>
        <v/>
      </c>
      <c r="C338" t="str">
        <f>IF(SEFAZ!C320="","",SEFAZ!C320)</f>
        <v/>
      </c>
      <c r="D338" t="str">
        <f>IF(SEFAZ!D320="","",SEFAZ!D320)</f>
        <v/>
      </c>
      <c r="E338" s="7" t="str">
        <f>IF(SEFAZ!E320="","",SEFAZ!E320)</f>
        <v/>
      </c>
      <c r="F338" s="6" t="str">
        <f>IF(SEFAZ!F320="","",VALUE(SUBSTITUTE(SEFAZ!F320,"'","")))</f>
        <v/>
      </c>
      <c r="G338" t="str">
        <f>IF(SEFAZ!H320="","",SEFAZ!H320)</f>
        <v/>
      </c>
      <c r="H338" t="str">
        <f>IF(SEFAZ!L320="","",SEFAZ!L320)</f>
        <v/>
      </c>
      <c r="I338" t="str">
        <f>IF(SEFAZ!N320="","",SEFAZ!N320)</f>
        <v/>
      </c>
      <c r="J338" t="str">
        <f>IF(SEFAZ!O320="","",SEFAZ!O320)</f>
        <v/>
      </c>
      <c r="K338" s="11" t="str">
        <f>IF(SEFAZ!P320="","",SEFAZ!P320)</f>
        <v/>
      </c>
      <c r="L338" t="str" cm="1">
        <f t="array" aca="1" ref="L3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8" t="s">
        <v>35</v>
      </c>
      <c r="O338" s="36" t="str">
        <f>IF(SEFAZ!B320="","",SEFAZ!B320)</f>
        <v/>
      </c>
    </row>
    <row r="339" spans="2:15" x14ac:dyDescent="0.3">
      <c r="B339" t="str">
        <f>IF(SEFAZ!A321="","",SEFAZ!A321)</f>
        <v/>
      </c>
      <c r="C339" t="str">
        <f>IF(SEFAZ!C321="","",SEFAZ!C321)</f>
        <v/>
      </c>
      <c r="D339" t="str">
        <f>IF(SEFAZ!D321="","",SEFAZ!D321)</f>
        <v/>
      </c>
      <c r="E339" s="7" t="str">
        <f>IF(SEFAZ!E321="","",SEFAZ!E321)</f>
        <v/>
      </c>
      <c r="F339" s="6" t="str">
        <f>IF(SEFAZ!F321="","",VALUE(SUBSTITUTE(SEFAZ!F321,"'","")))</f>
        <v/>
      </c>
      <c r="G339" t="str">
        <f>IF(SEFAZ!H321="","",SEFAZ!H321)</f>
        <v/>
      </c>
      <c r="H339" t="str">
        <f>IF(SEFAZ!L321="","",SEFAZ!L321)</f>
        <v/>
      </c>
      <c r="I339" t="str">
        <f>IF(SEFAZ!N321="","",SEFAZ!N321)</f>
        <v/>
      </c>
      <c r="J339" t="str">
        <f>IF(SEFAZ!O321="","",SEFAZ!O321)</f>
        <v/>
      </c>
      <c r="K339" s="11" t="str">
        <f>IF(SEFAZ!P321="","",SEFAZ!P321)</f>
        <v/>
      </c>
      <c r="L339" t="str" cm="1">
        <f t="array" aca="1" ref="L3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39" t="s">
        <v>35</v>
      </c>
      <c r="O339" s="36" t="str">
        <f>IF(SEFAZ!B321="","",SEFAZ!B321)</f>
        <v/>
      </c>
    </row>
    <row r="340" spans="2:15" x14ac:dyDescent="0.3">
      <c r="B340" t="str">
        <f>IF(SEFAZ!A322="","",SEFAZ!A322)</f>
        <v/>
      </c>
      <c r="C340" t="str">
        <f>IF(SEFAZ!C322="","",SEFAZ!C322)</f>
        <v/>
      </c>
      <c r="D340" t="str">
        <f>IF(SEFAZ!D322="","",SEFAZ!D322)</f>
        <v/>
      </c>
      <c r="E340" s="7" t="str">
        <f>IF(SEFAZ!E322="","",SEFAZ!E322)</f>
        <v/>
      </c>
      <c r="F340" s="6" t="str">
        <f>IF(SEFAZ!F322="","",VALUE(SUBSTITUTE(SEFAZ!F322,"'","")))</f>
        <v/>
      </c>
      <c r="G340" t="str">
        <f>IF(SEFAZ!H322="","",SEFAZ!H322)</f>
        <v/>
      </c>
      <c r="H340" t="str">
        <f>IF(SEFAZ!L322="","",SEFAZ!L322)</f>
        <v/>
      </c>
      <c r="I340" t="str">
        <f>IF(SEFAZ!N322="","",SEFAZ!N322)</f>
        <v/>
      </c>
      <c r="J340" t="str">
        <f>IF(SEFAZ!O322="","",SEFAZ!O322)</f>
        <v/>
      </c>
      <c r="K340" s="11" t="str">
        <f>IF(SEFAZ!P322="","",SEFAZ!P322)</f>
        <v/>
      </c>
      <c r="L340" t="str" cm="1">
        <f t="array" aca="1" ref="L3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0" t="s">
        <v>35</v>
      </c>
      <c r="O340" s="36" t="str">
        <f>IF(SEFAZ!B322="","",SEFAZ!B322)</f>
        <v/>
      </c>
    </row>
    <row r="341" spans="2:15" x14ac:dyDescent="0.3">
      <c r="B341" t="str">
        <f>IF(SEFAZ!A323="","",SEFAZ!A323)</f>
        <v/>
      </c>
      <c r="C341" t="str">
        <f>IF(SEFAZ!C323="","",SEFAZ!C323)</f>
        <v/>
      </c>
      <c r="D341" t="str">
        <f>IF(SEFAZ!D323="","",SEFAZ!D323)</f>
        <v/>
      </c>
      <c r="E341" s="7" t="str">
        <f>IF(SEFAZ!E323="","",SEFAZ!E323)</f>
        <v/>
      </c>
      <c r="F341" s="6" t="str">
        <f>IF(SEFAZ!F323="","",VALUE(SUBSTITUTE(SEFAZ!F323,"'","")))</f>
        <v/>
      </c>
      <c r="G341" t="str">
        <f>IF(SEFAZ!H323="","",SEFAZ!H323)</f>
        <v/>
      </c>
      <c r="H341" t="str">
        <f>IF(SEFAZ!L323="","",SEFAZ!L323)</f>
        <v/>
      </c>
      <c r="I341" t="str">
        <f>IF(SEFAZ!N323="","",SEFAZ!N323)</f>
        <v/>
      </c>
      <c r="J341" t="str">
        <f>IF(SEFAZ!O323="","",SEFAZ!O323)</f>
        <v/>
      </c>
      <c r="K341" s="11" t="str">
        <f>IF(SEFAZ!P323="","",SEFAZ!P323)</f>
        <v/>
      </c>
      <c r="L341" t="str" cm="1">
        <f t="array" aca="1" ref="L3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1" t="s">
        <v>35</v>
      </c>
      <c r="O341" s="36" t="str">
        <f>IF(SEFAZ!B323="","",SEFAZ!B323)</f>
        <v/>
      </c>
    </row>
    <row r="342" spans="2:15" x14ac:dyDescent="0.3">
      <c r="B342" t="str">
        <f>IF(SEFAZ!A324="","",SEFAZ!A324)</f>
        <v/>
      </c>
      <c r="C342" t="str">
        <f>IF(SEFAZ!C324="","",SEFAZ!C324)</f>
        <v/>
      </c>
      <c r="D342" t="str">
        <f>IF(SEFAZ!D324="","",SEFAZ!D324)</f>
        <v/>
      </c>
      <c r="E342" s="7" t="str">
        <f>IF(SEFAZ!E324="","",SEFAZ!E324)</f>
        <v/>
      </c>
      <c r="F342" s="6" t="str">
        <f>IF(SEFAZ!F324="","",VALUE(SUBSTITUTE(SEFAZ!F324,"'","")))</f>
        <v/>
      </c>
      <c r="G342" t="str">
        <f>IF(SEFAZ!H324="","",SEFAZ!H324)</f>
        <v/>
      </c>
      <c r="H342" t="str">
        <f>IF(SEFAZ!L324="","",SEFAZ!L324)</f>
        <v/>
      </c>
      <c r="I342" t="str">
        <f>IF(SEFAZ!N324="","",SEFAZ!N324)</f>
        <v/>
      </c>
      <c r="J342" t="str">
        <f>IF(SEFAZ!O324="","",SEFAZ!O324)</f>
        <v/>
      </c>
      <c r="K342" s="11" t="str">
        <f>IF(SEFAZ!P324="","",SEFAZ!P324)</f>
        <v/>
      </c>
      <c r="L342" t="str" cm="1">
        <f t="array" aca="1" ref="L3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2" t="s">
        <v>35</v>
      </c>
      <c r="O342" s="36" t="str">
        <f>IF(SEFAZ!B324="","",SEFAZ!B324)</f>
        <v/>
      </c>
    </row>
    <row r="343" spans="2:15" x14ac:dyDescent="0.3">
      <c r="B343" t="str">
        <f>IF(SEFAZ!A325="","",SEFAZ!A325)</f>
        <v/>
      </c>
      <c r="C343" t="str">
        <f>IF(SEFAZ!C325="","",SEFAZ!C325)</f>
        <v/>
      </c>
      <c r="D343" t="str">
        <f>IF(SEFAZ!D325="","",SEFAZ!D325)</f>
        <v/>
      </c>
      <c r="E343" s="7" t="str">
        <f>IF(SEFAZ!E325="","",SEFAZ!E325)</f>
        <v/>
      </c>
      <c r="F343" s="6" t="str">
        <f>IF(SEFAZ!F325="","",VALUE(SUBSTITUTE(SEFAZ!F325,"'","")))</f>
        <v/>
      </c>
      <c r="G343" t="str">
        <f>IF(SEFAZ!H325="","",SEFAZ!H325)</f>
        <v/>
      </c>
      <c r="H343" t="str">
        <f>IF(SEFAZ!L325="","",SEFAZ!L325)</f>
        <v/>
      </c>
      <c r="I343" t="str">
        <f>IF(SEFAZ!N325="","",SEFAZ!N325)</f>
        <v/>
      </c>
      <c r="J343" t="str">
        <f>IF(SEFAZ!O325="","",SEFAZ!O325)</f>
        <v/>
      </c>
      <c r="K343" s="11" t="str">
        <f>IF(SEFAZ!P325="","",SEFAZ!P325)</f>
        <v/>
      </c>
      <c r="L343" t="str" cm="1">
        <f t="array" aca="1" ref="L3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3" t="s">
        <v>35</v>
      </c>
      <c r="O343" s="36" t="str">
        <f>IF(SEFAZ!B325="","",SEFAZ!B325)</f>
        <v/>
      </c>
    </row>
    <row r="344" spans="2:15" x14ac:dyDescent="0.3">
      <c r="B344" t="str">
        <f>IF(SEFAZ!A326="","",SEFAZ!A326)</f>
        <v/>
      </c>
      <c r="C344" t="str">
        <f>IF(SEFAZ!C326="","",SEFAZ!C326)</f>
        <v/>
      </c>
      <c r="D344" t="str">
        <f>IF(SEFAZ!D326="","",SEFAZ!D326)</f>
        <v/>
      </c>
      <c r="E344" s="7" t="str">
        <f>IF(SEFAZ!E326="","",SEFAZ!E326)</f>
        <v/>
      </c>
      <c r="F344" s="6" t="str">
        <f>IF(SEFAZ!F326="","",VALUE(SUBSTITUTE(SEFAZ!F326,"'","")))</f>
        <v/>
      </c>
      <c r="G344" t="str">
        <f>IF(SEFAZ!H326="","",SEFAZ!H326)</f>
        <v/>
      </c>
      <c r="H344" t="str">
        <f>IF(SEFAZ!L326="","",SEFAZ!L326)</f>
        <v/>
      </c>
      <c r="I344" t="str">
        <f>IF(SEFAZ!N326="","",SEFAZ!N326)</f>
        <v/>
      </c>
      <c r="J344" t="str">
        <f>IF(SEFAZ!O326="","",SEFAZ!O326)</f>
        <v/>
      </c>
      <c r="K344" s="11" t="str">
        <f>IF(SEFAZ!P326="","",SEFAZ!P326)</f>
        <v/>
      </c>
      <c r="L344" t="str" cm="1">
        <f t="array" aca="1" ref="L3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4" t="s">
        <v>35</v>
      </c>
      <c r="O344" s="36" t="str">
        <f>IF(SEFAZ!B326="","",SEFAZ!B326)</f>
        <v/>
      </c>
    </row>
    <row r="345" spans="2:15" x14ac:dyDescent="0.3">
      <c r="B345" t="str">
        <f>IF(SEFAZ!A327="","",SEFAZ!A327)</f>
        <v/>
      </c>
      <c r="C345" t="str">
        <f>IF(SEFAZ!C327="","",SEFAZ!C327)</f>
        <v/>
      </c>
      <c r="D345" t="str">
        <f>IF(SEFAZ!D327="","",SEFAZ!D327)</f>
        <v/>
      </c>
      <c r="E345" s="7" t="str">
        <f>IF(SEFAZ!E327="","",SEFAZ!E327)</f>
        <v/>
      </c>
      <c r="F345" s="6" t="str">
        <f>IF(SEFAZ!F327="","",VALUE(SUBSTITUTE(SEFAZ!F327,"'","")))</f>
        <v/>
      </c>
      <c r="G345" t="str">
        <f>IF(SEFAZ!H327="","",SEFAZ!H327)</f>
        <v/>
      </c>
      <c r="H345" t="str">
        <f>IF(SEFAZ!L327="","",SEFAZ!L327)</f>
        <v/>
      </c>
      <c r="I345" t="str">
        <f>IF(SEFAZ!N327="","",SEFAZ!N327)</f>
        <v/>
      </c>
      <c r="J345" t="str">
        <f>IF(SEFAZ!O327="","",SEFAZ!O327)</f>
        <v/>
      </c>
      <c r="K345" s="11" t="str">
        <f>IF(SEFAZ!P327="","",SEFAZ!P327)</f>
        <v/>
      </c>
      <c r="L345" t="str" cm="1">
        <f t="array" aca="1" ref="L3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5" t="s">
        <v>35</v>
      </c>
      <c r="O345" s="36" t="str">
        <f>IF(SEFAZ!B327="","",SEFAZ!B327)</f>
        <v/>
      </c>
    </row>
    <row r="346" spans="2:15" x14ac:dyDescent="0.3">
      <c r="B346" t="str">
        <f>IF(SEFAZ!A328="","",SEFAZ!A328)</f>
        <v/>
      </c>
      <c r="C346" t="str">
        <f>IF(SEFAZ!C328="","",SEFAZ!C328)</f>
        <v/>
      </c>
      <c r="D346" t="str">
        <f>IF(SEFAZ!D328="","",SEFAZ!D328)</f>
        <v/>
      </c>
      <c r="E346" s="7" t="str">
        <f>IF(SEFAZ!E328="","",SEFAZ!E328)</f>
        <v/>
      </c>
      <c r="F346" s="6" t="str">
        <f>IF(SEFAZ!F328="","",VALUE(SUBSTITUTE(SEFAZ!F328,"'","")))</f>
        <v/>
      </c>
      <c r="G346" t="str">
        <f>IF(SEFAZ!H328="","",SEFAZ!H328)</f>
        <v/>
      </c>
      <c r="H346" t="str">
        <f>IF(SEFAZ!L328="","",SEFAZ!L328)</f>
        <v/>
      </c>
      <c r="I346" t="str">
        <f>IF(SEFAZ!N328="","",SEFAZ!N328)</f>
        <v/>
      </c>
      <c r="J346" t="str">
        <f>IF(SEFAZ!O328="","",SEFAZ!O328)</f>
        <v/>
      </c>
      <c r="K346" s="11" t="str">
        <f>IF(SEFAZ!P328="","",SEFAZ!P328)</f>
        <v/>
      </c>
      <c r="L346" t="str" cm="1">
        <f t="array" aca="1" ref="L3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6" t="s">
        <v>35</v>
      </c>
      <c r="O346" s="36" t="str">
        <f>IF(SEFAZ!B328="","",SEFAZ!B328)</f>
        <v/>
      </c>
    </row>
    <row r="347" spans="2:15" x14ac:dyDescent="0.3">
      <c r="B347" t="str">
        <f>IF(SEFAZ!A329="","",SEFAZ!A329)</f>
        <v/>
      </c>
      <c r="C347" t="str">
        <f>IF(SEFAZ!C329="","",SEFAZ!C329)</f>
        <v/>
      </c>
      <c r="D347" t="str">
        <f>IF(SEFAZ!D329="","",SEFAZ!D329)</f>
        <v/>
      </c>
      <c r="E347" s="7" t="str">
        <f>IF(SEFAZ!E329="","",SEFAZ!E329)</f>
        <v/>
      </c>
      <c r="F347" s="6" t="str">
        <f>IF(SEFAZ!F329="","",VALUE(SUBSTITUTE(SEFAZ!F329,"'","")))</f>
        <v/>
      </c>
      <c r="G347" t="str">
        <f>IF(SEFAZ!H329="","",SEFAZ!H329)</f>
        <v/>
      </c>
      <c r="H347" t="str">
        <f>IF(SEFAZ!L329="","",SEFAZ!L329)</f>
        <v/>
      </c>
      <c r="I347" t="str">
        <f>IF(SEFAZ!N329="","",SEFAZ!N329)</f>
        <v/>
      </c>
      <c r="J347" t="str">
        <f>IF(SEFAZ!O329="","",SEFAZ!O329)</f>
        <v/>
      </c>
      <c r="K347" s="11" t="str">
        <f>IF(SEFAZ!P329="","",SEFAZ!P329)</f>
        <v/>
      </c>
      <c r="L347" t="str" cm="1">
        <f t="array" aca="1" ref="L3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7" t="s">
        <v>35</v>
      </c>
      <c r="O347" s="36" t="str">
        <f>IF(SEFAZ!B329="","",SEFAZ!B329)</f>
        <v/>
      </c>
    </row>
    <row r="348" spans="2:15" x14ac:dyDescent="0.3">
      <c r="B348" t="str">
        <f>IF(SEFAZ!A330="","",SEFAZ!A330)</f>
        <v/>
      </c>
      <c r="C348" t="str">
        <f>IF(SEFAZ!C330="","",SEFAZ!C330)</f>
        <v/>
      </c>
      <c r="D348" t="str">
        <f>IF(SEFAZ!D330="","",SEFAZ!D330)</f>
        <v/>
      </c>
      <c r="E348" s="7" t="str">
        <f>IF(SEFAZ!E330="","",SEFAZ!E330)</f>
        <v/>
      </c>
      <c r="F348" s="6" t="str">
        <f>IF(SEFAZ!F330="","",VALUE(SUBSTITUTE(SEFAZ!F330,"'","")))</f>
        <v/>
      </c>
      <c r="G348" t="str">
        <f>IF(SEFAZ!H330="","",SEFAZ!H330)</f>
        <v/>
      </c>
      <c r="H348" t="str">
        <f>IF(SEFAZ!L330="","",SEFAZ!L330)</f>
        <v/>
      </c>
      <c r="I348" t="str">
        <f>IF(SEFAZ!N330="","",SEFAZ!N330)</f>
        <v/>
      </c>
      <c r="J348" t="str">
        <f>IF(SEFAZ!O330="","",SEFAZ!O330)</f>
        <v/>
      </c>
      <c r="K348" s="11" t="str">
        <f>IF(SEFAZ!P330="","",SEFAZ!P330)</f>
        <v/>
      </c>
      <c r="L348" t="str" cm="1">
        <f t="array" aca="1" ref="L3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8" t="s">
        <v>35</v>
      </c>
      <c r="O348" s="36" t="str">
        <f>IF(SEFAZ!B330="","",SEFAZ!B330)</f>
        <v/>
      </c>
    </row>
    <row r="349" spans="2:15" x14ac:dyDescent="0.3">
      <c r="B349" t="str">
        <f>IF(SEFAZ!A331="","",SEFAZ!A331)</f>
        <v/>
      </c>
      <c r="C349" t="str">
        <f>IF(SEFAZ!C331="","",SEFAZ!C331)</f>
        <v/>
      </c>
      <c r="D349" t="str">
        <f>IF(SEFAZ!D331="","",SEFAZ!D331)</f>
        <v/>
      </c>
      <c r="E349" s="7" t="str">
        <f>IF(SEFAZ!E331="","",SEFAZ!E331)</f>
        <v/>
      </c>
      <c r="F349" s="6" t="str">
        <f>IF(SEFAZ!F331="","",VALUE(SUBSTITUTE(SEFAZ!F331,"'","")))</f>
        <v/>
      </c>
      <c r="G349" t="str">
        <f>IF(SEFAZ!H331="","",SEFAZ!H331)</f>
        <v/>
      </c>
      <c r="H349" t="str">
        <f>IF(SEFAZ!L331="","",SEFAZ!L331)</f>
        <v/>
      </c>
      <c r="I349" t="str">
        <f>IF(SEFAZ!N331="","",SEFAZ!N331)</f>
        <v/>
      </c>
      <c r="J349" t="str">
        <f>IF(SEFAZ!O331="","",SEFAZ!O331)</f>
        <v/>
      </c>
      <c r="K349" s="11" t="str">
        <f>IF(SEFAZ!P331="","",SEFAZ!P331)</f>
        <v/>
      </c>
      <c r="L349" t="str" cm="1">
        <f t="array" aca="1" ref="L3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49" t="s">
        <v>35</v>
      </c>
      <c r="O349" s="36" t="str">
        <f>IF(SEFAZ!B331="","",SEFAZ!B331)</f>
        <v/>
      </c>
    </row>
    <row r="350" spans="2:15" x14ac:dyDescent="0.3">
      <c r="B350" t="str">
        <f>IF(SEFAZ!A332="","",SEFAZ!A332)</f>
        <v/>
      </c>
      <c r="C350" t="str">
        <f>IF(SEFAZ!C332="","",SEFAZ!C332)</f>
        <v/>
      </c>
      <c r="D350" t="str">
        <f>IF(SEFAZ!D332="","",SEFAZ!D332)</f>
        <v/>
      </c>
      <c r="E350" s="7" t="str">
        <f>IF(SEFAZ!E332="","",SEFAZ!E332)</f>
        <v/>
      </c>
      <c r="F350" s="6" t="str">
        <f>IF(SEFAZ!F332="","",VALUE(SUBSTITUTE(SEFAZ!F332,"'","")))</f>
        <v/>
      </c>
      <c r="G350" t="str">
        <f>IF(SEFAZ!H332="","",SEFAZ!H332)</f>
        <v/>
      </c>
      <c r="H350" t="str">
        <f>IF(SEFAZ!L332="","",SEFAZ!L332)</f>
        <v/>
      </c>
      <c r="I350" t="str">
        <f>IF(SEFAZ!N332="","",SEFAZ!N332)</f>
        <v/>
      </c>
      <c r="J350" t="str">
        <f>IF(SEFAZ!O332="","",SEFAZ!O332)</f>
        <v/>
      </c>
      <c r="K350" s="11" t="str">
        <f>IF(SEFAZ!P332="","",SEFAZ!P332)</f>
        <v/>
      </c>
      <c r="L350" t="str" cm="1">
        <f t="array" aca="1" ref="L3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0" t="s">
        <v>35</v>
      </c>
      <c r="O350" s="36" t="str">
        <f>IF(SEFAZ!B332="","",SEFAZ!B332)</f>
        <v/>
      </c>
    </row>
    <row r="351" spans="2:15" x14ac:dyDescent="0.3">
      <c r="B351" t="str">
        <f>IF(SEFAZ!A333="","",SEFAZ!A333)</f>
        <v/>
      </c>
      <c r="C351" t="str">
        <f>IF(SEFAZ!C333="","",SEFAZ!C333)</f>
        <v/>
      </c>
      <c r="D351" t="str">
        <f>IF(SEFAZ!D333="","",SEFAZ!D333)</f>
        <v/>
      </c>
      <c r="E351" s="7" t="str">
        <f>IF(SEFAZ!E333="","",SEFAZ!E333)</f>
        <v/>
      </c>
      <c r="F351" s="6" t="str">
        <f>IF(SEFAZ!F333="","",VALUE(SUBSTITUTE(SEFAZ!F333,"'","")))</f>
        <v/>
      </c>
      <c r="G351" t="str">
        <f>IF(SEFAZ!H333="","",SEFAZ!H333)</f>
        <v/>
      </c>
      <c r="H351" t="str">
        <f>IF(SEFAZ!L333="","",SEFAZ!L333)</f>
        <v/>
      </c>
      <c r="I351" t="str">
        <f>IF(SEFAZ!N333="","",SEFAZ!N333)</f>
        <v/>
      </c>
      <c r="J351" t="str">
        <f>IF(SEFAZ!O333="","",SEFAZ!O333)</f>
        <v/>
      </c>
      <c r="K351" s="11" t="str">
        <f>IF(SEFAZ!P333="","",SEFAZ!P333)</f>
        <v/>
      </c>
      <c r="L351" t="str" cm="1">
        <f t="array" aca="1" ref="L3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1" t="s">
        <v>35</v>
      </c>
      <c r="O351" s="36" t="str">
        <f>IF(SEFAZ!B333="","",SEFAZ!B333)</f>
        <v/>
      </c>
    </row>
    <row r="352" spans="2:15" x14ac:dyDescent="0.3">
      <c r="B352" t="str">
        <f>IF(SEFAZ!A334="","",SEFAZ!A334)</f>
        <v/>
      </c>
      <c r="C352" t="str">
        <f>IF(SEFAZ!C334="","",SEFAZ!C334)</f>
        <v/>
      </c>
      <c r="D352" t="str">
        <f>IF(SEFAZ!D334="","",SEFAZ!D334)</f>
        <v/>
      </c>
      <c r="E352" s="7" t="str">
        <f>IF(SEFAZ!E334="","",SEFAZ!E334)</f>
        <v/>
      </c>
      <c r="F352" s="6" t="str">
        <f>IF(SEFAZ!F334="","",VALUE(SUBSTITUTE(SEFAZ!F334,"'","")))</f>
        <v/>
      </c>
      <c r="G352" t="str">
        <f>IF(SEFAZ!H334="","",SEFAZ!H334)</f>
        <v/>
      </c>
      <c r="H352" t="str">
        <f>IF(SEFAZ!L334="","",SEFAZ!L334)</f>
        <v/>
      </c>
      <c r="I352" t="str">
        <f>IF(SEFAZ!N334="","",SEFAZ!N334)</f>
        <v/>
      </c>
      <c r="J352" t="str">
        <f>IF(SEFAZ!O334="","",SEFAZ!O334)</f>
        <v/>
      </c>
      <c r="K352" s="11" t="str">
        <f>IF(SEFAZ!P334="","",SEFAZ!P334)</f>
        <v/>
      </c>
      <c r="L352" t="str" cm="1">
        <f t="array" aca="1" ref="L3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2" t="s">
        <v>35</v>
      </c>
      <c r="O352" s="36" t="str">
        <f>IF(SEFAZ!B334="","",SEFAZ!B334)</f>
        <v/>
      </c>
    </row>
    <row r="353" spans="2:15" x14ac:dyDescent="0.3">
      <c r="B353" t="str">
        <f>IF(SEFAZ!A335="","",SEFAZ!A335)</f>
        <v/>
      </c>
      <c r="C353" t="str">
        <f>IF(SEFAZ!C335="","",SEFAZ!C335)</f>
        <v/>
      </c>
      <c r="D353" t="str">
        <f>IF(SEFAZ!D335="","",SEFAZ!D335)</f>
        <v/>
      </c>
      <c r="E353" s="7" t="str">
        <f>IF(SEFAZ!E335="","",SEFAZ!E335)</f>
        <v/>
      </c>
      <c r="F353" s="6" t="str">
        <f>IF(SEFAZ!F335="","",VALUE(SUBSTITUTE(SEFAZ!F335,"'","")))</f>
        <v/>
      </c>
      <c r="G353" t="str">
        <f>IF(SEFAZ!H335="","",SEFAZ!H335)</f>
        <v/>
      </c>
      <c r="H353" t="str">
        <f>IF(SEFAZ!L335="","",SEFAZ!L335)</f>
        <v/>
      </c>
      <c r="I353" t="str">
        <f>IF(SEFAZ!N335="","",SEFAZ!N335)</f>
        <v/>
      </c>
      <c r="J353" t="str">
        <f>IF(SEFAZ!O335="","",SEFAZ!O335)</f>
        <v/>
      </c>
      <c r="K353" s="11" t="str">
        <f>IF(SEFAZ!P335="","",SEFAZ!P335)</f>
        <v/>
      </c>
      <c r="L353" t="str" cm="1">
        <f t="array" aca="1" ref="L3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3" t="s">
        <v>35</v>
      </c>
      <c r="O353" s="36" t="str">
        <f>IF(SEFAZ!B335="","",SEFAZ!B335)</f>
        <v/>
      </c>
    </row>
    <row r="354" spans="2:15" x14ac:dyDescent="0.3">
      <c r="B354" t="str">
        <f>IF(SEFAZ!A336="","",SEFAZ!A336)</f>
        <v/>
      </c>
      <c r="C354" t="str">
        <f>IF(SEFAZ!C336="","",SEFAZ!C336)</f>
        <v/>
      </c>
      <c r="D354" t="str">
        <f>IF(SEFAZ!D336="","",SEFAZ!D336)</f>
        <v/>
      </c>
      <c r="E354" s="7" t="str">
        <f>IF(SEFAZ!E336="","",SEFAZ!E336)</f>
        <v/>
      </c>
      <c r="F354" s="6" t="str">
        <f>IF(SEFAZ!F336="","",VALUE(SUBSTITUTE(SEFAZ!F336,"'","")))</f>
        <v/>
      </c>
      <c r="G354" t="str">
        <f>IF(SEFAZ!H336="","",SEFAZ!H336)</f>
        <v/>
      </c>
      <c r="H354" t="str">
        <f>IF(SEFAZ!L336="","",SEFAZ!L336)</f>
        <v/>
      </c>
      <c r="I354" t="str">
        <f>IF(SEFAZ!N336="","",SEFAZ!N336)</f>
        <v/>
      </c>
      <c r="J354" t="str">
        <f>IF(SEFAZ!O336="","",SEFAZ!O336)</f>
        <v/>
      </c>
      <c r="K354" s="11" t="str">
        <f>IF(SEFAZ!P336="","",SEFAZ!P336)</f>
        <v/>
      </c>
      <c r="L354" t="str" cm="1">
        <f t="array" aca="1" ref="L3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4" t="s">
        <v>35</v>
      </c>
      <c r="O354" s="36" t="str">
        <f>IF(SEFAZ!B336="","",SEFAZ!B336)</f>
        <v/>
      </c>
    </row>
    <row r="355" spans="2:15" x14ac:dyDescent="0.3">
      <c r="B355" t="str">
        <f>IF(SEFAZ!A337="","",SEFAZ!A337)</f>
        <v/>
      </c>
      <c r="C355" t="str">
        <f>IF(SEFAZ!C337="","",SEFAZ!C337)</f>
        <v/>
      </c>
      <c r="D355" t="str">
        <f>IF(SEFAZ!D337="","",SEFAZ!D337)</f>
        <v/>
      </c>
      <c r="E355" s="7" t="str">
        <f>IF(SEFAZ!E337="","",SEFAZ!E337)</f>
        <v/>
      </c>
      <c r="F355" s="6" t="str">
        <f>IF(SEFAZ!F337="","",VALUE(SUBSTITUTE(SEFAZ!F337,"'","")))</f>
        <v/>
      </c>
      <c r="G355" t="str">
        <f>IF(SEFAZ!H337="","",SEFAZ!H337)</f>
        <v/>
      </c>
      <c r="H355" t="str">
        <f>IF(SEFAZ!L337="","",SEFAZ!L337)</f>
        <v/>
      </c>
      <c r="I355" t="str">
        <f>IF(SEFAZ!N337="","",SEFAZ!N337)</f>
        <v/>
      </c>
      <c r="J355" t="str">
        <f>IF(SEFAZ!O337="","",SEFAZ!O337)</f>
        <v/>
      </c>
      <c r="K355" s="11" t="str">
        <f>IF(SEFAZ!P337="","",SEFAZ!P337)</f>
        <v/>
      </c>
      <c r="L355" t="str" cm="1">
        <f t="array" aca="1" ref="L3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5" t="s">
        <v>35</v>
      </c>
      <c r="O355" s="36" t="str">
        <f>IF(SEFAZ!B337="","",SEFAZ!B337)</f>
        <v/>
      </c>
    </row>
    <row r="356" spans="2:15" x14ac:dyDescent="0.3">
      <c r="B356" t="str">
        <f>IF(SEFAZ!A338="","",SEFAZ!A338)</f>
        <v/>
      </c>
      <c r="C356" t="str">
        <f>IF(SEFAZ!C338="","",SEFAZ!C338)</f>
        <v/>
      </c>
      <c r="D356" t="str">
        <f>IF(SEFAZ!D338="","",SEFAZ!D338)</f>
        <v/>
      </c>
      <c r="E356" s="7" t="str">
        <f>IF(SEFAZ!E338="","",SEFAZ!E338)</f>
        <v/>
      </c>
      <c r="F356" s="6" t="str">
        <f>IF(SEFAZ!F338="","",VALUE(SUBSTITUTE(SEFAZ!F338,"'","")))</f>
        <v/>
      </c>
      <c r="G356" t="str">
        <f>IF(SEFAZ!H338="","",SEFAZ!H338)</f>
        <v/>
      </c>
      <c r="H356" t="str">
        <f>IF(SEFAZ!L338="","",SEFAZ!L338)</f>
        <v/>
      </c>
      <c r="I356" t="str">
        <f>IF(SEFAZ!N338="","",SEFAZ!N338)</f>
        <v/>
      </c>
      <c r="J356" t="str">
        <f>IF(SEFAZ!O338="","",SEFAZ!O338)</f>
        <v/>
      </c>
      <c r="K356" s="11" t="str">
        <f>IF(SEFAZ!P338="","",SEFAZ!P338)</f>
        <v/>
      </c>
      <c r="L356" t="str" cm="1">
        <f t="array" aca="1" ref="L3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6" t="s">
        <v>35</v>
      </c>
      <c r="O356" s="36" t="str">
        <f>IF(SEFAZ!B338="","",SEFAZ!B338)</f>
        <v/>
      </c>
    </row>
    <row r="357" spans="2:15" x14ac:dyDescent="0.3">
      <c r="B357" t="str">
        <f>IF(SEFAZ!A339="","",SEFAZ!A339)</f>
        <v/>
      </c>
      <c r="C357" t="str">
        <f>IF(SEFAZ!C339="","",SEFAZ!C339)</f>
        <v/>
      </c>
      <c r="D357" t="str">
        <f>IF(SEFAZ!D339="","",SEFAZ!D339)</f>
        <v/>
      </c>
      <c r="E357" s="7" t="str">
        <f>IF(SEFAZ!E339="","",SEFAZ!E339)</f>
        <v/>
      </c>
      <c r="F357" s="6" t="str">
        <f>IF(SEFAZ!F339="","",VALUE(SUBSTITUTE(SEFAZ!F339,"'","")))</f>
        <v/>
      </c>
      <c r="G357" t="str">
        <f>IF(SEFAZ!H339="","",SEFAZ!H339)</f>
        <v/>
      </c>
      <c r="H357" t="str">
        <f>IF(SEFAZ!L339="","",SEFAZ!L339)</f>
        <v/>
      </c>
      <c r="I357" t="str">
        <f>IF(SEFAZ!N339="","",SEFAZ!N339)</f>
        <v/>
      </c>
      <c r="J357" t="str">
        <f>IF(SEFAZ!O339="","",SEFAZ!O339)</f>
        <v/>
      </c>
      <c r="K357" s="11" t="str">
        <f>IF(SEFAZ!P339="","",SEFAZ!P339)</f>
        <v/>
      </c>
      <c r="L357" t="str" cm="1">
        <f t="array" aca="1" ref="L3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7" t="s">
        <v>35</v>
      </c>
      <c r="O357" s="36" t="str">
        <f>IF(SEFAZ!B339="","",SEFAZ!B339)</f>
        <v/>
      </c>
    </row>
    <row r="358" spans="2:15" x14ac:dyDescent="0.3">
      <c r="B358" t="str">
        <f>IF(SEFAZ!A340="","",SEFAZ!A340)</f>
        <v/>
      </c>
      <c r="C358" t="str">
        <f>IF(SEFAZ!C340="","",SEFAZ!C340)</f>
        <v/>
      </c>
      <c r="D358" t="str">
        <f>IF(SEFAZ!D340="","",SEFAZ!D340)</f>
        <v/>
      </c>
      <c r="E358" s="7" t="str">
        <f>IF(SEFAZ!E340="","",SEFAZ!E340)</f>
        <v/>
      </c>
      <c r="F358" s="6" t="str">
        <f>IF(SEFAZ!F340="","",VALUE(SUBSTITUTE(SEFAZ!F340,"'","")))</f>
        <v/>
      </c>
      <c r="G358" t="str">
        <f>IF(SEFAZ!H340="","",SEFAZ!H340)</f>
        <v/>
      </c>
      <c r="H358" t="str">
        <f>IF(SEFAZ!L340="","",SEFAZ!L340)</f>
        <v/>
      </c>
      <c r="I358" t="str">
        <f>IF(SEFAZ!N340="","",SEFAZ!N340)</f>
        <v/>
      </c>
      <c r="J358" t="str">
        <f>IF(SEFAZ!O340="","",SEFAZ!O340)</f>
        <v/>
      </c>
      <c r="K358" s="11" t="str">
        <f>IF(SEFAZ!P340="","",SEFAZ!P340)</f>
        <v/>
      </c>
      <c r="L358" t="str" cm="1">
        <f t="array" aca="1" ref="L3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8" t="s">
        <v>35</v>
      </c>
      <c r="O358" s="36" t="str">
        <f>IF(SEFAZ!B340="","",SEFAZ!B340)</f>
        <v/>
      </c>
    </row>
    <row r="359" spans="2:15" x14ac:dyDescent="0.3">
      <c r="B359" t="str">
        <f>IF(SEFAZ!A341="","",SEFAZ!A341)</f>
        <v/>
      </c>
      <c r="C359" t="str">
        <f>IF(SEFAZ!C341="","",SEFAZ!C341)</f>
        <v/>
      </c>
      <c r="D359" t="str">
        <f>IF(SEFAZ!D341="","",SEFAZ!D341)</f>
        <v/>
      </c>
      <c r="E359" s="7" t="str">
        <f>IF(SEFAZ!E341="","",SEFAZ!E341)</f>
        <v/>
      </c>
      <c r="F359" s="6" t="str">
        <f>IF(SEFAZ!F341="","",VALUE(SUBSTITUTE(SEFAZ!F341,"'","")))</f>
        <v/>
      </c>
      <c r="G359" t="str">
        <f>IF(SEFAZ!H341="","",SEFAZ!H341)</f>
        <v/>
      </c>
      <c r="H359" t="str">
        <f>IF(SEFAZ!L341="","",SEFAZ!L341)</f>
        <v/>
      </c>
      <c r="I359" t="str">
        <f>IF(SEFAZ!N341="","",SEFAZ!N341)</f>
        <v/>
      </c>
      <c r="J359" t="str">
        <f>IF(SEFAZ!O341="","",SEFAZ!O341)</f>
        <v/>
      </c>
      <c r="K359" s="11" t="str">
        <f>IF(SEFAZ!P341="","",SEFAZ!P341)</f>
        <v/>
      </c>
      <c r="L359" t="str" cm="1">
        <f t="array" aca="1" ref="L3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59" t="s">
        <v>35</v>
      </c>
      <c r="O359" s="36" t="str">
        <f>IF(SEFAZ!B341="","",SEFAZ!B341)</f>
        <v/>
      </c>
    </row>
    <row r="360" spans="2:15" x14ac:dyDescent="0.3">
      <c r="B360" t="str">
        <f>IF(SEFAZ!A342="","",SEFAZ!A342)</f>
        <v/>
      </c>
      <c r="C360" t="str">
        <f>IF(SEFAZ!C342="","",SEFAZ!C342)</f>
        <v/>
      </c>
      <c r="D360" t="str">
        <f>IF(SEFAZ!D342="","",SEFAZ!D342)</f>
        <v/>
      </c>
      <c r="E360" s="7" t="str">
        <f>IF(SEFAZ!E342="","",SEFAZ!E342)</f>
        <v/>
      </c>
      <c r="F360" s="6" t="str">
        <f>IF(SEFAZ!F342="","",VALUE(SUBSTITUTE(SEFAZ!F342,"'","")))</f>
        <v/>
      </c>
      <c r="G360" t="str">
        <f>IF(SEFAZ!H342="","",SEFAZ!H342)</f>
        <v/>
      </c>
      <c r="H360" t="str">
        <f>IF(SEFAZ!L342="","",SEFAZ!L342)</f>
        <v/>
      </c>
      <c r="I360" t="str">
        <f>IF(SEFAZ!N342="","",SEFAZ!N342)</f>
        <v/>
      </c>
      <c r="J360" t="str">
        <f>IF(SEFAZ!O342="","",SEFAZ!O342)</f>
        <v/>
      </c>
      <c r="K360" s="11" t="str">
        <f>IF(SEFAZ!P342="","",SEFAZ!P342)</f>
        <v/>
      </c>
      <c r="L360" t="str" cm="1">
        <f t="array" aca="1" ref="L3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0" t="s">
        <v>35</v>
      </c>
      <c r="O360" s="36" t="str">
        <f>IF(SEFAZ!B342="","",SEFAZ!B342)</f>
        <v/>
      </c>
    </row>
    <row r="361" spans="2:15" x14ac:dyDescent="0.3">
      <c r="B361" t="str">
        <f>IF(SEFAZ!A343="","",SEFAZ!A343)</f>
        <v/>
      </c>
      <c r="C361" t="str">
        <f>IF(SEFAZ!C343="","",SEFAZ!C343)</f>
        <v/>
      </c>
      <c r="D361" t="str">
        <f>IF(SEFAZ!D343="","",SEFAZ!D343)</f>
        <v/>
      </c>
      <c r="E361" s="7" t="str">
        <f>IF(SEFAZ!E343="","",SEFAZ!E343)</f>
        <v/>
      </c>
      <c r="F361" s="6" t="str">
        <f>IF(SEFAZ!F343="","",VALUE(SUBSTITUTE(SEFAZ!F343,"'","")))</f>
        <v/>
      </c>
      <c r="G361" t="str">
        <f>IF(SEFAZ!H343="","",SEFAZ!H343)</f>
        <v/>
      </c>
      <c r="H361" t="str">
        <f>IF(SEFAZ!L343="","",SEFAZ!L343)</f>
        <v/>
      </c>
      <c r="I361" t="str">
        <f>IF(SEFAZ!N343="","",SEFAZ!N343)</f>
        <v/>
      </c>
      <c r="J361" t="str">
        <f>IF(SEFAZ!O343="","",SEFAZ!O343)</f>
        <v/>
      </c>
      <c r="K361" s="11" t="str">
        <f>IF(SEFAZ!P343="","",SEFAZ!P343)</f>
        <v/>
      </c>
      <c r="L361" t="str" cm="1">
        <f t="array" aca="1" ref="L3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1" t="s">
        <v>35</v>
      </c>
      <c r="O361" s="36" t="str">
        <f>IF(SEFAZ!B343="","",SEFAZ!B343)</f>
        <v/>
      </c>
    </row>
    <row r="362" spans="2:15" x14ac:dyDescent="0.3">
      <c r="B362" t="str">
        <f>IF(SEFAZ!A344="","",SEFAZ!A344)</f>
        <v/>
      </c>
      <c r="C362" t="str">
        <f>IF(SEFAZ!C344="","",SEFAZ!C344)</f>
        <v/>
      </c>
      <c r="D362" t="str">
        <f>IF(SEFAZ!D344="","",SEFAZ!D344)</f>
        <v/>
      </c>
      <c r="E362" s="7" t="str">
        <f>IF(SEFAZ!E344="","",SEFAZ!E344)</f>
        <v/>
      </c>
      <c r="F362" s="6" t="str">
        <f>IF(SEFAZ!F344="","",VALUE(SUBSTITUTE(SEFAZ!F344,"'","")))</f>
        <v/>
      </c>
      <c r="G362" t="str">
        <f>IF(SEFAZ!H344="","",SEFAZ!H344)</f>
        <v/>
      </c>
      <c r="H362" t="str">
        <f>IF(SEFAZ!L344="","",SEFAZ!L344)</f>
        <v/>
      </c>
      <c r="I362" t="str">
        <f>IF(SEFAZ!N344="","",SEFAZ!N344)</f>
        <v/>
      </c>
      <c r="J362" t="str">
        <f>IF(SEFAZ!O344="","",SEFAZ!O344)</f>
        <v/>
      </c>
      <c r="K362" s="11" t="str">
        <f>IF(SEFAZ!P344="","",SEFAZ!P344)</f>
        <v/>
      </c>
      <c r="L362" t="str" cm="1">
        <f t="array" aca="1" ref="L3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2" t="s">
        <v>35</v>
      </c>
      <c r="O362" s="36" t="str">
        <f>IF(SEFAZ!B344="","",SEFAZ!B344)</f>
        <v/>
      </c>
    </row>
    <row r="363" spans="2:15" x14ac:dyDescent="0.3">
      <c r="B363" t="str">
        <f>IF(SEFAZ!A345="","",SEFAZ!A345)</f>
        <v/>
      </c>
      <c r="C363" t="str">
        <f>IF(SEFAZ!C345="","",SEFAZ!C345)</f>
        <v/>
      </c>
      <c r="D363" t="str">
        <f>IF(SEFAZ!D345="","",SEFAZ!D345)</f>
        <v/>
      </c>
      <c r="E363" s="7" t="str">
        <f>IF(SEFAZ!E345="","",SEFAZ!E345)</f>
        <v/>
      </c>
      <c r="F363" s="6" t="str">
        <f>IF(SEFAZ!F345="","",VALUE(SUBSTITUTE(SEFAZ!F345,"'","")))</f>
        <v/>
      </c>
      <c r="G363" t="str">
        <f>IF(SEFAZ!H345="","",SEFAZ!H345)</f>
        <v/>
      </c>
      <c r="H363" t="str">
        <f>IF(SEFAZ!L345="","",SEFAZ!L345)</f>
        <v/>
      </c>
      <c r="I363" t="str">
        <f>IF(SEFAZ!N345="","",SEFAZ!N345)</f>
        <v/>
      </c>
      <c r="J363" t="str">
        <f>IF(SEFAZ!O345="","",SEFAZ!O345)</f>
        <v/>
      </c>
      <c r="K363" s="11" t="str">
        <f>IF(SEFAZ!P345="","",SEFAZ!P345)</f>
        <v/>
      </c>
      <c r="L363" t="str" cm="1">
        <f t="array" aca="1" ref="L3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3" t="s">
        <v>35</v>
      </c>
      <c r="O363" s="36" t="str">
        <f>IF(SEFAZ!B345="","",SEFAZ!B345)</f>
        <v/>
      </c>
    </row>
    <row r="364" spans="2:15" x14ac:dyDescent="0.3">
      <c r="B364" t="str">
        <f>IF(SEFAZ!A346="","",SEFAZ!A346)</f>
        <v/>
      </c>
      <c r="C364" t="str">
        <f>IF(SEFAZ!C346="","",SEFAZ!C346)</f>
        <v/>
      </c>
      <c r="D364" t="str">
        <f>IF(SEFAZ!D346="","",SEFAZ!D346)</f>
        <v/>
      </c>
      <c r="E364" s="7" t="str">
        <f>IF(SEFAZ!E346="","",SEFAZ!E346)</f>
        <v/>
      </c>
      <c r="F364" s="6" t="str">
        <f>IF(SEFAZ!F346="","",VALUE(SUBSTITUTE(SEFAZ!F346,"'","")))</f>
        <v/>
      </c>
      <c r="G364" t="str">
        <f>IF(SEFAZ!H346="","",SEFAZ!H346)</f>
        <v/>
      </c>
      <c r="H364" t="str">
        <f>IF(SEFAZ!L346="","",SEFAZ!L346)</f>
        <v/>
      </c>
      <c r="I364" t="str">
        <f>IF(SEFAZ!N346="","",SEFAZ!N346)</f>
        <v/>
      </c>
      <c r="J364" t="str">
        <f>IF(SEFAZ!O346="","",SEFAZ!O346)</f>
        <v/>
      </c>
      <c r="K364" s="11" t="str">
        <f>IF(SEFAZ!P346="","",SEFAZ!P346)</f>
        <v/>
      </c>
      <c r="L364" t="str" cm="1">
        <f t="array" aca="1" ref="L3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4" t="s">
        <v>35</v>
      </c>
      <c r="O364" s="36" t="str">
        <f>IF(SEFAZ!B346="","",SEFAZ!B346)</f>
        <v/>
      </c>
    </row>
    <row r="365" spans="2:15" x14ac:dyDescent="0.3">
      <c r="B365" t="str">
        <f>IF(SEFAZ!A347="","",SEFAZ!A347)</f>
        <v/>
      </c>
      <c r="C365" t="str">
        <f>IF(SEFAZ!C347="","",SEFAZ!C347)</f>
        <v/>
      </c>
      <c r="D365" t="str">
        <f>IF(SEFAZ!D347="","",SEFAZ!D347)</f>
        <v/>
      </c>
      <c r="E365" s="7" t="str">
        <f>IF(SEFAZ!E347="","",SEFAZ!E347)</f>
        <v/>
      </c>
      <c r="F365" s="6" t="str">
        <f>IF(SEFAZ!F347="","",VALUE(SUBSTITUTE(SEFAZ!F347,"'","")))</f>
        <v/>
      </c>
      <c r="G365" t="str">
        <f>IF(SEFAZ!H347="","",SEFAZ!H347)</f>
        <v/>
      </c>
      <c r="H365" t="str">
        <f>IF(SEFAZ!L347="","",SEFAZ!L347)</f>
        <v/>
      </c>
      <c r="I365" t="str">
        <f>IF(SEFAZ!N347="","",SEFAZ!N347)</f>
        <v/>
      </c>
      <c r="J365" t="str">
        <f>IF(SEFAZ!O347="","",SEFAZ!O347)</f>
        <v/>
      </c>
      <c r="K365" s="11" t="str">
        <f>IF(SEFAZ!P347="","",SEFAZ!P347)</f>
        <v/>
      </c>
      <c r="L365" t="str" cm="1">
        <f t="array" aca="1" ref="L3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5" t="s">
        <v>35</v>
      </c>
      <c r="O365" s="36" t="str">
        <f>IF(SEFAZ!B347="","",SEFAZ!B347)</f>
        <v/>
      </c>
    </row>
    <row r="366" spans="2:15" x14ac:dyDescent="0.3">
      <c r="B366" t="str">
        <f>IF(SEFAZ!A348="","",SEFAZ!A348)</f>
        <v/>
      </c>
      <c r="C366" t="str">
        <f>IF(SEFAZ!C348="","",SEFAZ!C348)</f>
        <v/>
      </c>
      <c r="D366" t="str">
        <f>IF(SEFAZ!D348="","",SEFAZ!D348)</f>
        <v/>
      </c>
      <c r="E366" s="7" t="str">
        <f>IF(SEFAZ!E348="","",SEFAZ!E348)</f>
        <v/>
      </c>
      <c r="F366" s="6" t="str">
        <f>IF(SEFAZ!F348="","",VALUE(SUBSTITUTE(SEFAZ!F348,"'","")))</f>
        <v/>
      </c>
      <c r="G366" t="str">
        <f>IF(SEFAZ!H348="","",SEFAZ!H348)</f>
        <v/>
      </c>
      <c r="H366" t="str">
        <f>IF(SEFAZ!L348="","",SEFAZ!L348)</f>
        <v/>
      </c>
      <c r="I366" t="str">
        <f>IF(SEFAZ!N348="","",SEFAZ!N348)</f>
        <v/>
      </c>
      <c r="J366" t="str">
        <f>IF(SEFAZ!O348="","",SEFAZ!O348)</f>
        <v/>
      </c>
      <c r="K366" s="11" t="str">
        <f>IF(SEFAZ!P348="","",SEFAZ!P348)</f>
        <v/>
      </c>
      <c r="L366" t="str" cm="1">
        <f t="array" aca="1" ref="L3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6" t="s">
        <v>35</v>
      </c>
      <c r="O366" s="36" t="str">
        <f>IF(SEFAZ!B348="","",SEFAZ!B348)</f>
        <v/>
      </c>
    </row>
    <row r="367" spans="2:15" x14ac:dyDescent="0.3">
      <c r="B367" t="str">
        <f>IF(SEFAZ!A349="","",SEFAZ!A349)</f>
        <v/>
      </c>
      <c r="C367" t="str">
        <f>IF(SEFAZ!C349="","",SEFAZ!C349)</f>
        <v/>
      </c>
      <c r="D367" t="str">
        <f>IF(SEFAZ!D349="","",SEFAZ!D349)</f>
        <v/>
      </c>
      <c r="E367" s="7" t="str">
        <f>IF(SEFAZ!E349="","",SEFAZ!E349)</f>
        <v/>
      </c>
      <c r="F367" s="6" t="str">
        <f>IF(SEFAZ!F349="","",VALUE(SUBSTITUTE(SEFAZ!F349,"'","")))</f>
        <v/>
      </c>
      <c r="G367" t="str">
        <f>IF(SEFAZ!H349="","",SEFAZ!H349)</f>
        <v/>
      </c>
      <c r="H367" t="str">
        <f>IF(SEFAZ!L349="","",SEFAZ!L349)</f>
        <v/>
      </c>
      <c r="I367" t="str">
        <f>IF(SEFAZ!N349="","",SEFAZ!N349)</f>
        <v/>
      </c>
      <c r="J367" t="str">
        <f>IF(SEFAZ!O349="","",SEFAZ!O349)</f>
        <v/>
      </c>
      <c r="K367" s="11" t="str">
        <f>IF(SEFAZ!P349="","",SEFAZ!P349)</f>
        <v/>
      </c>
      <c r="L367" t="str" cm="1">
        <f t="array" aca="1" ref="L3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7" t="s">
        <v>35</v>
      </c>
      <c r="O367" s="36" t="str">
        <f>IF(SEFAZ!B349="","",SEFAZ!B349)</f>
        <v/>
      </c>
    </row>
    <row r="368" spans="2:15" x14ac:dyDescent="0.3">
      <c r="B368" t="str">
        <f>IF(SEFAZ!A350="","",SEFAZ!A350)</f>
        <v/>
      </c>
      <c r="C368" t="str">
        <f>IF(SEFAZ!C350="","",SEFAZ!C350)</f>
        <v/>
      </c>
      <c r="D368" t="str">
        <f>IF(SEFAZ!D350="","",SEFAZ!D350)</f>
        <v/>
      </c>
      <c r="E368" s="7" t="str">
        <f>IF(SEFAZ!E350="","",SEFAZ!E350)</f>
        <v/>
      </c>
      <c r="F368" s="6" t="str">
        <f>IF(SEFAZ!F350="","",VALUE(SUBSTITUTE(SEFAZ!F350,"'","")))</f>
        <v/>
      </c>
      <c r="G368" t="str">
        <f>IF(SEFAZ!H350="","",SEFAZ!H350)</f>
        <v/>
      </c>
      <c r="H368" t="str">
        <f>IF(SEFAZ!L350="","",SEFAZ!L350)</f>
        <v/>
      </c>
      <c r="I368" t="str">
        <f>IF(SEFAZ!N350="","",SEFAZ!N350)</f>
        <v/>
      </c>
      <c r="J368" t="str">
        <f>IF(SEFAZ!O350="","",SEFAZ!O350)</f>
        <v/>
      </c>
      <c r="K368" s="11" t="str">
        <f>IF(SEFAZ!P350="","",SEFAZ!P350)</f>
        <v/>
      </c>
      <c r="L368" t="str" cm="1">
        <f t="array" aca="1" ref="L3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8" t="s">
        <v>35</v>
      </c>
      <c r="O368" s="36" t="str">
        <f>IF(SEFAZ!B350="","",SEFAZ!B350)</f>
        <v/>
      </c>
    </row>
    <row r="369" spans="2:15" x14ac:dyDescent="0.3">
      <c r="B369" t="str">
        <f>IF(SEFAZ!A351="","",SEFAZ!A351)</f>
        <v/>
      </c>
      <c r="C369" t="str">
        <f>IF(SEFAZ!C351="","",SEFAZ!C351)</f>
        <v/>
      </c>
      <c r="D369" t="str">
        <f>IF(SEFAZ!D351="","",SEFAZ!D351)</f>
        <v/>
      </c>
      <c r="E369" s="7" t="str">
        <f>IF(SEFAZ!E351="","",SEFAZ!E351)</f>
        <v/>
      </c>
      <c r="F369" s="6" t="str">
        <f>IF(SEFAZ!F351="","",VALUE(SUBSTITUTE(SEFAZ!F351,"'","")))</f>
        <v/>
      </c>
      <c r="G369" t="str">
        <f>IF(SEFAZ!H351="","",SEFAZ!H351)</f>
        <v/>
      </c>
      <c r="H369" t="str">
        <f>IF(SEFAZ!L351="","",SEFAZ!L351)</f>
        <v/>
      </c>
      <c r="I369" t="str">
        <f>IF(SEFAZ!N351="","",SEFAZ!N351)</f>
        <v/>
      </c>
      <c r="J369" t="str">
        <f>IF(SEFAZ!O351="","",SEFAZ!O351)</f>
        <v/>
      </c>
      <c r="K369" s="11" t="str">
        <f>IF(SEFAZ!P351="","",SEFAZ!P351)</f>
        <v/>
      </c>
      <c r="L369" t="str" cm="1">
        <f t="array" aca="1" ref="L3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69" t="s">
        <v>35</v>
      </c>
      <c r="O369" s="36" t="str">
        <f>IF(SEFAZ!B351="","",SEFAZ!B351)</f>
        <v/>
      </c>
    </row>
    <row r="370" spans="2:15" x14ac:dyDescent="0.3">
      <c r="B370" t="str">
        <f>IF(SEFAZ!A352="","",SEFAZ!A352)</f>
        <v/>
      </c>
      <c r="C370" t="str">
        <f>IF(SEFAZ!C352="","",SEFAZ!C352)</f>
        <v/>
      </c>
      <c r="D370" t="str">
        <f>IF(SEFAZ!D352="","",SEFAZ!D352)</f>
        <v/>
      </c>
      <c r="E370" s="7" t="str">
        <f>IF(SEFAZ!E352="","",SEFAZ!E352)</f>
        <v/>
      </c>
      <c r="F370" s="6" t="str">
        <f>IF(SEFAZ!F352="","",VALUE(SUBSTITUTE(SEFAZ!F352,"'","")))</f>
        <v/>
      </c>
      <c r="G370" t="str">
        <f>IF(SEFAZ!H352="","",SEFAZ!H352)</f>
        <v/>
      </c>
      <c r="H370" t="str">
        <f>IF(SEFAZ!L352="","",SEFAZ!L352)</f>
        <v/>
      </c>
      <c r="I370" t="str">
        <f>IF(SEFAZ!N352="","",SEFAZ!N352)</f>
        <v/>
      </c>
      <c r="J370" t="str">
        <f>IF(SEFAZ!O352="","",SEFAZ!O352)</f>
        <v/>
      </c>
      <c r="K370" s="11" t="str">
        <f>IF(SEFAZ!P352="","",SEFAZ!P352)</f>
        <v/>
      </c>
      <c r="L370" t="str" cm="1">
        <f t="array" aca="1" ref="L3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0" t="s">
        <v>35</v>
      </c>
      <c r="O370" s="36" t="str">
        <f>IF(SEFAZ!B352="","",SEFAZ!B352)</f>
        <v/>
      </c>
    </row>
    <row r="371" spans="2:15" x14ac:dyDescent="0.3">
      <c r="B371" t="str">
        <f>IF(SEFAZ!A353="","",SEFAZ!A353)</f>
        <v/>
      </c>
      <c r="C371" t="str">
        <f>IF(SEFAZ!C353="","",SEFAZ!C353)</f>
        <v/>
      </c>
      <c r="D371" t="str">
        <f>IF(SEFAZ!D353="","",SEFAZ!D353)</f>
        <v/>
      </c>
      <c r="E371" s="7" t="str">
        <f>IF(SEFAZ!E353="","",SEFAZ!E353)</f>
        <v/>
      </c>
      <c r="F371" s="6" t="str">
        <f>IF(SEFAZ!F353="","",VALUE(SUBSTITUTE(SEFAZ!F353,"'","")))</f>
        <v/>
      </c>
      <c r="G371" t="str">
        <f>IF(SEFAZ!H353="","",SEFAZ!H353)</f>
        <v/>
      </c>
      <c r="H371" t="str">
        <f>IF(SEFAZ!L353="","",SEFAZ!L353)</f>
        <v/>
      </c>
      <c r="I371" t="str">
        <f>IF(SEFAZ!N353="","",SEFAZ!N353)</f>
        <v/>
      </c>
      <c r="J371" t="str">
        <f>IF(SEFAZ!O353="","",SEFAZ!O353)</f>
        <v/>
      </c>
      <c r="K371" s="11" t="str">
        <f>IF(SEFAZ!P353="","",SEFAZ!P353)</f>
        <v/>
      </c>
      <c r="L371" t="str" cm="1">
        <f t="array" aca="1" ref="L3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1" t="s">
        <v>35</v>
      </c>
      <c r="O371" s="36" t="str">
        <f>IF(SEFAZ!B353="","",SEFAZ!B353)</f>
        <v/>
      </c>
    </row>
    <row r="372" spans="2:15" x14ac:dyDescent="0.3">
      <c r="B372" t="str">
        <f>IF(SEFAZ!A354="","",SEFAZ!A354)</f>
        <v/>
      </c>
      <c r="C372" t="str">
        <f>IF(SEFAZ!C354="","",SEFAZ!C354)</f>
        <v/>
      </c>
      <c r="D372" t="str">
        <f>IF(SEFAZ!D354="","",SEFAZ!D354)</f>
        <v/>
      </c>
      <c r="E372" s="7" t="str">
        <f>IF(SEFAZ!E354="","",SEFAZ!E354)</f>
        <v/>
      </c>
      <c r="F372" s="6" t="str">
        <f>IF(SEFAZ!F354="","",VALUE(SUBSTITUTE(SEFAZ!F354,"'","")))</f>
        <v/>
      </c>
      <c r="G372" t="str">
        <f>IF(SEFAZ!H354="","",SEFAZ!H354)</f>
        <v/>
      </c>
      <c r="H372" t="str">
        <f>IF(SEFAZ!L354="","",SEFAZ!L354)</f>
        <v/>
      </c>
      <c r="I372" t="str">
        <f>IF(SEFAZ!N354="","",SEFAZ!N354)</f>
        <v/>
      </c>
      <c r="J372" t="str">
        <f>IF(SEFAZ!O354="","",SEFAZ!O354)</f>
        <v/>
      </c>
      <c r="K372" s="11" t="str">
        <f>IF(SEFAZ!P354="","",SEFAZ!P354)</f>
        <v/>
      </c>
      <c r="L372" t="str" cm="1">
        <f t="array" aca="1" ref="L3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2" t="s">
        <v>35</v>
      </c>
      <c r="O372" s="36" t="str">
        <f>IF(SEFAZ!B354="","",SEFAZ!B354)</f>
        <v/>
      </c>
    </row>
    <row r="373" spans="2:15" x14ac:dyDescent="0.3">
      <c r="B373" t="str">
        <f>IF(SEFAZ!A355="","",SEFAZ!A355)</f>
        <v/>
      </c>
      <c r="C373" t="str">
        <f>IF(SEFAZ!C355="","",SEFAZ!C355)</f>
        <v/>
      </c>
      <c r="D373" t="str">
        <f>IF(SEFAZ!D355="","",SEFAZ!D355)</f>
        <v/>
      </c>
      <c r="E373" s="7" t="str">
        <f>IF(SEFAZ!E355="","",SEFAZ!E355)</f>
        <v/>
      </c>
      <c r="F373" s="6" t="str">
        <f>IF(SEFAZ!F355="","",VALUE(SUBSTITUTE(SEFAZ!F355,"'","")))</f>
        <v/>
      </c>
      <c r="G373" t="str">
        <f>IF(SEFAZ!H355="","",SEFAZ!H355)</f>
        <v/>
      </c>
      <c r="H373" t="str">
        <f>IF(SEFAZ!L355="","",SEFAZ!L355)</f>
        <v/>
      </c>
      <c r="I373" t="str">
        <f>IF(SEFAZ!N355="","",SEFAZ!N355)</f>
        <v/>
      </c>
      <c r="J373" t="str">
        <f>IF(SEFAZ!O355="","",SEFAZ!O355)</f>
        <v/>
      </c>
      <c r="K373" s="11" t="str">
        <f>IF(SEFAZ!P355="","",SEFAZ!P355)</f>
        <v/>
      </c>
      <c r="L373" t="str" cm="1">
        <f t="array" aca="1" ref="L3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3" t="s">
        <v>35</v>
      </c>
      <c r="O373" s="36" t="str">
        <f>IF(SEFAZ!B355="","",SEFAZ!B355)</f>
        <v/>
      </c>
    </row>
    <row r="374" spans="2:15" x14ac:dyDescent="0.3">
      <c r="B374" t="str">
        <f>IF(SEFAZ!A356="","",SEFAZ!A356)</f>
        <v/>
      </c>
      <c r="C374" t="str">
        <f>IF(SEFAZ!C356="","",SEFAZ!C356)</f>
        <v/>
      </c>
      <c r="D374" t="str">
        <f>IF(SEFAZ!D356="","",SEFAZ!D356)</f>
        <v/>
      </c>
      <c r="E374" s="7" t="str">
        <f>IF(SEFAZ!E356="","",SEFAZ!E356)</f>
        <v/>
      </c>
      <c r="F374" s="6" t="str">
        <f>IF(SEFAZ!F356="","",VALUE(SUBSTITUTE(SEFAZ!F356,"'","")))</f>
        <v/>
      </c>
      <c r="G374" t="str">
        <f>IF(SEFAZ!H356="","",SEFAZ!H356)</f>
        <v/>
      </c>
      <c r="H374" t="str">
        <f>IF(SEFAZ!L356="","",SEFAZ!L356)</f>
        <v/>
      </c>
      <c r="I374" t="str">
        <f>IF(SEFAZ!N356="","",SEFAZ!N356)</f>
        <v/>
      </c>
      <c r="J374" t="str">
        <f>IF(SEFAZ!O356="","",SEFAZ!O356)</f>
        <v/>
      </c>
      <c r="K374" s="11" t="str">
        <f>IF(SEFAZ!P356="","",SEFAZ!P356)</f>
        <v/>
      </c>
      <c r="L374" t="str" cm="1">
        <f t="array" aca="1" ref="L3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4" t="s">
        <v>35</v>
      </c>
      <c r="O374" s="36" t="str">
        <f>IF(SEFAZ!B356="","",SEFAZ!B356)</f>
        <v/>
      </c>
    </row>
    <row r="375" spans="2:15" x14ac:dyDescent="0.3">
      <c r="B375" t="str">
        <f>IF(SEFAZ!A357="","",SEFAZ!A357)</f>
        <v/>
      </c>
      <c r="C375" t="str">
        <f>IF(SEFAZ!C357="","",SEFAZ!C357)</f>
        <v/>
      </c>
      <c r="D375" t="str">
        <f>IF(SEFAZ!D357="","",SEFAZ!D357)</f>
        <v/>
      </c>
      <c r="E375" s="7" t="str">
        <f>IF(SEFAZ!E357="","",SEFAZ!E357)</f>
        <v/>
      </c>
      <c r="F375" s="6" t="str">
        <f>IF(SEFAZ!F357="","",VALUE(SUBSTITUTE(SEFAZ!F357,"'","")))</f>
        <v/>
      </c>
      <c r="G375" t="str">
        <f>IF(SEFAZ!H357="","",SEFAZ!H357)</f>
        <v/>
      </c>
      <c r="H375" t="str">
        <f>IF(SEFAZ!L357="","",SEFAZ!L357)</f>
        <v/>
      </c>
      <c r="I375" t="str">
        <f>IF(SEFAZ!N357="","",SEFAZ!N357)</f>
        <v/>
      </c>
      <c r="J375" t="str">
        <f>IF(SEFAZ!O357="","",SEFAZ!O357)</f>
        <v/>
      </c>
      <c r="K375" s="11" t="str">
        <f>IF(SEFAZ!P357="","",SEFAZ!P357)</f>
        <v/>
      </c>
      <c r="L375" t="str" cm="1">
        <f t="array" aca="1" ref="L3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5" t="s">
        <v>35</v>
      </c>
      <c r="O375" s="36" t="str">
        <f>IF(SEFAZ!B357="","",SEFAZ!B357)</f>
        <v/>
      </c>
    </row>
    <row r="376" spans="2:15" x14ac:dyDescent="0.3">
      <c r="B376" t="str">
        <f>IF(SEFAZ!A358="","",SEFAZ!A358)</f>
        <v/>
      </c>
      <c r="C376" t="str">
        <f>IF(SEFAZ!C358="","",SEFAZ!C358)</f>
        <v/>
      </c>
      <c r="D376" t="str">
        <f>IF(SEFAZ!D358="","",SEFAZ!D358)</f>
        <v/>
      </c>
      <c r="E376" s="7" t="str">
        <f>IF(SEFAZ!E358="","",SEFAZ!E358)</f>
        <v/>
      </c>
      <c r="F376" s="6" t="str">
        <f>IF(SEFAZ!F358="","",VALUE(SUBSTITUTE(SEFAZ!F358,"'","")))</f>
        <v/>
      </c>
      <c r="G376" t="str">
        <f>IF(SEFAZ!H358="","",SEFAZ!H358)</f>
        <v/>
      </c>
      <c r="H376" t="str">
        <f>IF(SEFAZ!L358="","",SEFAZ!L358)</f>
        <v/>
      </c>
      <c r="I376" t="str">
        <f>IF(SEFAZ!N358="","",SEFAZ!N358)</f>
        <v/>
      </c>
      <c r="J376" t="str">
        <f>IF(SEFAZ!O358="","",SEFAZ!O358)</f>
        <v/>
      </c>
      <c r="K376" s="11" t="str">
        <f>IF(SEFAZ!P358="","",SEFAZ!P358)</f>
        <v/>
      </c>
      <c r="L376" t="str" cm="1">
        <f t="array" aca="1" ref="L3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6" t="s">
        <v>35</v>
      </c>
      <c r="O376" s="36" t="str">
        <f>IF(SEFAZ!B358="","",SEFAZ!B358)</f>
        <v/>
      </c>
    </row>
    <row r="377" spans="2:15" x14ac:dyDescent="0.3">
      <c r="B377" t="str">
        <f>IF(SEFAZ!A359="","",SEFAZ!A359)</f>
        <v/>
      </c>
      <c r="C377" t="str">
        <f>IF(SEFAZ!C359="","",SEFAZ!C359)</f>
        <v/>
      </c>
      <c r="D377" t="str">
        <f>IF(SEFAZ!D359="","",SEFAZ!D359)</f>
        <v/>
      </c>
      <c r="E377" s="7" t="str">
        <f>IF(SEFAZ!E359="","",SEFAZ!E359)</f>
        <v/>
      </c>
      <c r="F377" s="6" t="str">
        <f>IF(SEFAZ!F359="","",VALUE(SUBSTITUTE(SEFAZ!F359,"'","")))</f>
        <v/>
      </c>
      <c r="G377" t="str">
        <f>IF(SEFAZ!H359="","",SEFAZ!H359)</f>
        <v/>
      </c>
      <c r="H377" t="str">
        <f>IF(SEFAZ!L359="","",SEFAZ!L359)</f>
        <v/>
      </c>
      <c r="I377" t="str">
        <f>IF(SEFAZ!N359="","",SEFAZ!N359)</f>
        <v/>
      </c>
      <c r="J377" t="str">
        <f>IF(SEFAZ!O359="","",SEFAZ!O359)</f>
        <v/>
      </c>
      <c r="K377" s="11" t="str">
        <f>IF(SEFAZ!P359="","",SEFAZ!P359)</f>
        <v/>
      </c>
      <c r="L377" t="str" cm="1">
        <f t="array" aca="1" ref="L3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7" t="s">
        <v>35</v>
      </c>
      <c r="O377" s="36" t="str">
        <f>IF(SEFAZ!B359="","",SEFAZ!B359)</f>
        <v/>
      </c>
    </row>
    <row r="378" spans="2:15" x14ac:dyDescent="0.3">
      <c r="B378" t="str">
        <f>IF(SEFAZ!A360="","",SEFAZ!A360)</f>
        <v/>
      </c>
      <c r="C378" t="str">
        <f>IF(SEFAZ!C360="","",SEFAZ!C360)</f>
        <v/>
      </c>
      <c r="D378" t="str">
        <f>IF(SEFAZ!D360="","",SEFAZ!D360)</f>
        <v/>
      </c>
      <c r="E378" s="7" t="str">
        <f>IF(SEFAZ!E360="","",SEFAZ!E360)</f>
        <v/>
      </c>
      <c r="F378" s="6" t="str">
        <f>IF(SEFAZ!F360="","",VALUE(SUBSTITUTE(SEFAZ!F360,"'","")))</f>
        <v/>
      </c>
      <c r="G378" t="str">
        <f>IF(SEFAZ!H360="","",SEFAZ!H360)</f>
        <v/>
      </c>
      <c r="H378" t="str">
        <f>IF(SEFAZ!L360="","",SEFAZ!L360)</f>
        <v/>
      </c>
      <c r="I378" t="str">
        <f>IF(SEFAZ!N360="","",SEFAZ!N360)</f>
        <v/>
      </c>
      <c r="J378" t="str">
        <f>IF(SEFAZ!O360="","",SEFAZ!O360)</f>
        <v/>
      </c>
      <c r="K378" s="11" t="str">
        <f>IF(SEFAZ!P360="","",SEFAZ!P360)</f>
        <v/>
      </c>
      <c r="L378" t="str" cm="1">
        <f t="array" aca="1" ref="L3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8" t="s">
        <v>35</v>
      </c>
      <c r="O378" s="36" t="str">
        <f>IF(SEFAZ!B360="","",SEFAZ!B360)</f>
        <v/>
      </c>
    </row>
    <row r="379" spans="2:15" x14ac:dyDescent="0.3">
      <c r="B379" t="str">
        <f>IF(SEFAZ!A361="","",SEFAZ!A361)</f>
        <v/>
      </c>
      <c r="C379" t="str">
        <f>IF(SEFAZ!C361="","",SEFAZ!C361)</f>
        <v/>
      </c>
      <c r="D379" t="str">
        <f>IF(SEFAZ!D361="","",SEFAZ!D361)</f>
        <v/>
      </c>
      <c r="E379" s="7" t="str">
        <f>IF(SEFAZ!E361="","",SEFAZ!E361)</f>
        <v/>
      </c>
      <c r="F379" s="6" t="str">
        <f>IF(SEFAZ!F361="","",VALUE(SUBSTITUTE(SEFAZ!F361,"'","")))</f>
        <v/>
      </c>
      <c r="G379" t="str">
        <f>IF(SEFAZ!H361="","",SEFAZ!H361)</f>
        <v/>
      </c>
      <c r="H379" t="str">
        <f>IF(SEFAZ!L361="","",SEFAZ!L361)</f>
        <v/>
      </c>
      <c r="I379" t="str">
        <f>IF(SEFAZ!N361="","",SEFAZ!N361)</f>
        <v/>
      </c>
      <c r="J379" t="str">
        <f>IF(SEFAZ!O361="","",SEFAZ!O361)</f>
        <v/>
      </c>
      <c r="K379" s="11" t="str">
        <f>IF(SEFAZ!P361="","",SEFAZ!P361)</f>
        <v/>
      </c>
      <c r="L379" t="str" cm="1">
        <f t="array" aca="1" ref="L3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79" t="s">
        <v>35</v>
      </c>
      <c r="O379" s="36" t="str">
        <f>IF(SEFAZ!B361="","",SEFAZ!B361)</f>
        <v/>
      </c>
    </row>
    <row r="380" spans="2:15" x14ac:dyDescent="0.3">
      <c r="B380" t="str">
        <f>IF(SEFAZ!A362="","",SEFAZ!A362)</f>
        <v/>
      </c>
      <c r="C380" t="str">
        <f>IF(SEFAZ!C362="","",SEFAZ!C362)</f>
        <v/>
      </c>
      <c r="D380" t="str">
        <f>IF(SEFAZ!D362="","",SEFAZ!D362)</f>
        <v/>
      </c>
      <c r="E380" s="7" t="str">
        <f>IF(SEFAZ!E362="","",SEFAZ!E362)</f>
        <v/>
      </c>
      <c r="F380" s="6" t="str">
        <f>IF(SEFAZ!F362="","",VALUE(SUBSTITUTE(SEFAZ!F362,"'","")))</f>
        <v/>
      </c>
      <c r="G380" t="str">
        <f>IF(SEFAZ!H362="","",SEFAZ!H362)</f>
        <v/>
      </c>
      <c r="H380" t="str">
        <f>IF(SEFAZ!L362="","",SEFAZ!L362)</f>
        <v/>
      </c>
      <c r="I380" t="str">
        <f>IF(SEFAZ!N362="","",SEFAZ!N362)</f>
        <v/>
      </c>
      <c r="J380" t="str">
        <f>IF(SEFAZ!O362="","",SEFAZ!O362)</f>
        <v/>
      </c>
      <c r="K380" s="11" t="str">
        <f>IF(SEFAZ!P362="","",SEFAZ!P362)</f>
        <v/>
      </c>
      <c r="L380" t="str" cm="1">
        <f t="array" aca="1" ref="L3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0" t="s">
        <v>35</v>
      </c>
      <c r="O380" s="36" t="str">
        <f>IF(SEFAZ!B362="","",SEFAZ!B362)</f>
        <v/>
      </c>
    </row>
    <row r="381" spans="2:15" x14ac:dyDescent="0.3">
      <c r="B381" t="str">
        <f>IF(SEFAZ!A363="","",SEFAZ!A363)</f>
        <v/>
      </c>
      <c r="C381" t="str">
        <f>IF(SEFAZ!C363="","",SEFAZ!C363)</f>
        <v/>
      </c>
      <c r="D381" t="str">
        <f>IF(SEFAZ!D363="","",SEFAZ!D363)</f>
        <v/>
      </c>
      <c r="E381" s="7" t="str">
        <f>IF(SEFAZ!E363="","",SEFAZ!E363)</f>
        <v/>
      </c>
      <c r="F381" s="6" t="str">
        <f>IF(SEFAZ!F363="","",VALUE(SUBSTITUTE(SEFAZ!F363,"'","")))</f>
        <v/>
      </c>
      <c r="G381" t="str">
        <f>IF(SEFAZ!H363="","",SEFAZ!H363)</f>
        <v/>
      </c>
      <c r="H381" t="str">
        <f>IF(SEFAZ!L363="","",SEFAZ!L363)</f>
        <v/>
      </c>
      <c r="I381" t="str">
        <f>IF(SEFAZ!N363="","",SEFAZ!N363)</f>
        <v/>
      </c>
      <c r="J381" t="str">
        <f>IF(SEFAZ!O363="","",SEFAZ!O363)</f>
        <v/>
      </c>
      <c r="K381" s="11" t="str">
        <f>IF(SEFAZ!P363="","",SEFAZ!P363)</f>
        <v/>
      </c>
      <c r="L381" t="str" cm="1">
        <f t="array" aca="1" ref="L3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1" t="s">
        <v>35</v>
      </c>
      <c r="O381" s="36" t="str">
        <f>IF(SEFAZ!B363="","",SEFAZ!B363)</f>
        <v/>
      </c>
    </row>
    <row r="382" spans="2:15" x14ac:dyDescent="0.3">
      <c r="B382" t="str">
        <f>IF(SEFAZ!A364="","",SEFAZ!A364)</f>
        <v/>
      </c>
      <c r="C382" t="str">
        <f>IF(SEFAZ!C364="","",SEFAZ!C364)</f>
        <v/>
      </c>
      <c r="D382" t="str">
        <f>IF(SEFAZ!D364="","",SEFAZ!D364)</f>
        <v/>
      </c>
      <c r="E382" s="7" t="str">
        <f>IF(SEFAZ!E364="","",SEFAZ!E364)</f>
        <v/>
      </c>
      <c r="F382" s="6" t="str">
        <f>IF(SEFAZ!F364="","",VALUE(SUBSTITUTE(SEFAZ!F364,"'","")))</f>
        <v/>
      </c>
      <c r="G382" t="str">
        <f>IF(SEFAZ!H364="","",SEFAZ!H364)</f>
        <v/>
      </c>
      <c r="H382" t="str">
        <f>IF(SEFAZ!L364="","",SEFAZ!L364)</f>
        <v/>
      </c>
      <c r="I382" t="str">
        <f>IF(SEFAZ!N364="","",SEFAZ!N364)</f>
        <v/>
      </c>
      <c r="J382" t="str">
        <f>IF(SEFAZ!O364="","",SEFAZ!O364)</f>
        <v/>
      </c>
      <c r="K382" s="11" t="str">
        <f>IF(SEFAZ!P364="","",SEFAZ!P364)</f>
        <v/>
      </c>
      <c r="L382" t="str" cm="1">
        <f t="array" aca="1" ref="L3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2" t="s">
        <v>35</v>
      </c>
      <c r="O382" s="36" t="str">
        <f>IF(SEFAZ!B364="","",SEFAZ!B364)</f>
        <v/>
      </c>
    </row>
    <row r="383" spans="2:15" x14ac:dyDescent="0.3">
      <c r="B383" t="str">
        <f>IF(SEFAZ!A365="","",SEFAZ!A365)</f>
        <v/>
      </c>
      <c r="C383" t="str">
        <f>IF(SEFAZ!C365="","",SEFAZ!C365)</f>
        <v/>
      </c>
      <c r="D383" t="str">
        <f>IF(SEFAZ!D365="","",SEFAZ!D365)</f>
        <v/>
      </c>
      <c r="E383" s="7" t="str">
        <f>IF(SEFAZ!E365="","",SEFAZ!E365)</f>
        <v/>
      </c>
      <c r="F383" s="6" t="str">
        <f>IF(SEFAZ!F365="","",VALUE(SUBSTITUTE(SEFAZ!F365,"'","")))</f>
        <v/>
      </c>
      <c r="G383" t="str">
        <f>IF(SEFAZ!H365="","",SEFAZ!H365)</f>
        <v/>
      </c>
      <c r="H383" t="str">
        <f>IF(SEFAZ!L365="","",SEFAZ!L365)</f>
        <v/>
      </c>
      <c r="I383" t="str">
        <f>IF(SEFAZ!N365="","",SEFAZ!N365)</f>
        <v/>
      </c>
      <c r="J383" t="str">
        <f>IF(SEFAZ!O365="","",SEFAZ!O365)</f>
        <v/>
      </c>
      <c r="K383" s="11" t="str">
        <f>IF(SEFAZ!P365="","",SEFAZ!P365)</f>
        <v/>
      </c>
      <c r="L383" t="str" cm="1">
        <f t="array" aca="1" ref="L3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3" t="s">
        <v>35</v>
      </c>
      <c r="O383" s="36" t="str">
        <f>IF(SEFAZ!B365="","",SEFAZ!B365)</f>
        <v/>
      </c>
    </row>
    <row r="384" spans="2:15" x14ac:dyDescent="0.3">
      <c r="B384" t="str">
        <f>IF(SEFAZ!A366="","",SEFAZ!A366)</f>
        <v/>
      </c>
      <c r="C384" t="str">
        <f>IF(SEFAZ!C366="","",SEFAZ!C366)</f>
        <v/>
      </c>
      <c r="D384" t="str">
        <f>IF(SEFAZ!D366="","",SEFAZ!D366)</f>
        <v/>
      </c>
      <c r="E384" s="7" t="str">
        <f>IF(SEFAZ!E366="","",SEFAZ!E366)</f>
        <v/>
      </c>
      <c r="F384" s="6" t="str">
        <f>IF(SEFAZ!F366="","",VALUE(SUBSTITUTE(SEFAZ!F366,"'","")))</f>
        <v/>
      </c>
      <c r="G384" t="str">
        <f>IF(SEFAZ!H366="","",SEFAZ!H366)</f>
        <v/>
      </c>
      <c r="H384" t="str">
        <f>IF(SEFAZ!L366="","",SEFAZ!L366)</f>
        <v/>
      </c>
      <c r="I384" t="str">
        <f>IF(SEFAZ!N366="","",SEFAZ!N366)</f>
        <v/>
      </c>
      <c r="J384" t="str">
        <f>IF(SEFAZ!O366="","",SEFAZ!O366)</f>
        <v/>
      </c>
      <c r="K384" s="11" t="str">
        <f>IF(SEFAZ!P366="","",SEFAZ!P366)</f>
        <v/>
      </c>
      <c r="L384" t="str" cm="1">
        <f t="array" aca="1" ref="L3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4" t="s">
        <v>35</v>
      </c>
      <c r="O384" s="36" t="str">
        <f>IF(SEFAZ!B366="","",SEFAZ!B366)</f>
        <v/>
      </c>
    </row>
    <row r="385" spans="2:15" x14ac:dyDescent="0.3">
      <c r="B385" t="str">
        <f>IF(SEFAZ!A367="","",SEFAZ!A367)</f>
        <v/>
      </c>
      <c r="C385" t="str">
        <f>IF(SEFAZ!C367="","",SEFAZ!C367)</f>
        <v/>
      </c>
      <c r="D385" t="str">
        <f>IF(SEFAZ!D367="","",SEFAZ!D367)</f>
        <v/>
      </c>
      <c r="E385" s="7" t="str">
        <f>IF(SEFAZ!E367="","",SEFAZ!E367)</f>
        <v/>
      </c>
      <c r="F385" s="6" t="str">
        <f>IF(SEFAZ!F367="","",VALUE(SUBSTITUTE(SEFAZ!F367,"'","")))</f>
        <v/>
      </c>
      <c r="G385" t="str">
        <f>IF(SEFAZ!H367="","",SEFAZ!H367)</f>
        <v/>
      </c>
      <c r="H385" t="str">
        <f>IF(SEFAZ!L367="","",SEFAZ!L367)</f>
        <v/>
      </c>
      <c r="I385" t="str">
        <f>IF(SEFAZ!N367="","",SEFAZ!N367)</f>
        <v/>
      </c>
      <c r="J385" t="str">
        <f>IF(SEFAZ!O367="","",SEFAZ!O367)</f>
        <v/>
      </c>
      <c r="K385" s="11" t="str">
        <f>IF(SEFAZ!P367="","",SEFAZ!P367)</f>
        <v/>
      </c>
      <c r="L385" t="str" cm="1">
        <f t="array" aca="1" ref="L3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5" t="s">
        <v>35</v>
      </c>
      <c r="O385" s="36" t="str">
        <f>IF(SEFAZ!B367="","",SEFAZ!B367)</f>
        <v/>
      </c>
    </row>
    <row r="386" spans="2:15" x14ac:dyDescent="0.3">
      <c r="B386" t="str">
        <f>IF(SEFAZ!A368="","",SEFAZ!A368)</f>
        <v/>
      </c>
      <c r="C386" t="str">
        <f>IF(SEFAZ!C368="","",SEFAZ!C368)</f>
        <v/>
      </c>
      <c r="D386" t="str">
        <f>IF(SEFAZ!D368="","",SEFAZ!D368)</f>
        <v/>
      </c>
      <c r="E386" s="7" t="str">
        <f>IF(SEFAZ!E368="","",SEFAZ!E368)</f>
        <v/>
      </c>
      <c r="F386" s="6" t="str">
        <f>IF(SEFAZ!F368="","",VALUE(SUBSTITUTE(SEFAZ!F368,"'","")))</f>
        <v/>
      </c>
      <c r="G386" t="str">
        <f>IF(SEFAZ!H368="","",SEFAZ!H368)</f>
        <v/>
      </c>
      <c r="H386" t="str">
        <f>IF(SEFAZ!L368="","",SEFAZ!L368)</f>
        <v/>
      </c>
      <c r="I386" t="str">
        <f>IF(SEFAZ!N368="","",SEFAZ!N368)</f>
        <v/>
      </c>
      <c r="J386" t="str">
        <f>IF(SEFAZ!O368="","",SEFAZ!O368)</f>
        <v/>
      </c>
      <c r="K386" s="11" t="str">
        <f>IF(SEFAZ!P368="","",SEFAZ!P368)</f>
        <v/>
      </c>
      <c r="L386" t="str" cm="1">
        <f t="array" aca="1" ref="L3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6" t="s">
        <v>35</v>
      </c>
      <c r="O386" s="36" t="str">
        <f>IF(SEFAZ!B368="","",SEFAZ!B368)</f>
        <v/>
      </c>
    </row>
    <row r="387" spans="2:15" x14ac:dyDescent="0.3">
      <c r="B387" t="str">
        <f>IF(SEFAZ!A369="","",SEFAZ!A369)</f>
        <v/>
      </c>
      <c r="C387" t="str">
        <f>IF(SEFAZ!C369="","",SEFAZ!C369)</f>
        <v/>
      </c>
      <c r="D387" t="str">
        <f>IF(SEFAZ!D369="","",SEFAZ!D369)</f>
        <v/>
      </c>
      <c r="E387" s="7" t="str">
        <f>IF(SEFAZ!E369="","",SEFAZ!E369)</f>
        <v/>
      </c>
      <c r="F387" s="6" t="str">
        <f>IF(SEFAZ!F369="","",VALUE(SUBSTITUTE(SEFAZ!F369,"'","")))</f>
        <v/>
      </c>
      <c r="G387" t="str">
        <f>IF(SEFAZ!H369="","",SEFAZ!H369)</f>
        <v/>
      </c>
      <c r="H387" t="str">
        <f>IF(SEFAZ!L369="","",SEFAZ!L369)</f>
        <v/>
      </c>
      <c r="I387" t="str">
        <f>IF(SEFAZ!N369="","",SEFAZ!N369)</f>
        <v/>
      </c>
      <c r="J387" t="str">
        <f>IF(SEFAZ!O369="","",SEFAZ!O369)</f>
        <v/>
      </c>
      <c r="K387" s="11" t="str">
        <f>IF(SEFAZ!P369="","",SEFAZ!P369)</f>
        <v/>
      </c>
      <c r="L387" t="str" cm="1">
        <f t="array" aca="1" ref="L3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7" t="s">
        <v>35</v>
      </c>
      <c r="O387" s="36" t="str">
        <f>IF(SEFAZ!B369="","",SEFAZ!B369)</f>
        <v/>
      </c>
    </row>
    <row r="388" spans="2:15" x14ac:dyDescent="0.3">
      <c r="B388" t="str">
        <f>IF(SEFAZ!A370="","",SEFAZ!A370)</f>
        <v/>
      </c>
      <c r="C388" t="str">
        <f>IF(SEFAZ!C370="","",SEFAZ!C370)</f>
        <v/>
      </c>
      <c r="D388" t="str">
        <f>IF(SEFAZ!D370="","",SEFAZ!D370)</f>
        <v/>
      </c>
      <c r="E388" s="7" t="str">
        <f>IF(SEFAZ!E370="","",SEFAZ!E370)</f>
        <v/>
      </c>
      <c r="F388" s="6" t="str">
        <f>IF(SEFAZ!F370="","",VALUE(SUBSTITUTE(SEFAZ!F370,"'","")))</f>
        <v/>
      </c>
      <c r="G388" t="str">
        <f>IF(SEFAZ!H370="","",SEFAZ!H370)</f>
        <v/>
      </c>
      <c r="H388" t="str">
        <f>IF(SEFAZ!L370="","",SEFAZ!L370)</f>
        <v/>
      </c>
      <c r="I388" t="str">
        <f>IF(SEFAZ!N370="","",SEFAZ!N370)</f>
        <v/>
      </c>
      <c r="J388" t="str">
        <f>IF(SEFAZ!O370="","",SEFAZ!O370)</f>
        <v/>
      </c>
      <c r="K388" s="11" t="str">
        <f>IF(SEFAZ!P370="","",SEFAZ!P370)</f>
        <v/>
      </c>
      <c r="L388" t="str" cm="1">
        <f t="array" aca="1" ref="L3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8" t="s">
        <v>35</v>
      </c>
      <c r="O388" s="36" t="str">
        <f>IF(SEFAZ!B370="","",SEFAZ!B370)</f>
        <v/>
      </c>
    </row>
    <row r="389" spans="2:15" x14ac:dyDescent="0.3">
      <c r="B389" t="str">
        <f>IF(SEFAZ!A371="","",SEFAZ!A371)</f>
        <v/>
      </c>
      <c r="C389" t="str">
        <f>IF(SEFAZ!C371="","",SEFAZ!C371)</f>
        <v/>
      </c>
      <c r="D389" t="str">
        <f>IF(SEFAZ!D371="","",SEFAZ!D371)</f>
        <v/>
      </c>
      <c r="E389" s="7" t="str">
        <f>IF(SEFAZ!E371="","",SEFAZ!E371)</f>
        <v/>
      </c>
      <c r="F389" s="6" t="str">
        <f>IF(SEFAZ!F371="","",VALUE(SUBSTITUTE(SEFAZ!F371,"'","")))</f>
        <v/>
      </c>
      <c r="G389" t="str">
        <f>IF(SEFAZ!H371="","",SEFAZ!H371)</f>
        <v/>
      </c>
      <c r="H389" t="str">
        <f>IF(SEFAZ!L371="","",SEFAZ!L371)</f>
        <v/>
      </c>
      <c r="I389" t="str">
        <f>IF(SEFAZ!N371="","",SEFAZ!N371)</f>
        <v/>
      </c>
      <c r="J389" t="str">
        <f>IF(SEFAZ!O371="","",SEFAZ!O371)</f>
        <v/>
      </c>
      <c r="K389" s="11" t="str">
        <f>IF(SEFAZ!P371="","",SEFAZ!P371)</f>
        <v/>
      </c>
      <c r="L389" t="str" cm="1">
        <f t="array" aca="1" ref="L3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89" t="s">
        <v>35</v>
      </c>
      <c r="O389" s="36" t="str">
        <f>IF(SEFAZ!B371="","",SEFAZ!B371)</f>
        <v/>
      </c>
    </row>
    <row r="390" spans="2:15" x14ac:dyDescent="0.3">
      <c r="B390" t="str">
        <f>IF(SEFAZ!A372="","",SEFAZ!A372)</f>
        <v/>
      </c>
      <c r="C390" t="str">
        <f>IF(SEFAZ!C372="","",SEFAZ!C372)</f>
        <v/>
      </c>
      <c r="D390" t="str">
        <f>IF(SEFAZ!D372="","",SEFAZ!D372)</f>
        <v/>
      </c>
      <c r="E390" s="7" t="str">
        <f>IF(SEFAZ!E372="","",SEFAZ!E372)</f>
        <v/>
      </c>
      <c r="F390" s="6" t="str">
        <f>IF(SEFAZ!F372="","",VALUE(SUBSTITUTE(SEFAZ!F372,"'","")))</f>
        <v/>
      </c>
      <c r="G390" t="str">
        <f>IF(SEFAZ!H372="","",SEFAZ!H372)</f>
        <v/>
      </c>
      <c r="H390" t="str">
        <f>IF(SEFAZ!L372="","",SEFAZ!L372)</f>
        <v/>
      </c>
      <c r="I390" t="str">
        <f>IF(SEFAZ!N372="","",SEFAZ!N372)</f>
        <v/>
      </c>
      <c r="J390" t="str">
        <f>IF(SEFAZ!O372="","",SEFAZ!O372)</f>
        <v/>
      </c>
      <c r="K390" s="11" t="str">
        <f>IF(SEFAZ!P372="","",SEFAZ!P372)</f>
        <v/>
      </c>
      <c r="L390" t="str" cm="1">
        <f t="array" aca="1" ref="L3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0" t="s">
        <v>35</v>
      </c>
      <c r="O390" s="36" t="str">
        <f>IF(SEFAZ!B372="","",SEFAZ!B372)</f>
        <v/>
      </c>
    </row>
    <row r="391" spans="2:15" x14ac:dyDescent="0.3">
      <c r="B391" t="str">
        <f>IF(SEFAZ!A373="","",SEFAZ!A373)</f>
        <v/>
      </c>
      <c r="C391" t="str">
        <f>IF(SEFAZ!C373="","",SEFAZ!C373)</f>
        <v/>
      </c>
      <c r="D391" t="str">
        <f>IF(SEFAZ!D373="","",SEFAZ!D373)</f>
        <v/>
      </c>
      <c r="E391" s="7" t="str">
        <f>IF(SEFAZ!E373="","",SEFAZ!E373)</f>
        <v/>
      </c>
      <c r="F391" s="6" t="str">
        <f>IF(SEFAZ!F373="","",VALUE(SUBSTITUTE(SEFAZ!F373,"'","")))</f>
        <v/>
      </c>
      <c r="G391" t="str">
        <f>IF(SEFAZ!H373="","",SEFAZ!H373)</f>
        <v/>
      </c>
      <c r="H391" t="str">
        <f>IF(SEFAZ!L373="","",SEFAZ!L373)</f>
        <v/>
      </c>
      <c r="I391" t="str">
        <f>IF(SEFAZ!N373="","",SEFAZ!N373)</f>
        <v/>
      </c>
      <c r="J391" t="str">
        <f>IF(SEFAZ!O373="","",SEFAZ!O373)</f>
        <v/>
      </c>
      <c r="K391" s="11" t="str">
        <f>IF(SEFAZ!P373="","",SEFAZ!P373)</f>
        <v/>
      </c>
      <c r="L391" t="str" cm="1">
        <f t="array" aca="1" ref="L3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1" t="s">
        <v>35</v>
      </c>
      <c r="O391" s="36" t="str">
        <f>IF(SEFAZ!B373="","",SEFAZ!B373)</f>
        <v/>
      </c>
    </row>
    <row r="392" spans="2:15" x14ac:dyDescent="0.3">
      <c r="B392" t="str">
        <f>IF(SEFAZ!A374="","",SEFAZ!A374)</f>
        <v/>
      </c>
      <c r="C392" t="str">
        <f>IF(SEFAZ!C374="","",SEFAZ!C374)</f>
        <v/>
      </c>
      <c r="D392" t="str">
        <f>IF(SEFAZ!D374="","",SEFAZ!D374)</f>
        <v/>
      </c>
      <c r="E392" s="7" t="str">
        <f>IF(SEFAZ!E374="","",SEFAZ!E374)</f>
        <v/>
      </c>
      <c r="F392" s="6" t="str">
        <f>IF(SEFAZ!F374="","",VALUE(SUBSTITUTE(SEFAZ!F374,"'","")))</f>
        <v/>
      </c>
      <c r="G392" t="str">
        <f>IF(SEFAZ!H374="","",SEFAZ!H374)</f>
        <v/>
      </c>
      <c r="H392" t="str">
        <f>IF(SEFAZ!L374="","",SEFAZ!L374)</f>
        <v/>
      </c>
      <c r="I392" t="str">
        <f>IF(SEFAZ!N374="","",SEFAZ!N374)</f>
        <v/>
      </c>
      <c r="J392" t="str">
        <f>IF(SEFAZ!O374="","",SEFAZ!O374)</f>
        <v/>
      </c>
      <c r="K392" s="11" t="str">
        <f>IF(SEFAZ!P374="","",SEFAZ!P374)</f>
        <v/>
      </c>
      <c r="L392" t="str" cm="1">
        <f t="array" aca="1" ref="L3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2" t="s">
        <v>35</v>
      </c>
      <c r="O392" s="36" t="str">
        <f>IF(SEFAZ!B374="","",SEFAZ!B374)</f>
        <v/>
      </c>
    </row>
    <row r="393" spans="2:15" x14ac:dyDescent="0.3">
      <c r="B393" t="str">
        <f>IF(SEFAZ!A375="","",SEFAZ!A375)</f>
        <v/>
      </c>
      <c r="C393" t="str">
        <f>IF(SEFAZ!C375="","",SEFAZ!C375)</f>
        <v/>
      </c>
      <c r="D393" t="str">
        <f>IF(SEFAZ!D375="","",SEFAZ!D375)</f>
        <v/>
      </c>
      <c r="E393" s="7" t="str">
        <f>IF(SEFAZ!E375="","",SEFAZ!E375)</f>
        <v/>
      </c>
      <c r="F393" s="6" t="str">
        <f>IF(SEFAZ!F375="","",VALUE(SUBSTITUTE(SEFAZ!F375,"'","")))</f>
        <v/>
      </c>
      <c r="G393" t="str">
        <f>IF(SEFAZ!H375="","",SEFAZ!H375)</f>
        <v/>
      </c>
      <c r="H393" t="str">
        <f>IF(SEFAZ!L375="","",SEFAZ!L375)</f>
        <v/>
      </c>
      <c r="I393" t="str">
        <f>IF(SEFAZ!N375="","",SEFAZ!N375)</f>
        <v/>
      </c>
      <c r="J393" t="str">
        <f>IF(SEFAZ!O375="","",SEFAZ!O375)</f>
        <v/>
      </c>
      <c r="K393" s="11" t="str">
        <f>IF(SEFAZ!P375="","",SEFAZ!P375)</f>
        <v/>
      </c>
      <c r="L393" t="str" cm="1">
        <f t="array" aca="1" ref="L3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3" t="s">
        <v>35</v>
      </c>
      <c r="O393" s="36" t="str">
        <f>IF(SEFAZ!B375="","",SEFAZ!B375)</f>
        <v/>
      </c>
    </row>
    <row r="394" spans="2:15" x14ac:dyDescent="0.3">
      <c r="B394" t="str">
        <f>IF(SEFAZ!A376="","",SEFAZ!A376)</f>
        <v/>
      </c>
      <c r="C394" t="str">
        <f>IF(SEFAZ!C376="","",SEFAZ!C376)</f>
        <v/>
      </c>
      <c r="D394" t="str">
        <f>IF(SEFAZ!D376="","",SEFAZ!D376)</f>
        <v/>
      </c>
      <c r="E394" s="7" t="str">
        <f>IF(SEFAZ!E376="","",SEFAZ!E376)</f>
        <v/>
      </c>
      <c r="F394" s="6" t="str">
        <f>IF(SEFAZ!F376="","",VALUE(SUBSTITUTE(SEFAZ!F376,"'","")))</f>
        <v/>
      </c>
      <c r="G394" t="str">
        <f>IF(SEFAZ!H376="","",SEFAZ!H376)</f>
        <v/>
      </c>
      <c r="H394" t="str">
        <f>IF(SEFAZ!L376="","",SEFAZ!L376)</f>
        <v/>
      </c>
      <c r="I394" t="str">
        <f>IF(SEFAZ!N376="","",SEFAZ!N376)</f>
        <v/>
      </c>
      <c r="J394" t="str">
        <f>IF(SEFAZ!O376="","",SEFAZ!O376)</f>
        <v/>
      </c>
      <c r="K394" s="11" t="str">
        <f>IF(SEFAZ!P376="","",SEFAZ!P376)</f>
        <v/>
      </c>
      <c r="L394" t="str" cm="1">
        <f t="array" aca="1" ref="L3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4" t="s">
        <v>35</v>
      </c>
      <c r="O394" s="36" t="str">
        <f>IF(SEFAZ!B376="","",SEFAZ!B376)</f>
        <v/>
      </c>
    </row>
    <row r="395" spans="2:15" x14ac:dyDescent="0.3">
      <c r="B395" t="str">
        <f>IF(SEFAZ!A377="","",SEFAZ!A377)</f>
        <v/>
      </c>
      <c r="C395" t="str">
        <f>IF(SEFAZ!C377="","",SEFAZ!C377)</f>
        <v/>
      </c>
      <c r="D395" t="str">
        <f>IF(SEFAZ!D377="","",SEFAZ!D377)</f>
        <v/>
      </c>
      <c r="E395" s="7" t="str">
        <f>IF(SEFAZ!E377="","",SEFAZ!E377)</f>
        <v/>
      </c>
      <c r="F395" s="6" t="str">
        <f>IF(SEFAZ!F377="","",VALUE(SUBSTITUTE(SEFAZ!F377,"'","")))</f>
        <v/>
      </c>
      <c r="G395" t="str">
        <f>IF(SEFAZ!H377="","",SEFAZ!H377)</f>
        <v/>
      </c>
      <c r="H395" t="str">
        <f>IF(SEFAZ!L377="","",SEFAZ!L377)</f>
        <v/>
      </c>
      <c r="I395" t="str">
        <f>IF(SEFAZ!N377="","",SEFAZ!N377)</f>
        <v/>
      </c>
      <c r="J395" t="str">
        <f>IF(SEFAZ!O377="","",SEFAZ!O377)</f>
        <v/>
      </c>
      <c r="K395" s="11" t="str">
        <f>IF(SEFAZ!P377="","",SEFAZ!P377)</f>
        <v/>
      </c>
      <c r="L395" t="str" cm="1">
        <f t="array" aca="1" ref="L3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5" t="s">
        <v>35</v>
      </c>
      <c r="O395" s="36" t="str">
        <f>IF(SEFAZ!B377="","",SEFAZ!B377)</f>
        <v/>
      </c>
    </row>
    <row r="396" spans="2:15" x14ac:dyDescent="0.3">
      <c r="B396" t="str">
        <f>IF(SEFAZ!A378="","",SEFAZ!A378)</f>
        <v/>
      </c>
      <c r="C396" t="str">
        <f>IF(SEFAZ!C378="","",SEFAZ!C378)</f>
        <v/>
      </c>
      <c r="D396" t="str">
        <f>IF(SEFAZ!D378="","",SEFAZ!D378)</f>
        <v/>
      </c>
      <c r="E396" s="7" t="str">
        <f>IF(SEFAZ!E378="","",SEFAZ!E378)</f>
        <v/>
      </c>
      <c r="F396" s="6" t="str">
        <f>IF(SEFAZ!F378="","",VALUE(SUBSTITUTE(SEFAZ!F378,"'","")))</f>
        <v/>
      </c>
      <c r="G396" t="str">
        <f>IF(SEFAZ!H378="","",SEFAZ!H378)</f>
        <v/>
      </c>
      <c r="H396" t="str">
        <f>IF(SEFAZ!L378="","",SEFAZ!L378)</f>
        <v/>
      </c>
      <c r="I396" t="str">
        <f>IF(SEFAZ!N378="","",SEFAZ!N378)</f>
        <v/>
      </c>
      <c r="J396" t="str">
        <f>IF(SEFAZ!O378="","",SEFAZ!O378)</f>
        <v/>
      </c>
      <c r="K396" s="11" t="str">
        <f>IF(SEFAZ!P378="","",SEFAZ!P378)</f>
        <v/>
      </c>
      <c r="L396" t="str" cm="1">
        <f t="array" aca="1" ref="L3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6" t="s">
        <v>35</v>
      </c>
      <c r="O396" s="36" t="str">
        <f>IF(SEFAZ!B378="","",SEFAZ!B378)</f>
        <v/>
      </c>
    </row>
    <row r="397" spans="2:15" x14ac:dyDescent="0.3">
      <c r="B397" t="str">
        <f>IF(SEFAZ!A379="","",SEFAZ!A379)</f>
        <v/>
      </c>
      <c r="C397" t="str">
        <f>IF(SEFAZ!C379="","",SEFAZ!C379)</f>
        <v/>
      </c>
      <c r="D397" t="str">
        <f>IF(SEFAZ!D379="","",SEFAZ!D379)</f>
        <v/>
      </c>
      <c r="E397" s="7" t="str">
        <f>IF(SEFAZ!E379="","",SEFAZ!E379)</f>
        <v/>
      </c>
      <c r="F397" s="6" t="str">
        <f>IF(SEFAZ!F379="","",VALUE(SUBSTITUTE(SEFAZ!F379,"'","")))</f>
        <v/>
      </c>
      <c r="G397" t="str">
        <f>IF(SEFAZ!H379="","",SEFAZ!H379)</f>
        <v/>
      </c>
      <c r="H397" t="str">
        <f>IF(SEFAZ!L379="","",SEFAZ!L379)</f>
        <v/>
      </c>
      <c r="I397" t="str">
        <f>IF(SEFAZ!N379="","",SEFAZ!N379)</f>
        <v/>
      </c>
      <c r="J397" t="str">
        <f>IF(SEFAZ!O379="","",SEFAZ!O379)</f>
        <v/>
      </c>
      <c r="K397" s="11" t="str">
        <f>IF(SEFAZ!P379="","",SEFAZ!P379)</f>
        <v/>
      </c>
      <c r="L397" t="str" cm="1">
        <f t="array" aca="1" ref="L3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7" t="s">
        <v>35</v>
      </c>
      <c r="O397" s="36" t="str">
        <f>IF(SEFAZ!B379="","",SEFAZ!B379)</f>
        <v/>
      </c>
    </row>
    <row r="398" spans="2:15" x14ac:dyDescent="0.3">
      <c r="B398" t="str">
        <f>IF(SEFAZ!A380="","",SEFAZ!A380)</f>
        <v/>
      </c>
      <c r="C398" t="str">
        <f>IF(SEFAZ!C380="","",SEFAZ!C380)</f>
        <v/>
      </c>
      <c r="D398" t="str">
        <f>IF(SEFAZ!D380="","",SEFAZ!D380)</f>
        <v/>
      </c>
      <c r="E398" s="7" t="str">
        <f>IF(SEFAZ!E380="","",SEFAZ!E380)</f>
        <v/>
      </c>
      <c r="F398" s="6" t="str">
        <f>IF(SEFAZ!F380="","",VALUE(SUBSTITUTE(SEFAZ!F380,"'","")))</f>
        <v/>
      </c>
      <c r="G398" t="str">
        <f>IF(SEFAZ!H380="","",SEFAZ!H380)</f>
        <v/>
      </c>
      <c r="H398" t="str">
        <f>IF(SEFAZ!L380="","",SEFAZ!L380)</f>
        <v/>
      </c>
      <c r="I398" t="str">
        <f>IF(SEFAZ!N380="","",SEFAZ!N380)</f>
        <v/>
      </c>
      <c r="J398" t="str">
        <f>IF(SEFAZ!O380="","",SEFAZ!O380)</f>
        <v/>
      </c>
      <c r="K398" s="11" t="str">
        <f>IF(SEFAZ!P380="","",SEFAZ!P380)</f>
        <v/>
      </c>
      <c r="L398" t="str" cm="1">
        <f t="array" aca="1" ref="L3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8" t="s">
        <v>35</v>
      </c>
      <c r="O398" s="36" t="str">
        <f>IF(SEFAZ!B380="","",SEFAZ!B380)</f>
        <v/>
      </c>
    </row>
    <row r="399" spans="2:15" x14ac:dyDescent="0.3">
      <c r="B399" t="str">
        <f>IF(SEFAZ!A381="","",SEFAZ!A381)</f>
        <v/>
      </c>
      <c r="C399" t="str">
        <f>IF(SEFAZ!C381="","",SEFAZ!C381)</f>
        <v/>
      </c>
      <c r="D399" t="str">
        <f>IF(SEFAZ!D381="","",SEFAZ!D381)</f>
        <v/>
      </c>
      <c r="E399" s="7" t="str">
        <f>IF(SEFAZ!E381="","",SEFAZ!E381)</f>
        <v/>
      </c>
      <c r="F399" s="6" t="str">
        <f>IF(SEFAZ!F381="","",VALUE(SUBSTITUTE(SEFAZ!F381,"'","")))</f>
        <v/>
      </c>
      <c r="G399" t="str">
        <f>IF(SEFAZ!H381="","",SEFAZ!H381)</f>
        <v/>
      </c>
      <c r="H399" t="str">
        <f>IF(SEFAZ!L381="","",SEFAZ!L381)</f>
        <v/>
      </c>
      <c r="I399" t="str">
        <f>IF(SEFAZ!N381="","",SEFAZ!N381)</f>
        <v/>
      </c>
      <c r="J399" t="str">
        <f>IF(SEFAZ!O381="","",SEFAZ!O381)</f>
        <v/>
      </c>
      <c r="K399" s="11" t="str">
        <f>IF(SEFAZ!P381="","",SEFAZ!P381)</f>
        <v/>
      </c>
      <c r="L399" t="str" cm="1">
        <f t="array" aca="1" ref="L3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399" t="s">
        <v>35</v>
      </c>
      <c r="O399" s="36" t="str">
        <f>IF(SEFAZ!B381="","",SEFAZ!B381)</f>
        <v/>
      </c>
    </row>
    <row r="400" spans="2:15" x14ac:dyDescent="0.3">
      <c r="B400" t="str">
        <f>IF(SEFAZ!A382="","",SEFAZ!A382)</f>
        <v/>
      </c>
      <c r="C400" t="str">
        <f>IF(SEFAZ!C382="","",SEFAZ!C382)</f>
        <v/>
      </c>
      <c r="D400" t="str">
        <f>IF(SEFAZ!D382="","",SEFAZ!D382)</f>
        <v/>
      </c>
      <c r="E400" s="7" t="str">
        <f>IF(SEFAZ!E382="","",SEFAZ!E382)</f>
        <v/>
      </c>
      <c r="F400" s="6" t="str">
        <f>IF(SEFAZ!F382="","",VALUE(SUBSTITUTE(SEFAZ!F382,"'","")))</f>
        <v/>
      </c>
      <c r="G400" t="str">
        <f>IF(SEFAZ!H382="","",SEFAZ!H382)</f>
        <v/>
      </c>
      <c r="H400" t="str">
        <f>IF(SEFAZ!L382="","",SEFAZ!L382)</f>
        <v/>
      </c>
      <c r="I400" t="str">
        <f>IF(SEFAZ!N382="","",SEFAZ!N382)</f>
        <v/>
      </c>
      <c r="J400" t="str">
        <f>IF(SEFAZ!O382="","",SEFAZ!O382)</f>
        <v/>
      </c>
      <c r="K400" s="11" t="str">
        <f>IF(SEFAZ!P382="","",SEFAZ!P382)</f>
        <v/>
      </c>
      <c r="L400" t="str" cm="1">
        <f t="array" aca="1" ref="L4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0" t="s">
        <v>35</v>
      </c>
      <c r="O400" s="36" t="str">
        <f>IF(SEFAZ!B382="","",SEFAZ!B382)</f>
        <v/>
      </c>
    </row>
    <row r="401" spans="2:15" x14ac:dyDescent="0.3">
      <c r="B401" t="str">
        <f>IF(SEFAZ!A383="","",SEFAZ!A383)</f>
        <v/>
      </c>
      <c r="C401" t="str">
        <f>IF(SEFAZ!C383="","",SEFAZ!C383)</f>
        <v/>
      </c>
      <c r="D401" t="str">
        <f>IF(SEFAZ!D383="","",SEFAZ!D383)</f>
        <v/>
      </c>
      <c r="E401" s="7" t="str">
        <f>IF(SEFAZ!E383="","",SEFAZ!E383)</f>
        <v/>
      </c>
      <c r="F401" s="6" t="str">
        <f>IF(SEFAZ!F383="","",VALUE(SUBSTITUTE(SEFAZ!F383,"'","")))</f>
        <v/>
      </c>
      <c r="G401" t="str">
        <f>IF(SEFAZ!H383="","",SEFAZ!H383)</f>
        <v/>
      </c>
      <c r="H401" t="str">
        <f>IF(SEFAZ!L383="","",SEFAZ!L383)</f>
        <v/>
      </c>
      <c r="I401" t="str">
        <f>IF(SEFAZ!N383="","",SEFAZ!N383)</f>
        <v/>
      </c>
      <c r="J401" t="str">
        <f>IF(SEFAZ!O383="","",SEFAZ!O383)</f>
        <v/>
      </c>
      <c r="K401" s="11" t="str">
        <f>IF(SEFAZ!P383="","",SEFAZ!P383)</f>
        <v/>
      </c>
      <c r="L401" t="str" cm="1">
        <f t="array" aca="1" ref="L4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1" t="s">
        <v>35</v>
      </c>
      <c r="O401" s="36" t="str">
        <f>IF(SEFAZ!B383="","",SEFAZ!B383)</f>
        <v/>
      </c>
    </row>
    <row r="402" spans="2:15" x14ac:dyDescent="0.3">
      <c r="B402" t="str">
        <f>IF(SEFAZ!A384="","",SEFAZ!A384)</f>
        <v/>
      </c>
      <c r="C402" t="str">
        <f>IF(SEFAZ!C384="","",SEFAZ!C384)</f>
        <v/>
      </c>
      <c r="D402" t="str">
        <f>IF(SEFAZ!D384="","",SEFAZ!D384)</f>
        <v/>
      </c>
      <c r="E402" s="7" t="str">
        <f>IF(SEFAZ!E384="","",SEFAZ!E384)</f>
        <v/>
      </c>
      <c r="F402" s="6" t="str">
        <f>IF(SEFAZ!F384="","",VALUE(SUBSTITUTE(SEFAZ!F384,"'","")))</f>
        <v/>
      </c>
      <c r="G402" t="str">
        <f>IF(SEFAZ!H384="","",SEFAZ!H384)</f>
        <v/>
      </c>
      <c r="H402" t="str">
        <f>IF(SEFAZ!L384="","",SEFAZ!L384)</f>
        <v/>
      </c>
      <c r="I402" t="str">
        <f>IF(SEFAZ!N384="","",SEFAZ!N384)</f>
        <v/>
      </c>
      <c r="J402" t="str">
        <f>IF(SEFAZ!O384="","",SEFAZ!O384)</f>
        <v/>
      </c>
      <c r="K402" s="11" t="str">
        <f>IF(SEFAZ!P384="","",SEFAZ!P384)</f>
        <v/>
      </c>
      <c r="L402" t="str" cm="1">
        <f t="array" aca="1" ref="L4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2" t="s">
        <v>35</v>
      </c>
      <c r="O402" s="36" t="str">
        <f>IF(SEFAZ!B384="","",SEFAZ!B384)</f>
        <v/>
      </c>
    </row>
    <row r="403" spans="2:15" x14ac:dyDescent="0.3">
      <c r="B403" t="str">
        <f>IF(SEFAZ!A385="","",SEFAZ!A385)</f>
        <v/>
      </c>
      <c r="C403" t="str">
        <f>IF(SEFAZ!C385="","",SEFAZ!C385)</f>
        <v/>
      </c>
      <c r="D403" t="str">
        <f>IF(SEFAZ!D385="","",SEFAZ!D385)</f>
        <v/>
      </c>
      <c r="E403" s="7" t="str">
        <f>IF(SEFAZ!E385="","",SEFAZ!E385)</f>
        <v/>
      </c>
      <c r="F403" s="6" t="str">
        <f>IF(SEFAZ!F385="","",VALUE(SUBSTITUTE(SEFAZ!F385,"'","")))</f>
        <v/>
      </c>
      <c r="G403" t="str">
        <f>IF(SEFAZ!H385="","",SEFAZ!H385)</f>
        <v/>
      </c>
      <c r="H403" t="str">
        <f>IF(SEFAZ!L385="","",SEFAZ!L385)</f>
        <v/>
      </c>
      <c r="I403" t="str">
        <f>IF(SEFAZ!N385="","",SEFAZ!N385)</f>
        <v/>
      </c>
      <c r="J403" t="str">
        <f>IF(SEFAZ!O385="","",SEFAZ!O385)</f>
        <v/>
      </c>
      <c r="K403" s="11" t="str">
        <f>IF(SEFAZ!P385="","",SEFAZ!P385)</f>
        <v/>
      </c>
      <c r="L403" t="str" cm="1">
        <f t="array" aca="1" ref="L4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3" t="s">
        <v>35</v>
      </c>
      <c r="O403" s="36" t="str">
        <f>IF(SEFAZ!B385="","",SEFAZ!B385)</f>
        <v/>
      </c>
    </row>
    <row r="404" spans="2:15" x14ac:dyDescent="0.3">
      <c r="B404" t="str">
        <f>IF(SEFAZ!A386="","",SEFAZ!A386)</f>
        <v/>
      </c>
      <c r="C404" t="str">
        <f>IF(SEFAZ!C386="","",SEFAZ!C386)</f>
        <v/>
      </c>
      <c r="D404" t="str">
        <f>IF(SEFAZ!D386="","",SEFAZ!D386)</f>
        <v/>
      </c>
      <c r="E404" s="7" t="str">
        <f>IF(SEFAZ!E386="","",SEFAZ!E386)</f>
        <v/>
      </c>
      <c r="F404" s="6" t="str">
        <f>IF(SEFAZ!F386="","",VALUE(SUBSTITUTE(SEFAZ!F386,"'","")))</f>
        <v/>
      </c>
      <c r="G404" t="str">
        <f>IF(SEFAZ!H386="","",SEFAZ!H386)</f>
        <v/>
      </c>
      <c r="H404" t="str">
        <f>IF(SEFAZ!L386="","",SEFAZ!L386)</f>
        <v/>
      </c>
      <c r="I404" t="str">
        <f>IF(SEFAZ!N386="","",SEFAZ!N386)</f>
        <v/>
      </c>
      <c r="J404" t="str">
        <f>IF(SEFAZ!O386="","",SEFAZ!O386)</f>
        <v/>
      </c>
      <c r="K404" s="11" t="str">
        <f>IF(SEFAZ!P386="","",SEFAZ!P386)</f>
        <v/>
      </c>
      <c r="L404" t="str" cm="1">
        <f t="array" aca="1" ref="L4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4" t="s">
        <v>35</v>
      </c>
      <c r="O404" s="36" t="str">
        <f>IF(SEFAZ!B386="","",SEFAZ!B386)</f>
        <v/>
      </c>
    </row>
    <row r="405" spans="2:15" x14ac:dyDescent="0.3">
      <c r="B405" t="str">
        <f>IF(SEFAZ!A387="","",SEFAZ!A387)</f>
        <v/>
      </c>
      <c r="C405" t="str">
        <f>IF(SEFAZ!C387="","",SEFAZ!C387)</f>
        <v/>
      </c>
      <c r="D405" t="str">
        <f>IF(SEFAZ!D387="","",SEFAZ!D387)</f>
        <v/>
      </c>
      <c r="E405" s="7" t="str">
        <f>IF(SEFAZ!E387="","",SEFAZ!E387)</f>
        <v/>
      </c>
      <c r="F405" s="6" t="str">
        <f>IF(SEFAZ!F387="","",VALUE(SUBSTITUTE(SEFAZ!F387,"'","")))</f>
        <v/>
      </c>
      <c r="G405" t="str">
        <f>IF(SEFAZ!H387="","",SEFAZ!H387)</f>
        <v/>
      </c>
      <c r="H405" t="str">
        <f>IF(SEFAZ!L387="","",SEFAZ!L387)</f>
        <v/>
      </c>
      <c r="I405" t="str">
        <f>IF(SEFAZ!N387="","",SEFAZ!N387)</f>
        <v/>
      </c>
      <c r="J405" t="str">
        <f>IF(SEFAZ!O387="","",SEFAZ!O387)</f>
        <v/>
      </c>
      <c r="K405" s="11" t="str">
        <f>IF(SEFAZ!P387="","",SEFAZ!P387)</f>
        <v/>
      </c>
      <c r="L405" t="str" cm="1">
        <f t="array" aca="1" ref="L4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5" t="s">
        <v>35</v>
      </c>
      <c r="O405" s="36" t="str">
        <f>IF(SEFAZ!B387="","",SEFAZ!B387)</f>
        <v/>
      </c>
    </row>
    <row r="406" spans="2:15" x14ac:dyDescent="0.3">
      <c r="B406" t="str">
        <f>IF(SEFAZ!A388="","",SEFAZ!A388)</f>
        <v/>
      </c>
      <c r="C406" t="str">
        <f>IF(SEFAZ!C388="","",SEFAZ!C388)</f>
        <v/>
      </c>
      <c r="D406" t="str">
        <f>IF(SEFAZ!D388="","",SEFAZ!D388)</f>
        <v/>
      </c>
      <c r="E406" s="7" t="str">
        <f>IF(SEFAZ!E388="","",SEFAZ!E388)</f>
        <v/>
      </c>
      <c r="F406" s="6" t="str">
        <f>IF(SEFAZ!F388="","",VALUE(SUBSTITUTE(SEFAZ!F388,"'","")))</f>
        <v/>
      </c>
      <c r="G406" t="str">
        <f>IF(SEFAZ!H388="","",SEFAZ!H388)</f>
        <v/>
      </c>
      <c r="H406" t="str">
        <f>IF(SEFAZ!L388="","",SEFAZ!L388)</f>
        <v/>
      </c>
      <c r="I406" t="str">
        <f>IF(SEFAZ!N388="","",SEFAZ!N388)</f>
        <v/>
      </c>
      <c r="J406" t="str">
        <f>IF(SEFAZ!O388="","",SEFAZ!O388)</f>
        <v/>
      </c>
      <c r="K406" s="11" t="str">
        <f>IF(SEFAZ!P388="","",SEFAZ!P388)</f>
        <v/>
      </c>
      <c r="L406" t="str" cm="1">
        <f t="array" aca="1" ref="L4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6" t="s">
        <v>35</v>
      </c>
      <c r="O406" s="36" t="str">
        <f>IF(SEFAZ!B388="","",SEFAZ!B388)</f>
        <v/>
      </c>
    </row>
    <row r="407" spans="2:15" x14ac:dyDescent="0.3">
      <c r="B407" t="str">
        <f>IF(SEFAZ!A389="","",SEFAZ!A389)</f>
        <v/>
      </c>
      <c r="C407" t="str">
        <f>IF(SEFAZ!C389="","",SEFAZ!C389)</f>
        <v/>
      </c>
      <c r="D407" t="str">
        <f>IF(SEFAZ!D389="","",SEFAZ!D389)</f>
        <v/>
      </c>
      <c r="E407" s="7" t="str">
        <f>IF(SEFAZ!E389="","",SEFAZ!E389)</f>
        <v/>
      </c>
      <c r="F407" s="6" t="str">
        <f>IF(SEFAZ!F389="","",VALUE(SUBSTITUTE(SEFAZ!F389,"'","")))</f>
        <v/>
      </c>
      <c r="G407" t="str">
        <f>IF(SEFAZ!H389="","",SEFAZ!H389)</f>
        <v/>
      </c>
      <c r="H407" t="str">
        <f>IF(SEFAZ!L389="","",SEFAZ!L389)</f>
        <v/>
      </c>
      <c r="I407" t="str">
        <f>IF(SEFAZ!N389="","",SEFAZ!N389)</f>
        <v/>
      </c>
      <c r="J407" t="str">
        <f>IF(SEFAZ!O389="","",SEFAZ!O389)</f>
        <v/>
      </c>
      <c r="K407" s="11" t="str">
        <f>IF(SEFAZ!P389="","",SEFAZ!P389)</f>
        <v/>
      </c>
      <c r="L407" t="str" cm="1">
        <f t="array" aca="1" ref="L4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7" t="s">
        <v>35</v>
      </c>
      <c r="O407" s="36" t="str">
        <f>IF(SEFAZ!B389="","",SEFAZ!B389)</f>
        <v/>
      </c>
    </row>
    <row r="408" spans="2:15" x14ac:dyDescent="0.3">
      <c r="B408" t="str">
        <f>IF(SEFAZ!A390="","",SEFAZ!A390)</f>
        <v/>
      </c>
      <c r="C408" t="str">
        <f>IF(SEFAZ!C390="","",SEFAZ!C390)</f>
        <v/>
      </c>
      <c r="D408" t="str">
        <f>IF(SEFAZ!D390="","",SEFAZ!D390)</f>
        <v/>
      </c>
      <c r="E408" s="7" t="str">
        <f>IF(SEFAZ!E390="","",SEFAZ!E390)</f>
        <v/>
      </c>
      <c r="F408" s="6" t="str">
        <f>IF(SEFAZ!F390="","",VALUE(SUBSTITUTE(SEFAZ!F390,"'","")))</f>
        <v/>
      </c>
      <c r="G408" t="str">
        <f>IF(SEFAZ!H390="","",SEFAZ!H390)</f>
        <v/>
      </c>
      <c r="H408" t="str">
        <f>IF(SEFAZ!L390="","",SEFAZ!L390)</f>
        <v/>
      </c>
      <c r="I408" t="str">
        <f>IF(SEFAZ!N390="","",SEFAZ!N390)</f>
        <v/>
      </c>
      <c r="J408" t="str">
        <f>IF(SEFAZ!O390="","",SEFAZ!O390)</f>
        <v/>
      </c>
      <c r="K408" s="11" t="str">
        <f>IF(SEFAZ!P390="","",SEFAZ!P390)</f>
        <v/>
      </c>
      <c r="L408" t="str" cm="1">
        <f t="array" aca="1" ref="L4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8" t="s">
        <v>35</v>
      </c>
      <c r="O408" s="36" t="str">
        <f>IF(SEFAZ!B390="","",SEFAZ!B390)</f>
        <v/>
      </c>
    </row>
    <row r="409" spans="2:15" x14ac:dyDescent="0.3">
      <c r="B409" t="str">
        <f>IF(SEFAZ!A391="","",SEFAZ!A391)</f>
        <v/>
      </c>
      <c r="C409" t="str">
        <f>IF(SEFAZ!C391="","",SEFAZ!C391)</f>
        <v/>
      </c>
      <c r="D409" t="str">
        <f>IF(SEFAZ!D391="","",SEFAZ!D391)</f>
        <v/>
      </c>
      <c r="E409" s="7" t="str">
        <f>IF(SEFAZ!E391="","",SEFAZ!E391)</f>
        <v/>
      </c>
      <c r="F409" s="6" t="str">
        <f>IF(SEFAZ!F391="","",VALUE(SUBSTITUTE(SEFAZ!F391,"'","")))</f>
        <v/>
      </c>
      <c r="G409" t="str">
        <f>IF(SEFAZ!H391="","",SEFAZ!H391)</f>
        <v/>
      </c>
      <c r="H409" t="str">
        <f>IF(SEFAZ!L391="","",SEFAZ!L391)</f>
        <v/>
      </c>
      <c r="I409" t="str">
        <f>IF(SEFAZ!N391="","",SEFAZ!N391)</f>
        <v/>
      </c>
      <c r="J409" t="str">
        <f>IF(SEFAZ!O391="","",SEFAZ!O391)</f>
        <v/>
      </c>
      <c r="K409" s="11" t="str">
        <f>IF(SEFAZ!P391="","",SEFAZ!P391)</f>
        <v/>
      </c>
      <c r="L409" t="str" cm="1">
        <f t="array" aca="1" ref="L4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09" t="s">
        <v>35</v>
      </c>
      <c r="O409" s="36" t="str">
        <f>IF(SEFAZ!B391="","",SEFAZ!B391)</f>
        <v/>
      </c>
    </row>
    <row r="410" spans="2:15" x14ac:dyDescent="0.3">
      <c r="B410" t="str">
        <f>IF(SEFAZ!A392="","",SEFAZ!A392)</f>
        <v/>
      </c>
      <c r="C410" t="str">
        <f>IF(SEFAZ!C392="","",SEFAZ!C392)</f>
        <v/>
      </c>
      <c r="D410" t="str">
        <f>IF(SEFAZ!D392="","",SEFAZ!D392)</f>
        <v/>
      </c>
      <c r="E410" s="7" t="str">
        <f>IF(SEFAZ!E392="","",SEFAZ!E392)</f>
        <v/>
      </c>
      <c r="F410" s="6" t="str">
        <f>IF(SEFAZ!F392="","",VALUE(SUBSTITUTE(SEFAZ!F392,"'","")))</f>
        <v/>
      </c>
      <c r="G410" t="str">
        <f>IF(SEFAZ!H392="","",SEFAZ!H392)</f>
        <v/>
      </c>
      <c r="H410" t="str">
        <f>IF(SEFAZ!L392="","",SEFAZ!L392)</f>
        <v/>
      </c>
      <c r="I410" t="str">
        <f>IF(SEFAZ!N392="","",SEFAZ!N392)</f>
        <v/>
      </c>
      <c r="J410" t="str">
        <f>IF(SEFAZ!O392="","",SEFAZ!O392)</f>
        <v/>
      </c>
      <c r="K410" s="11" t="str">
        <f>IF(SEFAZ!P392="","",SEFAZ!P392)</f>
        <v/>
      </c>
      <c r="L410" t="str" cm="1">
        <f t="array" aca="1" ref="L4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0" t="s">
        <v>35</v>
      </c>
      <c r="O410" s="36" t="str">
        <f>IF(SEFAZ!B392="","",SEFAZ!B392)</f>
        <v/>
      </c>
    </row>
    <row r="411" spans="2:15" x14ac:dyDescent="0.3">
      <c r="B411" t="str">
        <f>IF(SEFAZ!A393="","",SEFAZ!A393)</f>
        <v/>
      </c>
      <c r="C411" t="str">
        <f>IF(SEFAZ!C393="","",SEFAZ!C393)</f>
        <v/>
      </c>
      <c r="D411" t="str">
        <f>IF(SEFAZ!D393="","",SEFAZ!D393)</f>
        <v/>
      </c>
      <c r="E411" s="7" t="str">
        <f>IF(SEFAZ!E393="","",SEFAZ!E393)</f>
        <v/>
      </c>
      <c r="F411" s="6" t="str">
        <f>IF(SEFAZ!F393="","",VALUE(SUBSTITUTE(SEFAZ!F393,"'","")))</f>
        <v/>
      </c>
      <c r="G411" t="str">
        <f>IF(SEFAZ!H393="","",SEFAZ!H393)</f>
        <v/>
      </c>
      <c r="H411" t="str">
        <f>IF(SEFAZ!L393="","",SEFAZ!L393)</f>
        <v/>
      </c>
      <c r="I411" t="str">
        <f>IF(SEFAZ!N393="","",SEFAZ!N393)</f>
        <v/>
      </c>
      <c r="J411" t="str">
        <f>IF(SEFAZ!O393="","",SEFAZ!O393)</f>
        <v/>
      </c>
      <c r="K411" s="11" t="str">
        <f>IF(SEFAZ!P393="","",SEFAZ!P393)</f>
        <v/>
      </c>
      <c r="L411" t="str" cm="1">
        <f t="array" aca="1" ref="L4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1" t="s">
        <v>35</v>
      </c>
      <c r="O411" s="36" t="str">
        <f>IF(SEFAZ!B393="","",SEFAZ!B393)</f>
        <v/>
      </c>
    </row>
    <row r="412" spans="2:15" x14ac:dyDescent="0.3">
      <c r="B412" t="str">
        <f>IF(SEFAZ!A394="","",SEFAZ!A394)</f>
        <v/>
      </c>
      <c r="C412" t="str">
        <f>IF(SEFAZ!C394="","",SEFAZ!C394)</f>
        <v/>
      </c>
      <c r="D412" t="str">
        <f>IF(SEFAZ!D394="","",SEFAZ!D394)</f>
        <v/>
      </c>
      <c r="E412" s="7" t="str">
        <f>IF(SEFAZ!E394="","",SEFAZ!E394)</f>
        <v/>
      </c>
      <c r="F412" s="6" t="str">
        <f>IF(SEFAZ!F394="","",VALUE(SUBSTITUTE(SEFAZ!F394,"'","")))</f>
        <v/>
      </c>
      <c r="G412" t="str">
        <f>IF(SEFAZ!H394="","",SEFAZ!H394)</f>
        <v/>
      </c>
      <c r="H412" t="str">
        <f>IF(SEFAZ!L394="","",SEFAZ!L394)</f>
        <v/>
      </c>
      <c r="I412" t="str">
        <f>IF(SEFAZ!N394="","",SEFAZ!N394)</f>
        <v/>
      </c>
      <c r="J412" t="str">
        <f>IF(SEFAZ!O394="","",SEFAZ!O394)</f>
        <v/>
      </c>
      <c r="K412" s="11" t="str">
        <f>IF(SEFAZ!P394="","",SEFAZ!P394)</f>
        <v/>
      </c>
      <c r="L412" t="str" cm="1">
        <f t="array" aca="1" ref="L4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2" t="s">
        <v>35</v>
      </c>
      <c r="O412" s="36" t="str">
        <f>IF(SEFAZ!B394="","",SEFAZ!B394)</f>
        <v/>
      </c>
    </row>
    <row r="413" spans="2:15" x14ac:dyDescent="0.3">
      <c r="B413" t="str">
        <f>IF(SEFAZ!A395="","",SEFAZ!A395)</f>
        <v/>
      </c>
      <c r="C413" t="str">
        <f>IF(SEFAZ!C395="","",SEFAZ!C395)</f>
        <v/>
      </c>
      <c r="D413" t="str">
        <f>IF(SEFAZ!D395="","",SEFAZ!D395)</f>
        <v/>
      </c>
      <c r="E413" s="7" t="str">
        <f>IF(SEFAZ!E395="","",SEFAZ!E395)</f>
        <v/>
      </c>
      <c r="F413" s="6" t="str">
        <f>IF(SEFAZ!F395="","",VALUE(SUBSTITUTE(SEFAZ!F395,"'","")))</f>
        <v/>
      </c>
      <c r="G413" t="str">
        <f>IF(SEFAZ!H395="","",SEFAZ!H395)</f>
        <v/>
      </c>
      <c r="H413" t="str">
        <f>IF(SEFAZ!L395="","",SEFAZ!L395)</f>
        <v/>
      </c>
      <c r="I413" t="str">
        <f>IF(SEFAZ!N395="","",SEFAZ!N395)</f>
        <v/>
      </c>
      <c r="J413" t="str">
        <f>IF(SEFAZ!O395="","",SEFAZ!O395)</f>
        <v/>
      </c>
      <c r="K413" s="11" t="str">
        <f>IF(SEFAZ!P395="","",SEFAZ!P395)</f>
        <v/>
      </c>
      <c r="L413" t="str" cm="1">
        <f t="array" aca="1" ref="L4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3" t="s">
        <v>35</v>
      </c>
      <c r="O413" s="36" t="str">
        <f>IF(SEFAZ!B395="","",SEFAZ!B395)</f>
        <v/>
      </c>
    </row>
    <row r="414" spans="2:15" x14ac:dyDescent="0.3">
      <c r="B414" t="str">
        <f>IF(SEFAZ!A396="","",SEFAZ!A396)</f>
        <v/>
      </c>
      <c r="C414" t="str">
        <f>IF(SEFAZ!C396="","",SEFAZ!C396)</f>
        <v/>
      </c>
      <c r="D414" t="str">
        <f>IF(SEFAZ!D396="","",SEFAZ!D396)</f>
        <v/>
      </c>
      <c r="E414" s="7" t="str">
        <f>IF(SEFAZ!E396="","",SEFAZ!E396)</f>
        <v/>
      </c>
      <c r="F414" s="6" t="str">
        <f>IF(SEFAZ!F396="","",VALUE(SUBSTITUTE(SEFAZ!F396,"'","")))</f>
        <v/>
      </c>
      <c r="G414" t="str">
        <f>IF(SEFAZ!H396="","",SEFAZ!H396)</f>
        <v/>
      </c>
      <c r="H414" t="str">
        <f>IF(SEFAZ!L396="","",SEFAZ!L396)</f>
        <v/>
      </c>
      <c r="I414" t="str">
        <f>IF(SEFAZ!N396="","",SEFAZ!N396)</f>
        <v/>
      </c>
      <c r="J414" t="str">
        <f>IF(SEFAZ!O396="","",SEFAZ!O396)</f>
        <v/>
      </c>
      <c r="K414" s="11" t="str">
        <f>IF(SEFAZ!P396="","",SEFAZ!P396)</f>
        <v/>
      </c>
      <c r="L414" t="str" cm="1">
        <f t="array" aca="1" ref="L4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4" t="s">
        <v>35</v>
      </c>
      <c r="O414" s="36" t="str">
        <f>IF(SEFAZ!B396="","",SEFAZ!B396)</f>
        <v/>
      </c>
    </row>
    <row r="415" spans="2:15" x14ac:dyDescent="0.3">
      <c r="B415" t="str">
        <f>IF(SEFAZ!A397="","",SEFAZ!A397)</f>
        <v/>
      </c>
      <c r="C415" t="str">
        <f>IF(SEFAZ!C397="","",SEFAZ!C397)</f>
        <v/>
      </c>
      <c r="D415" t="str">
        <f>IF(SEFAZ!D397="","",SEFAZ!D397)</f>
        <v/>
      </c>
      <c r="E415" s="7" t="str">
        <f>IF(SEFAZ!E397="","",SEFAZ!E397)</f>
        <v/>
      </c>
      <c r="F415" s="6" t="str">
        <f>IF(SEFAZ!F397="","",VALUE(SUBSTITUTE(SEFAZ!F397,"'","")))</f>
        <v/>
      </c>
      <c r="G415" t="str">
        <f>IF(SEFAZ!H397="","",SEFAZ!H397)</f>
        <v/>
      </c>
      <c r="H415" t="str">
        <f>IF(SEFAZ!L397="","",SEFAZ!L397)</f>
        <v/>
      </c>
      <c r="I415" t="str">
        <f>IF(SEFAZ!N397="","",SEFAZ!N397)</f>
        <v/>
      </c>
      <c r="J415" t="str">
        <f>IF(SEFAZ!O397="","",SEFAZ!O397)</f>
        <v/>
      </c>
      <c r="K415" s="11" t="str">
        <f>IF(SEFAZ!P397="","",SEFAZ!P397)</f>
        <v/>
      </c>
      <c r="L415" t="str" cm="1">
        <f t="array" aca="1" ref="L4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5" t="s">
        <v>35</v>
      </c>
      <c r="O415" s="36" t="str">
        <f>IF(SEFAZ!B397="","",SEFAZ!B397)</f>
        <v/>
      </c>
    </row>
    <row r="416" spans="2:15" x14ac:dyDescent="0.3">
      <c r="B416" t="str">
        <f>IF(SEFAZ!A398="","",SEFAZ!A398)</f>
        <v/>
      </c>
      <c r="C416" t="str">
        <f>IF(SEFAZ!C398="","",SEFAZ!C398)</f>
        <v/>
      </c>
      <c r="D416" t="str">
        <f>IF(SEFAZ!D398="","",SEFAZ!D398)</f>
        <v/>
      </c>
      <c r="E416" s="7" t="str">
        <f>IF(SEFAZ!E398="","",SEFAZ!E398)</f>
        <v/>
      </c>
      <c r="F416" s="6" t="str">
        <f>IF(SEFAZ!F398="","",VALUE(SUBSTITUTE(SEFAZ!F398,"'","")))</f>
        <v/>
      </c>
      <c r="G416" t="str">
        <f>IF(SEFAZ!H398="","",SEFAZ!H398)</f>
        <v/>
      </c>
      <c r="H416" t="str">
        <f>IF(SEFAZ!L398="","",SEFAZ!L398)</f>
        <v/>
      </c>
      <c r="I416" t="str">
        <f>IF(SEFAZ!N398="","",SEFAZ!N398)</f>
        <v/>
      </c>
      <c r="J416" t="str">
        <f>IF(SEFAZ!O398="","",SEFAZ!O398)</f>
        <v/>
      </c>
      <c r="K416" s="11" t="str">
        <f>IF(SEFAZ!P398="","",SEFAZ!P398)</f>
        <v/>
      </c>
      <c r="L416" t="str" cm="1">
        <f t="array" aca="1" ref="L4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6" t="s">
        <v>35</v>
      </c>
      <c r="O416" s="36" t="str">
        <f>IF(SEFAZ!B398="","",SEFAZ!B398)</f>
        <v/>
      </c>
    </row>
    <row r="417" spans="2:15" x14ac:dyDescent="0.3">
      <c r="B417" t="str">
        <f>IF(SEFAZ!A399="","",SEFAZ!A399)</f>
        <v/>
      </c>
      <c r="C417" t="str">
        <f>IF(SEFAZ!C399="","",SEFAZ!C399)</f>
        <v/>
      </c>
      <c r="D417" t="str">
        <f>IF(SEFAZ!D399="","",SEFAZ!D399)</f>
        <v/>
      </c>
      <c r="E417" s="7" t="str">
        <f>IF(SEFAZ!E399="","",SEFAZ!E399)</f>
        <v/>
      </c>
      <c r="F417" s="6" t="str">
        <f>IF(SEFAZ!F399="","",VALUE(SUBSTITUTE(SEFAZ!F399,"'","")))</f>
        <v/>
      </c>
      <c r="G417" t="str">
        <f>IF(SEFAZ!H399="","",SEFAZ!H399)</f>
        <v/>
      </c>
      <c r="H417" t="str">
        <f>IF(SEFAZ!L399="","",SEFAZ!L399)</f>
        <v/>
      </c>
      <c r="I417" t="str">
        <f>IF(SEFAZ!N399="","",SEFAZ!N399)</f>
        <v/>
      </c>
      <c r="J417" t="str">
        <f>IF(SEFAZ!O399="","",SEFAZ!O399)</f>
        <v/>
      </c>
      <c r="K417" s="11" t="str">
        <f>IF(SEFAZ!P399="","",SEFAZ!P399)</f>
        <v/>
      </c>
      <c r="L417" t="str" cm="1">
        <f t="array" aca="1" ref="L4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7" t="s">
        <v>35</v>
      </c>
      <c r="O417" s="36" t="str">
        <f>IF(SEFAZ!B399="","",SEFAZ!B399)</f>
        <v/>
      </c>
    </row>
    <row r="418" spans="2:15" x14ac:dyDescent="0.3">
      <c r="B418" t="str">
        <f>IF(SEFAZ!A400="","",SEFAZ!A400)</f>
        <v/>
      </c>
      <c r="C418" t="str">
        <f>IF(SEFAZ!C400="","",SEFAZ!C400)</f>
        <v/>
      </c>
      <c r="D418" t="str">
        <f>IF(SEFAZ!D400="","",SEFAZ!D400)</f>
        <v/>
      </c>
      <c r="E418" s="7" t="str">
        <f>IF(SEFAZ!E400="","",SEFAZ!E400)</f>
        <v/>
      </c>
      <c r="F418" s="6" t="str">
        <f>IF(SEFAZ!F400="","",VALUE(SUBSTITUTE(SEFAZ!F400,"'","")))</f>
        <v/>
      </c>
      <c r="G418" t="str">
        <f>IF(SEFAZ!H400="","",SEFAZ!H400)</f>
        <v/>
      </c>
      <c r="H418" t="str">
        <f>IF(SEFAZ!L400="","",SEFAZ!L400)</f>
        <v/>
      </c>
      <c r="I418" t="str">
        <f>IF(SEFAZ!N400="","",SEFAZ!N400)</f>
        <v/>
      </c>
      <c r="J418" t="str">
        <f>IF(SEFAZ!O400="","",SEFAZ!O400)</f>
        <v/>
      </c>
      <c r="K418" s="11" t="str">
        <f>IF(SEFAZ!P400="","",SEFAZ!P400)</f>
        <v/>
      </c>
      <c r="L418" t="str" cm="1">
        <f t="array" aca="1" ref="L4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8" t="s">
        <v>35</v>
      </c>
      <c r="O418" s="36" t="str">
        <f>IF(SEFAZ!B400="","",SEFAZ!B400)</f>
        <v/>
      </c>
    </row>
    <row r="419" spans="2:15" x14ac:dyDescent="0.3">
      <c r="B419" t="str">
        <f>IF(SEFAZ!A401="","",SEFAZ!A401)</f>
        <v/>
      </c>
      <c r="C419" t="str">
        <f>IF(SEFAZ!C401="","",SEFAZ!C401)</f>
        <v/>
      </c>
      <c r="D419" t="str">
        <f>IF(SEFAZ!D401="","",SEFAZ!D401)</f>
        <v/>
      </c>
      <c r="E419" s="7" t="str">
        <f>IF(SEFAZ!E401="","",SEFAZ!E401)</f>
        <v/>
      </c>
      <c r="F419" s="6" t="str">
        <f>IF(SEFAZ!F401="","",VALUE(SUBSTITUTE(SEFAZ!F401,"'","")))</f>
        <v/>
      </c>
      <c r="G419" t="str">
        <f>IF(SEFAZ!H401="","",SEFAZ!H401)</f>
        <v/>
      </c>
      <c r="H419" t="str">
        <f>IF(SEFAZ!L401="","",SEFAZ!L401)</f>
        <v/>
      </c>
      <c r="I419" t="str">
        <f>IF(SEFAZ!N401="","",SEFAZ!N401)</f>
        <v/>
      </c>
      <c r="J419" t="str">
        <f>IF(SEFAZ!O401="","",SEFAZ!O401)</f>
        <v/>
      </c>
      <c r="K419" s="11" t="str">
        <f>IF(SEFAZ!P401="","",SEFAZ!P401)</f>
        <v/>
      </c>
      <c r="L419" t="str" cm="1">
        <f t="array" aca="1" ref="L4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19" t="s">
        <v>35</v>
      </c>
      <c r="O419" s="36" t="str">
        <f>IF(SEFAZ!B401="","",SEFAZ!B401)</f>
        <v/>
      </c>
    </row>
    <row r="420" spans="2:15" x14ac:dyDescent="0.3">
      <c r="B420" t="str">
        <f>IF(SEFAZ!A402="","",SEFAZ!A402)</f>
        <v/>
      </c>
      <c r="C420" t="str">
        <f>IF(SEFAZ!C402="","",SEFAZ!C402)</f>
        <v/>
      </c>
      <c r="D420" t="str">
        <f>IF(SEFAZ!D402="","",SEFAZ!D402)</f>
        <v/>
      </c>
      <c r="E420" s="7" t="str">
        <f>IF(SEFAZ!E402="","",SEFAZ!E402)</f>
        <v/>
      </c>
      <c r="F420" s="6" t="str">
        <f>IF(SEFAZ!F402="","",VALUE(SUBSTITUTE(SEFAZ!F402,"'","")))</f>
        <v/>
      </c>
      <c r="G420" t="str">
        <f>IF(SEFAZ!H402="","",SEFAZ!H402)</f>
        <v/>
      </c>
      <c r="H420" t="str">
        <f>IF(SEFAZ!L402="","",SEFAZ!L402)</f>
        <v/>
      </c>
      <c r="I420" t="str">
        <f>IF(SEFAZ!N402="","",SEFAZ!N402)</f>
        <v/>
      </c>
      <c r="J420" t="str">
        <f>IF(SEFAZ!O402="","",SEFAZ!O402)</f>
        <v/>
      </c>
      <c r="K420" s="11" t="str">
        <f>IF(SEFAZ!P402="","",SEFAZ!P402)</f>
        <v/>
      </c>
      <c r="L420" t="str" cm="1">
        <f t="array" aca="1" ref="L4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0" t="s">
        <v>35</v>
      </c>
      <c r="O420" s="36" t="str">
        <f>IF(SEFAZ!B402="","",SEFAZ!B402)</f>
        <v/>
      </c>
    </row>
    <row r="421" spans="2:15" x14ac:dyDescent="0.3">
      <c r="B421" t="str">
        <f>IF(SEFAZ!A403="","",SEFAZ!A403)</f>
        <v/>
      </c>
      <c r="C421" t="str">
        <f>IF(SEFAZ!C403="","",SEFAZ!C403)</f>
        <v/>
      </c>
      <c r="D421" t="str">
        <f>IF(SEFAZ!D403="","",SEFAZ!D403)</f>
        <v/>
      </c>
      <c r="E421" s="7" t="str">
        <f>IF(SEFAZ!E403="","",SEFAZ!E403)</f>
        <v/>
      </c>
      <c r="F421" s="6" t="str">
        <f>IF(SEFAZ!F403="","",VALUE(SUBSTITUTE(SEFAZ!F403,"'","")))</f>
        <v/>
      </c>
      <c r="G421" t="str">
        <f>IF(SEFAZ!H403="","",SEFAZ!H403)</f>
        <v/>
      </c>
      <c r="H421" t="str">
        <f>IF(SEFAZ!L403="","",SEFAZ!L403)</f>
        <v/>
      </c>
      <c r="I421" t="str">
        <f>IF(SEFAZ!N403="","",SEFAZ!N403)</f>
        <v/>
      </c>
      <c r="J421" t="str">
        <f>IF(SEFAZ!O403="","",SEFAZ!O403)</f>
        <v/>
      </c>
      <c r="K421" s="11" t="str">
        <f>IF(SEFAZ!P403="","",SEFAZ!P403)</f>
        <v/>
      </c>
      <c r="L421" t="str" cm="1">
        <f t="array" aca="1" ref="L4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1" t="s">
        <v>35</v>
      </c>
      <c r="O421" s="36" t="str">
        <f>IF(SEFAZ!B403="","",SEFAZ!B403)</f>
        <v/>
      </c>
    </row>
    <row r="422" spans="2:15" x14ac:dyDescent="0.3">
      <c r="B422" t="str">
        <f>IF(SEFAZ!A404="","",SEFAZ!A404)</f>
        <v/>
      </c>
      <c r="C422" t="str">
        <f>IF(SEFAZ!C404="","",SEFAZ!C404)</f>
        <v/>
      </c>
      <c r="D422" t="str">
        <f>IF(SEFAZ!D404="","",SEFAZ!D404)</f>
        <v/>
      </c>
      <c r="E422" s="7" t="str">
        <f>IF(SEFAZ!E404="","",SEFAZ!E404)</f>
        <v/>
      </c>
      <c r="F422" s="6" t="str">
        <f>IF(SEFAZ!F404="","",VALUE(SUBSTITUTE(SEFAZ!F404,"'","")))</f>
        <v/>
      </c>
      <c r="G422" t="str">
        <f>IF(SEFAZ!H404="","",SEFAZ!H404)</f>
        <v/>
      </c>
      <c r="H422" t="str">
        <f>IF(SEFAZ!L404="","",SEFAZ!L404)</f>
        <v/>
      </c>
      <c r="I422" t="str">
        <f>IF(SEFAZ!N404="","",SEFAZ!N404)</f>
        <v/>
      </c>
      <c r="J422" t="str">
        <f>IF(SEFAZ!O404="","",SEFAZ!O404)</f>
        <v/>
      </c>
      <c r="K422" s="11" t="str">
        <f>IF(SEFAZ!P404="","",SEFAZ!P404)</f>
        <v/>
      </c>
      <c r="L422" t="str" cm="1">
        <f t="array" aca="1" ref="L4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2" t="s">
        <v>35</v>
      </c>
      <c r="O422" s="36" t="str">
        <f>IF(SEFAZ!B404="","",SEFAZ!B404)</f>
        <v/>
      </c>
    </row>
    <row r="423" spans="2:15" x14ac:dyDescent="0.3">
      <c r="B423" t="str">
        <f>IF(SEFAZ!A405="","",SEFAZ!A405)</f>
        <v/>
      </c>
      <c r="C423" t="str">
        <f>IF(SEFAZ!C405="","",SEFAZ!C405)</f>
        <v/>
      </c>
      <c r="D423" t="str">
        <f>IF(SEFAZ!D405="","",SEFAZ!D405)</f>
        <v/>
      </c>
      <c r="E423" s="7" t="str">
        <f>IF(SEFAZ!E405="","",SEFAZ!E405)</f>
        <v/>
      </c>
      <c r="F423" s="6" t="str">
        <f>IF(SEFAZ!F405="","",VALUE(SUBSTITUTE(SEFAZ!F405,"'","")))</f>
        <v/>
      </c>
      <c r="G423" t="str">
        <f>IF(SEFAZ!H405="","",SEFAZ!H405)</f>
        <v/>
      </c>
      <c r="H423" t="str">
        <f>IF(SEFAZ!L405="","",SEFAZ!L405)</f>
        <v/>
      </c>
      <c r="I423" t="str">
        <f>IF(SEFAZ!N405="","",SEFAZ!N405)</f>
        <v/>
      </c>
      <c r="J423" t="str">
        <f>IF(SEFAZ!O405="","",SEFAZ!O405)</f>
        <v/>
      </c>
      <c r="K423" s="11" t="str">
        <f>IF(SEFAZ!P405="","",SEFAZ!P405)</f>
        <v/>
      </c>
      <c r="L423" t="str" cm="1">
        <f t="array" aca="1" ref="L4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3" t="s">
        <v>35</v>
      </c>
      <c r="O423" s="36" t="str">
        <f>IF(SEFAZ!B405="","",SEFAZ!B405)</f>
        <v/>
      </c>
    </row>
    <row r="424" spans="2:15" x14ac:dyDescent="0.3">
      <c r="B424" t="str">
        <f>IF(SEFAZ!A406="","",SEFAZ!A406)</f>
        <v/>
      </c>
      <c r="C424" t="str">
        <f>IF(SEFAZ!C406="","",SEFAZ!C406)</f>
        <v/>
      </c>
      <c r="D424" t="str">
        <f>IF(SEFAZ!D406="","",SEFAZ!D406)</f>
        <v/>
      </c>
      <c r="E424" s="7" t="str">
        <f>IF(SEFAZ!E406="","",SEFAZ!E406)</f>
        <v/>
      </c>
      <c r="F424" s="6" t="str">
        <f>IF(SEFAZ!F406="","",VALUE(SUBSTITUTE(SEFAZ!F406,"'","")))</f>
        <v/>
      </c>
      <c r="G424" t="str">
        <f>IF(SEFAZ!H406="","",SEFAZ!H406)</f>
        <v/>
      </c>
      <c r="H424" t="str">
        <f>IF(SEFAZ!L406="","",SEFAZ!L406)</f>
        <v/>
      </c>
      <c r="I424" t="str">
        <f>IF(SEFAZ!N406="","",SEFAZ!N406)</f>
        <v/>
      </c>
      <c r="J424" t="str">
        <f>IF(SEFAZ!O406="","",SEFAZ!O406)</f>
        <v/>
      </c>
      <c r="K424" s="11" t="str">
        <f>IF(SEFAZ!P406="","",SEFAZ!P406)</f>
        <v/>
      </c>
      <c r="L424" t="str" cm="1">
        <f t="array" aca="1" ref="L4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4" t="s">
        <v>35</v>
      </c>
      <c r="O424" s="36" t="str">
        <f>IF(SEFAZ!B406="","",SEFAZ!B406)</f>
        <v/>
      </c>
    </row>
    <row r="425" spans="2:15" x14ac:dyDescent="0.3">
      <c r="B425" t="str">
        <f>IF(SEFAZ!A407="","",SEFAZ!A407)</f>
        <v/>
      </c>
      <c r="C425" t="str">
        <f>IF(SEFAZ!C407="","",SEFAZ!C407)</f>
        <v/>
      </c>
      <c r="D425" t="str">
        <f>IF(SEFAZ!D407="","",SEFAZ!D407)</f>
        <v/>
      </c>
      <c r="E425" s="7" t="str">
        <f>IF(SEFAZ!E407="","",SEFAZ!E407)</f>
        <v/>
      </c>
      <c r="F425" s="6" t="str">
        <f>IF(SEFAZ!F407="","",VALUE(SUBSTITUTE(SEFAZ!F407,"'","")))</f>
        <v/>
      </c>
      <c r="G425" t="str">
        <f>IF(SEFAZ!H407="","",SEFAZ!H407)</f>
        <v/>
      </c>
      <c r="H425" t="str">
        <f>IF(SEFAZ!L407="","",SEFAZ!L407)</f>
        <v/>
      </c>
      <c r="I425" t="str">
        <f>IF(SEFAZ!N407="","",SEFAZ!N407)</f>
        <v/>
      </c>
      <c r="J425" t="str">
        <f>IF(SEFAZ!O407="","",SEFAZ!O407)</f>
        <v/>
      </c>
      <c r="K425" s="11" t="str">
        <f>IF(SEFAZ!P407="","",SEFAZ!P407)</f>
        <v/>
      </c>
      <c r="L425" t="str" cm="1">
        <f t="array" aca="1" ref="L4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5" t="s">
        <v>35</v>
      </c>
      <c r="O425" s="36" t="str">
        <f>IF(SEFAZ!B407="","",SEFAZ!B407)</f>
        <v/>
      </c>
    </row>
    <row r="426" spans="2:15" x14ac:dyDescent="0.3">
      <c r="B426" t="str">
        <f>IF(SEFAZ!A408="","",SEFAZ!A408)</f>
        <v/>
      </c>
      <c r="C426" t="str">
        <f>IF(SEFAZ!C408="","",SEFAZ!C408)</f>
        <v/>
      </c>
      <c r="D426" t="str">
        <f>IF(SEFAZ!D408="","",SEFAZ!D408)</f>
        <v/>
      </c>
      <c r="E426" s="7" t="str">
        <f>IF(SEFAZ!E408="","",SEFAZ!E408)</f>
        <v/>
      </c>
      <c r="F426" s="6" t="str">
        <f>IF(SEFAZ!F408="","",VALUE(SUBSTITUTE(SEFAZ!F408,"'","")))</f>
        <v/>
      </c>
      <c r="G426" t="str">
        <f>IF(SEFAZ!H408="","",SEFAZ!H408)</f>
        <v/>
      </c>
      <c r="H426" t="str">
        <f>IF(SEFAZ!L408="","",SEFAZ!L408)</f>
        <v/>
      </c>
      <c r="I426" t="str">
        <f>IF(SEFAZ!N408="","",SEFAZ!N408)</f>
        <v/>
      </c>
      <c r="J426" t="str">
        <f>IF(SEFAZ!O408="","",SEFAZ!O408)</f>
        <v/>
      </c>
      <c r="K426" s="11" t="str">
        <f>IF(SEFAZ!P408="","",SEFAZ!P408)</f>
        <v/>
      </c>
      <c r="L426" t="str" cm="1">
        <f t="array" aca="1" ref="L4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6" t="s">
        <v>35</v>
      </c>
      <c r="O426" s="36" t="str">
        <f>IF(SEFAZ!B408="","",SEFAZ!B408)</f>
        <v/>
      </c>
    </row>
    <row r="427" spans="2:15" x14ac:dyDescent="0.3">
      <c r="B427" t="str">
        <f>IF(SEFAZ!A409="","",SEFAZ!A409)</f>
        <v/>
      </c>
      <c r="C427" t="str">
        <f>IF(SEFAZ!C409="","",SEFAZ!C409)</f>
        <v/>
      </c>
      <c r="D427" t="str">
        <f>IF(SEFAZ!D409="","",SEFAZ!D409)</f>
        <v/>
      </c>
      <c r="E427" s="7" t="str">
        <f>IF(SEFAZ!E409="","",SEFAZ!E409)</f>
        <v/>
      </c>
      <c r="F427" s="6" t="str">
        <f>IF(SEFAZ!F409="","",VALUE(SUBSTITUTE(SEFAZ!F409,"'","")))</f>
        <v/>
      </c>
      <c r="G427" t="str">
        <f>IF(SEFAZ!H409="","",SEFAZ!H409)</f>
        <v/>
      </c>
      <c r="H427" t="str">
        <f>IF(SEFAZ!L409="","",SEFAZ!L409)</f>
        <v/>
      </c>
      <c r="I427" t="str">
        <f>IF(SEFAZ!N409="","",SEFAZ!N409)</f>
        <v/>
      </c>
      <c r="J427" t="str">
        <f>IF(SEFAZ!O409="","",SEFAZ!O409)</f>
        <v/>
      </c>
      <c r="K427" s="11" t="str">
        <f>IF(SEFAZ!P409="","",SEFAZ!P409)</f>
        <v/>
      </c>
      <c r="L427" t="str" cm="1">
        <f t="array" aca="1" ref="L4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7" t="s">
        <v>35</v>
      </c>
      <c r="O427" s="36" t="str">
        <f>IF(SEFAZ!B409="","",SEFAZ!B409)</f>
        <v/>
      </c>
    </row>
    <row r="428" spans="2:15" x14ac:dyDescent="0.3">
      <c r="B428" t="str">
        <f>IF(SEFAZ!A410="","",SEFAZ!A410)</f>
        <v/>
      </c>
      <c r="C428" t="str">
        <f>IF(SEFAZ!C410="","",SEFAZ!C410)</f>
        <v/>
      </c>
      <c r="D428" t="str">
        <f>IF(SEFAZ!D410="","",SEFAZ!D410)</f>
        <v/>
      </c>
      <c r="E428" s="7" t="str">
        <f>IF(SEFAZ!E410="","",SEFAZ!E410)</f>
        <v/>
      </c>
      <c r="F428" s="6" t="str">
        <f>IF(SEFAZ!F410="","",VALUE(SUBSTITUTE(SEFAZ!F410,"'","")))</f>
        <v/>
      </c>
      <c r="G428" t="str">
        <f>IF(SEFAZ!H410="","",SEFAZ!H410)</f>
        <v/>
      </c>
      <c r="H428" t="str">
        <f>IF(SEFAZ!L410="","",SEFAZ!L410)</f>
        <v/>
      </c>
      <c r="I428" t="str">
        <f>IF(SEFAZ!N410="","",SEFAZ!N410)</f>
        <v/>
      </c>
      <c r="J428" t="str">
        <f>IF(SEFAZ!O410="","",SEFAZ!O410)</f>
        <v/>
      </c>
      <c r="K428" s="11" t="str">
        <f>IF(SEFAZ!P410="","",SEFAZ!P410)</f>
        <v/>
      </c>
      <c r="L428" t="str" cm="1">
        <f t="array" aca="1" ref="L4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8" t="s">
        <v>35</v>
      </c>
      <c r="O428" s="36" t="str">
        <f>IF(SEFAZ!B410="","",SEFAZ!B410)</f>
        <v/>
      </c>
    </row>
    <row r="429" spans="2:15" x14ac:dyDescent="0.3">
      <c r="B429" t="str">
        <f>IF(SEFAZ!A411="","",SEFAZ!A411)</f>
        <v/>
      </c>
      <c r="C429" t="str">
        <f>IF(SEFAZ!C411="","",SEFAZ!C411)</f>
        <v/>
      </c>
      <c r="D429" t="str">
        <f>IF(SEFAZ!D411="","",SEFAZ!D411)</f>
        <v/>
      </c>
      <c r="E429" s="7" t="str">
        <f>IF(SEFAZ!E411="","",SEFAZ!E411)</f>
        <v/>
      </c>
      <c r="F429" s="6" t="str">
        <f>IF(SEFAZ!F411="","",VALUE(SUBSTITUTE(SEFAZ!F411,"'","")))</f>
        <v/>
      </c>
      <c r="G429" t="str">
        <f>IF(SEFAZ!H411="","",SEFAZ!H411)</f>
        <v/>
      </c>
      <c r="H429" t="str">
        <f>IF(SEFAZ!L411="","",SEFAZ!L411)</f>
        <v/>
      </c>
      <c r="I429" t="str">
        <f>IF(SEFAZ!N411="","",SEFAZ!N411)</f>
        <v/>
      </c>
      <c r="J429" t="str">
        <f>IF(SEFAZ!O411="","",SEFAZ!O411)</f>
        <v/>
      </c>
      <c r="K429" s="11" t="str">
        <f>IF(SEFAZ!P411="","",SEFAZ!P411)</f>
        <v/>
      </c>
      <c r="L429" t="str" cm="1">
        <f t="array" aca="1" ref="L4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29" t="s">
        <v>35</v>
      </c>
      <c r="O429" s="36" t="str">
        <f>IF(SEFAZ!B411="","",SEFAZ!B411)</f>
        <v/>
      </c>
    </row>
    <row r="430" spans="2:15" x14ac:dyDescent="0.3">
      <c r="B430" t="str">
        <f>IF(SEFAZ!A412="","",SEFAZ!A412)</f>
        <v/>
      </c>
      <c r="C430" t="str">
        <f>IF(SEFAZ!C412="","",SEFAZ!C412)</f>
        <v/>
      </c>
      <c r="D430" t="str">
        <f>IF(SEFAZ!D412="","",SEFAZ!D412)</f>
        <v/>
      </c>
      <c r="E430" s="7" t="str">
        <f>IF(SEFAZ!E412="","",SEFAZ!E412)</f>
        <v/>
      </c>
      <c r="F430" s="6" t="str">
        <f>IF(SEFAZ!F412="","",VALUE(SUBSTITUTE(SEFAZ!F412,"'","")))</f>
        <v/>
      </c>
      <c r="G430" t="str">
        <f>IF(SEFAZ!H412="","",SEFAZ!H412)</f>
        <v/>
      </c>
      <c r="H430" t="str">
        <f>IF(SEFAZ!L412="","",SEFAZ!L412)</f>
        <v/>
      </c>
      <c r="I430" t="str">
        <f>IF(SEFAZ!N412="","",SEFAZ!N412)</f>
        <v/>
      </c>
      <c r="J430" t="str">
        <f>IF(SEFAZ!O412="","",SEFAZ!O412)</f>
        <v/>
      </c>
      <c r="K430" s="11" t="str">
        <f>IF(SEFAZ!P412="","",SEFAZ!P412)</f>
        <v/>
      </c>
      <c r="L430" t="str" cm="1">
        <f t="array" aca="1" ref="L4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0" t="s">
        <v>35</v>
      </c>
      <c r="O430" s="36" t="str">
        <f>IF(SEFAZ!B412="","",SEFAZ!B412)</f>
        <v/>
      </c>
    </row>
    <row r="431" spans="2:15" x14ac:dyDescent="0.3">
      <c r="B431" t="str">
        <f>IF(SEFAZ!A413="","",SEFAZ!A413)</f>
        <v/>
      </c>
      <c r="C431" t="str">
        <f>IF(SEFAZ!C413="","",SEFAZ!C413)</f>
        <v/>
      </c>
      <c r="D431" t="str">
        <f>IF(SEFAZ!D413="","",SEFAZ!D413)</f>
        <v/>
      </c>
      <c r="E431" s="7" t="str">
        <f>IF(SEFAZ!E413="","",SEFAZ!E413)</f>
        <v/>
      </c>
      <c r="F431" s="6" t="str">
        <f>IF(SEFAZ!F413="","",VALUE(SUBSTITUTE(SEFAZ!F413,"'","")))</f>
        <v/>
      </c>
      <c r="G431" t="str">
        <f>IF(SEFAZ!H413="","",SEFAZ!H413)</f>
        <v/>
      </c>
      <c r="H431" t="str">
        <f>IF(SEFAZ!L413="","",SEFAZ!L413)</f>
        <v/>
      </c>
      <c r="I431" t="str">
        <f>IF(SEFAZ!N413="","",SEFAZ!N413)</f>
        <v/>
      </c>
      <c r="J431" t="str">
        <f>IF(SEFAZ!O413="","",SEFAZ!O413)</f>
        <v/>
      </c>
      <c r="K431" s="11" t="str">
        <f>IF(SEFAZ!P413="","",SEFAZ!P413)</f>
        <v/>
      </c>
      <c r="L431" t="str" cm="1">
        <f t="array" aca="1" ref="L4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1" t="s">
        <v>35</v>
      </c>
      <c r="O431" s="36" t="str">
        <f>IF(SEFAZ!B413="","",SEFAZ!B413)</f>
        <v/>
      </c>
    </row>
    <row r="432" spans="2:15" x14ac:dyDescent="0.3">
      <c r="B432" t="str">
        <f>IF(SEFAZ!A414="","",SEFAZ!A414)</f>
        <v/>
      </c>
      <c r="C432" t="str">
        <f>IF(SEFAZ!C414="","",SEFAZ!C414)</f>
        <v/>
      </c>
      <c r="D432" t="str">
        <f>IF(SEFAZ!D414="","",SEFAZ!D414)</f>
        <v/>
      </c>
      <c r="E432" s="7" t="str">
        <f>IF(SEFAZ!E414="","",SEFAZ!E414)</f>
        <v/>
      </c>
      <c r="F432" s="6" t="str">
        <f>IF(SEFAZ!F414="","",VALUE(SUBSTITUTE(SEFAZ!F414,"'","")))</f>
        <v/>
      </c>
      <c r="G432" t="str">
        <f>IF(SEFAZ!H414="","",SEFAZ!H414)</f>
        <v/>
      </c>
      <c r="H432" t="str">
        <f>IF(SEFAZ!L414="","",SEFAZ!L414)</f>
        <v/>
      </c>
      <c r="I432" t="str">
        <f>IF(SEFAZ!N414="","",SEFAZ!N414)</f>
        <v/>
      </c>
      <c r="J432" t="str">
        <f>IF(SEFAZ!O414="","",SEFAZ!O414)</f>
        <v/>
      </c>
      <c r="K432" s="11" t="str">
        <f>IF(SEFAZ!P414="","",SEFAZ!P414)</f>
        <v/>
      </c>
      <c r="L432" t="str" cm="1">
        <f t="array" aca="1" ref="L4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2" t="s">
        <v>35</v>
      </c>
      <c r="O432" s="36" t="str">
        <f>IF(SEFAZ!B414="","",SEFAZ!B414)</f>
        <v/>
      </c>
    </row>
    <row r="433" spans="2:15" x14ac:dyDescent="0.3">
      <c r="B433" t="str">
        <f>IF(SEFAZ!A415="","",SEFAZ!A415)</f>
        <v/>
      </c>
      <c r="C433" t="str">
        <f>IF(SEFAZ!C415="","",SEFAZ!C415)</f>
        <v/>
      </c>
      <c r="D433" t="str">
        <f>IF(SEFAZ!D415="","",SEFAZ!D415)</f>
        <v/>
      </c>
      <c r="E433" s="7" t="str">
        <f>IF(SEFAZ!E415="","",SEFAZ!E415)</f>
        <v/>
      </c>
      <c r="F433" s="6" t="str">
        <f>IF(SEFAZ!F415="","",VALUE(SUBSTITUTE(SEFAZ!F415,"'","")))</f>
        <v/>
      </c>
      <c r="G433" t="str">
        <f>IF(SEFAZ!H415="","",SEFAZ!H415)</f>
        <v/>
      </c>
      <c r="H433" t="str">
        <f>IF(SEFAZ!L415="","",SEFAZ!L415)</f>
        <v/>
      </c>
      <c r="I433" t="str">
        <f>IF(SEFAZ!N415="","",SEFAZ!N415)</f>
        <v/>
      </c>
      <c r="J433" t="str">
        <f>IF(SEFAZ!O415="","",SEFAZ!O415)</f>
        <v/>
      </c>
      <c r="K433" s="11" t="str">
        <f>IF(SEFAZ!P415="","",SEFAZ!P415)</f>
        <v/>
      </c>
      <c r="L433" t="str" cm="1">
        <f t="array" aca="1" ref="L4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3" t="s">
        <v>35</v>
      </c>
      <c r="O433" s="36" t="str">
        <f>IF(SEFAZ!B415="","",SEFAZ!B415)</f>
        <v/>
      </c>
    </row>
    <row r="434" spans="2:15" x14ac:dyDescent="0.3">
      <c r="B434" t="str">
        <f>IF(SEFAZ!A416="","",SEFAZ!A416)</f>
        <v/>
      </c>
      <c r="C434" t="str">
        <f>IF(SEFAZ!C416="","",SEFAZ!C416)</f>
        <v/>
      </c>
      <c r="D434" t="str">
        <f>IF(SEFAZ!D416="","",SEFAZ!D416)</f>
        <v/>
      </c>
      <c r="E434" s="7" t="str">
        <f>IF(SEFAZ!E416="","",SEFAZ!E416)</f>
        <v/>
      </c>
      <c r="F434" s="6" t="str">
        <f>IF(SEFAZ!F416="","",VALUE(SUBSTITUTE(SEFAZ!F416,"'","")))</f>
        <v/>
      </c>
      <c r="G434" t="str">
        <f>IF(SEFAZ!H416="","",SEFAZ!H416)</f>
        <v/>
      </c>
      <c r="H434" t="str">
        <f>IF(SEFAZ!L416="","",SEFAZ!L416)</f>
        <v/>
      </c>
      <c r="I434" t="str">
        <f>IF(SEFAZ!N416="","",SEFAZ!N416)</f>
        <v/>
      </c>
      <c r="J434" t="str">
        <f>IF(SEFAZ!O416="","",SEFAZ!O416)</f>
        <v/>
      </c>
      <c r="K434" s="11" t="str">
        <f>IF(SEFAZ!P416="","",SEFAZ!P416)</f>
        <v/>
      </c>
      <c r="L434" t="str" cm="1">
        <f t="array" aca="1" ref="L4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4" t="s">
        <v>35</v>
      </c>
      <c r="O434" s="36" t="str">
        <f>IF(SEFAZ!B416="","",SEFAZ!B416)</f>
        <v/>
      </c>
    </row>
    <row r="435" spans="2:15" x14ac:dyDescent="0.3">
      <c r="B435" t="str">
        <f>IF(SEFAZ!A417="","",SEFAZ!A417)</f>
        <v/>
      </c>
      <c r="C435" t="str">
        <f>IF(SEFAZ!C417="","",SEFAZ!C417)</f>
        <v/>
      </c>
      <c r="D435" t="str">
        <f>IF(SEFAZ!D417="","",SEFAZ!D417)</f>
        <v/>
      </c>
      <c r="E435" s="7" t="str">
        <f>IF(SEFAZ!E417="","",SEFAZ!E417)</f>
        <v/>
      </c>
      <c r="F435" s="6" t="str">
        <f>IF(SEFAZ!F417="","",VALUE(SUBSTITUTE(SEFAZ!F417,"'","")))</f>
        <v/>
      </c>
      <c r="G435" t="str">
        <f>IF(SEFAZ!H417="","",SEFAZ!H417)</f>
        <v/>
      </c>
      <c r="H435" t="str">
        <f>IF(SEFAZ!L417="","",SEFAZ!L417)</f>
        <v/>
      </c>
      <c r="I435" t="str">
        <f>IF(SEFAZ!N417="","",SEFAZ!N417)</f>
        <v/>
      </c>
      <c r="J435" t="str">
        <f>IF(SEFAZ!O417="","",SEFAZ!O417)</f>
        <v/>
      </c>
      <c r="K435" s="11" t="str">
        <f>IF(SEFAZ!P417="","",SEFAZ!P417)</f>
        <v/>
      </c>
      <c r="L435" t="str" cm="1">
        <f t="array" aca="1" ref="L4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5" t="s">
        <v>35</v>
      </c>
      <c r="O435" s="36" t="str">
        <f>IF(SEFAZ!B417="","",SEFAZ!B417)</f>
        <v/>
      </c>
    </row>
    <row r="436" spans="2:15" x14ac:dyDescent="0.3">
      <c r="B436" t="str">
        <f>IF(SEFAZ!A418="","",SEFAZ!A418)</f>
        <v/>
      </c>
      <c r="C436" t="str">
        <f>IF(SEFAZ!C418="","",SEFAZ!C418)</f>
        <v/>
      </c>
      <c r="D436" t="str">
        <f>IF(SEFAZ!D418="","",SEFAZ!D418)</f>
        <v/>
      </c>
      <c r="E436" s="7" t="str">
        <f>IF(SEFAZ!E418="","",SEFAZ!E418)</f>
        <v/>
      </c>
      <c r="F436" s="6" t="str">
        <f>IF(SEFAZ!F418="","",VALUE(SUBSTITUTE(SEFAZ!F418,"'","")))</f>
        <v/>
      </c>
      <c r="G436" t="str">
        <f>IF(SEFAZ!H418="","",SEFAZ!H418)</f>
        <v/>
      </c>
      <c r="H436" t="str">
        <f>IF(SEFAZ!L418="","",SEFAZ!L418)</f>
        <v/>
      </c>
      <c r="I436" t="str">
        <f>IF(SEFAZ!N418="","",SEFAZ!N418)</f>
        <v/>
      </c>
      <c r="J436" t="str">
        <f>IF(SEFAZ!O418="","",SEFAZ!O418)</f>
        <v/>
      </c>
      <c r="K436" s="11" t="str">
        <f>IF(SEFAZ!P418="","",SEFAZ!P418)</f>
        <v/>
      </c>
      <c r="L436" t="str" cm="1">
        <f t="array" aca="1" ref="L4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6" t="s">
        <v>35</v>
      </c>
      <c r="O436" s="36" t="str">
        <f>IF(SEFAZ!B418="","",SEFAZ!B418)</f>
        <v/>
      </c>
    </row>
    <row r="437" spans="2:15" x14ac:dyDescent="0.3">
      <c r="B437" t="str">
        <f>IF(SEFAZ!A419="","",SEFAZ!A419)</f>
        <v/>
      </c>
      <c r="C437" t="str">
        <f>IF(SEFAZ!C419="","",SEFAZ!C419)</f>
        <v/>
      </c>
      <c r="D437" t="str">
        <f>IF(SEFAZ!D419="","",SEFAZ!D419)</f>
        <v/>
      </c>
      <c r="E437" s="7" t="str">
        <f>IF(SEFAZ!E419="","",SEFAZ!E419)</f>
        <v/>
      </c>
      <c r="F437" s="6" t="str">
        <f>IF(SEFAZ!F419="","",VALUE(SUBSTITUTE(SEFAZ!F419,"'","")))</f>
        <v/>
      </c>
      <c r="G437" t="str">
        <f>IF(SEFAZ!H419="","",SEFAZ!H419)</f>
        <v/>
      </c>
      <c r="H437" t="str">
        <f>IF(SEFAZ!L419="","",SEFAZ!L419)</f>
        <v/>
      </c>
      <c r="I437" t="str">
        <f>IF(SEFAZ!N419="","",SEFAZ!N419)</f>
        <v/>
      </c>
      <c r="J437" t="str">
        <f>IF(SEFAZ!O419="","",SEFAZ!O419)</f>
        <v/>
      </c>
      <c r="K437" s="11" t="str">
        <f>IF(SEFAZ!P419="","",SEFAZ!P419)</f>
        <v/>
      </c>
      <c r="L437" t="str" cm="1">
        <f t="array" aca="1" ref="L4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7" t="s">
        <v>35</v>
      </c>
      <c r="O437" s="36" t="str">
        <f>IF(SEFAZ!B419="","",SEFAZ!B419)</f>
        <v/>
      </c>
    </row>
    <row r="438" spans="2:15" x14ac:dyDescent="0.3">
      <c r="B438" t="str">
        <f>IF(SEFAZ!A420="","",SEFAZ!A420)</f>
        <v/>
      </c>
      <c r="C438" t="str">
        <f>IF(SEFAZ!C420="","",SEFAZ!C420)</f>
        <v/>
      </c>
      <c r="D438" t="str">
        <f>IF(SEFAZ!D420="","",SEFAZ!D420)</f>
        <v/>
      </c>
      <c r="E438" s="7" t="str">
        <f>IF(SEFAZ!E420="","",SEFAZ!E420)</f>
        <v/>
      </c>
      <c r="F438" s="6" t="str">
        <f>IF(SEFAZ!F420="","",VALUE(SUBSTITUTE(SEFAZ!F420,"'","")))</f>
        <v/>
      </c>
      <c r="G438" t="str">
        <f>IF(SEFAZ!H420="","",SEFAZ!H420)</f>
        <v/>
      </c>
      <c r="H438" t="str">
        <f>IF(SEFAZ!L420="","",SEFAZ!L420)</f>
        <v/>
      </c>
      <c r="I438" t="str">
        <f>IF(SEFAZ!N420="","",SEFAZ!N420)</f>
        <v/>
      </c>
      <c r="J438" t="str">
        <f>IF(SEFAZ!O420="","",SEFAZ!O420)</f>
        <v/>
      </c>
      <c r="K438" s="11" t="str">
        <f>IF(SEFAZ!P420="","",SEFAZ!P420)</f>
        <v/>
      </c>
      <c r="L438" t="str" cm="1">
        <f t="array" aca="1" ref="L4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8" t="s">
        <v>35</v>
      </c>
      <c r="O438" s="36" t="str">
        <f>IF(SEFAZ!B420="","",SEFAZ!B420)</f>
        <v/>
      </c>
    </row>
    <row r="439" spans="2:15" x14ac:dyDescent="0.3">
      <c r="B439" t="str">
        <f>IF(SEFAZ!A421="","",SEFAZ!A421)</f>
        <v/>
      </c>
      <c r="C439" t="str">
        <f>IF(SEFAZ!C421="","",SEFAZ!C421)</f>
        <v/>
      </c>
      <c r="D439" t="str">
        <f>IF(SEFAZ!D421="","",SEFAZ!D421)</f>
        <v/>
      </c>
      <c r="E439" s="7" t="str">
        <f>IF(SEFAZ!E421="","",SEFAZ!E421)</f>
        <v/>
      </c>
      <c r="F439" s="6" t="str">
        <f>IF(SEFAZ!F421="","",VALUE(SUBSTITUTE(SEFAZ!F421,"'","")))</f>
        <v/>
      </c>
      <c r="G439" t="str">
        <f>IF(SEFAZ!H421="","",SEFAZ!H421)</f>
        <v/>
      </c>
      <c r="H439" t="str">
        <f>IF(SEFAZ!L421="","",SEFAZ!L421)</f>
        <v/>
      </c>
      <c r="I439" t="str">
        <f>IF(SEFAZ!N421="","",SEFAZ!N421)</f>
        <v/>
      </c>
      <c r="J439" t="str">
        <f>IF(SEFAZ!O421="","",SEFAZ!O421)</f>
        <v/>
      </c>
      <c r="K439" s="11" t="str">
        <f>IF(SEFAZ!P421="","",SEFAZ!P421)</f>
        <v/>
      </c>
      <c r="L439" t="str" cm="1">
        <f t="array" aca="1" ref="L4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39" t="s">
        <v>35</v>
      </c>
      <c r="O439" s="36" t="str">
        <f>IF(SEFAZ!B421="","",SEFAZ!B421)</f>
        <v/>
      </c>
    </row>
    <row r="440" spans="2:15" x14ac:dyDescent="0.3">
      <c r="B440" t="str">
        <f>IF(SEFAZ!A422="","",SEFAZ!A422)</f>
        <v/>
      </c>
      <c r="C440" t="str">
        <f>IF(SEFAZ!C422="","",SEFAZ!C422)</f>
        <v/>
      </c>
      <c r="D440" t="str">
        <f>IF(SEFAZ!D422="","",SEFAZ!D422)</f>
        <v/>
      </c>
      <c r="E440" s="7" t="str">
        <f>IF(SEFAZ!E422="","",SEFAZ!E422)</f>
        <v/>
      </c>
      <c r="F440" s="6" t="str">
        <f>IF(SEFAZ!F422="","",VALUE(SUBSTITUTE(SEFAZ!F422,"'","")))</f>
        <v/>
      </c>
      <c r="G440" t="str">
        <f>IF(SEFAZ!H422="","",SEFAZ!H422)</f>
        <v/>
      </c>
      <c r="H440" t="str">
        <f>IF(SEFAZ!L422="","",SEFAZ!L422)</f>
        <v/>
      </c>
      <c r="I440" t="str">
        <f>IF(SEFAZ!N422="","",SEFAZ!N422)</f>
        <v/>
      </c>
      <c r="J440" t="str">
        <f>IF(SEFAZ!O422="","",SEFAZ!O422)</f>
        <v/>
      </c>
      <c r="K440" s="11" t="str">
        <f>IF(SEFAZ!P422="","",SEFAZ!P422)</f>
        <v/>
      </c>
      <c r="L440" t="str" cm="1">
        <f t="array" aca="1" ref="L4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0" t="s">
        <v>35</v>
      </c>
      <c r="O440" s="36" t="str">
        <f>IF(SEFAZ!B422="","",SEFAZ!B422)</f>
        <v/>
      </c>
    </row>
    <row r="441" spans="2:15" x14ac:dyDescent="0.3">
      <c r="B441" t="str">
        <f>IF(SEFAZ!A423="","",SEFAZ!A423)</f>
        <v/>
      </c>
      <c r="C441" t="str">
        <f>IF(SEFAZ!C423="","",SEFAZ!C423)</f>
        <v/>
      </c>
      <c r="D441" t="str">
        <f>IF(SEFAZ!D423="","",SEFAZ!D423)</f>
        <v/>
      </c>
      <c r="E441" s="7" t="str">
        <f>IF(SEFAZ!E423="","",SEFAZ!E423)</f>
        <v/>
      </c>
      <c r="F441" s="6" t="str">
        <f>IF(SEFAZ!F423="","",VALUE(SUBSTITUTE(SEFAZ!F423,"'","")))</f>
        <v/>
      </c>
      <c r="G441" t="str">
        <f>IF(SEFAZ!H423="","",SEFAZ!H423)</f>
        <v/>
      </c>
      <c r="H441" t="str">
        <f>IF(SEFAZ!L423="","",SEFAZ!L423)</f>
        <v/>
      </c>
      <c r="I441" t="str">
        <f>IF(SEFAZ!N423="","",SEFAZ!N423)</f>
        <v/>
      </c>
      <c r="J441" t="str">
        <f>IF(SEFAZ!O423="","",SEFAZ!O423)</f>
        <v/>
      </c>
      <c r="K441" s="11" t="str">
        <f>IF(SEFAZ!P423="","",SEFAZ!P423)</f>
        <v/>
      </c>
      <c r="L441" t="str" cm="1">
        <f t="array" aca="1" ref="L4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1" t="s">
        <v>35</v>
      </c>
      <c r="O441" s="36" t="str">
        <f>IF(SEFAZ!B423="","",SEFAZ!B423)</f>
        <v/>
      </c>
    </row>
    <row r="442" spans="2:15" x14ac:dyDescent="0.3">
      <c r="B442" t="str">
        <f>IF(SEFAZ!A424="","",SEFAZ!A424)</f>
        <v/>
      </c>
      <c r="C442" t="str">
        <f>IF(SEFAZ!C424="","",SEFAZ!C424)</f>
        <v/>
      </c>
      <c r="D442" t="str">
        <f>IF(SEFAZ!D424="","",SEFAZ!D424)</f>
        <v/>
      </c>
      <c r="E442" s="7" t="str">
        <f>IF(SEFAZ!E424="","",SEFAZ!E424)</f>
        <v/>
      </c>
      <c r="F442" s="6" t="str">
        <f>IF(SEFAZ!F424="","",VALUE(SUBSTITUTE(SEFAZ!F424,"'","")))</f>
        <v/>
      </c>
      <c r="G442" t="str">
        <f>IF(SEFAZ!H424="","",SEFAZ!H424)</f>
        <v/>
      </c>
      <c r="H442" t="str">
        <f>IF(SEFAZ!L424="","",SEFAZ!L424)</f>
        <v/>
      </c>
      <c r="I442" t="str">
        <f>IF(SEFAZ!N424="","",SEFAZ!N424)</f>
        <v/>
      </c>
      <c r="J442" t="str">
        <f>IF(SEFAZ!O424="","",SEFAZ!O424)</f>
        <v/>
      </c>
      <c r="K442" s="11" t="str">
        <f>IF(SEFAZ!P424="","",SEFAZ!P424)</f>
        <v/>
      </c>
      <c r="L442" t="str" cm="1">
        <f t="array" aca="1" ref="L4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2" t="s">
        <v>35</v>
      </c>
      <c r="O442" s="36" t="str">
        <f>IF(SEFAZ!B424="","",SEFAZ!B424)</f>
        <v/>
      </c>
    </row>
    <row r="443" spans="2:15" x14ac:dyDescent="0.3">
      <c r="B443" t="str">
        <f>IF(SEFAZ!A425="","",SEFAZ!A425)</f>
        <v/>
      </c>
      <c r="C443" t="str">
        <f>IF(SEFAZ!C425="","",SEFAZ!C425)</f>
        <v/>
      </c>
      <c r="D443" t="str">
        <f>IF(SEFAZ!D425="","",SEFAZ!D425)</f>
        <v/>
      </c>
      <c r="E443" s="7" t="str">
        <f>IF(SEFAZ!E425="","",SEFAZ!E425)</f>
        <v/>
      </c>
      <c r="F443" s="6" t="str">
        <f>IF(SEFAZ!F425="","",VALUE(SUBSTITUTE(SEFAZ!F425,"'","")))</f>
        <v/>
      </c>
      <c r="G443" t="str">
        <f>IF(SEFAZ!H425="","",SEFAZ!H425)</f>
        <v/>
      </c>
      <c r="H443" t="str">
        <f>IF(SEFAZ!L425="","",SEFAZ!L425)</f>
        <v/>
      </c>
      <c r="I443" t="str">
        <f>IF(SEFAZ!N425="","",SEFAZ!N425)</f>
        <v/>
      </c>
      <c r="J443" t="str">
        <f>IF(SEFAZ!O425="","",SEFAZ!O425)</f>
        <v/>
      </c>
      <c r="K443" s="11" t="str">
        <f>IF(SEFAZ!P425="","",SEFAZ!P425)</f>
        <v/>
      </c>
      <c r="L443" t="str" cm="1">
        <f t="array" aca="1" ref="L4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3" t="s">
        <v>35</v>
      </c>
      <c r="O443" s="36" t="str">
        <f>IF(SEFAZ!B425="","",SEFAZ!B425)</f>
        <v/>
      </c>
    </row>
    <row r="444" spans="2:15" x14ac:dyDescent="0.3">
      <c r="B444" t="str">
        <f>IF(SEFAZ!A426="","",SEFAZ!A426)</f>
        <v/>
      </c>
      <c r="C444" t="str">
        <f>IF(SEFAZ!C426="","",SEFAZ!C426)</f>
        <v/>
      </c>
      <c r="D444" t="str">
        <f>IF(SEFAZ!D426="","",SEFAZ!D426)</f>
        <v/>
      </c>
      <c r="E444" s="7" t="str">
        <f>IF(SEFAZ!E426="","",SEFAZ!E426)</f>
        <v/>
      </c>
      <c r="F444" s="6" t="str">
        <f>IF(SEFAZ!F426="","",VALUE(SUBSTITUTE(SEFAZ!F426,"'","")))</f>
        <v/>
      </c>
      <c r="G444" t="str">
        <f>IF(SEFAZ!H426="","",SEFAZ!H426)</f>
        <v/>
      </c>
      <c r="H444" t="str">
        <f>IF(SEFAZ!L426="","",SEFAZ!L426)</f>
        <v/>
      </c>
      <c r="I444" t="str">
        <f>IF(SEFAZ!N426="","",SEFAZ!N426)</f>
        <v/>
      </c>
      <c r="J444" t="str">
        <f>IF(SEFAZ!O426="","",SEFAZ!O426)</f>
        <v/>
      </c>
      <c r="K444" s="11" t="str">
        <f>IF(SEFAZ!P426="","",SEFAZ!P426)</f>
        <v/>
      </c>
      <c r="L444" t="str" cm="1">
        <f t="array" aca="1" ref="L4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4" t="s">
        <v>35</v>
      </c>
      <c r="O444" s="36" t="str">
        <f>IF(SEFAZ!B426="","",SEFAZ!B426)</f>
        <v/>
      </c>
    </row>
    <row r="445" spans="2:15" x14ac:dyDescent="0.3">
      <c r="B445" t="str">
        <f>IF(SEFAZ!A427="","",SEFAZ!A427)</f>
        <v/>
      </c>
      <c r="C445" t="str">
        <f>IF(SEFAZ!C427="","",SEFAZ!C427)</f>
        <v/>
      </c>
      <c r="D445" t="str">
        <f>IF(SEFAZ!D427="","",SEFAZ!D427)</f>
        <v/>
      </c>
      <c r="E445" s="7" t="str">
        <f>IF(SEFAZ!E427="","",SEFAZ!E427)</f>
        <v/>
      </c>
      <c r="F445" s="6" t="str">
        <f>IF(SEFAZ!F427="","",VALUE(SUBSTITUTE(SEFAZ!F427,"'","")))</f>
        <v/>
      </c>
      <c r="G445" t="str">
        <f>IF(SEFAZ!H427="","",SEFAZ!H427)</f>
        <v/>
      </c>
      <c r="H445" t="str">
        <f>IF(SEFAZ!L427="","",SEFAZ!L427)</f>
        <v/>
      </c>
      <c r="I445" t="str">
        <f>IF(SEFAZ!N427="","",SEFAZ!N427)</f>
        <v/>
      </c>
      <c r="J445" t="str">
        <f>IF(SEFAZ!O427="","",SEFAZ!O427)</f>
        <v/>
      </c>
      <c r="K445" s="11" t="str">
        <f>IF(SEFAZ!P427="","",SEFAZ!P427)</f>
        <v/>
      </c>
      <c r="L445" t="str" cm="1">
        <f t="array" aca="1" ref="L4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5" t="s">
        <v>35</v>
      </c>
      <c r="O445" s="36" t="str">
        <f>IF(SEFAZ!B427="","",SEFAZ!B427)</f>
        <v/>
      </c>
    </row>
    <row r="446" spans="2:15" x14ac:dyDescent="0.3">
      <c r="B446" t="str">
        <f>IF(SEFAZ!A428="","",SEFAZ!A428)</f>
        <v/>
      </c>
      <c r="C446" t="str">
        <f>IF(SEFAZ!C428="","",SEFAZ!C428)</f>
        <v/>
      </c>
      <c r="D446" t="str">
        <f>IF(SEFAZ!D428="","",SEFAZ!D428)</f>
        <v/>
      </c>
      <c r="E446" s="7" t="str">
        <f>IF(SEFAZ!E428="","",SEFAZ!E428)</f>
        <v/>
      </c>
      <c r="F446" s="6" t="str">
        <f>IF(SEFAZ!F428="","",VALUE(SUBSTITUTE(SEFAZ!F428,"'","")))</f>
        <v/>
      </c>
      <c r="G446" t="str">
        <f>IF(SEFAZ!H428="","",SEFAZ!H428)</f>
        <v/>
      </c>
      <c r="H446" t="str">
        <f>IF(SEFAZ!L428="","",SEFAZ!L428)</f>
        <v/>
      </c>
      <c r="I446" t="str">
        <f>IF(SEFAZ!N428="","",SEFAZ!N428)</f>
        <v/>
      </c>
      <c r="J446" t="str">
        <f>IF(SEFAZ!O428="","",SEFAZ!O428)</f>
        <v/>
      </c>
      <c r="K446" s="11" t="str">
        <f>IF(SEFAZ!P428="","",SEFAZ!P428)</f>
        <v/>
      </c>
      <c r="L446" t="str" cm="1">
        <f t="array" aca="1" ref="L4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6" t="s">
        <v>35</v>
      </c>
      <c r="O446" s="36" t="str">
        <f>IF(SEFAZ!B428="","",SEFAZ!B428)</f>
        <v/>
      </c>
    </row>
    <row r="447" spans="2:15" x14ac:dyDescent="0.3">
      <c r="B447" t="str">
        <f>IF(SEFAZ!A429="","",SEFAZ!A429)</f>
        <v/>
      </c>
      <c r="C447" t="str">
        <f>IF(SEFAZ!C429="","",SEFAZ!C429)</f>
        <v/>
      </c>
      <c r="D447" t="str">
        <f>IF(SEFAZ!D429="","",SEFAZ!D429)</f>
        <v/>
      </c>
      <c r="E447" s="7" t="str">
        <f>IF(SEFAZ!E429="","",SEFAZ!E429)</f>
        <v/>
      </c>
      <c r="F447" s="6" t="str">
        <f>IF(SEFAZ!F429="","",VALUE(SUBSTITUTE(SEFAZ!F429,"'","")))</f>
        <v/>
      </c>
      <c r="G447" t="str">
        <f>IF(SEFAZ!H429="","",SEFAZ!H429)</f>
        <v/>
      </c>
      <c r="H447" t="str">
        <f>IF(SEFAZ!L429="","",SEFAZ!L429)</f>
        <v/>
      </c>
      <c r="I447" t="str">
        <f>IF(SEFAZ!N429="","",SEFAZ!N429)</f>
        <v/>
      </c>
      <c r="J447" t="str">
        <f>IF(SEFAZ!O429="","",SEFAZ!O429)</f>
        <v/>
      </c>
      <c r="K447" s="11" t="str">
        <f>IF(SEFAZ!P429="","",SEFAZ!P429)</f>
        <v/>
      </c>
      <c r="L447" t="str" cm="1">
        <f t="array" aca="1" ref="L4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7" t="s">
        <v>35</v>
      </c>
      <c r="O447" s="36" t="str">
        <f>IF(SEFAZ!B429="","",SEFAZ!B429)</f>
        <v/>
      </c>
    </row>
    <row r="448" spans="2:15" x14ac:dyDescent="0.3">
      <c r="B448" t="str">
        <f>IF(SEFAZ!A430="","",SEFAZ!A430)</f>
        <v/>
      </c>
      <c r="C448" t="str">
        <f>IF(SEFAZ!C430="","",SEFAZ!C430)</f>
        <v/>
      </c>
      <c r="D448" t="str">
        <f>IF(SEFAZ!D430="","",SEFAZ!D430)</f>
        <v/>
      </c>
      <c r="E448" s="7" t="str">
        <f>IF(SEFAZ!E430="","",SEFAZ!E430)</f>
        <v/>
      </c>
      <c r="F448" s="6" t="str">
        <f>IF(SEFAZ!F430="","",VALUE(SUBSTITUTE(SEFAZ!F430,"'","")))</f>
        <v/>
      </c>
      <c r="G448" t="str">
        <f>IF(SEFAZ!H430="","",SEFAZ!H430)</f>
        <v/>
      </c>
      <c r="H448" t="str">
        <f>IF(SEFAZ!L430="","",SEFAZ!L430)</f>
        <v/>
      </c>
      <c r="I448" t="str">
        <f>IF(SEFAZ!N430="","",SEFAZ!N430)</f>
        <v/>
      </c>
      <c r="J448" t="str">
        <f>IF(SEFAZ!O430="","",SEFAZ!O430)</f>
        <v/>
      </c>
      <c r="K448" s="11" t="str">
        <f>IF(SEFAZ!P430="","",SEFAZ!P430)</f>
        <v/>
      </c>
      <c r="L448" t="str" cm="1">
        <f t="array" aca="1" ref="L4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8" t="s">
        <v>35</v>
      </c>
      <c r="O448" s="36" t="str">
        <f>IF(SEFAZ!B430="","",SEFAZ!B430)</f>
        <v/>
      </c>
    </row>
    <row r="449" spans="2:15" x14ac:dyDescent="0.3">
      <c r="B449" t="str">
        <f>IF(SEFAZ!A431="","",SEFAZ!A431)</f>
        <v/>
      </c>
      <c r="C449" t="str">
        <f>IF(SEFAZ!C431="","",SEFAZ!C431)</f>
        <v/>
      </c>
      <c r="D449" t="str">
        <f>IF(SEFAZ!D431="","",SEFAZ!D431)</f>
        <v/>
      </c>
      <c r="E449" s="7" t="str">
        <f>IF(SEFAZ!E431="","",SEFAZ!E431)</f>
        <v/>
      </c>
      <c r="F449" s="6" t="str">
        <f>IF(SEFAZ!F431="","",VALUE(SUBSTITUTE(SEFAZ!F431,"'","")))</f>
        <v/>
      </c>
      <c r="G449" t="str">
        <f>IF(SEFAZ!H431="","",SEFAZ!H431)</f>
        <v/>
      </c>
      <c r="H449" t="str">
        <f>IF(SEFAZ!L431="","",SEFAZ!L431)</f>
        <v/>
      </c>
      <c r="I449" t="str">
        <f>IF(SEFAZ!N431="","",SEFAZ!N431)</f>
        <v/>
      </c>
      <c r="J449" t="str">
        <f>IF(SEFAZ!O431="","",SEFAZ!O431)</f>
        <v/>
      </c>
      <c r="K449" s="11" t="str">
        <f>IF(SEFAZ!P431="","",SEFAZ!P431)</f>
        <v/>
      </c>
      <c r="L449" t="str" cm="1">
        <f t="array" aca="1" ref="L4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49" t="s">
        <v>35</v>
      </c>
      <c r="O449" s="36" t="str">
        <f>IF(SEFAZ!B431="","",SEFAZ!B431)</f>
        <v/>
      </c>
    </row>
    <row r="450" spans="2:15" x14ac:dyDescent="0.3">
      <c r="B450" t="str">
        <f>IF(SEFAZ!A432="","",SEFAZ!A432)</f>
        <v/>
      </c>
      <c r="C450" t="str">
        <f>IF(SEFAZ!C432="","",SEFAZ!C432)</f>
        <v/>
      </c>
      <c r="D450" t="str">
        <f>IF(SEFAZ!D432="","",SEFAZ!D432)</f>
        <v/>
      </c>
      <c r="E450" s="7" t="str">
        <f>IF(SEFAZ!E432="","",SEFAZ!E432)</f>
        <v/>
      </c>
      <c r="F450" s="6" t="str">
        <f>IF(SEFAZ!F432="","",VALUE(SUBSTITUTE(SEFAZ!F432,"'","")))</f>
        <v/>
      </c>
      <c r="G450" t="str">
        <f>IF(SEFAZ!H432="","",SEFAZ!H432)</f>
        <v/>
      </c>
      <c r="H450" t="str">
        <f>IF(SEFAZ!L432="","",SEFAZ!L432)</f>
        <v/>
      </c>
      <c r="I450" t="str">
        <f>IF(SEFAZ!N432="","",SEFAZ!N432)</f>
        <v/>
      </c>
      <c r="J450" t="str">
        <f>IF(SEFAZ!O432="","",SEFAZ!O432)</f>
        <v/>
      </c>
      <c r="K450" s="11" t="str">
        <f>IF(SEFAZ!P432="","",SEFAZ!P432)</f>
        <v/>
      </c>
      <c r="L450" t="str" cm="1">
        <f t="array" aca="1" ref="L4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0" t="s">
        <v>35</v>
      </c>
      <c r="O450" s="36" t="str">
        <f>IF(SEFAZ!B432="","",SEFAZ!B432)</f>
        <v/>
      </c>
    </row>
    <row r="451" spans="2:15" x14ac:dyDescent="0.3">
      <c r="B451" t="str">
        <f>IF(SEFAZ!A433="","",SEFAZ!A433)</f>
        <v/>
      </c>
      <c r="C451" t="str">
        <f>IF(SEFAZ!C433="","",SEFAZ!C433)</f>
        <v/>
      </c>
      <c r="D451" t="str">
        <f>IF(SEFAZ!D433="","",SEFAZ!D433)</f>
        <v/>
      </c>
      <c r="E451" s="7" t="str">
        <f>IF(SEFAZ!E433="","",SEFAZ!E433)</f>
        <v/>
      </c>
      <c r="F451" s="6" t="str">
        <f>IF(SEFAZ!F433="","",VALUE(SUBSTITUTE(SEFAZ!F433,"'","")))</f>
        <v/>
      </c>
      <c r="G451" t="str">
        <f>IF(SEFAZ!H433="","",SEFAZ!H433)</f>
        <v/>
      </c>
      <c r="H451" t="str">
        <f>IF(SEFAZ!L433="","",SEFAZ!L433)</f>
        <v/>
      </c>
      <c r="I451" t="str">
        <f>IF(SEFAZ!N433="","",SEFAZ!N433)</f>
        <v/>
      </c>
      <c r="J451" t="str">
        <f>IF(SEFAZ!O433="","",SEFAZ!O433)</f>
        <v/>
      </c>
      <c r="K451" s="11" t="str">
        <f>IF(SEFAZ!P433="","",SEFAZ!P433)</f>
        <v/>
      </c>
      <c r="L451" t="str" cm="1">
        <f t="array" aca="1" ref="L4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1" t="s">
        <v>35</v>
      </c>
      <c r="O451" s="36" t="str">
        <f>IF(SEFAZ!B433="","",SEFAZ!B433)</f>
        <v/>
      </c>
    </row>
    <row r="452" spans="2:15" x14ac:dyDescent="0.3">
      <c r="B452" t="str">
        <f>IF(SEFAZ!A434="","",SEFAZ!A434)</f>
        <v/>
      </c>
      <c r="C452" t="str">
        <f>IF(SEFAZ!C434="","",SEFAZ!C434)</f>
        <v/>
      </c>
      <c r="D452" t="str">
        <f>IF(SEFAZ!D434="","",SEFAZ!D434)</f>
        <v/>
      </c>
      <c r="E452" s="7" t="str">
        <f>IF(SEFAZ!E434="","",SEFAZ!E434)</f>
        <v/>
      </c>
      <c r="F452" s="6" t="str">
        <f>IF(SEFAZ!F434="","",VALUE(SUBSTITUTE(SEFAZ!F434,"'","")))</f>
        <v/>
      </c>
      <c r="G452" t="str">
        <f>IF(SEFAZ!H434="","",SEFAZ!H434)</f>
        <v/>
      </c>
      <c r="H452" t="str">
        <f>IF(SEFAZ!L434="","",SEFAZ!L434)</f>
        <v/>
      </c>
      <c r="I452" t="str">
        <f>IF(SEFAZ!N434="","",SEFAZ!N434)</f>
        <v/>
      </c>
      <c r="J452" t="str">
        <f>IF(SEFAZ!O434="","",SEFAZ!O434)</f>
        <v/>
      </c>
      <c r="K452" s="11" t="str">
        <f>IF(SEFAZ!P434="","",SEFAZ!P434)</f>
        <v/>
      </c>
      <c r="L452" t="str" cm="1">
        <f t="array" aca="1" ref="L4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2" t="s">
        <v>35</v>
      </c>
      <c r="O452" s="36" t="str">
        <f>IF(SEFAZ!B434="","",SEFAZ!B434)</f>
        <v/>
      </c>
    </row>
    <row r="453" spans="2:15" x14ac:dyDescent="0.3">
      <c r="B453" t="str">
        <f>IF(SEFAZ!A435="","",SEFAZ!A435)</f>
        <v/>
      </c>
      <c r="C453" t="str">
        <f>IF(SEFAZ!C435="","",SEFAZ!C435)</f>
        <v/>
      </c>
      <c r="D453" t="str">
        <f>IF(SEFAZ!D435="","",SEFAZ!D435)</f>
        <v/>
      </c>
      <c r="E453" s="7" t="str">
        <f>IF(SEFAZ!E435="","",SEFAZ!E435)</f>
        <v/>
      </c>
      <c r="F453" s="6" t="str">
        <f>IF(SEFAZ!F435="","",VALUE(SUBSTITUTE(SEFAZ!F435,"'","")))</f>
        <v/>
      </c>
      <c r="G453" t="str">
        <f>IF(SEFAZ!H435="","",SEFAZ!H435)</f>
        <v/>
      </c>
      <c r="H453" t="str">
        <f>IF(SEFAZ!L435="","",SEFAZ!L435)</f>
        <v/>
      </c>
      <c r="I453" t="str">
        <f>IF(SEFAZ!N435="","",SEFAZ!N435)</f>
        <v/>
      </c>
      <c r="J453" t="str">
        <f>IF(SEFAZ!O435="","",SEFAZ!O435)</f>
        <v/>
      </c>
      <c r="K453" s="11" t="str">
        <f>IF(SEFAZ!P435="","",SEFAZ!P435)</f>
        <v/>
      </c>
      <c r="L453" t="str" cm="1">
        <f t="array" aca="1" ref="L4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3" t="s">
        <v>35</v>
      </c>
      <c r="O453" s="36" t="str">
        <f>IF(SEFAZ!B435="","",SEFAZ!B435)</f>
        <v/>
      </c>
    </row>
    <row r="454" spans="2:15" x14ac:dyDescent="0.3">
      <c r="B454" t="str">
        <f>IF(SEFAZ!A436="","",SEFAZ!A436)</f>
        <v/>
      </c>
      <c r="C454" t="str">
        <f>IF(SEFAZ!C436="","",SEFAZ!C436)</f>
        <v/>
      </c>
      <c r="D454" t="str">
        <f>IF(SEFAZ!D436="","",SEFAZ!D436)</f>
        <v/>
      </c>
      <c r="E454" s="7" t="str">
        <f>IF(SEFAZ!E436="","",SEFAZ!E436)</f>
        <v/>
      </c>
      <c r="F454" s="6" t="str">
        <f>IF(SEFAZ!F436="","",VALUE(SUBSTITUTE(SEFAZ!F436,"'","")))</f>
        <v/>
      </c>
      <c r="G454" t="str">
        <f>IF(SEFAZ!H436="","",SEFAZ!H436)</f>
        <v/>
      </c>
      <c r="H454" t="str">
        <f>IF(SEFAZ!L436="","",SEFAZ!L436)</f>
        <v/>
      </c>
      <c r="I454" t="str">
        <f>IF(SEFAZ!N436="","",SEFAZ!N436)</f>
        <v/>
      </c>
      <c r="J454" t="str">
        <f>IF(SEFAZ!O436="","",SEFAZ!O436)</f>
        <v/>
      </c>
      <c r="K454" s="11" t="str">
        <f>IF(SEFAZ!P436="","",SEFAZ!P436)</f>
        <v/>
      </c>
      <c r="L454" t="str" cm="1">
        <f t="array" aca="1" ref="L4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4" t="s">
        <v>35</v>
      </c>
      <c r="O454" s="36" t="str">
        <f>IF(SEFAZ!B436="","",SEFAZ!B436)</f>
        <v/>
      </c>
    </row>
    <row r="455" spans="2:15" x14ac:dyDescent="0.3">
      <c r="B455" t="str">
        <f>IF(SEFAZ!A437="","",SEFAZ!A437)</f>
        <v/>
      </c>
      <c r="C455" t="str">
        <f>IF(SEFAZ!C437="","",SEFAZ!C437)</f>
        <v/>
      </c>
      <c r="D455" t="str">
        <f>IF(SEFAZ!D437="","",SEFAZ!D437)</f>
        <v/>
      </c>
      <c r="E455" s="7" t="str">
        <f>IF(SEFAZ!E437="","",SEFAZ!E437)</f>
        <v/>
      </c>
      <c r="F455" s="6" t="str">
        <f>IF(SEFAZ!F437="","",VALUE(SUBSTITUTE(SEFAZ!F437,"'","")))</f>
        <v/>
      </c>
      <c r="G455" t="str">
        <f>IF(SEFAZ!H437="","",SEFAZ!H437)</f>
        <v/>
      </c>
      <c r="H455" t="str">
        <f>IF(SEFAZ!L437="","",SEFAZ!L437)</f>
        <v/>
      </c>
      <c r="I455" t="str">
        <f>IF(SEFAZ!N437="","",SEFAZ!N437)</f>
        <v/>
      </c>
      <c r="J455" t="str">
        <f>IF(SEFAZ!O437="","",SEFAZ!O437)</f>
        <v/>
      </c>
      <c r="K455" s="11" t="str">
        <f>IF(SEFAZ!P437="","",SEFAZ!P437)</f>
        <v/>
      </c>
      <c r="L455" t="str" cm="1">
        <f t="array" aca="1" ref="L4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5" t="s">
        <v>35</v>
      </c>
      <c r="O455" s="36" t="str">
        <f>IF(SEFAZ!B437="","",SEFAZ!B437)</f>
        <v/>
      </c>
    </row>
    <row r="456" spans="2:15" x14ac:dyDescent="0.3">
      <c r="B456" t="str">
        <f>IF(SEFAZ!A438="","",SEFAZ!A438)</f>
        <v/>
      </c>
      <c r="C456" t="str">
        <f>IF(SEFAZ!C438="","",SEFAZ!C438)</f>
        <v/>
      </c>
      <c r="D456" t="str">
        <f>IF(SEFAZ!D438="","",SEFAZ!D438)</f>
        <v/>
      </c>
      <c r="E456" s="7" t="str">
        <f>IF(SEFAZ!E438="","",SEFAZ!E438)</f>
        <v/>
      </c>
      <c r="F456" s="6" t="str">
        <f>IF(SEFAZ!F438="","",VALUE(SUBSTITUTE(SEFAZ!F438,"'","")))</f>
        <v/>
      </c>
      <c r="G456" t="str">
        <f>IF(SEFAZ!H438="","",SEFAZ!H438)</f>
        <v/>
      </c>
      <c r="H456" t="str">
        <f>IF(SEFAZ!L438="","",SEFAZ!L438)</f>
        <v/>
      </c>
      <c r="I456" t="str">
        <f>IF(SEFAZ!N438="","",SEFAZ!N438)</f>
        <v/>
      </c>
      <c r="J456" t="str">
        <f>IF(SEFAZ!O438="","",SEFAZ!O438)</f>
        <v/>
      </c>
      <c r="K456" s="11" t="str">
        <f>IF(SEFAZ!P438="","",SEFAZ!P438)</f>
        <v/>
      </c>
      <c r="L456" t="str" cm="1">
        <f t="array" aca="1" ref="L4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6" t="s">
        <v>35</v>
      </c>
      <c r="O456" s="36" t="str">
        <f>IF(SEFAZ!B438="","",SEFAZ!B438)</f>
        <v/>
      </c>
    </row>
    <row r="457" spans="2:15" x14ac:dyDescent="0.3">
      <c r="B457" t="str">
        <f>IF(SEFAZ!A439="","",SEFAZ!A439)</f>
        <v/>
      </c>
      <c r="C457" t="str">
        <f>IF(SEFAZ!C439="","",SEFAZ!C439)</f>
        <v/>
      </c>
      <c r="D457" t="str">
        <f>IF(SEFAZ!D439="","",SEFAZ!D439)</f>
        <v/>
      </c>
      <c r="E457" s="7" t="str">
        <f>IF(SEFAZ!E439="","",SEFAZ!E439)</f>
        <v/>
      </c>
      <c r="F457" s="6" t="str">
        <f>IF(SEFAZ!F439="","",VALUE(SUBSTITUTE(SEFAZ!F439,"'","")))</f>
        <v/>
      </c>
      <c r="G457" t="str">
        <f>IF(SEFAZ!H439="","",SEFAZ!H439)</f>
        <v/>
      </c>
      <c r="H457" t="str">
        <f>IF(SEFAZ!L439="","",SEFAZ!L439)</f>
        <v/>
      </c>
      <c r="I457" t="str">
        <f>IF(SEFAZ!N439="","",SEFAZ!N439)</f>
        <v/>
      </c>
      <c r="J457" t="str">
        <f>IF(SEFAZ!O439="","",SEFAZ!O439)</f>
        <v/>
      </c>
      <c r="K457" s="11" t="str">
        <f>IF(SEFAZ!P439="","",SEFAZ!P439)</f>
        <v/>
      </c>
      <c r="L457" t="str" cm="1">
        <f t="array" aca="1" ref="L4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7" t="s">
        <v>35</v>
      </c>
      <c r="O457" s="36" t="str">
        <f>IF(SEFAZ!B439="","",SEFAZ!B439)</f>
        <v/>
      </c>
    </row>
    <row r="458" spans="2:15" x14ac:dyDescent="0.3">
      <c r="B458" t="str">
        <f>IF(SEFAZ!A440="","",SEFAZ!A440)</f>
        <v/>
      </c>
      <c r="C458" t="str">
        <f>IF(SEFAZ!C440="","",SEFAZ!C440)</f>
        <v/>
      </c>
      <c r="D458" t="str">
        <f>IF(SEFAZ!D440="","",SEFAZ!D440)</f>
        <v/>
      </c>
      <c r="E458" s="7" t="str">
        <f>IF(SEFAZ!E440="","",SEFAZ!E440)</f>
        <v/>
      </c>
      <c r="F458" s="6" t="str">
        <f>IF(SEFAZ!F440="","",VALUE(SUBSTITUTE(SEFAZ!F440,"'","")))</f>
        <v/>
      </c>
      <c r="G458" t="str">
        <f>IF(SEFAZ!H440="","",SEFAZ!H440)</f>
        <v/>
      </c>
      <c r="H458" t="str">
        <f>IF(SEFAZ!L440="","",SEFAZ!L440)</f>
        <v/>
      </c>
      <c r="I458" t="str">
        <f>IF(SEFAZ!N440="","",SEFAZ!N440)</f>
        <v/>
      </c>
      <c r="J458" t="str">
        <f>IF(SEFAZ!O440="","",SEFAZ!O440)</f>
        <v/>
      </c>
      <c r="K458" s="11" t="str">
        <f>IF(SEFAZ!P440="","",SEFAZ!P440)</f>
        <v/>
      </c>
      <c r="L458" t="str" cm="1">
        <f t="array" aca="1" ref="L4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8" t="s">
        <v>35</v>
      </c>
      <c r="O458" s="36" t="str">
        <f>IF(SEFAZ!B440="","",SEFAZ!B440)</f>
        <v/>
      </c>
    </row>
    <row r="459" spans="2:15" x14ac:dyDescent="0.3">
      <c r="B459" t="str">
        <f>IF(SEFAZ!A441="","",SEFAZ!A441)</f>
        <v/>
      </c>
      <c r="C459" t="str">
        <f>IF(SEFAZ!C441="","",SEFAZ!C441)</f>
        <v/>
      </c>
      <c r="D459" t="str">
        <f>IF(SEFAZ!D441="","",SEFAZ!D441)</f>
        <v/>
      </c>
      <c r="E459" s="7" t="str">
        <f>IF(SEFAZ!E441="","",SEFAZ!E441)</f>
        <v/>
      </c>
      <c r="F459" s="6" t="str">
        <f>IF(SEFAZ!F441="","",VALUE(SUBSTITUTE(SEFAZ!F441,"'","")))</f>
        <v/>
      </c>
      <c r="G459" t="str">
        <f>IF(SEFAZ!H441="","",SEFAZ!H441)</f>
        <v/>
      </c>
      <c r="H459" t="str">
        <f>IF(SEFAZ!L441="","",SEFAZ!L441)</f>
        <v/>
      </c>
      <c r="I459" t="str">
        <f>IF(SEFAZ!N441="","",SEFAZ!N441)</f>
        <v/>
      </c>
      <c r="J459" t="str">
        <f>IF(SEFAZ!O441="","",SEFAZ!O441)</f>
        <v/>
      </c>
      <c r="K459" s="11" t="str">
        <f>IF(SEFAZ!P441="","",SEFAZ!P441)</f>
        <v/>
      </c>
      <c r="L459" t="str" cm="1">
        <f t="array" aca="1" ref="L4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59" t="s">
        <v>35</v>
      </c>
      <c r="O459" s="36" t="str">
        <f>IF(SEFAZ!B441="","",SEFAZ!B441)</f>
        <v/>
      </c>
    </row>
    <row r="460" spans="2:15" x14ac:dyDescent="0.3">
      <c r="B460" t="str">
        <f>IF(SEFAZ!A442="","",SEFAZ!A442)</f>
        <v/>
      </c>
      <c r="C460" t="str">
        <f>IF(SEFAZ!C442="","",SEFAZ!C442)</f>
        <v/>
      </c>
      <c r="D460" t="str">
        <f>IF(SEFAZ!D442="","",SEFAZ!D442)</f>
        <v/>
      </c>
      <c r="E460" s="7" t="str">
        <f>IF(SEFAZ!E442="","",SEFAZ!E442)</f>
        <v/>
      </c>
      <c r="F460" s="6" t="str">
        <f>IF(SEFAZ!F442="","",VALUE(SUBSTITUTE(SEFAZ!F442,"'","")))</f>
        <v/>
      </c>
      <c r="G460" t="str">
        <f>IF(SEFAZ!H442="","",SEFAZ!H442)</f>
        <v/>
      </c>
      <c r="H460" t="str">
        <f>IF(SEFAZ!L442="","",SEFAZ!L442)</f>
        <v/>
      </c>
      <c r="I460" t="str">
        <f>IF(SEFAZ!N442="","",SEFAZ!N442)</f>
        <v/>
      </c>
      <c r="J460" t="str">
        <f>IF(SEFAZ!O442="","",SEFAZ!O442)</f>
        <v/>
      </c>
      <c r="K460" s="11" t="str">
        <f>IF(SEFAZ!P442="","",SEFAZ!P442)</f>
        <v/>
      </c>
      <c r="L460" t="str" cm="1">
        <f t="array" aca="1" ref="L4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0" t="s">
        <v>35</v>
      </c>
      <c r="O460" s="36" t="str">
        <f>IF(SEFAZ!B442="","",SEFAZ!B442)</f>
        <v/>
      </c>
    </row>
    <row r="461" spans="2:15" x14ac:dyDescent="0.3">
      <c r="B461" t="str">
        <f>IF(SEFAZ!A443="","",SEFAZ!A443)</f>
        <v/>
      </c>
      <c r="C461" t="str">
        <f>IF(SEFAZ!C443="","",SEFAZ!C443)</f>
        <v/>
      </c>
      <c r="D461" t="str">
        <f>IF(SEFAZ!D443="","",SEFAZ!D443)</f>
        <v/>
      </c>
      <c r="E461" s="7" t="str">
        <f>IF(SEFAZ!E443="","",SEFAZ!E443)</f>
        <v/>
      </c>
      <c r="F461" s="6" t="str">
        <f>IF(SEFAZ!F443="","",VALUE(SUBSTITUTE(SEFAZ!F443,"'","")))</f>
        <v/>
      </c>
      <c r="G461" t="str">
        <f>IF(SEFAZ!H443="","",SEFAZ!H443)</f>
        <v/>
      </c>
      <c r="H461" t="str">
        <f>IF(SEFAZ!L443="","",SEFAZ!L443)</f>
        <v/>
      </c>
      <c r="I461" t="str">
        <f>IF(SEFAZ!N443="","",SEFAZ!N443)</f>
        <v/>
      </c>
      <c r="J461" t="str">
        <f>IF(SEFAZ!O443="","",SEFAZ!O443)</f>
        <v/>
      </c>
      <c r="K461" s="11" t="str">
        <f>IF(SEFAZ!P443="","",SEFAZ!P443)</f>
        <v/>
      </c>
      <c r="L461" t="str" cm="1">
        <f t="array" aca="1" ref="L4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1" t="s">
        <v>35</v>
      </c>
      <c r="O461" s="36" t="str">
        <f>IF(SEFAZ!B443="","",SEFAZ!B443)</f>
        <v/>
      </c>
    </row>
    <row r="462" spans="2:15" x14ac:dyDescent="0.3">
      <c r="B462" t="str">
        <f>IF(SEFAZ!A444="","",SEFAZ!A444)</f>
        <v/>
      </c>
      <c r="C462" t="str">
        <f>IF(SEFAZ!C444="","",SEFAZ!C444)</f>
        <v/>
      </c>
      <c r="D462" t="str">
        <f>IF(SEFAZ!D444="","",SEFAZ!D444)</f>
        <v/>
      </c>
      <c r="E462" s="7" t="str">
        <f>IF(SEFAZ!E444="","",SEFAZ!E444)</f>
        <v/>
      </c>
      <c r="F462" s="6" t="str">
        <f>IF(SEFAZ!F444="","",VALUE(SUBSTITUTE(SEFAZ!F444,"'","")))</f>
        <v/>
      </c>
      <c r="G462" t="str">
        <f>IF(SEFAZ!H444="","",SEFAZ!H444)</f>
        <v/>
      </c>
      <c r="H462" t="str">
        <f>IF(SEFAZ!L444="","",SEFAZ!L444)</f>
        <v/>
      </c>
      <c r="I462" t="str">
        <f>IF(SEFAZ!N444="","",SEFAZ!N444)</f>
        <v/>
      </c>
      <c r="J462" t="str">
        <f>IF(SEFAZ!O444="","",SEFAZ!O444)</f>
        <v/>
      </c>
      <c r="K462" s="11" t="str">
        <f>IF(SEFAZ!P444="","",SEFAZ!P444)</f>
        <v/>
      </c>
      <c r="L462" t="str" cm="1">
        <f t="array" aca="1" ref="L4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2" t="s">
        <v>35</v>
      </c>
      <c r="O462" s="36" t="str">
        <f>IF(SEFAZ!B444="","",SEFAZ!B444)</f>
        <v/>
      </c>
    </row>
    <row r="463" spans="2:15" x14ac:dyDescent="0.3">
      <c r="B463" t="str">
        <f>IF(SEFAZ!A445="","",SEFAZ!A445)</f>
        <v/>
      </c>
      <c r="C463" t="str">
        <f>IF(SEFAZ!C445="","",SEFAZ!C445)</f>
        <v/>
      </c>
      <c r="D463" t="str">
        <f>IF(SEFAZ!D445="","",SEFAZ!D445)</f>
        <v/>
      </c>
      <c r="E463" s="7" t="str">
        <f>IF(SEFAZ!E445="","",SEFAZ!E445)</f>
        <v/>
      </c>
      <c r="F463" s="6" t="str">
        <f>IF(SEFAZ!F445="","",VALUE(SUBSTITUTE(SEFAZ!F445,"'","")))</f>
        <v/>
      </c>
      <c r="G463" t="str">
        <f>IF(SEFAZ!H445="","",SEFAZ!H445)</f>
        <v/>
      </c>
      <c r="H463" t="str">
        <f>IF(SEFAZ!L445="","",SEFAZ!L445)</f>
        <v/>
      </c>
      <c r="I463" t="str">
        <f>IF(SEFAZ!N445="","",SEFAZ!N445)</f>
        <v/>
      </c>
      <c r="J463" t="str">
        <f>IF(SEFAZ!O445="","",SEFAZ!O445)</f>
        <v/>
      </c>
      <c r="K463" s="11" t="str">
        <f>IF(SEFAZ!P445="","",SEFAZ!P445)</f>
        <v/>
      </c>
      <c r="L463" t="str" cm="1">
        <f t="array" aca="1" ref="L4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3" t="s">
        <v>35</v>
      </c>
      <c r="O463" s="36" t="str">
        <f>IF(SEFAZ!B445="","",SEFAZ!B445)</f>
        <v/>
      </c>
    </row>
    <row r="464" spans="2:15" x14ac:dyDescent="0.3">
      <c r="B464" t="str">
        <f>IF(SEFAZ!A446="","",SEFAZ!A446)</f>
        <v/>
      </c>
      <c r="C464" t="str">
        <f>IF(SEFAZ!C446="","",SEFAZ!C446)</f>
        <v/>
      </c>
      <c r="D464" t="str">
        <f>IF(SEFAZ!D446="","",SEFAZ!D446)</f>
        <v/>
      </c>
      <c r="E464" s="7" t="str">
        <f>IF(SEFAZ!E446="","",SEFAZ!E446)</f>
        <v/>
      </c>
      <c r="F464" s="6" t="str">
        <f>IF(SEFAZ!F446="","",VALUE(SUBSTITUTE(SEFAZ!F446,"'","")))</f>
        <v/>
      </c>
      <c r="G464" t="str">
        <f>IF(SEFAZ!H446="","",SEFAZ!H446)</f>
        <v/>
      </c>
      <c r="H464" t="str">
        <f>IF(SEFAZ!L446="","",SEFAZ!L446)</f>
        <v/>
      </c>
      <c r="I464" t="str">
        <f>IF(SEFAZ!N446="","",SEFAZ!N446)</f>
        <v/>
      </c>
      <c r="J464" t="str">
        <f>IF(SEFAZ!O446="","",SEFAZ!O446)</f>
        <v/>
      </c>
      <c r="K464" s="11" t="str">
        <f>IF(SEFAZ!P446="","",SEFAZ!P446)</f>
        <v/>
      </c>
      <c r="L464" t="str" cm="1">
        <f t="array" aca="1" ref="L4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4" t="s">
        <v>35</v>
      </c>
      <c r="O464" s="36" t="str">
        <f>IF(SEFAZ!B446="","",SEFAZ!B446)</f>
        <v/>
      </c>
    </row>
    <row r="465" spans="2:15" x14ac:dyDescent="0.3">
      <c r="B465" t="str">
        <f>IF(SEFAZ!A447="","",SEFAZ!A447)</f>
        <v/>
      </c>
      <c r="C465" t="str">
        <f>IF(SEFAZ!C447="","",SEFAZ!C447)</f>
        <v/>
      </c>
      <c r="D465" t="str">
        <f>IF(SEFAZ!D447="","",SEFAZ!D447)</f>
        <v/>
      </c>
      <c r="E465" s="7" t="str">
        <f>IF(SEFAZ!E447="","",SEFAZ!E447)</f>
        <v/>
      </c>
      <c r="F465" s="6" t="str">
        <f>IF(SEFAZ!F447="","",VALUE(SUBSTITUTE(SEFAZ!F447,"'","")))</f>
        <v/>
      </c>
      <c r="G465" t="str">
        <f>IF(SEFAZ!H447="","",SEFAZ!H447)</f>
        <v/>
      </c>
      <c r="H465" t="str">
        <f>IF(SEFAZ!L447="","",SEFAZ!L447)</f>
        <v/>
      </c>
      <c r="I465" t="str">
        <f>IF(SEFAZ!N447="","",SEFAZ!N447)</f>
        <v/>
      </c>
      <c r="J465" t="str">
        <f>IF(SEFAZ!O447="","",SEFAZ!O447)</f>
        <v/>
      </c>
      <c r="K465" s="11" t="str">
        <f>IF(SEFAZ!P447="","",SEFAZ!P447)</f>
        <v/>
      </c>
      <c r="L465" t="str" cm="1">
        <f t="array" aca="1" ref="L4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5" t="s">
        <v>35</v>
      </c>
      <c r="O465" s="36" t="str">
        <f>IF(SEFAZ!B447="","",SEFAZ!B447)</f>
        <v/>
      </c>
    </row>
    <row r="466" spans="2:15" x14ac:dyDescent="0.3">
      <c r="B466" t="str">
        <f>IF(SEFAZ!A448="","",SEFAZ!A448)</f>
        <v/>
      </c>
      <c r="C466" t="str">
        <f>IF(SEFAZ!C448="","",SEFAZ!C448)</f>
        <v/>
      </c>
      <c r="D466" t="str">
        <f>IF(SEFAZ!D448="","",SEFAZ!D448)</f>
        <v/>
      </c>
      <c r="E466" s="7" t="str">
        <f>IF(SEFAZ!E448="","",SEFAZ!E448)</f>
        <v/>
      </c>
      <c r="F466" s="6" t="str">
        <f>IF(SEFAZ!F448="","",VALUE(SUBSTITUTE(SEFAZ!F448,"'","")))</f>
        <v/>
      </c>
      <c r="G466" t="str">
        <f>IF(SEFAZ!H448="","",SEFAZ!H448)</f>
        <v/>
      </c>
      <c r="H466" t="str">
        <f>IF(SEFAZ!L448="","",SEFAZ!L448)</f>
        <v/>
      </c>
      <c r="I466" t="str">
        <f>IF(SEFAZ!N448="","",SEFAZ!N448)</f>
        <v/>
      </c>
      <c r="J466" t="str">
        <f>IF(SEFAZ!O448="","",SEFAZ!O448)</f>
        <v/>
      </c>
      <c r="K466" s="11" t="str">
        <f>IF(SEFAZ!P448="","",SEFAZ!P448)</f>
        <v/>
      </c>
      <c r="L466" t="str" cm="1">
        <f t="array" aca="1" ref="L4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6" t="s">
        <v>35</v>
      </c>
      <c r="O466" s="36" t="str">
        <f>IF(SEFAZ!B448="","",SEFAZ!B448)</f>
        <v/>
      </c>
    </row>
    <row r="467" spans="2:15" x14ac:dyDescent="0.3">
      <c r="B467" t="str">
        <f>IF(SEFAZ!A449="","",SEFAZ!A449)</f>
        <v/>
      </c>
      <c r="C467" t="str">
        <f>IF(SEFAZ!C449="","",SEFAZ!C449)</f>
        <v/>
      </c>
      <c r="D467" t="str">
        <f>IF(SEFAZ!D449="","",SEFAZ!D449)</f>
        <v/>
      </c>
      <c r="E467" s="7" t="str">
        <f>IF(SEFAZ!E449="","",SEFAZ!E449)</f>
        <v/>
      </c>
      <c r="F467" s="6" t="str">
        <f>IF(SEFAZ!F449="","",VALUE(SUBSTITUTE(SEFAZ!F449,"'","")))</f>
        <v/>
      </c>
      <c r="G467" t="str">
        <f>IF(SEFAZ!H449="","",SEFAZ!H449)</f>
        <v/>
      </c>
      <c r="H467" t="str">
        <f>IF(SEFAZ!L449="","",SEFAZ!L449)</f>
        <v/>
      </c>
      <c r="I467" t="str">
        <f>IF(SEFAZ!N449="","",SEFAZ!N449)</f>
        <v/>
      </c>
      <c r="J467" t="str">
        <f>IF(SEFAZ!O449="","",SEFAZ!O449)</f>
        <v/>
      </c>
      <c r="K467" s="11" t="str">
        <f>IF(SEFAZ!P449="","",SEFAZ!P449)</f>
        <v/>
      </c>
      <c r="L467" t="str" cm="1">
        <f t="array" aca="1" ref="L4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7" t="s">
        <v>35</v>
      </c>
      <c r="O467" s="36" t="str">
        <f>IF(SEFAZ!B449="","",SEFAZ!B449)</f>
        <v/>
      </c>
    </row>
    <row r="468" spans="2:15" x14ac:dyDescent="0.3">
      <c r="B468" t="str">
        <f>IF(SEFAZ!A450="","",SEFAZ!A450)</f>
        <v/>
      </c>
      <c r="C468" t="str">
        <f>IF(SEFAZ!C450="","",SEFAZ!C450)</f>
        <v/>
      </c>
      <c r="D468" t="str">
        <f>IF(SEFAZ!D450="","",SEFAZ!D450)</f>
        <v/>
      </c>
      <c r="E468" s="7" t="str">
        <f>IF(SEFAZ!E450="","",SEFAZ!E450)</f>
        <v/>
      </c>
      <c r="F468" s="6" t="str">
        <f>IF(SEFAZ!F450="","",VALUE(SUBSTITUTE(SEFAZ!F450,"'","")))</f>
        <v/>
      </c>
      <c r="G468" t="str">
        <f>IF(SEFAZ!H450="","",SEFAZ!H450)</f>
        <v/>
      </c>
      <c r="H468" t="str">
        <f>IF(SEFAZ!L450="","",SEFAZ!L450)</f>
        <v/>
      </c>
      <c r="I468" t="str">
        <f>IF(SEFAZ!N450="","",SEFAZ!N450)</f>
        <v/>
      </c>
      <c r="J468" t="str">
        <f>IF(SEFAZ!O450="","",SEFAZ!O450)</f>
        <v/>
      </c>
      <c r="K468" s="11" t="str">
        <f>IF(SEFAZ!P450="","",SEFAZ!P450)</f>
        <v/>
      </c>
      <c r="L468" t="str" cm="1">
        <f t="array" aca="1" ref="L4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8" t="s">
        <v>35</v>
      </c>
      <c r="O468" s="36" t="str">
        <f>IF(SEFAZ!B450="","",SEFAZ!B450)</f>
        <v/>
      </c>
    </row>
    <row r="469" spans="2:15" x14ac:dyDescent="0.3">
      <c r="B469" t="str">
        <f>IF(SEFAZ!A451="","",SEFAZ!A451)</f>
        <v/>
      </c>
      <c r="C469" t="str">
        <f>IF(SEFAZ!C451="","",SEFAZ!C451)</f>
        <v/>
      </c>
      <c r="D469" t="str">
        <f>IF(SEFAZ!D451="","",SEFAZ!D451)</f>
        <v/>
      </c>
      <c r="E469" s="7" t="str">
        <f>IF(SEFAZ!E451="","",SEFAZ!E451)</f>
        <v/>
      </c>
      <c r="F469" s="6" t="str">
        <f>IF(SEFAZ!F451="","",VALUE(SUBSTITUTE(SEFAZ!F451,"'","")))</f>
        <v/>
      </c>
      <c r="G469" t="str">
        <f>IF(SEFAZ!H451="","",SEFAZ!H451)</f>
        <v/>
      </c>
      <c r="H469" t="str">
        <f>IF(SEFAZ!L451="","",SEFAZ!L451)</f>
        <v/>
      </c>
      <c r="I469" t="str">
        <f>IF(SEFAZ!N451="","",SEFAZ!N451)</f>
        <v/>
      </c>
      <c r="J469" t="str">
        <f>IF(SEFAZ!O451="","",SEFAZ!O451)</f>
        <v/>
      </c>
      <c r="K469" s="11" t="str">
        <f>IF(SEFAZ!P451="","",SEFAZ!P451)</f>
        <v/>
      </c>
      <c r="L469" t="str" cm="1">
        <f t="array" aca="1" ref="L4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69" t="s">
        <v>35</v>
      </c>
      <c r="O469" s="36" t="str">
        <f>IF(SEFAZ!B451="","",SEFAZ!B451)</f>
        <v/>
      </c>
    </row>
    <row r="470" spans="2:15" x14ac:dyDescent="0.3">
      <c r="B470" t="str">
        <f>IF(SEFAZ!A452="","",SEFAZ!A452)</f>
        <v/>
      </c>
      <c r="C470" t="str">
        <f>IF(SEFAZ!C452="","",SEFAZ!C452)</f>
        <v/>
      </c>
      <c r="D470" t="str">
        <f>IF(SEFAZ!D452="","",SEFAZ!D452)</f>
        <v/>
      </c>
      <c r="E470" s="7" t="str">
        <f>IF(SEFAZ!E452="","",SEFAZ!E452)</f>
        <v/>
      </c>
      <c r="F470" s="6" t="str">
        <f>IF(SEFAZ!F452="","",VALUE(SUBSTITUTE(SEFAZ!F452,"'","")))</f>
        <v/>
      </c>
      <c r="G470" t="str">
        <f>IF(SEFAZ!H452="","",SEFAZ!H452)</f>
        <v/>
      </c>
      <c r="H470" t="str">
        <f>IF(SEFAZ!L452="","",SEFAZ!L452)</f>
        <v/>
      </c>
      <c r="I470" t="str">
        <f>IF(SEFAZ!N452="","",SEFAZ!N452)</f>
        <v/>
      </c>
      <c r="J470" t="str">
        <f>IF(SEFAZ!O452="","",SEFAZ!O452)</f>
        <v/>
      </c>
      <c r="K470" s="11" t="str">
        <f>IF(SEFAZ!P452="","",SEFAZ!P452)</f>
        <v/>
      </c>
      <c r="L470" t="str" cm="1">
        <f t="array" aca="1" ref="L4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0" t="s">
        <v>35</v>
      </c>
      <c r="O470" s="36" t="str">
        <f>IF(SEFAZ!B452="","",SEFAZ!B452)</f>
        <v/>
      </c>
    </row>
    <row r="471" spans="2:15" x14ac:dyDescent="0.3">
      <c r="B471" t="str">
        <f>IF(SEFAZ!A453="","",SEFAZ!A453)</f>
        <v/>
      </c>
      <c r="C471" t="str">
        <f>IF(SEFAZ!C453="","",SEFAZ!C453)</f>
        <v/>
      </c>
      <c r="D471" t="str">
        <f>IF(SEFAZ!D453="","",SEFAZ!D453)</f>
        <v/>
      </c>
      <c r="E471" s="7" t="str">
        <f>IF(SEFAZ!E453="","",SEFAZ!E453)</f>
        <v/>
      </c>
      <c r="F471" s="6" t="str">
        <f>IF(SEFAZ!F453="","",VALUE(SUBSTITUTE(SEFAZ!F453,"'","")))</f>
        <v/>
      </c>
      <c r="G471" t="str">
        <f>IF(SEFAZ!H453="","",SEFAZ!H453)</f>
        <v/>
      </c>
      <c r="H471" t="str">
        <f>IF(SEFAZ!L453="","",SEFAZ!L453)</f>
        <v/>
      </c>
      <c r="I471" t="str">
        <f>IF(SEFAZ!N453="","",SEFAZ!N453)</f>
        <v/>
      </c>
      <c r="J471" t="str">
        <f>IF(SEFAZ!O453="","",SEFAZ!O453)</f>
        <v/>
      </c>
      <c r="K471" s="11" t="str">
        <f>IF(SEFAZ!P453="","",SEFAZ!P453)</f>
        <v/>
      </c>
      <c r="L471" t="str" cm="1">
        <f t="array" aca="1" ref="L4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1" t="s">
        <v>35</v>
      </c>
      <c r="O471" s="36" t="str">
        <f>IF(SEFAZ!B453="","",SEFAZ!B453)</f>
        <v/>
      </c>
    </row>
    <row r="472" spans="2:15" x14ac:dyDescent="0.3">
      <c r="B472" t="str">
        <f>IF(SEFAZ!A454="","",SEFAZ!A454)</f>
        <v/>
      </c>
      <c r="C472" t="str">
        <f>IF(SEFAZ!C454="","",SEFAZ!C454)</f>
        <v/>
      </c>
      <c r="D472" t="str">
        <f>IF(SEFAZ!D454="","",SEFAZ!D454)</f>
        <v/>
      </c>
      <c r="E472" s="7" t="str">
        <f>IF(SEFAZ!E454="","",SEFAZ!E454)</f>
        <v/>
      </c>
      <c r="F472" s="6" t="str">
        <f>IF(SEFAZ!F454="","",VALUE(SUBSTITUTE(SEFAZ!F454,"'","")))</f>
        <v/>
      </c>
      <c r="G472" t="str">
        <f>IF(SEFAZ!H454="","",SEFAZ!H454)</f>
        <v/>
      </c>
      <c r="H472" t="str">
        <f>IF(SEFAZ!L454="","",SEFAZ!L454)</f>
        <v/>
      </c>
      <c r="I472" t="str">
        <f>IF(SEFAZ!N454="","",SEFAZ!N454)</f>
        <v/>
      </c>
      <c r="J472" t="str">
        <f>IF(SEFAZ!O454="","",SEFAZ!O454)</f>
        <v/>
      </c>
      <c r="K472" s="11" t="str">
        <f>IF(SEFAZ!P454="","",SEFAZ!P454)</f>
        <v/>
      </c>
      <c r="L472" t="str" cm="1">
        <f t="array" aca="1" ref="L4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2" t="s">
        <v>35</v>
      </c>
      <c r="O472" s="36" t="str">
        <f>IF(SEFAZ!B454="","",SEFAZ!B454)</f>
        <v/>
      </c>
    </row>
    <row r="473" spans="2:15" x14ac:dyDescent="0.3">
      <c r="B473" t="str">
        <f>IF(SEFAZ!A455="","",SEFAZ!A455)</f>
        <v/>
      </c>
      <c r="C473" t="str">
        <f>IF(SEFAZ!C455="","",SEFAZ!C455)</f>
        <v/>
      </c>
      <c r="D473" t="str">
        <f>IF(SEFAZ!D455="","",SEFAZ!D455)</f>
        <v/>
      </c>
      <c r="E473" s="7" t="str">
        <f>IF(SEFAZ!E455="","",SEFAZ!E455)</f>
        <v/>
      </c>
      <c r="F473" s="6" t="str">
        <f>IF(SEFAZ!F455="","",VALUE(SUBSTITUTE(SEFAZ!F455,"'","")))</f>
        <v/>
      </c>
      <c r="G473" t="str">
        <f>IF(SEFAZ!H455="","",SEFAZ!H455)</f>
        <v/>
      </c>
      <c r="H473" t="str">
        <f>IF(SEFAZ!L455="","",SEFAZ!L455)</f>
        <v/>
      </c>
      <c r="I473" t="str">
        <f>IF(SEFAZ!N455="","",SEFAZ!N455)</f>
        <v/>
      </c>
      <c r="J473" t="str">
        <f>IF(SEFAZ!O455="","",SEFAZ!O455)</f>
        <v/>
      </c>
      <c r="K473" s="11" t="str">
        <f>IF(SEFAZ!P455="","",SEFAZ!P455)</f>
        <v/>
      </c>
      <c r="L473" t="str" cm="1">
        <f t="array" aca="1" ref="L4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3" t="s">
        <v>35</v>
      </c>
      <c r="O473" s="36" t="str">
        <f>IF(SEFAZ!B455="","",SEFAZ!B455)</f>
        <v/>
      </c>
    </row>
    <row r="474" spans="2:15" x14ac:dyDescent="0.3">
      <c r="B474" t="str">
        <f>IF(SEFAZ!A456="","",SEFAZ!A456)</f>
        <v/>
      </c>
      <c r="C474" t="str">
        <f>IF(SEFAZ!C456="","",SEFAZ!C456)</f>
        <v/>
      </c>
      <c r="D474" t="str">
        <f>IF(SEFAZ!D456="","",SEFAZ!D456)</f>
        <v/>
      </c>
      <c r="E474" s="7" t="str">
        <f>IF(SEFAZ!E456="","",SEFAZ!E456)</f>
        <v/>
      </c>
      <c r="F474" s="6" t="str">
        <f>IF(SEFAZ!F456="","",VALUE(SUBSTITUTE(SEFAZ!F456,"'","")))</f>
        <v/>
      </c>
      <c r="G474" t="str">
        <f>IF(SEFAZ!H456="","",SEFAZ!H456)</f>
        <v/>
      </c>
      <c r="H474" t="str">
        <f>IF(SEFAZ!L456="","",SEFAZ!L456)</f>
        <v/>
      </c>
      <c r="I474" t="str">
        <f>IF(SEFAZ!N456="","",SEFAZ!N456)</f>
        <v/>
      </c>
      <c r="J474" t="str">
        <f>IF(SEFAZ!O456="","",SEFAZ!O456)</f>
        <v/>
      </c>
      <c r="K474" s="11" t="str">
        <f>IF(SEFAZ!P456="","",SEFAZ!P456)</f>
        <v/>
      </c>
      <c r="L474" t="str" cm="1">
        <f t="array" aca="1" ref="L4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4" t="s">
        <v>35</v>
      </c>
      <c r="O474" s="36" t="str">
        <f>IF(SEFAZ!B456="","",SEFAZ!B456)</f>
        <v/>
      </c>
    </row>
    <row r="475" spans="2:15" x14ac:dyDescent="0.3">
      <c r="B475" t="str">
        <f>IF(SEFAZ!A457="","",SEFAZ!A457)</f>
        <v/>
      </c>
      <c r="C475" t="str">
        <f>IF(SEFAZ!C457="","",SEFAZ!C457)</f>
        <v/>
      </c>
      <c r="D475" t="str">
        <f>IF(SEFAZ!D457="","",SEFAZ!D457)</f>
        <v/>
      </c>
      <c r="E475" s="7" t="str">
        <f>IF(SEFAZ!E457="","",SEFAZ!E457)</f>
        <v/>
      </c>
      <c r="F475" s="6" t="str">
        <f>IF(SEFAZ!F457="","",VALUE(SUBSTITUTE(SEFAZ!F457,"'","")))</f>
        <v/>
      </c>
      <c r="G475" t="str">
        <f>IF(SEFAZ!H457="","",SEFAZ!H457)</f>
        <v/>
      </c>
      <c r="H475" t="str">
        <f>IF(SEFAZ!L457="","",SEFAZ!L457)</f>
        <v/>
      </c>
      <c r="I475" t="str">
        <f>IF(SEFAZ!N457="","",SEFAZ!N457)</f>
        <v/>
      </c>
      <c r="J475" t="str">
        <f>IF(SEFAZ!O457="","",SEFAZ!O457)</f>
        <v/>
      </c>
      <c r="K475" s="11" t="str">
        <f>IF(SEFAZ!P457="","",SEFAZ!P457)</f>
        <v/>
      </c>
      <c r="L475" t="str" cm="1">
        <f t="array" aca="1" ref="L4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5" t="s">
        <v>35</v>
      </c>
      <c r="O475" s="36" t="str">
        <f>IF(SEFAZ!B457="","",SEFAZ!B457)</f>
        <v/>
      </c>
    </row>
    <row r="476" spans="2:15" x14ac:dyDescent="0.3">
      <c r="B476" t="str">
        <f>IF(SEFAZ!A458="","",SEFAZ!A458)</f>
        <v/>
      </c>
      <c r="C476" t="str">
        <f>IF(SEFAZ!C458="","",SEFAZ!C458)</f>
        <v/>
      </c>
      <c r="D476" t="str">
        <f>IF(SEFAZ!D458="","",SEFAZ!D458)</f>
        <v/>
      </c>
      <c r="E476" s="7" t="str">
        <f>IF(SEFAZ!E458="","",SEFAZ!E458)</f>
        <v/>
      </c>
      <c r="F476" s="6" t="str">
        <f>IF(SEFAZ!F458="","",VALUE(SUBSTITUTE(SEFAZ!F458,"'","")))</f>
        <v/>
      </c>
      <c r="G476" t="str">
        <f>IF(SEFAZ!H458="","",SEFAZ!H458)</f>
        <v/>
      </c>
      <c r="H476" t="str">
        <f>IF(SEFAZ!L458="","",SEFAZ!L458)</f>
        <v/>
      </c>
      <c r="I476" t="str">
        <f>IF(SEFAZ!N458="","",SEFAZ!N458)</f>
        <v/>
      </c>
      <c r="J476" t="str">
        <f>IF(SEFAZ!O458="","",SEFAZ!O458)</f>
        <v/>
      </c>
      <c r="K476" s="11" t="str">
        <f>IF(SEFAZ!P458="","",SEFAZ!P458)</f>
        <v/>
      </c>
      <c r="L476" t="str" cm="1">
        <f t="array" aca="1" ref="L4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6" t="s">
        <v>35</v>
      </c>
      <c r="O476" s="36" t="str">
        <f>IF(SEFAZ!B458="","",SEFAZ!B458)</f>
        <v/>
      </c>
    </row>
    <row r="477" spans="2:15" x14ac:dyDescent="0.3">
      <c r="B477" t="str">
        <f>IF(SEFAZ!A459="","",SEFAZ!A459)</f>
        <v/>
      </c>
      <c r="C477" t="str">
        <f>IF(SEFAZ!C459="","",SEFAZ!C459)</f>
        <v/>
      </c>
      <c r="D477" t="str">
        <f>IF(SEFAZ!D459="","",SEFAZ!D459)</f>
        <v/>
      </c>
      <c r="E477" s="7" t="str">
        <f>IF(SEFAZ!E459="","",SEFAZ!E459)</f>
        <v/>
      </c>
      <c r="F477" s="6" t="str">
        <f>IF(SEFAZ!F459="","",VALUE(SUBSTITUTE(SEFAZ!F459,"'","")))</f>
        <v/>
      </c>
      <c r="G477" t="str">
        <f>IF(SEFAZ!H459="","",SEFAZ!H459)</f>
        <v/>
      </c>
      <c r="H477" t="str">
        <f>IF(SEFAZ!L459="","",SEFAZ!L459)</f>
        <v/>
      </c>
      <c r="I477" t="str">
        <f>IF(SEFAZ!N459="","",SEFAZ!N459)</f>
        <v/>
      </c>
      <c r="J477" t="str">
        <f>IF(SEFAZ!O459="","",SEFAZ!O459)</f>
        <v/>
      </c>
      <c r="K477" s="11" t="str">
        <f>IF(SEFAZ!P459="","",SEFAZ!P459)</f>
        <v/>
      </c>
      <c r="L477" t="str" cm="1">
        <f t="array" aca="1" ref="L4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7" t="s">
        <v>35</v>
      </c>
      <c r="O477" s="36" t="str">
        <f>IF(SEFAZ!B459="","",SEFAZ!B459)</f>
        <v/>
      </c>
    </row>
    <row r="478" spans="2:15" x14ac:dyDescent="0.3">
      <c r="B478" t="str">
        <f>IF(SEFAZ!A460="","",SEFAZ!A460)</f>
        <v/>
      </c>
      <c r="C478" t="str">
        <f>IF(SEFAZ!C460="","",SEFAZ!C460)</f>
        <v/>
      </c>
      <c r="D478" t="str">
        <f>IF(SEFAZ!D460="","",SEFAZ!D460)</f>
        <v/>
      </c>
      <c r="E478" s="7" t="str">
        <f>IF(SEFAZ!E460="","",SEFAZ!E460)</f>
        <v/>
      </c>
      <c r="F478" s="6" t="str">
        <f>IF(SEFAZ!F460="","",VALUE(SUBSTITUTE(SEFAZ!F460,"'","")))</f>
        <v/>
      </c>
      <c r="G478" t="str">
        <f>IF(SEFAZ!H460="","",SEFAZ!H460)</f>
        <v/>
      </c>
      <c r="H478" t="str">
        <f>IF(SEFAZ!L460="","",SEFAZ!L460)</f>
        <v/>
      </c>
      <c r="I478" t="str">
        <f>IF(SEFAZ!N460="","",SEFAZ!N460)</f>
        <v/>
      </c>
      <c r="J478" t="str">
        <f>IF(SEFAZ!O460="","",SEFAZ!O460)</f>
        <v/>
      </c>
      <c r="K478" s="11" t="str">
        <f>IF(SEFAZ!P460="","",SEFAZ!P460)</f>
        <v/>
      </c>
      <c r="L478" t="str" cm="1">
        <f t="array" aca="1" ref="L4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8" t="s">
        <v>35</v>
      </c>
      <c r="O478" s="36" t="str">
        <f>IF(SEFAZ!B460="","",SEFAZ!B460)</f>
        <v/>
      </c>
    </row>
    <row r="479" spans="2:15" x14ac:dyDescent="0.3">
      <c r="B479" t="str">
        <f>IF(SEFAZ!A461="","",SEFAZ!A461)</f>
        <v/>
      </c>
      <c r="C479" t="str">
        <f>IF(SEFAZ!C461="","",SEFAZ!C461)</f>
        <v/>
      </c>
      <c r="D479" t="str">
        <f>IF(SEFAZ!D461="","",SEFAZ!D461)</f>
        <v/>
      </c>
      <c r="E479" s="7" t="str">
        <f>IF(SEFAZ!E461="","",SEFAZ!E461)</f>
        <v/>
      </c>
      <c r="F479" s="6" t="str">
        <f>IF(SEFAZ!F461="","",VALUE(SUBSTITUTE(SEFAZ!F461,"'","")))</f>
        <v/>
      </c>
      <c r="G479" t="str">
        <f>IF(SEFAZ!H461="","",SEFAZ!H461)</f>
        <v/>
      </c>
      <c r="H479" t="str">
        <f>IF(SEFAZ!L461="","",SEFAZ!L461)</f>
        <v/>
      </c>
      <c r="I479" t="str">
        <f>IF(SEFAZ!N461="","",SEFAZ!N461)</f>
        <v/>
      </c>
      <c r="J479" t="str">
        <f>IF(SEFAZ!O461="","",SEFAZ!O461)</f>
        <v/>
      </c>
      <c r="K479" s="11" t="str">
        <f>IF(SEFAZ!P461="","",SEFAZ!P461)</f>
        <v/>
      </c>
      <c r="L479" t="str" cm="1">
        <f t="array" aca="1" ref="L4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79" t="s">
        <v>35</v>
      </c>
      <c r="O479" s="36" t="str">
        <f>IF(SEFAZ!B461="","",SEFAZ!B461)</f>
        <v/>
      </c>
    </row>
    <row r="480" spans="2:15" x14ac:dyDescent="0.3">
      <c r="B480" t="str">
        <f>IF(SEFAZ!A462="","",SEFAZ!A462)</f>
        <v/>
      </c>
      <c r="C480" t="str">
        <f>IF(SEFAZ!C462="","",SEFAZ!C462)</f>
        <v/>
      </c>
      <c r="D480" t="str">
        <f>IF(SEFAZ!D462="","",SEFAZ!D462)</f>
        <v/>
      </c>
      <c r="E480" s="7" t="str">
        <f>IF(SEFAZ!E462="","",SEFAZ!E462)</f>
        <v/>
      </c>
      <c r="F480" s="6" t="str">
        <f>IF(SEFAZ!F462="","",VALUE(SUBSTITUTE(SEFAZ!F462,"'","")))</f>
        <v/>
      </c>
      <c r="G480" t="str">
        <f>IF(SEFAZ!H462="","",SEFAZ!H462)</f>
        <v/>
      </c>
      <c r="H480" t="str">
        <f>IF(SEFAZ!L462="","",SEFAZ!L462)</f>
        <v/>
      </c>
      <c r="I480" t="str">
        <f>IF(SEFAZ!N462="","",SEFAZ!N462)</f>
        <v/>
      </c>
      <c r="J480" t="str">
        <f>IF(SEFAZ!O462="","",SEFAZ!O462)</f>
        <v/>
      </c>
      <c r="K480" s="11" t="str">
        <f>IF(SEFAZ!P462="","",SEFAZ!P462)</f>
        <v/>
      </c>
      <c r="L480" t="str" cm="1">
        <f t="array" aca="1" ref="L4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0" t="s">
        <v>35</v>
      </c>
      <c r="O480" s="36" t="str">
        <f>IF(SEFAZ!B462="","",SEFAZ!B462)</f>
        <v/>
      </c>
    </row>
    <row r="481" spans="2:15" x14ac:dyDescent="0.3">
      <c r="B481" t="str">
        <f>IF(SEFAZ!A463="","",SEFAZ!A463)</f>
        <v/>
      </c>
      <c r="C481" t="str">
        <f>IF(SEFAZ!C463="","",SEFAZ!C463)</f>
        <v/>
      </c>
      <c r="D481" t="str">
        <f>IF(SEFAZ!D463="","",SEFAZ!D463)</f>
        <v/>
      </c>
      <c r="E481" s="7" t="str">
        <f>IF(SEFAZ!E463="","",SEFAZ!E463)</f>
        <v/>
      </c>
      <c r="F481" s="6" t="str">
        <f>IF(SEFAZ!F463="","",VALUE(SUBSTITUTE(SEFAZ!F463,"'","")))</f>
        <v/>
      </c>
      <c r="G481" t="str">
        <f>IF(SEFAZ!H463="","",SEFAZ!H463)</f>
        <v/>
      </c>
      <c r="H481" t="str">
        <f>IF(SEFAZ!L463="","",SEFAZ!L463)</f>
        <v/>
      </c>
      <c r="I481" t="str">
        <f>IF(SEFAZ!N463="","",SEFAZ!N463)</f>
        <v/>
      </c>
      <c r="J481" t="str">
        <f>IF(SEFAZ!O463="","",SEFAZ!O463)</f>
        <v/>
      </c>
      <c r="K481" s="11" t="str">
        <f>IF(SEFAZ!P463="","",SEFAZ!P463)</f>
        <v/>
      </c>
      <c r="L481" t="str" cm="1">
        <f t="array" aca="1" ref="L4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1" t="s">
        <v>35</v>
      </c>
      <c r="O481" s="36" t="str">
        <f>IF(SEFAZ!B463="","",SEFAZ!B463)</f>
        <v/>
      </c>
    </row>
    <row r="482" spans="2:15" x14ac:dyDescent="0.3">
      <c r="B482" t="str">
        <f>IF(SEFAZ!A464="","",SEFAZ!A464)</f>
        <v/>
      </c>
      <c r="C482" t="str">
        <f>IF(SEFAZ!C464="","",SEFAZ!C464)</f>
        <v/>
      </c>
      <c r="D482" t="str">
        <f>IF(SEFAZ!D464="","",SEFAZ!D464)</f>
        <v/>
      </c>
      <c r="E482" s="7" t="str">
        <f>IF(SEFAZ!E464="","",SEFAZ!E464)</f>
        <v/>
      </c>
      <c r="F482" s="6" t="str">
        <f>IF(SEFAZ!F464="","",VALUE(SUBSTITUTE(SEFAZ!F464,"'","")))</f>
        <v/>
      </c>
      <c r="G482" t="str">
        <f>IF(SEFAZ!H464="","",SEFAZ!H464)</f>
        <v/>
      </c>
      <c r="H482" t="str">
        <f>IF(SEFAZ!L464="","",SEFAZ!L464)</f>
        <v/>
      </c>
      <c r="I482" t="str">
        <f>IF(SEFAZ!N464="","",SEFAZ!N464)</f>
        <v/>
      </c>
      <c r="J482" t="str">
        <f>IF(SEFAZ!O464="","",SEFAZ!O464)</f>
        <v/>
      </c>
      <c r="K482" s="11" t="str">
        <f>IF(SEFAZ!P464="","",SEFAZ!P464)</f>
        <v/>
      </c>
      <c r="L482" t="str" cm="1">
        <f t="array" aca="1" ref="L4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2" t="s">
        <v>35</v>
      </c>
      <c r="O482" s="36" t="str">
        <f>IF(SEFAZ!B464="","",SEFAZ!B464)</f>
        <v/>
      </c>
    </row>
    <row r="483" spans="2:15" x14ac:dyDescent="0.3">
      <c r="B483" t="str">
        <f>IF(SEFAZ!A465="","",SEFAZ!A465)</f>
        <v/>
      </c>
      <c r="C483" t="str">
        <f>IF(SEFAZ!C465="","",SEFAZ!C465)</f>
        <v/>
      </c>
      <c r="D483" t="str">
        <f>IF(SEFAZ!D465="","",SEFAZ!D465)</f>
        <v/>
      </c>
      <c r="E483" s="7" t="str">
        <f>IF(SEFAZ!E465="","",SEFAZ!E465)</f>
        <v/>
      </c>
      <c r="F483" s="6" t="str">
        <f>IF(SEFAZ!F465="","",VALUE(SUBSTITUTE(SEFAZ!F465,"'","")))</f>
        <v/>
      </c>
      <c r="G483" t="str">
        <f>IF(SEFAZ!H465="","",SEFAZ!H465)</f>
        <v/>
      </c>
      <c r="H483" t="str">
        <f>IF(SEFAZ!L465="","",SEFAZ!L465)</f>
        <v/>
      </c>
      <c r="I483" t="str">
        <f>IF(SEFAZ!N465="","",SEFAZ!N465)</f>
        <v/>
      </c>
      <c r="J483" t="str">
        <f>IF(SEFAZ!O465="","",SEFAZ!O465)</f>
        <v/>
      </c>
      <c r="K483" s="11" t="str">
        <f>IF(SEFAZ!P465="","",SEFAZ!P465)</f>
        <v/>
      </c>
      <c r="L483" t="str" cm="1">
        <f t="array" aca="1" ref="L4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3" t="s">
        <v>35</v>
      </c>
      <c r="O483" s="36" t="str">
        <f>IF(SEFAZ!B465="","",SEFAZ!B465)</f>
        <v/>
      </c>
    </row>
    <row r="484" spans="2:15" x14ac:dyDescent="0.3">
      <c r="B484" t="str">
        <f>IF(SEFAZ!A466="","",SEFAZ!A466)</f>
        <v/>
      </c>
      <c r="C484" t="str">
        <f>IF(SEFAZ!C466="","",SEFAZ!C466)</f>
        <v/>
      </c>
      <c r="D484" t="str">
        <f>IF(SEFAZ!D466="","",SEFAZ!D466)</f>
        <v/>
      </c>
      <c r="E484" s="7" t="str">
        <f>IF(SEFAZ!E466="","",SEFAZ!E466)</f>
        <v/>
      </c>
      <c r="F484" s="6" t="str">
        <f>IF(SEFAZ!F466="","",VALUE(SUBSTITUTE(SEFAZ!F466,"'","")))</f>
        <v/>
      </c>
      <c r="G484" t="str">
        <f>IF(SEFAZ!H466="","",SEFAZ!H466)</f>
        <v/>
      </c>
      <c r="H484" t="str">
        <f>IF(SEFAZ!L466="","",SEFAZ!L466)</f>
        <v/>
      </c>
      <c r="I484" t="str">
        <f>IF(SEFAZ!N466="","",SEFAZ!N466)</f>
        <v/>
      </c>
      <c r="J484" t="str">
        <f>IF(SEFAZ!O466="","",SEFAZ!O466)</f>
        <v/>
      </c>
      <c r="K484" s="11" t="str">
        <f>IF(SEFAZ!P466="","",SEFAZ!P466)</f>
        <v/>
      </c>
      <c r="L484" t="str" cm="1">
        <f t="array" aca="1" ref="L4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4" t="s">
        <v>35</v>
      </c>
      <c r="O484" s="36" t="str">
        <f>IF(SEFAZ!B466="","",SEFAZ!B466)</f>
        <v/>
      </c>
    </row>
    <row r="485" spans="2:15" x14ac:dyDescent="0.3">
      <c r="B485" t="str">
        <f>IF(SEFAZ!A467="","",SEFAZ!A467)</f>
        <v/>
      </c>
      <c r="C485" t="str">
        <f>IF(SEFAZ!C467="","",SEFAZ!C467)</f>
        <v/>
      </c>
      <c r="D485" t="str">
        <f>IF(SEFAZ!D467="","",SEFAZ!D467)</f>
        <v/>
      </c>
      <c r="E485" s="7" t="str">
        <f>IF(SEFAZ!E467="","",SEFAZ!E467)</f>
        <v/>
      </c>
      <c r="F485" s="6" t="str">
        <f>IF(SEFAZ!F467="","",VALUE(SUBSTITUTE(SEFAZ!F467,"'","")))</f>
        <v/>
      </c>
      <c r="G485" t="str">
        <f>IF(SEFAZ!H467="","",SEFAZ!H467)</f>
        <v/>
      </c>
      <c r="H485" t="str">
        <f>IF(SEFAZ!L467="","",SEFAZ!L467)</f>
        <v/>
      </c>
      <c r="I485" t="str">
        <f>IF(SEFAZ!N467="","",SEFAZ!N467)</f>
        <v/>
      </c>
      <c r="J485" t="str">
        <f>IF(SEFAZ!O467="","",SEFAZ!O467)</f>
        <v/>
      </c>
      <c r="K485" s="11" t="str">
        <f>IF(SEFAZ!P467="","",SEFAZ!P467)</f>
        <v/>
      </c>
      <c r="L485" t="str" cm="1">
        <f t="array" aca="1" ref="L4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5" t="s">
        <v>35</v>
      </c>
      <c r="O485" s="36" t="str">
        <f>IF(SEFAZ!B467="","",SEFAZ!B467)</f>
        <v/>
      </c>
    </row>
    <row r="486" spans="2:15" x14ac:dyDescent="0.3">
      <c r="B486" t="str">
        <f>IF(SEFAZ!A468="","",SEFAZ!A468)</f>
        <v/>
      </c>
      <c r="C486" t="str">
        <f>IF(SEFAZ!C468="","",SEFAZ!C468)</f>
        <v/>
      </c>
      <c r="D486" t="str">
        <f>IF(SEFAZ!D468="","",SEFAZ!D468)</f>
        <v/>
      </c>
      <c r="E486" s="7" t="str">
        <f>IF(SEFAZ!E468="","",SEFAZ!E468)</f>
        <v/>
      </c>
      <c r="F486" s="6" t="str">
        <f>IF(SEFAZ!F468="","",VALUE(SUBSTITUTE(SEFAZ!F468,"'","")))</f>
        <v/>
      </c>
      <c r="G486" t="str">
        <f>IF(SEFAZ!H468="","",SEFAZ!H468)</f>
        <v/>
      </c>
      <c r="H486" t="str">
        <f>IF(SEFAZ!L468="","",SEFAZ!L468)</f>
        <v/>
      </c>
      <c r="I486" t="str">
        <f>IF(SEFAZ!N468="","",SEFAZ!N468)</f>
        <v/>
      </c>
      <c r="J486" t="str">
        <f>IF(SEFAZ!O468="","",SEFAZ!O468)</f>
        <v/>
      </c>
      <c r="K486" s="11" t="str">
        <f>IF(SEFAZ!P468="","",SEFAZ!P468)</f>
        <v/>
      </c>
      <c r="L486" t="str" cm="1">
        <f t="array" aca="1" ref="L4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6" t="s">
        <v>35</v>
      </c>
      <c r="O486" s="36" t="str">
        <f>IF(SEFAZ!B468="","",SEFAZ!B468)</f>
        <v/>
      </c>
    </row>
    <row r="487" spans="2:15" x14ac:dyDescent="0.3">
      <c r="B487" t="str">
        <f>IF(SEFAZ!A469="","",SEFAZ!A469)</f>
        <v/>
      </c>
      <c r="C487" t="str">
        <f>IF(SEFAZ!C469="","",SEFAZ!C469)</f>
        <v/>
      </c>
      <c r="D487" t="str">
        <f>IF(SEFAZ!D469="","",SEFAZ!D469)</f>
        <v/>
      </c>
      <c r="E487" s="7" t="str">
        <f>IF(SEFAZ!E469="","",SEFAZ!E469)</f>
        <v/>
      </c>
      <c r="F487" s="6" t="str">
        <f>IF(SEFAZ!F469="","",VALUE(SUBSTITUTE(SEFAZ!F469,"'","")))</f>
        <v/>
      </c>
      <c r="G487" t="str">
        <f>IF(SEFAZ!H469="","",SEFAZ!H469)</f>
        <v/>
      </c>
      <c r="H487" t="str">
        <f>IF(SEFAZ!L469="","",SEFAZ!L469)</f>
        <v/>
      </c>
      <c r="I487" t="str">
        <f>IF(SEFAZ!N469="","",SEFAZ!N469)</f>
        <v/>
      </c>
      <c r="J487" t="str">
        <f>IF(SEFAZ!O469="","",SEFAZ!O469)</f>
        <v/>
      </c>
      <c r="K487" s="11" t="str">
        <f>IF(SEFAZ!P469="","",SEFAZ!P469)</f>
        <v/>
      </c>
      <c r="L487" t="str" cm="1">
        <f t="array" aca="1" ref="L4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7" t="s">
        <v>35</v>
      </c>
      <c r="O487" s="36" t="str">
        <f>IF(SEFAZ!B469="","",SEFAZ!B469)</f>
        <v/>
      </c>
    </row>
    <row r="488" spans="2:15" x14ac:dyDescent="0.3">
      <c r="B488" t="str">
        <f>IF(SEFAZ!A470="","",SEFAZ!A470)</f>
        <v/>
      </c>
      <c r="C488" t="str">
        <f>IF(SEFAZ!C470="","",SEFAZ!C470)</f>
        <v/>
      </c>
      <c r="D488" t="str">
        <f>IF(SEFAZ!D470="","",SEFAZ!D470)</f>
        <v/>
      </c>
      <c r="E488" s="7" t="str">
        <f>IF(SEFAZ!E470="","",SEFAZ!E470)</f>
        <v/>
      </c>
      <c r="F488" s="6" t="str">
        <f>IF(SEFAZ!F470="","",VALUE(SUBSTITUTE(SEFAZ!F470,"'","")))</f>
        <v/>
      </c>
      <c r="G488" t="str">
        <f>IF(SEFAZ!H470="","",SEFAZ!H470)</f>
        <v/>
      </c>
      <c r="H488" t="str">
        <f>IF(SEFAZ!L470="","",SEFAZ!L470)</f>
        <v/>
      </c>
      <c r="I488" t="str">
        <f>IF(SEFAZ!N470="","",SEFAZ!N470)</f>
        <v/>
      </c>
      <c r="J488" t="str">
        <f>IF(SEFAZ!O470="","",SEFAZ!O470)</f>
        <v/>
      </c>
      <c r="K488" s="11" t="str">
        <f>IF(SEFAZ!P470="","",SEFAZ!P470)</f>
        <v/>
      </c>
      <c r="L488" t="str" cm="1">
        <f t="array" aca="1" ref="L4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8" t="s">
        <v>35</v>
      </c>
      <c r="O488" s="36" t="str">
        <f>IF(SEFAZ!B470="","",SEFAZ!B470)</f>
        <v/>
      </c>
    </row>
    <row r="489" spans="2:15" x14ac:dyDescent="0.3">
      <c r="B489" t="str">
        <f>IF(SEFAZ!A471="","",SEFAZ!A471)</f>
        <v/>
      </c>
      <c r="C489" t="str">
        <f>IF(SEFAZ!C471="","",SEFAZ!C471)</f>
        <v/>
      </c>
      <c r="D489" t="str">
        <f>IF(SEFAZ!D471="","",SEFAZ!D471)</f>
        <v/>
      </c>
      <c r="E489" s="7" t="str">
        <f>IF(SEFAZ!E471="","",SEFAZ!E471)</f>
        <v/>
      </c>
      <c r="F489" s="6" t="str">
        <f>IF(SEFAZ!F471="","",VALUE(SUBSTITUTE(SEFAZ!F471,"'","")))</f>
        <v/>
      </c>
      <c r="G489" t="str">
        <f>IF(SEFAZ!H471="","",SEFAZ!H471)</f>
        <v/>
      </c>
      <c r="H489" t="str">
        <f>IF(SEFAZ!L471="","",SEFAZ!L471)</f>
        <v/>
      </c>
      <c r="I489" t="str">
        <f>IF(SEFAZ!N471="","",SEFAZ!N471)</f>
        <v/>
      </c>
      <c r="J489" t="str">
        <f>IF(SEFAZ!O471="","",SEFAZ!O471)</f>
        <v/>
      </c>
      <c r="K489" s="11" t="str">
        <f>IF(SEFAZ!P471="","",SEFAZ!P471)</f>
        <v/>
      </c>
      <c r="L489" t="str" cm="1">
        <f t="array" aca="1" ref="L4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89" t="s">
        <v>35</v>
      </c>
      <c r="O489" s="36" t="str">
        <f>IF(SEFAZ!B471="","",SEFAZ!B471)</f>
        <v/>
      </c>
    </row>
    <row r="490" spans="2:15" x14ac:dyDescent="0.3">
      <c r="B490" t="str">
        <f>IF(SEFAZ!A472="","",SEFAZ!A472)</f>
        <v/>
      </c>
      <c r="C490" t="str">
        <f>IF(SEFAZ!C472="","",SEFAZ!C472)</f>
        <v/>
      </c>
      <c r="D490" t="str">
        <f>IF(SEFAZ!D472="","",SEFAZ!D472)</f>
        <v/>
      </c>
      <c r="E490" s="7" t="str">
        <f>IF(SEFAZ!E472="","",SEFAZ!E472)</f>
        <v/>
      </c>
      <c r="F490" s="6" t="str">
        <f>IF(SEFAZ!F472="","",VALUE(SUBSTITUTE(SEFAZ!F472,"'","")))</f>
        <v/>
      </c>
      <c r="G490" t="str">
        <f>IF(SEFAZ!H472="","",SEFAZ!H472)</f>
        <v/>
      </c>
      <c r="H490" t="str">
        <f>IF(SEFAZ!L472="","",SEFAZ!L472)</f>
        <v/>
      </c>
      <c r="I490" t="str">
        <f>IF(SEFAZ!N472="","",SEFAZ!N472)</f>
        <v/>
      </c>
      <c r="J490" t="str">
        <f>IF(SEFAZ!O472="","",SEFAZ!O472)</f>
        <v/>
      </c>
      <c r="K490" s="11" t="str">
        <f>IF(SEFAZ!P472="","",SEFAZ!P472)</f>
        <v/>
      </c>
      <c r="L490" t="str" cm="1">
        <f t="array" aca="1" ref="L4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0" t="s">
        <v>35</v>
      </c>
      <c r="O490" s="36" t="str">
        <f>IF(SEFAZ!B472="","",SEFAZ!B472)</f>
        <v/>
      </c>
    </row>
    <row r="491" spans="2:15" x14ac:dyDescent="0.3">
      <c r="B491" t="str">
        <f>IF(SEFAZ!A473="","",SEFAZ!A473)</f>
        <v/>
      </c>
      <c r="C491" t="str">
        <f>IF(SEFAZ!C473="","",SEFAZ!C473)</f>
        <v/>
      </c>
      <c r="D491" t="str">
        <f>IF(SEFAZ!D473="","",SEFAZ!D473)</f>
        <v/>
      </c>
      <c r="E491" s="7" t="str">
        <f>IF(SEFAZ!E473="","",SEFAZ!E473)</f>
        <v/>
      </c>
      <c r="F491" s="6" t="str">
        <f>IF(SEFAZ!F473="","",VALUE(SUBSTITUTE(SEFAZ!F473,"'","")))</f>
        <v/>
      </c>
      <c r="G491" t="str">
        <f>IF(SEFAZ!H473="","",SEFAZ!H473)</f>
        <v/>
      </c>
      <c r="H491" t="str">
        <f>IF(SEFAZ!L473="","",SEFAZ!L473)</f>
        <v/>
      </c>
      <c r="I491" t="str">
        <f>IF(SEFAZ!N473="","",SEFAZ!N473)</f>
        <v/>
      </c>
      <c r="J491" t="str">
        <f>IF(SEFAZ!O473="","",SEFAZ!O473)</f>
        <v/>
      </c>
      <c r="K491" s="11" t="str">
        <f>IF(SEFAZ!P473="","",SEFAZ!P473)</f>
        <v/>
      </c>
      <c r="L491" t="str" cm="1">
        <f t="array" aca="1" ref="L4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1" t="s">
        <v>35</v>
      </c>
      <c r="O491" s="36" t="str">
        <f>IF(SEFAZ!B473="","",SEFAZ!B473)</f>
        <v/>
      </c>
    </row>
    <row r="492" spans="2:15" x14ac:dyDescent="0.3">
      <c r="B492" t="str">
        <f>IF(SEFAZ!A474="","",SEFAZ!A474)</f>
        <v/>
      </c>
      <c r="C492" t="str">
        <f>IF(SEFAZ!C474="","",SEFAZ!C474)</f>
        <v/>
      </c>
      <c r="D492" t="str">
        <f>IF(SEFAZ!D474="","",SEFAZ!D474)</f>
        <v/>
      </c>
      <c r="E492" s="7" t="str">
        <f>IF(SEFAZ!E474="","",SEFAZ!E474)</f>
        <v/>
      </c>
      <c r="F492" s="6" t="str">
        <f>IF(SEFAZ!F474="","",VALUE(SUBSTITUTE(SEFAZ!F474,"'","")))</f>
        <v/>
      </c>
      <c r="G492" t="str">
        <f>IF(SEFAZ!H474="","",SEFAZ!H474)</f>
        <v/>
      </c>
      <c r="H492" t="str">
        <f>IF(SEFAZ!L474="","",SEFAZ!L474)</f>
        <v/>
      </c>
      <c r="I492" t="str">
        <f>IF(SEFAZ!N474="","",SEFAZ!N474)</f>
        <v/>
      </c>
      <c r="J492" t="str">
        <f>IF(SEFAZ!O474="","",SEFAZ!O474)</f>
        <v/>
      </c>
      <c r="K492" s="11" t="str">
        <f>IF(SEFAZ!P474="","",SEFAZ!P474)</f>
        <v/>
      </c>
      <c r="L492" t="str" cm="1">
        <f t="array" aca="1" ref="L4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2" t="s">
        <v>35</v>
      </c>
      <c r="O492" s="36" t="str">
        <f>IF(SEFAZ!B474="","",SEFAZ!B474)</f>
        <v/>
      </c>
    </row>
    <row r="493" spans="2:15" x14ac:dyDescent="0.3">
      <c r="B493" t="str">
        <f>IF(SEFAZ!A475="","",SEFAZ!A475)</f>
        <v/>
      </c>
      <c r="C493" t="str">
        <f>IF(SEFAZ!C475="","",SEFAZ!C475)</f>
        <v/>
      </c>
      <c r="D493" t="str">
        <f>IF(SEFAZ!D475="","",SEFAZ!D475)</f>
        <v/>
      </c>
      <c r="E493" s="7" t="str">
        <f>IF(SEFAZ!E475="","",SEFAZ!E475)</f>
        <v/>
      </c>
      <c r="F493" s="6" t="str">
        <f>IF(SEFAZ!F475="","",VALUE(SUBSTITUTE(SEFAZ!F475,"'","")))</f>
        <v/>
      </c>
      <c r="G493" t="str">
        <f>IF(SEFAZ!H475="","",SEFAZ!H475)</f>
        <v/>
      </c>
      <c r="H493" t="str">
        <f>IF(SEFAZ!L475="","",SEFAZ!L475)</f>
        <v/>
      </c>
      <c r="I493" t="str">
        <f>IF(SEFAZ!N475="","",SEFAZ!N475)</f>
        <v/>
      </c>
      <c r="J493" t="str">
        <f>IF(SEFAZ!O475="","",SEFAZ!O475)</f>
        <v/>
      </c>
      <c r="K493" s="11" t="str">
        <f>IF(SEFAZ!P475="","",SEFAZ!P475)</f>
        <v/>
      </c>
      <c r="L493" t="str" cm="1">
        <f t="array" aca="1" ref="L4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3" t="s">
        <v>35</v>
      </c>
      <c r="O493" s="36" t="str">
        <f>IF(SEFAZ!B475="","",SEFAZ!B475)</f>
        <v/>
      </c>
    </row>
    <row r="494" spans="2:15" x14ac:dyDescent="0.3">
      <c r="B494" t="str">
        <f>IF(SEFAZ!A476="","",SEFAZ!A476)</f>
        <v/>
      </c>
      <c r="C494" t="str">
        <f>IF(SEFAZ!C476="","",SEFAZ!C476)</f>
        <v/>
      </c>
      <c r="D494" t="str">
        <f>IF(SEFAZ!D476="","",SEFAZ!D476)</f>
        <v/>
      </c>
      <c r="E494" s="7" t="str">
        <f>IF(SEFAZ!E476="","",SEFAZ!E476)</f>
        <v/>
      </c>
      <c r="F494" s="6" t="str">
        <f>IF(SEFAZ!F476="","",VALUE(SUBSTITUTE(SEFAZ!F476,"'","")))</f>
        <v/>
      </c>
      <c r="G494" t="str">
        <f>IF(SEFAZ!H476="","",SEFAZ!H476)</f>
        <v/>
      </c>
      <c r="H494" t="str">
        <f>IF(SEFAZ!L476="","",SEFAZ!L476)</f>
        <v/>
      </c>
      <c r="I494" t="str">
        <f>IF(SEFAZ!N476="","",SEFAZ!N476)</f>
        <v/>
      </c>
      <c r="J494" t="str">
        <f>IF(SEFAZ!O476="","",SEFAZ!O476)</f>
        <v/>
      </c>
      <c r="K494" s="11" t="str">
        <f>IF(SEFAZ!P476="","",SEFAZ!P476)</f>
        <v/>
      </c>
      <c r="L494" t="str" cm="1">
        <f t="array" aca="1" ref="L4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4" t="s">
        <v>35</v>
      </c>
      <c r="O494" s="36" t="str">
        <f>IF(SEFAZ!B476="","",SEFAZ!B476)</f>
        <v/>
      </c>
    </row>
    <row r="495" spans="2:15" x14ac:dyDescent="0.3">
      <c r="B495" t="str">
        <f>IF(SEFAZ!A477="","",SEFAZ!A477)</f>
        <v/>
      </c>
      <c r="C495" t="str">
        <f>IF(SEFAZ!C477="","",SEFAZ!C477)</f>
        <v/>
      </c>
      <c r="D495" t="str">
        <f>IF(SEFAZ!D477="","",SEFAZ!D477)</f>
        <v/>
      </c>
      <c r="E495" s="7" t="str">
        <f>IF(SEFAZ!E477="","",SEFAZ!E477)</f>
        <v/>
      </c>
      <c r="F495" s="6" t="str">
        <f>IF(SEFAZ!F477="","",VALUE(SUBSTITUTE(SEFAZ!F477,"'","")))</f>
        <v/>
      </c>
      <c r="G495" t="str">
        <f>IF(SEFAZ!H477="","",SEFAZ!H477)</f>
        <v/>
      </c>
      <c r="H495" t="str">
        <f>IF(SEFAZ!L477="","",SEFAZ!L477)</f>
        <v/>
      </c>
      <c r="I495" t="str">
        <f>IF(SEFAZ!N477="","",SEFAZ!N477)</f>
        <v/>
      </c>
      <c r="J495" t="str">
        <f>IF(SEFAZ!O477="","",SEFAZ!O477)</f>
        <v/>
      </c>
      <c r="K495" s="11" t="str">
        <f>IF(SEFAZ!P477="","",SEFAZ!P477)</f>
        <v/>
      </c>
      <c r="L495" t="str" cm="1">
        <f t="array" aca="1" ref="L4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5" t="s">
        <v>35</v>
      </c>
      <c r="O495" s="36" t="str">
        <f>IF(SEFAZ!B477="","",SEFAZ!B477)</f>
        <v/>
      </c>
    </row>
    <row r="496" spans="2:15" x14ac:dyDescent="0.3">
      <c r="B496" t="str">
        <f>IF(SEFAZ!A478="","",SEFAZ!A478)</f>
        <v/>
      </c>
      <c r="C496" t="str">
        <f>IF(SEFAZ!C478="","",SEFAZ!C478)</f>
        <v/>
      </c>
      <c r="D496" t="str">
        <f>IF(SEFAZ!D478="","",SEFAZ!D478)</f>
        <v/>
      </c>
      <c r="E496" s="7" t="str">
        <f>IF(SEFAZ!E478="","",SEFAZ!E478)</f>
        <v/>
      </c>
      <c r="F496" s="6" t="str">
        <f>IF(SEFAZ!F478="","",VALUE(SUBSTITUTE(SEFAZ!F478,"'","")))</f>
        <v/>
      </c>
      <c r="G496" t="str">
        <f>IF(SEFAZ!H478="","",SEFAZ!H478)</f>
        <v/>
      </c>
      <c r="H496" t="str">
        <f>IF(SEFAZ!L478="","",SEFAZ!L478)</f>
        <v/>
      </c>
      <c r="I496" t="str">
        <f>IF(SEFAZ!N478="","",SEFAZ!N478)</f>
        <v/>
      </c>
      <c r="J496" t="str">
        <f>IF(SEFAZ!O478="","",SEFAZ!O478)</f>
        <v/>
      </c>
      <c r="K496" s="11" t="str">
        <f>IF(SEFAZ!P478="","",SEFAZ!P478)</f>
        <v/>
      </c>
      <c r="L496" t="str" cm="1">
        <f t="array" aca="1" ref="L4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6" t="s">
        <v>35</v>
      </c>
      <c r="O496" s="36" t="str">
        <f>IF(SEFAZ!B478="","",SEFAZ!B478)</f>
        <v/>
      </c>
    </row>
    <row r="497" spans="2:15" x14ac:dyDescent="0.3">
      <c r="B497" t="str">
        <f>IF(SEFAZ!A479="","",SEFAZ!A479)</f>
        <v/>
      </c>
      <c r="C497" t="str">
        <f>IF(SEFAZ!C479="","",SEFAZ!C479)</f>
        <v/>
      </c>
      <c r="D497" t="str">
        <f>IF(SEFAZ!D479="","",SEFAZ!D479)</f>
        <v/>
      </c>
      <c r="E497" s="7" t="str">
        <f>IF(SEFAZ!E479="","",SEFAZ!E479)</f>
        <v/>
      </c>
      <c r="F497" s="6" t="str">
        <f>IF(SEFAZ!F479="","",VALUE(SUBSTITUTE(SEFAZ!F479,"'","")))</f>
        <v/>
      </c>
      <c r="G497" t="str">
        <f>IF(SEFAZ!H479="","",SEFAZ!H479)</f>
        <v/>
      </c>
      <c r="H497" t="str">
        <f>IF(SEFAZ!L479="","",SEFAZ!L479)</f>
        <v/>
      </c>
      <c r="I497" t="str">
        <f>IF(SEFAZ!N479="","",SEFAZ!N479)</f>
        <v/>
      </c>
      <c r="J497" t="str">
        <f>IF(SEFAZ!O479="","",SEFAZ!O479)</f>
        <v/>
      </c>
      <c r="K497" s="11" t="str">
        <f>IF(SEFAZ!P479="","",SEFAZ!P479)</f>
        <v/>
      </c>
      <c r="L497" t="str" cm="1">
        <f t="array" aca="1" ref="L4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7" t="s">
        <v>35</v>
      </c>
      <c r="O497" s="36" t="str">
        <f>IF(SEFAZ!B479="","",SEFAZ!B479)</f>
        <v/>
      </c>
    </row>
    <row r="498" spans="2:15" x14ac:dyDescent="0.3">
      <c r="B498" t="str">
        <f>IF(SEFAZ!A480="","",SEFAZ!A480)</f>
        <v/>
      </c>
      <c r="C498" t="str">
        <f>IF(SEFAZ!C480="","",SEFAZ!C480)</f>
        <v/>
      </c>
      <c r="D498" t="str">
        <f>IF(SEFAZ!D480="","",SEFAZ!D480)</f>
        <v/>
      </c>
      <c r="E498" s="7" t="str">
        <f>IF(SEFAZ!E480="","",SEFAZ!E480)</f>
        <v/>
      </c>
      <c r="F498" s="6" t="str">
        <f>IF(SEFAZ!F480="","",VALUE(SUBSTITUTE(SEFAZ!F480,"'","")))</f>
        <v/>
      </c>
      <c r="G498" t="str">
        <f>IF(SEFAZ!H480="","",SEFAZ!H480)</f>
        <v/>
      </c>
      <c r="H498" t="str">
        <f>IF(SEFAZ!L480="","",SEFAZ!L480)</f>
        <v/>
      </c>
      <c r="I498" t="str">
        <f>IF(SEFAZ!N480="","",SEFAZ!N480)</f>
        <v/>
      </c>
      <c r="J498" t="str">
        <f>IF(SEFAZ!O480="","",SEFAZ!O480)</f>
        <v/>
      </c>
      <c r="K498" s="11" t="str">
        <f>IF(SEFAZ!P480="","",SEFAZ!P480)</f>
        <v/>
      </c>
      <c r="L498" t="str" cm="1">
        <f t="array" aca="1" ref="L4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8" t="s">
        <v>35</v>
      </c>
      <c r="O498" s="36" t="str">
        <f>IF(SEFAZ!B480="","",SEFAZ!B480)</f>
        <v/>
      </c>
    </row>
    <row r="499" spans="2:15" x14ac:dyDescent="0.3">
      <c r="B499" t="str">
        <f>IF(SEFAZ!A481="","",SEFAZ!A481)</f>
        <v/>
      </c>
      <c r="C499" t="str">
        <f>IF(SEFAZ!C481="","",SEFAZ!C481)</f>
        <v/>
      </c>
      <c r="D499" t="str">
        <f>IF(SEFAZ!D481="","",SEFAZ!D481)</f>
        <v/>
      </c>
      <c r="E499" s="7" t="str">
        <f>IF(SEFAZ!E481="","",SEFAZ!E481)</f>
        <v/>
      </c>
      <c r="F499" s="6" t="str">
        <f>IF(SEFAZ!F481="","",VALUE(SUBSTITUTE(SEFAZ!F481,"'","")))</f>
        <v/>
      </c>
      <c r="G499" t="str">
        <f>IF(SEFAZ!H481="","",SEFAZ!H481)</f>
        <v/>
      </c>
      <c r="H499" t="str">
        <f>IF(SEFAZ!L481="","",SEFAZ!L481)</f>
        <v/>
      </c>
      <c r="I499" t="str">
        <f>IF(SEFAZ!N481="","",SEFAZ!N481)</f>
        <v/>
      </c>
      <c r="J499" t="str">
        <f>IF(SEFAZ!O481="","",SEFAZ!O481)</f>
        <v/>
      </c>
      <c r="K499" s="11" t="str">
        <f>IF(SEFAZ!P481="","",SEFAZ!P481)</f>
        <v/>
      </c>
      <c r="L499" t="str" cm="1">
        <f t="array" aca="1" ref="L4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499" t="s">
        <v>35</v>
      </c>
      <c r="O499" s="36" t="str">
        <f>IF(SEFAZ!B481="","",SEFAZ!B481)</f>
        <v/>
      </c>
    </row>
    <row r="500" spans="2:15" x14ac:dyDescent="0.3">
      <c r="B500" t="str">
        <f>IF(SEFAZ!A482="","",SEFAZ!A482)</f>
        <v/>
      </c>
      <c r="C500" t="str">
        <f>IF(SEFAZ!C482="","",SEFAZ!C482)</f>
        <v/>
      </c>
      <c r="D500" t="str">
        <f>IF(SEFAZ!D482="","",SEFAZ!D482)</f>
        <v/>
      </c>
      <c r="E500" s="7" t="str">
        <f>IF(SEFAZ!E482="","",SEFAZ!E482)</f>
        <v/>
      </c>
      <c r="F500" s="6" t="str">
        <f>IF(SEFAZ!F482="","",VALUE(SUBSTITUTE(SEFAZ!F482,"'","")))</f>
        <v/>
      </c>
      <c r="G500" t="str">
        <f>IF(SEFAZ!H482="","",SEFAZ!H482)</f>
        <v/>
      </c>
      <c r="H500" t="str">
        <f>IF(SEFAZ!L482="","",SEFAZ!L482)</f>
        <v/>
      </c>
      <c r="I500" t="str">
        <f>IF(SEFAZ!N482="","",SEFAZ!N482)</f>
        <v/>
      </c>
      <c r="J500" t="str">
        <f>IF(SEFAZ!O482="","",SEFAZ!O482)</f>
        <v/>
      </c>
      <c r="K500" s="11" t="str">
        <f>IF(SEFAZ!P482="","",SEFAZ!P482)</f>
        <v/>
      </c>
      <c r="L500" t="str" cm="1">
        <f t="array" aca="1" ref="L5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0" t="s">
        <v>35</v>
      </c>
      <c r="O500" s="36" t="str">
        <f>IF(SEFAZ!B482="","",SEFAZ!B482)</f>
        <v/>
      </c>
    </row>
    <row r="501" spans="2:15" x14ac:dyDescent="0.3">
      <c r="B501" t="str">
        <f>IF(SEFAZ!A483="","",SEFAZ!A483)</f>
        <v/>
      </c>
      <c r="C501" t="str">
        <f>IF(SEFAZ!C483="","",SEFAZ!C483)</f>
        <v/>
      </c>
      <c r="D501" t="str">
        <f>IF(SEFAZ!D483="","",SEFAZ!D483)</f>
        <v/>
      </c>
      <c r="E501" s="7" t="str">
        <f>IF(SEFAZ!E483="","",SEFAZ!E483)</f>
        <v/>
      </c>
      <c r="F501" s="6" t="str">
        <f>IF(SEFAZ!F483="","",VALUE(SUBSTITUTE(SEFAZ!F483,"'","")))</f>
        <v/>
      </c>
      <c r="G501" t="str">
        <f>IF(SEFAZ!H483="","",SEFAZ!H483)</f>
        <v/>
      </c>
      <c r="H501" t="str">
        <f>IF(SEFAZ!L483="","",SEFAZ!L483)</f>
        <v/>
      </c>
      <c r="I501" t="str">
        <f>IF(SEFAZ!N483="","",SEFAZ!N483)</f>
        <v/>
      </c>
      <c r="J501" t="str">
        <f>IF(SEFAZ!O483="","",SEFAZ!O483)</f>
        <v/>
      </c>
      <c r="K501" s="11" t="str">
        <f>IF(SEFAZ!P483="","",SEFAZ!P483)</f>
        <v/>
      </c>
      <c r="L501" t="str" cm="1">
        <f t="array" aca="1" ref="L5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1" t="s">
        <v>35</v>
      </c>
      <c r="O501" s="36" t="str">
        <f>IF(SEFAZ!B483="","",SEFAZ!B483)</f>
        <v/>
      </c>
    </row>
    <row r="502" spans="2:15" x14ac:dyDescent="0.3">
      <c r="B502" t="str">
        <f>IF(SEFAZ!A484="","",SEFAZ!A484)</f>
        <v/>
      </c>
      <c r="C502" t="str">
        <f>IF(SEFAZ!C484="","",SEFAZ!C484)</f>
        <v/>
      </c>
      <c r="D502" t="str">
        <f>IF(SEFAZ!D484="","",SEFAZ!D484)</f>
        <v/>
      </c>
      <c r="E502" s="7" t="str">
        <f>IF(SEFAZ!E484="","",SEFAZ!E484)</f>
        <v/>
      </c>
      <c r="F502" s="6" t="str">
        <f>IF(SEFAZ!F484="","",VALUE(SUBSTITUTE(SEFAZ!F484,"'","")))</f>
        <v/>
      </c>
      <c r="G502" t="str">
        <f>IF(SEFAZ!H484="","",SEFAZ!H484)</f>
        <v/>
      </c>
      <c r="H502" t="str">
        <f>IF(SEFAZ!L484="","",SEFAZ!L484)</f>
        <v/>
      </c>
      <c r="I502" t="str">
        <f>IF(SEFAZ!N484="","",SEFAZ!N484)</f>
        <v/>
      </c>
      <c r="J502" t="str">
        <f>IF(SEFAZ!O484="","",SEFAZ!O484)</f>
        <v/>
      </c>
      <c r="K502" s="11" t="str">
        <f>IF(SEFAZ!P484="","",SEFAZ!P484)</f>
        <v/>
      </c>
      <c r="L502" t="str" cm="1">
        <f t="array" aca="1" ref="L5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2" t="s">
        <v>35</v>
      </c>
      <c r="O502" s="36" t="str">
        <f>IF(SEFAZ!B484="","",SEFAZ!B484)</f>
        <v/>
      </c>
    </row>
    <row r="503" spans="2:15" x14ac:dyDescent="0.3">
      <c r="B503" t="str">
        <f>IF(SEFAZ!A485="","",SEFAZ!A485)</f>
        <v/>
      </c>
      <c r="C503" t="str">
        <f>IF(SEFAZ!C485="","",SEFAZ!C485)</f>
        <v/>
      </c>
      <c r="D503" t="str">
        <f>IF(SEFAZ!D485="","",SEFAZ!D485)</f>
        <v/>
      </c>
      <c r="E503" s="7" t="str">
        <f>IF(SEFAZ!E485="","",SEFAZ!E485)</f>
        <v/>
      </c>
      <c r="F503" s="6" t="str">
        <f>IF(SEFAZ!F485="","",VALUE(SUBSTITUTE(SEFAZ!F485,"'","")))</f>
        <v/>
      </c>
      <c r="G503" t="str">
        <f>IF(SEFAZ!H485="","",SEFAZ!H485)</f>
        <v/>
      </c>
      <c r="H503" t="str">
        <f>IF(SEFAZ!L485="","",SEFAZ!L485)</f>
        <v/>
      </c>
      <c r="I503" t="str">
        <f>IF(SEFAZ!N485="","",SEFAZ!N485)</f>
        <v/>
      </c>
      <c r="J503" t="str">
        <f>IF(SEFAZ!O485="","",SEFAZ!O485)</f>
        <v/>
      </c>
      <c r="K503" s="11" t="str">
        <f>IF(SEFAZ!P485="","",SEFAZ!P485)</f>
        <v/>
      </c>
      <c r="L503" t="str" cm="1">
        <f t="array" aca="1" ref="L5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3" t="s">
        <v>35</v>
      </c>
      <c r="O503" s="36" t="str">
        <f>IF(SEFAZ!B485="","",SEFAZ!B485)</f>
        <v/>
      </c>
    </row>
    <row r="504" spans="2:15" x14ac:dyDescent="0.3">
      <c r="B504" t="str">
        <f>IF(SEFAZ!A486="","",SEFAZ!A486)</f>
        <v/>
      </c>
      <c r="C504" t="str">
        <f>IF(SEFAZ!C486="","",SEFAZ!C486)</f>
        <v/>
      </c>
      <c r="D504" t="str">
        <f>IF(SEFAZ!D486="","",SEFAZ!D486)</f>
        <v/>
      </c>
      <c r="E504" s="7" t="str">
        <f>IF(SEFAZ!E486="","",SEFAZ!E486)</f>
        <v/>
      </c>
      <c r="F504" s="6" t="str">
        <f>IF(SEFAZ!F486="","",VALUE(SUBSTITUTE(SEFAZ!F486,"'","")))</f>
        <v/>
      </c>
      <c r="G504" t="str">
        <f>IF(SEFAZ!H486="","",SEFAZ!H486)</f>
        <v/>
      </c>
      <c r="H504" t="str">
        <f>IF(SEFAZ!L486="","",SEFAZ!L486)</f>
        <v/>
      </c>
      <c r="I504" t="str">
        <f>IF(SEFAZ!N486="","",SEFAZ!N486)</f>
        <v/>
      </c>
      <c r="J504" t="str">
        <f>IF(SEFAZ!O486="","",SEFAZ!O486)</f>
        <v/>
      </c>
      <c r="K504" s="11" t="str">
        <f>IF(SEFAZ!P486="","",SEFAZ!P486)</f>
        <v/>
      </c>
      <c r="L504" t="str" cm="1">
        <f t="array" aca="1" ref="L5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4" t="s">
        <v>35</v>
      </c>
      <c r="O504" s="36" t="str">
        <f>IF(SEFAZ!B486="","",SEFAZ!B486)</f>
        <v/>
      </c>
    </row>
    <row r="505" spans="2:15" x14ac:dyDescent="0.3">
      <c r="B505" t="str">
        <f>IF(SEFAZ!A487="","",SEFAZ!A487)</f>
        <v/>
      </c>
      <c r="C505" t="str">
        <f>IF(SEFAZ!C487="","",SEFAZ!C487)</f>
        <v/>
      </c>
      <c r="D505" t="str">
        <f>IF(SEFAZ!D487="","",SEFAZ!D487)</f>
        <v/>
      </c>
      <c r="E505" s="7" t="str">
        <f>IF(SEFAZ!E487="","",SEFAZ!E487)</f>
        <v/>
      </c>
      <c r="F505" s="6" t="str">
        <f>IF(SEFAZ!F487="","",VALUE(SUBSTITUTE(SEFAZ!F487,"'","")))</f>
        <v/>
      </c>
      <c r="G505" t="str">
        <f>IF(SEFAZ!H487="","",SEFAZ!H487)</f>
        <v/>
      </c>
      <c r="H505" t="str">
        <f>IF(SEFAZ!L487="","",SEFAZ!L487)</f>
        <v/>
      </c>
      <c r="I505" t="str">
        <f>IF(SEFAZ!N487="","",SEFAZ!N487)</f>
        <v/>
      </c>
      <c r="J505" t="str">
        <f>IF(SEFAZ!O487="","",SEFAZ!O487)</f>
        <v/>
      </c>
      <c r="K505" s="11" t="str">
        <f>IF(SEFAZ!P487="","",SEFAZ!P487)</f>
        <v/>
      </c>
      <c r="L505" t="str" cm="1">
        <f t="array" aca="1" ref="L5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5" t="s">
        <v>35</v>
      </c>
      <c r="O505" s="36" t="str">
        <f>IF(SEFAZ!B487="","",SEFAZ!B487)</f>
        <v/>
      </c>
    </row>
    <row r="506" spans="2:15" x14ac:dyDescent="0.3">
      <c r="B506" t="str">
        <f>IF(SEFAZ!A488="","",SEFAZ!A488)</f>
        <v/>
      </c>
      <c r="C506" t="str">
        <f>IF(SEFAZ!C488="","",SEFAZ!C488)</f>
        <v/>
      </c>
      <c r="D506" t="str">
        <f>IF(SEFAZ!D488="","",SEFAZ!D488)</f>
        <v/>
      </c>
      <c r="E506" s="7" t="str">
        <f>IF(SEFAZ!E488="","",SEFAZ!E488)</f>
        <v/>
      </c>
      <c r="F506" s="6" t="str">
        <f>IF(SEFAZ!F488="","",VALUE(SUBSTITUTE(SEFAZ!F488,"'","")))</f>
        <v/>
      </c>
      <c r="G506" t="str">
        <f>IF(SEFAZ!H488="","",SEFAZ!H488)</f>
        <v/>
      </c>
      <c r="H506" t="str">
        <f>IF(SEFAZ!L488="","",SEFAZ!L488)</f>
        <v/>
      </c>
      <c r="I506" t="str">
        <f>IF(SEFAZ!N488="","",SEFAZ!N488)</f>
        <v/>
      </c>
      <c r="J506" t="str">
        <f>IF(SEFAZ!O488="","",SEFAZ!O488)</f>
        <v/>
      </c>
      <c r="K506" s="11" t="str">
        <f>IF(SEFAZ!P488="","",SEFAZ!P488)</f>
        <v/>
      </c>
      <c r="L506" t="str" cm="1">
        <f t="array" aca="1" ref="L5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6" t="s">
        <v>35</v>
      </c>
      <c r="O506" s="36" t="str">
        <f>IF(SEFAZ!B488="","",SEFAZ!B488)</f>
        <v/>
      </c>
    </row>
    <row r="507" spans="2:15" x14ac:dyDescent="0.3">
      <c r="B507" t="str">
        <f>IF(SEFAZ!A489="","",SEFAZ!A489)</f>
        <v/>
      </c>
      <c r="C507" t="str">
        <f>IF(SEFAZ!C489="","",SEFAZ!C489)</f>
        <v/>
      </c>
      <c r="D507" t="str">
        <f>IF(SEFAZ!D489="","",SEFAZ!D489)</f>
        <v/>
      </c>
      <c r="E507" s="7" t="str">
        <f>IF(SEFAZ!E489="","",SEFAZ!E489)</f>
        <v/>
      </c>
      <c r="F507" s="6" t="str">
        <f>IF(SEFAZ!F489="","",VALUE(SUBSTITUTE(SEFAZ!F489,"'","")))</f>
        <v/>
      </c>
      <c r="G507" t="str">
        <f>IF(SEFAZ!H489="","",SEFAZ!H489)</f>
        <v/>
      </c>
      <c r="H507" t="str">
        <f>IF(SEFAZ!L489="","",SEFAZ!L489)</f>
        <v/>
      </c>
      <c r="I507" t="str">
        <f>IF(SEFAZ!N489="","",SEFAZ!N489)</f>
        <v/>
      </c>
      <c r="J507" t="str">
        <f>IF(SEFAZ!O489="","",SEFAZ!O489)</f>
        <v/>
      </c>
      <c r="K507" s="11" t="str">
        <f>IF(SEFAZ!P489="","",SEFAZ!P489)</f>
        <v/>
      </c>
      <c r="L507" t="str" cm="1">
        <f t="array" aca="1" ref="L5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7" t="s">
        <v>35</v>
      </c>
      <c r="O507" s="36" t="str">
        <f>IF(SEFAZ!B489="","",SEFAZ!B489)</f>
        <v/>
      </c>
    </row>
    <row r="508" spans="2:15" x14ac:dyDescent="0.3">
      <c r="B508" t="str">
        <f>IF(SEFAZ!A490="","",SEFAZ!A490)</f>
        <v/>
      </c>
      <c r="C508" t="str">
        <f>IF(SEFAZ!C490="","",SEFAZ!C490)</f>
        <v/>
      </c>
      <c r="D508" t="str">
        <f>IF(SEFAZ!D490="","",SEFAZ!D490)</f>
        <v/>
      </c>
      <c r="E508" s="7" t="str">
        <f>IF(SEFAZ!E490="","",SEFAZ!E490)</f>
        <v/>
      </c>
      <c r="F508" s="6" t="str">
        <f>IF(SEFAZ!F490="","",VALUE(SUBSTITUTE(SEFAZ!F490,"'","")))</f>
        <v/>
      </c>
      <c r="G508" t="str">
        <f>IF(SEFAZ!H490="","",SEFAZ!H490)</f>
        <v/>
      </c>
      <c r="H508" t="str">
        <f>IF(SEFAZ!L490="","",SEFAZ!L490)</f>
        <v/>
      </c>
      <c r="I508" t="str">
        <f>IF(SEFAZ!N490="","",SEFAZ!N490)</f>
        <v/>
      </c>
      <c r="J508" t="str">
        <f>IF(SEFAZ!O490="","",SEFAZ!O490)</f>
        <v/>
      </c>
      <c r="K508" s="11" t="str">
        <f>IF(SEFAZ!P490="","",SEFAZ!P490)</f>
        <v/>
      </c>
      <c r="L508" t="str" cm="1">
        <f t="array" aca="1" ref="L5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8" t="s">
        <v>35</v>
      </c>
      <c r="O508" s="36" t="str">
        <f>IF(SEFAZ!B490="","",SEFAZ!B490)</f>
        <v/>
      </c>
    </row>
    <row r="509" spans="2:15" x14ac:dyDescent="0.3">
      <c r="B509" t="str">
        <f>IF(SEFAZ!A491="","",SEFAZ!A491)</f>
        <v/>
      </c>
      <c r="C509" t="str">
        <f>IF(SEFAZ!C491="","",SEFAZ!C491)</f>
        <v/>
      </c>
      <c r="D509" t="str">
        <f>IF(SEFAZ!D491="","",SEFAZ!D491)</f>
        <v/>
      </c>
      <c r="E509" s="7" t="str">
        <f>IF(SEFAZ!E491="","",SEFAZ!E491)</f>
        <v/>
      </c>
      <c r="F509" s="6" t="str">
        <f>IF(SEFAZ!F491="","",VALUE(SUBSTITUTE(SEFAZ!F491,"'","")))</f>
        <v/>
      </c>
      <c r="G509" t="str">
        <f>IF(SEFAZ!H491="","",SEFAZ!H491)</f>
        <v/>
      </c>
      <c r="H509" t="str">
        <f>IF(SEFAZ!L491="","",SEFAZ!L491)</f>
        <v/>
      </c>
      <c r="I509" t="str">
        <f>IF(SEFAZ!N491="","",SEFAZ!N491)</f>
        <v/>
      </c>
      <c r="J509" t="str">
        <f>IF(SEFAZ!O491="","",SEFAZ!O491)</f>
        <v/>
      </c>
      <c r="K509" s="11" t="str">
        <f>IF(SEFAZ!P491="","",SEFAZ!P491)</f>
        <v/>
      </c>
      <c r="L509" t="str" cm="1">
        <f t="array" aca="1" ref="L5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09" t="s">
        <v>35</v>
      </c>
      <c r="O509" s="36" t="str">
        <f>IF(SEFAZ!B491="","",SEFAZ!B491)</f>
        <v/>
      </c>
    </row>
    <row r="510" spans="2:15" x14ac:dyDescent="0.3">
      <c r="B510" t="str">
        <f>IF(SEFAZ!A492="","",SEFAZ!A492)</f>
        <v/>
      </c>
      <c r="C510" t="str">
        <f>IF(SEFAZ!C492="","",SEFAZ!C492)</f>
        <v/>
      </c>
      <c r="D510" t="str">
        <f>IF(SEFAZ!D492="","",SEFAZ!D492)</f>
        <v/>
      </c>
      <c r="E510" s="7" t="str">
        <f>IF(SEFAZ!E492="","",SEFAZ!E492)</f>
        <v/>
      </c>
      <c r="F510" s="6" t="str">
        <f>IF(SEFAZ!F492="","",VALUE(SUBSTITUTE(SEFAZ!F492,"'","")))</f>
        <v/>
      </c>
      <c r="G510" t="str">
        <f>IF(SEFAZ!H492="","",SEFAZ!H492)</f>
        <v/>
      </c>
      <c r="H510" t="str">
        <f>IF(SEFAZ!L492="","",SEFAZ!L492)</f>
        <v/>
      </c>
      <c r="I510" t="str">
        <f>IF(SEFAZ!N492="","",SEFAZ!N492)</f>
        <v/>
      </c>
      <c r="J510" t="str">
        <f>IF(SEFAZ!O492="","",SEFAZ!O492)</f>
        <v/>
      </c>
      <c r="K510" s="11" t="str">
        <f>IF(SEFAZ!P492="","",SEFAZ!P492)</f>
        <v/>
      </c>
      <c r="L510" t="str" cm="1">
        <f t="array" aca="1" ref="L5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0" t="s">
        <v>35</v>
      </c>
      <c r="O510" s="36" t="str">
        <f>IF(SEFAZ!B492="","",SEFAZ!B492)</f>
        <v/>
      </c>
    </row>
    <row r="511" spans="2:15" x14ac:dyDescent="0.3">
      <c r="B511" t="str">
        <f>IF(SEFAZ!A493="","",SEFAZ!A493)</f>
        <v/>
      </c>
      <c r="C511" t="str">
        <f>IF(SEFAZ!C493="","",SEFAZ!C493)</f>
        <v/>
      </c>
      <c r="D511" t="str">
        <f>IF(SEFAZ!D493="","",SEFAZ!D493)</f>
        <v/>
      </c>
      <c r="E511" s="7" t="str">
        <f>IF(SEFAZ!E493="","",SEFAZ!E493)</f>
        <v/>
      </c>
      <c r="F511" s="6" t="str">
        <f>IF(SEFAZ!F493="","",VALUE(SUBSTITUTE(SEFAZ!F493,"'","")))</f>
        <v/>
      </c>
      <c r="G511" t="str">
        <f>IF(SEFAZ!H493="","",SEFAZ!H493)</f>
        <v/>
      </c>
      <c r="H511" t="str">
        <f>IF(SEFAZ!L493="","",SEFAZ!L493)</f>
        <v/>
      </c>
      <c r="I511" t="str">
        <f>IF(SEFAZ!N493="","",SEFAZ!N493)</f>
        <v/>
      </c>
      <c r="J511" t="str">
        <f>IF(SEFAZ!O493="","",SEFAZ!O493)</f>
        <v/>
      </c>
      <c r="K511" s="11" t="str">
        <f>IF(SEFAZ!P493="","",SEFAZ!P493)</f>
        <v/>
      </c>
      <c r="L511" t="str" cm="1">
        <f t="array" aca="1" ref="L5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1" t="s">
        <v>35</v>
      </c>
      <c r="O511" s="36" t="str">
        <f>IF(SEFAZ!B493="","",SEFAZ!B493)</f>
        <v/>
      </c>
    </row>
    <row r="512" spans="2:15" x14ac:dyDescent="0.3">
      <c r="B512" t="str">
        <f>IF(SEFAZ!A494="","",SEFAZ!A494)</f>
        <v/>
      </c>
      <c r="C512" t="str">
        <f>IF(SEFAZ!C494="","",SEFAZ!C494)</f>
        <v/>
      </c>
      <c r="D512" t="str">
        <f>IF(SEFAZ!D494="","",SEFAZ!D494)</f>
        <v/>
      </c>
      <c r="E512" s="7" t="str">
        <f>IF(SEFAZ!E494="","",SEFAZ!E494)</f>
        <v/>
      </c>
      <c r="F512" s="6" t="str">
        <f>IF(SEFAZ!F494="","",VALUE(SUBSTITUTE(SEFAZ!F494,"'","")))</f>
        <v/>
      </c>
      <c r="G512" t="str">
        <f>IF(SEFAZ!H494="","",SEFAZ!H494)</f>
        <v/>
      </c>
      <c r="H512" t="str">
        <f>IF(SEFAZ!L494="","",SEFAZ!L494)</f>
        <v/>
      </c>
      <c r="I512" t="str">
        <f>IF(SEFAZ!N494="","",SEFAZ!N494)</f>
        <v/>
      </c>
      <c r="J512" t="str">
        <f>IF(SEFAZ!O494="","",SEFAZ!O494)</f>
        <v/>
      </c>
      <c r="K512" s="11" t="str">
        <f>IF(SEFAZ!P494="","",SEFAZ!P494)</f>
        <v/>
      </c>
      <c r="L512" t="str" cm="1">
        <f t="array" aca="1" ref="L5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2" t="s">
        <v>35</v>
      </c>
      <c r="O512" s="36" t="str">
        <f>IF(SEFAZ!B494="","",SEFAZ!B494)</f>
        <v/>
      </c>
    </row>
    <row r="513" spans="2:15" x14ac:dyDescent="0.3">
      <c r="B513" t="str">
        <f>IF(SEFAZ!A495="","",SEFAZ!A495)</f>
        <v/>
      </c>
      <c r="C513" t="str">
        <f>IF(SEFAZ!C495="","",SEFAZ!C495)</f>
        <v/>
      </c>
      <c r="D513" t="str">
        <f>IF(SEFAZ!D495="","",SEFAZ!D495)</f>
        <v/>
      </c>
      <c r="E513" s="7" t="str">
        <f>IF(SEFAZ!E495="","",SEFAZ!E495)</f>
        <v/>
      </c>
      <c r="F513" s="6" t="str">
        <f>IF(SEFAZ!F495="","",VALUE(SUBSTITUTE(SEFAZ!F495,"'","")))</f>
        <v/>
      </c>
      <c r="G513" t="str">
        <f>IF(SEFAZ!H495="","",SEFAZ!H495)</f>
        <v/>
      </c>
      <c r="H513" t="str">
        <f>IF(SEFAZ!L495="","",SEFAZ!L495)</f>
        <v/>
      </c>
      <c r="I513" t="str">
        <f>IF(SEFAZ!N495="","",SEFAZ!N495)</f>
        <v/>
      </c>
      <c r="J513" t="str">
        <f>IF(SEFAZ!O495="","",SEFAZ!O495)</f>
        <v/>
      </c>
      <c r="K513" s="11" t="str">
        <f>IF(SEFAZ!P495="","",SEFAZ!P495)</f>
        <v/>
      </c>
      <c r="L513" t="str" cm="1">
        <f t="array" aca="1" ref="L5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3" t="s">
        <v>35</v>
      </c>
      <c r="O513" s="36" t="str">
        <f>IF(SEFAZ!B495="","",SEFAZ!B495)</f>
        <v/>
      </c>
    </row>
    <row r="514" spans="2:15" x14ac:dyDescent="0.3">
      <c r="B514" t="str">
        <f>IF(SEFAZ!A496="","",SEFAZ!A496)</f>
        <v/>
      </c>
      <c r="C514" t="str">
        <f>IF(SEFAZ!C496="","",SEFAZ!C496)</f>
        <v/>
      </c>
      <c r="D514" t="str">
        <f>IF(SEFAZ!D496="","",SEFAZ!D496)</f>
        <v/>
      </c>
      <c r="E514" s="7" t="str">
        <f>IF(SEFAZ!E496="","",SEFAZ!E496)</f>
        <v/>
      </c>
      <c r="F514" s="6" t="str">
        <f>IF(SEFAZ!F496="","",VALUE(SUBSTITUTE(SEFAZ!F496,"'","")))</f>
        <v/>
      </c>
      <c r="G514" t="str">
        <f>IF(SEFAZ!H496="","",SEFAZ!H496)</f>
        <v/>
      </c>
      <c r="H514" t="str">
        <f>IF(SEFAZ!L496="","",SEFAZ!L496)</f>
        <v/>
      </c>
      <c r="I514" t="str">
        <f>IF(SEFAZ!N496="","",SEFAZ!N496)</f>
        <v/>
      </c>
      <c r="J514" t="str">
        <f>IF(SEFAZ!O496="","",SEFAZ!O496)</f>
        <v/>
      </c>
      <c r="K514" s="11" t="str">
        <f>IF(SEFAZ!P496="","",SEFAZ!P496)</f>
        <v/>
      </c>
      <c r="L514" t="str" cm="1">
        <f t="array" aca="1" ref="L5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4" t="s">
        <v>35</v>
      </c>
      <c r="O514" s="36" t="str">
        <f>IF(SEFAZ!B496="","",SEFAZ!B496)</f>
        <v/>
      </c>
    </row>
    <row r="515" spans="2:15" x14ac:dyDescent="0.3">
      <c r="B515" t="str">
        <f>IF(SEFAZ!A497="","",SEFAZ!A497)</f>
        <v/>
      </c>
      <c r="C515" t="str">
        <f>IF(SEFAZ!C497="","",SEFAZ!C497)</f>
        <v/>
      </c>
      <c r="D515" t="str">
        <f>IF(SEFAZ!D497="","",SEFAZ!D497)</f>
        <v/>
      </c>
      <c r="E515" s="7" t="str">
        <f>IF(SEFAZ!E497="","",SEFAZ!E497)</f>
        <v/>
      </c>
      <c r="F515" s="6" t="str">
        <f>IF(SEFAZ!F497="","",VALUE(SUBSTITUTE(SEFAZ!F497,"'","")))</f>
        <v/>
      </c>
      <c r="G515" t="str">
        <f>IF(SEFAZ!H497="","",SEFAZ!H497)</f>
        <v/>
      </c>
      <c r="H515" t="str">
        <f>IF(SEFAZ!L497="","",SEFAZ!L497)</f>
        <v/>
      </c>
      <c r="I515" t="str">
        <f>IF(SEFAZ!N497="","",SEFAZ!N497)</f>
        <v/>
      </c>
      <c r="J515" t="str">
        <f>IF(SEFAZ!O497="","",SEFAZ!O497)</f>
        <v/>
      </c>
      <c r="K515" s="11" t="str">
        <f>IF(SEFAZ!P497="","",SEFAZ!P497)</f>
        <v/>
      </c>
      <c r="L515" t="str" cm="1">
        <f t="array" aca="1" ref="L5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5" t="s">
        <v>35</v>
      </c>
      <c r="O515" s="36" t="str">
        <f>IF(SEFAZ!B497="","",SEFAZ!B497)</f>
        <v/>
      </c>
    </row>
    <row r="516" spans="2:15" x14ac:dyDescent="0.3">
      <c r="B516" t="str">
        <f>IF(SEFAZ!A498="","",SEFAZ!A498)</f>
        <v/>
      </c>
      <c r="C516" t="str">
        <f>IF(SEFAZ!C498="","",SEFAZ!C498)</f>
        <v/>
      </c>
      <c r="D516" t="str">
        <f>IF(SEFAZ!D498="","",SEFAZ!D498)</f>
        <v/>
      </c>
      <c r="E516" s="7" t="str">
        <f>IF(SEFAZ!E498="","",SEFAZ!E498)</f>
        <v/>
      </c>
      <c r="F516" s="6" t="str">
        <f>IF(SEFAZ!F498="","",VALUE(SUBSTITUTE(SEFAZ!F498,"'","")))</f>
        <v/>
      </c>
      <c r="G516" t="str">
        <f>IF(SEFAZ!H498="","",SEFAZ!H498)</f>
        <v/>
      </c>
      <c r="H516" t="str">
        <f>IF(SEFAZ!L498="","",SEFAZ!L498)</f>
        <v/>
      </c>
      <c r="I516" t="str">
        <f>IF(SEFAZ!N498="","",SEFAZ!N498)</f>
        <v/>
      </c>
      <c r="J516" t="str">
        <f>IF(SEFAZ!O498="","",SEFAZ!O498)</f>
        <v/>
      </c>
      <c r="K516" s="11" t="str">
        <f>IF(SEFAZ!P498="","",SEFAZ!P498)</f>
        <v/>
      </c>
      <c r="L516" t="str" cm="1">
        <f t="array" aca="1" ref="L5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6" t="s">
        <v>35</v>
      </c>
      <c r="O516" s="36" t="str">
        <f>IF(SEFAZ!B498="","",SEFAZ!B498)</f>
        <v/>
      </c>
    </row>
    <row r="517" spans="2:15" x14ac:dyDescent="0.3">
      <c r="B517" t="str">
        <f>IF(SEFAZ!A499="","",SEFAZ!A499)</f>
        <v/>
      </c>
      <c r="C517" t="str">
        <f>IF(SEFAZ!C499="","",SEFAZ!C499)</f>
        <v/>
      </c>
      <c r="D517" t="str">
        <f>IF(SEFAZ!D499="","",SEFAZ!D499)</f>
        <v/>
      </c>
      <c r="E517" s="7" t="str">
        <f>IF(SEFAZ!E499="","",SEFAZ!E499)</f>
        <v/>
      </c>
      <c r="F517" s="6" t="str">
        <f>IF(SEFAZ!F499="","",VALUE(SUBSTITUTE(SEFAZ!F499,"'","")))</f>
        <v/>
      </c>
      <c r="G517" t="str">
        <f>IF(SEFAZ!H499="","",SEFAZ!H499)</f>
        <v/>
      </c>
      <c r="H517" t="str">
        <f>IF(SEFAZ!L499="","",SEFAZ!L499)</f>
        <v/>
      </c>
      <c r="I517" t="str">
        <f>IF(SEFAZ!N499="","",SEFAZ!N499)</f>
        <v/>
      </c>
      <c r="J517" t="str">
        <f>IF(SEFAZ!O499="","",SEFAZ!O499)</f>
        <v/>
      </c>
      <c r="K517" s="11" t="str">
        <f>IF(SEFAZ!P499="","",SEFAZ!P499)</f>
        <v/>
      </c>
      <c r="L517" t="str" cm="1">
        <f t="array" aca="1" ref="L5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7" t="s">
        <v>35</v>
      </c>
      <c r="O517" s="36" t="str">
        <f>IF(SEFAZ!B499="","",SEFAZ!B499)</f>
        <v/>
      </c>
    </row>
    <row r="518" spans="2:15" x14ac:dyDescent="0.3">
      <c r="B518" t="str">
        <f>IF(SEFAZ!A500="","",SEFAZ!A500)</f>
        <v/>
      </c>
      <c r="C518" t="str">
        <f>IF(SEFAZ!C500="","",SEFAZ!C500)</f>
        <v/>
      </c>
      <c r="D518" t="str">
        <f>IF(SEFAZ!D500="","",SEFAZ!D500)</f>
        <v/>
      </c>
      <c r="E518" s="7" t="str">
        <f>IF(SEFAZ!E500="","",SEFAZ!E500)</f>
        <v/>
      </c>
      <c r="F518" s="6" t="str">
        <f>IF(SEFAZ!F500="","",VALUE(SUBSTITUTE(SEFAZ!F500,"'","")))</f>
        <v/>
      </c>
      <c r="G518" t="str">
        <f>IF(SEFAZ!H500="","",SEFAZ!H500)</f>
        <v/>
      </c>
      <c r="H518" t="str">
        <f>IF(SEFAZ!L500="","",SEFAZ!L500)</f>
        <v/>
      </c>
      <c r="I518" t="str">
        <f>IF(SEFAZ!N500="","",SEFAZ!N500)</f>
        <v/>
      </c>
      <c r="J518" t="str">
        <f>IF(SEFAZ!O500="","",SEFAZ!O500)</f>
        <v/>
      </c>
      <c r="K518" s="11" t="str">
        <f>IF(SEFAZ!P500="","",SEFAZ!P500)</f>
        <v/>
      </c>
      <c r="L518" t="str" cm="1">
        <f t="array" aca="1" ref="L5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8" t="s">
        <v>35</v>
      </c>
      <c r="O518" s="36" t="str">
        <f>IF(SEFAZ!B500="","",SEFAZ!B500)</f>
        <v/>
      </c>
    </row>
    <row r="519" spans="2:15" x14ac:dyDescent="0.3">
      <c r="B519" t="str">
        <f>IF(SEFAZ!A501="","",SEFAZ!A501)</f>
        <v/>
      </c>
      <c r="C519" t="str">
        <f>IF(SEFAZ!C501="","",SEFAZ!C501)</f>
        <v/>
      </c>
      <c r="D519" t="str">
        <f>IF(SEFAZ!D501="","",SEFAZ!D501)</f>
        <v/>
      </c>
      <c r="E519" s="7" t="str">
        <f>IF(SEFAZ!E501="","",SEFAZ!E501)</f>
        <v/>
      </c>
      <c r="F519" s="6" t="str">
        <f>IF(SEFAZ!F501="","",VALUE(SUBSTITUTE(SEFAZ!F501,"'","")))</f>
        <v/>
      </c>
      <c r="G519" t="str">
        <f>IF(SEFAZ!H501="","",SEFAZ!H501)</f>
        <v/>
      </c>
      <c r="H519" t="str">
        <f>IF(SEFAZ!L501="","",SEFAZ!L501)</f>
        <v/>
      </c>
      <c r="I519" t="str">
        <f>IF(SEFAZ!N501="","",SEFAZ!N501)</f>
        <v/>
      </c>
      <c r="J519" t="str">
        <f>IF(SEFAZ!O501="","",SEFAZ!O501)</f>
        <v/>
      </c>
      <c r="K519" s="11" t="str">
        <f>IF(SEFAZ!P501="","",SEFAZ!P501)</f>
        <v/>
      </c>
      <c r="L519" t="str" cm="1">
        <f t="array" aca="1" ref="L5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19" t="s">
        <v>35</v>
      </c>
      <c r="O519" s="36" t="str">
        <f>IF(SEFAZ!B501="","",SEFAZ!B501)</f>
        <v/>
      </c>
    </row>
    <row r="520" spans="2:15" x14ac:dyDescent="0.3">
      <c r="B520" t="str">
        <f>IF(SEFAZ!A502="","",SEFAZ!A502)</f>
        <v/>
      </c>
      <c r="C520" t="str">
        <f>IF(SEFAZ!C502="","",SEFAZ!C502)</f>
        <v/>
      </c>
      <c r="D520" t="str">
        <f>IF(SEFAZ!D502="","",SEFAZ!D502)</f>
        <v/>
      </c>
      <c r="E520" s="7" t="str">
        <f>IF(SEFAZ!E502="","",SEFAZ!E502)</f>
        <v/>
      </c>
      <c r="F520" s="6" t="str">
        <f>IF(SEFAZ!F502="","",VALUE(SUBSTITUTE(SEFAZ!F502,"'","")))</f>
        <v/>
      </c>
      <c r="G520" t="str">
        <f>IF(SEFAZ!H502="","",SEFAZ!H502)</f>
        <v/>
      </c>
      <c r="H520" t="str">
        <f>IF(SEFAZ!L502="","",SEFAZ!L502)</f>
        <v/>
      </c>
      <c r="I520" t="str">
        <f>IF(SEFAZ!N502="","",SEFAZ!N502)</f>
        <v/>
      </c>
      <c r="J520" t="str">
        <f>IF(SEFAZ!O502="","",SEFAZ!O502)</f>
        <v/>
      </c>
      <c r="K520" s="11" t="str">
        <f>IF(SEFAZ!P502="","",SEFAZ!P502)</f>
        <v/>
      </c>
      <c r="L520" t="str" cm="1">
        <f t="array" aca="1" ref="L5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0" t="s">
        <v>35</v>
      </c>
      <c r="O520" s="36" t="str">
        <f>IF(SEFAZ!B502="","",SEFAZ!B502)</f>
        <v/>
      </c>
    </row>
    <row r="521" spans="2:15" x14ac:dyDescent="0.3">
      <c r="B521" t="str">
        <f>IF(SEFAZ!A503="","",SEFAZ!A503)</f>
        <v/>
      </c>
      <c r="C521" t="str">
        <f>IF(SEFAZ!C503="","",SEFAZ!C503)</f>
        <v/>
      </c>
      <c r="D521" t="str">
        <f>IF(SEFAZ!D503="","",SEFAZ!D503)</f>
        <v/>
      </c>
      <c r="E521" s="7" t="str">
        <f>IF(SEFAZ!E503="","",SEFAZ!E503)</f>
        <v/>
      </c>
      <c r="F521" s="6" t="str">
        <f>IF(SEFAZ!F503="","",VALUE(SUBSTITUTE(SEFAZ!F503,"'","")))</f>
        <v/>
      </c>
      <c r="G521" t="str">
        <f>IF(SEFAZ!H503="","",SEFAZ!H503)</f>
        <v/>
      </c>
      <c r="H521" t="str">
        <f>IF(SEFAZ!L503="","",SEFAZ!L503)</f>
        <v/>
      </c>
      <c r="I521" t="str">
        <f>IF(SEFAZ!N503="","",SEFAZ!N503)</f>
        <v/>
      </c>
      <c r="J521" t="str">
        <f>IF(SEFAZ!O503="","",SEFAZ!O503)</f>
        <v/>
      </c>
      <c r="K521" s="11" t="str">
        <f>IF(SEFAZ!P503="","",SEFAZ!P503)</f>
        <v/>
      </c>
      <c r="L521" t="str" cm="1">
        <f t="array" aca="1" ref="L5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1" t="s">
        <v>35</v>
      </c>
      <c r="O521" s="36" t="str">
        <f>IF(SEFAZ!B503="","",SEFAZ!B503)</f>
        <v/>
      </c>
    </row>
    <row r="522" spans="2:15" x14ac:dyDescent="0.3">
      <c r="B522" t="str">
        <f>IF(SEFAZ!A504="","",SEFAZ!A504)</f>
        <v/>
      </c>
      <c r="C522" t="str">
        <f>IF(SEFAZ!C504="","",SEFAZ!C504)</f>
        <v/>
      </c>
      <c r="D522" t="str">
        <f>IF(SEFAZ!D504="","",SEFAZ!D504)</f>
        <v/>
      </c>
      <c r="E522" s="7" t="str">
        <f>IF(SEFAZ!E504="","",SEFAZ!E504)</f>
        <v/>
      </c>
      <c r="F522" s="6" t="str">
        <f>IF(SEFAZ!F504="","",VALUE(SUBSTITUTE(SEFAZ!F504,"'","")))</f>
        <v/>
      </c>
      <c r="G522" t="str">
        <f>IF(SEFAZ!H504="","",SEFAZ!H504)</f>
        <v/>
      </c>
      <c r="H522" t="str">
        <f>IF(SEFAZ!L504="","",SEFAZ!L504)</f>
        <v/>
      </c>
      <c r="I522" t="str">
        <f>IF(SEFAZ!N504="","",SEFAZ!N504)</f>
        <v/>
      </c>
      <c r="J522" t="str">
        <f>IF(SEFAZ!O504="","",SEFAZ!O504)</f>
        <v/>
      </c>
      <c r="K522" s="11" t="str">
        <f>IF(SEFAZ!P504="","",SEFAZ!P504)</f>
        <v/>
      </c>
      <c r="L522" t="str" cm="1">
        <f t="array" aca="1" ref="L5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2" t="s">
        <v>35</v>
      </c>
      <c r="O522" s="36" t="str">
        <f>IF(SEFAZ!B504="","",SEFAZ!B504)</f>
        <v/>
      </c>
    </row>
    <row r="523" spans="2:15" x14ac:dyDescent="0.3">
      <c r="B523" t="str">
        <f>IF(SEFAZ!A505="","",SEFAZ!A505)</f>
        <v/>
      </c>
      <c r="C523" t="str">
        <f>IF(SEFAZ!C505="","",SEFAZ!C505)</f>
        <v/>
      </c>
      <c r="D523" t="str">
        <f>IF(SEFAZ!D505="","",SEFAZ!D505)</f>
        <v/>
      </c>
      <c r="E523" s="7" t="str">
        <f>IF(SEFAZ!E505="","",SEFAZ!E505)</f>
        <v/>
      </c>
      <c r="F523" s="6" t="str">
        <f>IF(SEFAZ!F505="","",VALUE(SUBSTITUTE(SEFAZ!F505,"'","")))</f>
        <v/>
      </c>
      <c r="G523" t="str">
        <f>IF(SEFAZ!H505="","",SEFAZ!H505)</f>
        <v/>
      </c>
      <c r="H523" t="str">
        <f>IF(SEFAZ!L505="","",SEFAZ!L505)</f>
        <v/>
      </c>
      <c r="I523" t="str">
        <f>IF(SEFAZ!N505="","",SEFAZ!N505)</f>
        <v/>
      </c>
      <c r="J523" t="str">
        <f>IF(SEFAZ!O505="","",SEFAZ!O505)</f>
        <v/>
      </c>
      <c r="K523" s="11" t="str">
        <f>IF(SEFAZ!P505="","",SEFAZ!P505)</f>
        <v/>
      </c>
      <c r="L523" t="str" cm="1">
        <f t="array" aca="1" ref="L5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3" t="s">
        <v>35</v>
      </c>
      <c r="O523" s="36" t="str">
        <f>IF(SEFAZ!B505="","",SEFAZ!B505)</f>
        <v/>
      </c>
    </row>
    <row r="524" spans="2:15" x14ac:dyDescent="0.3">
      <c r="B524" t="str">
        <f>IF(SEFAZ!A506="","",SEFAZ!A506)</f>
        <v/>
      </c>
      <c r="C524" t="str">
        <f>IF(SEFAZ!C506="","",SEFAZ!C506)</f>
        <v/>
      </c>
      <c r="D524" t="str">
        <f>IF(SEFAZ!D506="","",SEFAZ!D506)</f>
        <v/>
      </c>
      <c r="E524" s="7" t="str">
        <f>IF(SEFAZ!E506="","",SEFAZ!E506)</f>
        <v/>
      </c>
      <c r="F524" s="6" t="str">
        <f>IF(SEFAZ!F506="","",VALUE(SUBSTITUTE(SEFAZ!F506,"'","")))</f>
        <v/>
      </c>
      <c r="G524" t="str">
        <f>IF(SEFAZ!H506="","",SEFAZ!H506)</f>
        <v/>
      </c>
      <c r="H524" t="str">
        <f>IF(SEFAZ!L506="","",SEFAZ!L506)</f>
        <v/>
      </c>
      <c r="I524" t="str">
        <f>IF(SEFAZ!N506="","",SEFAZ!N506)</f>
        <v/>
      </c>
      <c r="J524" t="str">
        <f>IF(SEFAZ!O506="","",SEFAZ!O506)</f>
        <v/>
      </c>
      <c r="K524" s="11" t="str">
        <f>IF(SEFAZ!P506="","",SEFAZ!P506)</f>
        <v/>
      </c>
      <c r="L524" t="str" cm="1">
        <f t="array" aca="1" ref="L5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4" t="s">
        <v>35</v>
      </c>
      <c r="O524" s="36" t="str">
        <f>IF(SEFAZ!B506="","",SEFAZ!B506)</f>
        <v/>
      </c>
    </row>
    <row r="525" spans="2:15" x14ac:dyDescent="0.3">
      <c r="B525" t="str">
        <f>IF(SEFAZ!A507="","",SEFAZ!A507)</f>
        <v/>
      </c>
      <c r="C525" t="str">
        <f>IF(SEFAZ!C507="","",SEFAZ!C507)</f>
        <v/>
      </c>
      <c r="D525" t="str">
        <f>IF(SEFAZ!D507="","",SEFAZ!D507)</f>
        <v/>
      </c>
      <c r="E525" s="7" t="str">
        <f>IF(SEFAZ!E507="","",SEFAZ!E507)</f>
        <v/>
      </c>
      <c r="F525" s="6" t="str">
        <f>IF(SEFAZ!F507="","",VALUE(SUBSTITUTE(SEFAZ!F507,"'","")))</f>
        <v/>
      </c>
      <c r="G525" t="str">
        <f>IF(SEFAZ!H507="","",SEFAZ!H507)</f>
        <v/>
      </c>
      <c r="H525" t="str">
        <f>IF(SEFAZ!L507="","",SEFAZ!L507)</f>
        <v/>
      </c>
      <c r="I525" t="str">
        <f>IF(SEFAZ!N507="","",SEFAZ!N507)</f>
        <v/>
      </c>
      <c r="J525" t="str">
        <f>IF(SEFAZ!O507="","",SEFAZ!O507)</f>
        <v/>
      </c>
      <c r="K525" s="11" t="str">
        <f>IF(SEFAZ!P507="","",SEFAZ!P507)</f>
        <v/>
      </c>
      <c r="L525" t="str" cm="1">
        <f t="array" aca="1" ref="L5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5" t="s">
        <v>35</v>
      </c>
      <c r="O525" s="36" t="str">
        <f>IF(SEFAZ!B507="","",SEFAZ!B507)</f>
        <v/>
      </c>
    </row>
    <row r="526" spans="2:15" x14ac:dyDescent="0.3">
      <c r="B526" t="str">
        <f>IF(SEFAZ!A508="","",SEFAZ!A508)</f>
        <v/>
      </c>
      <c r="C526" t="str">
        <f>IF(SEFAZ!C508="","",SEFAZ!C508)</f>
        <v/>
      </c>
      <c r="D526" t="str">
        <f>IF(SEFAZ!D508="","",SEFAZ!D508)</f>
        <v/>
      </c>
      <c r="E526" s="7" t="str">
        <f>IF(SEFAZ!E508="","",SEFAZ!E508)</f>
        <v/>
      </c>
      <c r="F526" s="6" t="str">
        <f>IF(SEFAZ!F508="","",VALUE(SUBSTITUTE(SEFAZ!F508,"'","")))</f>
        <v/>
      </c>
      <c r="G526" t="str">
        <f>IF(SEFAZ!H508="","",SEFAZ!H508)</f>
        <v/>
      </c>
      <c r="H526" t="str">
        <f>IF(SEFAZ!L508="","",SEFAZ!L508)</f>
        <v/>
      </c>
      <c r="I526" t="str">
        <f>IF(SEFAZ!N508="","",SEFAZ!N508)</f>
        <v/>
      </c>
      <c r="J526" t="str">
        <f>IF(SEFAZ!O508="","",SEFAZ!O508)</f>
        <v/>
      </c>
      <c r="K526" s="11" t="str">
        <f>IF(SEFAZ!P508="","",SEFAZ!P508)</f>
        <v/>
      </c>
      <c r="L526" t="str" cm="1">
        <f t="array" aca="1" ref="L5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6" t="s">
        <v>35</v>
      </c>
      <c r="O526" s="36" t="str">
        <f>IF(SEFAZ!B508="","",SEFAZ!B508)</f>
        <v/>
      </c>
    </row>
    <row r="527" spans="2:15" x14ac:dyDescent="0.3">
      <c r="B527" t="str">
        <f>IF(SEFAZ!A509="","",SEFAZ!A509)</f>
        <v/>
      </c>
      <c r="C527" t="str">
        <f>IF(SEFAZ!C509="","",SEFAZ!C509)</f>
        <v/>
      </c>
      <c r="D527" t="str">
        <f>IF(SEFAZ!D509="","",SEFAZ!D509)</f>
        <v/>
      </c>
      <c r="E527" s="7" t="str">
        <f>IF(SEFAZ!E509="","",SEFAZ!E509)</f>
        <v/>
      </c>
      <c r="F527" s="6" t="str">
        <f>IF(SEFAZ!F509="","",VALUE(SUBSTITUTE(SEFAZ!F509,"'","")))</f>
        <v/>
      </c>
      <c r="G527" t="str">
        <f>IF(SEFAZ!H509="","",SEFAZ!H509)</f>
        <v/>
      </c>
      <c r="H527" t="str">
        <f>IF(SEFAZ!L509="","",SEFAZ!L509)</f>
        <v/>
      </c>
      <c r="I527" t="str">
        <f>IF(SEFAZ!N509="","",SEFAZ!N509)</f>
        <v/>
      </c>
      <c r="J527" t="str">
        <f>IF(SEFAZ!O509="","",SEFAZ!O509)</f>
        <v/>
      </c>
      <c r="K527" s="11" t="str">
        <f>IF(SEFAZ!P509="","",SEFAZ!P509)</f>
        <v/>
      </c>
      <c r="L527" t="str" cm="1">
        <f t="array" aca="1" ref="L5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7" t="s">
        <v>35</v>
      </c>
      <c r="O527" s="36" t="str">
        <f>IF(SEFAZ!B509="","",SEFAZ!B509)</f>
        <v/>
      </c>
    </row>
    <row r="528" spans="2:15" x14ac:dyDescent="0.3">
      <c r="B528" t="str">
        <f>IF(SEFAZ!A510="","",SEFAZ!A510)</f>
        <v/>
      </c>
      <c r="C528" t="str">
        <f>IF(SEFAZ!C510="","",SEFAZ!C510)</f>
        <v/>
      </c>
      <c r="D528" t="str">
        <f>IF(SEFAZ!D510="","",SEFAZ!D510)</f>
        <v/>
      </c>
      <c r="E528" s="7" t="str">
        <f>IF(SEFAZ!E510="","",SEFAZ!E510)</f>
        <v/>
      </c>
      <c r="F528" s="6" t="str">
        <f>IF(SEFAZ!F510="","",VALUE(SUBSTITUTE(SEFAZ!F510,"'","")))</f>
        <v/>
      </c>
      <c r="G528" t="str">
        <f>IF(SEFAZ!H510="","",SEFAZ!H510)</f>
        <v/>
      </c>
      <c r="H528" t="str">
        <f>IF(SEFAZ!L510="","",SEFAZ!L510)</f>
        <v/>
      </c>
      <c r="I528" t="str">
        <f>IF(SEFAZ!N510="","",SEFAZ!N510)</f>
        <v/>
      </c>
      <c r="J528" t="str">
        <f>IF(SEFAZ!O510="","",SEFAZ!O510)</f>
        <v/>
      </c>
      <c r="K528" s="11" t="str">
        <f>IF(SEFAZ!P510="","",SEFAZ!P510)</f>
        <v/>
      </c>
      <c r="L528" t="str" cm="1">
        <f t="array" aca="1" ref="L5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8" t="s">
        <v>35</v>
      </c>
      <c r="O528" s="36" t="str">
        <f>IF(SEFAZ!B510="","",SEFAZ!B510)</f>
        <v/>
      </c>
    </row>
    <row r="529" spans="2:15" x14ac:dyDescent="0.3">
      <c r="B529" t="str">
        <f>IF(SEFAZ!A511="","",SEFAZ!A511)</f>
        <v/>
      </c>
      <c r="C529" t="str">
        <f>IF(SEFAZ!C511="","",SEFAZ!C511)</f>
        <v/>
      </c>
      <c r="D529" t="str">
        <f>IF(SEFAZ!D511="","",SEFAZ!D511)</f>
        <v/>
      </c>
      <c r="E529" s="7" t="str">
        <f>IF(SEFAZ!E511="","",SEFAZ!E511)</f>
        <v/>
      </c>
      <c r="F529" s="6" t="str">
        <f>IF(SEFAZ!F511="","",VALUE(SUBSTITUTE(SEFAZ!F511,"'","")))</f>
        <v/>
      </c>
      <c r="G529" t="str">
        <f>IF(SEFAZ!H511="","",SEFAZ!H511)</f>
        <v/>
      </c>
      <c r="H529" t="str">
        <f>IF(SEFAZ!L511="","",SEFAZ!L511)</f>
        <v/>
      </c>
      <c r="I529" t="str">
        <f>IF(SEFAZ!N511="","",SEFAZ!N511)</f>
        <v/>
      </c>
      <c r="J529" t="str">
        <f>IF(SEFAZ!O511="","",SEFAZ!O511)</f>
        <v/>
      </c>
      <c r="K529" s="11" t="str">
        <f>IF(SEFAZ!P511="","",SEFAZ!P511)</f>
        <v/>
      </c>
      <c r="L529" t="str" cm="1">
        <f t="array" aca="1" ref="L5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29" t="s">
        <v>35</v>
      </c>
      <c r="O529" s="36" t="str">
        <f>IF(SEFAZ!B511="","",SEFAZ!B511)</f>
        <v/>
      </c>
    </row>
    <row r="530" spans="2:15" x14ac:dyDescent="0.3">
      <c r="B530" t="str">
        <f>IF(SEFAZ!A512="","",SEFAZ!A512)</f>
        <v/>
      </c>
      <c r="C530" t="str">
        <f>IF(SEFAZ!C512="","",SEFAZ!C512)</f>
        <v/>
      </c>
      <c r="D530" t="str">
        <f>IF(SEFAZ!D512="","",SEFAZ!D512)</f>
        <v/>
      </c>
      <c r="E530" s="7" t="str">
        <f>IF(SEFAZ!E512="","",SEFAZ!E512)</f>
        <v/>
      </c>
      <c r="F530" s="6" t="str">
        <f>IF(SEFAZ!F512="","",VALUE(SUBSTITUTE(SEFAZ!F512,"'","")))</f>
        <v/>
      </c>
      <c r="G530" t="str">
        <f>IF(SEFAZ!H512="","",SEFAZ!H512)</f>
        <v/>
      </c>
      <c r="H530" t="str">
        <f>IF(SEFAZ!L512="","",SEFAZ!L512)</f>
        <v/>
      </c>
      <c r="I530" t="str">
        <f>IF(SEFAZ!N512="","",SEFAZ!N512)</f>
        <v/>
      </c>
      <c r="J530" t="str">
        <f>IF(SEFAZ!O512="","",SEFAZ!O512)</f>
        <v/>
      </c>
      <c r="K530" s="11" t="str">
        <f>IF(SEFAZ!P512="","",SEFAZ!P512)</f>
        <v/>
      </c>
      <c r="L530" t="str" cm="1">
        <f t="array" aca="1" ref="L5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0" t="s">
        <v>35</v>
      </c>
      <c r="O530" s="36" t="str">
        <f>IF(SEFAZ!B512="","",SEFAZ!B512)</f>
        <v/>
      </c>
    </row>
    <row r="531" spans="2:15" x14ac:dyDescent="0.3">
      <c r="B531" t="str">
        <f>IF(SEFAZ!A513="","",SEFAZ!A513)</f>
        <v/>
      </c>
      <c r="C531" t="str">
        <f>IF(SEFAZ!C513="","",SEFAZ!C513)</f>
        <v/>
      </c>
      <c r="D531" t="str">
        <f>IF(SEFAZ!D513="","",SEFAZ!D513)</f>
        <v/>
      </c>
      <c r="E531" s="7" t="str">
        <f>IF(SEFAZ!E513="","",SEFAZ!E513)</f>
        <v/>
      </c>
      <c r="F531" s="6" t="str">
        <f>IF(SEFAZ!F513="","",VALUE(SUBSTITUTE(SEFAZ!F513,"'","")))</f>
        <v/>
      </c>
      <c r="G531" t="str">
        <f>IF(SEFAZ!H513="","",SEFAZ!H513)</f>
        <v/>
      </c>
      <c r="H531" t="str">
        <f>IF(SEFAZ!L513="","",SEFAZ!L513)</f>
        <v/>
      </c>
      <c r="I531" t="str">
        <f>IF(SEFAZ!N513="","",SEFAZ!N513)</f>
        <v/>
      </c>
      <c r="J531" t="str">
        <f>IF(SEFAZ!O513="","",SEFAZ!O513)</f>
        <v/>
      </c>
      <c r="K531" s="11" t="str">
        <f>IF(SEFAZ!P513="","",SEFAZ!P513)</f>
        <v/>
      </c>
      <c r="L531" t="str" cm="1">
        <f t="array" aca="1" ref="L5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1" t="s">
        <v>35</v>
      </c>
      <c r="O531" s="36" t="str">
        <f>IF(SEFAZ!B513="","",SEFAZ!B513)</f>
        <v/>
      </c>
    </row>
    <row r="532" spans="2:15" x14ac:dyDescent="0.3">
      <c r="B532" t="str">
        <f>IF(SEFAZ!A514="","",SEFAZ!A514)</f>
        <v/>
      </c>
      <c r="C532" t="str">
        <f>IF(SEFAZ!C514="","",SEFAZ!C514)</f>
        <v/>
      </c>
      <c r="D532" t="str">
        <f>IF(SEFAZ!D514="","",SEFAZ!D514)</f>
        <v/>
      </c>
      <c r="E532" s="7" t="str">
        <f>IF(SEFAZ!E514="","",SEFAZ!E514)</f>
        <v/>
      </c>
      <c r="F532" s="6" t="str">
        <f>IF(SEFAZ!F514="","",VALUE(SUBSTITUTE(SEFAZ!F514,"'","")))</f>
        <v/>
      </c>
      <c r="G532" t="str">
        <f>IF(SEFAZ!H514="","",SEFAZ!H514)</f>
        <v/>
      </c>
      <c r="H532" t="str">
        <f>IF(SEFAZ!L514="","",SEFAZ!L514)</f>
        <v/>
      </c>
      <c r="I532" t="str">
        <f>IF(SEFAZ!N514="","",SEFAZ!N514)</f>
        <v/>
      </c>
      <c r="J532" t="str">
        <f>IF(SEFAZ!O514="","",SEFAZ!O514)</f>
        <v/>
      </c>
      <c r="K532" s="11" t="str">
        <f>IF(SEFAZ!P514="","",SEFAZ!P514)</f>
        <v/>
      </c>
      <c r="L532" t="str" cm="1">
        <f t="array" aca="1" ref="L5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2" t="s">
        <v>35</v>
      </c>
      <c r="O532" s="36" t="str">
        <f>IF(SEFAZ!B514="","",SEFAZ!B514)</f>
        <v/>
      </c>
    </row>
    <row r="533" spans="2:15" x14ac:dyDescent="0.3">
      <c r="B533" t="str">
        <f>IF(SEFAZ!A515="","",SEFAZ!A515)</f>
        <v/>
      </c>
      <c r="C533" t="str">
        <f>IF(SEFAZ!C515="","",SEFAZ!C515)</f>
        <v/>
      </c>
      <c r="D533" t="str">
        <f>IF(SEFAZ!D515="","",SEFAZ!D515)</f>
        <v/>
      </c>
      <c r="E533" s="7" t="str">
        <f>IF(SEFAZ!E515="","",SEFAZ!E515)</f>
        <v/>
      </c>
      <c r="F533" s="6" t="str">
        <f>IF(SEFAZ!F515="","",VALUE(SUBSTITUTE(SEFAZ!F515,"'","")))</f>
        <v/>
      </c>
      <c r="G533" t="str">
        <f>IF(SEFAZ!H515="","",SEFAZ!H515)</f>
        <v/>
      </c>
      <c r="H533" t="str">
        <f>IF(SEFAZ!L515="","",SEFAZ!L515)</f>
        <v/>
      </c>
      <c r="I533" t="str">
        <f>IF(SEFAZ!N515="","",SEFAZ!N515)</f>
        <v/>
      </c>
      <c r="J533" t="str">
        <f>IF(SEFAZ!O515="","",SEFAZ!O515)</f>
        <v/>
      </c>
      <c r="K533" s="11" t="str">
        <f>IF(SEFAZ!P515="","",SEFAZ!P515)</f>
        <v/>
      </c>
      <c r="L533" t="str" cm="1">
        <f t="array" aca="1" ref="L5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3" t="s">
        <v>35</v>
      </c>
      <c r="O533" s="36" t="str">
        <f>IF(SEFAZ!B515="","",SEFAZ!B515)</f>
        <v/>
      </c>
    </row>
    <row r="534" spans="2:15" x14ac:dyDescent="0.3">
      <c r="B534" t="str">
        <f>IF(SEFAZ!A516="","",SEFAZ!A516)</f>
        <v/>
      </c>
      <c r="C534" t="str">
        <f>IF(SEFAZ!C516="","",SEFAZ!C516)</f>
        <v/>
      </c>
      <c r="D534" t="str">
        <f>IF(SEFAZ!D516="","",SEFAZ!D516)</f>
        <v/>
      </c>
      <c r="E534" s="7" t="str">
        <f>IF(SEFAZ!E516="","",SEFAZ!E516)</f>
        <v/>
      </c>
      <c r="F534" s="6" t="str">
        <f>IF(SEFAZ!F516="","",VALUE(SUBSTITUTE(SEFAZ!F516,"'","")))</f>
        <v/>
      </c>
      <c r="G534" t="str">
        <f>IF(SEFAZ!H516="","",SEFAZ!H516)</f>
        <v/>
      </c>
      <c r="H534" t="str">
        <f>IF(SEFAZ!L516="","",SEFAZ!L516)</f>
        <v/>
      </c>
      <c r="I534" t="str">
        <f>IF(SEFAZ!N516="","",SEFAZ!N516)</f>
        <v/>
      </c>
      <c r="J534" t="str">
        <f>IF(SEFAZ!O516="","",SEFAZ!O516)</f>
        <v/>
      </c>
      <c r="K534" s="11" t="str">
        <f>IF(SEFAZ!P516="","",SEFAZ!P516)</f>
        <v/>
      </c>
      <c r="L534" t="str" cm="1">
        <f t="array" aca="1" ref="L5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4" t="s">
        <v>35</v>
      </c>
      <c r="O534" s="36" t="str">
        <f>IF(SEFAZ!B516="","",SEFAZ!B516)</f>
        <v/>
      </c>
    </row>
    <row r="535" spans="2:15" x14ac:dyDescent="0.3">
      <c r="B535" t="str">
        <f>IF(SEFAZ!A517="","",SEFAZ!A517)</f>
        <v/>
      </c>
      <c r="C535" t="str">
        <f>IF(SEFAZ!C517="","",SEFAZ!C517)</f>
        <v/>
      </c>
      <c r="D535" t="str">
        <f>IF(SEFAZ!D517="","",SEFAZ!D517)</f>
        <v/>
      </c>
      <c r="E535" s="7" t="str">
        <f>IF(SEFAZ!E517="","",SEFAZ!E517)</f>
        <v/>
      </c>
      <c r="F535" s="6" t="str">
        <f>IF(SEFAZ!F517="","",VALUE(SUBSTITUTE(SEFAZ!F517,"'","")))</f>
        <v/>
      </c>
      <c r="G535" t="str">
        <f>IF(SEFAZ!H517="","",SEFAZ!H517)</f>
        <v/>
      </c>
      <c r="H535" t="str">
        <f>IF(SEFAZ!L517="","",SEFAZ!L517)</f>
        <v/>
      </c>
      <c r="I535" t="str">
        <f>IF(SEFAZ!N517="","",SEFAZ!N517)</f>
        <v/>
      </c>
      <c r="J535" t="str">
        <f>IF(SEFAZ!O517="","",SEFAZ!O517)</f>
        <v/>
      </c>
      <c r="K535" s="11" t="str">
        <f>IF(SEFAZ!P517="","",SEFAZ!P517)</f>
        <v/>
      </c>
      <c r="L535" t="str" cm="1">
        <f t="array" aca="1" ref="L5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5" t="s">
        <v>35</v>
      </c>
      <c r="O535" s="36" t="str">
        <f>IF(SEFAZ!B517="","",SEFAZ!B517)</f>
        <v/>
      </c>
    </row>
    <row r="536" spans="2:15" x14ac:dyDescent="0.3">
      <c r="B536" t="str">
        <f>IF(SEFAZ!A518="","",SEFAZ!A518)</f>
        <v/>
      </c>
      <c r="C536" t="str">
        <f>IF(SEFAZ!C518="","",SEFAZ!C518)</f>
        <v/>
      </c>
      <c r="D536" t="str">
        <f>IF(SEFAZ!D518="","",SEFAZ!D518)</f>
        <v/>
      </c>
      <c r="E536" s="7" t="str">
        <f>IF(SEFAZ!E518="","",SEFAZ!E518)</f>
        <v/>
      </c>
      <c r="F536" s="6" t="str">
        <f>IF(SEFAZ!F518="","",VALUE(SUBSTITUTE(SEFAZ!F518,"'","")))</f>
        <v/>
      </c>
      <c r="G536" t="str">
        <f>IF(SEFAZ!H518="","",SEFAZ!H518)</f>
        <v/>
      </c>
      <c r="H536" t="str">
        <f>IF(SEFAZ!L518="","",SEFAZ!L518)</f>
        <v/>
      </c>
      <c r="I536" t="str">
        <f>IF(SEFAZ!N518="","",SEFAZ!N518)</f>
        <v/>
      </c>
      <c r="J536" t="str">
        <f>IF(SEFAZ!O518="","",SEFAZ!O518)</f>
        <v/>
      </c>
      <c r="K536" s="11" t="str">
        <f>IF(SEFAZ!P518="","",SEFAZ!P518)</f>
        <v/>
      </c>
      <c r="L536" t="str" cm="1">
        <f t="array" aca="1" ref="L5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6" t="s">
        <v>35</v>
      </c>
      <c r="O536" s="36" t="str">
        <f>IF(SEFAZ!B518="","",SEFAZ!B518)</f>
        <v/>
      </c>
    </row>
    <row r="537" spans="2:15" x14ac:dyDescent="0.3">
      <c r="B537" t="str">
        <f>IF(SEFAZ!A519="","",SEFAZ!A519)</f>
        <v/>
      </c>
      <c r="C537" t="str">
        <f>IF(SEFAZ!C519="","",SEFAZ!C519)</f>
        <v/>
      </c>
      <c r="D537" t="str">
        <f>IF(SEFAZ!D519="","",SEFAZ!D519)</f>
        <v/>
      </c>
      <c r="E537" s="7" t="str">
        <f>IF(SEFAZ!E519="","",SEFAZ!E519)</f>
        <v/>
      </c>
      <c r="F537" s="6" t="str">
        <f>IF(SEFAZ!F519="","",VALUE(SUBSTITUTE(SEFAZ!F519,"'","")))</f>
        <v/>
      </c>
      <c r="G537" t="str">
        <f>IF(SEFAZ!H519="","",SEFAZ!H519)</f>
        <v/>
      </c>
      <c r="H537" t="str">
        <f>IF(SEFAZ!L519="","",SEFAZ!L519)</f>
        <v/>
      </c>
      <c r="I537" t="str">
        <f>IF(SEFAZ!N519="","",SEFAZ!N519)</f>
        <v/>
      </c>
      <c r="J537" t="str">
        <f>IF(SEFAZ!O519="","",SEFAZ!O519)</f>
        <v/>
      </c>
      <c r="K537" s="11" t="str">
        <f>IF(SEFAZ!P519="","",SEFAZ!P519)</f>
        <v/>
      </c>
      <c r="L537" t="str" cm="1">
        <f t="array" aca="1" ref="L5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7" t="s">
        <v>35</v>
      </c>
      <c r="O537" s="36" t="str">
        <f>IF(SEFAZ!B519="","",SEFAZ!B519)</f>
        <v/>
      </c>
    </row>
    <row r="538" spans="2:15" x14ac:dyDescent="0.3">
      <c r="B538" t="str">
        <f>IF(SEFAZ!A520="","",SEFAZ!A520)</f>
        <v/>
      </c>
      <c r="C538" t="str">
        <f>IF(SEFAZ!C520="","",SEFAZ!C520)</f>
        <v/>
      </c>
      <c r="D538" t="str">
        <f>IF(SEFAZ!D520="","",SEFAZ!D520)</f>
        <v/>
      </c>
      <c r="E538" s="7" t="str">
        <f>IF(SEFAZ!E520="","",SEFAZ!E520)</f>
        <v/>
      </c>
      <c r="F538" s="6" t="str">
        <f>IF(SEFAZ!F520="","",VALUE(SUBSTITUTE(SEFAZ!F520,"'","")))</f>
        <v/>
      </c>
      <c r="G538" t="str">
        <f>IF(SEFAZ!H520="","",SEFAZ!H520)</f>
        <v/>
      </c>
      <c r="H538" t="str">
        <f>IF(SEFAZ!L520="","",SEFAZ!L520)</f>
        <v/>
      </c>
      <c r="I538" t="str">
        <f>IF(SEFAZ!N520="","",SEFAZ!N520)</f>
        <v/>
      </c>
      <c r="J538" t="str">
        <f>IF(SEFAZ!O520="","",SEFAZ!O520)</f>
        <v/>
      </c>
      <c r="K538" s="11" t="str">
        <f>IF(SEFAZ!P520="","",SEFAZ!P520)</f>
        <v/>
      </c>
      <c r="L538" t="str" cm="1">
        <f t="array" aca="1" ref="L5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8" t="s">
        <v>35</v>
      </c>
      <c r="O538" s="36" t="str">
        <f>IF(SEFAZ!B520="","",SEFAZ!B520)</f>
        <v/>
      </c>
    </row>
    <row r="539" spans="2:15" x14ac:dyDescent="0.3">
      <c r="B539" t="str">
        <f>IF(SEFAZ!A521="","",SEFAZ!A521)</f>
        <v/>
      </c>
      <c r="C539" t="str">
        <f>IF(SEFAZ!C521="","",SEFAZ!C521)</f>
        <v/>
      </c>
      <c r="D539" t="str">
        <f>IF(SEFAZ!D521="","",SEFAZ!D521)</f>
        <v/>
      </c>
      <c r="E539" s="7" t="str">
        <f>IF(SEFAZ!E521="","",SEFAZ!E521)</f>
        <v/>
      </c>
      <c r="F539" s="6" t="str">
        <f>IF(SEFAZ!F521="","",VALUE(SUBSTITUTE(SEFAZ!F521,"'","")))</f>
        <v/>
      </c>
      <c r="G539" t="str">
        <f>IF(SEFAZ!H521="","",SEFAZ!H521)</f>
        <v/>
      </c>
      <c r="H539" t="str">
        <f>IF(SEFAZ!L521="","",SEFAZ!L521)</f>
        <v/>
      </c>
      <c r="I539" t="str">
        <f>IF(SEFAZ!N521="","",SEFAZ!N521)</f>
        <v/>
      </c>
      <c r="J539" t="str">
        <f>IF(SEFAZ!O521="","",SEFAZ!O521)</f>
        <v/>
      </c>
      <c r="K539" s="11" t="str">
        <f>IF(SEFAZ!P521="","",SEFAZ!P521)</f>
        <v/>
      </c>
      <c r="L539" t="str" cm="1">
        <f t="array" aca="1" ref="L5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39" t="s">
        <v>35</v>
      </c>
      <c r="O539" s="36" t="str">
        <f>IF(SEFAZ!B521="","",SEFAZ!B521)</f>
        <v/>
      </c>
    </row>
    <row r="540" spans="2:15" x14ac:dyDescent="0.3">
      <c r="B540" t="str">
        <f>IF(SEFAZ!A522="","",SEFAZ!A522)</f>
        <v/>
      </c>
      <c r="C540" t="str">
        <f>IF(SEFAZ!C522="","",SEFAZ!C522)</f>
        <v/>
      </c>
      <c r="D540" t="str">
        <f>IF(SEFAZ!D522="","",SEFAZ!D522)</f>
        <v/>
      </c>
      <c r="E540" s="7" t="str">
        <f>IF(SEFAZ!E522="","",SEFAZ!E522)</f>
        <v/>
      </c>
      <c r="F540" s="6" t="str">
        <f>IF(SEFAZ!F522="","",VALUE(SUBSTITUTE(SEFAZ!F522,"'","")))</f>
        <v/>
      </c>
      <c r="G540" t="str">
        <f>IF(SEFAZ!H522="","",SEFAZ!H522)</f>
        <v/>
      </c>
      <c r="H540" t="str">
        <f>IF(SEFAZ!L522="","",SEFAZ!L522)</f>
        <v/>
      </c>
      <c r="I540" t="str">
        <f>IF(SEFAZ!N522="","",SEFAZ!N522)</f>
        <v/>
      </c>
      <c r="J540" t="str">
        <f>IF(SEFAZ!O522="","",SEFAZ!O522)</f>
        <v/>
      </c>
      <c r="K540" s="11" t="str">
        <f>IF(SEFAZ!P522="","",SEFAZ!P522)</f>
        <v/>
      </c>
      <c r="L540" t="str" cm="1">
        <f t="array" aca="1" ref="L5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0" t="s">
        <v>35</v>
      </c>
      <c r="O540" s="36" t="str">
        <f>IF(SEFAZ!B522="","",SEFAZ!B522)</f>
        <v/>
      </c>
    </row>
    <row r="541" spans="2:15" x14ac:dyDescent="0.3">
      <c r="B541" t="str">
        <f>IF(SEFAZ!A523="","",SEFAZ!A523)</f>
        <v/>
      </c>
      <c r="C541" t="str">
        <f>IF(SEFAZ!C523="","",SEFAZ!C523)</f>
        <v/>
      </c>
      <c r="D541" t="str">
        <f>IF(SEFAZ!D523="","",SEFAZ!D523)</f>
        <v/>
      </c>
      <c r="E541" s="7" t="str">
        <f>IF(SEFAZ!E523="","",SEFAZ!E523)</f>
        <v/>
      </c>
      <c r="F541" s="6" t="str">
        <f>IF(SEFAZ!F523="","",VALUE(SUBSTITUTE(SEFAZ!F523,"'","")))</f>
        <v/>
      </c>
      <c r="G541" t="str">
        <f>IF(SEFAZ!H523="","",SEFAZ!H523)</f>
        <v/>
      </c>
      <c r="H541" t="str">
        <f>IF(SEFAZ!L523="","",SEFAZ!L523)</f>
        <v/>
      </c>
      <c r="I541" t="str">
        <f>IF(SEFAZ!N523="","",SEFAZ!N523)</f>
        <v/>
      </c>
      <c r="J541" t="str">
        <f>IF(SEFAZ!O523="","",SEFAZ!O523)</f>
        <v/>
      </c>
      <c r="K541" s="11" t="str">
        <f>IF(SEFAZ!P523="","",SEFAZ!P523)</f>
        <v/>
      </c>
      <c r="L541" t="str" cm="1">
        <f t="array" aca="1" ref="L5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1" t="s">
        <v>35</v>
      </c>
      <c r="O541" s="36" t="str">
        <f>IF(SEFAZ!B523="","",SEFAZ!B523)</f>
        <v/>
      </c>
    </row>
    <row r="542" spans="2:15" x14ac:dyDescent="0.3">
      <c r="B542" t="str">
        <f>IF(SEFAZ!A524="","",SEFAZ!A524)</f>
        <v/>
      </c>
      <c r="C542" t="str">
        <f>IF(SEFAZ!C524="","",SEFAZ!C524)</f>
        <v/>
      </c>
      <c r="D542" t="str">
        <f>IF(SEFAZ!D524="","",SEFAZ!D524)</f>
        <v/>
      </c>
      <c r="E542" s="7" t="str">
        <f>IF(SEFAZ!E524="","",SEFAZ!E524)</f>
        <v/>
      </c>
      <c r="F542" s="6" t="str">
        <f>IF(SEFAZ!F524="","",VALUE(SUBSTITUTE(SEFAZ!F524,"'","")))</f>
        <v/>
      </c>
      <c r="G542" t="str">
        <f>IF(SEFAZ!H524="","",SEFAZ!H524)</f>
        <v/>
      </c>
      <c r="H542" t="str">
        <f>IF(SEFAZ!L524="","",SEFAZ!L524)</f>
        <v/>
      </c>
      <c r="I542" t="str">
        <f>IF(SEFAZ!N524="","",SEFAZ!N524)</f>
        <v/>
      </c>
      <c r="J542" t="str">
        <f>IF(SEFAZ!O524="","",SEFAZ!O524)</f>
        <v/>
      </c>
      <c r="K542" s="11" t="str">
        <f>IF(SEFAZ!P524="","",SEFAZ!P524)</f>
        <v/>
      </c>
      <c r="L542" t="str" cm="1">
        <f t="array" aca="1" ref="L5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2" t="s">
        <v>35</v>
      </c>
      <c r="O542" s="36" t="str">
        <f>IF(SEFAZ!B524="","",SEFAZ!B524)</f>
        <v/>
      </c>
    </row>
    <row r="543" spans="2:15" x14ac:dyDescent="0.3">
      <c r="B543" t="str">
        <f>IF(SEFAZ!A525="","",SEFAZ!A525)</f>
        <v/>
      </c>
      <c r="C543" t="str">
        <f>IF(SEFAZ!C525="","",SEFAZ!C525)</f>
        <v/>
      </c>
      <c r="D543" t="str">
        <f>IF(SEFAZ!D525="","",SEFAZ!D525)</f>
        <v/>
      </c>
      <c r="E543" s="7" t="str">
        <f>IF(SEFAZ!E525="","",SEFAZ!E525)</f>
        <v/>
      </c>
      <c r="F543" s="6" t="str">
        <f>IF(SEFAZ!F525="","",VALUE(SUBSTITUTE(SEFAZ!F525,"'","")))</f>
        <v/>
      </c>
      <c r="G543" t="str">
        <f>IF(SEFAZ!H525="","",SEFAZ!H525)</f>
        <v/>
      </c>
      <c r="H543" t="str">
        <f>IF(SEFAZ!L525="","",SEFAZ!L525)</f>
        <v/>
      </c>
      <c r="I543" t="str">
        <f>IF(SEFAZ!N525="","",SEFAZ!N525)</f>
        <v/>
      </c>
      <c r="J543" t="str">
        <f>IF(SEFAZ!O525="","",SEFAZ!O525)</f>
        <v/>
      </c>
      <c r="K543" s="11" t="str">
        <f>IF(SEFAZ!P525="","",SEFAZ!P525)</f>
        <v/>
      </c>
      <c r="L543" t="str" cm="1">
        <f t="array" aca="1" ref="L5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3" t="s">
        <v>35</v>
      </c>
      <c r="O543" s="36" t="str">
        <f>IF(SEFAZ!B525="","",SEFAZ!B525)</f>
        <v/>
      </c>
    </row>
    <row r="544" spans="2:15" x14ac:dyDescent="0.3">
      <c r="B544" t="str">
        <f>IF(SEFAZ!A526="","",SEFAZ!A526)</f>
        <v/>
      </c>
      <c r="C544" t="str">
        <f>IF(SEFAZ!C526="","",SEFAZ!C526)</f>
        <v/>
      </c>
      <c r="D544" t="str">
        <f>IF(SEFAZ!D526="","",SEFAZ!D526)</f>
        <v/>
      </c>
      <c r="E544" s="7" t="str">
        <f>IF(SEFAZ!E526="","",SEFAZ!E526)</f>
        <v/>
      </c>
      <c r="F544" s="6" t="str">
        <f>IF(SEFAZ!F526="","",VALUE(SUBSTITUTE(SEFAZ!F526,"'","")))</f>
        <v/>
      </c>
      <c r="G544" t="str">
        <f>IF(SEFAZ!H526="","",SEFAZ!H526)</f>
        <v/>
      </c>
      <c r="H544" t="str">
        <f>IF(SEFAZ!L526="","",SEFAZ!L526)</f>
        <v/>
      </c>
      <c r="I544" t="str">
        <f>IF(SEFAZ!N526="","",SEFAZ!N526)</f>
        <v/>
      </c>
      <c r="J544" t="str">
        <f>IF(SEFAZ!O526="","",SEFAZ!O526)</f>
        <v/>
      </c>
      <c r="K544" s="11" t="str">
        <f>IF(SEFAZ!P526="","",SEFAZ!P526)</f>
        <v/>
      </c>
      <c r="L544" t="str" cm="1">
        <f t="array" aca="1" ref="L5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4" t="s">
        <v>35</v>
      </c>
      <c r="O544" s="36" t="str">
        <f>IF(SEFAZ!B526="","",SEFAZ!B526)</f>
        <v/>
      </c>
    </row>
    <row r="545" spans="2:15" x14ac:dyDescent="0.3">
      <c r="B545" t="str">
        <f>IF(SEFAZ!A527="","",SEFAZ!A527)</f>
        <v/>
      </c>
      <c r="C545" t="str">
        <f>IF(SEFAZ!C527="","",SEFAZ!C527)</f>
        <v/>
      </c>
      <c r="D545" t="str">
        <f>IF(SEFAZ!D527="","",SEFAZ!D527)</f>
        <v/>
      </c>
      <c r="E545" s="7" t="str">
        <f>IF(SEFAZ!E527="","",SEFAZ!E527)</f>
        <v/>
      </c>
      <c r="F545" s="6" t="str">
        <f>IF(SEFAZ!F527="","",VALUE(SUBSTITUTE(SEFAZ!F527,"'","")))</f>
        <v/>
      </c>
      <c r="G545" t="str">
        <f>IF(SEFAZ!H527="","",SEFAZ!H527)</f>
        <v/>
      </c>
      <c r="H545" t="str">
        <f>IF(SEFAZ!L527="","",SEFAZ!L527)</f>
        <v/>
      </c>
      <c r="I545" t="str">
        <f>IF(SEFAZ!N527="","",SEFAZ!N527)</f>
        <v/>
      </c>
      <c r="J545" t="str">
        <f>IF(SEFAZ!O527="","",SEFAZ!O527)</f>
        <v/>
      </c>
      <c r="K545" s="11" t="str">
        <f>IF(SEFAZ!P527="","",SEFAZ!P527)</f>
        <v/>
      </c>
      <c r="L545" t="str" cm="1">
        <f t="array" aca="1" ref="L5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5" t="s">
        <v>35</v>
      </c>
      <c r="O545" s="36" t="str">
        <f>IF(SEFAZ!B527="","",SEFAZ!B527)</f>
        <v/>
      </c>
    </row>
    <row r="546" spans="2:15" x14ac:dyDescent="0.3">
      <c r="B546" t="str">
        <f>IF(SEFAZ!A528="","",SEFAZ!A528)</f>
        <v/>
      </c>
      <c r="C546" t="str">
        <f>IF(SEFAZ!C528="","",SEFAZ!C528)</f>
        <v/>
      </c>
      <c r="D546" t="str">
        <f>IF(SEFAZ!D528="","",SEFAZ!D528)</f>
        <v/>
      </c>
      <c r="E546" s="7" t="str">
        <f>IF(SEFAZ!E528="","",SEFAZ!E528)</f>
        <v/>
      </c>
      <c r="F546" s="6" t="str">
        <f>IF(SEFAZ!F528="","",VALUE(SUBSTITUTE(SEFAZ!F528,"'","")))</f>
        <v/>
      </c>
      <c r="G546" t="str">
        <f>IF(SEFAZ!H528="","",SEFAZ!H528)</f>
        <v/>
      </c>
      <c r="H546" t="str">
        <f>IF(SEFAZ!L528="","",SEFAZ!L528)</f>
        <v/>
      </c>
      <c r="I546" t="str">
        <f>IF(SEFAZ!N528="","",SEFAZ!N528)</f>
        <v/>
      </c>
      <c r="J546" t="str">
        <f>IF(SEFAZ!O528="","",SEFAZ!O528)</f>
        <v/>
      </c>
      <c r="K546" s="11" t="str">
        <f>IF(SEFAZ!P528="","",SEFAZ!P528)</f>
        <v/>
      </c>
      <c r="L546" t="str" cm="1">
        <f t="array" aca="1" ref="L5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6" t="s">
        <v>35</v>
      </c>
      <c r="O546" s="36" t="str">
        <f>IF(SEFAZ!B528="","",SEFAZ!B528)</f>
        <v/>
      </c>
    </row>
    <row r="547" spans="2:15" x14ac:dyDescent="0.3">
      <c r="B547" t="str">
        <f>IF(SEFAZ!A529="","",SEFAZ!A529)</f>
        <v/>
      </c>
      <c r="C547" t="str">
        <f>IF(SEFAZ!C529="","",SEFAZ!C529)</f>
        <v/>
      </c>
      <c r="D547" t="str">
        <f>IF(SEFAZ!D529="","",SEFAZ!D529)</f>
        <v/>
      </c>
      <c r="E547" s="7" t="str">
        <f>IF(SEFAZ!E529="","",SEFAZ!E529)</f>
        <v/>
      </c>
      <c r="F547" s="6" t="str">
        <f>IF(SEFAZ!F529="","",VALUE(SUBSTITUTE(SEFAZ!F529,"'","")))</f>
        <v/>
      </c>
      <c r="G547" t="str">
        <f>IF(SEFAZ!H529="","",SEFAZ!H529)</f>
        <v/>
      </c>
      <c r="H547" t="str">
        <f>IF(SEFAZ!L529="","",SEFAZ!L529)</f>
        <v/>
      </c>
      <c r="I547" t="str">
        <f>IF(SEFAZ!N529="","",SEFAZ!N529)</f>
        <v/>
      </c>
      <c r="J547" t="str">
        <f>IF(SEFAZ!O529="","",SEFAZ!O529)</f>
        <v/>
      </c>
      <c r="K547" s="11" t="str">
        <f>IF(SEFAZ!P529="","",SEFAZ!P529)</f>
        <v/>
      </c>
      <c r="L547" t="str" cm="1">
        <f t="array" aca="1" ref="L5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7" t="s">
        <v>35</v>
      </c>
      <c r="O547" s="36" t="str">
        <f>IF(SEFAZ!B529="","",SEFAZ!B529)</f>
        <v/>
      </c>
    </row>
    <row r="548" spans="2:15" x14ac:dyDescent="0.3">
      <c r="B548" t="str">
        <f>IF(SEFAZ!A530="","",SEFAZ!A530)</f>
        <v/>
      </c>
      <c r="C548" t="str">
        <f>IF(SEFAZ!C530="","",SEFAZ!C530)</f>
        <v/>
      </c>
      <c r="D548" t="str">
        <f>IF(SEFAZ!D530="","",SEFAZ!D530)</f>
        <v/>
      </c>
      <c r="E548" s="7" t="str">
        <f>IF(SEFAZ!E530="","",SEFAZ!E530)</f>
        <v/>
      </c>
      <c r="F548" s="6" t="str">
        <f>IF(SEFAZ!F530="","",VALUE(SUBSTITUTE(SEFAZ!F530,"'","")))</f>
        <v/>
      </c>
      <c r="G548" t="str">
        <f>IF(SEFAZ!H530="","",SEFAZ!H530)</f>
        <v/>
      </c>
      <c r="H548" t="str">
        <f>IF(SEFAZ!L530="","",SEFAZ!L530)</f>
        <v/>
      </c>
      <c r="I548" t="str">
        <f>IF(SEFAZ!N530="","",SEFAZ!N530)</f>
        <v/>
      </c>
      <c r="J548" t="str">
        <f>IF(SEFAZ!O530="","",SEFAZ!O530)</f>
        <v/>
      </c>
      <c r="K548" s="11" t="str">
        <f>IF(SEFAZ!P530="","",SEFAZ!P530)</f>
        <v/>
      </c>
      <c r="L548" t="str" cm="1">
        <f t="array" aca="1" ref="L5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8" t="s">
        <v>35</v>
      </c>
      <c r="O548" s="36" t="str">
        <f>IF(SEFAZ!B530="","",SEFAZ!B530)</f>
        <v/>
      </c>
    </row>
    <row r="549" spans="2:15" x14ac:dyDescent="0.3">
      <c r="B549" t="str">
        <f>IF(SEFAZ!A531="","",SEFAZ!A531)</f>
        <v/>
      </c>
      <c r="C549" t="str">
        <f>IF(SEFAZ!C531="","",SEFAZ!C531)</f>
        <v/>
      </c>
      <c r="D549" t="str">
        <f>IF(SEFAZ!D531="","",SEFAZ!D531)</f>
        <v/>
      </c>
      <c r="E549" s="7" t="str">
        <f>IF(SEFAZ!E531="","",SEFAZ!E531)</f>
        <v/>
      </c>
      <c r="F549" s="6" t="str">
        <f>IF(SEFAZ!F531="","",VALUE(SUBSTITUTE(SEFAZ!F531,"'","")))</f>
        <v/>
      </c>
      <c r="G549" t="str">
        <f>IF(SEFAZ!H531="","",SEFAZ!H531)</f>
        <v/>
      </c>
      <c r="H549" t="str">
        <f>IF(SEFAZ!L531="","",SEFAZ!L531)</f>
        <v/>
      </c>
      <c r="I549" t="str">
        <f>IF(SEFAZ!N531="","",SEFAZ!N531)</f>
        <v/>
      </c>
      <c r="J549" t="str">
        <f>IF(SEFAZ!O531="","",SEFAZ!O531)</f>
        <v/>
      </c>
      <c r="K549" s="11" t="str">
        <f>IF(SEFAZ!P531="","",SEFAZ!P531)</f>
        <v/>
      </c>
      <c r="L549" t="str" cm="1">
        <f t="array" aca="1" ref="L5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49" t="s">
        <v>35</v>
      </c>
      <c r="O549" s="36" t="str">
        <f>IF(SEFAZ!B531="","",SEFAZ!B531)</f>
        <v/>
      </c>
    </row>
    <row r="550" spans="2:15" x14ac:dyDescent="0.3">
      <c r="B550" t="str">
        <f>IF(SEFAZ!A532="","",SEFAZ!A532)</f>
        <v/>
      </c>
      <c r="C550" t="str">
        <f>IF(SEFAZ!C532="","",SEFAZ!C532)</f>
        <v/>
      </c>
      <c r="D550" t="str">
        <f>IF(SEFAZ!D532="","",SEFAZ!D532)</f>
        <v/>
      </c>
      <c r="E550" s="7" t="str">
        <f>IF(SEFAZ!E532="","",SEFAZ!E532)</f>
        <v/>
      </c>
      <c r="F550" s="6" t="str">
        <f>IF(SEFAZ!F532="","",VALUE(SUBSTITUTE(SEFAZ!F532,"'","")))</f>
        <v/>
      </c>
      <c r="G550" t="str">
        <f>IF(SEFAZ!H532="","",SEFAZ!H532)</f>
        <v/>
      </c>
      <c r="H550" t="str">
        <f>IF(SEFAZ!L532="","",SEFAZ!L532)</f>
        <v/>
      </c>
      <c r="I550" t="str">
        <f>IF(SEFAZ!N532="","",SEFAZ!N532)</f>
        <v/>
      </c>
      <c r="J550" t="str">
        <f>IF(SEFAZ!O532="","",SEFAZ!O532)</f>
        <v/>
      </c>
      <c r="K550" s="11" t="str">
        <f>IF(SEFAZ!P532="","",SEFAZ!P532)</f>
        <v/>
      </c>
      <c r="L550" t="str" cm="1">
        <f t="array" aca="1" ref="L5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0" t="s">
        <v>35</v>
      </c>
      <c r="O550" s="36" t="str">
        <f>IF(SEFAZ!B532="","",SEFAZ!B532)</f>
        <v/>
      </c>
    </row>
    <row r="551" spans="2:15" x14ac:dyDescent="0.3">
      <c r="B551" t="str">
        <f>IF(SEFAZ!A533="","",SEFAZ!A533)</f>
        <v/>
      </c>
      <c r="C551" t="str">
        <f>IF(SEFAZ!C533="","",SEFAZ!C533)</f>
        <v/>
      </c>
      <c r="D551" t="str">
        <f>IF(SEFAZ!D533="","",SEFAZ!D533)</f>
        <v/>
      </c>
      <c r="E551" s="7" t="str">
        <f>IF(SEFAZ!E533="","",SEFAZ!E533)</f>
        <v/>
      </c>
      <c r="F551" s="6" t="str">
        <f>IF(SEFAZ!F533="","",VALUE(SUBSTITUTE(SEFAZ!F533,"'","")))</f>
        <v/>
      </c>
      <c r="G551" t="str">
        <f>IF(SEFAZ!H533="","",SEFAZ!H533)</f>
        <v/>
      </c>
      <c r="H551" t="str">
        <f>IF(SEFAZ!L533="","",SEFAZ!L533)</f>
        <v/>
      </c>
      <c r="I551" t="str">
        <f>IF(SEFAZ!N533="","",SEFAZ!N533)</f>
        <v/>
      </c>
      <c r="J551" t="str">
        <f>IF(SEFAZ!O533="","",SEFAZ!O533)</f>
        <v/>
      </c>
      <c r="K551" s="11" t="str">
        <f>IF(SEFAZ!P533="","",SEFAZ!P533)</f>
        <v/>
      </c>
      <c r="L551" t="str" cm="1">
        <f t="array" aca="1" ref="L5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1" t="s">
        <v>35</v>
      </c>
      <c r="O551" s="36" t="str">
        <f>IF(SEFAZ!B533="","",SEFAZ!B533)</f>
        <v/>
      </c>
    </row>
    <row r="552" spans="2:15" x14ac:dyDescent="0.3">
      <c r="B552" t="str">
        <f>IF(SEFAZ!A534="","",SEFAZ!A534)</f>
        <v/>
      </c>
      <c r="C552" t="str">
        <f>IF(SEFAZ!C534="","",SEFAZ!C534)</f>
        <v/>
      </c>
      <c r="D552" t="str">
        <f>IF(SEFAZ!D534="","",SEFAZ!D534)</f>
        <v/>
      </c>
      <c r="E552" s="7" t="str">
        <f>IF(SEFAZ!E534="","",SEFAZ!E534)</f>
        <v/>
      </c>
      <c r="F552" s="6" t="str">
        <f>IF(SEFAZ!F534="","",VALUE(SUBSTITUTE(SEFAZ!F534,"'","")))</f>
        <v/>
      </c>
      <c r="G552" t="str">
        <f>IF(SEFAZ!H534="","",SEFAZ!H534)</f>
        <v/>
      </c>
      <c r="H552" t="str">
        <f>IF(SEFAZ!L534="","",SEFAZ!L534)</f>
        <v/>
      </c>
      <c r="I552" t="str">
        <f>IF(SEFAZ!N534="","",SEFAZ!N534)</f>
        <v/>
      </c>
      <c r="J552" t="str">
        <f>IF(SEFAZ!O534="","",SEFAZ!O534)</f>
        <v/>
      </c>
      <c r="K552" s="11" t="str">
        <f>IF(SEFAZ!P534="","",SEFAZ!P534)</f>
        <v/>
      </c>
      <c r="L552" t="str" cm="1">
        <f t="array" aca="1" ref="L5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2" t="s">
        <v>35</v>
      </c>
      <c r="O552" s="36" t="str">
        <f>IF(SEFAZ!B534="","",SEFAZ!B534)</f>
        <v/>
      </c>
    </row>
    <row r="553" spans="2:15" x14ac:dyDescent="0.3">
      <c r="B553" t="str">
        <f>IF(SEFAZ!A535="","",SEFAZ!A535)</f>
        <v/>
      </c>
      <c r="C553" t="str">
        <f>IF(SEFAZ!C535="","",SEFAZ!C535)</f>
        <v/>
      </c>
      <c r="D553" t="str">
        <f>IF(SEFAZ!D535="","",SEFAZ!D535)</f>
        <v/>
      </c>
      <c r="E553" s="7" t="str">
        <f>IF(SEFAZ!E535="","",SEFAZ!E535)</f>
        <v/>
      </c>
      <c r="F553" s="6" t="str">
        <f>IF(SEFAZ!F535="","",VALUE(SUBSTITUTE(SEFAZ!F535,"'","")))</f>
        <v/>
      </c>
      <c r="G553" t="str">
        <f>IF(SEFAZ!H535="","",SEFAZ!H535)</f>
        <v/>
      </c>
      <c r="H553" t="str">
        <f>IF(SEFAZ!L535="","",SEFAZ!L535)</f>
        <v/>
      </c>
      <c r="I553" t="str">
        <f>IF(SEFAZ!N535="","",SEFAZ!N535)</f>
        <v/>
      </c>
      <c r="J553" t="str">
        <f>IF(SEFAZ!O535="","",SEFAZ!O535)</f>
        <v/>
      </c>
      <c r="K553" s="11" t="str">
        <f>IF(SEFAZ!P535="","",SEFAZ!P535)</f>
        <v/>
      </c>
      <c r="L553" t="str" cm="1">
        <f t="array" aca="1" ref="L5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3" t="s">
        <v>35</v>
      </c>
      <c r="O553" s="36" t="str">
        <f>IF(SEFAZ!B535="","",SEFAZ!B535)</f>
        <v/>
      </c>
    </row>
    <row r="554" spans="2:15" x14ac:dyDescent="0.3">
      <c r="B554" t="str">
        <f>IF(SEFAZ!A536="","",SEFAZ!A536)</f>
        <v/>
      </c>
      <c r="C554" t="str">
        <f>IF(SEFAZ!C536="","",SEFAZ!C536)</f>
        <v/>
      </c>
      <c r="D554" t="str">
        <f>IF(SEFAZ!D536="","",SEFAZ!D536)</f>
        <v/>
      </c>
      <c r="E554" s="7" t="str">
        <f>IF(SEFAZ!E536="","",SEFAZ!E536)</f>
        <v/>
      </c>
      <c r="F554" s="6" t="str">
        <f>IF(SEFAZ!F536="","",VALUE(SUBSTITUTE(SEFAZ!F536,"'","")))</f>
        <v/>
      </c>
      <c r="G554" t="str">
        <f>IF(SEFAZ!H536="","",SEFAZ!H536)</f>
        <v/>
      </c>
      <c r="H554" t="str">
        <f>IF(SEFAZ!L536="","",SEFAZ!L536)</f>
        <v/>
      </c>
      <c r="I554" t="str">
        <f>IF(SEFAZ!N536="","",SEFAZ!N536)</f>
        <v/>
      </c>
      <c r="J554" t="str">
        <f>IF(SEFAZ!O536="","",SEFAZ!O536)</f>
        <v/>
      </c>
      <c r="K554" s="11" t="str">
        <f>IF(SEFAZ!P536="","",SEFAZ!P536)</f>
        <v/>
      </c>
      <c r="L554" t="str" cm="1">
        <f t="array" aca="1" ref="L5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4" t="s">
        <v>35</v>
      </c>
      <c r="O554" s="36" t="str">
        <f>IF(SEFAZ!B536="","",SEFAZ!B536)</f>
        <v/>
      </c>
    </row>
    <row r="555" spans="2:15" x14ac:dyDescent="0.3">
      <c r="B555" t="str">
        <f>IF(SEFAZ!A537="","",SEFAZ!A537)</f>
        <v/>
      </c>
      <c r="C555" t="str">
        <f>IF(SEFAZ!C537="","",SEFAZ!C537)</f>
        <v/>
      </c>
      <c r="D555" t="str">
        <f>IF(SEFAZ!D537="","",SEFAZ!D537)</f>
        <v/>
      </c>
      <c r="E555" s="7" t="str">
        <f>IF(SEFAZ!E537="","",SEFAZ!E537)</f>
        <v/>
      </c>
      <c r="F555" s="6" t="str">
        <f>IF(SEFAZ!F537="","",VALUE(SUBSTITUTE(SEFAZ!F537,"'","")))</f>
        <v/>
      </c>
      <c r="G555" t="str">
        <f>IF(SEFAZ!H537="","",SEFAZ!H537)</f>
        <v/>
      </c>
      <c r="H555" t="str">
        <f>IF(SEFAZ!L537="","",SEFAZ!L537)</f>
        <v/>
      </c>
      <c r="I555" t="str">
        <f>IF(SEFAZ!N537="","",SEFAZ!N537)</f>
        <v/>
      </c>
      <c r="J555" t="str">
        <f>IF(SEFAZ!O537="","",SEFAZ!O537)</f>
        <v/>
      </c>
      <c r="K555" s="11" t="str">
        <f>IF(SEFAZ!P537="","",SEFAZ!P537)</f>
        <v/>
      </c>
      <c r="L555" t="str" cm="1">
        <f t="array" aca="1" ref="L5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5" t="s">
        <v>35</v>
      </c>
      <c r="O555" s="36" t="str">
        <f>IF(SEFAZ!B537="","",SEFAZ!B537)</f>
        <v/>
      </c>
    </row>
    <row r="556" spans="2:15" x14ac:dyDescent="0.3">
      <c r="B556" t="str">
        <f>IF(SEFAZ!A538="","",SEFAZ!A538)</f>
        <v/>
      </c>
      <c r="C556" t="str">
        <f>IF(SEFAZ!C538="","",SEFAZ!C538)</f>
        <v/>
      </c>
      <c r="D556" t="str">
        <f>IF(SEFAZ!D538="","",SEFAZ!D538)</f>
        <v/>
      </c>
      <c r="E556" s="7" t="str">
        <f>IF(SEFAZ!E538="","",SEFAZ!E538)</f>
        <v/>
      </c>
      <c r="F556" s="6" t="str">
        <f>IF(SEFAZ!F538="","",VALUE(SUBSTITUTE(SEFAZ!F538,"'","")))</f>
        <v/>
      </c>
      <c r="G556" t="str">
        <f>IF(SEFAZ!H538="","",SEFAZ!H538)</f>
        <v/>
      </c>
      <c r="H556" t="str">
        <f>IF(SEFAZ!L538="","",SEFAZ!L538)</f>
        <v/>
      </c>
      <c r="I556" t="str">
        <f>IF(SEFAZ!N538="","",SEFAZ!N538)</f>
        <v/>
      </c>
      <c r="J556" t="str">
        <f>IF(SEFAZ!O538="","",SEFAZ!O538)</f>
        <v/>
      </c>
      <c r="K556" s="11" t="str">
        <f>IF(SEFAZ!P538="","",SEFAZ!P538)</f>
        <v/>
      </c>
      <c r="L556" t="str" cm="1">
        <f t="array" aca="1" ref="L5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6" t="s">
        <v>35</v>
      </c>
      <c r="O556" s="36" t="str">
        <f>IF(SEFAZ!B538="","",SEFAZ!B538)</f>
        <v/>
      </c>
    </row>
    <row r="557" spans="2:15" x14ac:dyDescent="0.3">
      <c r="B557" t="str">
        <f>IF(SEFAZ!A539="","",SEFAZ!A539)</f>
        <v/>
      </c>
      <c r="C557" t="str">
        <f>IF(SEFAZ!C539="","",SEFAZ!C539)</f>
        <v/>
      </c>
      <c r="D557" t="str">
        <f>IF(SEFAZ!D539="","",SEFAZ!D539)</f>
        <v/>
      </c>
      <c r="E557" s="7" t="str">
        <f>IF(SEFAZ!E539="","",SEFAZ!E539)</f>
        <v/>
      </c>
      <c r="F557" s="6" t="str">
        <f>IF(SEFAZ!F539="","",VALUE(SUBSTITUTE(SEFAZ!F539,"'","")))</f>
        <v/>
      </c>
      <c r="G557" t="str">
        <f>IF(SEFAZ!H539="","",SEFAZ!H539)</f>
        <v/>
      </c>
      <c r="H557" t="str">
        <f>IF(SEFAZ!L539="","",SEFAZ!L539)</f>
        <v/>
      </c>
      <c r="I557" t="str">
        <f>IF(SEFAZ!N539="","",SEFAZ!N539)</f>
        <v/>
      </c>
      <c r="J557" t="str">
        <f>IF(SEFAZ!O539="","",SEFAZ!O539)</f>
        <v/>
      </c>
      <c r="K557" s="11" t="str">
        <f>IF(SEFAZ!P539="","",SEFAZ!P539)</f>
        <v/>
      </c>
      <c r="L557" t="str" cm="1">
        <f t="array" aca="1" ref="L5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7" t="s">
        <v>35</v>
      </c>
      <c r="O557" s="36" t="str">
        <f>IF(SEFAZ!B539="","",SEFAZ!B539)</f>
        <v/>
      </c>
    </row>
    <row r="558" spans="2:15" x14ac:dyDescent="0.3">
      <c r="B558" t="str">
        <f>IF(SEFAZ!A540="","",SEFAZ!A540)</f>
        <v/>
      </c>
      <c r="C558" t="str">
        <f>IF(SEFAZ!C540="","",SEFAZ!C540)</f>
        <v/>
      </c>
      <c r="D558" t="str">
        <f>IF(SEFAZ!D540="","",SEFAZ!D540)</f>
        <v/>
      </c>
      <c r="E558" s="7" t="str">
        <f>IF(SEFAZ!E540="","",SEFAZ!E540)</f>
        <v/>
      </c>
      <c r="F558" s="6" t="str">
        <f>IF(SEFAZ!F540="","",VALUE(SUBSTITUTE(SEFAZ!F540,"'","")))</f>
        <v/>
      </c>
      <c r="G558" t="str">
        <f>IF(SEFAZ!H540="","",SEFAZ!H540)</f>
        <v/>
      </c>
      <c r="H558" t="str">
        <f>IF(SEFAZ!L540="","",SEFAZ!L540)</f>
        <v/>
      </c>
      <c r="I558" t="str">
        <f>IF(SEFAZ!N540="","",SEFAZ!N540)</f>
        <v/>
      </c>
      <c r="J558" t="str">
        <f>IF(SEFAZ!O540="","",SEFAZ!O540)</f>
        <v/>
      </c>
      <c r="K558" s="11" t="str">
        <f>IF(SEFAZ!P540="","",SEFAZ!P540)</f>
        <v/>
      </c>
      <c r="L558" t="str" cm="1">
        <f t="array" aca="1" ref="L5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8" t="s">
        <v>35</v>
      </c>
      <c r="O558" s="36" t="str">
        <f>IF(SEFAZ!B540="","",SEFAZ!B540)</f>
        <v/>
      </c>
    </row>
    <row r="559" spans="2:15" x14ac:dyDescent="0.3">
      <c r="B559" t="str">
        <f>IF(SEFAZ!A541="","",SEFAZ!A541)</f>
        <v/>
      </c>
      <c r="C559" t="str">
        <f>IF(SEFAZ!C541="","",SEFAZ!C541)</f>
        <v/>
      </c>
      <c r="D559" t="str">
        <f>IF(SEFAZ!D541="","",SEFAZ!D541)</f>
        <v/>
      </c>
      <c r="E559" s="7" t="str">
        <f>IF(SEFAZ!E541="","",SEFAZ!E541)</f>
        <v/>
      </c>
      <c r="F559" s="6" t="str">
        <f>IF(SEFAZ!F541="","",VALUE(SUBSTITUTE(SEFAZ!F541,"'","")))</f>
        <v/>
      </c>
      <c r="G559" t="str">
        <f>IF(SEFAZ!H541="","",SEFAZ!H541)</f>
        <v/>
      </c>
      <c r="H559" t="str">
        <f>IF(SEFAZ!L541="","",SEFAZ!L541)</f>
        <v/>
      </c>
      <c r="I559" t="str">
        <f>IF(SEFAZ!N541="","",SEFAZ!N541)</f>
        <v/>
      </c>
      <c r="J559" t="str">
        <f>IF(SEFAZ!O541="","",SEFAZ!O541)</f>
        <v/>
      </c>
      <c r="K559" s="11" t="str">
        <f>IF(SEFAZ!P541="","",SEFAZ!P541)</f>
        <v/>
      </c>
      <c r="L559" t="str" cm="1">
        <f t="array" aca="1" ref="L5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59" t="s">
        <v>35</v>
      </c>
      <c r="O559" s="36" t="str">
        <f>IF(SEFAZ!B541="","",SEFAZ!B541)</f>
        <v/>
      </c>
    </row>
    <row r="560" spans="2:15" x14ac:dyDescent="0.3">
      <c r="B560" t="str">
        <f>IF(SEFAZ!A542="","",SEFAZ!A542)</f>
        <v/>
      </c>
      <c r="C560" t="str">
        <f>IF(SEFAZ!C542="","",SEFAZ!C542)</f>
        <v/>
      </c>
      <c r="D560" t="str">
        <f>IF(SEFAZ!D542="","",SEFAZ!D542)</f>
        <v/>
      </c>
      <c r="E560" s="7" t="str">
        <f>IF(SEFAZ!E542="","",SEFAZ!E542)</f>
        <v/>
      </c>
      <c r="F560" s="6" t="str">
        <f>IF(SEFAZ!F542="","",VALUE(SUBSTITUTE(SEFAZ!F542,"'","")))</f>
        <v/>
      </c>
      <c r="G560" t="str">
        <f>IF(SEFAZ!H542="","",SEFAZ!H542)</f>
        <v/>
      </c>
      <c r="H560" t="str">
        <f>IF(SEFAZ!L542="","",SEFAZ!L542)</f>
        <v/>
      </c>
      <c r="I560" t="str">
        <f>IF(SEFAZ!N542="","",SEFAZ!N542)</f>
        <v/>
      </c>
      <c r="J560" t="str">
        <f>IF(SEFAZ!O542="","",SEFAZ!O542)</f>
        <v/>
      </c>
      <c r="K560" s="11" t="str">
        <f>IF(SEFAZ!P542="","",SEFAZ!P542)</f>
        <v/>
      </c>
      <c r="L560" t="str" cm="1">
        <f t="array" aca="1" ref="L5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0" t="s">
        <v>35</v>
      </c>
      <c r="O560" s="36" t="str">
        <f>IF(SEFAZ!B542="","",SEFAZ!B542)</f>
        <v/>
      </c>
    </row>
    <row r="561" spans="2:15" x14ac:dyDescent="0.3">
      <c r="B561" t="str">
        <f>IF(SEFAZ!A543="","",SEFAZ!A543)</f>
        <v/>
      </c>
      <c r="C561" t="str">
        <f>IF(SEFAZ!C543="","",SEFAZ!C543)</f>
        <v/>
      </c>
      <c r="D561" t="str">
        <f>IF(SEFAZ!D543="","",SEFAZ!D543)</f>
        <v/>
      </c>
      <c r="E561" s="7" t="str">
        <f>IF(SEFAZ!E543="","",SEFAZ!E543)</f>
        <v/>
      </c>
      <c r="F561" s="6" t="str">
        <f>IF(SEFAZ!F543="","",VALUE(SUBSTITUTE(SEFAZ!F543,"'","")))</f>
        <v/>
      </c>
      <c r="G561" t="str">
        <f>IF(SEFAZ!H543="","",SEFAZ!H543)</f>
        <v/>
      </c>
      <c r="H561" t="str">
        <f>IF(SEFAZ!L543="","",SEFAZ!L543)</f>
        <v/>
      </c>
      <c r="I561" t="str">
        <f>IF(SEFAZ!N543="","",SEFAZ!N543)</f>
        <v/>
      </c>
      <c r="J561" t="str">
        <f>IF(SEFAZ!O543="","",SEFAZ!O543)</f>
        <v/>
      </c>
      <c r="K561" s="11" t="str">
        <f>IF(SEFAZ!P543="","",SEFAZ!P543)</f>
        <v/>
      </c>
      <c r="L561" t="str" cm="1">
        <f t="array" aca="1" ref="L5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1" t="s">
        <v>35</v>
      </c>
      <c r="O561" s="36" t="str">
        <f>IF(SEFAZ!B543="","",SEFAZ!B543)</f>
        <v/>
      </c>
    </row>
    <row r="562" spans="2:15" x14ac:dyDescent="0.3">
      <c r="B562" t="str">
        <f>IF(SEFAZ!A544="","",SEFAZ!A544)</f>
        <v/>
      </c>
      <c r="C562" t="str">
        <f>IF(SEFAZ!C544="","",SEFAZ!C544)</f>
        <v/>
      </c>
      <c r="D562" t="str">
        <f>IF(SEFAZ!D544="","",SEFAZ!D544)</f>
        <v/>
      </c>
      <c r="E562" s="7" t="str">
        <f>IF(SEFAZ!E544="","",SEFAZ!E544)</f>
        <v/>
      </c>
      <c r="F562" s="6" t="str">
        <f>IF(SEFAZ!F544="","",VALUE(SUBSTITUTE(SEFAZ!F544,"'","")))</f>
        <v/>
      </c>
      <c r="G562" t="str">
        <f>IF(SEFAZ!H544="","",SEFAZ!H544)</f>
        <v/>
      </c>
      <c r="H562" t="str">
        <f>IF(SEFAZ!L544="","",SEFAZ!L544)</f>
        <v/>
      </c>
      <c r="I562" t="str">
        <f>IF(SEFAZ!N544="","",SEFAZ!N544)</f>
        <v/>
      </c>
      <c r="J562" t="str">
        <f>IF(SEFAZ!O544="","",SEFAZ!O544)</f>
        <v/>
      </c>
      <c r="K562" s="11" t="str">
        <f>IF(SEFAZ!P544="","",SEFAZ!P544)</f>
        <v/>
      </c>
      <c r="L562" t="str" cm="1">
        <f t="array" aca="1" ref="L5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2" t="s">
        <v>35</v>
      </c>
      <c r="O562" s="36" t="str">
        <f>IF(SEFAZ!B544="","",SEFAZ!B544)</f>
        <v/>
      </c>
    </row>
    <row r="563" spans="2:15" x14ac:dyDescent="0.3">
      <c r="B563" t="str">
        <f>IF(SEFAZ!A545="","",SEFAZ!A545)</f>
        <v/>
      </c>
      <c r="C563" t="str">
        <f>IF(SEFAZ!C545="","",SEFAZ!C545)</f>
        <v/>
      </c>
      <c r="D563" t="str">
        <f>IF(SEFAZ!D545="","",SEFAZ!D545)</f>
        <v/>
      </c>
      <c r="E563" s="7" t="str">
        <f>IF(SEFAZ!E545="","",SEFAZ!E545)</f>
        <v/>
      </c>
      <c r="F563" s="6" t="str">
        <f>IF(SEFAZ!F545="","",VALUE(SUBSTITUTE(SEFAZ!F545,"'","")))</f>
        <v/>
      </c>
      <c r="G563" t="str">
        <f>IF(SEFAZ!H545="","",SEFAZ!H545)</f>
        <v/>
      </c>
      <c r="H563" t="str">
        <f>IF(SEFAZ!L545="","",SEFAZ!L545)</f>
        <v/>
      </c>
      <c r="I563" t="str">
        <f>IF(SEFAZ!N545="","",SEFAZ!N545)</f>
        <v/>
      </c>
      <c r="J563" t="str">
        <f>IF(SEFAZ!O545="","",SEFAZ!O545)</f>
        <v/>
      </c>
      <c r="K563" s="11" t="str">
        <f>IF(SEFAZ!P545="","",SEFAZ!P545)</f>
        <v/>
      </c>
      <c r="L563" t="str" cm="1">
        <f t="array" aca="1" ref="L5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3" t="s">
        <v>35</v>
      </c>
      <c r="O563" s="36" t="str">
        <f>IF(SEFAZ!B545="","",SEFAZ!B545)</f>
        <v/>
      </c>
    </row>
    <row r="564" spans="2:15" x14ac:dyDescent="0.3">
      <c r="B564" t="str">
        <f>IF(SEFAZ!A546="","",SEFAZ!A546)</f>
        <v/>
      </c>
      <c r="C564" t="str">
        <f>IF(SEFAZ!C546="","",SEFAZ!C546)</f>
        <v/>
      </c>
      <c r="D564" t="str">
        <f>IF(SEFAZ!D546="","",SEFAZ!D546)</f>
        <v/>
      </c>
      <c r="E564" s="7" t="str">
        <f>IF(SEFAZ!E546="","",SEFAZ!E546)</f>
        <v/>
      </c>
      <c r="F564" s="6" t="str">
        <f>IF(SEFAZ!F546="","",VALUE(SUBSTITUTE(SEFAZ!F546,"'","")))</f>
        <v/>
      </c>
      <c r="G564" t="str">
        <f>IF(SEFAZ!H546="","",SEFAZ!H546)</f>
        <v/>
      </c>
      <c r="H564" t="str">
        <f>IF(SEFAZ!L546="","",SEFAZ!L546)</f>
        <v/>
      </c>
      <c r="I564" t="str">
        <f>IF(SEFAZ!N546="","",SEFAZ!N546)</f>
        <v/>
      </c>
      <c r="J564" t="str">
        <f>IF(SEFAZ!O546="","",SEFAZ!O546)</f>
        <v/>
      </c>
      <c r="K564" s="11" t="str">
        <f>IF(SEFAZ!P546="","",SEFAZ!P546)</f>
        <v/>
      </c>
      <c r="L564" t="str" cm="1">
        <f t="array" aca="1" ref="L5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4" t="s">
        <v>35</v>
      </c>
      <c r="O564" s="36" t="str">
        <f>IF(SEFAZ!B546="","",SEFAZ!B546)</f>
        <v/>
      </c>
    </row>
    <row r="565" spans="2:15" x14ac:dyDescent="0.3">
      <c r="B565" t="str">
        <f>IF(SEFAZ!A547="","",SEFAZ!A547)</f>
        <v/>
      </c>
      <c r="C565" t="str">
        <f>IF(SEFAZ!C547="","",SEFAZ!C547)</f>
        <v/>
      </c>
      <c r="D565" t="str">
        <f>IF(SEFAZ!D547="","",SEFAZ!D547)</f>
        <v/>
      </c>
      <c r="E565" s="7" t="str">
        <f>IF(SEFAZ!E547="","",SEFAZ!E547)</f>
        <v/>
      </c>
      <c r="F565" s="6" t="str">
        <f>IF(SEFAZ!F547="","",VALUE(SUBSTITUTE(SEFAZ!F547,"'","")))</f>
        <v/>
      </c>
      <c r="G565" t="str">
        <f>IF(SEFAZ!H547="","",SEFAZ!H547)</f>
        <v/>
      </c>
      <c r="H565" t="str">
        <f>IF(SEFAZ!L547="","",SEFAZ!L547)</f>
        <v/>
      </c>
      <c r="I565" t="str">
        <f>IF(SEFAZ!N547="","",SEFAZ!N547)</f>
        <v/>
      </c>
      <c r="J565" t="str">
        <f>IF(SEFAZ!O547="","",SEFAZ!O547)</f>
        <v/>
      </c>
      <c r="K565" s="11" t="str">
        <f>IF(SEFAZ!P547="","",SEFAZ!P547)</f>
        <v/>
      </c>
      <c r="L565" t="str" cm="1">
        <f t="array" aca="1" ref="L5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5" t="s">
        <v>35</v>
      </c>
      <c r="O565" s="36" t="str">
        <f>IF(SEFAZ!B547="","",SEFAZ!B547)</f>
        <v/>
      </c>
    </row>
    <row r="566" spans="2:15" x14ac:dyDescent="0.3">
      <c r="B566" t="str">
        <f>IF(SEFAZ!A548="","",SEFAZ!A548)</f>
        <v/>
      </c>
      <c r="C566" t="str">
        <f>IF(SEFAZ!C548="","",SEFAZ!C548)</f>
        <v/>
      </c>
      <c r="D566" t="str">
        <f>IF(SEFAZ!D548="","",SEFAZ!D548)</f>
        <v/>
      </c>
      <c r="E566" s="7" t="str">
        <f>IF(SEFAZ!E548="","",SEFAZ!E548)</f>
        <v/>
      </c>
      <c r="F566" s="6" t="str">
        <f>IF(SEFAZ!F548="","",VALUE(SUBSTITUTE(SEFAZ!F548,"'","")))</f>
        <v/>
      </c>
      <c r="G566" t="str">
        <f>IF(SEFAZ!H548="","",SEFAZ!H548)</f>
        <v/>
      </c>
      <c r="H566" t="str">
        <f>IF(SEFAZ!L548="","",SEFAZ!L548)</f>
        <v/>
      </c>
      <c r="I566" t="str">
        <f>IF(SEFAZ!N548="","",SEFAZ!N548)</f>
        <v/>
      </c>
      <c r="J566" t="str">
        <f>IF(SEFAZ!O548="","",SEFAZ!O548)</f>
        <v/>
      </c>
      <c r="K566" s="11" t="str">
        <f>IF(SEFAZ!P548="","",SEFAZ!P548)</f>
        <v/>
      </c>
      <c r="L566" t="str" cm="1">
        <f t="array" aca="1" ref="L5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6" t="s">
        <v>35</v>
      </c>
      <c r="O566" s="36" t="str">
        <f>IF(SEFAZ!B548="","",SEFAZ!B548)</f>
        <v/>
      </c>
    </row>
    <row r="567" spans="2:15" x14ac:dyDescent="0.3">
      <c r="B567" t="str">
        <f>IF(SEFAZ!A549="","",SEFAZ!A549)</f>
        <v/>
      </c>
      <c r="C567" t="str">
        <f>IF(SEFAZ!C549="","",SEFAZ!C549)</f>
        <v/>
      </c>
      <c r="D567" t="str">
        <f>IF(SEFAZ!D549="","",SEFAZ!D549)</f>
        <v/>
      </c>
      <c r="E567" s="7" t="str">
        <f>IF(SEFAZ!E549="","",SEFAZ!E549)</f>
        <v/>
      </c>
      <c r="F567" s="6" t="str">
        <f>IF(SEFAZ!F549="","",VALUE(SUBSTITUTE(SEFAZ!F549,"'","")))</f>
        <v/>
      </c>
      <c r="G567" t="str">
        <f>IF(SEFAZ!H549="","",SEFAZ!H549)</f>
        <v/>
      </c>
      <c r="H567" t="str">
        <f>IF(SEFAZ!L549="","",SEFAZ!L549)</f>
        <v/>
      </c>
      <c r="I567" t="str">
        <f>IF(SEFAZ!N549="","",SEFAZ!N549)</f>
        <v/>
      </c>
      <c r="J567" t="str">
        <f>IF(SEFAZ!O549="","",SEFAZ!O549)</f>
        <v/>
      </c>
      <c r="K567" s="11" t="str">
        <f>IF(SEFAZ!P549="","",SEFAZ!P549)</f>
        <v/>
      </c>
      <c r="L567" t="str" cm="1">
        <f t="array" aca="1" ref="L5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7" t="s">
        <v>35</v>
      </c>
      <c r="O567" s="36" t="str">
        <f>IF(SEFAZ!B549="","",SEFAZ!B549)</f>
        <v/>
      </c>
    </row>
    <row r="568" spans="2:15" x14ac:dyDescent="0.3">
      <c r="B568" t="str">
        <f>IF(SEFAZ!A550="","",SEFAZ!A550)</f>
        <v/>
      </c>
      <c r="C568" t="str">
        <f>IF(SEFAZ!C550="","",SEFAZ!C550)</f>
        <v/>
      </c>
      <c r="D568" t="str">
        <f>IF(SEFAZ!D550="","",SEFAZ!D550)</f>
        <v/>
      </c>
      <c r="E568" s="7" t="str">
        <f>IF(SEFAZ!E550="","",SEFAZ!E550)</f>
        <v/>
      </c>
      <c r="F568" s="6" t="str">
        <f>IF(SEFAZ!F550="","",VALUE(SUBSTITUTE(SEFAZ!F550,"'","")))</f>
        <v/>
      </c>
      <c r="G568" t="str">
        <f>IF(SEFAZ!H550="","",SEFAZ!H550)</f>
        <v/>
      </c>
      <c r="H568" t="str">
        <f>IF(SEFAZ!L550="","",SEFAZ!L550)</f>
        <v/>
      </c>
      <c r="I568" t="str">
        <f>IF(SEFAZ!N550="","",SEFAZ!N550)</f>
        <v/>
      </c>
      <c r="J568" t="str">
        <f>IF(SEFAZ!O550="","",SEFAZ!O550)</f>
        <v/>
      </c>
      <c r="K568" s="11" t="str">
        <f>IF(SEFAZ!P550="","",SEFAZ!P550)</f>
        <v/>
      </c>
      <c r="L568" t="str" cm="1">
        <f t="array" aca="1" ref="L5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8" t="s">
        <v>35</v>
      </c>
      <c r="O568" s="36" t="str">
        <f>IF(SEFAZ!B550="","",SEFAZ!B550)</f>
        <v/>
      </c>
    </row>
    <row r="569" spans="2:15" x14ac:dyDescent="0.3">
      <c r="B569" t="str">
        <f>IF(SEFAZ!A551="","",SEFAZ!A551)</f>
        <v/>
      </c>
      <c r="C569" t="str">
        <f>IF(SEFAZ!C551="","",SEFAZ!C551)</f>
        <v/>
      </c>
      <c r="D569" t="str">
        <f>IF(SEFAZ!D551="","",SEFAZ!D551)</f>
        <v/>
      </c>
      <c r="E569" s="7" t="str">
        <f>IF(SEFAZ!E551="","",SEFAZ!E551)</f>
        <v/>
      </c>
      <c r="F569" s="6" t="str">
        <f>IF(SEFAZ!F551="","",VALUE(SUBSTITUTE(SEFAZ!F551,"'","")))</f>
        <v/>
      </c>
      <c r="G569" t="str">
        <f>IF(SEFAZ!H551="","",SEFAZ!H551)</f>
        <v/>
      </c>
      <c r="H569" t="str">
        <f>IF(SEFAZ!L551="","",SEFAZ!L551)</f>
        <v/>
      </c>
      <c r="I569" t="str">
        <f>IF(SEFAZ!N551="","",SEFAZ!N551)</f>
        <v/>
      </c>
      <c r="J569" t="str">
        <f>IF(SEFAZ!O551="","",SEFAZ!O551)</f>
        <v/>
      </c>
      <c r="K569" s="11" t="str">
        <f>IF(SEFAZ!P551="","",SEFAZ!P551)</f>
        <v/>
      </c>
      <c r="L569" t="str" cm="1">
        <f t="array" aca="1" ref="L5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69" t="s">
        <v>35</v>
      </c>
      <c r="O569" s="36" t="str">
        <f>IF(SEFAZ!B551="","",SEFAZ!B551)</f>
        <v/>
      </c>
    </row>
    <row r="570" spans="2:15" x14ac:dyDescent="0.3">
      <c r="B570" t="str">
        <f>IF(SEFAZ!A552="","",SEFAZ!A552)</f>
        <v/>
      </c>
      <c r="C570" t="str">
        <f>IF(SEFAZ!C552="","",SEFAZ!C552)</f>
        <v/>
      </c>
      <c r="D570" t="str">
        <f>IF(SEFAZ!D552="","",SEFAZ!D552)</f>
        <v/>
      </c>
      <c r="E570" s="7" t="str">
        <f>IF(SEFAZ!E552="","",SEFAZ!E552)</f>
        <v/>
      </c>
      <c r="F570" s="6" t="str">
        <f>IF(SEFAZ!F552="","",VALUE(SUBSTITUTE(SEFAZ!F552,"'","")))</f>
        <v/>
      </c>
      <c r="G570" t="str">
        <f>IF(SEFAZ!H552="","",SEFAZ!H552)</f>
        <v/>
      </c>
      <c r="H570" t="str">
        <f>IF(SEFAZ!L552="","",SEFAZ!L552)</f>
        <v/>
      </c>
      <c r="I570" t="str">
        <f>IF(SEFAZ!N552="","",SEFAZ!N552)</f>
        <v/>
      </c>
      <c r="J570" t="str">
        <f>IF(SEFAZ!O552="","",SEFAZ!O552)</f>
        <v/>
      </c>
      <c r="K570" s="11" t="str">
        <f>IF(SEFAZ!P552="","",SEFAZ!P552)</f>
        <v/>
      </c>
      <c r="L570" t="str" cm="1">
        <f t="array" aca="1" ref="L5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0" t="s">
        <v>35</v>
      </c>
      <c r="O570" s="36" t="str">
        <f>IF(SEFAZ!B552="","",SEFAZ!B552)</f>
        <v/>
      </c>
    </row>
    <row r="571" spans="2:15" x14ac:dyDescent="0.3">
      <c r="B571" t="str">
        <f>IF(SEFAZ!A553="","",SEFAZ!A553)</f>
        <v/>
      </c>
      <c r="C571" t="str">
        <f>IF(SEFAZ!C553="","",SEFAZ!C553)</f>
        <v/>
      </c>
      <c r="D571" t="str">
        <f>IF(SEFAZ!D553="","",SEFAZ!D553)</f>
        <v/>
      </c>
      <c r="E571" s="7" t="str">
        <f>IF(SEFAZ!E553="","",SEFAZ!E553)</f>
        <v/>
      </c>
      <c r="F571" s="6" t="str">
        <f>IF(SEFAZ!F553="","",VALUE(SUBSTITUTE(SEFAZ!F553,"'","")))</f>
        <v/>
      </c>
      <c r="G571" t="str">
        <f>IF(SEFAZ!H553="","",SEFAZ!H553)</f>
        <v/>
      </c>
      <c r="H571" t="str">
        <f>IF(SEFAZ!L553="","",SEFAZ!L553)</f>
        <v/>
      </c>
      <c r="I571" t="str">
        <f>IF(SEFAZ!N553="","",SEFAZ!N553)</f>
        <v/>
      </c>
      <c r="J571" t="str">
        <f>IF(SEFAZ!O553="","",SEFAZ!O553)</f>
        <v/>
      </c>
      <c r="K571" s="11" t="str">
        <f>IF(SEFAZ!P553="","",SEFAZ!P553)</f>
        <v/>
      </c>
      <c r="L571" t="str" cm="1">
        <f t="array" aca="1" ref="L5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1" t="s">
        <v>35</v>
      </c>
      <c r="O571" s="36" t="str">
        <f>IF(SEFAZ!B553="","",SEFAZ!B553)</f>
        <v/>
      </c>
    </row>
    <row r="572" spans="2:15" x14ac:dyDescent="0.3">
      <c r="B572" t="str">
        <f>IF(SEFAZ!A554="","",SEFAZ!A554)</f>
        <v/>
      </c>
      <c r="C572" t="str">
        <f>IF(SEFAZ!C554="","",SEFAZ!C554)</f>
        <v/>
      </c>
      <c r="D572" t="str">
        <f>IF(SEFAZ!D554="","",SEFAZ!D554)</f>
        <v/>
      </c>
      <c r="E572" s="7" t="str">
        <f>IF(SEFAZ!E554="","",SEFAZ!E554)</f>
        <v/>
      </c>
      <c r="F572" s="6" t="str">
        <f>IF(SEFAZ!F554="","",VALUE(SUBSTITUTE(SEFAZ!F554,"'","")))</f>
        <v/>
      </c>
      <c r="G572" t="str">
        <f>IF(SEFAZ!H554="","",SEFAZ!H554)</f>
        <v/>
      </c>
      <c r="H572" t="str">
        <f>IF(SEFAZ!L554="","",SEFAZ!L554)</f>
        <v/>
      </c>
      <c r="I572" t="str">
        <f>IF(SEFAZ!N554="","",SEFAZ!N554)</f>
        <v/>
      </c>
      <c r="J572" t="str">
        <f>IF(SEFAZ!O554="","",SEFAZ!O554)</f>
        <v/>
      </c>
      <c r="K572" s="11" t="str">
        <f>IF(SEFAZ!P554="","",SEFAZ!P554)</f>
        <v/>
      </c>
      <c r="L572" t="str" cm="1">
        <f t="array" aca="1" ref="L5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2" t="s">
        <v>35</v>
      </c>
      <c r="O572" s="36" t="str">
        <f>IF(SEFAZ!B554="","",SEFAZ!B554)</f>
        <v/>
      </c>
    </row>
    <row r="573" spans="2:15" x14ac:dyDescent="0.3">
      <c r="B573" t="str">
        <f>IF(SEFAZ!A555="","",SEFAZ!A555)</f>
        <v/>
      </c>
      <c r="C573" t="str">
        <f>IF(SEFAZ!C555="","",SEFAZ!C555)</f>
        <v/>
      </c>
      <c r="D573" t="str">
        <f>IF(SEFAZ!D555="","",SEFAZ!D555)</f>
        <v/>
      </c>
      <c r="E573" s="7" t="str">
        <f>IF(SEFAZ!E555="","",SEFAZ!E555)</f>
        <v/>
      </c>
      <c r="F573" s="6" t="str">
        <f>IF(SEFAZ!F555="","",VALUE(SUBSTITUTE(SEFAZ!F555,"'","")))</f>
        <v/>
      </c>
      <c r="G573" t="str">
        <f>IF(SEFAZ!H555="","",SEFAZ!H555)</f>
        <v/>
      </c>
      <c r="H573" t="str">
        <f>IF(SEFAZ!L555="","",SEFAZ!L555)</f>
        <v/>
      </c>
      <c r="I573" t="str">
        <f>IF(SEFAZ!N555="","",SEFAZ!N555)</f>
        <v/>
      </c>
      <c r="J573" t="str">
        <f>IF(SEFAZ!O555="","",SEFAZ!O555)</f>
        <v/>
      </c>
      <c r="K573" s="11" t="str">
        <f>IF(SEFAZ!P555="","",SEFAZ!P555)</f>
        <v/>
      </c>
      <c r="L573" t="str" cm="1">
        <f t="array" aca="1" ref="L5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3" t="s">
        <v>35</v>
      </c>
      <c r="O573" s="36" t="str">
        <f>IF(SEFAZ!B555="","",SEFAZ!B555)</f>
        <v/>
      </c>
    </row>
    <row r="574" spans="2:15" x14ac:dyDescent="0.3">
      <c r="B574" t="str">
        <f>IF(SEFAZ!A556="","",SEFAZ!A556)</f>
        <v/>
      </c>
      <c r="C574" t="str">
        <f>IF(SEFAZ!C556="","",SEFAZ!C556)</f>
        <v/>
      </c>
      <c r="D574" t="str">
        <f>IF(SEFAZ!D556="","",SEFAZ!D556)</f>
        <v/>
      </c>
      <c r="E574" s="7" t="str">
        <f>IF(SEFAZ!E556="","",SEFAZ!E556)</f>
        <v/>
      </c>
      <c r="F574" s="6" t="str">
        <f>IF(SEFAZ!F556="","",VALUE(SUBSTITUTE(SEFAZ!F556,"'","")))</f>
        <v/>
      </c>
      <c r="G574" t="str">
        <f>IF(SEFAZ!H556="","",SEFAZ!H556)</f>
        <v/>
      </c>
      <c r="H574" t="str">
        <f>IF(SEFAZ!L556="","",SEFAZ!L556)</f>
        <v/>
      </c>
      <c r="I574" t="str">
        <f>IF(SEFAZ!N556="","",SEFAZ!N556)</f>
        <v/>
      </c>
      <c r="J574" t="str">
        <f>IF(SEFAZ!O556="","",SEFAZ!O556)</f>
        <v/>
      </c>
      <c r="K574" s="11" t="str">
        <f>IF(SEFAZ!P556="","",SEFAZ!P556)</f>
        <v/>
      </c>
      <c r="L574" t="str" cm="1">
        <f t="array" aca="1" ref="L5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4" t="s">
        <v>35</v>
      </c>
      <c r="O574" s="36" t="str">
        <f>IF(SEFAZ!B556="","",SEFAZ!B556)</f>
        <v/>
      </c>
    </row>
    <row r="575" spans="2:15" x14ac:dyDescent="0.3">
      <c r="B575" t="str">
        <f>IF(SEFAZ!A557="","",SEFAZ!A557)</f>
        <v/>
      </c>
      <c r="C575" t="str">
        <f>IF(SEFAZ!C557="","",SEFAZ!C557)</f>
        <v/>
      </c>
      <c r="D575" t="str">
        <f>IF(SEFAZ!D557="","",SEFAZ!D557)</f>
        <v/>
      </c>
      <c r="E575" s="7" t="str">
        <f>IF(SEFAZ!E557="","",SEFAZ!E557)</f>
        <v/>
      </c>
      <c r="F575" s="6" t="str">
        <f>IF(SEFAZ!F557="","",VALUE(SUBSTITUTE(SEFAZ!F557,"'","")))</f>
        <v/>
      </c>
      <c r="G575" t="str">
        <f>IF(SEFAZ!H557="","",SEFAZ!H557)</f>
        <v/>
      </c>
      <c r="H575" t="str">
        <f>IF(SEFAZ!L557="","",SEFAZ!L557)</f>
        <v/>
      </c>
      <c r="I575" t="str">
        <f>IF(SEFAZ!N557="","",SEFAZ!N557)</f>
        <v/>
      </c>
      <c r="J575" t="str">
        <f>IF(SEFAZ!O557="","",SEFAZ!O557)</f>
        <v/>
      </c>
      <c r="K575" s="11" t="str">
        <f>IF(SEFAZ!P557="","",SEFAZ!P557)</f>
        <v/>
      </c>
      <c r="L575" t="str" cm="1">
        <f t="array" aca="1" ref="L5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5" t="s">
        <v>35</v>
      </c>
      <c r="O575" s="36" t="str">
        <f>IF(SEFAZ!B557="","",SEFAZ!B557)</f>
        <v/>
      </c>
    </row>
    <row r="576" spans="2:15" x14ac:dyDescent="0.3">
      <c r="B576" t="str">
        <f>IF(SEFAZ!A558="","",SEFAZ!A558)</f>
        <v/>
      </c>
      <c r="C576" t="str">
        <f>IF(SEFAZ!C558="","",SEFAZ!C558)</f>
        <v/>
      </c>
      <c r="D576" t="str">
        <f>IF(SEFAZ!D558="","",SEFAZ!D558)</f>
        <v/>
      </c>
      <c r="E576" s="7" t="str">
        <f>IF(SEFAZ!E558="","",SEFAZ!E558)</f>
        <v/>
      </c>
      <c r="F576" s="6" t="str">
        <f>IF(SEFAZ!F558="","",VALUE(SUBSTITUTE(SEFAZ!F558,"'","")))</f>
        <v/>
      </c>
      <c r="G576" t="str">
        <f>IF(SEFAZ!H558="","",SEFAZ!H558)</f>
        <v/>
      </c>
      <c r="H576" t="str">
        <f>IF(SEFAZ!L558="","",SEFAZ!L558)</f>
        <v/>
      </c>
      <c r="I576" t="str">
        <f>IF(SEFAZ!N558="","",SEFAZ!N558)</f>
        <v/>
      </c>
      <c r="J576" t="str">
        <f>IF(SEFAZ!O558="","",SEFAZ!O558)</f>
        <v/>
      </c>
      <c r="K576" s="11" t="str">
        <f>IF(SEFAZ!P558="","",SEFAZ!P558)</f>
        <v/>
      </c>
      <c r="L576" t="str" cm="1">
        <f t="array" aca="1" ref="L5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6" t="s">
        <v>35</v>
      </c>
      <c r="O576" s="36" t="str">
        <f>IF(SEFAZ!B558="","",SEFAZ!B558)</f>
        <v/>
      </c>
    </row>
    <row r="577" spans="2:15" x14ac:dyDescent="0.3">
      <c r="B577" t="str">
        <f>IF(SEFAZ!A559="","",SEFAZ!A559)</f>
        <v/>
      </c>
      <c r="C577" t="str">
        <f>IF(SEFAZ!C559="","",SEFAZ!C559)</f>
        <v/>
      </c>
      <c r="D577" t="str">
        <f>IF(SEFAZ!D559="","",SEFAZ!D559)</f>
        <v/>
      </c>
      <c r="E577" s="7" t="str">
        <f>IF(SEFAZ!E559="","",SEFAZ!E559)</f>
        <v/>
      </c>
      <c r="F577" s="6" t="str">
        <f>IF(SEFAZ!F559="","",VALUE(SUBSTITUTE(SEFAZ!F559,"'","")))</f>
        <v/>
      </c>
      <c r="G577" t="str">
        <f>IF(SEFAZ!H559="","",SEFAZ!H559)</f>
        <v/>
      </c>
      <c r="H577" t="str">
        <f>IF(SEFAZ!L559="","",SEFAZ!L559)</f>
        <v/>
      </c>
      <c r="I577" t="str">
        <f>IF(SEFAZ!N559="","",SEFAZ!N559)</f>
        <v/>
      </c>
      <c r="J577" t="str">
        <f>IF(SEFAZ!O559="","",SEFAZ!O559)</f>
        <v/>
      </c>
      <c r="K577" s="11" t="str">
        <f>IF(SEFAZ!P559="","",SEFAZ!P559)</f>
        <v/>
      </c>
      <c r="L577" t="str" cm="1">
        <f t="array" aca="1" ref="L5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7" t="s">
        <v>35</v>
      </c>
      <c r="O577" s="36" t="str">
        <f>IF(SEFAZ!B559="","",SEFAZ!B559)</f>
        <v/>
      </c>
    </row>
    <row r="578" spans="2:15" x14ac:dyDescent="0.3">
      <c r="B578" t="str">
        <f>IF(SEFAZ!A560="","",SEFAZ!A560)</f>
        <v/>
      </c>
      <c r="C578" t="str">
        <f>IF(SEFAZ!C560="","",SEFAZ!C560)</f>
        <v/>
      </c>
      <c r="D578" t="str">
        <f>IF(SEFAZ!D560="","",SEFAZ!D560)</f>
        <v/>
      </c>
      <c r="E578" s="7" t="str">
        <f>IF(SEFAZ!E560="","",SEFAZ!E560)</f>
        <v/>
      </c>
      <c r="F578" s="6" t="str">
        <f>IF(SEFAZ!F560="","",VALUE(SUBSTITUTE(SEFAZ!F560,"'","")))</f>
        <v/>
      </c>
      <c r="G578" t="str">
        <f>IF(SEFAZ!H560="","",SEFAZ!H560)</f>
        <v/>
      </c>
      <c r="H578" t="str">
        <f>IF(SEFAZ!L560="","",SEFAZ!L560)</f>
        <v/>
      </c>
      <c r="I578" t="str">
        <f>IF(SEFAZ!N560="","",SEFAZ!N560)</f>
        <v/>
      </c>
      <c r="J578" t="str">
        <f>IF(SEFAZ!O560="","",SEFAZ!O560)</f>
        <v/>
      </c>
      <c r="K578" s="11" t="str">
        <f>IF(SEFAZ!P560="","",SEFAZ!P560)</f>
        <v/>
      </c>
      <c r="L578" t="str" cm="1">
        <f t="array" aca="1" ref="L5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8" t="s">
        <v>35</v>
      </c>
      <c r="O578" s="36" t="str">
        <f>IF(SEFAZ!B560="","",SEFAZ!B560)</f>
        <v/>
      </c>
    </row>
    <row r="579" spans="2:15" x14ac:dyDescent="0.3">
      <c r="B579" t="str">
        <f>IF(SEFAZ!A561="","",SEFAZ!A561)</f>
        <v/>
      </c>
      <c r="C579" t="str">
        <f>IF(SEFAZ!C561="","",SEFAZ!C561)</f>
        <v/>
      </c>
      <c r="D579" t="str">
        <f>IF(SEFAZ!D561="","",SEFAZ!D561)</f>
        <v/>
      </c>
      <c r="E579" s="7" t="str">
        <f>IF(SEFAZ!E561="","",SEFAZ!E561)</f>
        <v/>
      </c>
      <c r="F579" s="6" t="str">
        <f>IF(SEFAZ!F561="","",VALUE(SUBSTITUTE(SEFAZ!F561,"'","")))</f>
        <v/>
      </c>
      <c r="G579" t="str">
        <f>IF(SEFAZ!H561="","",SEFAZ!H561)</f>
        <v/>
      </c>
      <c r="H579" t="str">
        <f>IF(SEFAZ!L561="","",SEFAZ!L561)</f>
        <v/>
      </c>
      <c r="I579" t="str">
        <f>IF(SEFAZ!N561="","",SEFAZ!N561)</f>
        <v/>
      </c>
      <c r="J579" t="str">
        <f>IF(SEFAZ!O561="","",SEFAZ!O561)</f>
        <v/>
      </c>
      <c r="K579" s="11" t="str">
        <f>IF(SEFAZ!P561="","",SEFAZ!P561)</f>
        <v/>
      </c>
      <c r="L579" t="str" cm="1">
        <f t="array" aca="1" ref="L5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79" t="s">
        <v>35</v>
      </c>
      <c r="O579" s="36" t="str">
        <f>IF(SEFAZ!B561="","",SEFAZ!B561)</f>
        <v/>
      </c>
    </row>
    <row r="580" spans="2:15" x14ac:dyDescent="0.3">
      <c r="B580" t="str">
        <f>IF(SEFAZ!A562="","",SEFAZ!A562)</f>
        <v/>
      </c>
      <c r="C580" t="str">
        <f>IF(SEFAZ!C562="","",SEFAZ!C562)</f>
        <v/>
      </c>
      <c r="D580" t="str">
        <f>IF(SEFAZ!D562="","",SEFAZ!D562)</f>
        <v/>
      </c>
      <c r="E580" s="7" t="str">
        <f>IF(SEFAZ!E562="","",SEFAZ!E562)</f>
        <v/>
      </c>
      <c r="F580" s="6" t="str">
        <f>IF(SEFAZ!F562="","",VALUE(SUBSTITUTE(SEFAZ!F562,"'","")))</f>
        <v/>
      </c>
      <c r="G580" t="str">
        <f>IF(SEFAZ!H562="","",SEFAZ!H562)</f>
        <v/>
      </c>
      <c r="H580" t="str">
        <f>IF(SEFAZ!L562="","",SEFAZ!L562)</f>
        <v/>
      </c>
      <c r="I580" t="str">
        <f>IF(SEFAZ!N562="","",SEFAZ!N562)</f>
        <v/>
      </c>
      <c r="J580" t="str">
        <f>IF(SEFAZ!O562="","",SEFAZ!O562)</f>
        <v/>
      </c>
      <c r="K580" s="11" t="str">
        <f>IF(SEFAZ!P562="","",SEFAZ!P562)</f>
        <v/>
      </c>
      <c r="L580" t="str" cm="1">
        <f t="array" aca="1" ref="L5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0" t="s">
        <v>35</v>
      </c>
      <c r="O580" s="36" t="str">
        <f>IF(SEFAZ!B562="","",SEFAZ!B562)</f>
        <v/>
      </c>
    </row>
    <row r="581" spans="2:15" x14ac:dyDescent="0.3">
      <c r="B581" t="str">
        <f>IF(SEFAZ!A563="","",SEFAZ!A563)</f>
        <v/>
      </c>
      <c r="C581" t="str">
        <f>IF(SEFAZ!C563="","",SEFAZ!C563)</f>
        <v/>
      </c>
      <c r="D581" t="str">
        <f>IF(SEFAZ!D563="","",SEFAZ!D563)</f>
        <v/>
      </c>
      <c r="E581" s="7" t="str">
        <f>IF(SEFAZ!E563="","",SEFAZ!E563)</f>
        <v/>
      </c>
      <c r="F581" s="6" t="str">
        <f>IF(SEFAZ!F563="","",VALUE(SUBSTITUTE(SEFAZ!F563,"'","")))</f>
        <v/>
      </c>
      <c r="G581" t="str">
        <f>IF(SEFAZ!H563="","",SEFAZ!H563)</f>
        <v/>
      </c>
      <c r="H581" t="str">
        <f>IF(SEFAZ!L563="","",SEFAZ!L563)</f>
        <v/>
      </c>
      <c r="I581" t="str">
        <f>IF(SEFAZ!N563="","",SEFAZ!N563)</f>
        <v/>
      </c>
      <c r="J581" t="str">
        <f>IF(SEFAZ!O563="","",SEFAZ!O563)</f>
        <v/>
      </c>
      <c r="K581" s="11" t="str">
        <f>IF(SEFAZ!P563="","",SEFAZ!P563)</f>
        <v/>
      </c>
      <c r="L581" t="str" cm="1">
        <f t="array" aca="1" ref="L5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1" t="s">
        <v>35</v>
      </c>
      <c r="O581" s="36" t="str">
        <f>IF(SEFAZ!B563="","",SEFAZ!B563)</f>
        <v/>
      </c>
    </row>
    <row r="582" spans="2:15" x14ac:dyDescent="0.3">
      <c r="B582" t="str">
        <f>IF(SEFAZ!A564="","",SEFAZ!A564)</f>
        <v/>
      </c>
      <c r="C582" t="str">
        <f>IF(SEFAZ!C564="","",SEFAZ!C564)</f>
        <v/>
      </c>
      <c r="D582" t="str">
        <f>IF(SEFAZ!D564="","",SEFAZ!D564)</f>
        <v/>
      </c>
      <c r="E582" s="7" t="str">
        <f>IF(SEFAZ!E564="","",SEFAZ!E564)</f>
        <v/>
      </c>
      <c r="F582" s="6" t="str">
        <f>IF(SEFAZ!F564="","",VALUE(SUBSTITUTE(SEFAZ!F564,"'","")))</f>
        <v/>
      </c>
      <c r="G582" t="str">
        <f>IF(SEFAZ!H564="","",SEFAZ!H564)</f>
        <v/>
      </c>
      <c r="H582" t="str">
        <f>IF(SEFAZ!L564="","",SEFAZ!L564)</f>
        <v/>
      </c>
      <c r="I582" t="str">
        <f>IF(SEFAZ!N564="","",SEFAZ!N564)</f>
        <v/>
      </c>
      <c r="J582" t="str">
        <f>IF(SEFAZ!O564="","",SEFAZ!O564)</f>
        <v/>
      </c>
      <c r="K582" s="11" t="str">
        <f>IF(SEFAZ!P564="","",SEFAZ!P564)</f>
        <v/>
      </c>
      <c r="L582" t="str" cm="1">
        <f t="array" aca="1" ref="L5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2" t="s">
        <v>35</v>
      </c>
      <c r="O582" s="36" t="str">
        <f>IF(SEFAZ!B564="","",SEFAZ!B564)</f>
        <v/>
      </c>
    </row>
    <row r="583" spans="2:15" x14ac:dyDescent="0.3">
      <c r="B583" t="str">
        <f>IF(SEFAZ!A565="","",SEFAZ!A565)</f>
        <v/>
      </c>
      <c r="C583" t="str">
        <f>IF(SEFAZ!C565="","",SEFAZ!C565)</f>
        <v/>
      </c>
      <c r="D583" t="str">
        <f>IF(SEFAZ!D565="","",SEFAZ!D565)</f>
        <v/>
      </c>
      <c r="E583" s="7" t="str">
        <f>IF(SEFAZ!E565="","",SEFAZ!E565)</f>
        <v/>
      </c>
      <c r="F583" s="6" t="str">
        <f>IF(SEFAZ!F565="","",VALUE(SUBSTITUTE(SEFAZ!F565,"'","")))</f>
        <v/>
      </c>
      <c r="G583" t="str">
        <f>IF(SEFAZ!H565="","",SEFAZ!H565)</f>
        <v/>
      </c>
      <c r="H583" t="str">
        <f>IF(SEFAZ!L565="","",SEFAZ!L565)</f>
        <v/>
      </c>
      <c r="I583" t="str">
        <f>IF(SEFAZ!N565="","",SEFAZ!N565)</f>
        <v/>
      </c>
      <c r="J583" t="str">
        <f>IF(SEFAZ!O565="","",SEFAZ!O565)</f>
        <v/>
      </c>
      <c r="K583" s="11" t="str">
        <f>IF(SEFAZ!P565="","",SEFAZ!P565)</f>
        <v/>
      </c>
      <c r="L583" t="str" cm="1">
        <f t="array" aca="1" ref="L5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3" t="s">
        <v>35</v>
      </c>
      <c r="O583" s="36" t="str">
        <f>IF(SEFAZ!B565="","",SEFAZ!B565)</f>
        <v/>
      </c>
    </row>
    <row r="584" spans="2:15" x14ac:dyDescent="0.3">
      <c r="B584" t="str">
        <f>IF(SEFAZ!A566="","",SEFAZ!A566)</f>
        <v/>
      </c>
      <c r="C584" t="str">
        <f>IF(SEFAZ!C566="","",SEFAZ!C566)</f>
        <v/>
      </c>
      <c r="D584" t="str">
        <f>IF(SEFAZ!D566="","",SEFAZ!D566)</f>
        <v/>
      </c>
      <c r="E584" s="7" t="str">
        <f>IF(SEFAZ!E566="","",SEFAZ!E566)</f>
        <v/>
      </c>
      <c r="F584" s="6" t="str">
        <f>IF(SEFAZ!F566="","",VALUE(SUBSTITUTE(SEFAZ!F566,"'","")))</f>
        <v/>
      </c>
      <c r="G584" t="str">
        <f>IF(SEFAZ!H566="","",SEFAZ!H566)</f>
        <v/>
      </c>
      <c r="H584" t="str">
        <f>IF(SEFAZ!L566="","",SEFAZ!L566)</f>
        <v/>
      </c>
      <c r="I584" t="str">
        <f>IF(SEFAZ!N566="","",SEFAZ!N566)</f>
        <v/>
      </c>
      <c r="J584" t="str">
        <f>IF(SEFAZ!O566="","",SEFAZ!O566)</f>
        <v/>
      </c>
      <c r="K584" s="11" t="str">
        <f>IF(SEFAZ!P566="","",SEFAZ!P566)</f>
        <v/>
      </c>
      <c r="L584" t="str" cm="1">
        <f t="array" aca="1" ref="L5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4" t="s">
        <v>35</v>
      </c>
      <c r="O584" s="36" t="str">
        <f>IF(SEFAZ!B566="","",SEFAZ!B566)</f>
        <v/>
      </c>
    </row>
    <row r="585" spans="2:15" x14ac:dyDescent="0.3">
      <c r="B585" t="str">
        <f>IF(SEFAZ!A567="","",SEFAZ!A567)</f>
        <v/>
      </c>
      <c r="C585" t="str">
        <f>IF(SEFAZ!C567="","",SEFAZ!C567)</f>
        <v/>
      </c>
      <c r="D585" t="str">
        <f>IF(SEFAZ!D567="","",SEFAZ!D567)</f>
        <v/>
      </c>
      <c r="E585" s="7" t="str">
        <f>IF(SEFAZ!E567="","",SEFAZ!E567)</f>
        <v/>
      </c>
      <c r="F585" s="6" t="str">
        <f>IF(SEFAZ!F567="","",VALUE(SUBSTITUTE(SEFAZ!F567,"'","")))</f>
        <v/>
      </c>
      <c r="G585" t="str">
        <f>IF(SEFAZ!H567="","",SEFAZ!H567)</f>
        <v/>
      </c>
      <c r="H585" t="str">
        <f>IF(SEFAZ!L567="","",SEFAZ!L567)</f>
        <v/>
      </c>
      <c r="I585" t="str">
        <f>IF(SEFAZ!N567="","",SEFAZ!N567)</f>
        <v/>
      </c>
      <c r="J585" t="str">
        <f>IF(SEFAZ!O567="","",SEFAZ!O567)</f>
        <v/>
      </c>
      <c r="K585" s="11" t="str">
        <f>IF(SEFAZ!P567="","",SEFAZ!P567)</f>
        <v/>
      </c>
      <c r="L585" t="str" cm="1">
        <f t="array" aca="1" ref="L5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5" t="s">
        <v>35</v>
      </c>
      <c r="O585" s="36" t="str">
        <f>IF(SEFAZ!B567="","",SEFAZ!B567)</f>
        <v/>
      </c>
    </row>
    <row r="586" spans="2:15" x14ac:dyDescent="0.3">
      <c r="B586" t="str">
        <f>IF(SEFAZ!A568="","",SEFAZ!A568)</f>
        <v/>
      </c>
      <c r="C586" t="str">
        <f>IF(SEFAZ!C568="","",SEFAZ!C568)</f>
        <v/>
      </c>
      <c r="D586" t="str">
        <f>IF(SEFAZ!D568="","",SEFAZ!D568)</f>
        <v/>
      </c>
      <c r="E586" s="7" t="str">
        <f>IF(SEFAZ!E568="","",SEFAZ!E568)</f>
        <v/>
      </c>
      <c r="F586" s="6" t="str">
        <f>IF(SEFAZ!F568="","",VALUE(SUBSTITUTE(SEFAZ!F568,"'","")))</f>
        <v/>
      </c>
      <c r="G586" t="str">
        <f>IF(SEFAZ!H568="","",SEFAZ!H568)</f>
        <v/>
      </c>
      <c r="H586" t="str">
        <f>IF(SEFAZ!L568="","",SEFAZ!L568)</f>
        <v/>
      </c>
      <c r="I586" t="str">
        <f>IF(SEFAZ!N568="","",SEFAZ!N568)</f>
        <v/>
      </c>
      <c r="J586" t="str">
        <f>IF(SEFAZ!O568="","",SEFAZ!O568)</f>
        <v/>
      </c>
      <c r="K586" s="11" t="str">
        <f>IF(SEFAZ!P568="","",SEFAZ!P568)</f>
        <v/>
      </c>
      <c r="L586" t="str" cm="1">
        <f t="array" aca="1" ref="L5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6" t="s">
        <v>35</v>
      </c>
      <c r="O586" s="36" t="str">
        <f>IF(SEFAZ!B568="","",SEFAZ!B568)</f>
        <v/>
      </c>
    </row>
    <row r="587" spans="2:15" x14ac:dyDescent="0.3">
      <c r="B587" t="str">
        <f>IF(SEFAZ!A569="","",SEFAZ!A569)</f>
        <v/>
      </c>
      <c r="C587" t="str">
        <f>IF(SEFAZ!C569="","",SEFAZ!C569)</f>
        <v/>
      </c>
      <c r="D587" t="str">
        <f>IF(SEFAZ!D569="","",SEFAZ!D569)</f>
        <v/>
      </c>
      <c r="E587" s="7" t="str">
        <f>IF(SEFAZ!E569="","",SEFAZ!E569)</f>
        <v/>
      </c>
      <c r="F587" s="6" t="str">
        <f>IF(SEFAZ!F569="","",VALUE(SUBSTITUTE(SEFAZ!F569,"'","")))</f>
        <v/>
      </c>
      <c r="G587" t="str">
        <f>IF(SEFAZ!H569="","",SEFAZ!H569)</f>
        <v/>
      </c>
      <c r="H587" t="str">
        <f>IF(SEFAZ!L569="","",SEFAZ!L569)</f>
        <v/>
      </c>
      <c r="I587" t="str">
        <f>IF(SEFAZ!N569="","",SEFAZ!N569)</f>
        <v/>
      </c>
      <c r="J587" t="str">
        <f>IF(SEFAZ!O569="","",SEFAZ!O569)</f>
        <v/>
      </c>
      <c r="K587" s="11" t="str">
        <f>IF(SEFAZ!P569="","",SEFAZ!P569)</f>
        <v/>
      </c>
      <c r="L587" t="str" cm="1">
        <f t="array" aca="1" ref="L5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7" t="s">
        <v>35</v>
      </c>
      <c r="O587" s="36" t="str">
        <f>IF(SEFAZ!B569="","",SEFAZ!B569)</f>
        <v/>
      </c>
    </row>
    <row r="588" spans="2:15" x14ac:dyDescent="0.3">
      <c r="B588" t="str">
        <f>IF(SEFAZ!A570="","",SEFAZ!A570)</f>
        <v/>
      </c>
      <c r="C588" t="str">
        <f>IF(SEFAZ!C570="","",SEFAZ!C570)</f>
        <v/>
      </c>
      <c r="D588" t="str">
        <f>IF(SEFAZ!D570="","",SEFAZ!D570)</f>
        <v/>
      </c>
      <c r="E588" s="7" t="str">
        <f>IF(SEFAZ!E570="","",SEFAZ!E570)</f>
        <v/>
      </c>
      <c r="F588" s="6" t="str">
        <f>IF(SEFAZ!F570="","",VALUE(SUBSTITUTE(SEFAZ!F570,"'","")))</f>
        <v/>
      </c>
      <c r="G588" t="str">
        <f>IF(SEFAZ!H570="","",SEFAZ!H570)</f>
        <v/>
      </c>
      <c r="H588" t="str">
        <f>IF(SEFAZ!L570="","",SEFAZ!L570)</f>
        <v/>
      </c>
      <c r="I588" t="str">
        <f>IF(SEFAZ!N570="","",SEFAZ!N570)</f>
        <v/>
      </c>
      <c r="J588" t="str">
        <f>IF(SEFAZ!O570="","",SEFAZ!O570)</f>
        <v/>
      </c>
      <c r="K588" s="11" t="str">
        <f>IF(SEFAZ!P570="","",SEFAZ!P570)</f>
        <v/>
      </c>
      <c r="L588" t="str" cm="1">
        <f t="array" aca="1" ref="L5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8" t="s">
        <v>35</v>
      </c>
      <c r="O588" s="36" t="str">
        <f>IF(SEFAZ!B570="","",SEFAZ!B570)</f>
        <v/>
      </c>
    </row>
    <row r="589" spans="2:15" x14ac:dyDescent="0.3">
      <c r="B589" t="str">
        <f>IF(SEFAZ!A571="","",SEFAZ!A571)</f>
        <v/>
      </c>
      <c r="C589" t="str">
        <f>IF(SEFAZ!C571="","",SEFAZ!C571)</f>
        <v/>
      </c>
      <c r="D589" t="str">
        <f>IF(SEFAZ!D571="","",SEFAZ!D571)</f>
        <v/>
      </c>
      <c r="E589" s="7" t="str">
        <f>IF(SEFAZ!E571="","",SEFAZ!E571)</f>
        <v/>
      </c>
      <c r="F589" s="6" t="str">
        <f>IF(SEFAZ!F571="","",VALUE(SUBSTITUTE(SEFAZ!F571,"'","")))</f>
        <v/>
      </c>
      <c r="G589" t="str">
        <f>IF(SEFAZ!H571="","",SEFAZ!H571)</f>
        <v/>
      </c>
      <c r="H589" t="str">
        <f>IF(SEFAZ!L571="","",SEFAZ!L571)</f>
        <v/>
      </c>
      <c r="I589" t="str">
        <f>IF(SEFAZ!N571="","",SEFAZ!N571)</f>
        <v/>
      </c>
      <c r="J589" t="str">
        <f>IF(SEFAZ!O571="","",SEFAZ!O571)</f>
        <v/>
      </c>
      <c r="K589" s="11" t="str">
        <f>IF(SEFAZ!P571="","",SEFAZ!P571)</f>
        <v/>
      </c>
      <c r="L589" t="str" cm="1">
        <f t="array" aca="1" ref="L5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89" t="s">
        <v>35</v>
      </c>
      <c r="O589" s="36" t="str">
        <f>IF(SEFAZ!B571="","",SEFAZ!B571)</f>
        <v/>
      </c>
    </row>
    <row r="590" spans="2:15" x14ac:dyDescent="0.3">
      <c r="B590" t="str">
        <f>IF(SEFAZ!A572="","",SEFAZ!A572)</f>
        <v/>
      </c>
      <c r="C590" t="str">
        <f>IF(SEFAZ!C572="","",SEFAZ!C572)</f>
        <v/>
      </c>
      <c r="D590" t="str">
        <f>IF(SEFAZ!D572="","",SEFAZ!D572)</f>
        <v/>
      </c>
      <c r="E590" s="7" t="str">
        <f>IF(SEFAZ!E572="","",SEFAZ!E572)</f>
        <v/>
      </c>
      <c r="F590" s="6" t="str">
        <f>IF(SEFAZ!F572="","",VALUE(SUBSTITUTE(SEFAZ!F572,"'","")))</f>
        <v/>
      </c>
      <c r="G590" t="str">
        <f>IF(SEFAZ!H572="","",SEFAZ!H572)</f>
        <v/>
      </c>
      <c r="H590" t="str">
        <f>IF(SEFAZ!L572="","",SEFAZ!L572)</f>
        <v/>
      </c>
      <c r="I590" t="str">
        <f>IF(SEFAZ!N572="","",SEFAZ!N572)</f>
        <v/>
      </c>
      <c r="J590" t="str">
        <f>IF(SEFAZ!O572="","",SEFAZ!O572)</f>
        <v/>
      </c>
      <c r="K590" s="11" t="str">
        <f>IF(SEFAZ!P572="","",SEFAZ!P572)</f>
        <v/>
      </c>
      <c r="L590" t="str" cm="1">
        <f t="array" aca="1" ref="L5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0" t="s">
        <v>35</v>
      </c>
      <c r="O590" s="36" t="str">
        <f>IF(SEFAZ!B572="","",SEFAZ!B572)</f>
        <v/>
      </c>
    </row>
    <row r="591" spans="2:15" x14ac:dyDescent="0.3">
      <c r="B591" t="str">
        <f>IF(SEFAZ!A573="","",SEFAZ!A573)</f>
        <v/>
      </c>
      <c r="C591" t="str">
        <f>IF(SEFAZ!C573="","",SEFAZ!C573)</f>
        <v/>
      </c>
      <c r="D591" t="str">
        <f>IF(SEFAZ!D573="","",SEFAZ!D573)</f>
        <v/>
      </c>
      <c r="E591" s="7" t="str">
        <f>IF(SEFAZ!E573="","",SEFAZ!E573)</f>
        <v/>
      </c>
      <c r="F591" s="6" t="str">
        <f>IF(SEFAZ!F573="","",VALUE(SUBSTITUTE(SEFAZ!F573,"'","")))</f>
        <v/>
      </c>
      <c r="G591" t="str">
        <f>IF(SEFAZ!H573="","",SEFAZ!H573)</f>
        <v/>
      </c>
      <c r="H591" t="str">
        <f>IF(SEFAZ!L573="","",SEFAZ!L573)</f>
        <v/>
      </c>
      <c r="I591" t="str">
        <f>IF(SEFAZ!N573="","",SEFAZ!N573)</f>
        <v/>
      </c>
      <c r="J591" t="str">
        <f>IF(SEFAZ!O573="","",SEFAZ!O573)</f>
        <v/>
      </c>
      <c r="K591" s="11" t="str">
        <f>IF(SEFAZ!P573="","",SEFAZ!P573)</f>
        <v/>
      </c>
      <c r="L591" t="str" cm="1">
        <f t="array" aca="1" ref="L5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1" t="s">
        <v>35</v>
      </c>
      <c r="O591" s="36" t="str">
        <f>IF(SEFAZ!B573="","",SEFAZ!B573)</f>
        <v/>
      </c>
    </row>
    <row r="592" spans="2:15" x14ac:dyDescent="0.3">
      <c r="B592" t="str">
        <f>IF(SEFAZ!A574="","",SEFAZ!A574)</f>
        <v/>
      </c>
      <c r="C592" t="str">
        <f>IF(SEFAZ!C574="","",SEFAZ!C574)</f>
        <v/>
      </c>
      <c r="D592" t="str">
        <f>IF(SEFAZ!D574="","",SEFAZ!D574)</f>
        <v/>
      </c>
      <c r="E592" s="7" t="str">
        <f>IF(SEFAZ!E574="","",SEFAZ!E574)</f>
        <v/>
      </c>
      <c r="F592" s="6" t="str">
        <f>IF(SEFAZ!F574="","",VALUE(SUBSTITUTE(SEFAZ!F574,"'","")))</f>
        <v/>
      </c>
      <c r="G592" t="str">
        <f>IF(SEFAZ!H574="","",SEFAZ!H574)</f>
        <v/>
      </c>
      <c r="H592" t="str">
        <f>IF(SEFAZ!L574="","",SEFAZ!L574)</f>
        <v/>
      </c>
      <c r="I592" t="str">
        <f>IF(SEFAZ!N574="","",SEFAZ!N574)</f>
        <v/>
      </c>
      <c r="J592" t="str">
        <f>IF(SEFAZ!O574="","",SEFAZ!O574)</f>
        <v/>
      </c>
      <c r="K592" s="11" t="str">
        <f>IF(SEFAZ!P574="","",SEFAZ!P574)</f>
        <v/>
      </c>
      <c r="L592" t="str" cm="1">
        <f t="array" aca="1" ref="L5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2" t="s">
        <v>35</v>
      </c>
      <c r="O592" s="36" t="str">
        <f>IF(SEFAZ!B574="","",SEFAZ!B574)</f>
        <v/>
      </c>
    </row>
    <row r="593" spans="2:15" x14ac:dyDescent="0.3">
      <c r="B593" t="str">
        <f>IF(SEFAZ!A575="","",SEFAZ!A575)</f>
        <v/>
      </c>
      <c r="C593" t="str">
        <f>IF(SEFAZ!C575="","",SEFAZ!C575)</f>
        <v/>
      </c>
      <c r="D593" t="str">
        <f>IF(SEFAZ!D575="","",SEFAZ!D575)</f>
        <v/>
      </c>
      <c r="E593" s="7" t="str">
        <f>IF(SEFAZ!E575="","",SEFAZ!E575)</f>
        <v/>
      </c>
      <c r="F593" s="6" t="str">
        <f>IF(SEFAZ!F575="","",VALUE(SUBSTITUTE(SEFAZ!F575,"'","")))</f>
        <v/>
      </c>
      <c r="G593" t="str">
        <f>IF(SEFAZ!H575="","",SEFAZ!H575)</f>
        <v/>
      </c>
      <c r="H593" t="str">
        <f>IF(SEFAZ!L575="","",SEFAZ!L575)</f>
        <v/>
      </c>
      <c r="I593" t="str">
        <f>IF(SEFAZ!N575="","",SEFAZ!N575)</f>
        <v/>
      </c>
      <c r="J593" t="str">
        <f>IF(SEFAZ!O575="","",SEFAZ!O575)</f>
        <v/>
      </c>
      <c r="K593" s="11" t="str">
        <f>IF(SEFAZ!P575="","",SEFAZ!P575)</f>
        <v/>
      </c>
      <c r="L593" t="str" cm="1">
        <f t="array" aca="1" ref="L5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3" t="s">
        <v>35</v>
      </c>
      <c r="O593" s="36" t="str">
        <f>IF(SEFAZ!B575="","",SEFAZ!B575)</f>
        <v/>
      </c>
    </row>
    <row r="594" spans="2:15" x14ac:dyDescent="0.3">
      <c r="B594" t="str">
        <f>IF(SEFAZ!A576="","",SEFAZ!A576)</f>
        <v/>
      </c>
      <c r="C594" t="str">
        <f>IF(SEFAZ!C576="","",SEFAZ!C576)</f>
        <v/>
      </c>
      <c r="D594" t="str">
        <f>IF(SEFAZ!D576="","",SEFAZ!D576)</f>
        <v/>
      </c>
      <c r="E594" s="7" t="str">
        <f>IF(SEFAZ!E576="","",SEFAZ!E576)</f>
        <v/>
      </c>
      <c r="F594" s="6" t="str">
        <f>IF(SEFAZ!F576="","",VALUE(SUBSTITUTE(SEFAZ!F576,"'","")))</f>
        <v/>
      </c>
      <c r="G594" t="str">
        <f>IF(SEFAZ!H576="","",SEFAZ!H576)</f>
        <v/>
      </c>
      <c r="H594" t="str">
        <f>IF(SEFAZ!L576="","",SEFAZ!L576)</f>
        <v/>
      </c>
      <c r="I594" t="str">
        <f>IF(SEFAZ!N576="","",SEFAZ!N576)</f>
        <v/>
      </c>
      <c r="J594" t="str">
        <f>IF(SEFAZ!O576="","",SEFAZ!O576)</f>
        <v/>
      </c>
      <c r="K594" s="11" t="str">
        <f>IF(SEFAZ!P576="","",SEFAZ!P576)</f>
        <v/>
      </c>
      <c r="L594" t="str" cm="1">
        <f t="array" aca="1" ref="L5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4" t="s">
        <v>35</v>
      </c>
      <c r="O594" s="36" t="str">
        <f>IF(SEFAZ!B576="","",SEFAZ!B576)</f>
        <v/>
      </c>
    </row>
    <row r="595" spans="2:15" x14ac:dyDescent="0.3">
      <c r="B595" t="str">
        <f>IF(SEFAZ!A577="","",SEFAZ!A577)</f>
        <v/>
      </c>
      <c r="C595" t="str">
        <f>IF(SEFAZ!C577="","",SEFAZ!C577)</f>
        <v/>
      </c>
      <c r="D595" t="str">
        <f>IF(SEFAZ!D577="","",SEFAZ!D577)</f>
        <v/>
      </c>
      <c r="E595" s="7" t="str">
        <f>IF(SEFAZ!E577="","",SEFAZ!E577)</f>
        <v/>
      </c>
      <c r="F595" s="6" t="str">
        <f>IF(SEFAZ!F577="","",VALUE(SUBSTITUTE(SEFAZ!F577,"'","")))</f>
        <v/>
      </c>
      <c r="G595" t="str">
        <f>IF(SEFAZ!H577="","",SEFAZ!H577)</f>
        <v/>
      </c>
      <c r="H595" t="str">
        <f>IF(SEFAZ!L577="","",SEFAZ!L577)</f>
        <v/>
      </c>
      <c r="I595" t="str">
        <f>IF(SEFAZ!N577="","",SEFAZ!N577)</f>
        <v/>
      </c>
      <c r="J595" t="str">
        <f>IF(SEFAZ!O577="","",SEFAZ!O577)</f>
        <v/>
      </c>
      <c r="K595" s="11" t="str">
        <f>IF(SEFAZ!P577="","",SEFAZ!P577)</f>
        <v/>
      </c>
      <c r="L595" t="str" cm="1">
        <f t="array" aca="1" ref="L5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5" t="s">
        <v>35</v>
      </c>
      <c r="O595" s="36" t="str">
        <f>IF(SEFAZ!B577="","",SEFAZ!B577)</f>
        <v/>
      </c>
    </row>
    <row r="596" spans="2:15" x14ac:dyDescent="0.3">
      <c r="B596" t="str">
        <f>IF(SEFAZ!A578="","",SEFAZ!A578)</f>
        <v/>
      </c>
      <c r="C596" t="str">
        <f>IF(SEFAZ!C578="","",SEFAZ!C578)</f>
        <v/>
      </c>
      <c r="D596" t="str">
        <f>IF(SEFAZ!D578="","",SEFAZ!D578)</f>
        <v/>
      </c>
      <c r="E596" s="7" t="str">
        <f>IF(SEFAZ!E578="","",SEFAZ!E578)</f>
        <v/>
      </c>
      <c r="F596" s="6" t="str">
        <f>IF(SEFAZ!F578="","",VALUE(SUBSTITUTE(SEFAZ!F578,"'","")))</f>
        <v/>
      </c>
      <c r="G596" t="str">
        <f>IF(SEFAZ!H578="","",SEFAZ!H578)</f>
        <v/>
      </c>
      <c r="H596" t="str">
        <f>IF(SEFAZ!L578="","",SEFAZ!L578)</f>
        <v/>
      </c>
      <c r="I596" t="str">
        <f>IF(SEFAZ!N578="","",SEFAZ!N578)</f>
        <v/>
      </c>
      <c r="J596" t="str">
        <f>IF(SEFAZ!O578="","",SEFAZ!O578)</f>
        <v/>
      </c>
      <c r="K596" s="11" t="str">
        <f>IF(SEFAZ!P578="","",SEFAZ!P578)</f>
        <v/>
      </c>
      <c r="L596" t="str" cm="1">
        <f t="array" aca="1" ref="L5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6" t="s">
        <v>35</v>
      </c>
      <c r="O596" s="36" t="str">
        <f>IF(SEFAZ!B578="","",SEFAZ!B578)</f>
        <v/>
      </c>
    </row>
    <row r="597" spans="2:15" x14ac:dyDescent="0.3">
      <c r="B597" t="str">
        <f>IF(SEFAZ!A579="","",SEFAZ!A579)</f>
        <v/>
      </c>
      <c r="C597" t="str">
        <f>IF(SEFAZ!C579="","",SEFAZ!C579)</f>
        <v/>
      </c>
      <c r="D597" t="str">
        <f>IF(SEFAZ!D579="","",SEFAZ!D579)</f>
        <v/>
      </c>
      <c r="E597" s="7" t="str">
        <f>IF(SEFAZ!E579="","",SEFAZ!E579)</f>
        <v/>
      </c>
      <c r="F597" s="6" t="str">
        <f>IF(SEFAZ!F579="","",VALUE(SUBSTITUTE(SEFAZ!F579,"'","")))</f>
        <v/>
      </c>
      <c r="G597" t="str">
        <f>IF(SEFAZ!H579="","",SEFAZ!H579)</f>
        <v/>
      </c>
      <c r="H597" t="str">
        <f>IF(SEFAZ!L579="","",SEFAZ!L579)</f>
        <v/>
      </c>
      <c r="I597" t="str">
        <f>IF(SEFAZ!N579="","",SEFAZ!N579)</f>
        <v/>
      </c>
      <c r="J597" t="str">
        <f>IF(SEFAZ!O579="","",SEFAZ!O579)</f>
        <v/>
      </c>
      <c r="K597" s="11" t="str">
        <f>IF(SEFAZ!P579="","",SEFAZ!P579)</f>
        <v/>
      </c>
      <c r="L597" t="str" cm="1">
        <f t="array" aca="1" ref="L5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7" t="s">
        <v>35</v>
      </c>
      <c r="O597" s="36" t="str">
        <f>IF(SEFAZ!B579="","",SEFAZ!B579)</f>
        <v/>
      </c>
    </row>
    <row r="598" spans="2:15" x14ac:dyDescent="0.3">
      <c r="B598" t="str">
        <f>IF(SEFAZ!A580="","",SEFAZ!A580)</f>
        <v/>
      </c>
      <c r="C598" t="str">
        <f>IF(SEFAZ!C580="","",SEFAZ!C580)</f>
        <v/>
      </c>
      <c r="D598" t="str">
        <f>IF(SEFAZ!D580="","",SEFAZ!D580)</f>
        <v/>
      </c>
      <c r="E598" s="7" t="str">
        <f>IF(SEFAZ!E580="","",SEFAZ!E580)</f>
        <v/>
      </c>
      <c r="F598" s="6" t="str">
        <f>IF(SEFAZ!F580="","",VALUE(SUBSTITUTE(SEFAZ!F580,"'","")))</f>
        <v/>
      </c>
      <c r="G598" t="str">
        <f>IF(SEFAZ!H580="","",SEFAZ!H580)</f>
        <v/>
      </c>
      <c r="H598" t="str">
        <f>IF(SEFAZ!L580="","",SEFAZ!L580)</f>
        <v/>
      </c>
      <c r="I598" t="str">
        <f>IF(SEFAZ!N580="","",SEFAZ!N580)</f>
        <v/>
      </c>
      <c r="J598" t="str">
        <f>IF(SEFAZ!O580="","",SEFAZ!O580)</f>
        <v/>
      </c>
      <c r="K598" s="11" t="str">
        <f>IF(SEFAZ!P580="","",SEFAZ!P580)</f>
        <v/>
      </c>
      <c r="L598" t="str" cm="1">
        <f t="array" aca="1" ref="L5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8" t="s">
        <v>35</v>
      </c>
      <c r="O598" s="36" t="str">
        <f>IF(SEFAZ!B580="","",SEFAZ!B580)</f>
        <v/>
      </c>
    </row>
    <row r="599" spans="2:15" x14ac:dyDescent="0.3">
      <c r="B599" t="str">
        <f>IF(SEFAZ!A581="","",SEFAZ!A581)</f>
        <v/>
      </c>
      <c r="C599" t="str">
        <f>IF(SEFAZ!C581="","",SEFAZ!C581)</f>
        <v/>
      </c>
      <c r="D599" t="str">
        <f>IF(SEFAZ!D581="","",SEFAZ!D581)</f>
        <v/>
      </c>
      <c r="E599" s="7" t="str">
        <f>IF(SEFAZ!E581="","",SEFAZ!E581)</f>
        <v/>
      </c>
      <c r="F599" s="6" t="str">
        <f>IF(SEFAZ!F581="","",VALUE(SUBSTITUTE(SEFAZ!F581,"'","")))</f>
        <v/>
      </c>
      <c r="G599" t="str">
        <f>IF(SEFAZ!H581="","",SEFAZ!H581)</f>
        <v/>
      </c>
      <c r="H599" t="str">
        <f>IF(SEFAZ!L581="","",SEFAZ!L581)</f>
        <v/>
      </c>
      <c r="I599" t="str">
        <f>IF(SEFAZ!N581="","",SEFAZ!N581)</f>
        <v/>
      </c>
      <c r="J599" t="str">
        <f>IF(SEFAZ!O581="","",SEFAZ!O581)</f>
        <v/>
      </c>
      <c r="K599" s="11" t="str">
        <f>IF(SEFAZ!P581="","",SEFAZ!P581)</f>
        <v/>
      </c>
      <c r="L599" t="str" cm="1">
        <f t="array" aca="1" ref="L5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599" t="s">
        <v>35</v>
      </c>
      <c r="O599" s="36" t="str">
        <f>IF(SEFAZ!B581="","",SEFAZ!B581)</f>
        <v/>
      </c>
    </row>
    <row r="600" spans="2:15" x14ac:dyDescent="0.3">
      <c r="B600" t="str">
        <f>IF(SEFAZ!A582="","",SEFAZ!A582)</f>
        <v/>
      </c>
      <c r="C600" t="str">
        <f>IF(SEFAZ!C582="","",SEFAZ!C582)</f>
        <v/>
      </c>
      <c r="D600" t="str">
        <f>IF(SEFAZ!D582="","",SEFAZ!D582)</f>
        <v/>
      </c>
      <c r="E600" s="7" t="str">
        <f>IF(SEFAZ!E582="","",SEFAZ!E582)</f>
        <v/>
      </c>
      <c r="F600" s="6" t="str">
        <f>IF(SEFAZ!F582="","",VALUE(SUBSTITUTE(SEFAZ!F582,"'","")))</f>
        <v/>
      </c>
      <c r="G600" t="str">
        <f>IF(SEFAZ!H582="","",SEFAZ!H582)</f>
        <v/>
      </c>
      <c r="H600" t="str">
        <f>IF(SEFAZ!L582="","",SEFAZ!L582)</f>
        <v/>
      </c>
      <c r="I600" t="str">
        <f>IF(SEFAZ!N582="","",SEFAZ!N582)</f>
        <v/>
      </c>
      <c r="J600" t="str">
        <f>IF(SEFAZ!O582="","",SEFAZ!O582)</f>
        <v/>
      </c>
      <c r="K600" s="11" t="str">
        <f>IF(SEFAZ!P582="","",SEFAZ!P582)</f>
        <v/>
      </c>
      <c r="L600" t="str" cm="1">
        <f t="array" aca="1" ref="L6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0" t="s">
        <v>35</v>
      </c>
      <c r="O600" s="36" t="str">
        <f>IF(SEFAZ!B582="","",SEFAZ!B582)</f>
        <v/>
      </c>
    </row>
    <row r="601" spans="2:15" x14ac:dyDescent="0.3">
      <c r="B601" t="str">
        <f>IF(SEFAZ!A583="","",SEFAZ!A583)</f>
        <v/>
      </c>
      <c r="C601" t="str">
        <f>IF(SEFAZ!C583="","",SEFAZ!C583)</f>
        <v/>
      </c>
      <c r="D601" t="str">
        <f>IF(SEFAZ!D583="","",SEFAZ!D583)</f>
        <v/>
      </c>
      <c r="E601" s="7" t="str">
        <f>IF(SEFAZ!E583="","",SEFAZ!E583)</f>
        <v/>
      </c>
      <c r="F601" s="6" t="str">
        <f>IF(SEFAZ!F583="","",VALUE(SUBSTITUTE(SEFAZ!F583,"'","")))</f>
        <v/>
      </c>
      <c r="G601" t="str">
        <f>IF(SEFAZ!H583="","",SEFAZ!H583)</f>
        <v/>
      </c>
      <c r="H601" t="str">
        <f>IF(SEFAZ!L583="","",SEFAZ!L583)</f>
        <v/>
      </c>
      <c r="I601" t="str">
        <f>IF(SEFAZ!N583="","",SEFAZ!N583)</f>
        <v/>
      </c>
      <c r="J601" t="str">
        <f>IF(SEFAZ!O583="","",SEFAZ!O583)</f>
        <v/>
      </c>
      <c r="K601" s="11" t="str">
        <f>IF(SEFAZ!P583="","",SEFAZ!P583)</f>
        <v/>
      </c>
      <c r="L601" t="str" cm="1">
        <f t="array" aca="1" ref="L6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1" t="s">
        <v>35</v>
      </c>
      <c r="O601" s="36" t="str">
        <f>IF(SEFAZ!B583="","",SEFAZ!B583)</f>
        <v/>
      </c>
    </row>
    <row r="602" spans="2:15" x14ac:dyDescent="0.3">
      <c r="B602" t="str">
        <f>IF(SEFAZ!A584="","",SEFAZ!A584)</f>
        <v/>
      </c>
      <c r="C602" t="str">
        <f>IF(SEFAZ!C584="","",SEFAZ!C584)</f>
        <v/>
      </c>
      <c r="D602" t="str">
        <f>IF(SEFAZ!D584="","",SEFAZ!D584)</f>
        <v/>
      </c>
      <c r="E602" s="7" t="str">
        <f>IF(SEFAZ!E584="","",SEFAZ!E584)</f>
        <v/>
      </c>
      <c r="F602" s="6" t="str">
        <f>IF(SEFAZ!F584="","",VALUE(SUBSTITUTE(SEFAZ!F584,"'","")))</f>
        <v/>
      </c>
      <c r="G602" t="str">
        <f>IF(SEFAZ!H584="","",SEFAZ!H584)</f>
        <v/>
      </c>
      <c r="H602" t="str">
        <f>IF(SEFAZ!L584="","",SEFAZ!L584)</f>
        <v/>
      </c>
      <c r="I602" t="str">
        <f>IF(SEFAZ!N584="","",SEFAZ!N584)</f>
        <v/>
      </c>
      <c r="J602" t="str">
        <f>IF(SEFAZ!O584="","",SEFAZ!O584)</f>
        <v/>
      </c>
      <c r="K602" s="11" t="str">
        <f>IF(SEFAZ!P584="","",SEFAZ!P584)</f>
        <v/>
      </c>
      <c r="L602" t="str" cm="1">
        <f t="array" aca="1" ref="L6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2" t="s">
        <v>35</v>
      </c>
      <c r="O602" s="36" t="str">
        <f>IF(SEFAZ!B584="","",SEFAZ!B584)</f>
        <v/>
      </c>
    </row>
    <row r="603" spans="2:15" x14ac:dyDescent="0.3">
      <c r="B603" t="str">
        <f>IF(SEFAZ!A585="","",SEFAZ!A585)</f>
        <v/>
      </c>
      <c r="C603" t="str">
        <f>IF(SEFAZ!C585="","",SEFAZ!C585)</f>
        <v/>
      </c>
      <c r="D603" t="str">
        <f>IF(SEFAZ!D585="","",SEFAZ!D585)</f>
        <v/>
      </c>
      <c r="E603" s="7" t="str">
        <f>IF(SEFAZ!E585="","",SEFAZ!E585)</f>
        <v/>
      </c>
      <c r="F603" s="6" t="str">
        <f>IF(SEFAZ!F585="","",VALUE(SUBSTITUTE(SEFAZ!F585,"'","")))</f>
        <v/>
      </c>
      <c r="G603" t="str">
        <f>IF(SEFAZ!H585="","",SEFAZ!H585)</f>
        <v/>
      </c>
      <c r="H603" t="str">
        <f>IF(SEFAZ!L585="","",SEFAZ!L585)</f>
        <v/>
      </c>
      <c r="I603" t="str">
        <f>IF(SEFAZ!N585="","",SEFAZ!N585)</f>
        <v/>
      </c>
      <c r="J603" t="str">
        <f>IF(SEFAZ!O585="","",SEFAZ!O585)</f>
        <v/>
      </c>
      <c r="K603" s="11" t="str">
        <f>IF(SEFAZ!P585="","",SEFAZ!P585)</f>
        <v/>
      </c>
      <c r="L603" t="str" cm="1">
        <f t="array" aca="1" ref="L6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3" t="s">
        <v>35</v>
      </c>
      <c r="O603" s="36" t="str">
        <f>IF(SEFAZ!B585="","",SEFAZ!B585)</f>
        <v/>
      </c>
    </row>
    <row r="604" spans="2:15" x14ac:dyDescent="0.3">
      <c r="B604" t="str">
        <f>IF(SEFAZ!A586="","",SEFAZ!A586)</f>
        <v/>
      </c>
      <c r="C604" t="str">
        <f>IF(SEFAZ!C586="","",SEFAZ!C586)</f>
        <v/>
      </c>
      <c r="D604" t="str">
        <f>IF(SEFAZ!D586="","",SEFAZ!D586)</f>
        <v/>
      </c>
      <c r="E604" s="7" t="str">
        <f>IF(SEFAZ!E586="","",SEFAZ!E586)</f>
        <v/>
      </c>
      <c r="F604" s="6" t="str">
        <f>IF(SEFAZ!F586="","",VALUE(SUBSTITUTE(SEFAZ!F586,"'","")))</f>
        <v/>
      </c>
      <c r="G604" t="str">
        <f>IF(SEFAZ!H586="","",SEFAZ!H586)</f>
        <v/>
      </c>
      <c r="H604" t="str">
        <f>IF(SEFAZ!L586="","",SEFAZ!L586)</f>
        <v/>
      </c>
      <c r="I604" t="str">
        <f>IF(SEFAZ!N586="","",SEFAZ!N586)</f>
        <v/>
      </c>
      <c r="J604" t="str">
        <f>IF(SEFAZ!O586="","",SEFAZ!O586)</f>
        <v/>
      </c>
      <c r="K604" s="11" t="str">
        <f>IF(SEFAZ!P586="","",SEFAZ!P586)</f>
        <v/>
      </c>
      <c r="L604" t="str" cm="1">
        <f t="array" aca="1" ref="L6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4" t="s">
        <v>35</v>
      </c>
      <c r="O604" s="36" t="str">
        <f>IF(SEFAZ!B586="","",SEFAZ!B586)</f>
        <v/>
      </c>
    </row>
    <row r="605" spans="2:15" x14ac:dyDescent="0.3">
      <c r="B605" t="str">
        <f>IF(SEFAZ!A587="","",SEFAZ!A587)</f>
        <v/>
      </c>
      <c r="C605" t="str">
        <f>IF(SEFAZ!C587="","",SEFAZ!C587)</f>
        <v/>
      </c>
      <c r="D605" t="str">
        <f>IF(SEFAZ!D587="","",SEFAZ!D587)</f>
        <v/>
      </c>
      <c r="E605" s="7" t="str">
        <f>IF(SEFAZ!E587="","",SEFAZ!E587)</f>
        <v/>
      </c>
      <c r="F605" s="6" t="str">
        <f>IF(SEFAZ!F587="","",VALUE(SUBSTITUTE(SEFAZ!F587,"'","")))</f>
        <v/>
      </c>
      <c r="G605" t="str">
        <f>IF(SEFAZ!H587="","",SEFAZ!H587)</f>
        <v/>
      </c>
      <c r="H605" t="str">
        <f>IF(SEFAZ!L587="","",SEFAZ!L587)</f>
        <v/>
      </c>
      <c r="I605" t="str">
        <f>IF(SEFAZ!N587="","",SEFAZ!N587)</f>
        <v/>
      </c>
      <c r="J605" t="str">
        <f>IF(SEFAZ!O587="","",SEFAZ!O587)</f>
        <v/>
      </c>
      <c r="K605" s="11" t="str">
        <f>IF(SEFAZ!P587="","",SEFAZ!P587)</f>
        <v/>
      </c>
      <c r="L605" t="str" cm="1">
        <f t="array" aca="1" ref="L6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5" t="s">
        <v>35</v>
      </c>
      <c r="O605" s="36" t="str">
        <f>IF(SEFAZ!B587="","",SEFAZ!B587)</f>
        <v/>
      </c>
    </row>
    <row r="606" spans="2:15" x14ac:dyDescent="0.3">
      <c r="B606" t="str">
        <f>IF(SEFAZ!A588="","",SEFAZ!A588)</f>
        <v/>
      </c>
      <c r="C606" t="str">
        <f>IF(SEFAZ!C588="","",SEFAZ!C588)</f>
        <v/>
      </c>
      <c r="D606" t="str">
        <f>IF(SEFAZ!D588="","",SEFAZ!D588)</f>
        <v/>
      </c>
      <c r="E606" s="7" t="str">
        <f>IF(SEFAZ!E588="","",SEFAZ!E588)</f>
        <v/>
      </c>
      <c r="F606" s="6" t="str">
        <f>IF(SEFAZ!F588="","",VALUE(SUBSTITUTE(SEFAZ!F588,"'","")))</f>
        <v/>
      </c>
      <c r="G606" t="str">
        <f>IF(SEFAZ!H588="","",SEFAZ!H588)</f>
        <v/>
      </c>
      <c r="H606" t="str">
        <f>IF(SEFAZ!L588="","",SEFAZ!L588)</f>
        <v/>
      </c>
      <c r="I606" t="str">
        <f>IF(SEFAZ!N588="","",SEFAZ!N588)</f>
        <v/>
      </c>
      <c r="J606" t="str">
        <f>IF(SEFAZ!O588="","",SEFAZ!O588)</f>
        <v/>
      </c>
      <c r="K606" s="11" t="str">
        <f>IF(SEFAZ!P588="","",SEFAZ!P588)</f>
        <v/>
      </c>
      <c r="L606" t="str" cm="1">
        <f t="array" aca="1" ref="L6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6" t="s">
        <v>35</v>
      </c>
      <c r="O606" s="36" t="str">
        <f>IF(SEFAZ!B588="","",SEFAZ!B588)</f>
        <v/>
      </c>
    </row>
    <row r="607" spans="2:15" x14ac:dyDescent="0.3">
      <c r="B607" t="str">
        <f>IF(SEFAZ!A589="","",SEFAZ!A589)</f>
        <v/>
      </c>
      <c r="C607" t="str">
        <f>IF(SEFAZ!C589="","",SEFAZ!C589)</f>
        <v/>
      </c>
      <c r="D607" t="str">
        <f>IF(SEFAZ!D589="","",SEFAZ!D589)</f>
        <v/>
      </c>
      <c r="E607" s="7" t="str">
        <f>IF(SEFAZ!E589="","",SEFAZ!E589)</f>
        <v/>
      </c>
      <c r="F607" s="6" t="str">
        <f>IF(SEFAZ!F589="","",VALUE(SUBSTITUTE(SEFAZ!F589,"'","")))</f>
        <v/>
      </c>
      <c r="G607" t="str">
        <f>IF(SEFAZ!H589="","",SEFAZ!H589)</f>
        <v/>
      </c>
      <c r="H607" t="str">
        <f>IF(SEFAZ!L589="","",SEFAZ!L589)</f>
        <v/>
      </c>
      <c r="I607" t="str">
        <f>IF(SEFAZ!N589="","",SEFAZ!N589)</f>
        <v/>
      </c>
      <c r="J607" t="str">
        <f>IF(SEFAZ!O589="","",SEFAZ!O589)</f>
        <v/>
      </c>
      <c r="K607" s="11" t="str">
        <f>IF(SEFAZ!P589="","",SEFAZ!P589)</f>
        <v/>
      </c>
      <c r="L607" t="str" cm="1">
        <f t="array" aca="1" ref="L6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7" t="s">
        <v>35</v>
      </c>
      <c r="O607" s="36" t="str">
        <f>IF(SEFAZ!B589="","",SEFAZ!B589)</f>
        <v/>
      </c>
    </row>
    <row r="608" spans="2:15" x14ac:dyDescent="0.3">
      <c r="B608" t="str">
        <f>IF(SEFAZ!A590="","",SEFAZ!A590)</f>
        <v/>
      </c>
      <c r="C608" t="str">
        <f>IF(SEFAZ!C590="","",SEFAZ!C590)</f>
        <v/>
      </c>
      <c r="D608" t="str">
        <f>IF(SEFAZ!D590="","",SEFAZ!D590)</f>
        <v/>
      </c>
      <c r="E608" s="7" t="str">
        <f>IF(SEFAZ!E590="","",SEFAZ!E590)</f>
        <v/>
      </c>
      <c r="F608" s="6" t="str">
        <f>IF(SEFAZ!F590="","",VALUE(SUBSTITUTE(SEFAZ!F590,"'","")))</f>
        <v/>
      </c>
      <c r="G608" t="str">
        <f>IF(SEFAZ!H590="","",SEFAZ!H590)</f>
        <v/>
      </c>
      <c r="H608" t="str">
        <f>IF(SEFAZ!L590="","",SEFAZ!L590)</f>
        <v/>
      </c>
      <c r="I608" t="str">
        <f>IF(SEFAZ!N590="","",SEFAZ!N590)</f>
        <v/>
      </c>
      <c r="J608" t="str">
        <f>IF(SEFAZ!O590="","",SEFAZ!O590)</f>
        <v/>
      </c>
      <c r="K608" s="11" t="str">
        <f>IF(SEFAZ!P590="","",SEFAZ!P590)</f>
        <v/>
      </c>
      <c r="L608" t="str" cm="1">
        <f t="array" aca="1" ref="L6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8" t="s">
        <v>35</v>
      </c>
      <c r="O608" s="36" t="str">
        <f>IF(SEFAZ!B590="","",SEFAZ!B590)</f>
        <v/>
      </c>
    </row>
    <row r="609" spans="2:15" x14ac:dyDescent="0.3">
      <c r="B609" t="str">
        <f>IF(SEFAZ!A591="","",SEFAZ!A591)</f>
        <v/>
      </c>
      <c r="C609" t="str">
        <f>IF(SEFAZ!C591="","",SEFAZ!C591)</f>
        <v/>
      </c>
      <c r="D609" t="str">
        <f>IF(SEFAZ!D591="","",SEFAZ!D591)</f>
        <v/>
      </c>
      <c r="E609" s="7" t="str">
        <f>IF(SEFAZ!E591="","",SEFAZ!E591)</f>
        <v/>
      </c>
      <c r="F609" s="6" t="str">
        <f>IF(SEFAZ!F591="","",VALUE(SUBSTITUTE(SEFAZ!F591,"'","")))</f>
        <v/>
      </c>
      <c r="G609" t="str">
        <f>IF(SEFAZ!H591="","",SEFAZ!H591)</f>
        <v/>
      </c>
      <c r="H609" t="str">
        <f>IF(SEFAZ!L591="","",SEFAZ!L591)</f>
        <v/>
      </c>
      <c r="I609" t="str">
        <f>IF(SEFAZ!N591="","",SEFAZ!N591)</f>
        <v/>
      </c>
      <c r="J609" t="str">
        <f>IF(SEFAZ!O591="","",SEFAZ!O591)</f>
        <v/>
      </c>
      <c r="K609" s="11" t="str">
        <f>IF(SEFAZ!P591="","",SEFAZ!P591)</f>
        <v/>
      </c>
      <c r="L609" t="str" cm="1">
        <f t="array" aca="1" ref="L6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09" t="s">
        <v>35</v>
      </c>
      <c r="O609" s="36" t="str">
        <f>IF(SEFAZ!B591="","",SEFAZ!B591)</f>
        <v/>
      </c>
    </row>
    <row r="610" spans="2:15" x14ac:dyDescent="0.3">
      <c r="B610" t="str">
        <f>IF(SEFAZ!A592="","",SEFAZ!A592)</f>
        <v/>
      </c>
      <c r="C610" t="str">
        <f>IF(SEFAZ!C592="","",SEFAZ!C592)</f>
        <v/>
      </c>
      <c r="D610" t="str">
        <f>IF(SEFAZ!D592="","",SEFAZ!D592)</f>
        <v/>
      </c>
      <c r="E610" s="7" t="str">
        <f>IF(SEFAZ!E592="","",SEFAZ!E592)</f>
        <v/>
      </c>
      <c r="F610" s="6" t="str">
        <f>IF(SEFAZ!F592="","",VALUE(SUBSTITUTE(SEFAZ!F592,"'","")))</f>
        <v/>
      </c>
      <c r="G610" t="str">
        <f>IF(SEFAZ!H592="","",SEFAZ!H592)</f>
        <v/>
      </c>
      <c r="H610" t="str">
        <f>IF(SEFAZ!L592="","",SEFAZ!L592)</f>
        <v/>
      </c>
      <c r="I610" t="str">
        <f>IF(SEFAZ!N592="","",SEFAZ!N592)</f>
        <v/>
      </c>
      <c r="J610" t="str">
        <f>IF(SEFAZ!O592="","",SEFAZ!O592)</f>
        <v/>
      </c>
      <c r="K610" s="11" t="str">
        <f>IF(SEFAZ!P592="","",SEFAZ!P592)</f>
        <v/>
      </c>
      <c r="L610" t="str" cm="1">
        <f t="array" aca="1" ref="L6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0" t="s">
        <v>35</v>
      </c>
      <c r="O610" s="36" t="str">
        <f>IF(SEFAZ!B592="","",SEFAZ!B592)</f>
        <v/>
      </c>
    </row>
    <row r="611" spans="2:15" x14ac:dyDescent="0.3">
      <c r="B611" t="str">
        <f>IF(SEFAZ!A593="","",SEFAZ!A593)</f>
        <v/>
      </c>
      <c r="C611" t="str">
        <f>IF(SEFAZ!C593="","",SEFAZ!C593)</f>
        <v/>
      </c>
      <c r="D611" t="str">
        <f>IF(SEFAZ!D593="","",SEFAZ!D593)</f>
        <v/>
      </c>
      <c r="E611" s="7" t="str">
        <f>IF(SEFAZ!E593="","",SEFAZ!E593)</f>
        <v/>
      </c>
      <c r="F611" s="6" t="str">
        <f>IF(SEFAZ!F593="","",VALUE(SUBSTITUTE(SEFAZ!F593,"'","")))</f>
        <v/>
      </c>
      <c r="G611" t="str">
        <f>IF(SEFAZ!H593="","",SEFAZ!H593)</f>
        <v/>
      </c>
      <c r="H611" t="str">
        <f>IF(SEFAZ!L593="","",SEFAZ!L593)</f>
        <v/>
      </c>
      <c r="I611" t="str">
        <f>IF(SEFAZ!N593="","",SEFAZ!N593)</f>
        <v/>
      </c>
      <c r="J611" t="str">
        <f>IF(SEFAZ!O593="","",SEFAZ!O593)</f>
        <v/>
      </c>
      <c r="K611" s="11" t="str">
        <f>IF(SEFAZ!P593="","",SEFAZ!P593)</f>
        <v/>
      </c>
      <c r="L611" t="str" cm="1">
        <f t="array" aca="1" ref="L6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1" t="s">
        <v>35</v>
      </c>
      <c r="O611" s="36" t="str">
        <f>IF(SEFAZ!B593="","",SEFAZ!B593)</f>
        <v/>
      </c>
    </row>
    <row r="612" spans="2:15" x14ac:dyDescent="0.3">
      <c r="B612" t="str">
        <f>IF(SEFAZ!A594="","",SEFAZ!A594)</f>
        <v/>
      </c>
      <c r="C612" t="str">
        <f>IF(SEFAZ!C594="","",SEFAZ!C594)</f>
        <v/>
      </c>
      <c r="D612" t="str">
        <f>IF(SEFAZ!D594="","",SEFAZ!D594)</f>
        <v/>
      </c>
      <c r="E612" s="7" t="str">
        <f>IF(SEFAZ!E594="","",SEFAZ!E594)</f>
        <v/>
      </c>
      <c r="F612" s="6" t="str">
        <f>IF(SEFAZ!F594="","",VALUE(SUBSTITUTE(SEFAZ!F594,"'","")))</f>
        <v/>
      </c>
      <c r="G612" t="str">
        <f>IF(SEFAZ!H594="","",SEFAZ!H594)</f>
        <v/>
      </c>
      <c r="H612" t="str">
        <f>IF(SEFAZ!L594="","",SEFAZ!L594)</f>
        <v/>
      </c>
      <c r="I612" t="str">
        <f>IF(SEFAZ!N594="","",SEFAZ!N594)</f>
        <v/>
      </c>
      <c r="J612" t="str">
        <f>IF(SEFAZ!O594="","",SEFAZ!O594)</f>
        <v/>
      </c>
      <c r="K612" s="11" t="str">
        <f>IF(SEFAZ!P594="","",SEFAZ!P594)</f>
        <v/>
      </c>
      <c r="L612" t="str" cm="1">
        <f t="array" aca="1" ref="L6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2" t="s">
        <v>35</v>
      </c>
      <c r="O612" s="36" t="str">
        <f>IF(SEFAZ!B594="","",SEFAZ!B594)</f>
        <v/>
      </c>
    </row>
    <row r="613" spans="2:15" x14ac:dyDescent="0.3">
      <c r="B613" t="str">
        <f>IF(SEFAZ!A595="","",SEFAZ!A595)</f>
        <v/>
      </c>
      <c r="C613" t="str">
        <f>IF(SEFAZ!C595="","",SEFAZ!C595)</f>
        <v/>
      </c>
      <c r="D613" t="str">
        <f>IF(SEFAZ!D595="","",SEFAZ!D595)</f>
        <v/>
      </c>
      <c r="E613" s="7" t="str">
        <f>IF(SEFAZ!E595="","",SEFAZ!E595)</f>
        <v/>
      </c>
      <c r="F613" s="6" t="str">
        <f>IF(SEFAZ!F595="","",VALUE(SUBSTITUTE(SEFAZ!F595,"'","")))</f>
        <v/>
      </c>
      <c r="G613" t="str">
        <f>IF(SEFAZ!H595="","",SEFAZ!H595)</f>
        <v/>
      </c>
      <c r="H613" t="str">
        <f>IF(SEFAZ!L595="","",SEFAZ!L595)</f>
        <v/>
      </c>
      <c r="I613" t="str">
        <f>IF(SEFAZ!N595="","",SEFAZ!N595)</f>
        <v/>
      </c>
      <c r="J613" t="str">
        <f>IF(SEFAZ!O595="","",SEFAZ!O595)</f>
        <v/>
      </c>
      <c r="K613" s="11" t="str">
        <f>IF(SEFAZ!P595="","",SEFAZ!P595)</f>
        <v/>
      </c>
      <c r="L613" t="str" cm="1">
        <f t="array" aca="1" ref="L6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3" t="s">
        <v>35</v>
      </c>
      <c r="O613" s="36" t="str">
        <f>IF(SEFAZ!B595="","",SEFAZ!B595)</f>
        <v/>
      </c>
    </row>
    <row r="614" spans="2:15" x14ac:dyDescent="0.3">
      <c r="B614" t="str">
        <f>IF(SEFAZ!A596="","",SEFAZ!A596)</f>
        <v/>
      </c>
      <c r="C614" t="str">
        <f>IF(SEFAZ!C596="","",SEFAZ!C596)</f>
        <v/>
      </c>
      <c r="D614" t="str">
        <f>IF(SEFAZ!D596="","",SEFAZ!D596)</f>
        <v/>
      </c>
      <c r="E614" s="7" t="str">
        <f>IF(SEFAZ!E596="","",SEFAZ!E596)</f>
        <v/>
      </c>
      <c r="F614" s="6" t="str">
        <f>IF(SEFAZ!F596="","",VALUE(SUBSTITUTE(SEFAZ!F596,"'","")))</f>
        <v/>
      </c>
      <c r="G614" t="str">
        <f>IF(SEFAZ!H596="","",SEFAZ!H596)</f>
        <v/>
      </c>
      <c r="H614" t="str">
        <f>IF(SEFAZ!L596="","",SEFAZ!L596)</f>
        <v/>
      </c>
      <c r="I614" t="str">
        <f>IF(SEFAZ!N596="","",SEFAZ!N596)</f>
        <v/>
      </c>
      <c r="J614" t="str">
        <f>IF(SEFAZ!O596="","",SEFAZ!O596)</f>
        <v/>
      </c>
      <c r="K614" s="11" t="str">
        <f>IF(SEFAZ!P596="","",SEFAZ!P596)</f>
        <v/>
      </c>
      <c r="L614" t="str" cm="1">
        <f t="array" aca="1" ref="L6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4" t="s">
        <v>35</v>
      </c>
      <c r="O614" s="36" t="str">
        <f>IF(SEFAZ!B596="","",SEFAZ!B596)</f>
        <v/>
      </c>
    </row>
    <row r="615" spans="2:15" x14ac:dyDescent="0.3">
      <c r="B615" t="str">
        <f>IF(SEFAZ!A597="","",SEFAZ!A597)</f>
        <v/>
      </c>
      <c r="C615" t="str">
        <f>IF(SEFAZ!C597="","",SEFAZ!C597)</f>
        <v/>
      </c>
      <c r="D615" t="str">
        <f>IF(SEFAZ!D597="","",SEFAZ!D597)</f>
        <v/>
      </c>
      <c r="E615" s="7" t="str">
        <f>IF(SEFAZ!E597="","",SEFAZ!E597)</f>
        <v/>
      </c>
      <c r="F615" s="6" t="str">
        <f>IF(SEFAZ!F597="","",VALUE(SUBSTITUTE(SEFAZ!F597,"'","")))</f>
        <v/>
      </c>
      <c r="G615" t="str">
        <f>IF(SEFAZ!H597="","",SEFAZ!H597)</f>
        <v/>
      </c>
      <c r="H615" t="str">
        <f>IF(SEFAZ!L597="","",SEFAZ!L597)</f>
        <v/>
      </c>
      <c r="I615" t="str">
        <f>IF(SEFAZ!N597="","",SEFAZ!N597)</f>
        <v/>
      </c>
      <c r="J615" t="str">
        <f>IF(SEFAZ!O597="","",SEFAZ!O597)</f>
        <v/>
      </c>
      <c r="K615" s="11" t="str">
        <f>IF(SEFAZ!P597="","",SEFAZ!P597)</f>
        <v/>
      </c>
      <c r="L615" t="str" cm="1">
        <f t="array" aca="1" ref="L6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5" t="s">
        <v>35</v>
      </c>
      <c r="O615" s="36" t="str">
        <f>IF(SEFAZ!B597="","",SEFAZ!B597)</f>
        <v/>
      </c>
    </row>
    <row r="616" spans="2:15" x14ac:dyDescent="0.3">
      <c r="B616" t="str">
        <f>IF(SEFAZ!A598="","",SEFAZ!A598)</f>
        <v/>
      </c>
      <c r="C616" t="str">
        <f>IF(SEFAZ!C598="","",SEFAZ!C598)</f>
        <v/>
      </c>
      <c r="D616" t="str">
        <f>IF(SEFAZ!D598="","",SEFAZ!D598)</f>
        <v/>
      </c>
      <c r="E616" s="7" t="str">
        <f>IF(SEFAZ!E598="","",SEFAZ!E598)</f>
        <v/>
      </c>
      <c r="F616" s="6" t="str">
        <f>IF(SEFAZ!F598="","",VALUE(SUBSTITUTE(SEFAZ!F598,"'","")))</f>
        <v/>
      </c>
      <c r="G616" t="str">
        <f>IF(SEFAZ!H598="","",SEFAZ!H598)</f>
        <v/>
      </c>
      <c r="H616" t="str">
        <f>IF(SEFAZ!L598="","",SEFAZ!L598)</f>
        <v/>
      </c>
      <c r="I616" t="str">
        <f>IF(SEFAZ!N598="","",SEFAZ!N598)</f>
        <v/>
      </c>
      <c r="J616" t="str">
        <f>IF(SEFAZ!O598="","",SEFAZ!O598)</f>
        <v/>
      </c>
      <c r="K616" s="11" t="str">
        <f>IF(SEFAZ!P598="","",SEFAZ!P598)</f>
        <v/>
      </c>
      <c r="L616" t="str" cm="1">
        <f t="array" aca="1" ref="L6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6" t="s">
        <v>35</v>
      </c>
      <c r="O616" s="36" t="str">
        <f>IF(SEFAZ!B598="","",SEFAZ!B598)</f>
        <v/>
      </c>
    </row>
    <row r="617" spans="2:15" x14ac:dyDescent="0.3">
      <c r="B617" t="str">
        <f>IF(SEFAZ!A599="","",SEFAZ!A599)</f>
        <v/>
      </c>
      <c r="C617" t="str">
        <f>IF(SEFAZ!C599="","",SEFAZ!C599)</f>
        <v/>
      </c>
      <c r="D617" t="str">
        <f>IF(SEFAZ!D599="","",SEFAZ!D599)</f>
        <v/>
      </c>
      <c r="E617" s="7" t="str">
        <f>IF(SEFAZ!E599="","",SEFAZ!E599)</f>
        <v/>
      </c>
      <c r="F617" s="6" t="str">
        <f>IF(SEFAZ!F599="","",VALUE(SUBSTITUTE(SEFAZ!F599,"'","")))</f>
        <v/>
      </c>
      <c r="G617" t="str">
        <f>IF(SEFAZ!H599="","",SEFAZ!H599)</f>
        <v/>
      </c>
      <c r="H617" t="str">
        <f>IF(SEFAZ!L599="","",SEFAZ!L599)</f>
        <v/>
      </c>
      <c r="I617" t="str">
        <f>IF(SEFAZ!N599="","",SEFAZ!N599)</f>
        <v/>
      </c>
      <c r="J617" t="str">
        <f>IF(SEFAZ!O599="","",SEFAZ!O599)</f>
        <v/>
      </c>
      <c r="K617" s="11" t="str">
        <f>IF(SEFAZ!P599="","",SEFAZ!P599)</f>
        <v/>
      </c>
      <c r="L617" t="str" cm="1">
        <f t="array" aca="1" ref="L6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7" t="s">
        <v>35</v>
      </c>
      <c r="O617" s="36" t="str">
        <f>IF(SEFAZ!B599="","",SEFAZ!B599)</f>
        <v/>
      </c>
    </row>
    <row r="618" spans="2:15" x14ac:dyDescent="0.3">
      <c r="B618" t="str">
        <f>IF(SEFAZ!A600="","",SEFAZ!A600)</f>
        <v/>
      </c>
      <c r="C618" t="str">
        <f>IF(SEFAZ!C600="","",SEFAZ!C600)</f>
        <v/>
      </c>
      <c r="D618" t="str">
        <f>IF(SEFAZ!D600="","",SEFAZ!D600)</f>
        <v/>
      </c>
      <c r="E618" s="7" t="str">
        <f>IF(SEFAZ!E600="","",SEFAZ!E600)</f>
        <v/>
      </c>
      <c r="F618" s="6" t="str">
        <f>IF(SEFAZ!F600="","",VALUE(SUBSTITUTE(SEFAZ!F600,"'","")))</f>
        <v/>
      </c>
      <c r="G618" t="str">
        <f>IF(SEFAZ!H600="","",SEFAZ!H600)</f>
        <v/>
      </c>
      <c r="H618" t="str">
        <f>IF(SEFAZ!L600="","",SEFAZ!L600)</f>
        <v/>
      </c>
      <c r="I618" t="str">
        <f>IF(SEFAZ!N600="","",SEFAZ!N600)</f>
        <v/>
      </c>
      <c r="J618" t="str">
        <f>IF(SEFAZ!O600="","",SEFAZ!O600)</f>
        <v/>
      </c>
      <c r="K618" s="11" t="str">
        <f>IF(SEFAZ!P600="","",SEFAZ!P600)</f>
        <v/>
      </c>
      <c r="L618" t="str" cm="1">
        <f t="array" aca="1" ref="L6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8" t="s">
        <v>35</v>
      </c>
      <c r="O618" s="36" t="str">
        <f>IF(SEFAZ!B600="","",SEFAZ!B600)</f>
        <v/>
      </c>
    </row>
    <row r="619" spans="2:15" x14ac:dyDescent="0.3">
      <c r="B619" t="str">
        <f>IF(SEFAZ!A601="","",SEFAZ!A601)</f>
        <v/>
      </c>
      <c r="C619" t="str">
        <f>IF(SEFAZ!C601="","",SEFAZ!C601)</f>
        <v/>
      </c>
      <c r="D619" t="str">
        <f>IF(SEFAZ!D601="","",SEFAZ!D601)</f>
        <v/>
      </c>
      <c r="E619" s="7" t="str">
        <f>IF(SEFAZ!E601="","",SEFAZ!E601)</f>
        <v/>
      </c>
      <c r="F619" s="6" t="str">
        <f>IF(SEFAZ!F601="","",VALUE(SUBSTITUTE(SEFAZ!F601,"'","")))</f>
        <v/>
      </c>
      <c r="G619" t="str">
        <f>IF(SEFAZ!H601="","",SEFAZ!H601)</f>
        <v/>
      </c>
      <c r="H619" t="str">
        <f>IF(SEFAZ!L601="","",SEFAZ!L601)</f>
        <v/>
      </c>
      <c r="I619" t="str">
        <f>IF(SEFAZ!N601="","",SEFAZ!N601)</f>
        <v/>
      </c>
      <c r="J619" t="str">
        <f>IF(SEFAZ!O601="","",SEFAZ!O601)</f>
        <v/>
      </c>
      <c r="K619" s="11" t="str">
        <f>IF(SEFAZ!P601="","",SEFAZ!P601)</f>
        <v/>
      </c>
      <c r="L619" t="str" cm="1">
        <f t="array" aca="1" ref="L6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19" t="s">
        <v>35</v>
      </c>
      <c r="O619" s="36" t="str">
        <f>IF(SEFAZ!B601="","",SEFAZ!B601)</f>
        <v/>
      </c>
    </row>
    <row r="620" spans="2:15" x14ac:dyDescent="0.3">
      <c r="B620" t="str">
        <f>IF(SEFAZ!A602="","",SEFAZ!A602)</f>
        <v/>
      </c>
      <c r="C620" t="str">
        <f>IF(SEFAZ!C602="","",SEFAZ!C602)</f>
        <v/>
      </c>
      <c r="D620" t="str">
        <f>IF(SEFAZ!D602="","",SEFAZ!D602)</f>
        <v/>
      </c>
      <c r="E620" s="7" t="str">
        <f>IF(SEFAZ!E602="","",SEFAZ!E602)</f>
        <v/>
      </c>
      <c r="F620" s="6" t="str">
        <f>IF(SEFAZ!F602="","",VALUE(SUBSTITUTE(SEFAZ!F602,"'","")))</f>
        <v/>
      </c>
      <c r="G620" t="str">
        <f>IF(SEFAZ!H602="","",SEFAZ!H602)</f>
        <v/>
      </c>
      <c r="H620" t="str">
        <f>IF(SEFAZ!L602="","",SEFAZ!L602)</f>
        <v/>
      </c>
      <c r="I620" t="str">
        <f>IF(SEFAZ!N602="","",SEFAZ!N602)</f>
        <v/>
      </c>
      <c r="J620" t="str">
        <f>IF(SEFAZ!O602="","",SEFAZ!O602)</f>
        <v/>
      </c>
      <c r="K620" s="11" t="str">
        <f>IF(SEFAZ!P602="","",SEFAZ!P602)</f>
        <v/>
      </c>
      <c r="L620" t="str" cm="1">
        <f t="array" aca="1" ref="L6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0" t="s">
        <v>35</v>
      </c>
      <c r="O620" s="36" t="str">
        <f>IF(SEFAZ!B602="","",SEFAZ!B602)</f>
        <v/>
      </c>
    </row>
    <row r="621" spans="2:15" x14ac:dyDescent="0.3">
      <c r="B621" t="str">
        <f>IF(SEFAZ!A603="","",SEFAZ!A603)</f>
        <v/>
      </c>
      <c r="C621" t="str">
        <f>IF(SEFAZ!C603="","",SEFAZ!C603)</f>
        <v/>
      </c>
      <c r="D621" t="str">
        <f>IF(SEFAZ!D603="","",SEFAZ!D603)</f>
        <v/>
      </c>
      <c r="E621" s="7" t="str">
        <f>IF(SEFAZ!E603="","",SEFAZ!E603)</f>
        <v/>
      </c>
      <c r="F621" s="6" t="str">
        <f>IF(SEFAZ!F603="","",VALUE(SUBSTITUTE(SEFAZ!F603,"'","")))</f>
        <v/>
      </c>
      <c r="G621" t="str">
        <f>IF(SEFAZ!H603="","",SEFAZ!H603)</f>
        <v/>
      </c>
      <c r="H621" t="str">
        <f>IF(SEFAZ!L603="","",SEFAZ!L603)</f>
        <v/>
      </c>
      <c r="I621" t="str">
        <f>IF(SEFAZ!N603="","",SEFAZ!N603)</f>
        <v/>
      </c>
      <c r="J621" t="str">
        <f>IF(SEFAZ!O603="","",SEFAZ!O603)</f>
        <v/>
      </c>
      <c r="K621" s="11" t="str">
        <f>IF(SEFAZ!P603="","",SEFAZ!P603)</f>
        <v/>
      </c>
      <c r="L621" t="str" cm="1">
        <f t="array" aca="1" ref="L6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1" t="s">
        <v>35</v>
      </c>
      <c r="O621" s="36" t="str">
        <f>IF(SEFAZ!B603="","",SEFAZ!B603)</f>
        <v/>
      </c>
    </row>
    <row r="622" spans="2:15" x14ac:dyDescent="0.3">
      <c r="B622" t="str">
        <f>IF(SEFAZ!A604="","",SEFAZ!A604)</f>
        <v/>
      </c>
      <c r="C622" t="str">
        <f>IF(SEFAZ!C604="","",SEFAZ!C604)</f>
        <v/>
      </c>
      <c r="D622" t="str">
        <f>IF(SEFAZ!D604="","",SEFAZ!D604)</f>
        <v/>
      </c>
      <c r="E622" s="7" t="str">
        <f>IF(SEFAZ!E604="","",SEFAZ!E604)</f>
        <v/>
      </c>
      <c r="F622" s="6" t="str">
        <f>IF(SEFAZ!F604="","",VALUE(SUBSTITUTE(SEFAZ!F604,"'","")))</f>
        <v/>
      </c>
      <c r="G622" t="str">
        <f>IF(SEFAZ!H604="","",SEFAZ!H604)</f>
        <v/>
      </c>
      <c r="H622" t="str">
        <f>IF(SEFAZ!L604="","",SEFAZ!L604)</f>
        <v/>
      </c>
      <c r="I622" t="str">
        <f>IF(SEFAZ!N604="","",SEFAZ!N604)</f>
        <v/>
      </c>
      <c r="J622" t="str">
        <f>IF(SEFAZ!O604="","",SEFAZ!O604)</f>
        <v/>
      </c>
      <c r="K622" s="11" t="str">
        <f>IF(SEFAZ!P604="","",SEFAZ!P604)</f>
        <v/>
      </c>
      <c r="L622" t="str" cm="1">
        <f t="array" aca="1" ref="L6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2" t="s">
        <v>35</v>
      </c>
      <c r="O622" s="36" t="str">
        <f>IF(SEFAZ!B604="","",SEFAZ!B604)</f>
        <v/>
      </c>
    </row>
    <row r="623" spans="2:15" x14ac:dyDescent="0.3">
      <c r="B623" t="str">
        <f>IF(SEFAZ!A605="","",SEFAZ!A605)</f>
        <v/>
      </c>
      <c r="C623" t="str">
        <f>IF(SEFAZ!C605="","",SEFAZ!C605)</f>
        <v/>
      </c>
      <c r="D623" t="str">
        <f>IF(SEFAZ!D605="","",SEFAZ!D605)</f>
        <v/>
      </c>
      <c r="E623" s="7" t="str">
        <f>IF(SEFAZ!E605="","",SEFAZ!E605)</f>
        <v/>
      </c>
      <c r="F623" s="6" t="str">
        <f>IF(SEFAZ!F605="","",VALUE(SUBSTITUTE(SEFAZ!F605,"'","")))</f>
        <v/>
      </c>
      <c r="G623" t="str">
        <f>IF(SEFAZ!H605="","",SEFAZ!H605)</f>
        <v/>
      </c>
      <c r="H623" t="str">
        <f>IF(SEFAZ!L605="","",SEFAZ!L605)</f>
        <v/>
      </c>
      <c r="I623" t="str">
        <f>IF(SEFAZ!N605="","",SEFAZ!N605)</f>
        <v/>
      </c>
      <c r="J623" t="str">
        <f>IF(SEFAZ!O605="","",SEFAZ!O605)</f>
        <v/>
      </c>
      <c r="K623" s="11" t="str">
        <f>IF(SEFAZ!P605="","",SEFAZ!P605)</f>
        <v/>
      </c>
      <c r="L623" t="str" cm="1">
        <f t="array" aca="1" ref="L6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3" t="s">
        <v>35</v>
      </c>
      <c r="O623" s="36" t="str">
        <f>IF(SEFAZ!B605="","",SEFAZ!B605)</f>
        <v/>
      </c>
    </row>
    <row r="624" spans="2:15" x14ac:dyDescent="0.3">
      <c r="B624" t="str">
        <f>IF(SEFAZ!A606="","",SEFAZ!A606)</f>
        <v/>
      </c>
      <c r="C624" t="str">
        <f>IF(SEFAZ!C606="","",SEFAZ!C606)</f>
        <v/>
      </c>
      <c r="D624" t="str">
        <f>IF(SEFAZ!D606="","",SEFAZ!D606)</f>
        <v/>
      </c>
      <c r="E624" s="7" t="str">
        <f>IF(SEFAZ!E606="","",SEFAZ!E606)</f>
        <v/>
      </c>
      <c r="F624" s="6" t="str">
        <f>IF(SEFAZ!F606="","",VALUE(SUBSTITUTE(SEFAZ!F606,"'","")))</f>
        <v/>
      </c>
      <c r="G624" t="str">
        <f>IF(SEFAZ!H606="","",SEFAZ!H606)</f>
        <v/>
      </c>
      <c r="H624" t="str">
        <f>IF(SEFAZ!L606="","",SEFAZ!L606)</f>
        <v/>
      </c>
      <c r="I624" t="str">
        <f>IF(SEFAZ!N606="","",SEFAZ!N606)</f>
        <v/>
      </c>
      <c r="J624" t="str">
        <f>IF(SEFAZ!O606="","",SEFAZ!O606)</f>
        <v/>
      </c>
      <c r="K624" s="11" t="str">
        <f>IF(SEFAZ!P606="","",SEFAZ!P606)</f>
        <v/>
      </c>
      <c r="L624" t="str" cm="1">
        <f t="array" aca="1" ref="L6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4" t="s">
        <v>35</v>
      </c>
      <c r="O624" s="36" t="str">
        <f>IF(SEFAZ!B606="","",SEFAZ!B606)</f>
        <v/>
      </c>
    </row>
    <row r="625" spans="2:15" x14ac:dyDescent="0.3">
      <c r="B625" t="str">
        <f>IF(SEFAZ!A607="","",SEFAZ!A607)</f>
        <v/>
      </c>
      <c r="C625" t="str">
        <f>IF(SEFAZ!C607="","",SEFAZ!C607)</f>
        <v/>
      </c>
      <c r="D625" t="str">
        <f>IF(SEFAZ!D607="","",SEFAZ!D607)</f>
        <v/>
      </c>
      <c r="E625" s="7" t="str">
        <f>IF(SEFAZ!E607="","",SEFAZ!E607)</f>
        <v/>
      </c>
      <c r="F625" s="6" t="str">
        <f>IF(SEFAZ!F607="","",VALUE(SUBSTITUTE(SEFAZ!F607,"'","")))</f>
        <v/>
      </c>
      <c r="G625" t="str">
        <f>IF(SEFAZ!H607="","",SEFAZ!H607)</f>
        <v/>
      </c>
      <c r="H625" t="str">
        <f>IF(SEFAZ!L607="","",SEFAZ!L607)</f>
        <v/>
      </c>
      <c r="I625" t="str">
        <f>IF(SEFAZ!N607="","",SEFAZ!N607)</f>
        <v/>
      </c>
      <c r="J625" t="str">
        <f>IF(SEFAZ!O607="","",SEFAZ!O607)</f>
        <v/>
      </c>
      <c r="K625" s="11" t="str">
        <f>IF(SEFAZ!P607="","",SEFAZ!P607)</f>
        <v/>
      </c>
      <c r="L625" t="str" cm="1">
        <f t="array" aca="1" ref="L6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5" t="s">
        <v>35</v>
      </c>
      <c r="O625" s="36" t="str">
        <f>IF(SEFAZ!B607="","",SEFAZ!B607)</f>
        <v/>
      </c>
    </row>
    <row r="626" spans="2:15" x14ac:dyDescent="0.3">
      <c r="B626" t="str">
        <f>IF(SEFAZ!A608="","",SEFAZ!A608)</f>
        <v/>
      </c>
      <c r="C626" t="str">
        <f>IF(SEFAZ!C608="","",SEFAZ!C608)</f>
        <v/>
      </c>
      <c r="D626" t="str">
        <f>IF(SEFAZ!D608="","",SEFAZ!D608)</f>
        <v/>
      </c>
      <c r="E626" s="7" t="str">
        <f>IF(SEFAZ!E608="","",SEFAZ!E608)</f>
        <v/>
      </c>
      <c r="F626" s="6" t="str">
        <f>IF(SEFAZ!F608="","",VALUE(SUBSTITUTE(SEFAZ!F608,"'","")))</f>
        <v/>
      </c>
      <c r="G626" t="str">
        <f>IF(SEFAZ!H608="","",SEFAZ!H608)</f>
        <v/>
      </c>
      <c r="H626" t="str">
        <f>IF(SEFAZ!L608="","",SEFAZ!L608)</f>
        <v/>
      </c>
      <c r="I626" t="str">
        <f>IF(SEFAZ!N608="","",SEFAZ!N608)</f>
        <v/>
      </c>
      <c r="J626" t="str">
        <f>IF(SEFAZ!O608="","",SEFAZ!O608)</f>
        <v/>
      </c>
      <c r="K626" s="11" t="str">
        <f>IF(SEFAZ!P608="","",SEFAZ!P608)</f>
        <v/>
      </c>
      <c r="L626" t="str" cm="1">
        <f t="array" aca="1" ref="L6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6" t="s">
        <v>35</v>
      </c>
      <c r="O626" s="36" t="str">
        <f>IF(SEFAZ!B608="","",SEFAZ!B608)</f>
        <v/>
      </c>
    </row>
    <row r="627" spans="2:15" x14ac:dyDescent="0.3">
      <c r="B627" t="str">
        <f>IF(SEFAZ!A609="","",SEFAZ!A609)</f>
        <v/>
      </c>
      <c r="C627" t="str">
        <f>IF(SEFAZ!C609="","",SEFAZ!C609)</f>
        <v/>
      </c>
      <c r="D627" t="str">
        <f>IF(SEFAZ!D609="","",SEFAZ!D609)</f>
        <v/>
      </c>
      <c r="E627" s="7" t="str">
        <f>IF(SEFAZ!E609="","",SEFAZ!E609)</f>
        <v/>
      </c>
      <c r="F627" s="6" t="str">
        <f>IF(SEFAZ!F609="","",VALUE(SUBSTITUTE(SEFAZ!F609,"'","")))</f>
        <v/>
      </c>
      <c r="G627" t="str">
        <f>IF(SEFAZ!H609="","",SEFAZ!H609)</f>
        <v/>
      </c>
      <c r="H627" t="str">
        <f>IF(SEFAZ!L609="","",SEFAZ!L609)</f>
        <v/>
      </c>
      <c r="I627" t="str">
        <f>IF(SEFAZ!N609="","",SEFAZ!N609)</f>
        <v/>
      </c>
      <c r="J627" t="str">
        <f>IF(SEFAZ!O609="","",SEFAZ!O609)</f>
        <v/>
      </c>
      <c r="K627" s="11" t="str">
        <f>IF(SEFAZ!P609="","",SEFAZ!P609)</f>
        <v/>
      </c>
      <c r="L627" t="str" cm="1">
        <f t="array" aca="1" ref="L6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7" t="s">
        <v>35</v>
      </c>
      <c r="O627" s="36" t="str">
        <f>IF(SEFAZ!B609="","",SEFAZ!B609)</f>
        <v/>
      </c>
    </row>
    <row r="628" spans="2:15" x14ac:dyDescent="0.3">
      <c r="B628" t="str">
        <f>IF(SEFAZ!A610="","",SEFAZ!A610)</f>
        <v/>
      </c>
      <c r="C628" t="str">
        <f>IF(SEFAZ!C610="","",SEFAZ!C610)</f>
        <v/>
      </c>
      <c r="D628" t="str">
        <f>IF(SEFAZ!D610="","",SEFAZ!D610)</f>
        <v/>
      </c>
      <c r="E628" s="7" t="str">
        <f>IF(SEFAZ!E610="","",SEFAZ!E610)</f>
        <v/>
      </c>
      <c r="F628" s="6" t="str">
        <f>IF(SEFAZ!F610="","",VALUE(SUBSTITUTE(SEFAZ!F610,"'","")))</f>
        <v/>
      </c>
      <c r="G628" t="str">
        <f>IF(SEFAZ!H610="","",SEFAZ!H610)</f>
        <v/>
      </c>
      <c r="H628" t="str">
        <f>IF(SEFAZ!L610="","",SEFAZ!L610)</f>
        <v/>
      </c>
      <c r="I628" t="str">
        <f>IF(SEFAZ!N610="","",SEFAZ!N610)</f>
        <v/>
      </c>
      <c r="J628" t="str">
        <f>IF(SEFAZ!O610="","",SEFAZ!O610)</f>
        <v/>
      </c>
      <c r="K628" s="11" t="str">
        <f>IF(SEFAZ!P610="","",SEFAZ!P610)</f>
        <v/>
      </c>
      <c r="L628" t="str" cm="1">
        <f t="array" aca="1" ref="L6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8" t="s">
        <v>35</v>
      </c>
      <c r="O628" s="36" t="str">
        <f>IF(SEFAZ!B610="","",SEFAZ!B610)</f>
        <v/>
      </c>
    </row>
    <row r="629" spans="2:15" x14ac:dyDescent="0.3">
      <c r="B629" t="str">
        <f>IF(SEFAZ!A611="","",SEFAZ!A611)</f>
        <v/>
      </c>
      <c r="C629" t="str">
        <f>IF(SEFAZ!C611="","",SEFAZ!C611)</f>
        <v/>
      </c>
      <c r="D629" t="str">
        <f>IF(SEFAZ!D611="","",SEFAZ!D611)</f>
        <v/>
      </c>
      <c r="E629" s="7" t="str">
        <f>IF(SEFAZ!E611="","",SEFAZ!E611)</f>
        <v/>
      </c>
      <c r="F629" s="6" t="str">
        <f>IF(SEFAZ!F611="","",VALUE(SUBSTITUTE(SEFAZ!F611,"'","")))</f>
        <v/>
      </c>
      <c r="G629" t="str">
        <f>IF(SEFAZ!H611="","",SEFAZ!H611)</f>
        <v/>
      </c>
      <c r="H629" t="str">
        <f>IF(SEFAZ!L611="","",SEFAZ!L611)</f>
        <v/>
      </c>
      <c r="I629" t="str">
        <f>IF(SEFAZ!N611="","",SEFAZ!N611)</f>
        <v/>
      </c>
      <c r="J629" t="str">
        <f>IF(SEFAZ!O611="","",SEFAZ!O611)</f>
        <v/>
      </c>
      <c r="K629" s="11" t="str">
        <f>IF(SEFAZ!P611="","",SEFAZ!P611)</f>
        <v/>
      </c>
      <c r="L629" t="str" cm="1">
        <f t="array" aca="1" ref="L6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29" t="s">
        <v>35</v>
      </c>
      <c r="O629" s="36" t="str">
        <f>IF(SEFAZ!B611="","",SEFAZ!B611)</f>
        <v/>
      </c>
    </row>
    <row r="630" spans="2:15" x14ac:dyDescent="0.3">
      <c r="B630" t="str">
        <f>IF(SEFAZ!A612="","",SEFAZ!A612)</f>
        <v/>
      </c>
      <c r="C630" t="str">
        <f>IF(SEFAZ!C612="","",SEFAZ!C612)</f>
        <v/>
      </c>
      <c r="D630" t="str">
        <f>IF(SEFAZ!D612="","",SEFAZ!D612)</f>
        <v/>
      </c>
      <c r="E630" s="7" t="str">
        <f>IF(SEFAZ!E612="","",SEFAZ!E612)</f>
        <v/>
      </c>
      <c r="F630" s="6" t="str">
        <f>IF(SEFAZ!F612="","",VALUE(SUBSTITUTE(SEFAZ!F612,"'","")))</f>
        <v/>
      </c>
      <c r="G630" t="str">
        <f>IF(SEFAZ!H612="","",SEFAZ!H612)</f>
        <v/>
      </c>
      <c r="H630" t="str">
        <f>IF(SEFAZ!L612="","",SEFAZ!L612)</f>
        <v/>
      </c>
      <c r="I630" t="str">
        <f>IF(SEFAZ!N612="","",SEFAZ!N612)</f>
        <v/>
      </c>
      <c r="J630" t="str">
        <f>IF(SEFAZ!O612="","",SEFAZ!O612)</f>
        <v/>
      </c>
      <c r="K630" s="11" t="str">
        <f>IF(SEFAZ!P612="","",SEFAZ!P612)</f>
        <v/>
      </c>
      <c r="L630" t="str" cm="1">
        <f t="array" aca="1" ref="L6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0" t="s">
        <v>35</v>
      </c>
      <c r="O630" s="36" t="str">
        <f>IF(SEFAZ!B612="","",SEFAZ!B612)</f>
        <v/>
      </c>
    </row>
    <row r="631" spans="2:15" x14ac:dyDescent="0.3">
      <c r="B631" t="str">
        <f>IF(SEFAZ!A613="","",SEFAZ!A613)</f>
        <v/>
      </c>
      <c r="C631" t="str">
        <f>IF(SEFAZ!C613="","",SEFAZ!C613)</f>
        <v/>
      </c>
      <c r="D631" t="str">
        <f>IF(SEFAZ!D613="","",SEFAZ!D613)</f>
        <v/>
      </c>
      <c r="E631" s="7" t="str">
        <f>IF(SEFAZ!E613="","",SEFAZ!E613)</f>
        <v/>
      </c>
      <c r="F631" s="6" t="str">
        <f>IF(SEFAZ!F613="","",VALUE(SUBSTITUTE(SEFAZ!F613,"'","")))</f>
        <v/>
      </c>
      <c r="G631" t="str">
        <f>IF(SEFAZ!H613="","",SEFAZ!H613)</f>
        <v/>
      </c>
      <c r="H631" t="str">
        <f>IF(SEFAZ!L613="","",SEFAZ!L613)</f>
        <v/>
      </c>
      <c r="I631" t="str">
        <f>IF(SEFAZ!N613="","",SEFAZ!N613)</f>
        <v/>
      </c>
      <c r="J631" t="str">
        <f>IF(SEFAZ!O613="","",SEFAZ!O613)</f>
        <v/>
      </c>
      <c r="K631" s="11" t="str">
        <f>IF(SEFAZ!P613="","",SEFAZ!P613)</f>
        <v/>
      </c>
      <c r="L631" t="str" cm="1">
        <f t="array" aca="1" ref="L6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1" t="s">
        <v>35</v>
      </c>
      <c r="O631" s="36" t="str">
        <f>IF(SEFAZ!B613="","",SEFAZ!B613)</f>
        <v/>
      </c>
    </row>
    <row r="632" spans="2:15" x14ac:dyDescent="0.3">
      <c r="B632" t="str">
        <f>IF(SEFAZ!A614="","",SEFAZ!A614)</f>
        <v/>
      </c>
      <c r="C632" t="str">
        <f>IF(SEFAZ!C614="","",SEFAZ!C614)</f>
        <v/>
      </c>
      <c r="D632" t="str">
        <f>IF(SEFAZ!D614="","",SEFAZ!D614)</f>
        <v/>
      </c>
      <c r="E632" s="7" t="str">
        <f>IF(SEFAZ!E614="","",SEFAZ!E614)</f>
        <v/>
      </c>
      <c r="F632" s="6" t="str">
        <f>IF(SEFAZ!F614="","",VALUE(SUBSTITUTE(SEFAZ!F614,"'","")))</f>
        <v/>
      </c>
      <c r="G632" t="str">
        <f>IF(SEFAZ!H614="","",SEFAZ!H614)</f>
        <v/>
      </c>
      <c r="H632" t="str">
        <f>IF(SEFAZ!L614="","",SEFAZ!L614)</f>
        <v/>
      </c>
      <c r="I632" t="str">
        <f>IF(SEFAZ!N614="","",SEFAZ!N614)</f>
        <v/>
      </c>
      <c r="J632" t="str">
        <f>IF(SEFAZ!O614="","",SEFAZ!O614)</f>
        <v/>
      </c>
      <c r="K632" s="11" t="str">
        <f>IF(SEFAZ!P614="","",SEFAZ!P614)</f>
        <v/>
      </c>
      <c r="L632" t="str" cm="1">
        <f t="array" aca="1" ref="L6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2" t="s">
        <v>35</v>
      </c>
      <c r="O632" s="36" t="str">
        <f>IF(SEFAZ!B614="","",SEFAZ!B614)</f>
        <v/>
      </c>
    </row>
    <row r="633" spans="2:15" x14ac:dyDescent="0.3">
      <c r="B633" t="str">
        <f>IF(SEFAZ!A615="","",SEFAZ!A615)</f>
        <v/>
      </c>
      <c r="C633" t="str">
        <f>IF(SEFAZ!C615="","",SEFAZ!C615)</f>
        <v/>
      </c>
      <c r="D633" t="str">
        <f>IF(SEFAZ!D615="","",SEFAZ!D615)</f>
        <v/>
      </c>
      <c r="E633" s="7" t="str">
        <f>IF(SEFAZ!E615="","",SEFAZ!E615)</f>
        <v/>
      </c>
      <c r="F633" s="6" t="str">
        <f>IF(SEFAZ!F615="","",VALUE(SUBSTITUTE(SEFAZ!F615,"'","")))</f>
        <v/>
      </c>
      <c r="G633" t="str">
        <f>IF(SEFAZ!H615="","",SEFAZ!H615)</f>
        <v/>
      </c>
      <c r="H633" t="str">
        <f>IF(SEFAZ!L615="","",SEFAZ!L615)</f>
        <v/>
      </c>
      <c r="I633" t="str">
        <f>IF(SEFAZ!N615="","",SEFAZ!N615)</f>
        <v/>
      </c>
      <c r="J633" t="str">
        <f>IF(SEFAZ!O615="","",SEFAZ!O615)</f>
        <v/>
      </c>
      <c r="K633" s="11" t="str">
        <f>IF(SEFAZ!P615="","",SEFAZ!P615)</f>
        <v/>
      </c>
      <c r="L633" t="str" cm="1">
        <f t="array" aca="1" ref="L6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3" t="s">
        <v>35</v>
      </c>
      <c r="O633" s="36" t="str">
        <f>IF(SEFAZ!B615="","",SEFAZ!B615)</f>
        <v/>
      </c>
    </row>
    <row r="634" spans="2:15" x14ac:dyDescent="0.3">
      <c r="B634" t="str">
        <f>IF(SEFAZ!A616="","",SEFAZ!A616)</f>
        <v/>
      </c>
      <c r="C634" t="str">
        <f>IF(SEFAZ!C616="","",SEFAZ!C616)</f>
        <v/>
      </c>
      <c r="D634" t="str">
        <f>IF(SEFAZ!D616="","",SEFAZ!D616)</f>
        <v/>
      </c>
      <c r="E634" s="7" t="str">
        <f>IF(SEFAZ!E616="","",SEFAZ!E616)</f>
        <v/>
      </c>
      <c r="F634" s="6" t="str">
        <f>IF(SEFAZ!F616="","",VALUE(SUBSTITUTE(SEFAZ!F616,"'","")))</f>
        <v/>
      </c>
      <c r="G634" t="str">
        <f>IF(SEFAZ!H616="","",SEFAZ!H616)</f>
        <v/>
      </c>
      <c r="H634" t="str">
        <f>IF(SEFAZ!L616="","",SEFAZ!L616)</f>
        <v/>
      </c>
      <c r="I634" t="str">
        <f>IF(SEFAZ!N616="","",SEFAZ!N616)</f>
        <v/>
      </c>
      <c r="J634" t="str">
        <f>IF(SEFAZ!O616="","",SEFAZ!O616)</f>
        <v/>
      </c>
      <c r="K634" s="11" t="str">
        <f>IF(SEFAZ!P616="","",SEFAZ!P616)</f>
        <v/>
      </c>
      <c r="L634" t="str" cm="1">
        <f t="array" aca="1" ref="L6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4" t="s">
        <v>35</v>
      </c>
      <c r="O634" s="36" t="str">
        <f>IF(SEFAZ!B616="","",SEFAZ!B616)</f>
        <v/>
      </c>
    </row>
    <row r="635" spans="2:15" x14ac:dyDescent="0.3">
      <c r="B635" t="str">
        <f>IF(SEFAZ!A617="","",SEFAZ!A617)</f>
        <v/>
      </c>
      <c r="C635" t="str">
        <f>IF(SEFAZ!C617="","",SEFAZ!C617)</f>
        <v/>
      </c>
      <c r="D635" t="str">
        <f>IF(SEFAZ!D617="","",SEFAZ!D617)</f>
        <v/>
      </c>
      <c r="E635" s="7" t="str">
        <f>IF(SEFAZ!E617="","",SEFAZ!E617)</f>
        <v/>
      </c>
      <c r="F635" s="6" t="str">
        <f>IF(SEFAZ!F617="","",VALUE(SUBSTITUTE(SEFAZ!F617,"'","")))</f>
        <v/>
      </c>
      <c r="G635" t="str">
        <f>IF(SEFAZ!H617="","",SEFAZ!H617)</f>
        <v/>
      </c>
      <c r="H635" t="str">
        <f>IF(SEFAZ!L617="","",SEFAZ!L617)</f>
        <v/>
      </c>
      <c r="I635" t="str">
        <f>IF(SEFAZ!N617="","",SEFAZ!N617)</f>
        <v/>
      </c>
      <c r="J635" t="str">
        <f>IF(SEFAZ!O617="","",SEFAZ!O617)</f>
        <v/>
      </c>
      <c r="K635" s="11" t="str">
        <f>IF(SEFAZ!P617="","",SEFAZ!P617)</f>
        <v/>
      </c>
      <c r="L635" t="str" cm="1">
        <f t="array" aca="1" ref="L6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5" t="s">
        <v>35</v>
      </c>
      <c r="O635" s="36" t="str">
        <f>IF(SEFAZ!B617="","",SEFAZ!B617)</f>
        <v/>
      </c>
    </row>
    <row r="636" spans="2:15" x14ac:dyDescent="0.3">
      <c r="B636" t="str">
        <f>IF(SEFAZ!A618="","",SEFAZ!A618)</f>
        <v/>
      </c>
      <c r="C636" t="str">
        <f>IF(SEFAZ!C618="","",SEFAZ!C618)</f>
        <v/>
      </c>
      <c r="D636" t="str">
        <f>IF(SEFAZ!D618="","",SEFAZ!D618)</f>
        <v/>
      </c>
      <c r="E636" s="7" t="str">
        <f>IF(SEFAZ!E618="","",SEFAZ!E618)</f>
        <v/>
      </c>
      <c r="F636" s="6" t="str">
        <f>IF(SEFAZ!F618="","",VALUE(SUBSTITUTE(SEFAZ!F618,"'","")))</f>
        <v/>
      </c>
      <c r="G636" t="str">
        <f>IF(SEFAZ!H618="","",SEFAZ!H618)</f>
        <v/>
      </c>
      <c r="H636" t="str">
        <f>IF(SEFAZ!L618="","",SEFAZ!L618)</f>
        <v/>
      </c>
      <c r="I636" t="str">
        <f>IF(SEFAZ!N618="","",SEFAZ!N618)</f>
        <v/>
      </c>
      <c r="J636" t="str">
        <f>IF(SEFAZ!O618="","",SEFAZ!O618)</f>
        <v/>
      </c>
      <c r="K636" s="11" t="str">
        <f>IF(SEFAZ!P618="","",SEFAZ!P618)</f>
        <v/>
      </c>
      <c r="L636" t="str" cm="1">
        <f t="array" aca="1" ref="L6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6" t="s">
        <v>35</v>
      </c>
      <c r="O636" s="36" t="str">
        <f>IF(SEFAZ!B618="","",SEFAZ!B618)</f>
        <v/>
      </c>
    </row>
    <row r="637" spans="2:15" x14ac:dyDescent="0.3">
      <c r="B637" t="str">
        <f>IF(SEFAZ!A619="","",SEFAZ!A619)</f>
        <v/>
      </c>
      <c r="C637" t="str">
        <f>IF(SEFAZ!C619="","",SEFAZ!C619)</f>
        <v/>
      </c>
      <c r="D637" t="str">
        <f>IF(SEFAZ!D619="","",SEFAZ!D619)</f>
        <v/>
      </c>
      <c r="E637" s="7" t="str">
        <f>IF(SEFAZ!E619="","",SEFAZ!E619)</f>
        <v/>
      </c>
      <c r="F637" s="6" t="str">
        <f>IF(SEFAZ!F619="","",VALUE(SUBSTITUTE(SEFAZ!F619,"'","")))</f>
        <v/>
      </c>
      <c r="G637" t="str">
        <f>IF(SEFAZ!H619="","",SEFAZ!H619)</f>
        <v/>
      </c>
      <c r="H637" t="str">
        <f>IF(SEFAZ!L619="","",SEFAZ!L619)</f>
        <v/>
      </c>
      <c r="I637" t="str">
        <f>IF(SEFAZ!N619="","",SEFAZ!N619)</f>
        <v/>
      </c>
      <c r="J637" t="str">
        <f>IF(SEFAZ!O619="","",SEFAZ!O619)</f>
        <v/>
      </c>
      <c r="K637" s="11" t="str">
        <f>IF(SEFAZ!P619="","",SEFAZ!P619)</f>
        <v/>
      </c>
      <c r="L637" t="str" cm="1">
        <f t="array" aca="1" ref="L6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7" t="s">
        <v>35</v>
      </c>
      <c r="O637" s="36" t="str">
        <f>IF(SEFAZ!B619="","",SEFAZ!B619)</f>
        <v/>
      </c>
    </row>
    <row r="638" spans="2:15" x14ac:dyDescent="0.3">
      <c r="B638" t="str">
        <f>IF(SEFAZ!A620="","",SEFAZ!A620)</f>
        <v/>
      </c>
      <c r="C638" t="str">
        <f>IF(SEFAZ!C620="","",SEFAZ!C620)</f>
        <v/>
      </c>
      <c r="D638" t="str">
        <f>IF(SEFAZ!D620="","",SEFAZ!D620)</f>
        <v/>
      </c>
      <c r="E638" s="7" t="str">
        <f>IF(SEFAZ!E620="","",SEFAZ!E620)</f>
        <v/>
      </c>
      <c r="F638" s="6" t="str">
        <f>IF(SEFAZ!F620="","",VALUE(SUBSTITUTE(SEFAZ!F620,"'","")))</f>
        <v/>
      </c>
      <c r="G638" t="str">
        <f>IF(SEFAZ!H620="","",SEFAZ!H620)</f>
        <v/>
      </c>
      <c r="H638" t="str">
        <f>IF(SEFAZ!L620="","",SEFAZ!L620)</f>
        <v/>
      </c>
      <c r="I638" t="str">
        <f>IF(SEFAZ!N620="","",SEFAZ!N620)</f>
        <v/>
      </c>
      <c r="J638" t="str">
        <f>IF(SEFAZ!O620="","",SEFAZ!O620)</f>
        <v/>
      </c>
      <c r="K638" s="11" t="str">
        <f>IF(SEFAZ!P620="","",SEFAZ!P620)</f>
        <v/>
      </c>
      <c r="L638" t="str" cm="1">
        <f t="array" aca="1" ref="L6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8" t="s">
        <v>35</v>
      </c>
      <c r="O638" s="36" t="str">
        <f>IF(SEFAZ!B620="","",SEFAZ!B620)</f>
        <v/>
      </c>
    </row>
    <row r="639" spans="2:15" x14ac:dyDescent="0.3">
      <c r="B639" t="str">
        <f>IF(SEFAZ!A621="","",SEFAZ!A621)</f>
        <v/>
      </c>
      <c r="C639" t="str">
        <f>IF(SEFAZ!C621="","",SEFAZ!C621)</f>
        <v/>
      </c>
      <c r="D639" t="str">
        <f>IF(SEFAZ!D621="","",SEFAZ!D621)</f>
        <v/>
      </c>
      <c r="E639" s="7" t="str">
        <f>IF(SEFAZ!E621="","",SEFAZ!E621)</f>
        <v/>
      </c>
      <c r="F639" s="6" t="str">
        <f>IF(SEFAZ!F621="","",VALUE(SUBSTITUTE(SEFAZ!F621,"'","")))</f>
        <v/>
      </c>
      <c r="G639" t="str">
        <f>IF(SEFAZ!H621="","",SEFAZ!H621)</f>
        <v/>
      </c>
      <c r="H639" t="str">
        <f>IF(SEFAZ!L621="","",SEFAZ!L621)</f>
        <v/>
      </c>
      <c r="I639" t="str">
        <f>IF(SEFAZ!N621="","",SEFAZ!N621)</f>
        <v/>
      </c>
      <c r="J639" t="str">
        <f>IF(SEFAZ!O621="","",SEFAZ!O621)</f>
        <v/>
      </c>
      <c r="K639" s="11" t="str">
        <f>IF(SEFAZ!P621="","",SEFAZ!P621)</f>
        <v/>
      </c>
      <c r="L639" t="str" cm="1">
        <f t="array" aca="1" ref="L6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39" t="s">
        <v>35</v>
      </c>
      <c r="O639" s="36" t="str">
        <f>IF(SEFAZ!B621="","",SEFAZ!B621)</f>
        <v/>
      </c>
    </row>
    <row r="640" spans="2:15" x14ac:dyDescent="0.3">
      <c r="B640" t="str">
        <f>IF(SEFAZ!A622="","",SEFAZ!A622)</f>
        <v/>
      </c>
      <c r="C640" t="str">
        <f>IF(SEFAZ!C622="","",SEFAZ!C622)</f>
        <v/>
      </c>
      <c r="D640" t="str">
        <f>IF(SEFAZ!D622="","",SEFAZ!D622)</f>
        <v/>
      </c>
      <c r="E640" s="7" t="str">
        <f>IF(SEFAZ!E622="","",SEFAZ!E622)</f>
        <v/>
      </c>
      <c r="F640" s="6" t="str">
        <f>IF(SEFAZ!F622="","",VALUE(SUBSTITUTE(SEFAZ!F622,"'","")))</f>
        <v/>
      </c>
      <c r="G640" t="str">
        <f>IF(SEFAZ!H622="","",SEFAZ!H622)</f>
        <v/>
      </c>
      <c r="H640" t="str">
        <f>IF(SEFAZ!L622="","",SEFAZ!L622)</f>
        <v/>
      </c>
      <c r="I640" t="str">
        <f>IF(SEFAZ!N622="","",SEFAZ!N622)</f>
        <v/>
      </c>
      <c r="J640" t="str">
        <f>IF(SEFAZ!O622="","",SEFAZ!O622)</f>
        <v/>
      </c>
      <c r="K640" s="11" t="str">
        <f>IF(SEFAZ!P622="","",SEFAZ!P622)</f>
        <v/>
      </c>
      <c r="L640" t="str" cm="1">
        <f t="array" aca="1" ref="L6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0" t="s">
        <v>35</v>
      </c>
      <c r="O640" s="36" t="str">
        <f>IF(SEFAZ!B622="","",SEFAZ!B622)</f>
        <v/>
      </c>
    </row>
    <row r="641" spans="2:15" x14ac:dyDescent="0.3">
      <c r="B641" t="str">
        <f>IF(SEFAZ!A623="","",SEFAZ!A623)</f>
        <v/>
      </c>
      <c r="C641" t="str">
        <f>IF(SEFAZ!C623="","",SEFAZ!C623)</f>
        <v/>
      </c>
      <c r="D641" t="str">
        <f>IF(SEFAZ!D623="","",SEFAZ!D623)</f>
        <v/>
      </c>
      <c r="E641" s="7" t="str">
        <f>IF(SEFAZ!E623="","",SEFAZ!E623)</f>
        <v/>
      </c>
      <c r="F641" s="6" t="str">
        <f>IF(SEFAZ!F623="","",VALUE(SUBSTITUTE(SEFAZ!F623,"'","")))</f>
        <v/>
      </c>
      <c r="G641" t="str">
        <f>IF(SEFAZ!H623="","",SEFAZ!H623)</f>
        <v/>
      </c>
      <c r="H641" t="str">
        <f>IF(SEFAZ!L623="","",SEFAZ!L623)</f>
        <v/>
      </c>
      <c r="I641" t="str">
        <f>IF(SEFAZ!N623="","",SEFAZ!N623)</f>
        <v/>
      </c>
      <c r="J641" t="str">
        <f>IF(SEFAZ!O623="","",SEFAZ!O623)</f>
        <v/>
      </c>
      <c r="K641" s="11" t="str">
        <f>IF(SEFAZ!P623="","",SEFAZ!P623)</f>
        <v/>
      </c>
      <c r="L641" t="str" cm="1">
        <f t="array" aca="1" ref="L6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1" t="s">
        <v>35</v>
      </c>
      <c r="O641" s="36" t="str">
        <f>IF(SEFAZ!B623="","",SEFAZ!B623)</f>
        <v/>
      </c>
    </row>
    <row r="642" spans="2:15" x14ac:dyDescent="0.3">
      <c r="B642" t="str">
        <f>IF(SEFAZ!A624="","",SEFAZ!A624)</f>
        <v/>
      </c>
      <c r="C642" t="str">
        <f>IF(SEFAZ!C624="","",SEFAZ!C624)</f>
        <v/>
      </c>
      <c r="D642" t="str">
        <f>IF(SEFAZ!D624="","",SEFAZ!D624)</f>
        <v/>
      </c>
      <c r="E642" s="7" t="str">
        <f>IF(SEFAZ!E624="","",SEFAZ!E624)</f>
        <v/>
      </c>
      <c r="F642" s="6" t="str">
        <f>IF(SEFAZ!F624="","",VALUE(SUBSTITUTE(SEFAZ!F624,"'","")))</f>
        <v/>
      </c>
      <c r="G642" t="str">
        <f>IF(SEFAZ!H624="","",SEFAZ!H624)</f>
        <v/>
      </c>
      <c r="H642" t="str">
        <f>IF(SEFAZ!L624="","",SEFAZ!L624)</f>
        <v/>
      </c>
      <c r="I642" t="str">
        <f>IF(SEFAZ!N624="","",SEFAZ!N624)</f>
        <v/>
      </c>
      <c r="J642" t="str">
        <f>IF(SEFAZ!O624="","",SEFAZ!O624)</f>
        <v/>
      </c>
      <c r="K642" s="11" t="str">
        <f>IF(SEFAZ!P624="","",SEFAZ!P624)</f>
        <v/>
      </c>
      <c r="L642" t="str" cm="1">
        <f t="array" aca="1" ref="L6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2" t="s">
        <v>35</v>
      </c>
      <c r="O642" s="36" t="str">
        <f>IF(SEFAZ!B624="","",SEFAZ!B624)</f>
        <v/>
      </c>
    </row>
    <row r="643" spans="2:15" x14ac:dyDescent="0.3">
      <c r="B643" t="str">
        <f>IF(SEFAZ!A625="","",SEFAZ!A625)</f>
        <v/>
      </c>
      <c r="C643" t="str">
        <f>IF(SEFAZ!C625="","",SEFAZ!C625)</f>
        <v/>
      </c>
      <c r="D643" t="str">
        <f>IF(SEFAZ!D625="","",SEFAZ!D625)</f>
        <v/>
      </c>
      <c r="E643" s="7" t="str">
        <f>IF(SEFAZ!E625="","",SEFAZ!E625)</f>
        <v/>
      </c>
      <c r="F643" s="6" t="str">
        <f>IF(SEFAZ!F625="","",VALUE(SUBSTITUTE(SEFAZ!F625,"'","")))</f>
        <v/>
      </c>
      <c r="G643" t="str">
        <f>IF(SEFAZ!H625="","",SEFAZ!H625)</f>
        <v/>
      </c>
      <c r="H643" t="str">
        <f>IF(SEFAZ!L625="","",SEFAZ!L625)</f>
        <v/>
      </c>
      <c r="I643" t="str">
        <f>IF(SEFAZ!N625="","",SEFAZ!N625)</f>
        <v/>
      </c>
      <c r="J643" t="str">
        <f>IF(SEFAZ!O625="","",SEFAZ!O625)</f>
        <v/>
      </c>
      <c r="K643" s="11" t="str">
        <f>IF(SEFAZ!P625="","",SEFAZ!P625)</f>
        <v/>
      </c>
      <c r="L643" t="str" cm="1">
        <f t="array" aca="1" ref="L6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3" t="s">
        <v>35</v>
      </c>
      <c r="O643" s="36" t="str">
        <f>IF(SEFAZ!B625="","",SEFAZ!B625)</f>
        <v/>
      </c>
    </row>
    <row r="644" spans="2:15" x14ac:dyDescent="0.3">
      <c r="B644" t="str">
        <f>IF(SEFAZ!A626="","",SEFAZ!A626)</f>
        <v/>
      </c>
      <c r="C644" t="str">
        <f>IF(SEFAZ!C626="","",SEFAZ!C626)</f>
        <v/>
      </c>
      <c r="D644" t="str">
        <f>IF(SEFAZ!D626="","",SEFAZ!D626)</f>
        <v/>
      </c>
      <c r="E644" s="7" t="str">
        <f>IF(SEFAZ!E626="","",SEFAZ!E626)</f>
        <v/>
      </c>
      <c r="F644" s="6" t="str">
        <f>IF(SEFAZ!F626="","",VALUE(SUBSTITUTE(SEFAZ!F626,"'","")))</f>
        <v/>
      </c>
      <c r="G644" t="str">
        <f>IF(SEFAZ!H626="","",SEFAZ!H626)</f>
        <v/>
      </c>
      <c r="H644" t="str">
        <f>IF(SEFAZ!L626="","",SEFAZ!L626)</f>
        <v/>
      </c>
      <c r="I644" t="str">
        <f>IF(SEFAZ!N626="","",SEFAZ!N626)</f>
        <v/>
      </c>
      <c r="J644" t="str">
        <f>IF(SEFAZ!O626="","",SEFAZ!O626)</f>
        <v/>
      </c>
      <c r="K644" s="11" t="str">
        <f>IF(SEFAZ!P626="","",SEFAZ!P626)</f>
        <v/>
      </c>
      <c r="L644" t="str" cm="1">
        <f t="array" aca="1" ref="L6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4" t="s">
        <v>35</v>
      </c>
      <c r="O644" s="36" t="str">
        <f>IF(SEFAZ!B626="","",SEFAZ!B626)</f>
        <v/>
      </c>
    </row>
    <row r="645" spans="2:15" x14ac:dyDescent="0.3">
      <c r="B645" t="str">
        <f>IF(SEFAZ!A627="","",SEFAZ!A627)</f>
        <v/>
      </c>
      <c r="C645" t="str">
        <f>IF(SEFAZ!C627="","",SEFAZ!C627)</f>
        <v/>
      </c>
      <c r="D645" t="str">
        <f>IF(SEFAZ!D627="","",SEFAZ!D627)</f>
        <v/>
      </c>
      <c r="E645" s="7" t="str">
        <f>IF(SEFAZ!E627="","",SEFAZ!E627)</f>
        <v/>
      </c>
      <c r="F645" s="6" t="str">
        <f>IF(SEFAZ!F627="","",VALUE(SUBSTITUTE(SEFAZ!F627,"'","")))</f>
        <v/>
      </c>
      <c r="G645" t="str">
        <f>IF(SEFAZ!H627="","",SEFAZ!H627)</f>
        <v/>
      </c>
      <c r="H645" t="str">
        <f>IF(SEFAZ!L627="","",SEFAZ!L627)</f>
        <v/>
      </c>
      <c r="I645" t="str">
        <f>IF(SEFAZ!N627="","",SEFAZ!N627)</f>
        <v/>
      </c>
      <c r="J645" t="str">
        <f>IF(SEFAZ!O627="","",SEFAZ!O627)</f>
        <v/>
      </c>
      <c r="K645" s="11" t="str">
        <f>IF(SEFAZ!P627="","",SEFAZ!P627)</f>
        <v/>
      </c>
      <c r="L645" t="str" cm="1">
        <f t="array" aca="1" ref="L6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5" t="s">
        <v>35</v>
      </c>
      <c r="O645" s="36" t="str">
        <f>IF(SEFAZ!B627="","",SEFAZ!B627)</f>
        <v/>
      </c>
    </row>
    <row r="646" spans="2:15" x14ac:dyDescent="0.3">
      <c r="B646" t="str">
        <f>IF(SEFAZ!A628="","",SEFAZ!A628)</f>
        <v/>
      </c>
      <c r="C646" t="str">
        <f>IF(SEFAZ!C628="","",SEFAZ!C628)</f>
        <v/>
      </c>
      <c r="D646" t="str">
        <f>IF(SEFAZ!D628="","",SEFAZ!D628)</f>
        <v/>
      </c>
      <c r="E646" s="7" t="str">
        <f>IF(SEFAZ!E628="","",SEFAZ!E628)</f>
        <v/>
      </c>
      <c r="F646" s="6" t="str">
        <f>IF(SEFAZ!F628="","",VALUE(SUBSTITUTE(SEFAZ!F628,"'","")))</f>
        <v/>
      </c>
      <c r="G646" t="str">
        <f>IF(SEFAZ!H628="","",SEFAZ!H628)</f>
        <v/>
      </c>
      <c r="H646" t="str">
        <f>IF(SEFAZ!L628="","",SEFAZ!L628)</f>
        <v/>
      </c>
      <c r="I646" t="str">
        <f>IF(SEFAZ!N628="","",SEFAZ!N628)</f>
        <v/>
      </c>
      <c r="J646" t="str">
        <f>IF(SEFAZ!O628="","",SEFAZ!O628)</f>
        <v/>
      </c>
      <c r="K646" s="11" t="str">
        <f>IF(SEFAZ!P628="","",SEFAZ!P628)</f>
        <v/>
      </c>
      <c r="L646" t="str" cm="1">
        <f t="array" aca="1" ref="L6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6" t="s">
        <v>35</v>
      </c>
      <c r="O646" s="36" t="str">
        <f>IF(SEFAZ!B628="","",SEFAZ!B628)</f>
        <v/>
      </c>
    </row>
    <row r="647" spans="2:15" x14ac:dyDescent="0.3">
      <c r="B647" t="str">
        <f>IF(SEFAZ!A629="","",SEFAZ!A629)</f>
        <v/>
      </c>
      <c r="C647" t="str">
        <f>IF(SEFAZ!C629="","",SEFAZ!C629)</f>
        <v/>
      </c>
      <c r="D647" t="str">
        <f>IF(SEFAZ!D629="","",SEFAZ!D629)</f>
        <v/>
      </c>
      <c r="E647" s="7" t="str">
        <f>IF(SEFAZ!E629="","",SEFAZ!E629)</f>
        <v/>
      </c>
      <c r="F647" s="6" t="str">
        <f>IF(SEFAZ!F629="","",VALUE(SUBSTITUTE(SEFAZ!F629,"'","")))</f>
        <v/>
      </c>
      <c r="G647" t="str">
        <f>IF(SEFAZ!H629="","",SEFAZ!H629)</f>
        <v/>
      </c>
      <c r="H647" t="str">
        <f>IF(SEFAZ!L629="","",SEFAZ!L629)</f>
        <v/>
      </c>
      <c r="I647" t="str">
        <f>IF(SEFAZ!N629="","",SEFAZ!N629)</f>
        <v/>
      </c>
      <c r="J647" t="str">
        <f>IF(SEFAZ!O629="","",SEFAZ!O629)</f>
        <v/>
      </c>
      <c r="K647" s="11" t="str">
        <f>IF(SEFAZ!P629="","",SEFAZ!P629)</f>
        <v/>
      </c>
      <c r="L647" t="str" cm="1">
        <f t="array" aca="1" ref="L6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7" t="s">
        <v>35</v>
      </c>
      <c r="O647" s="36" t="str">
        <f>IF(SEFAZ!B629="","",SEFAZ!B629)</f>
        <v/>
      </c>
    </row>
    <row r="648" spans="2:15" x14ac:dyDescent="0.3">
      <c r="B648" t="str">
        <f>IF(SEFAZ!A630="","",SEFAZ!A630)</f>
        <v/>
      </c>
      <c r="C648" t="str">
        <f>IF(SEFAZ!C630="","",SEFAZ!C630)</f>
        <v/>
      </c>
      <c r="D648" t="str">
        <f>IF(SEFAZ!D630="","",SEFAZ!D630)</f>
        <v/>
      </c>
      <c r="E648" s="7" t="str">
        <f>IF(SEFAZ!E630="","",SEFAZ!E630)</f>
        <v/>
      </c>
      <c r="F648" s="6" t="str">
        <f>IF(SEFAZ!F630="","",VALUE(SUBSTITUTE(SEFAZ!F630,"'","")))</f>
        <v/>
      </c>
      <c r="G648" t="str">
        <f>IF(SEFAZ!H630="","",SEFAZ!H630)</f>
        <v/>
      </c>
      <c r="H648" t="str">
        <f>IF(SEFAZ!L630="","",SEFAZ!L630)</f>
        <v/>
      </c>
      <c r="I648" t="str">
        <f>IF(SEFAZ!N630="","",SEFAZ!N630)</f>
        <v/>
      </c>
      <c r="J648" t="str">
        <f>IF(SEFAZ!O630="","",SEFAZ!O630)</f>
        <v/>
      </c>
      <c r="K648" s="11" t="str">
        <f>IF(SEFAZ!P630="","",SEFAZ!P630)</f>
        <v/>
      </c>
      <c r="L648" t="str" cm="1">
        <f t="array" aca="1" ref="L6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8" t="s">
        <v>35</v>
      </c>
      <c r="O648" s="36" t="str">
        <f>IF(SEFAZ!B630="","",SEFAZ!B630)</f>
        <v/>
      </c>
    </row>
    <row r="649" spans="2:15" x14ac:dyDescent="0.3">
      <c r="B649" t="str">
        <f>IF(SEFAZ!A631="","",SEFAZ!A631)</f>
        <v/>
      </c>
      <c r="C649" t="str">
        <f>IF(SEFAZ!C631="","",SEFAZ!C631)</f>
        <v/>
      </c>
      <c r="D649" t="str">
        <f>IF(SEFAZ!D631="","",SEFAZ!D631)</f>
        <v/>
      </c>
      <c r="E649" s="7" t="str">
        <f>IF(SEFAZ!E631="","",SEFAZ!E631)</f>
        <v/>
      </c>
      <c r="F649" s="6" t="str">
        <f>IF(SEFAZ!F631="","",VALUE(SUBSTITUTE(SEFAZ!F631,"'","")))</f>
        <v/>
      </c>
      <c r="G649" t="str">
        <f>IF(SEFAZ!H631="","",SEFAZ!H631)</f>
        <v/>
      </c>
      <c r="H649" t="str">
        <f>IF(SEFAZ!L631="","",SEFAZ!L631)</f>
        <v/>
      </c>
      <c r="I649" t="str">
        <f>IF(SEFAZ!N631="","",SEFAZ!N631)</f>
        <v/>
      </c>
      <c r="J649" t="str">
        <f>IF(SEFAZ!O631="","",SEFAZ!O631)</f>
        <v/>
      </c>
      <c r="K649" s="11" t="str">
        <f>IF(SEFAZ!P631="","",SEFAZ!P631)</f>
        <v/>
      </c>
      <c r="L649" t="str" cm="1">
        <f t="array" aca="1" ref="L6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49" t="s">
        <v>35</v>
      </c>
      <c r="O649" s="36" t="str">
        <f>IF(SEFAZ!B631="","",SEFAZ!B631)</f>
        <v/>
      </c>
    </row>
    <row r="650" spans="2:15" x14ac:dyDescent="0.3">
      <c r="B650" t="str">
        <f>IF(SEFAZ!A632="","",SEFAZ!A632)</f>
        <v/>
      </c>
      <c r="C650" t="str">
        <f>IF(SEFAZ!C632="","",SEFAZ!C632)</f>
        <v/>
      </c>
      <c r="D650" t="str">
        <f>IF(SEFAZ!D632="","",SEFAZ!D632)</f>
        <v/>
      </c>
      <c r="E650" s="7" t="str">
        <f>IF(SEFAZ!E632="","",SEFAZ!E632)</f>
        <v/>
      </c>
      <c r="F650" s="6" t="str">
        <f>IF(SEFAZ!F632="","",VALUE(SUBSTITUTE(SEFAZ!F632,"'","")))</f>
        <v/>
      </c>
      <c r="G650" t="str">
        <f>IF(SEFAZ!H632="","",SEFAZ!H632)</f>
        <v/>
      </c>
      <c r="H650" t="str">
        <f>IF(SEFAZ!L632="","",SEFAZ!L632)</f>
        <v/>
      </c>
      <c r="I650" t="str">
        <f>IF(SEFAZ!N632="","",SEFAZ!N632)</f>
        <v/>
      </c>
      <c r="J650" t="str">
        <f>IF(SEFAZ!O632="","",SEFAZ!O632)</f>
        <v/>
      </c>
      <c r="K650" s="11" t="str">
        <f>IF(SEFAZ!P632="","",SEFAZ!P632)</f>
        <v/>
      </c>
      <c r="L650" t="str" cm="1">
        <f t="array" aca="1" ref="L6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0" t="s">
        <v>35</v>
      </c>
      <c r="O650" s="36" t="str">
        <f>IF(SEFAZ!B632="","",SEFAZ!B632)</f>
        <v/>
      </c>
    </row>
    <row r="651" spans="2:15" x14ac:dyDescent="0.3">
      <c r="B651" t="str">
        <f>IF(SEFAZ!A633="","",SEFAZ!A633)</f>
        <v/>
      </c>
      <c r="C651" t="str">
        <f>IF(SEFAZ!C633="","",SEFAZ!C633)</f>
        <v/>
      </c>
      <c r="D651" t="str">
        <f>IF(SEFAZ!D633="","",SEFAZ!D633)</f>
        <v/>
      </c>
      <c r="E651" s="7" t="str">
        <f>IF(SEFAZ!E633="","",SEFAZ!E633)</f>
        <v/>
      </c>
      <c r="F651" s="6" t="str">
        <f>IF(SEFAZ!F633="","",VALUE(SUBSTITUTE(SEFAZ!F633,"'","")))</f>
        <v/>
      </c>
      <c r="G651" t="str">
        <f>IF(SEFAZ!H633="","",SEFAZ!H633)</f>
        <v/>
      </c>
      <c r="H651" t="str">
        <f>IF(SEFAZ!L633="","",SEFAZ!L633)</f>
        <v/>
      </c>
      <c r="I651" t="str">
        <f>IF(SEFAZ!N633="","",SEFAZ!N633)</f>
        <v/>
      </c>
      <c r="J651" t="str">
        <f>IF(SEFAZ!O633="","",SEFAZ!O633)</f>
        <v/>
      </c>
      <c r="K651" s="11" t="str">
        <f>IF(SEFAZ!P633="","",SEFAZ!P633)</f>
        <v/>
      </c>
      <c r="L651" t="str" cm="1">
        <f t="array" aca="1" ref="L6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1" t="s">
        <v>35</v>
      </c>
      <c r="O651" s="36" t="str">
        <f>IF(SEFAZ!B633="","",SEFAZ!B633)</f>
        <v/>
      </c>
    </row>
    <row r="652" spans="2:15" x14ac:dyDescent="0.3">
      <c r="B652" t="str">
        <f>IF(SEFAZ!A634="","",SEFAZ!A634)</f>
        <v/>
      </c>
      <c r="C652" t="str">
        <f>IF(SEFAZ!C634="","",SEFAZ!C634)</f>
        <v/>
      </c>
      <c r="D652" t="str">
        <f>IF(SEFAZ!D634="","",SEFAZ!D634)</f>
        <v/>
      </c>
      <c r="E652" s="7" t="str">
        <f>IF(SEFAZ!E634="","",SEFAZ!E634)</f>
        <v/>
      </c>
      <c r="F652" s="6" t="str">
        <f>IF(SEFAZ!F634="","",VALUE(SUBSTITUTE(SEFAZ!F634,"'","")))</f>
        <v/>
      </c>
      <c r="G652" t="str">
        <f>IF(SEFAZ!H634="","",SEFAZ!H634)</f>
        <v/>
      </c>
      <c r="H652" t="str">
        <f>IF(SEFAZ!L634="","",SEFAZ!L634)</f>
        <v/>
      </c>
      <c r="I652" t="str">
        <f>IF(SEFAZ!N634="","",SEFAZ!N634)</f>
        <v/>
      </c>
      <c r="J652" t="str">
        <f>IF(SEFAZ!O634="","",SEFAZ!O634)</f>
        <v/>
      </c>
      <c r="K652" s="11" t="str">
        <f>IF(SEFAZ!P634="","",SEFAZ!P634)</f>
        <v/>
      </c>
      <c r="L652" t="str" cm="1">
        <f t="array" aca="1" ref="L6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2" t="s">
        <v>35</v>
      </c>
      <c r="O652" s="36" t="str">
        <f>IF(SEFAZ!B634="","",SEFAZ!B634)</f>
        <v/>
      </c>
    </row>
    <row r="653" spans="2:15" x14ac:dyDescent="0.3">
      <c r="B653" t="str">
        <f>IF(SEFAZ!A635="","",SEFAZ!A635)</f>
        <v/>
      </c>
      <c r="C653" t="str">
        <f>IF(SEFAZ!C635="","",SEFAZ!C635)</f>
        <v/>
      </c>
      <c r="D653" t="str">
        <f>IF(SEFAZ!D635="","",SEFAZ!D635)</f>
        <v/>
      </c>
      <c r="E653" s="7" t="str">
        <f>IF(SEFAZ!E635="","",SEFAZ!E635)</f>
        <v/>
      </c>
      <c r="F653" s="6" t="str">
        <f>IF(SEFAZ!F635="","",VALUE(SUBSTITUTE(SEFAZ!F635,"'","")))</f>
        <v/>
      </c>
      <c r="G653" t="str">
        <f>IF(SEFAZ!H635="","",SEFAZ!H635)</f>
        <v/>
      </c>
      <c r="H653" t="str">
        <f>IF(SEFAZ!L635="","",SEFAZ!L635)</f>
        <v/>
      </c>
      <c r="I653" t="str">
        <f>IF(SEFAZ!N635="","",SEFAZ!N635)</f>
        <v/>
      </c>
      <c r="J653" t="str">
        <f>IF(SEFAZ!O635="","",SEFAZ!O635)</f>
        <v/>
      </c>
      <c r="K653" s="11" t="str">
        <f>IF(SEFAZ!P635="","",SEFAZ!P635)</f>
        <v/>
      </c>
      <c r="L653" t="str" cm="1">
        <f t="array" aca="1" ref="L6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3" t="s">
        <v>35</v>
      </c>
      <c r="O653" s="36" t="str">
        <f>IF(SEFAZ!B635="","",SEFAZ!B635)</f>
        <v/>
      </c>
    </row>
    <row r="654" spans="2:15" x14ac:dyDescent="0.3">
      <c r="B654" t="str">
        <f>IF(SEFAZ!A636="","",SEFAZ!A636)</f>
        <v/>
      </c>
      <c r="C654" t="str">
        <f>IF(SEFAZ!C636="","",SEFAZ!C636)</f>
        <v/>
      </c>
      <c r="D654" t="str">
        <f>IF(SEFAZ!D636="","",SEFAZ!D636)</f>
        <v/>
      </c>
      <c r="E654" s="7" t="str">
        <f>IF(SEFAZ!E636="","",SEFAZ!E636)</f>
        <v/>
      </c>
      <c r="F654" s="6" t="str">
        <f>IF(SEFAZ!F636="","",VALUE(SUBSTITUTE(SEFAZ!F636,"'","")))</f>
        <v/>
      </c>
      <c r="G654" t="str">
        <f>IF(SEFAZ!H636="","",SEFAZ!H636)</f>
        <v/>
      </c>
      <c r="H654" t="str">
        <f>IF(SEFAZ!L636="","",SEFAZ!L636)</f>
        <v/>
      </c>
      <c r="I654" t="str">
        <f>IF(SEFAZ!N636="","",SEFAZ!N636)</f>
        <v/>
      </c>
      <c r="J654" t="str">
        <f>IF(SEFAZ!O636="","",SEFAZ!O636)</f>
        <v/>
      </c>
      <c r="K654" s="11" t="str">
        <f>IF(SEFAZ!P636="","",SEFAZ!P636)</f>
        <v/>
      </c>
      <c r="L654" t="str" cm="1">
        <f t="array" aca="1" ref="L6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4" t="s">
        <v>35</v>
      </c>
      <c r="O654" s="36" t="str">
        <f>IF(SEFAZ!B636="","",SEFAZ!B636)</f>
        <v/>
      </c>
    </row>
    <row r="655" spans="2:15" x14ac:dyDescent="0.3">
      <c r="B655" t="str">
        <f>IF(SEFAZ!A637="","",SEFAZ!A637)</f>
        <v/>
      </c>
      <c r="C655" t="str">
        <f>IF(SEFAZ!C637="","",SEFAZ!C637)</f>
        <v/>
      </c>
      <c r="D655" t="str">
        <f>IF(SEFAZ!D637="","",SEFAZ!D637)</f>
        <v/>
      </c>
      <c r="E655" s="7" t="str">
        <f>IF(SEFAZ!E637="","",SEFAZ!E637)</f>
        <v/>
      </c>
      <c r="F655" s="6" t="str">
        <f>IF(SEFAZ!F637="","",VALUE(SUBSTITUTE(SEFAZ!F637,"'","")))</f>
        <v/>
      </c>
      <c r="G655" t="str">
        <f>IF(SEFAZ!H637="","",SEFAZ!H637)</f>
        <v/>
      </c>
      <c r="H655" t="str">
        <f>IF(SEFAZ!L637="","",SEFAZ!L637)</f>
        <v/>
      </c>
      <c r="I655" t="str">
        <f>IF(SEFAZ!N637="","",SEFAZ!N637)</f>
        <v/>
      </c>
      <c r="J655" t="str">
        <f>IF(SEFAZ!O637="","",SEFAZ!O637)</f>
        <v/>
      </c>
      <c r="K655" s="11" t="str">
        <f>IF(SEFAZ!P637="","",SEFAZ!P637)</f>
        <v/>
      </c>
      <c r="L655" t="str" cm="1">
        <f t="array" aca="1" ref="L6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5" t="s">
        <v>35</v>
      </c>
      <c r="O655" s="36" t="str">
        <f>IF(SEFAZ!B637="","",SEFAZ!B637)</f>
        <v/>
      </c>
    </row>
    <row r="656" spans="2:15" x14ac:dyDescent="0.3">
      <c r="B656" t="str">
        <f>IF(SEFAZ!A638="","",SEFAZ!A638)</f>
        <v/>
      </c>
      <c r="C656" t="str">
        <f>IF(SEFAZ!C638="","",SEFAZ!C638)</f>
        <v/>
      </c>
      <c r="D656" t="str">
        <f>IF(SEFAZ!D638="","",SEFAZ!D638)</f>
        <v/>
      </c>
      <c r="E656" s="7" t="str">
        <f>IF(SEFAZ!E638="","",SEFAZ!E638)</f>
        <v/>
      </c>
      <c r="F656" s="6" t="str">
        <f>IF(SEFAZ!F638="","",VALUE(SUBSTITUTE(SEFAZ!F638,"'","")))</f>
        <v/>
      </c>
      <c r="G656" t="str">
        <f>IF(SEFAZ!H638="","",SEFAZ!H638)</f>
        <v/>
      </c>
      <c r="H656" t="str">
        <f>IF(SEFAZ!L638="","",SEFAZ!L638)</f>
        <v/>
      </c>
      <c r="I656" t="str">
        <f>IF(SEFAZ!N638="","",SEFAZ!N638)</f>
        <v/>
      </c>
      <c r="J656" t="str">
        <f>IF(SEFAZ!O638="","",SEFAZ!O638)</f>
        <v/>
      </c>
      <c r="K656" s="11" t="str">
        <f>IF(SEFAZ!P638="","",SEFAZ!P638)</f>
        <v/>
      </c>
      <c r="L656" t="str" cm="1">
        <f t="array" aca="1" ref="L6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6" t="s">
        <v>35</v>
      </c>
      <c r="O656" s="36" t="str">
        <f>IF(SEFAZ!B638="","",SEFAZ!B638)</f>
        <v/>
      </c>
    </row>
    <row r="657" spans="2:15" x14ac:dyDescent="0.3">
      <c r="B657" t="str">
        <f>IF(SEFAZ!A639="","",SEFAZ!A639)</f>
        <v/>
      </c>
      <c r="C657" t="str">
        <f>IF(SEFAZ!C639="","",SEFAZ!C639)</f>
        <v/>
      </c>
      <c r="D657" t="str">
        <f>IF(SEFAZ!D639="","",SEFAZ!D639)</f>
        <v/>
      </c>
      <c r="E657" s="7" t="str">
        <f>IF(SEFAZ!E639="","",SEFAZ!E639)</f>
        <v/>
      </c>
      <c r="F657" s="6" t="str">
        <f>IF(SEFAZ!F639="","",VALUE(SUBSTITUTE(SEFAZ!F639,"'","")))</f>
        <v/>
      </c>
      <c r="G657" t="str">
        <f>IF(SEFAZ!H639="","",SEFAZ!H639)</f>
        <v/>
      </c>
      <c r="H657" t="str">
        <f>IF(SEFAZ!L639="","",SEFAZ!L639)</f>
        <v/>
      </c>
      <c r="I657" t="str">
        <f>IF(SEFAZ!N639="","",SEFAZ!N639)</f>
        <v/>
      </c>
      <c r="J657" t="str">
        <f>IF(SEFAZ!O639="","",SEFAZ!O639)</f>
        <v/>
      </c>
      <c r="K657" s="11" t="str">
        <f>IF(SEFAZ!P639="","",SEFAZ!P639)</f>
        <v/>
      </c>
      <c r="L657" t="str" cm="1">
        <f t="array" aca="1" ref="L6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7" t="s">
        <v>35</v>
      </c>
      <c r="O657" s="36" t="str">
        <f>IF(SEFAZ!B639="","",SEFAZ!B639)</f>
        <v/>
      </c>
    </row>
    <row r="658" spans="2:15" x14ac:dyDescent="0.3">
      <c r="B658" t="str">
        <f>IF(SEFAZ!A640="","",SEFAZ!A640)</f>
        <v/>
      </c>
      <c r="C658" t="str">
        <f>IF(SEFAZ!C640="","",SEFAZ!C640)</f>
        <v/>
      </c>
      <c r="D658" t="str">
        <f>IF(SEFAZ!D640="","",SEFAZ!D640)</f>
        <v/>
      </c>
      <c r="E658" s="7" t="str">
        <f>IF(SEFAZ!E640="","",SEFAZ!E640)</f>
        <v/>
      </c>
      <c r="F658" s="6" t="str">
        <f>IF(SEFAZ!F640="","",VALUE(SUBSTITUTE(SEFAZ!F640,"'","")))</f>
        <v/>
      </c>
      <c r="G658" t="str">
        <f>IF(SEFAZ!H640="","",SEFAZ!H640)</f>
        <v/>
      </c>
      <c r="H658" t="str">
        <f>IF(SEFAZ!L640="","",SEFAZ!L640)</f>
        <v/>
      </c>
      <c r="I658" t="str">
        <f>IF(SEFAZ!N640="","",SEFAZ!N640)</f>
        <v/>
      </c>
      <c r="J658" t="str">
        <f>IF(SEFAZ!O640="","",SEFAZ!O640)</f>
        <v/>
      </c>
      <c r="K658" s="11" t="str">
        <f>IF(SEFAZ!P640="","",SEFAZ!P640)</f>
        <v/>
      </c>
      <c r="L658" t="str" cm="1">
        <f t="array" aca="1" ref="L6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8" t="s">
        <v>35</v>
      </c>
      <c r="O658" s="36" t="str">
        <f>IF(SEFAZ!B640="","",SEFAZ!B640)</f>
        <v/>
      </c>
    </row>
    <row r="659" spans="2:15" x14ac:dyDescent="0.3">
      <c r="B659" t="str">
        <f>IF(SEFAZ!A641="","",SEFAZ!A641)</f>
        <v/>
      </c>
      <c r="C659" t="str">
        <f>IF(SEFAZ!C641="","",SEFAZ!C641)</f>
        <v/>
      </c>
      <c r="D659" t="str">
        <f>IF(SEFAZ!D641="","",SEFAZ!D641)</f>
        <v/>
      </c>
      <c r="E659" s="7" t="str">
        <f>IF(SEFAZ!E641="","",SEFAZ!E641)</f>
        <v/>
      </c>
      <c r="F659" s="6" t="str">
        <f>IF(SEFAZ!F641="","",VALUE(SUBSTITUTE(SEFAZ!F641,"'","")))</f>
        <v/>
      </c>
      <c r="G659" t="str">
        <f>IF(SEFAZ!H641="","",SEFAZ!H641)</f>
        <v/>
      </c>
      <c r="H659" t="str">
        <f>IF(SEFAZ!L641="","",SEFAZ!L641)</f>
        <v/>
      </c>
      <c r="I659" t="str">
        <f>IF(SEFAZ!N641="","",SEFAZ!N641)</f>
        <v/>
      </c>
      <c r="J659" t="str">
        <f>IF(SEFAZ!O641="","",SEFAZ!O641)</f>
        <v/>
      </c>
      <c r="K659" s="11" t="str">
        <f>IF(SEFAZ!P641="","",SEFAZ!P641)</f>
        <v/>
      </c>
      <c r="L659" t="str" cm="1">
        <f t="array" aca="1" ref="L6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59" t="s">
        <v>35</v>
      </c>
      <c r="O659" s="36" t="str">
        <f>IF(SEFAZ!B641="","",SEFAZ!B641)</f>
        <v/>
      </c>
    </row>
    <row r="660" spans="2:15" x14ac:dyDescent="0.3">
      <c r="B660" t="str">
        <f>IF(SEFAZ!A642="","",SEFAZ!A642)</f>
        <v/>
      </c>
      <c r="C660" t="str">
        <f>IF(SEFAZ!C642="","",SEFAZ!C642)</f>
        <v/>
      </c>
      <c r="D660" t="str">
        <f>IF(SEFAZ!D642="","",SEFAZ!D642)</f>
        <v/>
      </c>
      <c r="E660" s="7" t="str">
        <f>IF(SEFAZ!E642="","",SEFAZ!E642)</f>
        <v/>
      </c>
      <c r="F660" s="6" t="str">
        <f>IF(SEFAZ!F642="","",VALUE(SUBSTITUTE(SEFAZ!F642,"'","")))</f>
        <v/>
      </c>
      <c r="G660" t="str">
        <f>IF(SEFAZ!H642="","",SEFAZ!H642)</f>
        <v/>
      </c>
      <c r="H660" t="str">
        <f>IF(SEFAZ!L642="","",SEFAZ!L642)</f>
        <v/>
      </c>
      <c r="I660" t="str">
        <f>IF(SEFAZ!N642="","",SEFAZ!N642)</f>
        <v/>
      </c>
      <c r="J660" t="str">
        <f>IF(SEFAZ!O642="","",SEFAZ!O642)</f>
        <v/>
      </c>
      <c r="K660" s="11" t="str">
        <f>IF(SEFAZ!P642="","",SEFAZ!P642)</f>
        <v/>
      </c>
      <c r="L660" t="str" cm="1">
        <f t="array" aca="1" ref="L6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0" t="s">
        <v>35</v>
      </c>
      <c r="O660" s="36" t="str">
        <f>IF(SEFAZ!B642="","",SEFAZ!B642)</f>
        <v/>
      </c>
    </row>
    <row r="661" spans="2:15" x14ac:dyDescent="0.3">
      <c r="B661" t="str">
        <f>IF(SEFAZ!A643="","",SEFAZ!A643)</f>
        <v/>
      </c>
      <c r="C661" t="str">
        <f>IF(SEFAZ!C643="","",SEFAZ!C643)</f>
        <v/>
      </c>
      <c r="D661" t="str">
        <f>IF(SEFAZ!D643="","",SEFAZ!D643)</f>
        <v/>
      </c>
      <c r="E661" s="7" t="str">
        <f>IF(SEFAZ!E643="","",SEFAZ!E643)</f>
        <v/>
      </c>
      <c r="F661" s="6" t="str">
        <f>IF(SEFAZ!F643="","",VALUE(SUBSTITUTE(SEFAZ!F643,"'","")))</f>
        <v/>
      </c>
      <c r="G661" t="str">
        <f>IF(SEFAZ!H643="","",SEFAZ!H643)</f>
        <v/>
      </c>
      <c r="H661" t="str">
        <f>IF(SEFAZ!L643="","",SEFAZ!L643)</f>
        <v/>
      </c>
      <c r="I661" t="str">
        <f>IF(SEFAZ!N643="","",SEFAZ!N643)</f>
        <v/>
      </c>
      <c r="J661" t="str">
        <f>IF(SEFAZ!O643="","",SEFAZ!O643)</f>
        <v/>
      </c>
      <c r="K661" s="11" t="str">
        <f>IF(SEFAZ!P643="","",SEFAZ!P643)</f>
        <v/>
      </c>
      <c r="L661" t="str" cm="1">
        <f t="array" aca="1" ref="L6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1" t="s">
        <v>35</v>
      </c>
      <c r="O661" s="36" t="str">
        <f>IF(SEFAZ!B643="","",SEFAZ!B643)</f>
        <v/>
      </c>
    </row>
    <row r="662" spans="2:15" x14ac:dyDescent="0.3">
      <c r="B662" t="str">
        <f>IF(SEFAZ!A644="","",SEFAZ!A644)</f>
        <v/>
      </c>
      <c r="C662" t="str">
        <f>IF(SEFAZ!C644="","",SEFAZ!C644)</f>
        <v/>
      </c>
      <c r="D662" t="str">
        <f>IF(SEFAZ!D644="","",SEFAZ!D644)</f>
        <v/>
      </c>
      <c r="E662" s="7" t="str">
        <f>IF(SEFAZ!E644="","",SEFAZ!E644)</f>
        <v/>
      </c>
      <c r="F662" s="6" t="str">
        <f>IF(SEFAZ!F644="","",VALUE(SUBSTITUTE(SEFAZ!F644,"'","")))</f>
        <v/>
      </c>
      <c r="G662" t="str">
        <f>IF(SEFAZ!H644="","",SEFAZ!H644)</f>
        <v/>
      </c>
      <c r="H662" t="str">
        <f>IF(SEFAZ!L644="","",SEFAZ!L644)</f>
        <v/>
      </c>
      <c r="I662" t="str">
        <f>IF(SEFAZ!N644="","",SEFAZ!N644)</f>
        <v/>
      </c>
      <c r="J662" t="str">
        <f>IF(SEFAZ!O644="","",SEFAZ!O644)</f>
        <v/>
      </c>
      <c r="K662" s="11" t="str">
        <f>IF(SEFAZ!P644="","",SEFAZ!P644)</f>
        <v/>
      </c>
      <c r="L662" t="str" cm="1">
        <f t="array" aca="1" ref="L6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2" t="s">
        <v>35</v>
      </c>
      <c r="O662" s="36" t="str">
        <f>IF(SEFAZ!B644="","",SEFAZ!B644)</f>
        <v/>
      </c>
    </row>
    <row r="663" spans="2:15" x14ac:dyDescent="0.3">
      <c r="B663" t="str">
        <f>IF(SEFAZ!A645="","",SEFAZ!A645)</f>
        <v/>
      </c>
      <c r="C663" t="str">
        <f>IF(SEFAZ!C645="","",SEFAZ!C645)</f>
        <v/>
      </c>
      <c r="D663" t="str">
        <f>IF(SEFAZ!D645="","",SEFAZ!D645)</f>
        <v/>
      </c>
      <c r="E663" s="7" t="str">
        <f>IF(SEFAZ!E645="","",SEFAZ!E645)</f>
        <v/>
      </c>
      <c r="F663" s="6" t="str">
        <f>IF(SEFAZ!F645="","",VALUE(SUBSTITUTE(SEFAZ!F645,"'","")))</f>
        <v/>
      </c>
      <c r="G663" t="str">
        <f>IF(SEFAZ!H645="","",SEFAZ!H645)</f>
        <v/>
      </c>
      <c r="H663" t="str">
        <f>IF(SEFAZ!L645="","",SEFAZ!L645)</f>
        <v/>
      </c>
      <c r="I663" t="str">
        <f>IF(SEFAZ!N645="","",SEFAZ!N645)</f>
        <v/>
      </c>
      <c r="J663" t="str">
        <f>IF(SEFAZ!O645="","",SEFAZ!O645)</f>
        <v/>
      </c>
      <c r="K663" s="11" t="str">
        <f>IF(SEFAZ!P645="","",SEFAZ!P645)</f>
        <v/>
      </c>
      <c r="L663" t="str" cm="1">
        <f t="array" aca="1" ref="L6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3" t="s">
        <v>35</v>
      </c>
      <c r="O663" s="36" t="str">
        <f>IF(SEFAZ!B645="","",SEFAZ!B645)</f>
        <v/>
      </c>
    </row>
    <row r="664" spans="2:15" x14ac:dyDescent="0.3">
      <c r="B664" t="str">
        <f>IF(SEFAZ!A646="","",SEFAZ!A646)</f>
        <v/>
      </c>
      <c r="C664" t="str">
        <f>IF(SEFAZ!C646="","",SEFAZ!C646)</f>
        <v/>
      </c>
      <c r="D664" t="str">
        <f>IF(SEFAZ!D646="","",SEFAZ!D646)</f>
        <v/>
      </c>
      <c r="E664" s="7" t="str">
        <f>IF(SEFAZ!E646="","",SEFAZ!E646)</f>
        <v/>
      </c>
      <c r="F664" s="6" t="str">
        <f>IF(SEFAZ!F646="","",VALUE(SUBSTITUTE(SEFAZ!F646,"'","")))</f>
        <v/>
      </c>
      <c r="G664" t="str">
        <f>IF(SEFAZ!H646="","",SEFAZ!H646)</f>
        <v/>
      </c>
      <c r="H664" t="str">
        <f>IF(SEFAZ!L646="","",SEFAZ!L646)</f>
        <v/>
      </c>
      <c r="I664" t="str">
        <f>IF(SEFAZ!N646="","",SEFAZ!N646)</f>
        <v/>
      </c>
      <c r="J664" t="str">
        <f>IF(SEFAZ!O646="","",SEFAZ!O646)</f>
        <v/>
      </c>
      <c r="K664" s="11" t="str">
        <f>IF(SEFAZ!P646="","",SEFAZ!P646)</f>
        <v/>
      </c>
      <c r="L664" t="str" cm="1">
        <f t="array" aca="1" ref="L6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4" t="s">
        <v>35</v>
      </c>
      <c r="O664" s="36" t="str">
        <f>IF(SEFAZ!B646="","",SEFAZ!B646)</f>
        <v/>
      </c>
    </row>
    <row r="665" spans="2:15" x14ac:dyDescent="0.3">
      <c r="B665" t="str">
        <f>IF(SEFAZ!A647="","",SEFAZ!A647)</f>
        <v/>
      </c>
      <c r="C665" t="str">
        <f>IF(SEFAZ!C647="","",SEFAZ!C647)</f>
        <v/>
      </c>
      <c r="D665" t="str">
        <f>IF(SEFAZ!D647="","",SEFAZ!D647)</f>
        <v/>
      </c>
      <c r="E665" s="7" t="str">
        <f>IF(SEFAZ!E647="","",SEFAZ!E647)</f>
        <v/>
      </c>
      <c r="F665" s="6" t="str">
        <f>IF(SEFAZ!F647="","",VALUE(SUBSTITUTE(SEFAZ!F647,"'","")))</f>
        <v/>
      </c>
      <c r="G665" t="str">
        <f>IF(SEFAZ!H647="","",SEFAZ!H647)</f>
        <v/>
      </c>
      <c r="H665" t="str">
        <f>IF(SEFAZ!L647="","",SEFAZ!L647)</f>
        <v/>
      </c>
      <c r="I665" t="str">
        <f>IF(SEFAZ!N647="","",SEFAZ!N647)</f>
        <v/>
      </c>
      <c r="J665" t="str">
        <f>IF(SEFAZ!O647="","",SEFAZ!O647)</f>
        <v/>
      </c>
      <c r="K665" s="11" t="str">
        <f>IF(SEFAZ!P647="","",SEFAZ!P647)</f>
        <v/>
      </c>
      <c r="L665" t="str" cm="1">
        <f t="array" aca="1" ref="L6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5" t="s">
        <v>35</v>
      </c>
      <c r="O665" s="36" t="str">
        <f>IF(SEFAZ!B647="","",SEFAZ!B647)</f>
        <v/>
      </c>
    </row>
    <row r="666" spans="2:15" x14ac:dyDescent="0.3">
      <c r="B666" t="str">
        <f>IF(SEFAZ!A648="","",SEFAZ!A648)</f>
        <v/>
      </c>
      <c r="C666" t="str">
        <f>IF(SEFAZ!C648="","",SEFAZ!C648)</f>
        <v/>
      </c>
      <c r="D666" t="str">
        <f>IF(SEFAZ!D648="","",SEFAZ!D648)</f>
        <v/>
      </c>
      <c r="E666" s="7" t="str">
        <f>IF(SEFAZ!E648="","",SEFAZ!E648)</f>
        <v/>
      </c>
      <c r="F666" s="6" t="str">
        <f>IF(SEFAZ!F648="","",VALUE(SUBSTITUTE(SEFAZ!F648,"'","")))</f>
        <v/>
      </c>
      <c r="G666" t="str">
        <f>IF(SEFAZ!H648="","",SEFAZ!H648)</f>
        <v/>
      </c>
      <c r="H666" t="str">
        <f>IF(SEFAZ!L648="","",SEFAZ!L648)</f>
        <v/>
      </c>
      <c r="I666" t="str">
        <f>IF(SEFAZ!N648="","",SEFAZ!N648)</f>
        <v/>
      </c>
      <c r="J666" t="str">
        <f>IF(SEFAZ!O648="","",SEFAZ!O648)</f>
        <v/>
      </c>
      <c r="K666" s="11" t="str">
        <f>IF(SEFAZ!P648="","",SEFAZ!P648)</f>
        <v/>
      </c>
      <c r="L666" t="str" cm="1">
        <f t="array" aca="1" ref="L6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6" t="s">
        <v>35</v>
      </c>
      <c r="O666" s="36" t="str">
        <f>IF(SEFAZ!B648="","",SEFAZ!B648)</f>
        <v/>
      </c>
    </row>
    <row r="667" spans="2:15" x14ac:dyDescent="0.3">
      <c r="B667" t="str">
        <f>IF(SEFAZ!A649="","",SEFAZ!A649)</f>
        <v/>
      </c>
      <c r="C667" t="str">
        <f>IF(SEFAZ!C649="","",SEFAZ!C649)</f>
        <v/>
      </c>
      <c r="D667" t="str">
        <f>IF(SEFAZ!D649="","",SEFAZ!D649)</f>
        <v/>
      </c>
      <c r="E667" s="7" t="str">
        <f>IF(SEFAZ!E649="","",SEFAZ!E649)</f>
        <v/>
      </c>
      <c r="F667" s="6" t="str">
        <f>IF(SEFAZ!F649="","",VALUE(SUBSTITUTE(SEFAZ!F649,"'","")))</f>
        <v/>
      </c>
      <c r="G667" t="str">
        <f>IF(SEFAZ!H649="","",SEFAZ!H649)</f>
        <v/>
      </c>
      <c r="H667" t="str">
        <f>IF(SEFAZ!L649="","",SEFAZ!L649)</f>
        <v/>
      </c>
      <c r="I667" t="str">
        <f>IF(SEFAZ!N649="","",SEFAZ!N649)</f>
        <v/>
      </c>
      <c r="J667" t="str">
        <f>IF(SEFAZ!O649="","",SEFAZ!O649)</f>
        <v/>
      </c>
      <c r="K667" s="11" t="str">
        <f>IF(SEFAZ!P649="","",SEFAZ!P649)</f>
        <v/>
      </c>
      <c r="L667" t="str" cm="1">
        <f t="array" aca="1" ref="L6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7" t="s">
        <v>35</v>
      </c>
      <c r="O667" s="36" t="str">
        <f>IF(SEFAZ!B649="","",SEFAZ!B649)</f>
        <v/>
      </c>
    </row>
    <row r="668" spans="2:15" x14ac:dyDescent="0.3">
      <c r="B668" t="str">
        <f>IF(SEFAZ!A650="","",SEFAZ!A650)</f>
        <v/>
      </c>
      <c r="C668" t="str">
        <f>IF(SEFAZ!C650="","",SEFAZ!C650)</f>
        <v/>
      </c>
      <c r="D668" t="str">
        <f>IF(SEFAZ!D650="","",SEFAZ!D650)</f>
        <v/>
      </c>
      <c r="E668" s="7" t="str">
        <f>IF(SEFAZ!E650="","",SEFAZ!E650)</f>
        <v/>
      </c>
      <c r="F668" s="6" t="str">
        <f>IF(SEFAZ!F650="","",VALUE(SUBSTITUTE(SEFAZ!F650,"'","")))</f>
        <v/>
      </c>
      <c r="G668" t="str">
        <f>IF(SEFAZ!H650="","",SEFAZ!H650)</f>
        <v/>
      </c>
      <c r="H668" t="str">
        <f>IF(SEFAZ!L650="","",SEFAZ!L650)</f>
        <v/>
      </c>
      <c r="I668" t="str">
        <f>IF(SEFAZ!N650="","",SEFAZ!N650)</f>
        <v/>
      </c>
      <c r="J668" t="str">
        <f>IF(SEFAZ!O650="","",SEFAZ!O650)</f>
        <v/>
      </c>
      <c r="K668" s="11" t="str">
        <f>IF(SEFAZ!P650="","",SEFAZ!P650)</f>
        <v/>
      </c>
      <c r="L668" t="str" cm="1">
        <f t="array" aca="1" ref="L6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8" t="s">
        <v>35</v>
      </c>
      <c r="O668" s="36" t="str">
        <f>IF(SEFAZ!B650="","",SEFAZ!B650)</f>
        <v/>
      </c>
    </row>
    <row r="669" spans="2:15" x14ac:dyDescent="0.3">
      <c r="B669" t="str">
        <f>IF(SEFAZ!A651="","",SEFAZ!A651)</f>
        <v/>
      </c>
      <c r="C669" t="str">
        <f>IF(SEFAZ!C651="","",SEFAZ!C651)</f>
        <v/>
      </c>
      <c r="D669" t="str">
        <f>IF(SEFAZ!D651="","",SEFAZ!D651)</f>
        <v/>
      </c>
      <c r="E669" s="7" t="str">
        <f>IF(SEFAZ!E651="","",SEFAZ!E651)</f>
        <v/>
      </c>
      <c r="F669" s="6" t="str">
        <f>IF(SEFAZ!F651="","",VALUE(SUBSTITUTE(SEFAZ!F651,"'","")))</f>
        <v/>
      </c>
      <c r="G669" t="str">
        <f>IF(SEFAZ!H651="","",SEFAZ!H651)</f>
        <v/>
      </c>
      <c r="H669" t="str">
        <f>IF(SEFAZ!L651="","",SEFAZ!L651)</f>
        <v/>
      </c>
      <c r="I669" t="str">
        <f>IF(SEFAZ!N651="","",SEFAZ!N651)</f>
        <v/>
      </c>
      <c r="J669" t="str">
        <f>IF(SEFAZ!O651="","",SEFAZ!O651)</f>
        <v/>
      </c>
      <c r="K669" s="11" t="str">
        <f>IF(SEFAZ!P651="","",SEFAZ!P651)</f>
        <v/>
      </c>
      <c r="L669" t="str" cm="1">
        <f t="array" aca="1" ref="L6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69" t="s">
        <v>35</v>
      </c>
      <c r="O669" s="36" t="str">
        <f>IF(SEFAZ!B651="","",SEFAZ!B651)</f>
        <v/>
      </c>
    </row>
    <row r="670" spans="2:15" x14ac:dyDescent="0.3">
      <c r="B670" t="str">
        <f>IF(SEFAZ!A652="","",SEFAZ!A652)</f>
        <v/>
      </c>
      <c r="C670" t="str">
        <f>IF(SEFAZ!C652="","",SEFAZ!C652)</f>
        <v/>
      </c>
      <c r="D670" t="str">
        <f>IF(SEFAZ!D652="","",SEFAZ!D652)</f>
        <v/>
      </c>
      <c r="E670" s="7" t="str">
        <f>IF(SEFAZ!E652="","",SEFAZ!E652)</f>
        <v/>
      </c>
      <c r="F670" s="6" t="str">
        <f>IF(SEFAZ!F652="","",VALUE(SUBSTITUTE(SEFAZ!F652,"'","")))</f>
        <v/>
      </c>
      <c r="G670" t="str">
        <f>IF(SEFAZ!H652="","",SEFAZ!H652)</f>
        <v/>
      </c>
      <c r="H670" t="str">
        <f>IF(SEFAZ!L652="","",SEFAZ!L652)</f>
        <v/>
      </c>
      <c r="I670" t="str">
        <f>IF(SEFAZ!N652="","",SEFAZ!N652)</f>
        <v/>
      </c>
      <c r="J670" t="str">
        <f>IF(SEFAZ!O652="","",SEFAZ!O652)</f>
        <v/>
      </c>
      <c r="K670" s="11" t="str">
        <f>IF(SEFAZ!P652="","",SEFAZ!P652)</f>
        <v/>
      </c>
      <c r="L670" t="str" cm="1">
        <f t="array" aca="1" ref="L6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0" t="s">
        <v>35</v>
      </c>
      <c r="O670" s="36" t="str">
        <f>IF(SEFAZ!B652="","",SEFAZ!B652)</f>
        <v/>
      </c>
    </row>
    <row r="671" spans="2:15" x14ac:dyDescent="0.3">
      <c r="B671" t="str">
        <f>IF(SEFAZ!A653="","",SEFAZ!A653)</f>
        <v/>
      </c>
      <c r="C671" t="str">
        <f>IF(SEFAZ!C653="","",SEFAZ!C653)</f>
        <v/>
      </c>
      <c r="D671" t="str">
        <f>IF(SEFAZ!D653="","",SEFAZ!D653)</f>
        <v/>
      </c>
      <c r="E671" s="7" t="str">
        <f>IF(SEFAZ!E653="","",SEFAZ!E653)</f>
        <v/>
      </c>
      <c r="F671" s="6" t="str">
        <f>IF(SEFAZ!F653="","",VALUE(SUBSTITUTE(SEFAZ!F653,"'","")))</f>
        <v/>
      </c>
      <c r="G671" t="str">
        <f>IF(SEFAZ!H653="","",SEFAZ!H653)</f>
        <v/>
      </c>
      <c r="H671" t="str">
        <f>IF(SEFAZ!L653="","",SEFAZ!L653)</f>
        <v/>
      </c>
      <c r="I671" t="str">
        <f>IF(SEFAZ!N653="","",SEFAZ!N653)</f>
        <v/>
      </c>
      <c r="J671" t="str">
        <f>IF(SEFAZ!O653="","",SEFAZ!O653)</f>
        <v/>
      </c>
      <c r="K671" s="11" t="str">
        <f>IF(SEFAZ!P653="","",SEFAZ!P653)</f>
        <v/>
      </c>
      <c r="L671" t="str" cm="1">
        <f t="array" aca="1" ref="L6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1" t="s">
        <v>35</v>
      </c>
      <c r="O671" s="36" t="str">
        <f>IF(SEFAZ!B653="","",SEFAZ!B653)</f>
        <v/>
      </c>
    </row>
    <row r="672" spans="2:15" x14ac:dyDescent="0.3">
      <c r="B672" t="str">
        <f>IF(SEFAZ!A654="","",SEFAZ!A654)</f>
        <v/>
      </c>
      <c r="C672" t="str">
        <f>IF(SEFAZ!C654="","",SEFAZ!C654)</f>
        <v/>
      </c>
      <c r="D672" t="str">
        <f>IF(SEFAZ!D654="","",SEFAZ!D654)</f>
        <v/>
      </c>
      <c r="E672" s="7" t="str">
        <f>IF(SEFAZ!E654="","",SEFAZ!E654)</f>
        <v/>
      </c>
      <c r="F672" s="6" t="str">
        <f>IF(SEFAZ!F654="","",VALUE(SUBSTITUTE(SEFAZ!F654,"'","")))</f>
        <v/>
      </c>
      <c r="G672" t="str">
        <f>IF(SEFAZ!H654="","",SEFAZ!H654)</f>
        <v/>
      </c>
      <c r="H672" t="str">
        <f>IF(SEFAZ!L654="","",SEFAZ!L654)</f>
        <v/>
      </c>
      <c r="I672" t="str">
        <f>IF(SEFAZ!N654="","",SEFAZ!N654)</f>
        <v/>
      </c>
      <c r="J672" t="str">
        <f>IF(SEFAZ!O654="","",SEFAZ!O654)</f>
        <v/>
      </c>
      <c r="K672" s="11" t="str">
        <f>IF(SEFAZ!P654="","",SEFAZ!P654)</f>
        <v/>
      </c>
      <c r="L672" t="str" cm="1">
        <f t="array" aca="1" ref="L6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2" t="s">
        <v>35</v>
      </c>
      <c r="O672" s="36" t="str">
        <f>IF(SEFAZ!B654="","",SEFAZ!B654)</f>
        <v/>
      </c>
    </row>
    <row r="673" spans="2:15" x14ac:dyDescent="0.3">
      <c r="B673" t="str">
        <f>IF(SEFAZ!A655="","",SEFAZ!A655)</f>
        <v/>
      </c>
      <c r="C673" t="str">
        <f>IF(SEFAZ!C655="","",SEFAZ!C655)</f>
        <v/>
      </c>
      <c r="D673" t="str">
        <f>IF(SEFAZ!D655="","",SEFAZ!D655)</f>
        <v/>
      </c>
      <c r="E673" s="7" t="str">
        <f>IF(SEFAZ!E655="","",SEFAZ!E655)</f>
        <v/>
      </c>
      <c r="F673" s="6" t="str">
        <f>IF(SEFAZ!F655="","",VALUE(SUBSTITUTE(SEFAZ!F655,"'","")))</f>
        <v/>
      </c>
      <c r="G673" t="str">
        <f>IF(SEFAZ!H655="","",SEFAZ!H655)</f>
        <v/>
      </c>
      <c r="H673" t="str">
        <f>IF(SEFAZ!L655="","",SEFAZ!L655)</f>
        <v/>
      </c>
      <c r="I673" t="str">
        <f>IF(SEFAZ!N655="","",SEFAZ!N655)</f>
        <v/>
      </c>
      <c r="J673" t="str">
        <f>IF(SEFAZ!O655="","",SEFAZ!O655)</f>
        <v/>
      </c>
      <c r="K673" s="11" t="str">
        <f>IF(SEFAZ!P655="","",SEFAZ!P655)</f>
        <v/>
      </c>
      <c r="L673" t="str" cm="1">
        <f t="array" aca="1" ref="L6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3" t="s">
        <v>35</v>
      </c>
      <c r="O673" s="36" t="str">
        <f>IF(SEFAZ!B655="","",SEFAZ!B655)</f>
        <v/>
      </c>
    </row>
    <row r="674" spans="2:15" x14ac:dyDescent="0.3">
      <c r="B674" t="str">
        <f>IF(SEFAZ!A656="","",SEFAZ!A656)</f>
        <v/>
      </c>
      <c r="C674" t="str">
        <f>IF(SEFAZ!C656="","",SEFAZ!C656)</f>
        <v/>
      </c>
      <c r="D674" t="str">
        <f>IF(SEFAZ!D656="","",SEFAZ!D656)</f>
        <v/>
      </c>
      <c r="E674" s="7" t="str">
        <f>IF(SEFAZ!E656="","",SEFAZ!E656)</f>
        <v/>
      </c>
      <c r="F674" s="6" t="str">
        <f>IF(SEFAZ!F656="","",VALUE(SUBSTITUTE(SEFAZ!F656,"'","")))</f>
        <v/>
      </c>
      <c r="G674" t="str">
        <f>IF(SEFAZ!H656="","",SEFAZ!H656)</f>
        <v/>
      </c>
      <c r="H674" t="str">
        <f>IF(SEFAZ!L656="","",SEFAZ!L656)</f>
        <v/>
      </c>
      <c r="I674" t="str">
        <f>IF(SEFAZ!N656="","",SEFAZ!N656)</f>
        <v/>
      </c>
      <c r="J674" t="str">
        <f>IF(SEFAZ!O656="","",SEFAZ!O656)</f>
        <v/>
      </c>
      <c r="K674" s="11" t="str">
        <f>IF(SEFAZ!P656="","",SEFAZ!P656)</f>
        <v/>
      </c>
      <c r="L674" t="str" cm="1">
        <f t="array" aca="1" ref="L6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4" t="s">
        <v>35</v>
      </c>
      <c r="O674" s="36" t="str">
        <f>IF(SEFAZ!B656="","",SEFAZ!B656)</f>
        <v/>
      </c>
    </row>
    <row r="675" spans="2:15" x14ac:dyDescent="0.3">
      <c r="B675" t="str">
        <f>IF(SEFAZ!A657="","",SEFAZ!A657)</f>
        <v/>
      </c>
      <c r="C675" t="str">
        <f>IF(SEFAZ!C657="","",SEFAZ!C657)</f>
        <v/>
      </c>
      <c r="D675" t="str">
        <f>IF(SEFAZ!D657="","",SEFAZ!D657)</f>
        <v/>
      </c>
      <c r="E675" s="7" t="str">
        <f>IF(SEFAZ!E657="","",SEFAZ!E657)</f>
        <v/>
      </c>
      <c r="F675" s="6" t="str">
        <f>IF(SEFAZ!F657="","",VALUE(SUBSTITUTE(SEFAZ!F657,"'","")))</f>
        <v/>
      </c>
      <c r="G675" t="str">
        <f>IF(SEFAZ!H657="","",SEFAZ!H657)</f>
        <v/>
      </c>
      <c r="H675" t="str">
        <f>IF(SEFAZ!L657="","",SEFAZ!L657)</f>
        <v/>
      </c>
      <c r="I675" t="str">
        <f>IF(SEFAZ!N657="","",SEFAZ!N657)</f>
        <v/>
      </c>
      <c r="J675" t="str">
        <f>IF(SEFAZ!O657="","",SEFAZ!O657)</f>
        <v/>
      </c>
      <c r="K675" s="11" t="str">
        <f>IF(SEFAZ!P657="","",SEFAZ!P657)</f>
        <v/>
      </c>
      <c r="L675" t="str" cm="1">
        <f t="array" aca="1" ref="L6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5" t="s">
        <v>35</v>
      </c>
      <c r="O675" s="36" t="str">
        <f>IF(SEFAZ!B657="","",SEFAZ!B657)</f>
        <v/>
      </c>
    </row>
    <row r="676" spans="2:15" x14ac:dyDescent="0.3">
      <c r="B676" t="str">
        <f>IF(SEFAZ!A658="","",SEFAZ!A658)</f>
        <v/>
      </c>
      <c r="C676" t="str">
        <f>IF(SEFAZ!C658="","",SEFAZ!C658)</f>
        <v/>
      </c>
      <c r="D676" t="str">
        <f>IF(SEFAZ!D658="","",SEFAZ!D658)</f>
        <v/>
      </c>
      <c r="E676" s="7" t="str">
        <f>IF(SEFAZ!E658="","",SEFAZ!E658)</f>
        <v/>
      </c>
      <c r="F676" s="6" t="str">
        <f>IF(SEFAZ!F658="","",VALUE(SUBSTITUTE(SEFAZ!F658,"'","")))</f>
        <v/>
      </c>
      <c r="G676" t="str">
        <f>IF(SEFAZ!H658="","",SEFAZ!H658)</f>
        <v/>
      </c>
      <c r="H676" t="str">
        <f>IF(SEFAZ!L658="","",SEFAZ!L658)</f>
        <v/>
      </c>
      <c r="I676" t="str">
        <f>IF(SEFAZ!N658="","",SEFAZ!N658)</f>
        <v/>
      </c>
      <c r="J676" t="str">
        <f>IF(SEFAZ!O658="","",SEFAZ!O658)</f>
        <v/>
      </c>
      <c r="K676" s="11" t="str">
        <f>IF(SEFAZ!P658="","",SEFAZ!P658)</f>
        <v/>
      </c>
      <c r="L676" t="str" cm="1">
        <f t="array" aca="1" ref="L6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6" t="s">
        <v>35</v>
      </c>
      <c r="O676" s="36" t="str">
        <f>IF(SEFAZ!B658="","",SEFAZ!B658)</f>
        <v/>
      </c>
    </row>
    <row r="677" spans="2:15" x14ac:dyDescent="0.3">
      <c r="B677" t="str">
        <f>IF(SEFAZ!A659="","",SEFAZ!A659)</f>
        <v/>
      </c>
      <c r="C677" t="str">
        <f>IF(SEFAZ!C659="","",SEFAZ!C659)</f>
        <v/>
      </c>
      <c r="D677" t="str">
        <f>IF(SEFAZ!D659="","",SEFAZ!D659)</f>
        <v/>
      </c>
      <c r="E677" s="7" t="str">
        <f>IF(SEFAZ!E659="","",SEFAZ!E659)</f>
        <v/>
      </c>
      <c r="F677" s="6" t="str">
        <f>IF(SEFAZ!F659="","",VALUE(SUBSTITUTE(SEFAZ!F659,"'","")))</f>
        <v/>
      </c>
      <c r="G677" t="str">
        <f>IF(SEFAZ!H659="","",SEFAZ!H659)</f>
        <v/>
      </c>
      <c r="H677" t="str">
        <f>IF(SEFAZ!L659="","",SEFAZ!L659)</f>
        <v/>
      </c>
      <c r="I677" t="str">
        <f>IF(SEFAZ!N659="","",SEFAZ!N659)</f>
        <v/>
      </c>
      <c r="J677" t="str">
        <f>IF(SEFAZ!O659="","",SEFAZ!O659)</f>
        <v/>
      </c>
      <c r="K677" s="11" t="str">
        <f>IF(SEFAZ!P659="","",SEFAZ!P659)</f>
        <v/>
      </c>
      <c r="L677" t="str" cm="1">
        <f t="array" aca="1" ref="L6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7" t="s">
        <v>35</v>
      </c>
      <c r="O677" s="36" t="str">
        <f>IF(SEFAZ!B659="","",SEFAZ!B659)</f>
        <v/>
      </c>
    </row>
    <row r="678" spans="2:15" x14ac:dyDescent="0.3">
      <c r="B678" t="str">
        <f>IF(SEFAZ!A660="","",SEFAZ!A660)</f>
        <v/>
      </c>
      <c r="C678" t="str">
        <f>IF(SEFAZ!C660="","",SEFAZ!C660)</f>
        <v/>
      </c>
      <c r="D678" t="str">
        <f>IF(SEFAZ!D660="","",SEFAZ!D660)</f>
        <v/>
      </c>
      <c r="E678" s="7" t="str">
        <f>IF(SEFAZ!E660="","",SEFAZ!E660)</f>
        <v/>
      </c>
      <c r="F678" s="6" t="str">
        <f>IF(SEFAZ!F660="","",VALUE(SUBSTITUTE(SEFAZ!F660,"'","")))</f>
        <v/>
      </c>
      <c r="G678" t="str">
        <f>IF(SEFAZ!H660="","",SEFAZ!H660)</f>
        <v/>
      </c>
      <c r="H678" t="str">
        <f>IF(SEFAZ!L660="","",SEFAZ!L660)</f>
        <v/>
      </c>
      <c r="I678" t="str">
        <f>IF(SEFAZ!N660="","",SEFAZ!N660)</f>
        <v/>
      </c>
      <c r="J678" t="str">
        <f>IF(SEFAZ!O660="","",SEFAZ!O660)</f>
        <v/>
      </c>
      <c r="K678" s="11" t="str">
        <f>IF(SEFAZ!P660="","",SEFAZ!P660)</f>
        <v/>
      </c>
      <c r="L678" t="str" cm="1">
        <f t="array" aca="1" ref="L6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8" t="s">
        <v>35</v>
      </c>
      <c r="O678" s="36" t="str">
        <f>IF(SEFAZ!B660="","",SEFAZ!B660)</f>
        <v/>
      </c>
    </row>
    <row r="679" spans="2:15" x14ac:dyDescent="0.3">
      <c r="B679" t="str">
        <f>IF(SEFAZ!A661="","",SEFAZ!A661)</f>
        <v/>
      </c>
      <c r="C679" t="str">
        <f>IF(SEFAZ!C661="","",SEFAZ!C661)</f>
        <v/>
      </c>
      <c r="D679" t="str">
        <f>IF(SEFAZ!D661="","",SEFAZ!D661)</f>
        <v/>
      </c>
      <c r="E679" s="7" t="str">
        <f>IF(SEFAZ!E661="","",SEFAZ!E661)</f>
        <v/>
      </c>
      <c r="F679" s="6" t="str">
        <f>IF(SEFAZ!F661="","",VALUE(SUBSTITUTE(SEFAZ!F661,"'","")))</f>
        <v/>
      </c>
      <c r="G679" t="str">
        <f>IF(SEFAZ!H661="","",SEFAZ!H661)</f>
        <v/>
      </c>
      <c r="H679" t="str">
        <f>IF(SEFAZ!L661="","",SEFAZ!L661)</f>
        <v/>
      </c>
      <c r="I679" t="str">
        <f>IF(SEFAZ!N661="","",SEFAZ!N661)</f>
        <v/>
      </c>
      <c r="J679" t="str">
        <f>IF(SEFAZ!O661="","",SEFAZ!O661)</f>
        <v/>
      </c>
      <c r="K679" s="11" t="str">
        <f>IF(SEFAZ!P661="","",SEFAZ!P661)</f>
        <v/>
      </c>
      <c r="L679" t="str" cm="1">
        <f t="array" aca="1" ref="L6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79" t="s">
        <v>35</v>
      </c>
      <c r="O679" s="36" t="str">
        <f>IF(SEFAZ!B661="","",SEFAZ!B661)</f>
        <v/>
      </c>
    </row>
    <row r="680" spans="2:15" x14ac:dyDescent="0.3">
      <c r="B680" t="str">
        <f>IF(SEFAZ!A662="","",SEFAZ!A662)</f>
        <v/>
      </c>
      <c r="C680" t="str">
        <f>IF(SEFAZ!C662="","",SEFAZ!C662)</f>
        <v/>
      </c>
      <c r="D680" t="str">
        <f>IF(SEFAZ!D662="","",SEFAZ!D662)</f>
        <v/>
      </c>
      <c r="E680" s="7" t="str">
        <f>IF(SEFAZ!E662="","",SEFAZ!E662)</f>
        <v/>
      </c>
      <c r="F680" s="6" t="str">
        <f>IF(SEFAZ!F662="","",VALUE(SUBSTITUTE(SEFAZ!F662,"'","")))</f>
        <v/>
      </c>
      <c r="G680" t="str">
        <f>IF(SEFAZ!H662="","",SEFAZ!H662)</f>
        <v/>
      </c>
      <c r="H680" t="str">
        <f>IF(SEFAZ!L662="","",SEFAZ!L662)</f>
        <v/>
      </c>
      <c r="I680" t="str">
        <f>IF(SEFAZ!N662="","",SEFAZ!N662)</f>
        <v/>
      </c>
      <c r="J680" t="str">
        <f>IF(SEFAZ!O662="","",SEFAZ!O662)</f>
        <v/>
      </c>
      <c r="K680" s="11" t="str">
        <f>IF(SEFAZ!P662="","",SEFAZ!P662)</f>
        <v/>
      </c>
      <c r="L680" t="str" cm="1">
        <f t="array" aca="1" ref="L6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0" t="s">
        <v>35</v>
      </c>
      <c r="O680" s="36" t="str">
        <f>IF(SEFAZ!B662="","",SEFAZ!B662)</f>
        <v/>
      </c>
    </row>
    <row r="681" spans="2:15" x14ac:dyDescent="0.3">
      <c r="B681" t="str">
        <f>IF(SEFAZ!A663="","",SEFAZ!A663)</f>
        <v/>
      </c>
      <c r="C681" t="str">
        <f>IF(SEFAZ!C663="","",SEFAZ!C663)</f>
        <v/>
      </c>
      <c r="D681" t="str">
        <f>IF(SEFAZ!D663="","",SEFAZ!D663)</f>
        <v/>
      </c>
      <c r="E681" s="7" t="str">
        <f>IF(SEFAZ!E663="","",SEFAZ!E663)</f>
        <v/>
      </c>
      <c r="F681" s="6" t="str">
        <f>IF(SEFAZ!F663="","",VALUE(SUBSTITUTE(SEFAZ!F663,"'","")))</f>
        <v/>
      </c>
      <c r="G681" t="str">
        <f>IF(SEFAZ!H663="","",SEFAZ!H663)</f>
        <v/>
      </c>
      <c r="H681" t="str">
        <f>IF(SEFAZ!L663="","",SEFAZ!L663)</f>
        <v/>
      </c>
      <c r="I681" t="str">
        <f>IF(SEFAZ!N663="","",SEFAZ!N663)</f>
        <v/>
      </c>
      <c r="J681" t="str">
        <f>IF(SEFAZ!O663="","",SEFAZ!O663)</f>
        <v/>
      </c>
      <c r="K681" s="11" t="str">
        <f>IF(SEFAZ!P663="","",SEFAZ!P663)</f>
        <v/>
      </c>
      <c r="L681" t="str" cm="1">
        <f t="array" aca="1" ref="L6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1" t="s">
        <v>35</v>
      </c>
      <c r="O681" s="36" t="str">
        <f>IF(SEFAZ!B663="","",SEFAZ!B663)</f>
        <v/>
      </c>
    </row>
    <row r="682" spans="2:15" x14ac:dyDescent="0.3">
      <c r="B682" t="str">
        <f>IF(SEFAZ!A664="","",SEFAZ!A664)</f>
        <v/>
      </c>
      <c r="C682" t="str">
        <f>IF(SEFAZ!C664="","",SEFAZ!C664)</f>
        <v/>
      </c>
      <c r="D682" t="str">
        <f>IF(SEFAZ!D664="","",SEFAZ!D664)</f>
        <v/>
      </c>
      <c r="E682" s="7" t="str">
        <f>IF(SEFAZ!E664="","",SEFAZ!E664)</f>
        <v/>
      </c>
      <c r="F682" s="6" t="str">
        <f>IF(SEFAZ!F664="","",VALUE(SUBSTITUTE(SEFAZ!F664,"'","")))</f>
        <v/>
      </c>
      <c r="G682" t="str">
        <f>IF(SEFAZ!H664="","",SEFAZ!H664)</f>
        <v/>
      </c>
      <c r="H682" t="str">
        <f>IF(SEFAZ!L664="","",SEFAZ!L664)</f>
        <v/>
      </c>
      <c r="I682" t="str">
        <f>IF(SEFAZ!N664="","",SEFAZ!N664)</f>
        <v/>
      </c>
      <c r="J682" t="str">
        <f>IF(SEFAZ!O664="","",SEFAZ!O664)</f>
        <v/>
      </c>
      <c r="K682" s="11" t="str">
        <f>IF(SEFAZ!P664="","",SEFAZ!P664)</f>
        <v/>
      </c>
      <c r="L682" t="str" cm="1">
        <f t="array" aca="1" ref="L6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2" t="s">
        <v>35</v>
      </c>
      <c r="O682" s="36" t="str">
        <f>IF(SEFAZ!B664="","",SEFAZ!B664)</f>
        <v/>
      </c>
    </row>
    <row r="683" spans="2:15" x14ac:dyDescent="0.3">
      <c r="B683" t="str">
        <f>IF(SEFAZ!A665="","",SEFAZ!A665)</f>
        <v/>
      </c>
      <c r="C683" t="str">
        <f>IF(SEFAZ!C665="","",SEFAZ!C665)</f>
        <v/>
      </c>
      <c r="D683" t="str">
        <f>IF(SEFAZ!D665="","",SEFAZ!D665)</f>
        <v/>
      </c>
      <c r="E683" s="7" t="str">
        <f>IF(SEFAZ!E665="","",SEFAZ!E665)</f>
        <v/>
      </c>
      <c r="F683" s="6" t="str">
        <f>IF(SEFAZ!F665="","",VALUE(SUBSTITUTE(SEFAZ!F665,"'","")))</f>
        <v/>
      </c>
      <c r="G683" t="str">
        <f>IF(SEFAZ!H665="","",SEFAZ!H665)</f>
        <v/>
      </c>
      <c r="H683" t="str">
        <f>IF(SEFAZ!L665="","",SEFAZ!L665)</f>
        <v/>
      </c>
      <c r="I683" t="str">
        <f>IF(SEFAZ!N665="","",SEFAZ!N665)</f>
        <v/>
      </c>
      <c r="J683" t="str">
        <f>IF(SEFAZ!O665="","",SEFAZ!O665)</f>
        <v/>
      </c>
      <c r="K683" s="11" t="str">
        <f>IF(SEFAZ!P665="","",SEFAZ!P665)</f>
        <v/>
      </c>
      <c r="L683" t="str" cm="1">
        <f t="array" aca="1" ref="L6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3" t="s">
        <v>35</v>
      </c>
      <c r="O683" s="36" t="str">
        <f>IF(SEFAZ!B665="","",SEFAZ!B665)</f>
        <v/>
      </c>
    </row>
    <row r="684" spans="2:15" x14ac:dyDescent="0.3">
      <c r="B684" t="str">
        <f>IF(SEFAZ!A666="","",SEFAZ!A666)</f>
        <v/>
      </c>
      <c r="C684" t="str">
        <f>IF(SEFAZ!C666="","",SEFAZ!C666)</f>
        <v/>
      </c>
      <c r="D684" t="str">
        <f>IF(SEFAZ!D666="","",SEFAZ!D666)</f>
        <v/>
      </c>
      <c r="E684" s="7" t="str">
        <f>IF(SEFAZ!E666="","",SEFAZ!E666)</f>
        <v/>
      </c>
      <c r="F684" s="6" t="str">
        <f>IF(SEFAZ!F666="","",VALUE(SUBSTITUTE(SEFAZ!F666,"'","")))</f>
        <v/>
      </c>
      <c r="G684" t="str">
        <f>IF(SEFAZ!H666="","",SEFAZ!H666)</f>
        <v/>
      </c>
      <c r="H684" t="str">
        <f>IF(SEFAZ!L666="","",SEFAZ!L666)</f>
        <v/>
      </c>
      <c r="I684" t="str">
        <f>IF(SEFAZ!N666="","",SEFAZ!N666)</f>
        <v/>
      </c>
      <c r="J684" t="str">
        <f>IF(SEFAZ!O666="","",SEFAZ!O666)</f>
        <v/>
      </c>
      <c r="K684" s="11" t="str">
        <f>IF(SEFAZ!P666="","",SEFAZ!P666)</f>
        <v/>
      </c>
      <c r="L684" t="str" cm="1">
        <f t="array" aca="1" ref="L6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4" t="s">
        <v>35</v>
      </c>
      <c r="O684" s="36" t="str">
        <f>IF(SEFAZ!B666="","",SEFAZ!B666)</f>
        <v/>
      </c>
    </row>
    <row r="685" spans="2:15" x14ac:dyDescent="0.3">
      <c r="B685" t="str">
        <f>IF(SEFAZ!A667="","",SEFAZ!A667)</f>
        <v/>
      </c>
      <c r="C685" t="str">
        <f>IF(SEFAZ!C667="","",SEFAZ!C667)</f>
        <v/>
      </c>
      <c r="D685" t="str">
        <f>IF(SEFAZ!D667="","",SEFAZ!D667)</f>
        <v/>
      </c>
      <c r="E685" s="7" t="str">
        <f>IF(SEFAZ!E667="","",SEFAZ!E667)</f>
        <v/>
      </c>
      <c r="F685" s="6" t="str">
        <f>IF(SEFAZ!F667="","",VALUE(SUBSTITUTE(SEFAZ!F667,"'","")))</f>
        <v/>
      </c>
      <c r="G685" t="str">
        <f>IF(SEFAZ!H667="","",SEFAZ!H667)</f>
        <v/>
      </c>
      <c r="H685" t="str">
        <f>IF(SEFAZ!L667="","",SEFAZ!L667)</f>
        <v/>
      </c>
      <c r="I685" t="str">
        <f>IF(SEFAZ!N667="","",SEFAZ!N667)</f>
        <v/>
      </c>
      <c r="J685" t="str">
        <f>IF(SEFAZ!O667="","",SEFAZ!O667)</f>
        <v/>
      </c>
      <c r="K685" s="11" t="str">
        <f>IF(SEFAZ!P667="","",SEFAZ!P667)</f>
        <v/>
      </c>
      <c r="L685" t="str" cm="1">
        <f t="array" aca="1" ref="L6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5" t="s">
        <v>35</v>
      </c>
      <c r="O685" s="36" t="str">
        <f>IF(SEFAZ!B667="","",SEFAZ!B667)</f>
        <v/>
      </c>
    </row>
    <row r="686" spans="2:15" x14ac:dyDescent="0.3">
      <c r="B686" t="str">
        <f>IF(SEFAZ!A668="","",SEFAZ!A668)</f>
        <v/>
      </c>
      <c r="C686" t="str">
        <f>IF(SEFAZ!C668="","",SEFAZ!C668)</f>
        <v/>
      </c>
      <c r="D686" t="str">
        <f>IF(SEFAZ!D668="","",SEFAZ!D668)</f>
        <v/>
      </c>
      <c r="E686" s="7" t="str">
        <f>IF(SEFAZ!E668="","",SEFAZ!E668)</f>
        <v/>
      </c>
      <c r="F686" s="6" t="str">
        <f>IF(SEFAZ!F668="","",VALUE(SUBSTITUTE(SEFAZ!F668,"'","")))</f>
        <v/>
      </c>
      <c r="G686" t="str">
        <f>IF(SEFAZ!H668="","",SEFAZ!H668)</f>
        <v/>
      </c>
      <c r="H686" t="str">
        <f>IF(SEFAZ!L668="","",SEFAZ!L668)</f>
        <v/>
      </c>
      <c r="I686" t="str">
        <f>IF(SEFAZ!N668="","",SEFAZ!N668)</f>
        <v/>
      </c>
      <c r="J686" t="str">
        <f>IF(SEFAZ!O668="","",SEFAZ!O668)</f>
        <v/>
      </c>
      <c r="K686" s="11" t="str">
        <f>IF(SEFAZ!P668="","",SEFAZ!P668)</f>
        <v/>
      </c>
      <c r="L686" t="str" cm="1">
        <f t="array" aca="1" ref="L6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6" t="s">
        <v>35</v>
      </c>
      <c r="O686" s="36" t="str">
        <f>IF(SEFAZ!B668="","",SEFAZ!B668)</f>
        <v/>
      </c>
    </row>
    <row r="687" spans="2:15" x14ac:dyDescent="0.3">
      <c r="B687" t="str">
        <f>IF(SEFAZ!A669="","",SEFAZ!A669)</f>
        <v/>
      </c>
      <c r="C687" t="str">
        <f>IF(SEFAZ!C669="","",SEFAZ!C669)</f>
        <v/>
      </c>
      <c r="D687" t="str">
        <f>IF(SEFAZ!D669="","",SEFAZ!D669)</f>
        <v/>
      </c>
      <c r="E687" s="7" t="str">
        <f>IF(SEFAZ!E669="","",SEFAZ!E669)</f>
        <v/>
      </c>
      <c r="F687" s="6" t="str">
        <f>IF(SEFAZ!F669="","",VALUE(SUBSTITUTE(SEFAZ!F669,"'","")))</f>
        <v/>
      </c>
      <c r="G687" t="str">
        <f>IF(SEFAZ!H669="","",SEFAZ!H669)</f>
        <v/>
      </c>
      <c r="H687" t="str">
        <f>IF(SEFAZ!L669="","",SEFAZ!L669)</f>
        <v/>
      </c>
      <c r="I687" t="str">
        <f>IF(SEFAZ!N669="","",SEFAZ!N669)</f>
        <v/>
      </c>
      <c r="J687" t="str">
        <f>IF(SEFAZ!O669="","",SEFAZ!O669)</f>
        <v/>
      </c>
      <c r="K687" s="11" t="str">
        <f>IF(SEFAZ!P669="","",SEFAZ!P669)</f>
        <v/>
      </c>
      <c r="L687" t="str" cm="1">
        <f t="array" aca="1" ref="L6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7" t="s">
        <v>35</v>
      </c>
      <c r="O687" s="36" t="str">
        <f>IF(SEFAZ!B669="","",SEFAZ!B669)</f>
        <v/>
      </c>
    </row>
    <row r="688" spans="2:15" x14ac:dyDescent="0.3">
      <c r="B688" t="str">
        <f>IF(SEFAZ!A670="","",SEFAZ!A670)</f>
        <v/>
      </c>
      <c r="C688" t="str">
        <f>IF(SEFAZ!C670="","",SEFAZ!C670)</f>
        <v/>
      </c>
      <c r="D688" t="str">
        <f>IF(SEFAZ!D670="","",SEFAZ!D670)</f>
        <v/>
      </c>
      <c r="E688" s="7" t="str">
        <f>IF(SEFAZ!E670="","",SEFAZ!E670)</f>
        <v/>
      </c>
      <c r="F688" s="6" t="str">
        <f>IF(SEFAZ!F670="","",VALUE(SUBSTITUTE(SEFAZ!F670,"'","")))</f>
        <v/>
      </c>
      <c r="G688" t="str">
        <f>IF(SEFAZ!H670="","",SEFAZ!H670)</f>
        <v/>
      </c>
      <c r="H688" t="str">
        <f>IF(SEFAZ!L670="","",SEFAZ!L670)</f>
        <v/>
      </c>
      <c r="I688" t="str">
        <f>IF(SEFAZ!N670="","",SEFAZ!N670)</f>
        <v/>
      </c>
      <c r="J688" t="str">
        <f>IF(SEFAZ!O670="","",SEFAZ!O670)</f>
        <v/>
      </c>
      <c r="K688" s="11" t="str">
        <f>IF(SEFAZ!P670="","",SEFAZ!P670)</f>
        <v/>
      </c>
      <c r="L688" t="str" cm="1">
        <f t="array" aca="1" ref="L6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8" t="s">
        <v>35</v>
      </c>
      <c r="O688" s="36" t="str">
        <f>IF(SEFAZ!B670="","",SEFAZ!B670)</f>
        <v/>
      </c>
    </row>
    <row r="689" spans="2:15" x14ac:dyDescent="0.3">
      <c r="B689" t="str">
        <f>IF(SEFAZ!A671="","",SEFAZ!A671)</f>
        <v/>
      </c>
      <c r="C689" t="str">
        <f>IF(SEFAZ!C671="","",SEFAZ!C671)</f>
        <v/>
      </c>
      <c r="D689" t="str">
        <f>IF(SEFAZ!D671="","",SEFAZ!D671)</f>
        <v/>
      </c>
      <c r="E689" s="7" t="str">
        <f>IF(SEFAZ!E671="","",SEFAZ!E671)</f>
        <v/>
      </c>
      <c r="F689" s="6" t="str">
        <f>IF(SEFAZ!F671="","",VALUE(SUBSTITUTE(SEFAZ!F671,"'","")))</f>
        <v/>
      </c>
      <c r="G689" t="str">
        <f>IF(SEFAZ!H671="","",SEFAZ!H671)</f>
        <v/>
      </c>
      <c r="H689" t="str">
        <f>IF(SEFAZ!L671="","",SEFAZ!L671)</f>
        <v/>
      </c>
      <c r="I689" t="str">
        <f>IF(SEFAZ!N671="","",SEFAZ!N671)</f>
        <v/>
      </c>
      <c r="J689" t="str">
        <f>IF(SEFAZ!O671="","",SEFAZ!O671)</f>
        <v/>
      </c>
      <c r="K689" s="11" t="str">
        <f>IF(SEFAZ!P671="","",SEFAZ!P671)</f>
        <v/>
      </c>
      <c r="L689" t="str" cm="1">
        <f t="array" aca="1" ref="L6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89" t="s">
        <v>35</v>
      </c>
      <c r="O689" s="36" t="str">
        <f>IF(SEFAZ!B671="","",SEFAZ!B671)</f>
        <v/>
      </c>
    </row>
    <row r="690" spans="2:15" x14ac:dyDescent="0.3">
      <c r="B690" t="str">
        <f>IF(SEFAZ!A672="","",SEFAZ!A672)</f>
        <v/>
      </c>
      <c r="C690" t="str">
        <f>IF(SEFAZ!C672="","",SEFAZ!C672)</f>
        <v/>
      </c>
      <c r="D690" t="str">
        <f>IF(SEFAZ!D672="","",SEFAZ!D672)</f>
        <v/>
      </c>
      <c r="E690" s="7" t="str">
        <f>IF(SEFAZ!E672="","",SEFAZ!E672)</f>
        <v/>
      </c>
      <c r="F690" s="6" t="str">
        <f>IF(SEFAZ!F672="","",VALUE(SUBSTITUTE(SEFAZ!F672,"'","")))</f>
        <v/>
      </c>
      <c r="G690" t="str">
        <f>IF(SEFAZ!H672="","",SEFAZ!H672)</f>
        <v/>
      </c>
      <c r="H690" t="str">
        <f>IF(SEFAZ!L672="","",SEFAZ!L672)</f>
        <v/>
      </c>
      <c r="I690" t="str">
        <f>IF(SEFAZ!N672="","",SEFAZ!N672)</f>
        <v/>
      </c>
      <c r="J690" t="str">
        <f>IF(SEFAZ!O672="","",SEFAZ!O672)</f>
        <v/>
      </c>
      <c r="K690" s="11" t="str">
        <f>IF(SEFAZ!P672="","",SEFAZ!P672)</f>
        <v/>
      </c>
      <c r="L690" t="str" cm="1">
        <f t="array" aca="1" ref="L6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0" t="s">
        <v>35</v>
      </c>
      <c r="O690" s="36" t="str">
        <f>IF(SEFAZ!B672="","",SEFAZ!B672)</f>
        <v/>
      </c>
    </row>
    <row r="691" spans="2:15" x14ac:dyDescent="0.3">
      <c r="B691" t="str">
        <f>IF(SEFAZ!A673="","",SEFAZ!A673)</f>
        <v/>
      </c>
      <c r="C691" t="str">
        <f>IF(SEFAZ!C673="","",SEFAZ!C673)</f>
        <v/>
      </c>
      <c r="D691" t="str">
        <f>IF(SEFAZ!D673="","",SEFAZ!D673)</f>
        <v/>
      </c>
      <c r="E691" s="7" t="str">
        <f>IF(SEFAZ!E673="","",SEFAZ!E673)</f>
        <v/>
      </c>
      <c r="F691" s="6" t="str">
        <f>IF(SEFAZ!F673="","",VALUE(SUBSTITUTE(SEFAZ!F673,"'","")))</f>
        <v/>
      </c>
      <c r="G691" t="str">
        <f>IF(SEFAZ!H673="","",SEFAZ!H673)</f>
        <v/>
      </c>
      <c r="H691" t="str">
        <f>IF(SEFAZ!L673="","",SEFAZ!L673)</f>
        <v/>
      </c>
      <c r="I691" t="str">
        <f>IF(SEFAZ!N673="","",SEFAZ!N673)</f>
        <v/>
      </c>
      <c r="J691" t="str">
        <f>IF(SEFAZ!O673="","",SEFAZ!O673)</f>
        <v/>
      </c>
      <c r="K691" s="11" t="str">
        <f>IF(SEFAZ!P673="","",SEFAZ!P673)</f>
        <v/>
      </c>
      <c r="L691" t="str" cm="1">
        <f t="array" aca="1" ref="L6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1" t="s">
        <v>35</v>
      </c>
      <c r="O691" s="36" t="str">
        <f>IF(SEFAZ!B673="","",SEFAZ!B673)</f>
        <v/>
      </c>
    </row>
    <row r="692" spans="2:15" x14ac:dyDescent="0.3">
      <c r="B692" t="str">
        <f>IF(SEFAZ!A674="","",SEFAZ!A674)</f>
        <v/>
      </c>
      <c r="C692" t="str">
        <f>IF(SEFAZ!C674="","",SEFAZ!C674)</f>
        <v/>
      </c>
      <c r="D692" t="str">
        <f>IF(SEFAZ!D674="","",SEFAZ!D674)</f>
        <v/>
      </c>
      <c r="E692" s="7" t="str">
        <f>IF(SEFAZ!E674="","",SEFAZ!E674)</f>
        <v/>
      </c>
      <c r="F692" s="6" t="str">
        <f>IF(SEFAZ!F674="","",VALUE(SUBSTITUTE(SEFAZ!F674,"'","")))</f>
        <v/>
      </c>
      <c r="G692" t="str">
        <f>IF(SEFAZ!H674="","",SEFAZ!H674)</f>
        <v/>
      </c>
      <c r="H692" t="str">
        <f>IF(SEFAZ!L674="","",SEFAZ!L674)</f>
        <v/>
      </c>
      <c r="I692" t="str">
        <f>IF(SEFAZ!N674="","",SEFAZ!N674)</f>
        <v/>
      </c>
      <c r="J692" t="str">
        <f>IF(SEFAZ!O674="","",SEFAZ!O674)</f>
        <v/>
      </c>
      <c r="K692" s="11" t="str">
        <f>IF(SEFAZ!P674="","",SEFAZ!P674)</f>
        <v/>
      </c>
      <c r="L692" t="str" cm="1">
        <f t="array" aca="1" ref="L6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2" t="s">
        <v>35</v>
      </c>
      <c r="O692" s="36" t="str">
        <f>IF(SEFAZ!B674="","",SEFAZ!B674)</f>
        <v/>
      </c>
    </row>
    <row r="693" spans="2:15" x14ac:dyDescent="0.3">
      <c r="B693" t="str">
        <f>IF(SEFAZ!A675="","",SEFAZ!A675)</f>
        <v/>
      </c>
      <c r="C693" t="str">
        <f>IF(SEFAZ!C675="","",SEFAZ!C675)</f>
        <v/>
      </c>
      <c r="D693" t="str">
        <f>IF(SEFAZ!D675="","",SEFAZ!D675)</f>
        <v/>
      </c>
      <c r="E693" s="7" t="str">
        <f>IF(SEFAZ!E675="","",SEFAZ!E675)</f>
        <v/>
      </c>
      <c r="F693" s="6" t="str">
        <f>IF(SEFAZ!F675="","",VALUE(SUBSTITUTE(SEFAZ!F675,"'","")))</f>
        <v/>
      </c>
      <c r="G693" t="str">
        <f>IF(SEFAZ!H675="","",SEFAZ!H675)</f>
        <v/>
      </c>
      <c r="H693" t="str">
        <f>IF(SEFAZ!L675="","",SEFAZ!L675)</f>
        <v/>
      </c>
      <c r="I693" t="str">
        <f>IF(SEFAZ!N675="","",SEFAZ!N675)</f>
        <v/>
      </c>
      <c r="J693" t="str">
        <f>IF(SEFAZ!O675="","",SEFAZ!O675)</f>
        <v/>
      </c>
      <c r="K693" s="11" t="str">
        <f>IF(SEFAZ!P675="","",SEFAZ!P675)</f>
        <v/>
      </c>
      <c r="L693" t="str" cm="1">
        <f t="array" aca="1" ref="L6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3" t="s">
        <v>35</v>
      </c>
      <c r="O693" s="36" t="str">
        <f>IF(SEFAZ!B675="","",SEFAZ!B675)</f>
        <v/>
      </c>
    </row>
    <row r="694" spans="2:15" x14ac:dyDescent="0.3">
      <c r="B694" t="str">
        <f>IF(SEFAZ!A676="","",SEFAZ!A676)</f>
        <v/>
      </c>
      <c r="C694" t="str">
        <f>IF(SEFAZ!C676="","",SEFAZ!C676)</f>
        <v/>
      </c>
      <c r="D694" t="str">
        <f>IF(SEFAZ!D676="","",SEFAZ!D676)</f>
        <v/>
      </c>
      <c r="E694" s="7" t="str">
        <f>IF(SEFAZ!E676="","",SEFAZ!E676)</f>
        <v/>
      </c>
      <c r="F694" s="6" t="str">
        <f>IF(SEFAZ!F676="","",VALUE(SUBSTITUTE(SEFAZ!F676,"'","")))</f>
        <v/>
      </c>
      <c r="G694" t="str">
        <f>IF(SEFAZ!H676="","",SEFAZ!H676)</f>
        <v/>
      </c>
      <c r="H694" t="str">
        <f>IF(SEFAZ!L676="","",SEFAZ!L676)</f>
        <v/>
      </c>
      <c r="I694" t="str">
        <f>IF(SEFAZ!N676="","",SEFAZ!N676)</f>
        <v/>
      </c>
      <c r="J694" t="str">
        <f>IF(SEFAZ!O676="","",SEFAZ!O676)</f>
        <v/>
      </c>
      <c r="K694" s="11" t="str">
        <f>IF(SEFAZ!P676="","",SEFAZ!P676)</f>
        <v/>
      </c>
      <c r="L694" t="str" cm="1">
        <f t="array" aca="1" ref="L6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4" t="s">
        <v>35</v>
      </c>
      <c r="O694" s="36" t="str">
        <f>IF(SEFAZ!B676="","",SEFAZ!B676)</f>
        <v/>
      </c>
    </row>
    <row r="695" spans="2:15" x14ac:dyDescent="0.3">
      <c r="B695" t="str">
        <f>IF(SEFAZ!A677="","",SEFAZ!A677)</f>
        <v/>
      </c>
      <c r="C695" t="str">
        <f>IF(SEFAZ!C677="","",SEFAZ!C677)</f>
        <v/>
      </c>
      <c r="D695" t="str">
        <f>IF(SEFAZ!D677="","",SEFAZ!D677)</f>
        <v/>
      </c>
      <c r="E695" s="7" t="str">
        <f>IF(SEFAZ!E677="","",SEFAZ!E677)</f>
        <v/>
      </c>
      <c r="F695" s="6" t="str">
        <f>IF(SEFAZ!F677="","",VALUE(SUBSTITUTE(SEFAZ!F677,"'","")))</f>
        <v/>
      </c>
      <c r="G695" t="str">
        <f>IF(SEFAZ!H677="","",SEFAZ!H677)</f>
        <v/>
      </c>
      <c r="H695" t="str">
        <f>IF(SEFAZ!L677="","",SEFAZ!L677)</f>
        <v/>
      </c>
      <c r="I695" t="str">
        <f>IF(SEFAZ!N677="","",SEFAZ!N677)</f>
        <v/>
      </c>
      <c r="J695" t="str">
        <f>IF(SEFAZ!O677="","",SEFAZ!O677)</f>
        <v/>
      </c>
      <c r="K695" s="11" t="str">
        <f>IF(SEFAZ!P677="","",SEFAZ!P677)</f>
        <v/>
      </c>
      <c r="L695" t="str" cm="1">
        <f t="array" aca="1" ref="L6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5" t="s">
        <v>35</v>
      </c>
      <c r="O695" s="36" t="str">
        <f>IF(SEFAZ!B677="","",SEFAZ!B677)</f>
        <v/>
      </c>
    </row>
    <row r="696" spans="2:15" x14ac:dyDescent="0.3">
      <c r="B696" t="str">
        <f>IF(SEFAZ!A678="","",SEFAZ!A678)</f>
        <v/>
      </c>
      <c r="C696" t="str">
        <f>IF(SEFAZ!C678="","",SEFAZ!C678)</f>
        <v/>
      </c>
      <c r="D696" t="str">
        <f>IF(SEFAZ!D678="","",SEFAZ!D678)</f>
        <v/>
      </c>
      <c r="E696" s="7" t="str">
        <f>IF(SEFAZ!E678="","",SEFAZ!E678)</f>
        <v/>
      </c>
      <c r="F696" s="6" t="str">
        <f>IF(SEFAZ!F678="","",VALUE(SUBSTITUTE(SEFAZ!F678,"'","")))</f>
        <v/>
      </c>
      <c r="G696" t="str">
        <f>IF(SEFAZ!H678="","",SEFAZ!H678)</f>
        <v/>
      </c>
      <c r="H696" t="str">
        <f>IF(SEFAZ!L678="","",SEFAZ!L678)</f>
        <v/>
      </c>
      <c r="I696" t="str">
        <f>IF(SEFAZ!N678="","",SEFAZ!N678)</f>
        <v/>
      </c>
      <c r="J696" t="str">
        <f>IF(SEFAZ!O678="","",SEFAZ!O678)</f>
        <v/>
      </c>
      <c r="K696" s="11" t="str">
        <f>IF(SEFAZ!P678="","",SEFAZ!P678)</f>
        <v/>
      </c>
      <c r="L696" t="str" cm="1">
        <f t="array" aca="1" ref="L6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6" t="s">
        <v>35</v>
      </c>
      <c r="O696" s="36" t="str">
        <f>IF(SEFAZ!B678="","",SEFAZ!B678)</f>
        <v/>
      </c>
    </row>
    <row r="697" spans="2:15" x14ac:dyDescent="0.3">
      <c r="B697" t="str">
        <f>IF(SEFAZ!A679="","",SEFAZ!A679)</f>
        <v/>
      </c>
      <c r="C697" t="str">
        <f>IF(SEFAZ!C679="","",SEFAZ!C679)</f>
        <v/>
      </c>
      <c r="D697" t="str">
        <f>IF(SEFAZ!D679="","",SEFAZ!D679)</f>
        <v/>
      </c>
      <c r="E697" s="7" t="str">
        <f>IF(SEFAZ!E679="","",SEFAZ!E679)</f>
        <v/>
      </c>
      <c r="F697" s="6" t="str">
        <f>IF(SEFAZ!F679="","",VALUE(SUBSTITUTE(SEFAZ!F679,"'","")))</f>
        <v/>
      </c>
      <c r="G697" t="str">
        <f>IF(SEFAZ!H679="","",SEFAZ!H679)</f>
        <v/>
      </c>
      <c r="H697" t="str">
        <f>IF(SEFAZ!L679="","",SEFAZ!L679)</f>
        <v/>
      </c>
      <c r="I697" t="str">
        <f>IF(SEFAZ!N679="","",SEFAZ!N679)</f>
        <v/>
      </c>
      <c r="J697" t="str">
        <f>IF(SEFAZ!O679="","",SEFAZ!O679)</f>
        <v/>
      </c>
      <c r="K697" s="11" t="str">
        <f>IF(SEFAZ!P679="","",SEFAZ!P679)</f>
        <v/>
      </c>
      <c r="L697" t="str" cm="1">
        <f t="array" aca="1" ref="L6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7" t="s">
        <v>35</v>
      </c>
      <c r="O697" s="36" t="str">
        <f>IF(SEFAZ!B679="","",SEFAZ!B679)</f>
        <v/>
      </c>
    </row>
    <row r="698" spans="2:15" x14ac:dyDescent="0.3">
      <c r="B698" t="str">
        <f>IF(SEFAZ!A680="","",SEFAZ!A680)</f>
        <v/>
      </c>
      <c r="C698" t="str">
        <f>IF(SEFAZ!C680="","",SEFAZ!C680)</f>
        <v/>
      </c>
      <c r="D698" t="str">
        <f>IF(SEFAZ!D680="","",SEFAZ!D680)</f>
        <v/>
      </c>
      <c r="E698" s="7" t="str">
        <f>IF(SEFAZ!E680="","",SEFAZ!E680)</f>
        <v/>
      </c>
      <c r="F698" s="6" t="str">
        <f>IF(SEFAZ!F680="","",VALUE(SUBSTITUTE(SEFAZ!F680,"'","")))</f>
        <v/>
      </c>
      <c r="G698" t="str">
        <f>IF(SEFAZ!H680="","",SEFAZ!H680)</f>
        <v/>
      </c>
      <c r="H698" t="str">
        <f>IF(SEFAZ!L680="","",SEFAZ!L680)</f>
        <v/>
      </c>
      <c r="I698" t="str">
        <f>IF(SEFAZ!N680="","",SEFAZ!N680)</f>
        <v/>
      </c>
      <c r="J698" t="str">
        <f>IF(SEFAZ!O680="","",SEFAZ!O680)</f>
        <v/>
      </c>
      <c r="K698" s="11" t="str">
        <f>IF(SEFAZ!P680="","",SEFAZ!P680)</f>
        <v/>
      </c>
      <c r="L698" t="str" cm="1">
        <f t="array" aca="1" ref="L6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8" t="s">
        <v>35</v>
      </c>
      <c r="O698" s="36" t="str">
        <f>IF(SEFAZ!B680="","",SEFAZ!B680)</f>
        <v/>
      </c>
    </row>
    <row r="699" spans="2:15" x14ac:dyDescent="0.3">
      <c r="B699" t="str">
        <f>IF(SEFAZ!A681="","",SEFAZ!A681)</f>
        <v/>
      </c>
      <c r="C699" t="str">
        <f>IF(SEFAZ!C681="","",SEFAZ!C681)</f>
        <v/>
      </c>
      <c r="D699" t="str">
        <f>IF(SEFAZ!D681="","",SEFAZ!D681)</f>
        <v/>
      </c>
      <c r="E699" s="7" t="str">
        <f>IF(SEFAZ!E681="","",SEFAZ!E681)</f>
        <v/>
      </c>
      <c r="F699" s="6" t="str">
        <f>IF(SEFAZ!F681="","",VALUE(SUBSTITUTE(SEFAZ!F681,"'","")))</f>
        <v/>
      </c>
      <c r="G699" t="str">
        <f>IF(SEFAZ!H681="","",SEFAZ!H681)</f>
        <v/>
      </c>
      <c r="H699" t="str">
        <f>IF(SEFAZ!L681="","",SEFAZ!L681)</f>
        <v/>
      </c>
      <c r="I699" t="str">
        <f>IF(SEFAZ!N681="","",SEFAZ!N681)</f>
        <v/>
      </c>
      <c r="J699" t="str">
        <f>IF(SEFAZ!O681="","",SEFAZ!O681)</f>
        <v/>
      </c>
      <c r="K699" s="11" t="str">
        <f>IF(SEFAZ!P681="","",SEFAZ!P681)</f>
        <v/>
      </c>
      <c r="L699" t="str" cm="1">
        <f t="array" aca="1" ref="L6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699" t="s">
        <v>35</v>
      </c>
      <c r="O699" s="36" t="str">
        <f>IF(SEFAZ!B681="","",SEFAZ!B681)</f>
        <v/>
      </c>
    </row>
    <row r="700" spans="2:15" x14ac:dyDescent="0.3">
      <c r="B700" t="str">
        <f>IF(SEFAZ!A682="","",SEFAZ!A682)</f>
        <v/>
      </c>
      <c r="C700" t="str">
        <f>IF(SEFAZ!C682="","",SEFAZ!C682)</f>
        <v/>
      </c>
      <c r="D700" t="str">
        <f>IF(SEFAZ!D682="","",SEFAZ!D682)</f>
        <v/>
      </c>
      <c r="E700" s="7" t="str">
        <f>IF(SEFAZ!E682="","",SEFAZ!E682)</f>
        <v/>
      </c>
      <c r="F700" s="6" t="str">
        <f>IF(SEFAZ!F682="","",VALUE(SUBSTITUTE(SEFAZ!F682,"'","")))</f>
        <v/>
      </c>
      <c r="G700" t="str">
        <f>IF(SEFAZ!H682="","",SEFAZ!H682)</f>
        <v/>
      </c>
      <c r="H700" t="str">
        <f>IF(SEFAZ!L682="","",SEFAZ!L682)</f>
        <v/>
      </c>
      <c r="I700" t="str">
        <f>IF(SEFAZ!N682="","",SEFAZ!N682)</f>
        <v/>
      </c>
      <c r="J700" t="str">
        <f>IF(SEFAZ!O682="","",SEFAZ!O682)</f>
        <v/>
      </c>
      <c r="K700" s="11" t="str">
        <f>IF(SEFAZ!P682="","",SEFAZ!P682)</f>
        <v/>
      </c>
      <c r="L700" t="str" cm="1">
        <f t="array" aca="1" ref="L7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0" t="s">
        <v>35</v>
      </c>
      <c r="O700" s="36" t="str">
        <f>IF(SEFAZ!B682="","",SEFAZ!B682)</f>
        <v/>
      </c>
    </row>
    <row r="701" spans="2:15" x14ac:dyDescent="0.3">
      <c r="B701" t="str">
        <f>IF(SEFAZ!A683="","",SEFAZ!A683)</f>
        <v/>
      </c>
      <c r="C701" t="str">
        <f>IF(SEFAZ!C683="","",SEFAZ!C683)</f>
        <v/>
      </c>
      <c r="D701" t="str">
        <f>IF(SEFAZ!D683="","",SEFAZ!D683)</f>
        <v/>
      </c>
      <c r="E701" s="7" t="str">
        <f>IF(SEFAZ!E683="","",SEFAZ!E683)</f>
        <v/>
      </c>
      <c r="F701" s="6" t="str">
        <f>IF(SEFAZ!F683="","",VALUE(SUBSTITUTE(SEFAZ!F683,"'","")))</f>
        <v/>
      </c>
      <c r="G701" t="str">
        <f>IF(SEFAZ!H683="","",SEFAZ!H683)</f>
        <v/>
      </c>
      <c r="H701" t="str">
        <f>IF(SEFAZ!L683="","",SEFAZ!L683)</f>
        <v/>
      </c>
      <c r="I701" t="str">
        <f>IF(SEFAZ!N683="","",SEFAZ!N683)</f>
        <v/>
      </c>
      <c r="J701" t="str">
        <f>IF(SEFAZ!O683="","",SEFAZ!O683)</f>
        <v/>
      </c>
      <c r="K701" s="11" t="str">
        <f>IF(SEFAZ!P683="","",SEFAZ!P683)</f>
        <v/>
      </c>
      <c r="L701" t="str" cm="1">
        <f t="array" aca="1" ref="L7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1" t="s">
        <v>35</v>
      </c>
      <c r="O701" s="36" t="str">
        <f>IF(SEFAZ!B683="","",SEFAZ!B683)</f>
        <v/>
      </c>
    </row>
    <row r="702" spans="2:15" x14ac:dyDescent="0.3">
      <c r="B702" t="str">
        <f>IF(SEFAZ!A684="","",SEFAZ!A684)</f>
        <v/>
      </c>
      <c r="C702" t="str">
        <f>IF(SEFAZ!C684="","",SEFAZ!C684)</f>
        <v/>
      </c>
      <c r="D702" t="str">
        <f>IF(SEFAZ!D684="","",SEFAZ!D684)</f>
        <v/>
      </c>
      <c r="E702" s="7" t="str">
        <f>IF(SEFAZ!E684="","",SEFAZ!E684)</f>
        <v/>
      </c>
      <c r="F702" s="6" t="str">
        <f>IF(SEFAZ!F684="","",VALUE(SUBSTITUTE(SEFAZ!F684,"'","")))</f>
        <v/>
      </c>
      <c r="G702" t="str">
        <f>IF(SEFAZ!H684="","",SEFAZ!H684)</f>
        <v/>
      </c>
      <c r="H702" t="str">
        <f>IF(SEFAZ!L684="","",SEFAZ!L684)</f>
        <v/>
      </c>
      <c r="I702" t="str">
        <f>IF(SEFAZ!N684="","",SEFAZ!N684)</f>
        <v/>
      </c>
      <c r="J702" t="str">
        <f>IF(SEFAZ!O684="","",SEFAZ!O684)</f>
        <v/>
      </c>
      <c r="K702" s="11" t="str">
        <f>IF(SEFAZ!P684="","",SEFAZ!P684)</f>
        <v/>
      </c>
      <c r="L702" t="str" cm="1">
        <f t="array" aca="1" ref="L7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2" t="s">
        <v>35</v>
      </c>
      <c r="O702" s="36" t="str">
        <f>IF(SEFAZ!B684="","",SEFAZ!B684)</f>
        <v/>
      </c>
    </row>
    <row r="703" spans="2:15" x14ac:dyDescent="0.3">
      <c r="B703" t="str">
        <f>IF(SEFAZ!A685="","",SEFAZ!A685)</f>
        <v/>
      </c>
      <c r="C703" t="str">
        <f>IF(SEFAZ!C685="","",SEFAZ!C685)</f>
        <v/>
      </c>
      <c r="D703" t="str">
        <f>IF(SEFAZ!D685="","",SEFAZ!D685)</f>
        <v/>
      </c>
      <c r="E703" s="7" t="str">
        <f>IF(SEFAZ!E685="","",SEFAZ!E685)</f>
        <v/>
      </c>
      <c r="F703" s="6" t="str">
        <f>IF(SEFAZ!F685="","",VALUE(SUBSTITUTE(SEFAZ!F685,"'","")))</f>
        <v/>
      </c>
      <c r="G703" t="str">
        <f>IF(SEFAZ!H685="","",SEFAZ!H685)</f>
        <v/>
      </c>
      <c r="H703" t="str">
        <f>IF(SEFAZ!L685="","",SEFAZ!L685)</f>
        <v/>
      </c>
      <c r="I703" t="str">
        <f>IF(SEFAZ!N685="","",SEFAZ!N685)</f>
        <v/>
      </c>
      <c r="J703" t="str">
        <f>IF(SEFAZ!O685="","",SEFAZ!O685)</f>
        <v/>
      </c>
      <c r="K703" s="11" t="str">
        <f>IF(SEFAZ!P685="","",SEFAZ!P685)</f>
        <v/>
      </c>
      <c r="L703" t="str" cm="1">
        <f t="array" aca="1" ref="L7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3" t="s">
        <v>35</v>
      </c>
      <c r="O703" s="36" t="str">
        <f>IF(SEFAZ!B685="","",SEFAZ!B685)</f>
        <v/>
      </c>
    </row>
    <row r="704" spans="2:15" x14ac:dyDescent="0.3">
      <c r="B704" t="str">
        <f>IF(SEFAZ!A686="","",SEFAZ!A686)</f>
        <v/>
      </c>
      <c r="C704" t="str">
        <f>IF(SEFAZ!C686="","",SEFAZ!C686)</f>
        <v/>
      </c>
      <c r="D704" t="str">
        <f>IF(SEFAZ!D686="","",SEFAZ!D686)</f>
        <v/>
      </c>
      <c r="E704" s="7" t="str">
        <f>IF(SEFAZ!E686="","",SEFAZ!E686)</f>
        <v/>
      </c>
      <c r="F704" s="6" t="str">
        <f>IF(SEFAZ!F686="","",VALUE(SUBSTITUTE(SEFAZ!F686,"'","")))</f>
        <v/>
      </c>
      <c r="G704" t="str">
        <f>IF(SEFAZ!H686="","",SEFAZ!H686)</f>
        <v/>
      </c>
      <c r="H704" t="str">
        <f>IF(SEFAZ!L686="","",SEFAZ!L686)</f>
        <v/>
      </c>
      <c r="I704" t="str">
        <f>IF(SEFAZ!N686="","",SEFAZ!N686)</f>
        <v/>
      </c>
      <c r="J704" t="str">
        <f>IF(SEFAZ!O686="","",SEFAZ!O686)</f>
        <v/>
      </c>
      <c r="K704" s="11" t="str">
        <f>IF(SEFAZ!P686="","",SEFAZ!P686)</f>
        <v/>
      </c>
      <c r="L704" t="str" cm="1">
        <f t="array" aca="1" ref="L7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4" t="s">
        <v>35</v>
      </c>
      <c r="O704" s="36" t="str">
        <f>IF(SEFAZ!B686="","",SEFAZ!B686)</f>
        <v/>
      </c>
    </row>
    <row r="705" spans="2:15" x14ac:dyDescent="0.3">
      <c r="B705" t="str">
        <f>IF(SEFAZ!A687="","",SEFAZ!A687)</f>
        <v/>
      </c>
      <c r="C705" t="str">
        <f>IF(SEFAZ!C687="","",SEFAZ!C687)</f>
        <v/>
      </c>
      <c r="D705" t="str">
        <f>IF(SEFAZ!D687="","",SEFAZ!D687)</f>
        <v/>
      </c>
      <c r="E705" s="7" t="str">
        <f>IF(SEFAZ!E687="","",SEFAZ!E687)</f>
        <v/>
      </c>
      <c r="F705" s="6" t="str">
        <f>IF(SEFAZ!F687="","",VALUE(SUBSTITUTE(SEFAZ!F687,"'","")))</f>
        <v/>
      </c>
      <c r="G705" t="str">
        <f>IF(SEFAZ!H687="","",SEFAZ!H687)</f>
        <v/>
      </c>
      <c r="H705" t="str">
        <f>IF(SEFAZ!L687="","",SEFAZ!L687)</f>
        <v/>
      </c>
      <c r="I705" t="str">
        <f>IF(SEFAZ!N687="","",SEFAZ!N687)</f>
        <v/>
      </c>
      <c r="J705" t="str">
        <f>IF(SEFAZ!O687="","",SEFAZ!O687)</f>
        <v/>
      </c>
      <c r="K705" s="11" t="str">
        <f>IF(SEFAZ!P687="","",SEFAZ!P687)</f>
        <v/>
      </c>
      <c r="L705" t="str" cm="1">
        <f t="array" aca="1" ref="L7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5" t="s">
        <v>35</v>
      </c>
      <c r="O705" s="36" t="str">
        <f>IF(SEFAZ!B687="","",SEFAZ!B687)</f>
        <v/>
      </c>
    </row>
    <row r="706" spans="2:15" x14ac:dyDescent="0.3">
      <c r="B706" t="str">
        <f>IF(SEFAZ!A688="","",SEFAZ!A688)</f>
        <v/>
      </c>
      <c r="C706" t="str">
        <f>IF(SEFAZ!C688="","",SEFAZ!C688)</f>
        <v/>
      </c>
      <c r="D706" t="str">
        <f>IF(SEFAZ!D688="","",SEFAZ!D688)</f>
        <v/>
      </c>
      <c r="E706" s="7" t="str">
        <f>IF(SEFAZ!E688="","",SEFAZ!E688)</f>
        <v/>
      </c>
      <c r="F706" s="6" t="str">
        <f>IF(SEFAZ!F688="","",VALUE(SUBSTITUTE(SEFAZ!F688,"'","")))</f>
        <v/>
      </c>
      <c r="G706" t="str">
        <f>IF(SEFAZ!H688="","",SEFAZ!H688)</f>
        <v/>
      </c>
      <c r="H706" t="str">
        <f>IF(SEFAZ!L688="","",SEFAZ!L688)</f>
        <v/>
      </c>
      <c r="I706" t="str">
        <f>IF(SEFAZ!N688="","",SEFAZ!N688)</f>
        <v/>
      </c>
      <c r="J706" t="str">
        <f>IF(SEFAZ!O688="","",SEFAZ!O688)</f>
        <v/>
      </c>
      <c r="K706" s="11" t="str">
        <f>IF(SEFAZ!P688="","",SEFAZ!P688)</f>
        <v/>
      </c>
      <c r="L706" t="str" cm="1">
        <f t="array" aca="1" ref="L7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6" t="s">
        <v>35</v>
      </c>
      <c r="O706" s="36" t="str">
        <f>IF(SEFAZ!B688="","",SEFAZ!B688)</f>
        <v/>
      </c>
    </row>
    <row r="707" spans="2:15" x14ac:dyDescent="0.3">
      <c r="B707" t="str">
        <f>IF(SEFAZ!A689="","",SEFAZ!A689)</f>
        <v/>
      </c>
      <c r="C707" t="str">
        <f>IF(SEFAZ!C689="","",SEFAZ!C689)</f>
        <v/>
      </c>
      <c r="D707" t="str">
        <f>IF(SEFAZ!D689="","",SEFAZ!D689)</f>
        <v/>
      </c>
      <c r="E707" s="7" t="str">
        <f>IF(SEFAZ!E689="","",SEFAZ!E689)</f>
        <v/>
      </c>
      <c r="F707" s="6" t="str">
        <f>IF(SEFAZ!F689="","",VALUE(SUBSTITUTE(SEFAZ!F689,"'","")))</f>
        <v/>
      </c>
      <c r="G707" t="str">
        <f>IF(SEFAZ!H689="","",SEFAZ!H689)</f>
        <v/>
      </c>
      <c r="H707" t="str">
        <f>IF(SEFAZ!L689="","",SEFAZ!L689)</f>
        <v/>
      </c>
      <c r="I707" t="str">
        <f>IF(SEFAZ!N689="","",SEFAZ!N689)</f>
        <v/>
      </c>
      <c r="J707" t="str">
        <f>IF(SEFAZ!O689="","",SEFAZ!O689)</f>
        <v/>
      </c>
      <c r="K707" s="11" t="str">
        <f>IF(SEFAZ!P689="","",SEFAZ!P689)</f>
        <v/>
      </c>
      <c r="L707" t="str" cm="1">
        <f t="array" aca="1" ref="L7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7" t="s">
        <v>35</v>
      </c>
      <c r="O707" s="36" t="str">
        <f>IF(SEFAZ!B689="","",SEFAZ!B689)</f>
        <v/>
      </c>
    </row>
    <row r="708" spans="2:15" x14ac:dyDescent="0.3">
      <c r="B708" t="str">
        <f>IF(SEFAZ!A690="","",SEFAZ!A690)</f>
        <v/>
      </c>
      <c r="C708" t="str">
        <f>IF(SEFAZ!C690="","",SEFAZ!C690)</f>
        <v/>
      </c>
      <c r="D708" t="str">
        <f>IF(SEFAZ!D690="","",SEFAZ!D690)</f>
        <v/>
      </c>
      <c r="E708" s="7" t="str">
        <f>IF(SEFAZ!E690="","",SEFAZ!E690)</f>
        <v/>
      </c>
      <c r="F708" s="6" t="str">
        <f>IF(SEFAZ!F690="","",VALUE(SUBSTITUTE(SEFAZ!F690,"'","")))</f>
        <v/>
      </c>
      <c r="G708" t="str">
        <f>IF(SEFAZ!H690="","",SEFAZ!H690)</f>
        <v/>
      </c>
      <c r="H708" t="str">
        <f>IF(SEFAZ!L690="","",SEFAZ!L690)</f>
        <v/>
      </c>
      <c r="I708" t="str">
        <f>IF(SEFAZ!N690="","",SEFAZ!N690)</f>
        <v/>
      </c>
      <c r="J708" t="str">
        <f>IF(SEFAZ!O690="","",SEFAZ!O690)</f>
        <v/>
      </c>
      <c r="K708" s="11" t="str">
        <f>IF(SEFAZ!P690="","",SEFAZ!P690)</f>
        <v/>
      </c>
      <c r="L708" t="str" cm="1">
        <f t="array" aca="1" ref="L7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8" t="s">
        <v>35</v>
      </c>
      <c r="O708" s="36" t="str">
        <f>IF(SEFAZ!B690="","",SEFAZ!B690)</f>
        <v/>
      </c>
    </row>
    <row r="709" spans="2:15" x14ac:dyDescent="0.3">
      <c r="B709" t="str">
        <f>IF(SEFAZ!A691="","",SEFAZ!A691)</f>
        <v/>
      </c>
      <c r="C709" t="str">
        <f>IF(SEFAZ!C691="","",SEFAZ!C691)</f>
        <v/>
      </c>
      <c r="D709" t="str">
        <f>IF(SEFAZ!D691="","",SEFAZ!D691)</f>
        <v/>
      </c>
      <c r="E709" s="7" t="str">
        <f>IF(SEFAZ!E691="","",SEFAZ!E691)</f>
        <v/>
      </c>
      <c r="F709" s="6" t="str">
        <f>IF(SEFAZ!F691="","",VALUE(SUBSTITUTE(SEFAZ!F691,"'","")))</f>
        <v/>
      </c>
      <c r="G709" t="str">
        <f>IF(SEFAZ!H691="","",SEFAZ!H691)</f>
        <v/>
      </c>
      <c r="H709" t="str">
        <f>IF(SEFAZ!L691="","",SEFAZ!L691)</f>
        <v/>
      </c>
      <c r="I709" t="str">
        <f>IF(SEFAZ!N691="","",SEFAZ!N691)</f>
        <v/>
      </c>
      <c r="J709" t="str">
        <f>IF(SEFAZ!O691="","",SEFAZ!O691)</f>
        <v/>
      </c>
      <c r="K709" s="11" t="str">
        <f>IF(SEFAZ!P691="","",SEFAZ!P691)</f>
        <v/>
      </c>
      <c r="L709" t="str" cm="1">
        <f t="array" aca="1" ref="L7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09" t="s">
        <v>35</v>
      </c>
      <c r="O709" s="36" t="str">
        <f>IF(SEFAZ!B691="","",SEFAZ!B691)</f>
        <v/>
      </c>
    </row>
    <row r="710" spans="2:15" x14ac:dyDescent="0.3">
      <c r="B710" t="str">
        <f>IF(SEFAZ!A692="","",SEFAZ!A692)</f>
        <v/>
      </c>
      <c r="C710" t="str">
        <f>IF(SEFAZ!C692="","",SEFAZ!C692)</f>
        <v/>
      </c>
      <c r="D710" t="str">
        <f>IF(SEFAZ!D692="","",SEFAZ!D692)</f>
        <v/>
      </c>
      <c r="E710" s="7" t="str">
        <f>IF(SEFAZ!E692="","",SEFAZ!E692)</f>
        <v/>
      </c>
      <c r="F710" s="6" t="str">
        <f>IF(SEFAZ!F692="","",VALUE(SUBSTITUTE(SEFAZ!F692,"'","")))</f>
        <v/>
      </c>
      <c r="G710" t="str">
        <f>IF(SEFAZ!H692="","",SEFAZ!H692)</f>
        <v/>
      </c>
      <c r="H710" t="str">
        <f>IF(SEFAZ!L692="","",SEFAZ!L692)</f>
        <v/>
      </c>
      <c r="I710" t="str">
        <f>IF(SEFAZ!N692="","",SEFAZ!N692)</f>
        <v/>
      </c>
      <c r="J710" t="str">
        <f>IF(SEFAZ!O692="","",SEFAZ!O692)</f>
        <v/>
      </c>
      <c r="K710" s="11" t="str">
        <f>IF(SEFAZ!P692="","",SEFAZ!P692)</f>
        <v/>
      </c>
      <c r="L710" t="str" cm="1">
        <f t="array" aca="1" ref="L7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0" t="s">
        <v>35</v>
      </c>
      <c r="O710" s="36" t="str">
        <f>IF(SEFAZ!B692="","",SEFAZ!B692)</f>
        <v/>
      </c>
    </row>
    <row r="711" spans="2:15" x14ac:dyDescent="0.3">
      <c r="B711" t="str">
        <f>IF(SEFAZ!A693="","",SEFAZ!A693)</f>
        <v/>
      </c>
      <c r="C711" t="str">
        <f>IF(SEFAZ!C693="","",SEFAZ!C693)</f>
        <v/>
      </c>
      <c r="D711" t="str">
        <f>IF(SEFAZ!D693="","",SEFAZ!D693)</f>
        <v/>
      </c>
      <c r="E711" s="7" t="str">
        <f>IF(SEFAZ!E693="","",SEFAZ!E693)</f>
        <v/>
      </c>
      <c r="F711" s="6" t="str">
        <f>IF(SEFAZ!F693="","",VALUE(SUBSTITUTE(SEFAZ!F693,"'","")))</f>
        <v/>
      </c>
      <c r="G711" t="str">
        <f>IF(SEFAZ!H693="","",SEFAZ!H693)</f>
        <v/>
      </c>
      <c r="H711" t="str">
        <f>IF(SEFAZ!L693="","",SEFAZ!L693)</f>
        <v/>
      </c>
      <c r="I711" t="str">
        <f>IF(SEFAZ!N693="","",SEFAZ!N693)</f>
        <v/>
      </c>
      <c r="J711" t="str">
        <f>IF(SEFAZ!O693="","",SEFAZ!O693)</f>
        <v/>
      </c>
      <c r="K711" s="11" t="str">
        <f>IF(SEFAZ!P693="","",SEFAZ!P693)</f>
        <v/>
      </c>
      <c r="L711" t="str" cm="1">
        <f t="array" aca="1" ref="L7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1" t="s">
        <v>35</v>
      </c>
      <c r="O711" s="36" t="str">
        <f>IF(SEFAZ!B693="","",SEFAZ!B693)</f>
        <v/>
      </c>
    </row>
    <row r="712" spans="2:15" x14ac:dyDescent="0.3">
      <c r="B712" t="str">
        <f>IF(SEFAZ!A694="","",SEFAZ!A694)</f>
        <v/>
      </c>
      <c r="C712" t="str">
        <f>IF(SEFAZ!C694="","",SEFAZ!C694)</f>
        <v/>
      </c>
      <c r="D712" t="str">
        <f>IF(SEFAZ!D694="","",SEFAZ!D694)</f>
        <v/>
      </c>
      <c r="E712" s="7" t="str">
        <f>IF(SEFAZ!E694="","",SEFAZ!E694)</f>
        <v/>
      </c>
      <c r="F712" s="6" t="str">
        <f>IF(SEFAZ!F694="","",VALUE(SUBSTITUTE(SEFAZ!F694,"'","")))</f>
        <v/>
      </c>
      <c r="G712" t="str">
        <f>IF(SEFAZ!H694="","",SEFAZ!H694)</f>
        <v/>
      </c>
      <c r="H712" t="str">
        <f>IF(SEFAZ!L694="","",SEFAZ!L694)</f>
        <v/>
      </c>
      <c r="I712" t="str">
        <f>IF(SEFAZ!N694="","",SEFAZ!N694)</f>
        <v/>
      </c>
      <c r="J712" t="str">
        <f>IF(SEFAZ!O694="","",SEFAZ!O694)</f>
        <v/>
      </c>
      <c r="K712" s="11" t="str">
        <f>IF(SEFAZ!P694="","",SEFAZ!P694)</f>
        <v/>
      </c>
      <c r="L712" t="str" cm="1">
        <f t="array" aca="1" ref="L7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2" t="s">
        <v>35</v>
      </c>
      <c r="O712" s="36" t="str">
        <f>IF(SEFAZ!B694="","",SEFAZ!B694)</f>
        <v/>
      </c>
    </row>
    <row r="713" spans="2:15" x14ac:dyDescent="0.3">
      <c r="B713" t="str">
        <f>IF(SEFAZ!A695="","",SEFAZ!A695)</f>
        <v/>
      </c>
      <c r="C713" t="str">
        <f>IF(SEFAZ!C695="","",SEFAZ!C695)</f>
        <v/>
      </c>
      <c r="D713" t="str">
        <f>IF(SEFAZ!D695="","",SEFAZ!D695)</f>
        <v/>
      </c>
      <c r="E713" s="7" t="str">
        <f>IF(SEFAZ!E695="","",SEFAZ!E695)</f>
        <v/>
      </c>
      <c r="F713" s="6" t="str">
        <f>IF(SEFAZ!F695="","",VALUE(SUBSTITUTE(SEFAZ!F695,"'","")))</f>
        <v/>
      </c>
      <c r="G713" t="str">
        <f>IF(SEFAZ!H695="","",SEFAZ!H695)</f>
        <v/>
      </c>
      <c r="H713" t="str">
        <f>IF(SEFAZ!L695="","",SEFAZ!L695)</f>
        <v/>
      </c>
      <c r="I713" t="str">
        <f>IF(SEFAZ!N695="","",SEFAZ!N695)</f>
        <v/>
      </c>
      <c r="J713" t="str">
        <f>IF(SEFAZ!O695="","",SEFAZ!O695)</f>
        <v/>
      </c>
      <c r="K713" s="11" t="str">
        <f>IF(SEFAZ!P695="","",SEFAZ!P695)</f>
        <v/>
      </c>
      <c r="L713" t="str" cm="1">
        <f t="array" aca="1" ref="L7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3" t="s">
        <v>35</v>
      </c>
      <c r="O713" s="36" t="str">
        <f>IF(SEFAZ!B695="","",SEFAZ!B695)</f>
        <v/>
      </c>
    </row>
    <row r="714" spans="2:15" x14ac:dyDescent="0.3">
      <c r="B714" t="str">
        <f>IF(SEFAZ!A696="","",SEFAZ!A696)</f>
        <v/>
      </c>
      <c r="C714" t="str">
        <f>IF(SEFAZ!C696="","",SEFAZ!C696)</f>
        <v/>
      </c>
      <c r="D714" t="str">
        <f>IF(SEFAZ!D696="","",SEFAZ!D696)</f>
        <v/>
      </c>
      <c r="E714" s="7" t="str">
        <f>IF(SEFAZ!E696="","",SEFAZ!E696)</f>
        <v/>
      </c>
      <c r="F714" s="6" t="str">
        <f>IF(SEFAZ!F696="","",VALUE(SUBSTITUTE(SEFAZ!F696,"'","")))</f>
        <v/>
      </c>
      <c r="G714" t="str">
        <f>IF(SEFAZ!H696="","",SEFAZ!H696)</f>
        <v/>
      </c>
      <c r="H714" t="str">
        <f>IF(SEFAZ!L696="","",SEFAZ!L696)</f>
        <v/>
      </c>
      <c r="I714" t="str">
        <f>IF(SEFAZ!N696="","",SEFAZ!N696)</f>
        <v/>
      </c>
      <c r="J714" t="str">
        <f>IF(SEFAZ!O696="","",SEFAZ!O696)</f>
        <v/>
      </c>
      <c r="K714" s="11" t="str">
        <f>IF(SEFAZ!P696="","",SEFAZ!P696)</f>
        <v/>
      </c>
      <c r="L714" t="str" cm="1">
        <f t="array" aca="1" ref="L7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4" t="s">
        <v>35</v>
      </c>
      <c r="O714" s="36" t="str">
        <f>IF(SEFAZ!B696="","",SEFAZ!B696)</f>
        <v/>
      </c>
    </row>
    <row r="715" spans="2:15" x14ac:dyDescent="0.3">
      <c r="B715" t="str">
        <f>IF(SEFAZ!A697="","",SEFAZ!A697)</f>
        <v/>
      </c>
      <c r="C715" t="str">
        <f>IF(SEFAZ!C697="","",SEFAZ!C697)</f>
        <v/>
      </c>
      <c r="D715" t="str">
        <f>IF(SEFAZ!D697="","",SEFAZ!D697)</f>
        <v/>
      </c>
      <c r="E715" s="7" t="str">
        <f>IF(SEFAZ!E697="","",SEFAZ!E697)</f>
        <v/>
      </c>
      <c r="F715" s="6" t="str">
        <f>IF(SEFAZ!F697="","",VALUE(SUBSTITUTE(SEFAZ!F697,"'","")))</f>
        <v/>
      </c>
      <c r="G715" t="str">
        <f>IF(SEFAZ!H697="","",SEFAZ!H697)</f>
        <v/>
      </c>
      <c r="H715" t="str">
        <f>IF(SEFAZ!L697="","",SEFAZ!L697)</f>
        <v/>
      </c>
      <c r="I715" t="str">
        <f>IF(SEFAZ!N697="","",SEFAZ!N697)</f>
        <v/>
      </c>
      <c r="J715" t="str">
        <f>IF(SEFAZ!O697="","",SEFAZ!O697)</f>
        <v/>
      </c>
      <c r="K715" s="11" t="str">
        <f>IF(SEFAZ!P697="","",SEFAZ!P697)</f>
        <v/>
      </c>
      <c r="L715" t="str" cm="1">
        <f t="array" aca="1" ref="L7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5" t="s">
        <v>35</v>
      </c>
      <c r="O715" s="36" t="str">
        <f>IF(SEFAZ!B697="","",SEFAZ!B697)</f>
        <v/>
      </c>
    </row>
    <row r="716" spans="2:15" x14ac:dyDescent="0.3">
      <c r="B716" t="str">
        <f>IF(SEFAZ!A698="","",SEFAZ!A698)</f>
        <v/>
      </c>
      <c r="C716" t="str">
        <f>IF(SEFAZ!C698="","",SEFAZ!C698)</f>
        <v/>
      </c>
      <c r="D716" t="str">
        <f>IF(SEFAZ!D698="","",SEFAZ!D698)</f>
        <v/>
      </c>
      <c r="E716" s="7" t="str">
        <f>IF(SEFAZ!E698="","",SEFAZ!E698)</f>
        <v/>
      </c>
      <c r="F716" s="6" t="str">
        <f>IF(SEFAZ!F698="","",VALUE(SUBSTITUTE(SEFAZ!F698,"'","")))</f>
        <v/>
      </c>
      <c r="G716" t="str">
        <f>IF(SEFAZ!H698="","",SEFAZ!H698)</f>
        <v/>
      </c>
      <c r="H716" t="str">
        <f>IF(SEFAZ!L698="","",SEFAZ!L698)</f>
        <v/>
      </c>
      <c r="I716" t="str">
        <f>IF(SEFAZ!N698="","",SEFAZ!N698)</f>
        <v/>
      </c>
      <c r="J716" t="str">
        <f>IF(SEFAZ!O698="","",SEFAZ!O698)</f>
        <v/>
      </c>
      <c r="K716" s="11" t="str">
        <f>IF(SEFAZ!P698="","",SEFAZ!P698)</f>
        <v/>
      </c>
      <c r="L716" t="str" cm="1">
        <f t="array" aca="1" ref="L7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6" t="s">
        <v>35</v>
      </c>
      <c r="O716" s="36" t="str">
        <f>IF(SEFAZ!B698="","",SEFAZ!B698)</f>
        <v/>
      </c>
    </row>
    <row r="717" spans="2:15" x14ac:dyDescent="0.3">
      <c r="B717" t="str">
        <f>IF(SEFAZ!A699="","",SEFAZ!A699)</f>
        <v/>
      </c>
      <c r="C717" t="str">
        <f>IF(SEFAZ!C699="","",SEFAZ!C699)</f>
        <v/>
      </c>
      <c r="D717" t="str">
        <f>IF(SEFAZ!D699="","",SEFAZ!D699)</f>
        <v/>
      </c>
      <c r="E717" s="7" t="str">
        <f>IF(SEFAZ!E699="","",SEFAZ!E699)</f>
        <v/>
      </c>
      <c r="F717" s="6" t="str">
        <f>IF(SEFAZ!F699="","",VALUE(SUBSTITUTE(SEFAZ!F699,"'","")))</f>
        <v/>
      </c>
      <c r="G717" t="str">
        <f>IF(SEFAZ!H699="","",SEFAZ!H699)</f>
        <v/>
      </c>
      <c r="H717" t="str">
        <f>IF(SEFAZ!L699="","",SEFAZ!L699)</f>
        <v/>
      </c>
      <c r="I717" t="str">
        <f>IF(SEFAZ!N699="","",SEFAZ!N699)</f>
        <v/>
      </c>
      <c r="J717" t="str">
        <f>IF(SEFAZ!O699="","",SEFAZ!O699)</f>
        <v/>
      </c>
      <c r="K717" s="11" t="str">
        <f>IF(SEFAZ!P699="","",SEFAZ!P699)</f>
        <v/>
      </c>
      <c r="L717" t="str" cm="1">
        <f t="array" aca="1" ref="L7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7" t="s">
        <v>35</v>
      </c>
      <c r="O717" s="36" t="str">
        <f>IF(SEFAZ!B699="","",SEFAZ!B699)</f>
        <v/>
      </c>
    </row>
    <row r="718" spans="2:15" x14ac:dyDescent="0.3">
      <c r="B718" t="str">
        <f>IF(SEFAZ!A700="","",SEFAZ!A700)</f>
        <v/>
      </c>
      <c r="C718" t="str">
        <f>IF(SEFAZ!C700="","",SEFAZ!C700)</f>
        <v/>
      </c>
      <c r="D718" t="str">
        <f>IF(SEFAZ!D700="","",SEFAZ!D700)</f>
        <v/>
      </c>
      <c r="E718" s="7" t="str">
        <f>IF(SEFAZ!E700="","",SEFAZ!E700)</f>
        <v/>
      </c>
      <c r="F718" s="6" t="str">
        <f>IF(SEFAZ!F700="","",VALUE(SUBSTITUTE(SEFAZ!F700,"'","")))</f>
        <v/>
      </c>
      <c r="G718" t="str">
        <f>IF(SEFAZ!H700="","",SEFAZ!H700)</f>
        <v/>
      </c>
      <c r="H718" t="str">
        <f>IF(SEFAZ!L700="","",SEFAZ!L700)</f>
        <v/>
      </c>
      <c r="I718" t="str">
        <f>IF(SEFAZ!N700="","",SEFAZ!N700)</f>
        <v/>
      </c>
      <c r="J718" t="str">
        <f>IF(SEFAZ!O700="","",SEFAZ!O700)</f>
        <v/>
      </c>
      <c r="K718" s="11" t="str">
        <f>IF(SEFAZ!P700="","",SEFAZ!P700)</f>
        <v/>
      </c>
      <c r="L718" t="str" cm="1">
        <f t="array" aca="1" ref="L7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8" t="s">
        <v>35</v>
      </c>
      <c r="O718" s="36" t="str">
        <f>IF(SEFAZ!B700="","",SEFAZ!B700)</f>
        <v/>
      </c>
    </row>
    <row r="719" spans="2:15" x14ac:dyDescent="0.3">
      <c r="B719" t="str">
        <f>IF(SEFAZ!A701="","",SEFAZ!A701)</f>
        <v/>
      </c>
      <c r="C719" t="str">
        <f>IF(SEFAZ!C701="","",SEFAZ!C701)</f>
        <v/>
      </c>
      <c r="D719" t="str">
        <f>IF(SEFAZ!D701="","",SEFAZ!D701)</f>
        <v/>
      </c>
      <c r="E719" s="7" t="str">
        <f>IF(SEFAZ!E701="","",SEFAZ!E701)</f>
        <v/>
      </c>
      <c r="F719" s="6" t="str">
        <f>IF(SEFAZ!F701="","",VALUE(SUBSTITUTE(SEFAZ!F701,"'","")))</f>
        <v/>
      </c>
      <c r="G719" t="str">
        <f>IF(SEFAZ!H701="","",SEFAZ!H701)</f>
        <v/>
      </c>
      <c r="H719" t="str">
        <f>IF(SEFAZ!L701="","",SEFAZ!L701)</f>
        <v/>
      </c>
      <c r="I719" t="str">
        <f>IF(SEFAZ!N701="","",SEFAZ!N701)</f>
        <v/>
      </c>
      <c r="J719" t="str">
        <f>IF(SEFAZ!O701="","",SEFAZ!O701)</f>
        <v/>
      </c>
      <c r="K719" s="11" t="str">
        <f>IF(SEFAZ!P701="","",SEFAZ!P701)</f>
        <v/>
      </c>
      <c r="L719" t="str" cm="1">
        <f t="array" aca="1" ref="L7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19" t="s">
        <v>35</v>
      </c>
      <c r="O719" s="36" t="str">
        <f>IF(SEFAZ!B701="","",SEFAZ!B701)</f>
        <v/>
      </c>
    </row>
    <row r="720" spans="2:15" x14ac:dyDescent="0.3">
      <c r="B720" t="str">
        <f>IF(SEFAZ!A702="","",SEFAZ!A702)</f>
        <v/>
      </c>
      <c r="C720" t="str">
        <f>IF(SEFAZ!C702="","",SEFAZ!C702)</f>
        <v/>
      </c>
      <c r="D720" t="str">
        <f>IF(SEFAZ!D702="","",SEFAZ!D702)</f>
        <v/>
      </c>
      <c r="E720" s="7" t="str">
        <f>IF(SEFAZ!E702="","",SEFAZ!E702)</f>
        <v/>
      </c>
      <c r="F720" s="6" t="str">
        <f>IF(SEFAZ!F702="","",VALUE(SUBSTITUTE(SEFAZ!F702,"'","")))</f>
        <v/>
      </c>
      <c r="G720" t="str">
        <f>IF(SEFAZ!H702="","",SEFAZ!H702)</f>
        <v/>
      </c>
      <c r="H720" t="str">
        <f>IF(SEFAZ!L702="","",SEFAZ!L702)</f>
        <v/>
      </c>
      <c r="I720" t="str">
        <f>IF(SEFAZ!N702="","",SEFAZ!N702)</f>
        <v/>
      </c>
      <c r="J720" t="str">
        <f>IF(SEFAZ!O702="","",SEFAZ!O702)</f>
        <v/>
      </c>
      <c r="K720" s="11" t="str">
        <f>IF(SEFAZ!P702="","",SEFAZ!P702)</f>
        <v/>
      </c>
      <c r="L720" t="str" cm="1">
        <f t="array" aca="1" ref="L7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0" t="s">
        <v>35</v>
      </c>
      <c r="O720" s="36" t="str">
        <f>IF(SEFAZ!B702="","",SEFAZ!B702)</f>
        <v/>
      </c>
    </row>
    <row r="721" spans="2:15" x14ac:dyDescent="0.3">
      <c r="B721" t="str">
        <f>IF(SEFAZ!A703="","",SEFAZ!A703)</f>
        <v/>
      </c>
      <c r="C721" t="str">
        <f>IF(SEFAZ!C703="","",SEFAZ!C703)</f>
        <v/>
      </c>
      <c r="D721" t="str">
        <f>IF(SEFAZ!D703="","",SEFAZ!D703)</f>
        <v/>
      </c>
      <c r="E721" s="7" t="str">
        <f>IF(SEFAZ!E703="","",SEFAZ!E703)</f>
        <v/>
      </c>
      <c r="F721" s="6" t="str">
        <f>IF(SEFAZ!F703="","",VALUE(SUBSTITUTE(SEFAZ!F703,"'","")))</f>
        <v/>
      </c>
      <c r="G721" t="str">
        <f>IF(SEFAZ!H703="","",SEFAZ!H703)</f>
        <v/>
      </c>
      <c r="H721" t="str">
        <f>IF(SEFAZ!L703="","",SEFAZ!L703)</f>
        <v/>
      </c>
      <c r="I721" t="str">
        <f>IF(SEFAZ!N703="","",SEFAZ!N703)</f>
        <v/>
      </c>
      <c r="J721" t="str">
        <f>IF(SEFAZ!O703="","",SEFAZ!O703)</f>
        <v/>
      </c>
      <c r="K721" s="11" t="str">
        <f>IF(SEFAZ!P703="","",SEFAZ!P703)</f>
        <v/>
      </c>
      <c r="L721" t="str" cm="1">
        <f t="array" aca="1" ref="L7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1" t="s">
        <v>35</v>
      </c>
      <c r="O721" s="36" t="str">
        <f>IF(SEFAZ!B703="","",SEFAZ!B703)</f>
        <v/>
      </c>
    </row>
    <row r="722" spans="2:15" x14ac:dyDescent="0.3">
      <c r="B722" t="str">
        <f>IF(SEFAZ!A704="","",SEFAZ!A704)</f>
        <v/>
      </c>
      <c r="C722" t="str">
        <f>IF(SEFAZ!C704="","",SEFAZ!C704)</f>
        <v/>
      </c>
      <c r="D722" t="str">
        <f>IF(SEFAZ!D704="","",SEFAZ!D704)</f>
        <v/>
      </c>
      <c r="E722" s="7" t="str">
        <f>IF(SEFAZ!E704="","",SEFAZ!E704)</f>
        <v/>
      </c>
      <c r="F722" s="6" t="str">
        <f>IF(SEFAZ!F704="","",VALUE(SUBSTITUTE(SEFAZ!F704,"'","")))</f>
        <v/>
      </c>
      <c r="G722" t="str">
        <f>IF(SEFAZ!H704="","",SEFAZ!H704)</f>
        <v/>
      </c>
      <c r="H722" t="str">
        <f>IF(SEFAZ!L704="","",SEFAZ!L704)</f>
        <v/>
      </c>
      <c r="I722" t="str">
        <f>IF(SEFAZ!N704="","",SEFAZ!N704)</f>
        <v/>
      </c>
      <c r="J722" t="str">
        <f>IF(SEFAZ!O704="","",SEFAZ!O704)</f>
        <v/>
      </c>
      <c r="K722" s="11" t="str">
        <f>IF(SEFAZ!P704="","",SEFAZ!P704)</f>
        <v/>
      </c>
      <c r="L722" t="str" cm="1">
        <f t="array" aca="1" ref="L7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2" t="s">
        <v>35</v>
      </c>
      <c r="O722" s="36" t="str">
        <f>IF(SEFAZ!B704="","",SEFAZ!B704)</f>
        <v/>
      </c>
    </row>
    <row r="723" spans="2:15" x14ac:dyDescent="0.3">
      <c r="B723" t="str">
        <f>IF(SEFAZ!A705="","",SEFAZ!A705)</f>
        <v/>
      </c>
      <c r="C723" t="str">
        <f>IF(SEFAZ!C705="","",SEFAZ!C705)</f>
        <v/>
      </c>
      <c r="D723" t="str">
        <f>IF(SEFAZ!D705="","",SEFAZ!D705)</f>
        <v/>
      </c>
      <c r="E723" s="7" t="str">
        <f>IF(SEFAZ!E705="","",SEFAZ!E705)</f>
        <v/>
      </c>
      <c r="F723" s="6" t="str">
        <f>IF(SEFAZ!F705="","",VALUE(SUBSTITUTE(SEFAZ!F705,"'","")))</f>
        <v/>
      </c>
      <c r="G723" t="str">
        <f>IF(SEFAZ!H705="","",SEFAZ!H705)</f>
        <v/>
      </c>
      <c r="H723" t="str">
        <f>IF(SEFAZ!L705="","",SEFAZ!L705)</f>
        <v/>
      </c>
      <c r="I723" t="str">
        <f>IF(SEFAZ!N705="","",SEFAZ!N705)</f>
        <v/>
      </c>
      <c r="J723" t="str">
        <f>IF(SEFAZ!O705="","",SEFAZ!O705)</f>
        <v/>
      </c>
      <c r="K723" s="11" t="str">
        <f>IF(SEFAZ!P705="","",SEFAZ!P705)</f>
        <v/>
      </c>
      <c r="L723" t="str" cm="1">
        <f t="array" aca="1" ref="L7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3" t="s">
        <v>35</v>
      </c>
      <c r="O723" s="36" t="str">
        <f>IF(SEFAZ!B705="","",SEFAZ!B705)</f>
        <v/>
      </c>
    </row>
    <row r="724" spans="2:15" x14ac:dyDescent="0.3">
      <c r="B724" t="str">
        <f>IF(SEFAZ!A706="","",SEFAZ!A706)</f>
        <v/>
      </c>
      <c r="C724" t="str">
        <f>IF(SEFAZ!C706="","",SEFAZ!C706)</f>
        <v/>
      </c>
      <c r="D724" t="str">
        <f>IF(SEFAZ!D706="","",SEFAZ!D706)</f>
        <v/>
      </c>
      <c r="E724" s="7" t="str">
        <f>IF(SEFAZ!E706="","",SEFAZ!E706)</f>
        <v/>
      </c>
      <c r="F724" s="6" t="str">
        <f>IF(SEFAZ!F706="","",VALUE(SUBSTITUTE(SEFAZ!F706,"'","")))</f>
        <v/>
      </c>
      <c r="G724" t="str">
        <f>IF(SEFAZ!H706="","",SEFAZ!H706)</f>
        <v/>
      </c>
      <c r="H724" t="str">
        <f>IF(SEFAZ!L706="","",SEFAZ!L706)</f>
        <v/>
      </c>
      <c r="I724" t="str">
        <f>IF(SEFAZ!N706="","",SEFAZ!N706)</f>
        <v/>
      </c>
      <c r="J724" t="str">
        <f>IF(SEFAZ!O706="","",SEFAZ!O706)</f>
        <v/>
      </c>
      <c r="K724" s="11" t="str">
        <f>IF(SEFAZ!P706="","",SEFAZ!P706)</f>
        <v/>
      </c>
      <c r="L724" t="str" cm="1">
        <f t="array" aca="1" ref="L7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4" t="s">
        <v>35</v>
      </c>
      <c r="O724" s="36" t="str">
        <f>IF(SEFAZ!B706="","",SEFAZ!B706)</f>
        <v/>
      </c>
    </row>
    <row r="725" spans="2:15" x14ac:dyDescent="0.3">
      <c r="B725" t="str">
        <f>IF(SEFAZ!A707="","",SEFAZ!A707)</f>
        <v/>
      </c>
      <c r="C725" t="str">
        <f>IF(SEFAZ!C707="","",SEFAZ!C707)</f>
        <v/>
      </c>
      <c r="D725" t="str">
        <f>IF(SEFAZ!D707="","",SEFAZ!D707)</f>
        <v/>
      </c>
      <c r="E725" s="7" t="str">
        <f>IF(SEFAZ!E707="","",SEFAZ!E707)</f>
        <v/>
      </c>
      <c r="F725" s="6" t="str">
        <f>IF(SEFAZ!F707="","",VALUE(SUBSTITUTE(SEFAZ!F707,"'","")))</f>
        <v/>
      </c>
      <c r="G725" t="str">
        <f>IF(SEFAZ!H707="","",SEFAZ!H707)</f>
        <v/>
      </c>
      <c r="H725" t="str">
        <f>IF(SEFAZ!L707="","",SEFAZ!L707)</f>
        <v/>
      </c>
      <c r="I725" t="str">
        <f>IF(SEFAZ!N707="","",SEFAZ!N707)</f>
        <v/>
      </c>
      <c r="J725" t="str">
        <f>IF(SEFAZ!O707="","",SEFAZ!O707)</f>
        <v/>
      </c>
      <c r="K725" s="11" t="str">
        <f>IF(SEFAZ!P707="","",SEFAZ!P707)</f>
        <v/>
      </c>
      <c r="L725" t="str" cm="1">
        <f t="array" aca="1" ref="L7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5" t="s">
        <v>35</v>
      </c>
      <c r="O725" s="36" t="str">
        <f>IF(SEFAZ!B707="","",SEFAZ!B707)</f>
        <v/>
      </c>
    </row>
    <row r="726" spans="2:15" x14ac:dyDescent="0.3">
      <c r="B726" t="str">
        <f>IF(SEFAZ!A708="","",SEFAZ!A708)</f>
        <v/>
      </c>
      <c r="C726" t="str">
        <f>IF(SEFAZ!C708="","",SEFAZ!C708)</f>
        <v/>
      </c>
      <c r="D726" t="str">
        <f>IF(SEFAZ!D708="","",SEFAZ!D708)</f>
        <v/>
      </c>
      <c r="E726" s="7" t="str">
        <f>IF(SEFAZ!E708="","",SEFAZ!E708)</f>
        <v/>
      </c>
      <c r="F726" s="6" t="str">
        <f>IF(SEFAZ!F708="","",VALUE(SUBSTITUTE(SEFAZ!F708,"'","")))</f>
        <v/>
      </c>
      <c r="G726" t="str">
        <f>IF(SEFAZ!H708="","",SEFAZ!H708)</f>
        <v/>
      </c>
      <c r="H726" t="str">
        <f>IF(SEFAZ!L708="","",SEFAZ!L708)</f>
        <v/>
      </c>
      <c r="I726" t="str">
        <f>IF(SEFAZ!N708="","",SEFAZ!N708)</f>
        <v/>
      </c>
      <c r="J726" t="str">
        <f>IF(SEFAZ!O708="","",SEFAZ!O708)</f>
        <v/>
      </c>
      <c r="K726" s="11" t="str">
        <f>IF(SEFAZ!P708="","",SEFAZ!P708)</f>
        <v/>
      </c>
      <c r="L726" t="str" cm="1">
        <f t="array" aca="1" ref="L7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6" t="s">
        <v>35</v>
      </c>
      <c r="O726" s="36" t="str">
        <f>IF(SEFAZ!B708="","",SEFAZ!B708)</f>
        <v/>
      </c>
    </row>
    <row r="727" spans="2:15" x14ac:dyDescent="0.3">
      <c r="B727" t="str">
        <f>IF(SEFAZ!A709="","",SEFAZ!A709)</f>
        <v/>
      </c>
      <c r="C727" t="str">
        <f>IF(SEFAZ!C709="","",SEFAZ!C709)</f>
        <v/>
      </c>
      <c r="D727" t="str">
        <f>IF(SEFAZ!D709="","",SEFAZ!D709)</f>
        <v/>
      </c>
      <c r="E727" s="7" t="str">
        <f>IF(SEFAZ!E709="","",SEFAZ!E709)</f>
        <v/>
      </c>
      <c r="F727" s="6" t="str">
        <f>IF(SEFAZ!F709="","",VALUE(SUBSTITUTE(SEFAZ!F709,"'","")))</f>
        <v/>
      </c>
      <c r="G727" t="str">
        <f>IF(SEFAZ!H709="","",SEFAZ!H709)</f>
        <v/>
      </c>
      <c r="H727" t="str">
        <f>IF(SEFAZ!L709="","",SEFAZ!L709)</f>
        <v/>
      </c>
      <c r="I727" t="str">
        <f>IF(SEFAZ!N709="","",SEFAZ!N709)</f>
        <v/>
      </c>
      <c r="J727" t="str">
        <f>IF(SEFAZ!O709="","",SEFAZ!O709)</f>
        <v/>
      </c>
      <c r="K727" s="11" t="str">
        <f>IF(SEFAZ!P709="","",SEFAZ!P709)</f>
        <v/>
      </c>
      <c r="L727" t="str" cm="1">
        <f t="array" aca="1" ref="L7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7" t="s">
        <v>35</v>
      </c>
      <c r="O727" s="36" t="str">
        <f>IF(SEFAZ!B709="","",SEFAZ!B709)</f>
        <v/>
      </c>
    </row>
    <row r="728" spans="2:15" x14ac:dyDescent="0.3">
      <c r="B728" t="str">
        <f>IF(SEFAZ!A710="","",SEFAZ!A710)</f>
        <v/>
      </c>
      <c r="C728" t="str">
        <f>IF(SEFAZ!C710="","",SEFAZ!C710)</f>
        <v/>
      </c>
      <c r="D728" t="str">
        <f>IF(SEFAZ!D710="","",SEFAZ!D710)</f>
        <v/>
      </c>
      <c r="E728" s="7" t="str">
        <f>IF(SEFAZ!E710="","",SEFAZ!E710)</f>
        <v/>
      </c>
      <c r="F728" s="6" t="str">
        <f>IF(SEFAZ!F710="","",VALUE(SUBSTITUTE(SEFAZ!F710,"'","")))</f>
        <v/>
      </c>
      <c r="G728" t="str">
        <f>IF(SEFAZ!H710="","",SEFAZ!H710)</f>
        <v/>
      </c>
      <c r="H728" t="str">
        <f>IF(SEFAZ!L710="","",SEFAZ!L710)</f>
        <v/>
      </c>
      <c r="I728" t="str">
        <f>IF(SEFAZ!N710="","",SEFAZ!N710)</f>
        <v/>
      </c>
      <c r="J728" t="str">
        <f>IF(SEFAZ!O710="","",SEFAZ!O710)</f>
        <v/>
      </c>
      <c r="K728" s="11" t="str">
        <f>IF(SEFAZ!P710="","",SEFAZ!P710)</f>
        <v/>
      </c>
      <c r="L728" t="str" cm="1">
        <f t="array" aca="1" ref="L7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8" t="s">
        <v>35</v>
      </c>
      <c r="O728" s="36" t="str">
        <f>IF(SEFAZ!B710="","",SEFAZ!B710)</f>
        <v/>
      </c>
    </row>
    <row r="729" spans="2:15" x14ac:dyDescent="0.3">
      <c r="B729" t="str">
        <f>IF(SEFAZ!A711="","",SEFAZ!A711)</f>
        <v/>
      </c>
      <c r="C729" t="str">
        <f>IF(SEFAZ!C711="","",SEFAZ!C711)</f>
        <v/>
      </c>
      <c r="D729" t="str">
        <f>IF(SEFAZ!D711="","",SEFAZ!D711)</f>
        <v/>
      </c>
      <c r="E729" s="7" t="str">
        <f>IF(SEFAZ!E711="","",SEFAZ!E711)</f>
        <v/>
      </c>
      <c r="F729" s="6" t="str">
        <f>IF(SEFAZ!F711="","",VALUE(SUBSTITUTE(SEFAZ!F711,"'","")))</f>
        <v/>
      </c>
      <c r="G729" t="str">
        <f>IF(SEFAZ!H711="","",SEFAZ!H711)</f>
        <v/>
      </c>
      <c r="H729" t="str">
        <f>IF(SEFAZ!L711="","",SEFAZ!L711)</f>
        <v/>
      </c>
      <c r="I729" t="str">
        <f>IF(SEFAZ!N711="","",SEFAZ!N711)</f>
        <v/>
      </c>
      <c r="J729" t="str">
        <f>IF(SEFAZ!O711="","",SEFAZ!O711)</f>
        <v/>
      </c>
      <c r="K729" s="11" t="str">
        <f>IF(SEFAZ!P711="","",SEFAZ!P711)</f>
        <v/>
      </c>
      <c r="L729" t="str" cm="1">
        <f t="array" aca="1" ref="L7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29" t="s">
        <v>35</v>
      </c>
      <c r="O729" s="36" t="str">
        <f>IF(SEFAZ!B711="","",SEFAZ!B711)</f>
        <v/>
      </c>
    </row>
    <row r="730" spans="2:15" x14ac:dyDescent="0.3">
      <c r="B730" t="str">
        <f>IF(SEFAZ!A712="","",SEFAZ!A712)</f>
        <v/>
      </c>
      <c r="C730" t="str">
        <f>IF(SEFAZ!C712="","",SEFAZ!C712)</f>
        <v/>
      </c>
      <c r="D730" t="str">
        <f>IF(SEFAZ!D712="","",SEFAZ!D712)</f>
        <v/>
      </c>
      <c r="E730" s="7" t="str">
        <f>IF(SEFAZ!E712="","",SEFAZ!E712)</f>
        <v/>
      </c>
      <c r="F730" s="6" t="str">
        <f>IF(SEFAZ!F712="","",VALUE(SUBSTITUTE(SEFAZ!F712,"'","")))</f>
        <v/>
      </c>
      <c r="G730" t="str">
        <f>IF(SEFAZ!H712="","",SEFAZ!H712)</f>
        <v/>
      </c>
      <c r="H730" t="str">
        <f>IF(SEFAZ!L712="","",SEFAZ!L712)</f>
        <v/>
      </c>
      <c r="I730" t="str">
        <f>IF(SEFAZ!N712="","",SEFAZ!N712)</f>
        <v/>
      </c>
      <c r="J730" t="str">
        <f>IF(SEFAZ!O712="","",SEFAZ!O712)</f>
        <v/>
      </c>
      <c r="K730" s="11" t="str">
        <f>IF(SEFAZ!P712="","",SEFAZ!P712)</f>
        <v/>
      </c>
      <c r="L730" t="str" cm="1">
        <f t="array" aca="1" ref="L7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0" t="s">
        <v>35</v>
      </c>
      <c r="O730" s="36" t="str">
        <f>IF(SEFAZ!B712="","",SEFAZ!B712)</f>
        <v/>
      </c>
    </row>
    <row r="731" spans="2:15" x14ac:dyDescent="0.3">
      <c r="B731" t="str">
        <f>IF(SEFAZ!A713="","",SEFAZ!A713)</f>
        <v/>
      </c>
      <c r="C731" t="str">
        <f>IF(SEFAZ!C713="","",SEFAZ!C713)</f>
        <v/>
      </c>
      <c r="D731" t="str">
        <f>IF(SEFAZ!D713="","",SEFAZ!D713)</f>
        <v/>
      </c>
      <c r="E731" s="7" t="str">
        <f>IF(SEFAZ!E713="","",SEFAZ!E713)</f>
        <v/>
      </c>
      <c r="F731" s="6" t="str">
        <f>IF(SEFAZ!F713="","",VALUE(SUBSTITUTE(SEFAZ!F713,"'","")))</f>
        <v/>
      </c>
      <c r="G731" t="str">
        <f>IF(SEFAZ!H713="","",SEFAZ!H713)</f>
        <v/>
      </c>
      <c r="H731" t="str">
        <f>IF(SEFAZ!L713="","",SEFAZ!L713)</f>
        <v/>
      </c>
      <c r="I731" t="str">
        <f>IF(SEFAZ!N713="","",SEFAZ!N713)</f>
        <v/>
      </c>
      <c r="J731" t="str">
        <f>IF(SEFAZ!O713="","",SEFAZ!O713)</f>
        <v/>
      </c>
      <c r="K731" s="11" t="str">
        <f>IF(SEFAZ!P713="","",SEFAZ!P713)</f>
        <v/>
      </c>
      <c r="L731" t="str" cm="1">
        <f t="array" aca="1" ref="L7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1" t="s">
        <v>35</v>
      </c>
      <c r="O731" s="36" t="str">
        <f>IF(SEFAZ!B713="","",SEFAZ!B713)</f>
        <v/>
      </c>
    </row>
    <row r="732" spans="2:15" x14ac:dyDescent="0.3">
      <c r="B732" t="str">
        <f>IF(SEFAZ!A714="","",SEFAZ!A714)</f>
        <v/>
      </c>
      <c r="C732" t="str">
        <f>IF(SEFAZ!C714="","",SEFAZ!C714)</f>
        <v/>
      </c>
      <c r="D732" t="str">
        <f>IF(SEFAZ!D714="","",SEFAZ!D714)</f>
        <v/>
      </c>
      <c r="E732" s="7" t="str">
        <f>IF(SEFAZ!E714="","",SEFAZ!E714)</f>
        <v/>
      </c>
      <c r="F732" s="6" t="str">
        <f>IF(SEFAZ!F714="","",VALUE(SUBSTITUTE(SEFAZ!F714,"'","")))</f>
        <v/>
      </c>
      <c r="G732" t="str">
        <f>IF(SEFAZ!H714="","",SEFAZ!H714)</f>
        <v/>
      </c>
      <c r="H732" t="str">
        <f>IF(SEFAZ!L714="","",SEFAZ!L714)</f>
        <v/>
      </c>
      <c r="I732" t="str">
        <f>IF(SEFAZ!N714="","",SEFAZ!N714)</f>
        <v/>
      </c>
      <c r="J732" t="str">
        <f>IF(SEFAZ!O714="","",SEFAZ!O714)</f>
        <v/>
      </c>
      <c r="K732" s="11" t="str">
        <f>IF(SEFAZ!P714="","",SEFAZ!P714)</f>
        <v/>
      </c>
      <c r="L732" t="str" cm="1">
        <f t="array" aca="1" ref="L7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2" t="s">
        <v>35</v>
      </c>
      <c r="O732" s="36" t="str">
        <f>IF(SEFAZ!B714="","",SEFAZ!B714)</f>
        <v/>
      </c>
    </row>
    <row r="733" spans="2:15" x14ac:dyDescent="0.3">
      <c r="B733" t="str">
        <f>IF(SEFAZ!A715="","",SEFAZ!A715)</f>
        <v/>
      </c>
      <c r="C733" t="str">
        <f>IF(SEFAZ!C715="","",SEFAZ!C715)</f>
        <v/>
      </c>
      <c r="D733" t="str">
        <f>IF(SEFAZ!D715="","",SEFAZ!D715)</f>
        <v/>
      </c>
      <c r="E733" s="7" t="str">
        <f>IF(SEFAZ!E715="","",SEFAZ!E715)</f>
        <v/>
      </c>
      <c r="F733" s="6" t="str">
        <f>IF(SEFAZ!F715="","",VALUE(SUBSTITUTE(SEFAZ!F715,"'","")))</f>
        <v/>
      </c>
      <c r="G733" t="str">
        <f>IF(SEFAZ!H715="","",SEFAZ!H715)</f>
        <v/>
      </c>
      <c r="H733" t="str">
        <f>IF(SEFAZ!L715="","",SEFAZ!L715)</f>
        <v/>
      </c>
      <c r="I733" t="str">
        <f>IF(SEFAZ!N715="","",SEFAZ!N715)</f>
        <v/>
      </c>
      <c r="J733" t="str">
        <f>IF(SEFAZ!O715="","",SEFAZ!O715)</f>
        <v/>
      </c>
      <c r="K733" s="11" t="str">
        <f>IF(SEFAZ!P715="","",SEFAZ!P715)</f>
        <v/>
      </c>
      <c r="L733" t="str" cm="1">
        <f t="array" aca="1" ref="L7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3" t="s">
        <v>35</v>
      </c>
      <c r="O733" s="36" t="str">
        <f>IF(SEFAZ!B715="","",SEFAZ!B715)</f>
        <v/>
      </c>
    </row>
    <row r="734" spans="2:15" x14ac:dyDescent="0.3">
      <c r="B734" t="str">
        <f>IF(SEFAZ!A716="","",SEFAZ!A716)</f>
        <v/>
      </c>
      <c r="C734" t="str">
        <f>IF(SEFAZ!C716="","",SEFAZ!C716)</f>
        <v/>
      </c>
      <c r="D734" t="str">
        <f>IF(SEFAZ!D716="","",SEFAZ!D716)</f>
        <v/>
      </c>
      <c r="E734" s="7" t="str">
        <f>IF(SEFAZ!E716="","",SEFAZ!E716)</f>
        <v/>
      </c>
      <c r="F734" s="6" t="str">
        <f>IF(SEFAZ!F716="","",VALUE(SUBSTITUTE(SEFAZ!F716,"'","")))</f>
        <v/>
      </c>
      <c r="G734" t="str">
        <f>IF(SEFAZ!H716="","",SEFAZ!H716)</f>
        <v/>
      </c>
      <c r="H734" t="str">
        <f>IF(SEFAZ!L716="","",SEFAZ!L716)</f>
        <v/>
      </c>
      <c r="I734" t="str">
        <f>IF(SEFAZ!N716="","",SEFAZ!N716)</f>
        <v/>
      </c>
      <c r="J734" t="str">
        <f>IF(SEFAZ!O716="","",SEFAZ!O716)</f>
        <v/>
      </c>
      <c r="K734" s="11" t="str">
        <f>IF(SEFAZ!P716="","",SEFAZ!P716)</f>
        <v/>
      </c>
      <c r="L734" t="str" cm="1">
        <f t="array" aca="1" ref="L7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4" t="s">
        <v>35</v>
      </c>
      <c r="O734" s="36" t="str">
        <f>IF(SEFAZ!B716="","",SEFAZ!B716)</f>
        <v/>
      </c>
    </row>
    <row r="735" spans="2:15" x14ac:dyDescent="0.3">
      <c r="B735" t="str">
        <f>IF(SEFAZ!A717="","",SEFAZ!A717)</f>
        <v/>
      </c>
      <c r="C735" t="str">
        <f>IF(SEFAZ!C717="","",SEFAZ!C717)</f>
        <v/>
      </c>
      <c r="D735" t="str">
        <f>IF(SEFAZ!D717="","",SEFAZ!D717)</f>
        <v/>
      </c>
      <c r="E735" s="7" t="str">
        <f>IF(SEFAZ!E717="","",SEFAZ!E717)</f>
        <v/>
      </c>
      <c r="F735" s="6" t="str">
        <f>IF(SEFAZ!F717="","",VALUE(SUBSTITUTE(SEFAZ!F717,"'","")))</f>
        <v/>
      </c>
      <c r="G735" t="str">
        <f>IF(SEFAZ!H717="","",SEFAZ!H717)</f>
        <v/>
      </c>
      <c r="H735" t="str">
        <f>IF(SEFAZ!L717="","",SEFAZ!L717)</f>
        <v/>
      </c>
      <c r="I735" t="str">
        <f>IF(SEFAZ!N717="","",SEFAZ!N717)</f>
        <v/>
      </c>
      <c r="J735" t="str">
        <f>IF(SEFAZ!O717="","",SEFAZ!O717)</f>
        <v/>
      </c>
      <c r="K735" s="11" t="str">
        <f>IF(SEFAZ!P717="","",SEFAZ!P717)</f>
        <v/>
      </c>
      <c r="L735" t="str" cm="1">
        <f t="array" aca="1" ref="L7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5" t="s">
        <v>35</v>
      </c>
      <c r="O735" s="36" t="str">
        <f>IF(SEFAZ!B717="","",SEFAZ!B717)</f>
        <v/>
      </c>
    </row>
    <row r="736" spans="2:15" x14ac:dyDescent="0.3">
      <c r="B736" t="str">
        <f>IF(SEFAZ!A718="","",SEFAZ!A718)</f>
        <v/>
      </c>
      <c r="C736" t="str">
        <f>IF(SEFAZ!C718="","",SEFAZ!C718)</f>
        <v/>
      </c>
      <c r="D736" t="str">
        <f>IF(SEFAZ!D718="","",SEFAZ!D718)</f>
        <v/>
      </c>
      <c r="E736" s="7" t="str">
        <f>IF(SEFAZ!E718="","",SEFAZ!E718)</f>
        <v/>
      </c>
      <c r="F736" s="6" t="str">
        <f>IF(SEFAZ!F718="","",VALUE(SUBSTITUTE(SEFAZ!F718,"'","")))</f>
        <v/>
      </c>
      <c r="G736" t="str">
        <f>IF(SEFAZ!H718="","",SEFAZ!H718)</f>
        <v/>
      </c>
      <c r="H736" t="str">
        <f>IF(SEFAZ!L718="","",SEFAZ!L718)</f>
        <v/>
      </c>
      <c r="I736" t="str">
        <f>IF(SEFAZ!N718="","",SEFAZ!N718)</f>
        <v/>
      </c>
      <c r="J736" t="str">
        <f>IF(SEFAZ!O718="","",SEFAZ!O718)</f>
        <v/>
      </c>
      <c r="K736" s="11" t="str">
        <f>IF(SEFAZ!P718="","",SEFAZ!P718)</f>
        <v/>
      </c>
      <c r="L736" t="str" cm="1">
        <f t="array" aca="1" ref="L7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6" t="s">
        <v>35</v>
      </c>
      <c r="O736" s="36" t="str">
        <f>IF(SEFAZ!B718="","",SEFAZ!B718)</f>
        <v/>
      </c>
    </row>
    <row r="737" spans="2:15" x14ac:dyDescent="0.3">
      <c r="B737" t="str">
        <f>IF(SEFAZ!A719="","",SEFAZ!A719)</f>
        <v/>
      </c>
      <c r="C737" t="str">
        <f>IF(SEFAZ!C719="","",SEFAZ!C719)</f>
        <v/>
      </c>
      <c r="D737" t="str">
        <f>IF(SEFAZ!D719="","",SEFAZ!D719)</f>
        <v/>
      </c>
      <c r="E737" s="7" t="str">
        <f>IF(SEFAZ!E719="","",SEFAZ!E719)</f>
        <v/>
      </c>
      <c r="F737" s="6" t="str">
        <f>IF(SEFAZ!F719="","",VALUE(SUBSTITUTE(SEFAZ!F719,"'","")))</f>
        <v/>
      </c>
      <c r="G737" t="str">
        <f>IF(SEFAZ!H719="","",SEFAZ!H719)</f>
        <v/>
      </c>
      <c r="H737" t="str">
        <f>IF(SEFAZ!L719="","",SEFAZ!L719)</f>
        <v/>
      </c>
      <c r="I737" t="str">
        <f>IF(SEFAZ!N719="","",SEFAZ!N719)</f>
        <v/>
      </c>
      <c r="J737" t="str">
        <f>IF(SEFAZ!O719="","",SEFAZ!O719)</f>
        <v/>
      </c>
      <c r="K737" s="11" t="str">
        <f>IF(SEFAZ!P719="","",SEFAZ!P719)</f>
        <v/>
      </c>
      <c r="L737" t="str" cm="1">
        <f t="array" aca="1" ref="L7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7" t="s">
        <v>35</v>
      </c>
      <c r="O737" s="36" t="str">
        <f>IF(SEFAZ!B719="","",SEFAZ!B719)</f>
        <v/>
      </c>
    </row>
    <row r="738" spans="2:15" x14ac:dyDescent="0.3">
      <c r="B738" t="str">
        <f>IF(SEFAZ!A720="","",SEFAZ!A720)</f>
        <v/>
      </c>
      <c r="C738" t="str">
        <f>IF(SEFAZ!C720="","",SEFAZ!C720)</f>
        <v/>
      </c>
      <c r="D738" t="str">
        <f>IF(SEFAZ!D720="","",SEFAZ!D720)</f>
        <v/>
      </c>
      <c r="E738" s="7" t="str">
        <f>IF(SEFAZ!E720="","",SEFAZ!E720)</f>
        <v/>
      </c>
      <c r="F738" s="6" t="str">
        <f>IF(SEFAZ!F720="","",VALUE(SUBSTITUTE(SEFAZ!F720,"'","")))</f>
        <v/>
      </c>
      <c r="G738" t="str">
        <f>IF(SEFAZ!H720="","",SEFAZ!H720)</f>
        <v/>
      </c>
      <c r="H738" t="str">
        <f>IF(SEFAZ!L720="","",SEFAZ!L720)</f>
        <v/>
      </c>
      <c r="I738" t="str">
        <f>IF(SEFAZ!N720="","",SEFAZ!N720)</f>
        <v/>
      </c>
      <c r="J738" t="str">
        <f>IF(SEFAZ!O720="","",SEFAZ!O720)</f>
        <v/>
      </c>
      <c r="K738" s="11" t="str">
        <f>IF(SEFAZ!P720="","",SEFAZ!P720)</f>
        <v/>
      </c>
      <c r="L738" t="str" cm="1">
        <f t="array" aca="1" ref="L7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8" t="s">
        <v>35</v>
      </c>
      <c r="O738" s="36" t="str">
        <f>IF(SEFAZ!B720="","",SEFAZ!B720)</f>
        <v/>
      </c>
    </row>
    <row r="739" spans="2:15" x14ac:dyDescent="0.3">
      <c r="B739" t="str">
        <f>IF(SEFAZ!A721="","",SEFAZ!A721)</f>
        <v/>
      </c>
      <c r="C739" t="str">
        <f>IF(SEFAZ!C721="","",SEFAZ!C721)</f>
        <v/>
      </c>
      <c r="D739" t="str">
        <f>IF(SEFAZ!D721="","",SEFAZ!D721)</f>
        <v/>
      </c>
      <c r="E739" s="7" t="str">
        <f>IF(SEFAZ!E721="","",SEFAZ!E721)</f>
        <v/>
      </c>
      <c r="F739" s="6" t="str">
        <f>IF(SEFAZ!F721="","",VALUE(SUBSTITUTE(SEFAZ!F721,"'","")))</f>
        <v/>
      </c>
      <c r="G739" t="str">
        <f>IF(SEFAZ!H721="","",SEFAZ!H721)</f>
        <v/>
      </c>
      <c r="H739" t="str">
        <f>IF(SEFAZ!L721="","",SEFAZ!L721)</f>
        <v/>
      </c>
      <c r="I739" t="str">
        <f>IF(SEFAZ!N721="","",SEFAZ!N721)</f>
        <v/>
      </c>
      <c r="J739" t="str">
        <f>IF(SEFAZ!O721="","",SEFAZ!O721)</f>
        <v/>
      </c>
      <c r="K739" s="11" t="str">
        <f>IF(SEFAZ!P721="","",SEFAZ!P721)</f>
        <v/>
      </c>
      <c r="L739" t="str" cm="1">
        <f t="array" aca="1" ref="L7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39" t="s">
        <v>35</v>
      </c>
      <c r="O739" s="36" t="str">
        <f>IF(SEFAZ!B721="","",SEFAZ!B721)</f>
        <v/>
      </c>
    </row>
    <row r="740" spans="2:15" x14ac:dyDescent="0.3">
      <c r="B740" t="str">
        <f>IF(SEFAZ!A722="","",SEFAZ!A722)</f>
        <v/>
      </c>
      <c r="C740" t="str">
        <f>IF(SEFAZ!C722="","",SEFAZ!C722)</f>
        <v/>
      </c>
      <c r="D740" t="str">
        <f>IF(SEFAZ!D722="","",SEFAZ!D722)</f>
        <v/>
      </c>
      <c r="E740" s="7" t="str">
        <f>IF(SEFAZ!E722="","",SEFAZ!E722)</f>
        <v/>
      </c>
      <c r="F740" s="6" t="str">
        <f>IF(SEFAZ!F722="","",VALUE(SUBSTITUTE(SEFAZ!F722,"'","")))</f>
        <v/>
      </c>
      <c r="G740" t="str">
        <f>IF(SEFAZ!H722="","",SEFAZ!H722)</f>
        <v/>
      </c>
      <c r="H740" t="str">
        <f>IF(SEFAZ!L722="","",SEFAZ!L722)</f>
        <v/>
      </c>
      <c r="I740" t="str">
        <f>IF(SEFAZ!N722="","",SEFAZ!N722)</f>
        <v/>
      </c>
      <c r="J740" t="str">
        <f>IF(SEFAZ!O722="","",SEFAZ!O722)</f>
        <v/>
      </c>
      <c r="K740" s="11" t="str">
        <f>IF(SEFAZ!P722="","",SEFAZ!P722)</f>
        <v/>
      </c>
      <c r="L740" t="str" cm="1">
        <f t="array" aca="1" ref="L7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0" t="s">
        <v>35</v>
      </c>
      <c r="O740" s="36" t="str">
        <f>IF(SEFAZ!B722="","",SEFAZ!B722)</f>
        <v/>
      </c>
    </row>
    <row r="741" spans="2:15" x14ac:dyDescent="0.3">
      <c r="B741" t="str">
        <f>IF(SEFAZ!A723="","",SEFAZ!A723)</f>
        <v/>
      </c>
      <c r="C741" t="str">
        <f>IF(SEFAZ!C723="","",SEFAZ!C723)</f>
        <v/>
      </c>
      <c r="D741" t="str">
        <f>IF(SEFAZ!D723="","",SEFAZ!D723)</f>
        <v/>
      </c>
      <c r="E741" s="7" t="str">
        <f>IF(SEFAZ!E723="","",SEFAZ!E723)</f>
        <v/>
      </c>
      <c r="F741" s="6" t="str">
        <f>IF(SEFAZ!F723="","",VALUE(SUBSTITUTE(SEFAZ!F723,"'","")))</f>
        <v/>
      </c>
      <c r="G741" t="str">
        <f>IF(SEFAZ!H723="","",SEFAZ!H723)</f>
        <v/>
      </c>
      <c r="H741" t="str">
        <f>IF(SEFAZ!L723="","",SEFAZ!L723)</f>
        <v/>
      </c>
      <c r="I741" t="str">
        <f>IF(SEFAZ!N723="","",SEFAZ!N723)</f>
        <v/>
      </c>
      <c r="J741" t="str">
        <f>IF(SEFAZ!O723="","",SEFAZ!O723)</f>
        <v/>
      </c>
      <c r="K741" s="11" t="str">
        <f>IF(SEFAZ!P723="","",SEFAZ!P723)</f>
        <v/>
      </c>
      <c r="L741" t="str" cm="1">
        <f t="array" aca="1" ref="L7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1" t="s">
        <v>35</v>
      </c>
      <c r="O741" s="36" t="str">
        <f>IF(SEFAZ!B723="","",SEFAZ!B723)</f>
        <v/>
      </c>
    </row>
    <row r="742" spans="2:15" x14ac:dyDescent="0.3">
      <c r="B742" t="str">
        <f>IF(SEFAZ!A724="","",SEFAZ!A724)</f>
        <v/>
      </c>
      <c r="C742" t="str">
        <f>IF(SEFAZ!C724="","",SEFAZ!C724)</f>
        <v/>
      </c>
      <c r="D742" t="str">
        <f>IF(SEFAZ!D724="","",SEFAZ!D724)</f>
        <v/>
      </c>
      <c r="E742" s="7" t="str">
        <f>IF(SEFAZ!E724="","",SEFAZ!E724)</f>
        <v/>
      </c>
      <c r="F742" s="6" t="str">
        <f>IF(SEFAZ!F724="","",VALUE(SUBSTITUTE(SEFAZ!F724,"'","")))</f>
        <v/>
      </c>
      <c r="G742" t="str">
        <f>IF(SEFAZ!H724="","",SEFAZ!H724)</f>
        <v/>
      </c>
      <c r="H742" t="str">
        <f>IF(SEFAZ!L724="","",SEFAZ!L724)</f>
        <v/>
      </c>
      <c r="I742" t="str">
        <f>IF(SEFAZ!N724="","",SEFAZ!N724)</f>
        <v/>
      </c>
      <c r="J742" t="str">
        <f>IF(SEFAZ!O724="","",SEFAZ!O724)</f>
        <v/>
      </c>
      <c r="K742" s="11" t="str">
        <f>IF(SEFAZ!P724="","",SEFAZ!P724)</f>
        <v/>
      </c>
      <c r="L742" t="str" cm="1">
        <f t="array" aca="1" ref="L7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2" t="s">
        <v>35</v>
      </c>
      <c r="O742" s="36" t="str">
        <f>IF(SEFAZ!B724="","",SEFAZ!B724)</f>
        <v/>
      </c>
    </row>
    <row r="743" spans="2:15" x14ac:dyDescent="0.3">
      <c r="B743" t="str">
        <f>IF(SEFAZ!A725="","",SEFAZ!A725)</f>
        <v/>
      </c>
      <c r="C743" t="str">
        <f>IF(SEFAZ!C725="","",SEFAZ!C725)</f>
        <v/>
      </c>
      <c r="D743" t="str">
        <f>IF(SEFAZ!D725="","",SEFAZ!D725)</f>
        <v/>
      </c>
      <c r="E743" s="7" t="str">
        <f>IF(SEFAZ!E725="","",SEFAZ!E725)</f>
        <v/>
      </c>
      <c r="F743" s="6" t="str">
        <f>IF(SEFAZ!F725="","",VALUE(SUBSTITUTE(SEFAZ!F725,"'","")))</f>
        <v/>
      </c>
      <c r="G743" t="str">
        <f>IF(SEFAZ!H725="","",SEFAZ!H725)</f>
        <v/>
      </c>
      <c r="H743" t="str">
        <f>IF(SEFAZ!L725="","",SEFAZ!L725)</f>
        <v/>
      </c>
      <c r="I743" t="str">
        <f>IF(SEFAZ!N725="","",SEFAZ!N725)</f>
        <v/>
      </c>
      <c r="J743" t="str">
        <f>IF(SEFAZ!O725="","",SEFAZ!O725)</f>
        <v/>
      </c>
      <c r="K743" s="11" t="str">
        <f>IF(SEFAZ!P725="","",SEFAZ!P725)</f>
        <v/>
      </c>
      <c r="L743" t="str" cm="1">
        <f t="array" aca="1" ref="L7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3" t="s">
        <v>35</v>
      </c>
      <c r="O743" s="36" t="str">
        <f>IF(SEFAZ!B725="","",SEFAZ!B725)</f>
        <v/>
      </c>
    </row>
    <row r="744" spans="2:15" x14ac:dyDescent="0.3">
      <c r="B744" t="str">
        <f>IF(SEFAZ!A726="","",SEFAZ!A726)</f>
        <v/>
      </c>
      <c r="C744" t="str">
        <f>IF(SEFAZ!C726="","",SEFAZ!C726)</f>
        <v/>
      </c>
      <c r="D744" t="str">
        <f>IF(SEFAZ!D726="","",SEFAZ!D726)</f>
        <v/>
      </c>
      <c r="E744" s="7" t="str">
        <f>IF(SEFAZ!E726="","",SEFAZ!E726)</f>
        <v/>
      </c>
      <c r="F744" s="6" t="str">
        <f>IF(SEFAZ!F726="","",VALUE(SUBSTITUTE(SEFAZ!F726,"'","")))</f>
        <v/>
      </c>
      <c r="G744" t="str">
        <f>IF(SEFAZ!H726="","",SEFAZ!H726)</f>
        <v/>
      </c>
      <c r="H744" t="str">
        <f>IF(SEFAZ!L726="","",SEFAZ!L726)</f>
        <v/>
      </c>
      <c r="I744" t="str">
        <f>IF(SEFAZ!N726="","",SEFAZ!N726)</f>
        <v/>
      </c>
      <c r="J744" t="str">
        <f>IF(SEFAZ!O726="","",SEFAZ!O726)</f>
        <v/>
      </c>
      <c r="K744" s="11" t="str">
        <f>IF(SEFAZ!P726="","",SEFAZ!P726)</f>
        <v/>
      </c>
      <c r="L744" t="str" cm="1">
        <f t="array" aca="1" ref="L7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4" t="s">
        <v>35</v>
      </c>
      <c r="O744" s="36" t="str">
        <f>IF(SEFAZ!B726="","",SEFAZ!B726)</f>
        <v/>
      </c>
    </row>
    <row r="745" spans="2:15" x14ac:dyDescent="0.3">
      <c r="B745" t="str">
        <f>IF(SEFAZ!A727="","",SEFAZ!A727)</f>
        <v/>
      </c>
      <c r="C745" t="str">
        <f>IF(SEFAZ!C727="","",SEFAZ!C727)</f>
        <v/>
      </c>
      <c r="D745" t="str">
        <f>IF(SEFAZ!D727="","",SEFAZ!D727)</f>
        <v/>
      </c>
      <c r="E745" s="7" t="str">
        <f>IF(SEFAZ!E727="","",SEFAZ!E727)</f>
        <v/>
      </c>
      <c r="F745" s="6" t="str">
        <f>IF(SEFAZ!F727="","",VALUE(SUBSTITUTE(SEFAZ!F727,"'","")))</f>
        <v/>
      </c>
      <c r="G745" t="str">
        <f>IF(SEFAZ!H727="","",SEFAZ!H727)</f>
        <v/>
      </c>
      <c r="H745" t="str">
        <f>IF(SEFAZ!L727="","",SEFAZ!L727)</f>
        <v/>
      </c>
      <c r="I745" t="str">
        <f>IF(SEFAZ!N727="","",SEFAZ!N727)</f>
        <v/>
      </c>
      <c r="J745" t="str">
        <f>IF(SEFAZ!O727="","",SEFAZ!O727)</f>
        <v/>
      </c>
      <c r="K745" s="11" t="str">
        <f>IF(SEFAZ!P727="","",SEFAZ!P727)</f>
        <v/>
      </c>
      <c r="L745" t="str" cm="1">
        <f t="array" aca="1" ref="L7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5" t="s">
        <v>35</v>
      </c>
      <c r="O745" s="36" t="str">
        <f>IF(SEFAZ!B727="","",SEFAZ!B727)</f>
        <v/>
      </c>
    </row>
    <row r="746" spans="2:15" x14ac:dyDescent="0.3">
      <c r="B746" t="str">
        <f>IF(SEFAZ!A728="","",SEFAZ!A728)</f>
        <v/>
      </c>
      <c r="C746" t="str">
        <f>IF(SEFAZ!C728="","",SEFAZ!C728)</f>
        <v/>
      </c>
      <c r="D746" t="str">
        <f>IF(SEFAZ!D728="","",SEFAZ!D728)</f>
        <v/>
      </c>
      <c r="E746" s="7" t="str">
        <f>IF(SEFAZ!E728="","",SEFAZ!E728)</f>
        <v/>
      </c>
      <c r="F746" s="6" t="str">
        <f>IF(SEFAZ!F728="","",VALUE(SUBSTITUTE(SEFAZ!F728,"'","")))</f>
        <v/>
      </c>
      <c r="G746" t="str">
        <f>IF(SEFAZ!H728="","",SEFAZ!H728)</f>
        <v/>
      </c>
      <c r="H746" t="str">
        <f>IF(SEFAZ!L728="","",SEFAZ!L728)</f>
        <v/>
      </c>
      <c r="I746" t="str">
        <f>IF(SEFAZ!N728="","",SEFAZ!N728)</f>
        <v/>
      </c>
      <c r="J746" t="str">
        <f>IF(SEFAZ!O728="","",SEFAZ!O728)</f>
        <v/>
      </c>
      <c r="K746" s="11" t="str">
        <f>IF(SEFAZ!P728="","",SEFAZ!P728)</f>
        <v/>
      </c>
      <c r="L746" t="str" cm="1">
        <f t="array" aca="1" ref="L7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6" t="s">
        <v>35</v>
      </c>
      <c r="O746" s="36" t="str">
        <f>IF(SEFAZ!B728="","",SEFAZ!B728)</f>
        <v/>
      </c>
    </row>
    <row r="747" spans="2:15" x14ac:dyDescent="0.3">
      <c r="B747" t="str">
        <f>IF(SEFAZ!A729="","",SEFAZ!A729)</f>
        <v/>
      </c>
      <c r="C747" t="str">
        <f>IF(SEFAZ!C729="","",SEFAZ!C729)</f>
        <v/>
      </c>
      <c r="D747" t="str">
        <f>IF(SEFAZ!D729="","",SEFAZ!D729)</f>
        <v/>
      </c>
      <c r="E747" s="7" t="str">
        <f>IF(SEFAZ!E729="","",SEFAZ!E729)</f>
        <v/>
      </c>
      <c r="F747" s="6" t="str">
        <f>IF(SEFAZ!F729="","",VALUE(SUBSTITUTE(SEFAZ!F729,"'","")))</f>
        <v/>
      </c>
      <c r="G747" t="str">
        <f>IF(SEFAZ!H729="","",SEFAZ!H729)</f>
        <v/>
      </c>
      <c r="H747" t="str">
        <f>IF(SEFAZ!L729="","",SEFAZ!L729)</f>
        <v/>
      </c>
      <c r="I747" t="str">
        <f>IF(SEFAZ!N729="","",SEFAZ!N729)</f>
        <v/>
      </c>
      <c r="J747" t="str">
        <f>IF(SEFAZ!O729="","",SEFAZ!O729)</f>
        <v/>
      </c>
      <c r="K747" s="11" t="str">
        <f>IF(SEFAZ!P729="","",SEFAZ!P729)</f>
        <v/>
      </c>
      <c r="L747" t="str" cm="1">
        <f t="array" aca="1" ref="L7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7" t="s">
        <v>35</v>
      </c>
      <c r="O747" s="36" t="str">
        <f>IF(SEFAZ!B729="","",SEFAZ!B729)</f>
        <v/>
      </c>
    </row>
    <row r="748" spans="2:15" x14ac:dyDescent="0.3">
      <c r="B748" t="str">
        <f>IF(SEFAZ!A730="","",SEFAZ!A730)</f>
        <v/>
      </c>
      <c r="C748" t="str">
        <f>IF(SEFAZ!C730="","",SEFAZ!C730)</f>
        <v/>
      </c>
      <c r="D748" t="str">
        <f>IF(SEFAZ!D730="","",SEFAZ!D730)</f>
        <v/>
      </c>
      <c r="E748" s="7" t="str">
        <f>IF(SEFAZ!E730="","",SEFAZ!E730)</f>
        <v/>
      </c>
      <c r="F748" s="6" t="str">
        <f>IF(SEFAZ!F730="","",VALUE(SUBSTITUTE(SEFAZ!F730,"'","")))</f>
        <v/>
      </c>
      <c r="G748" t="str">
        <f>IF(SEFAZ!H730="","",SEFAZ!H730)</f>
        <v/>
      </c>
      <c r="H748" t="str">
        <f>IF(SEFAZ!L730="","",SEFAZ!L730)</f>
        <v/>
      </c>
      <c r="I748" t="str">
        <f>IF(SEFAZ!N730="","",SEFAZ!N730)</f>
        <v/>
      </c>
      <c r="J748" t="str">
        <f>IF(SEFAZ!O730="","",SEFAZ!O730)</f>
        <v/>
      </c>
      <c r="K748" s="11" t="str">
        <f>IF(SEFAZ!P730="","",SEFAZ!P730)</f>
        <v/>
      </c>
      <c r="L748" t="str" cm="1">
        <f t="array" aca="1" ref="L7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8" t="s">
        <v>35</v>
      </c>
      <c r="O748" s="36" t="str">
        <f>IF(SEFAZ!B730="","",SEFAZ!B730)</f>
        <v/>
      </c>
    </row>
    <row r="749" spans="2:15" x14ac:dyDescent="0.3">
      <c r="B749" t="str">
        <f>IF(SEFAZ!A731="","",SEFAZ!A731)</f>
        <v/>
      </c>
      <c r="C749" t="str">
        <f>IF(SEFAZ!C731="","",SEFAZ!C731)</f>
        <v/>
      </c>
      <c r="D749" t="str">
        <f>IF(SEFAZ!D731="","",SEFAZ!D731)</f>
        <v/>
      </c>
      <c r="E749" s="7" t="str">
        <f>IF(SEFAZ!E731="","",SEFAZ!E731)</f>
        <v/>
      </c>
      <c r="F749" s="6" t="str">
        <f>IF(SEFAZ!F731="","",VALUE(SUBSTITUTE(SEFAZ!F731,"'","")))</f>
        <v/>
      </c>
      <c r="G749" t="str">
        <f>IF(SEFAZ!H731="","",SEFAZ!H731)</f>
        <v/>
      </c>
      <c r="H749" t="str">
        <f>IF(SEFAZ!L731="","",SEFAZ!L731)</f>
        <v/>
      </c>
      <c r="I749" t="str">
        <f>IF(SEFAZ!N731="","",SEFAZ!N731)</f>
        <v/>
      </c>
      <c r="J749" t="str">
        <f>IF(SEFAZ!O731="","",SEFAZ!O731)</f>
        <v/>
      </c>
      <c r="K749" s="11" t="str">
        <f>IF(SEFAZ!P731="","",SEFAZ!P731)</f>
        <v/>
      </c>
      <c r="L749" t="str" cm="1">
        <f t="array" aca="1" ref="L7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49" t="s">
        <v>35</v>
      </c>
      <c r="O749" s="36" t="str">
        <f>IF(SEFAZ!B731="","",SEFAZ!B731)</f>
        <v/>
      </c>
    </row>
    <row r="750" spans="2:15" x14ac:dyDescent="0.3">
      <c r="B750" t="str">
        <f>IF(SEFAZ!A732="","",SEFAZ!A732)</f>
        <v/>
      </c>
      <c r="C750" t="str">
        <f>IF(SEFAZ!C732="","",SEFAZ!C732)</f>
        <v/>
      </c>
      <c r="D750" t="str">
        <f>IF(SEFAZ!D732="","",SEFAZ!D732)</f>
        <v/>
      </c>
      <c r="E750" s="7" t="str">
        <f>IF(SEFAZ!E732="","",SEFAZ!E732)</f>
        <v/>
      </c>
      <c r="F750" s="6" t="str">
        <f>IF(SEFAZ!F732="","",VALUE(SUBSTITUTE(SEFAZ!F732,"'","")))</f>
        <v/>
      </c>
      <c r="G750" t="str">
        <f>IF(SEFAZ!H732="","",SEFAZ!H732)</f>
        <v/>
      </c>
      <c r="H750" t="str">
        <f>IF(SEFAZ!L732="","",SEFAZ!L732)</f>
        <v/>
      </c>
      <c r="I750" t="str">
        <f>IF(SEFAZ!N732="","",SEFAZ!N732)</f>
        <v/>
      </c>
      <c r="J750" t="str">
        <f>IF(SEFAZ!O732="","",SEFAZ!O732)</f>
        <v/>
      </c>
      <c r="K750" s="11" t="str">
        <f>IF(SEFAZ!P732="","",SEFAZ!P732)</f>
        <v/>
      </c>
      <c r="L750" t="str" cm="1">
        <f t="array" aca="1" ref="L7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0" t="s">
        <v>35</v>
      </c>
      <c r="O750" s="36" t="str">
        <f>IF(SEFAZ!B732="","",SEFAZ!B732)</f>
        <v/>
      </c>
    </row>
    <row r="751" spans="2:15" x14ac:dyDescent="0.3">
      <c r="B751" t="str">
        <f>IF(SEFAZ!A733="","",SEFAZ!A733)</f>
        <v/>
      </c>
      <c r="C751" t="str">
        <f>IF(SEFAZ!C733="","",SEFAZ!C733)</f>
        <v/>
      </c>
      <c r="D751" t="str">
        <f>IF(SEFAZ!D733="","",SEFAZ!D733)</f>
        <v/>
      </c>
      <c r="E751" s="7" t="str">
        <f>IF(SEFAZ!E733="","",SEFAZ!E733)</f>
        <v/>
      </c>
      <c r="F751" s="6" t="str">
        <f>IF(SEFAZ!F733="","",VALUE(SUBSTITUTE(SEFAZ!F733,"'","")))</f>
        <v/>
      </c>
      <c r="G751" t="str">
        <f>IF(SEFAZ!H733="","",SEFAZ!H733)</f>
        <v/>
      </c>
      <c r="H751" t="str">
        <f>IF(SEFAZ!L733="","",SEFAZ!L733)</f>
        <v/>
      </c>
      <c r="I751" t="str">
        <f>IF(SEFAZ!N733="","",SEFAZ!N733)</f>
        <v/>
      </c>
      <c r="J751" t="str">
        <f>IF(SEFAZ!O733="","",SEFAZ!O733)</f>
        <v/>
      </c>
      <c r="K751" s="11" t="str">
        <f>IF(SEFAZ!P733="","",SEFAZ!P733)</f>
        <v/>
      </c>
      <c r="L751" t="str" cm="1">
        <f t="array" aca="1" ref="L7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1" t="s">
        <v>35</v>
      </c>
      <c r="O751" s="36" t="str">
        <f>IF(SEFAZ!B733="","",SEFAZ!B733)</f>
        <v/>
      </c>
    </row>
    <row r="752" spans="2:15" x14ac:dyDescent="0.3">
      <c r="B752" t="str">
        <f>IF(SEFAZ!A734="","",SEFAZ!A734)</f>
        <v/>
      </c>
      <c r="C752" t="str">
        <f>IF(SEFAZ!C734="","",SEFAZ!C734)</f>
        <v/>
      </c>
      <c r="D752" t="str">
        <f>IF(SEFAZ!D734="","",SEFAZ!D734)</f>
        <v/>
      </c>
      <c r="E752" s="7" t="str">
        <f>IF(SEFAZ!E734="","",SEFAZ!E734)</f>
        <v/>
      </c>
      <c r="F752" s="6" t="str">
        <f>IF(SEFAZ!F734="","",VALUE(SUBSTITUTE(SEFAZ!F734,"'","")))</f>
        <v/>
      </c>
      <c r="G752" t="str">
        <f>IF(SEFAZ!H734="","",SEFAZ!H734)</f>
        <v/>
      </c>
      <c r="H752" t="str">
        <f>IF(SEFAZ!L734="","",SEFAZ!L734)</f>
        <v/>
      </c>
      <c r="I752" t="str">
        <f>IF(SEFAZ!N734="","",SEFAZ!N734)</f>
        <v/>
      </c>
      <c r="J752" t="str">
        <f>IF(SEFAZ!O734="","",SEFAZ!O734)</f>
        <v/>
      </c>
      <c r="K752" s="11" t="str">
        <f>IF(SEFAZ!P734="","",SEFAZ!P734)</f>
        <v/>
      </c>
      <c r="L752" t="str" cm="1">
        <f t="array" aca="1" ref="L7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2" t="s">
        <v>35</v>
      </c>
      <c r="O752" s="36" t="str">
        <f>IF(SEFAZ!B734="","",SEFAZ!B734)</f>
        <v/>
      </c>
    </row>
    <row r="753" spans="2:15" x14ac:dyDescent="0.3">
      <c r="B753" t="str">
        <f>IF(SEFAZ!A735="","",SEFAZ!A735)</f>
        <v/>
      </c>
      <c r="C753" t="str">
        <f>IF(SEFAZ!C735="","",SEFAZ!C735)</f>
        <v/>
      </c>
      <c r="D753" t="str">
        <f>IF(SEFAZ!D735="","",SEFAZ!D735)</f>
        <v/>
      </c>
      <c r="E753" s="7" t="str">
        <f>IF(SEFAZ!E735="","",SEFAZ!E735)</f>
        <v/>
      </c>
      <c r="F753" s="6" t="str">
        <f>IF(SEFAZ!F735="","",VALUE(SUBSTITUTE(SEFAZ!F735,"'","")))</f>
        <v/>
      </c>
      <c r="G753" t="str">
        <f>IF(SEFAZ!H735="","",SEFAZ!H735)</f>
        <v/>
      </c>
      <c r="H753" t="str">
        <f>IF(SEFAZ!L735="","",SEFAZ!L735)</f>
        <v/>
      </c>
      <c r="I753" t="str">
        <f>IF(SEFAZ!N735="","",SEFAZ!N735)</f>
        <v/>
      </c>
      <c r="J753" t="str">
        <f>IF(SEFAZ!O735="","",SEFAZ!O735)</f>
        <v/>
      </c>
      <c r="K753" s="11" t="str">
        <f>IF(SEFAZ!P735="","",SEFAZ!P735)</f>
        <v/>
      </c>
      <c r="L753" t="str" cm="1">
        <f t="array" aca="1" ref="L7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3" t="s">
        <v>35</v>
      </c>
      <c r="O753" s="36" t="str">
        <f>IF(SEFAZ!B735="","",SEFAZ!B735)</f>
        <v/>
      </c>
    </row>
    <row r="754" spans="2:15" x14ac:dyDescent="0.3">
      <c r="B754" t="str">
        <f>IF(SEFAZ!A736="","",SEFAZ!A736)</f>
        <v/>
      </c>
      <c r="C754" t="str">
        <f>IF(SEFAZ!C736="","",SEFAZ!C736)</f>
        <v/>
      </c>
      <c r="D754" t="str">
        <f>IF(SEFAZ!D736="","",SEFAZ!D736)</f>
        <v/>
      </c>
      <c r="E754" s="7" t="str">
        <f>IF(SEFAZ!E736="","",SEFAZ!E736)</f>
        <v/>
      </c>
      <c r="F754" s="6" t="str">
        <f>IF(SEFAZ!F736="","",VALUE(SUBSTITUTE(SEFAZ!F736,"'","")))</f>
        <v/>
      </c>
      <c r="G754" t="str">
        <f>IF(SEFAZ!H736="","",SEFAZ!H736)</f>
        <v/>
      </c>
      <c r="H754" t="str">
        <f>IF(SEFAZ!L736="","",SEFAZ!L736)</f>
        <v/>
      </c>
      <c r="I754" t="str">
        <f>IF(SEFAZ!N736="","",SEFAZ!N736)</f>
        <v/>
      </c>
      <c r="J754" t="str">
        <f>IF(SEFAZ!O736="","",SEFAZ!O736)</f>
        <v/>
      </c>
      <c r="K754" s="11" t="str">
        <f>IF(SEFAZ!P736="","",SEFAZ!P736)</f>
        <v/>
      </c>
      <c r="L754" t="str" cm="1">
        <f t="array" aca="1" ref="L7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4" t="s">
        <v>35</v>
      </c>
      <c r="O754" s="36" t="str">
        <f>IF(SEFAZ!B736="","",SEFAZ!B736)</f>
        <v/>
      </c>
    </row>
    <row r="755" spans="2:15" x14ac:dyDescent="0.3">
      <c r="B755" t="str">
        <f>IF(SEFAZ!A737="","",SEFAZ!A737)</f>
        <v/>
      </c>
      <c r="C755" t="str">
        <f>IF(SEFAZ!C737="","",SEFAZ!C737)</f>
        <v/>
      </c>
      <c r="D755" t="str">
        <f>IF(SEFAZ!D737="","",SEFAZ!D737)</f>
        <v/>
      </c>
      <c r="E755" s="7" t="str">
        <f>IF(SEFAZ!E737="","",SEFAZ!E737)</f>
        <v/>
      </c>
      <c r="F755" s="6" t="str">
        <f>IF(SEFAZ!F737="","",VALUE(SUBSTITUTE(SEFAZ!F737,"'","")))</f>
        <v/>
      </c>
      <c r="G755" t="str">
        <f>IF(SEFAZ!H737="","",SEFAZ!H737)</f>
        <v/>
      </c>
      <c r="H755" t="str">
        <f>IF(SEFAZ!L737="","",SEFAZ!L737)</f>
        <v/>
      </c>
      <c r="I755" t="str">
        <f>IF(SEFAZ!N737="","",SEFAZ!N737)</f>
        <v/>
      </c>
      <c r="J755" t="str">
        <f>IF(SEFAZ!O737="","",SEFAZ!O737)</f>
        <v/>
      </c>
      <c r="K755" s="11" t="str">
        <f>IF(SEFAZ!P737="","",SEFAZ!P737)</f>
        <v/>
      </c>
      <c r="L755" t="str" cm="1">
        <f t="array" aca="1" ref="L7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5" t="s">
        <v>35</v>
      </c>
      <c r="O755" s="36" t="str">
        <f>IF(SEFAZ!B737="","",SEFAZ!B737)</f>
        <v/>
      </c>
    </row>
    <row r="756" spans="2:15" x14ac:dyDescent="0.3">
      <c r="B756" t="str">
        <f>IF(SEFAZ!A738="","",SEFAZ!A738)</f>
        <v/>
      </c>
      <c r="C756" t="str">
        <f>IF(SEFAZ!C738="","",SEFAZ!C738)</f>
        <v/>
      </c>
      <c r="D756" t="str">
        <f>IF(SEFAZ!D738="","",SEFAZ!D738)</f>
        <v/>
      </c>
      <c r="E756" s="7" t="str">
        <f>IF(SEFAZ!E738="","",SEFAZ!E738)</f>
        <v/>
      </c>
      <c r="F756" s="6" t="str">
        <f>IF(SEFAZ!F738="","",VALUE(SUBSTITUTE(SEFAZ!F738,"'","")))</f>
        <v/>
      </c>
      <c r="G756" t="str">
        <f>IF(SEFAZ!H738="","",SEFAZ!H738)</f>
        <v/>
      </c>
      <c r="H756" t="str">
        <f>IF(SEFAZ!L738="","",SEFAZ!L738)</f>
        <v/>
      </c>
      <c r="I756" t="str">
        <f>IF(SEFAZ!N738="","",SEFAZ!N738)</f>
        <v/>
      </c>
      <c r="J756" t="str">
        <f>IF(SEFAZ!O738="","",SEFAZ!O738)</f>
        <v/>
      </c>
      <c r="K756" s="11" t="str">
        <f>IF(SEFAZ!P738="","",SEFAZ!P738)</f>
        <v/>
      </c>
      <c r="L756" t="str" cm="1">
        <f t="array" aca="1" ref="L7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6" t="s">
        <v>35</v>
      </c>
      <c r="O756" s="36" t="str">
        <f>IF(SEFAZ!B738="","",SEFAZ!B738)</f>
        <v/>
      </c>
    </row>
    <row r="757" spans="2:15" x14ac:dyDescent="0.3">
      <c r="B757" t="str">
        <f>IF(SEFAZ!A739="","",SEFAZ!A739)</f>
        <v/>
      </c>
      <c r="C757" t="str">
        <f>IF(SEFAZ!C739="","",SEFAZ!C739)</f>
        <v/>
      </c>
      <c r="D757" t="str">
        <f>IF(SEFAZ!D739="","",SEFAZ!D739)</f>
        <v/>
      </c>
      <c r="E757" s="7" t="str">
        <f>IF(SEFAZ!E739="","",SEFAZ!E739)</f>
        <v/>
      </c>
      <c r="F757" s="6" t="str">
        <f>IF(SEFAZ!F739="","",VALUE(SUBSTITUTE(SEFAZ!F739,"'","")))</f>
        <v/>
      </c>
      <c r="G757" t="str">
        <f>IF(SEFAZ!H739="","",SEFAZ!H739)</f>
        <v/>
      </c>
      <c r="H757" t="str">
        <f>IF(SEFAZ!L739="","",SEFAZ!L739)</f>
        <v/>
      </c>
      <c r="I757" t="str">
        <f>IF(SEFAZ!N739="","",SEFAZ!N739)</f>
        <v/>
      </c>
      <c r="J757" t="str">
        <f>IF(SEFAZ!O739="","",SEFAZ!O739)</f>
        <v/>
      </c>
      <c r="K757" s="11" t="str">
        <f>IF(SEFAZ!P739="","",SEFAZ!P739)</f>
        <v/>
      </c>
      <c r="L757" t="str" cm="1">
        <f t="array" aca="1" ref="L7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7" t="s">
        <v>35</v>
      </c>
      <c r="O757" s="36" t="str">
        <f>IF(SEFAZ!B739="","",SEFAZ!B739)</f>
        <v/>
      </c>
    </row>
    <row r="758" spans="2:15" x14ac:dyDescent="0.3">
      <c r="B758" t="str">
        <f>IF(SEFAZ!A740="","",SEFAZ!A740)</f>
        <v/>
      </c>
      <c r="C758" t="str">
        <f>IF(SEFAZ!C740="","",SEFAZ!C740)</f>
        <v/>
      </c>
      <c r="D758" t="str">
        <f>IF(SEFAZ!D740="","",SEFAZ!D740)</f>
        <v/>
      </c>
      <c r="E758" s="7" t="str">
        <f>IF(SEFAZ!E740="","",SEFAZ!E740)</f>
        <v/>
      </c>
      <c r="F758" s="6" t="str">
        <f>IF(SEFAZ!F740="","",VALUE(SUBSTITUTE(SEFAZ!F740,"'","")))</f>
        <v/>
      </c>
      <c r="G758" t="str">
        <f>IF(SEFAZ!H740="","",SEFAZ!H740)</f>
        <v/>
      </c>
      <c r="H758" t="str">
        <f>IF(SEFAZ!L740="","",SEFAZ!L740)</f>
        <v/>
      </c>
      <c r="I758" t="str">
        <f>IF(SEFAZ!N740="","",SEFAZ!N740)</f>
        <v/>
      </c>
      <c r="J758" t="str">
        <f>IF(SEFAZ!O740="","",SEFAZ!O740)</f>
        <v/>
      </c>
      <c r="K758" s="11" t="str">
        <f>IF(SEFAZ!P740="","",SEFAZ!P740)</f>
        <v/>
      </c>
      <c r="L758" t="str" cm="1">
        <f t="array" aca="1" ref="L7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8" t="s">
        <v>35</v>
      </c>
      <c r="O758" s="36" t="str">
        <f>IF(SEFAZ!B740="","",SEFAZ!B740)</f>
        <v/>
      </c>
    </row>
    <row r="759" spans="2:15" x14ac:dyDescent="0.3">
      <c r="B759" t="str">
        <f>IF(SEFAZ!A741="","",SEFAZ!A741)</f>
        <v/>
      </c>
      <c r="C759" t="str">
        <f>IF(SEFAZ!C741="","",SEFAZ!C741)</f>
        <v/>
      </c>
      <c r="D759" t="str">
        <f>IF(SEFAZ!D741="","",SEFAZ!D741)</f>
        <v/>
      </c>
      <c r="E759" s="7" t="str">
        <f>IF(SEFAZ!E741="","",SEFAZ!E741)</f>
        <v/>
      </c>
      <c r="F759" s="6" t="str">
        <f>IF(SEFAZ!F741="","",VALUE(SUBSTITUTE(SEFAZ!F741,"'","")))</f>
        <v/>
      </c>
      <c r="G759" t="str">
        <f>IF(SEFAZ!H741="","",SEFAZ!H741)</f>
        <v/>
      </c>
      <c r="H759" t="str">
        <f>IF(SEFAZ!L741="","",SEFAZ!L741)</f>
        <v/>
      </c>
      <c r="I759" t="str">
        <f>IF(SEFAZ!N741="","",SEFAZ!N741)</f>
        <v/>
      </c>
      <c r="J759" t="str">
        <f>IF(SEFAZ!O741="","",SEFAZ!O741)</f>
        <v/>
      </c>
      <c r="K759" s="11" t="str">
        <f>IF(SEFAZ!P741="","",SEFAZ!P741)</f>
        <v/>
      </c>
      <c r="L759" t="str" cm="1">
        <f t="array" aca="1" ref="L7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59" t="s">
        <v>35</v>
      </c>
      <c r="O759" s="36" t="str">
        <f>IF(SEFAZ!B741="","",SEFAZ!B741)</f>
        <v/>
      </c>
    </row>
    <row r="760" spans="2:15" x14ac:dyDescent="0.3">
      <c r="B760" t="str">
        <f>IF(SEFAZ!A742="","",SEFAZ!A742)</f>
        <v/>
      </c>
      <c r="C760" t="str">
        <f>IF(SEFAZ!C742="","",SEFAZ!C742)</f>
        <v/>
      </c>
      <c r="D760" t="str">
        <f>IF(SEFAZ!D742="","",SEFAZ!D742)</f>
        <v/>
      </c>
      <c r="E760" s="7" t="str">
        <f>IF(SEFAZ!E742="","",SEFAZ!E742)</f>
        <v/>
      </c>
      <c r="F760" s="6" t="str">
        <f>IF(SEFAZ!F742="","",VALUE(SUBSTITUTE(SEFAZ!F742,"'","")))</f>
        <v/>
      </c>
      <c r="G760" t="str">
        <f>IF(SEFAZ!H742="","",SEFAZ!H742)</f>
        <v/>
      </c>
      <c r="H760" t="str">
        <f>IF(SEFAZ!L742="","",SEFAZ!L742)</f>
        <v/>
      </c>
      <c r="I760" t="str">
        <f>IF(SEFAZ!N742="","",SEFAZ!N742)</f>
        <v/>
      </c>
      <c r="J760" t="str">
        <f>IF(SEFAZ!O742="","",SEFAZ!O742)</f>
        <v/>
      </c>
      <c r="K760" s="11" t="str">
        <f>IF(SEFAZ!P742="","",SEFAZ!P742)</f>
        <v/>
      </c>
      <c r="L760" t="str" cm="1">
        <f t="array" aca="1" ref="L7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0" t="s">
        <v>35</v>
      </c>
      <c r="O760" s="36" t="str">
        <f>IF(SEFAZ!B742="","",SEFAZ!B742)</f>
        <v/>
      </c>
    </row>
    <row r="761" spans="2:15" x14ac:dyDescent="0.3">
      <c r="B761" t="str">
        <f>IF(SEFAZ!A743="","",SEFAZ!A743)</f>
        <v/>
      </c>
      <c r="C761" t="str">
        <f>IF(SEFAZ!C743="","",SEFAZ!C743)</f>
        <v/>
      </c>
      <c r="D761" t="str">
        <f>IF(SEFAZ!D743="","",SEFAZ!D743)</f>
        <v/>
      </c>
      <c r="E761" s="7" t="str">
        <f>IF(SEFAZ!E743="","",SEFAZ!E743)</f>
        <v/>
      </c>
      <c r="F761" s="6" t="str">
        <f>IF(SEFAZ!F743="","",VALUE(SUBSTITUTE(SEFAZ!F743,"'","")))</f>
        <v/>
      </c>
      <c r="G761" t="str">
        <f>IF(SEFAZ!H743="","",SEFAZ!H743)</f>
        <v/>
      </c>
      <c r="H761" t="str">
        <f>IF(SEFAZ!L743="","",SEFAZ!L743)</f>
        <v/>
      </c>
      <c r="I761" t="str">
        <f>IF(SEFAZ!N743="","",SEFAZ!N743)</f>
        <v/>
      </c>
      <c r="J761" t="str">
        <f>IF(SEFAZ!O743="","",SEFAZ!O743)</f>
        <v/>
      </c>
      <c r="K761" s="11" t="str">
        <f>IF(SEFAZ!P743="","",SEFAZ!P743)</f>
        <v/>
      </c>
      <c r="L761" t="str" cm="1">
        <f t="array" aca="1" ref="L7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1" t="s">
        <v>35</v>
      </c>
      <c r="O761" s="36" t="str">
        <f>IF(SEFAZ!B743="","",SEFAZ!B743)</f>
        <v/>
      </c>
    </row>
    <row r="762" spans="2:15" x14ac:dyDescent="0.3">
      <c r="B762" t="str">
        <f>IF(SEFAZ!A744="","",SEFAZ!A744)</f>
        <v/>
      </c>
      <c r="C762" t="str">
        <f>IF(SEFAZ!C744="","",SEFAZ!C744)</f>
        <v/>
      </c>
      <c r="D762" t="str">
        <f>IF(SEFAZ!D744="","",SEFAZ!D744)</f>
        <v/>
      </c>
      <c r="E762" s="7" t="str">
        <f>IF(SEFAZ!E744="","",SEFAZ!E744)</f>
        <v/>
      </c>
      <c r="F762" s="6" t="str">
        <f>IF(SEFAZ!F744="","",VALUE(SUBSTITUTE(SEFAZ!F744,"'","")))</f>
        <v/>
      </c>
      <c r="G762" t="str">
        <f>IF(SEFAZ!H744="","",SEFAZ!H744)</f>
        <v/>
      </c>
      <c r="H762" t="str">
        <f>IF(SEFAZ!L744="","",SEFAZ!L744)</f>
        <v/>
      </c>
      <c r="I762" t="str">
        <f>IF(SEFAZ!N744="","",SEFAZ!N744)</f>
        <v/>
      </c>
      <c r="J762" t="str">
        <f>IF(SEFAZ!O744="","",SEFAZ!O744)</f>
        <v/>
      </c>
      <c r="K762" s="11" t="str">
        <f>IF(SEFAZ!P744="","",SEFAZ!P744)</f>
        <v/>
      </c>
      <c r="L762" t="str" cm="1">
        <f t="array" aca="1" ref="L7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2" t="s">
        <v>35</v>
      </c>
      <c r="O762" s="36" t="str">
        <f>IF(SEFAZ!B744="","",SEFAZ!B744)</f>
        <v/>
      </c>
    </row>
    <row r="763" spans="2:15" x14ac:dyDescent="0.3">
      <c r="B763" t="str">
        <f>IF(SEFAZ!A745="","",SEFAZ!A745)</f>
        <v/>
      </c>
      <c r="C763" t="str">
        <f>IF(SEFAZ!C745="","",SEFAZ!C745)</f>
        <v/>
      </c>
      <c r="D763" t="str">
        <f>IF(SEFAZ!D745="","",SEFAZ!D745)</f>
        <v/>
      </c>
      <c r="E763" s="7" t="str">
        <f>IF(SEFAZ!E745="","",SEFAZ!E745)</f>
        <v/>
      </c>
      <c r="F763" s="6" t="str">
        <f>IF(SEFAZ!F745="","",VALUE(SUBSTITUTE(SEFAZ!F745,"'","")))</f>
        <v/>
      </c>
      <c r="G763" t="str">
        <f>IF(SEFAZ!H745="","",SEFAZ!H745)</f>
        <v/>
      </c>
      <c r="H763" t="str">
        <f>IF(SEFAZ!L745="","",SEFAZ!L745)</f>
        <v/>
      </c>
      <c r="I763" t="str">
        <f>IF(SEFAZ!N745="","",SEFAZ!N745)</f>
        <v/>
      </c>
      <c r="J763" t="str">
        <f>IF(SEFAZ!O745="","",SEFAZ!O745)</f>
        <v/>
      </c>
      <c r="K763" s="11" t="str">
        <f>IF(SEFAZ!P745="","",SEFAZ!P745)</f>
        <v/>
      </c>
      <c r="L763" t="str" cm="1">
        <f t="array" aca="1" ref="L7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3" t="s">
        <v>35</v>
      </c>
      <c r="O763" s="36" t="str">
        <f>IF(SEFAZ!B745="","",SEFAZ!B745)</f>
        <v/>
      </c>
    </row>
    <row r="764" spans="2:15" x14ac:dyDescent="0.3">
      <c r="B764" t="str">
        <f>IF(SEFAZ!A746="","",SEFAZ!A746)</f>
        <v/>
      </c>
      <c r="C764" t="str">
        <f>IF(SEFAZ!C746="","",SEFAZ!C746)</f>
        <v/>
      </c>
      <c r="D764" t="str">
        <f>IF(SEFAZ!D746="","",SEFAZ!D746)</f>
        <v/>
      </c>
      <c r="E764" s="7" t="str">
        <f>IF(SEFAZ!E746="","",SEFAZ!E746)</f>
        <v/>
      </c>
      <c r="F764" s="6" t="str">
        <f>IF(SEFAZ!F746="","",VALUE(SUBSTITUTE(SEFAZ!F746,"'","")))</f>
        <v/>
      </c>
      <c r="G764" t="str">
        <f>IF(SEFAZ!H746="","",SEFAZ!H746)</f>
        <v/>
      </c>
      <c r="H764" t="str">
        <f>IF(SEFAZ!L746="","",SEFAZ!L746)</f>
        <v/>
      </c>
      <c r="I764" t="str">
        <f>IF(SEFAZ!N746="","",SEFAZ!N746)</f>
        <v/>
      </c>
      <c r="J764" t="str">
        <f>IF(SEFAZ!O746="","",SEFAZ!O746)</f>
        <v/>
      </c>
      <c r="K764" s="11" t="str">
        <f>IF(SEFAZ!P746="","",SEFAZ!P746)</f>
        <v/>
      </c>
      <c r="L764" t="str" cm="1">
        <f t="array" aca="1" ref="L7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4" t="s">
        <v>35</v>
      </c>
      <c r="O764" s="36" t="str">
        <f>IF(SEFAZ!B746="","",SEFAZ!B746)</f>
        <v/>
      </c>
    </row>
    <row r="765" spans="2:15" x14ac:dyDescent="0.3">
      <c r="B765" t="str">
        <f>IF(SEFAZ!A747="","",SEFAZ!A747)</f>
        <v/>
      </c>
      <c r="C765" t="str">
        <f>IF(SEFAZ!C747="","",SEFAZ!C747)</f>
        <v/>
      </c>
      <c r="D765" t="str">
        <f>IF(SEFAZ!D747="","",SEFAZ!D747)</f>
        <v/>
      </c>
      <c r="E765" s="7" t="str">
        <f>IF(SEFAZ!E747="","",SEFAZ!E747)</f>
        <v/>
      </c>
      <c r="F765" s="6" t="str">
        <f>IF(SEFAZ!F747="","",VALUE(SUBSTITUTE(SEFAZ!F747,"'","")))</f>
        <v/>
      </c>
      <c r="G765" t="str">
        <f>IF(SEFAZ!H747="","",SEFAZ!H747)</f>
        <v/>
      </c>
      <c r="H765" t="str">
        <f>IF(SEFAZ!L747="","",SEFAZ!L747)</f>
        <v/>
      </c>
      <c r="I765" t="str">
        <f>IF(SEFAZ!N747="","",SEFAZ!N747)</f>
        <v/>
      </c>
      <c r="J765" t="str">
        <f>IF(SEFAZ!O747="","",SEFAZ!O747)</f>
        <v/>
      </c>
      <c r="K765" s="11" t="str">
        <f>IF(SEFAZ!P747="","",SEFAZ!P747)</f>
        <v/>
      </c>
      <c r="L765" t="str" cm="1">
        <f t="array" aca="1" ref="L7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5" t="s">
        <v>35</v>
      </c>
      <c r="O765" s="36" t="str">
        <f>IF(SEFAZ!B747="","",SEFAZ!B747)</f>
        <v/>
      </c>
    </row>
    <row r="766" spans="2:15" x14ac:dyDescent="0.3">
      <c r="B766" t="str">
        <f>IF(SEFAZ!A748="","",SEFAZ!A748)</f>
        <v/>
      </c>
      <c r="C766" t="str">
        <f>IF(SEFAZ!C748="","",SEFAZ!C748)</f>
        <v/>
      </c>
      <c r="D766" t="str">
        <f>IF(SEFAZ!D748="","",SEFAZ!D748)</f>
        <v/>
      </c>
      <c r="E766" s="7" t="str">
        <f>IF(SEFAZ!E748="","",SEFAZ!E748)</f>
        <v/>
      </c>
      <c r="F766" s="6" t="str">
        <f>IF(SEFAZ!F748="","",VALUE(SUBSTITUTE(SEFAZ!F748,"'","")))</f>
        <v/>
      </c>
      <c r="G766" t="str">
        <f>IF(SEFAZ!H748="","",SEFAZ!H748)</f>
        <v/>
      </c>
      <c r="H766" t="str">
        <f>IF(SEFAZ!L748="","",SEFAZ!L748)</f>
        <v/>
      </c>
      <c r="I766" t="str">
        <f>IF(SEFAZ!N748="","",SEFAZ!N748)</f>
        <v/>
      </c>
      <c r="J766" t="str">
        <f>IF(SEFAZ!O748="","",SEFAZ!O748)</f>
        <v/>
      </c>
      <c r="K766" s="11" t="str">
        <f>IF(SEFAZ!P748="","",SEFAZ!P748)</f>
        <v/>
      </c>
      <c r="L766" t="str" cm="1">
        <f t="array" aca="1" ref="L7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6" t="s">
        <v>35</v>
      </c>
      <c r="O766" s="36" t="str">
        <f>IF(SEFAZ!B748="","",SEFAZ!B748)</f>
        <v/>
      </c>
    </row>
    <row r="767" spans="2:15" x14ac:dyDescent="0.3">
      <c r="B767" t="str">
        <f>IF(SEFAZ!A749="","",SEFAZ!A749)</f>
        <v/>
      </c>
      <c r="C767" t="str">
        <f>IF(SEFAZ!C749="","",SEFAZ!C749)</f>
        <v/>
      </c>
      <c r="D767" t="str">
        <f>IF(SEFAZ!D749="","",SEFAZ!D749)</f>
        <v/>
      </c>
      <c r="E767" s="7" t="str">
        <f>IF(SEFAZ!E749="","",SEFAZ!E749)</f>
        <v/>
      </c>
      <c r="F767" s="6" t="str">
        <f>IF(SEFAZ!F749="","",VALUE(SUBSTITUTE(SEFAZ!F749,"'","")))</f>
        <v/>
      </c>
      <c r="G767" t="str">
        <f>IF(SEFAZ!H749="","",SEFAZ!H749)</f>
        <v/>
      </c>
      <c r="H767" t="str">
        <f>IF(SEFAZ!L749="","",SEFAZ!L749)</f>
        <v/>
      </c>
      <c r="I767" t="str">
        <f>IF(SEFAZ!N749="","",SEFAZ!N749)</f>
        <v/>
      </c>
      <c r="J767" t="str">
        <f>IF(SEFAZ!O749="","",SEFAZ!O749)</f>
        <v/>
      </c>
      <c r="K767" s="11" t="str">
        <f>IF(SEFAZ!P749="","",SEFAZ!P749)</f>
        <v/>
      </c>
      <c r="L767" t="str" cm="1">
        <f t="array" aca="1" ref="L7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7" t="s">
        <v>35</v>
      </c>
      <c r="O767" s="36" t="str">
        <f>IF(SEFAZ!B749="","",SEFAZ!B749)</f>
        <v/>
      </c>
    </row>
    <row r="768" spans="2:15" x14ac:dyDescent="0.3">
      <c r="B768" t="str">
        <f>IF(SEFAZ!A750="","",SEFAZ!A750)</f>
        <v/>
      </c>
      <c r="C768" t="str">
        <f>IF(SEFAZ!C750="","",SEFAZ!C750)</f>
        <v/>
      </c>
      <c r="D768" t="str">
        <f>IF(SEFAZ!D750="","",SEFAZ!D750)</f>
        <v/>
      </c>
      <c r="E768" s="7" t="str">
        <f>IF(SEFAZ!E750="","",SEFAZ!E750)</f>
        <v/>
      </c>
      <c r="F768" s="6" t="str">
        <f>IF(SEFAZ!F750="","",VALUE(SUBSTITUTE(SEFAZ!F750,"'","")))</f>
        <v/>
      </c>
      <c r="G768" t="str">
        <f>IF(SEFAZ!H750="","",SEFAZ!H750)</f>
        <v/>
      </c>
      <c r="H768" t="str">
        <f>IF(SEFAZ!L750="","",SEFAZ!L750)</f>
        <v/>
      </c>
      <c r="I768" t="str">
        <f>IF(SEFAZ!N750="","",SEFAZ!N750)</f>
        <v/>
      </c>
      <c r="J768" t="str">
        <f>IF(SEFAZ!O750="","",SEFAZ!O750)</f>
        <v/>
      </c>
      <c r="K768" s="11" t="str">
        <f>IF(SEFAZ!P750="","",SEFAZ!P750)</f>
        <v/>
      </c>
      <c r="L768" t="str" cm="1">
        <f t="array" aca="1" ref="L7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8" t="s">
        <v>35</v>
      </c>
      <c r="O768" s="36" t="str">
        <f>IF(SEFAZ!B750="","",SEFAZ!B750)</f>
        <v/>
      </c>
    </row>
    <row r="769" spans="2:15" x14ac:dyDescent="0.3">
      <c r="B769" t="str">
        <f>IF(SEFAZ!A751="","",SEFAZ!A751)</f>
        <v/>
      </c>
      <c r="C769" t="str">
        <f>IF(SEFAZ!C751="","",SEFAZ!C751)</f>
        <v/>
      </c>
      <c r="D769" t="str">
        <f>IF(SEFAZ!D751="","",SEFAZ!D751)</f>
        <v/>
      </c>
      <c r="E769" s="7" t="str">
        <f>IF(SEFAZ!E751="","",SEFAZ!E751)</f>
        <v/>
      </c>
      <c r="F769" s="6" t="str">
        <f>IF(SEFAZ!F751="","",VALUE(SUBSTITUTE(SEFAZ!F751,"'","")))</f>
        <v/>
      </c>
      <c r="G769" t="str">
        <f>IF(SEFAZ!H751="","",SEFAZ!H751)</f>
        <v/>
      </c>
      <c r="H769" t="str">
        <f>IF(SEFAZ!L751="","",SEFAZ!L751)</f>
        <v/>
      </c>
      <c r="I769" t="str">
        <f>IF(SEFAZ!N751="","",SEFAZ!N751)</f>
        <v/>
      </c>
      <c r="J769" t="str">
        <f>IF(SEFAZ!O751="","",SEFAZ!O751)</f>
        <v/>
      </c>
      <c r="K769" s="11" t="str">
        <f>IF(SEFAZ!P751="","",SEFAZ!P751)</f>
        <v/>
      </c>
      <c r="L769" t="str" cm="1">
        <f t="array" aca="1" ref="L7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69" t="s">
        <v>35</v>
      </c>
      <c r="O769" s="36" t="str">
        <f>IF(SEFAZ!B751="","",SEFAZ!B751)</f>
        <v/>
      </c>
    </row>
    <row r="770" spans="2:15" x14ac:dyDescent="0.3">
      <c r="B770" t="str">
        <f>IF(SEFAZ!A752="","",SEFAZ!A752)</f>
        <v/>
      </c>
      <c r="C770" t="str">
        <f>IF(SEFAZ!C752="","",SEFAZ!C752)</f>
        <v/>
      </c>
      <c r="D770" t="str">
        <f>IF(SEFAZ!D752="","",SEFAZ!D752)</f>
        <v/>
      </c>
      <c r="E770" s="7" t="str">
        <f>IF(SEFAZ!E752="","",SEFAZ!E752)</f>
        <v/>
      </c>
      <c r="F770" s="6" t="str">
        <f>IF(SEFAZ!F752="","",VALUE(SUBSTITUTE(SEFAZ!F752,"'","")))</f>
        <v/>
      </c>
      <c r="G770" t="str">
        <f>IF(SEFAZ!H752="","",SEFAZ!H752)</f>
        <v/>
      </c>
      <c r="H770" t="str">
        <f>IF(SEFAZ!L752="","",SEFAZ!L752)</f>
        <v/>
      </c>
      <c r="I770" t="str">
        <f>IF(SEFAZ!N752="","",SEFAZ!N752)</f>
        <v/>
      </c>
      <c r="J770" t="str">
        <f>IF(SEFAZ!O752="","",SEFAZ!O752)</f>
        <v/>
      </c>
      <c r="K770" s="11" t="str">
        <f>IF(SEFAZ!P752="","",SEFAZ!P752)</f>
        <v/>
      </c>
      <c r="L770" t="str" cm="1">
        <f t="array" aca="1" ref="L7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0" t="s">
        <v>35</v>
      </c>
      <c r="O770" s="36" t="str">
        <f>IF(SEFAZ!B752="","",SEFAZ!B752)</f>
        <v/>
      </c>
    </row>
    <row r="771" spans="2:15" x14ac:dyDescent="0.3">
      <c r="B771" t="str">
        <f>IF(SEFAZ!A753="","",SEFAZ!A753)</f>
        <v/>
      </c>
      <c r="C771" t="str">
        <f>IF(SEFAZ!C753="","",SEFAZ!C753)</f>
        <v/>
      </c>
      <c r="D771" t="str">
        <f>IF(SEFAZ!D753="","",SEFAZ!D753)</f>
        <v/>
      </c>
      <c r="E771" s="7" t="str">
        <f>IF(SEFAZ!E753="","",SEFAZ!E753)</f>
        <v/>
      </c>
      <c r="F771" s="6" t="str">
        <f>IF(SEFAZ!F753="","",VALUE(SUBSTITUTE(SEFAZ!F753,"'","")))</f>
        <v/>
      </c>
      <c r="G771" t="str">
        <f>IF(SEFAZ!H753="","",SEFAZ!H753)</f>
        <v/>
      </c>
      <c r="H771" t="str">
        <f>IF(SEFAZ!L753="","",SEFAZ!L753)</f>
        <v/>
      </c>
      <c r="I771" t="str">
        <f>IF(SEFAZ!N753="","",SEFAZ!N753)</f>
        <v/>
      </c>
      <c r="J771" t="str">
        <f>IF(SEFAZ!O753="","",SEFAZ!O753)</f>
        <v/>
      </c>
      <c r="K771" s="11" t="str">
        <f>IF(SEFAZ!P753="","",SEFAZ!P753)</f>
        <v/>
      </c>
      <c r="L771" t="str" cm="1">
        <f t="array" aca="1" ref="L7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1" t="s">
        <v>35</v>
      </c>
      <c r="O771" s="36" t="str">
        <f>IF(SEFAZ!B753="","",SEFAZ!B753)</f>
        <v/>
      </c>
    </row>
    <row r="772" spans="2:15" x14ac:dyDescent="0.3">
      <c r="B772" t="str">
        <f>IF(SEFAZ!A754="","",SEFAZ!A754)</f>
        <v/>
      </c>
      <c r="C772" t="str">
        <f>IF(SEFAZ!C754="","",SEFAZ!C754)</f>
        <v/>
      </c>
      <c r="D772" t="str">
        <f>IF(SEFAZ!D754="","",SEFAZ!D754)</f>
        <v/>
      </c>
      <c r="E772" s="7" t="str">
        <f>IF(SEFAZ!E754="","",SEFAZ!E754)</f>
        <v/>
      </c>
      <c r="F772" s="6" t="str">
        <f>IF(SEFAZ!F754="","",VALUE(SUBSTITUTE(SEFAZ!F754,"'","")))</f>
        <v/>
      </c>
      <c r="G772" t="str">
        <f>IF(SEFAZ!H754="","",SEFAZ!H754)</f>
        <v/>
      </c>
      <c r="H772" t="str">
        <f>IF(SEFAZ!L754="","",SEFAZ!L754)</f>
        <v/>
      </c>
      <c r="I772" t="str">
        <f>IF(SEFAZ!N754="","",SEFAZ!N754)</f>
        <v/>
      </c>
      <c r="J772" t="str">
        <f>IF(SEFAZ!O754="","",SEFAZ!O754)</f>
        <v/>
      </c>
      <c r="K772" s="11" t="str">
        <f>IF(SEFAZ!P754="","",SEFAZ!P754)</f>
        <v/>
      </c>
      <c r="L772" t="str" cm="1">
        <f t="array" aca="1" ref="L7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2" t="s">
        <v>35</v>
      </c>
      <c r="O772" s="36" t="str">
        <f>IF(SEFAZ!B754="","",SEFAZ!B754)</f>
        <v/>
      </c>
    </row>
    <row r="773" spans="2:15" x14ac:dyDescent="0.3">
      <c r="B773" t="str">
        <f>IF(SEFAZ!A755="","",SEFAZ!A755)</f>
        <v/>
      </c>
      <c r="C773" t="str">
        <f>IF(SEFAZ!C755="","",SEFAZ!C755)</f>
        <v/>
      </c>
      <c r="D773" t="str">
        <f>IF(SEFAZ!D755="","",SEFAZ!D755)</f>
        <v/>
      </c>
      <c r="E773" s="7" t="str">
        <f>IF(SEFAZ!E755="","",SEFAZ!E755)</f>
        <v/>
      </c>
      <c r="F773" s="6" t="str">
        <f>IF(SEFAZ!F755="","",VALUE(SUBSTITUTE(SEFAZ!F755,"'","")))</f>
        <v/>
      </c>
      <c r="G773" t="str">
        <f>IF(SEFAZ!H755="","",SEFAZ!H755)</f>
        <v/>
      </c>
      <c r="H773" t="str">
        <f>IF(SEFAZ!L755="","",SEFAZ!L755)</f>
        <v/>
      </c>
      <c r="I773" t="str">
        <f>IF(SEFAZ!N755="","",SEFAZ!N755)</f>
        <v/>
      </c>
      <c r="J773" t="str">
        <f>IF(SEFAZ!O755="","",SEFAZ!O755)</f>
        <v/>
      </c>
      <c r="K773" s="11" t="str">
        <f>IF(SEFAZ!P755="","",SEFAZ!P755)</f>
        <v/>
      </c>
      <c r="L773" t="str" cm="1">
        <f t="array" aca="1" ref="L7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3" t="s">
        <v>35</v>
      </c>
      <c r="O773" s="36" t="str">
        <f>IF(SEFAZ!B755="","",SEFAZ!B755)</f>
        <v/>
      </c>
    </row>
    <row r="774" spans="2:15" x14ac:dyDescent="0.3">
      <c r="B774" t="str">
        <f>IF(SEFAZ!A756="","",SEFAZ!A756)</f>
        <v/>
      </c>
      <c r="C774" t="str">
        <f>IF(SEFAZ!C756="","",SEFAZ!C756)</f>
        <v/>
      </c>
      <c r="D774" t="str">
        <f>IF(SEFAZ!D756="","",SEFAZ!D756)</f>
        <v/>
      </c>
      <c r="E774" s="7" t="str">
        <f>IF(SEFAZ!E756="","",SEFAZ!E756)</f>
        <v/>
      </c>
      <c r="F774" s="6" t="str">
        <f>IF(SEFAZ!F756="","",VALUE(SUBSTITUTE(SEFAZ!F756,"'","")))</f>
        <v/>
      </c>
      <c r="G774" t="str">
        <f>IF(SEFAZ!H756="","",SEFAZ!H756)</f>
        <v/>
      </c>
      <c r="H774" t="str">
        <f>IF(SEFAZ!L756="","",SEFAZ!L756)</f>
        <v/>
      </c>
      <c r="I774" t="str">
        <f>IF(SEFAZ!N756="","",SEFAZ!N756)</f>
        <v/>
      </c>
      <c r="J774" t="str">
        <f>IF(SEFAZ!O756="","",SEFAZ!O756)</f>
        <v/>
      </c>
      <c r="K774" s="11" t="str">
        <f>IF(SEFAZ!P756="","",SEFAZ!P756)</f>
        <v/>
      </c>
      <c r="L774" t="str" cm="1">
        <f t="array" aca="1" ref="L7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4" t="s">
        <v>35</v>
      </c>
      <c r="O774" s="36" t="str">
        <f>IF(SEFAZ!B756="","",SEFAZ!B756)</f>
        <v/>
      </c>
    </row>
    <row r="775" spans="2:15" x14ac:dyDescent="0.3">
      <c r="B775" t="str">
        <f>IF(SEFAZ!A757="","",SEFAZ!A757)</f>
        <v/>
      </c>
      <c r="C775" t="str">
        <f>IF(SEFAZ!C757="","",SEFAZ!C757)</f>
        <v/>
      </c>
      <c r="D775" t="str">
        <f>IF(SEFAZ!D757="","",SEFAZ!D757)</f>
        <v/>
      </c>
      <c r="E775" s="7" t="str">
        <f>IF(SEFAZ!E757="","",SEFAZ!E757)</f>
        <v/>
      </c>
      <c r="F775" s="6" t="str">
        <f>IF(SEFAZ!F757="","",VALUE(SUBSTITUTE(SEFAZ!F757,"'","")))</f>
        <v/>
      </c>
      <c r="G775" t="str">
        <f>IF(SEFAZ!H757="","",SEFAZ!H757)</f>
        <v/>
      </c>
      <c r="H775" t="str">
        <f>IF(SEFAZ!L757="","",SEFAZ!L757)</f>
        <v/>
      </c>
      <c r="I775" t="str">
        <f>IF(SEFAZ!N757="","",SEFAZ!N757)</f>
        <v/>
      </c>
      <c r="J775" t="str">
        <f>IF(SEFAZ!O757="","",SEFAZ!O757)</f>
        <v/>
      </c>
      <c r="K775" s="11" t="str">
        <f>IF(SEFAZ!P757="","",SEFAZ!P757)</f>
        <v/>
      </c>
      <c r="L775" t="str" cm="1">
        <f t="array" aca="1" ref="L7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5" t="s">
        <v>35</v>
      </c>
      <c r="O775" s="36" t="str">
        <f>IF(SEFAZ!B757="","",SEFAZ!B757)</f>
        <v/>
      </c>
    </row>
    <row r="776" spans="2:15" x14ac:dyDescent="0.3">
      <c r="B776" t="str">
        <f>IF(SEFAZ!A758="","",SEFAZ!A758)</f>
        <v/>
      </c>
      <c r="C776" t="str">
        <f>IF(SEFAZ!C758="","",SEFAZ!C758)</f>
        <v/>
      </c>
      <c r="D776" t="str">
        <f>IF(SEFAZ!D758="","",SEFAZ!D758)</f>
        <v/>
      </c>
      <c r="E776" s="7" t="str">
        <f>IF(SEFAZ!E758="","",SEFAZ!E758)</f>
        <v/>
      </c>
      <c r="F776" s="6" t="str">
        <f>IF(SEFAZ!F758="","",VALUE(SUBSTITUTE(SEFAZ!F758,"'","")))</f>
        <v/>
      </c>
      <c r="G776" t="str">
        <f>IF(SEFAZ!H758="","",SEFAZ!H758)</f>
        <v/>
      </c>
      <c r="H776" t="str">
        <f>IF(SEFAZ!L758="","",SEFAZ!L758)</f>
        <v/>
      </c>
      <c r="I776" t="str">
        <f>IF(SEFAZ!N758="","",SEFAZ!N758)</f>
        <v/>
      </c>
      <c r="J776" t="str">
        <f>IF(SEFAZ!O758="","",SEFAZ!O758)</f>
        <v/>
      </c>
      <c r="K776" s="11" t="str">
        <f>IF(SEFAZ!P758="","",SEFAZ!P758)</f>
        <v/>
      </c>
      <c r="L776" t="str" cm="1">
        <f t="array" aca="1" ref="L7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6" t="s">
        <v>35</v>
      </c>
      <c r="O776" s="36" t="str">
        <f>IF(SEFAZ!B758="","",SEFAZ!B758)</f>
        <v/>
      </c>
    </row>
    <row r="777" spans="2:15" x14ac:dyDescent="0.3">
      <c r="B777" t="str">
        <f>IF(SEFAZ!A759="","",SEFAZ!A759)</f>
        <v/>
      </c>
      <c r="C777" t="str">
        <f>IF(SEFAZ!C759="","",SEFAZ!C759)</f>
        <v/>
      </c>
      <c r="D777" t="str">
        <f>IF(SEFAZ!D759="","",SEFAZ!D759)</f>
        <v/>
      </c>
      <c r="E777" s="7" t="str">
        <f>IF(SEFAZ!E759="","",SEFAZ!E759)</f>
        <v/>
      </c>
      <c r="F777" s="6" t="str">
        <f>IF(SEFAZ!F759="","",VALUE(SUBSTITUTE(SEFAZ!F759,"'","")))</f>
        <v/>
      </c>
      <c r="G777" t="str">
        <f>IF(SEFAZ!H759="","",SEFAZ!H759)</f>
        <v/>
      </c>
      <c r="H777" t="str">
        <f>IF(SEFAZ!L759="","",SEFAZ!L759)</f>
        <v/>
      </c>
      <c r="I777" t="str">
        <f>IF(SEFAZ!N759="","",SEFAZ!N759)</f>
        <v/>
      </c>
      <c r="J777" t="str">
        <f>IF(SEFAZ!O759="","",SEFAZ!O759)</f>
        <v/>
      </c>
      <c r="K777" s="11" t="str">
        <f>IF(SEFAZ!P759="","",SEFAZ!P759)</f>
        <v/>
      </c>
      <c r="L777" t="str" cm="1">
        <f t="array" aca="1" ref="L7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7" t="s">
        <v>35</v>
      </c>
      <c r="O777" s="36" t="str">
        <f>IF(SEFAZ!B759="","",SEFAZ!B759)</f>
        <v/>
      </c>
    </row>
    <row r="778" spans="2:15" x14ac:dyDescent="0.3">
      <c r="B778" t="str">
        <f>IF(SEFAZ!A760="","",SEFAZ!A760)</f>
        <v/>
      </c>
      <c r="C778" t="str">
        <f>IF(SEFAZ!C760="","",SEFAZ!C760)</f>
        <v/>
      </c>
      <c r="D778" t="str">
        <f>IF(SEFAZ!D760="","",SEFAZ!D760)</f>
        <v/>
      </c>
      <c r="E778" s="7" t="str">
        <f>IF(SEFAZ!E760="","",SEFAZ!E760)</f>
        <v/>
      </c>
      <c r="F778" s="6" t="str">
        <f>IF(SEFAZ!F760="","",VALUE(SUBSTITUTE(SEFAZ!F760,"'","")))</f>
        <v/>
      </c>
      <c r="G778" t="str">
        <f>IF(SEFAZ!H760="","",SEFAZ!H760)</f>
        <v/>
      </c>
      <c r="H778" t="str">
        <f>IF(SEFAZ!L760="","",SEFAZ!L760)</f>
        <v/>
      </c>
      <c r="I778" t="str">
        <f>IF(SEFAZ!N760="","",SEFAZ!N760)</f>
        <v/>
      </c>
      <c r="J778" t="str">
        <f>IF(SEFAZ!O760="","",SEFAZ!O760)</f>
        <v/>
      </c>
      <c r="K778" s="11" t="str">
        <f>IF(SEFAZ!P760="","",SEFAZ!P760)</f>
        <v/>
      </c>
      <c r="L778" t="str" cm="1">
        <f t="array" aca="1" ref="L7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8" t="s">
        <v>35</v>
      </c>
      <c r="O778" s="36" t="str">
        <f>IF(SEFAZ!B760="","",SEFAZ!B760)</f>
        <v/>
      </c>
    </row>
    <row r="779" spans="2:15" x14ac:dyDescent="0.3">
      <c r="B779" t="str">
        <f>IF(SEFAZ!A761="","",SEFAZ!A761)</f>
        <v/>
      </c>
      <c r="C779" t="str">
        <f>IF(SEFAZ!C761="","",SEFAZ!C761)</f>
        <v/>
      </c>
      <c r="D779" t="str">
        <f>IF(SEFAZ!D761="","",SEFAZ!D761)</f>
        <v/>
      </c>
      <c r="E779" s="7" t="str">
        <f>IF(SEFAZ!E761="","",SEFAZ!E761)</f>
        <v/>
      </c>
      <c r="F779" s="6" t="str">
        <f>IF(SEFAZ!F761="","",VALUE(SUBSTITUTE(SEFAZ!F761,"'","")))</f>
        <v/>
      </c>
      <c r="G779" t="str">
        <f>IF(SEFAZ!H761="","",SEFAZ!H761)</f>
        <v/>
      </c>
      <c r="H779" t="str">
        <f>IF(SEFAZ!L761="","",SEFAZ!L761)</f>
        <v/>
      </c>
      <c r="I779" t="str">
        <f>IF(SEFAZ!N761="","",SEFAZ!N761)</f>
        <v/>
      </c>
      <c r="J779" t="str">
        <f>IF(SEFAZ!O761="","",SEFAZ!O761)</f>
        <v/>
      </c>
      <c r="K779" s="11" t="str">
        <f>IF(SEFAZ!P761="","",SEFAZ!P761)</f>
        <v/>
      </c>
      <c r="L779" t="str" cm="1">
        <f t="array" aca="1" ref="L7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79" t="s">
        <v>35</v>
      </c>
      <c r="O779" s="36" t="str">
        <f>IF(SEFAZ!B761="","",SEFAZ!B761)</f>
        <v/>
      </c>
    </row>
    <row r="780" spans="2:15" x14ac:dyDescent="0.3">
      <c r="B780" t="str">
        <f>IF(SEFAZ!A762="","",SEFAZ!A762)</f>
        <v/>
      </c>
      <c r="C780" t="str">
        <f>IF(SEFAZ!C762="","",SEFAZ!C762)</f>
        <v/>
      </c>
      <c r="D780" t="str">
        <f>IF(SEFAZ!D762="","",SEFAZ!D762)</f>
        <v/>
      </c>
      <c r="E780" s="7" t="str">
        <f>IF(SEFAZ!E762="","",SEFAZ!E762)</f>
        <v/>
      </c>
      <c r="F780" s="6" t="str">
        <f>IF(SEFAZ!F762="","",VALUE(SUBSTITUTE(SEFAZ!F762,"'","")))</f>
        <v/>
      </c>
      <c r="G780" t="str">
        <f>IF(SEFAZ!H762="","",SEFAZ!H762)</f>
        <v/>
      </c>
      <c r="H780" t="str">
        <f>IF(SEFAZ!L762="","",SEFAZ!L762)</f>
        <v/>
      </c>
      <c r="I780" t="str">
        <f>IF(SEFAZ!N762="","",SEFAZ!N762)</f>
        <v/>
      </c>
      <c r="J780" t="str">
        <f>IF(SEFAZ!O762="","",SEFAZ!O762)</f>
        <v/>
      </c>
      <c r="K780" s="11" t="str">
        <f>IF(SEFAZ!P762="","",SEFAZ!P762)</f>
        <v/>
      </c>
      <c r="L780" t="str" cm="1">
        <f t="array" aca="1" ref="L7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0" t="s">
        <v>35</v>
      </c>
      <c r="O780" s="36" t="str">
        <f>IF(SEFAZ!B762="","",SEFAZ!B762)</f>
        <v/>
      </c>
    </row>
    <row r="781" spans="2:15" x14ac:dyDescent="0.3">
      <c r="B781" t="str">
        <f>IF(SEFAZ!A763="","",SEFAZ!A763)</f>
        <v/>
      </c>
      <c r="C781" t="str">
        <f>IF(SEFAZ!C763="","",SEFAZ!C763)</f>
        <v/>
      </c>
      <c r="D781" t="str">
        <f>IF(SEFAZ!D763="","",SEFAZ!D763)</f>
        <v/>
      </c>
      <c r="E781" s="7" t="str">
        <f>IF(SEFAZ!E763="","",SEFAZ!E763)</f>
        <v/>
      </c>
      <c r="F781" s="6" t="str">
        <f>IF(SEFAZ!F763="","",VALUE(SUBSTITUTE(SEFAZ!F763,"'","")))</f>
        <v/>
      </c>
      <c r="G781" t="str">
        <f>IF(SEFAZ!H763="","",SEFAZ!H763)</f>
        <v/>
      </c>
      <c r="H781" t="str">
        <f>IF(SEFAZ!L763="","",SEFAZ!L763)</f>
        <v/>
      </c>
      <c r="I781" t="str">
        <f>IF(SEFAZ!N763="","",SEFAZ!N763)</f>
        <v/>
      </c>
      <c r="J781" t="str">
        <f>IF(SEFAZ!O763="","",SEFAZ!O763)</f>
        <v/>
      </c>
      <c r="K781" s="11" t="str">
        <f>IF(SEFAZ!P763="","",SEFAZ!P763)</f>
        <v/>
      </c>
      <c r="L781" t="str" cm="1">
        <f t="array" aca="1" ref="L7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1" t="s">
        <v>35</v>
      </c>
      <c r="O781" s="36" t="str">
        <f>IF(SEFAZ!B763="","",SEFAZ!B763)</f>
        <v/>
      </c>
    </row>
    <row r="782" spans="2:15" x14ac:dyDescent="0.3">
      <c r="B782" t="str">
        <f>IF(SEFAZ!A764="","",SEFAZ!A764)</f>
        <v/>
      </c>
      <c r="C782" t="str">
        <f>IF(SEFAZ!C764="","",SEFAZ!C764)</f>
        <v/>
      </c>
      <c r="D782" t="str">
        <f>IF(SEFAZ!D764="","",SEFAZ!D764)</f>
        <v/>
      </c>
      <c r="E782" s="7" t="str">
        <f>IF(SEFAZ!E764="","",SEFAZ!E764)</f>
        <v/>
      </c>
      <c r="F782" s="6" t="str">
        <f>IF(SEFAZ!F764="","",VALUE(SUBSTITUTE(SEFAZ!F764,"'","")))</f>
        <v/>
      </c>
      <c r="G782" t="str">
        <f>IF(SEFAZ!H764="","",SEFAZ!H764)</f>
        <v/>
      </c>
      <c r="H782" t="str">
        <f>IF(SEFAZ!L764="","",SEFAZ!L764)</f>
        <v/>
      </c>
      <c r="I782" t="str">
        <f>IF(SEFAZ!N764="","",SEFAZ!N764)</f>
        <v/>
      </c>
      <c r="J782" t="str">
        <f>IF(SEFAZ!O764="","",SEFAZ!O764)</f>
        <v/>
      </c>
      <c r="K782" s="11" t="str">
        <f>IF(SEFAZ!P764="","",SEFAZ!P764)</f>
        <v/>
      </c>
      <c r="L782" t="str" cm="1">
        <f t="array" aca="1" ref="L7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2" t="s">
        <v>35</v>
      </c>
      <c r="O782" s="36" t="str">
        <f>IF(SEFAZ!B764="","",SEFAZ!B764)</f>
        <v/>
      </c>
    </row>
    <row r="783" spans="2:15" x14ac:dyDescent="0.3">
      <c r="B783" t="str">
        <f>IF(SEFAZ!A765="","",SEFAZ!A765)</f>
        <v/>
      </c>
      <c r="C783" t="str">
        <f>IF(SEFAZ!C765="","",SEFAZ!C765)</f>
        <v/>
      </c>
      <c r="D783" t="str">
        <f>IF(SEFAZ!D765="","",SEFAZ!D765)</f>
        <v/>
      </c>
      <c r="E783" s="7" t="str">
        <f>IF(SEFAZ!E765="","",SEFAZ!E765)</f>
        <v/>
      </c>
      <c r="F783" s="6" t="str">
        <f>IF(SEFAZ!F765="","",VALUE(SUBSTITUTE(SEFAZ!F765,"'","")))</f>
        <v/>
      </c>
      <c r="G783" t="str">
        <f>IF(SEFAZ!H765="","",SEFAZ!H765)</f>
        <v/>
      </c>
      <c r="H783" t="str">
        <f>IF(SEFAZ!L765="","",SEFAZ!L765)</f>
        <v/>
      </c>
      <c r="I783" t="str">
        <f>IF(SEFAZ!N765="","",SEFAZ!N765)</f>
        <v/>
      </c>
      <c r="J783" t="str">
        <f>IF(SEFAZ!O765="","",SEFAZ!O765)</f>
        <v/>
      </c>
      <c r="K783" s="11" t="str">
        <f>IF(SEFAZ!P765="","",SEFAZ!P765)</f>
        <v/>
      </c>
      <c r="L783" t="str" cm="1">
        <f t="array" aca="1" ref="L7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3" t="s">
        <v>35</v>
      </c>
      <c r="O783" s="36" t="str">
        <f>IF(SEFAZ!B765="","",SEFAZ!B765)</f>
        <v/>
      </c>
    </row>
    <row r="784" spans="2:15" x14ac:dyDescent="0.3">
      <c r="B784" t="str">
        <f>IF(SEFAZ!A766="","",SEFAZ!A766)</f>
        <v/>
      </c>
      <c r="C784" t="str">
        <f>IF(SEFAZ!C766="","",SEFAZ!C766)</f>
        <v/>
      </c>
      <c r="D784" t="str">
        <f>IF(SEFAZ!D766="","",SEFAZ!D766)</f>
        <v/>
      </c>
      <c r="E784" s="7" t="str">
        <f>IF(SEFAZ!E766="","",SEFAZ!E766)</f>
        <v/>
      </c>
      <c r="F784" s="6" t="str">
        <f>IF(SEFAZ!F766="","",VALUE(SUBSTITUTE(SEFAZ!F766,"'","")))</f>
        <v/>
      </c>
      <c r="G784" t="str">
        <f>IF(SEFAZ!H766="","",SEFAZ!H766)</f>
        <v/>
      </c>
      <c r="H784" t="str">
        <f>IF(SEFAZ!L766="","",SEFAZ!L766)</f>
        <v/>
      </c>
      <c r="I784" t="str">
        <f>IF(SEFAZ!N766="","",SEFAZ!N766)</f>
        <v/>
      </c>
      <c r="J784" t="str">
        <f>IF(SEFAZ!O766="","",SEFAZ!O766)</f>
        <v/>
      </c>
      <c r="K784" s="11" t="str">
        <f>IF(SEFAZ!P766="","",SEFAZ!P766)</f>
        <v/>
      </c>
      <c r="L784" t="str" cm="1">
        <f t="array" aca="1" ref="L7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4" t="s">
        <v>35</v>
      </c>
      <c r="O784" s="36" t="str">
        <f>IF(SEFAZ!B766="","",SEFAZ!B766)</f>
        <v/>
      </c>
    </row>
    <row r="785" spans="2:15" x14ac:dyDescent="0.3">
      <c r="B785" t="str">
        <f>IF(SEFAZ!A767="","",SEFAZ!A767)</f>
        <v/>
      </c>
      <c r="C785" t="str">
        <f>IF(SEFAZ!C767="","",SEFAZ!C767)</f>
        <v/>
      </c>
      <c r="D785" t="str">
        <f>IF(SEFAZ!D767="","",SEFAZ!D767)</f>
        <v/>
      </c>
      <c r="E785" s="7" t="str">
        <f>IF(SEFAZ!E767="","",SEFAZ!E767)</f>
        <v/>
      </c>
      <c r="F785" s="6" t="str">
        <f>IF(SEFAZ!F767="","",VALUE(SUBSTITUTE(SEFAZ!F767,"'","")))</f>
        <v/>
      </c>
      <c r="G785" t="str">
        <f>IF(SEFAZ!H767="","",SEFAZ!H767)</f>
        <v/>
      </c>
      <c r="H785" t="str">
        <f>IF(SEFAZ!L767="","",SEFAZ!L767)</f>
        <v/>
      </c>
      <c r="I785" t="str">
        <f>IF(SEFAZ!N767="","",SEFAZ!N767)</f>
        <v/>
      </c>
      <c r="J785" t="str">
        <f>IF(SEFAZ!O767="","",SEFAZ!O767)</f>
        <v/>
      </c>
      <c r="K785" s="11" t="str">
        <f>IF(SEFAZ!P767="","",SEFAZ!P767)</f>
        <v/>
      </c>
      <c r="L785" t="str" cm="1">
        <f t="array" aca="1" ref="L7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5" t="s">
        <v>35</v>
      </c>
      <c r="O785" s="36" t="str">
        <f>IF(SEFAZ!B767="","",SEFAZ!B767)</f>
        <v/>
      </c>
    </row>
    <row r="786" spans="2:15" x14ac:dyDescent="0.3">
      <c r="B786" t="str">
        <f>IF(SEFAZ!A768="","",SEFAZ!A768)</f>
        <v/>
      </c>
      <c r="C786" t="str">
        <f>IF(SEFAZ!C768="","",SEFAZ!C768)</f>
        <v/>
      </c>
      <c r="D786" t="str">
        <f>IF(SEFAZ!D768="","",SEFAZ!D768)</f>
        <v/>
      </c>
      <c r="E786" s="7" t="str">
        <f>IF(SEFAZ!E768="","",SEFAZ!E768)</f>
        <v/>
      </c>
      <c r="F786" s="6" t="str">
        <f>IF(SEFAZ!F768="","",VALUE(SUBSTITUTE(SEFAZ!F768,"'","")))</f>
        <v/>
      </c>
      <c r="G786" t="str">
        <f>IF(SEFAZ!H768="","",SEFAZ!H768)</f>
        <v/>
      </c>
      <c r="H786" t="str">
        <f>IF(SEFAZ!L768="","",SEFAZ!L768)</f>
        <v/>
      </c>
      <c r="I786" t="str">
        <f>IF(SEFAZ!N768="","",SEFAZ!N768)</f>
        <v/>
      </c>
      <c r="J786" t="str">
        <f>IF(SEFAZ!O768="","",SEFAZ!O768)</f>
        <v/>
      </c>
      <c r="K786" s="11" t="str">
        <f>IF(SEFAZ!P768="","",SEFAZ!P768)</f>
        <v/>
      </c>
      <c r="L786" t="str" cm="1">
        <f t="array" aca="1" ref="L7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6" t="s">
        <v>35</v>
      </c>
      <c r="O786" s="36" t="str">
        <f>IF(SEFAZ!B768="","",SEFAZ!B768)</f>
        <v/>
      </c>
    </row>
    <row r="787" spans="2:15" x14ac:dyDescent="0.3">
      <c r="B787" t="str">
        <f>IF(SEFAZ!A769="","",SEFAZ!A769)</f>
        <v/>
      </c>
      <c r="C787" t="str">
        <f>IF(SEFAZ!C769="","",SEFAZ!C769)</f>
        <v/>
      </c>
      <c r="D787" t="str">
        <f>IF(SEFAZ!D769="","",SEFAZ!D769)</f>
        <v/>
      </c>
      <c r="E787" s="7" t="str">
        <f>IF(SEFAZ!E769="","",SEFAZ!E769)</f>
        <v/>
      </c>
      <c r="F787" s="6" t="str">
        <f>IF(SEFAZ!F769="","",VALUE(SUBSTITUTE(SEFAZ!F769,"'","")))</f>
        <v/>
      </c>
      <c r="G787" t="str">
        <f>IF(SEFAZ!H769="","",SEFAZ!H769)</f>
        <v/>
      </c>
      <c r="H787" t="str">
        <f>IF(SEFAZ!L769="","",SEFAZ!L769)</f>
        <v/>
      </c>
      <c r="I787" t="str">
        <f>IF(SEFAZ!N769="","",SEFAZ!N769)</f>
        <v/>
      </c>
      <c r="J787" t="str">
        <f>IF(SEFAZ!O769="","",SEFAZ!O769)</f>
        <v/>
      </c>
      <c r="K787" s="11" t="str">
        <f>IF(SEFAZ!P769="","",SEFAZ!P769)</f>
        <v/>
      </c>
      <c r="L787" t="str" cm="1">
        <f t="array" aca="1" ref="L7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7" t="s">
        <v>35</v>
      </c>
      <c r="O787" s="36" t="str">
        <f>IF(SEFAZ!B769="","",SEFAZ!B769)</f>
        <v/>
      </c>
    </row>
    <row r="788" spans="2:15" x14ac:dyDescent="0.3">
      <c r="B788" t="str">
        <f>IF(SEFAZ!A770="","",SEFAZ!A770)</f>
        <v/>
      </c>
      <c r="C788" t="str">
        <f>IF(SEFAZ!C770="","",SEFAZ!C770)</f>
        <v/>
      </c>
      <c r="D788" t="str">
        <f>IF(SEFAZ!D770="","",SEFAZ!D770)</f>
        <v/>
      </c>
      <c r="E788" s="7" t="str">
        <f>IF(SEFAZ!E770="","",SEFAZ!E770)</f>
        <v/>
      </c>
      <c r="F788" s="6" t="str">
        <f>IF(SEFAZ!F770="","",VALUE(SUBSTITUTE(SEFAZ!F770,"'","")))</f>
        <v/>
      </c>
      <c r="G788" t="str">
        <f>IF(SEFAZ!H770="","",SEFAZ!H770)</f>
        <v/>
      </c>
      <c r="H788" t="str">
        <f>IF(SEFAZ!L770="","",SEFAZ!L770)</f>
        <v/>
      </c>
      <c r="I788" t="str">
        <f>IF(SEFAZ!N770="","",SEFAZ!N770)</f>
        <v/>
      </c>
      <c r="J788" t="str">
        <f>IF(SEFAZ!O770="","",SEFAZ!O770)</f>
        <v/>
      </c>
      <c r="K788" s="11" t="str">
        <f>IF(SEFAZ!P770="","",SEFAZ!P770)</f>
        <v/>
      </c>
      <c r="L788" t="str" cm="1">
        <f t="array" aca="1" ref="L7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8" t="s">
        <v>35</v>
      </c>
      <c r="O788" s="36" t="str">
        <f>IF(SEFAZ!B770="","",SEFAZ!B770)</f>
        <v/>
      </c>
    </row>
    <row r="789" spans="2:15" x14ac:dyDescent="0.3">
      <c r="B789" t="str">
        <f>IF(SEFAZ!A771="","",SEFAZ!A771)</f>
        <v/>
      </c>
      <c r="C789" t="str">
        <f>IF(SEFAZ!C771="","",SEFAZ!C771)</f>
        <v/>
      </c>
      <c r="D789" t="str">
        <f>IF(SEFAZ!D771="","",SEFAZ!D771)</f>
        <v/>
      </c>
      <c r="E789" s="7" t="str">
        <f>IF(SEFAZ!E771="","",SEFAZ!E771)</f>
        <v/>
      </c>
      <c r="F789" s="6" t="str">
        <f>IF(SEFAZ!F771="","",VALUE(SUBSTITUTE(SEFAZ!F771,"'","")))</f>
        <v/>
      </c>
      <c r="G789" t="str">
        <f>IF(SEFAZ!H771="","",SEFAZ!H771)</f>
        <v/>
      </c>
      <c r="H789" t="str">
        <f>IF(SEFAZ!L771="","",SEFAZ!L771)</f>
        <v/>
      </c>
      <c r="I789" t="str">
        <f>IF(SEFAZ!N771="","",SEFAZ!N771)</f>
        <v/>
      </c>
      <c r="J789" t="str">
        <f>IF(SEFAZ!O771="","",SEFAZ!O771)</f>
        <v/>
      </c>
      <c r="K789" s="11" t="str">
        <f>IF(SEFAZ!P771="","",SEFAZ!P771)</f>
        <v/>
      </c>
      <c r="L789" t="str" cm="1">
        <f t="array" aca="1" ref="L7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89" t="s">
        <v>35</v>
      </c>
      <c r="O789" s="36" t="str">
        <f>IF(SEFAZ!B771="","",SEFAZ!B771)</f>
        <v/>
      </c>
    </row>
    <row r="790" spans="2:15" x14ac:dyDescent="0.3">
      <c r="B790" t="str">
        <f>IF(SEFAZ!A772="","",SEFAZ!A772)</f>
        <v/>
      </c>
      <c r="C790" t="str">
        <f>IF(SEFAZ!C772="","",SEFAZ!C772)</f>
        <v/>
      </c>
      <c r="D790" t="str">
        <f>IF(SEFAZ!D772="","",SEFAZ!D772)</f>
        <v/>
      </c>
      <c r="E790" s="7" t="str">
        <f>IF(SEFAZ!E772="","",SEFAZ!E772)</f>
        <v/>
      </c>
      <c r="F790" s="6" t="str">
        <f>IF(SEFAZ!F772="","",VALUE(SUBSTITUTE(SEFAZ!F772,"'","")))</f>
        <v/>
      </c>
      <c r="G790" t="str">
        <f>IF(SEFAZ!H772="","",SEFAZ!H772)</f>
        <v/>
      </c>
      <c r="H790" t="str">
        <f>IF(SEFAZ!L772="","",SEFAZ!L772)</f>
        <v/>
      </c>
      <c r="I790" t="str">
        <f>IF(SEFAZ!N772="","",SEFAZ!N772)</f>
        <v/>
      </c>
      <c r="J790" t="str">
        <f>IF(SEFAZ!O772="","",SEFAZ!O772)</f>
        <v/>
      </c>
      <c r="K790" s="11" t="str">
        <f>IF(SEFAZ!P772="","",SEFAZ!P772)</f>
        <v/>
      </c>
      <c r="L790" t="str" cm="1">
        <f t="array" aca="1" ref="L7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0" t="s">
        <v>35</v>
      </c>
      <c r="O790" s="36" t="str">
        <f>IF(SEFAZ!B772="","",SEFAZ!B772)</f>
        <v/>
      </c>
    </row>
    <row r="791" spans="2:15" x14ac:dyDescent="0.3">
      <c r="B791" t="str">
        <f>IF(SEFAZ!A773="","",SEFAZ!A773)</f>
        <v/>
      </c>
      <c r="C791" t="str">
        <f>IF(SEFAZ!C773="","",SEFAZ!C773)</f>
        <v/>
      </c>
      <c r="D791" t="str">
        <f>IF(SEFAZ!D773="","",SEFAZ!D773)</f>
        <v/>
      </c>
      <c r="E791" s="7" t="str">
        <f>IF(SEFAZ!E773="","",SEFAZ!E773)</f>
        <v/>
      </c>
      <c r="F791" s="6" t="str">
        <f>IF(SEFAZ!F773="","",VALUE(SUBSTITUTE(SEFAZ!F773,"'","")))</f>
        <v/>
      </c>
      <c r="G791" t="str">
        <f>IF(SEFAZ!H773="","",SEFAZ!H773)</f>
        <v/>
      </c>
      <c r="H791" t="str">
        <f>IF(SEFAZ!L773="","",SEFAZ!L773)</f>
        <v/>
      </c>
      <c r="I791" t="str">
        <f>IF(SEFAZ!N773="","",SEFAZ!N773)</f>
        <v/>
      </c>
      <c r="J791" t="str">
        <f>IF(SEFAZ!O773="","",SEFAZ!O773)</f>
        <v/>
      </c>
      <c r="K791" s="11" t="str">
        <f>IF(SEFAZ!P773="","",SEFAZ!P773)</f>
        <v/>
      </c>
      <c r="L791" t="str" cm="1">
        <f t="array" aca="1" ref="L7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1" t="s">
        <v>35</v>
      </c>
      <c r="O791" s="36" t="str">
        <f>IF(SEFAZ!B773="","",SEFAZ!B773)</f>
        <v/>
      </c>
    </row>
    <row r="792" spans="2:15" x14ac:dyDescent="0.3">
      <c r="B792" t="str">
        <f>IF(SEFAZ!A774="","",SEFAZ!A774)</f>
        <v/>
      </c>
      <c r="C792" t="str">
        <f>IF(SEFAZ!C774="","",SEFAZ!C774)</f>
        <v/>
      </c>
      <c r="D792" t="str">
        <f>IF(SEFAZ!D774="","",SEFAZ!D774)</f>
        <v/>
      </c>
      <c r="E792" s="7" t="str">
        <f>IF(SEFAZ!E774="","",SEFAZ!E774)</f>
        <v/>
      </c>
      <c r="F792" s="6" t="str">
        <f>IF(SEFAZ!F774="","",VALUE(SUBSTITUTE(SEFAZ!F774,"'","")))</f>
        <v/>
      </c>
      <c r="G792" t="str">
        <f>IF(SEFAZ!H774="","",SEFAZ!H774)</f>
        <v/>
      </c>
      <c r="H792" t="str">
        <f>IF(SEFAZ!L774="","",SEFAZ!L774)</f>
        <v/>
      </c>
      <c r="I792" t="str">
        <f>IF(SEFAZ!N774="","",SEFAZ!N774)</f>
        <v/>
      </c>
      <c r="J792" t="str">
        <f>IF(SEFAZ!O774="","",SEFAZ!O774)</f>
        <v/>
      </c>
      <c r="K792" s="11" t="str">
        <f>IF(SEFAZ!P774="","",SEFAZ!P774)</f>
        <v/>
      </c>
      <c r="L792" t="str" cm="1">
        <f t="array" aca="1" ref="L7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2" t="s">
        <v>35</v>
      </c>
      <c r="O792" s="36" t="str">
        <f>IF(SEFAZ!B774="","",SEFAZ!B774)</f>
        <v/>
      </c>
    </row>
    <row r="793" spans="2:15" x14ac:dyDescent="0.3">
      <c r="B793" t="str">
        <f>IF(SEFAZ!A775="","",SEFAZ!A775)</f>
        <v/>
      </c>
      <c r="C793" t="str">
        <f>IF(SEFAZ!C775="","",SEFAZ!C775)</f>
        <v/>
      </c>
      <c r="D793" t="str">
        <f>IF(SEFAZ!D775="","",SEFAZ!D775)</f>
        <v/>
      </c>
      <c r="E793" s="7" t="str">
        <f>IF(SEFAZ!E775="","",SEFAZ!E775)</f>
        <v/>
      </c>
      <c r="F793" s="6" t="str">
        <f>IF(SEFAZ!F775="","",VALUE(SUBSTITUTE(SEFAZ!F775,"'","")))</f>
        <v/>
      </c>
      <c r="G793" t="str">
        <f>IF(SEFAZ!H775="","",SEFAZ!H775)</f>
        <v/>
      </c>
      <c r="H793" t="str">
        <f>IF(SEFAZ!L775="","",SEFAZ!L775)</f>
        <v/>
      </c>
      <c r="I793" t="str">
        <f>IF(SEFAZ!N775="","",SEFAZ!N775)</f>
        <v/>
      </c>
      <c r="J793" t="str">
        <f>IF(SEFAZ!O775="","",SEFAZ!O775)</f>
        <v/>
      </c>
      <c r="K793" s="11" t="str">
        <f>IF(SEFAZ!P775="","",SEFAZ!P775)</f>
        <v/>
      </c>
      <c r="L793" t="str" cm="1">
        <f t="array" aca="1" ref="L7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3" t="s">
        <v>35</v>
      </c>
      <c r="O793" s="36" t="str">
        <f>IF(SEFAZ!B775="","",SEFAZ!B775)</f>
        <v/>
      </c>
    </row>
    <row r="794" spans="2:15" x14ac:dyDescent="0.3">
      <c r="B794" t="str">
        <f>IF(SEFAZ!A776="","",SEFAZ!A776)</f>
        <v/>
      </c>
      <c r="C794" t="str">
        <f>IF(SEFAZ!C776="","",SEFAZ!C776)</f>
        <v/>
      </c>
      <c r="D794" t="str">
        <f>IF(SEFAZ!D776="","",SEFAZ!D776)</f>
        <v/>
      </c>
      <c r="E794" s="7" t="str">
        <f>IF(SEFAZ!E776="","",SEFAZ!E776)</f>
        <v/>
      </c>
      <c r="F794" s="6" t="str">
        <f>IF(SEFAZ!F776="","",VALUE(SUBSTITUTE(SEFAZ!F776,"'","")))</f>
        <v/>
      </c>
      <c r="G794" t="str">
        <f>IF(SEFAZ!H776="","",SEFAZ!H776)</f>
        <v/>
      </c>
      <c r="H794" t="str">
        <f>IF(SEFAZ!L776="","",SEFAZ!L776)</f>
        <v/>
      </c>
      <c r="I794" t="str">
        <f>IF(SEFAZ!N776="","",SEFAZ!N776)</f>
        <v/>
      </c>
      <c r="J794" t="str">
        <f>IF(SEFAZ!O776="","",SEFAZ!O776)</f>
        <v/>
      </c>
      <c r="K794" s="11" t="str">
        <f>IF(SEFAZ!P776="","",SEFAZ!P776)</f>
        <v/>
      </c>
      <c r="L794" t="str" cm="1">
        <f t="array" aca="1" ref="L7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4" t="s">
        <v>35</v>
      </c>
      <c r="O794" s="36" t="str">
        <f>IF(SEFAZ!B776="","",SEFAZ!B776)</f>
        <v/>
      </c>
    </row>
    <row r="795" spans="2:15" x14ac:dyDescent="0.3">
      <c r="B795" t="str">
        <f>IF(SEFAZ!A777="","",SEFAZ!A777)</f>
        <v/>
      </c>
      <c r="C795" t="str">
        <f>IF(SEFAZ!C777="","",SEFAZ!C777)</f>
        <v/>
      </c>
      <c r="D795" t="str">
        <f>IF(SEFAZ!D777="","",SEFAZ!D777)</f>
        <v/>
      </c>
      <c r="E795" s="7" t="str">
        <f>IF(SEFAZ!E777="","",SEFAZ!E777)</f>
        <v/>
      </c>
      <c r="F795" s="6" t="str">
        <f>IF(SEFAZ!F777="","",VALUE(SUBSTITUTE(SEFAZ!F777,"'","")))</f>
        <v/>
      </c>
      <c r="G795" t="str">
        <f>IF(SEFAZ!H777="","",SEFAZ!H777)</f>
        <v/>
      </c>
      <c r="H795" t="str">
        <f>IF(SEFAZ!L777="","",SEFAZ!L777)</f>
        <v/>
      </c>
      <c r="I795" t="str">
        <f>IF(SEFAZ!N777="","",SEFAZ!N777)</f>
        <v/>
      </c>
      <c r="J795" t="str">
        <f>IF(SEFAZ!O777="","",SEFAZ!O777)</f>
        <v/>
      </c>
      <c r="K795" s="11" t="str">
        <f>IF(SEFAZ!P777="","",SEFAZ!P777)</f>
        <v/>
      </c>
      <c r="L795" t="str" cm="1">
        <f t="array" aca="1" ref="L7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5" t="s">
        <v>35</v>
      </c>
      <c r="O795" s="36" t="str">
        <f>IF(SEFAZ!B777="","",SEFAZ!B777)</f>
        <v/>
      </c>
    </row>
    <row r="796" spans="2:15" x14ac:dyDescent="0.3">
      <c r="B796" t="str">
        <f>IF(SEFAZ!A778="","",SEFAZ!A778)</f>
        <v/>
      </c>
      <c r="C796" t="str">
        <f>IF(SEFAZ!C778="","",SEFAZ!C778)</f>
        <v/>
      </c>
      <c r="D796" t="str">
        <f>IF(SEFAZ!D778="","",SEFAZ!D778)</f>
        <v/>
      </c>
      <c r="E796" s="7" t="str">
        <f>IF(SEFAZ!E778="","",SEFAZ!E778)</f>
        <v/>
      </c>
      <c r="F796" s="6" t="str">
        <f>IF(SEFAZ!F778="","",VALUE(SUBSTITUTE(SEFAZ!F778,"'","")))</f>
        <v/>
      </c>
      <c r="G796" t="str">
        <f>IF(SEFAZ!H778="","",SEFAZ!H778)</f>
        <v/>
      </c>
      <c r="H796" t="str">
        <f>IF(SEFAZ!L778="","",SEFAZ!L778)</f>
        <v/>
      </c>
      <c r="I796" t="str">
        <f>IF(SEFAZ!N778="","",SEFAZ!N778)</f>
        <v/>
      </c>
      <c r="J796" t="str">
        <f>IF(SEFAZ!O778="","",SEFAZ!O778)</f>
        <v/>
      </c>
      <c r="K796" s="11" t="str">
        <f>IF(SEFAZ!P778="","",SEFAZ!P778)</f>
        <v/>
      </c>
      <c r="L796" t="str" cm="1">
        <f t="array" aca="1" ref="L7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6" t="s">
        <v>35</v>
      </c>
      <c r="O796" s="36" t="str">
        <f>IF(SEFAZ!B778="","",SEFAZ!B778)</f>
        <v/>
      </c>
    </row>
    <row r="797" spans="2:15" x14ac:dyDescent="0.3">
      <c r="B797" t="str">
        <f>IF(SEFAZ!A779="","",SEFAZ!A779)</f>
        <v/>
      </c>
      <c r="C797" t="str">
        <f>IF(SEFAZ!C779="","",SEFAZ!C779)</f>
        <v/>
      </c>
      <c r="D797" t="str">
        <f>IF(SEFAZ!D779="","",SEFAZ!D779)</f>
        <v/>
      </c>
      <c r="E797" s="7" t="str">
        <f>IF(SEFAZ!E779="","",SEFAZ!E779)</f>
        <v/>
      </c>
      <c r="F797" s="6" t="str">
        <f>IF(SEFAZ!F779="","",VALUE(SUBSTITUTE(SEFAZ!F779,"'","")))</f>
        <v/>
      </c>
      <c r="G797" t="str">
        <f>IF(SEFAZ!H779="","",SEFAZ!H779)</f>
        <v/>
      </c>
      <c r="H797" t="str">
        <f>IF(SEFAZ!L779="","",SEFAZ!L779)</f>
        <v/>
      </c>
      <c r="I797" t="str">
        <f>IF(SEFAZ!N779="","",SEFAZ!N779)</f>
        <v/>
      </c>
      <c r="J797" t="str">
        <f>IF(SEFAZ!O779="","",SEFAZ!O779)</f>
        <v/>
      </c>
      <c r="K797" s="11" t="str">
        <f>IF(SEFAZ!P779="","",SEFAZ!P779)</f>
        <v/>
      </c>
      <c r="L797" t="str" cm="1">
        <f t="array" aca="1" ref="L7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7" t="s">
        <v>35</v>
      </c>
      <c r="O797" s="36" t="str">
        <f>IF(SEFAZ!B779="","",SEFAZ!B779)</f>
        <v/>
      </c>
    </row>
    <row r="798" spans="2:15" x14ac:dyDescent="0.3">
      <c r="B798" t="str">
        <f>IF(SEFAZ!A780="","",SEFAZ!A780)</f>
        <v/>
      </c>
      <c r="C798" t="str">
        <f>IF(SEFAZ!C780="","",SEFAZ!C780)</f>
        <v/>
      </c>
      <c r="D798" t="str">
        <f>IF(SEFAZ!D780="","",SEFAZ!D780)</f>
        <v/>
      </c>
      <c r="E798" s="7" t="str">
        <f>IF(SEFAZ!E780="","",SEFAZ!E780)</f>
        <v/>
      </c>
      <c r="F798" s="6" t="str">
        <f>IF(SEFAZ!F780="","",VALUE(SUBSTITUTE(SEFAZ!F780,"'","")))</f>
        <v/>
      </c>
      <c r="G798" t="str">
        <f>IF(SEFAZ!H780="","",SEFAZ!H780)</f>
        <v/>
      </c>
      <c r="H798" t="str">
        <f>IF(SEFAZ!L780="","",SEFAZ!L780)</f>
        <v/>
      </c>
      <c r="I798" t="str">
        <f>IF(SEFAZ!N780="","",SEFAZ!N780)</f>
        <v/>
      </c>
      <c r="J798" t="str">
        <f>IF(SEFAZ!O780="","",SEFAZ!O780)</f>
        <v/>
      </c>
      <c r="K798" s="11" t="str">
        <f>IF(SEFAZ!P780="","",SEFAZ!P780)</f>
        <v/>
      </c>
      <c r="L798" t="str" cm="1">
        <f t="array" aca="1" ref="L7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8" t="s">
        <v>35</v>
      </c>
      <c r="O798" s="36" t="str">
        <f>IF(SEFAZ!B780="","",SEFAZ!B780)</f>
        <v/>
      </c>
    </row>
    <row r="799" spans="2:15" x14ac:dyDescent="0.3">
      <c r="B799" t="str">
        <f>IF(SEFAZ!A781="","",SEFAZ!A781)</f>
        <v/>
      </c>
      <c r="C799" t="str">
        <f>IF(SEFAZ!C781="","",SEFAZ!C781)</f>
        <v/>
      </c>
      <c r="D799" t="str">
        <f>IF(SEFAZ!D781="","",SEFAZ!D781)</f>
        <v/>
      </c>
      <c r="E799" s="7" t="str">
        <f>IF(SEFAZ!E781="","",SEFAZ!E781)</f>
        <v/>
      </c>
      <c r="F799" s="6" t="str">
        <f>IF(SEFAZ!F781="","",VALUE(SUBSTITUTE(SEFAZ!F781,"'","")))</f>
        <v/>
      </c>
      <c r="G799" t="str">
        <f>IF(SEFAZ!H781="","",SEFAZ!H781)</f>
        <v/>
      </c>
      <c r="H799" t="str">
        <f>IF(SEFAZ!L781="","",SEFAZ!L781)</f>
        <v/>
      </c>
      <c r="I799" t="str">
        <f>IF(SEFAZ!N781="","",SEFAZ!N781)</f>
        <v/>
      </c>
      <c r="J799" t="str">
        <f>IF(SEFAZ!O781="","",SEFAZ!O781)</f>
        <v/>
      </c>
      <c r="K799" s="11" t="str">
        <f>IF(SEFAZ!P781="","",SEFAZ!P781)</f>
        <v/>
      </c>
      <c r="L799" t="str" cm="1">
        <f t="array" aca="1" ref="L7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799" t="s">
        <v>35</v>
      </c>
      <c r="O799" s="36" t="str">
        <f>IF(SEFAZ!B781="","",SEFAZ!B781)</f>
        <v/>
      </c>
    </row>
    <row r="800" spans="2:15" x14ac:dyDescent="0.3">
      <c r="B800" t="str">
        <f>IF(SEFAZ!A782="","",SEFAZ!A782)</f>
        <v/>
      </c>
      <c r="C800" t="str">
        <f>IF(SEFAZ!C782="","",SEFAZ!C782)</f>
        <v/>
      </c>
      <c r="D800" t="str">
        <f>IF(SEFAZ!D782="","",SEFAZ!D782)</f>
        <v/>
      </c>
      <c r="E800" s="7" t="str">
        <f>IF(SEFAZ!E782="","",SEFAZ!E782)</f>
        <v/>
      </c>
      <c r="F800" s="6" t="str">
        <f>IF(SEFAZ!F782="","",VALUE(SUBSTITUTE(SEFAZ!F782,"'","")))</f>
        <v/>
      </c>
      <c r="G800" t="str">
        <f>IF(SEFAZ!H782="","",SEFAZ!H782)</f>
        <v/>
      </c>
      <c r="H800" t="str">
        <f>IF(SEFAZ!L782="","",SEFAZ!L782)</f>
        <v/>
      </c>
      <c r="I800" t="str">
        <f>IF(SEFAZ!N782="","",SEFAZ!N782)</f>
        <v/>
      </c>
      <c r="J800" t="str">
        <f>IF(SEFAZ!O782="","",SEFAZ!O782)</f>
        <v/>
      </c>
      <c r="K800" s="11" t="str">
        <f>IF(SEFAZ!P782="","",SEFAZ!P782)</f>
        <v/>
      </c>
      <c r="L800" t="str" cm="1">
        <f t="array" aca="1" ref="L8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0" t="s">
        <v>35</v>
      </c>
      <c r="O800" s="36" t="str">
        <f>IF(SEFAZ!B782="","",SEFAZ!B782)</f>
        <v/>
      </c>
    </row>
    <row r="801" spans="2:15" x14ac:dyDescent="0.3">
      <c r="B801" t="str">
        <f>IF(SEFAZ!A783="","",SEFAZ!A783)</f>
        <v/>
      </c>
      <c r="C801" t="str">
        <f>IF(SEFAZ!C783="","",SEFAZ!C783)</f>
        <v/>
      </c>
      <c r="D801" t="str">
        <f>IF(SEFAZ!D783="","",SEFAZ!D783)</f>
        <v/>
      </c>
      <c r="E801" s="7" t="str">
        <f>IF(SEFAZ!E783="","",SEFAZ!E783)</f>
        <v/>
      </c>
      <c r="F801" s="6" t="str">
        <f>IF(SEFAZ!F783="","",VALUE(SUBSTITUTE(SEFAZ!F783,"'","")))</f>
        <v/>
      </c>
      <c r="G801" t="str">
        <f>IF(SEFAZ!H783="","",SEFAZ!H783)</f>
        <v/>
      </c>
      <c r="H801" t="str">
        <f>IF(SEFAZ!L783="","",SEFAZ!L783)</f>
        <v/>
      </c>
      <c r="I801" t="str">
        <f>IF(SEFAZ!N783="","",SEFAZ!N783)</f>
        <v/>
      </c>
      <c r="J801" t="str">
        <f>IF(SEFAZ!O783="","",SEFAZ!O783)</f>
        <v/>
      </c>
      <c r="K801" s="11" t="str">
        <f>IF(SEFAZ!P783="","",SEFAZ!P783)</f>
        <v/>
      </c>
      <c r="L801" t="str" cm="1">
        <f t="array" aca="1" ref="L8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1" t="s">
        <v>35</v>
      </c>
      <c r="O801" s="36" t="str">
        <f>IF(SEFAZ!B783="","",SEFAZ!B783)</f>
        <v/>
      </c>
    </row>
    <row r="802" spans="2:15" x14ac:dyDescent="0.3">
      <c r="B802" t="str">
        <f>IF(SEFAZ!A784="","",SEFAZ!A784)</f>
        <v/>
      </c>
      <c r="C802" t="str">
        <f>IF(SEFAZ!C784="","",SEFAZ!C784)</f>
        <v/>
      </c>
      <c r="D802" t="str">
        <f>IF(SEFAZ!D784="","",SEFAZ!D784)</f>
        <v/>
      </c>
      <c r="E802" s="7" t="str">
        <f>IF(SEFAZ!E784="","",SEFAZ!E784)</f>
        <v/>
      </c>
      <c r="F802" s="6" t="str">
        <f>IF(SEFAZ!F784="","",VALUE(SUBSTITUTE(SEFAZ!F784,"'","")))</f>
        <v/>
      </c>
      <c r="G802" t="str">
        <f>IF(SEFAZ!H784="","",SEFAZ!H784)</f>
        <v/>
      </c>
      <c r="H802" t="str">
        <f>IF(SEFAZ!L784="","",SEFAZ!L784)</f>
        <v/>
      </c>
      <c r="I802" t="str">
        <f>IF(SEFAZ!N784="","",SEFAZ!N784)</f>
        <v/>
      </c>
      <c r="J802" t="str">
        <f>IF(SEFAZ!O784="","",SEFAZ!O784)</f>
        <v/>
      </c>
      <c r="K802" s="11" t="str">
        <f>IF(SEFAZ!P784="","",SEFAZ!P784)</f>
        <v/>
      </c>
      <c r="L802" t="str" cm="1">
        <f t="array" aca="1" ref="L8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2" t="s">
        <v>35</v>
      </c>
      <c r="O802" s="36" t="str">
        <f>IF(SEFAZ!B784="","",SEFAZ!B784)</f>
        <v/>
      </c>
    </row>
    <row r="803" spans="2:15" x14ac:dyDescent="0.3">
      <c r="B803" t="str">
        <f>IF(SEFAZ!A785="","",SEFAZ!A785)</f>
        <v/>
      </c>
      <c r="C803" t="str">
        <f>IF(SEFAZ!C785="","",SEFAZ!C785)</f>
        <v/>
      </c>
      <c r="D803" t="str">
        <f>IF(SEFAZ!D785="","",SEFAZ!D785)</f>
        <v/>
      </c>
      <c r="E803" s="7" t="str">
        <f>IF(SEFAZ!E785="","",SEFAZ!E785)</f>
        <v/>
      </c>
      <c r="F803" s="6" t="str">
        <f>IF(SEFAZ!F785="","",VALUE(SUBSTITUTE(SEFAZ!F785,"'","")))</f>
        <v/>
      </c>
      <c r="G803" t="str">
        <f>IF(SEFAZ!H785="","",SEFAZ!H785)</f>
        <v/>
      </c>
      <c r="H803" t="str">
        <f>IF(SEFAZ!L785="","",SEFAZ!L785)</f>
        <v/>
      </c>
      <c r="I803" t="str">
        <f>IF(SEFAZ!N785="","",SEFAZ!N785)</f>
        <v/>
      </c>
      <c r="J803" t="str">
        <f>IF(SEFAZ!O785="","",SEFAZ!O785)</f>
        <v/>
      </c>
      <c r="K803" s="11" t="str">
        <f>IF(SEFAZ!P785="","",SEFAZ!P785)</f>
        <v/>
      </c>
      <c r="L803" t="str" cm="1">
        <f t="array" aca="1" ref="L8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3" t="s">
        <v>35</v>
      </c>
      <c r="O803" s="36" t="str">
        <f>IF(SEFAZ!B785="","",SEFAZ!B785)</f>
        <v/>
      </c>
    </row>
    <row r="804" spans="2:15" x14ac:dyDescent="0.3">
      <c r="B804" t="str">
        <f>IF(SEFAZ!A786="","",SEFAZ!A786)</f>
        <v/>
      </c>
      <c r="C804" t="str">
        <f>IF(SEFAZ!C786="","",SEFAZ!C786)</f>
        <v/>
      </c>
      <c r="D804" t="str">
        <f>IF(SEFAZ!D786="","",SEFAZ!D786)</f>
        <v/>
      </c>
      <c r="E804" s="7" t="str">
        <f>IF(SEFAZ!E786="","",SEFAZ!E786)</f>
        <v/>
      </c>
      <c r="F804" s="6" t="str">
        <f>IF(SEFAZ!F786="","",VALUE(SUBSTITUTE(SEFAZ!F786,"'","")))</f>
        <v/>
      </c>
      <c r="G804" t="str">
        <f>IF(SEFAZ!H786="","",SEFAZ!H786)</f>
        <v/>
      </c>
      <c r="H804" t="str">
        <f>IF(SEFAZ!L786="","",SEFAZ!L786)</f>
        <v/>
      </c>
      <c r="I804" t="str">
        <f>IF(SEFAZ!N786="","",SEFAZ!N786)</f>
        <v/>
      </c>
      <c r="J804" t="str">
        <f>IF(SEFAZ!O786="","",SEFAZ!O786)</f>
        <v/>
      </c>
      <c r="K804" s="11" t="str">
        <f>IF(SEFAZ!P786="","",SEFAZ!P786)</f>
        <v/>
      </c>
      <c r="L804" t="str" cm="1">
        <f t="array" aca="1" ref="L8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4" t="s">
        <v>35</v>
      </c>
      <c r="O804" s="36" t="str">
        <f>IF(SEFAZ!B786="","",SEFAZ!B786)</f>
        <v/>
      </c>
    </row>
    <row r="805" spans="2:15" x14ac:dyDescent="0.3">
      <c r="B805" t="str">
        <f>IF(SEFAZ!A787="","",SEFAZ!A787)</f>
        <v/>
      </c>
      <c r="C805" t="str">
        <f>IF(SEFAZ!C787="","",SEFAZ!C787)</f>
        <v/>
      </c>
      <c r="D805" t="str">
        <f>IF(SEFAZ!D787="","",SEFAZ!D787)</f>
        <v/>
      </c>
      <c r="E805" s="7" t="str">
        <f>IF(SEFAZ!E787="","",SEFAZ!E787)</f>
        <v/>
      </c>
      <c r="F805" s="6" t="str">
        <f>IF(SEFAZ!F787="","",VALUE(SUBSTITUTE(SEFAZ!F787,"'","")))</f>
        <v/>
      </c>
      <c r="G805" t="str">
        <f>IF(SEFAZ!H787="","",SEFAZ!H787)</f>
        <v/>
      </c>
      <c r="H805" t="str">
        <f>IF(SEFAZ!L787="","",SEFAZ!L787)</f>
        <v/>
      </c>
      <c r="I805" t="str">
        <f>IF(SEFAZ!N787="","",SEFAZ!N787)</f>
        <v/>
      </c>
      <c r="J805" t="str">
        <f>IF(SEFAZ!O787="","",SEFAZ!O787)</f>
        <v/>
      </c>
      <c r="K805" s="11" t="str">
        <f>IF(SEFAZ!P787="","",SEFAZ!P787)</f>
        <v/>
      </c>
      <c r="L805" t="str" cm="1">
        <f t="array" aca="1" ref="L8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5" t="s">
        <v>35</v>
      </c>
      <c r="O805" s="36" t="str">
        <f>IF(SEFAZ!B787="","",SEFAZ!B787)</f>
        <v/>
      </c>
    </row>
    <row r="806" spans="2:15" x14ac:dyDescent="0.3">
      <c r="B806" t="str">
        <f>IF(SEFAZ!A788="","",SEFAZ!A788)</f>
        <v/>
      </c>
      <c r="C806" t="str">
        <f>IF(SEFAZ!C788="","",SEFAZ!C788)</f>
        <v/>
      </c>
      <c r="D806" t="str">
        <f>IF(SEFAZ!D788="","",SEFAZ!D788)</f>
        <v/>
      </c>
      <c r="E806" s="7" t="str">
        <f>IF(SEFAZ!E788="","",SEFAZ!E788)</f>
        <v/>
      </c>
      <c r="F806" s="6" t="str">
        <f>IF(SEFAZ!F788="","",VALUE(SUBSTITUTE(SEFAZ!F788,"'","")))</f>
        <v/>
      </c>
      <c r="G806" t="str">
        <f>IF(SEFAZ!H788="","",SEFAZ!H788)</f>
        <v/>
      </c>
      <c r="H806" t="str">
        <f>IF(SEFAZ!L788="","",SEFAZ!L788)</f>
        <v/>
      </c>
      <c r="I806" t="str">
        <f>IF(SEFAZ!N788="","",SEFAZ!N788)</f>
        <v/>
      </c>
      <c r="J806" t="str">
        <f>IF(SEFAZ!O788="","",SEFAZ!O788)</f>
        <v/>
      </c>
      <c r="K806" s="11" t="str">
        <f>IF(SEFAZ!P788="","",SEFAZ!P788)</f>
        <v/>
      </c>
      <c r="L806" t="str" cm="1">
        <f t="array" aca="1" ref="L8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6" t="s">
        <v>35</v>
      </c>
      <c r="O806" s="36" t="str">
        <f>IF(SEFAZ!B788="","",SEFAZ!B788)</f>
        <v/>
      </c>
    </row>
    <row r="807" spans="2:15" x14ac:dyDescent="0.3">
      <c r="B807" t="str">
        <f>IF(SEFAZ!A789="","",SEFAZ!A789)</f>
        <v/>
      </c>
      <c r="C807" t="str">
        <f>IF(SEFAZ!C789="","",SEFAZ!C789)</f>
        <v/>
      </c>
      <c r="D807" t="str">
        <f>IF(SEFAZ!D789="","",SEFAZ!D789)</f>
        <v/>
      </c>
      <c r="E807" s="7" t="str">
        <f>IF(SEFAZ!E789="","",SEFAZ!E789)</f>
        <v/>
      </c>
      <c r="F807" s="6" t="str">
        <f>IF(SEFAZ!F789="","",VALUE(SUBSTITUTE(SEFAZ!F789,"'","")))</f>
        <v/>
      </c>
      <c r="G807" t="str">
        <f>IF(SEFAZ!H789="","",SEFAZ!H789)</f>
        <v/>
      </c>
      <c r="H807" t="str">
        <f>IF(SEFAZ!L789="","",SEFAZ!L789)</f>
        <v/>
      </c>
      <c r="I807" t="str">
        <f>IF(SEFAZ!N789="","",SEFAZ!N789)</f>
        <v/>
      </c>
      <c r="J807" t="str">
        <f>IF(SEFAZ!O789="","",SEFAZ!O789)</f>
        <v/>
      </c>
      <c r="K807" s="11" t="str">
        <f>IF(SEFAZ!P789="","",SEFAZ!P789)</f>
        <v/>
      </c>
      <c r="L807" t="str" cm="1">
        <f t="array" aca="1" ref="L8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7" t="s">
        <v>35</v>
      </c>
      <c r="O807" s="36" t="str">
        <f>IF(SEFAZ!B789="","",SEFAZ!B789)</f>
        <v/>
      </c>
    </row>
    <row r="808" spans="2:15" x14ac:dyDescent="0.3">
      <c r="B808" t="str">
        <f>IF(SEFAZ!A790="","",SEFAZ!A790)</f>
        <v/>
      </c>
      <c r="C808" t="str">
        <f>IF(SEFAZ!C790="","",SEFAZ!C790)</f>
        <v/>
      </c>
      <c r="D808" t="str">
        <f>IF(SEFAZ!D790="","",SEFAZ!D790)</f>
        <v/>
      </c>
      <c r="E808" s="7" t="str">
        <f>IF(SEFAZ!E790="","",SEFAZ!E790)</f>
        <v/>
      </c>
      <c r="F808" s="6" t="str">
        <f>IF(SEFAZ!F790="","",VALUE(SUBSTITUTE(SEFAZ!F790,"'","")))</f>
        <v/>
      </c>
      <c r="G808" t="str">
        <f>IF(SEFAZ!H790="","",SEFAZ!H790)</f>
        <v/>
      </c>
      <c r="H808" t="str">
        <f>IF(SEFAZ!L790="","",SEFAZ!L790)</f>
        <v/>
      </c>
      <c r="I808" t="str">
        <f>IF(SEFAZ!N790="","",SEFAZ!N790)</f>
        <v/>
      </c>
      <c r="J808" t="str">
        <f>IF(SEFAZ!O790="","",SEFAZ!O790)</f>
        <v/>
      </c>
      <c r="K808" s="11" t="str">
        <f>IF(SEFAZ!P790="","",SEFAZ!P790)</f>
        <v/>
      </c>
      <c r="L808" t="str" cm="1">
        <f t="array" aca="1" ref="L8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8" t="s">
        <v>35</v>
      </c>
      <c r="O808" s="36" t="str">
        <f>IF(SEFAZ!B790="","",SEFAZ!B790)</f>
        <v/>
      </c>
    </row>
    <row r="809" spans="2:15" x14ac:dyDescent="0.3">
      <c r="B809" t="str">
        <f>IF(SEFAZ!A791="","",SEFAZ!A791)</f>
        <v/>
      </c>
      <c r="C809" t="str">
        <f>IF(SEFAZ!C791="","",SEFAZ!C791)</f>
        <v/>
      </c>
      <c r="D809" t="str">
        <f>IF(SEFAZ!D791="","",SEFAZ!D791)</f>
        <v/>
      </c>
      <c r="E809" s="7" t="str">
        <f>IF(SEFAZ!E791="","",SEFAZ!E791)</f>
        <v/>
      </c>
      <c r="F809" s="6" t="str">
        <f>IF(SEFAZ!F791="","",VALUE(SUBSTITUTE(SEFAZ!F791,"'","")))</f>
        <v/>
      </c>
      <c r="G809" t="str">
        <f>IF(SEFAZ!H791="","",SEFAZ!H791)</f>
        <v/>
      </c>
      <c r="H809" t="str">
        <f>IF(SEFAZ!L791="","",SEFAZ!L791)</f>
        <v/>
      </c>
      <c r="I809" t="str">
        <f>IF(SEFAZ!N791="","",SEFAZ!N791)</f>
        <v/>
      </c>
      <c r="J809" t="str">
        <f>IF(SEFAZ!O791="","",SEFAZ!O791)</f>
        <v/>
      </c>
      <c r="K809" s="11" t="str">
        <f>IF(SEFAZ!P791="","",SEFAZ!P791)</f>
        <v/>
      </c>
      <c r="L809" t="str" cm="1">
        <f t="array" aca="1" ref="L8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09" t="s">
        <v>35</v>
      </c>
      <c r="O809" s="36" t="str">
        <f>IF(SEFAZ!B791="","",SEFAZ!B791)</f>
        <v/>
      </c>
    </row>
    <row r="810" spans="2:15" x14ac:dyDescent="0.3">
      <c r="B810" t="str">
        <f>IF(SEFAZ!A792="","",SEFAZ!A792)</f>
        <v/>
      </c>
      <c r="C810" t="str">
        <f>IF(SEFAZ!C792="","",SEFAZ!C792)</f>
        <v/>
      </c>
      <c r="D810" t="str">
        <f>IF(SEFAZ!D792="","",SEFAZ!D792)</f>
        <v/>
      </c>
      <c r="E810" s="7" t="str">
        <f>IF(SEFAZ!E792="","",SEFAZ!E792)</f>
        <v/>
      </c>
      <c r="F810" s="6" t="str">
        <f>IF(SEFAZ!F792="","",VALUE(SUBSTITUTE(SEFAZ!F792,"'","")))</f>
        <v/>
      </c>
      <c r="G810" t="str">
        <f>IF(SEFAZ!H792="","",SEFAZ!H792)</f>
        <v/>
      </c>
      <c r="H810" t="str">
        <f>IF(SEFAZ!L792="","",SEFAZ!L792)</f>
        <v/>
      </c>
      <c r="I810" t="str">
        <f>IF(SEFAZ!N792="","",SEFAZ!N792)</f>
        <v/>
      </c>
      <c r="J810" t="str">
        <f>IF(SEFAZ!O792="","",SEFAZ!O792)</f>
        <v/>
      </c>
      <c r="K810" s="11" t="str">
        <f>IF(SEFAZ!P792="","",SEFAZ!P792)</f>
        <v/>
      </c>
      <c r="L810" t="str" cm="1">
        <f t="array" aca="1" ref="L8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0" t="s">
        <v>35</v>
      </c>
      <c r="O810" s="36" t="str">
        <f>IF(SEFAZ!B792="","",SEFAZ!B792)</f>
        <v/>
      </c>
    </row>
    <row r="811" spans="2:15" x14ac:dyDescent="0.3">
      <c r="B811" t="str">
        <f>IF(SEFAZ!A793="","",SEFAZ!A793)</f>
        <v/>
      </c>
      <c r="C811" t="str">
        <f>IF(SEFAZ!C793="","",SEFAZ!C793)</f>
        <v/>
      </c>
      <c r="D811" t="str">
        <f>IF(SEFAZ!D793="","",SEFAZ!D793)</f>
        <v/>
      </c>
      <c r="E811" s="7" t="str">
        <f>IF(SEFAZ!E793="","",SEFAZ!E793)</f>
        <v/>
      </c>
      <c r="F811" s="6" t="str">
        <f>IF(SEFAZ!F793="","",VALUE(SUBSTITUTE(SEFAZ!F793,"'","")))</f>
        <v/>
      </c>
      <c r="G811" t="str">
        <f>IF(SEFAZ!H793="","",SEFAZ!H793)</f>
        <v/>
      </c>
      <c r="H811" t="str">
        <f>IF(SEFAZ!L793="","",SEFAZ!L793)</f>
        <v/>
      </c>
      <c r="I811" t="str">
        <f>IF(SEFAZ!N793="","",SEFAZ!N793)</f>
        <v/>
      </c>
      <c r="J811" t="str">
        <f>IF(SEFAZ!O793="","",SEFAZ!O793)</f>
        <v/>
      </c>
      <c r="K811" s="11" t="str">
        <f>IF(SEFAZ!P793="","",SEFAZ!P793)</f>
        <v/>
      </c>
      <c r="L811" t="str" cm="1">
        <f t="array" aca="1" ref="L8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1" t="s">
        <v>35</v>
      </c>
      <c r="O811" s="36" t="str">
        <f>IF(SEFAZ!B793="","",SEFAZ!B793)</f>
        <v/>
      </c>
    </row>
    <row r="812" spans="2:15" x14ac:dyDescent="0.3">
      <c r="B812" t="str">
        <f>IF(SEFAZ!A794="","",SEFAZ!A794)</f>
        <v/>
      </c>
      <c r="C812" t="str">
        <f>IF(SEFAZ!C794="","",SEFAZ!C794)</f>
        <v/>
      </c>
      <c r="D812" t="str">
        <f>IF(SEFAZ!D794="","",SEFAZ!D794)</f>
        <v/>
      </c>
      <c r="E812" s="7" t="str">
        <f>IF(SEFAZ!E794="","",SEFAZ!E794)</f>
        <v/>
      </c>
      <c r="F812" s="6" t="str">
        <f>IF(SEFAZ!F794="","",VALUE(SUBSTITUTE(SEFAZ!F794,"'","")))</f>
        <v/>
      </c>
      <c r="G812" t="str">
        <f>IF(SEFAZ!H794="","",SEFAZ!H794)</f>
        <v/>
      </c>
      <c r="H812" t="str">
        <f>IF(SEFAZ!L794="","",SEFAZ!L794)</f>
        <v/>
      </c>
      <c r="I812" t="str">
        <f>IF(SEFAZ!N794="","",SEFAZ!N794)</f>
        <v/>
      </c>
      <c r="J812" t="str">
        <f>IF(SEFAZ!O794="","",SEFAZ!O794)</f>
        <v/>
      </c>
      <c r="K812" s="11" t="str">
        <f>IF(SEFAZ!P794="","",SEFAZ!P794)</f>
        <v/>
      </c>
      <c r="L812" t="str" cm="1">
        <f t="array" aca="1" ref="L8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2" t="s">
        <v>35</v>
      </c>
      <c r="O812" s="36" t="str">
        <f>IF(SEFAZ!B794="","",SEFAZ!B794)</f>
        <v/>
      </c>
    </row>
    <row r="813" spans="2:15" x14ac:dyDescent="0.3">
      <c r="B813" t="str">
        <f>IF(SEFAZ!A795="","",SEFAZ!A795)</f>
        <v/>
      </c>
      <c r="C813" t="str">
        <f>IF(SEFAZ!C795="","",SEFAZ!C795)</f>
        <v/>
      </c>
      <c r="D813" t="str">
        <f>IF(SEFAZ!D795="","",SEFAZ!D795)</f>
        <v/>
      </c>
      <c r="E813" s="7" t="str">
        <f>IF(SEFAZ!E795="","",SEFAZ!E795)</f>
        <v/>
      </c>
      <c r="F813" s="6" t="str">
        <f>IF(SEFAZ!F795="","",VALUE(SUBSTITUTE(SEFAZ!F795,"'","")))</f>
        <v/>
      </c>
      <c r="G813" t="str">
        <f>IF(SEFAZ!H795="","",SEFAZ!H795)</f>
        <v/>
      </c>
      <c r="H813" t="str">
        <f>IF(SEFAZ!L795="","",SEFAZ!L795)</f>
        <v/>
      </c>
      <c r="I813" t="str">
        <f>IF(SEFAZ!N795="","",SEFAZ!N795)</f>
        <v/>
      </c>
      <c r="J813" t="str">
        <f>IF(SEFAZ!O795="","",SEFAZ!O795)</f>
        <v/>
      </c>
      <c r="K813" s="11" t="str">
        <f>IF(SEFAZ!P795="","",SEFAZ!P795)</f>
        <v/>
      </c>
      <c r="L813" t="str" cm="1">
        <f t="array" aca="1" ref="L8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3" t="s">
        <v>35</v>
      </c>
      <c r="O813" s="36" t="str">
        <f>IF(SEFAZ!B795="","",SEFAZ!B795)</f>
        <v/>
      </c>
    </row>
    <row r="814" spans="2:15" x14ac:dyDescent="0.3">
      <c r="B814" t="str">
        <f>IF(SEFAZ!A796="","",SEFAZ!A796)</f>
        <v/>
      </c>
      <c r="C814" t="str">
        <f>IF(SEFAZ!C796="","",SEFAZ!C796)</f>
        <v/>
      </c>
      <c r="D814" t="str">
        <f>IF(SEFAZ!D796="","",SEFAZ!D796)</f>
        <v/>
      </c>
      <c r="E814" s="7" t="str">
        <f>IF(SEFAZ!E796="","",SEFAZ!E796)</f>
        <v/>
      </c>
      <c r="F814" s="6" t="str">
        <f>IF(SEFAZ!F796="","",VALUE(SUBSTITUTE(SEFAZ!F796,"'","")))</f>
        <v/>
      </c>
      <c r="G814" t="str">
        <f>IF(SEFAZ!H796="","",SEFAZ!H796)</f>
        <v/>
      </c>
      <c r="H814" t="str">
        <f>IF(SEFAZ!L796="","",SEFAZ!L796)</f>
        <v/>
      </c>
      <c r="I814" t="str">
        <f>IF(SEFAZ!N796="","",SEFAZ!N796)</f>
        <v/>
      </c>
      <c r="J814" t="str">
        <f>IF(SEFAZ!O796="","",SEFAZ!O796)</f>
        <v/>
      </c>
      <c r="K814" s="11" t="str">
        <f>IF(SEFAZ!P796="","",SEFAZ!P796)</f>
        <v/>
      </c>
      <c r="L814" t="str" cm="1">
        <f t="array" aca="1" ref="L8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4" t="s">
        <v>35</v>
      </c>
      <c r="O814" s="36" t="str">
        <f>IF(SEFAZ!B796="","",SEFAZ!B796)</f>
        <v/>
      </c>
    </row>
    <row r="815" spans="2:15" x14ac:dyDescent="0.3">
      <c r="B815" t="str">
        <f>IF(SEFAZ!A797="","",SEFAZ!A797)</f>
        <v/>
      </c>
      <c r="C815" t="str">
        <f>IF(SEFAZ!C797="","",SEFAZ!C797)</f>
        <v/>
      </c>
      <c r="D815" t="str">
        <f>IF(SEFAZ!D797="","",SEFAZ!D797)</f>
        <v/>
      </c>
      <c r="E815" s="7" t="str">
        <f>IF(SEFAZ!E797="","",SEFAZ!E797)</f>
        <v/>
      </c>
      <c r="F815" s="6" t="str">
        <f>IF(SEFAZ!F797="","",VALUE(SUBSTITUTE(SEFAZ!F797,"'","")))</f>
        <v/>
      </c>
      <c r="G815" t="str">
        <f>IF(SEFAZ!H797="","",SEFAZ!H797)</f>
        <v/>
      </c>
      <c r="H815" t="str">
        <f>IF(SEFAZ!L797="","",SEFAZ!L797)</f>
        <v/>
      </c>
      <c r="I815" t="str">
        <f>IF(SEFAZ!N797="","",SEFAZ!N797)</f>
        <v/>
      </c>
      <c r="J815" t="str">
        <f>IF(SEFAZ!O797="","",SEFAZ!O797)</f>
        <v/>
      </c>
      <c r="K815" s="11" t="str">
        <f>IF(SEFAZ!P797="","",SEFAZ!P797)</f>
        <v/>
      </c>
      <c r="L815" t="str" cm="1">
        <f t="array" aca="1" ref="L8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5" t="s">
        <v>35</v>
      </c>
      <c r="O815" s="36" t="str">
        <f>IF(SEFAZ!B797="","",SEFAZ!B797)</f>
        <v/>
      </c>
    </row>
    <row r="816" spans="2:15" x14ac:dyDescent="0.3">
      <c r="B816" t="str">
        <f>IF(SEFAZ!A798="","",SEFAZ!A798)</f>
        <v/>
      </c>
      <c r="C816" t="str">
        <f>IF(SEFAZ!C798="","",SEFAZ!C798)</f>
        <v/>
      </c>
      <c r="D816" t="str">
        <f>IF(SEFAZ!D798="","",SEFAZ!D798)</f>
        <v/>
      </c>
      <c r="E816" s="7" t="str">
        <f>IF(SEFAZ!E798="","",SEFAZ!E798)</f>
        <v/>
      </c>
      <c r="F816" s="6" t="str">
        <f>IF(SEFAZ!F798="","",VALUE(SUBSTITUTE(SEFAZ!F798,"'","")))</f>
        <v/>
      </c>
      <c r="G816" t="str">
        <f>IF(SEFAZ!H798="","",SEFAZ!H798)</f>
        <v/>
      </c>
      <c r="H816" t="str">
        <f>IF(SEFAZ!L798="","",SEFAZ!L798)</f>
        <v/>
      </c>
      <c r="I816" t="str">
        <f>IF(SEFAZ!N798="","",SEFAZ!N798)</f>
        <v/>
      </c>
      <c r="J816" t="str">
        <f>IF(SEFAZ!O798="","",SEFAZ!O798)</f>
        <v/>
      </c>
      <c r="K816" s="11" t="str">
        <f>IF(SEFAZ!P798="","",SEFAZ!P798)</f>
        <v/>
      </c>
      <c r="L816" t="str" cm="1">
        <f t="array" aca="1" ref="L8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6" t="s">
        <v>35</v>
      </c>
      <c r="O816" s="36" t="str">
        <f>IF(SEFAZ!B798="","",SEFAZ!B798)</f>
        <v/>
      </c>
    </row>
    <row r="817" spans="2:15" x14ac:dyDescent="0.3">
      <c r="B817" t="str">
        <f>IF(SEFAZ!A799="","",SEFAZ!A799)</f>
        <v/>
      </c>
      <c r="C817" t="str">
        <f>IF(SEFAZ!C799="","",SEFAZ!C799)</f>
        <v/>
      </c>
      <c r="D817" t="str">
        <f>IF(SEFAZ!D799="","",SEFAZ!D799)</f>
        <v/>
      </c>
      <c r="E817" s="7" t="str">
        <f>IF(SEFAZ!E799="","",SEFAZ!E799)</f>
        <v/>
      </c>
      <c r="F817" s="6" t="str">
        <f>IF(SEFAZ!F799="","",VALUE(SUBSTITUTE(SEFAZ!F799,"'","")))</f>
        <v/>
      </c>
      <c r="G817" t="str">
        <f>IF(SEFAZ!H799="","",SEFAZ!H799)</f>
        <v/>
      </c>
      <c r="H817" t="str">
        <f>IF(SEFAZ!L799="","",SEFAZ!L799)</f>
        <v/>
      </c>
      <c r="I817" t="str">
        <f>IF(SEFAZ!N799="","",SEFAZ!N799)</f>
        <v/>
      </c>
      <c r="J817" t="str">
        <f>IF(SEFAZ!O799="","",SEFAZ!O799)</f>
        <v/>
      </c>
      <c r="K817" s="11" t="str">
        <f>IF(SEFAZ!P799="","",SEFAZ!P799)</f>
        <v/>
      </c>
      <c r="L817" t="str" cm="1">
        <f t="array" aca="1" ref="L8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7" t="s">
        <v>35</v>
      </c>
      <c r="O817" s="36" t="str">
        <f>IF(SEFAZ!B799="","",SEFAZ!B799)</f>
        <v/>
      </c>
    </row>
    <row r="818" spans="2:15" x14ac:dyDescent="0.3">
      <c r="B818" t="str">
        <f>IF(SEFAZ!A800="","",SEFAZ!A800)</f>
        <v/>
      </c>
      <c r="C818" t="str">
        <f>IF(SEFAZ!C800="","",SEFAZ!C800)</f>
        <v/>
      </c>
      <c r="D818" t="str">
        <f>IF(SEFAZ!D800="","",SEFAZ!D800)</f>
        <v/>
      </c>
      <c r="E818" s="7" t="str">
        <f>IF(SEFAZ!E800="","",SEFAZ!E800)</f>
        <v/>
      </c>
      <c r="F818" s="6" t="str">
        <f>IF(SEFAZ!F800="","",VALUE(SUBSTITUTE(SEFAZ!F800,"'","")))</f>
        <v/>
      </c>
      <c r="G818" t="str">
        <f>IF(SEFAZ!H800="","",SEFAZ!H800)</f>
        <v/>
      </c>
      <c r="H818" t="str">
        <f>IF(SEFAZ!L800="","",SEFAZ!L800)</f>
        <v/>
      </c>
      <c r="I818" t="str">
        <f>IF(SEFAZ!N800="","",SEFAZ!N800)</f>
        <v/>
      </c>
      <c r="J818" t="str">
        <f>IF(SEFAZ!O800="","",SEFAZ!O800)</f>
        <v/>
      </c>
      <c r="K818" s="11" t="str">
        <f>IF(SEFAZ!P800="","",SEFAZ!P800)</f>
        <v/>
      </c>
      <c r="L818" t="str" cm="1">
        <f t="array" aca="1" ref="L8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8" t="s">
        <v>35</v>
      </c>
      <c r="O818" s="36" t="str">
        <f>IF(SEFAZ!B800="","",SEFAZ!B800)</f>
        <v/>
      </c>
    </row>
    <row r="819" spans="2:15" x14ac:dyDescent="0.3">
      <c r="B819" t="str">
        <f>IF(SEFAZ!A801="","",SEFAZ!A801)</f>
        <v/>
      </c>
      <c r="C819" t="str">
        <f>IF(SEFAZ!C801="","",SEFAZ!C801)</f>
        <v/>
      </c>
      <c r="D819" t="str">
        <f>IF(SEFAZ!D801="","",SEFAZ!D801)</f>
        <v/>
      </c>
      <c r="E819" s="7" t="str">
        <f>IF(SEFAZ!E801="","",SEFAZ!E801)</f>
        <v/>
      </c>
      <c r="F819" s="6" t="str">
        <f>IF(SEFAZ!F801="","",VALUE(SUBSTITUTE(SEFAZ!F801,"'","")))</f>
        <v/>
      </c>
      <c r="G819" t="str">
        <f>IF(SEFAZ!H801="","",SEFAZ!H801)</f>
        <v/>
      </c>
      <c r="H819" t="str">
        <f>IF(SEFAZ!L801="","",SEFAZ!L801)</f>
        <v/>
      </c>
      <c r="I819" t="str">
        <f>IF(SEFAZ!N801="","",SEFAZ!N801)</f>
        <v/>
      </c>
      <c r="J819" t="str">
        <f>IF(SEFAZ!O801="","",SEFAZ!O801)</f>
        <v/>
      </c>
      <c r="K819" s="11" t="str">
        <f>IF(SEFAZ!P801="","",SEFAZ!P801)</f>
        <v/>
      </c>
      <c r="L819" t="str" cm="1">
        <f t="array" aca="1" ref="L8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19" t="s">
        <v>35</v>
      </c>
      <c r="O819" s="36" t="str">
        <f>IF(SEFAZ!B801="","",SEFAZ!B801)</f>
        <v/>
      </c>
    </row>
    <row r="820" spans="2:15" x14ac:dyDescent="0.3">
      <c r="B820" t="str">
        <f>IF(SEFAZ!A802="","",SEFAZ!A802)</f>
        <v/>
      </c>
      <c r="C820" t="str">
        <f>IF(SEFAZ!C802="","",SEFAZ!C802)</f>
        <v/>
      </c>
      <c r="D820" t="str">
        <f>IF(SEFAZ!D802="","",SEFAZ!D802)</f>
        <v/>
      </c>
      <c r="E820" s="7" t="str">
        <f>IF(SEFAZ!E802="","",SEFAZ!E802)</f>
        <v/>
      </c>
      <c r="F820" s="6" t="str">
        <f>IF(SEFAZ!F802="","",VALUE(SUBSTITUTE(SEFAZ!F802,"'","")))</f>
        <v/>
      </c>
      <c r="G820" t="str">
        <f>IF(SEFAZ!H802="","",SEFAZ!H802)</f>
        <v/>
      </c>
      <c r="H820" t="str">
        <f>IF(SEFAZ!L802="","",SEFAZ!L802)</f>
        <v/>
      </c>
      <c r="I820" t="str">
        <f>IF(SEFAZ!N802="","",SEFAZ!N802)</f>
        <v/>
      </c>
      <c r="J820" t="str">
        <f>IF(SEFAZ!O802="","",SEFAZ!O802)</f>
        <v/>
      </c>
      <c r="K820" s="11" t="str">
        <f>IF(SEFAZ!P802="","",SEFAZ!P802)</f>
        <v/>
      </c>
      <c r="L820" t="str" cm="1">
        <f t="array" aca="1" ref="L8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0" t="s">
        <v>35</v>
      </c>
      <c r="O820" s="36" t="str">
        <f>IF(SEFAZ!B802="","",SEFAZ!B802)</f>
        <v/>
      </c>
    </row>
    <row r="821" spans="2:15" x14ac:dyDescent="0.3">
      <c r="B821" t="str">
        <f>IF(SEFAZ!A803="","",SEFAZ!A803)</f>
        <v/>
      </c>
      <c r="C821" t="str">
        <f>IF(SEFAZ!C803="","",SEFAZ!C803)</f>
        <v/>
      </c>
      <c r="D821" t="str">
        <f>IF(SEFAZ!D803="","",SEFAZ!D803)</f>
        <v/>
      </c>
      <c r="E821" s="7" t="str">
        <f>IF(SEFAZ!E803="","",SEFAZ!E803)</f>
        <v/>
      </c>
      <c r="F821" s="6" t="str">
        <f>IF(SEFAZ!F803="","",VALUE(SUBSTITUTE(SEFAZ!F803,"'","")))</f>
        <v/>
      </c>
      <c r="G821" t="str">
        <f>IF(SEFAZ!H803="","",SEFAZ!H803)</f>
        <v/>
      </c>
      <c r="H821" t="str">
        <f>IF(SEFAZ!L803="","",SEFAZ!L803)</f>
        <v/>
      </c>
      <c r="I821" t="str">
        <f>IF(SEFAZ!N803="","",SEFAZ!N803)</f>
        <v/>
      </c>
      <c r="J821" t="str">
        <f>IF(SEFAZ!O803="","",SEFAZ!O803)</f>
        <v/>
      </c>
      <c r="K821" s="11" t="str">
        <f>IF(SEFAZ!P803="","",SEFAZ!P803)</f>
        <v/>
      </c>
      <c r="L821" t="str" cm="1">
        <f t="array" aca="1" ref="L8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1" t="s">
        <v>35</v>
      </c>
      <c r="O821" s="36" t="str">
        <f>IF(SEFAZ!B803="","",SEFAZ!B803)</f>
        <v/>
      </c>
    </row>
    <row r="822" spans="2:15" x14ac:dyDescent="0.3">
      <c r="B822" t="str">
        <f>IF(SEFAZ!A804="","",SEFAZ!A804)</f>
        <v/>
      </c>
      <c r="C822" t="str">
        <f>IF(SEFAZ!C804="","",SEFAZ!C804)</f>
        <v/>
      </c>
      <c r="D822" t="str">
        <f>IF(SEFAZ!D804="","",SEFAZ!D804)</f>
        <v/>
      </c>
      <c r="E822" s="7" t="str">
        <f>IF(SEFAZ!E804="","",SEFAZ!E804)</f>
        <v/>
      </c>
      <c r="F822" s="6" t="str">
        <f>IF(SEFAZ!F804="","",VALUE(SUBSTITUTE(SEFAZ!F804,"'","")))</f>
        <v/>
      </c>
      <c r="G822" t="str">
        <f>IF(SEFAZ!H804="","",SEFAZ!H804)</f>
        <v/>
      </c>
      <c r="H822" t="str">
        <f>IF(SEFAZ!L804="","",SEFAZ!L804)</f>
        <v/>
      </c>
      <c r="I822" t="str">
        <f>IF(SEFAZ!N804="","",SEFAZ!N804)</f>
        <v/>
      </c>
      <c r="J822" t="str">
        <f>IF(SEFAZ!O804="","",SEFAZ!O804)</f>
        <v/>
      </c>
      <c r="K822" s="11" t="str">
        <f>IF(SEFAZ!P804="","",SEFAZ!P804)</f>
        <v/>
      </c>
      <c r="L822" t="str" cm="1">
        <f t="array" aca="1" ref="L8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2" t="s">
        <v>35</v>
      </c>
      <c r="O822" s="36" t="str">
        <f>IF(SEFAZ!B804="","",SEFAZ!B804)</f>
        <v/>
      </c>
    </row>
    <row r="823" spans="2:15" x14ac:dyDescent="0.3">
      <c r="B823" t="str">
        <f>IF(SEFAZ!A805="","",SEFAZ!A805)</f>
        <v/>
      </c>
      <c r="C823" t="str">
        <f>IF(SEFAZ!C805="","",SEFAZ!C805)</f>
        <v/>
      </c>
      <c r="D823" t="str">
        <f>IF(SEFAZ!D805="","",SEFAZ!D805)</f>
        <v/>
      </c>
      <c r="E823" s="7" t="str">
        <f>IF(SEFAZ!E805="","",SEFAZ!E805)</f>
        <v/>
      </c>
      <c r="F823" s="6" t="str">
        <f>IF(SEFAZ!F805="","",VALUE(SUBSTITUTE(SEFAZ!F805,"'","")))</f>
        <v/>
      </c>
      <c r="G823" t="str">
        <f>IF(SEFAZ!H805="","",SEFAZ!H805)</f>
        <v/>
      </c>
      <c r="H823" t="str">
        <f>IF(SEFAZ!L805="","",SEFAZ!L805)</f>
        <v/>
      </c>
      <c r="I823" t="str">
        <f>IF(SEFAZ!N805="","",SEFAZ!N805)</f>
        <v/>
      </c>
      <c r="J823" t="str">
        <f>IF(SEFAZ!O805="","",SEFAZ!O805)</f>
        <v/>
      </c>
      <c r="K823" s="11" t="str">
        <f>IF(SEFAZ!P805="","",SEFAZ!P805)</f>
        <v/>
      </c>
      <c r="L823" t="str" cm="1">
        <f t="array" aca="1" ref="L8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3" t="s">
        <v>35</v>
      </c>
      <c r="O823" s="36" t="str">
        <f>IF(SEFAZ!B805="","",SEFAZ!B805)</f>
        <v/>
      </c>
    </row>
    <row r="824" spans="2:15" x14ac:dyDescent="0.3">
      <c r="B824" t="str">
        <f>IF(SEFAZ!A806="","",SEFAZ!A806)</f>
        <v/>
      </c>
      <c r="C824" t="str">
        <f>IF(SEFAZ!C806="","",SEFAZ!C806)</f>
        <v/>
      </c>
      <c r="D824" t="str">
        <f>IF(SEFAZ!D806="","",SEFAZ!D806)</f>
        <v/>
      </c>
      <c r="E824" s="7" t="str">
        <f>IF(SEFAZ!E806="","",SEFAZ!E806)</f>
        <v/>
      </c>
      <c r="F824" s="6" t="str">
        <f>IF(SEFAZ!F806="","",VALUE(SUBSTITUTE(SEFAZ!F806,"'","")))</f>
        <v/>
      </c>
      <c r="G824" t="str">
        <f>IF(SEFAZ!H806="","",SEFAZ!H806)</f>
        <v/>
      </c>
      <c r="H824" t="str">
        <f>IF(SEFAZ!L806="","",SEFAZ!L806)</f>
        <v/>
      </c>
      <c r="I824" t="str">
        <f>IF(SEFAZ!N806="","",SEFAZ!N806)</f>
        <v/>
      </c>
      <c r="J824" t="str">
        <f>IF(SEFAZ!O806="","",SEFAZ!O806)</f>
        <v/>
      </c>
      <c r="K824" s="11" t="str">
        <f>IF(SEFAZ!P806="","",SEFAZ!P806)</f>
        <v/>
      </c>
      <c r="L824" t="str" cm="1">
        <f t="array" aca="1" ref="L8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4" t="s">
        <v>35</v>
      </c>
      <c r="O824" s="36" t="str">
        <f>IF(SEFAZ!B806="","",SEFAZ!B806)</f>
        <v/>
      </c>
    </row>
    <row r="825" spans="2:15" x14ac:dyDescent="0.3">
      <c r="B825" t="str">
        <f>IF(SEFAZ!A807="","",SEFAZ!A807)</f>
        <v/>
      </c>
      <c r="C825" t="str">
        <f>IF(SEFAZ!C807="","",SEFAZ!C807)</f>
        <v/>
      </c>
      <c r="D825" t="str">
        <f>IF(SEFAZ!D807="","",SEFAZ!D807)</f>
        <v/>
      </c>
      <c r="E825" s="7" t="str">
        <f>IF(SEFAZ!E807="","",SEFAZ!E807)</f>
        <v/>
      </c>
      <c r="F825" s="6" t="str">
        <f>IF(SEFAZ!F807="","",VALUE(SUBSTITUTE(SEFAZ!F807,"'","")))</f>
        <v/>
      </c>
      <c r="G825" t="str">
        <f>IF(SEFAZ!H807="","",SEFAZ!H807)</f>
        <v/>
      </c>
      <c r="H825" t="str">
        <f>IF(SEFAZ!L807="","",SEFAZ!L807)</f>
        <v/>
      </c>
      <c r="I825" t="str">
        <f>IF(SEFAZ!N807="","",SEFAZ!N807)</f>
        <v/>
      </c>
      <c r="J825" t="str">
        <f>IF(SEFAZ!O807="","",SEFAZ!O807)</f>
        <v/>
      </c>
      <c r="K825" s="11" t="str">
        <f>IF(SEFAZ!P807="","",SEFAZ!P807)</f>
        <v/>
      </c>
      <c r="L825" t="str" cm="1">
        <f t="array" aca="1" ref="L8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5" t="s">
        <v>35</v>
      </c>
      <c r="O825" s="36" t="str">
        <f>IF(SEFAZ!B807="","",SEFAZ!B807)</f>
        <v/>
      </c>
    </row>
    <row r="826" spans="2:15" x14ac:dyDescent="0.3">
      <c r="B826" t="str">
        <f>IF(SEFAZ!A808="","",SEFAZ!A808)</f>
        <v/>
      </c>
      <c r="C826" t="str">
        <f>IF(SEFAZ!C808="","",SEFAZ!C808)</f>
        <v/>
      </c>
      <c r="D826" t="str">
        <f>IF(SEFAZ!D808="","",SEFAZ!D808)</f>
        <v/>
      </c>
      <c r="E826" s="7" t="str">
        <f>IF(SEFAZ!E808="","",SEFAZ!E808)</f>
        <v/>
      </c>
      <c r="F826" s="6" t="str">
        <f>IF(SEFAZ!F808="","",VALUE(SUBSTITUTE(SEFAZ!F808,"'","")))</f>
        <v/>
      </c>
      <c r="G826" t="str">
        <f>IF(SEFAZ!H808="","",SEFAZ!H808)</f>
        <v/>
      </c>
      <c r="H826" t="str">
        <f>IF(SEFAZ!L808="","",SEFAZ!L808)</f>
        <v/>
      </c>
      <c r="I826" t="str">
        <f>IF(SEFAZ!N808="","",SEFAZ!N808)</f>
        <v/>
      </c>
      <c r="J826" t="str">
        <f>IF(SEFAZ!O808="","",SEFAZ!O808)</f>
        <v/>
      </c>
      <c r="K826" s="11" t="str">
        <f>IF(SEFAZ!P808="","",SEFAZ!P808)</f>
        <v/>
      </c>
      <c r="L826" t="str" cm="1">
        <f t="array" aca="1" ref="L8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6" t="s">
        <v>35</v>
      </c>
      <c r="O826" s="36" t="str">
        <f>IF(SEFAZ!B808="","",SEFAZ!B808)</f>
        <v/>
      </c>
    </row>
    <row r="827" spans="2:15" x14ac:dyDescent="0.3">
      <c r="B827" t="str">
        <f>IF(SEFAZ!A809="","",SEFAZ!A809)</f>
        <v/>
      </c>
      <c r="C827" t="str">
        <f>IF(SEFAZ!C809="","",SEFAZ!C809)</f>
        <v/>
      </c>
      <c r="D827" t="str">
        <f>IF(SEFAZ!D809="","",SEFAZ!D809)</f>
        <v/>
      </c>
      <c r="E827" s="7" t="str">
        <f>IF(SEFAZ!E809="","",SEFAZ!E809)</f>
        <v/>
      </c>
      <c r="F827" s="6" t="str">
        <f>IF(SEFAZ!F809="","",VALUE(SUBSTITUTE(SEFAZ!F809,"'","")))</f>
        <v/>
      </c>
      <c r="G827" t="str">
        <f>IF(SEFAZ!H809="","",SEFAZ!H809)</f>
        <v/>
      </c>
      <c r="H827" t="str">
        <f>IF(SEFAZ!L809="","",SEFAZ!L809)</f>
        <v/>
      </c>
      <c r="I827" t="str">
        <f>IF(SEFAZ!N809="","",SEFAZ!N809)</f>
        <v/>
      </c>
      <c r="J827" t="str">
        <f>IF(SEFAZ!O809="","",SEFAZ!O809)</f>
        <v/>
      </c>
      <c r="K827" s="11" t="str">
        <f>IF(SEFAZ!P809="","",SEFAZ!P809)</f>
        <v/>
      </c>
      <c r="L827" t="str" cm="1">
        <f t="array" aca="1" ref="L8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7" t="s">
        <v>35</v>
      </c>
      <c r="O827" s="36" t="str">
        <f>IF(SEFAZ!B809="","",SEFAZ!B809)</f>
        <v/>
      </c>
    </row>
    <row r="828" spans="2:15" x14ac:dyDescent="0.3">
      <c r="B828" t="str">
        <f>IF(SEFAZ!A810="","",SEFAZ!A810)</f>
        <v/>
      </c>
      <c r="C828" t="str">
        <f>IF(SEFAZ!C810="","",SEFAZ!C810)</f>
        <v/>
      </c>
      <c r="D828" t="str">
        <f>IF(SEFAZ!D810="","",SEFAZ!D810)</f>
        <v/>
      </c>
      <c r="E828" s="7" t="str">
        <f>IF(SEFAZ!E810="","",SEFAZ!E810)</f>
        <v/>
      </c>
      <c r="F828" s="6" t="str">
        <f>IF(SEFAZ!F810="","",VALUE(SUBSTITUTE(SEFAZ!F810,"'","")))</f>
        <v/>
      </c>
      <c r="G828" t="str">
        <f>IF(SEFAZ!H810="","",SEFAZ!H810)</f>
        <v/>
      </c>
      <c r="H828" t="str">
        <f>IF(SEFAZ!L810="","",SEFAZ!L810)</f>
        <v/>
      </c>
      <c r="I828" t="str">
        <f>IF(SEFAZ!N810="","",SEFAZ!N810)</f>
        <v/>
      </c>
      <c r="J828" t="str">
        <f>IF(SEFAZ!O810="","",SEFAZ!O810)</f>
        <v/>
      </c>
      <c r="K828" s="11" t="str">
        <f>IF(SEFAZ!P810="","",SEFAZ!P810)</f>
        <v/>
      </c>
      <c r="L828" t="str" cm="1">
        <f t="array" aca="1" ref="L8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8" t="s">
        <v>35</v>
      </c>
      <c r="O828" s="36" t="str">
        <f>IF(SEFAZ!B810="","",SEFAZ!B810)</f>
        <v/>
      </c>
    </row>
    <row r="829" spans="2:15" x14ac:dyDescent="0.3">
      <c r="B829" t="str">
        <f>IF(SEFAZ!A811="","",SEFAZ!A811)</f>
        <v/>
      </c>
      <c r="C829" t="str">
        <f>IF(SEFAZ!C811="","",SEFAZ!C811)</f>
        <v/>
      </c>
      <c r="D829" t="str">
        <f>IF(SEFAZ!D811="","",SEFAZ!D811)</f>
        <v/>
      </c>
      <c r="E829" s="7" t="str">
        <f>IF(SEFAZ!E811="","",SEFAZ!E811)</f>
        <v/>
      </c>
      <c r="F829" s="6" t="str">
        <f>IF(SEFAZ!F811="","",VALUE(SUBSTITUTE(SEFAZ!F811,"'","")))</f>
        <v/>
      </c>
      <c r="G829" t="str">
        <f>IF(SEFAZ!H811="","",SEFAZ!H811)</f>
        <v/>
      </c>
      <c r="H829" t="str">
        <f>IF(SEFAZ!L811="","",SEFAZ!L811)</f>
        <v/>
      </c>
      <c r="I829" t="str">
        <f>IF(SEFAZ!N811="","",SEFAZ!N811)</f>
        <v/>
      </c>
      <c r="J829" t="str">
        <f>IF(SEFAZ!O811="","",SEFAZ!O811)</f>
        <v/>
      </c>
      <c r="K829" s="11" t="str">
        <f>IF(SEFAZ!P811="","",SEFAZ!P811)</f>
        <v/>
      </c>
      <c r="L829" t="str" cm="1">
        <f t="array" aca="1" ref="L8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29" t="s">
        <v>35</v>
      </c>
      <c r="O829" s="36" t="str">
        <f>IF(SEFAZ!B811="","",SEFAZ!B811)</f>
        <v/>
      </c>
    </row>
    <row r="830" spans="2:15" x14ac:dyDescent="0.3">
      <c r="B830" t="str">
        <f>IF(SEFAZ!A812="","",SEFAZ!A812)</f>
        <v/>
      </c>
      <c r="C830" t="str">
        <f>IF(SEFAZ!C812="","",SEFAZ!C812)</f>
        <v/>
      </c>
      <c r="D830" t="str">
        <f>IF(SEFAZ!D812="","",SEFAZ!D812)</f>
        <v/>
      </c>
      <c r="E830" s="7" t="str">
        <f>IF(SEFAZ!E812="","",SEFAZ!E812)</f>
        <v/>
      </c>
      <c r="F830" s="6" t="str">
        <f>IF(SEFAZ!F812="","",VALUE(SUBSTITUTE(SEFAZ!F812,"'","")))</f>
        <v/>
      </c>
      <c r="G830" t="str">
        <f>IF(SEFAZ!H812="","",SEFAZ!H812)</f>
        <v/>
      </c>
      <c r="H830" t="str">
        <f>IF(SEFAZ!L812="","",SEFAZ!L812)</f>
        <v/>
      </c>
      <c r="I830" t="str">
        <f>IF(SEFAZ!N812="","",SEFAZ!N812)</f>
        <v/>
      </c>
      <c r="J830" t="str">
        <f>IF(SEFAZ!O812="","",SEFAZ!O812)</f>
        <v/>
      </c>
      <c r="K830" s="11" t="str">
        <f>IF(SEFAZ!P812="","",SEFAZ!P812)</f>
        <v/>
      </c>
      <c r="L830" t="str" cm="1">
        <f t="array" aca="1" ref="L8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0" t="s">
        <v>35</v>
      </c>
      <c r="O830" s="36" t="str">
        <f>IF(SEFAZ!B812="","",SEFAZ!B812)</f>
        <v/>
      </c>
    </row>
    <row r="831" spans="2:15" x14ac:dyDescent="0.3">
      <c r="B831" t="str">
        <f>IF(SEFAZ!A813="","",SEFAZ!A813)</f>
        <v/>
      </c>
      <c r="C831" t="str">
        <f>IF(SEFAZ!C813="","",SEFAZ!C813)</f>
        <v/>
      </c>
      <c r="D831" t="str">
        <f>IF(SEFAZ!D813="","",SEFAZ!D813)</f>
        <v/>
      </c>
      <c r="E831" s="7" t="str">
        <f>IF(SEFAZ!E813="","",SEFAZ!E813)</f>
        <v/>
      </c>
      <c r="F831" s="6" t="str">
        <f>IF(SEFAZ!F813="","",VALUE(SUBSTITUTE(SEFAZ!F813,"'","")))</f>
        <v/>
      </c>
      <c r="G831" t="str">
        <f>IF(SEFAZ!H813="","",SEFAZ!H813)</f>
        <v/>
      </c>
      <c r="H831" t="str">
        <f>IF(SEFAZ!L813="","",SEFAZ!L813)</f>
        <v/>
      </c>
      <c r="I831" t="str">
        <f>IF(SEFAZ!N813="","",SEFAZ!N813)</f>
        <v/>
      </c>
      <c r="J831" t="str">
        <f>IF(SEFAZ!O813="","",SEFAZ!O813)</f>
        <v/>
      </c>
      <c r="K831" s="11" t="str">
        <f>IF(SEFAZ!P813="","",SEFAZ!P813)</f>
        <v/>
      </c>
      <c r="L831" t="str" cm="1">
        <f t="array" aca="1" ref="L8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1" t="s">
        <v>35</v>
      </c>
      <c r="O831" s="36" t="str">
        <f>IF(SEFAZ!B813="","",SEFAZ!B813)</f>
        <v/>
      </c>
    </row>
    <row r="832" spans="2:15" x14ac:dyDescent="0.3">
      <c r="B832" t="str">
        <f>IF(SEFAZ!A814="","",SEFAZ!A814)</f>
        <v/>
      </c>
      <c r="C832" t="str">
        <f>IF(SEFAZ!C814="","",SEFAZ!C814)</f>
        <v/>
      </c>
      <c r="D832" t="str">
        <f>IF(SEFAZ!D814="","",SEFAZ!D814)</f>
        <v/>
      </c>
      <c r="E832" s="7" t="str">
        <f>IF(SEFAZ!E814="","",SEFAZ!E814)</f>
        <v/>
      </c>
      <c r="F832" s="6" t="str">
        <f>IF(SEFAZ!F814="","",VALUE(SUBSTITUTE(SEFAZ!F814,"'","")))</f>
        <v/>
      </c>
      <c r="G832" t="str">
        <f>IF(SEFAZ!H814="","",SEFAZ!H814)</f>
        <v/>
      </c>
      <c r="H832" t="str">
        <f>IF(SEFAZ!L814="","",SEFAZ!L814)</f>
        <v/>
      </c>
      <c r="I832" t="str">
        <f>IF(SEFAZ!N814="","",SEFAZ!N814)</f>
        <v/>
      </c>
      <c r="J832" t="str">
        <f>IF(SEFAZ!O814="","",SEFAZ!O814)</f>
        <v/>
      </c>
      <c r="K832" s="11" t="str">
        <f>IF(SEFAZ!P814="","",SEFAZ!P814)</f>
        <v/>
      </c>
      <c r="L832" t="str" cm="1">
        <f t="array" aca="1" ref="L8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2" t="s">
        <v>35</v>
      </c>
      <c r="O832" s="36" t="str">
        <f>IF(SEFAZ!B814="","",SEFAZ!B814)</f>
        <v/>
      </c>
    </row>
    <row r="833" spans="2:15" x14ac:dyDescent="0.3">
      <c r="B833" t="str">
        <f>IF(SEFAZ!A815="","",SEFAZ!A815)</f>
        <v/>
      </c>
      <c r="C833" t="str">
        <f>IF(SEFAZ!C815="","",SEFAZ!C815)</f>
        <v/>
      </c>
      <c r="D833" t="str">
        <f>IF(SEFAZ!D815="","",SEFAZ!D815)</f>
        <v/>
      </c>
      <c r="E833" s="7" t="str">
        <f>IF(SEFAZ!E815="","",SEFAZ!E815)</f>
        <v/>
      </c>
      <c r="F833" s="6" t="str">
        <f>IF(SEFAZ!F815="","",VALUE(SUBSTITUTE(SEFAZ!F815,"'","")))</f>
        <v/>
      </c>
      <c r="G833" t="str">
        <f>IF(SEFAZ!H815="","",SEFAZ!H815)</f>
        <v/>
      </c>
      <c r="H833" t="str">
        <f>IF(SEFAZ!L815="","",SEFAZ!L815)</f>
        <v/>
      </c>
      <c r="I833" t="str">
        <f>IF(SEFAZ!N815="","",SEFAZ!N815)</f>
        <v/>
      </c>
      <c r="J833" t="str">
        <f>IF(SEFAZ!O815="","",SEFAZ!O815)</f>
        <v/>
      </c>
      <c r="K833" s="11" t="str">
        <f>IF(SEFAZ!P815="","",SEFAZ!P815)</f>
        <v/>
      </c>
      <c r="L833" t="str" cm="1">
        <f t="array" aca="1" ref="L8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3" t="s">
        <v>35</v>
      </c>
      <c r="O833" s="36" t="str">
        <f>IF(SEFAZ!B815="","",SEFAZ!B815)</f>
        <v/>
      </c>
    </row>
    <row r="834" spans="2:15" x14ac:dyDescent="0.3">
      <c r="B834" t="str">
        <f>IF(SEFAZ!A816="","",SEFAZ!A816)</f>
        <v/>
      </c>
      <c r="C834" t="str">
        <f>IF(SEFAZ!C816="","",SEFAZ!C816)</f>
        <v/>
      </c>
      <c r="D834" t="str">
        <f>IF(SEFAZ!D816="","",SEFAZ!D816)</f>
        <v/>
      </c>
      <c r="E834" s="7" t="str">
        <f>IF(SEFAZ!E816="","",SEFAZ!E816)</f>
        <v/>
      </c>
      <c r="F834" s="6" t="str">
        <f>IF(SEFAZ!F816="","",VALUE(SUBSTITUTE(SEFAZ!F816,"'","")))</f>
        <v/>
      </c>
      <c r="G834" t="str">
        <f>IF(SEFAZ!H816="","",SEFAZ!H816)</f>
        <v/>
      </c>
      <c r="H834" t="str">
        <f>IF(SEFAZ!L816="","",SEFAZ!L816)</f>
        <v/>
      </c>
      <c r="I834" t="str">
        <f>IF(SEFAZ!N816="","",SEFAZ!N816)</f>
        <v/>
      </c>
      <c r="J834" t="str">
        <f>IF(SEFAZ!O816="","",SEFAZ!O816)</f>
        <v/>
      </c>
      <c r="K834" s="11" t="str">
        <f>IF(SEFAZ!P816="","",SEFAZ!P816)</f>
        <v/>
      </c>
      <c r="L834" t="str" cm="1">
        <f t="array" aca="1" ref="L8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4" t="s">
        <v>35</v>
      </c>
      <c r="O834" s="36" t="str">
        <f>IF(SEFAZ!B816="","",SEFAZ!B816)</f>
        <v/>
      </c>
    </row>
    <row r="835" spans="2:15" x14ac:dyDescent="0.3">
      <c r="B835" t="str">
        <f>IF(SEFAZ!A817="","",SEFAZ!A817)</f>
        <v/>
      </c>
      <c r="C835" t="str">
        <f>IF(SEFAZ!C817="","",SEFAZ!C817)</f>
        <v/>
      </c>
      <c r="D835" t="str">
        <f>IF(SEFAZ!D817="","",SEFAZ!D817)</f>
        <v/>
      </c>
      <c r="E835" s="7" t="str">
        <f>IF(SEFAZ!E817="","",SEFAZ!E817)</f>
        <v/>
      </c>
      <c r="F835" s="6" t="str">
        <f>IF(SEFAZ!F817="","",VALUE(SUBSTITUTE(SEFAZ!F817,"'","")))</f>
        <v/>
      </c>
      <c r="G835" t="str">
        <f>IF(SEFAZ!H817="","",SEFAZ!H817)</f>
        <v/>
      </c>
      <c r="H835" t="str">
        <f>IF(SEFAZ!L817="","",SEFAZ!L817)</f>
        <v/>
      </c>
      <c r="I835" t="str">
        <f>IF(SEFAZ!N817="","",SEFAZ!N817)</f>
        <v/>
      </c>
      <c r="J835" t="str">
        <f>IF(SEFAZ!O817="","",SEFAZ!O817)</f>
        <v/>
      </c>
      <c r="K835" s="11" t="str">
        <f>IF(SEFAZ!P817="","",SEFAZ!P817)</f>
        <v/>
      </c>
      <c r="L835" t="str" cm="1">
        <f t="array" aca="1" ref="L8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5" t="s">
        <v>35</v>
      </c>
      <c r="O835" s="36" t="str">
        <f>IF(SEFAZ!B817="","",SEFAZ!B817)</f>
        <v/>
      </c>
    </row>
    <row r="836" spans="2:15" x14ac:dyDescent="0.3">
      <c r="B836" t="str">
        <f>IF(SEFAZ!A818="","",SEFAZ!A818)</f>
        <v/>
      </c>
      <c r="C836" t="str">
        <f>IF(SEFAZ!C818="","",SEFAZ!C818)</f>
        <v/>
      </c>
      <c r="D836" t="str">
        <f>IF(SEFAZ!D818="","",SEFAZ!D818)</f>
        <v/>
      </c>
      <c r="E836" s="7" t="str">
        <f>IF(SEFAZ!E818="","",SEFAZ!E818)</f>
        <v/>
      </c>
      <c r="F836" s="6" t="str">
        <f>IF(SEFAZ!F818="","",VALUE(SUBSTITUTE(SEFAZ!F818,"'","")))</f>
        <v/>
      </c>
      <c r="G836" t="str">
        <f>IF(SEFAZ!H818="","",SEFAZ!H818)</f>
        <v/>
      </c>
      <c r="H836" t="str">
        <f>IF(SEFAZ!L818="","",SEFAZ!L818)</f>
        <v/>
      </c>
      <c r="I836" t="str">
        <f>IF(SEFAZ!N818="","",SEFAZ!N818)</f>
        <v/>
      </c>
      <c r="J836" t="str">
        <f>IF(SEFAZ!O818="","",SEFAZ!O818)</f>
        <v/>
      </c>
      <c r="K836" s="11" t="str">
        <f>IF(SEFAZ!P818="","",SEFAZ!P818)</f>
        <v/>
      </c>
      <c r="L836" t="str" cm="1">
        <f t="array" aca="1" ref="L8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6" t="s">
        <v>35</v>
      </c>
      <c r="O836" s="36" t="str">
        <f>IF(SEFAZ!B818="","",SEFAZ!B818)</f>
        <v/>
      </c>
    </row>
    <row r="837" spans="2:15" x14ac:dyDescent="0.3">
      <c r="B837" t="str">
        <f>IF(SEFAZ!A819="","",SEFAZ!A819)</f>
        <v/>
      </c>
      <c r="C837" t="str">
        <f>IF(SEFAZ!C819="","",SEFAZ!C819)</f>
        <v/>
      </c>
      <c r="D837" t="str">
        <f>IF(SEFAZ!D819="","",SEFAZ!D819)</f>
        <v/>
      </c>
      <c r="E837" s="7" t="str">
        <f>IF(SEFAZ!E819="","",SEFAZ!E819)</f>
        <v/>
      </c>
      <c r="F837" s="6" t="str">
        <f>IF(SEFAZ!F819="","",VALUE(SUBSTITUTE(SEFAZ!F819,"'","")))</f>
        <v/>
      </c>
      <c r="G837" t="str">
        <f>IF(SEFAZ!H819="","",SEFAZ!H819)</f>
        <v/>
      </c>
      <c r="H837" t="str">
        <f>IF(SEFAZ!L819="","",SEFAZ!L819)</f>
        <v/>
      </c>
      <c r="I837" t="str">
        <f>IF(SEFAZ!N819="","",SEFAZ!N819)</f>
        <v/>
      </c>
      <c r="J837" t="str">
        <f>IF(SEFAZ!O819="","",SEFAZ!O819)</f>
        <v/>
      </c>
      <c r="K837" s="11" t="str">
        <f>IF(SEFAZ!P819="","",SEFAZ!P819)</f>
        <v/>
      </c>
      <c r="L837" t="str" cm="1">
        <f t="array" aca="1" ref="L8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7" t="s">
        <v>35</v>
      </c>
      <c r="O837" s="36" t="str">
        <f>IF(SEFAZ!B819="","",SEFAZ!B819)</f>
        <v/>
      </c>
    </row>
    <row r="838" spans="2:15" x14ac:dyDescent="0.3">
      <c r="B838" t="str">
        <f>IF(SEFAZ!A820="","",SEFAZ!A820)</f>
        <v/>
      </c>
      <c r="C838" t="str">
        <f>IF(SEFAZ!C820="","",SEFAZ!C820)</f>
        <v/>
      </c>
      <c r="D838" t="str">
        <f>IF(SEFAZ!D820="","",SEFAZ!D820)</f>
        <v/>
      </c>
      <c r="E838" s="7" t="str">
        <f>IF(SEFAZ!E820="","",SEFAZ!E820)</f>
        <v/>
      </c>
      <c r="F838" s="6" t="str">
        <f>IF(SEFAZ!F820="","",VALUE(SUBSTITUTE(SEFAZ!F820,"'","")))</f>
        <v/>
      </c>
      <c r="G838" t="str">
        <f>IF(SEFAZ!H820="","",SEFAZ!H820)</f>
        <v/>
      </c>
      <c r="H838" t="str">
        <f>IF(SEFAZ!L820="","",SEFAZ!L820)</f>
        <v/>
      </c>
      <c r="I838" t="str">
        <f>IF(SEFAZ!N820="","",SEFAZ!N820)</f>
        <v/>
      </c>
      <c r="J838" t="str">
        <f>IF(SEFAZ!O820="","",SEFAZ!O820)</f>
        <v/>
      </c>
      <c r="K838" s="11" t="str">
        <f>IF(SEFAZ!P820="","",SEFAZ!P820)</f>
        <v/>
      </c>
      <c r="L838" t="str" cm="1">
        <f t="array" aca="1" ref="L8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8" t="s">
        <v>35</v>
      </c>
      <c r="O838" s="36" t="str">
        <f>IF(SEFAZ!B820="","",SEFAZ!B820)</f>
        <v/>
      </c>
    </row>
    <row r="839" spans="2:15" x14ac:dyDescent="0.3">
      <c r="B839" t="str">
        <f>IF(SEFAZ!A821="","",SEFAZ!A821)</f>
        <v/>
      </c>
      <c r="C839" t="str">
        <f>IF(SEFAZ!C821="","",SEFAZ!C821)</f>
        <v/>
      </c>
      <c r="D839" t="str">
        <f>IF(SEFAZ!D821="","",SEFAZ!D821)</f>
        <v/>
      </c>
      <c r="E839" s="7" t="str">
        <f>IF(SEFAZ!E821="","",SEFAZ!E821)</f>
        <v/>
      </c>
      <c r="F839" s="6" t="str">
        <f>IF(SEFAZ!F821="","",VALUE(SUBSTITUTE(SEFAZ!F821,"'","")))</f>
        <v/>
      </c>
      <c r="G839" t="str">
        <f>IF(SEFAZ!H821="","",SEFAZ!H821)</f>
        <v/>
      </c>
      <c r="H839" t="str">
        <f>IF(SEFAZ!L821="","",SEFAZ!L821)</f>
        <v/>
      </c>
      <c r="I839" t="str">
        <f>IF(SEFAZ!N821="","",SEFAZ!N821)</f>
        <v/>
      </c>
      <c r="J839" t="str">
        <f>IF(SEFAZ!O821="","",SEFAZ!O821)</f>
        <v/>
      </c>
      <c r="K839" s="11" t="str">
        <f>IF(SEFAZ!P821="","",SEFAZ!P821)</f>
        <v/>
      </c>
      <c r="L839" t="str" cm="1">
        <f t="array" aca="1" ref="L8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39" t="s">
        <v>35</v>
      </c>
      <c r="O839" s="36" t="str">
        <f>IF(SEFAZ!B821="","",SEFAZ!B821)</f>
        <v/>
      </c>
    </row>
    <row r="840" spans="2:15" x14ac:dyDescent="0.3">
      <c r="B840" t="str">
        <f>IF(SEFAZ!A822="","",SEFAZ!A822)</f>
        <v/>
      </c>
      <c r="C840" t="str">
        <f>IF(SEFAZ!C822="","",SEFAZ!C822)</f>
        <v/>
      </c>
      <c r="D840" t="str">
        <f>IF(SEFAZ!D822="","",SEFAZ!D822)</f>
        <v/>
      </c>
      <c r="E840" s="7" t="str">
        <f>IF(SEFAZ!E822="","",SEFAZ!E822)</f>
        <v/>
      </c>
      <c r="F840" s="6" t="str">
        <f>IF(SEFAZ!F822="","",VALUE(SUBSTITUTE(SEFAZ!F822,"'","")))</f>
        <v/>
      </c>
      <c r="G840" t="str">
        <f>IF(SEFAZ!H822="","",SEFAZ!H822)</f>
        <v/>
      </c>
      <c r="H840" t="str">
        <f>IF(SEFAZ!L822="","",SEFAZ!L822)</f>
        <v/>
      </c>
      <c r="I840" t="str">
        <f>IF(SEFAZ!N822="","",SEFAZ!N822)</f>
        <v/>
      </c>
      <c r="J840" t="str">
        <f>IF(SEFAZ!O822="","",SEFAZ!O822)</f>
        <v/>
      </c>
      <c r="K840" s="11" t="str">
        <f>IF(SEFAZ!P822="","",SEFAZ!P822)</f>
        <v/>
      </c>
      <c r="L840" t="str" cm="1">
        <f t="array" aca="1" ref="L8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0" t="s">
        <v>35</v>
      </c>
      <c r="O840" s="36" t="str">
        <f>IF(SEFAZ!B822="","",SEFAZ!B822)</f>
        <v/>
      </c>
    </row>
    <row r="841" spans="2:15" x14ac:dyDescent="0.3">
      <c r="B841" t="str">
        <f>IF(SEFAZ!A823="","",SEFAZ!A823)</f>
        <v/>
      </c>
      <c r="C841" t="str">
        <f>IF(SEFAZ!C823="","",SEFAZ!C823)</f>
        <v/>
      </c>
      <c r="D841" t="str">
        <f>IF(SEFAZ!D823="","",SEFAZ!D823)</f>
        <v/>
      </c>
      <c r="E841" s="7" t="str">
        <f>IF(SEFAZ!E823="","",SEFAZ!E823)</f>
        <v/>
      </c>
      <c r="F841" s="6" t="str">
        <f>IF(SEFAZ!F823="","",VALUE(SUBSTITUTE(SEFAZ!F823,"'","")))</f>
        <v/>
      </c>
      <c r="G841" t="str">
        <f>IF(SEFAZ!H823="","",SEFAZ!H823)</f>
        <v/>
      </c>
      <c r="H841" t="str">
        <f>IF(SEFAZ!L823="","",SEFAZ!L823)</f>
        <v/>
      </c>
      <c r="I841" t="str">
        <f>IF(SEFAZ!N823="","",SEFAZ!N823)</f>
        <v/>
      </c>
      <c r="J841" t="str">
        <f>IF(SEFAZ!O823="","",SEFAZ!O823)</f>
        <v/>
      </c>
      <c r="K841" s="11" t="str">
        <f>IF(SEFAZ!P823="","",SEFAZ!P823)</f>
        <v/>
      </c>
      <c r="L841" t="str" cm="1">
        <f t="array" aca="1" ref="L8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1" t="s">
        <v>35</v>
      </c>
      <c r="O841" s="36" t="str">
        <f>IF(SEFAZ!B823="","",SEFAZ!B823)</f>
        <v/>
      </c>
    </row>
    <row r="842" spans="2:15" x14ac:dyDescent="0.3">
      <c r="B842" t="str">
        <f>IF(SEFAZ!A824="","",SEFAZ!A824)</f>
        <v/>
      </c>
      <c r="C842" t="str">
        <f>IF(SEFAZ!C824="","",SEFAZ!C824)</f>
        <v/>
      </c>
      <c r="D842" t="str">
        <f>IF(SEFAZ!D824="","",SEFAZ!D824)</f>
        <v/>
      </c>
      <c r="E842" s="7" t="str">
        <f>IF(SEFAZ!E824="","",SEFAZ!E824)</f>
        <v/>
      </c>
      <c r="F842" s="6" t="str">
        <f>IF(SEFAZ!F824="","",VALUE(SUBSTITUTE(SEFAZ!F824,"'","")))</f>
        <v/>
      </c>
      <c r="G842" t="str">
        <f>IF(SEFAZ!H824="","",SEFAZ!H824)</f>
        <v/>
      </c>
      <c r="H842" t="str">
        <f>IF(SEFAZ!L824="","",SEFAZ!L824)</f>
        <v/>
      </c>
      <c r="I842" t="str">
        <f>IF(SEFAZ!N824="","",SEFAZ!N824)</f>
        <v/>
      </c>
      <c r="J842" t="str">
        <f>IF(SEFAZ!O824="","",SEFAZ!O824)</f>
        <v/>
      </c>
      <c r="K842" s="11" t="str">
        <f>IF(SEFAZ!P824="","",SEFAZ!P824)</f>
        <v/>
      </c>
      <c r="L842" t="str" cm="1">
        <f t="array" aca="1" ref="L8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2" t="s">
        <v>35</v>
      </c>
      <c r="O842" s="36" t="str">
        <f>IF(SEFAZ!B824="","",SEFAZ!B824)</f>
        <v/>
      </c>
    </row>
    <row r="843" spans="2:15" x14ac:dyDescent="0.3">
      <c r="B843" t="str">
        <f>IF(SEFAZ!A825="","",SEFAZ!A825)</f>
        <v/>
      </c>
      <c r="C843" t="str">
        <f>IF(SEFAZ!C825="","",SEFAZ!C825)</f>
        <v/>
      </c>
      <c r="D843" t="str">
        <f>IF(SEFAZ!D825="","",SEFAZ!D825)</f>
        <v/>
      </c>
      <c r="E843" s="7" t="str">
        <f>IF(SEFAZ!E825="","",SEFAZ!E825)</f>
        <v/>
      </c>
      <c r="F843" s="6" t="str">
        <f>IF(SEFAZ!F825="","",VALUE(SUBSTITUTE(SEFAZ!F825,"'","")))</f>
        <v/>
      </c>
      <c r="G843" t="str">
        <f>IF(SEFAZ!H825="","",SEFAZ!H825)</f>
        <v/>
      </c>
      <c r="H843" t="str">
        <f>IF(SEFAZ!L825="","",SEFAZ!L825)</f>
        <v/>
      </c>
      <c r="I843" t="str">
        <f>IF(SEFAZ!N825="","",SEFAZ!N825)</f>
        <v/>
      </c>
      <c r="J843" t="str">
        <f>IF(SEFAZ!O825="","",SEFAZ!O825)</f>
        <v/>
      </c>
      <c r="K843" s="11" t="str">
        <f>IF(SEFAZ!P825="","",SEFAZ!P825)</f>
        <v/>
      </c>
      <c r="L843" t="str" cm="1">
        <f t="array" aca="1" ref="L8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3" t="s">
        <v>35</v>
      </c>
      <c r="O843" s="36" t="str">
        <f>IF(SEFAZ!B825="","",SEFAZ!B825)</f>
        <v/>
      </c>
    </row>
    <row r="844" spans="2:15" x14ac:dyDescent="0.3">
      <c r="B844" t="str">
        <f>IF(SEFAZ!A826="","",SEFAZ!A826)</f>
        <v/>
      </c>
      <c r="C844" t="str">
        <f>IF(SEFAZ!C826="","",SEFAZ!C826)</f>
        <v/>
      </c>
      <c r="D844" t="str">
        <f>IF(SEFAZ!D826="","",SEFAZ!D826)</f>
        <v/>
      </c>
      <c r="E844" s="7" t="str">
        <f>IF(SEFAZ!E826="","",SEFAZ!E826)</f>
        <v/>
      </c>
      <c r="F844" s="6" t="str">
        <f>IF(SEFAZ!F826="","",VALUE(SUBSTITUTE(SEFAZ!F826,"'","")))</f>
        <v/>
      </c>
      <c r="G844" t="str">
        <f>IF(SEFAZ!H826="","",SEFAZ!H826)</f>
        <v/>
      </c>
      <c r="H844" t="str">
        <f>IF(SEFAZ!L826="","",SEFAZ!L826)</f>
        <v/>
      </c>
      <c r="I844" t="str">
        <f>IF(SEFAZ!N826="","",SEFAZ!N826)</f>
        <v/>
      </c>
      <c r="J844" t="str">
        <f>IF(SEFAZ!O826="","",SEFAZ!O826)</f>
        <v/>
      </c>
      <c r="K844" s="11" t="str">
        <f>IF(SEFAZ!P826="","",SEFAZ!P826)</f>
        <v/>
      </c>
      <c r="L844" t="str" cm="1">
        <f t="array" aca="1" ref="L8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4" t="s">
        <v>35</v>
      </c>
      <c r="O844" s="36" t="str">
        <f>IF(SEFAZ!B826="","",SEFAZ!B826)</f>
        <v/>
      </c>
    </row>
    <row r="845" spans="2:15" x14ac:dyDescent="0.3">
      <c r="B845" t="str">
        <f>IF(SEFAZ!A827="","",SEFAZ!A827)</f>
        <v/>
      </c>
      <c r="C845" t="str">
        <f>IF(SEFAZ!C827="","",SEFAZ!C827)</f>
        <v/>
      </c>
      <c r="D845" t="str">
        <f>IF(SEFAZ!D827="","",SEFAZ!D827)</f>
        <v/>
      </c>
      <c r="E845" s="7" t="str">
        <f>IF(SEFAZ!E827="","",SEFAZ!E827)</f>
        <v/>
      </c>
      <c r="F845" s="6" t="str">
        <f>IF(SEFAZ!F827="","",VALUE(SUBSTITUTE(SEFAZ!F827,"'","")))</f>
        <v/>
      </c>
      <c r="G845" t="str">
        <f>IF(SEFAZ!H827="","",SEFAZ!H827)</f>
        <v/>
      </c>
      <c r="H845" t="str">
        <f>IF(SEFAZ!L827="","",SEFAZ!L827)</f>
        <v/>
      </c>
      <c r="I845" t="str">
        <f>IF(SEFAZ!N827="","",SEFAZ!N827)</f>
        <v/>
      </c>
      <c r="J845" t="str">
        <f>IF(SEFAZ!O827="","",SEFAZ!O827)</f>
        <v/>
      </c>
      <c r="K845" s="11" t="str">
        <f>IF(SEFAZ!P827="","",SEFAZ!P827)</f>
        <v/>
      </c>
      <c r="L845" t="str" cm="1">
        <f t="array" aca="1" ref="L8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5" t="s">
        <v>35</v>
      </c>
      <c r="O845" s="36" t="str">
        <f>IF(SEFAZ!B827="","",SEFAZ!B827)</f>
        <v/>
      </c>
    </row>
    <row r="846" spans="2:15" x14ac:dyDescent="0.3">
      <c r="B846" t="str">
        <f>IF(SEFAZ!A828="","",SEFAZ!A828)</f>
        <v/>
      </c>
      <c r="C846" t="str">
        <f>IF(SEFAZ!C828="","",SEFAZ!C828)</f>
        <v/>
      </c>
      <c r="D846" t="str">
        <f>IF(SEFAZ!D828="","",SEFAZ!D828)</f>
        <v/>
      </c>
      <c r="E846" s="7" t="str">
        <f>IF(SEFAZ!E828="","",SEFAZ!E828)</f>
        <v/>
      </c>
      <c r="F846" s="6" t="str">
        <f>IF(SEFAZ!F828="","",VALUE(SUBSTITUTE(SEFAZ!F828,"'","")))</f>
        <v/>
      </c>
      <c r="G846" t="str">
        <f>IF(SEFAZ!H828="","",SEFAZ!H828)</f>
        <v/>
      </c>
      <c r="H846" t="str">
        <f>IF(SEFAZ!L828="","",SEFAZ!L828)</f>
        <v/>
      </c>
      <c r="I846" t="str">
        <f>IF(SEFAZ!N828="","",SEFAZ!N828)</f>
        <v/>
      </c>
      <c r="J846" t="str">
        <f>IF(SEFAZ!O828="","",SEFAZ!O828)</f>
        <v/>
      </c>
      <c r="K846" s="11" t="str">
        <f>IF(SEFAZ!P828="","",SEFAZ!P828)</f>
        <v/>
      </c>
      <c r="L846" t="str" cm="1">
        <f t="array" aca="1" ref="L8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6" t="s">
        <v>35</v>
      </c>
      <c r="O846" s="36" t="str">
        <f>IF(SEFAZ!B828="","",SEFAZ!B828)</f>
        <v/>
      </c>
    </row>
    <row r="847" spans="2:15" x14ac:dyDescent="0.3">
      <c r="B847" t="str">
        <f>IF(SEFAZ!A829="","",SEFAZ!A829)</f>
        <v/>
      </c>
      <c r="C847" t="str">
        <f>IF(SEFAZ!C829="","",SEFAZ!C829)</f>
        <v/>
      </c>
      <c r="D847" t="str">
        <f>IF(SEFAZ!D829="","",SEFAZ!D829)</f>
        <v/>
      </c>
      <c r="E847" s="7" t="str">
        <f>IF(SEFAZ!E829="","",SEFAZ!E829)</f>
        <v/>
      </c>
      <c r="F847" s="6" t="str">
        <f>IF(SEFAZ!F829="","",VALUE(SUBSTITUTE(SEFAZ!F829,"'","")))</f>
        <v/>
      </c>
      <c r="G847" t="str">
        <f>IF(SEFAZ!H829="","",SEFAZ!H829)</f>
        <v/>
      </c>
      <c r="H847" t="str">
        <f>IF(SEFAZ!L829="","",SEFAZ!L829)</f>
        <v/>
      </c>
      <c r="I847" t="str">
        <f>IF(SEFAZ!N829="","",SEFAZ!N829)</f>
        <v/>
      </c>
      <c r="J847" t="str">
        <f>IF(SEFAZ!O829="","",SEFAZ!O829)</f>
        <v/>
      </c>
      <c r="K847" s="11" t="str">
        <f>IF(SEFAZ!P829="","",SEFAZ!P829)</f>
        <v/>
      </c>
      <c r="L847" t="str" cm="1">
        <f t="array" aca="1" ref="L8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7" t="s">
        <v>35</v>
      </c>
      <c r="O847" s="36" t="str">
        <f>IF(SEFAZ!B829="","",SEFAZ!B829)</f>
        <v/>
      </c>
    </row>
    <row r="848" spans="2:15" x14ac:dyDescent="0.3">
      <c r="B848" t="str">
        <f>IF(SEFAZ!A830="","",SEFAZ!A830)</f>
        <v/>
      </c>
      <c r="C848" t="str">
        <f>IF(SEFAZ!C830="","",SEFAZ!C830)</f>
        <v/>
      </c>
      <c r="D848" t="str">
        <f>IF(SEFAZ!D830="","",SEFAZ!D830)</f>
        <v/>
      </c>
      <c r="E848" s="7" t="str">
        <f>IF(SEFAZ!E830="","",SEFAZ!E830)</f>
        <v/>
      </c>
      <c r="F848" s="6" t="str">
        <f>IF(SEFAZ!F830="","",VALUE(SUBSTITUTE(SEFAZ!F830,"'","")))</f>
        <v/>
      </c>
      <c r="G848" t="str">
        <f>IF(SEFAZ!H830="","",SEFAZ!H830)</f>
        <v/>
      </c>
      <c r="H848" t="str">
        <f>IF(SEFAZ!L830="","",SEFAZ!L830)</f>
        <v/>
      </c>
      <c r="I848" t="str">
        <f>IF(SEFAZ!N830="","",SEFAZ!N830)</f>
        <v/>
      </c>
      <c r="J848" t="str">
        <f>IF(SEFAZ!O830="","",SEFAZ!O830)</f>
        <v/>
      </c>
      <c r="K848" s="11" t="str">
        <f>IF(SEFAZ!P830="","",SEFAZ!P830)</f>
        <v/>
      </c>
      <c r="L848" t="str" cm="1">
        <f t="array" aca="1" ref="L8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8" t="s">
        <v>35</v>
      </c>
      <c r="O848" s="36" t="str">
        <f>IF(SEFAZ!B830="","",SEFAZ!B830)</f>
        <v/>
      </c>
    </row>
    <row r="849" spans="2:15" x14ac:dyDescent="0.3">
      <c r="B849" t="str">
        <f>IF(SEFAZ!A831="","",SEFAZ!A831)</f>
        <v/>
      </c>
      <c r="C849" t="str">
        <f>IF(SEFAZ!C831="","",SEFAZ!C831)</f>
        <v/>
      </c>
      <c r="D849" t="str">
        <f>IF(SEFAZ!D831="","",SEFAZ!D831)</f>
        <v/>
      </c>
      <c r="E849" s="7" t="str">
        <f>IF(SEFAZ!E831="","",SEFAZ!E831)</f>
        <v/>
      </c>
      <c r="F849" s="6" t="str">
        <f>IF(SEFAZ!F831="","",VALUE(SUBSTITUTE(SEFAZ!F831,"'","")))</f>
        <v/>
      </c>
      <c r="G849" t="str">
        <f>IF(SEFAZ!H831="","",SEFAZ!H831)</f>
        <v/>
      </c>
      <c r="H849" t="str">
        <f>IF(SEFAZ!L831="","",SEFAZ!L831)</f>
        <v/>
      </c>
      <c r="I849" t="str">
        <f>IF(SEFAZ!N831="","",SEFAZ!N831)</f>
        <v/>
      </c>
      <c r="J849" t="str">
        <f>IF(SEFAZ!O831="","",SEFAZ!O831)</f>
        <v/>
      </c>
      <c r="K849" s="11" t="str">
        <f>IF(SEFAZ!P831="","",SEFAZ!P831)</f>
        <v/>
      </c>
      <c r="L849" t="str" cm="1">
        <f t="array" aca="1" ref="L8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49" t="s">
        <v>35</v>
      </c>
      <c r="O849" s="36" t="str">
        <f>IF(SEFAZ!B831="","",SEFAZ!B831)</f>
        <v/>
      </c>
    </row>
    <row r="850" spans="2:15" x14ac:dyDescent="0.3">
      <c r="B850" t="str">
        <f>IF(SEFAZ!A832="","",SEFAZ!A832)</f>
        <v/>
      </c>
      <c r="C850" t="str">
        <f>IF(SEFAZ!C832="","",SEFAZ!C832)</f>
        <v/>
      </c>
      <c r="D850" t="str">
        <f>IF(SEFAZ!D832="","",SEFAZ!D832)</f>
        <v/>
      </c>
      <c r="E850" s="7" t="str">
        <f>IF(SEFAZ!E832="","",SEFAZ!E832)</f>
        <v/>
      </c>
      <c r="F850" s="6" t="str">
        <f>IF(SEFAZ!F832="","",VALUE(SUBSTITUTE(SEFAZ!F832,"'","")))</f>
        <v/>
      </c>
      <c r="G850" t="str">
        <f>IF(SEFAZ!H832="","",SEFAZ!H832)</f>
        <v/>
      </c>
      <c r="H850" t="str">
        <f>IF(SEFAZ!L832="","",SEFAZ!L832)</f>
        <v/>
      </c>
      <c r="I850" t="str">
        <f>IF(SEFAZ!N832="","",SEFAZ!N832)</f>
        <v/>
      </c>
      <c r="J850" t="str">
        <f>IF(SEFAZ!O832="","",SEFAZ!O832)</f>
        <v/>
      </c>
      <c r="K850" s="11" t="str">
        <f>IF(SEFAZ!P832="","",SEFAZ!P832)</f>
        <v/>
      </c>
      <c r="L850" t="str" cm="1">
        <f t="array" aca="1" ref="L8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0" t="s">
        <v>35</v>
      </c>
      <c r="O850" s="36" t="str">
        <f>IF(SEFAZ!B832="","",SEFAZ!B832)</f>
        <v/>
      </c>
    </row>
    <row r="851" spans="2:15" x14ac:dyDescent="0.3">
      <c r="B851" t="str">
        <f>IF(SEFAZ!A833="","",SEFAZ!A833)</f>
        <v/>
      </c>
      <c r="C851" t="str">
        <f>IF(SEFAZ!C833="","",SEFAZ!C833)</f>
        <v/>
      </c>
      <c r="D851" t="str">
        <f>IF(SEFAZ!D833="","",SEFAZ!D833)</f>
        <v/>
      </c>
      <c r="E851" s="7" t="str">
        <f>IF(SEFAZ!E833="","",SEFAZ!E833)</f>
        <v/>
      </c>
      <c r="F851" s="6" t="str">
        <f>IF(SEFAZ!F833="","",VALUE(SUBSTITUTE(SEFAZ!F833,"'","")))</f>
        <v/>
      </c>
      <c r="G851" t="str">
        <f>IF(SEFAZ!H833="","",SEFAZ!H833)</f>
        <v/>
      </c>
      <c r="H851" t="str">
        <f>IF(SEFAZ!L833="","",SEFAZ!L833)</f>
        <v/>
      </c>
      <c r="I851" t="str">
        <f>IF(SEFAZ!N833="","",SEFAZ!N833)</f>
        <v/>
      </c>
      <c r="J851" t="str">
        <f>IF(SEFAZ!O833="","",SEFAZ!O833)</f>
        <v/>
      </c>
      <c r="K851" s="11" t="str">
        <f>IF(SEFAZ!P833="","",SEFAZ!P833)</f>
        <v/>
      </c>
      <c r="L851" t="str" cm="1">
        <f t="array" aca="1" ref="L8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1" t="s">
        <v>35</v>
      </c>
      <c r="O851" s="36" t="str">
        <f>IF(SEFAZ!B833="","",SEFAZ!B833)</f>
        <v/>
      </c>
    </row>
    <row r="852" spans="2:15" x14ac:dyDescent="0.3">
      <c r="B852" t="str">
        <f>IF(SEFAZ!A834="","",SEFAZ!A834)</f>
        <v/>
      </c>
      <c r="C852" t="str">
        <f>IF(SEFAZ!C834="","",SEFAZ!C834)</f>
        <v/>
      </c>
      <c r="D852" t="str">
        <f>IF(SEFAZ!D834="","",SEFAZ!D834)</f>
        <v/>
      </c>
      <c r="E852" s="7" t="str">
        <f>IF(SEFAZ!E834="","",SEFAZ!E834)</f>
        <v/>
      </c>
      <c r="F852" s="6" t="str">
        <f>IF(SEFAZ!F834="","",VALUE(SUBSTITUTE(SEFAZ!F834,"'","")))</f>
        <v/>
      </c>
      <c r="G852" t="str">
        <f>IF(SEFAZ!H834="","",SEFAZ!H834)</f>
        <v/>
      </c>
      <c r="H852" t="str">
        <f>IF(SEFAZ!L834="","",SEFAZ!L834)</f>
        <v/>
      </c>
      <c r="I852" t="str">
        <f>IF(SEFAZ!N834="","",SEFAZ!N834)</f>
        <v/>
      </c>
      <c r="J852" t="str">
        <f>IF(SEFAZ!O834="","",SEFAZ!O834)</f>
        <v/>
      </c>
      <c r="K852" s="11" t="str">
        <f>IF(SEFAZ!P834="","",SEFAZ!P834)</f>
        <v/>
      </c>
      <c r="L852" t="str" cm="1">
        <f t="array" aca="1" ref="L8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2" t="s">
        <v>35</v>
      </c>
      <c r="O852" s="36" t="str">
        <f>IF(SEFAZ!B834="","",SEFAZ!B834)</f>
        <v/>
      </c>
    </row>
    <row r="853" spans="2:15" x14ac:dyDescent="0.3">
      <c r="B853" t="str">
        <f>IF(SEFAZ!A835="","",SEFAZ!A835)</f>
        <v/>
      </c>
      <c r="C853" t="str">
        <f>IF(SEFAZ!C835="","",SEFAZ!C835)</f>
        <v/>
      </c>
      <c r="D853" t="str">
        <f>IF(SEFAZ!D835="","",SEFAZ!D835)</f>
        <v/>
      </c>
      <c r="E853" s="7" t="str">
        <f>IF(SEFAZ!E835="","",SEFAZ!E835)</f>
        <v/>
      </c>
      <c r="F853" s="6" t="str">
        <f>IF(SEFAZ!F835="","",VALUE(SUBSTITUTE(SEFAZ!F835,"'","")))</f>
        <v/>
      </c>
      <c r="G853" t="str">
        <f>IF(SEFAZ!H835="","",SEFAZ!H835)</f>
        <v/>
      </c>
      <c r="H853" t="str">
        <f>IF(SEFAZ!L835="","",SEFAZ!L835)</f>
        <v/>
      </c>
      <c r="I853" t="str">
        <f>IF(SEFAZ!N835="","",SEFAZ!N835)</f>
        <v/>
      </c>
      <c r="J853" t="str">
        <f>IF(SEFAZ!O835="","",SEFAZ!O835)</f>
        <v/>
      </c>
      <c r="K853" s="11" t="str">
        <f>IF(SEFAZ!P835="","",SEFAZ!P835)</f>
        <v/>
      </c>
      <c r="L853" t="str" cm="1">
        <f t="array" aca="1" ref="L8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3" t="s">
        <v>35</v>
      </c>
      <c r="O853" s="36" t="str">
        <f>IF(SEFAZ!B835="","",SEFAZ!B835)</f>
        <v/>
      </c>
    </row>
    <row r="854" spans="2:15" x14ac:dyDescent="0.3">
      <c r="B854" t="str">
        <f>IF(SEFAZ!A836="","",SEFAZ!A836)</f>
        <v/>
      </c>
      <c r="C854" t="str">
        <f>IF(SEFAZ!C836="","",SEFAZ!C836)</f>
        <v/>
      </c>
      <c r="D854" t="str">
        <f>IF(SEFAZ!D836="","",SEFAZ!D836)</f>
        <v/>
      </c>
      <c r="E854" s="7" t="str">
        <f>IF(SEFAZ!E836="","",SEFAZ!E836)</f>
        <v/>
      </c>
      <c r="F854" s="6" t="str">
        <f>IF(SEFAZ!F836="","",VALUE(SUBSTITUTE(SEFAZ!F836,"'","")))</f>
        <v/>
      </c>
      <c r="G854" t="str">
        <f>IF(SEFAZ!H836="","",SEFAZ!H836)</f>
        <v/>
      </c>
      <c r="H854" t="str">
        <f>IF(SEFAZ!L836="","",SEFAZ!L836)</f>
        <v/>
      </c>
      <c r="I854" t="str">
        <f>IF(SEFAZ!N836="","",SEFAZ!N836)</f>
        <v/>
      </c>
      <c r="J854" t="str">
        <f>IF(SEFAZ!O836="","",SEFAZ!O836)</f>
        <v/>
      </c>
      <c r="K854" s="11" t="str">
        <f>IF(SEFAZ!P836="","",SEFAZ!P836)</f>
        <v/>
      </c>
      <c r="L854" t="str" cm="1">
        <f t="array" aca="1" ref="L8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4" t="s">
        <v>35</v>
      </c>
      <c r="O854" s="36" t="str">
        <f>IF(SEFAZ!B836="","",SEFAZ!B836)</f>
        <v/>
      </c>
    </row>
    <row r="855" spans="2:15" x14ac:dyDescent="0.3">
      <c r="B855" t="str">
        <f>IF(SEFAZ!A837="","",SEFAZ!A837)</f>
        <v/>
      </c>
      <c r="C855" t="str">
        <f>IF(SEFAZ!C837="","",SEFAZ!C837)</f>
        <v/>
      </c>
      <c r="D855" t="str">
        <f>IF(SEFAZ!D837="","",SEFAZ!D837)</f>
        <v/>
      </c>
      <c r="E855" s="7" t="str">
        <f>IF(SEFAZ!E837="","",SEFAZ!E837)</f>
        <v/>
      </c>
      <c r="F855" s="6" t="str">
        <f>IF(SEFAZ!F837="","",VALUE(SUBSTITUTE(SEFAZ!F837,"'","")))</f>
        <v/>
      </c>
      <c r="G855" t="str">
        <f>IF(SEFAZ!H837="","",SEFAZ!H837)</f>
        <v/>
      </c>
      <c r="H855" t="str">
        <f>IF(SEFAZ!L837="","",SEFAZ!L837)</f>
        <v/>
      </c>
      <c r="I855" t="str">
        <f>IF(SEFAZ!N837="","",SEFAZ!N837)</f>
        <v/>
      </c>
      <c r="J855" t="str">
        <f>IF(SEFAZ!O837="","",SEFAZ!O837)</f>
        <v/>
      </c>
      <c r="K855" s="11" t="str">
        <f>IF(SEFAZ!P837="","",SEFAZ!P837)</f>
        <v/>
      </c>
      <c r="L855" t="str" cm="1">
        <f t="array" aca="1" ref="L8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5" t="s">
        <v>35</v>
      </c>
      <c r="O855" s="36" t="str">
        <f>IF(SEFAZ!B837="","",SEFAZ!B837)</f>
        <v/>
      </c>
    </row>
    <row r="856" spans="2:15" x14ac:dyDescent="0.3">
      <c r="B856" t="str">
        <f>IF(SEFAZ!A838="","",SEFAZ!A838)</f>
        <v/>
      </c>
      <c r="C856" t="str">
        <f>IF(SEFAZ!C838="","",SEFAZ!C838)</f>
        <v/>
      </c>
      <c r="D856" t="str">
        <f>IF(SEFAZ!D838="","",SEFAZ!D838)</f>
        <v/>
      </c>
      <c r="E856" s="7" t="str">
        <f>IF(SEFAZ!E838="","",SEFAZ!E838)</f>
        <v/>
      </c>
      <c r="F856" s="6" t="str">
        <f>IF(SEFAZ!F838="","",VALUE(SUBSTITUTE(SEFAZ!F838,"'","")))</f>
        <v/>
      </c>
      <c r="G856" t="str">
        <f>IF(SEFAZ!H838="","",SEFAZ!H838)</f>
        <v/>
      </c>
      <c r="H856" t="str">
        <f>IF(SEFAZ!L838="","",SEFAZ!L838)</f>
        <v/>
      </c>
      <c r="I856" t="str">
        <f>IF(SEFAZ!N838="","",SEFAZ!N838)</f>
        <v/>
      </c>
      <c r="J856" t="str">
        <f>IF(SEFAZ!O838="","",SEFAZ!O838)</f>
        <v/>
      </c>
      <c r="K856" s="11" t="str">
        <f>IF(SEFAZ!P838="","",SEFAZ!P838)</f>
        <v/>
      </c>
      <c r="L856" t="str" cm="1">
        <f t="array" aca="1" ref="L8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6" t="s">
        <v>35</v>
      </c>
      <c r="O856" s="36" t="str">
        <f>IF(SEFAZ!B838="","",SEFAZ!B838)</f>
        <v/>
      </c>
    </row>
    <row r="857" spans="2:15" x14ac:dyDescent="0.3">
      <c r="B857" t="str">
        <f>IF(SEFAZ!A839="","",SEFAZ!A839)</f>
        <v/>
      </c>
      <c r="C857" t="str">
        <f>IF(SEFAZ!C839="","",SEFAZ!C839)</f>
        <v/>
      </c>
      <c r="D857" t="str">
        <f>IF(SEFAZ!D839="","",SEFAZ!D839)</f>
        <v/>
      </c>
      <c r="E857" s="7" t="str">
        <f>IF(SEFAZ!E839="","",SEFAZ!E839)</f>
        <v/>
      </c>
      <c r="F857" s="6" t="str">
        <f>IF(SEFAZ!F839="","",VALUE(SUBSTITUTE(SEFAZ!F839,"'","")))</f>
        <v/>
      </c>
      <c r="G857" t="str">
        <f>IF(SEFAZ!H839="","",SEFAZ!H839)</f>
        <v/>
      </c>
      <c r="H857" t="str">
        <f>IF(SEFAZ!L839="","",SEFAZ!L839)</f>
        <v/>
      </c>
      <c r="I857" t="str">
        <f>IF(SEFAZ!N839="","",SEFAZ!N839)</f>
        <v/>
      </c>
      <c r="J857" t="str">
        <f>IF(SEFAZ!O839="","",SEFAZ!O839)</f>
        <v/>
      </c>
      <c r="K857" s="11" t="str">
        <f>IF(SEFAZ!P839="","",SEFAZ!P839)</f>
        <v/>
      </c>
      <c r="L857" t="str" cm="1">
        <f t="array" aca="1" ref="L8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7" t="s">
        <v>35</v>
      </c>
      <c r="O857" s="36" t="str">
        <f>IF(SEFAZ!B839="","",SEFAZ!B839)</f>
        <v/>
      </c>
    </row>
    <row r="858" spans="2:15" x14ac:dyDescent="0.3">
      <c r="B858" t="str">
        <f>IF(SEFAZ!A840="","",SEFAZ!A840)</f>
        <v/>
      </c>
      <c r="C858" t="str">
        <f>IF(SEFAZ!C840="","",SEFAZ!C840)</f>
        <v/>
      </c>
      <c r="D858" t="str">
        <f>IF(SEFAZ!D840="","",SEFAZ!D840)</f>
        <v/>
      </c>
      <c r="E858" s="7" t="str">
        <f>IF(SEFAZ!E840="","",SEFAZ!E840)</f>
        <v/>
      </c>
      <c r="F858" s="6" t="str">
        <f>IF(SEFAZ!F840="","",VALUE(SUBSTITUTE(SEFAZ!F840,"'","")))</f>
        <v/>
      </c>
      <c r="G858" t="str">
        <f>IF(SEFAZ!H840="","",SEFAZ!H840)</f>
        <v/>
      </c>
      <c r="H858" t="str">
        <f>IF(SEFAZ!L840="","",SEFAZ!L840)</f>
        <v/>
      </c>
      <c r="I858" t="str">
        <f>IF(SEFAZ!N840="","",SEFAZ!N840)</f>
        <v/>
      </c>
      <c r="J858" t="str">
        <f>IF(SEFAZ!O840="","",SEFAZ!O840)</f>
        <v/>
      </c>
      <c r="K858" s="11" t="str">
        <f>IF(SEFAZ!P840="","",SEFAZ!P840)</f>
        <v/>
      </c>
      <c r="L858" t="str" cm="1">
        <f t="array" aca="1" ref="L8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8" t="s">
        <v>35</v>
      </c>
      <c r="O858" s="36" t="str">
        <f>IF(SEFAZ!B840="","",SEFAZ!B840)</f>
        <v/>
      </c>
    </row>
    <row r="859" spans="2:15" x14ac:dyDescent="0.3">
      <c r="B859" t="str">
        <f>IF(SEFAZ!A841="","",SEFAZ!A841)</f>
        <v/>
      </c>
      <c r="C859" t="str">
        <f>IF(SEFAZ!C841="","",SEFAZ!C841)</f>
        <v/>
      </c>
      <c r="D859" t="str">
        <f>IF(SEFAZ!D841="","",SEFAZ!D841)</f>
        <v/>
      </c>
      <c r="E859" s="7" t="str">
        <f>IF(SEFAZ!E841="","",SEFAZ!E841)</f>
        <v/>
      </c>
      <c r="F859" s="6" t="str">
        <f>IF(SEFAZ!F841="","",VALUE(SUBSTITUTE(SEFAZ!F841,"'","")))</f>
        <v/>
      </c>
      <c r="G859" t="str">
        <f>IF(SEFAZ!H841="","",SEFAZ!H841)</f>
        <v/>
      </c>
      <c r="H859" t="str">
        <f>IF(SEFAZ!L841="","",SEFAZ!L841)</f>
        <v/>
      </c>
      <c r="I859" t="str">
        <f>IF(SEFAZ!N841="","",SEFAZ!N841)</f>
        <v/>
      </c>
      <c r="J859" t="str">
        <f>IF(SEFAZ!O841="","",SEFAZ!O841)</f>
        <v/>
      </c>
      <c r="K859" s="11" t="str">
        <f>IF(SEFAZ!P841="","",SEFAZ!P841)</f>
        <v/>
      </c>
      <c r="L859" t="str" cm="1">
        <f t="array" aca="1" ref="L8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59" t="s">
        <v>35</v>
      </c>
      <c r="O859" s="36" t="str">
        <f>IF(SEFAZ!B841="","",SEFAZ!B841)</f>
        <v/>
      </c>
    </row>
    <row r="860" spans="2:15" x14ac:dyDescent="0.3">
      <c r="B860" t="str">
        <f>IF(SEFAZ!A842="","",SEFAZ!A842)</f>
        <v/>
      </c>
      <c r="C860" t="str">
        <f>IF(SEFAZ!C842="","",SEFAZ!C842)</f>
        <v/>
      </c>
      <c r="D860" t="str">
        <f>IF(SEFAZ!D842="","",SEFAZ!D842)</f>
        <v/>
      </c>
      <c r="E860" s="7" t="str">
        <f>IF(SEFAZ!E842="","",SEFAZ!E842)</f>
        <v/>
      </c>
      <c r="F860" s="6" t="str">
        <f>IF(SEFAZ!F842="","",VALUE(SUBSTITUTE(SEFAZ!F842,"'","")))</f>
        <v/>
      </c>
      <c r="G860" t="str">
        <f>IF(SEFAZ!H842="","",SEFAZ!H842)</f>
        <v/>
      </c>
      <c r="H860" t="str">
        <f>IF(SEFAZ!L842="","",SEFAZ!L842)</f>
        <v/>
      </c>
      <c r="I860" t="str">
        <f>IF(SEFAZ!N842="","",SEFAZ!N842)</f>
        <v/>
      </c>
      <c r="J860" t="str">
        <f>IF(SEFAZ!O842="","",SEFAZ!O842)</f>
        <v/>
      </c>
      <c r="K860" s="11" t="str">
        <f>IF(SEFAZ!P842="","",SEFAZ!P842)</f>
        <v/>
      </c>
      <c r="L860" t="str" cm="1">
        <f t="array" aca="1" ref="L8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0" t="s">
        <v>35</v>
      </c>
      <c r="O860" s="36" t="str">
        <f>IF(SEFAZ!B842="","",SEFAZ!B842)</f>
        <v/>
      </c>
    </row>
    <row r="861" spans="2:15" x14ac:dyDescent="0.3">
      <c r="B861" t="str">
        <f>IF(SEFAZ!A843="","",SEFAZ!A843)</f>
        <v/>
      </c>
      <c r="C861" t="str">
        <f>IF(SEFAZ!C843="","",SEFAZ!C843)</f>
        <v/>
      </c>
      <c r="D861" t="str">
        <f>IF(SEFAZ!D843="","",SEFAZ!D843)</f>
        <v/>
      </c>
      <c r="E861" s="7" t="str">
        <f>IF(SEFAZ!E843="","",SEFAZ!E843)</f>
        <v/>
      </c>
      <c r="F861" s="6" t="str">
        <f>IF(SEFAZ!F843="","",VALUE(SUBSTITUTE(SEFAZ!F843,"'","")))</f>
        <v/>
      </c>
      <c r="G861" t="str">
        <f>IF(SEFAZ!H843="","",SEFAZ!H843)</f>
        <v/>
      </c>
      <c r="H861" t="str">
        <f>IF(SEFAZ!L843="","",SEFAZ!L843)</f>
        <v/>
      </c>
      <c r="I861" t="str">
        <f>IF(SEFAZ!N843="","",SEFAZ!N843)</f>
        <v/>
      </c>
      <c r="J861" t="str">
        <f>IF(SEFAZ!O843="","",SEFAZ!O843)</f>
        <v/>
      </c>
      <c r="K861" s="11" t="str">
        <f>IF(SEFAZ!P843="","",SEFAZ!P843)</f>
        <v/>
      </c>
      <c r="L861" t="str" cm="1">
        <f t="array" aca="1" ref="L8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1" t="s">
        <v>35</v>
      </c>
      <c r="O861" s="36" t="str">
        <f>IF(SEFAZ!B843="","",SEFAZ!B843)</f>
        <v/>
      </c>
    </row>
    <row r="862" spans="2:15" x14ac:dyDescent="0.3">
      <c r="B862" t="str">
        <f>IF(SEFAZ!A844="","",SEFAZ!A844)</f>
        <v/>
      </c>
      <c r="C862" t="str">
        <f>IF(SEFAZ!C844="","",SEFAZ!C844)</f>
        <v/>
      </c>
      <c r="D862" t="str">
        <f>IF(SEFAZ!D844="","",SEFAZ!D844)</f>
        <v/>
      </c>
      <c r="E862" s="7" t="str">
        <f>IF(SEFAZ!E844="","",SEFAZ!E844)</f>
        <v/>
      </c>
      <c r="F862" s="6" t="str">
        <f>IF(SEFAZ!F844="","",VALUE(SUBSTITUTE(SEFAZ!F844,"'","")))</f>
        <v/>
      </c>
      <c r="G862" t="str">
        <f>IF(SEFAZ!H844="","",SEFAZ!H844)</f>
        <v/>
      </c>
      <c r="H862" t="str">
        <f>IF(SEFAZ!L844="","",SEFAZ!L844)</f>
        <v/>
      </c>
      <c r="I862" t="str">
        <f>IF(SEFAZ!N844="","",SEFAZ!N844)</f>
        <v/>
      </c>
      <c r="J862" t="str">
        <f>IF(SEFAZ!O844="","",SEFAZ!O844)</f>
        <v/>
      </c>
      <c r="K862" s="11" t="str">
        <f>IF(SEFAZ!P844="","",SEFAZ!P844)</f>
        <v/>
      </c>
      <c r="L862" t="str" cm="1">
        <f t="array" aca="1" ref="L8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2" t="s">
        <v>35</v>
      </c>
      <c r="O862" s="36" t="str">
        <f>IF(SEFAZ!B844="","",SEFAZ!B844)</f>
        <v/>
      </c>
    </row>
    <row r="863" spans="2:15" x14ac:dyDescent="0.3">
      <c r="B863" t="str">
        <f>IF(SEFAZ!A845="","",SEFAZ!A845)</f>
        <v/>
      </c>
      <c r="C863" t="str">
        <f>IF(SEFAZ!C845="","",SEFAZ!C845)</f>
        <v/>
      </c>
      <c r="D863" t="str">
        <f>IF(SEFAZ!D845="","",SEFAZ!D845)</f>
        <v/>
      </c>
      <c r="E863" s="7" t="str">
        <f>IF(SEFAZ!E845="","",SEFAZ!E845)</f>
        <v/>
      </c>
      <c r="F863" s="6" t="str">
        <f>IF(SEFAZ!F845="","",VALUE(SUBSTITUTE(SEFAZ!F845,"'","")))</f>
        <v/>
      </c>
      <c r="G863" t="str">
        <f>IF(SEFAZ!H845="","",SEFAZ!H845)</f>
        <v/>
      </c>
      <c r="H863" t="str">
        <f>IF(SEFAZ!L845="","",SEFAZ!L845)</f>
        <v/>
      </c>
      <c r="I863" t="str">
        <f>IF(SEFAZ!N845="","",SEFAZ!N845)</f>
        <v/>
      </c>
      <c r="J863" t="str">
        <f>IF(SEFAZ!O845="","",SEFAZ!O845)</f>
        <v/>
      </c>
      <c r="K863" s="11" t="str">
        <f>IF(SEFAZ!P845="","",SEFAZ!P845)</f>
        <v/>
      </c>
      <c r="L863" t="str" cm="1">
        <f t="array" aca="1" ref="L8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3" t="s">
        <v>35</v>
      </c>
      <c r="O863" s="36" t="str">
        <f>IF(SEFAZ!B845="","",SEFAZ!B845)</f>
        <v/>
      </c>
    </row>
    <row r="864" spans="2:15" x14ac:dyDescent="0.3">
      <c r="B864" t="str">
        <f>IF(SEFAZ!A846="","",SEFAZ!A846)</f>
        <v/>
      </c>
      <c r="C864" t="str">
        <f>IF(SEFAZ!C846="","",SEFAZ!C846)</f>
        <v/>
      </c>
      <c r="D864" t="str">
        <f>IF(SEFAZ!D846="","",SEFAZ!D846)</f>
        <v/>
      </c>
      <c r="E864" s="7" t="str">
        <f>IF(SEFAZ!E846="","",SEFAZ!E846)</f>
        <v/>
      </c>
      <c r="F864" s="6" t="str">
        <f>IF(SEFAZ!F846="","",VALUE(SUBSTITUTE(SEFAZ!F846,"'","")))</f>
        <v/>
      </c>
      <c r="G864" t="str">
        <f>IF(SEFAZ!H846="","",SEFAZ!H846)</f>
        <v/>
      </c>
      <c r="H864" t="str">
        <f>IF(SEFAZ!L846="","",SEFAZ!L846)</f>
        <v/>
      </c>
      <c r="I864" t="str">
        <f>IF(SEFAZ!N846="","",SEFAZ!N846)</f>
        <v/>
      </c>
      <c r="J864" t="str">
        <f>IF(SEFAZ!O846="","",SEFAZ!O846)</f>
        <v/>
      </c>
      <c r="K864" s="11" t="str">
        <f>IF(SEFAZ!P846="","",SEFAZ!P846)</f>
        <v/>
      </c>
      <c r="L864" t="str" cm="1">
        <f t="array" aca="1" ref="L8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4" t="s">
        <v>35</v>
      </c>
      <c r="O864" s="36" t="str">
        <f>IF(SEFAZ!B846="","",SEFAZ!B846)</f>
        <v/>
      </c>
    </row>
    <row r="865" spans="2:15" x14ac:dyDescent="0.3">
      <c r="B865" t="str">
        <f>IF(SEFAZ!A847="","",SEFAZ!A847)</f>
        <v/>
      </c>
      <c r="C865" t="str">
        <f>IF(SEFAZ!C847="","",SEFAZ!C847)</f>
        <v/>
      </c>
      <c r="D865" t="str">
        <f>IF(SEFAZ!D847="","",SEFAZ!D847)</f>
        <v/>
      </c>
      <c r="E865" s="7" t="str">
        <f>IF(SEFAZ!E847="","",SEFAZ!E847)</f>
        <v/>
      </c>
      <c r="F865" s="6" t="str">
        <f>IF(SEFAZ!F847="","",VALUE(SUBSTITUTE(SEFAZ!F847,"'","")))</f>
        <v/>
      </c>
      <c r="G865" t="str">
        <f>IF(SEFAZ!H847="","",SEFAZ!H847)</f>
        <v/>
      </c>
      <c r="H865" t="str">
        <f>IF(SEFAZ!L847="","",SEFAZ!L847)</f>
        <v/>
      </c>
      <c r="I865" t="str">
        <f>IF(SEFAZ!N847="","",SEFAZ!N847)</f>
        <v/>
      </c>
      <c r="J865" t="str">
        <f>IF(SEFAZ!O847="","",SEFAZ!O847)</f>
        <v/>
      </c>
      <c r="K865" s="11" t="str">
        <f>IF(SEFAZ!P847="","",SEFAZ!P847)</f>
        <v/>
      </c>
      <c r="L865" t="str" cm="1">
        <f t="array" aca="1" ref="L8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5" t="s">
        <v>35</v>
      </c>
      <c r="O865" s="36" t="str">
        <f>IF(SEFAZ!B847="","",SEFAZ!B847)</f>
        <v/>
      </c>
    </row>
    <row r="866" spans="2:15" x14ac:dyDescent="0.3">
      <c r="B866" t="str">
        <f>IF(SEFAZ!A848="","",SEFAZ!A848)</f>
        <v/>
      </c>
      <c r="C866" t="str">
        <f>IF(SEFAZ!C848="","",SEFAZ!C848)</f>
        <v/>
      </c>
      <c r="D866" t="str">
        <f>IF(SEFAZ!D848="","",SEFAZ!D848)</f>
        <v/>
      </c>
      <c r="E866" s="7" t="str">
        <f>IF(SEFAZ!E848="","",SEFAZ!E848)</f>
        <v/>
      </c>
      <c r="F866" s="6" t="str">
        <f>IF(SEFAZ!F848="","",VALUE(SUBSTITUTE(SEFAZ!F848,"'","")))</f>
        <v/>
      </c>
      <c r="G866" t="str">
        <f>IF(SEFAZ!H848="","",SEFAZ!H848)</f>
        <v/>
      </c>
      <c r="H866" t="str">
        <f>IF(SEFAZ!L848="","",SEFAZ!L848)</f>
        <v/>
      </c>
      <c r="I866" t="str">
        <f>IF(SEFAZ!N848="","",SEFAZ!N848)</f>
        <v/>
      </c>
      <c r="J866" t="str">
        <f>IF(SEFAZ!O848="","",SEFAZ!O848)</f>
        <v/>
      </c>
      <c r="K866" s="11" t="str">
        <f>IF(SEFAZ!P848="","",SEFAZ!P848)</f>
        <v/>
      </c>
      <c r="L866" t="str" cm="1">
        <f t="array" aca="1" ref="L8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6" t="s">
        <v>35</v>
      </c>
      <c r="O866" s="36" t="str">
        <f>IF(SEFAZ!B848="","",SEFAZ!B848)</f>
        <v/>
      </c>
    </row>
    <row r="867" spans="2:15" x14ac:dyDescent="0.3">
      <c r="B867" t="str">
        <f>IF(SEFAZ!A849="","",SEFAZ!A849)</f>
        <v/>
      </c>
      <c r="C867" t="str">
        <f>IF(SEFAZ!C849="","",SEFAZ!C849)</f>
        <v/>
      </c>
      <c r="D867" t="str">
        <f>IF(SEFAZ!D849="","",SEFAZ!D849)</f>
        <v/>
      </c>
      <c r="E867" s="7" t="str">
        <f>IF(SEFAZ!E849="","",SEFAZ!E849)</f>
        <v/>
      </c>
      <c r="F867" s="6" t="str">
        <f>IF(SEFAZ!F849="","",VALUE(SUBSTITUTE(SEFAZ!F849,"'","")))</f>
        <v/>
      </c>
      <c r="G867" t="str">
        <f>IF(SEFAZ!H849="","",SEFAZ!H849)</f>
        <v/>
      </c>
      <c r="H867" t="str">
        <f>IF(SEFAZ!L849="","",SEFAZ!L849)</f>
        <v/>
      </c>
      <c r="I867" t="str">
        <f>IF(SEFAZ!N849="","",SEFAZ!N849)</f>
        <v/>
      </c>
      <c r="J867" t="str">
        <f>IF(SEFAZ!O849="","",SEFAZ!O849)</f>
        <v/>
      </c>
      <c r="K867" s="11" t="str">
        <f>IF(SEFAZ!P849="","",SEFAZ!P849)</f>
        <v/>
      </c>
      <c r="L867" t="str" cm="1">
        <f t="array" aca="1" ref="L8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7" t="s">
        <v>35</v>
      </c>
      <c r="O867" s="36" t="str">
        <f>IF(SEFAZ!B849="","",SEFAZ!B849)</f>
        <v/>
      </c>
    </row>
    <row r="868" spans="2:15" x14ac:dyDescent="0.3">
      <c r="B868" t="str">
        <f>IF(SEFAZ!A850="","",SEFAZ!A850)</f>
        <v/>
      </c>
      <c r="C868" t="str">
        <f>IF(SEFAZ!C850="","",SEFAZ!C850)</f>
        <v/>
      </c>
      <c r="D868" t="str">
        <f>IF(SEFAZ!D850="","",SEFAZ!D850)</f>
        <v/>
      </c>
      <c r="E868" s="7" t="str">
        <f>IF(SEFAZ!E850="","",SEFAZ!E850)</f>
        <v/>
      </c>
      <c r="F868" s="6" t="str">
        <f>IF(SEFAZ!F850="","",VALUE(SUBSTITUTE(SEFAZ!F850,"'","")))</f>
        <v/>
      </c>
      <c r="G868" t="str">
        <f>IF(SEFAZ!H850="","",SEFAZ!H850)</f>
        <v/>
      </c>
      <c r="H868" t="str">
        <f>IF(SEFAZ!L850="","",SEFAZ!L850)</f>
        <v/>
      </c>
      <c r="I868" t="str">
        <f>IF(SEFAZ!N850="","",SEFAZ!N850)</f>
        <v/>
      </c>
      <c r="J868" t="str">
        <f>IF(SEFAZ!O850="","",SEFAZ!O850)</f>
        <v/>
      </c>
      <c r="K868" s="11" t="str">
        <f>IF(SEFAZ!P850="","",SEFAZ!P850)</f>
        <v/>
      </c>
      <c r="L868" t="str" cm="1">
        <f t="array" aca="1" ref="L8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8" t="s">
        <v>35</v>
      </c>
      <c r="O868" s="36" t="str">
        <f>IF(SEFAZ!B850="","",SEFAZ!B850)</f>
        <v/>
      </c>
    </row>
    <row r="869" spans="2:15" x14ac:dyDescent="0.3">
      <c r="B869" t="str">
        <f>IF(SEFAZ!A851="","",SEFAZ!A851)</f>
        <v/>
      </c>
      <c r="C869" t="str">
        <f>IF(SEFAZ!C851="","",SEFAZ!C851)</f>
        <v/>
      </c>
      <c r="D869" t="str">
        <f>IF(SEFAZ!D851="","",SEFAZ!D851)</f>
        <v/>
      </c>
      <c r="E869" s="7" t="str">
        <f>IF(SEFAZ!E851="","",SEFAZ!E851)</f>
        <v/>
      </c>
      <c r="F869" s="6" t="str">
        <f>IF(SEFAZ!F851="","",VALUE(SUBSTITUTE(SEFAZ!F851,"'","")))</f>
        <v/>
      </c>
      <c r="G869" t="str">
        <f>IF(SEFAZ!H851="","",SEFAZ!H851)</f>
        <v/>
      </c>
      <c r="H869" t="str">
        <f>IF(SEFAZ!L851="","",SEFAZ!L851)</f>
        <v/>
      </c>
      <c r="I869" t="str">
        <f>IF(SEFAZ!N851="","",SEFAZ!N851)</f>
        <v/>
      </c>
      <c r="J869" t="str">
        <f>IF(SEFAZ!O851="","",SEFAZ!O851)</f>
        <v/>
      </c>
      <c r="K869" s="11" t="str">
        <f>IF(SEFAZ!P851="","",SEFAZ!P851)</f>
        <v/>
      </c>
      <c r="L869" t="str" cm="1">
        <f t="array" aca="1" ref="L8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69" t="s">
        <v>35</v>
      </c>
      <c r="O869" s="36" t="str">
        <f>IF(SEFAZ!B851="","",SEFAZ!B851)</f>
        <v/>
      </c>
    </row>
    <row r="870" spans="2:15" x14ac:dyDescent="0.3">
      <c r="B870" t="str">
        <f>IF(SEFAZ!A852="","",SEFAZ!A852)</f>
        <v/>
      </c>
      <c r="C870" t="str">
        <f>IF(SEFAZ!C852="","",SEFAZ!C852)</f>
        <v/>
      </c>
      <c r="D870" t="str">
        <f>IF(SEFAZ!D852="","",SEFAZ!D852)</f>
        <v/>
      </c>
      <c r="E870" s="7" t="str">
        <f>IF(SEFAZ!E852="","",SEFAZ!E852)</f>
        <v/>
      </c>
      <c r="F870" s="6" t="str">
        <f>IF(SEFAZ!F852="","",VALUE(SUBSTITUTE(SEFAZ!F852,"'","")))</f>
        <v/>
      </c>
      <c r="G870" t="str">
        <f>IF(SEFAZ!H852="","",SEFAZ!H852)</f>
        <v/>
      </c>
      <c r="H870" t="str">
        <f>IF(SEFAZ!L852="","",SEFAZ!L852)</f>
        <v/>
      </c>
      <c r="I870" t="str">
        <f>IF(SEFAZ!N852="","",SEFAZ!N852)</f>
        <v/>
      </c>
      <c r="J870" t="str">
        <f>IF(SEFAZ!O852="","",SEFAZ!O852)</f>
        <v/>
      </c>
      <c r="K870" s="11" t="str">
        <f>IF(SEFAZ!P852="","",SEFAZ!P852)</f>
        <v/>
      </c>
      <c r="L870" t="str" cm="1">
        <f t="array" aca="1" ref="L8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0" t="s">
        <v>35</v>
      </c>
      <c r="O870" s="36" t="str">
        <f>IF(SEFAZ!B852="","",SEFAZ!B852)</f>
        <v/>
      </c>
    </row>
    <row r="871" spans="2:15" x14ac:dyDescent="0.3">
      <c r="B871" t="str">
        <f>IF(SEFAZ!A853="","",SEFAZ!A853)</f>
        <v/>
      </c>
      <c r="C871" t="str">
        <f>IF(SEFAZ!C853="","",SEFAZ!C853)</f>
        <v/>
      </c>
      <c r="D871" t="str">
        <f>IF(SEFAZ!D853="","",SEFAZ!D853)</f>
        <v/>
      </c>
      <c r="E871" s="7" t="str">
        <f>IF(SEFAZ!E853="","",SEFAZ!E853)</f>
        <v/>
      </c>
      <c r="F871" s="6" t="str">
        <f>IF(SEFAZ!F853="","",VALUE(SUBSTITUTE(SEFAZ!F853,"'","")))</f>
        <v/>
      </c>
      <c r="G871" t="str">
        <f>IF(SEFAZ!H853="","",SEFAZ!H853)</f>
        <v/>
      </c>
      <c r="H871" t="str">
        <f>IF(SEFAZ!L853="","",SEFAZ!L853)</f>
        <v/>
      </c>
      <c r="I871" t="str">
        <f>IF(SEFAZ!N853="","",SEFAZ!N853)</f>
        <v/>
      </c>
      <c r="J871" t="str">
        <f>IF(SEFAZ!O853="","",SEFAZ!O853)</f>
        <v/>
      </c>
      <c r="K871" s="11" t="str">
        <f>IF(SEFAZ!P853="","",SEFAZ!P853)</f>
        <v/>
      </c>
      <c r="L871" t="str" cm="1">
        <f t="array" aca="1" ref="L8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1" t="s">
        <v>35</v>
      </c>
      <c r="O871" s="36" t="str">
        <f>IF(SEFAZ!B853="","",SEFAZ!B853)</f>
        <v/>
      </c>
    </row>
    <row r="872" spans="2:15" x14ac:dyDescent="0.3">
      <c r="B872" t="str">
        <f>IF(SEFAZ!A854="","",SEFAZ!A854)</f>
        <v/>
      </c>
      <c r="C872" t="str">
        <f>IF(SEFAZ!C854="","",SEFAZ!C854)</f>
        <v/>
      </c>
      <c r="D872" t="str">
        <f>IF(SEFAZ!D854="","",SEFAZ!D854)</f>
        <v/>
      </c>
      <c r="E872" s="7" t="str">
        <f>IF(SEFAZ!E854="","",SEFAZ!E854)</f>
        <v/>
      </c>
      <c r="F872" s="6" t="str">
        <f>IF(SEFAZ!F854="","",VALUE(SUBSTITUTE(SEFAZ!F854,"'","")))</f>
        <v/>
      </c>
      <c r="G872" t="str">
        <f>IF(SEFAZ!H854="","",SEFAZ!H854)</f>
        <v/>
      </c>
      <c r="H872" t="str">
        <f>IF(SEFAZ!L854="","",SEFAZ!L854)</f>
        <v/>
      </c>
      <c r="I872" t="str">
        <f>IF(SEFAZ!N854="","",SEFAZ!N854)</f>
        <v/>
      </c>
      <c r="J872" t="str">
        <f>IF(SEFAZ!O854="","",SEFAZ!O854)</f>
        <v/>
      </c>
      <c r="K872" s="11" t="str">
        <f>IF(SEFAZ!P854="","",SEFAZ!P854)</f>
        <v/>
      </c>
      <c r="L872" t="str" cm="1">
        <f t="array" aca="1" ref="L8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2" t="s">
        <v>35</v>
      </c>
      <c r="O872" s="36" t="str">
        <f>IF(SEFAZ!B854="","",SEFAZ!B854)</f>
        <v/>
      </c>
    </row>
    <row r="873" spans="2:15" x14ac:dyDescent="0.3">
      <c r="B873" t="str">
        <f>IF(SEFAZ!A855="","",SEFAZ!A855)</f>
        <v/>
      </c>
      <c r="C873" t="str">
        <f>IF(SEFAZ!C855="","",SEFAZ!C855)</f>
        <v/>
      </c>
      <c r="D873" t="str">
        <f>IF(SEFAZ!D855="","",SEFAZ!D855)</f>
        <v/>
      </c>
      <c r="E873" s="7" t="str">
        <f>IF(SEFAZ!E855="","",SEFAZ!E855)</f>
        <v/>
      </c>
      <c r="F873" s="6" t="str">
        <f>IF(SEFAZ!F855="","",VALUE(SUBSTITUTE(SEFAZ!F855,"'","")))</f>
        <v/>
      </c>
      <c r="G873" t="str">
        <f>IF(SEFAZ!H855="","",SEFAZ!H855)</f>
        <v/>
      </c>
      <c r="H873" t="str">
        <f>IF(SEFAZ!L855="","",SEFAZ!L855)</f>
        <v/>
      </c>
      <c r="I873" t="str">
        <f>IF(SEFAZ!N855="","",SEFAZ!N855)</f>
        <v/>
      </c>
      <c r="J873" t="str">
        <f>IF(SEFAZ!O855="","",SEFAZ!O855)</f>
        <v/>
      </c>
      <c r="K873" s="11" t="str">
        <f>IF(SEFAZ!P855="","",SEFAZ!P855)</f>
        <v/>
      </c>
      <c r="L873" t="str" cm="1">
        <f t="array" aca="1" ref="L8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3" t="s">
        <v>35</v>
      </c>
      <c r="O873" s="36" t="str">
        <f>IF(SEFAZ!B855="","",SEFAZ!B855)</f>
        <v/>
      </c>
    </row>
    <row r="874" spans="2:15" x14ac:dyDescent="0.3">
      <c r="B874" t="str">
        <f>IF(SEFAZ!A856="","",SEFAZ!A856)</f>
        <v/>
      </c>
      <c r="C874" t="str">
        <f>IF(SEFAZ!C856="","",SEFAZ!C856)</f>
        <v/>
      </c>
      <c r="D874" t="str">
        <f>IF(SEFAZ!D856="","",SEFAZ!D856)</f>
        <v/>
      </c>
      <c r="E874" s="7" t="str">
        <f>IF(SEFAZ!E856="","",SEFAZ!E856)</f>
        <v/>
      </c>
      <c r="F874" s="6" t="str">
        <f>IF(SEFAZ!F856="","",VALUE(SUBSTITUTE(SEFAZ!F856,"'","")))</f>
        <v/>
      </c>
      <c r="G874" t="str">
        <f>IF(SEFAZ!H856="","",SEFAZ!H856)</f>
        <v/>
      </c>
      <c r="H874" t="str">
        <f>IF(SEFAZ!L856="","",SEFAZ!L856)</f>
        <v/>
      </c>
      <c r="I874" t="str">
        <f>IF(SEFAZ!N856="","",SEFAZ!N856)</f>
        <v/>
      </c>
      <c r="J874" t="str">
        <f>IF(SEFAZ!O856="","",SEFAZ!O856)</f>
        <v/>
      </c>
      <c r="K874" s="11" t="str">
        <f>IF(SEFAZ!P856="","",SEFAZ!P856)</f>
        <v/>
      </c>
      <c r="L874" t="str" cm="1">
        <f t="array" aca="1" ref="L8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4" t="s">
        <v>35</v>
      </c>
      <c r="O874" s="36" t="str">
        <f>IF(SEFAZ!B856="","",SEFAZ!B856)</f>
        <v/>
      </c>
    </row>
    <row r="875" spans="2:15" x14ac:dyDescent="0.3">
      <c r="B875" t="str">
        <f>IF(SEFAZ!A857="","",SEFAZ!A857)</f>
        <v/>
      </c>
      <c r="C875" t="str">
        <f>IF(SEFAZ!C857="","",SEFAZ!C857)</f>
        <v/>
      </c>
      <c r="D875" t="str">
        <f>IF(SEFAZ!D857="","",SEFAZ!D857)</f>
        <v/>
      </c>
      <c r="E875" s="7" t="str">
        <f>IF(SEFAZ!E857="","",SEFAZ!E857)</f>
        <v/>
      </c>
      <c r="F875" s="6" t="str">
        <f>IF(SEFAZ!F857="","",VALUE(SUBSTITUTE(SEFAZ!F857,"'","")))</f>
        <v/>
      </c>
      <c r="G875" t="str">
        <f>IF(SEFAZ!H857="","",SEFAZ!H857)</f>
        <v/>
      </c>
      <c r="H875" t="str">
        <f>IF(SEFAZ!L857="","",SEFAZ!L857)</f>
        <v/>
      </c>
      <c r="I875" t="str">
        <f>IF(SEFAZ!N857="","",SEFAZ!N857)</f>
        <v/>
      </c>
      <c r="J875" t="str">
        <f>IF(SEFAZ!O857="","",SEFAZ!O857)</f>
        <v/>
      </c>
      <c r="K875" s="11" t="str">
        <f>IF(SEFAZ!P857="","",SEFAZ!P857)</f>
        <v/>
      </c>
      <c r="L875" t="str" cm="1">
        <f t="array" aca="1" ref="L8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5" t="s">
        <v>35</v>
      </c>
      <c r="O875" s="36" t="str">
        <f>IF(SEFAZ!B857="","",SEFAZ!B857)</f>
        <v/>
      </c>
    </row>
    <row r="876" spans="2:15" x14ac:dyDescent="0.3">
      <c r="B876" t="str">
        <f>IF(SEFAZ!A858="","",SEFAZ!A858)</f>
        <v/>
      </c>
      <c r="C876" t="str">
        <f>IF(SEFAZ!C858="","",SEFAZ!C858)</f>
        <v/>
      </c>
      <c r="D876" t="str">
        <f>IF(SEFAZ!D858="","",SEFAZ!D858)</f>
        <v/>
      </c>
      <c r="E876" s="7" t="str">
        <f>IF(SEFAZ!E858="","",SEFAZ!E858)</f>
        <v/>
      </c>
      <c r="F876" s="6" t="str">
        <f>IF(SEFAZ!F858="","",VALUE(SUBSTITUTE(SEFAZ!F858,"'","")))</f>
        <v/>
      </c>
      <c r="G876" t="str">
        <f>IF(SEFAZ!H858="","",SEFAZ!H858)</f>
        <v/>
      </c>
      <c r="H876" t="str">
        <f>IF(SEFAZ!L858="","",SEFAZ!L858)</f>
        <v/>
      </c>
      <c r="I876" t="str">
        <f>IF(SEFAZ!N858="","",SEFAZ!N858)</f>
        <v/>
      </c>
      <c r="J876" t="str">
        <f>IF(SEFAZ!O858="","",SEFAZ!O858)</f>
        <v/>
      </c>
      <c r="K876" s="11" t="str">
        <f>IF(SEFAZ!P858="","",SEFAZ!P858)</f>
        <v/>
      </c>
      <c r="L876" t="str" cm="1">
        <f t="array" aca="1" ref="L8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6" t="s">
        <v>35</v>
      </c>
      <c r="O876" s="36" t="str">
        <f>IF(SEFAZ!B858="","",SEFAZ!B858)</f>
        <v/>
      </c>
    </row>
    <row r="877" spans="2:15" x14ac:dyDescent="0.3">
      <c r="B877" t="str">
        <f>IF(SEFAZ!A859="","",SEFAZ!A859)</f>
        <v/>
      </c>
      <c r="C877" t="str">
        <f>IF(SEFAZ!C859="","",SEFAZ!C859)</f>
        <v/>
      </c>
      <c r="D877" t="str">
        <f>IF(SEFAZ!D859="","",SEFAZ!D859)</f>
        <v/>
      </c>
      <c r="E877" s="7" t="str">
        <f>IF(SEFAZ!E859="","",SEFAZ!E859)</f>
        <v/>
      </c>
      <c r="F877" s="6" t="str">
        <f>IF(SEFAZ!F859="","",VALUE(SUBSTITUTE(SEFAZ!F859,"'","")))</f>
        <v/>
      </c>
      <c r="G877" t="str">
        <f>IF(SEFAZ!H859="","",SEFAZ!H859)</f>
        <v/>
      </c>
      <c r="H877" t="str">
        <f>IF(SEFAZ!L859="","",SEFAZ!L859)</f>
        <v/>
      </c>
      <c r="I877" t="str">
        <f>IF(SEFAZ!N859="","",SEFAZ!N859)</f>
        <v/>
      </c>
      <c r="J877" t="str">
        <f>IF(SEFAZ!O859="","",SEFAZ!O859)</f>
        <v/>
      </c>
      <c r="K877" s="11" t="str">
        <f>IF(SEFAZ!P859="","",SEFAZ!P859)</f>
        <v/>
      </c>
      <c r="L877" t="str" cm="1">
        <f t="array" aca="1" ref="L8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7" t="s">
        <v>35</v>
      </c>
      <c r="O877" s="36" t="str">
        <f>IF(SEFAZ!B859="","",SEFAZ!B859)</f>
        <v/>
      </c>
    </row>
    <row r="878" spans="2:15" x14ac:dyDescent="0.3">
      <c r="B878" t="str">
        <f>IF(SEFAZ!A860="","",SEFAZ!A860)</f>
        <v/>
      </c>
      <c r="C878" t="str">
        <f>IF(SEFAZ!C860="","",SEFAZ!C860)</f>
        <v/>
      </c>
      <c r="D878" t="str">
        <f>IF(SEFAZ!D860="","",SEFAZ!D860)</f>
        <v/>
      </c>
      <c r="E878" s="7" t="str">
        <f>IF(SEFAZ!E860="","",SEFAZ!E860)</f>
        <v/>
      </c>
      <c r="F878" s="6" t="str">
        <f>IF(SEFAZ!F860="","",VALUE(SUBSTITUTE(SEFAZ!F860,"'","")))</f>
        <v/>
      </c>
      <c r="G878" t="str">
        <f>IF(SEFAZ!H860="","",SEFAZ!H860)</f>
        <v/>
      </c>
      <c r="H878" t="str">
        <f>IF(SEFAZ!L860="","",SEFAZ!L860)</f>
        <v/>
      </c>
      <c r="I878" t="str">
        <f>IF(SEFAZ!N860="","",SEFAZ!N860)</f>
        <v/>
      </c>
      <c r="J878" t="str">
        <f>IF(SEFAZ!O860="","",SEFAZ!O860)</f>
        <v/>
      </c>
      <c r="K878" s="11" t="str">
        <f>IF(SEFAZ!P860="","",SEFAZ!P860)</f>
        <v/>
      </c>
      <c r="L878" t="str" cm="1">
        <f t="array" aca="1" ref="L8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8" t="s">
        <v>35</v>
      </c>
      <c r="O878" s="36" t="str">
        <f>IF(SEFAZ!B860="","",SEFAZ!B860)</f>
        <v/>
      </c>
    </row>
    <row r="879" spans="2:15" x14ac:dyDescent="0.3">
      <c r="B879" t="str">
        <f>IF(SEFAZ!A861="","",SEFAZ!A861)</f>
        <v/>
      </c>
      <c r="C879" t="str">
        <f>IF(SEFAZ!C861="","",SEFAZ!C861)</f>
        <v/>
      </c>
      <c r="D879" t="str">
        <f>IF(SEFAZ!D861="","",SEFAZ!D861)</f>
        <v/>
      </c>
      <c r="E879" s="7" t="str">
        <f>IF(SEFAZ!E861="","",SEFAZ!E861)</f>
        <v/>
      </c>
      <c r="F879" s="6" t="str">
        <f>IF(SEFAZ!F861="","",VALUE(SUBSTITUTE(SEFAZ!F861,"'","")))</f>
        <v/>
      </c>
      <c r="G879" t="str">
        <f>IF(SEFAZ!H861="","",SEFAZ!H861)</f>
        <v/>
      </c>
      <c r="H879" t="str">
        <f>IF(SEFAZ!L861="","",SEFAZ!L861)</f>
        <v/>
      </c>
      <c r="I879" t="str">
        <f>IF(SEFAZ!N861="","",SEFAZ!N861)</f>
        <v/>
      </c>
      <c r="J879" t="str">
        <f>IF(SEFAZ!O861="","",SEFAZ!O861)</f>
        <v/>
      </c>
      <c r="K879" s="11" t="str">
        <f>IF(SEFAZ!P861="","",SEFAZ!P861)</f>
        <v/>
      </c>
      <c r="L879" t="str" cm="1">
        <f t="array" aca="1" ref="L8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79" t="s">
        <v>35</v>
      </c>
      <c r="O879" s="36" t="str">
        <f>IF(SEFAZ!B861="","",SEFAZ!B861)</f>
        <v/>
      </c>
    </row>
    <row r="880" spans="2:15" x14ac:dyDescent="0.3">
      <c r="B880" t="str">
        <f>IF(SEFAZ!A862="","",SEFAZ!A862)</f>
        <v/>
      </c>
      <c r="C880" t="str">
        <f>IF(SEFAZ!C862="","",SEFAZ!C862)</f>
        <v/>
      </c>
      <c r="D880" t="str">
        <f>IF(SEFAZ!D862="","",SEFAZ!D862)</f>
        <v/>
      </c>
      <c r="E880" s="7" t="str">
        <f>IF(SEFAZ!E862="","",SEFAZ!E862)</f>
        <v/>
      </c>
      <c r="F880" s="6" t="str">
        <f>IF(SEFAZ!F862="","",VALUE(SUBSTITUTE(SEFAZ!F862,"'","")))</f>
        <v/>
      </c>
      <c r="G880" t="str">
        <f>IF(SEFAZ!H862="","",SEFAZ!H862)</f>
        <v/>
      </c>
      <c r="H880" t="str">
        <f>IF(SEFAZ!L862="","",SEFAZ!L862)</f>
        <v/>
      </c>
      <c r="I880" t="str">
        <f>IF(SEFAZ!N862="","",SEFAZ!N862)</f>
        <v/>
      </c>
      <c r="J880" t="str">
        <f>IF(SEFAZ!O862="","",SEFAZ!O862)</f>
        <v/>
      </c>
      <c r="K880" s="11" t="str">
        <f>IF(SEFAZ!P862="","",SEFAZ!P862)</f>
        <v/>
      </c>
      <c r="L880" t="str" cm="1">
        <f t="array" aca="1" ref="L8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0" t="s">
        <v>35</v>
      </c>
      <c r="O880" s="36" t="str">
        <f>IF(SEFAZ!B862="","",SEFAZ!B862)</f>
        <v/>
      </c>
    </row>
    <row r="881" spans="2:15" x14ac:dyDescent="0.3">
      <c r="B881" t="str">
        <f>IF(SEFAZ!A863="","",SEFAZ!A863)</f>
        <v/>
      </c>
      <c r="C881" t="str">
        <f>IF(SEFAZ!C863="","",SEFAZ!C863)</f>
        <v/>
      </c>
      <c r="D881" t="str">
        <f>IF(SEFAZ!D863="","",SEFAZ!D863)</f>
        <v/>
      </c>
      <c r="E881" s="7" t="str">
        <f>IF(SEFAZ!E863="","",SEFAZ!E863)</f>
        <v/>
      </c>
      <c r="F881" s="6" t="str">
        <f>IF(SEFAZ!F863="","",VALUE(SUBSTITUTE(SEFAZ!F863,"'","")))</f>
        <v/>
      </c>
      <c r="G881" t="str">
        <f>IF(SEFAZ!H863="","",SEFAZ!H863)</f>
        <v/>
      </c>
      <c r="H881" t="str">
        <f>IF(SEFAZ!L863="","",SEFAZ!L863)</f>
        <v/>
      </c>
      <c r="I881" t="str">
        <f>IF(SEFAZ!N863="","",SEFAZ!N863)</f>
        <v/>
      </c>
      <c r="J881" t="str">
        <f>IF(SEFAZ!O863="","",SEFAZ!O863)</f>
        <v/>
      </c>
      <c r="K881" s="11" t="str">
        <f>IF(SEFAZ!P863="","",SEFAZ!P863)</f>
        <v/>
      </c>
      <c r="L881" t="str" cm="1">
        <f t="array" aca="1" ref="L8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1" t="s">
        <v>35</v>
      </c>
      <c r="O881" s="36" t="str">
        <f>IF(SEFAZ!B863="","",SEFAZ!B863)</f>
        <v/>
      </c>
    </row>
    <row r="882" spans="2:15" x14ac:dyDescent="0.3">
      <c r="B882" t="str">
        <f>IF(SEFAZ!A864="","",SEFAZ!A864)</f>
        <v/>
      </c>
      <c r="C882" t="str">
        <f>IF(SEFAZ!C864="","",SEFAZ!C864)</f>
        <v/>
      </c>
      <c r="D882" t="str">
        <f>IF(SEFAZ!D864="","",SEFAZ!D864)</f>
        <v/>
      </c>
      <c r="E882" s="7" t="str">
        <f>IF(SEFAZ!E864="","",SEFAZ!E864)</f>
        <v/>
      </c>
      <c r="F882" s="6" t="str">
        <f>IF(SEFAZ!F864="","",VALUE(SUBSTITUTE(SEFAZ!F864,"'","")))</f>
        <v/>
      </c>
      <c r="G882" t="str">
        <f>IF(SEFAZ!H864="","",SEFAZ!H864)</f>
        <v/>
      </c>
      <c r="H882" t="str">
        <f>IF(SEFAZ!L864="","",SEFAZ!L864)</f>
        <v/>
      </c>
      <c r="I882" t="str">
        <f>IF(SEFAZ!N864="","",SEFAZ!N864)</f>
        <v/>
      </c>
      <c r="J882" t="str">
        <f>IF(SEFAZ!O864="","",SEFAZ!O864)</f>
        <v/>
      </c>
      <c r="K882" s="11" t="str">
        <f>IF(SEFAZ!P864="","",SEFAZ!P864)</f>
        <v/>
      </c>
      <c r="L882" t="str" cm="1">
        <f t="array" aca="1" ref="L8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2" t="s">
        <v>35</v>
      </c>
      <c r="O882" s="36" t="str">
        <f>IF(SEFAZ!B864="","",SEFAZ!B864)</f>
        <v/>
      </c>
    </row>
    <row r="883" spans="2:15" x14ac:dyDescent="0.3">
      <c r="B883" t="str">
        <f>IF(SEFAZ!A865="","",SEFAZ!A865)</f>
        <v/>
      </c>
      <c r="C883" t="str">
        <f>IF(SEFAZ!C865="","",SEFAZ!C865)</f>
        <v/>
      </c>
      <c r="D883" t="str">
        <f>IF(SEFAZ!D865="","",SEFAZ!D865)</f>
        <v/>
      </c>
      <c r="E883" s="7" t="str">
        <f>IF(SEFAZ!E865="","",SEFAZ!E865)</f>
        <v/>
      </c>
      <c r="F883" s="6" t="str">
        <f>IF(SEFAZ!F865="","",VALUE(SUBSTITUTE(SEFAZ!F865,"'","")))</f>
        <v/>
      </c>
      <c r="G883" t="str">
        <f>IF(SEFAZ!H865="","",SEFAZ!H865)</f>
        <v/>
      </c>
      <c r="H883" t="str">
        <f>IF(SEFAZ!L865="","",SEFAZ!L865)</f>
        <v/>
      </c>
      <c r="I883" t="str">
        <f>IF(SEFAZ!N865="","",SEFAZ!N865)</f>
        <v/>
      </c>
      <c r="J883" t="str">
        <f>IF(SEFAZ!O865="","",SEFAZ!O865)</f>
        <v/>
      </c>
      <c r="K883" s="11" t="str">
        <f>IF(SEFAZ!P865="","",SEFAZ!P865)</f>
        <v/>
      </c>
      <c r="L883" t="str" cm="1">
        <f t="array" aca="1" ref="L8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3" t="s">
        <v>35</v>
      </c>
      <c r="O883" s="36" t="str">
        <f>IF(SEFAZ!B865="","",SEFAZ!B865)</f>
        <v/>
      </c>
    </row>
    <row r="884" spans="2:15" x14ac:dyDescent="0.3">
      <c r="B884" t="str">
        <f>IF(SEFAZ!A866="","",SEFAZ!A866)</f>
        <v/>
      </c>
      <c r="C884" t="str">
        <f>IF(SEFAZ!C866="","",SEFAZ!C866)</f>
        <v/>
      </c>
      <c r="D884" t="str">
        <f>IF(SEFAZ!D866="","",SEFAZ!D866)</f>
        <v/>
      </c>
      <c r="E884" s="7" t="str">
        <f>IF(SEFAZ!E866="","",SEFAZ!E866)</f>
        <v/>
      </c>
      <c r="F884" s="6" t="str">
        <f>IF(SEFAZ!F866="","",VALUE(SUBSTITUTE(SEFAZ!F866,"'","")))</f>
        <v/>
      </c>
      <c r="G884" t="str">
        <f>IF(SEFAZ!H866="","",SEFAZ!H866)</f>
        <v/>
      </c>
      <c r="H884" t="str">
        <f>IF(SEFAZ!L866="","",SEFAZ!L866)</f>
        <v/>
      </c>
      <c r="I884" t="str">
        <f>IF(SEFAZ!N866="","",SEFAZ!N866)</f>
        <v/>
      </c>
      <c r="J884" t="str">
        <f>IF(SEFAZ!O866="","",SEFAZ!O866)</f>
        <v/>
      </c>
      <c r="K884" s="11" t="str">
        <f>IF(SEFAZ!P866="","",SEFAZ!P866)</f>
        <v/>
      </c>
      <c r="L884" t="str" cm="1">
        <f t="array" aca="1" ref="L8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4" t="s">
        <v>35</v>
      </c>
      <c r="O884" s="36" t="str">
        <f>IF(SEFAZ!B866="","",SEFAZ!B866)</f>
        <v/>
      </c>
    </row>
    <row r="885" spans="2:15" x14ac:dyDescent="0.3">
      <c r="B885" t="str">
        <f>IF(SEFAZ!A867="","",SEFAZ!A867)</f>
        <v/>
      </c>
      <c r="C885" t="str">
        <f>IF(SEFAZ!C867="","",SEFAZ!C867)</f>
        <v/>
      </c>
      <c r="D885" t="str">
        <f>IF(SEFAZ!D867="","",SEFAZ!D867)</f>
        <v/>
      </c>
      <c r="E885" s="7" t="str">
        <f>IF(SEFAZ!E867="","",SEFAZ!E867)</f>
        <v/>
      </c>
      <c r="F885" s="6" t="str">
        <f>IF(SEFAZ!F867="","",VALUE(SUBSTITUTE(SEFAZ!F867,"'","")))</f>
        <v/>
      </c>
      <c r="G885" t="str">
        <f>IF(SEFAZ!H867="","",SEFAZ!H867)</f>
        <v/>
      </c>
      <c r="H885" t="str">
        <f>IF(SEFAZ!L867="","",SEFAZ!L867)</f>
        <v/>
      </c>
      <c r="I885" t="str">
        <f>IF(SEFAZ!N867="","",SEFAZ!N867)</f>
        <v/>
      </c>
      <c r="J885" t="str">
        <f>IF(SEFAZ!O867="","",SEFAZ!O867)</f>
        <v/>
      </c>
      <c r="K885" s="11" t="str">
        <f>IF(SEFAZ!P867="","",SEFAZ!P867)</f>
        <v/>
      </c>
      <c r="L885" t="str" cm="1">
        <f t="array" aca="1" ref="L8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5" t="s">
        <v>35</v>
      </c>
      <c r="O885" s="36" t="str">
        <f>IF(SEFAZ!B867="","",SEFAZ!B867)</f>
        <v/>
      </c>
    </row>
    <row r="886" spans="2:15" x14ac:dyDescent="0.3">
      <c r="B886" t="str">
        <f>IF(SEFAZ!A868="","",SEFAZ!A868)</f>
        <v/>
      </c>
      <c r="C886" t="str">
        <f>IF(SEFAZ!C868="","",SEFAZ!C868)</f>
        <v/>
      </c>
      <c r="D886" t="str">
        <f>IF(SEFAZ!D868="","",SEFAZ!D868)</f>
        <v/>
      </c>
      <c r="E886" s="7" t="str">
        <f>IF(SEFAZ!E868="","",SEFAZ!E868)</f>
        <v/>
      </c>
      <c r="F886" s="6" t="str">
        <f>IF(SEFAZ!F868="","",VALUE(SUBSTITUTE(SEFAZ!F868,"'","")))</f>
        <v/>
      </c>
      <c r="G886" t="str">
        <f>IF(SEFAZ!H868="","",SEFAZ!H868)</f>
        <v/>
      </c>
      <c r="H886" t="str">
        <f>IF(SEFAZ!L868="","",SEFAZ!L868)</f>
        <v/>
      </c>
      <c r="I886" t="str">
        <f>IF(SEFAZ!N868="","",SEFAZ!N868)</f>
        <v/>
      </c>
      <c r="J886" t="str">
        <f>IF(SEFAZ!O868="","",SEFAZ!O868)</f>
        <v/>
      </c>
      <c r="K886" s="11" t="str">
        <f>IF(SEFAZ!P868="","",SEFAZ!P868)</f>
        <v/>
      </c>
      <c r="L886" t="str" cm="1">
        <f t="array" aca="1" ref="L8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6" t="s">
        <v>35</v>
      </c>
      <c r="O886" s="36" t="str">
        <f>IF(SEFAZ!B868="","",SEFAZ!B868)</f>
        <v/>
      </c>
    </row>
    <row r="887" spans="2:15" x14ac:dyDescent="0.3">
      <c r="B887" t="str">
        <f>IF(SEFAZ!A869="","",SEFAZ!A869)</f>
        <v/>
      </c>
      <c r="C887" t="str">
        <f>IF(SEFAZ!C869="","",SEFAZ!C869)</f>
        <v/>
      </c>
      <c r="D887" t="str">
        <f>IF(SEFAZ!D869="","",SEFAZ!D869)</f>
        <v/>
      </c>
      <c r="E887" s="7" t="str">
        <f>IF(SEFAZ!E869="","",SEFAZ!E869)</f>
        <v/>
      </c>
      <c r="F887" s="6" t="str">
        <f>IF(SEFAZ!F869="","",VALUE(SUBSTITUTE(SEFAZ!F869,"'","")))</f>
        <v/>
      </c>
      <c r="G887" t="str">
        <f>IF(SEFAZ!H869="","",SEFAZ!H869)</f>
        <v/>
      </c>
      <c r="H887" t="str">
        <f>IF(SEFAZ!L869="","",SEFAZ!L869)</f>
        <v/>
      </c>
      <c r="I887" t="str">
        <f>IF(SEFAZ!N869="","",SEFAZ!N869)</f>
        <v/>
      </c>
      <c r="J887" t="str">
        <f>IF(SEFAZ!O869="","",SEFAZ!O869)</f>
        <v/>
      </c>
      <c r="K887" s="11" t="str">
        <f>IF(SEFAZ!P869="","",SEFAZ!P869)</f>
        <v/>
      </c>
      <c r="L887" t="str" cm="1">
        <f t="array" aca="1" ref="L8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7" t="s">
        <v>35</v>
      </c>
      <c r="O887" s="36" t="str">
        <f>IF(SEFAZ!B869="","",SEFAZ!B869)</f>
        <v/>
      </c>
    </row>
    <row r="888" spans="2:15" x14ac:dyDescent="0.3">
      <c r="B888" t="str">
        <f>IF(SEFAZ!A870="","",SEFAZ!A870)</f>
        <v/>
      </c>
      <c r="C888" t="str">
        <f>IF(SEFAZ!C870="","",SEFAZ!C870)</f>
        <v/>
      </c>
      <c r="D888" t="str">
        <f>IF(SEFAZ!D870="","",SEFAZ!D870)</f>
        <v/>
      </c>
      <c r="E888" s="7" t="str">
        <f>IF(SEFAZ!E870="","",SEFAZ!E870)</f>
        <v/>
      </c>
      <c r="F888" s="6" t="str">
        <f>IF(SEFAZ!F870="","",VALUE(SUBSTITUTE(SEFAZ!F870,"'","")))</f>
        <v/>
      </c>
      <c r="G888" t="str">
        <f>IF(SEFAZ!H870="","",SEFAZ!H870)</f>
        <v/>
      </c>
      <c r="H888" t="str">
        <f>IF(SEFAZ!L870="","",SEFAZ!L870)</f>
        <v/>
      </c>
      <c r="I888" t="str">
        <f>IF(SEFAZ!N870="","",SEFAZ!N870)</f>
        <v/>
      </c>
      <c r="J888" t="str">
        <f>IF(SEFAZ!O870="","",SEFAZ!O870)</f>
        <v/>
      </c>
      <c r="K888" s="11" t="str">
        <f>IF(SEFAZ!P870="","",SEFAZ!P870)</f>
        <v/>
      </c>
      <c r="L888" t="str" cm="1">
        <f t="array" aca="1" ref="L8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8" t="s">
        <v>35</v>
      </c>
      <c r="O888" s="36" t="str">
        <f>IF(SEFAZ!B870="","",SEFAZ!B870)</f>
        <v/>
      </c>
    </row>
    <row r="889" spans="2:15" x14ac:dyDescent="0.3">
      <c r="B889" t="str">
        <f>IF(SEFAZ!A871="","",SEFAZ!A871)</f>
        <v/>
      </c>
      <c r="C889" t="str">
        <f>IF(SEFAZ!C871="","",SEFAZ!C871)</f>
        <v/>
      </c>
      <c r="D889" t="str">
        <f>IF(SEFAZ!D871="","",SEFAZ!D871)</f>
        <v/>
      </c>
      <c r="E889" s="7" t="str">
        <f>IF(SEFAZ!E871="","",SEFAZ!E871)</f>
        <v/>
      </c>
      <c r="F889" s="6" t="str">
        <f>IF(SEFAZ!F871="","",VALUE(SUBSTITUTE(SEFAZ!F871,"'","")))</f>
        <v/>
      </c>
      <c r="G889" t="str">
        <f>IF(SEFAZ!H871="","",SEFAZ!H871)</f>
        <v/>
      </c>
      <c r="H889" t="str">
        <f>IF(SEFAZ!L871="","",SEFAZ!L871)</f>
        <v/>
      </c>
      <c r="I889" t="str">
        <f>IF(SEFAZ!N871="","",SEFAZ!N871)</f>
        <v/>
      </c>
      <c r="J889" t="str">
        <f>IF(SEFAZ!O871="","",SEFAZ!O871)</f>
        <v/>
      </c>
      <c r="K889" s="11" t="str">
        <f>IF(SEFAZ!P871="","",SEFAZ!P871)</f>
        <v/>
      </c>
      <c r="L889" t="str" cm="1">
        <f t="array" aca="1" ref="L8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89" t="s">
        <v>35</v>
      </c>
      <c r="O889" s="36" t="str">
        <f>IF(SEFAZ!B871="","",SEFAZ!B871)</f>
        <v/>
      </c>
    </row>
    <row r="890" spans="2:15" x14ac:dyDescent="0.3">
      <c r="B890" t="str">
        <f>IF(SEFAZ!A872="","",SEFAZ!A872)</f>
        <v/>
      </c>
      <c r="C890" t="str">
        <f>IF(SEFAZ!C872="","",SEFAZ!C872)</f>
        <v/>
      </c>
      <c r="D890" t="str">
        <f>IF(SEFAZ!D872="","",SEFAZ!D872)</f>
        <v/>
      </c>
      <c r="E890" s="7" t="str">
        <f>IF(SEFAZ!E872="","",SEFAZ!E872)</f>
        <v/>
      </c>
      <c r="F890" s="6" t="str">
        <f>IF(SEFAZ!F872="","",VALUE(SUBSTITUTE(SEFAZ!F872,"'","")))</f>
        <v/>
      </c>
      <c r="G890" t="str">
        <f>IF(SEFAZ!H872="","",SEFAZ!H872)</f>
        <v/>
      </c>
      <c r="H890" t="str">
        <f>IF(SEFAZ!L872="","",SEFAZ!L872)</f>
        <v/>
      </c>
      <c r="I890" t="str">
        <f>IF(SEFAZ!N872="","",SEFAZ!N872)</f>
        <v/>
      </c>
      <c r="J890" t="str">
        <f>IF(SEFAZ!O872="","",SEFAZ!O872)</f>
        <v/>
      </c>
      <c r="K890" s="11" t="str">
        <f>IF(SEFAZ!P872="","",SEFAZ!P872)</f>
        <v/>
      </c>
      <c r="L890" t="str" cm="1">
        <f t="array" aca="1" ref="L8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0" t="s">
        <v>35</v>
      </c>
      <c r="O890" s="36" t="str">
        <f>IF(SEFAZ!B872="","",SEFAZ!B872)</f>
        <v/>
      </c>
    </row>
    <row r="891" spans="2:15" x14ac:dyDescent="0.3">
      <c r="B891" t="str">
        <f>IF(SEFAZ!A873="","",SEFAZ!A873)</f>
        <v/>
      </c>
      <c r="C891" t="str">
        <f>IF(SEFAZ!C873="","",SEFAZ!C873)</f>
        <v/>
      </c>
      <c r="D891" t="str">
        <f>IF(SEFAZ!D873="","",SEFAZ!D873)</f>
        <v/>
      </c>
      <c r="E891" s="7" t="str">
        <f>IF(SEFAZ!E873="","",SEFAZ!E873)</f>
        <v/>
      </c>
      <c r="F891" s="6" t="str">
        <f>IF(SEFAZ!F873="","",VALUE(SUBSTITUTE(SEFAZ!F873,"'","")))</f>
        <v/>
      </c>
      <c r="G891" t="str">
        <f>IF(SEFAZ!H873="","",SEFAZ!H873)</f>
        <v/>
      </c>
      <c r="H891" t="str">
        <f>IF(SEFAZ!L873="","",SEFAZ!L873)</f>
        <v/>
      </c>
      <c r="I891" t="str">
        <f>IF(SEFAZ!N873="","",SEFAZ!N873)</f>
        <v/>
      </c>
      <c r="J891" t="str">
        <f>IF(SEFAZ!O873="","",SEFAZ!O873)</f>
        <v/>
      </c>
      <c r="K891" s="11" t="str">
        <f>IF(SEFAZ!P873="","",SEFAZ!P873)</f>
        <v/>
      </c>
      <c r="L891" t="str" cm="1">
        <f t="array" aca="1" ref="L8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1" t="s">
        <v>35</v>
      </c>
      <c r="O891" s="36" t="str">
        <f>IF(SEFAZ!B873="","",SEFAZ!B873)</f>
        <v/>
      </c>
    </row>
    <row r="892" spans="2:15" x14ac:dyDescent="0.3">
      <c r="B892" t="str">
        <f>IF(SEFAZ!A874="","",SEFAZ!A874)</f>
        <v/>
      </c>
      <c r="C892" t="str">
        <f>IF(SEFAZ!C874="","",SEFAZ!C874)</f>
        <v/>
      </c>
      <c r="D892" t="str">
        <f>IF(SEFAZ!D874="","",SEFAZ!D874)</f>
        <v/>
      </c>
      <c r="E892" s="7" t="str">
        <f>IF(SEFAZ!E874="","",SEFAZ!E874)</f>
        <v/>
      </c>
      <c r="F892" s="6" t="str">
        <f>IF(SEFAZ!F874="","",VALUE(SUBSTITUTE(SEFAZ!F874,"'","")))</f>
        <v/>
      </c>
      <c r="G892" t="str">
        <f>IF(SEFAZ!H874="","",SEFAZ!H874)</f>
        <v/>
      </c>
      <c r="H892" t="str">
        <f>IF(SEFAZ!L874="","",SEFAZ!L874)</f>
        <v/>
      </c>
      <c r="I892" t="str">
        <f>IF(SEFAZ!N874="","",SEFAZ!N874)</f>
        <v/>
      </c>
      <c r="J892" t="str">
        <f>IF(SEFAZ!O874="","",SEFAZ!O874)</f>
        <v/>
      </c>
      <c r="K892" s="11" t="str">
        <f>IF(SEFAZ!P874="","",SEFAZ!P874)</f>
        <v/>
      </c>
      <c r="L892" t="str" cm="1">
        <f t="array" aca="1" ref="L8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2" t="s">
        <v>35</v>
      </c>
      <c r="O892" s="36" t="str">
        <f>IF(SEFAZ!B874="","",SEFAZ!B874)</f>
        <v/>
      </c>
    </row>
    <row r="893" spans="2:15" x14ac:dyDescent="0.3">
      <c r="B893" t="str">
        <f>IF(SEFAZ!A875="","",SEFAZ!A875)</f>
        <v/>
      </c>
      <c r="C893" t="str">
        <f>IF(SEFAZ!C875="","",SEFAZ!C875)</f>
        <v/>
      </c>
      <c r="D893" t="str">
        <f>IF(SEFAZ!D875="","",SEFAZ!D875)</f>
        <v/>
      </c>
      <c r="E893" s="7" t="str">
        <f>IF(SEFAZ!E875="","",SEFAZ!E875)</f>
        <v/>
      </c>
      <c r="F893" s="6" t="str">
        <f>IF(SEFAZ!F875="","",VALUE(SUBSTITUTE(SEFAZ!F875,"'","")))</f>
        <v/>
      </c>
      <c r="G893" t="str">
        <f>IF(SEFAZ!H875="","",SEFAZ!H875)</f>
        <v/>
      </c>
      <c r="H893" t="str">
        <f>IF(SEFAZ!L875="","",SEFAZ!L875)</f>
        <v/>
      </c>
      <c r="I893" t="str">
        <f>IF(SEFAZ!N875="","",SEFAZ!N875)</f>
        <v/>
      </c>
      <c r="J893" t="str">
        <f>IF(SEFAZ!O875="","",SEFAZ!O875)</f>
        <v/>
      </c>
      <c r="K893" s="11" t="str">
        <f>IF(SEFAZ!P875="","",SEFAZ!P875)</f>
        <v/>
      </c>
      <c r="L893" t="str" cm="1">
        <f t="array" aca="1" ref="L8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3" t="s">
        <v>35</v>
      </c>
      <c r="O893" s="36" t="str">
        <f>IF(SEFAZ!B875="","",SEFAZ!B875)</f>
        <v/>
      </c>
    </row>
    <row r="894" spans="2:15" x14ac:dyDescent="0.3">
      <c r="B894" t="str">
        <f>IF(SEFAZ!A876="","",SEFAZ!A876)</f>
        <v/>
      </c>
      <c r="C894" t="str">
        <f>IF(SEFAZ!C876="","",SEFAZ!C876)</f>
        <v/>
      </c>
      <c r="D894" t="str">
        <f>IF(SEFAZ!D876="","",SEFAZ!D876)</f>
        <v/>
      </c>
      <c r="E894" s="7" t="str">
        <f>IF(SEFAZ!E876="","",SEFAZ!E876)</f>
        <v/>
      </c>
      <c r="F894" s="6" t="str">
        <f>IF(SEFAZ!F876="","",VALUE(SUBSTITUTE(SEFAZ!F876,"'","")))</f>
        <v/>
      </c>
      <c r="G894" t="str">
        <f>IF(SEFAZ!H876="","",SEFAZ!H876)</f>
        <v/>
      </c>
      <c r="H894" t="str">
        <f>IF(SEFAZ!L876="","",SEFAZ!L876)</f>
        <v/>
      </c>
      <c r="I894" t="str">
        <f>IF(SEFAZ!N876="","",SEFAZ!N876)</f>
        <v/>
      </c>
      <c r="J894" t="str">
        <f>IF(SEFAZ!O876="","",SEFAZ!O876)</f>
        <v/>
      </c>
      <c r="K894" s="11" t="str">
        <f>IF(SEFAZ!P876="","",SEFAZ!P876)</f>
        <v/>
      </c>
      <c r="L894" t="str" cm="1">
        <f t="array" aca="1" ref="L8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4" t="s">
        <v>35</v>
      </c>
      <c r="O894" s="36" t="str">
        <f>IF(SEFAZ!B876="","",SEFAZ!B876)</f>
        <v/>
      </c>
    </row>
    <row r="895" spans="2:15" x14ac:dyDescent="0.3">
      <c r="B895" t="str">
        <f>IF(SEFAZ!A877="","",SEFAZ!A877)</f>
        <v/>
      </c>
      <c r="C895" t="str">
        <f>IF(SEFAZ!C877="","",SEFAZ!C877)</f>
        <v/>
      </c>
      <c r="D895" t="str">
        <f>IF(SEFAZ!D877="","",SEFAZ!D877)</f>
        <v/>
      </c>
      <c r="E895" s="7" t="str">
        <f>IF(SEFAZ!E877="","",SEFAZ!E877)</f>
        <v/>
      </c>
      <c r="F895" s="6" t="str">
        <f>IF(SEFAZ!F877="","",VALUE(SUBSTITUTE(SEFAZ!F877,"'","")))</f>
        <v/>
      </c>
      <c r="G895" t="str">
        <f>IF(SEFAZ!H877="","",SEFAZ!H877)</f>
        <v/>
      </c>
      <c r="H895" t="str">
        <f>IF(SEFAZ!L877="","",SEFAZ!L877)</f>
        <v/>
      </c>
      <c r="I895" t="str">
        <f>IF(SEFAZ!N877="","",SEFAZ!N877)</f>
        <v/>
      </c>
      <c r="J895" t="str">
        <f>IF(SEFAZ!O877="","",SEFAZ!O877)</f>
        <v/>
      </c>
      <c r="K895" s="11" t="str">
        <f>IF(SEFAZ!P877="","",SEFAZ!P877)</f>
        <v/>
      </c>
      <c r="L895" t="str" cm="1">
        <f t="array" aca="1" ref="L8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5" t="s">
        <v>35</v>
      </c>
      <c r="O895" s="36" t="str">
        <f>IF(SEFAZ!B877="","",SEFAZ!B877)</f>
        <v/>
      </c>
    </row>
    <row r="896" spans="2:15" x14ac:dyDescent="0.3">
      <c r="B896" t="str">
        <f>IF(SEFAZ!A878="","",SEFAZ!A878)</f>
        <v/>
      </c>
      <c r="C896" t="str">
        <f>IF(SEFAZ!C878="","",SEFAZ!C878)</f>
        <v/>
      </c>
      <c r="D896" t="str">
        <f>IF(SEFAZ!D878="","",SEFAZ!D878)</f>
        <v/>
      </c>
      <c r="E896" s="7" t="str">
        <f>IF(SEFAZ!E878="","",SEFAZ!E878)</f>
        <v/>
      </c>
      <c r="F896" s="6" t="str">
        <f>IF(SEFAZ!F878="","",VALUE(SUBSTITUTE(SEFAZ!F878,"'","")))</f>
        <v/>
      </c>
      <c r="G896" t="str">
        <f>IF(SEFAZ!H878="","",SEFAZ!H878)</f>
        <v/>
      </c>
      <c r="H896" t="str">
        <f>IF(SEFAZ!L878="","",SEFAZ!L878)</f>
        <v/>
      </c>
      <c r="I896" t="str">
        <f>IF(SEFAZ!N878="","",SEFAZ!N878)</f>
        <v/>
      </c>
      <c r="J896" t="str">
        <f>IF(SEFAZ!O878="","",SEFAZ!O878)</f>
        <v/>
      </c>
      <c r="K896" s="11" t="str">
        <f>IF(SEFAZ!P878="","",SEFAZ!P878)</f>
        <v/>
      </c>
      <c r="L896" t="str" cm="1">
        <f t="array" aca="1" ref="L8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6" t="s">
        <v>35</v>
      </c>
      <c r="O896" s="36" t="str">
        <f>IF(SEFAZ!B878="","",SEFAZ!B878)</f>
        <v/>
      </c>
    </row>
    <row r="897" spans="2:15" x14ac:dyDescent="0.3">
      <c r="B897" t="str">
        <f>IF(SEFAZ!A879="","",SEFAZ!A879)</f>
        <v/>
      </c>
      <c r="C897" t="str">
        <f>IF(SEFAZ!C879="","",SEFAZ!C879)</f>
        <v/>
      </c>
      <c r="D897" t="str">
        <f>IF(SEFAZ!D879="","",SEFAZ!D879)</f>
        <v/>
      </c>
      <c r="E897" s="7" t="str">
        <f>IF(SEFAZ!E879="","",SEFAZ!E879)</f>
        <v/>
      </c>
      <c r="F897" s="6" t="str">
        <f>IF(SEFAZ!F879="","",VALUE(SUBSTITUTE(SEFAZ!F879,"'","")))</f>
        <v/>
      </c>
      <c r="G897" t="str">
        <f>IF(SEFAZ!H879="","",SEFAZ!H879)</f>
        <v/>
      </c>
      <c r="H897" t="str">
        <f>IF(SEFAZ!L879="","",SEFAZ!L879)</f>
        <v/>
      </c>
      <c r="I897" t="str">
        <f>IF(SEFAZ!N879="","",SEFAZ!N879)</f>
        <v/>
      </c>
      <c r="J897" t="str">
        <f>IF(SEFAZ!O879="","",SEFAZ!O879)</f>
        <v/>
      </c>
      <c r="K897" s="11" t="str">
        <f>IF(SEFAZ!P879="","",SEFAZ!P879)</f>
        <v/>
      </c>
      <c r="L897" t="str" cm="1">
        <f t="array" aca="1" ref="L8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7" t="s">
        <v>35</v>
      </c>
      <c r="O897" s="36" t="str">
        <f>IF(SEFAZ!B879="","",SEFAZ!B879)</f>
        <v/>
      </c>
    </row>
    <row r="898" spans="2:15" x14ac:dyDescent="0.3">
      <c r="B898" t="str">
        <f>IF(SEFAZ!A880="","",SEFAZ!A880)</f>
        <v/>
      </c>
      <c r="C898" t="str">
        <f>IF(SEFAZ!C880="","",SEFAZ!C880)</f>
        <v/>
      </c>
      <c r="D898" t="str">
        <f>IF(SEFAZ!D880="","",SEFAZ!D880)</f>
        <v/>
      </c>
      <c r="E898" s="7" t="str">
        <f>IF(SEFAZ!E880="","",SEFAZ!E880)</f>
        <v/>
      </c>
      <c r="F898" s="6" t="str">
        <f>IF(SEFAZ!F880="","",VALUE(SUBSTITUTE(SEFAZ!F880,"'","")))</f>
        <v/>
      </c>
      <c r="G898" t="str">
        <f>IF(SEFAZ!H880="","",SEFAZ!H880)</f>
        <v/>
      </c>
      <c r="H898" t="str">
        <f>IF(SEFAZ!L880="","",SEFAZ!L880)</f>
        <v/>
      </c>
      <c r="I898" t="str">
        <f>IF(SEFAZ!N880="","",SEFAZ!N880)</f>
        <v/>
      </c>
      <c r="J898" t="str">
        <f>IF(SEFAZ!O880="","",SEFAZ!O880)</f>
        <v/>
      </c>
      <c r="K898" s="11" t="str">
        <f>IF(SEFAZ!P880="","",SEFAZ!P880)</f>
        <v/>
      </c>
      <c r="L898" t="str" cm="1">
        <f t="array" aca="1" ref="L8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8" t="s">
        <v>35</v>
      </c>
      <c r="O898" s="36" t="str">
        <f>IF(SEFAZ!B880="","",SEFAZ!B880)</f>
        <v/>
      </c>
    </row>
    <row r="899" spans="2:15" x14ac:dyDescent="0.3">
      <c r="B899" t="str">
        <f>IF(SEFAZ!A881="","",SEFAZ!A881)</f>
        <v/>
      </c>
      <c r="C899" t="str">
        <f>IF(SEFAZ!C881="","",SEFAZ!C881)</f>
        <v/>
      </c>
      <c r="D899" t="str">
        <f>IF(SEFAZ!D881="","",SEFAZ!D881)</f>
        <v/>
      </c>
      <c r="E899" s="7" t="str">
        <f>IF(SEFAZ!E881="","",SEFAZ!E881)</f>
        <v/>
      </c>
      <c r="F899" s="6" t="str">
        <f>IF(SEFAZ!F881="","",VALUE(SUBSTITUTE(SEFAZ!F881,"'","")))</f>
        <v/>
      </c>
      <c r="G899" t="str">
        <f>IF(SEFAZ!H881="","",SEFAZ!H881)</f>
        <v/>
      </c>
      <c r="H899" t="str">
        <f>IF(SEFAZ!L881="","",SEFAZ!L881)</f>
        <v/>
      </c>
      <c r="I899" t="str">
        <f>IF(SEFAZ!N881="","",SEFAZ!N881)</f>
        <v/>
      </c>
      <c r="J899" t="str">
        <f>IF(SEFAZ!O881="","",SEFAZ!O881)</f>
        <v/>
      </c>
      <c r="K899" s="11" t="str">
        <f>IF(SEFAZ!P881="","",SEFAZ!P881)</f>
        <v/>
      </c>
      <c r="L899" t="str" cm="1">
        <f t="array" aca="1" ref="L8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899" t="s">
        <v>35</v>
      </c>
      <c r="O899" s="36" t="str">
        <f>IF(SEFAZ!B881="","",SEFAZ!B881)</f>
        <v/>
      </c>
    </row>
    <row r="900" spans="2:15" x14ac:dyDescent="0.3">
      <c r="B900" t="str">
        <f>IF(SEFAZ!A882="","",SEFAZ!A882)</f>
        <v/>
      </c>
      <c r="C900" t="str">
        <f>IF(SEFAZ!C882="","",SEFAZ!C882)</f>
        <v/>
      </c>
      <c r="D900" t="str">
        <f>IF(SEFAZ!D882="","",SEFAZ!D882)</f>
        <v/>
      </c>
      <c r="E900" s="7" t="str">
        <f>IF(SEFAZ!E882="","",SEFAZ!E882)</f>
        <v/>
      </c>
      <c r="F900" s="6" t="str">
        <f>IF(SEFAZ!F882="","",VALUE(SUBSTITUTE(SEFAZ!F882,"'","")))</f>
        <v/>
      </c>
      <c r="G900" t="str">
        <f>IF(SEFAZ!H882="","",SEFAZ!H882)</f>
        <v/>
      </c>
      <c r="H900" t="str">
        <f>IF(SEFAZ!L882="","",SEFAZ!L882)</f>
        <v/>
      </c>
      <c r="I900" t="str">
        <f>IF(SEFAZ!N882="","",SEFAZ!N882)</f>
        <v/>
      </c>
      <c r="J900" t="str">
        <f>IF(SEFAZ!O882="","",SEFAZ!O882)</f>
        <v/>
      </c>
      <c r="K900" s="11" t="str">
        <f>IF(SEFAZ!P882="","",SEFAZ!P882)</f>
        <v/>
      </c>
      <c r="L900" t="str" cm="1">
        <f t="array" aca="1" ref="L9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0" t="s">
        <v>35</v>
      </c>
      <c r="O900" s="36" t="str">
        <f>IF(SEFAZ!B882="","",SEFAZ!B882)</f>
        <v/>
      </c>
    </row>
    <row r="901" spans="2:15" x14ac:dyDescent="0.3">
      <c r="B901" t="str">
        <f>IF(SEFAZ!A883="","",SEFAZ!A883)</f>
        <v/>
      </c>
      <c r="C901" t="str">
        <f>IF(SEFAZ!C883="","",SEFAZ!C883)</f>
        <v/>
      </c>
      <c r="D901" t="str">
        <f>IF(SEFAZ!D883="","",SEFAZ!D883)</f>
        <v/>
      </c>
      <c r="E901" s="7" t="str">
        <f>IF(SEFAZ!E883="","",SEFAZ!E883)</f>
        <v/>
      </c>
      <c r="F901" s="6" t="str">
        <f>IF(SEFAZ!F883="","",VALUE(SUBSTITUTE(SEFAZ!F883,"'","")))</f>
        <v/>
      </c>
      <c r="G901" t="str">
        <f>IF(SEFAZ!H883="","",SEFAZ!H883)</f>
        <v/>
      </c>
      <c r="H901" t="str">
        <f>IF(SEFAZ!L883="","",SEFAZ!L883)</f>
        <v/>
      </c>
      <c r="I901" t="str">
        <f>IF(SEFAZ!N883="","",SEFAZ!N883)</f>
        <v/>
      </c>
      <c r="J901" t="str">
        <f>IF(SEFAZ!O883="","",SEFAZ!O883)</f>
        <v/>
      </c>
      <c r="K901" s="11" t="str">
        <f>IF(SEFAZ!P883="","",SEFAZ!P883)</f>
        <v/>
      </c>
      <c r="L901" t="str" cm="1">
        <f t="array" aca="1" ref="L9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1" t="s">
        <v>35</v>
      </c>
      <c r="O901" s="36" t="str">
        <f>IF(SEFAZ!B883="","",SEFAZ!B883)</f>
        <v/>
      </c>
    </row>
    <row r="902" spans="2:15" x14ac:dyDescent="0.3">
      <c r="B902" t="str">
        <f>IF(SEFAZ!A884="","",SEFAZ!A884)</f>
        <v/>
      </c>
      <c r="C902" t="str">
        <f>IF(SEFAZ!C884="","",SEFAZ!C884)</f>
        <v/>
      </c>
      <c r="D902" t="str">
        <f>IF(SEFAZ!D884="","",SEFAZ!D884)</f>
        <v/>
      </c>
      <c r="E902" s="7" t="str">
        <f>IF(SEFAZ!E884="","",SEFAZ!E884)</f>
        <v/>
      </c>
      <c r="F902" s="6" t="str">
        <f>IF(SEFAZ!F884="","",VALUE(SUBSTITUTE(SEFAZ!F884,"'","")))</f>
        <v/>
      </c>
      <c r="G902" t="str">
        <f>IF(SEFAZ!H884="","",SEFAZ!H884)</f>
        <v/>
      </c>
      <c r="H902" t="str">
        <f>IF(SEFAZ!L884="","",SEFAZ!L884)</f>
        <v/>
      </c>
      <c r="I902" t="str">
        <f>IF(SEFAZ!N884="","",SEFAZ!N884)</f>
        <v/>
      </c>
      <c r="J902" t="str">
        <f>IF(SEFAZ!O884="","",SEFAZ!O884)</f>
        <v/>
      </c>
      <c r="K902" s="11" t="str">
        <f>IF(SEFAZ!P884="","",SEFAZ!P884)</f>
        <v/>
      </c>
      <c r="L902" t="str" cm="1">
        <f t="array" aca="1" ref="L9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2" t="s">
        <v>35</v>
      </c>
      <c r="O902" s="36" t="str">
        <f>IF(SEFAZ!B884="","",SEFAZ!B884)</f>
        <v/>
      </c>
    </row>
    <row r="903" spans="2:15" x14ac:dyDescent="0.3">
      <c r="B903" t="str">
        <f>IF(SEFAZ!A885="","",SEFAZ!A885)</f>
        <v/>
      </c>
      <c r="C903" t="str">
        <f>IF(SEFAZ!C885="","",SEFAZ!C885)</f>
        <v/>
      </c>
      <c r="D903" t="str">
        <f>IF(SEFAZ!D885="","",SEFAZ!D885)</f>
        <v/>
      </c>
      <c r="E903" s="7" t="str">
        <f>IF(SEFAZ!E885="","",SEFAZ!E885)</f>
        <v/>
      </c>
      <c r="F903" s="6" t="str">
        <f>IF(SEFAZ!F885="","",VALUE(SUBSTITUTE(SEFAZ!F885,"'","")))</f>
        <v/>
      </c>
      <c r="G903" t="str">
        <f>IF(SEFAZ!H885="","",SEFAZ!H885)</f>
        <v/>
      </c>
      <c r="H903" t="str">
        <f>IF(SEFAZ!L885="","",SEFAZ!L885)</f>
        <v/>
      </c>
      <c r="I903" t="str">
        <f>IF(SEFAZ!N885="","",SEFAZ!N885)</f>
        <v/>
      </c>
      <c r="J903" t="str">
        <f>IF(SEFAZ!O885="","",SEFAZ!O885)</f>
        <v/>
      </c>
      <c r="K903" s="11" t="str">
        <f>IF(SEFAZ!P885="","",SEFAZ!P885)</f>
        <v/>
      </c>
      <c r="L903" t="str" cm="1">
        <f t="array" aca="1" ref="L9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3" t="s">
        <v>35</v>
      </c>
      <c r="O903" s="36" t="str">
        <f>IF(SEFAZ!B885="","",SEFAZ!B885)</f>
        <v/>
      </c>
    </row>
    <row r="904" spans="2:15" x14ac:dyDescent="0.3">
      <c r="B904" t="str">
        <f>IF(SEFAZ!A886="","",SEFAZ!A886)</f>
        <v/>
      </c>
      <c r="C904" t="str">
        <f>IF(SEFAZ!C886="","",SEFAZ!C886)</f>
        <v/>
      </c>
      <c r="D904" t="str">
        <f>IF(SEFAZ!D886="","",SEFAZ!D886)</f>
        <v/>
      </c>
      <c r="E904" s="7" t="str">
        <f>IF(SEFAZ!E886="","",SEFAZ!E886)</f>
        <v/>
      </c>
      <c r="F904" s="6" t="str">
        <f>IF(SEFAZ!F886="","",VALUE(SUBSTITUTE(SEFAZ!F886,"'","")))</f>
        <v/>
      </c>
      <c r="G904" t="str">
        <f>IF(SEFAZ!H886="","",SEFAZ!H886)</f>
        <v/>
      </c>
      <c r="H904" t="str">
        <f>IF(SEFAZ!L886="","",SEFAZ!L886)</f>
        <v/>
      </c>
      <c r="I904" t="str">
        <f>IF(SEFAZ!N886="","",SEFAZ!N886)</f>
        <v/>
      </c>
      <c r="J904" t="str">
        <f>IF(SEFAZ!O886="","",SEFAZ!O886)</f>
        <v/>
      </c>
      <c r="K904" s="11" t="str">
        <f>IF(SEFAZ!P886="","",SEFAZ!P886)</f>
        <v/>
      </c>
      <c r="L904" t="str" cm="1">
        <f t="array" aca="1" ref="L9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4" t="s">
        <v>35</v>
      </c>
      <c r="O904" s="36" t="str">
        <f>IF(SEFAZ!B886="","",SEFAZ!B886)</f>
        <v/>
      </c>
    </row>
    <row r="905" spans="2:15" x14ac:dyDescent="0.3">
      <c r="B905" t="str">
        <f>IF(SEFAZ!A887="","",SEFAZ!A887)</f>
        <v/>
      </c>
      <c r="C905" t="str">
        <f>IF(SEFAZ!C887="","",SEFAZ!C887)</f>
        <v/>
      </c>
      <c r="D905" t="str">
        <f>IF(SEFAZ!D887="","",SEFAZ!D887)</f>
        <v/>
      </c>
      <c r="E905" s="7" t="str">
        <f>IF(SEFAZ!E887="","",SEFAZ!E887)</f>
        <v/>
      </c>
      <c r="F905" s="6" t="str">
        <f>IF(SEFAZ!F887="","",VALUE(SUBSTITUTE(SEFAZ!F887,"'","")))</f>
        <v/>
      </c>
      <c r="G905" t="str">
        <f>IF(SEFAZ!H887="","",SEFAZ!H887)</f>
        <v/>
      </c>
      <c r="H905" t="str">
        <f>IF(SEFAZ!L887="","",SEFAZ!L887)</f>
        <v/>
      </c>
      <c r="I905" t="str">
        <f>IF(SEFAZ!N887="","",SEFAZ!N887)</f>
        <v/>
      </c>
      <c r="J905" t="str">
        <f>IF(SEFAZ!O887="","",SEFAZ!O887)</f>
        <v/>
      </c>
      <c r="K905" s="11" t="str">
        <f>IF(SEFAZ!P887="","",SEFAZ!P887)</f>
        <v/>
      </c>
      <c r="L905" t="str" cm="1">
        <f t="array" aca="1" ref="L9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5" t="s">
        <v>35</v>
      </c>
      <c r="O905" s="36" t="str">
        <f>IF(SEFAZ!B887="","",SEFAZ!B887)</f>
        <v/>
      </c>
    </row>
    <row r="906" spans="2:15" x14ac:dyDescent="0.3">
      <c r="B906" t="str">
        <f>IF(SEFAZ!A888="","",SEFAZ!A888)</f>
        <v/>
      </c>
      <c r="C906" t="str">
        <f>IF(SEFAZ!C888="","",SEFAZ!C888)</f>
        <v/>
      </c>
      <c r="D906" t="str">
        <f>IF(SEFAZ!D888="","",SEFAZ!D888)</f>
        <v/>
      </c>
      <c r="E906" s="7" t="str">
        <f>IF(SEFAZ!E888="","",SEFAZ!E888)</f>
        <v/>
      </c>
      <c r="F906" s="6" t="str">
        <f>IF(SEFAZ!F888="","",VALUE(SUBSTITUTE(SEFAZ!F888,"'","")))</f>
        <v/>
      </c>
      <c r="G906" t="str">
        <f>IF(SEFAZ!H888="","",SEFAZ!H888)</f>
        <v/>
      </c>
      <c r="H906" t="str">
        <f>IF(SEFAZ!L888="","",SEFAZ!L888)</f>
        <v/>
      </c>
      <c r="I906" t="str">
        <f>IF(SEFAZ!N888="","",SEFAZ!N888)</f>
        <v/>
      </c>
      <c r="J906" t="str">
        <f>IF(SEFAZ!O888="","",SEFAZ!O888)</f>
        <v/>
      </c>
      <c r="K906" s="11" t="str">
        <f>IF(SEFAZ!P888="","",SEFAZ!P888)</f>
        <v/>
      </c>
      <c r="L906" t="str" cm="1">
        <f t="array" aca="1" ref="L9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6" t="s">
        <v>35</v>
      </c>
      <c r="O906" s="36" t="str">
        <f>IF(SEFAZ!B888="","",SEFAZ!B888)</f>
        <v/>
      </c>
    </row>
    <row r="907" spans="2:15" x14ac:dyDescent="0.3">
      <c r="B907" t="str">
        <f>IF(SEFAZ!A889="","",SEFAZ!A889)</f>
        <v/>
      </c>
      <c r="C907" t="str">
        <f>IF(SEFAZ!C889="","",SEFAZ!C889)</f>
        <v/>
      </c>
      <c r="D907" t="str">
        <f>IF(SEFAZ!D889="","",SEFAZ!D889)</f>
        <v/>
      </c>
      <c r="E907" s="7" t="str">
        <f>IF(SEFAZ!E889="","",SEFAZ!E889)</f>
        <v/>
      </c>
      <c r="F907" s="6" t="str">
        <f>IF(SEFAZ!F889="","",VALUE(SUBSTITUTE(SEFAZ!F889,"'","")))</f>
        <v/>
      </c>
      <c r="G907" t="str">
        <f>IF(SEFAZ!H889="","",SEFAZ!H889)</f>
        <v/>
      </c>
      <c r="H907" t="str">
        <f>IF(SEFAZ!L889="","",SEFAZ!L889)</f>
        <v/>
      </c>
      <c r="I907" t="str">
        <f>IF(SEFAZ!N889="","",SEFAZ!N889)</f>
        <v/>
      </c>
      <c r="J907" t="str">
        <f>IF(SEFAZ!O889="","",SEFAZ!O889)</f>
        <v/>
      </c>
      <c r="K907" s="11" t="str">
        <f>IF(SEFAZ!P889="","",SEFAZ!P889)</f>
        <v/>
      </c>
      <c r="L907" t="str" cm="1">
        <f t="array" aca="1" ref="L9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7" t="s">
        <v>35</v>
      </c>
      <c r="O907" s="36" t="str">
        <f>IF(SEFAZ!B889="","",SEFAZ!B889)</f>
        <v/>
      </c>
    </row>
    <row r="908" spans="2:15" x14ac:dyDescent="0.3">
      <c r="B908" t="str">
        <f>IF(SEFAZ!A890="","",SEFAZ!A890)</f>
        <v/>
      </c>
      <c r="C908" t="str">
        <f>IF(SEFAZ!C890="","",SEFAZ!C890)</f>
        <v/>
      </c>
      <c r="D908" t="str">
        <f>IF(SEFAZ!D890="","",SEFAZ!D890)</f>
        <v/>
      </c>
      <c r="E908" s="7" t="str">
        <f>IF(SEFAZ!E890="","",SEFAZ!E890)</f>
        <v/>
      </c>
      <c r="F908" s="6" t="str">
        <f>IF(SEFAZ!F890="","",VALUE(SUBSTITUTE(SEFAZ!F890,"'","")))</f>
        <v/>
      </c>
      <c r="G908" t="str">
        <f>IF(SEFAZ!H890="","",SEFAZ!H890)</f>
        <v/>
      </c>
      <c r="H908" t="str">
        <f>IF(SEFAZ!L890="","",SEFAZ!L890)</f>
        <v/>
      </c>
      <c r="I908" t="str">
        <f>IF(SEFAZ!N890="","",SEFAZ!N890)</f>
        <v/>
      </c>
      <c r="J908" t="str">
        <f>IF(SEFAZ!O890="","",SEFAZ!O890)</f>
        <v/>
      </c>
      <c r="K908" s="11" t="str">
        <f>IF(SEFAZ!P890="","",SEFAZ!P890)</f>
        <v/>
      </c>
      <c r="L908" t="str" cm="1">
        <f t="array" aca="1" ref="L9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8" t="s">
        <v>35</v>
      </c>
      <c r="O908" s="36" t="str">
        <f>IF(SEFAZ!B890="","",SEFAZ!B890)</f>
        <v/>
      </c>
    </row>
    <row r="909" spans="2:15" x14ac:dyDescent="0.3">
      <c r="B909" t="str">
        <f>IF(SEFAZ!A891="","",SEFAZ!A891)</f>
        <v/>
      </c>
      <c r="C909" t="str">
        <f>IF(SEFAZ!C891="","",SEFAZ!C891)</f>
        <v/>
      </c>
      <c r="D909" t="str">
        <f>IF(SEFAZ!D891="","",SEFAZ!D891)</f>
        <v/>
      </c>
      <c r="E909" s="7" t="str">
        <f>IF(SEFAZ!E891="","",SEFAZ!E891)</f>
        <v/>
      </c>
      <c r="F909" s="6" t="str">
        <f>IF(SEFAZ!F891="","",VALUE(SUBSTITUTE(SEFAZ!F891,"'","")))</f>
        <v/>
      </c>
      <c r="G909" t="str">
        <f>IF(SEFAZ!H891="","",SEFAZ!H891)</f>
        <v/>
      </c>
      <c r="H909" t="str">
        <f>IF(SEFAZ!L891="","",SEFAZ!L891)</f>
        <v/>
      </c>
      <c r="I909" t="str">
        <f>IF(SEFAZ!N891="","",SEFAZ!N891)</f>
        <v/>
      </c>
      <c r="J909" t="str">
        <f>IF(SEFAZ!O891="","",SEFAZ!O891)</f>
        <v/>
      </c>
      <c r="K909" s="11" t="str">
        <f>IF(SEFAZ!P891="","",SEFAZ!P891)</f>
        <v/>
      </c>
      <c r="L909" t="str" cm="1">
        <f t="array" aca="1" ref="L9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09" t="s">
        <v>35</v>
      </c>
      <c r="O909" s="36" t="str">
        <f>IF(SEFAZ!B891="","",SEFAZ!B891)</f>
        <v/>
      </c>
    </row>
    <row r="910" spans="2:15" x14ac:dyDescent="0.3">
      <c r="B910" t="str">
        <f>IF(SEFAZ!A892="","",SEFAZ!A892)</f>
        <v/>
      </c>
      <c r="C910" t="str">
        <f>IF(SEFAZ!C892="","",SEFAZ!C892)</f>
        <v/>
      </c>
      <c r="D910" t="str">
        <f>IF(SEFAZ!D892="","",SEFAZ!D892)</f>
        <v/>
      </c>
      <c r="E910" s="7" t="str">
        <f>IF(SEFAZ!E892="","",SEFAZ!E892)</f>
        <v/>
      </c>
      <c r="F910" s="6" t="str">
        <f>IF(SEFAZ!F892="","",VALUE(SUBSTITUTE(SEFAZ!F892,"'","")))</f>
        <v/>
      </c>
      <c r="G910" t="str">
        <f>IF(SEFAZ!H892="","",SEFAZ!H892)</f>
        <v/>
      </c>
      <c r="H910" t="str">
        <f>IF(SEFAZ!L892="","",SEFAZ!L892)</f>
        <v/>
      </c>
      <c r="I910" t="str">
        <f>IF(SEFAZ!N892="","",SEFAZ!N892)</f>
        <v/>
      </c>
      <c r="J910" t="str">
        <f>IF(SEFAZ!O892="","",SEFAZ!O892)</f>
        <v/>
      </c>
      <c r="K910" s="11" t="str">
        <f>IF(SEFAZ!P892="","",SEFAZ!P892)</f>
        <v/>
      </c>
      <c r="L910" t="str" cm="1">
        <f t="array" aca="1" ref="L9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0" t="s">
        <v>35</v>
      </c>
      <c r="O910" s="36" t="str">
        <f>IF(SEFAZ!B892="","",SEFAZ!B892)</f>
        <v/>
      </c>
    </row>
    <row r="911" spans="2:15" x14ac:dyDescent="0.3">
      <c r="B911" t="str">
        <f>IF(SEFAZ!A893="","",SEFAZ!A893)</f>
        <v/>
      </c>
      <c r="C911" t="str">
        <f>IF(SEFAZ!C893="","",SEFAZ!C893)</f>
        <v/>
      </c>
      <c r="D911" t="str">
        <f>IF(SEFAZ!D893="","",SEFAZ!D893)</f>
        <v/>
      </c>
      <c r="E911" s="7" t="str">
        <f>IF(SEFAZ!E893="","",SEFAZ!E893)</f>
        <v/>
      </c>
      <c r="F911" s="6" t="str">
        <f>IF(SEFAZ!F893="","",VALUE(SUBSTITUTE(SEFAZ!F893,"'","")))</f>
        <v/>
      </c>
      <c r="G911" t="str">
        <f>IF(SEFAZ!H893="","",SEFAZ!H893)</f>
        <v/>
      </c>
      <c r="H911" t="str">
        <f>IF(SEFAZ!L893="","",SEFAZ!L893)</f>
        <v/>
      </c>
      <c r="I911" t="str">
        <f>IF(SEFAZ!N893="","",SEFAZ!N893)</f>
        <v/>
      </c>
      <c r="J911" t="str">
        <f>IF(SEFAZ!O893="","",SEFAZ!O893)</f>
        <v/>
      </c>
      <c r="K911" s="11" t="str">
        <f>IF(SEFAZ!P893="","",SEFAZ!P893)</f>
        <v/>
      </c>
      <c r="L911" t="str" cm="1">
        <f t="array" aca="1" ref="L9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1" t="s">
        <v>35</v>
      </c>
      <c r="O911" s="36" t="str">
        <f>IF(SEFAZ!B893="","",SEFAZ!B893)</f>
        <v/>
      </c>
    </row>
    <row r="912" spans="2:15" x14ac:dyDescent="0.3">
      <c r="B912" t="str">
        <f>IF(SEFAZ!A894="","",SEFAZ!A894)</f>
        <v/>
      </c>
      <c r="C912" t="str">
        <f>IF(SEFAZ!C894="","",SEFAZ!C894)</f>
        <v/>
      </c>
      <c r="D912" t="str">
        <f>IF(SEFAZ!D894="","",SEFAZ!D894)</f>
        <v/>
      </c>
      <c r="E912" s="7" t="str">
        <f>IF(SEFAZ!E894="","",SEFAZ!E894)</f>
        <v/>
      </c>
      <c r="F912" s="6" t="str">
        <f>IF(SEFAZ!F894="","",VALUE(SUBSTITUTE(SEFAZ!F894,"'","")))</f>
        <v/>
      </c>
      <c r="G912" t="str">
        <f>IF(SEFAZ!H894="","",SEFAZ!H894)</f>
        <v/>
      </c>
      <c r="H912" t="str">
        <f>IF(SEFAZ!L894="","",SEFAZ!L894)</f>
        <v/>
      </c>
      <c r="I912" t="str">
        <f>IF(SEFAZ!N894="","",SEFAZ!N894)</f>
        <v/>
      </c>
      <c r="J912" t="str">
        <f>IF(SEFAZ!O894="","",SEFAZ!O894)</f>
        <v/>
      </c>
      <c r="K912" s="11" t="str">
        <f>IF(SEFAZ!P894="","",SEFAZ!P894)</f>
        <v/>
      </c>
      <c r="L912" t="str" cm="1">
        <f t="array" aca="1" ref="L9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2" t="s">
        <v>35</v>
      </c>
      <c r="O912" s="36" t="str">
        <f>IF(SEFAZ!B894="","",SEFAZ!B894)</f>
        <v/>
      </c>
    </row>
    <row r="913" spans="2:15" x14ac:dyDescent="0.3">
      <c r="B913" t="str">
        <f>IF(SEFAZ!A895="","",SEFAZ!A895)</f>
        <v/>
      </c>
      <c r="C913" t="str">
        <f>IF(SEFAZ!C895="","",SEFAZ!C895)</f>
        <v/>
      </c>
      <c r="D913" t="str">
        <f>IF(SEFAZ!D895="","",SEFAZ!D895)</f>
        <v/>
      </c>
      <c r="E913" s="7" t="str">
        <f>IF(SEFAZ!E895="","",SEFAZ!E895)</f>
        <v/>
      </c>
      <c r="F913" s="6" t="str">
        <f>IF(SEFAZ!F895="","",VALUE(SUBSTITUTE(SEFAZ!F895,"'","")))</f>
        <v/>
      </c>
      <c r="G913" t="str">
        <f>IF(SEFAZ!H895="","",SEFAZ!H895)</f>
        <v/>
      </c>
      <c r="H913" t="str">
        <f>IF(SEFAZ!L895="","",SEFAZ!L895)</f>
        <v/>
      </c>
      <c r="I913" t="str">
        <f>IF(SEFAZ!N895="","",SEFAZ!N895)</f>
        <v/>
      </c>
      <c r="J913" t="str">
        <f>IF(SEFAZ!O895="","",SEFAZ!O895)</f>
        <v/>
      </c>
      <c r="K913" s="11" t="str">
        <f>IF(SEFAZ!P895="","",SEFAZ!P895)</f>
        <v/>
      </c>
      <c r="L913" t="str" cm="1">
        <f t="array" aca="1" ref="L9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3" t="s">
        <v>35</v>
      </c>
      <c r="O913" s="36" t="str">
        <f>IF(SEFAZ!B895="","",SEFAZ!B895)</f>
        <v/>
      </c>
    </row>
    <row r="914" spans="2:15" x14ac:dyDescent="0.3">
      <c r="B914" t="str">
        <f>IF(SEFAZ!A896="","",SEFAZ!A896)</f>
        <v/>
      </c>
      <c r="C914" t="str">
        <f>IF(SEFAZ!C896="","",SEFAZ!C896)</f>
        <v/>
      </c>
      <c r="D914" t="str">
        <f>IF(SEFAZ!D896="","",SEFAZ!D896)</f>
        <v/>
      </c>
      <c r="E914" s="7" t="str">
        <f>IF(SEFAZ!E896="","",SEFAZ!E896)</f>
        <v/>
      </c>
      <c r="F914" s="6" t="str">
        <f>IF(SEFAZ!F896="","",VALUE(SUBSTITUTE(SEFAZ!F896,"'","")))</f>
        <v/>
      </c>
      <c r="G914" t="str">
        <f>IF(SEFAZ!H896="","",SEFAZ!H896)</f>
        <v/>
      </c>
      <c r="H914" t="str">
        <f>IF(SEFAZ!L896="","",SEFAZ!L896)</f>
        <v/>
      </c>
      <c r="I914" t="str">
        <f>IF(SEFAZ!N896="","",SEFAZ!N896)</f>
        <v/>
      </c>
      <c r="J914" t="str">
        <f>IF(SEFAZ!O896="","",SEFAZ!O896)</f>
        <v/>
      </c>
      <c r="K914" s="11" t="str">
        <f>IF(SEFAZ!P896="","",SEFAZ!P896)</f>
        <v/>
      </c>
      <c r="L914" t="str" cm="1">
        <f t="array" aca="1" ref="L9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4" t="s">
        <v>35</v>
      </c>
      <c r="O914" s="36" t="str">
        <f>IF(SEFAZ!B896="","",SEFAZ!B896)</f>
        <v/>
      </c>
    </row>
    <row r="915" spans="2:15" x14ac:dyDescent="0.3">
      <c r="B915" t="str">
        <f>IF(SEFAZ!A897="","",SEFAZ!A897)</f>
        <v/>
      </c>
      <c r="C915" t="str">
        <f>IF(SEFAZ!C897="","",SEFAZ!C897)</f>
        <v/>
      </c>
      <c r="D915" t="str">
        <f>IF(SEFAZ!D897="","",SEFAZ!D897)</f>
        <v/>
      </c>
      <c r="E915" s="7" t="str">
        <f>IF(SEFAZ!E897="","",SEFAZ!E897)</f>
        <v/>
      </c>
      <c r="F915" s="6" t="str">
        <f>IF(SEFAZ!F897="","",VALUE(SUBSTITUTE(SEFAZ!F897,"'","")))</f>
        <v/>
      </c>
      <c r="G915" t="str">
        <f>IF(SEFAZ!H897="","",SEFAZ!H897)</f>
        <v/>
      </c>
      <c r="H915" t="str">
        <f>IF(SEFAZ!L897="","",SEFAZ!L897)</f>
        <v/>
      </c>
      <c r="I915" t="str">
        <f>IF(SEFAZ!N897="","",SEFAZ!N897)</f>
        <v/>
      </c>
      <c r="J915" t="str">
        <f>IF(SEFAZ!O897="","",SEFAZ!O897)</f>
        <v/>
      </c>
      <c r="K915" s="11" t="str">
        <f>IF(SEFAZ!P897="","",SEFAZ!P897)</f>
        <v/>
      </c>
      <c r="L915" t="str" cm="1">
        <f t="array" aca="1" ref="L9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5" t="s">
        <v>35</v>
      </c>
      <c r="O915" s="36" t="str">
        <f>IF(SEFAZ!B897="","",SEFAZ!B897)</f>
        <v/>
      </c>
    </row>
    <row r="916" spans="2:15" x14ac:dyDescent="0.3">
      <c r="B916" t="str">
        <f>IF(SEFAZ!A898="","",SEFAZ!A898)</f>
        <v/>
      </c>
      <c r="C916" t="str">
        <f>IF(SEFAZ!C898="","",SEFAZ!C898)</f>
        <v/>
      </c>
      <c r="D916" t="str">
        <f>IF(SEFAZ!D898="","",SEFAZ!D898)</f>
        <v/>
      </c>
      <c r="E916" s="7" t="str">
        <f>IF(SEFAZ!E898="","",SEFAZ!E898)</f>
        <v/>
      </c>
      <c r="F916" s="6" t="str">
        <f>IF(SEFAZ!F898="","",VALUE(SUBSTITUTE(SEFAZ!F898,"'","")))</f>
        <v/>
      </c>
      <c r="G916" t="str">
        <f>IF(SEFAZ!H898="","",SEFAZ!H898)</f>
        <v/>
      </c>
      <c r="H916" t="str">
        <f>IF(SEFAZ!L898="","",SEFAZ!L898)</f>
        <v/>
      </c>
      <c r="I916" t="str">
        <f>IF(SEFAZ!N898="","",SEFAZ!N898)</f>
        <v/>
      </c>
      <c r="J916" t="str">
        <f>IF(SEFAZ!O898="","",SEFAZ!O898)</f>
        <v/>
      </c>
      <c r="K916" s="11" t="str">
        <f>IF(SEFAZ!P898="","",SEFAZ!P898)</f>
        <v/>
      </c>
      <c r="L916" t="str" cm="1">
        <f t="array" aca="1" ref="L9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6" t="s">
        <v>35</v>
      </c>
      <c r="O916" s="36" t="str">
        <f>IF(SEFAZ!B898="","",SEFAZ!B898)</f>
        <v/>
      </c>
    </row>
    <row r="917" spans="2:15" x14ac:dyDescent="0.3">
      <c r="B917" t="str">
        <f>IF(SEFAZ!A899="","",SEFAZ!A899)</f>
        <v/>
      </c>
      <c r="C917" t="str">
        <f>IF(SEFAZ!C899="","",SEFAZ!C899)</f>
        <v/>
      </c>
      <c r="D917" t="str">
        <f>IF(SEFAZ!D899="","",SEFAZ!D899)</f>
        <v/>
      </c>
      <c r="E917" s="7" t="str">
        <f>IF(SEFAZ!E899="","",SEFAZ!E899)</f>
        <v/>
      </c>
      <c r="F917" s="6" t="str">
        <f>IF(SEFAZ!F899="","",VALUE(SUBSTITUTE(SEFAZ!F899,"'","")))</f>
        <v/>
      </c>
      <c r="G917" t="str">
        <f>IF(SEFAZ!H899="","",SEFAZ!H899)</f>
        <v/>
      </c>
      <c r="H917" t="str">
        <f>IF(SEFAZ!L899="","",SEFAZ!L899)</f>
        <v/>
      </c>
      <c r="I917" t="str">
        <f>IF(SEFAZ!N899="","",SEFAZ!N899)</f>
        <v/>
      </c>
      <c r="J917" t="str">
        <f>IF(SEFAZ!O899="","",SEFAZ!O899)</f>
        <v/>
      </c>
      <c r="K917" s="11" t="str">
        <f>IF(SEFAZ!P899="","",SEFAZ!P899)</f>
        <v/>
      </c>
      <c r="L917" t="str" cm="1">
        <f t="array" aca="1" ref="L9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7" t="s">
        <v>35</v>
      </c>
      <c r="O917" s="36" t="str">
        <f>IF(SEFAZ!B899="","",SEFAZ!B899)</f>
        <v/>
      </c>
    </row>
    <row r="918" spans="2:15" x14ac:dyDescent="0.3">
      <c r="B918" t="str">
        <f>IF(SEFAZ!A900="","",SEFAZ!A900)</f>
        <v/>
      </c>
      <c r="C918" t="str">
        <f>IF(SEFAZ!C900="","",SEFAZ!C900)</f>
        <v/>
      </c>
      <c r="D918" t="str">
        <f>IF(SEFAZ!D900="","",SEFAZ!D900)</f>
        <v/>
      </c>
      <c r="E918" s="7" t="str">
        <f>IF(SEFAZ!E900="","",SEFAZ!E900)</f>
        <v/>
      </c>
      <c r="F918" s="6" t="str">
        <f>IF(SEFAZ!F900="","",VALUE(SUBSTITUTE(SEFAZ!F900,"'","")))</f>
        <v/>
      </c>
      <c r="G918" t="str">
        <f>IF(SEFAZ!H900="","",SEFAZ!H900)</f>
        <v/>
      </c>
      <c r="H918" t="str">
        <f>IF(SEFAZ!L900="","",SEFAZ!L900)</f>
        <v/>
      </c>
      <c r="I918" t="str">
        <f>IF(SEFAZ!N900="","",SEFAZ!N900)</f>
        <v/>
      </c>
      <c r="J918" t="str">
        <f>IF(SEFAZ!O900="","",SEFAZ!O900)</f>
        <v/>
      </c>
      <c r="K918" s="11" t="str">
        <f>IF(SEFAZ!P900="","",SEFAZ!P900)</f>
        <v/>
      </c>
      <c r="L918" t="str" cm="1">
        <f t="array" aca="1" ref="L9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8" t="s">
        <v>35</v>
      </c>
      <c r="O918" s="36" t="str">
        <f>IF(SEFAZ!B900="","",SEFAZ!B900)</f>
        <v/>
      </c>
    </row>
    <row r="919" spans="2:15" x14ac:dyDescent="0.3">
      <c r="B919" t="str">
        <f>IF(SEFAZ!A901="","",SEFAZ!A901)</f>
        <v/>
      </c>
      <c r="C919" t="str">
        <f>IF(SEFAZ!C901="","",SEFAZ!C901)</f>
        <v/>
      </c>
      <c r="D919" t="str">
        <f>IF(SEFAZ!D901="","",SEFAZ!D901)</f>
        <v/>
      </c>
      <c r="E919" s="7" t="str">
        <f>IF(SEFAZ!E901="","",SEFAZ!E901)</f>
        <v/>
      </c>
      <c r="F919" s="6" t="str">
        <f>IF(SEFAZ!F901="","",VALUE(SUBSTITUTE(SEFAZ!F901,"'","")))</f>
        <v/>
      </c>
      <c r="G919" t="str">
        <f>IF(SEFAZ!H901="","",SEFAZ!H901)</f>
        <v/>
      </c>
      <c r="H919" t="str">
        <f>IF(SEFAZ!L901="","",SEFAZ!L901)</f>
        <v/>
      </c>
      <c r="I919" t="str">
        <f>IF(SEFAZ!N901="","",SEFAZ!N901)</f>
        <v/>
      </c>
      <c r="J919" t="str">
        <f>IF(SEFAZ!O901="","",SEFAZ!O901)</f>
        <v/>
      </c>
      <c r="K919" s="11" t="str">
        <f>IF(SEFAZ!P901="","",SEFAZ!P901)</f>
        <v/>
      </c>
      <c r="L919" t="str" cm="1">
        <f t="array" aca="1" ref="L9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19" t="s">
        <v>35</v>
      </c>
      <c r="O919" s="36" t="str">
        <f>IF(SEFAZ!B901="","",SEFAZ!B901)</f>
        <v/>
      </c>
    </row>
    <row r="920" spans="2:15" x14ac:dyDescent="0.3">
      <c r="B920" t="str">
        <f>IF(SEFAZ!A902="","",SEFAZ!A902)</f>
        <v/>
      </c>
      <c r="C920" t="str">
        <f>IF(SEFAZ!C902="","",SEFAZ!C902)</f>
        <v/>
      </c>
      <c r="D920" t="str">
        <f>IF(SEFAZ!D902="","",SEFAZ!D902)</f>
        <v/>
      </c>
      <c r="E920" s="7" t="str">
        <f>IF(SEFAZ!E902="","",SEFAZ!E902)</f>
        <v/>
      </c>
      <c r="F920" s="6" t="str">
        <f>IF(SEFAZ!F902="","",VALUE(SUBSTITUTE(SEFAZ!F902,"'","")))</f>
        <v/>
      </c>
      <c r="G920" t="str">
        <f>IF(SEFAZ!H902="","",SEFAZ!H902)</f>
        <v/>
      </c>
      <c r="H920" t="str">
        <f>IF(SEFAZ!L902="","",SEFAZ!L902)</f>
        <v/>
      </c>
      <c r="I920" t="str">
        <f>IF(SEFAZ!N902="","",SEFAZ!N902)</f>
        <v/>
      </c>
      <c r="J920" t="str">
        <f>IF(SEFAZ!O902="","",SEFAZ!O902)</f>
        <v/>
      </c>
      <c r="K920" s="11" t="str">
        <f>IF(SEFAZ!P902="","",SEFAZ!P902)</f>
        <v/>
      </c>
      <c r="L920" t="str" cm="1">
        <f t="array" aca="1" ref="L9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0" t="s">
        <v>35</v>
      </c>
      <c r="O920" s="36" t="str">
        <f>IF(SEFAZ!B902="","",SEFAZ!B902)</f>
        <v/>
      </c>
    </row>
    <row r="921" spans="2:15" x14ac:dyDescent="0.3">
      <c r="B921" t="str">
        <f>IF(SEFAZ!A903="","",SEFAZ!A903)</f>
        <v/>
      </c>
      <c r="C921" t="str">
        <f>IF(SEFAZ!C903="","",SEFAZ!C903)</f>
        <v/>
      </c>
      <c r="D921" t="str">
        <f>IF(SEFAZ!D903="","",SEFAZ!D903)</f>
        <v/>
      </c>
      <c r="E921" s="7" t="str">
        <f>IF(SEFAZ!E903="","",SEFAZ!E903)</f>
        <v/>
      </c>
      <c r="F921" s="6" t="str">
        <f>IF(SEFAZ!F903="","",VALUE(SUBSTITUTE(SEFAZ!F903,"'","")))</f>
        <v/>
      </c>
      <c r="G921" t="str">
        <f>IF(SEFAZ!H903="","",SEFAZ!H903)</f>
        <v/>
      </c>
      <c r="H921" t="str">
        <f>IF(SEFAZ!L903="","",SEFAZ!L903)</f>
        <v/>
      </c>
      <c r="I921" t="str">
        <f>IF(SEFAZ!N903="","",SEFAZ!N903)</f>
        <v/>
      </c>
      <c r="J921" t="str">
        <f>IF(SEFAZ!O903="","",SEFAZ!O903)</f>
        <v/>
      </c>
      <c r="K921" s="11" t="str">
        <f>IF(SEFAZ!P903="","",SEFAZ!P903)</f>
        <v/>
      </c>
      <c r="L921" t="str" cm="1">
        <f t="array" aca="1" ref="L9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1" t="s">
        <v>35</v>
      </c>
      <c r="O921" s="36" t="str">
        <f>IF(SEFAZ!B903="","",SEFAZ!B903)</f>
        <v/>
      </c>
    </row>
    <row r="922" spans="2:15" x14ac:dyDescent="0.3">
      <c r="B922" t="str">
        <f>IF(SEFAZ!A904="","",SEFAZ!A904)</f>
        <v/>
      </c>
      <c r="C922" t="str">
        <f>IF(SEFAZ!C904="","",SEFAZ!C904)</f>
        <v/>
      </c>
      <c r="D922" t="str">
        <f>IF(SEFAZ!D904="","",SEFAZ!D904)</f>
        <v/>
      </c>
      <c r="E922" s="7" t="str">
        <f>IF(SEFAZ!E904="","",SEFAZ!E904)</f>
        <v/>
      </c>
      <c r="F922" s="6" t="str">
        <f>IF(SEFAZ!F904="","",VALUE(SUBSTITUTE(SEFAZ!F904,"'","")))</f>
        <v/>
      </c>
      <c r="G922" t="str">
        <f>IF(SEFAZ!H904="","",SEFAZ!H904)</f>
        <v/>
      </c>
      <c r="H922" t="str">
        <f>IF(SEFAZ!L904="","",SEFAZ!L904)</f>
        <v/>
      </c>
      <c r="I922" t="str">
        <f>IF(SEFAZ!N904="","",SEFAZ!N904)</f>
        <v/>
      </c>
      <c r="J922" t="str">
        <f>IF(SEFAZ!O904="","",SEFAZ!O904)</f>
        <v/>
      </c>
      <c r="K922" s="11" t="str">
        <f>IF(SEFAZ!P904="","",SEFAZ!P904)</f>
        <v/>
      </c>
      <c r="L922" t="str" cm="1">
        <f t="array" aca="1" ref="L9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2" t="s">
        <v>35</v>
      </c>
      <c r="O922" s="36" t="str">
        <f>IF(SEFAZ!B904="","",SEFAZ!B904)</f>
        <v/>
      </c>
    </row>
    <row r="923" spans="2:15" x14ac:dyDescent="0.3">
      <c r="B923" t="str">
        <f>IF(SEFAZ!A905="","",SEFAZ!A905)</f>
        <v/>
      </c>
      <c r="C923" t="str">
        <f>IF(SEFAZ!C905="","",SEFAZ!C905)</f>
        <v/>
      </c>
      <c r="D923" t="str">
        <f>IF(SEFAZ!D905="","",SEFAZ!D905)</f>
        <v/>
      </c>
      <c r="E923" s="7" t="str">
        <f>IF(SEFAZ!E905="","",SEFAZ!E905)</f>
        <v/>
      </c>
      <c r="F923" s="6" t="str">
        <f>IF(SEFAZ!F905="","",VALUE(SUBSTITUTE(SEFAZ!F905,"'","")))</f>
        <v/>
      </c>
      <c r="G923" t="str">
        <f>IF(SEFAZ!H905="","",SEFAZ!H905)</f>
        <v/>
      </c>
      <c r="H923" t="str">
        <f>IF(SEFAZ!L905="","",SEFAZ!L905)</f>
        <v/>
      </c>
      <c r="I923" t="str">
        <f>IF(SEFAZ!N905="","",SEFAZ!N905)</f>
        <v/>
      </c>
      <c r="J923" t="str">
        <f>IF(SEFAZ!O905="","",SEFAZ!O905)</f>
        <v/>
      </c>
      <c r="K923" s="11" t="str">
        <f>IF(SEFAZ!P905="","",SEFAZ!P905)</f>
        <v/>
      </c>
      <c r="L923" t="str" cm="1">
        <f t="array" aca="1" ref="L9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3" t="s">
        <v>35</v>
      </c>
      <c r="O923" s="36" t="str">
        <f>IF(SEFAZ!B905="","",SEFAZ!B905)</f>
        <v/>
      </c>
    </row>
    <row r="924" spans="2:15" x14ac:dyDescent="0.3">
      <c r="B924" t="str">
        <f>IF(SEFAZ!A906="","",SEFAZ!A906)</f>
        <v/>
      </c>
      <c r="C924" t="str">
        <f>IF(SEFAZ!C906="","",SEFAZ!C906)</f>
        <v/>
      </c>
      <c r="D924" t="str">
        <f>IF(SEFAZ!D906="","",SEFAZ!D906)</f>
        <v/>
      </c>
      <c r="E924" s="7" t="str">
        <f>IF(SEFAZ!E906="","",SEFAZ!E906)</f>
        <v/>
      </c>
      <c r="F924" s="6" t="str">
        <f>IF(SEFAZ!F906="","",VALUE(SUBSTITUTE(SEFAZ!F906,"'","")))</f>
        <v/>
      </c>
      <c r="G924" t="str">
        <f>IF(SEFAZ!H906="","",SEFAZ!H906)</f>
        <v/>
      </c>
      <c r="H924" t="str">
        <f>IF(SEFAZ!L906="","",SEFAZ!L906)</f>
        <v/>
      </c>
      <c r="I924" t="str">
        <f>IF(SEFAZ!N906="","",SEFAZ!N906)</f>
        <v/>
      </c>
      <c r="J924" t="str">
        <f>IF(SEFAZ!O906="","",SEFAZ!O906)</f>
        <v/>
      </c>
      <c r="K924" s="11" t="str">
        <f>IF(SEFAZ!P906="","",SEFAZ!P906)</f>
        <v/>
      </c>
      <c r="L924" t="str" cm="1">
        <f t="array" aca="1" ref="L9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4" t="s">
        <v>35</v>
      </c>
      <c r="O924" s="36" t="str">
        <f>IF(SEFAZ!B906="","",SEFAZ!B906)</f>
        <v/>
      </c>
    </row>
    <row r="925" spans="2:15" x14ac:dyDescent="0.3">
      <c r="B925" t="str">
        <f>IF(SEFAZ!A907="","",SEFAZ!A907)</f>
        <v/>
      </c>
      <c r="C925" t="str">
        <f>IF(SEFAZ!C907="","",SEFAZ!C907)</f>
        <v/>
      </c>
      <c r="D925" t="str">
        <f>IF(SEFAZ!D907="","",SEFAZ!D907)</f>
        <v/>
      </c>
      <c r="E925" s="7" t="str">
        <f>IF(SEFAZ!E907="","",SEFAZ!E907)</f>
        <v/>
      </c>
      <c r="F925" s="6" t="str">
        <f>IF(SEFAZ!F907="","",VALUE(SUBSTITUTE(SEFAZ!F907,"'","")))</f>
        <v/>
      </c>
      <c r="G925" t="str">
        <f>IF(SEFAZ!H907="","",SEFAZ!H907)</f>
        <v/>
      </c>
      <c r="H925" t="str">
        <f>IF(SEFAZ!L907="","",SEFAZ!L907)</f>
        <v/>
      </c>
      <c r="I925" t="str">
        <f>IF(SEFAZ!N907="","",SEFAZ!N907)</f>
        <v/>
      </c>
      <c r="J925" t="str">
        <f>IF(SEFAZ!O907="","",SEFAZ!O907)</f>
        <v/>
      </c>
      <c r="K925" s="11" t="str">
        <f>IF(SEFAZ!P907="","",SEFAZ!P907)</f>
        <v/>
      </c>
      <c r="L925" t="str" cm="1">
        <f t="array" aca="1" ref="L9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5" t="s">
        <v>35</v>
      </c>
      <c r="O925" s="36" t="str">
        <f>IF(SEFAZ!B907="","",SEFAZ!B907)</f>
        <v/>
      </c>
    </row>
    <row r="926" spans="2:15" x14ac:dyDescent="0.3">
      <c r="B926" t="str">
        <f>IF(SEFAZ!A908="","",SEFAZ!A908)</f>
        <v/>
      </c>
      <c r="C926" t="str">
        <f>IF(SEFAZ!C908="","",SEFAZ!C908)</f>
        <v/>
      </c>
      <c r="D926" t="str">
        <f>IF(SEFAZ!D908="","",SEFAZ!D908)</f>
        <v/>
      </c>
      <c r="E926" s="7" t="str">
        <f>IF(SEFAZ!E908="","",SEFAZ!E908)</f>
        <v/>
      </c>
      <c r="F926" s="6" t="str">
        <f>IF(SEFAZ!F908="","",VALUE(SUBSTITUTE(SEFAZ!F908,"'","")))</f>
        <v/>
      </c>
      <c r="G926" t="str">
        <f>IF(SEFAZ!H908="","",SEFAZ!H908)</f>
        <v/>
      </c>
      <c r="H926" t="str">
        <f>IF(SEFAZ!L908="","",SEFAZ!L908)</f>
        <v/>
      </c>
      <c r="I926" t="str">
        <f>IF(SEFAZ!N908="","",SEFAZ!N908)</f>
        <v/>
      </c>
      <c r="J926" t="str">
        <f>IF(SEFAZ!O908="","",SEFAZ!O908)</f>
        <v/>
      </c>
      <c r="K926" s="11" t="str">
        <f>IF(SEFAZ!P908="","",SEFAZ!P908)</f>
        <v/>
      </c>
      <c r="L926" t="str" cm="1">
        <f t="array" aca="1" ref="L9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6" t="s">
        <v>35</v>
      </c>
      <c r="O926" s="36" t="str">
        <f>IF(SEFAZ!B908="","",SEFAZ!B908)</f>
        <v/>
      </c>
    </row>
    <row r="927" spans="2:15" x14ac:dyDescent="0.3">
      <c r="B927" t="str">
        <f>IF(SEFAZ!A909="","",SEFAZ!A909)</f>
        <v/>
      </c>
      <c r="C927" t="str">
        <f>IF(SEFAZ!C909="","",SEFAZ!C909)</f>
        <v/>
      </c>
      <c r="D927" t="str">
        <f>IF(SEFAZ!D909="","",SEFAZ!D909)</f>
        <v/>
      </c>
      <c r="E927" s="7" t="str">
        <f>IF(SEFAZ!E909="","",SEFAZ!E909)</f>
        <v/>
      </c>
      <c r="F927" s="6" t="str">
        <f>IF(SEFAZ!F909="","",VALUE(SUBSTITUTE(SEFAZ!F909,"'","")))</f>
        <v/>
      </c>
      <c r="G927" t="str">
        <f>IF(SEFAZ!H909="","",SEFAZ!H909)</f>
        <v/>
      </c>
      <c r="H927" t="str">
        <f>IF(SEFAZ!L909="","",SEFAZ!L909)</f>
        <v/>
      </c>
      <c r="I927" t="str">
        <f>IF(SEFAZ!N909="","",SEFAZ!N909)</f>
        <v/>
      </c>
      <c r="J927" t="str">
        <f>IF(SEFAZ!O909="","",SEFAZ!O909)</f>
        <v/>
      </c>
      <c r="K927" s="11" t="str">
        <f>IF(SEFAZ!P909="","",SEFAZ!P909)</f>
        <v/>
      </c>
      <c r="L927" t="str" cm="1">
        <f t="array" aca="1" ref="L9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7" t="s">
        <v>35</v>
      </c>
      <c r="O927" s="36" t="str">
        <f>IF(SEFAZ!B909="","",SEFAZ!B909)</f>
        <v/>
      </c>
    </row>
    <row r="928" spans="2:15" x14ac:dyDescent="0.3">
      <c r="B928" t="str">
        <f>IF(SEFAZ!A910="","",SEFAZ!A910)</f>
        <v/>
      </c>
      <c r="C928" t="str">
        <f>IF(SEFAZ!C910="","",SEFAZ!C910)</f>
        <v/>
      </c>
      <c r="D928" t="str">
        <f>IF(SEFAZ!D910="","",SEFAZ!D910)</f>
        <v/>
      </c>
      <c r="E928" s="7" t="str">
        <f>IF(SEFAZ!E910="","",SEFAZ!E910)</f>
        <v/>
      </c>
      <c r="F928" s="6" t="str">
        <f>IF(SEFAZ!F910="","",VALUE(SUBSTITUTE(SEFAZ!F910,"'","")))</f>
        <v/>
      </c>
      <c r="G928" t="str">
        <f>IF(SEFAZ!H910="","",SEFAZ!H910)</f>
        <v/>
      </c>
      <c r="H928" t="str">
        <f>IF(SEFAZ!L910="","",SEFAZ!L910)</f>
        <v/>
      </c>
      <c r="I928" t="str">
        <f>IF(SEFAZ!N910="","",SEFAZ!N910)</f>
        <v/>
      </c>
      <c r="J928" t="str">
        <f>IF(SEFAZ!O910="","",SEFAZ!O910)</f>
        <v/>
      </c>
      <c r="K928" s="11" t="str">
        <f>IF(SEFAZ!P910="","",SEFAZ!P910)</f>
        <v/>
      </c>
      <c r="L928" t="str" cm="1">
        <f t="array" aca="1" ref="L9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8" t="s">
        <v>35</v>
      </c>
      <c r="O928" s="36" t="str">
        <f>IF(SEFAZ!B910="","",SEFAZ!B910)</f>
        <v/>
      </c>
    </row>
    <row r="929" spans="2:15" x14ac:dyDescent="0.3">
      <c r="B929" t="str">
        <f>IF(SEFAZ!A911="","",SEFAZ!A911)</f>
        <v/>
      </c>
      <c r="C929" t="str">
        <f>IF(SEFAZ!C911="","",SEFAZ!C911)</f>
        <v/>
      </c>
      <c r="D929" t="str">
        <f>IF(SEFAZ!D911="","",SEFAZ!D911)</f>
        <v/>
      </c>
      <c r="E929" s="7" t="str">
        <f>IF(SEFAZ!E911="","",SEFAZ!E911)</f>
        <v/>
      </c>
      <c r="F929" s="6" t="str">
        <f>IF(SEFAZ!F911="","",VALUE(SUBSTITUTE(SEFAZ!F911,"'","")))</f>
        <v/>
      </c>
      <c r="G929" t="str">
        <f>IF(SEFAZ!H911="","",SEFAZ!H911)</f>
        <v/>
      </c>
      <c r="H929" t="str">
        <f>IF(SEFAZ!L911="","",SEFAZ!L911)</f>
        <v/>
      </c>
      <c r="I929" t="str">
        <f>IF(SEFAZ!N911="","",SEFAZ!N911)</f>
        <v/>
      </c>
      <c r="J929" t="str">
        <f>IF(SEFAZ!O911="","",SEFAZ!O911)</f>
        <v/>
      </c>
      <c r="K929" s="11" t="str">
        <f>IF(SEFAZ!P911="","",SEFAZ!P911)</f>
        <v/>
      </c>
      <c r="L929" t="str" cm="1">
        <f t="array" aca="1" ref="L9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29" t="s">
        <v>35</v>
      </c>
      <c r="O929" s="36" t="str">
        <f>IF(SEFAZ!B911="","",SEFAZ!B911)</f>
        <v/>
      </c>
    </row>
    <row r="930" spans="2:15" x14ac:dyDescent="0.3">
      <c r="B930" t="str">
        <f>IF(SEFAZ!A912="","",SEFAZ!A912)</f>
        <v/>
      </c>
      <c r="C930" t="str">
        <f>IF(SEFAZ!C912="","",SEFAZ!C912)</f>
        <v/>
      </c>
      <c r="D930" t="str">
        <f>IF(SEFAZ!D912="","",SEFAZ!D912)</f>
        <v/>
      </c>
      <c r="E930" s="7" t="str">
        <f>IF(SEFAZ!E912="","",SEFAZ!E912)</f>
        <v/>
      </c>
      <c r="F930" s="6" t="str">
        <f>IF(SEFAZ!F912="","",VALUE(SUBSTITUTE(SEFAZ!F912,"'","")))</f>
        <v/>
      </c>
      <c r="G930" t="str">
        <f>IF(SEFAZ!H912="","",SEFAZ!H912)</f>
        <v/>
      </c>
      <c r="H930" t="str">
        <f>IF(SEFAZ!L912="","",SEFAZ!L912)</f>
        <v/>
      </c>
      <c r="I930" t="str">
        <f>IF(SEFAZ!N912="","",SEFAZ!N912)</f>
        <v/>
      </c>
      <c r="J930" t="str">
        <f>IF(SEFAZ!O912="","",SEFAZ!O912)</f>
        <v/>
      </c>
      <c r="K930" s="11" t="str">
        <f>IF(SEFAZ!P912="","",SEFAZ!P912)</f>
        <v/>
      </c>
      <c r="L930" t="str" cm="1">
        <f t="array" aca="1" ref="L9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0" t="s">
        <v>35</v>
      </c>
      <c r="O930" s="36" t="str">
        <f>IF(SEFAZ!B912="","",SEFAZ!B912)</f>
        <v/>
      </c>
    </row>
    <row r="931" spans="2:15" x14ac:dyDescent="0.3">
      <c r="B931" t="str">
        <f>IF(SEFAZ!A913="","",SEFAZ!A913)</f>
        <v/>
      </c>
      <c r="C931" t="str">
        <f>IF(SEFAZ!C913="","",SEFAZ!C913)</f>
        <v/>
      </c>
      <c r="D931" t="str">
        <f>IF(SEFAZ!D913="","",SEFAZ!D913)</f>
        <v/>
      </c>
      <c r="E931" s="7" t="str">
        <f>IF(SEFAZ!E913="","",SEFAZ!E913)</f>
        <v/>
      </c>
      <c r="F931" s="6" t="str">
        <f>IF(SEFAZ!F913="","",VALUE(SUBSTITUTE(SEFAZ!F913,"'","")))</f>
        <v/>
      </c>
      <c r="G931" t="str">
        <f>IF(SEFAZ!H913="","",SEFAZ!H913)</f>
        <v/>
      </c>
      <c r="H931" t="str">
        <f>IF(SEFAZ!L913="","",SEFAZ!L913)</f>
        <v/>
      </c>
      <c r="I931" t="str">
        <f>IF(SEFAZ!N913="","",SEFAZ!N913)</f>
        <v/>
      </c>
      <c r="J931" t="str">
        <f>IF(SEFAZ!O913="","",SEFAZ!O913)</f>
        <v/>
      </c>
      <c r="K931" s="11" t="str">
        <f>IF(SEFAZ!P913="","",SEFAZ!P913)</f>
        <v/>
      </c>
      <c r="L931" t="str" cm="1">
        <f t="array" aca="1" ref="L9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1" t="s">
        <v>35</v>
      </c>
      <c r="O931" s="36" t="str">
        <f>IF(SEFAZ!B913="","",SEFAZ!B913)</f>
        <v/>
      </c>
    </row>
    <row r="932" spans="2:15" x14ac:dyDescent="0.3">
      <c r="B932" t="str">
        <f>IF(SEFAZ!A914="","",SEFAZ!A914)</f>
        <v/>
      </c>
      <c r="C932" t="str">
        <f>IF(SEFAZ!C914="","",SEFAZ!C914)</f>
        <v/>
      </c>
      <c r="D932" t="str">
        <f>IF(SEFAZ!D914="","",SEFAZ!D914)</f>
        <v/>
      </c>
      <c r="E932" s="7" t="str">
        <f>IF(SEFAZ!E914="","",SEFAZ!E914)</f>
        <v/>
      </c>
      <c r="F932" s="6" t="str">
        <f>IF(SEFAZ!F914="","",VALUE(SUBSTITUTE(SEFAZ!F914,"'","")))</f>
        <v/>
      </c>
      <c r="G932" t="str">
        <f>IF(SEFAZ!H914="","",SEFAZ!H914)</f>
        <v/>
      </c>
      <c r="H932" t="str">
        <f>IF(SEFAZ!L914="","",SEFAZ!L914)</f>
        <v/>
      </c>
      <c r="I932" t="str">
        <f>IF(SEFAZ!N914="","",SEFAZ!N914)</f>
        <v/>
      </c>
      <c r="J932" t="str">
        <f>IF(SEFAZ!O914="","",SEFAZ!O914)</f>
        <v/>
      </c>
      <c r="K932" s="11" t="str">
        <f>IF(SEFAZ!P914="","",SEFAZ!P914)</f>
        <v/>
      </c>
      <c r="L932" t="str" cm="1">
        <f t="array" aca="1" ref="L9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2" t="s">
        <v>35</v>
      </c>
      <c r="O932" s="36" t="str">
        <f>IF(SEFAZ!B914="","",SEFAZ!B914)</f>
        <v/>
      </c>
    </row>
    <row r="933" spans="2:15" x14ac:dyDescent="0.3">
      <c r="B933" t="str">
        <f>IF(SEFAZ!A915="","",SEFAZ!A915)</f>
        <v/>
      </c>
      <c r="C933" t="str">
        <f>IF(SEFAZ!C915="","",SEFAZ!C915)</f>
        <v/>
      </c>
      <c r="D933" t="str">
        <f>IF(SEFAZ!D915="","",SEFAZ!D915)</f>
        <v/>
      </c>
      <c r="E933" s="7" t="str">
        <f>IF(SEFAZ!E915="","",SEFAZ!E915)</f>
        <v/>
      </c>
      <c r="F933" s="6" t="str">
        <f>IF(SEFAZ!F915="","",VALUE(SUBSTITUTE(SEFAZ!F915,"'","")))</f>
        <v/>
      </c>
      <c r="G933" t="str">
        <f>IF(SEFAZ!H915="","",SEFAZ!H915)</f>
        <v/>
      </c>
      <c r="H933" t="str">
        <f>IF(SEFAZ!L915="","",SEFAZ!L915)</f>
        <v/>
      </c>
      <c r="I933" t="str">
        <f>IF(SEFAZ!N915="","",SEFAZ!N915)</f>
        <v/>
      </c>
      <c r="J933" t="str">
        <f>IF(SEFAZ!O915="","",SEFAZ!O915)</f>
        <v/>
      </c>
      <c r="K933" s="11" t="str">
        <f>IF(SEFAZ!P915="","",SEFAZ!P915)</f>
        <v/>
      </c>
      <c r="L933" t="str" cm="1">
        <f t="array" aca="1" ref="L9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3" t="s">
        <v>35</v>
      </c>
      <c r="O933" s="36" t="str">
        <f>IF(SEFAZ!B915="","",SEFAZ!B915)</f>
        <v/>
      </c>
    </row>
    <row r="934" spans="2:15" x14ac:dyDescent="0.3">
      <c r="B934" t="str">
        <f>IF(SEFAZ!A916="","",SEFAZ!A916)</f>
        <v/>
      </c>
      <c r="C934" t="str">
        <f>IF(SEFAZ!C916="","",SEFAZ!C916)</f>
        <v/>
      </c>
      <c r="D934" t="str">
        <f>IF(SEFAZ!D916="","",SEFAZ!D916)</f>
        <v/>
      </c>
      <c r="E934" s="7" t="str">
        <f>IF(SEFAZ!E916="","",SEFAZ!E916)</f>
        <v/>
      </c>
      <c r="F934" s="6" t="str">
        <f>IF(SEFAZ!F916="","",VALUE(SUBSTITUTE(SEFAZ!F916,"'","")))</f>
        <v/>
      </c>
      <c r="G934" t="str">
        <f>IF(SEFAZ!H916="","",SEFAZ!H916)</f>
        <v/>
      </c>
      <c r="H934" t="str">
        <f>IF(SEFAZ!L916="","",SEFAZ!L916)</f>
        <v/>
      </c>
      <c r="I934" t="str">
        <f>IF(SEFAZ!N916="","",SEFAZ!N916)</f>
        <v/>
      </c>
      <c r="J934" t="str">
        <f>IF(SEFAZ!O916="","",SEFAZ!O916)</f>
        <v/>
      </c>
      <c r="K934" s="11" t="str">
        <f>IF(SEFAZ!P916="","",SEFAZ!P916)</f>
        <v/>
      </c>
      <c r="L934" t="str" cm="1">
        <f t="array" aca="1" ref="L9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4" t="s">
        <v>35</v>
      </c>
      <c r="O934" s="36" t="str">
        <f>IF(SEFAZ!B916="","",SEFAZ!B916)</f>
        <v/>
      </c>
    </row>
    <row r="935" spans="2:15" x14ac:dyDescent="0.3">
      <c r="B935" t="str">
        <f>IF(SEFAZ!A917="","",SEFAZ!A917)</f>
        <v/>
      </c>
      <c r="C935" t="str">
        <f>IF(SEFAZ!C917="","",SEFAZ!C917)</f>
        <v/>
      </c>
      <c r="D935" t="str">
        <f>IF(SEFAZ!D917="","",SEFAZ!D917)</f>
        <v/>
      </c>
      <c r="E935" s="7" t="str">
        <f>IF(SEFAZ!E917="","",SEFAZ!E917)</f>
        <v/>
      </c>
      <c r="F935" s="6" t="str">
        <f>IF(SEFAZ!F917="","",VALUE(SUBSTITUTE(SEFAZ!F917,"'","")))</f>
        <v/>
      </c>
      <c r="G935" t="str">
        <f>IF(SEFAZ!H917="","",SEFAZ!H917)</f>
        <v/>
      </c>
      <c r="H935" t="str">
        <f>IF(SEFAZ!L917="","",SEFAZ!L917)</f>
        <v/>
      </c>
      <c r="I935" t="str">
        <f>IF(SEFAZ!N917="","",SEFAZ!N917)</f>
        <v/>
      </c>
      <c r="J935" t="str">
        <f>IF(SEFAZ!O917="","",SEFAZ!O917)</f>
        <v/>
      </c>
      <c r="K935" s="11" t="str">
        <f>IF(SEFAZ!P917="","",SEFAZ!P917)</f>
        <v/>
      </c>
      <c r="L935" t="str" cm="1">
        <f t="array" aca="1" ref="L9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5" t="s">
        <v>35</v>
      </c>
      <c r="O935" s="36" t="str">
        <f>IF(SEFAZ!B917="","",SEFAZ!B917)</f>
        <v/>
      </c>
    </row>
    <row r="936" spans="2:15" x14ac:dyDescent="0.3">
      <c r="B936" t="str">
        <f>IF(SEFAZ!A918="","",SEFAZ!A918)</f>
        <v/>
      </c>
      <c r="C936" t="str">
        <f>IF(SEFAZ!C918="","",SEFAZ!C918)</f>
        <v/>
      </c>
      <c r="D936" t="str">
        <f>IF(SEFAZ!D918="","",SEFAZ!D918)</f>
        <v/>
      </c>
      <c r="E936" s="7" t="str">
        <f>IF(SEFAZ!E918="","",SEFAZ!E918)</f>
        <v/>
      </c>
      <c r="F936" s="6" t="str">
        <f>IF(SEFAZ!F918="","",VALUE(SUBSTITUTE(SEFAZ!F918,"'","")))</f>
        <v/>
      </c>
      <c r="G936" t="str">
        <f>IF(SEFAZ!H918="","",SEFAZ!H918)</f>
        <v/>
      </c>
      <c r="H936" t="str">
        <f>IF(SEFAZ!L918="","",SEFAZ!L918)</f>
        <v/>
      </c>
      <c r="I936" t="str">
        <f>IF(SEFAZ!N918="","",SEFAZ!N918)</f>
        <v/>
      </c>
      <c r="J936" t="str">
        <f>IF(SEFAZ!O918="","",SEFAZ!O918)</f>
        <v/>
      </c>
      <c r="K936" s="11" t="str">
        <f>IF(SEFAZ!P918="","",SEFAZ!P918)</f>
        <v/>
      </c>
      <c r="L936" t="str" cm="1">
        <f t="array" aca="1" ref="L9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6" t="s">
        <v>35</v>
      </c>
      <c r="O936" s="36" t="str">
        <f>IF(SEFAZ!B918="","",SEFAZ!B918)</f>
        <v/>
      </c>
    </row>
    <row r="937" spans="2:15" x14ac:dyDescent="0.3">
      <c r="B937" t="str">
        <f>IF(SEFAZ!A919="","",SEFAZ!A919)</f>
        <v/>
      </c>
      <c r="C937" t="str">
        <f>IF(SEFAZ!C919="","",SEFAZ!C919)</f>
        <v/>
      </c>
      <c r="D937" t="str">
        <f>IF(SEFAZ!D919="","",SEFAZ!D919)</f>
        <v/>
      </c>
      <c r="E937" s="7" t="str">
        <f>IF(SEFAZ!E919="","",SEFAZ!E919)</f>
        <v/>
      </c>
      <c r="F937" s="6" t="str">
        <f>IF(SEFAZ!F919="","",VALUE(SUBSTITUTE(SEFAZ!F919,"'","")))</f>
        <v/>
      </c>
      <c r="G937" t="str">
        <f>IF(SEFAZ!H919="","",SEFAZ!H919)</f>
        <v/>
      </c>
      <c r="H937" t="str">
        <f>IF(SEFAZ!L919="","",SEFAZ!L919)</f>
        <v/>
      </c>
      <c r="I937" t="str">
        <f>IF(SEFAZ!N919="","",SEFAZ!N919)</f>
        <v/>
      </c>
      <c r="J937" t="str">
        <f>IF(SEFAZ!O919="","",SEFAZ!O919)</f>
        <v/>
      </c>
      <c r="K937" s="11" t="str">
        <f>IF(SEFAZ!P919="","",SEFAZ!P919)</f>
        <v/>
      </c>
      <c r="L937" t="str" cm="1">
        <f t="array" aca="1" ref="L9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7" t="s">
        <v>35</v>
      </c>
      <c r="O937" s="36" t="str">
        <f>IF(SEFAZ!B919="","",SEFAZ!B919)</f>
        <v/>
      </c>
    </row>
    <row r="938" spans="2:15" x14ac:dyDescent="0.3">
      <c r="B938" t="str">
        <f>IF(SEFAZ!A920="","",SEFAZ!A920)</f>
        <v/>
      </c>
      <c r="C938" t="str">
        <f>IF(SEFAZ!C920="","",SEFAZ!C920)</f>
        <v/>
      </c>
      <c r="D938" t="str">
        <f>IF(SEFAZ!D920="","",SEFAZ!D920)</f>
        <v/>
      </c>
      <c r="E938" s="7" t="str">
        <f>IF(SEFAZ!E920="","",SEFAZ!E920)</f>
        <v/>
      </c>
      <c r="F938" s="6" t="str">
        <f>IF(SEFAZ!F920="","",VALUE(SUBSTITUTE(SEFAZ!F920,"'","")))</f>
        <v/>
      </c>
      <c r="G938" t="str">
        <f>IF(SEFAZ!H920="","",SEFAZ!H920)</f>
        <v/>
      </c>
      <c r="H938" t="str">
        <f>IF(SEFAZ!L920="","",SEFAZ!L920)</f>
        <v/>
      </c>
      <c r="I938" t="str">
        <f>IF(SEFAZ!N920="","",SEFAZ!N920)</f>
        <v/>
      </c>
      <c r="J938" t="str">
        <f>IF(SEFAZ!O920="","",SEFAZ!O920)</f>
        <v/>
      </c>
      <c r="K938" s="11" t="str">
        <f>IF(SEFAZ!P920="","",SEFAZ!P920)</f>
        <v/>
      </c>
      <c r="L938" t="str" cm="1">
        <f t="array" aca="1" ref="L9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8" t="s">
        <v>35</v>
      </c>
      <c r="O938" s="36" t="str">
        <f>IF(SEFAZ!B920="","",SEFAZ!B920)</f>
        <v/>
      </c>
    </row>
    <row r="939" spans="2:15" x14ac:dyDescent="0.3">
      <c r="B939" t="str">
        <f>IF(SEFAZ!A921="","",SEFAZ!A921)</f>
        <v/>
      </c>
      <c r="C939" t="str">
        <f>IF(SEFAZ!C921="","",SEFAZ!C921)</f>
        <v/>
      </c>
      <c r="D939" t="str">
        <f>IF(SEFAZ!D921="","",SEFAZ!D921)</f>
        <v/>
      </c>
      <c r="E939" s="7" t="str">
        <f>IF(SEFAZ!E921="","",SEFAZ!E921)</f>
        <v/>
      </c>
      <c r="F939" s="6" t="str">
        <f>IF(SEFAZ!F921="","",VALUE(SUBSTITUTE(SEFAZ!F921,"'","")))</f>
        <v/>
      </c>
      <c r="G939" t="str">
        <f>IF(SEFAZ!H921="","",SEFAZ!H921)</f>
        <v/>
      </c>
      <c r="H939" t="str">
        <f>IF(SEFAZ!L921="","",SEFAZ!L921)</f>
        <v/>
      </c>
      <c r="I939" t="str">
        <f>IF(SEFAZ!N921="","",SEFAZ!N921)</f>
        <v/>
      </c>
      <c r="J939" t="str">
        <f>IF(SEFAZ!O921="","",SEFAZ!O921)</f>
        <v/>
      </c>
      <c r="K939" s="11" t="str">
        <f>IF(SEFAZ!P921="","",SEFAZ!P921)</f>
        <v/>
      </c>
      <c r="L939" t="str" cm="1">
        <f t="array" aca="1" ref="L9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39" t="s">
        <v>35</v>
      </c>
      <c r="O939" s="36" t="str">
        <f>IF(SEFAZ!B921="","",SEFAZ!B921)</f>
        <v/>
      </c>
    </row>
    <row r="940" spans="2:15" x14ac:dyDescent="0.3">
      <c r="B940" t="str">
        <f>IF(SEFAZ!A922="","",SEFAZ!A922)</f>
        <v/>
      </c>
      <c r="C940" t="str">
        <f>IF(SEFAZ!C922="","",SEFAZ!C922)</f>
        <v/>
      </c>
      <c r="D940" t="str">
        <f>IF(SEFAZ!D922="","",SEFAZ!D922)</f>
        <v/>
      </c>
      <c r="E940" s="7" t="str">
        <f>IF(SEFAZ!E922="","",SEFAZ!E922)</f>
        <v/>
      </c>
      <c r="F940" s="6" t="str">
        <f>IF(SEFAZ!F922="","",VALUE(SUBSTITUTE(SEFAZ!F922,"'","")))</f>
        <v/>
      </c>
      <c r="G940" t="str">
        <f>IF(SEFAZ!H922="","",SEFAZ!H922)</f>
        <v/>
      </c>
      <c r="H940" t="str">
        <f>IF(SEFAZ!L922="","",SEFAZ!L922)</f>
        <v/>
      </c>
      <c r="I940" t="str">
        <f>IF(SEFAZ!N922="","",SEFAZ!N922)</f>
        <v/>
      </c>
      <c r="J940" t="str">
        <f>IF(SEFAZ!O922="","",SEFAZ!O922)</f>
        <v/>
      </c>
      <c r="K940" s="11" t="str">
        <f>IF(SEFAZ!P922="","",SEFAZ!P922)</f>
        <v/>
      </c>
      <c r="L940" t="str" cm="1">
        <f t="array" aca="1" ref="L9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0" t="s">
        <v>35</v>
      </c>
      <c r="O940" s="36" t="str">
        <f>IF(SEFAZ!B922="","",SEFAZ!B922)</f>
        <v/>
      </c>
    </row>
    <row r="941" spans="2:15" x14ac:dyDescent="0.3">
      <c r="B941" t="str">
        <f>IF(SEFAZ!A923="","",SEFAZ!A923)</f>
        <v/>
      </c>
      <c r="C941" t="str">
        <f>IF(SEFAZ!C923="","",SEFAZ!C923)</f>
        <v/>
      </c>
      <c r="D941" t="str">
        <f>IF(SEFAZ!D923="","",SEFAZ!D923)</f>
        <v/>
      </c>
      <c r="E941" s="7" t="str">
        <f>IF(SEFAZ!E923="","",SEFAZ!E923)</f>
        <v/>
      </c>
      <c r="F941" s="6" t="str">
        <f>IF(SEFAZ!F923="","",VALUE(SUBSTITUTE(SEFAZ!F923,"'","")))</f>
        <v/>
      </c>
      <c r="G941" t="str">
        <f>IF(SEFAZ!H923="","",SEFAZ!H923)</f>
        <v/>
      </c>
      <c r="H941" t="str">
        <f>IF(SEFAZ!L923="","",SEFAZ!L923)</f>
        <v/>
      </c>
      <c r="I941" t="str">
        <f>IF(SEFAZ!N923="","",SEFAZ!N923)</f>
        <v/>
      </c>
      <c r="J941" t="str">
        <f>IF(SEFAZ!O923="","",SEFAZ!O923)</f>
        <v/>
      </c>
      <c r="K941" s="11" t="str">
        <f>IF(SEFAZ!P923="","",SEFAZ!P923)</f>
        <v/>
      </c>
      <c r="L941" t="str" cm="1">
        <f t="array" aca="1" ref="L9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1" t="s">
        <v>35</v>
      </c>
      <c r="O941" s="36" t="str">
        <f>IF(SEFAZ!B923="","",SEFAZ!B923)</f>
        <v/>
      </c>
    </row>
    <row r="942" spans="2:15" x14ac:dyDescent="0.3">
      <c r="B942" t="str">
        <f>IF(SEFAZ!A924="","",SEFAZ!A924)</f>
        <v/>
      </c>
      <c r="C942" t="str">
        <f>IF(SEFAZ!C924="","",SEFAZ!C924)</f>
        <v/>
      </c>
      <c r="D942" t="str">
        <f>IF(SEFAZ!D924="","",SEFAZ!D924)</f>
        <v/>
      </c>
      <c r="E942" s="7" t="str">
        <f>IF(SEFAZ!E924="","",SEFAZ!E924)</f>
        <v/>
      </c>
      <c r="F942" s="6" t="str">
        <f>IF(SEFAZ!F924="","",VALUE(SUBSTITUTE(SEFAZ!F924,"'","")))</f>
        <v/>
      </c>
      <c r="G942" t="str">
        <f>IF(SEFAZ!H924="","",SEFAZ!H924)</f>
        <v/>
      </c>
      <c r="H942" t="str">
        <f>IF(SEFAZ!L924="","",SEFAZ!L924)</f>
        <v/>
      </c>
      <c r="I942" t="str">
        <f>IF(SEFAZ!N924="","",SEFAZ!N924)</f>
        <v/>
      </c>
      <c r="J942" t="str">
        <f>IF(SEFAZ!O924="","",SEFAZ!O924)</f>
        <v/>
      </c>
      <c r="K942" s="11" t="str">
        <f>IF(SEFAZ!P924="","",SEFAZ!P924)</f>
        <v/>
      </c>
      <c r="L942" t="str" cm="1">
        <f t="array" aca="1" ref="L9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2" t="s">
        <v>35</v>
      </c>
      <c r="O942" s="36" t="str">
        <f>IF(SEFAZ!B924="","",SEFAZ!B924)</f>
        <v/>
      </c>
    </row>
    <row r="943" spans="2:15" x14ac:dyDescent="0.3">
      <c r="B943" t="str">
        <f>IF(SEFAZ!A925="","",SEFAZ!A925)</f>
        <v/>
      </c>
      <c r="C943" t="str">
        <f>IF(SEFAZ!C925="","",SEFAZ!C925)</f>
        <v/>
      </c>
      <c r="D943" t="str">
        <f>IF(SEFAZ!D925="","",SEFAZ!D925)</f>
        <v/>
      </c>
      <c r="E943" s="7" t="str">
        <f>IF(SEFAZ!E925="","",SEFAZ!E925)</f>
        <v/>
      </c>
      <c r="F943" s="6" t="str">
        <f>IF(SEFAZ!F925="","",VALUE(SUBSTITUTE(SEFAZ!F925,"'","")))</f>
        <v/>
      </c>
      <c r="G943" t="str">
        <f>IF(SEFAZ!H925="","",SEFAZ!H925)</f>
        <v/>
      </c>
      <c r="H943" t="str">
        <f>IF(SEFAZ!L925="","",SEFAZ!L925)</f>
        <v/>
      </c>
      <c r="I943" t="str">
        <f>IF(SEFAZ!N925="","",SEFAZ!N925)</f>
        <v/>
      </c>
      <c r="J943" t="str">
        <f>IF(SEFAZ!O925="","",SEFAZ!O925)</f>
        <v/>
      </c>
      <c r="K943" s="11" t="str">
        <f>IF(SEFAZ!P925="","",SEFAZ!P925)</f>
        <v/>
      </c>
      <c r="L943" t="str" cm="1">
        <f t="array" aca="1" ref="L9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3" t="s">
        <v>35</v>
      </c>
      <c r="O943" s="36" t="str">
        <f>IF(SEFAZ!B925="","",SEFAZ!B925)</f>
        <v/>
      </c>
    </row>
    <row r="944" spans="2:15" x14ac:dyDescent="0.3">
      <c r="B944" t="str">
        <f>IF(SEFAZ!A926="","",SEFAZ!A926)</f>
        <v/>
      </c>
      <c r="C944" t="str">
        <f>IF(SEFAZ!C926="","",SEFAZ!C926)</f>
        <v/>
      </c>
      <c r="D944" t="str">
        <f>IF(SEFAZ!D926="","",SEFAZ!D926)</f>
        <v/>
      </c>
      <c r="E944" s="7" t="str">
        <f>IF(SEFAZ!E926="","",SEFAZ!E926)</f>
        <v/>
      </c>
      <c r="F944" s="6" t="str">
        <f>IF(SEFAZ!F926="","",VALUE(SUBSTITUTE(SEFAZ!F926,"'","")))</f>
        <v/>
      </c>
      <c r="G944" t="str">
        <f>IF(SEFAZ!H926="","",SEFAZ!H926)</f>
        <v/>
      </c>
      <c r="H944" t="str">
        <f>IF(SEFAZ!L926="","",SEFAZ!L926)</f>
        <v/>
      </c>
      <c r="I944" t="str">
        <f>IF(SEFAZ!N926="","",SEFAZ!N926)</f>
        <v/>
      </c>
      <c r="J944" t="str">
        <f>IF(SEFAZ!O926="","",SEFAZ!O926)</f>
        <v/>
      </c>
      <c r="K944" s="11" t="str">
        <f>IF(SEFAZ!P926="","",SEFAZ!P926)</f>
        <v/>
      </c>
      <c r="L944" t="str" cm="1">
        <f t="array" aca="1" ref="L9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4" t="s">
        <v>35</v>
      </c>
      <c r="O944" s="36" t="str">
        <f>IF(SEFAZ!B926="","",SEFAZ!B926)</f>
        <v/>
      </c>
    </row>
    <row r="945" spans="2:15" x14ac:dyDescent="0.3">
      <c r="B945" t="str">
        <f>IF(SEFAZ!A927="","",SEFAZ!A927)</f>
        <v/>
      </c>
      <c r="C945" t="str">
        <f>IF(SEFAZ!C927="","",SEFAZ!C927)</f>
        <v/>
      </c>
      <c r="D945" t="str">
        <f>IF(SEFAZ!D927="","",SEFAZ!D927)</f>
        <v/>
      </c>
      <c r="E945" s="7" t="str">
        <f>IF(SEFAZ!E927="","",SEFAZ!E927)</f>
        <v/>
      </c>
      <c r="F945" s="6" t="str">
        <f>IF(SEFAZ!F927="","",VALUE(SUBSTITUTE(SEFAZ!F927,"'","")))</f>
        <v/>
      </c>
      <c r="G945" t="str">
        <f>IF(SEFAZ!H927="","",SEFAZ!H927)</f>
        <v/>
      </c>
      <c r="H945" t="str">
        <f>IF(SEFAZ!L927="","",SEFAZ!L927)</f>
        <v/>
      </c>
      <c r="I945" t="str">
        <f>IF(SEFAZ!N927="","",SEFAZ!N927)</f>
        <v/>
      </c>
      <c r="J945" t="str">
        <f>IF(SEFAZ!O927="","",SEFAZ!O927)</f>
        <v/>
      </c>
      <c r="K945" s="11" t="str">
        <f>IF(SEFAZ!P927="","",SEFAZ!P927)</f>
        <v/>
      </c>
      <c r="L945" t="str" cm="1">
        <f t="array" aca="1" ref="L9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5" t="s">
        <v>35</v>
      </c>
      <c r="O945" s="36" t="str">
        <f>IF(SEFAZ!B927="","",SEFAZ!B927)</f>
        <v/>
      </c>
    </row>
    <row r="946" spans="2:15" x14ac:dyDescent="0.3">
      <c r="B946" t="str">
        <f>IF(SEFAZ!A928="","",SEFAZ!A928)</f>
        <v/>
      </c>
      <c r="C946" t="str">
        <f>IF(SEFAZ!C928="","",SEFAZ!C928)</f>
        <v/>
      </c>
      <c r="D946" t="str">
        <f>IF(SEFAZ!D928="","",SEFAZ!D928)</f>
        <v/>
      </c>
      <c r="E946" s="7" t="str">
        <f>IF(SEFAZ!E928="","",SEFAZ!E928)</f>
        <v/>
      </c>
      <c r="F946" s="6" t="str">
        <f>IF(SEFAZ!F928="","",VALUE(SUBSTITUTE(SEFAZ!F928,"'","")))</f>
        <v/>
      </c>
      <c r="G946" t="str">
        <f>IF(SEFAZ!H928="","",SEFAZ!H928)</f>
        <v/>
      </c>
      <c r="H946" t="str">
        <f>IF(SEFAZ!L928="","",SEFAZ!L928)</f>
        <v/>
      </c>
      <c r="I946" t="str">
        <f>IF(SEFAZ!N928="","",SEFAZ!N928)</f>
        <v/>
      </c>
      <c r="J946" t="str">
        <f>IF(SEFAZ!O928="","",SEFAZ!O928)</f>
        <v/>
      </c>
      <c r="K946" s="11" t="str">
        <f>IF(SEFAZ!P928="","",SEFAZ!P928)</f>
        <v/>
      </c>
      <c r="L946" t="str" cm="1">
        <f t="array" aca="1" ref="L9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6" t="s">
        <v>35</v>
      </c>
      <c r="O946" s="36" t="str">
        <f>IF(SEFAZ!B928="","",SEFAZ!B928)</f>
        <v/>
      </c>
    </row>
    <row r="947" spans="2:15" x14ac:dyDescent="0.3">
      <c r="B947" t="str">
        <f>IF(SEFAZ!A929="","",SEFAZ!A929)</f>
        <v/>
      </c>
      <c r="C947" t="str">
        <f>IF(SEFAZ!C929="","",SEFAZ!C929)</f>
        <v/>
      </c>
      <c r="D947" t="str">
        <f>IF(SEFAZ!D929="","",SEFAZ!D929)</f>
        <v/>
      </c>
      <c r="E947" s="7" t="str">
        <f>IF(SEFAZ!E929="","",SEFAZ!E929)</f>
        <v/>
      </c>
      <c r="F947" s="6" t="str">
        <f>IF(SEFAZ!F929="","",VALUE(SUBSTITUTE(SEFAZ!F929,"'","")))</f>
        <v/>
      </c>
      <c r="G947" t="str">
        <f>IF(SEFAZ!H929="","",SEFAZ!H929)</f>
        <v/>
      </c>
      <c r="H947" t="str">
        <f>IF(SEFAZ!L929="","",SEFAZ!L929)</f>
        <v/>
      </c>
      <c r="I947" t="str">
        <f>IF(SEFAZ!N929="","",SEFAZ!N929)</f>
        <v/>
      </c>
      <c r="J947" t="str">
        <f>IF(SEFAZ!O929="","",SEFAZ!O929)</f>
        <v/>
      </c>
      <c r="K947" s="11" t="str">
        <f>IF(SEFAZ!P929="","",SEFAZ!P929)</f>
        <v/>
      </c>
      <c r="L947" t="str" cm="1">
        <f t="array" aca="1" ref="L9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7" t="s">
        <v>35</v>
      </c>
      <c r="O947" s="36" t="str">
        <f>IF(SEFAZ!B929="","",SEFAZ!B929)</f>
        <v/>
      </c>
    </row>
    <row r="948" spans="2:15" x14ac:dyDescent="0.3">
      <c r="B948" t="str">
        <f>IF(SEFAZ!A930="","",SEFAZ!A930)</f>
        <v/>
      </c>
      <c r="C948" t="str">
        <f>IF(SEFAZ!C930="","",SEFAZ!C930)</f>
        <v/>
      </c>
      <c r="D948" t="str">
        <f>IF(SEFAZ!D930="","",SEFAZ!D930)</f>
        <v/>
      </c>
      <c r="E948" s="7" t="str">
        <f>IF(SEFAZ!E930="","",SEFAZ!E930)</f>
        <v/>
      </c>
      <c r="F948" s="6" t="str">
        <f>IF(SEFAZ!F930="","",VALUE(SUBSTITUTE(SEFAZ!F930,"'","")))</f>
        <v/>
      </c>
      <c r="G948" t="str">
        <f>IF(SEFAZ!H930="","",SEFAZ!H930)</f>
        <v/>
      </c>
      <c r="H948" t="str">
        <f>IF(SEFAZ!L930="","",SEFAZ!L930)</f>
        <v/>
      </c>
      <c r="I948" t="str">
        <f>IF(SEFAZ!N930="","",SEFAZ!N930)</f>
        <v/>
      </c>
      <c r="J948" t="str">
        <f>IF(SEFAZ!O930="","",SEFAZ!O930)</f>
        <v/>
      </c>
      <c r="K948" s="11" t="str">
        <f>IF(SEFAZ!P930="","",SEFAZ!P930)</f>
        <v/>
      </c>
      <c r="L948" t="str" cm="1">
        <f t="array" aca="1" ref="L9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8" t="s">
        <v>35</v>
      </c>
      <c r="O948" s="36" t="str">
        <f>IF(SEFAZ!B930="","",SEFAZ!B930)</f>
        <v/>
      </c>
    </row>
    <row r="949" spans="2:15" x14ac:dyDescent="0.3">
      <c r="B949" t="str">
        <f>IF(SEFAZ!A931="","",SEFAZ!A931)</f>
        <v/>
      </c>
      <c r="C949" t="str">
        <f>IF(SEFAZ!C931="","",SEFAZ!C931)</f>
        <v/>
      </c>
      <c r="D949" t="str">
        <f>IF(SEFAZ!D931="","",SEFAZ!D931)</f>
        <v/>
      </c>
      <c r="E949" s="7" t="str">
        <f>IF(SEFAZ!E931="","",SEFAZ!E931)</f>
        <v/>
      </c>
      <c r="F949" s="6" t="str">
        <f>IF(SEFAZ!F931="","",VALUE(SUBSTITUTE(SEFAZ!F931,"'","")))</f>
        <v/>
      </c>
      <c r="G949" t="str">
        <f>IF(SEFAZ!H931="","",SEFAZ!H931)</f>
        <v/>
      </c>
      <c r="H949" t="str">
        <f>IF(SEFAZ!L931="","",SEFAZ!L931)</f>
        <v/>
      </c>
      <c r="I949" t="str">
        <f>IF(SEFAZ!N931="","",SEFAZ!N931)</f>
        <v/>
      </c>
      <c r="J949" t="str">
        <f>IF(SEFAZ!O931="","",SEFAZ!O931)</f>
        <v/>
      </c>
      <c r="K949" s="11" t="str">
        <f>IF(SEFAZ!P931="","",SEFAZ!P931)</f>
        <v/>
      </c>
      <c r="L949" t="str" cm="1">
        <f t="array" aca="1" ref="L9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49" t="s">
        <v>35</v>
      </c>
      <c r="O949" s="36" t="str">
        <f>IF(SEFAZ!B931="","",SEFAZ!B931)</f>
        <v/>
      </c>
    </row>
    <row r="950" spans="2:15" x14ac:dyDescent="0.3">
      <c r="B950" t="str">
        <f>IF(SEFAZ!A932="","",SEFAZ!A932)</f>
        <v/>
      </c>
      <c r="C950" t="str">
        <f>IF(SEFAZ!C932="","",SEFAZ!C932)</f>
        <v/>
      </c>
      <c r="D950" t="str">
        <f>IF(SEFAZ!D932="","",SEFAZ!D932)</f>
        <v/>
      </c>
      <c r="E950" s="7" t="str">
        <f>IF(SEFAZ!E932="","",SEFAZ!E932)</f>
        <v/>
      </c>
      <c r="F950" s="6" t="str">
        <f>IF(SEFAZ!F932="","",VALUE(SUBSTITUTE(SEFAZ!F932,"'","")))</f>
        <v/>
      </c>
      <c r="G950" t="str">
        <f>IF(SEFAZ!H932="","",SEFAZ!H932)</f>
        <v/>
      </c>
      <c r="H950" t="str">
        <f>IF(SEFAZ!L932="","",SEFAZ!L932)</f>
        <v/>
      </c>
      <c r="I950" t="str">
        <f>IF(SEFAZ!N932="","",SEFAZ!N932)</f>
        <v/>
      </c>
      <c r="J950" t="str">
        <f>IF(SEFAZ!O932="","",SEFAZ!O932)</f>
        <v/>
      </c>
      <c r="K950" s="11" t="str">
        <f>IF(SEFAZ!P932="","",SEFAZ!P932)</f>
        <v/>
      </c>
      <c r="L950" t="str" cm="1">
        <f t="array" aca="1" ref="L9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0" t="s">
        <v>35</v>
      </c>
      <c r="O950" s="36" t="str">
        <f>IF(SEFAZ!B932="","",SEFAZ!B932)</f>
        <v/>
      </c>
    </row>
    <row r="951" spans="2:15" x14ac:dyDescent="0.3">
      <c r="B951" t="str">
        <f>IF(SEFAZ!A933="","",SEFAZ!A933)</f>
        <v/>
      </c>
      <c r="C951" t="str">
        <f>IF(SEFAZ!C933="","",SEFAZ!C933)</f>
        <v/>
      </c>
      <c r="D951" t="str">
        <f>IF(SEFAZ!D933="","",SEFAZ!D933)</f>
        <v/>
      </c>
      <c r="E951" s="7" t="str">
        <f>IF(SEFAZ!E933="","",SEFAZ!E933)</f>
        <v/>
      </c>
      <c r="F951" s="6" t="str">
        <f>IF(SEFAZ!F933="","",VALUE(SUBSTITUTE(SEFAZ!F933,"'","")))</f>
        <v/>
      </c>
      <c r="G951" t="str">
        <f>IF(SEFAZ!H933="","",SEFAZ!H933)</f>
        <v/>
      </c>
      <c r="H951" t="str">
        <f>IF(SEFAZ!L933="","",SEFAZ!L933)</f>
        <v/>
      </c>
      <c r="I951" t="str">
        <f>IF(SEFAZ!N933="","",SEFAZ!N933)</f>
        <v/>
      </c>
      <c r="J951" t="str">
        <f>IF(SEFAZ!O933="","",SEFAZ!O933)</f>
        <v/>
      </c>
      <c r="K951" s="11" t="str">
        <f>IF(SEFAZ!P933="","",SEFAZ!P933)</f>
        <v/>
      </c>
      <c r="L951" t="str" cm="1">
        <f t="array" aca="1" ref="L9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1" t="s">
        <v>35</v>
      </c>
      <c r="O951" s="36" t="str">
        <f>IF(SEFAZ!B933="","",SEFAZ!B933)</f>
        <v/>
      </c>
    </row>
    <row r="952" spans="2:15" x14ac:dyDescent="0.3">
      <c r="B952" t="str">
        <f>IF(SEFAZ!A934="","",SEFAZ!A934)</f>
        <v/>
      </c>
      <c r="C952" t="str">
        <f>IF(SEFAZ!C934="","",SEFAZ!C934)</f>
        <v/>
      </c>
      <c r="D952" t="str">
        <f>IF(SEFAZ!D934="","",SEFAZ!D934)</f>
        <v/>
      </c>
      <c r="E952" s="7" t="str">
        <f>IF(SEFAZ!E934="","",SEFAZ!E934)</f>
        <v/>
      </c>
      <c r="F952" s="6" t="str">
        <f>IF(SEFAZ!F934="","",VALUE(SUBSTITUTE(SEFAZ!F934,"'","")))</f>
        <v/>
      </c>
      <c r="G952" t="str">
        <f>IF(SEFAZ!H934="","",SEFAZ!H934)</f>
        <v/>
      </c>
      <c r="H952" t="str">
        <f>IF(SEFAZ!L934="","",SEFAZ!L934)</f>
        <v/>
      </c>
      <c r="I952" t="str">
        <f>IF(SEFAZ!N934="","",SEFAZ!N934)</f>
        <v/>
      </c>
      <c r="J952" t="str">
        <f>IF(SEFAZ!O934="","",SEFAZ!O934)</f>
        <v/>
      </c>
      <c r="K952" s="11" t="str">
        <f>IF(SEFAZ!P934="","",SEFAZ!P934)</f>
        <v/>
      </c>
      <c r="L952" t="str" cm="1">
        <f t="array" aca="1" ref="L9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2" t="s">
        <v>35</v>
      </c>
      <c r="O952" s="36" t="str">
        <f>IF(SEFAZ!B934="","",SEFAZ!B934)</f>
        <v/>
      </c>
    </row>
    <row r="953" spans="2:15" x14ac:dyDescent="0.3">
      <c r="B953" t="str">
        <f>IF(SEFAZ!A935="","",SEFAZ!A935)</f>
        <v/>
      </c>
      <c r="C953" t="str">
        <f>IF(SEFAZ!C935="","",SEFAZ!C935)</f>
        <v/>
      </c>
      <c r="D953" t="str">
        <f>IF(SEFAZ!D935="","",SEFAZ!D935)</f>
        <v/>
      </c>
      <c r="E953" s="7" t="str">
        <f>IF(SEFAZ!E935="","",SEFAZ!E935)</f>
        <v/>
      </c>
      <c r="F953" s="6" t="str">
        <f>IF(SEFAZ!F935="","",VALUE(SUBSTITUTE(SEFAZ!F935,"'","")))</f>
        <v/>
      </c>
      <c r="G953" t="str">
        <f>IF(SEFAZ!H935="","",SEFAZ!H935)</f>
        <v/>
      </c>
      <c r="H953" t="str">
        <f>IF(SEFAZ!L935="","",SEFAZ!L935)</f>
        <v/>
      </c>
      <c r="I953" t="str">
        <f>IF(SEFAZ!N935="","",SEFAZ!N935)</f>
        <v/>
      </c>
      <c r="J953" t="str">
        <f>IF(SEFAZ!O935="","",SEFAZ!O935)</f>
        <v/>
      </c>
      <c r="K953" s="11" t="str">
        <f>IF(SEFAZ!P935="","",SEFAZ!P935)</f>
        <v/>
      </c>
      <c r="L953" t="str" cm="1">
        <f t="array" aca="1" ref="L9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3" t="s">
        <v>35</v>
      </c>
      <c r="O953" s="36" t="str">
        <f>IF(SEFAZ!B935="","",SEFAZ!B935)</f>
        <v/>
      </c>
    </row>
    <row r="954" spans="2:15" x14ac:dyDescent="0.3">
      <c r="B954" t="str">
        <f>IF(SEFAZ!A936="","",SEFAZ!A936)</f>
        <v/>
      </c>
      <c r="C954" t="str">
        <f>IF(SEFAZ!C936="","",SEFAZ!C936)</f>
        <v/>
      </c>
      <c r="D954" t="str">
        <f>IF(SEFAZ!D936="","",SEFAZ!D936)</f>
        <v/>
      </c>
      <c r="E954" s="7" t="str">
        <f>IF(SEFAZ!E936="","",SEFAZ!E936)</f>
        <v/>
      </c>
      <c r="F954" s="6" t="str">
        <f>IF(SEFAZ!F936="","",VALUE(SUBSTITUTE(SEFAZ!F936,"'","")))</f>
        <v/>
      </c>
      <c r="G954" t="str">
        <f>IF(SEFAZ!H936="","",SEFAZ!H936)</f>
        <v/>
      </c>
      <c r="H954" t="str">
        <f>IF(SEFAZ!L936="","",SEFAZ!L936)</f>
        <v/>
      </c>
      <c r="I954" t="str">
        <f>IF(SEFAZ!N936="","",SEFAZ!N936)</f>
        <v/>
      </c>
      <c r="J954" t="str">
        <f>IF(SEFAZ!O936="","",SEFAZ!O936)</f>
        <v/>
      </c>
      <c r="K954" s="11" t="str">
        <f>IF(SEFAZ!P936="","",SEFAZ!P936)</f>
        <v/>
      </c>
      <c r="L954" t="str" cm="1">
        <f t="array" aca="1" ref="L9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4" t="s">
        <v>35</v>
      </c>
      <c r="O954" s="36" t="str">
        <f>IF(SEFAZ!B936="","",SEFAZ!B936)</f>
        <v/>
      </c>
    </row>
    <row r="955" spans="2:15" x14ac:dyDescent="0.3">
      <c r="B955" t="str">
        <f>IF(SEFAZ!A937="","",SEFAZ!A937)</f>
        <v/>
      </c>
      <c r="C955" t="str">
        <f>IF(SEFAZ!C937="","",SEFAZ!C937)</f>
        <v/>
      </c>
      <c r="D955" t="str">
        <f>IF(SEFAZ!D937="","",SEFAZ!D937)</f>
        <v/>
      </c>
      <c r="E955" s="7" t="str">
        <f>IF(SEFAZ!E937="","",SEFAZ!E937)</f>
        <v/>
      </c>
      <c r="F955" s="6" t="str">
        <f>IF(SEFAZ!F937="","",VALUE(SUBSTITUTE(SEFAZ!F937,"'","")))</f>
        <v/>
      </c>
      <c r="G955" t="str">
        <f>IF(SEFAZ!H937="","",SEFAZ!H937)</f>
        <v/>
      </c>
      <c r="H955" t="str">
        <f>IF(SEFAZ!L937="","",SEFAZ!L937)</f>
        <v/>
      </c>
      <c r="I955" t="str">
        <f>IF(SEFAZ!N937="","",SEFAZ!N937)</f>
        <v/>
      </c>
      <c r="J955" t="str">
        <f>IF(SEFAZ!O937="","",SEFAZ!O937)</f>
        <v/>
      </c>
      <c r="K955" s="11" t="str">
        <f>IF(SEFAZ!P937="","",SEFAZ!P937)</f>
        <v/>
      </c>
      <c r="L955" t="str" cm="1">
        <f t="array" aca="1" ref="L9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5" t="s">
        <v>35</v>
      </c>
      <c r="O955" s="36" t="str">
        <f>IF(SEFAZ!B937="","",SEFAZ!B937)</f>
        <v/>
      </c>
    </row>
    <row r="956" spans="2:15" x14ac:dyDescent="0.3">
      <c r="B956" t="str">
        <f>IF(SEFAZ!A938="","",SEFAZ!A938)</f>
        <v/>
      </c>
      <c r="C956" t="str">
        <f>IF(SEFAZ!C938="","",SEFAZ!C938)</f>
        <v/>
      </c>
      <c r="D956" t="str">
        <f>IF(SEFAZ!D938="","",SEFAZ!D938)</f>
        <v/>
      </c>
      <c r="E956" s="7" t="str">
        <f>IF(SEFAZ!E938="","",SEFAZ!E938)</f>
        <v/>
      </c>
      <c r="F956" s="6" t="str">
        <f>IF(SEFAZ!F938="","",VALUE(SUBSTITUTE(SEFAZ!F938,"'","")))</f>
        <v/>
      </c>
      <c r="G956" t="str">
        <f>IF(SEFAZ!H938="","",SEFAZ!H938)</f>
        <v/>
      </c>
      <c r="H956" t="str">
        <f>IF(SEFAZ!L938="","",SEFAZ!L938)</f>
        <v/>
      </c>
      <c r="I956" t="str">
        <f>IF(SEFAZ!N938="","",SEFAZ!N938)</f>
        <v/>
      </c>
      <c r="J956" t="str">
        <f>IF(SEFAZ!O938="","",SEFAZ!O938)</f>
        <v/>
      </c>
      <c r="K956" s="11" t="str">
        <f>IF(SEFAZ!P938="","",SEFAZ!P938)</f>
        <v/>
      </c>
      <c r="L956" t="str" cm="1">
        <f t="array" aca="1" ref="L9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6" t="s">
        <v>35</v>
      </c>
      <c r="O956" s="36" t="str">
        <f>IF(SEFAZ!B938="","",SEFAZ!B938)</f>
        <v/>
      </c>
    </row>
    <row r="957" spans="2:15" x14ac:dyDescent="0.3">
      <c r="B957" t="str">
        <f>IF(SEFAZ!A939="","",SEFAZ!A939)</f>
        <v/>
      </c>
      <c r="C957" t="str">
        <f>IF(SEFAZ!C939="","",SEFAZ!C939)</f>
        <v/>
      </c>
      <c r="D957" t="str">
        <f>IF(SEFAZ!D939="","",SEFAZ!D939)</f>
        <v/>
      </c>
      <c r="E957" s="7" t="str">
        <f>IF(SEFAZ!E939="","",SEFAZ!E939)</f>
        <v/>
      </c>
      <c r="F957" s="6" t="str">
        <f>IF(SEFAZ!F939="","",VALUE(SUBSTITUTE(SEFAZ!F939,"'","")))</f>
        <v/>
      </c>
      <c r="G957" t="str">
        <f>IF(SEFAZ!H939="","",SEFAZ!H939)</f>
        <v/>
      </c>
      <c r="H957" t="str">
        <f>IF(SEFAZ!L939="","",SEFAZ!L939)</f>
        <v/>
      </c>
      <c r="I957" t="str">
        <f>IF(SEFAZ!N939="","",SEFAZ!N939)</f>
        <v/>
      </c>
      <c r="J957" t="str">
        <f>IF(SEFAZ!O939="","",SEFAZ!O939)</f>
        <v/>
      </c>
      <c r="K957" s="11" t="str">
        <f>IF(SEFAZ!P939="","",SEFAZ!P939)</f>
        <v/>
      </c>
      <c r="L957" t="str" cm="1">
        <f t="array" aca="1" ref="L9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7" t="s">
        <v>35</v>
      </c>
      <c r="O957" s="36" t="str">
        <f>IF(SEFAZ!B939="","",SEFAZ!B939)</f>
        <v/>
      </c>
    </row>
    <row r="958" spans="2:15" x14ac:dyDescent="0.3">
      <c r="B958" t="str">
        <f>IF(SEFAZ!A940="","",SEFAZ!A940)</f>
        <v/>
      </c>
      <c r="C958" t="str">
        <f>IF(SEFAZ!C940="","",SEFAZ!C940)</f>
        <v/>
      </c>
      <c r="D958" t="str">
        <f>IF(SEFAZ!D940="","",SEFAZ!D940)</f>
        <v/>
      </c>
      <c r="E958" s="7" t="str">
        <f>IF(SEFAZ!E940="","",SEFAZ!E940)</f>
        <v/>
      </c>
      <c r="F958" s="6" t="str">
        <f>IF(SEFAZ!F940="","",VALUE(SUBSTITUTE(SEFAZ!F940,"'","")))</f>
        <v/>
      </c>
      <c r="G958" t="str">
        <f>IF(SEFAZ!H940="","",SEFAZ!H940)</f>
        <v/>
      </c>
      <c r="H958" t="str">
        <f>IF(SEFAZ!L940="","",SEFAZ!L940)</f>
        <v/>
      </c>
      <c r="I958" t="str">
        <f>IF(SEFAZ!N940="","",SEFAZ!N940)</f>
        <v/>
      </c>
      <c r="J958" t="str">
        <f>IF(SEFAZ!O940="","",SEFAZ!O940)</f>
        <v/>
      </c>
      <c r="K958" s="11" t="str">
        <f>IF(SEFAZ!P940="","",SEFAZ!P940)</f>
        <v/>
      </c>
      <c r="L958" t="str" cm="1">
        <f t="array" aca="1" ref="L9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8" t="s">
        <v>35</v>
      </c>
      <c r="O958" s="36" t="str">
        <f>IF(SEFAZ!B940="","",SEFAZ!B940)</f>
        <v/>
      </c>
    </row>
    <row r="959" spans="2:15" x14ac:dyDescent="0.3">
      <c r="B959" t="str">
        <f>IF(SEFAZ!A941="","",SEFAZ!A941)</f>
        <v/>
      </c>
      <c r="C959" t="str">
        <f>IF(SEFAZ!C941="","",SEFAZ!C941)</f>
        <v/>
      </c>
      <c r="D959" t="str">
        <f>IF(SEFAZ!D941="","",SEFAZ!D941)</f>
        <v/>
      </c>
      <c r="E959" s="7" t="str">
        <f>IF(SEFAZ!E941="","",SEFAZ!E941)</f>
        <v/>
      </c>
      <c r="F959" s="6" t="str">
        <f>IF(SEFAZ!F941="","",VALUE(SUBSTITUTE(SEFAZ!F941,"'","")))</f>
        <v/>
      </c>
      <c r="G959" t="str">
        <f>IF(SEFAZ!H941="","",SEFAZ!H941)</f>
        <v/>
      </c>
      <c r="H959" t="str">
        <f>IF(SEFAZ!L941="","",SEFAZ!L941)</f>
        <v/>
      </c>
      <c r="I959" t="str">
        <f>IF(SEFAZ!N941="","",SEFAZ!N941)</f>
        <v/>
      </c>
      <c r="J959" t="str">
        <f>IF(SEFAZ!O941="","",SEFAZ!O941)</f>
        <v/>
      </c>
      <c r="K959" s="11" t="str">
        <f>IF(SEFAZ!P941="","",SEFAZ!P941)</f>
        <v/>
      </c>
      <c r="L959" t="str" cm="1">
        <f t="array" aca="1" ref="L9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59" t="s">
        <v>35</v>
      </c>
      <c r="O959" s="36" t="str">
        <f>IF(SEFAZ!B941="","",SEFAZ!B941)</f>
        <v/>
      </c>
    </row>
    <row r="960" spans="2:15" x14ac:dyDescent="0.3">
      <c r="B960" t="str">
        <f>IF(SEFAZ!A942="","",SEFAZ!A942)</f>
        <v/>
      </c>
      <c r="C960" t="str">
        <f>IF(SEFAZ!C942="","",SEFAZ!C942)</f>
        <v/>
      </c>
      <c r="D960" t="str">
        <f>IF(SEFAZ!D942="","",SEFAZ!D942)</f>
        <v/>
      </c>
      <c r="E960" s="7" t="str">
        <f>IF(SEFAZ!E942="","",SEFAZ!E942)</f>
        <v/>
      </c>
      <c r="F960" s="6" t="str">
        <f>IF(SEFAZ!F942="","",VALUE(SUBSTITUTE(SEFAZ!F942,"'","")))</f>
        <v/>
      </c>
      <c r="G960" t="str">
        <f>IF(SEFAZ!H942="","",SEFAZ!H942)</f>
        <v/>
      </c>
      <c r="H960" t="str">
        <f>IF(SEFAZ!L942="","",SEFAZ!L942)</f>
        <v/>
      </c>
      <c r="I960" t="str">
        <f>IF(SEFAZ!N942="","",SEFAZ!N942)</f>
        <v/>
      </c>
      <c r="J960" t="str">
        <f>IF(SEFAZ!O942="","",SEFAZ!O942)</f>
        <v/>
      </c>
      <c r="K960" s="11" t="str">
        <f>IF(SEFAZ!P942="","",SEFAZ!P942)</f>
        <v/>
      </c>
      <c r="L960" t="str" cm="1">
        <f t="array" aca="1" ref="L9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0" t="s">
        <v>35</v>
      </c>
      <c r="O960" s="36" t="str">
        <f>IF(SEFAZ!B942="","",SEFAZ!B942)</f>
        <v/>
      </c>
    </row>
    <row r="961" spans="2:15" x14ac:dyDescent="0.3">
      <c r="B961" t="str">
        <f>IF(SEFAZ!A943="","",SEFAZ!A943)</f>
        <v/>
      </c>
      <c r="C961" t="str">
        <f>IF(SEFAZ!C943="","",SEFAZ!C943)</f>
        <v/>
      </c>
      <c r="D961" t="str">
        <f>IF(SEFAZ!D943="","",SEFAZ!D943)</f>
        <v/>
      </c>
      <c r="E961" s="7" t="str">
        <f>IF(SEFAZ!E943="","",SEFAZ!E943)</f>
        <v/>
      </c>
      <c r="F961" s="6" t="str">
        <f>IF(SEFAZ!F943="","",VALUE(SUBSTITUTE(SEFAZ!F943,"'","")))</f>
        <v/>
      </c>
      <c r="G961" t="str">
        <f>IF(SEFAZ!H943="","",SEFAZ!H943)</f>
        <v/>
      </c>
      <c r="H961" t="str">
        <f>IF(SEFAZ!L943="","",SEFAZ!L943)</f>
        <v/>
      </c>
      <c r="I961" t="str">
        <f>IF(SEFAZ!N943="","",SEFAZ!N943)</f>
        <v/>
      </c>
      <c r="J961" t="str">
        <f>IF(SEFAZ!O943="","",SEFAZ!O943)</f>
        <v/>
      </c>
      <c r="K961" s="11" t="str">
        <f>IF(SEFAZ!P943="","",SEFAZ!P943)</f>
        <v/>
      </c>
      <c r="L961" t="str" cm="1">
        <f t="array" aca="1" ref="L9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1" t="s">
        <v>35</v>
      </c>
      <c r="O961" s="36" t="str">
        <f>IF(SEFAZ!B943="","",SEFAZ!B943)</f>
        <v/>
      </c>
    </row>
    <row r="962" spans="2:15" x14ac:dyDescent="0.3">
      <c r="B962" t="str">
        <f>IF(SEFAZ!A944="","",SEFAZ!A944)</f>
        <v/>
      </c>
      <c r="C962" t="str">
        <f>IF(SEFAZ!C944="","",SEFAZ!C944)</f>
        <v/>
      </c>
      <c r="D962" t="str">
        <f>IF(SEFAZ!D944="","",SEFAZ!D944)</f>
        <v/>
      </c>
      <c r="E962" s="7" t="str">
        <f>IF(SEFAZ!E944="","",SEFAZ!E944)</f>
        <v/>
      </c>
      <c r="F962" s="6" t="str">
        <f>IF(SEFAZ!F944="","",VALUE(SUBSTITUTE(SEFAZ!F944,"'","")))</f>
        <v/>
      </c>
      <c r="G962" t="str">
        <f>IF(SEFAZ!H944="","",SEFAZ!H944)</f>
        <v/>
      </c>
      <c r="H962" t="str">
        <f>IF(SEFAZ!L944="","",SEFAZ!L944)</f>
        <v/>
      </c>
      <c r="I962" t="str">
        <f>IF(SEFAZ!N944="","",SEFAZ!N944)</f>
        <v/>
      </c>
      <c r="J962" t="str">
        <f>IF(SEFAZ!O944="","",SEFAZ!O944)</f>
        <v/>
      </c>
      <c r="K962" s="11" t="str">
        <f>IF(SEFAZ!P944="","",SEFAZ!P944)</f>
        <v/>
      </c>
      <c r="L962" t="str" cm="1">
        <f t="array" aca="1" ref="L9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2" t="s">
        <v>35</v>
      </c>
      <c r="O962" s="36" t="str">
        <f>IF(SEFAZ!B944="","",SEFAZ!B944)</f>
        <v/>
      </c>
    </row>
    <row r="963" spans="2:15" x14ac:dyDescent="0.3">
      <c r="B963" t="str">
        <f>IF(SEFAZ!A945="","",SEFAZ!A945)</f>
        <v/>
      </c>
      <c r="C963" t="str">
        <f>IF(SEFAZ!C945="","",SEFAZ!C945)</f>
        <v/>
      </c>
      <c r="D963" t="str">
        <f>IF(SEFAZ!D945="","",SEFAZ!D945)</f>
        <v/>
      </c>
      <c r="E963" s="7" t="str">
        <f>IF(SEFAZ!E945="","",SEFAZ!E945)</f>
        <v/>
      </c>
      <c r="F963" s="6" t="str">
        <f>IF(SEFAZ!F945="","",VALUE(SUBSTITUTE(SEFAZ!F945,"'","")))</f>
        <v/>
      </c>
      <c r="G963" t="str">
        <f>IF(SEFAZ!H945="","",SEFAZ!H945)</f>
        <v/>
      </c>
      <c r="H963" t="str">
        <f>IF(SEFAZ!L945="","",SEFAZ!L945)</f>
        <v/>
      </c>
      <c r="I963" t="str">
        <f>IF(SEFAZ!N945="","",SEFAZ!N945)</f>
        <v/>
      </c>
      <c r="J963" t="str">
        <f>IF(SEFAZ!O945="","",SEFAZ!O945)</f>
        <v/>
      </c>
      <c r="K963" s="11" t="str">
        <f>IF(SEFAZ!P945="","",SEFAZ!P945)</f>
        <v/>
      </c>
      <c r="L963" t="str" cm="1">
        <f t="array" aca="1" ref="L9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3" t="s">
        <v>35</v>
      </c>
      <c r="O963" s="36" t="str">
        <f>IF(SEFAZ!B945="","",SEFAZ!B945)</f>
        <v/>
      </c>
    </row>
    <row r="964" spans="2:15" x14ac:dyDescent="0.3">
      <c r="B964" t="str">
        <f>IF(SEFAZ!A946="","",SEFAZ!A946)</f>
        <v/>
      </c>
      <c r="C964" t="str">
        <f>IF(SEFAZ!C946="","",SEFAZ!C946)</f>
        <v/>
      </c>
      <c r="D964" t="str">
        <f>IF(SEFAZ!D946="","",SEFAZ!D946)</f>
        <v/>
      </c>
      <c r="E964" s="7" t="str">
        <f>IF(SEFAZ!E946="","",SEFAZ!E946)</f>
        <v/>
      </c>
      <c r="F964" s="6" t="str">
        <f>IF(SEFAZ!F946="","",VALUE(SUBSTITUTE(SEFAZ!F946,"'","")))</f>
        <v/>
      </c>
      <c r="G964" t="str">
        <f>IF(SEFAZ!H946="","",SEFAZ!H946)</f>
        <v/>
      </c>
      <c r="H964" t="str">
        <f>IF(SEFAZ!L946="","",SEFAZ!L946)</f>
        <v/>
      </c>
      <c r="I964" t="str">
        <f>IF(SEFAZ!N946="","",SEFAZ!N946)</f>
        <v/>
      </c>
      <c r="J964" t="str">
        <f>IF(SEFAZ!O946="","",SEFAZ!O946)</f>
        <v/>
      </c>
      <c r="K964" s="11" t="str">
        <f>IF(SEFAZ!P946="","",SEFAZ!P946)</f>
        <v/>
      </c>
      <c r="L964" t="str" cm="1">
        <f t="array" aca="1" ref="L9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4" t="s">
        <v>35</v>
      </c>
      <c r="O964" s="36" t="str">
        <f>IF(SEFAZ!B946="","",SEFAZ!B946)</f>
        <v/>
      </c>
    </row>
    <row r="965" spans="2:15" x14ac:dyDescent="0.3">
      <c r="B965" t="str">
        <f>IF(SEFAZ!A947="","",SEFAZ!A947)</f>
        <v/>
      </c>
      <c r="C965" t="str">
        <f>IF(SEFAZ!C947="","",SEFAZ!C947)</f>
        <v/>
      </c>
      <c r="D965" t="str">
        <f>IF(SEFAZ!D947="","",SEFAZ!D947)</f>
        <v/>
      </c>
      <c r="E965" s="7" t="str">
        <f>IF(SEFAZ!E947="","",SEFAZ!E947)</f>
        <v/>
      </c>
      <c r="F965" s="6" t="str">
        <f>IF(SEFAZ!F947="","",VALUE(SUBSTITUTE(SEFAZ!F947,"'","")))</f>
        <v/>
      </c>
      <c r="G965" t="str">
        <f>IF(SEFAZ!H947="","",SEFAZ!H947)</f>
        <v/>
      </c>
      <c r="H965" t="str">
        <f>IF(SEFAZ!L947="","",SEFAZ!L947)</f>
        <v/>
      </c>
      <c r="I965" t="str">
        <f>IF(SEFAZ!N947="","",SEFAZ!N947)</f>
        <v/>
      </c>
      <c r="J965" t="str">
        <f>IF(SEFAZ!O947="","",SEFAZ!O947)</f>
        <v/>
      </c>
      <c r="K965" s="11" t="str">
        <f>IF(SEFAZ!P947="","",SEFAZ!P947)</f>
        <v/>
      </c>
      <c r="L965" t="str" cm="1">
        <f t="array" aca="1" ref="L9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5" t="s">
        <v>35</v>
      </c>
      <c r="O965" s="36" t="str">
        <f>IF(SEFAZ!B947="","",SEFAZ!B947)</f>
        <v/>
      </c>
    </row>
    <row r="966" spans="2:15" x14ac:dyDescent="0.3">
      <c r="B966" t="str">
        <f>IF(SEFAZ!A948="","",SEFAZ!A948)</f>
        <v/>
      </c>
      <c r="C966" t="str">
        <f>IF(SEFAZ!C948="","",SEFAZ!C948)</f>
        <v/>
      </c>
      <c r="D966" t="str">
        <f>IF(SEFAZ!D948="","",SEFAZ!D948)</f>
        <v/>
      </c>
      <c r="E966" s="7" t="str">
        <f>IF(SEFAZ!E948="","",SEFAZ!E948)</f>
        <v/>
      </c>
      <c r="F966" s="6" t="str">
        <f>IF(SEFAZ!F948="","",VALUE(SUBSTITUTE(SEFAZ!F948,"'","")))</f>
        <v/>
      </c>
      <c r="G966" t="str">
        <f>IF(SEFAZ!H948="","",SEFAZ!H948)</f>
        <v/>
      </c>
      <c r="H966" t="str">
        <f>IF(SEFAZ!L948="","",SEFAZ!L948)</f>
        <v/>
      </c>
      <c r="I966" t="str">
        <f>IF(SEFAZ!N948="","",SEFAZ!N948)</f>
        <v/>
      </c>
      <c r="J966" t="str">
        <f>IF(SEFAZ!O948="","",SEFAZ!O948)</f>
        <v/>
      </c>
      <c r="K966" s="11" t="str">
        <f>IF(SEFAZ!P948="","",SEFAZ!P948)</f>
        <v/>
      </c>
      <c r="L966" t="str" cm="1">
        <f t="array" aca="1" ref="L9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6" t="s">
        <v>35</v>
      </c>
      <c r="O966" s="36" t="str">
        <f>IF(SEFAZ!B948="","",SEFAZ!B948)</f>
        <v/>
      </c>
    </row>
    <row r="967" spans="2:15" x14ac:dyDescent="0.3">
      <c r="B967" t="str">
        <f>IF(SEFAZ!A949="","",SEFAZ!A949)</f>
        <v/>
      </c>
      <c r="C967" t="str">
        <f>IF(SEFAZ!C949="","",SEFAZ!C949)</f>
        <v/>
      </c>
      <c r="D967" t="str">
        <f>IF(SEFAZ!D949="","",SEFAZ!D949)</f>
        <v/>
      </c>
      <c r="E967" s="7" t="str">
        <f>IF(SEFAZ!E949="","",SEFAZ!E949)</f>
        <v/>
      </c>
      <c r="F967" s="6" t="str">
        <f>IF(SEFAZ!F949="","",VALUE(SUBSTITUTE(SEFAZ!F949,"'","")))</f>
        <v/>
      </c>
      <c r="G967" t="str">
        <f>IF(SEFAZ!H949="","",SEFAZ!H949)</f>
        <v/>
      </c>
      <c r="H967" t="str">
        <f>IF(SEFAZ!L949="","",SEFAZ!L949)</f>
        <v/>
      </c>
      <c r="I967" t="str">
        <f>IF(SEFAZ!N949="","",SEFAZ!N949)</f>
        <v/>
      </c>
      <c r="J967" t="str">
        <f>IF(SEFAZ!O949="","",SEFAZ!O949)</f>
        <v/>
      </c>
      <c r="K967" s="11" t="str">
        <f>IF(SEFAZ!P949="","",SEFAZ!P949)</f>
        <v/>
      </c>
      <c r="L967" t="str" cm="1">
        <f t="array" aca="1" ref="L9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7" t="s">
        <v>35</v>
      </c>
      <c r="O967" s="36" t="str">
        <f>IF(SEFAZ!B949="","",SEFAZ!B949)</f>
        <v/>
      </c>
    </row>
    <row r="968" spans="2:15" x14ac:dyDescent="0.3">
      <c r="B968" t="str">
        <f>IF(SEFAZ!A950="","",SEFAZ!A950)</f>
        <v/>
      </c>
      <c r="C968" t="str">
        <f>IF(SEFAZ!C950="","",SEFAZ!C950)</f>
        <v/>
      </c>
      <c r="D968" t="str">
        <f>IF(SEFAZ!D950="","",SEFAZ!D950)</f>
        <v/>
      </c>
      <c r="E968" s="7" t="str">
        <f>IF(SEFAZ!E950="","",SEFAZ!E950)</f>
        <v/>
      </c>
      <c r="F968" s="6" t="str">
        <f>IF(SEFAZ!F950="","",VALUE(SUBSTITUTE(SEFAZ!F950,"'","")))</f>
        <v/>
      </c>
      <c r="G968" t="str">
        <f>IF(SEFAZ!H950="","",SEFAZ!H950)</f>
        <v/>
      </c>
      <c r="H968" t="str">
        <f>IF(SEFAZ!L950="","",SEFAZ!L950)</f>
        <v/>
      </c>
      <c r="I968" t="str">
        <f>IF(SEFAZ!N950="","",SEFAZ!N950)</f>
        <v/>
      </c>
      <c r="J968" t="str">
        <f>IF(SEFAZ!O950="","",SEFAZ!O950)</f>
        <v/>
      </c>
      <c r="K968" s="11" t="str">
        <f>IF(SEFAZ!P950="","",SEFAZ!P950)</f>
        <v/>
      </c>
      <c r="L968" t="str" cm="1">
        <f t="array" aca="1" ref="L9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8" t="s">
        <v>35</v>
      </c>
      <c r="O968" s="36" t="str">
        <f>IF(SEFAZ!B950="","",SEFAZ!B950)</f>
        <v/>
      </c>
    </row>
    <row r="969" spans="2:15" x14ac:dyDescent="0.3">
      <c r="B969" t="str">
        <f>IF(SEFAZ!A951="","",SEFAZ!A951)</f>
        <v/>
      </c>
      <c r="C969" t="str">
        <f>IF(SEFAZ!C951="","",SEFAZ!C951)</f>
        <v/>
      </c>
      <c r="D969" t="str">
        <f>IF(SEFAZ!D951="","",SEFAZ!D951)</f>
        <v/>
      </c>
      <c r="E969" s="7" t="str">
        <f>IF(SEFAZ!E951="","",SEFAZ!E951)</f>
        <v/>
      </c>
      <c r="F969" s="6" t="str">
        <f>IF(SEFAZ!F951="","",VALUE(SUBSTITUTE(SEFAZ!F951,"'","")))</f>
        <v/>
      </c>
      <c r="G969" t="str">
        <f>IF(SEFAZ!H951="","",SEFAZ!H951)</f>
        <v/>
      </c>
      <c r="H969" t="str">
        <f>IF(SEFAZ!L951="","",SEFAZ!L951)</f>
        <v/>
      </c>
      <c r="I969" t="str">
        <f>IF(SEFAZ!N951="","",SEFAZ!N951)</f>
        <v/>
      </c>
      <c r="J969" t="str">
        <f>IF(SEFAZ!O951="","",SEFAZ!O951)</f>
        <v/>
      </c>
      <c r="K969" s="11" t="str">
        <f>IF(SEFAZ!P951="","",SEFAZ!P951)</f>
        <v/>
      </c>
      <c r="L969" t="str" cm="1">
        <f t="array" aca="1" ref="L9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69" t="s">
        <v>35</v>
      </c>
      <c r="O969" s="36" t="str">
        <f>IF(SEFAZ!B951="","",SEFAZ!B951)</f>
        <v/>
      </c>
    </row>
    <row r="970" spans="2:15" x14ac:dyDescent="0.3">
      <c r="B970" t="str">
        <f>IF(SEFAZ!A952="","",SEFAZ!A952)</f>
        <v/>
      </c>
      <c r="C970" t="str">
        <f>IF(SEFAZ!C952="","",SEFAZ!C952)</f>
        <v/>
      </c>
      <c r="D970" t="str">
        <f>IF(SEFAZ!D952="","",SEFAZ!D952)</f>
        <v/>
      </c>
      <c r="E970" s="7" t="str">
        <f>IF(SEFAZ!E952="","",SEFAZ!E952)</f>
        <v/>
      </c>
      <c r="F970" s="6" t="str">
        <f>IF(SEFAZ!F952="","",VALUE(SUBSTITUTE(SEFAZ!F952,"'","")))</f>
        <v/>
      </c>
      <c r="G970" t="str">
        <f>IF(SEFAZ!H952="","",SEFAZ!H952)</f>
        <v/>
      </c>
      <c r="H970" t="str">
        <f>IF(SEFAZ!L952="","",SEFAZ!L952)</f>
        <v/>
      </c>
      <c r="I970" t="str">
        <f>IF(SEFAZ!N952="","",SEFAZ!N952)</f>
        <v/>
      </c>
      <c r="J970" t="str">
        <f>IF(SEFAZ!O952="","",SEFAZ!O952)</f>
        <v/>
      </c>
      <c r="K970" s="11" t="str">
        <f>IF(SEFAZ!P952="","",SEFAZ!P952)</f>
        <v/>
      </c>
      <c r="L970" t="str" cm="1">
        <f t="array" aca="1" ref="L9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0" t="s">
        <v>35</v>
      </c>
      <c r="O970" s="36" t="str">
        <f>IF(SEFAZ!B952="","",SEFAZ!B952)</f>
        <v/>
      </c>
    </row>
    <row r="971" spans="2:15" x14ac:dyDescent="0.3">
      <c r="B971" t="str">
        <f>IF(SEFAZ!A953="","",SEFAZ!A953)</f>
        <v/>
      </c>
      <c r="C971" t="str">
        <f>IF(SEFAZ!C953="","",SEFAZ!C953)</f>
        <v/>
      </c>
      <c r="D971" t="str">
        <f>IF(SEFAZ!D953="","",SEFAZ!D953)</f>
        <v/>
      </c>
      <c r="E971" s="7" t="str">
        <f>IF(SEFAZ!E953="","",SEFAZ!E953)</f>
        <v/>
      </c>
      <c r="F971" s="6" t="str">
        <f>IF(SEFAZ!F953="","",VALUE(SUBSTITUTE(SEFAZ!F953,"'","")))</f>
        <v/>
      </c>
      <c r="G971" t="str">
        <f>IF(SEFAZ!H953="","",SEFAZ!H953)</f>
        <v/>
      </c>
      <c r="H971" t="str">
        <f>IF(SEFAZ!L953="","",SEFAZ!L953)</f>
        <v/>
      </c>
      <c r="I971" t="str">
        <f>IF(SEFAZ!N953="","",SEFAZ!N953)</f>
        <v/>
      </c>
      <c r="J971" t="str">
        <f>IF(SEFAZ!O953="","",SEFAZ!O953)</f>
        <v/>
      </c>
      <c r="K971" s="11" t="str">
        <f>IF(SEFAZ!P953="","",SEFAZ!P953)</f>
        <v/>
      </c>
      <c r="L971" t="str" cm="1">
        <f t="array" aca="1" ref="L9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1" t="s">
        <v>35</v>
      </c>
      <c r="O971" s="36" t="str">
        <f>IF(SEFAZ!B953="","",SEFAZ!B953)</f>
        <v/>
      </c>
    </row>
    <row r="972" spans="2:15" x14ac:dyDescent="0.3">
      <c r="B972" t="str">
        <f>IF(SEFAZ!A954="","",SEFAZ!A954)</f>
        <v/>
      </c>
      <c r="C972" t="str">
        <f>IF(SEFAZ!C954="","",SEFAZ!C954)</f>
        <v/>
      </c>
      <c r="D972" t="str">
        <f>IF(SEFAZ!D954="","",SEFAZ!D954)</f>
        <v/>
      </c>
      <c r="E972" s="7" t="str">
        <f>IF(SEFAZ!E954="","",SEFAZ!E954)</f>
        <v/>
      </c>
      <c r="F972" s="6" t="str">
        <f>IF(SEFAZ!F954="","",VALUE(SUBSTITUTE(SEFAZ!F954,"'","")))</f>
        <v/>
      </c>
      <c r="G972" t="str">
        <f>IF(SEFAZ!H954="","",SEFAZ!H954)</f>
        <v/>
      </c>
      <c r="H972" t="str">
        <f>IF(SEFAZ!L954="","",SEFAZ!L954)</f>
        <v/>
      </c>
      <c r="I972" t="str">
        <f>IF(SEFAZ!N954="","",SEFAZ!N954)</f>
        <v/>
      </c>
      <c r="J972" t="str">
        <f>IF(SEFAZ!O954="","",SEFAZ!O954)</f>
        <v/>
      </c>
      <c r="K972" s="11" t="str">
        <f>IF(SEFAZ!P954="","",SEFAZ!P954)</f>
        <v/>
      </c>
      <c r="L972" t="str" cm="1">
        <f t="array" aca="1" ref="L9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2" t="s">
        <v>35</v>
      </c>
      <c r="O972" s="36" t="str">
        <f>IF(SEFAZ!B954="","",SEFAZ!B954)</f>
        <v/>
      </c>
    </row>
    <row r="973" spans="2:15" x14ac:dyDescent="0.3">
      <c r="B973" t="str">
        <f>IF(SEFAZ!A955="","",SEFAZ!A955)</f>
        <v/>
      </c>
      <c r="C973" t="str">
        <f>IF(SEFAZ!C955="","",SEFAZ!C955)</f>
        <v/>
      </c>
      <c r="D973" t="str">
        <f>IF(SEFAZ!D955="","",SEFAZ!D955)</f>
        <v/>
      </c>
      <c r="E973" s="7" t="str">
        <f>IF(SEFAZ!E955="","",SEFAZ!E955)</f>
        <v/>
      </c>
      <c r="F973" s="6" t="str">
        <f>IF(SEFAZ!F955="","",VALUE(SUBSTITUTE(SEFAZ!F955,"'","")))</f>
        <v/>
      </c>
      <c r="G973" t="str">
        <f>IF(SEFAZ!H955="","",SEFAZ!H955)</f>
        <v/>
      </c>
      <c r="H973" t="str">
        <f>IF(SEFAZ!L955="","",SEFAZ!L955)</f>
        <v/>
      </c>
      <c r="I973" t="str">
        <f>IF(SEFAZ!N955="","",SEFAZ!N955)</f>
        <v/>
      </c>
      <c r="J973" t="str">
        <f>IF(SEFAZ!O955="","",SEFAZ!O955)</f>
        <v/>
      </c>
      <c r="K973" s="11" t="str">
        <f>IF(SEFAZ!P955="","",SEFAZ!P955)</f>
        <v/>
      </c>
      <c r="L973" t="str" cm="1">
        <f t="array" aca="1" ref="L9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3" t="s">
        <v>35</v>
      </c>
      <c r="O973" s="36" t="str">
        <f>IF(SEFAZ!B955="","",SEFAZ!B955)</f>
        <v/>
      </c>
    </row>
    <row r="974" spans="2:15" x14ac:dyDescent="0.3">
      <c r="B974" t="str">
        <f>IF(SEFAZ!A956="","",SEFAZ!A956)</f>
        <v/>
      </c>
      <c r="C974" t="str">
        <f>IF(SEFAZ!C956="","",SEFAZ!C956)</f>
        <v/>
      </c>
      <c r="D974" t="str">
        <f>IF(SEFAZ!D956="","",SEFAZ!D956)</f>
        <v/>
      </c>
      <c r="E974" s="7" t="str">
        <f>IF(SEFAZ!E956="","",SEFAZ!E956)</f>
        <v/>
      </c>
      <c r="F974" s="6" t="str">
        <f>IF(SEFAZ!F956="","",VALUE(SUBSTITUTE(SEFAZ!F956,"'","")))</f>
        <v/>
      </c>
      <c r="G974" t="str">
        <f>IF(SEFAZ!H956="","",SEFAZ!H956)</f>
        <v/>
      </c>
      <c r="H974" t="str">
        <f>IF(SEFAZ!L956="","",SEFAZ!L956)</f>
        <v/>
      </c>
      <c r="I974" t="str">
        <f>IF(SEFAZ!N956="","",SEFAZ!N956)</f>
        <v/>
      </c>
      <c r="J974" t="str">
        <f>IF(SEFAZ!O956="","",SEFAZ!O956)</f>
        <v/>
      </c>
      <c r="K974" s="11" t="str">
        <f>IF(SEFAZ!P956="","",SEFAZ!P956)</f>
        <v/>
      </c>
      <c r="L974" t="str" cm="1">
        <f t="array" aca="1" ref="L9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4" t="s">
        <v>35</v>
      </c>
      <c r="O974" s="36" t="str">
        <f>IF(SEFAZ!B956="","",SEFAZ!B956)</f>
        <v/>
      </c>
    </row>
    <row r="975" spans="2:15" x14ac:dyDescent="0.3">
      <c r="B975" t="str">
        <f>IF(SEFAZ!A957="","",SEFAZ!A957)</f>
        <v/>
      </c>
      <c r="C975" t="str">
        <f>IF(SEFAZ!C957="","",SEFAZ!C957)</f>
        <v/>
      </c>
      <c r="D975" t="str">
        <f>IF(SEFAZ!D957="","",SEFAZ!D957)</f>
        <v/>
      </c>
      <c r="E975" s="7" t="str">
        <f>IF(SEFAZ!E957="","",SEFAZ!E957)</f>
        <v/>
      </c>
      <c r="F975" s="6" t="str">
        <f>IF(SEFAZ!F957="","",VALUE(SUBSTITUTE(SEFAZ!F957,"'","")))</f>
        <v/>
      </c>
      <c r="G975" t="str">
        <f>IF(SEFAZ!H957="","",SEFAZ!H957)</f>
        <v/>
      </c>
      <c r="H975" t="str">
        <f>IF(SEFAZ!L957="","",SEFAZ!L957)</f>
        <v/>
      </c>
      <c r="I975" t="str">
        <f>IF(SEFAZ!N957="","",SEFAZ!N957)</f>
        <v/>
      </c>
      <c r="J975" t="str">
        <f>IF(SEFAZ!O957="","",SEFAZ!O957)</f>
        <v/>
      </c>
      <c r="K975" s="11" t="str">
        <f>IF(SEFAZ!P957="","",SEFAZ!P957)</f>
        <v/>
      </c>
      <c r="L975" t="str" cm="1">
        <f t="array" aca="1" ref="L9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5" t="s">
        <v>35</v>
      </c>
      <c r="O975" s="36" t="str">
        <f>IF(SEFAZ!B957="","",SEFAZ!B957)</f>
        <v/>
      </c>
    </row>
    <row r="976" spans="2:15" x14ac:dyDescent="0.3">
      <c r="B976" t="str">
        <f>IF(SEFAZ!A958="","",SEFAZ!A958)</f>
        <v/>
      </c>
      <c r="C976" t="str">
        <f>IF(SEFAZ!C958="","",SEFAZ!C958)</f>
        <v/>
      </c>
      <c r="D976" t="str">
        <f>IF(SEFAZ!D958="","",SEFAZ!D958)</f>
        <v/>
      </c>
      <c r="E976" s="7" t="str">
        <f>IF(SEFAZ!E958="","",SEFAZ!E958)</f>
        <v/>
      </c>
      <c r="F976" s="6" t="str">
        <f>IF(SEFAZ!F958="","",VALUE(SUBSTITUTE(SEFAZ!F958,"'","")))</f>
        <v/>
      </c>
      <c r="G976" t="str">
        <f>IF(SEFAZ!H958="","",SEFAZ!H958)</f>
        <v/>
      </c>
      <c r="H976" t="str">
        <f>IF(SEFAZ!L958="","",SEFAZ!L958)</f>
        <v/>
      </c>
      <c r="I976" t="str">
        <f>IF(SEFAZ!N958="","",SEFAZ!N958)</f>
        <v/>
      </c>
      <c r="J976" t="str">
        <f>IF(SEFAZ!O958="","",SEFAZ!O958)</f>
        <v/>
      </c>
      <c r="K976" s="11" t="str">
        <f>IF(SEFAZ!P958="","",SEFAZ!P958)</f>
        <v/>
      </c>
      <c r="L976" t="str" cm="1">
        <f t="array" aca="1" ref="L9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6" t="s">
        <v>35</v>
      </c>
      <c r="O976" s="36" t="str">
        <f>IF(SEFAZ!B958="","",SEFAZ!B958)</f>
        <v/>
      </c>
    </row>
    <row r="977" spans="2:15" x14ac:dyDescent="0.3">
      <c r="B977" t="str">
        <f>IF(SEFAZ!A959="","",SEFAZ!A959)</f>
        <v/>
      </c>
      <c r="C977" t="str">
        <f>IF(SEFAZ!C959="","",SEFAZ!C959)</f>
        <v/>
      </c>
      <c r="D977" t="str">
        <f>IF(SEFAZ!D959="","",SEFAZ!D959)</f>
        <v/>
      </c>
      <c r="E977" s="7" t="str">
        <f>IF(SEFAZ!E959="","",SEFAZ!E959)</f>
        <v/>
      </c>
      <c r="F977" s="6" t="str">
        <f>IF(SEFAZ!F959="","",VALUE(SUBSTITUTE(SEFAZ!F959,"'","")))</f>
        <v/>
      </c>
      <c r="G977" t="str">
        <f>IF(SEFAZ!H959="","",SEFAZ!H959)</f>
        <v/>
      </c>
      <c r="H977" t="str">
        <f>IF(SEFAZ!L959="","",SEFAZ!L959)</f>
        <v/>
      </c>
      <c r="I977" t="str">
        <f>IF(SEFAZ!N959="","",SEFAZ!N959)</f>
        <v/>
      </c>
      <c r="J977" t="str">
        <f>IF(SEFAZ!O959="","",SEFAZ!O959)</f>
        <v/>
      </c>
      <c r="K977" s="11" t="str">
        <f>IF(SEFAZ!P959="","",SEFAZ!P959)</f>
        <v/>
      </c>
      <c r="L977" t="str" cm="1">
        <f t="array" aca="1" ref="L9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7" t="s">
        <v>35</v>
      </c>
      <c r="O977" s="36" t="str">
        <f>IF(SEFAZ!B959="","",SEFAZ!B959)</f>
        <v/>
      </c>
    </row>
    <row r="978" spans="2:15" x14ac:dyDescent="0.3">
      <c r="B978" t="str">
        <f>IF(SEFAZ!A960="","",SEFAZ!A960)</f>
        <v/>
      </c>
      <c r="C978" t="str">
        <f>IF(SEFAZ!C960="","",SEFAZ!C960)</f>
        <v/>
      </c>
      <c r="D978" t="str">
        <f>IF(SEFAZ!D960="","",SEFAZ!D960)</f>
        <v/>
      </c>
      <c r="E978" s="7" t="str">
        <f>IF(SEFAZ!E960="","",SEFAZ!E960)</f>
        <v/>
      </c>
      <c r="F978" s="6" t="str">
        <f>IF(SEFAZ!F960="","",VALUE(SUBSTITUTE(SEFAZ!F960,"'","")))</f>
        <v/>
      </c>
      <c r="G978" t="str">
        <f>IF(SEFAZ!H960="","",SEFAZ!H960)</f>
        <v/>
      </c>
      <c r="H978" t="str">
        <f>IF(SEFAZ!L960="","",SEFAZ!L960)</f>
        <v/>
      </c>
      <c r="I978" t="str">
        <f>IF(SEFAZ!N960="","",SEFAZ!N960)</f>
        <v/>
      </c>
      <c r="J978" t="str">
        <f>IF(SEFAZ!O960="","",SEFAZ!O960)</f>
        <v/>
      </c>
      <c r="K978" s="11" t="str">
        <f>IF(SEFAZ!P960="","",SEFAZ!P960)</f>
        <v/>
      </c>
      <c r="L978" t="str" cm="1">
        <f t="array" aca="1" ref="L9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8" t="s">
        <v>35</v>
      </c>
      <c r="O978" s="36" t="str">
        <f>IF(SEFAZ!B960="","",SEFAZ!B960)</f>
        <v/>
      </c>
    </row>
    <row r="979" spans="2:15" x14ac:dyDescent="0.3">
      <c r="B979" t="str">
        <f>IF(SEFAZ!A961="","",SEFAZ!A961)</f>
        <v/>
      </c>
      <c r="C979" t="str">
        <f>IF(SEFAZ!C961="","",SEFAZ!C961)</f>
        <v/>
      </c>
      <c r="D979" t="str">
        <f>IF(SEFAZ!D961="","",SEFAZ!D961)</f>
        <v/>
      </c>
      <c r="E979" s="7" t="str">
        <f>IF(SEFAZ!E961="","",SEFAZ!E961)</f>
        <v/>
      </c>
      <c r="F979" s="6" t="str">
        <f>IF(SEFAZ!F961="","",VALUE(SUBSTITUTE(SEFAZ!F961,"'","")))</f>
        <v/>
      </c>
      <c r="G979" t="str">
        <f>IF(SEFAZ!H961="","",SEFAZ!H961)</f>
        <v/>
      </c>
      <c r="H979" t="str">
        <f>IF(SEFAZ!L961="","",SEFAZ!L961)</f>
        <v/>
      </c>
      <c r="I979" t="str">
        <f>IF(SEFAZ!N961="","",SEFAZ!N961)</f>
        <v/>
      </c>
      <c r="J979" t="str">
        <f>IF(SEFAZ!O961="","",SEFAZ!O961)</f>
        <v/>
      </c>
      <c r="K979" s="11" t="str">
        <f>IF(SEFAZ!P961="","",SEFAZ!P961)</f>
        <v/>
      </c>
      <c r="L979" t="str" cm="1">
        <f t="array" aca="1" ref="L9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79" t="s">
        <v>35</v>
      </c>
      <c r="O979" s="36" t="str">
        <f>IF(SEFAZ!B961="","",SEFAZ!B961)</f>
        <v/>
      </c>
    </row>
    <row r="980" spans="2:15" x14ac:dyDescent="0.3">
      <c r="B980" t="str">
        <f>IF(SEFAZ!A962="","",SEFAZ!A962)</f>
        <v/>
      </c>
      <c r="C980" t="str">
        <f>IF(SEFAZ!C962="","",SEFAZ!C962)</f>
        <v/>
      </c>
      <c r="D980" t="str">
        <f>IF(SEFAZ!D962="","",SEFAZ!D962)</f>
        <v/>
      </c>
      <c r="E980" s="7" t="str">
        <f>IF(SEFAZ!E962="","",SEFAZ!E962)</f>
        <v/>
      </c>
      <c r="F980" s="6" t="str">
        <f>IF(SEFAZ!F962="","",VALUE(SUBSTITUTE(SEFAZ!F962,"'","")))</f>
        <v/>
      </c>
      <c r="G980" t="str">
        <f>IF(SEFAZ!H962="","",SEFAZ!H962)</f>
        <v/>
      </c>
      <c r="H980" t="str">
        <f>IF(SEFAZ!L962="","",SEFAZ!L962)</f>
        <v/>
      </c>
      <c r="I980" t="str">
        <f>IF(SEFAZ!N962="","",SEFAZ!N962)</f>
        <v/>
      </c>
      <c r="J980" t="str">
        <f>IF(SEFAZ!O962="","",SEFAZ!O962)</f>
        <v/>
      </c>
      <c r="K980" s="11" t="str">
        <f>IF(SEFAZ!P962="","",SEFAZ!P962)</f>
        <v/>
      </c>
      <c r="L980" t="str" cm="1">
        <f t="array" aca="1" ref="L9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0" t="s">
        <v>35</v>
      </c>
      <c r="O980" s="36" t="str">
        <f>IF(SEFAZ!B962="","",SEFAZ!B962)</f>
        <v/>
      </c>
    </row>
    <row r="981" spans="2:15" x14ac:dyDescent="0.3">
      <c r="B981" t="str">
        <f>IF(SEFAZ!A963="","",SEFAZ!A963)</f>
        <v/>
      </c>
      <c r="C981" t="str">
        <f>IF(SEFAZ!C963="","",SEFAZ!C963)</f>
        <v/>
      </c>
      <c r="D981" t="str">
        <f>IF(SEFAZ!D963="","",SEFAZ!D963)</f>
        <v/>
      </c>
      <c r="E981" s="7" t="str">
        <f>IF(SEFAZ!E963="","",SEFAZ!E963)</f>
        <v/>
      </c>
      <c r="F981" s="6" t="str">
        <f>IF(SEFAZ!F963="","",VALUE(SUBSTITUTE(SEFAZ!F963,"'","")))</f>
        <v/>
      </c>
      <c r="G981" t="str">
        <f>IF(SEFAZ!H963="","",SEFAZ!H963)</f>
        <v/>
      </c>
      <c r="H981" t="str">
        <f>IF(SEFAZ!L963="","",SEFAZ!L963)</f>
        <v/>
      </c>
      <c r="I981" t="str">
        <f>IF(SEFAZ!N963="","",SEFAZ!N963)</f>
        <v/>
      </c>
      <c r="J981" t="str">
        <f>IF(SEFAZ!O963="","",SEFAZ!O963)</f>
        <v/>
      </c>
      <c r="K981" s="11" t="str">
        <f>IF(SEFAZ!P963="","",SEFAZ!P963)</f>
        <v/>
      </c>
      <c r="L981" t="str" cm="1">
        <f t="array" aca="1" ref="L9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1" t="s">
        <v>35</v>
      </c>
      <c r="O981" s="36" t="str">
        <f>IF(SEFAZ!B963="","",SEFAZ!B963)</f>
        <v/>
      </c>
    </row>
    <row r="982" spans="2:15" x14ac:dyDescent="0.3">
      <c r="B982" t="str">
        <f>IF(SEFAZ!A964="","",SEFAZ!A964)</f>
        <v/>
      </c>
      <c r="C982" t="str">
        <f>IF(SEFAZ!C964="","",SEFAZ!C964)</f>
        <v/>
      </c>
      <c r="D982" t="str">
        <f>IF(SEFAZ!D964="","",SEFAZ!D964)</f>
        <v/>
      </c>
      <c r="E982" s="7" t="str">
        <f>IF(SEFAZ!E964="","",SEFAZ!E964)</f>
        <v/>
      </c>
      <c r="F982" s="6" t="str">
        <f>IF(SEFAZ!F964="","",VALUE(SUBSTITUTE(SEFAZ!F964,"'","")))</f>
        <v/>
      </c>
      <c r="G982" t="str">
        <f>IF(SEFAZ!H964="","",SEFAZ!H964)</f>
        <v/>
      </c>
      <c r="H982" t="str">
        <f>IF(SEFAZ!L964="","",SEFAZ!L964)</f>
        <v/>
      </c>
      <c r="I982" t="str">
        <f>IF(SEFAZ!N964="","",SEFAZ!N964)</f>
        <v/>
      </c>
      <c r="J982" t="str">
        <f>IF(SEFAZ!O964="","",SEFAZ!O964)</f>
        <v/>
      </c>
      <c r="K982" s="11" t="str">
        <f>IF(SEFAZ!P964="","",SEFAZ!P964)</f>
        <v/>
      </c>
      <c r="L982" t="str" cm="1">
        <f t="array" aca="1" ref="L9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2" t="s">
        <v>35</v>
      </c>
      <c r="O982" s="36" t="str">
        <f>IF(SEFAZ!B964="","",SEFAZ!B964)</f>
        <v/>
      </c>
    </row>
    <row r="983" spans="2:15" x14ac:dyDescent="0.3">
      <c r="B983" t="str">
        <f>IF(SEFAZ!A965="","",SEFAZ!A965)</f>
        <v/>
      </c>
      <c r="C983" t="str">
        <f>IF(SEFAZ!C965="","",SEFAZ!C965)</f>
        <v/>
      </c>
      <c r="D983" t="str">
        <f>IF(SEFAZ!D965="","",SEFAZ!D965)</f>
        <v/>
      </c>
      <c r="E983" s="7" t="str">
        <f>IF(SEFAZ!E965="","",SEFAZ!E965)</f>
        <v/>
      </c>
      <c r="F983" s="6" t="str">
        <f>IF(SEFAZ!F965="","",VALUE(SUBSTITUTE(SEFAZ!F965,"'","")))</f>
        <v/>
      </c>
      <c r="G983" t="str">
        <f>IF(SEFAZ!H965="","",SEFAZ!H965)</f>
        <v/>
      </c>
      <c r="H983" t="str">
        <f>IF(SEFAZ!L965="","",SEFAZ!L965)</f>
        <v/>
      </c>
      <c r="I983" t="str">
        <f>IF(SEFAZ!N965="","",SEFAZ!N965)</f>
        <v/>
      </c>
      <c r="J983" t="str">
        <f>IF(SEFAZ!O965="","",SEFAZ!O965)</f>
        <v/>
      </c>
      <c r="K983" s="11" t="str">
        <f>IF(SEFAZ!P965="","",SEFAZ!P965)</f>
        <v/>
      </c>
      <c r="L983" t="str" cm="1">
        <f t="array" aca="1" ref="L9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3" t="s">
        <v>35</v>
      </c>
      <c r="O983" s="36" t="str">
        <f>IF(SEFAZ!B965="","",SEFAZ!B965)</f>
        <v/>
      </c>
    </row>
    <row r="984" spans="2:15" x14ac:dyDescent="0.3">
      <c r="B984" t="str">
        <f>IF(SEFAZ!A966="","",SEFAZ!A966)</f>
        <v/>
      </c>
      <c r="C984" t="str">
        <f>IF(SEFAZ!C966="","",SEFAZ!C966)</f>
        <v/>
      </c>
      <c r="D984" t="str">
        <f>IF(SEFAZ!D966="","",SEFAZ!D966)</f>
        <v/>
      </c>
      <c r="E984" s="7" t="str">
        <f>IF(SEFAZ!E966="","",SEFAZ!E966)</f>
        <v/>
      </c>
      <c r="F984" s="6" t="str">
        <f>IF(SEFAZ!F966="","",VALUE(SUBSTITUTE(SEFAZ!F966,"'","")))</f>
        <v/>
      </c>
      <c r="G984" t="str">
        <f>IF(SEFAZ!H966="","",SEFAZ!H966)</f>
        <v/>
      </c>
      <c r="H984" t="str">
        <f>IF(SEFAZ!L966="","",SEFAZ!L966)</f>
        <v/>
      </c>
      <c r="I984" t="str">
        <f>IF(SEFAZ!N966="","",SEFAZ!N966)</f>
        <v/>
      </c>
      <c r="J984" t="str">
        <f>IF(SEFAZ!O966="","",SEFAZ!O966)</f>
        <v/>
      </c>
      <c r="K984" s="11" t="str">
        <f>IF(SEFAZ!P966="","",SEFAZ!P966)</f>
        <v/>
      </c>
      <c r="L984" t="str" cm="1">
        <f t="array" aca="1" ref="L9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4" t="s">
        <v>35</v>
      </c>
      <c r="O984" s="36" t="str">
        <f>IF(SEFAZ!B966="","",SEFAZ!B966)</f>
        <v/>
      </c>
    </row>
    <row r="985" spans="2:15" x14ac:dyDescent="0.3">
      <c r="B985" t="str">
        <f>IF(SEFAZ!A967="","",SEFAZ!A967)</f>
        <v/>
      </c>
      <c r="C985" t="str">
        <f>IF(SEFAZ!C967="","",SEFAZ!C967)</f>
        <v/>
      </c>
      <c r="D985" t="str">
        <f>IF(SEFAZ!D967="","",SEFAZ!D967)</f>
        <v/>
      </c>
      <c r="E985" s="7" t="str">
        <f>IF(SEFAZ!E967="","",SEFAZ!E967)</f>
        <v/>
      </c>
      <c r="F985" s="6" t="str">
        <f>IF(SEFAZ!F967="","",VALUE(SUBSTITUTE(SEFAZ!F967,"'","")))</f>
        <v/>
      </c>
      <c r="G985" t="str">
        <f>IF(SEFAZ!H967="","",SEFAZ!H967)</f>
        <v/>
      </c>
      <c r="H985" t="str">
        <f>IF(SEFAZ!L967="","",SEFAZ!L967)</f>
        <v/>
      </c>
      <c r="I985" t="str">
        <f>IF(SEFAZ!N967="","",SEFAZ!N967)</f>
        <v/>
      </c>
      <c r="J985" t="str">
        <f>IF(SEFAZ!O967="","",SEFAZ!O967)</f>
        <v/>
      </c>
      <c r="K985" s="11" t="str">
        <f>IF(SEFAZ!P967="","",SEFAZ!P967)</f>
        <v/>
      </c>
      <c r="L985" t="str" cm="1">
        <f t="array" aca="1" ref="L9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5" t="s">
        <v>35</v>
      </c>
      <c r="O985" s="36" t="str">
        <f>IF(SEFAZ!B967="","",SEFAZ!B967)</f>
        <v/>
      </c>
    </row>
    <row r="986" spans="2:15" x14ac:dyDescent="0.3">
      <c r="B986" t="str">
        <f>IF(SEFAZ!A968="","",SEFAZ!A968)</f>
        <v/>
      </c>
      <c r="C986" t="str">
        <f>IF(SEFAZ!C968="","",SEFAZ!C968)</f>
        <v/>
      </c>
      <c r="D986" t="str">
        <f>IF(SEFAZ!D968="","",SEFAZ!D968)</f>
        <v/>
      </c>
      <c r="E986" s="7" t="str">
        <f>IF(SEFAZ!E968="","",SEFAZ!E968)</f>
        <v/>
      </c>
      <c r="F986" s="6" t="str">
        <f>IF(SEFAZ!F968="","",VALUE(SUBSTITUTE(SEFAZ!F968,"'","")))</f>
        <v/>
      </c>
      <c r="G986" t="str">
        <f>IF(SEFAZ!H968="","",SEFAZ!H968)</f>
        <v/>
      </c>
      <c r="H986" t="str">
        <f>IF(SEFAZ!L968="","",SEFAZ!L968)</f>
        <v/>
      </c>
      <c r="I986" t="str">
        <f>IF(SEFAZ!N968="","",SEFAZ!N968)</f>
        <v/>
      </c>
      <c r="J986" t="str">
        <f>IF(SEFAZ!O968="","",SEFAZ!O968)</f>
        <v/>
      </c>
      <c r="K986" s="11" t="str">
        <f>IF(SEFAZ!P968="","",SEFAZ!P968)</f>
        <v/>
      </c>
      <c r="L986" t="str" cm="1">
        <f t="array" aca="1" ref="L9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6" t="s">
        <v>35</v>
      </c>
      <c r="O986" s="36" t="str">
        <f>IF(SEFAZ!B968="","",SEFAZ!B968)</f>
        <v/>
      </c>
    </row>
    <row r="987" spans="2:15" x14ac:dyDescent="0.3">
      <c r="B987" t="str">
        <f>IF(SEFAZ!A969="","",SEFAZ!A969)</f>
        <v/>
      </c>
      <c r="C987" t="str">
        <f>IF(SEFAZ!C969="","",SEFAZ!C969)</f>
        <v/>
      </c>
      <c r="D987" t="str">
        <f>IF(SEFAZ!D969="","",SEFAZ!D969)</f>
        <v/>
      </c>
      <c r="E987" s="7" t="str">
        <f>IF(SEFAZ!E969="","",SEFAZ!E969)</f>
        <v/>
      </c>
      <c r="F987" s="6" t="str">
        <f>IF(SEFAZ!F969="","",VALUE(SUBSTITUTE(SEFAZ!F969,"'","")))</f>
        <v/>
      </c>
      <c r="G987" t="str">
        <f>IF(SEFAZ!H969="","",SEFAZ!H969)</f>
        <v/>
      </c>
      <c r="H987" t="str">
        <f>IF(SEFAZ!L969="","",SEFAZ!L969)</f>
        <v/>
      </c>
      <c r="I987" t="str">
        <f>IF(SEFAZ!N969="","",SEFAZ!N969)</f>
        <v/>
      </c>
      <c r="J987" t="str">
        <f>IF(SEFAZ!O969="","",SEFAZ!O969)</f>
        <v/>
      </c>
      <c r="K987" s="11" t="str">
        <f>IF(SEFAZ!P969="","",SEFAZ!P969)</f>
        <v/>
      </c>
      <c r="L987" t="str" cm="1">
        <f t="array" aca="1" ref="L9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7" t="s">
        <v>35</v>
      </c>
      <c r="O987" s="36" t="str">
        <f>IF(SEFAZ!B969="","",SEFAZ!B969)</f>
        <v/>
      </c>
    </row>
    <row r="988" spans="2:15" x14ac:dyDescent="0.3">
      <c r="B988" t="str">
        <f>IF(SEFAZ!A970="","",SEFAZ!A970)</f>
        <v/>
      </c>
      <c r="C988" t="str">
        <f>IF(SEFAZ!C970="","",SEFAZ!C970)</f>
        <v/>
      </c>
      <c r="D988" t="str">
        <f>IF(SEFAZ!D970="","",SEFAZ!D970)</f>
        <v/>
      </c>
      <c r="E988" s="7" t="str">
        <f>IF(SEFAZ!E970="","",SEFAZ!E970)</f>
        <v/>
      </c>
      <c r="F988" s="6" t="str">
        <f>IF(SEFAZ!F970="","",VALUE(SUBSTITUTE(SEFAZ!F970,"'","")))</f>
        <v/>
      </c>
      <c r="G988" t="str">
        <f>IF(SEFAZ!H970="","",SEFAZ!H970)</f>
        <v/>
      </c>
      <c r="H988" t="str">
        <f>IF(SEFAZ!L970="","",SEFAZ!L970)</f>
        <v/>
      </c>
      <c r="I988" t="str">
        <f>IF(SEFAZ!N970="","",SEFAZ!N970)</f>
        <v/>
      </c>
      <c r="J988" t="str">
        <f>IF(SEFAZ!O970="","",SEFAZ!O970)</f>
        <v/>
      </c>
      <c r="K988" s="11" t="str">
        <f>IF(SEFAZ!P970="","",SEFAZ!P970)</f>
        <v/>
      </c>
      <c r="L988" t="str" cm="1">
        <f t="array" aca="1" ref="L9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8" t="s">
        <v>35</v>
      </c>
      <c r="O988" s="36" t="str">
        <f>IF(SEFAZ!B970="","",SEFAZ!B970)</f>
        <v/>
      </c>
    </row>
    <row r="989" spans="2:15" x14ac:dyDescent="0.3">
      <c r="B989" t="str">
        <f>IF(SEFAZ!A971="","",SEFAZ!A971)</f>
        <v/>
      </c>
      <c r="C989" t="str">
        <f>IF(SEFAZ!C971="","",SEFAZ!C971)</f>
        <v/>
      </c>
      <c r="D989" t="str">
        <f>IF(SEFAZ!D971="","",SEFAZ!D971)</f>
        <v/>
      </c>
      <c r="E989" s="7" t="str">
        <f>IF(SEFAZ!E971="","",SEFAZ!E971)</f>
        <v/>
      </c>
      <c r="F989" s="6" t="str">
        <f>IF(SEFAZ!F971="","",VALUE(SUBSTITUTE(SEFAZ!F971,"'","")))</f>
        <v/>
      </c>
      <c r="G989" t="str">
        <f>IF(SEFAZ!H971="","",SEFAZ!H971)</f>
        <v/>
      </c>
      <c r="H989" t="str">
        <f>IF(SEFAZ!L971="","",SEFAZ!L971)</f>
        <v/>
      </c>
      <c r="I989" t="str">
        <f>IF(SEFAZ!N971="","",SEFAZ!N971)</f>
        <v/>
      </c>
      <c r="J989" t="str">
        <f>IF(SEFAZ!O971="","",SEFAZ!O971)</f>
        <v/>
      </c>
      <c r="K989" s="11" t="str">
        <f>IF(SEFAZ!P971="","",SEFAZ!P971)</f>
        <v/>
      </c>
      <c r="L989" t="str" cm="1">
        <f t="array" aca="1" ref="L9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89" t="s">
        <v>35</v>
      </c>
      <c r="O989" s="36" t="str">
        <f>IF(SEFAZ!B971="","",SEFAZ!B971)</f>
        <v/>
      </c>
    </row>
    <row r="990" spans="2:15" x14ac:dyDescent="0.3">
      <c r="B990" t="str">
        <f>IF(SEFAZ!A972="","",SEFAZ!A972)</f>
        <v/>
      </c>
      <c r="C990" t="str">
        <f>IF(SEFAZ!C972="","",SEFAZ!C972)</f>
        <v/>
      </c>
      <c r="D990" t="str">
        <f>IF(SEFAZ!D972="","",SEFAZ!D972)</f>
        <v/>
      </c>
      <c r="E990" s="7" t="str">
        <f>IF(SEFAZ!E972="","",SEFAZ!E972)</f>
        <v/>
      </c>
      <c r="F990" s="6" t="str">
        <f>IF(SEFAZ!F972="","",VALUE(SUBSTITUTE(SEFAZ!F972,"'","")))</f>
        <v/>
      </c>
      <c r="G990" t="str">
        <f>IF(SEFAZ!H972="","",SEFAZ!H972)</f>
        <v/>
      </c>
      <c r="H990" t="str">
        <f>IF(SEFAZ!L972="","",SEFAZ!L972)</f>
        <v/>
      </c>
      <c r="I990" t="str">
        <f>IF(SEFAZ!N972="","",SEFAZ!N972)</f>
        <v/>
      </c>
      <c r="J990" t="str">
        <f>IF(SEFAZ!O972="","",SEFAZ!O972)</f>
        <v/>
      </c>
      <c r="K990" s="11" t="str">
        <f>IF(SEFAZ!P972="","",SEFAZ!P972)</f>
        <v/>
      </c>
      <c r="L990" t="str" cm="1">
        <f t="array" aca="1" ref="L9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0" t="s">
        <v>35</v>
      </c>
      <c r="O990" s="36" t="str">
        <f>IF(SEFAZ!B972="","",SEFAZ!B972)</f>
        <v/>
      </c>
    </row>
    <row r="991" spans="2:15" x14ac:dyDescent="0.3">
      <c r="B991" t="str">
        <f>IF(SEFAZ!A973="","",SEFAZ!A973)</f>
        <v/>
      </c>
      <c r="C991" t="str">
        <f>IF(SEFAZ!C973="","",SEFAZ!C973)</f>
        <v/>
      </c>
      <c r="D991" t="str">
        <f>IF(SEFAZ!D973="","",SEFAZ!D973)</f>
        <v/>
      </c>
      <c r="E991" s="7" t="str">
        <f>IF(SEFAZ!E973="","",SEFAZ!E973)</f>
        <v/>
      </c>
      <c r="F991" s="6" t="str">
        <f>IF(SEFAZ!F973="","",VALUE(SUBSTITUTE(SEFAZ!F973,"'","")))</f>
        <v/>
      </c>
      <c r="G991" t="str">
        <f>IF(SEFAZ!H973="","",SEFAZ!H973)</f>
        <v/>
      </c>
      <c r="H991" t="str">
        <f>IF(SEFAZ!L973="","",SEFAZ!L973)</f>
        <v/>
      </c>
      <c r="I991" t="str">
        <f>IF(SEFAZ!N973="","",SEFAZ!N973)</f>
        <v/>
      </c>
      <c r="J991" t="str">
        <f>IF(SEFAZ!O973="","",SEFAZ!O973)</f>
        <v/>
      </c>
      <c r="K991" s="11" t="str">
        <f>IF(SEFAZ!P973="","",SEFAZ!P973)</f>
        <v/>
      </c>
      <c r="L991" t="str" cm="1">
        <f t="array" aca="1" ref="L9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1" t="s">
        <v>35</v>
      </c>
      <c r="O991" s="36" t="str">
        <f>IF(SEFAZ!B973="","",SEFAZ!B973)</f>
        <v/>
      </c>
    </row>
    <row r="992" spans="2:15" x14ac:dyDescent="0.3">
      <c r="B992" t="str">
        <f>IF(SEFAZ!A974="","",SEFAZ!A974)</f>
        <v/>
      </c>
      <c r="C992" t="str">
        <f>IF(SEFAZ!C974="","",SEFAZ!C974)</f>
        <v/>
      </c>
      <c r="D992" t="str">
        <f>IF(SEFAZ!D974="","",SEFAZ!D974)</f>
        <v/>
      </c>
      <c r="E992" s="7" t="str">
        <f>IF(SEFAZ!E974="","",SEFAZ!E974)</f>
        <v/>
      </c>
      <c r="F992" s="6" t="str">
        <f>IF(SEFAZ!F974="","",VALUE(SUBSTITUTE(SEFAZ!F974,"'","")))</f>
        <v/>
      </c>
      <c r="G992" t="str">
        <f>IF(SEFAZ!H974="","",SEFAZ!H974)</f>
        <v/>
      </c>
      <c r="H992" t="str">
        <f>IF(SEFAZ!L974="","",SEFAZ!L974)</f>
        <v/>
      </c>
      <c r="I992" t="str">
        <f>IF(SEFAZ!N974="","",SEFAZ!N974)</f>
        <v/>
      </c>
      <c r="J992" t="str">
        <f>IF(SEFAZ!O974="","",SEFAZ!O974)</f>
        <v/>
      </c>
      <c r="K992" s="11" t="str">
        <f>IF(SEFAZ!P974="","",SEFAZ!P974)</f>
        <v/>
      </c>
      <c r="L992" t="str" cm="1">
        <f t="array" aca="1" ref="L9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2" t="s">
        <v>35</v>
      </c>
      <c r="O992" s="36" t="str">
        <f>IF(SEFAZ!B974="","",SEFAZ!B974)</f>
        <v/>
      </c>
    </row>
    <row r="993" spans="2:15" x14ac:dyDescent="0.3">
      <c r="B993" t="str">
        <f>IF(SEFAZ!A975="","",SEFAZ!A975)</f>
        <v/>
      </c>
      <c r="C993" t="str">
        <f>IF(SEFAZ!C975="","",SEFAZ!C975)</f>
        <v/>
      </c>
      <c r="D993" t="str">
        <f>IF(SEFAZ!D975="","",SEFAZ!D975)</f>
        <v/>
      </c>
      <c r="E993" s="7" t="str">
        <f>IF(SEFAZ!E975="","",SEFAZ!E975)</f>
        <v/>
      </c>
      <c r="F993" s="6" t="str">
        <f>IF(SEFAZ!F975="","",VALUE(SUBSTITUTE(SEFAZ!F975,"'","")))</f>
        <v/>
      </c>
      <c r="G993" t="str">
        <f>IF(SEFAZ!H975="","",SEFAZ!H975)</f>
        <v/>
      </c>
      <c r="H993" t="str">
        <f>IF(SEFAZ!L975="","",SEFAZ!L975)</f>
        <v/>
      </c>
      <c r="I993" t="str">
        <f>IF(SEFAZ!N975="","",SEFAZ!N975)</f>
        <v/>
      </c>
      <c r="J993" t="str">
        <f>IF(SEFAZ!O975="","",SEFAZ!O975)</f>
        <v/>
      </c>
      <c r="K993" s="11" t="str">
        <f>IF(SEFAZ!P975="","",SEFAZ!P975)</f>
        <v/>
      </c>
      <c r="L993" t="str" cm="1">
        <f t="array" aca="1" ref="L9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3" t="s">
        <v>35</v>
      </c>
      <c r="O993" s="36" t="str">
        <f>IF(SEFAZ!B975="","",SEFAZ!B975)</f>
        <v/>
      </c>
    </row>
    <row r="994" spans="2:15" x14ac:dyDescent="0.3">
      <c r="B994" t="str">
        <f>IF(SEFAZ!A976="","",SEFAZ!A976)</f>
        <v/>
      </c>
      <c r="C994" t="str">
        <f>IF(SEFAZ!C976="","",SEFAZ!C976)</f>
        <v/>
      </c>
      <c r="D994" t="str">
        <f>IF(SEFAZ!D976="","",SEFAZ!D976)</f>
        <v/>
      </c>
      <c r="E994" s="7" t="str">
        <f>IF(SEFAZ!E976="","",SEFAZ!E976)</f>
        <v/>
      </c>
      <c r="F994" s="6" t="str">
        <f>IF(SEFAZ!F976="","",VALUE(SUBSTITUTE(SEFAZ!F976,"'","")))</f>
        <v/>
      </c>
      <c r="G994" t="str">
        <f>IF(SEFAZ!H976="","",SEFAZ!H976)</f>
        <v/>
      </c>
      <c r="H994" t="str">
        <f>IF(SEFAZ!L976="","",SEFAZ!L976)</f>
        <v/>
      </c>
      <c r="I994" t="str">
        <f>IF(SEFAZ!N976="","",SEFAZ!N976)</f>
        <v/>
      </c>
      <c r="J994" t="str">
        <f>IF(SEFAZ!O976="","",SEFAZ!O976)</f>
        <v/>
      </c>
      <c r="K994" s="11" t="str">
        <f>IF(SEFAZ!P976="","",SEFAZ!P976)</f>
        <v/>
      </c>
      <c r="L994" t="str" cm="1">
        <f t="array" aca="1" ref="L9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4" t="s">
        <v>35</v>
      </c>
      <c r="O994" s="36" t="str">
        <f>IF(SEFAZ!B976="","",SEFAZ!B976)</f>
        <v/>
      </c>
    </row>
    <row r="995" spans="2:15" x14ac:dyDescent="0.3">
      <c r="B995" t="str">
        <f>IF(SEFAZ!A977="","",SEFAZ!A977)</f>
        <v/>
      </c>
      <c r="C995" t="str">
        <f>IF(SEFAZ!C977="","",SEFAZ!C977)</f>
        <v/>
      </c>
      <c r="D995" t="str">
        <f>IF(SEFAZ!D977="","",SEFAZ!D977)</f>
        <v/>
      </c>
      <c r="E995" s="7" t="str">
        <f>IF(SEFAZ!E977="","",SEFAZ!E977)</f>
        <v/>
      </c>
      <c r="F995" s="6" t="str">
        <f>IF(SEFAZ!F977="","",VALUE(SUBSTITUTE(SEFAZ!F977,"'","")))</f>
        <v/>
      </c>
      <c r="G995" t="str">
        <f>IF(SEFAZ!H977="","",SEFAZ!H977)</f>
        <v/>
      </c>
      <c r="H995" t="str">
        <f>IF(SEFAZ!L977="","",SEFAZ!L977)</f>
        <v/>
      </c>
      <c r="I995" t="str">
        <f>IF(SEFAZ!N977="","",SEFAZ!N977)</f>
        <v/>
      </c>
      <c r="J995" t="str">
        <f>IF(SEFAZ!O977="","",SEFAZ!O977)</f>
        <v/>
      </c>
      <c r="K995" s="11" t="str">
        <f>IF(SEFAZ!P977="","",SEFAZ!P977)</f>
        <v/>
      </c>
      <c r="L995" t="str" cm="1">
        <f t="array" aca="1" ref="L9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5" t="s">
        <v>35</v>
      </c>
      <c r="O995" s="36" t="str">
        <f>IF(SEFAZ!B977="","",SEFAZ!B977)</f>
        <v/>
      </c>
    </row>
    <row r="996" spans="2:15" x14ac:dyDescent="0.3">
      <c r="B996" t="str">
        <f>IF(SEFAZ!A978="","",SEFAZ!A978)</f>
        <v/>
      </c>
      <c r="C996" t="str">
        <f>IF(SEFAZ!C978="","",SEFAZ!C978)</f>
        <v/>
      </c>
      <c r="D996" t="str">
        <f>IF(SEFAZ!D978="","",SEFAZ!D978)</f>
        <v/>
      </c>
      <c r="E996" s="7" t="str">
        <f>IF(SEFAZ!E978="","",SEFAZ!E978)</f>
        <v/>
      </c>
      <c r="F996" s="6" t="str">
        <f>IF(SEFAZ!F978="","",VALUE(SUBSTITUTE(SEFAZ!F978,"'","")))</f>
        <v/>
      </c>
      <c r="G996" t="str">
        <f>IF(SEFAZ!H978="","",SEFAZ!H978)</f>
        <v/>
      </c>
      <c r="H996" t="str">
        <f>IF(SEFAZ!L978="","",SEFAZ!L978)</f>
        <v/>
      </c>
      <c r="I996" t="str">
        <f>IF(SEFAZ!N978="","",SEFAZ!N978)</f>
        <v/>
      </c>
      <c r="J996" t="str">
        <f>IF(SEFAZ!O978="","",SEFAZ!O978)</f>
        <v/>
      </c>
      <c r="K996" s="11" t="str">
        <f>IF(SEFAZ!P978="","",SEFAZ!P978)</f>
        <v/>
      </c>
      <c r="L996" t="str" cm="1">
        <f t="array" aca="1" ref="L9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6" t="s">
        <v>35</v>
      </c>
      <c r="O996" s="36" t="str">
        <f>IF(SEFAZ!B978="","",SEFAZ!B978)</f>
        <v/>
      </c>
    </row>
    <row r="997" spans="2:15" x14ac:dyDescent="0.3">
      <c r="B997" t="str">
        <f>IF(SEFAZ!A979="","",SEFAZ!A979)</f>
        <v/>
      </c>
      <c r="C997" t="str">
        <f>IF(SEFAZ!C979="","",SEFAZ!C979)</f>
        <v/>
      </c>
      <c r="D997" t="str">
        <f>IF(SEFAZ!D979="","",SEFAZ!D979)</f>
        <v/>
      </c>
      <c r="E997" s="7" t="str">
        <f>IF(SEFAZ!E979="","",SEFAZ!E979)</f>
        <v/>
      </c>
      <c r="F997" s="6" t="str">
        <f>IF(SEFAZ!F979="","",VALUE(SUBSTITUTE(SEFAZ!F979,"'","")))</f>
        <v/>
      </c>
      <c r="G997" t="str">
        <f>IF(SEFAZ!H979="","",SEFAZ!H979)</f>
        <v/>
      </c>
      <c r="H997" t="str">
        <f>IF(SEFAZ!L979="","",SEFAZ!L979)</f>
        <v/>
      </c>
      <c r="I997" t="str">
        <f>IF(SEFAZ!N979="","",SEFAZ!N979)</f>
        <v/>
      </c>
      <c r="J997" t="str">
        <f>IF(SEFAZ!O979="","",SEFAZ!O979)</f>
        <v/>
      </c>
      <c r="K997" s="11" t="str">
        <f>IF(SEFAZ!P979="","",SEFAZ!P979)</f>
        <v/>
      </c>
      <c r="L997" t="str" cm="1">
        <f t="array" aca="1" ref="L9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7" t="s">
        <v>35</v>
      </c>
      <c r="O997" s="36" t="str">
        <f>IF(SEFAZ!B979="","",SEFAZ!B979)</f>
        <v/>
      </c>
    </row>
    <row r="998" spans="2:15" x14ac:dyDescent="0.3">
      <c r="B998" t="str">
        <f>IF(SEFAZ!A980="","",SEFAZ!A980)</f>
        <v/>
      </c>
      <c r="C998" t="str">
        <f>IF(SEFAZ!C980="","",SEFAZ!C980)</f>
        <v/>
      </c>
      <c r="D998" t="str">
        <f>IF(SEFAZ!D980="","",SEFAZ!D980)</f>
        <v/>
      </c>
      <c r="E998" s="7" t="str">
        <f>IF(SEFAZ!E980="","",SEFAZ!E980)</f>
        <v/>
      </c>
      <c r="F998" s="6" t="str">
        <f>IF(SEFAZ!F980="","",VALUE(SUBSTITUTE(SEFAZ!F980,"'","")))</f>
        <v/>
      </c>
      <c r="G998" t="str">
        <f>IF(SEFAZ!H980="","",SEFAZ!H980)</f>
        <v/>
      </c>
      <c r="H998" t="str">
        <f>IF(SEFAZ!L980="","",SEFAZ!L980)</f>
        <v/>
      </c>
      <c r="I998" t="str">
        <f>IF(SEFAZ!N980="","",SEFAZ!N980)</f>
        <v/>
      </c>
      <c r="J998" t="str">
        <f>IF(SEFAZ!O980="","",SEFAZ!O980)</f>
        <v/>
      </c>
      <c r="K998" s="11" t="str">
        <f>IF(SEFAZ!P980="","",SEFAZ!P980)</f>
        <v/>
      </c>
      <c r="L998" t="str" cm="1">
        <f t="array" aca="1" ref="L9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8" t="s">
        <v>35</v>
      </c>
      <c r="O998" s="36" t="str">
        <f>IF(SEFAZ!B980="","",SEFAZ!B980)</f>
        <v/>
      </c>
    </row>
    <row r="999" spans="2:15" x14ac:dyDescent="0.3">
      <c r="B999" t="str">
        <f>IF(SEFAZ!A981="","",SEFAZ!A981)</f>
        <v/>
      </c>
      <c r="C999" t="str">
        <f>IF(SEFAZ!C981="","",SEFAZ!C981)</f>
        <v/>
      </c>
      <c r="D999" t="str">
        <f>IF(SEFAZ!D981="","",SEFAZ!D981)</f>
        <v/>
      </c>
      <c r="E999" s="7" t="str">
        <f>IF(SEFAZ!E981="","",SEFAZ!E981)</f>
        <v/>
      </c>
      <c r="F999" s="6" t="str">
        <f>IF(SEFAZ!F981="","",VALUE(SUBSTITUTE(SEFAZ!F981,"'","")))</f>
        <v/>
      </c>
      <c r="G999" t="str">
        <f>IF(SEFAZ!H981="","",SEFAZ!H981)</f>
        <v/>
      </c>
      <c r="H999" t="str">
        <f>IF(SEFAZ!L981="","",SEFAZ!L981)</f>
        <v/>
      </c>
      <c r="I999" t="str">
        <f>IF(SEFAZ!N981="","",SEFAZ!N981)</f>
        <v/>
      </c>
      <c r="J999" t="str">
        <f>IF(SEFAZ!O981="","",SEFAZ!O981)</f>
        <v/>
      </c>
      <c r="K999" s="11" t="str">
        <f>IF(SEFAZ!P981="","",SEFAZ!P981)</f>
        <v/>
      </c>
      <c r="L999" t="str" cm="1">
        <f t="array" aca="1" ref="L9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999" t="s">
        <v>35</v>
      </c>
      <c r="O999" s="36" t="str">
        <f>IF(SEFAZ!B981="","",SEFAZ!B981)</f>
        <v/>
      </c>
    </row>
    <row r="1000" spans="2:15" x14ac:dyDescent="0.3">
      <c r="B1000" t="str">
        <f>IF(SEFAZ!A982="","",SEFAZ!A982)</f>
        <v/>
      </c>
      <c r="C1000" t="str">
        <f>IF(SEFAZ!C982="","",SEFAZ!C982)</f>
        <v/>
      </c>
      <c r="D1000" t="str">
        <f>IF(SEFAZ!D982="","",SEFAZ!D982)</f>
        <v/>
      </c>
      <c r="E1000" s="7" t="str">
        <f>IF(SEFAZ!E982="","",SEFAZ!E982)</f>
        <v/>
      </c>
      <c r="F1000" s="6" t="str">
        <f>IF(SEFAZ!F982="","",VALUE(SUBSTITUTE(SEFAZ!F982,"'","")))</f>
        <v/>
      </c>
      <c r="G1000" t="str">
        <f>IF(SEFAZ!H982="","",SEFAZ!H982)</f>
        <v/>
      </c>
      <c r="H1000" t="str">
        <f>IF(SEFAZ!L982="","",SEFAZ!L982)</f>
        <v/>
      </c>
      <c r="I1000" t="str">
        <f>IF(SEFAZ!N982="","",SEFAZ!N982)</f>
        <v/>
      </c>
      <c r="J1000" t="str">
        <f>IF(SEFAZ!O982="","",SEFAZ!O982)</f>
        <v/>
      </c>
      <c r="K1000" s="11" t="str">
        <f>IF(SEFAZ!P982="","",SEFAZ!P982)</f>
        <v/>
      </c>
      <c r="L1000" t="str" cm="1">
        <f t="array" aca="1" ref="L10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0" t="s">
        <v>35</v>
      </c>
      <c r="O1000" s="36" t="str">
        <f>IF(SEFAZ!B982="","",SEFAZ!B982)</f>
        <v/>
      </c>
    </row>
    <row r="1001" spans="2:15" x14ac:dyDescent="0.3">
      <c r="B1001" t="str">
        <f>IF(SEFAZ!A983="","",SEFAZ!A983)</f>
        <v/>
      </c>
      <c r="C1001" t="str">
        <f>IF(SEFAZ!C983="","",SEFAZ!C983)</f>
        <v/>
      </c>
      <c r="D1001" t="str">
        <f>IF(SEFAZ!D983="","",SEFAZ!D983)</f>
        <v/>
      </c>
      <c r="E1001" s="7" t="str">
        <f>IF(SEFAZ!E983="","",SEFAZ!E983)</f>
        <v/>
      </c>
      <c r="F1001" s="6" t="str">
        <f>IF(SEFAZ!F983="","",VALUE(SUBSTITUTE(SEFAZ!F983,"'","")))</f>
        <v/>
      </c>
      <c r="G1001" t="str">
        <f>IF(SEFAZ!H983="","",SEFAZ!H983)</f>
        <v/>
      </c>
      <c r="H1001" t="str">
        <f>IF(SEFAZ!L983="","",SEFAZ!L983)</f>
        <v/>
      </c>
      <c r="I1001" t="str">
        <f>IF(SEFAZ!N983="","",SEFAZ!N983)</f>
        <v/>
      </c>
      <c r="J1001" t="str">
        <f>IF(SEFAZ!O983="","",SEFAZ!O983)</f>
        <v/>
      </c>
      <c r="K1001" s="11" t="str">
        <f>IF(SEFAZ!P983="","",SEFAZ!P983)</f>
        <v/>
      </c>
      <c r="L1001" t="str" cm="1">
        <f t="array" aca="1" ref="L10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1" t="s">
        <v>35</v>
      </c>
      <c r="O1001" s="36" t="str">
        <f>IF(SEFAZ!B983="","",SEFAZ!B983)</f>
        <v/>
      </c>
    </row>
    <row r="1002" spans="2:15" x14ac:dyDescent="0.3">
      <c r="B1002" t="str">
        <f>IF(SEFAZ!A984="","",SEFAZ!A984)</f>
        <v/>
      </c>
      <c r="C1002" t="str">
        <f>IF(SEFAZ!C984="","",SEFAZ!C984)</f>
        <v/>
      </c>
      <c r="D1002" t="str">
        <f>IF(SEFAZ!D984="","",SEFAZ!D984)</f>
        <v/>
      </c>
      <c r="E1002" s="7" t="str">
        <f>IF(SEFAZ!E984="","",SEFAZ!E984)</f>
        <v/>
      </c>
      <c r="F1002" s="6" t="str">
        <f>IF(SEFAZ!F984="","",VALUE(SUBSTITUTE(SEFAZ!F984,"'","")))</f>
        <v/>
      </c>
      <c r="G1002" t="str">
        <f>IF(SEFAZ!H984="","",SEFAZ!H984)</f>
        <v/>
      </c>
      <c r="H1002" t="str">
        <f>IF(SEFAZ!L984="","",SEFAZ!L984)</f>
        <v/>
      </c>
      <c r="I1002" t="str">
        <f>IF(SEFAZ!N984="","",SEFAZ!N984)</f>
        <v/>
      </c>
      <c r="J1002" t="str">
        <f>IF(SEFAZ!O984="","",SEFAZ!O984)</f>
        <v/>
      </c>
      <c r="K1002" s="11" t="str">
        <f>IF(SEFAZ!P984="","",SEFAZ!P984)</f>
        <v/>
      </c>
      <c r="L1002" t="str" cm="1">
        <f t="array" aca="1" ref="L10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2" t="s">
        <v>35</v>
      </c>
      <c r="O1002" s="36" t="str">
        <f>IF(SEFAZ!B984="","",SEFAZ!B984)</f>
        <v/>
      </c>
    </row>
    <row r="1003" spans="2:15" x14ac:dyDescent="0.3">
      <c r="B1003" t="str">
        <f>IF(SEFAZ!A985="","",SEFAZ!A985)</f>
        <v/>
      </c>
      <c r="C1003" t="str">
        <f>IF(SEFAZ!C985="","",SEFAZ!C985)</f>
        <v/>
      </c>
      <c r="D1003" t="str">
        <f>IF(SEFAZ!D985="","",SEFAZ!D985)</f>
        <v/>
      </c>
      <c r="E1003" s="7" t="str">
        <f>IF(SEFAZ!E985="","",SEFAZ!E985)</f>
        <v/>
      </c>
      <c r="F1003" s="6" t="str">
        <f>IF(SEFAZ!F985="","",VALUE(SUBSTITUTE(SEFAZ!F985,"'","")))</f>
        <v/>
      </c>
      <c r="G1003" t="str">
        <f>IF(SEFAZ!H985="","",SEFAZ!H985)</f>
        <v/>
      </c>
      <c r="H1003" t="str">
        <f>IF(SEFAZ!L985="","",SEFAZ!L985)</f>
        <v/>
      </c>
      <c r="I1003" t="str">
        <f>IF(SEFAZ!N985="","",SEFAZ!N985)</f>
        <v/>
      </c>
      <c r="J1003" t="str">
        <f>IF(SEFAZ!O985="","",SEFAZ!O985)</f>
        <v/>
      </c>
      <c r="K1003" s="11" t="str">
        <f>IF(SEFAZ!P985="","",SEFAZ!P985)</f>
        <v/>
      </c>
      <c r="L1003" t="str" cm="1">
        <f t="array" aca="1" ref="L10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3" t="s">
        <v>35</v>
      </c>
      <c r="O1003" s="36" t="str">
        <f>IF(SEFAZ!B985="","",SEFAZ!B985)</f>
        <v/>
      </c>
    </row>
    <row r="1004" spans="2:15" x14ac:dyDescent="0.3">
      <c r="B1004" t="str">
        <f>IF(SEFAZ!A986="","",SEFAZ!A986)</f>
        <v/>
      </c>
      <c r="C1004" t="str">
        <f>IF(SEFAZ!C986="","",SEFAZ!C986)</f>
        <v/>
      </c>
      <c r="D1004" t="str">
        <f>IF(SEFAZ!D986="","",SEFAZ!D986)</f>
        <v/>
      </c>
      <c r="E1004" s="7" t="str">
        <f>IF(SEFAZ!E986="","",SEFAZ!E986)</f>
        <v/>
      </c>
      <c r="F1004" s="6" t="str">
        <f>IF(SEFAZ!F986="","",VALUE(SUBSTITUTE(SEFAZ!F986,"'","")))</f>
        <v/>
      </c>
      <c r="G1004" t="str">
        <f>IF(SEFAZ!H986="","",SEFAZ!H986)</f>
        <v/>
      </c>
      <c r="H1004" t="str">
        <f>IF(SEFAZ!L986="","",SEFAZ!L986)</f>
        <v/>
      </c>
      <c r="I1004" t="str">
        <f>IF(SEFAZ!N986="","",SEFAZ!N986)</f>
        <v/>
      </c>
      <c r="J1004" t="str">
        <f>IF(SEFAZ!O986="","",SEFAZ!O986)</f>
        <v/>
      </c>
      <c r="K1004" s="11" t="str">
        <f>IF(SEFAZ!P986="","",SEFAZ!P986)</f>
        <v/>
      </c>
      <c r="L1004" t="str" cm="1">
        <f t="array" aca="1" ref="L10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4" t="s">
        <v>35</v>
      </c>
      <c r="O1004" s="36" t="str">
        <f>IF(SEFAZ!B986="","",SEFAZ!B986)</f>
        <v/>
      </c>
    </row>
    <row r="1005" spans="2:15" x14ac:dyDescent="0.3">
      <c r="B1005" t="str">
        <f>IF(SEFAZ!A987="","",SEFAZ!A987)</f>
        <v/>
      </c>
      <c r="C1005" t="str">
        <f>IF(SEFAZ!C987="","",SEFAZ!C987)</f>
        <v/>
      </c>
      <c r="D1005" t="str">
        <f>IF(SEFAZ!D987="","",SEFAZ!D987)</f>
        <v/>
      </c>
      <c r="E1005" s="7" t="str">
        <f>IF(SEFAZ!E987="","",SEFAZ!E987)</f>
        <v/>
      </c>
      <c r="F1005" s="6" t="str">
        <f>IF(SEFAZ!F987="","",VALUE(SUBSTITUTE(SEFAZ!F987,"'","")))</f>
        <v/>
      </c>
      <c r="G1005" t="str">
        <f>IF(SEFAZ!H987="","",SEFAZ!H987)</f>
        <v/>
      </c>
      <c r="H1005" t="str">
        <f>IF(SEFAZ!L987="","",SEFAZ!L987)</f>
        <v/>
      </c>
      <c r="I1005" t="str">
        <f>IF(SEFAZ!N987="","",SEFAZ!N987)</f>
        <v/>
      </c>
      <c r="J1005" t="str">
        <f>IF(SEFAZ!O987="","",SEFAZ!O987)</f>
        <v/>
      </c>
      <c r="K1005" s="11" t="str">
        <f>IF(SEFAZ!P987="","",SEFAZ!P987)</f>
        <v/>
      </c>
      <c r="L1005" t="str" cm="1">
        <f t="array" aca="1" ref="L10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5" t="s">
        <v>35</v>
      </c>
      <c r="O1005" s="36" t="str">
        <f>IF(SEFAZ!B987="","",SEFAZ!B987)</f>
        <v/>
      </c>
    </row>
    <row r="1006" spans="2:15" x14ac:dyDescent="0.3">
      <c r="B1006" t="str">
        <f>IF(SEFAZ!A988="","",SEFAZ!A988)</f>
        <v/>
      </c>
      <c r="C1006" t="str">
        <f>IF(SEFAZ!C988="","",SEFAZ!C988)</f>
        <v/>
      </c>
      <c r="D1006" t="str">
        <f>IF(SEFAZ!D988="","",SEFAZ!D988)</f>
        <v/>
      </c>
      <c r="E1006" s="7" t="str">
        <f>IF(SEFAZ!E988="","",SEFAZ!E988)</f>
        <v/>
      </c>
      <c r="F1006" s="6" t="str">
        <f>IF(SEFAZ!F988="","",VALUE(SUBSTITUTE(SEFAZ!F988,"'","")))</f>
        <v/>
      </c>
      <c r="G1006" t="str">
        <f>IF(SEFAZ!H988="","",SEFAZ!H988)</f>
        <v/>
      </c>
      <c r="H1006" t="str">
        <f>IF(SEFAZ!L988="","",SEFAZ!L988)</f>
        <v/>
      </c>
      <c r="I1006" t="str">
        <f>IF(SEFAZ!N988="","",SEFAZ!N988)</f>
        <v/>
      </c>
      <c r="J1006" t="str">
        <f>IF(SEFAZ!O988="","",SEFAZ!O988)</f>
        <v/>
      </c>
      <c r="K1006" s="11" t="str">
        <f>IF(SEFAZ!P988="","",SEFAZ!P988)</f>
        <v/>
      </c>
      <c r="L1006" t="str" cm="1">
        <f t="array" aca="1" ref="L10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6" t="s">
        <v>35</v>
      </c>
      <c r="O1006" s="36" t="str">
        <f>IF(SEFAZ!B988="","",SEFAZ!B988)</f>
        <v/>
      </c>
    </row>
    <row r="1007" spans="2:15" x14ac:dyDescent="0.3">
      <c r="B1007" t="str">
        <f>IF(SEFAZ!A989="","",SEFAZ!A989)</f>
        <v/>
      </c>
      <c r="C1007" t="str">
        <f>IF(SEFAZ!C989="","",SEFAZ!C989)</f>
        <v/>
      </c>
      <c r="D1007" t="str">
        <f>IF(SEFAZ!D989="","",SEFAZ!D989)</f>
        <v/>
      </c>
      <c r="E1007" s="7" t="str">
        <f>IF(SEFAZ!E989="","",SEFAZ!E989)</f>
        <v/>
      </c>
      <c r="F1007" s="6" t="str">
        <f>IF(SEFAZ!F989="","",VALUE(SUBSTITUTE(SEFAZ!F989,"'","")))</f>
        <v/>
      </c>
      <c r="G1007" t="str">
        <f>IF(SEFAZ!H989="","",SEFAZ!H989)</f>
        <v/>
      </c>
      <c r="H1007" t="str">
        <f>IF(SEFAZ!L989="","",SEFAZ!L989)</f>
        <v/>
      </c>
      <c r="I1007" t="str">
        <f>IF(SEFAZ!N989="","",SEFAZ!N989)</f>
        <v/>
      </c>
      <c r="J1007" t="str">
        <f>IF(SEFAZ!O989="","",SEFAZ!O989)</f>
        <v/>
      </c>
      <c r="K1007" s="11" t="str">
        <f>IF(SEFAZ!P989="","",SEFAZ!P989)</f>
        <v/>
      </c>
      <c r="L1007" t="str" cm="1">
        <f t="array" aca="1" ref="L10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7" t="s">
        <v>35</v>
      </c>
      <c r="O1007" s="36" t="str">
        <f>IF(SEFAZ!B989="","",SEFAZ!B989)</f>
        <v/>
      </c>
    </row>
    <row r="1008" spans="2:15" x14ac:dyDescent="0.3">
      <c r="B1008" t="str">
        <f>IF(SEFAZ!A990="","",SEFAZ!A990)</f>
        <v/>
      </c>
      <c r="C1008" t="str">
        <f>IF(SEFAZ!C990="","",SEFAZ!C990)</f>
        <v/>
      </c>
      <c r="D1008" t="str">
        <f>IF(SEFAZ!D990="","",SEFAZ!D990)</f>
        <v/>
      </c>
      <c r="E1008" s="7" t="str">
        <f>IF(SEFAZ!E990="","",SEFAZ!E990)</f>
        <v/>
      </c>
      <c r="F1008" s="6" t="str">
        <f>IF(SEFAZ!F990="","",VALUE(SUBSTITUTE(SEFAZ!F990,"'","")))</f>
        <v/>
      </c>
      <c r="G1008" t="str">
        <f>IF(SEFAZ!H990="","",SEFAZ!H990)</f>
        <v/>
      </c>
      <c r="H1008" t="str">
        <f>IF(SEFAZ!L990="","",SEFAZ!L990)</f>
        <v/>
      </c>
      <c r="I1008" t="str">
        <f>IF(SEFAZ!N990="","",SEFAZ!N990)</f>
        <v/>
      </c>
      <c r="J1008" t="str">
        <f>IF(SEFAZ!O990="","",SEFAZ!O990)</f>
        <v/>
      </c>
      <c r="K1008" s="11" t="str">
        <f>IF(SEFAZ!P990="","",SEFAZ!P990)</f>
        <v/>
      </c>
      <c r="L1008" t="str" cm="1">
        <f t="array" aca="1" ref="L10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8" t="s">
        <v>35</v>
      </c>
      <c r="O1008" s="36" t="str">
        <f>IF(SEFAZ!B990="","",SEFAZ!B990)</f>
        <v/>
      </c>
    </row>
    <row r="1009" spans="2:15" x14ac:dyDescent="0.3">
      <c r="B1009" t="str">
        <f>IF(SEFAZ!A991="","",SEFAZ!A991)</f>
        <v/>
      </c>
      <c r="C1009" t="str">
        <f>IF(SEFAZ!C991="","",SEFAZ!C991)</f>
        <v/>
      </c>
      <c r="D1009" t="str">
        <f>IF(SEFAZ!D991="","",SEFAZ!D991)</f>
        <v/>
      </c>
      <c r="E1009" s="7" t="str">
        <f>IF(SEFAZ!E991="","",SEFAZ!E991)</f>
        <v/>
      </c>
      <c r="F1009" s="6" t="str">
        <f>IF(SEFAZ!F991="","",VALUE(SUBSTITUTE(SEFAZ!F991,"'","")))</f>
        <v/>
      </c>
      <c r="G1009" t="str">
        <f>IF(SEFAZ!H991="","",SEFAZ!H991)</f>
        <v/>
      </c>
      <c r="H1009" t="str">
        <f>IF(SEFAZ!L991="","",SEFAZ!L991)</f>
        <v/>
      </c>
      <c r="I1009" t="str">
        <f>IF(SEFAZ!N991="","",SEFAZ!N991)</f>
        <v/>
      </c>
      <c r="J1009" t="str">
        <f>IF(SEFAZ!O991="","",SEFAZ!O991)</f>
        <v/>
      </c>
      <c r="K1009" s="11" t="str">
        <f>IF(SEFAZ!P991="","",SEFAZ!P991)</f>
        <v/>
      </c>
      <c r="L1009" t="str" cm="1">
        <f t="array" aca="1" ref="L10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09" t="s">
        <v>35</v>
      </c>
      <c r="O1009" s="36" t="str">
        <f>IF(SEFAZ!B991="","",SEFAZ!B991)</f>
        <v/>
      </c>
    </row>
    <row r="1010" spans="2:15" x14ac:dyDescent="0.3">
      <c r="B1010" t="str">
        <f>IF(SEFAZ!A992="","",SEFAZ!A992)</f>
        <v/>
      </c>
      <c r="C1010" t="str">
        <f>IF(SEFAZ!C992="","",SEFAZ!C992)</f>
        <v/>
      </c>
      <c r="D1010" t="str">
        <f>IF(SEFAZ!D992="","",SEFAZ!D992)</f>
        <v/>
      </c>
      <c r="E1010" s="7" t="str">
        <f>IF(SEFAZ!E992="","",SEFAZ!E992)</f>
        <v/>
      </c>
      <c r="F1010" s="6" t="str">
        <f>IF(SEFAZ!F992="","",VALUE(SUBSTITUTE(SEFAZ!F992,"'","")))</f>
        <v/>
      </c>
      <c r="G1010" t="str">
        <f>IF(SEFAZ!H992="","",SEFAZ!H992)</f>
        <v/>
      </c>
      <c r="H1010" t="str">
        <f>IF(SEFAZ!L992="","",SEFAZ!L992)</f>
        <v/>
      </c>
      <c r="I1010" t="str">
        <f>IF(SEFAZ!N992="","",SEFAZ!N992)</f>
        <v/>
      </c>
      <c r="J1010" t="str">
        <f>IF(SEFAZ!O992="","",SEFAZ!O992)</f>
        <v/>
      </c>
      <c r="K1010" s="11" t="str">
        <f>IF(SEFAZ!P992="","",SEFAZ!P992)</f>
        <v/>
      </c>
      <c r="L1010" t="str" cm="1">
        <f t="array" aca="1" ref="L10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0" t="s">
        <v>35</v>
      </c>
      <c r="O1010" s="36" t="str">
        <f>IF(SEFAZ!B992="","",SEFAZ!B992)</f>
        <v/>
      </c>
    </row>
    <row r="1011" spans="2:15" x14ac:dyDescent="0.3">
      <c r="B1011" t="str">
        <f>IF(SEFAZ!A993="","",SEFAZ!A993)</f>
        <v/>
      </c>
      <c r="C1011" t="str">
        <f>IF(SEFAZ!C993="","",SEFAZ!C993)</f>
        <v/>
      </c>
      <c r="D1011" t="str">
        <f>IF(SEFAZ!D993="","",SEFAZ!D993)</f>
        <v/>
      </c>
      <c r="E1011" s="7" t="str">
        <f>IF(SEFAZ!E993="","",SEFAZ!E993)</f>
        <v/>
      </c>
      <c r="F1011" s="6" t="str">
        <f>IF(SEFAZ!F993="","",VALUE(SUBSTITUTE(SEFAZ!F993,"'","")))</f>
        <v/>
      </c>
      <c r="G1011" t="str">
        <f>IF(SEFAZ!H993="","",SEFAZ!H993)</f>
        <v/>
      </c>
      <c r="H1011" t="str">
        <f>IF(SEFAZ!L993="","",SEFAZ!L993)</f>
        <v/>
      </c>
      <c r="I1011" t="str">
        <f>IF(SEFAZ!N993="","",SEFAZ!N993)</f>
        <v/>
      </c>
      <c r="J1011" t="str">
        <f>IF(SEFAZ!O993="","",SEFAZ!O993)</f>
        <v/>
      </c>
      <c r="K1011" s="11" t="str">
        <f>IF(SEFAZ!P993="","",SEFAZ!P993)</f>
        <v/>
      </c>
      <c r="L1011" t="str" cm="1">
        <f t="array" aca="1" ref="L10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1" t="s">
        <v>35</v>
      </c>
      <c r="O1011" s="36" t="str">
        <f>IF(SEFAZ!B993="","",SEFAZ!B993)</f>
        <v/>
      </c>
    </row>
    <row r="1012" spans="2:15" x14ac:dyDescent="0.3">
      <c r="B1012" t="str">
        <f>IF(SEFAZ!A994="","",SEFAZ!A994)</f>
        <v/>
      </c>
      <c r="C1012" t="str">
        <f>IF(SEFAZ!C994="","",SEFAZ!C994)</f>
        <v/>
      </c>
      <c r="D1012" t="str">
        <f>IF(SEFAZ!D994="","",SEFAZ!D994)</f>
        <v/>
      </c>
      <c r="E1012" s="7" t="str">
        <f>IF(SEFAZ!E994="","",SEFAZ!E994)</f>
        <v/>
      </c>
      <c r="F1012" s="6" t="str">
        <f>IF(SEFAZ!F994="","",VALUE(SUBSTITUTE(SEFAZ!F994,"'","")))</f>
        <v/>
      </c>
      <c r="G1012" t="str">
        <f>IF(SEFAZ!H994="","",SEFAZ!H994)</f>
        <v/>
      </c>
      <c r="H1012" t="str">
        <f>IF(SEFAZ!L994="","",SEFAZ!L994)</f>
        <v/>
      </c>
      <c r="I1012" t="str">
        <f>IF(SEFAZ!N994="","",SEFAZ!N994)</f>
        <v/>
      </c>
      <c r="J1012" t="str">
        <f>IF(SEFAZ!O994="","",SEFAZ!O994)</f>
        <v/>
      </c>
      <c r="K1012" s="11" t="str">
        <f>IF(SEFAZ!P994="","",SEFAZ!P994)</f>
        <v/>
      </c>
      <c r="L1012" t="str" cm="1">
        <f t="array" aca="1" ref="L10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2" t="s">
        <v>35</v>
      </c>
      <c r="O1012" s="36" t="str">
        <f>IF(SEFAZ!B994="","",SEFAZ!B994)</f>
        <v/>
      </c>
    </row>
    <row r="1013" spans="2:15" x14ac:dyDescent="0.3">
      <c r="B1013" t="str">
        <f>IF(SEFAZ!A995="","",SEFAZ!A995)</f>
        <v/>
      </c>
      <c r="C1013" t="str">
        <f>IF(SEFAZ!C995="","",SEFAZ!C995)</f>
        <v/>
      </c>
      <c r="D1013" t="str">
        <f>IF(SEFAZ!D995="","",SEFAZ!D995)</f>
        <v/>
      </c>
      <c r="E1013" s="7" t="str">
        <f>IF(SEFAZ!E995="","",SEFAZ!E995)</f>
        <v/>
      </c>
      <c r="F1013" s="6" t="str">
        <f>IF(SEFAZ!F995="","",VALUE(SUBSTITUTE(SEFAZ!F995,"'","")))</f>
        <v/>
      </c>
      <c r="G1013" t="str">
        <f>IF(SEFAZ!H995="","",SEFAZ!H995)</f>
        <v/>
      </c>
      <c r="H1013" t="str">
        <f>IF(SEFAZ!L995="","",SEFAZ!L995)</f>
        <v/>
      </c>
      <c r="I1013" t="str">
        <f>IF(SEFAZ!N995="","",SEFAZ!N995)</f>
        <v/>
      </c>
      <c r="J1013" t="str">
        <f>IF(SEFAZ!O995="","",SEFAZ!O995)</f>
        <v/>
      </c>
      <c r="K1013" s="11" t="str">
        <f>IF(SEFAZ!P995="","",SEFAZ!P995)</f>
        <v/>
      </c>
      <c r="L1013" t="str" cm="1">
        <f t="array" aca="1" ref="L10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3" t="s">
        <v>35</v>
      </c>
      <c r="O1013" s="36" t="str">
        <f>IF(SEFAZ!B995="","",SEFAZ!B995)</f>
        <v/>
      </c>
    </row>
    <row r="1014" spans="2:15" x14ac:dyDescent="0.3">
      <c r="B1014" t="str">
        <f>IF(SEFAZ!A996="","",SEFAZ!A996)</f>
        <v/>
      </c>
      <c r="C1014" t="str">
        <f>IF(SEFAZ!C996="","",SEFAZ!C996)</f>
        <v/>
      </c>
      <c r="D1014" t="str">
        <f>IF(SEFAZ!D996="","",SEFAZ!D996)</f>
        <v/>
      </c>
      <c r="E1014" s="7" t="str">
        <f>IF(SEFAZ!E996="","",SEFAZ!E996)</f>
        <v/>
      </c>
      <c r="F1014" s="6" t="str">
        <f>IF(SEFAZ!F996="","",VALUE(SUBSTITUTE(SEFAZ!F996,"'","")))</f>
        <v/>
      </c>
      <c r="G1014" t="str">
        <f>IF(SEFAZ!H996="","",SEFAZ!H996)</f>
        <v/>
      </c>
      <c r="H1014" t="str">
        <f>IF(SEFAZ!L996="","",SEFAZ!L996)</f>
        <v/>
      </c>
      <c r="I1014" t="str">
        <f>IF(SEFAZ!N996="","",SEFAZ!N996)</f>
        <v/>
      </c>
      <c r="J1014" t="str">
        <f>IF(SEFAZ!O996="","",SEFAZ!O996)</f>
        <v/>
      </c>
      <c r="K1014" s="11" t="str">
        <f>IF(SEFAZ!P996="","",SEFAZ!P996)</f>
        <v/>
      </c>
      <c r="L1014" t="str" cm="1">
        <f t="array" aca="1" ref="L10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4" t="s">
        <v>35</v>
      </c>
      <c r="O1014" s="36" t="str">
        <f>IF(SEFAZ!B996="","",SEFAZ!B996)</f>
        <v/>
      </c>
    </row>
    <row r="1015" spans="2:15" x14ac:dyDescent="0.3">
      <c r="B1015" t="str">
        <f>IF(SEFAZ!A997="","",SEFAZ!A997)</f>
        <v/>
      </c>
      <c r="C1015" t="str">
        <f>IF(SEFAZ!C997="","",SEFAZ!C997)</f>
        <v/>
      </c>
      <c r="D1015" t="str">
        <f>IF(SEFAZ!D997="","",SEFAZ!D997)</f>
        <v/>
      </c>
      <c r="E1015" s="7" t="str">
        <f>IF(SEFAZ!E997="","",SEFAZ!E997)</f>
        <v/>
      </c>
      <c r="F1015" s="6" t="str">
        <f>IF(SEFAZ!F997="","",VALUE(SUBSTITUTE(SEFAZ!F997,"'","")))</f>
        <v/>
      </c>
      <c r="G1015" t="str">
        <f>IF(SEFAZ!H997="","",SEFAZ!H997)</f>
        <v/>
      </c>
      <c r="H1015" t="str">
        <f>IF(SEFAZ!L997="","",SEFAZ!L997)</f>
        <v/>
      </c>
      <c r="I1015" t="str">
        <f>IF(SEFAZ!N997="","",SEFAZ!N997)</f>
        <v/>
      </c>
      <c r="J1015" t="str">
        <f>IF(SEFAZ!O997="","",SEFAZ!O997)</f>
        <v/>
      </c>
      <c r="K1015" s="11" t="str">
        <f>IF(SEFAZ!P997="","",SEFAZ!P997)</f>
        <v/>
      </c>
      <c r="L1015" t="str" cm="1">
        <f t="array" aca="1" ref="L10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5" t="s">
        <v>35</v>
      </c>
      <c r="O1015" s="36" t="str">
        <f>IF(SEFAZ!B997="","",SEFAZ!B997)</f>
        <v/>
      </c>
    </row>
    <row r="1016" spans="2:15" x14ac:dyDescent="0.3">
      <c r="B1016" t="str">
        <f>IF(SEFAZ!A998="","",SEFAZ!A998)</f>
        <v/>
      </c>
      <c r="C1016" t="str">
        <f>IF(SEFAZ!C998="","",SEFAZ!C998)</f>
        <v/>
      </c>
      <c r="D1016" t="str">
        <f>IF(SEFAZ!D998="","",SEFAZ!D998)</f>
        <v/>
      </c>
      <c r="E1016" s="7" t="str">
        <f>IF(SEFAZ!E998="","",SEFAZ!E998)</f>
        <v/>
      </c>
      <c r="F1016" s="6" t="str">
        <f>IF(SEFAZ!F998="","",VALUE(SUBSTITUTE(SEFAZ!F998,"'","")))</f>
        <v/>
      </c>
      <c r="G1016" t="str">
        <f>IF(SEFAZ!H998="","",SEFAZ!H998)</f>
        <v/>
      </c>
      <c r="H1016" t="str">
        <f>IF(SEFAZ!L998="","",SEFAZ!L998)</f>
        <v/>
      </c>
      <c r="I1016" t="str">
        <f>IF(SEFAZ!N998="","",SEFAZ!N998)</f>
        <v/>
      </c>
      <c r="J1016" t="str">
        <f>IF(SEFAZ!O998="","",SEFAZ!O998)</f>
        <v/>
      </c>
      <c r="K1016" s="11" t="str">
        <f>IF(SEFAZ!P998="","",SEFAZ!P998)</f>
        <v/>
      </c>
      <c r="L1016" t="str" cm="1">
        <f t="array" aca="1" ref="L10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6" t="s">
        <v>35</v>
      </c>
      <c r="O1016" s="36" t="str">
        <f>IF(SEFAZ!B998="","",SEFAZ!B998)</f>
        <v/>
      </c>
    </row>
    <row r="1017" spans="2:15" x14ac:dyDescent="0.3">
      <c r="B1017" t="str">
        <f>IF(SEFAZ!A999="","",SEFAZ!A999)</f>
        <v/>
      </c>
      <c r="C1017" t="str">
        <f>IF(SEFAZ!C999="","",SEFAZ!C999)</f>
        <v/>
      </c>
      <c r="D1017" t="str">
        <f>IF(SEFAZ!D999="","",SEFAZ!D999)</f>
        <v/>
      </c>
      <c r="E1017" s="7" t="str">
        <f>IF(SEFAZ!E999="","",SEFAZ!E999)</f>
        <v/>
      </c>
      <c r="F1017" s="6" t="str">
        <f>IF(SEFAZ!F999="","",VALUE(SUBSTITUTE(SEFAZ!F999,"'","")))</f>
        <v/>
      </c>
      <c r="G1017" t="str">
        <f>IF(SEFAZ!H999="","",SEFAZ!H999)</f>
        <v/>
      </c>
      <c r="H1017" t="str">
        <f>IF(SEFAZ!L999="","",SEFAZ!L999)</f>
        <v/>
      </c>
      <c r="I1017" t="str">
        <f>IF(SEFAZ!N999="","",SEFAZ!N999)</f>
        <v/>
      </c>
      <c r="J1017" t="str">
        <f>IF(SEFAZ!O999="","",SEFAZ!O999)</f>
        <v/>
      </c>
      <c r="K1017" s="11" t="str">
        <f>IF(SEFAZ!P999="","",SEFAZ!P999)</f>
        <v/>
      </c>
      <c r="L1017" t="str" cm="1">
        <f t="array" aca="1" ref="L10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7" t="s">
        <v>35</v>
      </c>
      <c r="O1017" s="36" t="str">
        <f>IF(SEFAZ!B999="","",SEFAZ!B999)</f>
        <v/>
      </c>
    </row>
    <row r="1018" spans="2:15" x14ac:dyDescent="0.3">
      <c r="B1018" t="str">
        <f>IF(SEFAZ!A1000="","",SEFAZ!A1000)</f>
        <v/>
      </c>
      <c r="C1018" t="str">
        <f>IF(SEFAZ!C1000="","",SEFAZ!C1000)</f>
        <v/>
      </c>
      <c r="D1018" t="str">
        <f>IF(SEFAZ!D1000="","",SEFAZ!D1000)</f>
        <v/>
      </c>
      <c r="E1018" s="7" t="str">
        <f>IF(SEFAZ!E1000="","",SEFAZ!E1000)</f>
        <v/>
      </c>
      <c r="F1018" s="6" t="str">
        <f>IF(SEFAZ!F1000="","",VALUE(SUBSTITUTE(SEFAZ!F1000,"'","")))</f>
        <v/>
      </c>
      <c r="G1018" t="str">
        <f>IF(SEFAZ!H1000="","",SEFAZ!H1000)</f>
        <v/>
      </c>
      <c r="H1018" t="str">
        <f>IF(SEFAZ!L1000="","",SEFAZ!L1000)</f>
        <v/>
      </c>
      <c r="I1018" t="str">
        <f>IF(SEFAZ!N1000="","",SEFAZ!N1000)</f>
        <v/>
      </c>
      <c r="J1018" t="str">
        <f>IF(SEFAZ!O1000="","",SEFAZ!O1000)</f>
        <v/>
      </c>
      <c r="K1018" s="11" t="str">
        <f>IF(SEFAZ!P1000="","",SEFAZ!P1000)</f>
        <v/>
      </c>
      <c r="L1018" t="str" cm="1">
        <f t="array" aca="1" ref="L10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8" t="s">
        <v>35</v>
      </c>
      <c r="O1018" s="36" t="str">
        <f>IF(SEFAZ!B1000="","",SEFAZ!B1000)</f>
        <v/>
      </c>
    </row>
    <row r="1019" spans="2:15" x14ac:dyDescent="0.3">
      <c r="B1019" t="str">
        <f>IF(SEFAZ!A1001="","",SEFAZ!A1001)</f>
        <v/>
      </c>
      <c r="C1019" t="str">
        <f>IF(SEFAZ!C1001="","",SEFAZ!C1001)</f>
        <v/>
      </c>
      <c r="D1019" t="str">
        <f>IF(SEFAZ!D1001="","",SEFAZ!D1001)</f>
        <v/>
      </c>
      <c r="E1019" s="7" t="str">
        <f>IF(SEFAZ!E1001="","",SEFAZ!E1001)</f>
        <v/>
      </c>
      <c r="F1019" s="6" t="str">
        <f>IF(SEFAZ!F1001="","",VALUE(SUBSTITUTE(SEFAZ!F1001,"'","")))</f>
        <v/>
      </c>
      <c r="G1019" t="str">
        <f>IF(SEFAZ!H1001="","",SEFAZ!H1001)</f>
        <v/>
      </c>
      <c r="H1019" t="str">
        <f>IF(SEFAZ!L1001="","",SEFAZ!L1001)</f>
        <v/>
      </c>
      <c r="I1019" t="str">
        <f>IF(SEFAZ!N1001="","",SEFAZ!N1001)</f>
        <v/>
      </c>
      <c r="J1019" t="str">
        <f>IF(SEFAZ!O1001="","",SEFAZ!O1001)</f>
        <v/>
      </c>
      <c r="K1019" s="11" t="str">
        <f>IF(SEFAZ!P1001="","",SEFAZ!P1001)</f>
        <v/>
      </c>
      <c r="L1019" t="str" cm="1">
        <f t="array" aca="1" ref="L10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19" t="s">
        <v>35</v>
      </c>
      <c r="O1019" s="36" t="str">
        <f>IF(SEFAZ!B1001="","",SEFAZ!B1001)</f>
        <v/>
      </c>
    </row>
    <row r="1020" spans="2:15" x14ac:dyDescent="0.3">
      <c r="B1020" t="str">
        <f>IF(SEFAZ!A1002="","",SEFAZ!A1002)</f>
        <v/>
      </c>
      <c r="C1020" t="str">
        <f>IF(SEFAZ!C1002="","",SEFAZ!C1002)</f>
        <v/>
      </c>
      <c r="D1020" t="str">
        <f>IF(SEFAZ!D1002="","",SEFAZ!D1002)</f>
        <v/>
      </c>
      <c r="E1020" s="7" t="str">
        <f>IF(SEFAZ!E1002="","",SEFAZ!E1002)</f>
        <v/>
      </c>
      <c r="F1020" s="6" t="str">
        <f>IF(SEFAZ!F1002="","",VALUE(SUBSTITUTE(SEFAZ!F1002,"'","")))</f>
        <v/>
      </c>
      <c r="G1020" t="str">
        <f>IF(SEFAZ!H1002="","",SEFAZ!H1002)</f>
        <v/>
      </c>
      <c r="H1020" t="str">
        <f>IF(SEFAZ!L1002="","",SEFAZ!L1002)</f>
        <v/>
      </c>
      <c r="I1020" t="str">
        <f>IF(SEFAZ!N1002="","",SEFAZ!N1002)</f>
        <v/>
      </c>
      <c r="J1020" t="str">
        <f>IF(SEFAZ!O1002="","",SEFAZ!O1002)</f>
        <v/>
      </c>
      <c r="K1020" s="11" t="str">
        <f>IF(SEFAZ!P1002="","",SEFAZ!P1002)</f>
        <v/>
      </c>
      <c r="L1020" t="str" cm="1">
        <f t="array" aca="1" ref="L10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0" t="s">
        <v>35</v>
      </c>
      <c r="O1020" s="36" t="str">
        <f>IF(SEFAZ!B1002="","",SEFAZ!B1002)</f>
        <v/>
      </c>
    </row>
    <row r="1021" spans="2:15" x14ac:dyDescent="0.3">
      <c r="B1021" t="str">
        <f>IF(SEFAZ!A1003="","",SEFAZ!A1003)</f>
        <v/>
      </c>
      <c r="C1021" t="str">
        <f>IF(SEFAZ!C1003="","",SEFAZ!C1003)</f>
        <v/>
      </c>
      <c r="D1021" t="str">
        <f>IF(SEFAZ!D1003="","",SEFAZ!D1003)</f>
        <v/>
      </c>
      <c r="E1021" s="7" t="str">
        <f>IF(SEFAZ!E1003="","",SEFAZ!E1003)</f>
        <v/>
      </c>
      <c r="F1021" s="6" t="str">
        <f>IF(SEFAZ!F1003="","",VALUE(SUBSTITUTE(SEFAZ!F1003,"'","")))</f>
        <v/>
      </c>
      <c r="G1021" t="str">
        <f>IF(SEFAZ!H1003="","",SEFAZ!H1003)</f>
        <v/>
      </c>
      <c r="H1021" t="str">
        <f>IF(SEFAZ!L1003="","",SEFAZ!L1003)</f>
        <v/>
      </c>
      <c r="I1021" t="str">
        <f>IF(SEFAZ!N1003="","",SEFAZ!N1003)</f>
        <v/>
      </c>
      <c r="J1021" t="str">
        <f>IF(SEFAZ!O1003="","",SEFAZ!O1003)</f>
        <v/>
      </c>
      <c r="K1021" s="11" t="str">
        <f>IF(SEFAZ!P1003="","",SEFAZ!P1003)</f>
        <v/>
      </c>
      <c r="L1021" t="str" cm="1">
        <f t="array" aca="1" ref="L10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1" t="s">
        <v>35</v>
      </c>
      <c r="O1021" s="36" t="str">
        <f>IF(SEFAZ!B1003="","",SEFAZ!B1003)</f>
        <v/>
      </c>
    </row>
    <row r="1022" spans="2:15" x14ac:dyDescent="0.3">
      <c r="B1022" t="str">
        <f>IF(SEFAZ!A1004="","",SEFAZ!A1004)</f>
        <v/>
      </c>
      <c r="C1022" t="str">
        <f>IF(SEFAZ!C1004="","",SEFAZ!C1004)</f>
        <v/>
      </c>
      <c r="D1022" t="str">
        <f>IF(SEFAZ!D1004="","",SEFAZ!D1004)</f>
        <v/>
      </c>
      <c r="E1022" s="7" t="str">
        <f>IF(SEFAZ!E1004="","",SEFAZ!E1004)</f>
        <v/>
      </c>
      <c r="F1022" s="6" t="str">
        <f>IF(SEFAZ!F1004="","",VALUE(SUBSTITUTE(SEFAZ!F1004,"'","")))</f>
        <v/>
      </c>
      <c r="G1022" t="str">
        <f>IF(SEFAZ!H1004="","",SEFAZ!H1004)</f>
        <v/>
      </c>
      <c r="H1022" t="str">
        <f>IF(SEFAZ!L1004="","",SEFAZ!L1004)</f>
        <v/>
      </c>
      <c r="I1022" t="str">
        <f>IF(SEFAZ!N1004="","",SEFAZ!N1004)</f>
        <v/>
      </c>
      <c r="J1022" t="str">
        <f>IF(SEFAZ!O1004="","",SEFAZ!O1004)</f>
        <v/>
      </c>
      <c r="K1022" s="11" t="str">
        <f>IF(SEFAZ!P1004="","",SEFAZ!P1004)</f>
        <v/>
      </c>
      <c r="L1022" t="str" cm="1">
        <f t="array" aca="1" ref="L10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2" t="s">
        <v>35</v>
      </c>
      <c r="O1022" s="36" t="str">
        <f>IF(SEFAZ!B1004="","",SEFAZ!B1004)</f>
        <v/>
      </c>
    </row>
    <row r="1023" spans="2:15" x14ac:dyDescent="0.3">
      <c r="B1023" t="str">
        <f>IF(SEFAZ!A1005="","",SEFAZ!A1005)</f>
        <v/>
      </c>
      <c r="C1023" t="str">
        <f>IF(SEFAZ!C1005="","",SEFAZ!C1005)</f>
        <v/>
      </c>
      <c r="D1023" t="str">
        <f>IF(SEFAZ!D1005="","",SEFAZ!D1005)</f>
        <v/>
      </c>
      <c r="E1023" s="7" t="str">
        <f>IF(SEFAZ!E1005="","",SEFAZ!E1005)</f>
        <v/>
      </c>
      <c r="F1023" s="6" t="str">
        <f>IF(SEFAZ!F1005="","",VALUE(SUBSTITUTE(SEFAZ!F1005,"'","")))</f>
        <v/>
      </c>
      <c r="G1023" t="str">
        <f>IF(SEFAZ!H1005="","",SEFAZ!H1005)</f>
        <v/>
      </c>
      <c r="H1023" t="str">
        <f>IF(SEFAZ!L1005="","",SEFAZ!L1005)</f>
        <v/>
      </c>
      <c r="I1023" t="str">
        <f>IF(SEFAZ!N1005="","",SEFAZ!N1005)</f>
        <v/>
      </c>
      <c r="J1023" t="str">
        <f>IF(SEFAZ!O1005="","",SEFAZ!O1005)</f>
        <v/>
      </c>
      <c r="K1023" s="11" t="str">
        <f>IF(SEFAZ!P1005="","",SEFAZ!P1005)</f>
        <v/>
      </c>
      <c r="L1023" t="str" cm="1">
        <f t="array" aca="1" ref="L10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3" t="s">
        <v>35</v>
      </c>
      <c r="O1023" s="36" t="str">
        <f>IF(SEFAZ!B1005="","",SEFAZ!B1005)</f>
        <v/>
      </c>
    </row>
    <row r="1024" spans="2:15" x14ac:dyDescent="0.3">
      <c r="B1024" t="str">
        <f>IF(SEFAZ!A1006="","",SEFAZ!A1006)</f>
        <v/>
      </c>
      <c r="C1024" t="str">
        <f>IF(SEFAZ!C1006="","",SEFAZ!C1006)</f>
        <v/>
      </c>
      <c r="D1024" t="str">
        <f>IF(SEFAZ!D1006="","",SEFAZ!D1006)</f>
        <v/>
      </c>
      <c r="E1024" s="7" t="str">
        <f>IF(SEFAZ!E1006="","",SEFAZ!E1006)</f>
        <v/>
      </c>
      <c r="F1024" s="6" t="str">
        <f>IF(SEFAZ!F1006="","",VALUE(SUBSTITUTE(SEFAZ!F1006,"'","")))</f>
        <v/>
      </c>
      <c r="G1024" t="str">
        <f>IF(SEFAZ!H1006="","",SEFAZ!H1006)</f>
        <v/>
      </c>
      <c r="H1024" t="str">
        <f>IF(SEFAZ!L1006="","",SEFAZ!L1006)</f>
        <v/>
      </c>
      <c r="I1024" t="str">
        <f>IF(SEFAZ!N1006="","",SEFAZ!N1006)</f>
        <v/>
      </c>
      <c r="J1024" t="str">
        <f>IF(SEFAZ!O1006="","",SEFAZ!O1006)</f>
        <v/>
      </c>
      <c r="K1024" s="11" t="str">
        <f>IF(SEFAZ!P1006="","",SEFAZ!P1006)</f>
        <v/>
      </c>
      <c r="L1024" t="str" cm="1">
        <f t="array" aca="1" ref="L10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4" t="s">
        <v>35</v>
      </c>
      <c r="O1024" s="36" t="str">
        <f>IF(SEFAZ!B1006="","",SEFAZ!B1006)</f>
        <v/>
      </c>
    </row>
    <row r="1025" spans="2:15" x14ac:dyDescent="0.3">
      <c r="B1025" t="str">
        <f>IF(SEFAZ!A1007="","",SEFAZ!A1007)</f>
        <v/>
      </c>
      <c r="C1025" t="str">
        <f>IF(SEFAZ!C1007="","",SEFAZ!C1007)</f>
        <v/>
      </c>
      <c r="D1025" t="str">
        <f>IF(SEFAZ!D1007="","",SEFAZ!D1007)</f>
        <v/>
      </c>
      <c r="E1025" s="7" t="str">
        <f>IF(SEFAZ!E1007="","",SEFAZ!E1007)</f>
        <v/>
      </c>
      <c r="F1025" s="6" t="str">
        <f>IF(SEFAZ!F1007="","",VALUE(SUBSTITUTE(SEFAZ!F1007,"'","")))</f>
        <v/>
      </c>
      <c r="G1025" t="str">
        <f>IF(SEFAZ!H1007="","",SEFAZ!H1007)</f>
        <v/>
      </c>
      <c r="H1025" t="str">
        <f>IF(SEFAZ!L1007="","",SEFAZ!L1007)</f>
        <v/>
      </c>
      <c r="I1025" t="str">
        <f>IF(SEFAZ!N1007="","",SEFAZ!N1007)</f>
        <v/>
      </c>
      <c r="J1025" t="str">
        <f>IF(SEFAZ!O1007="","",SEFAZ!O1007)</f>
        <v/>
      </c>
      <c r="K1025" s="11" t="str">
        <f>IF(SEFAZ!P1007="","",SEFAZ!P1007)</f>
        <v/>
      </c>
      <c r="L1025" t="str" cm="1">
        <f t="array" aca="1" ref="L10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5" t="s">
        <v>35</v>
      </c>
      <c r="O1025" s="36" t="str">
        <f>IF(SEFAZ!B1007="","",SEFAZ!B1007)</f>
        <v/>
      </c>
    </row>
    <row r="1026" spans="2:15" x14ac:dyDescent="0.3">
      <c r="B1026" t="str">
        <f>IF(SEFAZ!A1008="","",SEFAZ!A1008)</f>
        <v/>
      </c>
      <c r="C1026" t="str">
        <f>IF(SEFAZ!C1008="","",SEFAZ!C1008)</f>
        <v/>
      </c>
      <c r="D1026" t="str">
        <f>IF(SEFAZ!D1008="","",SEFAZ!D1008)</f>
        <v/>
      </c>
      <c r="E1026" s="7" t="str">
        <f>IF(SEFAZ!E1008="","",SEFAZ!E1008)</f>
        <v/>
      </c>
      <c r="F1026" s="6" t="str">
        <f>IF(SEFAZ!F1008="","",VALUE(SUBSTITUTE(SEFAZ!F1008,"'","")))</f>
        <v/>
      </c>
      <c r="G1026" t="str">
        <f>IF(SEFAZ!H1008="","",SEFAZ!H1008)</f>
        <v/>
      </c>
      <c r="H1026" t="str">
        <f>IF(SEFAZ!L1008="","",SEFAZ!L1008)</f>
        <v/>
      </c>
      <c r="I1026" t="str">
        <f>IF(SEFAZ!N1008="","",SEFAZ!N1008)</f>
        <v/>
      </c>
      <c r="J1026" t="str">
        <f>IF(SEFAZ!O1008="","",SEFAZ!O1008)</f>
        <v/>
      </c>
      <c r="K1026" s="11" t="str">
        <f>IF(SEFAZ!P1008="","",SEFAZ!P1008)</f>
        <v/>
      </c>
      <c r="L1026" t="str" cm="1">
        <f t="array" aca="1" ref="L10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6" t="s">
        <v>35</v>
      </c>
      <c r="O1026" s="36" t="str">
        <f>IF(SEFAZ!B1008="","",SEFAZ!B1008)</f>
        <v/>
      </c>
    </row>
    <row r="1027" spans="2:15" x14ac:dyDescent="0.3">
      <c r="B1027" t="str">
        <f>IF(SEFAZ!A1009="","",SEFAZ!A1009)</f>
        <v/>
      </c>
      <c r="C1027" t="str">
        <f>IF(SEFAZ!C1009="","",SEFAZ!C1009)</f>
        <v/>
      </c>
      <c r="D1027" t="str">
        <f>IF(SEFAZ!D1009="","",SEFAZ!D1009)</f>
        <v/>
      </c>
      <c r="E1027" s="7" t="str">
        <f>IF(SEFAZ!E1009="","",SEFAZ!E1009)</f>
        <v/>
      </c>
      <c r="F1027" s="6" t="str">
        <f>IF(SEFAZ!F1009="","",VALUE(SUBSTITUTE(SEFAZ!F1009,"'","")))</f>
        <v/>
      </c>
      <c r="G1027" t="str">
        <f>IF(SEFAZ!H1009="","",SEFAZ!H1009)</f>
        <v/>
      </c>
      <c r="H1027" t="str">
        <f>IF(SEFAZ!L1009="","",SEFAZ!L1009)</f>
        <v/>
      </c>
      <c r="I1027" t="str">
        <f>IF(SEFAZ!N1009="","",SEFAZ!N1009)</f>
        <v/>
      </c>
      <c r="J1027" t="str">
        <f>IF(SEFAZ!O1009="","",SEFAZ!O1009)</f>
        <v/>
      </c>
      <c r="K1027" s="11" t="str">
        <f>IF(SEFAZ!P1009="","",SEFAZ!P1009)</f>
        <v/>
      </c>
      <c r="L1027" t="str" cm="1">
        <f t="array" aca="1" ref="L10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7" t="s">
        <v>35</v>
      </c>
      <c r="O1027" s="36" t="str">
        <f>IF(SEFAZ!B1009="","",SEFAZ!B1009)</f>
        <v/>
      </c>
    </row>
    <row r="1028" spans="2:15" x14ac:dyDescent="0.3">
      <c r="B1028" t="str">
        <f>IF(SEFAZ!A1010="","",SEFAZ!A1010)</f>
        <v/>
      </c>
      <c r="C1028" t="str">
        <f>IF(SEFAZ!C1010="","",SEFAZ!C1010)</f>
        <v/>
      </c>
      <c r="D1028" t="str">
        <f>IF(SEFAZ!D1010="","",SEFAZ!D1010)</f>
        <v/>
      </c>
      <c r="E1028" s="7" t="str">
        <f>IF(SEFAZ!E1010="","",SEFAZ!E1010)</f>
        <v/>
      </c>
      <c r="F1028" s="6" t="str">
        <f>IF(SEFAZ!F1010="","",VALUE(SUBSTITUTE(SEFAZ!F1010,"'","")))</f>
        <v/>
      </c>
      <c r="G1028" t="str">
        <f>IF(SEFAZ!H1010="","",SEFAZ!H1010)</f>
        <v/>
      </c>
      <c r="H1028" t="str">
        <f>IF(SEFAZ!L1010="","",SEFAZ!L1010)</f>
        <v/>
      </c>
      <c r="I1028" t="str">
        <f>IF(SEFAZ!N1010="","",SEFAZ!N1010)</f>
        <v/>
      </c>
      <c r="J1028" t="str">
        <f>IF(SEFAZ!O1010="","",SEFAZ!O1010)</f>
        <v/>
      </c>
      <c r="K1028" s="11" t="str">
        <f>IF(SEFAZ!P1010="","",SEFAZ!P1010)</f>
        <v/>
      </c>
      <c r="L1028" t="str" cm="1">
        <f t="array" aca="1" ref="L10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8" t="s">
        <v>35</v>
      </c>
      <c r="O1028" s="36" t="str">
        <f>IF(SEFAZ!B1010="","",SEFAZ!B1010)</f>
        <v/>
      </c>
    </row>
    <row r="1029" spans="2:15" x14ac:dyDescent="0.3">
      <c r="B1029" t="str">
        <f>IF(SEFAZ!A1011="","",SEFAZ!A1011)</f>
        <v/>
      </c>
      <c r="C1029" t="str">
        <f>IF(SEFAZ!C1011="","",SEFAZ!C1011)</f>
        <v/>
      </c>
      <c r="D1029" t="str">
        <f>IF(SEFAZ!D1011="","",SEFAZ!D1011)</f>
        <v/>
      </c>
      <c r="E1029" s="7" t="str">
        <f>IF(SEFAZ!E1011="","",SEFAZ!E1011)</f>
        <v/>
      </c>
      <c r="F1029" s="6" t="str">
        <f>IF(SEFAZ!F1011="","",VALUE(SUBSTITUTE(SEFAZ!F1011,"'","")))</f>
        <v/>
      </c>
      <c r="G1029" t="str">
        <f>IF(SEFAZ!H1011="","",SEFAZ!H1011)</f>
        <v/>
      </c>
      <c r="H1029" t="str">
        <f>IF(SEFAZ!L1011="","",SEFAZ!L1011)</f>
        <v/>
      </c>
      <c r="I1029" t="str">
        <f>IF(SEFAZ!N1011="","",SEFAZ!N1011)</f>
        <v/>
      </c>
      <c r="J1029" t="str">
        <f>IF(SEFAZ!O1011="","",SEFAZ!O1011)</f>
        <v/>
      </c>
      <c r="K1029" s="11" t="str">
        <f>IF(SEFAZ!P1011="","",SEFAZ!P1011)</f>
        <v/>
      </c>
      <c r="L1029" t="str" cm="1">
        <f t="array" aca="1" ref="L10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29" t="s">
        <v>35</v>
      </c>
      <c r="O1029" s="36" t="str">
        <f>IF(SEFAZ!B1011="","",SEFAZ!B1011)</f>
        <v/>
      </c>
    </row>
    <row r="1030" spans="2:15" x14ac:dyDescent="0.3">
      <c r="B1030" t="str">
        <f>IF(SEFAZ!A1012="","",SEFAZ!A1012)</f>
        <v/>
      </c>
      <c r="C1030" t="str">
        <f>IF(SEFAZ!C1012="","",SEFAZ!C1012)</f>
        <v/>
      </c>
      <c r="D1030" t="str">
        <f>IF(SEFAZ!D1012="","",SEFAZ!D1012)</f>
        <v/>
      </c>
      <c r="E1030" s="7" t="str">
        <f>IF(SEFAZ!E1012="","",SEFAZ!E1012)</f>
        <v/>
      </c>
      <c r="F1030" s="6" t="str">
        <f>IF(SEFAZ!F1012="","",VALUE(SUBSTITUTE(SEFAZ!F1012,"'","")))</f>
        <v/>
      </c>
      <c r="G1030" t="str">
        <f>IF(SEFAZ!H1012="","",SEFAZ!H1012)</f>
        <v/>
      </c>
      <c r="H1030" t="str">
        <f>IF(SEFAZ!L1012="","",SEFAZ!L1012)</f>
        <v/>
      </c>
      <c r="I1030" t="str">
        <f>IF(SEFAZ!N1012="","",SEFAZ!N1012)</f>
        <v/>
      </c>
      <c r="J1030" t="str">
        <f>IF(SEFAZ!O1012="","",SEFAZ!O1012)</f>
        <v/>
      </c>
      <c r="K1030" s="11" t="str">
        <f>IF(SEFAZ!P1012="","",SEFAZ!P1012)</f>
        <v/>
      </c>
      <c r="L1030" t="str" cm="1">
        <f t="array" aca="1" ref="L10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0" t="s">
        <v>35</v>
      </c>
      <c r="O1030" s="36" t="str">
        <f>IF(SEFAZ!B1012="","",SEFAZ!B1012)</f>
        <v/>
      </c>
    </row>
    <row r="1031" spans="2:15" x14ac:dyDescent="0.3">
      <c r="B1031" t="str">
        <f>IF(SEFAZ!A1013="","",SEFAZ!A1013)</f>
        <v/>
      </c>
      <c r="C1031" t="str">
        <f>IF(SEFAZ!C1013="","",SEFAZ!C1013)</f>
        <v/>
      </c>
      <c r="D1031" t="str">
        <f>IF(SEFAZ!D1013="","",SEFAZ!D1013)</f>
        <v/>
      </c>
      <c r="E1031" s="7" t="str">
        <f>IF(SEFAZ!E1013="","",SEFAZ!E1013)</f>
        <v/>
      </c>
      <c r="F1031" s="6" t="str">
        <f>IF(SEFAZ!F1013="","",VALUE(SUBSTITUTE(SEFAZ!F1013,"'","")))</f>
        <v/>
      </c>
      <c r="G1031" t="str">
        <f>IF(SEFAZ!H1013="","",SEFAZ!H1013)</f>
        <v/>
      </c>
      <c r="H1031" t="str">
        <f>IF(SEFAZ!L1013="","",SEFAZ!L1013)</f>
        <v/>
      </c>
      <c r="I1031" t="str">
        <f>IF(SEFAZ!N1013="","",SEFAZ!N1013)</f>
        <v/>
      </c>
      <c r="J1031" t="str">
        <f>IF(SEFAZ!O1013="","",SEFAZ!O1013)</f>
        <v/>
      </c>
      <c r="K1031" s="11" t="str">
        <f>IF(SEFAZ!P1013="","",SEFAZ!P1013)</f>
        <v/>
      </c>
      <c r="L1031" t="str" cm="1">
        <f t="array" aca="1" ref="L10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1" t="s">
        <v>35</v>
      </c>
      <c r="O1031" s="36" t="str">
        <f>IF(SEFAZ!B1013="","",SEFAZ!B1013)</f>
        <v/>
      </c>
    </row>
    <row r="1032" spans="2:15" x14ac:dyDescent="0.3">
      <c r="B1032" t="str">
        <f>IF(SEFAZ!A1014="","",SEFAZ!A1014)</f>
        <v/>
      </c>
      <c r="C1032" t="str">
        <f>IF(SEFAZ!C1014="","",SEFAZ!C1014)</f>
        <v/>
      </c>
      <c r="D1032" t="str">
        <f>IF(SEFAZ!D1014="","",SEFAZ!D1014)</f>
        <v/>
      </c>
      <c r="E1032" s="7" t="str">
        <f>IF(SEFAZ!E1014="","",SEFAZ!E1014)</f>
        <v/>
      </c>
      <c r="F1032" s="6" t="str">
        <f>IF(SEFAZ!F1014="","",VALUE(SUBSTITUTE(SEFAZ!F1014,"'","")))</f>
        <v/>
      </c>
      <c r="G1032" t="str">
        <f>IF(SEFAZ!H1014="","",SEFAZ!H1014)</f>
        <v/>
      </c>
      <c r="H1032" t="str">
        <f>IF(SEFAZ!L1014="","",SEFAZ!L1014)</f>
        <v/>
      </c>
      <c r="I1032" t="str">
        <f>IF(SEFAZ!N1014="","",SEFAZ!N1014)</f>
        <v/>
      </c>
      <c r="J1032" t="str">
        <f>IF(SEFAZ!O1014="","",SEFAZ!O1014)</f>
        <v/>
      </c>
      <c r="K1032" s="11" t="str">
        <f>IF(SEFAZ!P1014="","",SEFAZ!P1014)</f>
        <v/>
      </c>
      <c r="L1032" t="str" cm="1">
        <f t="array" aca="1" ref="L10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2" t="s">
        <v>35</v>
      </c>
      <c r="O1032" s="36" t="str">
        <f>IF(SEFAZ!B1014="","",SEFAZ!B1014)</f>
        <v/>
      </c>
    </row>
    <row r="1033" spans="2:15" x14ac:dyDescent="0.3">
      <c r="B1033" t="str">
        <f>IF(SEFAZ!A1015="","",SEFAZ!A1015)</f>
        <v/>
      </c>
      <c r="C1033" t="str">
        <f>IF(SEFAZ!C1015="","",SEFAZ!C1015)</f>
        <v/>
      </c>
      <c r="D1033" t="str">
        <f>IF(SEFAZ!D1015="","",SEFAZ!D1015)</f>
        <v/>
      </c>
      <c r="E1033" s="7" t="str">
        <f>IF(SEFAZ!E1015="","",SEFAZ!E1015)</f>
        <v/>
      </c>
      <c r="F1033" s="6" t="str">
        <f>IF(SEFAZ!F1015="","",VALUE(SUBSTITUTE(SEFAZ!F1015,"'","")))</f>
        <v/>
      </c>
      <c r="G1033" t="str">
        <f>IF(SEFAZ!H1015="","",SEFAZ!H1015)</f>
        <v/>
      </c>
      <c r="H1033" t="str">
        <f>IF(SEFAZ!L1015="","",SEFAZ!L1015)</f>
        <v/>
      </c>
      <c r="I1033" t="str">
        <f>IF(SEFAZ!N1015="","",SEFAZ!N1015)</f>
        <v/>
      </c>
      <c r="J1033" t="str">
        <f>IF(SEFAZ!O1015="","",SEFAZ!O1015)</f>
        <v/>
      </c>
      <c r="K1033" s="11" t="str">
        <f>IF(SEFAZ!P1015="","",SEFAZ!P1015)</f>
        <v/>
      </c>
      <c r="L1033" t="str" cm="1">
        <f t="array" aca="1" ref="L10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3" t="s">
        <v>35</v>
      </c>
      <c r="O1033" s="36" t="str">
        <f>IF(SEFAZ!B1015="","",SEFAZ!B1015)</f>
        <v/>
      </c>
    </row>
    <row r="1034" spans="2:15" x14ac:dyDescent="0.3">
      <c r="B1034" t="str">
        <f>IF(SEFAZ!A1016="","",SEFAZ!A1016)</f>
        <v/>
      </c>
      <c r="C1034" t="str">
        <f>IF(SEFAZ!C1016="","",SEFAZ!C1016)</f>
        <v/>
      </c>
      <c r="D1034" t="str">
        <f>IF(SEFAZ!D1016="","",SEFAZ!D1016)</f>
        <v/>
      </c>
      <c r="E1034" s="7" t="str">
        <f>IF(SEFAZ!E1016="","",SEFAZ!E1016)</f>
        <v/>
      </c>
      <c r="F1034" s="6" t="str">
        <f>IF(SEFAZ!F1016="","",VALUE(SUBSTITUTE(SEFAZ!F1016,"'","")))</f>
        <v/>
      </c>
      <c r="G1034" t="str">
        <f>IF(SEFAZ!H1016="","",SEFAZ!H1016)</f>
        <v/>
      </c>
      <c r="H1034" t="str">
        <f>IF(SEFAZ!L1016="","",SEFAZ!L1016)</f>
        <v/>
      </c>
      <c r="I1034" t="str">
        <f>IF(SEFAZ!N1016="","",SEFAZ!N1016)</f>
        <v/>
      </c>
      <c r="J1034" t="str">
        <f>IF(SEFAZ!O1016="","",SEFAZ!O1016)</f>
        <v/>
      </c>
      <c r="K1034" s="11" t="str">
        <f>IF(SEFAZ!P1016="","",SEFAZ!P1016)</f>
        <v/>
      </c>
      <c r="L1034" t="str" cm="1">
        <f t="array" aca="1" ref="L10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4" t="s">
        <v>35</v>
      </c>
      <c r="O1034" s="36" t="str">
        <f>IF(SEFAZ!B1016="","",SEFAZ!B1016)</f>
        <v/>
      </c>
    </row>
    <row r="1035" spans="2:15" x14ac:dyDescent="0.3">
      <c r="B1035" t="str">
        <f>IF(SEFAZ!A1017="","",SEFAZ!A1017)</f>
        <v/>
      </c>
      <c r="C1035" t="str">
        <f>IF(SEFAZ!C1017="","",SEFAZ!C1017)</f>
        <v/>
      </c>
      <c r="D1035" t="str">
        <f>IF(SEFAZ!D1017="","",SEFAZ!D1017)</f>
        <v/>
      </c>
      <c r="E1035" s="7" t="str">
        <f>IF(SEFAZ!E1017="","",SEFAZ!E1017)</f>
        <v/>
      </c>
      <c r="F1035" s="6" t="str">
        <f>IF(SEFAZ!F1017="","",VALUE(SUBSTITUTE(SEFAZ!F1017,"'","")))</f>
        <v/>
      </c>
      <c r="G1035" t="str">
        <f>IF(SEFAZ!H1017="","",SEFAZ!H1017)</f>
        <v/>
      </c>
      <c r="H1035" t="str">
        <f>IF(SEFAZ!L1017="","",SEFAZ!L1017)</f>
        <v/>
      </c>
      <c r="I1035" t="str">
        <f>IF(SEFAZ!N1017="","",SEFAZ!N1017)</f>
        <v/>
      </c>
      <c r="J1035" t="str">
        <f>IF(SEFAZ!O1017="","",SEFAZ!O1017)</f>
        <v/>
      </c>
      <c r="K1035" s="11" t="str">
        <f>IF(SEFAZ!P1017="","",SEFAZ!P1017)</f>
        <v/>
      </c>
      <c r="L1035" t="str" cm="1">
        <f t="array" aca="1" ref="L10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5" t="s">
        <v>35</v>
      </c>
      <c r="O1035" s="36" t="str">
        <f>IF(SEFAZ!B1017="","",SEFAZ!B1017)</f>
        <v/>
      </c>
    </row>
    <row r="1036" spans="2:15" x14ac:dyDescent="0.3">
      <c r="B1036" t="str">
        <f>IF(SEFAZ!A1018="","",SEFAZ!A1018)</f>
        <v/>
      </c>
      <c r="C1036" t="str">
        <f>IF(SEFAZ!C1018="","",SEFAZ!C1018)</f>
        <v/>
      </c>
      <c r="D1036" t="str">
        <f>IF(SEFAZ!D1018="","",SEFAZ!D1018)</f>
        <v/>
      </c>
      <c r="E1036" s="7" t="str">
        <f>IF(SEFAZ!E1018="","",SEFAZ!E1018)</f>
        <v/>
      </c>
      <c r="F1036" s="6" t="str">
        <f>IF(SEFAZ!F1018="","",VALUE(SUBSTITUTE(SEFAZ!F1018,"'","")))</f>
        <v/>
      </c>
      <c r="G1036" t="str">
        <f>IF(SEFAZ!H1018="","",SEFAZ!H1018)</f>
        <v/>
      </c>
      <c r="H1036" t="str">
        <f>IF(SEFAZ!L1018="","",SEFAZ!L1018)</f>
        <v/>
      </c>
      <c r="I1036" t="str">
        <f>IF(SEFAZ!N1018="","",SEFAZ!N1018)</f>
        <v/>
      </c>
      <c r="J1036" t="str">
        <f>IF(SEFAZ!O1018="","",SEFAZ!O1018)</f>
        <v/>
      </c>
      <c r="K1036" s="11" t="str">
        <f>IF(SEFAZ!P1018="","",SEFAZ!P1018)</f>
        <v/>
      </c>
      <c r="L1036" t="str" cm="1">
        <f t="array" aca="1" ref="L10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6" t="s">
        <v>35</v>
      </c>
      <c r="O1036" s="36" t="str">
        <f>IF(SEFAZ!B1018="","",SEFAZ!B1018)</f>
        <v/>
      </c>
    </row>
    <row r="1037" spans="2:15" x14ac:dyDescent="0.3">
      <c r="B1037" t="str">
        <f>IF(SEFAZ!A1019="","",SEFAZ!A1019)</f>
        <v/>
      </c>
      <c r="C1037" t="str">
        <f>IF(SEFAZ!C1019="","",SEFAZ!C1019)</f>
        <v/>
      </c>
      <c r="D1037" t="str">
        <f>IF(SEFAZ!D1019="","",SEFAZ!D1019)</f>
        <v/>
      </c>
      <c r="E1037" s="7" t="str">
        <f>IF(SEFAZ!E1019="","",SEFAZ!E1019)</f>
        <v/>
      </c>
      <c r="F1037" s="6" t="str">
        <f>IF(SEFAZ!F1019="","",VALUE(SUBSTITUTE(SEFAZ!F1019,"'","")))</f>
        <v/>
      </c>
      <c r="G1037" t="str">
        <f>IF(SEFAZ!H1019="","",SEFAZ!H1019)</f>
        <v/>
      </c>
      <c r="H1037" t="str">
        <f>IF(SEFAZ!L1019="","",SEFAZ!L1019)</f>
        <v/>
      </c>
      <c r="I1037" t="str">
        <f>IF(SEFAZ!N1019="","",SEFAZ!N1019)</f>
        <v/>
      </c>
      <c r="J1037" t="str">
        <f>IF(SEFAZ!O1019="","",SEFAZ!O1019)</f>
        <v/>
      </c>
      <c r="K1037" s="11" t="str">
        <f>IF(SEFAZ!P1019="","",SEFAZ!P1019)</f>
        <v/>
      </c>
      <c r="L1037" t="str" cm="1">
        <f t="array" aca="1" ref="L10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7" t="s">
        <v>35</v>
      </c>
      <c r="O1037" s="36" t="str">
        <f>IF(SEFAZ!B1019="","",SEFAZ!B1019)</f>
        <v/>
      </c>
    </row>
    <row r="1038" spans="2:15" x14ac:dyDescent="0.3">
      <c r="B1038" t="str">
        <f>IF(SEFAZ!A1020="","",SEFAZ!A1020)</f>
        <v/>
      </c>
      <c r="C1038" t="str">
        <f>IF(SEFAZ!C1020="","",SEFAZ!C1020)</f>
        <v/>
      </c>
      <c r="D1038" t="str">
        <f>IF(SEFAZ!D1020="","",SEFAZ!D1020)</f>
        <v/>
      </c>
      <c r="E1038" s="7" t="str">
        <f>IF(SEFAZ!E1020="","",SEFAZ!E1020)</f>
        <v/>
      </c>
      <c r="F1038" s="6" t="str">
        <f>IF(SEFAZ!F1020="","",VALUE(SUBSTITUTE(SEFAZ!F1020,"'","")))</f>
        <v/>
      </c>
      <c r="G1038" t="str">
        <f>IF(SEFAZ!H1020="","",SEFAZ!H1020)</f>
        <v/>
      </c>
      <c r="H1038" t="str">
        <f>IF(SEFAZ!L1020="","",SEFAZ!L1020)</f>
        <v/>
      </c>
      <c r="I1038" t="str">
        <f>IF(SEFAZ!N1020="","",SEFAZ!N1020)</f>
        <v/>
      </c>
      <c r="J1038" t="str">
        <f>IF(SEFAZ!O1020="","",SEFAZ!O1020)</f>
        <v/>
      </c>
      <c r="K1038" s="11" t="str">
        <f>IF(SEFAZ!P1020="","",SEFAZ!P1020)</f>
        <v/>
      </c>
      <c r="L1038" t="str" cm="1">
        <f t="array" aca="1" ref="L10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8" t="s">
        <v>35</v>
      </c>
      <c r="O1038" s="36" t="str">
        <f>IF(SEFAZ!B1020="","",SEFAZ!B1020)</f>
        <v/>
      </c>
    </row>
    <row r="1039" spans="2:15" x14ac:dyDescent="0.3">
      <c r="B1039" t="str">
        <f>IF(SEFAZ!A1021="","",SEFAZ!A1021)</f>
        <v/>
      </c>
      <c r="C1039" t="str">
        <f>IF(SEFAZ!C1021="","",SEFAZ!C1021)</f>
        <v/>
      </c>
      <c r="D1039" t="str">
        <f>IF(SEFAZ!D1021="","",SEFAZ!D1021)</f>
        <v/>
      </c>
      <c r="E1039" s="7" t="str">
        <f>IF(SEFAZ!E1021="","",SEFAZ!E1021)</f>
        <v/>
      </c>
      <c r="F1039" s="6" t="str">
        <f>IF(SEFAZ!F1021="","",VALUE(SUBSTITUTE(SEFAZ!F1021,"'","")))</f>
        <v/>
      </c>
      <c r="G1039" t="str">
        <f>IF(SEFAZ!H1021="","",SEFAZ!H1021)</f>
        <v/>
      </c>
      <c r="H1039" t="str">
        <f>IF(SEFAZ!L1021="","",SEFAZ!L1021)</f>
        <v/>
      </c>
      <c r="I1039" t="str">
        <f>IF(SEFAZ!N1021="","",SEFAZ!N1021)</f>
        <v/>
      </c>
      <c r="J1039" t="str">
        <f>IF(SEFAZ!O1021="","",SEFAZ!O1021)</f>
        <v/>
      </c>
      <c r="K1039" s="11" t="str">
        <f>IF(SEFAZ!P1021="","",SEFAZ!P1021)</f>
        <v/>
      </c>
      <c r="L1039" t="str" cm="1">
        <f t="array" aca="1" ref="L10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39" t="s">
        <v>35</v>
      </c>
      <c r="O1039" s="36" t="str">
        <f>IF(SEFAZ!B1021="","",SEFAZ!B1021)</f>
        <v/>
      </c>
    </row>
    <row r="1040" spans="2:15" x14ac:dyDescent="0.3">
      <c r="B1040" t="str">
        <f>IF(SEFAZ!A1022="","",SEFAZ!A1022)</f>
        <v/>
      </c>
      <c r="C1040" t="str">
        <f>IF(SEFAZ!C1022="","",SEFAZ!C1022)</f>
        <v/>
      </c>
      <c r="D1040" t="str">
        <f>IF(SEFAZ!D1022="","",SEFAZ!D1022)</f>
        <v/>
      </c>
      <c r="E1040" s="7" t="str">
        <f>IF(SEFAZ!E1022="","",SEFAZ!E1022)</f>
        <v/>
      </c>
      <c r="F1040" s="6" t="str">
        <f>IF(SEFAZ!F1022="","",VALUE(SUBSTITUTE(SEFAZ!F1022,"'","")))</f>
        <v/>
      </c>
      <c r="G1040" t="str">
        <f>IF(SEFAZ!H1022="","",SEFAZ!H1022)</f>
        <v/>
      </c>
      <c r="H1040" t="str">
        <f>IF(SEFAZ!L1022="","",SEFAZ!L1022)</f>
        <v/>
      </c>
      <c r="I1040" t="str">
        <f>IF(SEFAZ!N1022="","",SEFAZ!N1022)</f>
        <v/>
      </c>
      <c r="J1040" t="str">
        <f>IF(SEFAZ!O1022="","",SEFAZ!O1022)</f>
        <v/>
      </c>
      <c r="K1040" s="11" t="str">
        <f>IF(SEFAZ!P1022="","",SEFAZ!P1022)</f>
        <v/>
      </c>
      <c r="L1040" t="str" cm="1">
        <f t="array" aca="1" ref="L10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0" t="s">
        <v>35</v>
      </c>
      <c r="O1040" s="36" t="str">
        <f>IF(SEFAZ!B1022="","",SEFAZ!B1022)</f>
        <v/>
      </c>
    </row>
    <row r="1041" spans="2:15" x14ac:dyDescent="0.3">
      <c r="B1041" t="str">
        <f>IF(SEFAZ!A1023="","",SEFAZ!A1023)</f>
        <v/>
      </c>
      <c r="C1041" t="str">
        <f>IF(SEFAZ!C1023="","",SEFAZ!C1023)</f>
        <v/>
      </c>
      <c r="D1041" t="str">
        <f>IF(SEFAZ!D1023="","",SEFAZ!D1023)</f>
        <v/>
      </c>
      <c r="E1041" s="7" t="str">
        <f>IF(SEFAZ!E1023="","",SEFAZ!E1023)</f>
        <v/>
      </c>
      <c r="F1041" s="6" t="str">
        <f>IF(SEFAZ!F1023="","",VALUE(SUBSTITUTE(SEFAZ!F1023,"'","")))</f>
        <v/>
      </c>
      <c r="G1041" t="str">
        <f>IF(SEFAZ!H1023="","",SEFAZ!H1023)</f>
        <v/>
      </c>
      <c r="H1041" t="str">
        <f>IF(SEFAZ!L1023="","",SEFAZ!L1023)</f>
        <v/>
      </c>
      <c r="I1041" t="str">
        <f>IF(SEFAZ!N1023="","",SEFAZ!N1023)</f>
        <v/>
      </c>
      <c r="J1041" t="str">
        <f>IF(SEFAZ!O1023="","",SEFAZ!O1023)</f>
        <v/>
      </c>
      <c r="K1041" s="11" t="str">
        <f>IF(SEFAZ!P1023="","",SEFAZ!P1023)</f>
        <v/>
      </c>
      <c r="L1041" t="str" cm="1">
        <f t="array" aca="1" ref="L10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1" t="s">
        <v>35</v>
      </c>
      <c r="O1041" s="36" t="str">
        <f>IF(SEFAZ!B1023="","",SEFAZ!B1023)</f>
        <v/>
      </c>
    </row>
    <row r="1042" spans="2:15" x14ac:dyDescent="0.3">
      <c r="B1042" t="str">
        <f>IF(SEFAZ!A1024="","",SEFAZ!A1024)</f>
        <v/>
      </c>
      <c r="C1042" t="str">
        <f>IF(SEFAZ!C1024="","",SEFAZ!C1024)</f>
        <v/>
      </c>
      <c r="D1042" t="str">
        <f>IF(SEFAZ!D1024="","",SEFAZ!D1024)</f>
        <v/>
      </c>
      <c r="E1042" s="7" t="str">
        <f>IF(SEFAZ!E1024="","",SEFAZ!E1024)</f>
        <v/>
      </c>
      <c r="F1042" s="6" t="str">
        <f>IF(SEFAZ!F1024="","",VALUE(SUBSTITUTE(SEFAZ!F1024,"'","")))</f>
        <v/>
      </c>
      <c r="G1042" t="str">
        <f>IF(SEFAZ!H1024="","",SEFAZ!H1024)</f>
        <v/>
      </c>
      <c r="H1042" t="str">
        <f>IF(SEFAZ!L1024="","",SEFAZ!L1024)</f>
        <v/>
      </c>
      <c r="I1042" t="str">
        <f>IF(SEFAZ!N1024="","",SEFAZ!N1024)</f>
        <v/>
      </c>
      <c r="J1042" t="str">
        <f>IF(SEFAZ!O1024="","",SEFAZ!O1024)</f>
        <v/>
      </c>
      <c r="K1042" s="11" t="str">
        <f>IF(SEFAZ!P1024="","",SEFAZ!P1024)</f>
        <v/>
      </c>
      <c r="L1042" t="str" cm="1">
        <f t="array" aca="1" ref="L10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2" t="s">
        <v>35</v>
      </c>
      <c r="O1042" s="36" t="str">
        <f>IF(SEFAZ!B1024="","",SEFAZ!B1024)</f>
        <v/>
      </c>
    </row>
    <row r="1043" spans="2:15" x14ac:dyDescent="0.3">
      <c r="B1043" t="str">
        <f>IF(SEFAZ!A1025="","",SEFAZ!A1025)</f>
        <v/>
      </c>
      <c r="C1043" t="str">
        <f>IF(SEFAZ!C1025="","",SEFAZ!C1025)</f>
        <v/>
      </c>
      <c r="D1043" t="str">
        <f>IF(SEFAZ!D1025="","",SEFAZ!D1025)</f>
        <v/>
      </c>
      <c r="E1043" s="7" t="str">
        <f>IF(SEFAZ!E1025="","",SEFAZ!E1025)</f>
        <v/>
      </c>
      <c r="F1043" s="6" t="str">
        <f>IF(SEFAZ!F1025="","",VALUE(SUBSTITUTE(SEFAZ!F1025,"'","")))</f>
        <v/>
      </c>
      <c r="G1043" t="str">
        <f>IF(SEFAZ!H1025="","",SEFAZ!H1025)</f>
        <v/>
      </c>
      <c r="H1043" t="str">
        <f>IF(SEFAZ!L1025="","",SEFAZ!L1025)</f>
        <v/>
      </c>
      <c r="I1043" t="str">
        <f>IF(SEFAZ!N1025="","",SEFAZ!N1025)</f>
        <v/>
      </c>
      <c r="J1043" t="str">
        <f>IF(SEFAZ!O1025="","",SEFAZ!O1025)</f>
        <v/>
      </c>
      <c r="K1043" s="11" t="str">
        <f>IF(SEFAZ!P1025="","",SEFAZ!P1025)</f>
        <v/>
      </c>
      <c r="L1043" t="str" cm="1">
        <f t="array" aca="1" ref="L10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3" t="s">
        <v>35</v>
      </c>
      <c r="O1043" s="36" t="str">
        <f>IF(SEFAZ!B1025="","",SEFAZ!B1025)</f>
        <v/>
      </c>
    </row>
    <row r="1044" spans="2:15" x14ac:dyDescent="0.3">
      <c r="B1044" t="str">
        <f>IF(SEFAZ!A1026="","",SEFAZ!A1026)</f>
        <v/>
      </c>
      <c r="C1044" t="str">
        <f>IF(SEFAZ!C1026="","",SEFAZ!C1026)</f>
        <v/>
      </c>
      <c r="D1044" t="str">
        <f>IF(SEFAZ!D1026="","",SEFAZ!D1026)</f>
        <v/>
      </c>
      <c r="E1044" s="7" t="str">
        <f>IF(SEFAZ!E1026="","",SEFAZ!E1026)</f>
        <v/>
      </c>
      <c r="F1044" s="6" t="str">
        <f>IF(SEFAZ!F1026="","",VALUE(SUBSTITUTE(SEFAZ!F1026,"'","")))</f>
        <v/>
      </c>
      <c r="G1044" t="str">
        <f>IF(SEFAZ!H1026="","",SEFAZ!H1026)</f>
        <v/>
      </c>
      <c r="H1044" t="str">
        <f>IF(SEFAZ!L1026="","",SEFAZ!L1026)</f>
        <v/>
      </c>
      <c r="I1044" t="str">
        <f>IF(SEFAZ!N1026="","",SEFAZ!N1026)</f>
        <v/>
      </c>
      <c r="J1044" t="str">
        <f>IF(SEFAZ!O1026="","",SEFAZ!O1026)</f>
        <v/>
      </c>
      <c r="K1044" s="11" t="str">
        <f>IF(SEFAZ!P1026="","",SEFAZ!P1026)</f>
        <v/>
      </c>
      <c r="L1044" t="str" cm="1">
        <f t="array" aca="1" ref="L10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4" t="s">
        <v>35</v>
      </c>
      <c r="O1044" s="36" t="str">
        <f>IF(SEFAZ!B1026="","",SEFAZ!B1026)</f>
        <v/>
      </c>
    </row>
    <row r="1045" spans="2:15" x14ac:dyDescent="0.3">
      <c r="B1045" t="str">
        <f>IF(SEFAZ!A1027="","",SEFAZ!A1027)</f>
        <v/>
      </c>
      <c r="C1045" t="str">
        <f>IF(SEFAZ!C1027="","",SEFAZ!C1027)</f>
        <v/>
      </c>
      <c r="D1045" t="str">
        <f>IF(SEFAZ!D1027="","",SEFAZ!D1027)</f>
        <v/>
      </c>
      <c r="E1045" s="7" t="str">
        <f>IF(SEFAZ!E1027="","",SEFAZ!E1027)</f>
        <v/>
      </c>
      <c r="F1045" s="6" t="str">
        <f>IF(SEFAZ!F1027="","",VALUE(SUBSTITUTE(SEFAZ!F1027,"'","")))</f>
        <v/>
      </c>
      <c r="G1045" t="str">
        <f>IF(SEFAZ!H1027="","",SEFAZ!H1027)</f>
        <v/>
      </c>
      <c r="H1045" t="str">
        <f>IF(SEFAZ!L1027="","",SEFAZ!L1027)</f>
        <v/>
      </c>
      <c r="I1045" t="str">
        <f>IF(SEFAZ!N1027="","",SEFAZ!N1027)</f>
        <v/>
      </c>
      <c r="J1045" t="str">
        <f>IF(SEFAZ!O1027="","",SEFAZ!O1027)</f>
        <v/>
      </c>
      <c r="K1045" s="11" t="str">
        <f>IF(SEFAZ!P1027="","",SEFAZ!P1027)</f>
        <v/>
      </c>
      <c r="L1045" t="str" cm="1">
        <f t="array" aca="1" ref="L10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5" t="s">
        <v>35</v>
      </c>
      <c r="O1045" s="36" t="str">
        <f>IF(SEFAZ!B1027="","",SEFAZ!B1027)</f>
        <v/>
      </c>
    </row>
    <row r="1046" spans="2:15" x14ac:dyDescent="0.3">
      <c r="B1046" t="str">
        <f>IF(SEFAZ!A1028="","",SEFAZ!A1028)</f>
        <v/>
      </c>
      <c r="C1046" t="str">
        <f>IF(SEFAZ!C1028="","",SEFAZ!C1028)</f>
        <v/>
      </c>
      <c r="D1046" t="str">
        <f>IF(SEFAZ!D1028="","",SEFAZ!D1028)</f>
        <v/>
      </c>
      <c r="E1046" s="7" t="str">
        <f>IF(SEFAZ!E1028="","",SEFAZ!E1028)</f>
        <v/>
      </c>
      <c r="F1046" s="6" t="str">
        <f>IF(SEFAZ!F1028="","",VALUE(SUBSTITUTE(SEFAZ!F1028,"'","")))</f>
        <v/>
      </c>
      <c r="G1046" t="str">
        <f>IF(SEFAZ!H1028="","",SEFAZ!H1028)</f>
        <v/>
      </c>
      <c r="H1046" t="str">
        <f>IF(SEFAZ!L1028="","",SEFAZ!L1028)</f>
        <v/>
      </c>
      <c r="I1046" t="str">
        <f>IF(SEFAZ!N1028="","",SEFAZ!N1028)</f>
        <v/>
      </c>
      <c r="J1046" t="str">
        <f>IF(SEFAZ!O1028="","",SEFAZ!O1028)</f>
        <v/>
      </c>
      <c r="K1046" s="11" t="str">
        <f>IF(SEFAZ!P1028="","",SEFAZ!P1028)</f>
        <v/>
      </c>
      <c r="L1046" t="str" cm="1">
        <f t="array" aca="1" ref="L10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6" t="s">
        <v>35</v>
      </c>
      <c r="O1046" s="36" t="str">
        <f>IF(SEFAZ!B1028="","",SEFAZ!B1028)</f>
        <v/>
      </c>
    </row>
    <row r="1047" spans="2:15" x14ac:dyDescent="0.3">
      <c r="B1047" t="str">
        <f>IF(SEFAZ!A1029="","",SEFAZ!A1029)</f>
        <v/>
      </c>
      <c r="C1047" t="str">
        <f>IF(SEFAZ!C1029="","",SEFAZ!C1029)</f>
        <v/>
      </c>
      <c r="D1047" t="str">
        <f>IF(SEFAZ!D1029="","",SEFAZ!D1029)</f>
        <v/>
      </c>
      <c r="E1047" s="7" t="str">
        <f>IF(SEFAZ!E1029="","",SEFAZ!E1029)</f>
        <v/>
      </c>
      <c r="F1047" s="6" t="str">
        <f>IF(SEFAZ!F1029="","",VALUE(SUBSTITUTE(SEFAZ!F1029,"'","")))</f>
        <v/>
      </c>
      <c r="G1047" t="str">
        <f>IF(SEFAZ!H1029="","",SEFAZ!H1029)</f>
        <v/>
      </c>
      <c r="H1047" t="str">
        <f>IF(SEFAZ!L1029="","",SEFAZ!L1029)</f>
        <v/>
      </c>
      <c r="I1047" t="str">
        <f>IF(SEFAZ!N1029="","",SEFAZ!N1029)</f>
        <v/>
      </c>
      <c r="J1047" t="str">
        <f>IF(SEFAZ!O1029="","",SEFAZ!O1029)</f>
        <v/>
      </c>
      <c r="K1047" s="11" t="str">
        <f>IF(SEFAZ!P1029="","",SEFAZ!P1029)</f>
        <v/>
      </c>
      <c r="L1047" t="str" cm="1">
        <f t="array" aca="1" ref="L10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7" t="s">
        <v>35</v>
      </c>
      <c r="O1047" s="36" t="str">
        <f>IF(SEFAZ!B1029="","",SEFAZ!B1029)</f>
        <v/>
      </c>
    </row>
    <row r="1048" spans="2:15" x14ac:dyDescent="0.3">
      <c r="B1048" t="str">
        <f>IF(SEFAZ!A1030="","",SEFAZ!A1030)</f>
        <v/>
      </c>
      <c r="C1048" t="str">
        <f>IF(SEFAZ!C1030="","",SEFAZ!C1030)</f>
        <v/>
      </c>
      <c r="D1048" t="str">
        <f>IF(SEFAZ!D1030="","",SEFAZ!D1030)</f>
        <v/>
      </c>
      <c r="E1048" s="7" t="str">
        <f>IF(SEFAZ!E1030="","",SEFAZ!E1030)</f>
        <v/>
      </c>
      <c r="F1048" s="6" t="str">
        <f>IF(SEFAZ!F1030="","",VALUE(SUBSTITUTE(SEFAZ!F1030,"'","")))</f>
        <v/>
      </c>
      <c r="G1048" t="str">
        <f>IF(SEFAZ!H1030="","",SEFAZ!H1030)</f>
        <v/>
      </c>
      <c r="H1048" t="str">
        <f>IF(SEFAZ!L1030="","",SEFAZ!L1030)</f>
        <v/>
      </c>
      <c r="I1048" t="str">
        <f>IF(SEFAZ!N1030="","",SEFAZ!N1030)</f>
        <v/>
      </c>
      <c r="J1048" t="str">
        <f>IF(SEFAZ!O1030="","",SEFAZ!O1030)</f>
        <v/>
      </c>
      <c r="K1048" s="11" t="str">
        <f>IF(SEFAZ!P1030="","",SEFAZ!P1030)</f>
        <v/>
      </c>
      <c r="L1048" t="str" cm="1">
        <f t="array" aca="1" ref="L10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8" t="s">
        <v>35</v>
      </c>
      <c r="O1048" s="36" t="str">
        <f>IF(SEFAZ!B1030="","",SEFAZ!B1030)</f>
        <v/>
      </c>
    </row>
    <row r="1049" spans="2:15" x14ac:dyDescent="0.3">
      <c r="B1049" t="str">
        <f>IF(SEFAZ!A1031="","",SEFAZ!A1031)</f>
        <v/>
      </c>
      <c r="C1049" t="str">
        <f>IF(SEFAZ!C1031="","",SEFAZ!C1031)</f>
        <v/>
      </c>
      <c r="D1049" t="str">
        <f>IF(SEFAZ!D1031="","",SEFAZ!D1031)</f>
        <v/>
      </c>
      <c r="E1049" s="7" t="str">
        <f>IF(SEFAZ!E1031="","",SEFAZ!E1031)</f>
        <v/>
      </c>
      <c r="F1049" s="6" t="str">
        <f>IF(SEFAZ!F1031="","",VALUE(SUBSTITUTE(SEFAZ!F1031,"'","")))</f>
        <v/>
      </c>
      <c r="G1049" t="str">
        <f>IF(SEFAZ!H1031="","",SEFAZ!H1031)</f>
        <v/>
      </c>
      <c r="H1049" t="str">
        <f>IF(SEFAZ!L1031="","",SEFAZ!L1031)</f>
        <v/>
      </c>
      <c r="I1049" t="str">
        <f>IF(SEFAZ!N1031="","",SEFAZ!N1031)</f>
        <v/>
      </c>
      <c r="J1049" t="str">
        <f>IF(SEFAZ!O1031="","",SEFAZ!O1031)</f>
        <v/>
      </c>
      <c r="K1049" s="11" t="str">
        <f>IF(SEFAZ!P1031="","",SEFAZ!P1031)</f>
        <v/>
      </c>
      <c r="L1049" t="str" cm="1">
        <f t="array" aca="1" ref="L10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49" t="s">
        <v>35</v>
      </c>
      <c r="O1049" s="36" t="str">
        <f>IF(SEFAZ!B1031="","",SEFAZ!B1031)</f>
        <v/>
      </c>
    </row>
    <row r="1050" spans="2:15" x14ac:dyDescent="0.3">
      <c r="B1050" t="str">
        <f>IF(SEFAZ!A1032="","",SEFAZ!A1032)</f>
        <v/>
      </c>
      <c r="C1050" t="str">
        <f>IF(SEFAZ!C1032="","",SEFAZ!C1032)</f>
        <v/>
      </c>
      <c r="D1050" t="str">
        <f>IF(SEFAZ!D1032="","",SEFAZ!D1032)</f>
        <v/>
      </c>
      <c r="E1050" s="7" t="str">
        <f>IF(SEFAZ!E1032="","",SEFAZ!E1032)</f>
        <v/>
      </c>
      <c r="F1050" s="6" t="str">
        <f>IF(SEFAZ!F1032="","",VALUE(SUBSTITUTE(SEFAZ!F1032,"'","")))</f>
        <v/>
      </c>
      <c r="G1050" t="str">
        <f>IF(SEFAZ!H1032="","",SEFAZ!H1032)</f>
        <v/>
      </c>
      <c r="H1050" t="str">
        <f>IF(SEFAZ!L1032="","",SEFAZ!L1032)</f>
        <v/>
      </c>
      <c r="I1050" t="str">
        <f>IF(SEFAZ!N1032="","",SEFAZ!N1032)</f>
        <v/>
      </c>
      <c r="J1050" t="str">
        <f>IF(SEFAZ!O1032="","",SEFAZ!O1032)</f>
        <v/>
      </c>
      <c r="K1050" s="11" t="str">
        <f>IF(SEFAZ!P1032="","",SEFAZ!P1032)</f>
        <v/>
      </c>
      <c r="L1050" t="str" cm="1">
        <f t="array" aca="1" ref="L10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0" t="s">
        <v>35</v>
      </c>
      <c r="O1050" s="36" t="str">
        <f>IF(SEFAZ!B1032="","",SEFAZ!B1032)</f>
        <v/>
      </c>
    </row>
    <row r="1051" spans="2:15" x14ac:dyDescent="0.3">
      <c r="B1051" t="str">
        <f>IF(SEFAZ!A1033="","",SEFAZ!A1033)</f>
        <v/>
      </c>
      <c r="C1051" t="str">
        <f>IF(SEFAZ!C1033="","",SEFAZ!C1033)</f>
        <v/>
      </c>
      <c r="D1051" t="str">
        <f>IF(SEFAZ!D1033="","",SEFAZ!D1033)</f>
        <v/>
      </c>
      <c r="E1051" s="7" t="str">
        <f>IF(SEFAZ!E1033="","",SEFAZ!E1033)</f>
        <v/>
      </c>
      <c r="F1051" s="6" t="str">
        <f>IF(SEFAZ!F1033="","",VALUE(SUBSTITUTE(SEFAZ!F1033,"'","")))</f>
        <v/>
      </c>
      <c r="G1051" t="str">
        <f>IF(SEFAZ!H1033="","",SEFAZ!H1033)</f>
        <v/>
      </c>
      <c r="H1051" t="str">
        <f>IF(SEFAZ!L1033="","",SEFAZ!L1033)</f>
        <v/>
      </c>
      <c r="I1051" t="str">
        <f>IF(SEFAZ!N1033="","",SEFAZ!N1033)</f>
        <v/>
      </c>
      <c r="J1051" t="str">
        <f>IF(SEFAZ!O1033="","",SEFAZ!O1033)</f>
        <v/>
      </c>
      <c r="K1051" s="11" t="str">
        <f>IF(SEFAZ!P1033="","",SEFAZ!P1033)</f>
        <v/>
      </c>
      <c r="L1051" t="str" cm="1">
        <f t="array" aca="1" ref="L10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1" t="s">
        <v>35</v>
      </c>
      <c r="O1051" s="36" t="str">
        <f>IF(SEFAZ!B1033="","",SEFAZ!B1033)</f>
        <v/>
      </c>
    </row>
    <row r="1052" spans="2:15" x14ac:dyDescent="0.3">
      <c r="B1052" t="str">
        <f>IF(SEFAZ!A1034="","",SEFAZ!A1034)</f>
        <v/>
      </c>
      <c r="C1052" t="str">
        <f>IF(SEFAZ!C1034="","",SEFAZ!C1034)</f>
        <v/>
      </c>
      <c r="D1052" t="str">
        <f>IF(SEFAZ!D1034="","",SEFAZ!D1034)</f>
        <v/>
      </c>
      <c r="E1052" s="7" t="str">
        <f>IF(SEFAZ!E1034="","",SEFAZ!E1034)</f>
        <v/>
      </c>
      <c r="F1052" s="6" t="str">
        <f>IF(SEFAZ!F1034="","",VALUE(SUBSTITUTE(SEFAZ!F1034,"'","")))</f>
        <v/>
      </c>
      <c r="G1052" t="str">
        <f>IF(SEFAZ!H1034="","",SEFAZ!H1034)</f>
        <v/>
      </c>
      <c r="H1052" t="str">
        <f>IF(SEFAZ!L1034="","",SEFAZ!L1034)</f>
        <v/>
      </c>
      <c r="I1052" t="str">
        <f>IF(SEFAZ!N1034="","",SEFAZ!N1034)</f>
        <v/>
      </c>
      <c r="J1052" t="str">
        <f>IF(SEFAZ!O1034="","",SEFAZ!O1034)</f>
        <v/>
      </c>
      <c r="K1052" s="11" t="str">
        <f>IF(SEFAZ!P1034="","",SEFAZ!P1034)</f>
        <v/>
      </c>
      <c r="L1052" t="str" cm="1">
        <f t="array" aca="1" ref="L10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2" t="s">
        <v>35</v>
      </c>
      <c r="O1052" s="36" t="str">
        <f>IF(SEFAZ!B1034="","",SEFAZ!B1034)</f>
        <v/>
      </c>
    </row>
    <row r="1053" spans="2:15" x14ac:dyDescent="0.3">
      <c r="B1053" t="str">
        <f>IF(SEFAZ!A1035="","",SEFAZ!A1035)</f>
        <v/>
      </c>
      <c r="C1053" t="str">
        <f>IF(SEFAZ!C1035="","",SEFAZ!C1035)</f>
        <v/>
      </c>
      <c r="D1053" t="str">
        <f>IF(SEFAZ!D1035="","",SEFAZ!D1035)</f>
        <v/>
      </c>
      <c r="E1053" s="7" t="str">
        <f>IF(SEFAZ!E1035="","",SEFAZ!E1035)</f>
        <v/>
      </c>
      <c r="F1053" s="6" t="str">
        <f>IF(SEFAZ!F1035="","",VALUE(SUBSTITUTE(SEFAZ!F1035,"'","")))</f>
        <v/>
      </c>
      <c r="G1053" t="str">
        <f>IF(SEFAZ!H1035="","",SEFAZ!H1035)</f>
        <v/>
      </c>
      <c r="H1053" t="str">
        <f>IF(SEFAZ!L1035="","",SEFAZ!L1035)</f>
        <v/>
      </c>
      <c r="I1053" t="str">
        <f>IF(SEFAZ!N1035="","",SEFAZ!N1035)</f>
        <v/>
      </c>
      <c r="J1053" t="str">
        <f>IF(SEFAZ!O1035="","",SEFAZ!O1035)</f>
        <v/>
      </c>
      <c r="K1053" s="11" t="str">
        <f>IF(SEFAZ!P1035="","",SEFAZ!P1035)</f>
        <v/>
      </c>
      <c r="L1053" t="str" cm="1">
        <f t="array" aca="1" ref="L10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3" t="s">
        <v>35</v>
      </c>
      <c r="O1053" s="36" t="str">
        <f>IF(SEFAZ!B1035="","",SEFAZ!B1035)</f>
        <v/>
      </c>
    </row>
    <row r="1054" spans="2:15" x14ac:dyDescent="0.3">
      <c r="B1054" t="str">
        <f>IF(SEFAZ!A1036="","",SEFAZ!A1036)</f>
        <v/>
      </c>
      <c r="C1054" t="str">
        <f>IF(SEFAZ!C1036="","",SEFAZ!C1036)</f>
        <v/>
      </c>
      <c r="D1054" t="str">
        <f>IF(SEFAZ!D1036="","",SEFAZ!D1036)</f>
        <v/>
      </c>
      <c r="E1054" s="7" t="str">
        <f>IF(SEFAZ!E1036="","",SEFAZ!E1036)</f>
        <v/>
      </c>
      <c r="F1054" s="6" t="str">
        <f>IF(SEFAZ!F1036="","",VALUE(SUBSTITUTE(SEFAZ!F1036,"'","")))</f>
        <v/>
      </c>
      <c r="G1054" t="str">
        <f>IF(SEFAZ!H1036="","",SEFAZ!H1036)</f>
        <v/>
      </c>
      <c r="H1054" t="str">
        <f>IF(SEFAZ!L1036="","",SEFAZ!L1036)</f>
        <v/>
      </c>
      <c r="I1054" t="str">
        <f>IF(SEFAZ!N1036="","",SEFAZ!N1036)</f>
        <v/>
      </c>
      <c r="J1054" t="str">
        <f>IF(SEFAZ!O1036="","",SEFAZ!O1036)</f>
        <v/>
      </c>
      <c r="K1054" s="11" t="str">
        <f>IF(SEFAZ!P1036="","",SEFAZ!P1036)</f>
        <v/>
      </c>
      <c r="L1054" t="str" cm="1">
        <f t="array" aca="1" ref="L10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4" t="s">
        <v>35</v>
      </c>
      <c r="O1054" s="36" t="str">
        <f>IF(SEFAZ!B1036="","",SEFAZ!B1036)</f>
        <v/>
      </c>
    </row>
    <row r="1055" spans="2:15" x14ac:dyDescent="0.3">
      <c r="B1055" t="str">
        <f>IF(SEFAZ!A1037="","",SEFAZ!A1037)</f>
        <v/>
      </c>
      <c r="C1055" t="str">
        <f>IF(SEFAZ!C1037="","",SEFAZ!C1037)</f>
        <v/>
      </c>
      <c r="D1055" t="str">
        <f>IF(SEFAZ!D1037="","",SEFAZ!D1037)</f>
        <v/>
      </c>
      <c r="E1055" s="7" t="str">
        <f>IF(SEFAZ!E1037="","",SEFAZ!E1037)</f>
        <v/>
      </c>
      <c r="F1055" s="6" t="str">
        <f>IF(SEFAZ!F1037="","",VALUE(SUBSTITUTE(SEFAZ!F1037,"'","")))</f>
        <v/>
      </c>
      <c r="G1055" t="str">
        <f>IF(SEFAZ!H1037="","",SEFAZ!H1037)</f>
        <v/>
      </c>
      <c r="H1055" t="str">
        <f>IF(SEFAZ!L1037="","",SEFAZ!L1037)</f>
        <v/>
      </c>
      <c r="I1055" t="str">
        <f>IF(SEFAZ!N1037="","",SEFAZ!N1037)</f>
        <v/>
      </c>
      <c r="J1055" t="str">
        <f>IF(SEFAZ!O1037="","",SEFAZ!O1037)</f>
        <v/>
      </c>
      <c r="K1055" s="11" t="str">
        <f>IF(SEFAZ!P1037="","",SEFAZ!P1037)</f>
        <v/>
      </c>
      <c r="L1055" t="str" cm="1">
        <f t="array" aca="1" ref="L10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5" t="s">
        <v>35</v>
      </c>
      <c r="O1055" s="36" t="str">
        <f>IF(SEFAZ!B1037="","",SEFAZ!B1037)</f>
        <v/>
      </c>
    </row>
    <row r="1056" spans="2:15" x14ac:dyDescent="0.3">
      <c r="B1056" t="str">
        <f>IF(SEFAZ!A1038="","",SEFAZ!A1038)</f>
        <v/>
      </c>
      <c r="C1056" t="str">
        <f>IF(SEFAZ!C1038="","",SEFAZ!C1038)</f>
        <v/>
      </c>
      <c r="D1056" t="str">
        <f>IF(SEFAZ!D1038="","",SEFAZ!D1038)</f>
        <v/>
      </c>
      <c r="E1056" s="7" t="str">
        <f>IF(SEFAZ!E1038="","",SEFAZ!E1038)</f>
        <v/>
      </c>
      <c r="F1056" s="6" t="str">
        <f>IF(SEFAZ!F1038="","",VALUE(SUBSTITUTE(SEFAZ!F1038,"'","")))</f>
        <v/>
      </c>
      <c r="G1056" t="str">
        <f>IF(SEFAZ!H1038="","",SEFAZ!H1038)</f>
        <v/>
      </c>
      <c r="H1056" t="str">
        <f>IF(SEFAZ!L1038="","",SEFAZ!L1038)</f>
        <v/>
      </c>
      <c r="I1056" t="str">
        <f>IF(SEFAZ!N1038="","",SEFAZ!N1038)</f>
        <v/>
      </c>
      <c r="J1056" t="str">
        <f>IF(SEFAZ!O1038="","",SEFAZ!O1038)</f>
        <v/>
      </c>
      <c r="K1056" s="11" t="str">
        <f>IF(SEFAZ!P1038="","",SEFAZ!P1038)</f>
        <v/>
      </c>
      <c r="L1056" t="str" cm="1">
        <f t="array" aca="1" ref="L10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6" t="s">
        <v>35</v>
      </c>
      <c r="O1056" s="36" t="str">
        <f>IF(SEFAZ!B1038="","",SEFAZ!B1038)</f>
        <v/>
      </c>
    </row>
    <row r="1057" spans="2:15" x14ac:dyDescent="0.3">
      <c r="B1057" t="str">
        <f>IF(SEFAZ!A1039="","",SEFAZ!A1039)</f>
        <v/>
      </c>
      <c r="C1057" t="str">
        <f>IF(SEFAZ!C1039="","",SEFAZ!C1039)</f>
        <v/>
      </c>
      <c r="D1057" t="str">
        <f>IF(SEFAZ!D1039="","",SEFAZ!D1039)</f>
        <v/>
      </c>
      <c r="E1057" s="7" t="str">
        <f>IF(SEFAZ!E1039="","",SEFAZ!E1039)</f>
        <v/>
      </c>
      <c r="F1057" s="6" t="str">
        <f>IF(SEFAZ!F1039="","",VALUE(SUBSTITUTE(SEFAZ!F1039,"'","")))</f>
        <v/>
      </c>
      <c r="G1057" t="str">
        <f>IF(SEFAZ!H1039="","",SEFAZ!H1039)</f>
        <v/>
      </c>
      <c r="H1057" t="str">
        <f>IF(SEFAZ!L1039="","",SEFAZ!L1039)</f>
        <v/>
      </c>
      <c r="I1057" t="str">
        <f>IF(SEFAZ!N1039="","",SEFAZ!N1039)</f>
        <v/>
      </c>
      <c r="J1057" t="str">
        <f>IF(SEFAZ!O1039="","",SEFAZ!O1039)</f>
        <v/>
      </c>
      <c r="K1057" s="11" t="str">
        <f>IF(SEFAZ!P1039="","",SEFAZ!P1039)</f>
        <v/>
      </c>
      <c r="L1057" t="str" cm="1">
        <f t="array" aca="1" ref="L10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7" t="s">
        <v>35</v>
      </c>
      <c r="O1057" s="36" t="str">
        <f>IF(SEFAZ!B1039="","",SEFAZ!B1039)</f>
        <v/>
      </c>
    </row>
    <row r="1058" spans="2:15" x14ac:dyDescent="0.3">
      <c r="B1058" t="str">
        <f>IF(SEFAZ!A1040="","",SEFAZ!A1040)</f>
        <v/>
      </c>
      <c r="C1058" t="str">
        <f>IF(SEFAZ!C1040="","",SEFAZ!C1040)</f>
        <v/>
      </c>
      <c r="D1058" t="str">
        <f>IF(SEFAZ!D1040="","",SEFAZ!D1040)</f>
        <v/>
      </c>
      <c r="E1058" s="7" t="str">
        <f>IF(SEFAZ!E1040="","",SEFAZ!E1040)</f>
        <v/>
      </c>
      <c r="F1058" s="6" t="str">
        <f>IF(SEFAZ!F1040="","",VALUE(SUBSTITUTE(SEFAZ!F1040,"'","")))</f>
        <v/>
      </c>
      <c r="G1058" t="str">
        <f>IF(SEFAZ!H1040="","",SEFAZ!H1040)</f>
        <v/>
      </c>
      <c r="H1058" t="str">
        <f>IF(SEFAZ!L1040="","",SEFAZ!L1040)</f>
        <v/>
      </c>
      <c r="I1058" t="str">
        <f>IF(SEFAZ!N1040="","",SEFAZ!N1040)</f>
        <v/>
      </c>
      <c r="J1058" t="str">
        <f>IF(SEFAZ!O1040="","",SEFAZ!O1040)</f>
        <v/>
      </c>
      <c r="K1058" s="11" t="str">
        <f>IF(SEFAZ!P1040="","",SEFAZ!P1040)</f>
        <v/>
      </c>
      <c r="L1058" t="str" cm="1">
        <f t="array" aca="1" ref="L10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8" t="s">
        <v>35</v>
      </c>
      <c r="O1058" s="36" t="str">
        <f>IF(SEFAZ!B1040="","",SEFAZ!B1040)</f>
        <v/>
      </c>
    </row>
    <row r="1059" spans="2:15" x14ac:dyDescent="0.3">
      <c r="B1059" t="str">
        <f>IF(SEFAZ!A1041="","",SEFAZ!A1041)</f>
        <v/>
      </c>
      <c r="C1059" t="str">
        <f>IF(SEFAZ!C1041="","",SEFAZ!C1041)</f>
        <v/>
      </c>
      <c r="D1059" t="str">
        <f>IF(SEFAZ!D1041="","",SEFAZ!D1041)</f>
        <v/>
      </c>
      <c r="E1059" s="7" t="str">
        <f>IF(SEFAZ!E1041="","",SEFAZ!E1041)</f>
        <v/>
      </c>
      <c r="F1059" s="6" t="str">
        <f>IF(SEFAZ!F1041="","",VALUE(SUBSTITUTE(SEFAZ!F1041,"'","")))</f>
        <v/>
      </c>
      <c r="G1059" t="str">
        <f>IF(SEFAZ!H1041="","",SEFAZ!H1041)</f>
        <v/>
      </c>
      <c r="H1059" t="str">
        <f>IF(SEFAZ!L1041="","",SEFAZ!L1041)</f>
        <v/>
      </c>
      <c r="I1059" t="str">
        <f>IF(SEFAZ!N1041="","",SEFAZ!N1041)</f>
        <v/>
      </c>
      <c r="J1059" t="str">
        <f>IF(SEFAZ!O1041="","",SEFAZ!O1041)</f>
        <v/>
      </c>
      <c r="K1059" s="11" t="str">
        <f>IF(SEFAZ!P1041="","",SEFAZ!P1041)</f>
        <v/>
      </c>
      <c r="L1059" t="str" cm="1">
        <f t="array" aca="1" ref="L10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59" t="s">
        <v>35</v>
      </c>
      <c r="O1059" s="36" t="str">
        <f>IF(SEFAZ!B1041="","",SEFAZ!B1041)</f>
        <v/>
      </c>
    </row>
    <row r="1060" spans="2:15" x14ac:dyDescent="0.3">
      <c r="B1060" t="str">
        <f>IF(SEFAZ!A1042="","",SEFAZ!A1042)</f>
        <v/>
      </c>
      <c r="C1060" t="str">
        <f>IF(SEFAZ!C1042="","",SEFAZ!C1042)</f>
        <v/>
      </c>
      <c r="D1060" t="str">
        <f>IF(SEFAZ!D1042="","",SEFAZ!D1042)</f>
        <v/>
      </c>
      <c r="E1060" s="7" t="str">
        <f>IF(SEFAZ!E1042="","",SEFAZ!E1042)</f>
        <v/>
      </c>
      <c r="F1060" s="6" t="str">
        <f>IF(SEFAZ!F1042="","",VALUE(SUBSTITUTE(SEFAZ!F1042,"'","")))</f>
        <v/>
      </c>
      <c r="G1060" t="str">
        <f>IF(SEFAZ!H1042="","",SEFAZ!H1042)</f>
        <v/>
      </c>
      <c r="H1060" t="str">
        <f>IF(SEFAZ!L1042="","",SEFAZ!L1042)</f>
        <v/>
      </c>
      <c r="I1060" t="str">
        <f>IF(SEFAZ!N1042="","",SEFAZ!N1042)</f>
        <v/>
      </c>
      <c r="J1060" t="str">
        <f>IF(SEFAZ!O1042="","",SEFAZ!O1042)</f>
        <v/>
      </c>
      <c r="K1060" s="11" t="str">
        <f>IF(SEFAZ!P1042="","",SEFAZ!P1042)</f>
        <v/>
      </c>
      <c r="L1060" t="str" cm="1">
        <f t="array" aca="1" ref="L10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0" t="s">
        <v>35</v>
      </c>
      <c r="O1060" s="36" t="str">
        <f>IF(SEFAZ!B1042="","",SEFAZ!B1042)</f>
        <v/>
      </c>
    </row>
    <row r="1061" spans="2:15" x14ac:dyDescent="0.3">
      <c r="B1061" t="str">
        <f>IF(SEFAZ!A1043="","",SEFAZ!A1043)</f>
        <v/>
      </c>
      <c r="C1061" t="str">
        <f>IF(SEFAZ!C1043="","",SEFAZ!C1043)</f>
        <v/>
      </c>
      <c r="D1061" t="str">
        <f>IF(SEFAZ!D1043="","",SEFAZ!D1043)</f>
        <v/>
      </c>
      <c r="E1061" s="7" t="str">
        <f>IF(SEFAZ!E1043="","",SEFAZ!E1043)</f>
        <v/>
      </c>
      <c r="F1061" s="6" t="str">
        <f>IF(SEFAZ!F1043="","",VALUE(SUBSTITUTE(SEFAZ!F1043,"'","")))</f>
        <v/>
      </c>
      <c r="G1061" t="str">
        <f>IF(SEFAZ!H1043="","",SEFAZ!H1043)</f>
        <v/>
      </c>
      <c r="H1061" t="str">
        <f>IF(SEFAZ!L1043="","",SEFAZ!L1043)</f>
        <v/>
      </c>
      <c r="I1061" t="str">
        <f>IF(SEFAZ!N1043="","",SEFAZ!N1043)</f>
        <v/>
      </c>
      <c r="J1061" t="str">
        <f>IF(SEFAZ!O1043="","",SEFAZ!O1043)</f>
        <v/>
      </c>
      <c r="K1061" s="11" t="str">
        <f>IF(SEFAZ!P1043="","",SEFAZ!P1043)</f>
        <v/>
      </c>
      <c r="L1061" t="str" cm="1">
        <f t="array" aca="1" ref="L10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1" t="s">
        <v>35</v>
      </c>
      <c r="O1061" s="36" t="str">
        <f>IF(SEFAZ!B1043="","",SEFAZ!B1043)</f>
        <v/>
      </c>
    </row>
    <row r="1062" spans="2:15" x14ac:dyDescent="0.3">
      <c r="B1062" t="str">
        <f>IF(SEFAZ!A1044="","",SEFAZ!A1044)</f>
        <v/>
      </c>
      <c r="C1062" t="str">
        <f>IF(SEFAZ!C1044="","",SEFAZ!C1044)</f>
        <v/>
      </c>
      <c r="D1062" t="str">
        <f>IF(SEFAZ!D1044="","",SEFAZ!D1044)</f>
        <v/>
      </c>
      <c r="E1062" s="7" t="str">
        <f>IF(SEFAZ!E1044="","",SEFAZ!E1044)</f>
        <v/>
      </c>
      <c r="F1062" s="6" t="str">
        <f>IF(SEFAZ!F1044="","",VALUE(SUBSTITUTE(SEFAZ!F1044,"'","")))</f>
        <v/>
      </c>
      <c r="G1062" t="str">
        <f>IF(SEFAZ!H1044="","",SEFAZ!H1044)</f>
        <v/>
      </c>
      <c r="H1062" t="str">
        <f>IF(SEFAZ!L1044="","",SEFAZ!L1044)</f>
        <v/>
      </c>
      <c r="I1062" t="str">
        <f>IF(SEFAZ!N1044="","",SEFAZ!N1044)</f>
        <v/>
      </c>
      <c r="J1062" t="str">
        <f>IF(SEFAZ!O1044="","",SEFAZ!O1044)</f>
        <v/>
      </c>
      <c r="K1062" s="11" t="str">
        <f>IF(SEFAZ!P1044="","",SEFAZ!P1044)</f>
        <v/>
      </c>
      <c r="L1062" t="str" cm="1">
        <f t="array" aca="1" ref="L10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2" t="s">
        <v>35</v>
      </c>
      <c r="O1062" s="36" t="str">
        <f>IF(SEFAZ!B1044="","",SEFAZ!B1044)</f>
        <v/>
      </c>
    </row>
    <row r="1063" spans="2:15" x14ac:dyDescent="0.3">
      <c r="B1063" t="str">
        <f>IF(SEFAZ!A1045="","",SEFAZ!A1045)</f>
        <v/>
      </c>
      <c r="C1063" t="str">
        <f>IF(SEFAZ!C1045="","",SEFAZ!C1045)</f>
        <v/>
      </c>
      <c r="D1063" t="str">
        <f>IF(SEFAZ!D1045="","",SEFAZ!D1045)</f>
        <v/>
      </c>
      <c r="E1063" s="7" t="str">
        <f>IF(SEFAZ!E1045="","",SEFAZ!E1045)</f>
        <v/>
      </c>
      <c r="F1063" s="6" t="str">
        <f>IF(SEFAZ!F1045="","",VALUE(SUBSTITUTE(SEFAZ!F1045,"'","")))</f>
        <v/>
      </c>
      <c r="G1063" t="str">
        <f>IF(SEFAZ!H1045="","",SEFAZ!H1045)</f>
        <v/>
      </c>
      <c r="H1063" t="str">
        <f>IF(SEFAZ!L1045="","",SEFAZ!L1045)</f>
        <v/>
      </c>
      <c r="I1063" t="str">
        <f>IF(SEFAZ!N1045="","",SEFAZ!N1045)</f>
        <v/>
      </c>
      <c r="J1063" t="str">
        <f>IF(SEFAZ!O1045="","",SEFAZ!O1045)</f>
        <v/>
      </c>
      <c r="K1063" s="11" t="str">
        <f>IF(SEFAZ!P1045="","",SEFAZ!P1045)</f>
        <v/>
      </c>
      <c r="L1063" t="str" cm="1">
        <f t="array" aca="1" ref="L10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3" t="s">
        <v>35</v>
      </c>
      <c r="O1063" s="36" t="str">
        <f>IF(SEFAZ!B1045="","",SEFAZ!B1045)</f>
        <v/>
      </c>
    </row>
    <row r="1064" spans="2:15" x14ac:dyDescent="0.3">
      <c r="B1064" t="str">
        <f>IF(SEFAZ!A1046="","",SEFAZ!A1046)</f>
        <v/>
      </c>
      <c r="C1064" t="str">
        <f>IF(SEFAZ!C1046="","",SEFAZ!C1046)</f>
        <v/>
      </c>
      <c r="D1064" t="str">
        <f>IF(SEFAZ!D1046="","",SEFAZ!D1046)</f>
        <v/>
      </c>
      <c r="E1064" s="7" t="str">
        <f>IF(SEFAZ!E1046="","",SEFAZ!E1046)</f>
        <v/>
      </c>
      <c r="F1064" s="6" t="str">
        <f>IF(SEFAZ!F1046="","",VALUE(SUBSTITUTE(SEFAZ!F1046,"'","")))</f>
        <v/>
      </c>
      <c r="G1064" t="str">
        <f>IF(SEFAZ!H1046="","",SEFAZ!H1046)</f>
        <v/>
      </c>
      <c r="H1064" t="str">
        <f>IF(SEFAZ!L1046="","",SEFAZ!L1046)</f>
        <v/>
      </c>
      <c r="I1064" t="str">
        <f>IF(SEFAZ!N1046="","",SEFAZ!N1046)</f>
        <v/>
      </c>
      <c r="J1064" t="str">
        <f>IF(SEFAZ!O1046="","",SEFAZ!O1046)</f>
        <v/>
      </c>
      <c r="K1064" s="11" t="str">
        <f>IF(SEFAZ!P1046="","",SEFAZ!P1046)</f>
        <v/>
      </c>
      <c r="L1064" t="str" cm="1">
        <f t="array" aca="1" ref="L10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4" t="s">
        <v>35</v>
      </c>
      <c r="O1064" s="36" t="str">
        <f>IF(SEFAZ!B1046="","",SEFAZ!B1046)</f>
        <v/>
      </c>
    </row>
    <row r="1065" spans="2:15" x14ac:dyDescent="0.3">
      <c r="B1065" t="str">
        <f>IF(SEFAZ!A1047="","",SEFAZ!A1047)</f>
        <v/>
      </c>
      <c r="C1065" t="str">
        <f>IF(SEFAZ!C1047="","",SEFAZ!C1047)</f>
        <v/>
      </c>
      <c r="D1065" t="str">
        <f>IF(SEFAZ!D1047="","",SEFAZ!D1047)</f>
        <v/>
      </c>
      <c r="E1065" s="7" t="str">
        <f>IF(SEFAZ!E1047="","",SEFAZ!E1047)</f>
        <v/>
      </c>
      <c r="F1065" s="6" t="str">
        <f>IF(SEFAZ!F1047="","",VALUE(SUBSTITUTE(SEFAZ!F1047,"'","")))</f>
        <v/>
      </c>
      <c r="G1065" t="str">
        <f>IF(SEFAZ!H1047="","",SEFAZ!H1047)</f>
        <v/>
      </c>
      <c r="H1065" t="str">
        <f>IF(SEFAZ!L1047="","",SEFAZ!L1047)</f>
        <v/>
      </c>
      <c r="I1065" t="str">
        <f>IF(SEFAZ!N1047="","",SEFAZ!N1047)</f>
        <v/>
      </c>
      <c r="J1065" t="str">
        <f>IF(SEFAZ!O1047="","",SEFAZ!O1047)</f>
        <v/>
      </c>
      <c r="K1065" s="11" t="str">
        <f>IF(SEFAZ!P1047="","",SEFAZ!P1047)</f>
        <v/>
      </c>
      <c r="L1065" t="str" cm="1">
        <f t="array" aca="1" ref="L10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5" t="s">
        <v>35</v>
      </c>
      <c r="O1065" s="36" t="str">
        <f>IF(SEFAZ!B1047="","",SEFAZ!B1047)</f>
        <v/>
      </c>
    </row>
    <row r="1066" spans="2:15" x14ac:dyDescent="0.3">
      <c r="B1066" t="str">
        <f>IF(SEFAZ!A1048="","",SEFAZ!A1048)</f>
        <v/>
      </c>
      <c r="C1066" t="str">
        <f>IF(SEFAZ!C1048="","",SEFAZ!C1048)</f>
        <v/>
      </c>
      <c r="D1066" t="str">
        <f>IF(SEFAZ!D1048="","",SEFAZ!D1048)</f>
        <v/>
      </c>
      <c r="E1066" s="7" t="str">
        <f>IF(SEFAZ!E1048="","",SEFAZ!E1048)</f>
        <v/>
      </c>
      <c r="F1066" s="6" t="str">
        <f>IF(SEFAZ!F1048="","",VALUE(SUBSTITUTE(SEFAZ!F1048,"'","")))</f>
        <v/>
      </c>
      <c r="G1066" t="str">
        <f>IF(SEFAZ!H1048="","",SEFAZ!H1048)</f>
        <v/>
      </c>
      <c r="H1066" t="str">
        <f>IF(SEFAZ!L1048="","",SEFAZ!L1048)</f>
        <v/>
      </c>
      <c r="I1066" t="str">
        <f>IF(SEFAZ!N1048="","",SEFAZ!N1048)</f>
        <v/>
      </c>
      <c r="J1066" t="str">
        <f>IF(SEFAZ!O1048="","",SEFAZ!O1048)</f>
        <v/>
      </c>
      <c r="K1066" s="11" t="str">
        <f>IF(SEFAZ!P1048="","",SEFAZ!P1048)</f>
        <v/>
      </c>
      <c r="L1066" t="str" cm="1">
        <f t="array" aca="1" ref="L10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6" t="s">
        <v>35</v>
      </c>
      <c r="O1066" s="36" t="str">
        <f>IF(SEFAZ!B1048="","",SEFAZ!B1048)</f>
        <v/>
      </c>
    </row>
    <row r="1067" spans="2:15" x14ac:dyDescent="0.3">
      <c r="B1067" t="str">
        <f>IF(SEFAZ!A1049="","",SEFAZ!A1049)</f>
        <v/>
      </c>
      <c r="C1067" t="str">
        <f>IF(SEFAZ!C1049="","",SEFAZ!C1049)</f>
        <v/>
      </c>
      <c r="D1067" t="str">
        <f>IF(SEFAZ!D1049="","",SEFAZ!D1049)</f>
        <v/>
      </c>
      <c r="E1067" s="7" t="str">
        <f>IF(SEFAZ!E1049="","",SEFAZ!E1049)</f>
        <v/>
      </c>
      <c r="F1067" s="6" t="str">
        <f>IF(SEFAZ!F1049="","",VALUE(SUBSTITUTE(SEFAZ!F1049,"'","")))</f>
        <v/>
      </c>
      <c r="G1067" t="str">
        <f>IF(SEFAZ!H1049="","",SEFAZ!H1049)</f>
        <v/>
      </c>
      <c r="H1067" t="str">
        <f>IF(SEFAZ!L1049="","",SEFAZ!L1049)</f>
        <v/>
      </c>
      <c r="I1067" t="str">
        <f>IF(SEFAZ!N1049="","",SEFAZ!N1049)</f>
        <v/>
      </c>
      <c r="J1067" t="str">
        <f>IF(SEFAZ!O1049="","",SEFAZ!O1049)</f>
        <v/>
      </c>
      <c r="K1067" s="11" t="str">
        <f>IF(SEFAZ!P1049="","",SEFAZ!P1049)</f>
        <v/>
      </c>
      <c r="L1067" t="str" cm="1">
        <f t="array" aca="1" ref="L10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7" t="s">
        <v>35</v>
      </c>
      <c r="O1067" s="36" t="str">
        <f>IF(SEFAZ!B1049="","",SEFAZ!B1049)</f>
        <v/>
      </c>
    </row>
    <row r="1068" spans="2:15" x14ac:dyDescent="0.3">
      <c r="B1068" t="str">
        <f>IF(SEFAZ!A1050="","",SEFAZ!A1050)</f>
        <v/>
      </c>
      <c r="C1068" t="str">
        <f>IF(SEFAZ!C1050="","",SEFAZ!C1050)</f>
        <v/>
      </c>
      <c r="D1068" t="str">
        <f>IF(SEFAZ!D1050="","",SEFAZ!D1050)</f>
        <v/>
      </c>
      <c r="E1068" s="7" t="str">
        <f>IF(SEFAZ!E1050="","",SEFAZ!E1050)</f>
        <v/>
      </c>
      <c r="F1068" s="6" t="str">
        <f>IF(SEFAZ!F1050="","",VALUE(SUBSTITUTE(SEFAZ!F1050,"'","")))</f>
        <v/>
      </c>
      <c r="G1068" t="str">
        <f>IF(SEFAZ!H1050="","",SEFAZ!H1050)</f>
        <v/>
      </c>
      <c r="H1068" t="str">
        <f>IF(SEFAZ!L1050="","",SEFAZ!L1050)</f>
        <v/>
      </c>
      <c r="I1068" t="str">
        <f>IF(SEFAZ!N1050="","",SEFAZ!N1050)</f>
        <v/>
      </c>
      <c r="J1068" t="str">
        <f>IF(SEFAZ!O1050="","",SEFAZ!O1050)</f>
        <v/>
      </c>
      <c r="K1068" s="11" t="str">
        <f>IF(SEFAZ!P1050="","",SEFAZ!P1050)</f>
        <v/>
      </c>
      <c r="L1068" t="str" cm="1">
        <f t="array" aca="1" ref="L10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8" t="s">
        <v>35</v>
      </c>
      <c r="O1068" s="36" t="str">
        <f>IF(SEFAZ!B1050="","",SEFAZ!B1050)</f>
        <v/>
      </c>
    </row>
    <row r="1069" spans="2:15" x14ac:dyDescent="0.3">
      <c r="B1069" t="str">
        <f>IF(SEFAZ!A1051="","",SEFAZ!A1051)</f>
        <v/>
      </c>
      <c r="C1069" t="str">
        <f>IF(SEFAZ!C1051="","",SEFAZ!C1051)</f>
        <v/>
      </c>
      <c r="D1069" t="str">
        <f>IF(SEFAZ!D1051="","",SEFAZ!D1051)</f>
        <v/>
      </c>
      <c r="E1069" s="7" t="str">
        <f>IF(SEFAZ!E1051="","",SEFAZ!E1051)</f>
        <v/>
      </c>
      <c r="F1069" s="6" t="str">
        <f>IF(SEFAZ!F1051="","",VALUE(SUBSTITUTE(SEFAZ!F1051,"'","")))</f>
        <v/>
      </c>
      <c r="G1069" t="str">
        <f>IF(SEFAZ!H1051="","",SEFAZ!H1051)</f>
        <v/>
      </c>
      <c r="H1069" t="str">
        <f>IF(SEFAZ!L1051="","",SEFAZ!L1051)</f>
        <v/>
      </c>
      <c r="I1069" t="str">
        <f>IF(SEFAZ!N1051="","",SEFAZ!N1051)</f>
        <v/>
      </c>
      <c r="J1069" t="str">
        <f>IF(SEFAZ!O1051="","",SEFAZ!O1051)</f>
        <v/>
      </c>
      <c r="K1069" s="11" t="str">
        <f>IF(SEFAZ!P1051="","",SEFAZ!P1051)</f>
        <v/>
      </c>
      <c r="L1069" t="str" cm="1">
        <f t="array" aca="1" ref="L10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69" t="s">
        <v>35</v>
      </c>
      <c r="O1069" s="36" t="str">
        <f>IF(SEFAZ!B1051="","",SEFAZ!B1051)</f>
        <v/>
      </c>
    </row>
    <row r="1070" spans="2:15" x14ac:dyDescent="0.3">
      <c r="B1070" t="str">
        <f>IF(SEFAZ!A1052="","",SEFAZ!A1052)</f>
        <v/>
      </c>
      <c r="C1070" t="str">
        <f>IF(SEFAZ!C1052="","",SEFAZ!C1052)</f>
        <v/>
      </c>
      <c r="D1070" t="str">
        <f>IF(SEFAZ!D1052="","",SEFAZ!D1052)</f>
        <v/>
      </c>
      <c r="E1070" s="7" t="str">
        <f>IF(SEFAZ!E1052="","",SEFAZ!E1052)</f>
        <v/>
      </c>
      <c r="F1070" s="6" t="str">
        <f>IF(SEFAZ!F1052="","",VALUE(SUBSTITUTE(SEFAZ!F1052,"'","")))</f>
        <v/>
      </c>
      <c r="G1070" t="str">
        <f>IF(SEFAZ!H1052="","",SEFAZ!H1052)</f>
        <v/>
      </c>
      <c r="H1070" t="str">
        <f>IF(SEFAZ!L1052="","",SEFAZ!L1052)</f>
        <v/>
      </c>
      <c r="I1070" t="str">
        <f>IF(SEFAZ!N1052="","",SEFAZ!N1052)</f>
        <v/>
      </c>
      <c r="J1070" t="str">
        <f>IF(SEFAZ!O1052="","",SEFAZ!O1052)</f>
        <v/>
      </c>
      <c r="K1070" s="11" t="str">
        <f>IF(SEFAZ!P1052="","",SEFAZ!P1052)</f>
        <v/>
      </c>
      <c r="L1070" t="str" cm="1">
        <f t="array" aca="1" ref="L10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0" t="s">
        <v>35</v>
      </c>
      <c r="O1070" s="36" t="str">
        <f>IF(SEFAZ!B1052="","",SEFAZ!B1052)</f>
        <v/>
      </c>
    </row>
    <row r="1071" spans="2:15" x14ac:dyDescent="0.3">
      <c r="B1071" t="str">
        <f>IF(SEFAZ!A1053="","",SEFAZ!A1053)</f>
        <v/>
      </c>
      <c r="C1071" t="str">
        <f>IF(SEFAZ!C1053="","",SEFAZ!C1053)</f>
        <v/>
      </c>
      <c r="D1071" t="str">
        <f>IF(SEFAZ!D1053="","",SEFAZ!D1053)</f>
        <v/>
      </c>
      <c r="E1071" s="7" t="str">
        <f>IF(SEFAZ!E1053="","",SEFAZ!E1053)</f>
        <v/>
      </c>
      <c r="F1071" s="6" t="str">
        <f>IF(SEFAZ!F1053="","",VALUE(SUBSTITUTE(SEFAZ!F1053,"'","")))</f>
        <v/>
      </c>
      <c r="G1071" t="str">
        <f>IF(SEFAZ!H1053="","",SEFAZ!H1053)</f>
        <v/>
      </c>
      <c r="H1071" t="str">
        <f>IF(SEFAZ!L1053="","",SEFAZ!L1053)</f>
        <v/>
      </c>
      <c r="I1071" t="str">
        <f>IF(SEFAZ!N1053="","",SEFAZ!N1053)</f>
        <v/>
      </c>
      <c r="J1071" t="str">
        <f>IF(SEFAZ!O1053="","",SEFAZ!O1053)</f>
        <v/>
      </c>
      <c r="K1071" s="11" t="str">
        <f>IF(SEFAZ!P1053="","",SEFAZ!P1053)</f>
        <v/>
      </c>
      <c r="L1071" t="str" cm="1">
        <f t="array" aca="1" ref="L10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1" t="s">
        <v>35</v>
      </c>
      <c r="O1071" s="36" t="str">
        <f>IF(SEFAZ!B1053="","",SEFAZ!B1053)</f>
        <v/>
      </c>
    </row>
    <row r="1072" spans="2:15" x14ac:dyDescent="0.3">
      <c r="B1072" t="str">
        <f>IF(SEFAZ!A1054="","",SEFAZ!A1054)</f>
        <v/>
      </c>
      <c r="C1072" t="str">
        <f>IF(SEFAZ!C1054="","",SEFAZ!C1054)</f>
        <v/>
      </c>
      <c r="D1072" t="str">
        <f>IF(SEFAZ!D1054="","",SEFAZ!D1054)</f>
        <v/>
      </c>
      <c r="E1072" s="7" t="str">
        <f>IF(SEFAZ!E1054="","",SEFAZ!E1054)</f>
        <v/>
      </c>
      <c r="F1072" s="6" t="str">
        <f>IF(SEFAZ!F1054="","",VALUE(SUBSTITUTE(SEFAZ!F1054,"'","")))</f>
        <v/>
      </c>
      <c r="G1072" t="str">
        <f>IF(SEFAZ!H1054="","",SEFAZ!H1054)</f>
        <v/>
      </c>
      <c r="H1072" t="str">
        <f>IF(SEFAZ!L1054="","",SEFAZ!L1054)</f>
        <v/>
      </c>
      <c r="I1072" t="str">
        <f>IF(SEFAZ!N1054="","",SEFAZ!N1054)</f>
        <v/>
      </c>
      <c r="J1072" t="str">
        <f>IF(SEFAZ!O1054="","",SEFAZ!O1054)</f>
        <v/>
      </c>
      <c r="K1072" s="11" t="str">
        <f>IF(SEFAZ!P1054="","",SEFAZ!P1054)</f>
        <v/>
      </c>
      <c r="L1072" t="str" cm="1">
        <f t="array" aca="1" ref="L10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2" t="s">
        <v>35</v>
      </c>
      <c r="O1072" s="36" t="str">
        <f>IF(SEFAZ!B1054="","",SEFAZ!B1054)</f>
        <v/>
      </c>
    </row>
    <row r="1073" spans="2:15" x14ac:dyDescent="0.3">
      <c r="B1073" t="str">
        <f>IF(SEFAZ!A1055="","",SEFAZ!A1055)</f>
        <v/>
      </c>
      <c r="C1073" t="str">
        <f>IF(SEFAZ!C1055="","",SEFAZ!C1055)</f>
        <v/>
      </c>
      <c r="D1073" t="str">
        <f>IF(SEFAZ!D1055="","",SEFAZ!D1055)</f>
        <v/>
      </c>
      <c r="E1073" s="7" t="str">
        <f>IF(SEFAZ!E1055="","",SEFAZ!E1055)</f>
        <v/>
      </c>
      <c r="F1073" s="6" t="str">
        <f>IF(SEFAZ!F1055="","",VALUE(SUBSTITUTE(SEFAZ!F1055,"'","")))</f>
        <v/>
      </c>
      <c r="G1073" t="str">
        <f>IF(SEFAZ!H1055="","",SEFAZ!H1055)</f>
        <v/>
      </c>
      <c r="H1073" t="str">
        <f>IF(SEFAZ!L1055="","",SEFAZ!L1055)</f>
        <v/>
      </c>
      <c r="I1073" t="str">
        <f>IF(SEFAZ!N1055="","",SEFAZ!N1055)</f>
        <v/>
      </c>
      <c r="J1073" t="str">
        <f>IF(SEFAZ!O1055="","",SEFAZ!O1055)</f>
        <v/>
      </c>
      <c r="K1073" s="11" t="str">
        <f>IF(SEFAZ!P1055="","",SEFAZ!P1055)</f>
        <v/>
      </c>
      <c r="L1073" t="str" cm="1">
        <f t="array" aca="1" ref="L10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3" t="s">
        <v>35</v>
      </c>
      <c r="O1073" s="36" t="str">
        <f>IF(SEFAZ!B1055="","",SEFAZ!B1055)</f>
        <v/>
      </c>
    </row>
    <row r="1074" spans="2:15" x14ac:dyDescent="0.3">
      <c r="B1074" t="str">
        <f>IF(SEFAZ!A1056="","",SEFAZ!A1056)</f>
        <v/>
      </c>
      <c r="C1074" t="str">
        <f>IF(SEFAZ!C1056="","",SEFAZ!C1056)</f>
        <v/>
      </c>
      <c r="D1074" t="str">
        <f>IF(SEFAZ!D1056="","",SEFAZ!D1056)</f>
        <v/>
      </c>
      <c r="E1074" s="7" t="str">
        <f>IF(SEFAZ!E1056="","",SEFAZ!E1056)</f>
        <v/>
      </c>
      <c r="F1074" s="6" t="str">
        <f>IF(SEFAZ!F1056="","",VALUE(SUBSTITUTE(SEFAZ!F1056,"'","")))</f>
        <v/>
      </c>
      <c r="G1074" t="str">
        <f>IF(SEFAZ!H1056="","",SEFAZ!H1056)</f>
        <v/>
      </c>
      <c r="H1074" t="str">
        <f>IF(SEFAZ!L1056="","",SEFAZ!L1056)</f>
        <v/>
      </c>
      <c r="I1074" t="str">
        <f>IF(SEFAZ!N1056="","",SEFAZ!N1056)</f>
        <v/>
      </c>
      <c r="J1074" t="str">
        <f>IF(SEFAZ!O1056="","",SEFAZ!O1056)</f>
        <v/>
      </c>
      <c r="K1074" s="11" t="str">
        <f>IF(SEFAZ!P1056="","",SEFAZ!P1056)</f>
        <v/>
      </c>
      <c r="L1074" t="str" cm="1">
        <f t="array" aca="1" ref="L10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4" t="s">
        <v>35</v>
      </c>
      <c r="O1074" s="36" t="str">
        <f>IF(SEFAZ!B1056="","",SEFAZ!B1056)</f>
        <v/>
      </c>
    </row>
    <row r="1075" spans="2:15" x14ac:dyDescent="0.3">
      <c r="B1075" t="str">
        <f>IF(SEFAZ!A1057="","",SEFAZ!A1057)</f>
        <v/>
      </c>
      <c r="C1075" t="str">
        <f>IF(SEFAZ!C1057="","",SEFAZ!C1057)</f>
        <v/>
      </c>
      <c r="D1075" t="str">
        <f>IF(SEFAZ!D1057="","",SEFAZ!D1057)</f>
        <v/>
      </c>
      <c r="E1075" s="7" t="str">
        <f>IF(SEFAZ!E1057="","",SEFAZ!E1057)</f>
        <v/>
      </c>
      <c r="F1075" s="6" t="str">
        <f>IF(SEFAZ!F1057="","",VALUE(SUBSTITUTE(SEFAZ!F1057,"'","")))</f>
        <v/>
      </c>
      <c r="G1075" t="str">
        <f>IF(SEFAZ!H1057="","",SEFAZ!H1057)</f>
        <v/>
      </c>
      <c r="H1075" t="str">
        <f>IF(SEFAZ!L1057="","",SEFAZ!L1057)</f>
        <v/>
      </c>
      <c r="I1075" t="str">
        <f>IF(SEFAZ!N1057="","",SEFAZ!N1057)</f>
        <v/>
      </c>
      <c r="J1075" t="str">
        <f>IF(SEFAZ!O1057="","",SEFAZ!O1057)</f>
        <v/>
      </c>
      <c r="K1075" s="11" t="str">
        <f>IF(SEFAZ!P1057="","",SEFAZ!P1057)</f>
        <v/>
      </c>
      <c r="L1075" t="str" cm="1">
        <f t="array" aca="1" ref="L10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5" t="s">
        <v>35</v>
      </c>
      <c r="O1075" s="36" t="str">
        <f>IF(SEFAZ!B1057="","",SEFAZ!B1057)</f>
        <v/>
      </c>
    </row>
    <row r="1076" spans="2:15" x14ac:dyDescent="0.3">
      <c r="B1076" t="str">
        <f>IF(SEFAZ!A1058="","",SEFAZ!A1058)</f>
        <v/>
      </c>
      <c r="C1076" t="str">
        <f>IF(SEFAZ!C1058="","",SEFAZ!C1058)</f>
        <v/>
      </c>
      <c r="D1076" t="str">
        <f>IF(SEFAZ!D1058="","",SEFAZ!D1058)</f>
        <v/>
      </c>
      <c r="E1076" s="7" t="str">
        <f>IF(SEFAZ!E1058="","",SEFAZ!E1058)</f>
        <v/>
      </c>
      <c r="F1076" s="6" t="str">
        <f>IF(SEFAZ!F1058="","",VALUE(SUBSTITUTE(SEFAZ!F1058,"'","")))</f>
        <v/>
      </c>
      <c r="G1076" t="str">
        <f>IF(SEFAZ!H1058="","",SEFAZ!H1058)</f>
        <v/>
      </c>
      <c r="H1076" t="str">
        <f>IF(SEFAZ!L1058="","",SEFAZ!L1058)</f>
        <v/>
      </c>
      <c r="I1076" t="str">
        <f>IF(SEFAZ!N1058="","",SEFAZ!N1058)</f>
        <v/>
      </c>
      <c r="J1076" t="str">
        <f>IF(SEFAZ!O1058="","",SEFAZ!O1058)</f>
        <v/>
      </c>
      <c r="K1076" s="11" t="str">
        <f>IF(SEFAZ!P1058="","",SEFAZ!P1058)</f>
        <v/>
      </c>
      <c r="L1076" t="str" cm="1">
        <f t="array" aca="1" ref="L10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6" t="s">
        <v>35</v>
      </c>
      <c r="O1076" s="36" t="str">
        <f>IF(SEFAZ!B1058="","",SEFAZ!B1058)</f>
        <v/>
      </c>
    </row>
    <row r="1077" spans="2:15" x14ac:dyDescent="0.3">
      <c r="B1077" t="str">
        <f>IF(SEFAZ!A1059="","",SEFAZ!A1059)</f>
        <v/>
      </c>
      <c r="C1077" t="str">
        <f>IF(SEFAZ!C1059="","",SEFAZ!C1059)</f>
        <v/>
      </c>
      <c r="D1077" t="str">
        <f>IF(SEFAZ!D1059="","",SEFAZ!D1059)</f>
        <v/>
      </c>
      <c r="E1077" s="7" t="str">
        <f>IF(SEFAZ!E1059="","",SEFAZ!E1059)</f>
        <v/>
      </c>
      <c r="F1077" s="6" t="str">
        <f>IF(SEFAZ!F1059="","",VALUE(SUBSTITUTE(SEFAZ!F1059,"'","")))</f>
        <v/>
      </c>
      <c r="G1077" t="str">
        <f>IF(SEFAZ!H1059="","",SEFAZ!H1059)</f>
        <v/>
      </c>
      <c r="H1077" t="str">
        <f>IF(SEFAZ!L1059="","",SEFAZ!L1059)</f>
        <v/>
      </c>
      <c r="I1077" t="str">
        <f>IF(SEFAZ!N1059="","",SEFAZ!N1059)</f>
        <v/>
      </c>
      <c r="J1077" t="str">
        <f>IF(SEFAZ!O1059="","",SEFAZ!O1059)</f>
        <v/>
      </c>
      <c r="K1077" s="11" t="str">
        <f>IF(SEFAZ!P1059="","",SEFAZ!P1059)</f>
        <v/>
      </c>
      <c r="L1077" t="str" cm="1">
        <f t="array" aca="1" ref="L10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7" t="s">
        <v>35</v>
      </c>
      <c r="O1077" s="36" t="str">
        <f>IF(SEFAZ!B1059="","",SEFAZ!B1059)</f>
        <v/>
      </c>
    </row>
    <row r="1078" spans="2:15" x14ac:dyDescent="0.3">
      <c r="B1078" t="str">
        <f>IF(SEFAZ!A1060="","",SEFAZ!A1060)</f>
        <v/>
      </c>
      <c r="C1078" t="str">
        <f>IF(SEFAZ!C1060="","",SEFAZ!C1060)</f>
        <v/>
      </c>
      <c r="D1078" t="str">
        <f>IF(SEFAZ!D1060="","",SEFAZ!D1060)</f>
        <v/>
      </c>
      <c r="E1078" s="7" t="str">
        <f>IF(SEFAZ!E1060="","",SEFAZ!E1060)</f>
        <v/>
      </c>
      <c r="F1078" s="6" t="str">
        <f>IF(SEFAZ!F1060="","",VALUE(SUBSTITUTE(SEFAZ!F1060,"'","")))</f>
        <v/>
      </c>
      <c r="G1078" t="str">
        <f>IF(SEFAZ!H1060="","",SEFAZ!H1060)</f>
        <v/>
      </c>
      <c r="H1078" t="str">
        <f>IF(SEFAZ!L1060="","",SEFAZ!L1060)</f>
        <v/>
      </c>
      <c r="I1078" t="str">
        <f>IF(SEFAZ!N1060="","",SEFAZ!N1060)</f>
        <v/>
      </c>
      <c r="J1078" t="str">
        <f>IF(SEFAZ!O1060="","",SEFAZ!O1060)</f>
        <v/>
      </c>
      <c r="K1078" s="11" t="str">
        <f>IF(SEFAZ!P1060="","",SEFAZ!P1060)</f>
        <v/>
      </c>
      <c r="L1078" t="str" cm="1">
        <f t="array" aca="1" ref="L10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8" t="s">
        <v>35</v>
      </c>
      <c r="O1078" s="36" t="str">
        <f>IF(SEFAZ!B1060="","",SEFAZ!B1060)</f>
        <v/>
      </c>
    </row>
    <row r="1079" spans="2:15" x14ac:dyDescent="0.3">
      <c r="B1079" t="str">
        <f>IF(SEFAZ!A1061="","",SEFAZ!A1061)</f>
        <v/>
      </c>
      <c r="C1079" t="str">
        <f>IF(SEFAZ!C1061="","",SEFAZ!C1061)</f>
        <v/>
      </c>
      <c r="D1079" t="str">
        <f>IF(SEFAZ!D1061="","",SEFAZ!D1061)</f>
        <v/>
      </c>
      <c r="E1079" s="7" t="str">
        <f>IF(SEFAZ!E1061="","",SEFAZ!E1061)</f>
        <v/>
      </c>
      <c r="F1079" s="6" t="str">
        <f>IF(SEFAZ!F1061="","",VALUE(SUBSTITUTE(SEFAZ!F1061,"'","")))</f>
        <v/>
      </c>
      <c r="G1079" t="str">
        <f>IF(SEFAZ!H1061="","",SEFAZ!H1061)</f>
        <v/>
      </c>
      <c r="H1079" t="str">
        <f>IF(SEFAZ!L1061="","",SEFAZ!L1061)</f>
        <v/>
      </c>
      <c r="I1079" t="str">
        <f>IF(SEFAZ!N1061="","",SEFAZ!N1061)</f>
        <v/>
      </c>
      <c r="J1079" t="str">
        <f>IF(SEFAZ!O1061="","",SEFAZ!O1061)</f>
        <v/>
      </c>
      <c r="K1079" s="11" t="str">
        <f>IF(SEFAZ!P1061="","",SEFAZ!P1061)</f>
        <v/>
      </c>
      <c r="L1079" t="str" cm="1">
        <f t="array" aca="1" ref="L10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79" t="s">
        <v>35</v>
      </c>
      <c r="O1079" s="36" t="str">
        <f>IF(SEFAZ!B1061="","",SEFAZ!B1061)</f>
        <v/>
      </c>
    </row>
    <row r="1080" spans="2:15" x14ac:dyDescent="0.3">
      <c r="B1080" t="str">
        <f>IF(SEFAZ!A1062="","",SEFAZ!A1062)</f>
        <v/>
      </c>
      <c r="C1080" t="str">
        <f>IF(SEFAZ!C1062="","",SEFAZ!C1062)</f>
        <v/>
      </c>
      <c r="D1080" t="str">
        <f>IF(SEFAZ!D1062="","",SEFAZ!D1062)</f>
        <v/>
      </c>
      <c r="E1080" s="7" t="str">
        <f>IF(SEFAZ!E1062="","",SEFAZ!E1062)</f>
        <v/>
      </c>
      <c r="F1080" s="6" t="str">
        <f>IF(SEFAZ!F1062="","",VALUE(SUBSTITUTE(SEFAZ!F1062,"'","")))</f>
        <v/>
      </c>
      <c r="G1080" t="str">
        <f>IF(SEFAZ!H1062="","",SEFAZ!H1062)</f>
        <v/>
      </c>
      <c r="H1080" t="str">
        <f>IF(SEFAZ!L1062="","",SEFAZ!L1062)</f>
        <v/>
      </c>
      <c r="I1080" t="str">
        <f>IF(SEFAZ!N1062="","",SEFAZ!N1062)</f>
        <v/>
      </c>
      <c r="J1080" t="str">
        <f>IF(SEFAZ!O1062="","",SEFAZ!O1062)</f>
        <v/>
      </c>
      <c r="K1080" s="11" t="str">
        <f>IF(SEFAZ!P1062="","",SEFAZ!P1062)</f>
        <v/>
      </c>
      <c r="L1080" t="str" cm="1">
        <f t="array" aca="1" ref="L10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0" t="s">
        <v>35</v>
      </c>
      <c r="O1080" s="36" t="str">
        <f>IF(SEFAZ!B1062="","",SEFAZ!B1062)</f>
        <v/>
      </c>
    </row>
    <row r="1081" spans="2:15" x14ac:dyDescent="0.3">
      <c r="B1081" t="str">
        <f>IF(SEFAZ!A1063="","",SEFAZ!A1063)</f>
        <v/>
      </c>
      <c r="C1081" t="str">
        <f>IF(SEFAZ!C1063="","",SEFAZ!C1063)</f>
        <v/>
      </c>
      <c r="D1081" t="str">
        <f>IF(SEFAZ!D1063="","",SEFAZ!D1063)</f>
        <v/>
      </c>
      <c r="E1081" s="7" t="str">
        <f>IF(SEFAZ!E1063="","",SEFAZ!E1063)</f>
        <v/>
      </c>
      <c r="F1081" s="6" t="str">
        <f>IF(SEFAZ!F1063="","",VALUE(SUBSTITUTE(SEFAZ!F1063,"'","")))</f>
        <v/>
      </c>
      <c r="G1081" t="str">
        <f>IF(SEFAZ!H1063="","",SEFAZ!H1063)</f>
        <v/>
      </c>
      <c r="H1081" t="str">
        <f>IF(SEFAZ!L1063="","",SEFAZ!L1063)</f>
        <v/>
      </c>
      <c r="I1081" t="str">
        <f>IF(SEFAZ!N1063="","",SEFAZ!N1063)</f>
        <v/>
      </c>
      <c r="J1081" t="str">
        <f>IF(SEFAZ!O1063="","",SEFAZ!O1063)</f>
        <v/>
      </c>
      <c r="K1081" s="11" t="str">
        <f>IF(SEFAZ!P1063="","",SEFAZ!P1063)</f>
        <v/>
      </c>
      <c r="L1081" t="str" cm="1">
        <f t="array" aca="1" ref="L10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1" t="s">
        <v>35</v>
      </c>
      <c r="O1081" s="36" t="str">
        <f>IF(SEFAZ!B1063="","",SEFAZ!B1063)</f>
        <v/>
      </c>
    </row>
    <row r="1082" spans="2:15" x14ac:dyDescent="0.3">
      <c r="B1082" t="str">
        <f>IF(SEFAZ!A1064="","",SEFAZ!A1064)</f>
        <v/>
      </c>
      <c r="C1082" t="str">
        <f>IF(SEFAZ!C1064="","",SEFAZ!C1064)</f>
        <v/>
      </c>
      <c r="D1082" t="str">
        <f>IF(SEFAZ!D1064="","",SEFAZ!D1064)</f>
        <v/>
      </c>
      <c r="E1082" s="7" t="str">
        <f>IF(SEFAZ!E1064="","",SEFAZ!E1064)</f>
        <v/>
      </c>
      <c r="F1082" s="6" t="str">
        <f>IF(SEFAZ!F1064="","",VALUE(SUBSTITUTE(SEFAZ!F1064,"'","")))</f>
        <v/>
      </c>
      <c r="G1082" t="str">
        <f>IF(SEFAZ!H1064="","",SEFAZ!H1064)</f>
        <v/>
      </c>
      <c r="H1082" t="str">
        <f>IF(SEFAZ!L1064="","",SEFAZ!L1064)</f>
        <v/>
      </c>
      <c r="I1082" t="str">
        <f>IF(SEFAZ!N1064="","",SEFAZ!N1064)</f>
        <v/>
      </c>
      <c r="J1082" t="str">
        <f>IF(SEFAZ!O1064="","",SEFAZ!O1064)</f>
        <v/>
      </c>
      <c r="K1082" s="11" t="str">
        <f>IF(SEFAZ!P1064="","",SEFAZ!P1064)</f>
        <v/>
      </c>
      <c r="L1082" t="str" cm="1">
        <f t="array" aca="1" ref="L10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2" t="s">
        <v>35</v>
      </c>
      <c r="O1082" s="36" t="str">
        <f>IF(SEFAZ!B1064="","",SEFAZ!B1064)</f>
        <v/>
      </c>
    </row>
    <row r="1083" spans="2:15" x14ac:dyDescent="0.3">
      <c r="B1083" t="str">
        <f>IF(SEFAZ!A1065="","",SEFAZ!A1065)</f>
        <v/>
      </c>
      <c r="C1083" t="str">
        <f>IF(SEFAZ!C1065="","",SEFAZ!C1065)</f>
        <v/>
      </c>
      <c r="D1083" t="str">
        <f>IF(SEFAZ!D1065="","",SEFAZ!D1065)</f>
        <v/>
      </c>
      <c r="E1083" s="7" t="str">
        <f>IF(SEFAZ!E1065="","",SEFAZ!E1065)</f>
        <v/>
      </c>
      <c r="F1083" s="6" t="str">
        <f>IF(SEFAZ!F1065="","",VALUE(SUBSTITUTE(SEFAZ!F1065,"'","")))</f>
        <v/>
      </c>
      <c r="G1083" t="str">
        <f>IF(SEFAZ!H1065="","",SEFAZ!H1065)</f>
        <v/>
      </c>
      <c r="H1083" t="str">
        <f>IF(SEFAZ!L1065="","",SEFAZ!L1065)</f>
        <v/>
      </c>
      <c r="I1083" t="str">
        <f>IF(SEFAZ!N1065="","",SEFAZ!N1065)</f>
        <v/>
      </c>
      <c r="J1083" t="str">
        <f>IF(SEFAZ!O1065="","",SEFAZ!O1065)</f>
        <v/>
      </c>
      <c r="K1083" s="11" t="str">
        <f>IF(SEFAZ!P1065="","",SEFAZ!P1065)</f>
        <v/>
      </c>
      <c r="L1083" t="str" cm="1">
        <f t="array" aca="1" ref="L10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3" t="s">
        <v>35</v>
      </c>
      <c r="O1083" s="36" t="str">
        <f>IF(SEFAZ!B1065="","",SEFAZ!B1065)</f>
        <v/>
      </c>
    </row>
    <row r="1084" spans="2:15" x14ac:dyDescent="0.3">
      <c r="B1084" t="str">
        <f>IF(SEFAZ!A1066="","",SEFAZ!A1066)</f>
        <v/>
      </c>
      <c r="C1084" t="str">
        <f>IF(SEFAZ!C1066="","",SEFAZ!C1066)</f>
        <v/>
      </c>
      <c r="D1084" t="str">
        <f>IF(SEFAZ!D1066="","",SEFAZ!D1066)</f>
        <v/>
      </c>
      <c r="E1084" s="7" t="str">
        <f>IF(SEFAZ!E1066="","",SEFAZ!E1066)</f>
        <v/>
      </c>
      <c r="F1084" s="6" t="str">
        <f>IF(SEFAZ!F1066="","",VALUE(SUBSTITUTE(SEFAZ!F1066,"'","")))</f>
        <v/>
      </c>
      <c r="G1084" t="str">
        <f>IF(SEFAZ!H1066="","",SEFAZ!H1066)</f>
        <v/>
      </c>
      <c r="H1084" t="str">
        <f>IF(SEFAZ!L1066="","",SEFAZ!L1066)</f>
        <v/>
      </c>
      <c r="I1084" t="str">
        <f>IF(SEFAZ!N1066="","",SEFAZ!N1066)</f>
        <v/>
      </c>
      <c r="J1084" t="str">
        <f>IF(SEFAZ!O1066="","",SEFAZ!O1066)</f>
        <v/>
      </c>
      <c r="K1084" s="11" t="str">
        <f>IF(SEFAZ!P1066="","",SEFAZ!P1066)</f>
        <v/>
      </c>
      <c r="L1084" t="str" cm="1">
        <f t="array" aca="1" ref="L10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4" t="s">
        <v>35</v>
      </c>
      <c r="O1084" s="36" t="str">
        <f>IF(SEFAZ!B1066="","",SEFAZ!B1066)</f>
        <v/>
      </c>
    </row>
    <row r="1085" spans="2:15" x14ac:dyDescent="0.3">
      <c r="B1085" t="str">
        <f>IF(SEFAZ!A1067="","",SEFAZ!A1067)</f>
        <v/>
      </c>
      <c r="C1085" t="str">
        <f>IF(SEFAZ!C1067="","",SEFAZ!C1067)</f>
        <v/>
      </c>
      <c r="D1085" t="str">
        <f>IF(SEFAZ!D1067="","",SEFAZ!D1067)</f>
        <v/>
      </c>
      <c r="E1085" s="7" t="str">
        <f>IF(SEFAZ!E1067="","",SEFAZ!E1067)</f>
        <v/>
      </c>
      <c r="F1085" s="6" t="str">
        <f>IF(SEFAZ!F1067="","",VALUE(SUBSTITUTE(SEFAZ!F1067,"'","")))</f>
        <v/>
      </c>
      <c r="G1085" t="str">
        <f>IF(SEFAZ!H1067="","",SEFAZ!H1067)</f>
        <v/>
      </c>
      <c r="H1085" t="str">
        <f>IF(SEFAZ!L1067="","",SEFAZ!L1067)</f>
        <v/>
      </c>
      <c r="I1085" t="str">
        <f>IF(SEFAZ!N1067="","",SEFAZ!N1067)</f>
        <v/>
      </c>
      <c r="J1085" t="str">
        <f>IF(SEFAZ!O1067="","",SEFAZ!O1067)</f>
        <v/>
      </c>
      <c r="K1085" s="11" t="str">
        <f>IF(SEFAZ!P1067="","",SEFAZ!P1067)</f>
        <v/>
      </c>
      <c r="L1085" t="str" cm="1">
        <f t="array" aca="1" ref="L10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5" t="s">
        <v>35</v>
      </c>
      <c r="O1085" s="36" t="str">
        <f>IF(SEFAZ!B1067="","",SEFAZ!B1067)</f>
        <v/>
      </c>
    </row>
    <row r="1086" spans="2:15" x14ac:dyDescent="0.3">
      <c r="B1086" t="str">
        <f>IF(SEFAZ!A1068="","",SEFAZ!A1068)</f>
        <v/>
      </c>
      <c r="C1086" t="str">
        <f>IF(SEFAZ!C1068="","",SEFAZ!C1068)</f>
        <v/>
      </c>
      <c r="D1086" t="str">
        <f>IF(SEFAZ!D1068="","",SEFAZ!D1068)</f>
        <v/>
      </c>
      <c r="E1086" s="7" t="str">
        <f>IF(SEFAZ!E1068="","",SEFAZ!E1068)</f>
        <v/>
      </c>
      <c r="F1086" s="6" t="str">
        <f>IF(SEFAZ!F1068="","",VALUE(SUBSTITUTE(SEFAZ!F1068,"'","")))</f>
        <v/>
      </c>
      <c r="G1086" t="str">
        <f>IF(SEFAZ!H1068="","",SEFAZ!H1068)</f>
        <v/>
      </c>
      <c r="H1086" t="str">
        <f>IF(SEFAZ!L1068="","",SEFAZ!L1068)</f>
        <v/>
      </c>
      <c r="I1086" t="str">
        <f>IF(SEFAZ!N1068="","",SEFAZ!N1068)</f>
        <v/>
      </c>
      <c r="J1086" t="str">
        <f>IF(SEFAZ!O1068="","",SEFAZ!O1068)</f>
        <v/>
      </c>
      <c r="K1086" s="11" t="str">
        <f>IF(SEFAZ!P1068="","",SEFAZ!P1068)</f>
        <v/>
      </c>
      <c r="L1086" t="str" cm="1">
        <f t="array" aca="1" ref="L10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6" t="s">
        <v>35</v>
      </c>
      <c r="O1086" s="36" t="str">
        <f>IF(SEFAZ!B1068="","",SEFAZ!B1068)</f>
        <v/>
      </c>
    </row>
    <row r="1087" spans="2:15" x14ac:dyDescent="0.3">
      <c r="B1087" t="str">
        <f>IF(SEFAZ!A1069="","",SEFAZ!A1069)</f>
        <v/>
      </c>
      <c r="C1087" t="str">
        <f>IF(SEFAZ!C1069="","",SEFAZ!C1069)</f>
        <v/>
      </c>
      <c r="D1087" t="str">
        <f>IF(SEFAZ!D1069="","",SEFAZ!D1069)</f>
        <v/>
      </c>
      <c r="E1087" s="7" t="str">
        <f>IF(SEFAZ!E1069="","",SEFAZ!E1069)</f>
        <v/>
      </c>
      <c r="F1087" s="6" t="str">
        <f>IF(SEFAZ!F1069="","",VALUE(SUBSTITUTE(SEFAZ!F1069,"'","")))</f>
        <v/>
      </c>
      <c r="G1087" t="str">
        <f>IF(SEFAZ!H1069="","",SEFAZ!H1069)</f>
        <v/>
      </c>
      <c r="H1087" t="str">
        <f>IF(SEFAZ!L1069="","",SEFAZ!L1069)</f>
        <v/>
      </c>
      <c r="I1087" t="str">
        <f>IF(SEFAZ!N1069="","",SEFAZ!N1069)</f>
        <v/>
      </c>
      <c r="J1087" t="str">
        <f>IF(SEFAZ!O1069="","",SEFAZ!O1069)</f>
        <v/>
      </c>
      <c r="K1087" s="11" t="str">
        <f>IF(SEFAZ!P1069="","",SEFAZ!P1069)</f>
        <v/>
      </c>
      <c r="L1087" t="str" cm="1">
        <f t="array" aca="1" ref="L10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7" t="s">
        <v>35</v>
      </c>
      <c r="O1087" s="36" t="str">
        <f>IF(SEFAZ!B1069="","",SEFAZ!B1069)</f>
        <v/>
      </c>
    </row>
    <row r="1088" spans="2:15" x14ac:dyDescent="0.3">
      <c r="B1088" t="str">
        <f>IF(SEFAZ!A1070="","",SEFAZ!A1070)</f>
        <v/>
      </c>
      <c r="C1088" t="str">
        <f>IF(SEFAZ!C1070="","",SEFAZ!C1070)</f>
        <v/>
      </c>
      <c r="D1088" t="str">
        <f>IF(SEFAZ!D1070="","",SEFAZ!D1070)</f>
        <v/>
      </c>
      <c r="E1088" s="7" t="str">
        <f>IF(SEFAZ!E1070="","",SEFAZ!E1070)</f>
        <v/>
      </c>
      <c r="F1088" s="6" t="str">
        <f>IF(SEFAZ!F1070="","",VALUE(SUBSTITUTE(SEFAZ!F1070,"'","")))</f>
        <v/>
      </c>
      <c r="G1088" t="str">
        <f>IF(SEFAZ!H1070="","",SEFAZ!H1070)</f>
        <v/>
      </c>
      <c r="H1088" t="str">
        <f>IF(SEFAZ!L1070="","",SEFAZ!L1070)</f>
        <v/>
      </c>
      <c r="I1088" t="str">
        <f>IF(SEFAZ!N1070="","",SEFAZ!N1070)</f>
        <v/>
      </c>
      <c r="J1088" t="str">
        <f>IF(SEFAZ!O1070="","",SEFAZ!O1070)</f>
        <v/>
      </c>
      <c r="K1088" s="11" t="str">
        <f>IF(SEFAZ!P1070="","",SEFAZ!P1070)</f>
        <v/>
      </c>
      <c r="L1088" t="str" cm="1">
        <f t="array" aca="1" ref="L10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8" t="s">
        <v>35</v>
      </c>
      <c r="O1088" s="36" t="str">
        <f>IF(SEFAZ!B1070="","",SEFAZ!B1070)</f>
        <v/>
      </c>
    </row>
    <row r="1089" spans="2:15" x14ac:dyDescent="0.3">
      <c r="B1089" t="str">
        <f>IF(SEFAZ!A1071="","",SEFAZ!A1071)</f>
        <v/>
      </c>
      <c r="C1089" t="str">
        <f>IF(SEFAZ!C1071="","",SEFAZ!C1071)</f>
        <v/>
      </c>
      <c r="D1089" t="str">
        <f>IF(SEFAZ!D1071="","",SEFAZ!D1071)</f>
        <v/>
      </c>
      <c r="E1089" s="7" t="str">
        <f>IF(SEFAZ!E1071="","",SEFAZ!E1071)</f>
        <v/>
      </c>
      <c r="F1089" s="6" t="str">
        <f>IF(SEFAZ!F1071="","",VALUE(SUBSTITUTE(SEFAZ!F1071,"'","")))</f>
        <v/>
      </c>
      <c r="G1089" t="str">
        <f>IF(SEFAZ!H1071="","",SEFAZ!H1071)</f>
        <v/>
      </c>
      <c r="H1089" t="str">
        <f>IF(SEFAZ!L1071="","",SEFAZ!L1071)</f>
        <v/>
      </c>
      <c r="I1089" t="str">
        <f>IF(SEFAZ!N1071="","",SEFAZ!N1071)</f>
        <v/>
      </c>
      <c r="J1089" t="str">
        <f>IF(SEFAZ!O1071="","",SEFAZ!O1071)</f>
        <v/>
      </c>
      <c r="K1089" s="11" t="str">
        <f>IF(SEFAZ!P1071="","",SEFAZ!P1071)</f>
        <v/>
      </c>
      <c r="L1089" t="str" cm="1">
        <f t="array" aca="1" ref="L10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89" t="s">
        <v>35</v>
      </c>
      <c r="O1089" s="36" t="str">
        <f>IF(SEFAZ!B1071="","",SEFAZ!B1071)</f>
        <v/>
      </c>
    </row>
    <row r="1090" spans="2:15" x14ac:dyDescent="0.3">
      <c r="B1090" t="str">
        <f>IF(SEFAZ!A1072="","",SEFAZ!A1072)</f>
        <v/>
      </c>
      <c r="C1090" t="str">
        <f>IF(SEFAZ!C1072="","",SEFAZ!C1072)</f>
        <v/>
      </c>
      <c r="D1090" t="str">
        <f>IF(SEFAZ!D1072="","",SEFAZ!D1072)</f>
        <v/>
      </c>
      <c r="E1090" s="7" t="str">
        <f>IF(SEFAZ!E1072="","",SEFAZ!E1072)</f>
        <v/>
      </c>
      <c r="F1090" s="6" t="str">
        <f>IF(SEFAZ!F1072="","",VALUE(SUBSTITUTE(SEFAZ!F1072,"'","")))</f>
        <v/>
      </c>
      <c r="G1090" t="str">
        <f>IF(SEFAZ!H1072="","",SEFAZ!H1072)</f>
        <v/>
      </c>
      <c r="H1090" t="str">
        <f>IF(SEFAZ!L1072="","",SEFAZ!L1072)</f>
        <v/>
      </c>
      <c r="I1090" t="str">
        <f>IF(SEFAZ!N1072="","",SEFAZ!N1072)</f>
        <v/>
      </c>
      <c r="J1090" t="str">
        <f>IF(SEFAZ!O1072="","",SEFAZ!O1072)</f>
        <v/>
      </c>
      <c r="K1090" s="11" t="str">
        <f>IF(SEFAZ!P1072="","",SEFAZ!P1072)</f>
        <v/>
      </c>
      <c r="L1090" t="str" cm="1">
        <f t="array" aca="1" ref="L10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0" t="s">
        <v>35</v>
      </c>
      <c r="O1090" s="36" t="str">
        <f>IF(SEFAZ!B1072="","",SEFAZ!B1072)</f>
        <v/>
      </c>
    </row>
    <row r="1091" spans="2:15" x14ac:dyDescent="0.3">
      <c r="B1091" t="str">
        <f>IF(SEFAZ!A1073="","",SEFAZ!A1073)</f>
        <v/>
      </c>
      <c r="C1091" t="str">
        <f>IF(SEFAZ!C1073="","",SEFAZ!C1073)</f>
        <v/>
      </c>
      <c r="D1091" t="str">
        <f>IF(SEFAZ!D1073="","",SEFAZ!D1073)</f>
        <v/>
      </c>
      <c r="E1091" s="7" t="str">
        <f>IF(SEFAZ!E1073="","",SEFAZ!E1073)</f>
        <v/>
      </c>
      <c r="F1091" s="6" t="str">
        <f>IF(SEFAZ!F1073="","",VALUE(SUBSTITUTE(SEFAZ!F1073,"'","")))</f>
        <v/>
      </c>
      <c r="G1091" t="str">
        <f>IF(SEFAZ!H1073="","",SEFAZ!H1073)</f>
        <v/>
      </c>
      <c r="H1091" t="str">
        <f>IF(SEFAZ!L1073="","",SEFAZ!L1073)</f>
        <v/>
      </c>
      <c r="I1091" t="str">
        <f>IF(SEFAZ!N1073="","",SEFAZ!N1073)</f>
        <v/>
      </c>
      <c r="J1091" t="str">
        <f>IF(SEFAZ!O1073="","",SEFAZ!O1073)</f>
        <v/>
      </c>
      <c r="K1091" s="11" t="str">
        <f>IF(SEFAZ!P1073="","",SEFAZ!P1073)</f>
        <v/>
      </c>
      <c r="L1091" t="str" cm="1">
        <f t="array" aca="1" ref="L10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1" t="s">
        <v>35</v>
      </c>
      <c r="O1091" s="36" t="str">
        <f>IF(SEFAZ!B1073="","",SEFAZ!B1073)</f>
        <v/>
      </c>
    </row>
    <row r="1092" spans="2:15" x14ac:dyDescent="0.3">
      <c r="B1092" t="str">
        <f>IF(SEFAZ!A1074="","",SEFAZ!A1074)</f>
        <v/>
      </c>
      <c r="C1092" t="str">
        <f>IF(SEFAZ!C1074="","",SEFAZ!C1074)</f>
        <v/>
      </c>
      <c r="D1092" t="str">
        <f>IF(SEFAZ!D1074="","",SEFAZ!D1074)</f>
        <v/>
      </c>
      <c r="E1092" s="7" t="str">
        <f>IF(SEFAZ!E1074="","",SEFAZ!E1074)</f>
        <v/>
      </c>
      <c r="F1092" s="6" t="str">
        <f>IF(SEFAZ!F1074="","",VALUE(SUBSTITUTE(SEFAZ!F1074,"'","")))</f>
        <v/>
      </c>
      <c r="G1092" t="str">
        <f>IF(SEFAZ!H1074="","",SEFAZ!H1074)</f>
        <v/>
      </c>
      <c r="H1092" t="str">
        <f>IF(SEFAZ!L1074="","",SEFAZ!L1074)</f>
        <v/>
      </c>
      <c r="I1092" t="str">
        <f>IF(SEFAZ!N1074="","",SEFAZ!N1074)</f>
        <v/>
      </c>
      <c r="J1092" t="str">
        <f>IF(SEFAZ!O1074="","",SEFAZ!O1074)</f>
        <v/>
      </c>
      <c r="K1092" s="11" t="str">
        <f>IF(SEFAZ!P1074="","",SEFAZ!P1074)</f>
        <v/>
      </c>
      <c r="L1092" t="str" cm="1">
        <f t="array" aca="1" ref="L10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2" t="s">
        <v>35</v>
      </c>
      <c r="O1092" s="36" t="str">
        <f>IF(SEFAZ!B1074="","",SEFAZ!B1074)</f>
        <v/>
      </c>
    </row>
    <row r="1093" spans="2:15" x14ac:dyDescent="0.3">
      <c r="B1093" t="str">
        <f>IF(SEFAZ!A1075="","",SEFAZ!A1075)</f>
        <v/>
      </c>
      <c r="C1093" t="str">
        <f>IF(SEFAZ!C1075="","",SEFAZ!C1075)</f>
        <v/>
      </c>
      <c r="D1093" t="str">
        <f>IF(SEFAZ!D1075="","",SEFAZ!D1075)</f>
        <v/>
      </c>
      <c r="E1093" s="7" t="str">
        <f>IF(SEFAZ!E1075="","",SEFAZ!E1075)</f>
        <v/>
      </c>
      <c r="F1093" s="6" t="str">
        <f>IF(SEFAZ!F1075="","",VALUE(SUBSTITUTE(SEFAZ!F1075,"'","")))</f>
        <v/>
      </c>
      <c r="G1093" t="str">
        <f>IF(SEFAZ!H1075="","",SEFAZ!H1075)</f>
        <v/>
      </c>
      <c r="H1093" t="str">
        <f>IF(SEFAZ!L1075="","",SEFAZ!L1075)</f>
        <v/>
      </c>
      <c r="I1093" t="str">
        <f>IF(SEFAZ!N1075="","",SEFAZ!N1075)</f>
        <v/>
      </c>
      <c r="J1093" t="str">
        <f>IF(SEFAZ!O1075="","",SEFAZ!O1075)</f>
        <v/>
      </c>
      <c r="K1093" s="11" t="str">
        <f>IF(SEFAZ!P1075="","",SEFAZ!P1075)</f>
        <v/>
      </c>
      <c r="L1093" t="str" cm="1">
        <f t="array" aca="1" ref="L10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3" t="s">
        <v>35</v>
      </c>
      <c r="O1093" s="36" t="str">
        <f>IF(SEFAZ!B1075="","",SEFAZ!B1075)</f>
        <v/>
      </c>
    </row>
    <row r="1094" spans="2:15" x14ac:dyDescent="0.3">
      <c r="B1094" t="str">
        <f>IF(SEFAZ!A1076="","",SEFAZ!A1076)</f>
        <v/>
      </c>
      <c r="C1094" t="str">
        <f>IF(SEFAZ!C1076="","",SEFAZ!C1076)</f>
        <v/>
      </c>
      <c r="D1094" t="str">
        <f>IF(SEFAZ!D1076="","",SEFAZ!D1076)</f>
        <v/>
      </c>
      <c r="E1094" s="7" t="str">
        <f>IF(SEFAZ!E1076="","",SEFAZ!E1076)</f>
        <v/>
      </c>
      <c r="F1094" s="6" t="str">
        <f>IF(SEFAZ!F1076="","",VALUE(SUBSTITUTE(SEFAZ!F1076,"'","")))</f>
        <v/>
      </c>
      <c r="G1094" t="str">
        <f>IF(SEFAZ!H1076="","",SEFAZ!H1076)</f>
        <v/>
      </c>
      <c r="H1094" t="str">
        <f>IF(SEFAZ!L1076="","",SEFAZ!L1076)</f>
        <v/>
      </c>
      <c r="I1094" t="str">
        <f>IF(SEFAZ!N1076="","",SEFAZ!N1076)</f>
        <v/>
      </c>
      <c r="J1094" t="str">
        <f>IF(SEFAZ!O1076="","",SEFAZ!O1076)</f>
        <v/>
      </c>
      <c r="K1094" s="11" t="str">
        <f>IF(SEFAZ!P1076="","",SEFAZ!P1076)</f>
        <v/>
      </c>
      <c r="L1094" t="str" cm="1">
        <f t="array" aca="1" ref="L10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4" t="s">
        <v>35</v>
      </c>
      <c r="O1094" s="36" t="str">
        <f>IF(SEFAZ!B1076="","",SEFAZ!B1076)</f>
        <v/>
      </c>
    </row>
    <row r="1095" spans="2:15" x14ac:dyDescent="0.3">
      <c r="B1095" t="str">
        <f>IF(SEFAZ!A1077="","",SEFAZ!A1077)</f>
        <v/>
      </c>
      <c r="C1095" t="str">
        <f>IF(SEFAZ!C1077="","",SEFAZ!C1077)</f>
        <v/>
      </c>
      <c r="D1095" t="str">
        <f>IF(SEFAZ!D1077="","",SEFAZ!D1077)</f>
        <v/>
      </c>
      <c r="E1095" s="7" t="str">
        <f>IF(SEFAZ!E1077="","",SEFAZ!E1077)</f>
        <v/>
      </c>
      <c r="F1095" s="6" t="str">
        <f>IF(SEFAZ!F1077="","",VALUE(SUBSTITUTE(SEFAZ!F1077,"'","")))</f>
        <v/>
      </c>
      <c r="G1095" t="str">
        <f>IF(SEFAZ!H1077="","",SEFAZ!H1077)</f>
        <v/>
      </c>
      <c r="H1095" t="str">
        <f>IF(SEFAZ!L1077="","",SEFAZ!L1077)</f>
        <v/>
      </c>
      <c r="I1095" t="str">
        <f>IF(SEFAZ!N1077="","",SEFAZ!N1077)</f>
        <v/>
      </c>
      <c r="J1095" t="str">
        <f>IF(SEFAZ!O1077="","",SEFAZ!O1077)</f>
        <v/>
      </c>
      <c r="K1095" s="11" t="str">
        <f>IF(SEFAZ!P1077="","",SEFAZ!P1077)</f>
        <v/>
      </c>
      <c r="L1095" t="str" cm="1">
        <f t="array" aca="1" ref="L10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5" t="s">
        <v>35</v>
      </c>
      <c r="O1095" s="36" t="str">
        <f>IF(SEFAZ!B1077="","",SEFAZ!B1077)</f>
        <v/>
      </c>
    </row>
    <row r="1096" spans="2:15" x14ac:dyDescent="0.3">
      <c r="B1096" t="str">
        <f>IF(SEFAZ!A1078="","",SEFAZ!A1078)</f>
        <v/>
      </c>
      <c r="C1096" t="str">
        <f>IF(SEFAZ!C1078="","",SEFAZ!C1078)</f>
        <v/>
      </c>
      <c r="D1096" t="str">
        <f>IF(SEFAZ!D1078="","",SEFAZ!D1078)</f>
        <v/>
      </c>
      <c r="E1096" s="7" t="str">
        <f>IF(SEFAZ!E1078="","",SEFAZ!E1078)</f>
        <v/>
      </c>
      <c r="F1096" s="6" t="str">
        <f>IF(SEFAZ!F1078="","",VALUE(SUBSTITUTE(SEFAZ!F1078,"'","")))</f>
        <v/>
      </c>
      <c r="G1096" t="str">
        <f>IF(SEFAZ!H1078="","",SEFAZ!H1078)</f>
        <v/>
      </c>
      <c r="H1096" t="str">
        <f>IF(SEFAZ!L1078="","",SEFAZ!L1078)</f>
        <v/>
      </c>
      <c r="I1096" t="str">
        <f>IF(SEFAZ!N1078="","",SEFAZ!N1078)</f>
        <v/>
      </c>
      <c r="J1096" t="str">
        <f>IF(SEFAZ!O1078="","",SEFAZ!O1078)</f>
        <v/>
      </c>
      <c r="K1096" s="11" t="str">
        <f>IF(SEFAZ!P1078="","",SEFAZ!P1078)</f>
        <v/>
      </c>
      <c r="L1096" t="str" cm="1">
        <f t="array" aca="1" ref="L10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6" t="s">
        <v>35</v>
      </c>
      <c r="O1096" s="36" t="str">
        <f>IF(SEFAZ!B1078="","",SEFAZ!B1078)</f>
        <v/>
      </c>
    </row>
    <row r="1097" spans="2:15" x14ac:dyDescent="0.3">
      <c r="B1097" t="str">
        <f>IF(SEFAZ!A1079="","",SEFAZ!A1079)</f>
        <v/>
      </c>
      <c r="C1097" t="str">
        <f>IF(SEFAZ!C1079="","",SEFAZ!C1079)</f>
        <v/>
      </c>
      <c r="D1097" t="str">
        <f>IF(SEFAZ!D1079="","",SEFAZ!D1079)</f>
        <v/>
      </c>
      <c r="E1097" s="7" t="str">
        <f>IF(SEFAZ!E1079="","",SEFAZ!E1079)</f>
        <v/>
      </c>
      <c r="F1097" s="6" t="str">
        <f>IF(SEFAZ!F1079="","",VALUE(SUBSTITUTE(SEFAZ!F1079,"'","")))</f>
        <v/>
      </c>
      <c r="G1097" t="str">
        <f>IF(SEFAZ!H1079="","",SEFAZ!H1079)</f>
        <v/>
      </c>
      <c r="H1097" t="str">
        <f>IF(SEFAZ!L1079="","",SEFAZ!L1079)</f>
        <v/>
      </c>
      <c r="I1097" t="str">
        <f>IF(SEFAZ!N1079="","",SEFAZ!N1079)</f>
        <v/>
      </c>
      <c r="J1097" t="str">
        <f>IF(SEFAZ!O1079="","",SEFAZ!O1079)</f>
        <v/>
      </c>
      <c r="K1097" s="11" t="str">
        <f>IF(SEFAZ!P1079="","",SEFAZ!P1079)</f>
        <v/>
      </c>
      <c r="L1097" t="str" cm="1">
        <f t="array" aca="1" ref="L10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7" t="s">
        <v>35</v>
      </c>
      <c r="O1097" s="36" t="str">
        <f>IF(SEFAZ!B1079="","",SEFAZ!B1079)</f>
        <v/>
      </c>
    </row>
    <row r="1098" spans="2:15" x14ac:dyDescent="0.3">
      <c r="B1098" t="str">
        <f>IF(SEFAZ!A1080="","",SEFAZ!A1080)</f>
        <v/>
      </c>
      <c r="C1098" t="str">
        <f>IF(SEFAZ!C1080="","",SEFAZ!C1080)</f>
        <v/>
      </c>
      <c r="D1098" t="str">
        <f>IF(SEFAZ!D1080="","",SEFAZ!D1080)</f>
        <v/>
      </c>
      <c r="E1098" s="7" t="str">
        <f>IF(SEFAZ!E1080="","",SEFAZ!E1080)</f>
        <v/>
      </c>
      <c r="F1098" s="6" t="str">
        <f>IF(SEFAZ!F1080="","",VALUE(SUBSTITUTE(SEFAZ!F1080,"'","")))</f>
        <v/>
      </c>
      <c r="G1098" t="str">
        <f>IF(SEFAZ!H1080="","",SEFAZ!H1080)</f>
        <v/>
      </c>
      <c r="H1098" t="str">
        <f>IF(SEFAZ!L1080="","",SEFAZ!L1080)</f>
        <v/>
      </c>
      <c r="I1098" t="str">
        <f>IF(SEFAZ!N1080="","",SEFAZ!N1080)</f>
        <v/>
      </c>
      <c r="J1098" t="str">
        <f>IF(SEFAZ!O1080="","",SEFAZ!O1080)</f>
        <v/>
      </c>
      <c r="K1098" s="11" t="str">
        <f>IF(SEFAZ!P1080="","",SEFAZ!P1080)</f>
        <v/>
      </c>
      <c r="L1098" t="str" cm="1">
        <f t="array" aca="1" ref="L10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8" t="s">
        <v>35</v>
      </c>
      <c r="O1098" s="36" t="str">
        <f>IF(SEFAZ!B1080="","",SEFAZ!B1080)</f>
        <v/>
      </c>
    </row>
    <row r="1099" spans="2:15" x14ac:dyDescent="0.3">
      <c r="B1099" t="str">
        <f>IF(SEFAZ!A1081="","",SEFAZ!A1081)</f>
        <v/>
      </c>
      <c r="C1099" t="str">
        <f>IF(SEFAZ!C1081="","",SEFAZ!C1081)</f>
        <v/>
      </c>
      <c r="D1099" t="str">
        <f>IF(SEFAZ!D1081="","",SEFAZ!D1081)</f>
        <v/>
      </c>
      <c r="E1099" s="7" t="str">
        <f>IF(SEFAZ!E1081="","",SEFAZ!E1081)</f>
        <v/>
      </c>
      <c r="F1099" s="6" t="str">
        <f>IF(SEFAZ!F1081="","",VALUE(SUBSTITUTE(SEFAZ!F1081,"'","")))</f>
        <v/>
      </c>
      <c r="G1099" t="str">
        <f>IF(SEFAZ!H1081="","",SEFAZ!H1081)</f>
        <v/>
      </c>
      <c r="H1099" t="str">
        <f>IF(SEFAZ!L1081="","",SEFAZ!L1081)</f>
        <v/>
      </c>
      <c r="I1099" t="str">
        <f>IF(SEFAZ!N1081="","",SEFAZ!N1081)</f>
        <v/>
      </c>
      <c r="J1099" t="str">
        <f>IF(SEFAZ!O1081="","",SEFAZ!O1081)</f>
        <v/>
      </c>
      <c r="K1099" s="11" t="str">
        <f>IF(SEFAZ!P1081="","",SEFAZ!P1081)</f>
        <v/>
      </c>
      <c r="L1099" t="str" cm="1">
        <f t="array" aca="1" ref="L10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099" t="s">
        <v>35</v>
      </c>
      <c r="O1099" s="36" t="str">
        <f>IF(SEFAZ!B1081="","",SEFAZ!B1081)</f>
        <v/>
      </c>
    </row>
    <row r="1100" spans="2:15" x14ac:dyDescent="0.3">
      <c r="B1100" t="str">
        <f>IF(SEFAZ!A1082="","",SEFAZ!A1082)</f>
        <v/>
      </c>
      <c r="C1100" t="str">
        <f>IF(SEFAZ!C1082="","",SEFAZ!C1082)</f>
        <v/>
      </c>
      <c r="D1100" t="str">
        <f>IF(SEFAZ!D1082="","",SEFAZ!D1082)</f>
        <v/>
      </c>
      <c r="E1100" s="7" t="str">
        <f>IF(SEFAZ!E1082="","",SEFAZ!E1082)</f>
        <v/>
      </c>
      <c r="F1100" s="6" t="str">
        <f>IF(SEFAZ!F1082="","",VALUE(SUBSTITUTE(SEFAZ!F1082,"'","")))</f>
        <v/>
      </c>
      <c r="G1100" t="str">
        <f>IF(SEFAZ!H1082="","",SEFAZ!H1082)</f>
        <v/>
      </c>
      <c r="H1100" t="str">
        <f>IF(SEFAZ!L1082="","",SEFAZ!L1082)</f>
        <v/>
      </c>
      <c r="I1100" t="str">
        <f>IF(SEFAZ!N1082="","",SEFAZ!N1082)</f>
        <v/>
      </c>
      <c r="J1100" t="str">
        <f>IF(SEFAZ!O1082="","",SEFAZ!O1082)</f>
        <v/>
      </c>
      <c r="K1100" s="11" t="str">
        <f>IF(SEFAZ!P1082="","",SEFAZ!P1082)</f>
        <v/>
      </c>
      <c r="L1100" t="str" cm="1">
        <f t="array" aca="1" ref="L11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0" t="s">
        <v>35</v>
      </c>
      <c r="O1100" s="36" t="str">
        <f>IF(SEFAZ!B1082="","",SEFAZ!B1082)</f>
        <v/>
      </c>
    </row>
    <row r="1101" spans="2:15" x14ac:dyDescent="0.3">
      <c r="B1101" t="str">
        <f>IF(SEFAZ!A1083="","",SEFAZ!A1083)</f>
        <v/>
      </c>
      <c r="C1101" t="str">
        <f>IF(SEFAZ!C1083="","",SEFAZ!C1083)</f>
        <v/>
      </c>
      <c r="D1101" t="str">
        <f>IF(SEFAZ!D1083="","",SEFAZ!D1083)</f>
        <v/>
      </c>
      <c r="E1101" s="7" t="str">
        <f>IF(SEFAZ!E1083="","",SEFAZ!E1083)</f>
        <v/>
      </c>
      <c r="F1101" s="6" t="str">
        <f>IF(SEFAZ!F1083="","",VALUE(SUBSTITUTE(SEFAZ!F1083,"'","")))</f>
        <v/>
      </c>
      <c r="G1101" t="str">
        <f>IF(SEFAZ!H1083="","",SEFAZ!H1083)</f>
        <v/>
      </c>
      <c r="H1101" t="str">
        <f>IF(SEFAZ!L1083="","",SEFAZ!L1083)</f>
        <v/>
      </c>
      <c r="I1101" t="str">
        <f>IF(SEFAZ!N1083="","",SEFAZ!N1083)</f>
        <v/>
      </c>
      <c r="J1101" t="str">
        <f>IF(SEFAZ!O1083="","",SEFAZ!O1083)</f>
        <v/>
      </c>
      <c r="K1101" s="11" t="str">
        <f>IF(SEFAZ!P1083="","",SEFAZ!P1083)</f>
        <v/>
      </c>
      <c r="L1101" t="str" cm="1">
        <f t="array" aca="1" ref="L11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1" t="s">
        <v>35</v>
      </c>
      <c r="O1101" s="36" t="str">
        <f>IF(SEFAZ!B1083="","",SEFAZ!B1083)</f>
        <v/>
      </c>
    </row>
    <row r="1102" spans="2:15" x14ac:dyDescent="0.3">
      <c r="B1102" t="str">
        <f>IF(SEFAZ!A1084="","",SEFAZ!A1084)</f>
        <v/>
      </c>
      <c r="C1102" t="str">
        <f>IF(SEFAZ!C1084="","",SEFAZ!C1084)</f>
        <v/>
      </c>
      <c r="D1102" t="str">
        <f>IF(SEFAZ!D1084="","",SEFAZ!D1084)</f>
        <v/>
      </c>
      <c r="E1102" s="7" t="str">
        <f>IF(SEFAZ!E1084="","",SEFAZ!E1084)</f>
        <v/>
      </c>
      <c r="F1102" s="6" t="str">
        <f>IF(SEFAZ!F1084="","",VALUE(SUBSTITUTE(SEFAZ!F1084,"'","")))</f>
        <v/>
      </c>
      <c r="G1102" t="str">
        <f>IF(SEFAZ!H1084="","",SEFAZ!H1084)</f>
        <v/>
      </c>
      <c r="H1102" t="str">
        <f>IF(SEFAZ!L1084="","",SEFAZ!L1084)</f>
        <v/>
      </c>
      <c r="I1102" t="str">
        <f>IF(SEFAZ!N1084="","",SEFAZ!N1084)</f>
        <v/>
      </c>
      <c r="J1102" t="str">
        <f>IF(SEFAZ!O1084="","",SEFAZ!O1084)</f>
        <v/>
      </c>
      <c r="K1102" s="11" t="str">
        <f>IF(SEFAZ!P1084="","",SEFAZ!P1084)</f>
        <v/>
      </c>
      <c r="L1102" t="str" cm="1">
        <f t="array" aca="1" ref="L11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2" t="s">
        <v>35</v>
      </c>
      <c r="O1102" s="36" t="str">
        <f>IF(SEFAZ!B1084="","",SEFAZ!B1084)</f>
        <v/>
      </c>
    </row>
    <row r="1103" spans="2:15" x14ac:dyDescent="0.3">
      <c r="B1103" t="str">
        <f>IF(SEFAZ!A1085="","",SEFAZ!A1085)</f>
        <v/>
      </c>
      <c r="C1103" t="str">
        <f>IF(SEFAZ!C1085="","",SEFAZ!C1085)</f>
        <v/>
      </c>
      <c r="D1103" t="str">
        <f>IF(SEFAZ!D1085="","",SEFAZ!D1085)</f>
        <v/>
      </c>
      <c r="E1103" s="7" t="str">
        <f>IF(SEFAZ!E1085="","",SEFAZ!E1085)</f>
        <v/>
      </c>
      <c r="F1103" s="6" t="str">
        <f>IF(SEFAZ!F1085="","",VALUE(SUBSTITUTE(SEFAZ!F1085,"'","")))</f>
        <v/>
      </c>
      <c r="G1103" t="str">
        <f>IF(SEFAZ!H1085="","",SEFAZ!H1085)</f>
        <v/>
      </c>
      <c r="H1103" t="str">
        <f>IF(SEFAZ!L1085="","",SEFAZ!L1085)</f>
        <v/>
      </c>
      <c r="I1103" t="str">
        <f>IF(SEFAZ!N1085="","",SEFAZ!N1085)</f>
        <v/>
      </c>
      <c r="J1103" t="str">
        <f>IF(SEFAZ!O1085="","",SEFAZ!O1085)</f>
        <v/>
      </c>
      <c r="K1103" s="11" t="str">
        <f>IF(SEFAZ!P1085="","",SEFAZ!P1085)</f>
        <v/>
      </c>
      <c r="L1103" t="str" cm="1">
        <f t="array" aca="1" ref="L11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3" t="s">
        <v>35</v>
      </c>
      <c r="O1103" s="36" t="str">
        <f>IF(SEFAZ!B1085="","",SEFAZ!B1085)</f>
        <v/>
      </c>
    </row>
    <row r="1104" spans="2:15" x14ac:dyDescent="0.3">
      <c r="B1104" t="str">
        <f>IF(SEFAZ!A1086="","",SEFAZ!A1086)</f>
        <v/>
      </c>
      <c r="C1104" t="str">
        <f>IF(SEFAZ!C1086="","",SEFAZ!C1086)</f>
        <v/>
      </c>
      <c r="D1104" t="str">
        <f>IF(SEFAZ!D1086="","",SEFAZ!D1086)</f>
        <v/>
      </c>
      <c r="E1104" s="7" t="str">
        <f>IF(SEFAZ!E1086="","",SEFAZ!E1086)</f>
        <v/>
      </c>
      <c r="F1104" s="6" t="str">
        <f>IF(SEFAZ!F1086="","",VALUE(SUBSTITUTE(SEFAZ!F1086,"'","")))</f>
        <v/>
      </c>
      <c r="G1104" t="str">
        <f>IF(SEFAZ!H1086="","",SEFAZ!H1086)</f>
        <v/>
      </c>
      <c r="H1104" t="str">
        <f>IF(SEFAZ!L1086="","",SEFAZ!L1086)</f>
        <v/>
      </c>
      <c r="I1104" t="str">
        <f>IF(SEFAZ!N1086="","",SEFAZ!N1086)</f>
        <v/>
      </c>
      <c r="J1104" t="str">
        <f>IF(SEFAZ!O1086="","",SEFAZ!O1086)</f>
        <v/>
      </c>
      <c r="K1104" s="11" t="str">
        <f>IF(SEFAZ!P1086="","",SEFAZ!P1086)</f>
        <v/>
      </c>
      <c r="L1104" t="str" cm="1">
        <f t="array" aca="1" ref="L11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4" t="s">
        <v>35</v>
      </c>
      <c r="O1104" s="36" t="str">
        <f>IF(SEFAZ!B1086="","",SEFAZ!B1086)</f>
        <v/>
      </c>
    </row>
    <row r="1105" spans="2:15" x14ac:dyDescent="0.3">
      <c r="B1105" t="str">
        <f>IF(SEFAZ!A1087="","",SEFAZ!A1087)</f>
        <v/>
      </c>
      <c r="C1105" t="str">
        <f>IF(SEFAZ!C1087="","",SEFAZ!C1087)</f>
        <v/>
      </c>
      <c r="D1105" t="str">
        <f>IF(SEFAZ!D1087="","",SEFAZ!D1087)</f>
        <v/>
      </c>
      <c r="E1105" s="7" t="str">
        <f>IF(SEFAZ!E1087="","",SEFAZ!E1087)</f>
        <v/>
      </c>
      <c r="F1105" s="6" t="str">
        <f>IF(SEFAZ!F1087="","",VALUE(SUBSTITUTE(SEFAZ!F1087,"'","")))</f>
        <v/>
      </c>
      <c r="G1105" t="str">
        <f>IF(SEFAZ!H1087="","",SEFAZ!H1087)</f>
        <v/>
      </c>
      <c r="H1105" t="str">
        <f>IF(SEFAZ!L1087="","",SEFAZ!L1087)</f>
        <v/>
      </c>
      <c r="I1105" t="str">
        <f>IF(SEFAZ!N1087="","",SEFAZ!N1087)</f>
        <v/>
      </c>
      <c r="J1105" t="str">
        <f>IF(SEFAZ!O1087="","",SEFAZ!O1087)</f>
        <v/>
      </c>
      <c r="K1105" s="11" t="str">
        <f>IF(SEFAZ!P1087="","",SEFAZ!P1087)</f>
        <v/>
      </c>
      <c r="L1105" t="str" cm="1">
        <f t="array" aca="1" ref="L11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5" t="s">
        <v>35</v>
      </c>
      <c r="O1105" s="36" t="str">
        <f>IF(SEFAZ!B1087="","",SEFAZ!B1087)</f>
        <v/>
      </c>
    </row>
    <row r="1106" spans="2:15" x14ac:dyDescent="0.3">
      <c r="B1106" t="str">
        <f>IF(SEFAZ!A1088="","",SEFAZ!A1088)</f>
        <v/>
      </c>
      <c r="C1106" t="str">
        <f>IF(SEFAZ!C1088="","",SEFAZ!C1088)</f>
        <v/>
      </c>
      <c r="D1106" t="str">
        <f>IF(SEFAZ!D1088="","",SEFAZ!D1088)</f>
        <v/>
      </c>
      <c r="E1106" s="7" t="str">
        <f>IF(SEFAZ!E1088="","",SEFAZ!E1088)</f>
        <v/>
      </c>
      <c r="F1106" s="6" t="str">
        <f>IF(SEFAZ!F1088="","",VALUE(SUBSTITUTE(SEFAZ!F1088,"'","")))</f>
        <v/>
      </c>
      <c r="G1106" t="str">
        <f>IF(SEFAZ!H1088="","",SEFAZ!H1088)</f>
        <v/>
      </c>
      <c r="H1106" t="str">
        <f>IF(SEFAZ!L1088="","",SEFAZ!L1088)</f>
        <v/>
      </c>
      <c r="I1106" t="str">
        <f>IF(SEFAZ!N1088="","",SEFAZ!N1088)</f>
        <v/>
      </c>
      <c r="J1106" t="str">
        <f>IF(SEFAZ!O1088="","",SEFAZ!O1088)</f>
        <v/>
      </c>
      <c r="K1106" s="11" t="str">
        <f>IF(SEFAZ!P1088="","",SEFAZ!P1088)</f>
        <v/>
      </c>
      <c r="L1106" t="str" cm="1">
        <f t="array" aca="1" ref="L11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IF(AND(RELATORIO[[#This Row],[CFOP]] = 5949, OR(RELATORIO[[#This Row],[CNPJ EMISSOR]] = 19234190000725, RELATORIO[[#This Row],[CNPJ EMISSOR]] = 19234190000130, RELATORIO[[#This Row],[CNPJ EMISSOR]] = 19234190000300, RELATORIO[[#This Row],[CNPJ EMISSOR]] = 19234190000482, RELATORIO[[#This Row],[CNPJ EMISSOR]] = 19234190000644)),
                        "SAÍDA DE ESTOQUE",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
)</f>
        <v/>
      </c>
      <c r="M1106" t="s">
        <v>35</v>
      </c>
      <c r="O1106" s="36" t="str">
        <f>IF(SEFAZ!B1088="","",SEFAZ!B1088)</f>
        <v/>
      </c>
    </row>
  </sheetData>
  <mergeCells count="6">
    <mergeCell ref="C2:H3"/>
    <mergeCell ref="B17:C17"/>
    <mergeCell ref="C4:G4"/>
    <mergeCell ref="B5:C5"/>
    <mergeCell ref="B6:C6"/>
    <mergeCell ref="B16:C16"/>
  </mergeCells>
  <dataValidations count="1">
    <dataValidation type="list" allowBlank="1" showInputMessage="1" showErrorMessage="1" sqref="M20:M1106" xr:uid="{8E2F12F9-E4C5-44C9-AD32-9A3CE41B5909}">
      <formula1>"NÃO LANÇADA,FALTA CHEGAR,PARA REJEITAR,REJEITADA,NÃO PRECISA,RECEBIDA"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169B-0982-43BA-9FFA-3FCB04CD58BA}">
  <dimension ref="B2:L1000"/>
  <sheetViews>
    <sheetView showGridLines="0" workbookViewId="0">
      <selection activeCell="L4" sqref="L4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51.441406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IF('ENTRADAS-BASE'!A1="","",'ENTRADAS-BASE'!A1)</f>
        <v>#VALUE!</v>
      </c>
      <c r="C3" t="str">
        <f>IF('ENTRADAS-BASE'!B1="","",'ENTRADAS-BASE'!B1)</f>
        <v/>
      </c>
      <c r="D3" t="str">
        <f>IF('ENTRADAS-BASE'!C1="","",'ENTRADAS-BASE'!C1)</f>
        <v/>
      </c>
      <c r="E3" s="7" t="str">
        <f>IF('ENTRADAS-BASE'!D1="","",'ENTRADAS-BASE'!D1)</f>
        <v/>
      </c>
      <c r="F3" s="6" t="str">
        <f>IF('ENTRADAS-BASE'!E1="","",'ENTRADAS-BASE'!E1)</f>
        <v/>
      </c>
      <c r="G3" t="str">
        <f>IF('ENTRADAS-BASE'!F1="","",'ENTRADAS-BASE'!F1)</f>
        <v/>
      </c>
      <c r="H3" t="str">
        <f>IF('ENTRADAS-BASE'!G1="","",'ENTRADAS-BASE'!G1)</f>
        <v/>
      </c>
      <c r="I3" t="str">
        <f>IF('ENTRADAS-BASE'!H1="","",'ENTRADAS-BASE'!H1)</f>
        <v/>
      </c>
      <c r="J3" t="str">
        <f>IF('ENTRADAS-BASE'!I1="","",'ENTRADAS-BASE'!I1)</f>
        <v/>
      </c>
      <c r="K3" s="5" t="str">
        <f>IF('ENTRADAS-BASE'!J1="","",'ENTRADAS-BASE'!J1)</f>
        <v/>
      </c>
      <c r="L3" t="e" vm="1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>#VALUE!</v>
      </c>
    </row>
    <row r="4" spans="2:12" x14ac:dyDescent="0.3">
      <c r="B4" t="str">
        <f>IF('ENTRADAS-BASE'!A2="","",'ENTRADAS-BASE'!A2)</f>
        <v/>
      </c>
      <c r="C4" t="str">
        <f>IF('ENTRADAS-BASE'!B2="","",'ENTRADAS-BASE'!B2)</f>
        <v/>
      </c>
      <c r="D4" t="str">
        <f>IF('ENTRADAS-BASE'!C2="","",'ENTRADAS-BASE'!C2)</f>
        <v/>
      </c>
      <c r="E4" s="7" t="str">
        <f>IF('ENTRADAS-BASE'!D2="","",'ENTRADAS-BASE'!D2)</f>
        <v/>
      </c>
      <c r="F4" s="6" t="str">
        <f>IF('ENTRADAS-BASE'!E2="","",'ENTRADAS-BASE'!E2)</f>
        <v/>
      </c>
      <c r="G4" t="str">
        <f>IF('ENTRADAS-BASE'!F2="","",'ENTRADAS-BASE'!F2)</f>
        <v/>
      </c>
      <c r="H4" t="str">
        <f>IF('ENTRADAS-BASE'!G2="","",'ENTRADAS-BASE'!G2)</f>
        <v/>
      </c>
      <c r="I4" t="str">
        <f>IF('ENTRADAS-BASE'!H2="","",'ENTRADAS-BASE'!H2)</f>
        <v/>
      </c>
      <c r="J4" t="str">
        <f>IF('ENTRADAS-BASE'!I2="","",'ENTRADAS-BASE'!I2)</f>
        <v/>
      </c>
      <c r="K4" s="5" t="str">
        <f>IF('ENTRADAS-BASE'!J2="","",'ENTRADAS-BASE'!J2)</f>
        <v/>
      </c>
      <c r="L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" spans="2:12" x14ac:dyDescent="0.3">
      <c r="B5" t="str">
        <f>IF('ENTRADAS-BASE'!A3="","",'ENTRADAS-BASE'!A3)</f>
        <v/>
      </c>
      <c r="C5" t="str">
        <f>IF('ENTRADAS-BASE'!B3="","",'ENTRADAS-BASE'!B3)</f>
        <v/>
      </c>
      <c r="D5" t="str">
        <f>IF('ENTRADAS-BASE'!C3="","",'ENTRADAS-BASE'!C3)</f>
        <v/>
      </c>
      <c r="E5" s="7" t="str">
        <f>IF('ENTRADAS-BASE'!D3="","",'ENTRADAS-BASE'!D3)</f>
        <v/>
      </c>
      <c r="F5" s="6" t="str">
        <f>IF('ENTRADAS-BASE'!E3="","",'ENTRADAS-BASE'!E3)</f>
        <v/>
      </c>
      <c r="G5" t="str">
        <f>IF('ENTRADAS-BASE'!F3="","",'ENTRADAS-BASE'!F3)</f>
        <v/>
      </c>
      <c r="H5" t="str">
        <f>IF('ENTRADAS-BASE'!G3="","",'ENTRADAS-BASE'!G3)</f>
        <v/>
      </c>
      <c r="I5" t="str">
        <f>IF('ENTRADAS-BASE'!H3="","",'ENTRADAS-BASE'!H3)</f>
        <v/>
      </c>
      <c r="J5" t="str">
        <f>IF('ENTRADAS-BASE'!I3="","",'ENTRADAS-BASE'!I3)</f>
        <v/>
      </c>
      <c r="K5" s="5" t="str">
        <f>IF('ENTRADAS-BASE'!J3="","",'ENTRADAS-BASE'!J3)</f>
        <v/>
      </c>
      <c r="L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" spans="2:12" x14ac:dyDescent="0.3">
      <c r="B6" t="str">
        <f>IF('ENTRADAS-BASE'!A4="","",'ENTRADAS-BASE'!A4)</f>
        <v/>
      </c>
      <c r="C6" t="str">
        <f>IF('ENTRADAS-BASE'!B4="","",'ENTRADAS-BASE'!B4)</f>
        <v/>
      </c>
      <c r="D6" t="str">
        <f>IF('ENTRADAS-BASE'!C4="","",'ENTRADAS-BASE'!C4)</f>
        <v/>
      </c>
      <c r="E6" s="7" t="str">
        <f>IF('ENTRADAS-BASE'!D4="","",'ENTRADAS-BASE'!D4)</f>
        <v/>
      </c>
      <c r="F6" s="6" t="str">
        <f>IF('ENTRADAS-BASE'!E4="","",'ENTRADAS-BASE'!E4)</f>
        <v/>
      </c>
      <c r="G6" t="str">
        <f>IF('ENTRADAS-BASE'!F4="","",'ENTRADAS-BASE'!F4)</f>
        <v/>
      </c>
      <c r="H6" t="str">
        <f>IF('ENTRADAS-BASE'!G4="","",'ENTRADAS-BASE'!G4)</f>
        <v/>
      </c>
      <c r="I6" t="str">
        <f>IF('ENTRADAS-BASE'!H4="","",'ENTRADAS-BASE'!H4)</f>
        <v/>
      </c>
      <c r="J6" t="str">
        <f>IF('ENTRADAS-BASE'!I4="","",'ENTRADAS-BASE'!I4)</f>
        <v/>
      </c>
      <c r="K6" s="5" t="str">
        <f>IF('ENTRADAS-BASE'!J4="","",'ENTRADAS-BASE'!J4)</f>
        <v/>
      </c>
      <c r="L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" spans="2:12" x14ac:dyDescent="0.3">
      <c r="B7" t="str">
        <f>IF('ENTRADAS-BASE'!A5="","",'ENTRADAS-BASE'!A5)</f>
        <v/>
      </c>
      <c r="C7" t="str">
        <f>IF('ENTRADAS-BASE'!B5="","",'ENTRADAS-BASE'!B5)</f>
        <v/>
      </c>
      <c r="D7" t="str">
        <f>IF('ENTRADAS-BASE'!C5="","",'ENTRADAS-BASE'!C5)</f>
        <v/>
      </c>
      <c r="E7" s="7" t="str">
        <f>IF('ENTRADAS-BASE'!D5="","",'ENTRADAS-BASE'!D5)</f>
        <v/>
      </c>
      <c r="F7" s="6" t="str">
        <f>IF('ENTRADAS-BASE'!E5="","",'ENTRADAS-BASE'!E5)</f>
        <v/>
      </c>
      <c r="G7" t="str">
        <f>IF('ENTRADAS-BASE'!F5="","",'ENTRADAS-BASE'!F5)</f>
        <v/>
      </c>
      <c r="H7" t="str">
        <f>IF('ENTRADAS-BASE'!G5="","",'ENTRADAS-BASE'!G5)</f>
        <v/>
      </c>
      <c r="I7" t="str">
        <f>IF('ENTRADAS-BASE'!H5="","",'ENTRADAS-BASE'!H5)</f>
        <v/>
      </c>
      <c r="J7" t="str">
        <f>IF('ENTRADAS-BASE'!I5="","",'ENTRADAS-BASE'!I5)</f>
        <v/>
      </c>
      <c r="K7" s="5" t="str">
        <f>IF('ENTRADAS-BASE'!J5="","",'ENTRADAS-BASE'!J5)</f>
        <v/>
      </c>
      <c r="L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" spans="2:12" x14ac:dyDescent="0.3">
      <c r="B8" t="str">
        <f>IF('ENTRADAS-BASE'!A6="","",'ENTRADAS-BASE'!A6)</f>
        <v/>
      </c>
      <c r="C8" t="str">
        <f>IF('ENTRADAS-BASE'!B6="","",'ENTRADAS-BASE'!B6)</f>
        <v/>
      </c>
      <c r="D8" t="str">
        <f>IF('ENTRADAS-BASE'!C6="","",'ENTRADAS-BASE'!C6)</f>
        <v/>
      </c>
      <c r="E8" s="7" t="str">
        <f>IF('ENTRADAS-BASE'!D6="","",'ENTRADAS-BASE'!D6)</f>
        <v/>
      </c>
      <c r="F8" s="6" t="str">
        <f>IF('ENTRADAS-BASE'!E6="","",'ENTRADAS-BASE'!E6)</f>
        <v/>
      </c>
      <c r="G8" t="str">
        <f>IF('ENTRADAS-BASE'!F6="","",'ENTRADAS-BASE'!F6)</f>
        <v/>
      </c>
      <c r="H8" t="str">
        <f>IF('ENTRADAS-BASE'!G6="","",'ENTRADAS-BASE'!G6)</f>
        <v/>
      </c>
      <c r="I8" t="str">
        <f>IF('ENTRADAS-BASE'!H6="","",'ENTRADAS-BASE'!H6)</f>
        <v/>
      </c>
      <c r="J8" t="str">
        <f>IF('ENTRADAS-BASE'!I6="","",'ENTRADAS-BASE'!I6)</f>
        <v/>
      </c>
      <c r="K8" s="5" t="str">
        <f>IF('ENTRADAS-BASE'!J6="","",'ENTRADAS-BASE'!J6)</f>
        <v/>
      </c>
      <c r="L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" spans="2:12" x14ac:dyDescent="0.3">
      <c r="B9" t="str">
        <f>IF('ENTRADAS-BASE'!A7="","",'ENTRADAS-BASE'!A7)</f>
        <v/>
      </c>
      <c r="C9" t="str">
        <f>IF('ENTRADAS-BASE'!B7="","",'ENTRADAS-BASE'!B7)</f>
        <v/>
      </c>
      <c r="D9" t="str">
        <f>IF('ENTRADAS-BASE'!C7="","",'ENTRADAS-BASE'!C7)</f>
        <v/>
      </c>
      <c r="E9" s="7" t="str">
        <f>IF('ENTRADAS-BASE'!D7="","",'ENTRADAS-BASE'!D7)</f>
        <v/>
      </c>
      <c r="F9" s="6" t="str">
        <f>IF('ENTRADAS-BASE'!E7="","",'ENTRADAS-BASE'!E7)</f>
        <v/>
      </c>
      <c r="G9" t="str">
        <f>IF('ENTRADAS-BASE'!F7="","",'ENTRADAS-BASE'!F7)</f>
        <v/>
      </c>
      <c r="H9" t="str">
        <f>IF('ENTRADAS-BASE'!G7="","",'ENTRADAS-BASE'!G7)</f>
        <v/>
      </c>
      <c r="I9" t="str">
        <f>IF('ENTRADAS-BASE'!H7="","",'ENTRADAS-BASE'!H7)</f>
        <v/>
      </c>
      <c r="J9" t="str">
        <f>IF('ENTRADAS-BASE'!I7="","",'ENTRADAS-BASE'!I7)</f>
        <v/>
      </c>
      <c r="K9" s="5" t="str">
        <f>IF('ENTRADAS-BASE'!J7="","",'ENTRADAS-BASE'!J7)</f>
        <v/>
      </c>
      <c r="L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" spans="2:12" x14ac:dyDescent="0.3">
      <c r="B10" t="str">
        <f>IF('ENTRADAS-BASE'!A8="","",'ENTRADAS-BASE'!A8)</f>
        <v/>
      </c>
      <c r="C10" t="str">
        <f>IF('ENTRADAS-BASE'!B8="","",'ENTRADAS-BASE'!B8)</f>
        <v/>
      </c>
      <c r="D10" t="str">
        <f>IF('ENTRADAS-BASE'!C8="","",'ENTRADAS-BASE'!C8)</f>
        <v/>
      </c>
      <c r="E10" s="7" t="str">
        <f>IF('ENTRADAS-BASE'!D8="","",'ENTRADAS-BASE'!D8)</f>
        <v/>
      </c>
      <c r="F10" s="6" t="str">
        <f>IF('ENTRADAS-BASE'!E8="","",'ENTRADAS-BASE'!E8)</f>
        <v/>
      </c>
      <c r="G10" t="str">
        <f>IF('ENTRADAS-BASE'!F8="","",'ENTRADAS-BASE'!F8)</f>
        <v/>
      </c>
      <c r="H10" t="str">
        <f>IF('ENTRADAS-BASE'!G8="","",'ENTRADAS-BASE'!G8)</f>
        <v/>
      </c>
      <c r="I10" t="str">
        <f>IF('ENTRADAS-BASE'!H8="","",'ENTRADAS-BASE'!H8)</f>
        <v/>
      </c>
      <c r="J10" t="str">
        <f>IF('ENTRADAS-BASE'!I8="","",'ENTRADAS-BASE'!I8)</f>
        <v/>
      </c>
      <c r="K10" s="5" t="str">
        <f>IF('ENTRADAS-BASE'!J8="","",'ENTRADAS-BASE'!J8)</f>
        <v/>
      </c>
      <c r="L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" spans="2:12" x14ac:dyDescent="0.3">
      <c r="B11" t="str">
        <f>IF('ENTRADAS-BASE'!A9="","",'ENTRADAS-BASE'!A9)</f>
        <v/>
      </c>
      <c r="C11" t="str">
        <f>IF('ENTRADAS-BASE'!B9="","",'ENTRADAS-BASE'!B9)</f>
        <v/>
      </c>
      <c r="D11" t="str">
        <f>IF('ENTRADAS-BASE'!C9="","",'ENTRADAS-BASE'!C9)</f>
        <v/>
      </c>
      <c r="E11" s="7" t="str">
        <f>IF('ENTRADAS-BASE'!D9="","",'ENTRADAS-BASE'!D9)</f>
        <v/>
      </c>
      <c r="F11" s="6" t="str">
        <f>IF('ENTRADAS-BASE'!E9="","",'ENTRADAS-BASE'!E9)</f>
        <v/>
      </c>
      <c r="G11" t="str">
        <f>IF('ENTRADAS-BASE'!F9="","",'ENTRADAS-BASE'!F9)</f>
        <v/>
      </c>
      <c r="H11" t="str">
        <f>IF('ENTRADAS-BASE'!G9="","",'ENTRADAS-BASE'!G9)</f>
        <v/>
      </c>
      <c r="I11" t="str">
        <f>IF('ENTRADAS-BASE'!H9="","",'ENTRADAS-BASE'!H9)</f>
        <v/>
      </c>
      <c r="J11" t="str">
        <f>IF('ENTRADAS-BASE'!I9="","",'ENTRADAS-BASE'!I9)</f>
        <v/>
      </c>
      <c r="K11" s="5" t="str">
        <f>IF('ENTRADAS-BASE'!J9="","",'ENTRADAS-BASE'!J9)</f>
        <v/>
      </c>
      <c r="L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" spans="2:12" x14ac:dyDescent="0.3">
      <c r="B12" t="str">
        <f>IF('ENTRADAS-BASE'!A10="","",'ENTRADAS-BASE'!A10)</f>
        <v/>
      </c>
      <c r="C12" t="str">
        <f>IF('ENTRADAS-BASE'!B10="","",'ENTRADAS-BASE'!B10)</f>
        <v/>
      </c>
      <c r="D12" t="str">
        <f>IF('ENTRADAS-BASE'!C10="","",'ENTRADAS-BASE'!C10)</f>
        <v/>
      </c>
      <c r="E12" s="7" t="str">
        <f>IF('ENTRADAS-BASE'!D10="","",'ENTRADAS-BASE'!D10)</f>
        <v/>
      </c>
      <c r="F12" s="6" t="str">
        <f>IF('ENTRADAS-BASE'!E10="","",'ENTRADAS-BASE'!E10)</f>
        <v/>
      </c>
      <c r="G12" t="str">
        <f>IF('ENTRADAS-BASE'!F10="","",'ENTRADAS-BASE'!F10)</f>
        <v/>
      </c>
      <c r="H12" t="str">
        <f>IF('ENTRADAS-BASE'!G10="","",'ENTRADAS-BASE'!G10)</f>
        <v/>
      </c>
      <c r="I12" t="str">
        <f>IF('ENTRADAS-BASE'!H10="","",'ENTRADAS-BASE'!H10)</f>
        <v/>
      </c>
      <c r="J12" t="str">
        <f>IF('ENTRADAS-BASE'!I10="","",'ENTRADAS-BASE'!I10)</f>
        <v/>
      </c>
      <c r="K12" s="5" t="str">
        <f>IF('ENTRADAS-BASE'!J10="","",'ENTRADAS-BASE'!J10)</f>
        <v/>
      </c>
      <c r="L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" spans="2:12" x14ac:dyDescent="0.3">
      <c r="B13" t="str">
        <f>IF('ENTRADAS-BASE'!A11="","",'ENTRADAS-BASE'!A11)</f>
        <v/>
      </c>
      <c r="C13" t="str">
        <f>IF('ENTRADAS-BASE'!B11="","",'ENTRADAS-BASE'!B11)</f>
        <v/>
      </c>
      <c r="D13" t="str">
        <f>IF('ENTRADAS-BASE'!C11="","",'ENTRADAS-BASE'!C11)</f>
        <v/>
      </c>
      <c r="E13" s="7" t="str">
        <f>IF('ENTRADAS-BASE'!D11="","",'ENTRADAS-BASE'!D11)</f>
        <v/>
      </c>
      <c r="F13" s="6" t="str">
        <f>IF('ENTRADAS-BASE'!E11="","",'ENTRADAS-BASE'!E11)</f>
        <v/>
      </c>
      <c r="G13" t="str">
        <f>IF('ENTRADAS-BASE'!F11="","",'ENTRADAS-BASE'!F11)</f>
        <v/>
      </c>
      <c r="H13" t="str">
        <f>IF('ENTRADAS-BASE'!G11="","",'ENTRADAS-BASE'!G11)</f>
        <v/>
      </c>
      <c r="I13" t="str">
        <f>IF('ENTRADAS-BASE'!H11="","",'ENTRADAS-BASE'!H11)</f>
        <v/>
      </c>
      <c r="J13" t="str">
        <f>IF('ENTRADAS-BASE'!I11="","",'ENTRADAS-BASE'!I11)</f>
        <v/>
      </c>
      <c r="K13" s="5" t="str">
        <f>IF('ENTRADAS-BASE'!J11="","",'ENTRADAS-BASE'!J11)</f>
        <v/>
      </c>
      <c r="L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" spans="2:12" x14ac:dyDescent="0.3">
      <c r="B14" t="str">
        <f>IF('ENTRADAS-BASE'!A12="","",'ENTRADAS-BASE'!A12)</f>
        <v/>
      </c>
      <c r="C14" t="str">
        <f>IF('ENTRADAS-BASE'!B12="","",'ENTRADAS-BASE'!B12)</f>
        <v/>
      </c>
      <c r="D14" t="str">
        <f>IF('ENTRADAS-BASE'!C12="","",'ENTRADAS-BASE'!C12)</f>
        <v/>
      </c>
      <c r="E14" s="7" t="str">
        <f>IF('ENTRADAS-BASE'!D12="","",'ENTRADAS-BASE'!D12)</f>
        <v/>
      </c>
      <c r="F14" s="6" t="str">
        <f>IF('ENTRADAS-BASE'!E12="","",'ENTRADAS-BASE'!E12)</f>
        <v/>
      </c>
      <c r="G14" t="str">
        <f>IF('ENTRADAS-BASE'!F12="","",'ENTRADAS-BASE'!F12)</f>
        <v/>
      </c>
      <c r="H14" t="str">
        <f>IF('ENTRADAS-BASE'!G12="","",'ENTRADAS-BASE'!G12)</f>
        <v/>
      </c>
      <c r="I14" t="str">
        <f>IF('ENTRADAS-BASE'!H12="","",'ENTRADAS-BASE'!H12)</f>
        <v/>
      </c>
      <c r="J14" t="str">
        <f>IF('ENTRADAS-BASE'!I12="","",'ENTRADAS-BASE'!I12)</f>
        <v/>
      </c>
      <c r="K14" s="5" t="str">
        <f>IF('ENTRADAS-BASE'!J12="","",'ENTRADAS-BASE'!J12)</f>
        <v/>
      </c>
      <c r="L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" spans="2:12" x14ac:dyDescent="0.3">
      <c r="B15" t="str">
        <f>IF('ENTRADAS-BASE'!A13="","",'ENTRADAS-BASE'!A13)</f>
        <v/>
      </c>
      <c r="C15" t="str">
        <f>IF('ENTRADAS-BASE'!B13="","",'ENTRADAS-BASE'!B13)</f>
        <v/>
      </c>
      <c r="D15" t="str">
        <f>IF('ENTRADAS-BASE'!C13="","",'ENTRADAS-BASE'!C13)</f>
        <v/>
      </c>
      <c r="E15" s="7" t="str">
        <f>IF('ENTRADAS-BASE'!D13="","",'ENTRADAS-BASE'!D13)</f>
        <v/>
      </c>
      <c r="F15" s="6" t="str">
        <f>IF('ENTRADAS-BASE'!E13="","",'ENTRADAS-BASE'!E13)</f>
        <v/>
      </c>
      <c r="G15" t="str">
        <f>IF('ENTRADAS-BASE'!F13="","",'ENTRADAS-BASE'!F13)</f>
        <v/>
      </c>
      <c r="H15" t="str">
        <f>IF('ENTRADAS-BASE'!G13="","",'ENTRADAS-BASE'!G13)</f>
        <v/>
      </c>
      <c r="I15" t="str">
        <f>IF('ENTRADAS-BASE'!H13="","",'ENTRADAS-BASE'!H13)</f>
        <v/>
      </c>
      <c r="J15" t="str">
        <f>IF('ENTRADAS-BASE'!I13="","",'ENTRADAS-BASE'!I13)</f>
        <v/>
      </c>
      <c r="K15" s="5" t="str">
        <f>IF('ENTRADAS-BASE'!J13="","",'ENTRADAS-BASE'!J13)</f>
        <v/>
      </c>
      <c r="L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" spans="2:12" x14ac:dyDescent="0.3">
      <c r="B16" t="str">
        <f>IF('ENTRADAS-BASE'!A14="","",'ENTRADAS-BASE'!A14)</f>
        <v/>
      </c>
      <c r="C16" t="str">
        <f>IF('ENTRADAS-BASE'!B14="","",'ENTRADAS-BASE'!B14)</f>
        <v/>
      </c>
      <c r="D16" t="str">
        <f>IF('ENTRADAS-BASE'!C14="","",'ENTRADAS-BASE'!C14)</f>
        <v/>
      </c>
      <c r="E16" s="7" t="str">
        <f>IF('ENTRADAS-BASE'!D14="","",'ENTRADAS-BASE'!D14)</f>
        <v/>
      </c>
      <c r="F16" s="6" t="str">
        <f>IF('ENTRADAS-BASE'!E14="","",'ENTRADAS-BASE'!E14)</f>
        <v/>
      </c>
      <c r="G16" t="str">
        <f>IF('ENTRADAS-BASE'!F14="","",'ENTRADAS-BASE'!F14)</f>
        <v/>
      </c>
      <c r="H16" t="str">
        <f>IF('ENTRADAS-BASE'!G14="","",'ENTRADAS-BASE'!G14)</f>
        <v/>
      </c>
      <c r="I16" t="str">
        <f>IF('ENTRADAS-BASE'!H14="","",'ENTRADAS-BASE'!H14)</f>
        <v/>
      </c>
      <c r="J16" t="str">
        <f>IF('ENTRADAS-BASE'!I14="","",'ENTRADAS-BASE'!I14)</f>
        <v/>
      </c>
      <c r="K16" s="5" t="str">
        <f>IF('ENTRADAS-BASE'!J14="","",'ENTRADAS-BASE'!J14)</f>
        <v/>
      </c>
      <c r="L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" spans="2:12" x14ac:dyDescent="0.3">
      <c r="B17" t="str">
        <f>IF('ENTRADAS-BASE'!A15="","",'ENTRADAS-BASE'!A15)</f>
        <v/>
      </c>
      <c r="C17" t="str">
        <f>IF('ENTRADAS-BASE'!B15="","",'ENTRADAS-BASE'!B15)</f>
        <v/>
      </c>
      <c r="D17" t="str">
        <f>IF('ENTRADAS-BASE'!C15="","",'ENTRADAS-BASE'!C15)</f>
        <v/>
      </c>
      <c r="E17" s="7" t="str">
        <f>IF('ENTRADAS-BASE'!D15="","",'ENTRADAS-BASE'!D15)</f>
        <v/>
      </c>
      <c r="F17" s="6" t="str">
        <f>IF('ENTRADAS-BASE'!E15="","",'ENTRADAS-BASE'!E15)</f>
        <v/>
      </c>
      <c r="G17" t="str">
        <f>IF('ENTRADAS-BASE'!F15="","",'ENTRADAS-BASE'!F15)</f>
        <v/>
      </c>
      <c r="H17" t="str">
        <f>IF('ENTRADAS-BASE'!G15="","",'ENTRADAS-BASE'!G15)</f>
        <v/>
      </c>
      <c r="I17" t="str">
        <f>IF('ENTRADAS-BASE'!H15="","",'ENTRADAS-BASE'!H15)</f>
        <v/>
      </c>
      <c r="J17" t="str">
        <f>IF('ENTRADAS-BASE'!I15="","",'ENTRADAS-BASE'!I15)</f>
        <v/>
      </c>
      <c r="K17" s="5" t="str">
        <f>IF('ENTRADAS-BASE'!J15="","",'ENTRADAS-BASE'!J15)</f>
        <v/>
      </c>
      <c r="L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" spans="2:12" x14ac:dyDescent="0.3">
      <c r="B18" t="str">
        <f>IF('ENTRADAS-BASE'!A16="","",'ENTRADAS-BASE'!A16)</f>
        <v/>
      </c>
      <c r="C18" t="str">
        <f>IF('ENTRADAS-BASE'!B16="","",'ENTRADAS-BASE'!B16)</f>
        <v/>
      </c>
      <c r="D18" t="str">
        <f>IF('ENTRADAS-BASE'!C16="","",'ENTRADAS-BASE'!C16)</f>
        <v/>
      </c>
      <c r="E18" s="7" t="str">
        <f>IF('ENTRADAS-BASE'!D16="","",'ENTRADAS-BASE'!D16)</f>
        <v/>
      </c>
      <c r="F18" s="6" t="str">
        <f>IF('ENTRADAS-BASE'!E16="","",'ENTRADAS-BASE'!E16)</f>
        <v/>
      </c>
      <c r="G18" t="str">
        <f>IF('ENTRADAS-BASE'!F16="","",'ENTRADAS-BASE'!F16)</f>
        <v/>
      </c>
      <c r="H18" t="str">
        <f>IF('ENTRADAS-BASE'!G16="","",'ENTRADAS-BASE'!G16)</f>
        <v/>
      </c>
      <c r="I18" t="str">
        <f>IF('ENTRADAS-BASE'!H16="","",'ENTRADAS-BASE'!H16)</f>
        <v/>
      </c>
      <c r="J18" t="str">
        <f>IF('ENTRADAS-BASE'!I16="","",'ENTRADAS-BASE'!I16)</f>
        <v/>
      </c>
      <c r="K18" s="5" t="str">
        <f>IF('ENTRADAS-BASE'!J16="","",'ENTRADAS-BASE'!J16)</f>
        <v/>
      </c>
      <c r="L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" spans="2:12" x14ac:dyDescent="0.3">
      <c r="B19" t="str">
        <f>IF('ENTRADAS-BASE'!A17="","",'ENTRADAS-BASE'!A17)</f>
        <v/>
      </c>
      <c r="C19" t="str">
        <f>IF('ENTRADAS-BASE'!B17="","",'ENTRADAS-BASE'!B17)</f>
        <v/>
      </c>
      <c r="D19" t="str">
        <f>IF('ENTRADAS-BASE'!C17="","",'ENTRADAS-BASE'!C17)</f>
        <v/>
      </c>
      <c r="E19" s="7" t="str">
        <f>IF('ENTRADAS-BASE'!D17="","",'ENTRADAS-BASE'!D17)</f>
        <v/>
      </c>
      <c r="F19" s="6" t="str">
        <f>IF('ENTRADAS-BASE'!E17="","",'ENTRADAS-BASE'!E17)</f>
        <v/>
      </c>
      <c r="G19" t="str">
        <f>IF('ENTRADAS-BASE'!F17="","",'ENTRADAS-BASE'!F17)</f>
        <v/>
      </c>
      <c r="H19" t="str">
        <f>IF('ENTRADAS-BASE'!G17="","",'ENTRADAS-BASE'!G17)</f>
        <v/>
      </c>
      <c r="I19" t="str">
        <f>IF('ENTRADAS-BASE'!H17="","",'ENTRADAS-BASE'!H17)</f>
        <v/>
      </c>
      <c r="J19" t="str">
        <f>IF('ENTRADAS-BASE'!I17="","",'ENTRADAS-BASE'!I17)</f>
        <v/>
      </c>
      <c r="K19" s="5" t="str">
        <f>IF('ENTRADAS-BASE'!J17="","",'ENTRADAS-BASE'!J17)</f>
        <v/>
      </c>
      <c r="L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" spans="2:12" x14ac:dyDescent="0.3">
      <c r="B20" t="str">
        <f>IF('ENTRADAS-BASE'!A18="","",'ENTRADAS-BASE'!A18)</f>
        <v/>
      </c>
      <c r="C20" t="str">
        <f>IF('ENTRADAS-BASE'!B18="","",'ENTRADAS-BASE'!B18)</f>
        <v/>
      </c>
      <c r="D20" t="str">
        <f>IF('ENTRADAS-BASE'!C18="","",'ENTRADAS-BASE'!C18)</f>
        <v/>
      </c>
      <c r="E20" s="7" t="str">
        <f>IF('ENTRADAS-BASE'!D18="","",'ENTRADAS-BASE'!D18)</f>
        <v/>
      </c>
      <c r="F20" s="6" t="str">
        <f>IF('ENTRADAS-BASE'!E18="","",'ENTRADAS-BASE'!E18)</f>
        <v/>
      </c>
      <c r="G20" t="str">
        <f>IF('ENTRADAS-BASE'!F18="","",'ENTRADAS-BASE'!F18)</f>
        <v/>
      </c>
      <c r="H20" t="str">
        <f>IF('ENTRADAS-BASE'!G18="","",'ENTRADAS-BASE'!G18)</f>
        <v/>
      </c>
      <c r="I20" t="str">
        <f>IF('ENTRADAS-BASE'!H18="","",'ENTRADAS-BASE'!H18)</f>
        <v/>
      </c>
      <c r="J20" t="str">
        <f>IF('ENTRADAS-BASE'!I18="","",'ENTRADAS-BASE'!I18)</f>
        <v/>
      </c>
      <c r="K20" s="5" t="str">
        <f>IF('ENTRADAS-BASE'!J18="","",'ENTRADAS-BASE'!J18)</f>
        <v/>
      </c>
      <c r="L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" spans="2:12" x14ac:dyDescent="0.3">
      <c r="B21" t="str">
        <f>IF('ENTRADAS-BASE'!A19="","",'ENTRADAS-BASE'!A19)</f>
        <v/>
      </c>
      <c r="C21" t="str">
        <f>IF('ENTRADAS-BASE'!B19="","",'ENTRADAS-BASE'!B19)</f>
        <v/>
      </c>
      <c r="D21" t="str">
        <f>IF('ENTRADAS-BASE'!C19="","",'ENTRADAS-BASE'!C19)</f>
        <v/>
      </c>
      <c r="E21" s="7" t="str">
        <f>IF('ENTRADAS-BASE'!D19="","",'ENTRADAS-BASE'!D19)</f>
        <v/>
      </c>
      <c r="F21" s="6" t="str">
        <f>IF('ENTRADAS-BASE'!E19="","",'ENTRADAS-BASE'!E19)</f>
        <v/>
      </c>
      <c r="G21" t="str">
        <f>IF('ENTRADAS-BASE'!F19="","",'ENTRADAS-BASE'!F19)</f>
        <v/>
      </c>
      <c r="H21" t="str">
        <f>IF('ENTRADAS-BASE'!G19="","",'ENTRADAS-BASE'!G19)</f>
        <v/>
      </c>
      <c r="I21" t="str">
        <f>IF('ENTRADAS-BASE'!H19="","",'ENTRADAS-BASE'!H19)</f>
        <v/>
      </c>
      <c r="J21" t="str">
        <f>IF('ENTRADAS-BASE'!I19="","",'ENTRADAS-BASE'!I19)</f>
        <v/>
      </c>
      <c r="K21" s="5" t="str">
        <f>IF('ENTRADAS-BASE'!J19="","",'ENTRADAS-BASE'!J19)</f>
        <v/>
      </c>
      <c r="L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" spans="2:12" x14ac:dyDescent="0.3">
      <c r="B22" t="str">
        <f>IF('ENTRADAS-BASE'!A20="","",'ENTRADAS-BASE'!A20)</f>
        <v/>
      </c>
      <c r="C22" t="str">
        <f>IF('ENTRADAS-BASE'!B20="","",'ENTRADAS-BASE'!B20)</f>
        <v/>
      </c>
      <c r="D22" t="str">
        <f>IF('ENTRADAS-BASE'!C20="","",'ENTRADAS-BASE'!C20)</f>
        <v/>
      </c>
      <c r="E22" s="7" t="str">
        <f>IF('ENTRADAS-BASE'!D20="","",'ENTRADAS-BASE'!D20)</f>
        <v/>
      </c>
      <c r="F22" s="6" t="str">
        <f>IF('ENTRADAS-BASE'!E20="","",'ENTRADAS-BASE'!E20)</f>
        <v/>
      </c>
      <c r="G22" t="str">
        <f>IF('ENTRADAS-BASE'!F20="","",'ENTRADAS-BASE'!F20)</f>
        <v/>
      </c>
      <c r="H22" t="str">
        <f>IF('ENTRADAS-BASE'!G20="","",'ENTRADAS-BASE'!G20)</f>
        <v/>
      </c>
      <c r="I22" t="str">
        <f>IF('ENTRADAS-BASE'!H20="","",'ENTRADAS-BASE'!H20)</f>
        <v/>
      </c>
      <c r="J22" t="str">
        <f>IF('ENTRADAS-BASE'!I20="","",'ENTRADAS-BASE'!I20)</f>
        <v/>
      </c>
      <c r="K22" s="5" t="str">
        <f>IF('ENTRADAS-BASE'!J20="","",'ENTRADAS-BASE'!J20)</f>
        <v/>
      </c>
      <c r="L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" spans="2:12" x14ac:dyDescent="0.3">
      <c r="B23" t="str">
        <f>IF('ENTRADAS-BASE'!A21="","",'ENTRADAS-BASE'!A21)</f>
        <v/>
      </c>
      <c r="C23" t="str">
        <f>IF('ENTRADAS-BASE'!B21="","",'ENTRADAS-BASE'!B21)</f>
        <v/>
      </c>
      <c r="D23" t="str">
        <f>IF('ENTRADAS-BASE'!C21="","",'ENTRADAS-BASE'!C21)</f>
        <v/>
      </c>
      <c r="E23" s="7" t="str">
        <f>IF('ENTRADAS-BASE'!D21="","",'ENTRADAS-BASE'!D21)</f>
        <v/>
      </c>
      <c r="F23" s="6" t="str">
        <f>IF('ENTRADAS-BASE'!E21="","",'ENTRADAS-BASE'!E21)</f>
        <v/>
      </c>
      <c r="G23" t="str">
        <f>IF('ENTRADAS-BASE'!F21="","",'ENTRADAS-BASE'!F21)</f>
        <v/>
      </c>
      <c r="H23" t="str">
        <f>IF('ENTRADAS-BASE'!G21="","",'ENTRADAS-BASE'!G21)</f>
        <v/>
      </c>
      <c r="I23" t="str">
        <f>IF('ENTRADAS-BASE'!H21="","",'ENTRADAS-BASE'!H21)</f>
        <v/>
      </c>
      <c r="J23" t="str">
        <f>IF('ENTRADAS-BASE'!I21="","",'ENTRADAS-BASE'!I21)</f>
        <v/>
      </c>
      <c r="K23" s="5" t="str">
        <f>IF('ENTRADAS-BASE'!J21="","",'ENTRADAS-BASE'!J21)</f>
        <v/>
      </c>
      <c r="L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" spans="2:12" x14ac:dyDescent="0.3">
      <c r="B24" t="str">
        <f>IF('ENTRADAS-BASE'!A22="","",'ENTRADAS-BASE'!A22)</f>
        <v/>
      </c>
      <c r="C24" t="str">
        <f>IF('ENTRADAS-BASE'!B22="","",'ENTRADAS-BASE'!B22)</f>
        <v/>
      </c>
      <c r="D24" t="str">
        <f>IF('ENTRADAS-BASE'!C22="","",'ENTRADAS-BASE'!C22)</f>
        <v/>
      </c>
      <c r="E24" s="7" t="str">
        <f>IF('ENTRADAS-BASE'!D22="","",'ENTRADAS-BASE'!D22)</f>
        <v/>
      </c>
      <c r="F24" s="6" t="str">
        <f>IF('ENTRADAS-BASE'!E22="","",'ENTRADAS-BASE'!E22)</f>
        <v/>
      </c>
      <c r="G24" t="str">
        <f>IF('ENTRADAS-BASE'!F22="","",'ENTRADAS-BASE'!F22)</f>
        <v/>
      </c>
      <c r="H24" t="str">
        <f>IF('ENTRADAS-BASE'!G22="","",'ENTRADAS-BASE'!G22)</f>
        <v/>
      </c>
      <c r="I24" t="str">
        <f>IF('ENTRADAS-BASE'!H22="","",'ENTRADAS-BASE'!H22)</f>
        <v/>
      </c>
      <c r="J24" t="str">
        <f>IF('ENTRADAS-BASE'!I22="","",'ENTRADAS-BASE'!I22)</f>
        <v/>
      </c>
      <c r="K24" s="5" t="str">
        <f>IF('ENTRADAS-BASE'!J22="","",'ENTRADAS-BASE'!J22)</f>
        <v/>
      </c>
      <c r="L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" spans="2:12" x14ac:dyDescent="0.3">
      <c r="B25" t="str">
        <f>IF('ENTRADAS-BASE'!A23="","",'ENTRADAS-BASE'!A23)</f>
        <v/>
      </c>
      <c r="C25" t="str">
        <f>IF('ENTRADAS-BASE'!B23="","",'ENTRADAS-BASE'!B23)</f>
        <v/>
      </c>
      <c r="D25" t="str">
        <f>IF('ENTRADAS-BASE'!C23="","",'ENTRADAS-BASE'!C23)</f>
        <v/>
      </c>
      <c r="E25" s="7" t="str">
        <f>IF('ENTRADAS-BASE'!D23="","",'ENTRADAS-BASE'!D23)</f>
        <v/>
      </c>
      <c r="F25" s="6" t="str">
        <f>IF('ENTRADAS-BASE'!E23="","",'ENTRADAS-BASE'!E23)</f>
        <v/>
      </c>
      <c r="G25" t="str">
        <f>IF('ENTRADAS-BASE'!F23="","",'ENTRADAS-BASE'!F23)</f>
        <v/>
      </c>
      <c r="H25" t="str">
        <f>IF('ENTRADAS-BASE'!G23="","",'ENTRADAS-BASE'!G23)</f>
        <v/>
      </c>
      <c r="I25" t="str">
        <f>IF('ENTRADAS-BASE'!H23="","",'ENTRADAS-BASE'!H23)</f>
        <v/>
      </c>
      <c r="J25" t="str">
        <f>IF('ENTRADAS-BASE'!I23="","",'ENTRADAS-BASE'!I23)</f>
        <v/>
      </c>
      <c r="K25" s="5" t="str">
        <f>IF('ENTRADAS-BASE'!J23="","",'ENTRADAS-BASE'!J23)</f>
        <v/>
      </c>
      <c r="L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" spans="2:12" x14ac:dyDescent="0.3">
      <c r="B26" t="str">
        <f>IF('ENTRADAS-BASE'!A24="","",'ENTRADAS-BASE'!A24)</f>
        <v/>
      </c>
      <c r="C26" t="str">
        <f>IF('ENTRADAS-BASE'!B24="","",'ENTRADAS-BASE'!B24)</f>
        <v/>
      </c>
      <c r="D26" t="str">
        <f>IF('ENTRADAS-BASE'!C24="","",'ENTRADAS-BASE'!C24)</f>
        <v/>
      </c>
      <c r="E26" s="7" t="str">
        <f>IF('ENTRADAS-BASE'!D24="","",'ENTRADAS-BASE'!D24)</f>
        <v/>
      </c>
      <c r="F26" s="6" t="str">
        <f>IF('ENTRADAS-BASE'!E24="","",'ENTRADAS-BASE'!E24)</f>
        <v/>
      </c>
      <c r="G26" t="str">
        <f>IF('ENTRADAS-BASE'!F24="","",'ENTRADAS-BASE'!F24)</f>
        <v/>
      </c>
      <c r="H26" t="str">
        <f>IF('ENTRADAS-BASE'!G24="","",'ENTRADAS-BASE'!G24)</f>
        <v/>
      </c>
      <c r="I26" t="str">
        <f>IF('ENTRADAS-BASE'!H24="","",'ENTRADAS-BASE'!H24)</f>
        <v/>
      </c>
      <c r="J26" t="str">
        <f>IF('ENTRADAS-BASE'!I24="","",'ENTRADAS-BASE'!I24)</f>
        <v/>
      </c>
      <c r="K26" s="5" t="str">
        <f>IF('ENTRADAS-BASE'!J24="","",'ENTRADAS-BASE'!J24)</f>
        <v/>
      </c>
      <c r="L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" spans="2:12" x14ac:dyDescent="0.3">
      <c r="B27" t="str">
        <f>IF('ENTRADAS-BASE'!A25="","",'ENTRADAS-BASE'!A25)</f>
        <v/>
      </c>
      <c r="C27" t="str">
        <f>IF('ENTRADAS-BASE'!B25="","",'ENTRADAS-BASE'!B25)</f>
        <v/>
      </c>
      <c r="D27" t="str">
        <f>IF('ENTRADAS-BASE'!C25="","",'ENTRADAS-BASE'!C25)</f>
        <v/>
      </c>
      <c r="E27" s="7" t="str">
        <f>IF('ENTRADAS-BASE'!D25="","",'ENTRADAS-BASE'!D25)</f>
        <v/>
      </c>
      <c r="F27" s="6" t="str">
        <f>IF('ENTRADAS-BASE'!E25="","",'ENTRADAS-BASE'!E25)</f>
        <v/>
      </c>
      <c r="G27" t="str">
        <f>IF('ENTRADAS-BASE'!F25="","",'ENTRADAS-BASE'!F25)</f>
        <v/>
      </c>
      <c r="H27" t="str">
        <f>IF('ENTRADAS-BASE'!G25="","",'ENTRADAS-BASE'!G25)</f>
        <v/>
      </c>
      <c r="I27" t="str">
        <f>IF('ENTRADAS-BASE'!H25="","",'ENTRADAS-BASE'!H25)</f>
        <v/>
      </c>
      <c r="J27" t="str">
        <f>IF('ENTRADAS-BASE'!I25="","",'ENTRADAS-BASE'!I25)</f>
        <v/>
      </c>
      <c r="K27" s="5" t="str">
        <f>IF('ENTRADAS-BASE'!J25="","",'ENTRADAS-BASE'!J25)</f>
        <v/>
      </c>
      <c r="L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" spans="2:12" x14ac:dyDescent="0.3">
      <c r="B28" t="str">
        <f>IF('ENTRADAS-BASE'!A26="","",'ENTRADAS-BASE'!A26)</f>
        <v/>
      </c>
      <c r="C28" t="str">
        <f>IF('ENTRADAS-BASE'!B26="","",'ENTRADAS-BASE'!B26)</f>
        <v/>
      </c>
      <c r="D28" t="str">
        <f>IF('ENTRADAS-BASE'!C26="","",'ENTRADAS-BASE'!C26)</f>
        <v/>
      </c>
      <c r="E28" s="7" t="str">
        <f>IF('ENTRADAS-BASE'!D26="","",'ENTRADAS-BASE'!D26)</f>
        <v/>
      </c>
      <c r="F28" s="6" t="str">
        <f>IF('ENTRADAS-BASE'!E26="","",'ENTRADAS-BASE'!E26)</f>
        <v/>
      </c>
      <c r="G28" t="str">
        <f>IF('ENTRADAS-BASE'!F26="","",'ENTRADAS-BASE'!F26)</f>
        <v/>
      </c>
      <c r="H28" t="str">
        <f>IF('ENTRADAS-BASE'!G26="","",'ENTRADAS-BASE'!G26)</f>
        <v/>
      </c>
      <c r="I28" t="str">
        <f>IF('ENTRADAS-BASE'!H26="","",'ENTRADAS-BASE'!H26)</f>
        <v/>
      </c>
      <c r="J28" t="str">
        <f>IF('ENTRADAS-BASE'!I26="","",'ENTRADAS-BASE'!I26)</f>
        <v/>
      </c>
      <c r="K28" s="5" t="str">
        <f>IF('ENTRADAS-BASE'!J26="","",'ENTRADAS-BASE'!J26)</f>
        <v/>
      </c>
      <c r="L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" spans="2:12" x14ac:dyDescent="0.3">
      <c r="B29" t="str">
        <f>IF('ENTRADAS-BASE'!A27="","",'ENTRADAS-BASE'!A27)</f>
        <v/>
      </c>
      <c r="C29" t="str">
        <f>IF('ENTRADAS-BASE'!B27="","",'ENTRADAS-BASE'!B27)</f>
        <v/>
      </c>
      <c r="D29" t="str">
        <f>IF('ENTRADAS-BASE'!C27="","",'ENTRADAS-BASE'!C27)</f>
        <v/>
      </c>
      <c r="E29" s="7" t="str">
        <f>IF('ENTRADAS-BASE'!D27="","",'ENTRADAS-BASE'!D27)</f>
        <v/>
      </c>
      <c r="F29" s="6" t="str">
        <f>IF('ENTRADAS-BASE'!E27="","",'ENTRADAS-BASE'!E27)</f>
        <v/>
      </c>
      <c r="G29" t="str">
        <f>IF('ENTRADAS-BASE'!F27="","",'ENTRADAS-BASE'!F27)</f>
        <v/>
      </c>
      <c r="H29" t="str">
        <f>IF('ENTRADAS-BASE'!G27="","",'ENTRADAS-BASE'!G27)</f>
        <v/>
      </c>
      <c r="I29" t="str">
        <f>IF('ENTRADAS-BASE'!H27="","",'ENTRADAS-BASE'!H27)</f>
        <v/>
      </c>
      <c r="J29" t="str">
        <f>IF('ENTRADAS-BASE'!I27="","",'ENTRADAS-BASE'!I27)</f>
        <v/>
      </c>
      <c r="K29" s="5" t="str">
        <f>IF('ENTRADAS-BASE'!J27="","",'ENTRADAS-BASE'!J27)</f>
        <v/>
      </c>
      <c r="L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" spans="2:12" x14ac:dyDescent="0.3">
      <c r="B30" t="str">
        <f>IF('ENTRADAS-BASE'!A28="","",'ENTRADAS-BASE'!A28)</f>
        <v/>
      </c>
      <c r="C30" t="str">
        <f>IF('ENTRADAS-BASE'!B28="","",'ENTRADAS-BASE'!B28)</f>
        <v/>
      </c>
      <c r="D30" t="str">
        <f>IF('ENTRADAS-BASE'!C28="","",'ENTRADAS-BASE'!C28)</f>
        <v/>
      </c>
      <c r="E30" s="7" t="str">
        <f>IF('ENTRADAS-BASE'!D28="","",'ENTRADAS-BASE'!D28)</f>
        <v/>
      </c>
      <c r="F30" s="6" t="str">
        <f>IF('ENTRADAS-BASE'!E28="","",'ENTRADAS-BASE'!E28)</f>
        <v/>
      </c>
      <c r="G30" t="str">
        <f>IF('ENTRADAS-BASE'!F28="","",'ENTRADAS-BASE'!F28)</f>
        <v/>
      </c>
      <c r="H30" t="str">
        <f>IF('ENTRADAS-BASE'!G28="","",'ENTRADAS-BASE'!G28)</f>
        <v/>
      </c>
      <c r="I30" t="str">
        <f>IF('ENTRADAS-BASE'!H28="","",'ENTRADAS-BASE'!H28)</f>
        <v/>
      </c>
      <c r="J30" t="str">
        <f>IF('ENTRADAS-BASE'!I28="","",'ENTRADAS-BASE'!I28)</f>
        <v/>
      </c>
      <c r="K30" s="5" t="str">
        <f>IF('ENTRADAS-BASE'!J28="","",'ENTRADAS-BASE'!J28)</f>
        <v/>
      </c>
      <c r="L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" spans="2:12" x14ac:dyDescent="0.3">
      <c r="B31" t="str">
        <f>IF('ENTRADAS-BASE'!A29="","",'ENTRADAS-BASE'!A29)</f>
        <v/>
      </c>
      <c r="C31" t="str">
        <f>IF('ENTRADAS-BASE'!B29="","",'ENTRADAS-BASE'!B29)</f>
        <v/>
      </c>
      <c r="D31" t="str">
        <f>IF('ENTRADAS-BASE'!C29="","",'ENTRADAS-BASE'!C29)</f>
        <v/>
      </c>
      <c r="E31" s="7" t="str">
        <f>IF('ENTRADAS-BASE'!D29="","",'ENTRADAS-BASE'!D29)</f>
        <v/>
      </c>
      <c r="F31" s="6" t="str">
        <f>IF('ENTRADAS-BASE'!E29="","",'ENTRADAS-BASE'!E29)</f>
        <v/>
      </c>
      <c r="G31" t="str">
        <f>IF('ENTRADAS-BASE'!F29="","",'ENTRADAS-BASE'!F29)</f>
        <v/>
      </c>
      <c r="H31" t="str">
        <f>IF('ENTRADAS-BASE'!G29="","",'ENTRADAS-BASE'!G29)</f>
        <v/>
      </c>
      <c r="I31" t="str">
        <f>IF('ENTRADAS-BASE'!H29="","",'ENTRADAS-BASE'!H29)</f>
        <v/>
      </c>
      <c r="J31" t="str">
        <f>IF('ENTRADAS-BASE'!I29="","",'ENTRADAS-BASE'!I29)</f>
        <v/>
      </c>
      <c r="K31" s="5" t="str">
        <f>IF('ENTRADAS-BASE'!J29="","",'ENTRADAS-BASE'!J29)</f>
        <v/>
      </c>
      <c r="L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" spans="2:12" x14ac:dyDescent="0.3">
      <c r="B32" t="str">
        <f>IF('ENTRADAS-BASE'!A30="","",'ENTRADAS-BASE'!A30)</f>
        <v/>
      </c>
      <c r="C32" t="str">
        <f>IF('ENTRADAS-BASE'!B30="","",'ENTRADAS-BASE'!B30)</f>
        <v/>
      </c>
      <c r="D32" t="str">
        <f>IF('ENTRADAS-BASE'!C30="","",'ENTRADAS-BASE'!C30)</f>
        <v/>
      </c>
      <c r="E32" s="7" t="str">
        <f>IF('ENTRADAS-BASE'!D30="","",'ENTRADAS-BASE'!D30)</f>
        <v/>
      </c>
      <c r="F32" s="6" t="str">
        <f>IF('ENTRADAS-BASE'!E30="","",'ENTRADAS-BASE'!E30)</f>
        <v/>
      </c>
      <c r="G32" t="str">
        <f>IF('ENTRADAS-BASE'!F30="","",'ENTRADAS-BASE'!F30)</f>
        <v/>
      </c>
      <c r="H32" t="str">
        <f>IF('ENTRADAS-BASE'!G30="","",'ENTRADAS-BASE'!G30)</f>
        <v/>
      </c>
      <c r="I32" t="str">
        <f>IF('ENTRADAS-BASE'!H30="","",'ENTRADAS-BASE'!H30)</f>
        <v/>
      </c>
      <c r="J32" t="str">
        <f>IF('ENTRADAS-BASE'!I30="","",'ENTRADAS-BASE'!I30)</f>
        <v/>
      </c>
      <c r="K32" s="5" t="str">
        <f>IF('ENTRADAS-BASE'!J30="","",'ENTRADAS-BASE'!J30)</f>
        <v/>
      </c>
      <c r="L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" spans="2:12" x14ac:dyDescent="0.3">
      <c r="B33" t="str">
        <f>IF('ENTRADAS-BASE'!A31="","",'ENTRADAS-BASE'!A31)</f>
        <v/>
      </c>
      <c r="C33" t="str">
        <f>IF('ENTRADAS-BASE'!B31="","",'ENTRADAS-BASE'!B31)</f>
        <v/>
      </c>
      <c r="D33" t="str">
        <f>IF('ENTRADAS-BASE'!C31="","",'ENTRADAS-BASE'!C31)</f>
        <v/>
      </c>
      <c r="E33" s="7" t="str">
        <f>IF('ENTRADAS-BASE'!D31="","",'ENTRADAS-BASE'!D31)</f>
        <v/>
      </c>
      <c r="F33" s="6" t="str">
        <f>IF('ENTRADAS-BASE'!E31="","",'ENTRADAS-BASE'!E31)</f>
        <v/>
      </c>
      <c r="G33" t="str">
        <f>IF('ENTRADAS-BASE'!F31="","",'ENTRADAS-BASE'!F31)</f>
        <v/>
      </c>
      <c r="H33" t="str">
        <f>IF('ENTRADAS-BASE'!G31="","",'ENTRADAS-BASE'!G31)</f>
        <v/>
      </c>
      <c r="I33" t="str">
        <f>IF('ENTRADAS-BASE'!H31="","",'ENTRADAS-BASE'!H31)</f>
        <v/>
      </c>
      <c r="J33" t="str">
        <f>IF('ENTRADAS-BASE'!I31="","",'ENTRADAS-BASE'!I31)</f>
        <v/>
      </c>
      <c r="K33" s="5" t="str">
        <f>IF('ENTRADAS-BASE'!J31="","",'ENTRADAS-BASE'!J31)</f>
        <v/>
      </c>
      <c r="L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" spans="2:12" x14ac:dyDescent="0.3">
      <c r="B34" t="str">
        <f>IF('ENTRADAS-BASE'!A32="","",'ENTRADAS-BASE'!A32)</f>
        <v/>
      </c>
      <c r="C34" t="str">
        <f>IF('ENTRADAS-BASE'!B32="","",'ENTRADAS-BASE'!B32)</f>
        <v/>
      </c>
      <c r="D34" t="str">
        <f>IF('ENTRADAS-BASE'!C32="","",'ENTRADAS-BASE'!C32)</f>
        <v/>
      </c>
      <c r="E34" s="7" t="str">
        <f>IF('ENTRADAS-BASE'!D32="","",'ENTRADAS-BASE'!D32)</f>
        <v/>
      </c>
      <c r="F34" s="6" t="str">
        <f>IF('ENTRADAS-BASE'!E32="","",'ENTRADAS-BASE'!E32)</f>
        <v/>
      </c>
      <c r="G34" t="str">
        <f>IF('ENTRADAS-BASE'!F32="","",'ENTRADAS-BASE'!F32)</f>
        <v/>
      </c>
      <c r="H34" t="str">
        <f>IF('ENTRADAS-BASE'!G32="","",'ENTRADAS-BASE'!G32)</f>
        <v/>
      </c>
      <c r="I34" t="str">
        <f>IF('ENTRADAS-BASE'!H32="","",'ENTRADAS-BASE'!H32)</f>
        <v/>
      </c>
      <c r="J34" t="str">
        <f>IF('ENTRADAS-BASE'!I32="","",'ENTRADAS-BASE'!I32)</f>
        <v/>
      </c>
      <c r="K34" s="5" t="str">
        <f>IF('ENTRADAS-BASE'!J32="","",'ENTRADAS-BASE'!J32)</f>
        <v/>
      </c>
      <c r="L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" spans="2:12" x14ac:dyDescent="0.3">
      <c r="B35" t="str">
        <f>IF('ENTRADAS-BASE'!A33="","",'ENTRADAS-BASE'!A33)</f>
        <v/>
      </c>
      <c r="C35" t="str">
        <f>IF('ENTRADAS-BASE'!B33="","",'ENTRADAS-BASE'!B33)</f>
        <v/>
      </c>
      <c r="D35" t="str">
        <f>IF('ENTRADAS-BASE'!C33="","",'ENTRADAS-BASE'!C33)</f>
        <v/>
      </c>
      <c r="E35" s="7" t="str">
        <f>IF('ENTRADAS-BASE'!D33="","",'ENTRADAS-BASE'!D33)</f>
        <v/>
      </c>
      <c r="F35" s="6" t="str">
        <f>IF('ENTRADAS-BASE'!E33="","",'ENTRADAS-BASE'!E33)</f>
        <v/>
      </c>
      <c r="G35" t="str">
        <f>IF('ENTRADAS-BASE'!F33="","",'ENTRADAS-BASE'!F33)</f>
        <v/>
      </c>
      <c r="H35" t="str">
        <f>IF('ENTRADAS-BASE'!G33="","",'ENTRADAS-BASE'!G33)</f>
        <v/>
      </c>
      <c r="I35" t="str">
        <f>IF('ENTRADAS-BASE'!H33="","",'ENTRADAS-BASE'!H33)</f>
        <v/>
      </c>
      <c r="J35" t="str">
        <f>IF('ENTRADAS-BASE'!I33="","",'ENTRADAS-BASE'!I33)</f>
        <v/>
      </c>
      <c r="K35" s="5" t="str">
        <f>IF('ENTRADAS-BASE'!J33="","",'ENTRADAS-BASE'!J33)</f>
        <v/>
      </c>
      <c r="L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" spans="2:12" x14ac:dyDescent="0.3">
      <c r="B36" t="str">
        <f>IF('ENTRADAS-BASE'!A34="","",'ENTRADAS-BASE'!A34)</f>
        <v/>
      </c>
      <c r="C36" t="str">
        <f>IF('ENTRADAS-BASE'!B34="","",'ENTRADAS-BASE'!B34)</f>
        <v/>
      </c>
      <c r="D36" t="str">
        <f>IF('ENTRADAS-BASE'!C34="","",'ENTRADAS-BASE'!C34)</f>
        <v/>
      </c>
      <c r="E36" s="7" t="str">
        <f>IF('ENTRADAS-BASE'!D34="","",'ENTRADAS-BASE'!D34)</f>
        <v/>
      </c>
      <c r="F36" s="6" t="str">
        <f>IF('ENTRADAS-BASE'!E34="","",'ENTRADAS-BASE'!E34)</f>
        <v/>
      </c>
      <c r="G36" t="str">
        <f>IF('ENTRADAS-BASE'!F34="","",'ENTRADAS-BASE'!F34)</f>
        <v/>
      </c>
      <c r="H36" t="str">
        <f>IF('ENTRADAS-BASE'!G34="","",'ENTRADAS-BASE'!G34)</f>
        <v/>
      </c>
      <c r="I36" t="str">
        <f>IF('ENTRADAS-BASE'!H34="","",'ENTRADAS-BASE'!H34)</f>
        <v/>
      </c>
      <c r="J36" t="str">
        <f>IF('ENTRADAS-BASE'!I34="","",'ENTRADAS-BASE'!I34)</f>
        <v/>
      </c>
      <c r="K36" s="5" t="str">
        <f>IF('ENTRADAS-BASE'!J34="","",'ENTRADAS-BASE'!J34)</f>
        <v/>
      </c>
      <c r="L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" spans="2:12" x14ac:dyDescent="0.3">
      <c r="B37" t="str">
        <f>IF('ENTRADAS-BASE'!A35="","",'ENTRADAS-BASE'!A35)</f>
        <v/>
      </c>
      <c r="C37" t="str">
        <f>IF('ENTRADAS-BASE'!B35="","",'ENTRADAS-BASE'!B35)</f>
        <v/>
      </c>
      <c r="D37" t="str">
        <f>IF('ENTRADAS-BASE'!C35="","",'ENTRADAS-BASE'!C35)</f>
        <v/>
      </c>
      <c r="E37" s="7" t="str">
        <f>IF('ENTRADAS-BASE'!D35="","",'ENTRADAS-BASE'!D35)</f>
        <v/>
      </c>
      <c r="F37" s="6" t="str">
        <f>IF('ENTRADAS-BASE'!E35="","",'ENTRADAS-BASE'!E35)</f>
        <v/>
      </c>
      <c r="G37" t="str">
        <f>IF('ENTRADAS-BASE'!F35="","",'ENTRADAS-BASE'!F35)</f>
        <v/>
      </c>
      <c r="H37" t="str">
        <f>IF('ENTRADAS-BASE'!G35="","",'ENTRADAS-BASE'!G35)</f>
        <v/>
      </c>
      <c r="I37" t="str">
        <f>IF('ENTRADAS-BASE'!H35="","",'ENTRADAS-BASE'!H35)</f>
        <v/>
      </c>
      <c r="J37" t="str">
        <f>IF('ENTRADAS-BASE'!I35="","",'ENTRADAS-BASE'!I35)</f>
        <v/>
      </c>
      <c r="K37" s="5" t="str">
        <f>IF('ENTRADAS-BASE'!J35="","",'ENTRADAS-BASE'!J35)</f>
        <v/>
      </c>
      <c r="L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" spans="2:12" x14ac:dyDescent="0.3">
      <c r="B38" t="str">
        <f>IF('ENTRADAS-BASE'!A36="","",'ENTRADAS-BASE'!A36)</f>
        <v/>
      </c>
      <c r="C38" t="str">
        <f>IF('ENTRADAS-BASE'!B36="","",'ENTRADAS-BASE'!B36)</f>
        <v/>
      </c>
      <c r="D38" t="str">
        <f>IF('ENTRADAS-BASE'!C36="","",'ENTRADAS-BASE'!C36)</f>
        <v/>
      </c>
      <c r="E38" s="7" t="str">
        <f>IF('ENTRADAS-BASE'!D36="","",'ENTRADAS-BASE'!D36)</f>
        <v/>
      </c>
      <c r="F38" s="6" t="str">
        <f>IF('ENTRADAS-BASE'!E36="","",'ENTRADAS-BASE'!E36)</f>
        <v/>
      </c>
      <c r="G38" t="str">
        <f>IF('ENTRADAS-BASE'!F36="","",'ENTRADAS-BASE'!F36)</f>
        <v/>
      </c>
      <c r="H38" t="str">
        <f>IF('ENTRADAS-BASE'!G36="","",'ENTRADAS-BASE'!G36)</f>
        <v/>
      </c>
      <c r="I38" t="str">
        <f>IF('ENTRADAS-BASE'!H36="","",'ENTRADAS-BASE'!H36)</f>
        <v/>
      </c>
      <c r="J38" t="str">
        <f>IF('ENTRADAS-BASE'!I36="","",'ENTRADAS-BASE'!I36)</f>
        <v/>
      </c>
      <c r="K38" s="5" t="str">
        <f>IF('ENTRADAS-BASE'!J36="","",'ENTRADAS-BASE'!J36)</f>
        <v/>
      </c>
      <c r="L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" spans="2:12" x14ac:dyDescent="0.3">
      <c r="B39" t="str">
        <f>IF('ENTRADAS-BASE'!A37="","",'ENTRADAS-BASE'!A37)</f>
        <v/>
      </c>
      <c r="C39" t="str">
        <f>IF('ENTRADAS-BASE'!B37="","",'ENTRADAS-BASE'!B37)</f>
        <v/>
      </c>
      <c r="D39" t="str">
        <f>IF('ENTRADAS-BASE'!C37="","",'ENTRADAS-BASE'!C37)</f>
        <v/>
      </c>
      <c r="E39" s="7" t="str">
        <f>IF('ENTRADAS-BASE'!D37="","",'ENTRADAS-BASE'!D37)</f>
        <v/>
      </c>
      <c r="F39" s="6" t="str">
        <f>IF('ENTRADAS-BASE'!E37="","",'ENTRADAS-BASE'!E37)</f>
        <v/>
      </c>
      <c r="G39" t="str">
        <f>IF('ENTRADAS-BASE'!F37="","",'ENTRADAS-BASE'!F37)</f>
        <v/>
      </c>
      <c r="H39" t="str">
        <f>IF('ENTRADAS-BASE'!G37="","",'ENTRADAS-BASE'!G37)</f>
        <v/>
      </c>
      <c r="I39" t="str">
        <f>IF('ENTRADAS-BASE'!H37="","",'ENTRADAS-BASE'!H37)</f>
        <v/>
      </c>
      <c r="J39" t="str">
        <f>IF('ENTRADAS-BASE'!I37="","",'ENTRADAS-BASE'!I37)</f>
        <v/>
      </c>
      <c r="K39" s="5" t="str">
        <f>IF('ENTRADAS-BASE'!J37="","",'ENTRADAS-BASE'!J37)</f>
        <v/>
      </c>
      <c r="L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" spans="2:12" x14ac:dyDescent="0.3">
      <c r="B40" t="str">
        <f>IF('ENTRADAS-BASE'!A38="","",'ENTRADAS-BASE'!A38)</f>
        <v/>
      </c>
      <c r="C40" t="str">
        <f>IF('ENTRADAS-BASE'!B38="","",'ENTRADAS-BASE'!B38)</f>
        <v/>
      </c>
      <c r="D40" t="str">
        <f>IF('ENTRADAS-BASE'!C38="","",'ENTRADAS-BASE'!C38)</f>
        <v/>
      </c>
      <c r="E40" s="7" t="str">
        <f>IF('ENTRADAS-BASE'!D38="","",'ENTRADAS-BASE'!D38)</f>
        <v/>
      </c>
      <c r="F40" s="6" t="str">
        <f>IF('ENTRADAS-BASE'!E38="","",'ENTRADAS-BASE'!E38)</f>
        <v/>
      </c>
      <c r="G40" t="str">
        <f>IF('ENTRADAS-BASE'!F38="","",'ENTRADAS-BASE'!F38)</f>
        <v/>
      </c>
      <c r="H40" t="str">
        <f>IF('ENTRADAS-BASE'!G38="","",'ENTRADAS-BASE'!G38)</f>
        <v/>
      </c>
      <c r="I40" t="str">
        <f>IF('ENTRADAS-BASE'!H38="","",'ENTRADAS-BASE'!H38)</f>
        <v/>
      </c>
      <c r="J40" t="str">
        <f>IF('ENTRADAS-BASE'!I38="","",'ENTRADAS-BASE'!I38)</f>
        <v/>
      </c>
      <c r="K40" s="5" t="str">
        <f>IF('ENTRADAS-BASE'!J38="","",'ENTRADAS-BASE'!J38)</f>
        <v/>
      </c>
      <c r="L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" spans="2:12" x14ac:dyDescent="0.3">
      <c r="B41" t="str">
        <f>IF('ENTRADAS-BASE'!A39="","",'ENTRADAS-BASE'!A39)</f>
        <v/>
      </c>
      <c r="C41" t="str">
        <f>IF('ENTRADAS-BASE'!B39="","",'ENTRADAS-BASE'!B39)</f>
        <v/>
      </c>
      <c r="D41" t="str">
        <f>IF('ENTRADAS-BASE'!C39="","",'ENTRADAS-BASE'!C39)</f>
        <v/>
      </c>
      <c r="E41" s="7" t="str">
        <f>IF('ENTRADAS-BASE'!D39="","",'ENTRADAS-BASE'!D39)</f>
        <v/>
      </c>
      <c r="F41" s="6" t="str">
        <f>IF('ENTRADAS-BASE'!E39="","",'ENTRADAS-BASE'!E39)</f>
        <v/>
      </c>
      <c r="G41" t="str">
        <f>IF('ENTRADAS-BASE'!F39="","",'ENTRADAS-BASE'!F39)</f>
        <v/>
      </c>
      <c r="H41" t="str">
        <f>IF('ENTRADAS-BASE'!G39="","",'ENTRADAS-BASE'!G39)</f>
        <v/>
      </c>
      <c r="I41" t="str">
        <f>IF('ENTRADAS-BASE'!H39="","",'ENTRADAS-BASE'!H39)</f>
        <v/>
      </c>
      <c r="J41" t="str">
        <f>IF('ENTRADAS-BASE'!I39="","",'ENTRADAS-BASE'!I39)</f>
        <v/>
      </c>
      <c r="K41" s="5" t="str">
        <f>IF('ENTRADAS-BASE'!J39="","",'ENTRADAS-BASE'!J39)</f>
        <v/>
      </c>
      <c r="L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" spans="2:12" x14ac:dyDescent="0.3">
      <c r="B42" t="str">
        <f>IF('ENTRADAS-BASE'!A40="","",'ENTRADAS-BASE'!A40)</f>
        <v/>
      </c>
      <c r="C42" t="str">
        <f>IF('ENTRADAS-BASE'!B40="","",'ENTRADAS-BASE'!B40)</f>
        <v/>
      </c>
      <c r="D42" t="str">
        <f>IF('ENTRADAS-BASE'!C40="","",'ENTRADAS-BASE'!C40)</f>
        <v/>
      </c>
      <c r="E42" s="7" t="str">
        <f>IF('ENTRADAS-BASE'!D40="","",'ENTRADAS-BASE'!D40)</f>
        <v/>
      </c>
      <c r="F42" s="6" t="str">
        <f>IF('ENTRADAS-BASE'!E40="","",'ENTRADAS-BASE'!E40)</f>
        <v/>
      </c>
      <c r="G42" t="str">
        <f>IF('ENTRADAS-BASE'!F40="","",'ENTRADAS-BASE'!F40)</f>
        <v/>
      </c>
      <c r="H42" t="str">
        <f>IF('ENTRADAS-BASE'!G40="","",'ENTRADAS-BASE'!G40)</f>
        <v/>
      </c>
      <c r="I42" t="str">
        <f>IF('ENTRADAS-BASE'!H40="","",'ENTRADAS-BASE'!H40)</f>
        <v/>
      </c>
      <c r="J42" t="str">
        <f>IF('ENTRADAS-BASE'!I40="","",'ENTRADAS-BASE'!I40)</f>
        <v/>
      </c>
      <c r="K42" s="5" t="str">
        <f>IF('ENTRADAS-BASE'!J40="","",'ENTRADAS-BASE'!J40)</f>
        <v/>
      </c>
      <c r="L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" spans="2:12" x14ac:dyDescent="0.3">
      <c r="B43" t="str">
        <f>IF('ENTRADAS-BASE'!A41="","",'ENTRADAS-BASE'!A41)</f>
        <v/>
      </c>
      <c r="C43" t="str">
        <f>IF('ENTRADAS-BASE'!B41="","",'ENTRADAS-BASE'!B41)</f>
        <v/>
      </c>
      <c r="D43" t="str">
        <f>IF('ENTRADAS-BASE'!C41="","",'ENTRADAS-BASE'!C41)</f>
        <v/>
      </c>
      <c r="E43" s="7" t="str">
        <f>IF('ENTRADAS-BASE'!D41="","",'ENTRADAS-BASE'!D41)</f>
        <v/>
      </c>
      <c r="F43" s="6" t="str">
        <f>IF('ENTRADAS-BASE'!E41="","",'ENTRADAS-BASE'!E41)</f>
        <v/>
      </c>
      <c r="G43" t="str">
        <f>IF('ENTRADAS-BASE'!F41="","",'ENTRADAS-BASE'!F41)</f>
        <v/>
      </c>
      <c r="H43" t="str">
        <f>IF('ENTRADAS-BASE'!G41="","",'ENTRADAS-BASE'!G41)</f>
        <v/>
      </c>
      <c r="I43" t="str">
        <f>IF('ENTRADAS-BASE'!H41="","",'ENTRADAS-BASE'!H41)</f>
        <v/>
      </c>
      <c r="J43" t="str">
        <f>IF('ENTRADAS-BASE'!I41="","",'ENTRADAS-BASE'!I41)</f>
        <v/>
      </c>
      <c r="K43" s="5" t="str">
        <f>IF('ENTRADAS-BASE'!J41="","",'ENTRADAS-BASE'!J41)</f>
        <v/>
      </c>
      <c r="L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" spans="2:12" x14ac:dyDescent="0.3">
      <c r="B44" t="str">
        <f>IF('ENTRADAS-BASE'!A42="","",'ENTRADAS-BASE'!A42)</f>
        <v/>
      </c>
      <c r="C44" t="str">
        <f>IF('ENTRADAS-BASE'!B42="","",'ENTRADAS-BASE'!B42)</f>
        <v/>
      </c>
      <c r="D44" t="str">
        <f>IF('ENTRADAS-BASE'!C42="","",'ENTRADAS-BASE'!C42)</f>
        <v/>
      </c>
      <c r="E44" s="7" t="str">
        <f>IF('ENTRADAS-BASE'!D42="","",'ENTRADAS-BASE'!D42)</f>
        <v/>
      </c>
      <c r="F44" s="6" t="str">
        <f>IF('ENTRADAS-BASE'!E42="","",'ENTRADAS-BASE'!E42)</f>
        <v/>
      </c>
      <c r="G44" t="str">
        <f>IF('ENTRADAS-BASE'!F42="","",'ENTRADAS-BASE'!F42)</f>
        <v/>
      </c>
      <c r="H44" t="str">
        <f>IF('ENTRADAS-BASE'!G42="","",'ENTRADAS-BASE'!G42)</f>
        <v/>
      </c>
      <c r="I44" t="str">
        <f>IF('ENTRADAS-BASE'!H42="","",'ENTRADAS-BASE'!H42)</f>
        <v/>
      </c>
      <c r="J44" t="str">
        <f>IF('ENTRADAS-BASE'!I42="","",'ENTRADAS-BASE'!I42)</f>
        <v/>
      </c>
      <c r="K44" s="5" t="str">
        <f>IF('ENTRADAS-BASE'!J42="","",'ENTRADAS-BASE'!J42)</f>
        <v/>
      </c>
      <c r="L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" spans="2:12" x14ac:dyDescent="0.3">
      <c r="B45" t="str">
        <f>IF('ENTRADAS-BASE'!A43="","",'ENTRADAS-BASE'!A43)</f>
        <v/>
      </c>
      <c r="C45" t="str">
        <f>IF('ENTRADAS-BASE'!B43="","",'ENTRADAS-BASE'!B43)</f>
        <v/>
      </c>
      <c r="D45" t="str">
        <f>IF('ENTRADAS-BASE'!C43="","",'ENTRADAS-BASE'!C43)</f>
        <v/>
      </c>
      <c r="E45" s="7" t="str">
        <f>IF('ENTRADAS-BASE'!D43="","",'ENTRADAS-BASE'!D43)</f>
        <v/>
      </c>
      <c r="F45" s="6" t="str">
        <f>IF('ENTRADAS-BASE'!E43="","",'ENTRADAS-BASE'!E43)</f>
        <v/>
      </c>
      <c r="G45" t="str">
        <f>IF('ENTRADAS-BASE'!F43="","",'ENTRADAS-BASE'!F43)</f>
        <v/>
      </c>
      <c r="H45" t="str">
        <f>IF('ENTRADAS-BASE'!G43="","",'ENTRADAS-BASE'!G43)</f>
        <v/>
      </c>
      <c r="I45" t="str">
        <f>IF('ENTRADAS-BASE'!H43="","",'ENTRADAS-BASE'!H43)</f>
        <v/>
      </c>
      <c r="J45" t="str">
        <f>IF('ENTRADAS-BASE'!I43="","",'ENTRADAS-BASE'!I43)</f>
        <v/>
      </c>
      <c r="K45" s="5" t="str">
        <f>IF('ENTRADAS-BASE'!J43="","",'ENTRADAS-BASE'!J43)</f>
        <v/>
      </c>
      <c r="L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" spans="2:12" x14ac:dyDescent="0.3">
      <c r="B46" t="str">
        <f>IF('ENTRADAS-BASE'!A44="","",'ENTRADAS-BASE'!A44)</f>
        <v/>
      </c>
      <c r="C46" t="str">
        <f>IF('ENTRADAS-BASE'!B44="","",'ENTRADAS-BASE'!B44)</f>
        <v/>
      </c>
      <c r="D46" t="str">
        <f>IF('ENTRADAS-BASE'!C44="","",'ENTRADAS-BASE'!C44)</f>
        <v/>
      </c>
      <c r="E46" s="7" t="str">
        <f>IF('ENTRADAS-BASE'!D44="","",'ENTRADAS-BASE'!D44)</f>
        <v/>
      </c>
      <c r="F46" s="6" t="str">
        <f>IF('ENTRADAS-BASE'!E44="","",'ENTRADAS-BASE'!E44)</f>
        <v/>
      </c>
      <c r="G46" t="str">
        <f>IF('ENTRADAS-BASE'!F44="","",'ENTRADAS-BASE'!F44)</f>
        <v/>
      </c>
      <c r="H46" t="str">
        <f>IF('ENTRADAS-BASE'!G44="","",'ENTRADAS-BASE'!G44)</f>
        <v/>
      </c>
      <c r="I46" t="str">
        <f>IF('ENTRADAS-BASE'!H44="","",'ENTRADAS-BASE'!H44)</f>
        <v/>
      </c>
      <c r="J46" t="str">
        <f>IF('ENTRADAS-BASE'!I44="","",'ENTRADAS-BASE'!I44)</f>
        <v/>
      </c>
      <c r="K46" s="5" t="str">
        <f>IF('ENTRADAS-BASE'!J44="","",'ENTRADAS-BASE'!J44)</f>
        <v/>
      </c>
      <c r="L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" spans="2:12" x14ac:dyDescent="0.3">
      <c r="B47" t="str">
        <f>IF('ENTRADAS-BASE'!A45="","",'ENTRADAS-BASE'!A45)</f>
        <v/>
      </c>
      <c r="C47" t="str">
        <f>IF('ENTRADAS-BASE'!B45="","",'ENTRADAS-BASE'!B45)</f>
        <v/>
      </c>
      <c r="D47" t="str">
        <f>IF('ENTRADAS-BASE'!C45="","",'ENTRADAS-BASE'!C45)</f>
        <v/>
      </c>
      <c r="E47" s="7" t="str">
        <f>IF('ENTRADAS-BASE'!D45="","",'ENTRADAS-BASE'!D45)</f>
        <v/>
      </c>
      <c r="F47" s="6" t="str">
        <f>IF('ENTRADAS-BASE'!E45="","",'ENTRADAS-BASE'!E45)</f>
        <v/>
      </c>
      <c r="G47" t="str">
        <f>IF('ENTRADAS-BASE'!F45="","",'ENTRADAS-BASE'!F45)</f>
        <v/>
      </c>
      <c r="H47" t="str">
        <f>IF('ENTRADAS-BASE'!G45="","",'ENTRADAS-BASE'!G45)</f>
        <v/>
      </c>
      <c r="I47" t="str">
        <f>IF('ENTRADAS-BASE'!H45="","",'ENTRADAS-BASE'!H45)</f>
        <v/>
      </c>
      <c r="J47" t="str">
        <f>IF('ENTRADAS-BASE'!I45="","",'ENTRADAS-BASE'!I45)</f>
        <v/>
      </c>
      <c r="K47" s="5" t="str">
        <f>IF('ENTRADAS-BASE'!J45="","",'ENTRADAS-BASE'!J45)</f>
        <v/>
      </c>
      <c r="L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" spans="2:12" x14ac:dyDescent="0.3">
      <c r="B48" t="str">
        <f>IF('ENTRADAS-BASE'!A46="","",'ENTRADAS-BASE'!A46)</f>
        <v/>
      </c>
      <c r="C48" t="str">
        <f>IF('ENTRADAS-BASE'!B46="","",'ENTRADAS-BASE'!B46)</f>
        <v/>
      </c>
      <c r="D48" t="str">
        <f>IF('ENTRADAS-BASE'!C46="","",'ENTRADAS-BASE'!C46)</f>
        <v/>
      </c>
      <c r="E48" s="7" t="str">
        <f>IF('ENTRADAS-BASE'!D46="","",'ENTRADAS-BASE'!D46)</f>
        <v/>
      </c>
      <c r="F48" s="6" t="str">
        <f>IF('ENTRADAS-BASE'!E46="","",'ENTRADAS-BASE'!E46)</f>
        <v/>
      </c>
      <c r="G48" t="str">
        <f>IF('ENTRADAS-BASE'!F46="","",'ENTRADAS-BASE'!F46)</f>
        <v/>
      </c>
      <c r="H48" t="str">
        <f>IF('ENTRADAS-BASE'!G46="","",'ENTRADAS-BASE'!G46)</f>
        <v/>
      </c>
      <c r="I48" t="str">
        <f>IF('ENTRADAS-BASE'!H46="","",'ENTRADAS-BASE'!H46)</f>
        <v/>
      </c>
      <c r="J48" t="str">
        <f>IF('ENTRADAS-BASE'!I46="","",'ENTRADAS-BASE'!I46)</f>
        <v/>
      </c>
      <c r="K48" s="5" t="str">
        <f>IF('ENTRADAS-BASE'!J46="","",'ENTRADAS-BASE'!J46)</f>
        <v/>
      </c>
      <c r="L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" spans="2:12" x14ac:dyDescent="0.3">
      <c r="B49" t="str">
        <f>IF('ENTRADAS-BASE'!A47="","",'ENTRADAS-BASE'!A47)</f>
        <v/>
      </c>
      <c r="C49" t="str">
        <f>IF('ENTRADAS-BASE'!B47="","",'ENTRADAS-BASE'!B47)</f>
        <v/>
      </c>
      <c r="D49" t="str">
        <f>IF('ENTRADAS-BASE'!C47="","",'ENTRADAS-BASE'!C47)</f>
        <v/>
      </c>
      <c r="E49" s="7" t="str">
        <f>IF('ENTRADAS-BASE'!D47="","",'ENTRADAS-BASE'!D47)</f>
        <v/>
      </c>
      <c r="F49" s="6" t="str">
        <f>IF('ENTRADAS-BASE'!E47="","",'ENTRADAS-BASE'!E47)</f>
        <v/>
      </c>
      <c r="G49" t="str">
        <f>IF('ENTRADAS-BASE'!F47="","",'ENTRADAS-BASE'!F47)</f>
        <v/>
      </c>
      <c r="H49" t="str">
        <f>IF('ENTRADAS-BASE'!G47="","",'ENTRADAS-BASE'!G47)</f>
        <v/>
      </c>
      <c r="I49" t="str">
        <f>IF('ENTRADAS-BASE'!H47="","",'ENTRADAS-BASE'!H47)</f>
        <v/>
      </c>
      <c r="J49" t="str">
        <f>IF('ENTRADAS-BASE'!I47="","",'ENTRADAS-BASE'!I47)</f>
        <v/>
      </c>
      <c r="K49" s="5" t="str">
        <f>IF('ENTRADAS-BASE'!J47="","",'ENTRADAS-BASE'!J47)</f>
        <v/>
      </c>
      <c r="L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" spans="2:12" x14ac:dyDescent="0.3">
      <c r="B50" t="str">
        <f>IF('ENTRADAS-BASE'!A48="","",'ENTRADAS-BASE'!A48)</f>
        <v/>
      </c>
      <c r="C50" t="str">
        <f>IF('ENTRADAS-BASE'!B48="","",'ENTRADAS-BASE'!B48)</f>
        <v/>
      </c>
      <c r="D50" t="str">
        <f>IF('ENTRADAS-BASE'!C48="","",'ENTRADAS-BASE'!C48)</f>
        <v/>
      </c>
      <c r="E50" s="7" t="str">
        <f>IF('ENTRADAS-BASE'!D48="","",'ENTRADAS-BASE'!D48)</f>
        <v/>
      </c>
      <c r="F50" s="6" t="str">
        <f>IF('ENTRADAS-BASE'!E48="","",'ENTRADAS-BASE'!E48)</f>
        <v/>
      </c>
      <c r="G50" t="str">
        <f>IF('ENTRADAS-BASE'!F48="","",'ENTRADAS-BASE'!F48)</f>
        <v/>
      </c>
      <c r="H50" t="str">
        <f>IF('ENTRADAS-BASE'!G48="","",'ENTRADAS-BASE'!G48)</f>
        <v/>
      </c>
      <c r="I50" t="str">
        <f>IF('ENTRADAS-BASE'!H48="","",'ENTRADAS-BASE'!H48)</f>
        <v/>
      </c>
      <c r="J50" t="str">
        <f>IF('ENTRADAS-BASE'!I48="","",'ENTRADAS-BASE'!I48)</f>
        <v/>
      </c>
      <c r="K50" s="5" t="str">
        <f>IF('ENTRADAS-BASE'!J48="","",'ENTRADAS-BASE'!J48)</f>
        <v/>
      </c>
      <c r="L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" spans="2:12" x14ac:dyDescent="0.3">
      <c r="B51" t="str">
        <f>IF('ENTRADAS-BASE'!A49="","",'ENTRADAS-BASE'!A49)</f>
        <v/>
      </c>
      <c r="C51" t="str">
        <f>IF('ENTRADAS-BASE'!B49="","",'ENTRADAS-BASE'!B49)</f>
        <v/>
      </c>
      <c r="D51" t="str">
        <f>IF('ENTRADAS-BASE'!C49="","",'ENTRADAS-BASE'!C49)</f>
        <v/>
      </c>
      <c r="E51" s="7" t="str">
        <f>IF('ENTRADAS-BASE'!D49="","",'ENTRADAS-BASE'!D49)</f>
        <v/>
      </c>
      <c r="F51" s="6" t="str">
        <f>IF('ENTRADAS-BASE'!E49="","",'ENTRADAS-BASE'!E49)</f>
        <v/>
      </c>
      <c r="G51" t="str">
        <f>IF('ENTRADAS-BASE'!F49="","",'ENTRADAS-BASE'!F49)</f>
        <v/>
      </c>
      <c r="H51" t="str">
        <f>IF('ENTRADAS-BASE'!G49="","",'ENTRADAS-BASE'!G49)</f>
        <v/>
      </c>
      <c r="I51" t="str">
        <f>IF('ENTRADAS-BASE'!H49="","",'ENTRADAS-BASE'!H49)</f>
        <v/>
      </c>
      <c r="J51" t="str">
        <f>IF('ENTRADAS-BASE'!I49="","",'ENTRADAS-BASE'!I49)</f>
        <v/>
      </c>
      <c r="K51" s="5" t="str">
        <f>IF('ENTRADAS-BASE'!J49="","",'ENTRADAS-BASE'!J49)</f>
        <v/>
      </c>
      <c r="L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" spans="2:12" x14ac:dyDescent="0.3">
      <c r="B52" t="str">
        <f>IF('ENTRADAS-BASE'!A50="","",'ENTRADAS-BASE'!A50)</f>
        <v/>
      </c>
      <c r="C52" t="str">
        <f>IF('ENTRADAS-BASE'!B50="","",'ENTRADAS-BASE'!B50)</f>
        <v/>
      </c>
      <c r="D52" t="str">
        <f>IF('ENTRADAS-BASE'!C50="","",'ENTRADAS-BASE'!C50)</f>
        <v/>
      </c>
      <c r="E52" s="7" t="str">
        <f>IF('ENTRADAS-BASE'!D50="","",'ENTRADAS-BASE'!D50)</f>
        <v/>
      </c>
      <c r="F52" s="6" t="str">
        <f>IF('ENTRADAS-BASE'!E50="","",'ENTRADAS-BASE'!E50)</f>
        <v/>
      </c>
      <c r="G52" t="str">
        <f>IF('ENTRADAS-BASE'!F50="","",'ENTRADAS-BASE'!F50)</f>
        <v/>
      </c>
      <c r="H52" t="str">
        <f>IF('ENTRADAS-BASE'!G50="","",'ENTRADAS-BASE'!G50)</f>
        <v/>
      </c>
      <c r="I52" t="str">
        <f>IF('ENTRADAS-BASE'!H50="","",'ENTRADAS-BASE'!H50)</f>
        <v/>
      </c>
      <c r="J52" t="str">
        <f>IF('ENTRADAS-BASE'!I50="","",'ENTRADAS-BASE'!I50)</f>
        <v/>
      </c>
      <c r="K52" s="5" t="str">
        <f>IF('ENTRADAS-BASE'!J50="","",'ENTRADAS-BASE'!J50)</f>
        <v/>
      </c>
      <c r="L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" spans="2:12" x14ac:dyDescent="0.3">
      <c r="B53" t="str">
        <f>IF('ENTRADAS-BASE'!A51="","",'ENTRADAS-BASE'!A51)</f>
        <v/>
      </c>
      <c r="C53" t="str">
        <f>IF('ENTRADAS-BASE'!B51="","",'ENTRADAS-BASE'!B51)</f>
        <v/>
      </c>
      <c r="D53" t="str">
        <f>IF('ENTRADAS-BASE'!C51="","",'ENTRADAS-BASE'!C51)</f>
        <v/>
      </c>
      <c r="E53" s="7" t="str">
        <f>IF('ENTRADAS-BASE'!D51="","",'ENTRADAS-BASE'!D51)</f>
        <v/>
      </c>
      <c r="F53" s="6" t="str">
        <f>IF('ENTRADAS-BASE'!E51="","",'ENTRADAS-BASE'!E51)</f>
        <v/>
      </c>
      <c r="G53" t="str">
        <f>IF('ENTRADAS-BASE'!F51="","",'ENTRADAS-BASE'!F51)</f>
        <v/>
      </c>
      <c r="H53" t="str">
        <f>IF('ENTRADAS-BASE'!G51="","",'ENTRADAS-BASE'!G51)</f>
        <v/>
      </c>
      <c r="I53" t="str">
        <f>IF('ENTRADAS-BASE'!H51="","",'ENTRADAS-BASE'!H51)</f>
        <v/>
      </c>
      <c r="J53" t="str">
        <f>IF('ENTRADAS-BASE'!I51="","",'ENTRADAS-BASE'!I51)</f>
        <v/>
      </c>
      <c r="K53" s="5" t="str">
        <f>IF('ENTRADAS-BASE'!J51="","",'ENTRADAS-BASE'!J51)</f>
        <v/>
      </c>
      <c r="L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" spans="2:12" x14ac:dyDescent="0.3">
      <c r="B54" t="str">
        <f>IF('ENTRADAS-BASE'!A52="","",'ENTRADAS-BASE'!A52)</f>
        <v/>
      </c>
      <c r="C54" t="str">
        <f>IF('ENTRADAS-BASE'!B52="","",'ENTRADAS-BASE'!B52)</f>
        <v/>
      </c>
      <c r="D54" t="str">
        <f>IF('ENTRADAS-BASE'!C52="","",'ENTRADAS-BASE'!C52)</f>
        <v/>
      </c>
      <c r="E54" s="7" t="str">
        <f>IF('ENTRADAS-BASE'!D52="","",'ENTRADAS-BASE'!D52)</f>
        <v/>
      </c>
      <c r="F54" s="6" t="str">
        <f>IF('ENTRADAS-BASE'!E52="","",'ENTRADAS-BASE'!E52)</f>
        <v/>
      </c>
      <c r="G54" t="str">
        <f>IF('ENTRADAS-BASE'!F52="","",'ENTRADAS-BASE'!F52)</f>
        <v/>
      </c>
      <c r="H54" t="str">
        <f>IF('ENTRADAS-BASE'!G52="","",'ENTRADAS-BASE'!G52)</f>
        <v/>
      </c>
      <c r="I54" t="str">
        <f>IF('ENTRADAS-BASE'!H52="","",'ENTRADAS-BASE'!H52)</f>
        <v/>
      </c>
      <c r="J54" t="str">
        <f>IF('ENTRADAS-BASE'!I52="","",'ENTRADAS-BASE'!I52)</f>
        <v/>
      </c>
      <c r="K54" s="5" t="str">
        <f>IF('ENTRADAS-BASE'!J52="","",'ENTRADAS-BASE'!J52)</f>
        <v/>
      </c>
      <c r="L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" spans="2:12" x14ac:dyDescent="0.3">
      <c r="B55" t="str">
        <f>IF('ENTRADAS-BASE'!A53="","",'ENTRADAS-BASE'!A53)</f>
        <v/>
      </c>
      <c r="C55" t="str">
        <f>IF('ENTRADAS-BASE'!B53="","",'ENTRADAS-BASE'!B53)</f>
        <v/>
      </c>
      <c r="D55" t="str">
        <f>IF('ENTRADAS-BASE'!C53="","",'ENTRADAS-BASE'!C53)</f>
        <v/>
      </c>
      <c r="E55" s="7" t="str">
        <f>IF('ENTRADAS-BASE'!D53="","",'ENTRADAS-BASE'!D53)</f>
        <v/>
      </c>
      <c r="F55" s="6" t="str">
        <f>IF('ENTRADAS-BASE'!E53="","",'ENTRADAS-BASE'!E53)</f>
        <v/>
      </c>
      <c r="G55" t="str">
        <f>IF('ENTRADAS-BASE'!F53="","",'ENTRADAS-BASE'!F53)</f>
        <v/>
      </c>
      <c r="H55" t="str">
        <f>IF('ENTRADAS-BASE'!G53="","",'ENTRADAS-BASE'!G53)</f>
        <v/>
      </c>
      <c r="I55" t="str">
        <f>IF('ENTRADAS-BASE'!H53="","",'ENTRADAS-BASE'!H53)</f>
        <v/>
      </c>
      <c r="J55" t="str">
        <f>IF('ENTRADAS-BASE'!I53="","",'ENTRADAS-BASE'!I53)</f>
        <v/>
      </c>
      <c r="K55" s="5" t="str">
        <f>IF('ENTRADAS-BASE'!J53="","",'ENTRADAS-BASE'!J53)</f>
        <v/>
      </c>
      <c r="L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" spans="2:12" x14ac:dyDescent="0.3">
      <c r="B56" t="str">
        <f>IF('ENTRADAS-BASE'!A54="","",'ENTRADAS-BASE'!A54)</f>
        <v/>
      </c>
      <c r="C56" t="str">
        <f>IF('ENTRADAS-BASE'!B54="","",'ENTRADAS-BASE'!B54)</f>
        <v/>
      </c>
      <c r="D56" t="str">
        <f>IF('ENTRADAS-BASE'!C54="","",'ENTRADAS-BASE'!C54)</f>
        <v/>
      </c>
      <c r="E56" s="7" t="str">
        <f>IF('ENTRADAS-BASE'!D54="","",'ENTRADAS-BASE'!D54)</f>
        <v/>
      </c>
      <c r="F56" s="6" t="str">
        <f>IF('ENTRADAS-BASE'!E54="","",'ENTRADAS-BASE'!E54)</f>
        <v/>
      </c>
      <c r="G56" t="str">
        <f>IF('ENTRADAS-BASE'!F54="","",'ENTRADAS-BASE'!F54)</f>
        <v/>
      </c>
      <c r="H56" t="str">
        <f>IF('ENTRADAS-BASE'!G54="","",'ENTRADAS-BASE'!G54)</f>
        <v/>
      </c>
      <c r="I56" t="str">
        <f>IF('ENTRADAS-BASE'!H54="","",'ENTRADAS-BASE'!H54)</f>
        <v/>
      </c>
      <c r="J56" t="str">
        <f>IF('ENTRADAS-BASE'!I54="","",'ENTRADAS-BASE'!I54)</f>
        <v/>
      </c>
      <c r="K56" s="5" t="str">
        <f>IF('ENTRADAS-BASE'!J54="","",'ENTRADAS-BASE'!J54)</f>
        <v/>
      </c>
      <c r="L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" spans="2:12" x14ac:dyDescent="0.3">
      <c r="B57" t="str">
        <f>IF('ENTRADAS-BASE'!A55="","",'ENTRADAS-BASE'!A55)</f>
        <v/>
      </c>
      <c r="C57" t="str">
        <f>IF('ENTRADAS-BASE'!B55="","",'ENTRADAS-BASE'!B55)</f>
        <v/>
      </c>
      <c r="D57" t="str">
        <f>IF('ENTRADAS-BASE'!C55="","",'ENTRADAS-BASE'!C55)</f>
        <v/>
      </c>
      <c r="E57" s="7" t="str">
        <f>IF('ENTRADAS-BASE'!D55="","",'ENTRADAS-BASE'!D55)</f>
        <v/>
      </c>
      <c r="F57" s="6" t="str">
        <f>IF('ENTRADAS-BASE'!E55="","",'ENTRADAS-BASE'!E55)</f>
        <v/>
      </c>
      <c r="G57" t="str">
        <f>IF('ENTRADAS-BASE'!F55="","",'ENTRADAS-BASE'!F55)</f>
        <v/>
      </c>
      <c r="H57" t="str">
        <f>IF('ENTRADAS-BASE'!G55="","",'ENTRADAS-BASE'!G55)</f>
        <v/>
      </c>
      <c r="I57" t="str">
        <f>IF('ENTRADAS-BASE'!H55="","",'ENTRADAS-BASE'!H55)</f>
        <v/>
      </c>
      <c r="J57" t="str">
        <f>IF('ENTRADAS-BASE'!I55="","",'ENTRADAS-BASE'!I55)</f>
        <v/>
      </c>
      <c r="K57" s="5" t="str">
        <f>IF('ENTRADAS-BASE'!J55="","",'ENTRADAS-BASE'!J55)</f>
        <v/>
      </c>
      <c r="L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" spans="2:12" x14ac:dyDescent="0.3">
      <c r="B58" t="str">
        <f>IF('ENTRADAS-BASE'!A56="","",'ENTRADAS-BASE'!A56)</f>
        <v/>
      </c>
      <c r="C58" t="str">
        <f>IF('ENTRADAS-BASE'!B56="","",'ENTRADAS-BASE'!B56)</f>
        <v/>
      </c>
      <c r="D58" t="str">
        <f>IF('ENTRADAS-BASE'!C56="","",'ENTRADAS-BASE'!C56)</f>
        <v/>
      </c>
      <c r="E58" s="7" t="str">
        <f>IF('ENTRADAS-BASE'!D56="","",'ENTRADAS-BASE'!D56)</f>
        <v/>
      </c>
      <c r="F58" s="6" t="str">
        <f>IF('ENTRADAS-BASE'!E56="","",'ENTRADAS-BASE'!E56)</f>
        <v/>
      </c>
      <c r="G58" t="str">
        <f>IF('ENTRADAS-BASE'!F56="","",'ENTRADAS-BASE'!F56)</f>
        <v/>
      </c>
      <c r="H58" t="str">
        <f>IF('ENTRADAS-BASE'!G56="","",'ENTRADAS-BASE'!G56)</f>
        <v/>
      </c>
      <c r="I58" t="str">
        <f>IF('ENTRADAS-BASE'!H56="","",'ENTRADAS-BASE'!H56)</f>
        <v/>
      </c>
      <c r="J58" t="str">
        <f>IF('ENTRADAS-BASE'!I56="","",'ENTRADAS-BASE'!I56)</f>
        <v/>
      </c>
      <c r="K58" s="5" t="str">
        <f>IF('ENTRADAS-BASE'!J56="","",'ENTRADAS-BASE'!J56)</f>
        <v/>
      </c>
      <c r="L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" spans="2:12" x14ac:dyDescent="0.3">
      <c r="B59" t="str">
        <f>IF('ENTRADAS-BASE'!A57="","",'ENTRADAS-BASE'!A57)</f>
        <v/>
      </c>
      <c r="C59" t="str">
        <f>IF('ENTRADAS-BASE'!B57="","",'ENTRADAS-BASE'!B57)</f>
        <v/>
      </c>
      <c r="D59" t="str">
        <f>IF('ENTRADAS-BASE'!C57="","",'ENTRADAS-BASE'!C57)</f>
        <v/>
      </c>
      <c r="E59" s="7" t="str">
        <f>IF('ENTRADAS-BASE'!D57="","",'ENTRADAS-BASE'!D57)</f>
        <v/>
      </c>
      <c r="F59" s="6" t="str">
        <f>IF('ENTRADAS-BASE'!E57="","",'ENTRADAS-BASE'!E57)</f>
        <v/>
      </c>
      <c r="G59" t="str">
        <f>IF('ENTRADAS-BASE'!F57="","",'ENTRADAS-BASE'!F57)</f>
        <v/>
      </c>
      <c r="H59" t="str">
        <f>IF('ENTRADAS-BASE'!G57="","",'ENTRADAS-BASE'!G57)</f>
        <v/>
      </c>
      <c r="I59" t="str">
        <f>IF('ENTRADAS-BASE'!H57="","",'ENTRADAS-BASE'!H57)</f>
        <v/>
      </c>
      <c r="J59" t="str">
        <f>IF('ENTRADAS-BASE'!I57="","",'ENTRADAS-BASE'!I57)</f>
        <v/>
      </c>
      <c r="K59" s="5" t="str">
        <f>IF('ENTRADAS-BASE'!J57="","",'ENTRADAS-BASE'!J57)</f>
        <v/>
      </c>
      <c r="L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" spans="2:12" x14ac:dyDescent="0.3">
      <c r="B60" t="str">
        <f>IF('ENTRADAS-BASE'!A58="","",'ENTRADAS-BASE'!A58)</f>
        <v/>
      </c>
      <c r="C60" t="str">
        <f>IF('ENTRADAS-BASE'!B58="","",'ENTRADAS-BASE'!B58)</f>
        <v/>
      </c>
      <c r="D60" t="str">
        <f>IF('ENTRADAS-BASE'!C58="","",'ENTRADAS-BASE'!C58)</f>
        <v/>
      </c>
      <c r="E60" s="7" t="str">
        <f>IF('ENTRADAS-BASE'!D58="","",'ENTRADAS-BASE'!D58)</f>
        <v/>
      </c>
      <c r="F60" s="6" t="str">
        <f>IF('ENTRADAS-BASE'!E58="","",'ENTRADAS-BASE'!E58)</f>
        <v/>
      </c>
      <c r="G60" t="str">
        <f>IF('ENTRADAS-BASE'!F58="","",'ENTRADAS-BASE'!F58)</f>
        <v/>
      </c>
      <c r="H60" t="str">
        <f>IF('ENTRADAS-BASE'!G58="","",'ENTRADAS-BASE'!G58)</f>
        <v/>
      </c>
      <c r="I60" t="str">
        <f>IF('ENTRADAS-BASE'!H58="","",'ENTRADAS-BASE'!H58)</f>
        <v/>
      </c>
      <c r="J60" t="str">
        <f>IF('ENTRADAS-BASE'!I58="","",'ENTRADAS-BASE'!I58)</f>
        <v/>
      </c>
      <c r="K60" s="5" t="str">
        <f>IF('ENTRADAS-BASE'!J58="","",'ENTRADAS-BASE'!J58)</f>
        <v/>
      </c>
      <c r="L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" spans="2:12" x14ac:dyDescent="0.3">
      <c r="B61" t="str">
        <f>IF('ENTRADAS-BASE'!A59="","",'ENTRADAS-BASE'!A59)</f>
        <v/>
      </c>
      <c r="C61" t="str">
        <f>IF('ENTRADAS-BASE'!B59="","",'ENTRADAS-BASE'!B59)</f>
        <v/>
      </c>
      <c r="D61" t="str">
        <f>IF('ENTRADAS-BASE'!C59="","",'ENTRADAS-BASE'!C59)</f>
        <v/>
      </c>
      <c r="E61" s="7" t="str">
        <f>IF('ENTRADAS-BASE'!D59="","",'ENTRADAS-BASE'!D59)</f>
        <v/>
      </c>
      <c r="F61" s="6" t="str">
        <f>IF('ENTRADAS-BASE'!E59="","",'ENTRADAS-BASE'!E59)</f>
        <v/>
      </c>
      <c r="G61" t="str">
        <f>IF('ENTRADAS-BASE'!F59="","",'ENTRADAS-BASE'!F59)</f>
        <v/>
      </c>
      <c r="H61" t="str">
        <f>IF('ENTRADAS-BASE'!G59="","",'ENTRADAS-BASE'!G59)</f>
        <v/>
      </c>
      <c r="I61" t="str">
        <f>IF('ENTRADAS-BASE'!H59="","",'ENTRADAS-BASE'!H59)</f>
        <v/>
      </c>
      <c r="J61" t="str">
        <f>IF('ENTRADAS-BASE'!I59="","",'ENTRADAS-BASE'!I59)</f>
        <v/>
      </c>
      <c r="K61" s="5" t="str">
        <f>IF('ENTRADAS-BASE'!J59="","",'ENTRADAS-BASE'!J59)</f>
        <v/>
      </c>
      <c r="L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" spans="2:12" x14ac:dyDescent="0.3">
      <c r="B62" t="str">
        <f>IF('ENTRADAS-BASE'!A60="","",'ENTRADAS-BASE'!A60)</f>
        <v/>
      </c>
      <c r="C62" t="str">
        <f>IF('ENTRADAS-BASE'!B60="","",'ENTRADAS-BASE'!B60)</f>
        <v/>
      </c>
      <c r="D62" t="str">
        <f>IF('ENTRADAS-BASE'!C60="","",'ENTRADAS-BASE'!C60)</f>
        <v/>
      </c>
      <c r="E62" s="7" t="str">
        <f>IF('ENTRADAS-BASE'!D60="","",'ENTRADAS-BASE'!D60)</f>
        <v/>
      </c>
      <c r="F62" s="6" t="str">
        <f>IF('ENTRADAS-BASE'!E60="","",'ENTRADAS-BASE'!E60)</f>
        <v/>
      </c>
      <c r="G62" t="str">
        <f>IF('ENTRADAS-BASE'!F60="","",'ENTRADAS-BASE'!F60)</f>
        <v/>
      </c>
      <c r="H62" t="str">
        <f>IF('ENTRADAS-BASE'!G60="","",'ENTRADAS-BASE'!G60)</f>
        <v/>
      </c>
      <c r="I62" t="str">
        <f>IF('ENTRADAS-BASE'!H60="","",'ENTRADAS-BASE'!H60)</f>
        <v/>
      </c>
      <c r="J62" t="str">
        <f>IF('ENTRADAS-BASE'!I60="","",'ENTRADAS-BASE'!I60)</f>
        <v/>
      </c>
      <c r="K62" s="5" t="str">
        <f>IF('ENTRADAS-BASE'!J60="","",'ENTRADAS-BASE'!J60)</f>
        <v/>
      </c>
      <c r="L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" spans="2:12" x14ac:dyDescent="0.3">
      <c r="B63" t="str">
        <f>IF('ENTRADAS-BASE'!A61="","",'ENTRADAS-BASE'!A61)</f>
        <v/>
      </c>
      <c r="C63" t="str">
        <f>IF('ENTRADAS-BASE'!B61="","",'ENTRADAS-BASE'!B61)</f>
        <v/>
      </c>
      <c r="D63" t="str">
        <f>IF('ENTRADAS-BASE'!C61="","",'ENTRADAS-BASE'!C61)</f>
        <v/>
      </c>
      <c r="E63" s="7" t="str">
        <f>IF('ENTRADAS-BASE'!D61="","",'ENTRADAS-BASE'!D61)</f>
        <v/>
      </c>
      <c r="F63" s="6" t="str">
        <f>IF('ENTRADAS-BASE'!E61="","",'ENTRADAS-BASE'!E61)</f>
        <v/>
      </c>
      <c r="G63" t="str">
        <f>IF('ENTRADAS-BASE'!F61="","",'ENTRADAS-BASE'!F61)</f>
        <v/>
      </c>
      <c r="H63" t="str">
        <f>IF('ENTRADAS-BASE'!G61="","",'ENTRADAS-BASE'!G61)</f>
        <v/>
      </c>
      <c r="I63" t="str">
        <f>IF('ENTRADAS-BASE'!H61="","",'ENTRADAS-BASE'!H61)</f>
        <v/>
      </c>
      <c r="J63" t="str">
        <f>IF('ENTRADAS-BASE'!I61="","",'ENTRADAS-BASE'!I61)</f>
        <v/>
      </c>
      <c r="K63" s="5" t="str">
        <f>IF('ENTRADAS-BASE'!J61="","",'ENTRADAS-BASE'!J61)</f>
        <v/>
      </c>
      <c r="L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" spans="2:12" x14ac:dyDescent="0.3">
      <c r="B64" t="str">
        <f>IF('ENTRADAS-BASE'!A62="","",'ENTRADAS-BASE'!A62)</f>
        <v/>
      </c>
      <c r="C64" t="str">
        <f>IF('ENTRADAS-BASE'!B62="","",'ENTRADAS-BASE'!B62)</f>
        <v/>
      </c>
      <c r="D64" t="str">
        <f>IF('ENTRADAS-BASE'!C62="","",'ENTRADAS-BASE'!C62)</f>
        <v/>
      </c>
      <c r="E64" s="7" t="str">
        <f>IF('ENTRADAS-BASE'!D62="","",'ENTRADAS-BASE'!D62)</f>
        <v/>
      </c>
      <c r="F64" s="6" t="str">
        <f>IF('ENTRADAS-BASE'!E62="","",'ENTRADAS-BASE'!E62)</f>
        <v/>
      </c>
      <c r="G64" t="str">
        <f>IF('ENTRADAS-BASE'!F62="","",'ENTRADAS-BASE'!F62)</f>
        <v/>
      </c>
      <c r="H64" t="str">
        <f>IF('ENTRADAS-BASE'!G62="","",'ENTRADAS-BASE'!G62)</f>
        <v/>
      </c>
      <c r="I64" t="str">
        <f>IF('ENTRADAS-BASE'!H62="","",'ENTRADAS-BASE'!H62)</f>
        <v/>
      </c>
      <c r="J64" t="str">
        <f>IF('ENTRADAS-BASE'!I62="","",'ENTRADAS-BASE'!I62)</f>
        <v/>
      </c>
      <c r="K64" s="5" t="str">
        <f>IF('ENTRADAS-BASE'!J62="","",'ENTRADAS-BASE'!J62)</f>
        <v/>
      </c>
      <c r="L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" spans="2:12" x14ac:dyDescent="0.3">
      <c r="B65" t="str">
        <f>IF('ENTRADAS-BASE'!A63="","",'ENTRADAS-BASE'!A63)</f>
        <v/>
      </c>
      <c r="C65" t="str">
        <f>IF('ENTRADAS-BASE'!B63="","",'ENTRADAS-BASE'!B63)</f>
        <v/>
      </c>
      <c r="D65" t="str">
        <f>IF('ENTRADAS-BASE'!C63="","",'ENTRADAS-BASE'!C63)</f>
        <v/>
      </c>
      <c r="E65" s="7" t="str">
        <f>IF('ENTRADAS-BASE'!D63="","",'ENTRADAS-BASE'!D63)</f>
        <v/>
      </c>
      <c r="F65" s="6" t="str">
        <f>IF('ENTRADAS-BASE'!E63="","",'ENTRADAS-BASE'!E63)</f>
        <v/>
      </c>
      <c r="G65" t="str">
        <f>IF('ENTRADAS-BASE'!F63="","",'ENTRADAS-BASE'!F63)</f>
        <v/>
      </c>
      <c r="H65" t="str">
        <f>IF('ENTRADAS-BASE'!G63="","",'ENTRADAS-BASE'!G63)</f>
        <v/>
      </c>
      <c r="I65" t="str">
        <f>IF('ENTRADAS-BASE'!H63="","",'ENTRADAS-BASE'!H63)</f>
        <v/>
      </c>
      <c r="J65" t="str">
        <f>IF('ENTRADAS-BASE'!I63="","",'ENTRADAS-BASE'!I63)</f>
        <v/>
      </c>
      <c r="K65" s="5" t="str">
        <f>IF('ENTRADAS-BASE'!J63="","",'ENTRADAS-BASE'!J63)</f>
        <v/>
      </c>
      <c r="L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" spans="2:12" x14ac:dyDescent="0.3">
      <c r="B66" t="str">
        <f>IF('ENTRADAS-BASE'!A64="","",'ENTRADAS-BASE'!A64)</f>
        <v/>
      </c>
      <c r="C66" t="str">
        <f>IF('ENTRADAS-BASE'!B64="","",'ENTRADAS-BASE'!B64)</f>
        <v/>
      </c>
      <c r="D66" t="str">
        <f>IF('ENTRADAS-BASE'!C64="","",'ENTRADAS-BASE'!C64)</f>
        <v/>
      </c>
      <c r="E66" s="7" t="str">
        <f>IF('ENTRADAS-BASE'!D64="","",'ENTRADAS-BASE'!D64)</f>
        <v/>
      </c>
      <c r="F66" s="6" t="str">
        <f>IF('ENTRADAS-BASE'!E64="","",'ENTRADAS-BASE'!E64)</f>
        <v/>
      </c>
      <c r="G66" t="str">
        <f>IF('ENTRADAS-BASE'!F64="","",'ENTRADAS-BASE'!F64)</f>
        <v/>
      </c>
      <c r="H66" t="str">
        <f>IF('ENTRADAS-BASE'!G64="","",'ENTRADAS-BASE'!G64)</f>
        <v/>
      </c>
      <c r="I66" t="str">
        <f>IF('ENTRADAS-BASE'!H64="","",'ENTRADAS-BASE'!H64)</f>
        <v/>
      </c>
      <c r="J66" t="str">
        <f>IF('ENTRADAS-BASE'!I64="","",'ENTRADAS-BASE'!I64)</f>
        <v/>
      </c>
      <c r="K66" s="5" t="str">
        <f>IF('ENTRADAS-BASE'!J64="","",'ENTRADAS-BASE'!J64)</f>
        <v/>
      </c>
      <c r="L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" spans="2:12" x14ac:dyDescent="0.3">
      <c r="B67" t="str">
        <f>IF('ENTRADAS-BASE'!A65="","",'ENTRADAS-BASE'!A65)</f>
        <v/>
      </c>
      <c r="C67" t="str">
        <f>IF('ENTRADAS-BASE'!B65="","",'ENTRADAS-BASE'!B65)</f>
        <v/>
      </c>
      <c r="D67" t="str">
        <f>IF('ENTRADAS-BASE'!C65="","",'ENTRADAS-BASE'!C65)</f>
        <v/>
      </c>
      <c r="E67" s="7" t="str">
        <f>IF('ENTRADAS-BASE'!D65="","",'ENTRADAS-BASE'!D65)</f>
        <v/>
      </c>
      <c r="F67" s="6" t="str">
        <f>IF('ENTRADAS-BASE'!E65="","",'ENTRADAS-BASE'!E65)</f>
        <v/>
      </c>
      <c r="G67" t="str">
        <f>IF('ENTRADAS-BASE'!F65="","",'ENTRADAS-BASE'!F65)</f>
        <v/>
      </c>
      <c r="H67" t="str">
        <f>IF('ENTRADAS-BASE'!G65="","",'ENTRADAS-BASE'!G65)</f>
        <v/>
      </c>
      <c r="I67" t="str">
        <f>IF('ENTRADAS-BASE'!H65="","",'ENTRADAS-BASE'!H65)</f>
        <v/>
      </c>
      <c r="J67" t="str">
        <f>IF('ENTRADAS-BASE'!I65="","",'ENTRADAS-BASE'!I65)</f>
        <v/>
      </c>
      <c r="K67" s="5" t="str">
        <f>IF('ENTRADAS-BASE'!J65="","",'ENTRADAS-BASE'!J65)</f>
        <v/>
      </c>
      <c r="L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" spans="2:12" x14ac:dyDescent="0.3">
      <c r="B68" t="str">
        <f>IF('ENTRADAS-BASE'!A66="","",'ENTRADAS-BASE'!A66)</f>
        <v/>
      </c>
      <c r="C68" t="str">
        <f>IF('ENTRADAS-BASE'!B66="","",'ENTRADAS-BASE'!B66)</f>
        <v/>
      </c>
      <c r="D68" t="str">
        <f>IF('ENTRADAS-BASE'!C66="","",'ENTRADAS-BASE'!C66)</f>
        <v/>
      </c>
      <c r="E68" s="7" t="str">
        <f>IF('ENTRADAS-BASE'!D66="","",'ENTRADAS-BASE'!D66)</f>
        <v/>
      </c>
      <c r="F68" s="6" t="str">
        <f>IF('ENTRADAS-BASE'!E66="","",'ENTRADAS-BASE'!E66)</f>
        <v/>
      </c>
      <c r="G68" t="str">
        <f>IF('ENTRADAS-BASE'!F66="","",'ENTRADAS-BASE'!F66)</f>
        <v/>
      </c>
      <c r="H68" t="str">
        <f>IF('ENTRADAS-BASE'!G66="","",'ENTRADAS-BASE'!G66)</f>
        <v/>
      </c>
      <c r="I68" t="str">
        <f>IF('ENTRADAS-BASE'!H66="","",'ENTRADAS-BASE'!H66)</f>
        <v/>
      </c>
      <c r="J68" t="str">
        <f>IF('ENTRADAS-BASE'!I66="","",'ENTRADAS-BASE'!I66)</f>
        <v/>
      </c>
      <c r="K68" s="5" t="str">
        <f>IF('ENTRADAS-BASE'!J66="","",'ENTRADAS-BASE'!J66)</f>
        <v/>
      </c>
      <c r="L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" spans="2:12" x14ac:dyDescent="0.3">
      <c r="B69" t="str">
        <f>IF('ENTRADAS-BASE'!A67="","",'ENTRADAS-BASE'!A67)</f>
        <v/>
      </c>
      <c r="C69" t="str">
        <f>IF('ENTRADAS-BASE'!B67="","",'ENTRADAS-BASE'!B67)</f>
        <v/>
      </c>
      <c r="D69" t="str">
        <f>IF('ENTRADAS-BASE'!C67="","",'ENTRADAS-BASE'!C67)</f>
        <v/>
      </c>
      <c r="E69" s="7" t="str">
        <f>IF('ENTRADAS-BASE'!D67="","",'ENTRADAS-BASE'!D67)</f>
        <v/>
      </c>
      <c r="F69" s="6" t="str">
        <f>IF('ENTRADAS-BASE'!E67="","",'ENTRADAS-BASE'!E67)</f>
        <v/>
      </c>
      <c r="G69" t="str">
        <f>IF('ENTRADAS-BASE'!F67="","",'ENTRADAS-BASE'!F67)</f>
        <v/>
      </c>
      <c r="H69" t="str">
        <f>IF('ENTRADAS-BASE'!G67="","",'ENTRADAS-BASE'!G67)</f>
        <v/>
      </c>
      <c r="I69" t="str">
        <f>IF('ENTRADAS-BASE'!H67="","",'ENTRADAS-BASE'!H67)</f>
        <v/>
      </c>
      <c r="J69" t="str">
        <f>IF('ENTRADAS-BASE'!I67="","",'ENTRADAS-BASE'!I67)</f>
        <v/>
      </c>
      <c r="K69" s="5" t="str">
        <f>IF('ENTRADAS-BASE'!J67="","",'ENTRADAS-BASE'!J67)</f>
        <v/>
      </c>
      <c r="L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" spans="2:12" x14ac:dyDescent="0.3">
      <c r="B70" t="str">
        <f>IF('ENTRADAS-BASE'!A68="","",'ENTRADAS-BASE'!A68)</f>
        <v/>
      </c>
      <c r="C70" t="str">
        <f>IF('ENTRADAS-BASE'!B68="","",'ENTRADAS-BASE'!B68)</f>
        <v/>
      </c>
      <c r="D70" t="str">
        <f>IF('ENTRADAS-BASE'!C68="","",'ENTRADAS-BASE'!C68)</f>
        <v/>
      </c>
      <c r="E70" s="7" t="str">
        <f>IF('ENTRADAS-BASE'!D68="","",'ENTRADAS-BASE'!D68)</f>
        <v/>
      </c>
      <c r="F70" s="6" t="str">
        <f>IF('ENTRADAS-BASE'!E68="","",'ENTRADAS-BASE'!E68)</f>
        <v/>
      </c>
      <c r="G70" t="str">
        <f>IF('ENTRADAS-BASE'!F68="","",'ENTRADAS-BASE'!F68)</f>
        <v/>
      </c>
      <c r="H70" t="str">
        <f>IF('ENTRADAS-BASE'!G68="","",'ENTRADAS-BASE'!G68)</f>
        <v/>
      </c>
      <c r="I70" t="str">
        <f>IF('ENTRADAS-BASE'!H68="","",'ENTRADAS-BASE'!H68)</f>
        <v/>
      </c>
      <c r="J70" t="str">
        <f>IF('ENTRADAS-BASE'!I68="","",'ENTRADAS-BASE'!I68)</f>
        <v/>
      </c>
      <c r="K70" s="5" t="str">
        <f>IF('ENTRADAS-BASE'!J68="","",'ENTRADAS-BASE'!J68)</f>
        <v/>
      </c>
      <c r="L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" spans="2:12" x14ac:dyDescent="0.3">
      <c r="B71" t="str">
        <f>IF('ENTRADAS-BASE'!A69="","",'ENTRADAS-BASE'!A69)</f>
        <v/>
      </c>
      <c r="C71" t="str">
        <f>IF('ENTRADAS-BASE'!B69="","",'ENTRADAS-BASE'!B69)</f>
        <v/>
      </c>
      <c r="D71" t="str">
        <f>IF('ENTRADAS-BASE'!C69="","",'ENTRADAS-BASE'!C69)</f>
        <v/>
      </c>
      <c r="E71" s="7" t="str">
        <f>IF('ENTRADAS-BASE'!D69="","",'ENTRADAS-BASE'!D69)</f>
        <v/>
      </c>
      <c r="F71" s="6" t="str">
        <f>IF('ENTRADAS-BASE'!E69="","",'ENTRADAS-BASE'!E69)</f>
        <v/>
      </c>
      <c r="G71" t="str">
        <f>IF('ENTRADAS-BASE'!F69="","",'ENTRADAS-BASE'!F69)</f>
        <v/>
      </c>
      <c r="H71" t="str">
        <f>IF('ENTRADAS-BASE'!G69="","",'ENTRADAS-BASE'!G69)</f>
        <v/>
      </c>
      <c r="I71" t="str">
        <f>IF('ENTRADAS-BASE'!H69="","",'ENTRADAS-BASE'!H69)</f>
        <v/>
      </c>
      <c r="J71" t="str">
        <f>IF('ENTRADAS-BASE'!I69="","",'ENTRADAS-BASE'!I69)</f>
        <v/>
      </c>
      <c r="K71" s="5" t="str">
        <f>IF('ENTRADAS-BASE'!J69="","",'ENTRADAS-BASE'!J69)</f>
        <v/>
      </c>
      <c r="L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" spans="2:12" x14ac:dyDescent="0.3">
      <c r="B72" t="str">
        <f>IF('ENTRADAS-BASE'!A70="","",'ENTRADAS-BASE'!A70)</f>
        <v/>
      </c>
      <c r="C72" t="str">
        <f>IF('ENTRADAS-BASE'!B70="","",'ENTRADAS-BASE'!B70)</f>
        <v/>
      </c>
      <c r="D72" t="str">
        <f>IF('ENTRADAS-BASE'!C70="","",'ENTRADAS-BASE'!C70)</f>
        <v/>
      </c>
      <c r="E72" s="7" t="str">
        <f>IF('ENTRADAS-BASE'!D70="","",'ENTRADAS-BASE'!D70)</f>
        <v/>
      </c>
      <c r="F72" s="6" t="str">
        <f>IF('ENTRADAS-BASE'!E70="","",'ENTRADAS-BASE'!E70)</f>
        <v/>
      </c>
      <c r="G72" t="str">
        <f>IF('ENTRADAS-BASE'!F70="","",'ENTRADAS-BASE'!F70)</f>
        <v/>
      </c>
      <c r="H72" t="str">
        <f>IF('ENTRADAS-BASE'!G70="","",'ENTRADAS-BASE'!G70)</f>
        <v/>
      </c>
      <c r="I72" t="str">
        <f>IF('ENTRADAS-BASE'!H70="","",'ENTRADAS-BASE'!H70)</f>
        <v/>
      </c>
      <c r="J72" t="str">
        <f>IF('ENTRADAS-BASE'!I70="","",'ENTRADAS-BASE'!I70)</f>
        <v/>
      </c>
      <c r="K72" s="5" t="str">
        <f>IF('ENTRADAS-BASE'!J70="","",'ENTRADAS-BASE'!J70)</f>
        <v/>
      </c>
      <c r="L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" spans="2:12" x14ac:dyDescent="0.3">
      <c r="B73" t="str">
        <f>IF('ENTRADAS-BASE'!A71="","",'ENTRADAS-BASE'!A71)</f>
        <v/>
      </c>
      <c r="C73" t="str">
        <f>IF('ENTRADAS-BASE'!B71="","",'ENTRADAS-BASE'!B71)</f>
        <v/>
      </c>
      <c r="D73" t="str">
        <f>IF('ENTRADAS-BASE'!C71="","",'ENTRADAS-BASE'!C71)</f>
        <v/>
      </c>
      <c r="E73" s="7" t="str">
        <f>IF('ENTRADAS-BASE'!D71="","",'ENTRADAS-BASE'!D71)</f>
        <v/>
      </c>
      <c r="F73" s="6" t="str">
        <f>IF('ENTRADAS-BASE'!E71="","",'ENTRADAS-BASE'!E71)</f>
        <v/>
      </c>
      <c r="G73" t="str">
        <f>IF('ENTRADAS-BASE'!F71="","",'ENTRADAS-BASE'!F71)</f>
        <v/>
      </c>
      <c r="H73" t="str">
        <f>IF('ENTRADAS-BASE'!G71="","",'ENTRADAS-BASE'!G71)</f>
        <v/>
      </c>
      <c r="I73" t="str">
        <f>IF('ENTRADAS-BASE'!H71="","",'ENTRADAS-BASE'!H71)</f>
        <v/>
      </c>
      <c r="J73" t="str">
        <f>IF('ENTRADAS-BASE'!I71="","",'ENTRADAS-BASE'!I71)</f>
        <v/>
      </c>
      <c r="K73" s="5" t="str">
        <f>IF('ENTRADAS-BASE'!J71="","",'ENTRADAS-BASE'!J71)</f>
        <v/>
      </c>
      <c r="L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" spans="2:12" x14ac:dyDescent="0.3">
      <c r="B74" t="str">
        <f>IF('ENTRADAS-BASE'!A72="","",'ENTRADAS-BASE'!A72)</f>
        <v/>
      </c>
      <c r="C74" t="str">
        <f>IF('ENTRADAS-BASE'!B72="","",'ENTRADAS-BASE'!B72)</f>
        <v/>
      </c>
      <c r="D74" t="str">
        <f>IF('ENTRADAS-BASE'!C72="","",'ENTRADAS-BASE'!C72)</f>
        <v/>
      </c>
      <c r="E74" s="7" t="str">
        <f>IF('ENTRADAS-BASE'!D72="","",'ENTRADAS-BASE'!D72)</f>
        <v/>
      </c>
      <c r="F74" s="6" t="str">
        <f>IF('ENTRADAS-BASE'!E72="","",'ENTRADAS-BASE'!E72)</f>
        <v/>
      </c>
      <c r="G74" t="str">
        <f>IF('ENTRADAS-BASE'!F72="","",'ENTRADAS-BASE'!F72)</f>
        <v/>
      </c>
      <c r="H74" t="str">
        <f>IF('ENTRADAS-BASE'!G72="","",'ENTRADAS-BASE'!G72)</f>
        <v/>
      </c>
      <c r="I74" t="str">
        <f>IF('ENTRADAS-BASE'!H72="","",'ENTRADAS-BASE'!H72)</f>
        <v/>
      </c>
      <c r="J74" t="str">
        <f>IF('ENTRADAS-BASE'!I72="","",'ENTRADAS-BASE'!I72)</f>
        <v/>
      </c>
      <c r="K74" s="5" t="str">
        <f>IF('ENTRADAS-BASE'!J72="","",'ENTRADAS-BASE'!J72)</f>
        <v/>
      </c>
      <c r="L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" spans="2:12" x14ac:dyDescent="0.3">
      <c r="B75" t="str">
        <f>IF('ENTRADAS-BASE'!A73="","",'ENTRADAS-BASE'!A73)</f>
        <v/>
      </c>
      <c r="C75" t="str">
        <f>IF('ENTRADAS-BASE'!B73="","",'ENTRADAS-BASE'!B73)</f>
        <v/>
      </c>
      <c r="D75" t="str">
        <f>IF('ENTRADAS-BASE'!C73="","",'ENTRADAS-BASE'!C73)</f>
        <v/>
      </c>
      <c r="E75" s="7" t="str">
        <f>IF('ENTRADAS-BASE'!D73="","",'ENTRADAS-BASE'!D73)</f>
        <v/>
      </c>
      <c r="F75" s="6" t="str">
        <f>IF('ENTRADAS-BASE'!E73="","",'ENTRADAS-BASE'!E73)</f>
        <v/>
      </c>
      <c r="G75" t="str">
        <f>IF('ENTRADAS-BASE'!F73="","",'ENTRADAS-BASE'!F73)</f>
        <v/>
      </c>
      <c r="H75" t="str">
        <f>IF('ENTRADAS-BASE'!G73="","",'ENTRADAS-BASE'!G73)</f>
        <v/>
      </c>
      <c r="I75" t="str">
        <f>IF('ENTRADAS-BASE'!H73="","",'ENTRADAS-BASE'!H73)</f>
        <v/>
      </c>
      <c r="J75" t="str">
        <f>IF('ENTRADAS-BASE'!I73="","",'ENTRADAS-BASE'!I73)</f>
        <v/>
      </c>
      <c r="K75" s="5" t="str">
        <f>IF('ENTRADAS-BASE'!J73="","",'ENTRADAS-BASE'!J73)</f>
        <v/>
      </c>
      <c r="L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" spans="2:12" x14ac:dyDescent="0.3">
      <c r="B76" t="str">
        <f>IF('ENTRADAS-BASE'!A74="","",'ENTRADAS-BASE'!A74)</f>
        <v/>
      </c>
      <c r="C76" t="str">
        <f>IF('ENTRADAS-BASE'!B74="","",'ENTRADAS-BASE'!B74)</f>
        <v/>
      </c>
      <c r="D76" t="str">
        <f>IF('ENTRADAS-BASE'!C74="","",'ENTRADAS-BASE'!C74)</f>
        <v/>
      </c>
      <c r="E76" s="7" t="str">
        <f>IF('ENTRADAS-BASE'!D74="","",'ENTRADAS-BASE'!D74)</f>
        <v/>
      </c>
      <c r="F76" s="6" t="str">
        <f>IF('ENTRADAS-BASE'!E74="","",'ENTRADAS-BASE'!E74)</f>
        <v/>
      </c>
      <c r="G76" t="str">
        <f>IF('ENTRADAS-BASE'!F74="","",'ENTRADAS-BASE'!F74)</f>
        <v/>
      </c>
      <c r="H76" t="str">
        <f>IF('ENTRADAS-BASE'!G74="","",'ENTRADAS-BASE'!G74)</f>
        <v/>
      </c>
      <c r="I76" t="str">
        <f>IF('ENTRADAS-BASE'!H74="","",'ENTRADAS-BASE'!H74)</f>
        <v/>
      </c>
      <c r="J76" t="str">
        <f>IF('ENTRADAS-BASE'!I74="","",'ENTRADAS-BASE'!I74)</f>
        <v/>
      </c>
      <c r="K76" s="5" t="str">
        <f>IF('ENTRADAS-BASE'!J74="","",'ENTRADAS-BASE'!J74)</f>
        <v/>
      </c>
      <c r="L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" spans="2:12" x14ac:dyDescent="0.3">
      <c r="B77" t="str">
        <f>IF('ENTRADAS-BASE'!A75="","",'ENTRADAS-BASE'!A75)</f>
        <v/>
      </c>
      <c r="C77" t="str">
        <f>IF('ENTRADAS-BASE'!B75="","",'ENTRADAS-BASE'!B75)</f>
        <v/>
      </c>
      <c r="D77" t="str">
        <f>IF('ENTRADAS-BASE'!C75="","",'ENTRADAS-BASE'!C75)</f>
        <v/>
      </c>
      <c r="E77" s="7" t="str">
        <f>IF('ENTRADAS-BASE'!D75="","",'ENTRADAS-BASE'!D75)</f>
        <v/>
      </c>
      <c r="F77" s="6" t="str">
        <f>IF('ENTRADAS-BASE'!E75="","",'ENTRADAS-BASE'!E75)</f>
        <v/>
      </c>
      <c r="G77" t="str">
        <f>IF('ENTRADAS-BASE'!F75="","",'ENTRADAS-BASE'!F75)</f>
        <v/>
      </c>
      <c r="H77" t="str">
        <f>IF('ENTRADAS-BASE'!G75="","",'ENTRADAS-BASE'!G75)</f>
        <v/>
      </c>
      <c r="I77" t="str">
        <f>IF('ENTRADAS-BASE'!H75="","",'ENTRADAS-BASE'!H75)</f>
        <v/>
      </c>
      <c r="J77" t="str">
        <f>IF('ENTRADAS-BASE'!I75="","",'ENTRADAS-BASE'!I75)</f>
        <v/>
      </c>
      <c r="K77" s="5" t="str">
        <f>IF('ENTRADAS-BASE'!J75="","",'ENTRADAS-BASE'!J75)</f>
        <v/>
      </c>
      <c r="L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" spans="2:12" x14ac:dyDescent="0.3">
      <c r="B78" t="str">
        <f>IF('ENTRADAS-BASE'!A76="","",'ENTRADAS-BASE'!A76)</f>
        <v/>
      </c>
      <c r="C78" t="str">
        <f>IF('ENTRADAS-BASE'!B76="","",'ENTRADAS-BASE'!B76)</f>
        <v/>
      </c>
      <c r="D78" t="str">
        <f>IF('ENTRADAS-BASE'!C76="","",'ENTRADAS-BASE'!C76)</f>
        <v/>
      </c>
      <c r="E78" s="7" t="str">
        <f>IF('ENTRADAS-BASE'!D76="","",'ENTRADAS-BASE'!D76)</f>
        <v/>
      </c>
      <c r="F78" s="6" t="str">
        <f>IF('ENTRADAS-BASE'!E76="","",'ENTRADAS-BASE'!E76)</f>
        <v/>
      </c>
      <c r="G78" t="str">
        <f>IF('ENTRADAS-BASE'!F76="","",'ENTRADAS-BASE'!F76)</f>
        <v/>
      </c>
      <c r="H78" t="str">
        <f>IF('ENTRADAS-BASE'!G76="","",'ENTRADAS-BASE'!G76)</f>
        <v/>
      </c>
      <c r="I78" t="str">
        <f>IF('ENTRADAS-BASE'!H76="","",'ENTRADAS-BASE'!H76)</f>
        <v/>
      </c>
      <c r="J78" t="str">
        <f>IF('ENTRADAS-BASE'!I76="","",'ENTRADAS-BASE'!I76)</f>
        <v/>
      </c>
      <c r="K78" s="5" t="str">
        <f>IF('ENTRADAS-BASE'!J76="","",'ENTRADAS-BASE'!J76)</f>
        <v/>
      </c>
      <c r="L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" spans="2:12" x14ac:dyDescent="0.3">
      <c r="B79" t="str">
        <f>IF('ENTRADAS-BASE'!A77="","",'ENTRADAS-BASE'!A77)</f>
        <v/>
      </c>
      <c r="C79" t="str">
        <f>IF('ENTRADAS-BASE'!B77="","",'ENTRADAS-BASE'!B77)</f>
        <v/>
      </c>
      <c r="D79" t="str">
        <f>IF('ENTRADAS-BASE'!C77="","",'ENTRADAS-BASE'!C77)</f>
        <v/>
      </c>
      <c r="E79" s="7" t="str">
        <f>IF('ENTRADAS-BASE'!D77="","",'ENTRADAS-BASE'!D77)</f>
        <v/>
      </c>
      <c r="F79" s="6" t="str">
        <f>IF('ENTRADAS-BASE'!E77="","",'ENTRADAS-BASE'!E77)</f>
        <v/>
      </c>
      <c r="G79" t="str">
        <f>IF('ENTRADAS-BASE'!F77="","",'ENTRADAS-BASE'!F77)</f>
        <v/>
      </c>
      <c r="H79" t="str">
        <f>IF('ENTRADAS-BASE'!G77="","",'ENTRADAS-BASE'!G77)</f>
        <v/>
      </c>
      <c r="I79" t="str">
        <f>IF('ENTRADAS-BASE'!H77="","",'ENTRADAS-BASE'!H77)</f>
        <v/>
      </c>
      <c r="J79" t="str">
        <f>IF('ENTRADAS-BASE'!I77="","",'ENTRADAS-BASE'!I77)</f>
        <v/>
      </c>
      <c r="K79" s="5" t="str">
        <f>IF('ENTRADAS-BASE'!J77="","",'ENTRADAS-BASE'!J77)</f>
        <v/>
      </c>
      <c r="L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" spans="2:12" x14ac:dyDescent="0.3">
      <c r="B80" t="str">
        <f>IF('ENTRADAS-BASE'!A78="","",'ENTRADAS-BASE'!A78)</f>
        <v/>
      </c>
      <c r="C80" t="str">
        <f>IF('ENTRADAS-BASE'!B78="","",'ENTRADAS-BASE'!B78)</f>
        <v/>
      </c>
      <c r="D80" t="str">
        <f>IF('ENTRADAS-BASE'!C78="","",'ENTRADAS-BASE'!C78)</f>
        <v/>
      </c>
      <c r="E80" s="7" t="str">
        <f>IF('ENTRADAS-BASE'!D78="","",'ENTRADAS-BASE'!D78)</f>
        <v/>
      </c>
      <c r="F80" s="6" t="str">
        <f>IF('ENTRADAS-BASE'!E78="","",'ENTRADAS-BASE'!E78)</f>
        <v/>
      </c>
      <c r="G80" t="str">
        <f>IF('ENTRADAS-BASE'!F78="","",'ENTRADAS-BASE'!F78)</f>
        <v/>
      </c>
      <c r="H80" t="str">
        <f>IF('ENTRADAS-BASE'!G78="","",'ENTRADAS-BASE'!G78)</f>
        <v/>
      </c>
      <c r="I80" t="str">
        <f>IF('ENTRADAS-BASE'!H78="","",'ENTRADAS-BASE'!H78)</f>
        <v/>
      </c>
      <c r="J80" t="str">
        <f>IF('ENTRADAS-BASE'!I78="","",'ENTRADAS-BASE'!I78)</f>
        <v/>
      </c>
      <c r="K80" s="5" t="str">
        <f>IF('ENTRADAS-BASE'!J78="","",'ENTRADAS-BASE'!J78)</f>
        <v/>
      </c>
      <c r="L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" spans="2:12" x14ac:dyDescent="0.3">
      <c r="B81" t="str">
        <f>IF('ENTRADAS-BASE'!A79="","",'ENTRADAS-BASE'!A79)</f>
        <v/>
      </c>
      <c r="C81" t="str">
        <f>IF('ENTRADAS-BASE'!B79="","",'ENTRADAS-BASE'!B79)</f>
        <v/>
      </c>
      <c r="D81" t="str">
        <f>IF('ENTRADAS-BASE'!C79="","",'ENTRADAS-BASE'!C79)</f>
        <v/>
      </c>
      <c r="E81" s="7" t="str">
        <f>IF('ENTRADAS-BASE'!D79="","",'ENTRADAS-BASE'!D79)</f>
        <v/>
      </c>
      <c r="F81" s="6" t="str">
        <f>IF('ENTRADAS-BASE'!E79="","",'ENTRADAS-BASE'!E79)</f>
        <v/>
      </c>
      <c r="G81" t="str">
        <f>IF('ENTRADAS-BASE'!F79="","",'ENTRADAS-BASE'!F79)</f>
        <v/>
      </c>
      <c r="H81" t="str">
        <f>IF('ENTRADAS-BASE'!G79="","",'ENTRADAS-BASE'!G79)</f>
        <v/>
      </c>
      <c r="I81" t="str">
        <f>IF('ENTRADAS-BASE'!H79="","",'ENTRADAS-BASE'!H79)</f>
        <v/>
      </c>
      <c r="J81" t="str">
        <f>IF('ENTRADAS-BASE'!I79="","",'ENTRADAS-BASE'!I79)</f>
        <v/>
      </c>
      <c r="K81" s="5" t="str">
        <f>IF('ENTRADAS-BASE'!J79="","",'ENTRADAS-BASE'!J79)</f>
        <v/>
      </c>
      <c r="L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" spans="2:12" x14ac:dyDescent="0.3">
      <c r="B82" t="str">
        <f>IF('ENTRADAS-BASE'!A80="","",'ENTRADAS-BASE'!A80)</f>
        <v/>
      </c>
      <c r="C82" t="str">
        <f>IF('ENTRADAS-BASE'!B80="","",'ENTRADAS-BASE'!B80)</f>
        <v/>
      </c>
      <c r="D82" t="str">
        <f>IF('ENTRADAS-BASE'!C80="","",'ENTRADAS-BASE'!C80)</f>
        <v/>
      </c>
      <c r="E82" s="7" t="str">
        <f>IF('ENTRADAS-BASE'!D80="","",'ENTRADAS-BASE'!D80)</f>
        <v/>
      </c>
      <c r="F82" s="6" t="str">
        <f>IF('ENTRADAS-BASE'!E80="","",'ENTRADAS-BASE'!E80)</f>
        <v/>
      </c>
      <c r="G82" t="str">
        <f>IF('ENTRADAS-BASE'!F80="","",'ENTRADAS-BASE'!F80)</f>
        <v/>
      </c>
      <c r="H82" t="str">
        <f>IF('ENTRADAS-BASE'!G80="","",'ENTRADAS-BASE'!G80)</f>
        <v/>
      </c>
      <c r="I82" t="str">
        <f>IF('ENTRADAS-BASE'!H80="","",'ENTRADAS-BASE'!H80)</f>
        <v/>
      </c>
      <c r="J82" t="str">
        <f>IF('ENTRADAS-BASE'!I80="","",'ENTRADAS-BASE'!I80)</f>
        <v/>
      </c>
      <c r="K82" s="5" t="str">
        <f>IF('ENTRADAS-BASE'!J80="","",'ENTRADAS-BASE'!J80)</f>
        <v/>
      </c>
      <c r="L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" spans="2:12" x14ac:dyDescent="0.3">
      <c r="B83" t="str">
        <f>IF('ENTRADAS-BASE'!A81="","",'ENTRADAS-BASE'!A81)</f>
        <v/>
      </c>
      <c r="C83" t="str">
        <f>IF('ENTRADAS-BASE'!B81="","",'ENTRADAS-BASE'!B81)</f>
        <v/>
      </c>
      <c r="D83" t="str">
        <f>IF('ENTRADAS-BASE'!C81="","",'ENTRADAS-BASE'!C81)</f>
        <v/>
      </c>
      <c r="E83" s="7" t="str">
        <f>IF('ENTRADAS-BASE'!D81="","",'ENTRADAS-BASE'!D81)</f>
        <v/>
      </c>
      <c r="F83" s="6" t="str">
        <f>IF('ENTRADAS-BASE'!E81="","",'ENTRADAS-BASE'!E81)</f>
        <v/>
      </c>
      <c r="G83" t="str">
        <f>IF('ENTRADAS-BASE'!F81="","",'ENTRADAS-BASE'!F81)</f>
        <v/>
      </c>
      <c r="H83" t="str">
        <f>IF('ENTRADAS-BASE'!G81="","",'ENTRADAS-BASE'!G81)</f>
        <v/>
      </c>
      <c r="I83" t="str">
        <f>IF('ENTRADAS-BASE'!H81="","",'ENTRADAS-BASE'!H81)</f>
        <v/>
      </c>
      <c r="J83" t="str">
        <f>IF('ENTRADAS-BASE'!I81="","",'ENTRADAS-BASE'!I81)</f>
        <v/>
      </c>
      <c r="K83" s="5" t="str">
        <f>IF('ENTRADAS-BASE'!J81="","",'ENTRADAS-BASE'!J81)</f>
        <v/>
      </c>
      <c r="L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" spans="2:12" x14ac:dyDescent="0.3">
      <c r="B84" t="str">
        <f>IF('ENTRADAS-BASE'!A82="","",'ENTRADAS-BASE'!A82)</f>
        <v/>
      </c>
      <c r="C84" t="str">
        <f>IF('ENTRADAS-BASE'!B82="","",'ENTRADAS-BASE'!B82)</f>
        <v/>
      </c>
      <c r="D84" t="str">
        <f>IF('ENTRADAS-BASE'!C82="","",'ENTRADAS-BASE'!C82)</f>
        <v/>
      </c>
      <c r="E84" s="7" t="str">
        <f>IF('ENTRADAS-BASE'!D82="","",'ENTRADAS-BASE'!D82)</f>
        <v/>
      </c>
      <c r="F84" s="6" t="str">
        <f>IF('ENTRADAS-BASE'!E82="","",'ENTRADAS-BASE'!E82)</f>
        <v/>
      </c>
      <c r="G84" t="str">
        <f>IF('ENTRADAS-BASE'!F82="","",'ENTRADAS-BASE'!F82)</f>
        <v/>
      </c>
      <c r="H84" t="str">
        <f>IF('ENTRADAS-BASE'!G82="","",'ENTRADAS-BASE'!G82)</f>
        <v/>
      </c>
      <c r="I84" t="str">
        <f>IF('ENTRADAS-BASE'!H82="","",'ENTRADAS-BASE'!H82)</f>
        <v/>
      </c>
      <c r="J84" t="str">
        <f>IF('ENTRADAS-BASE'!I82="","",'ENTRADAS-BASE'!I82)</f>
        <v/>
      </c>
      <c r="K84" s="5" t="str">
        <f>IF('ENTRADAS-BASE'!J82="","",'ENTRADAS-BASE'!J82)</f>
        <v/>
      </c>
      <c r="L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" spans="2:12" x14ac:dyDescent="0.3">
      <c r="B85" t="str">
        <f>IF('ENTRADAS-BASE'!A83="","",'ENTRADAS-BASE'!A83)</f>
        <v/>
      </c>
      <c r="C85" t="str">
        <f>IF('ENTRADAS-BASE'!B83="","",'ENTRADAS-BASE'!B83)</f>
        <v/>
      </c>
      <c r="D85" t="str">
        <f>IF('ENTRADAS-BASE'!C83="","",'ENTRADAS-BASE'!C83)</f>
        <v/>
      </c>
      <c r="E85" s="7" t="str">
        <f>IF('ENTRADAS-BASE'!D83="","",'ENTRADAS-BASE'!D83)</f>
        <v/>
      </c>
      <c r="F85" s="6" t="str">
        <f>IF('ENTRADAS-BASE'!E83="","",'ENTRADAS-BASE'!E83)</f>
        <v/>
      </c>
      <c r="G85" t="str">
        <f>IF('ENTRADAS-BASE'!F83="","",'ENTRADAS-BASE'!F83)</f>
        <v/>
      </c>
      <c r="H85" t="str">
        <f>IF('ENTRADAS-BASE'!G83="","",'ENTRADAS-BASE'!G83)</f>
        <v/>
      </c>
      <c r="I85" t="str">
        <f>IF('ENTRADAS-BASE'!H83="","",'ENTRADAS-BASE'!H83)</f>
        <v/>
      </c>
      <c r="J85" t="str">
        <f>IF('ENTRADAS-BASE'!I83="","",'ENTRADAS-BASE'!I83)</f>
        <v/>
      </c>
      <c r="K85" s="5" t="str">
        <f>IF('ENTRADAS-BASE'!J83="","",'ENTRADAS-BASE'!J83)</f>
        <v/>
      </c>
      <c r="L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" spans="2:12" x14ac:dyDescent="0.3">
      <c r="B86" t="str">
        <f>IF('ENTRADAS-BASE'!A84="","",'ENTRADAS-BASE'!A84)</f>
        <v/>
      </c>
      <c r="C86" t="str">
        <f>IF('ENTRADAS-BASE'!B84="","",'ENTRADAS-BASE'!B84)</f>
        <v/>
      </c>
      <c r="D86" t="str">
        <f>IF('ENTRADAS-BASE'!C84="","",'ENTRADAS-BASE'!C84)</f>
        <v/>
      </c>
      <c r="E86" s="7" t="str">
        <f>IF('ENTRADAS-BASE'!D84="","",'ENTRADAS-BASE'!D84)</f>
        <v/>
      </c>
      <c r="F86" s="6" t="str">
        <f>IF('ENTRADAS-BASE'!E84="","",'ENTRADAS-BASE'!E84)</f>
        <v/>
      </c>
      <c r="G86" t="str">
        <f>IF('ENTRADAS-BASE'!F84="","",'ENTRADAS-BASE'!F84)</f>
        <v/>
      </c>
      <c r="H86" t="str">
        <f>IF('ENTRADAS-BASE'!G84="","",'ENTRADAS-BASE'!G84)</f>
        <v/>
      </c>
      <c r="I86" t="str">
        <f>IF('ENTRADAS-BASE'!H84="","",'ENTRADAS-BASE'!H84)</f>
        <v/>
      </c>
      <c r="J86" t="str">
        <f>IF('ENTRADAS-BASE'!I84="","",'ENTRADAS-BASE'!I84)</f>
        <v/>
      </c>
      <c r="K86" s="5" t="str">
        <f>IF('ENTRADAS-BASE'!J84="","",'ENTRADAS-BASE'!J84)</f>
        <v/>
      </c>
      <c r="L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" spans="2:12" x14ac:dyDescent="0.3">
      <c r="B87" t="str">
        <f>IF('ENTRADAS-BASE'!A85="","",'ENTRADAS-BASE'!A85)</f>
        <v/>
      </c>
      <c r="C87" t="str">
        <f>IF('ENTRADAS-BASE'!B85="","",'ENTRADAS-BASE'!B85)</f>
        <v/>
      </c>
      <c r="D87" t="str">
        <f>IF('ENTRADAS-BASE'!C85="","",'ENTRADAS-BASE'!C85)</f>
        <v/>
      </c>
      <c r="E87" s="7" t="str">
        <f>IF('ENTRADAS-BASE'!D85="","",'ENTRADAS-BASE'!D85)</f>
        <v/>
      </c>
      <c r="F87" s="6" t="str">
        <f>IF('ENTRADAS-BASE'!E85="","",'ENTRADAS-BASE'!E85)</f>
        <v/>
      </c>
      <c r="G87" t="str">
        <f>IF('ENTRADAS-BASE'!F85="","",'ENTRADAS-BASE'!F85)</f>
        <v/>
      </c>
      <c r="H87" t="str">
        <f>IF('ENTRADAS-BASE'!G85="","",'ENTRADAS-BASE'!G85)</f>
        <v/>
      </c>
      <c r="I87" t="str">
        <f>IF('ENTRADAS-BASE'!H85="","",'ENTRADAS-BASE'!H85)</f>
        <v/>
      </c>
      <c r="J87" t="str">
        <f>IF('ENTRADAS-BASE'!I85="","",'ENTRADAS-BASE'!I85)</f>
        <v/>
      </c>
      <c r="K87" s="5" t="str">
        <f>IF('ENTRADAS-BASE'!J85="","",'ENTRADAS-BASE'!J85)</f>
        <v/>
      </c>
      <c r="L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" spans="2:12" x14ac:dyDescent="0.3">
      <c r="B88" t="str">
        <f>IF('ENTRADAS-BASE'!A86="","",'ENTRADAS-BASE'!A86)</f>
        <v/>
      </c>
      <c r="C88" t="str">
        <f>IF('ENTRADAS-BASE'!B86="","",'ENTRADAS-BASE'!B86)</f>
        <v/>
      </c>
      <c r="D88" t="str">
        <f>IF('ENTRADAS-BASE'!C86="","",'ENTRADAS-BASE'!C86)</f>
        <v/>
      </c>
      <c r="E88" s="7" t="str">
        <f>IF('ENTRADAS-BASE'!D86="","",'ENTRADAS-BASE'!D86)</f>
        <v/>
      </c>
      <c r="F88" s="6" t="str">
        <f>IF('ENTRADAS-BASE'!E86="","",'ENTRADAS-BASE'!E86)</f>
        <v/>
      </c>
      <c r="G88" t="str">
        <f>IF('ENTRADAS-BASE'!F86="","",'ENTRADAS-BASE'!F86)</f>
        <v/>
      </c>
      <c r="H88" t="str">
        <f>IF('ENTRADAS-BASE'!G86="","",'ENTRADAS-BASE'!G86)</f>
        <v/>
      </c>
      <c r="I88" t="str">
        <f>IF('ENTRADAS-BASE'!H86="","",'ENTRADAS-BASE'!H86)</f>
        <v/>
      </c>
      <c r="J88" t="str">
        <f>IF('ENTRADAS-BASE'!I86="","",'ENTRADAS-BASE'!I86)</f>
        <v/>
      </c>
      <c r="K88" s="5" t="str">
        <f>IF('ENTRADAS-BASE'!J86="","",'ENTRADAS-BASE'!J86)</f>
        <v/>
      </c>
      <c r="L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" spans="2:12" x14ac:dyDescent="0.3">
      <c r="B89" t="str">
        <f>IF('ENTRADAS-BASE'!A87="","",'ENTRADAS-BASE'!A87)</f>
        <v/>
      </c>
      <c r="C89" t="str">
        <f>IF('ENTRADAS-BASE'!B87="","",'ENTRADAS-BASE'!B87)</f>
        <v/>
      </c>
      <c r="D89" t="str">
        <f>IF('ENTRADAS-BASE'!C87="","",'ENTRADAS-BASE'!C87)</f>
        <v/>
      </c>
      <c r="E89" s="7" t="str">
        <f>IF('ENTRADAS-BASE'!D87="","",'ENTRADAS-BASE'!D87)</f>
        <v/>
      </c>
      <c r="F89" s="6" t="str">
        <f>IF('ENTRADAS-BASE'!E87="","",'ENTRADAS-BASE'!E87)</f>
        <v/>
      </c>
      <c r="G89" t="str">
        <f>IF('ENTRADAS-BASE'!F87="","",'ENTRADAS-BASE'!F87)</f>
        <v/>
      </c>
      <c r="H89" t="str">
        <f>IF('ENTRADAS-BASE'!G87="","",'ENTRADAS-BASE'!G87)</f>
        <v/>
      </c>
      <c r="I89" t="str">
        <f>IF('ENTRADAS-BASE'!H87="","",'ENTRADAS-BASE'!H87)</f>
        <v/>
      </c>
      <c r="J89" t="str">
        <f>IF('ENTRADAS-BASE'!I87="","",'ENTRADAS-BASE'!I87)</f>
        <v/>
      </c>
      <c r="K89" s="5" t="str">
        <f>IF('ENTRADAS-BASE'!J87="","",'ENTRADAS-BASE'!J87)</f>
        <v/>
      </c>
      <c r="L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" spans="2:12" x14ac:dyDescent="0.3">
      <c r="B90" t="str">
        <f>IF('ENTRADAS-BASE'!A88="","",'ENTRADAS-BASE'!A88)</f>
        <v/>
      </c>
      <c r="C90" t="str">
        <f>IF('ENTRADAS-BASE'!B88="","",'ENTRADAS-BASE'!B88)</f>
        <v/>
      </c>
      <c r="D90" t="str">
        <f>IF('ENTRADAS-BASE'!C88="","",'ENTRADAS-BASE'!C88)</f>
        <v/>
      </c>
      <c r="E90" s="7" t="str">
        <f>IF('ENTRADAS-BASE'!D88="","",'ENTRADAS-BASE'!D88)</f>
        <v/>
      </c>
      <c r="F90" s="6" t="str">
        <f>IF('ENTRADAS-BASE'!E88="","",'ENTRADAS-BASE'!E88)</f>
        <v/>
      </c>
      <c r="G90" t="str">
        <f>IF('ENTRADAS-BASE'!F88="","",'ENTRADAS-BASE'!F88)</f>
        <v/>
      </c>
      <c r="H90" t="str">
        <f>IF('ENTRADAS-BASE'!G88="","",'ENTRADAS-BASE'!G88)</f>
        <v/>
      </c>
      <c r="I90" t="str">
        <f>IF('ENTRADAS-BASE'!H88="","",'ENTRADAS-BASE'!H88)</f>
        <v/>
      </c>
      <c r="J90" t="str">
        <f>IF('ENTRADAS-BASE'!I88="","",'ENTRADAS-BASE'!I88)</f>
        <v/>
      </c>
      <c r="K90" s="5" t="str">
        <f>IF('ENTRADAS-BASE'!J88="","",'ENTRADAS-BASE'!J88)</f>
        <v/>
      </c>
      <c r="L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" spans="2:12" x14ac:dyDescent="0.3">
      <c r="B91" t="str">
        <f>IF('ENTRADAS-BASE'!A89="","",'ENTRADAS-BASE'!A89)</f>
        <v/>
      </c>
      <c r="C91" t="str">
        <f>IF('ENTRADAS-BASE'!B89="","",'ENTRADAS-BASE'!B89)</f>
        <v/>
      </c>
      <c r="D91" t="str">
        <f>IF('ENTRADAS-BASE'!C89="","",'ENTRADAS-BASE'!C89)</f>
        <v/>
      </c>
      <c r="E91" s="7" t="str">
        <f>IF('ENTRADAS-BASE'!D89="","",'ENTRADAS-BASE'!D89)</f>
        <v/>
      </c>
      <c r="F91" s="6" t="str">
        <f>IF('ENTRADAS-BASE'!E89="","",'ENTRADAS-BASE'!E89)</f>
        <v/>
      </c>
      <c r="G91" t="str">
        <f>IF('ENTRADAS-BASE'!F89="","",'ENTRADAS-BASE'!F89)</f>
        <v/>
      </c>
      <c r="H91" t="str">
        <f>IF('ENTRADAS-BASE'!G89="","",'ENTRADAS-BASE'!G89)</f>
        <v/>
      </c>
      <c r="I91" t="str">
        <f>IF('ENTRADAS-BASE'!H89="","",'ENTRADAS-BASE'!H89)</f>
        <v/>
      </c>
      <c r="J91" t="str">
        <f>IF('ENTRADAS-BASE'!I89="","",'ENTRADAS-BASE'!I89)</f>
        <v/>
      </c>
      <c r="K91" s="5" t="str">
        <f>IF('ENTRADAS-BASE'!J89="","",'ENTRADAS-BASE'!J89)</f>
        <v/>
      </c>
      <c r="L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" spans="2:12" x14ac:dyDescent="0.3">
      <c r="B92" t="str">
        <f>IF('ENTRADAS-BASE'!A90="","",'ENTRADAS-BASE'!A90)</f>
        <v/>
      </c>
      <c r="C92" t="str">
        <f>IF('ENTRADAS-BASE'!B90="","",'ENTRADAS-BASE'!B90)</f>
        <v/>
      </c>
      <c r="D92" t="str">
        <f>IF('ENTRADAS-BASE'!C90="","",'ENTRADAS-BASE'!C90)</f>
        <v/>
      </c>
      <c r="E92" s="7" t="str">
        <f>IF('ENTRADAS-BASE'!D90="","",'ENTRADAS-BASE'!D90)</f>
        <v/>
      </c>
      <c r="F92" s="6" t="str">
        <f>IF('ENTRADAS-BASE'!E90="","",'ENTRADAS-BASE'!E90)</f>
        <v/>
      </c>
      <c r="G92" t="str">
        <f>IF('ENTRADAS-BASE'!F90="","",'ENTRADAS-BASE'!F90)</f>
        <v/>
      </c>
      <c r="H92" t="str">
        <f>IF('ENTRADAS-BASE'!G90="","",'ENTRADAS-BASE'!G90)</f>
        <v/>
      </c>
      <c r="I92" t="str">
        <f>IF('ENTRADAS-BASE'!H90="","",'ENTRADAS-BASE'!H90)</f>
        <v/>
      </c>
      <c r="J92" t="str">
        <f>IF('ENTRADAS-BASE'!I90="","",'ENTRADAS-BASE'!I90)</f>
        <v/>
      </c>
      <c r="K92" s="5" t="str">
        <f>IF('ENTRADAS-BASE'!J90="","",'ENTRADAS-BASE'!J90)</f>
        <v/>
      </c>
      <c r="L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" spans="2:12" x14ac:dyDescent="0.3">
      <c r="B93" t="str">
        <f>IF('ENTRADAS-BASE'!A91="","",'ENTRADAS-BASE'!A91)</f>
        <v/>
      </c>
      <c r="C93" t="str">
        <f>IF('ENTRADAS-BASE'!B91="","",'ENTRADAS-BASE'!B91)</f>
        <v/>
      </c>
      <c r="D93" t="str">
        <f>IF('ENTRADAS-BASE'!C91="","",'ENTRADAS-BASE'!C91)</f>
        <v/>
      </c>
      <c r="E93" s="7" t="str">
        <f>IF('ENTRADAS-BASE'!D91="","",'ENTRADAS-BASE'!D91)</f>
        <v/>
      </c>
      <c r="F93" s="6" t="str">
        <f>IF('ENTRADAS-BASE'!E91="","",'ENTRADAS-BASE'!E91)</f>
        <v/>
      </c>
      <c r="G93" t="str">
        <f>IF('ENTRADAS-BASE'!F91="","",'ENTRADAS-BASE'!F91)</f>
        <v/>
      </c>
      <c r="H93" t="str">
        <f>IF('ENTRADAS-BASE'!G91="","",'ENTRADAS-BASE'!G91)</f>
        <v/>
      </c>
      <c r="I93" t="str">
        <f>IF('ENTRADAS-BASE'!H91="","",'ENTRADAS-BASE'!H91)</f>
        <v/>
      </c>
      <c r="J93" t="str">
        <f>IF('ENTRADAS-BASE'!I91="","",'ENTRADAS-BASE'!I91)</f>
        <v/>
      </c>
      <c r="K93" s="5" t="str">
        <f>IF('ENTRADAS-BASE'!J91="","",'ENTRADAS-BASE'!J91)</f>
        <v/>
      </c>
      <c r="L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" spans="2:12" x14ac:dyDescent="0.3">
      <c r="B94" t="str">
        <f>IF('ENTRADAS-BASE'!A92="","",'ENTRADAS-BASE'!A92)</f>
        <v/>
      </c>
      <c r="C94" t="str">
        <f>IF('ENTRADAS-BASE'!B92="","",'ENTRADAS-BASE'!B92)</f>
        <v/>
      </c>
      <c r="D94" t="str">
        <f>IF('ENTRADAS-BASE'!C92="","",'ENTRADAS-BASE'!C92)</f>
        <v/>
      </c>
      <c r="E94" s="7" t="str">
        <f>IF('ENTRADAS-BASE'!D92="","",'ENTRADAS-BASE'!D92)</f>
        <v/>
      </c>
      <c r="F94" s="6" t="str">
        <f>IF('ENTRADAS-BASE'!E92="","",'ENTRADAS-BASE'!E92)</f>
        <v/>
      </c>
      <c r="G94" t="str">
        <f>IF('ENTRADAS-BASE'!F92="","",'ENTRADAS-BASE'!F92)</f>
        <v/>
      </c>
      <c r="H94" t="str">
        <f>IF('ENTRADAS-BASE'!G92="","",'ENTRADAS-BASE'!G92)</f>
        <v/>
      </c>
      <c r="I94" t="str">
        <f>IF('ENTRADAS-BASE'!H92="","",'ENTRADAS-BASE'!H92)</f>
        <v/>
      </c>
      <c r="J94" t="str">
        <f>IF('ENTRADAS-BASE'!I92="","",'ENTRADAS-BASE'!I92)</f>
        <v/>
      </c>
      <c r="K94" s="5" t="str">
        <f>IF('ENTRADAS-BASE'!J92="","",'ENTRADAS-BASE'!J92)</f>
        <v/>
      </c>
      <c r="L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" spans="2:12" x14ac:dyDescent="0.3">
      <c r="B95" t="str">
        <f>IF('ENTRADAS-BASE'!A93="","",'ENTRADAS-BASE'!A93)</f>
        <v/>
      </c>
      <c r="C95" t="str">
        <f>IF('ENTRADAS-BASE'!B93="","",'ENTRADAS-BASE'!B93)</f>
        <v/>
      </c>
      <c r="D95" t="str">
        <f>IF('ENTRADAS-BASE'!C93="","",'ENTRADAS-BASE'!C93)</f>
        <v/>
      </c>
      <c r="E95" s="7" t="str">
        <f>IF('ENTRADAS-BASE'!D93="","",'ENTRADAS-BASE'!D93)</f>
        <v/>
      </c>
      <c r="F95" s="6" t="str">
        <f>IF('ENTRADAS-BASE'!E93="","",'ENTRADAS-BASE'!E93)</f>
        <v/>
      </c>
      <c r="G95" t="str">
        <f>IF('ENTRADAS-BASE'!F93="","",'ENTRADAS-BASE'!F93)</f>
        <v/>
      </c>
      <c r="H95" t="str">
        <f>IF('ENTRADAS-BASE'!G93="","",'ENTRADAS-BASE'!G93)</f>
        <v/>
      </c>
      <c r="I95" t="str">
        <f>IF('ENTRADAS-BASE'!H93="","",'ENTRADAS-BASE'!H93)</f>
        <v/>
      </c>
      <c r="J95" t="str">
        <f>IF('ENTRADAS-BASE'!I93="","",'ENTRADAS-BASE'!I93)</f>
        <v/>
      </c>
      <c r="K95" s="5" t="str">
        <f>IF('ENTRADAS-BASE'!J93="","",'ENTRADAS-BASE'!J93)</f>
        <v/>
      </c>
      <c r="L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" spans="2:12" x14ac:dyDescent="0.3">
      <c r="B96" t="str">
        <f>IF('ENTRADAS-BASE'!A94="","",'ENTRADAS-BASE'!A94)</f>
        <v/>
      </c>
      <c r="C96" t="str">
        <f>IF('ENTRADAS-BASE'!B94="","",'ENTRADAS-BASE'!B94)</f>
        <v/>
      </c>
      <c r="D96" t="str">
        <f>IF('ENTRADAS-BASE'!C94="","",'ENTRADAS-BASE'!C94)</f>
        <v/>
      </c>
      <c r="E96" s="7" t="str">
        <f>IF('ENTRADAS-BASE'!D94="","",'ENTRADAS-BASE'!D94)</f>
        <v/>
      </c>
      <c r="F96" s="6" t="str">
        <f>IF('ENTRADAS-BASE'!E94="","",'ENTRADAS-BASE'!E94)</f>
        <v/>
      </c>
      <c r="G96" t="str">
        <f>IF('ENTRADAS-BASE'!F94="","",'ENTRADAS-BASE'!F94)</f>
        <v/>
      </c>
      <c r="H96" t="str">
        <f>IF('ENTRADAS-BASE'!G94="","",'ENTRADAS-BASE'!G94)</f>
        <v/>
      </c>
      <c r="I96" t="str">
        <f>IF('ENTRADAS-BASE'!H94="","",'ENTRADAS-BASE'!H94)</f>
        <v/>
      </c>
      <c r="J96" t="str">
        <f>IF('ENTRADAS-BASE'!I94="","",'ENTRADAS-BASE'!I94)</f>
        <v/>
      </c>
      <c r="K96" s="5" t="str">
        <f>IF('ENTRADAS-BASE'!J94="","",'ENTRADAS-BASE'!J94)</f>
        <v/>
      </c>
      <c r="L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" spans="2:12" x14ac:dyDescent="0.3">
      <c r="B97" t="str">
        <f>IF('ENTRADAS-BASE'!A95="","",'ENTRADAS-BASE'!A95)</f>
        <v/>
      </c>
      <c r="C97" t="str">
        <f>IF('ENTRADAS-BASE'!B95="","",'ENTRADAS-BASE'!B95)</f>
        <v/>
      </c>
      <c r="D97" t="str">
        <f>IF('ENTRADAS-BASE'!C95="","",'ENTRADAS-BASE'!C95)</f>
        <v/>
      </c>
      <c r="E97" s="7" t="str">
        <f>IF('ENTRADAS-BASE'!D95="","",'ENTRADAS-BASE'!D95)</f>
        <v/>
      </c>
      <c r="F97" s="6" t="str">
        <f>IF('ENTRADAS-BASE'!E95="","",'ENTRADAS-BASE'!E95)</f>
        <v/>
      </c>
      <c r="G97" t="str">
        <f>IF('ENTRADAS-BASE'!F95="","",'ENTRADAS-BASE'!F95)</f>
        <v/>
      </c>
      <c r="H97" t="str">
        <f>IF('ENTRADAS-BASE'!G95="","",'ENTRADAS-BASE'!G95)</f>
        <v/>
      </c>
      <c r="I97" t="str">
        <f>IF('ENTRADAS-BASE'!H95="","",'ENTRADAS-BASE'!H95)</f>
        <v/>
      </c>
      <c r="J97" t="str">
        <f>IF('ENTRADAS-BASE'!I95="","",'ENTRADAS-BASE'!I95)</f>
        <v/>
      </c>
      <c r="K97" s="5" t="str">
        <f>IF('ENTRADAS-BASE'!J95="","",'ENTRADAS-BASE'!J95)</f>
        <v/>
      </c>
      <c r="L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" spans="2:12" x14ac:dyDescent="0.3">
      <c r="B98" t="str">
        <f>IF('ENTRADAS-BASE'!A96="","",'ENTRADAS-BASE'!A96)</f>
        <v/>
      </c>
      <c r="C98" t="str">
        <f>IF('ENTRADAS-BASE'!B96="","",'ENTRADAS-BASE'!B96)</f>
        <v/>
      </c>
      <c r="D98" t="str">
        <f>IF('ENTRADAS-BASE'!C96="","",'ENTRADAS-BASE'!C96)</f>
        <v/>
      </c>
      <c r="E98" s="7" t="str">
        <f>IF('ENTRADAS-BASE'!D96="","",'ENTRADAS-BASE'!D96)</f>
        <v/>
      </c>
      <c r="F98" s="6" t="str">
        <f>IF('ENTRADAS-BASE'!E96="","",'ENTRADAS-BASE'!E96)</f>
        <v/>
      </c>
      <c r="G98" t="str">
        <f>IF('ENTRADAS-BASE'!F96="","",'ENTRADAS-BASE'!F96)</f>
        <v/>
      </c>
      <c r="H98" t="str">
        <f>IF('ENTRADAS-BASE'!G96="","",'ENTRADAS-BASE'!G96)</f>
        <v/>
      </c>
      <c r="I98" t="str">
        <f>IF('ENTRADAS-BASE'!H96="","",'ENTRADAS-BASE'!H96)</f>
        <v/>
      </c>
      <c r="J98" t="str">
        <f>IF('ENTRADAS-BASE'!I96="","",'ENTRADAS-BASE'!I96)</f>
        <v/>
      </c>
      <c r="K98" s="5" t="str">
        <f>IF('ENTRADAS-BASE'!J96="","",'ENTRADAS-BASE'!J96)</f>
        <v/>
      </c>
      <c r="L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" spans="2:12" x14ac:dyDescent="0.3">
      <c r="B99" t="str">
        <f>IF('ENTRADAS-BASE'!A97="","",'ENTRADAS-BASE'!A97)</f>
        <v/>
      </c>
      <c r="C99" t="str">
        <f>IF('ENTRADAS-BASE'!B97="","",'ENTRADAS-BASE'!B97)</f>
        <v/>
      </c>
      <c r="D99" t="str">
        <f>IF('ENTRADAS-BASE'!C97="","",'ENTRADAS-BASE'!C97)</f>
        <v/>
      </c>
      <c r="E99" s="7" t="str">
        <f>IF('ENTRADAS-BASE'!D97="","",'ENTRADAS-BASE'!D97)</f>
        <v/>
      </c>
      <c r="F99" s="6" t="str">
        <f>IF('ENTRADAS-BASE'!E97="","",'ENTRADAS-BASE'!E97)</f>
        <v/>
      </c>
      <c r="G99" t="str">
        <f>IF('ENTRADAS-BASE'!F97="","",'ENTRADAS-BASE'!F97)</f>
        <v/>
      </c>
      <c r="H99" t="str">
        <f>IF('ENTRADAS-BASE'!G97="","",'ENTRADAS-BASE'!G97)</f>
        <v/>
      </c>
      <c r="I99" t="str">
        <f>IF('ENTRADAS-BASE'!H97="","",'ENTRADAS-BASE'!H97)</f>
        <v/>
      </c>
      <c r="J99" t="str">
        <f>IF('ENTRADAS-BASE'!I97="","",'ENTRADAS-BASE'!I97)</f>
        <v/>
      </c>
      <c r="K99" s="5" t="str">
        <f>IF('ENTRADAS-BASE'!J97="","",'ENTRADAS-BASE'!J97)</f>
        <v/>
      </c>
      <c r="L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" spans="2:12" x14ac:dyDescent="0.3">
      <c r="B100" t="str">
        <f>IF('ENTRADAS-BASE'!A98="","",'ENTRADAS-BASE'!A98)</f>
        <v/>
      </c>
      <c r="C100" t="str">
        <f>IF('ENTRADAS-BASE'!B98="","",'ENTRADAS-BASE'!B98)</f>
        <v/>
      </c>
      <c r="D100" t="str">
        <f>IF('ENTRADAS-BASE'!C98="","",'ENTRADAS-BASE'!C98)</f>
        <v/>
      </c>
      <c r="E100" s="7" t="str">
        <f>IF('ENTRADAS-BASE'!D98="","",'ENTRADAS-BASE'!D98)</f>
        <v/>
      </c>
      <c r="F100" s="6" t="str">
        <f>IF('ENTRADAS-BASE'!E98="","",'ENTRADAS-BASE'!E98)</f>
        <v/>
      </c>
      <c r="G100" t="str">
        <f>IF('ENTRADAS-BASE'!F98="","",'ENTRADAS-BASE'!F98)</f>
        <v/>
      </c>
      <c r="H100" t="str">
        <f>IF('ENTRADAS-BASE'!G98="","",'ENTRADAS-BASE'!G98)</f>
        <v/>
      </c>
      <c r="I100" t="str">
        <f>IF('ENTRADAS-BASE'!H98="","",'ENTRADAS-BASE'!H98)</f>
        <v/>
      </c>
      <c r="J100" t="str">
        <f>IF('ENTRADAS-BASE'!I98="","",'ENTRADAS-BASE'!I98)</f>
        <v/>
      </c>
      <c r="K100" s="5" t="str">
        <f>IF('ENTRADAS-BASE'!J98="","",'ENTRADAS-BASE'!J98)</f>
        <v/>
      </c>
      <c r="L1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1" spans="2:12" x14ac:dyDescent="0.3">
      <c r="B101" t="str">
        <f>IF('ENTRADAS-BASE'!A99="","",'ENTRADAS-BASE'!A99)</f>
        <v/>
      </c>
      <c r="C101" t="str">
        <f>IF('ENTRADAS-BASE'!B99="","",'ENTRADAS-BASE'!B99)</f>
        <v/>
      </c>
      <c r="D101" t="str">
        <f>IF('ENTRADAS-BASE'!C99="","",'ENTRADAS-BASE'!C99)</f>
        <v/>
      </c>
      <c r="E101" s="7" t="str">
        <f>IF('ENTRADAS-BASE'!D99="","",'ENTRADAS-BASE'!D99)</f>
        <v/>
      </c>
      <c r="F101" s="6" t="str">
        <f>IF('ENTRADAS-BASE'!E99="","",'ENTRADAS-BASE'!E99)</f>
        <v/>
      </c>
      <c r="G101" t="str">
        <f>IF('ENTRADAS-BASE'!F99="","",'ENTRADAS-BASE'!F99)</f>
        <v/>
      </c>
      <c r="H101" t="str">
        <f>IF('ENTRADAS-BASE'!G99="","",'ENTRADAS-BASE'!G99)</f>
        <v/>
      </c>
      <c r="I101" t="str">
        <f>IF('ENTRADAS-BASE'!H99="","",'ENTRADAS-BASE'!H99)</f>
        <v/>
      </c>
      <c r="J101" t="str">
        <f>IF('ENTRADAS-BASE'!I99="","",'ENTRADAS-BASE'!I99)</f>
        <v/>
      </c>
      <c r="K101" s="5" t="str">
        <f>IF('ENTRADAS-BASE'!J99="","",'ENTRADAS-BASE'!J99)</f>
        <v/>
      </c>
      <c r="L1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2" spans="2:12" x14ac:dyDescent="0.3">
      <c r="B102" t="str">
        <f>IF('ENTRADAS-BASE'!A100="","",'ENTRADAS-BASE'!A100)</f>
        <v/>
      </c>
      <c r="C102" t="str">
        <f>IF('ENTRADAS-BASE'!B100="","",'ENTRADAS-BASE'!B100)</f>
        <v/>
      </c>
      <c r="D102" t="str">
        <f>IF('ENTRADAS-BASE'!C100="","",'ENTRADAS-BASE'!C100)</f>
        <v/>
      </c>
      <c r="E102" s="7" t="str">
        <f>IF('ENTRADAS-BASE'!D100="","",'ENTRADAS-BASE'!D100)</f>
        <v/>
      </c>
      <c r="F102" s="6" t="str">
        <f>IF('ENTRADAS-BASE'!E100="","",'ENTRADAS-BASE'!E100)</f>
        <v/>
      </c>
      <c r="G102" t="str">
        <f>IF('ENTRADAS-BASE'!F100="","",'ENTRADAS-BASE'!F100)</f>
        <v/>
      </c>
      <c r="H102" t="str">
        <f>IF('ENTRADAS-BASE'!G100="","",'ENTRADAS-BASE'!G100)</f>
        <v/>
      </c>
      <c r="I102" t="str">
        <f>IF('ENTRADAS-BASE'!H100="","",'ENTRADAS-BASE'!H100)</f>
        <v/>
      </c>
      <c r="J102" t="str">
        <f>IF('ENTRADAS-BASE'!I100="","",'ENTRADAS-BASE'!I100)</f>
        <v/>
      </c>
      <c r="K102" s="5" t="str">
        <f>IF('ENTRADAS-BASE'!J100="","",'ENTRADAS-BASE'!J100)</f>
        <v/>
      </c>
      <c r="L1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3" spans="2:12" x14ac:dyDescent="0.3">
      <c r="B103" t="str">
        <f>IF('ENTRADAS-BASE'!A101="","",'ENTRADAS-BASE'!A101)</f>
        <v/>
      </c>
      <c r="C103" t="str">
        <f>IF('ENTRADAS-BASE'!B101="","",'ENTRADAS-BASE'!B101)</f>
        <v/>
      </c>
      <c r="D103" t="str">
        <f>IF('ENTRADAS-BASE'!C101="","",'ENTRADAS-BASE'!C101)</f>
        <v/>
      </c>
      <c r="E103" s="7" t="str">
        <f>IF('ENTRADAS-BASE'!D101="","",'ENTRADAS-BASE'!D101)</f>
        <v/>
      </c>
      <c r="F103" s="6" t="str">
        <f>IF('ENTRADAS-BASE'!E101="","",'ENTRADAS-BASE'!E101)</f>
        <v/>
      </c>
      <c r="G103" t="str">
        <f>IF('ENTRADAS-BASE'!F101="","",'ENTRADAS-BASE'!F101)</f>
        <v/>
      </c>
      <c r="H103" t="str">
        <f>IF('ENTRADAS-BASE'!G101="","",'ENTRADAS-BASE'!G101)</f>
        <v/>
      </c>
      <c r="I103" t="str">
        <f>IF('ENTRADAS-BASE'!H101="","",'ENTRADAS-BASE'!H101)</f>
        <v/>
      </c>
      <c r="J103" t="str">
        <f>IF('ENTRADAS-BASE'!I101="","",'ENTRADAS-BASE'!I101)</f>
        <v/>
      </c>
      <c r="K103" s="5" t="str">
        <f>IF('ENTRADAS-BASE'!J101="","",'ENTRADAS-BASE'!J101)</f>
        <v/>
      </c>
      <c r="L1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4" spans="2:12" x14ac:dyDescent="0.3">
      <c r="B104" t="str">
        <f>IF('ENTRADAS-BASE'!A102="","",'ENTRADAS-BASE'!A102)</f>
        <v/>
      </c>
      <c r="C104" t="str">
        <f>IF('ENTRADAS-BASE'!B102="","",'ENTRADAS-BASE'!B102)</f>
        <v/>
      </c>
      <c r="D104" t="str">
        <f>IF('ENTRADAS-BASE'!C102="","",'ENTRADAS-BASE'!C102)</f>
        <v/>
      </c>
      <c r="E104" s="7" t="str">
        <f>IF('ENTRADAS-BASE'!D102="","",'ENTRADAS-BASE'!D102)</f>
        <v/>
      </c>
      <c r="F104" s="6" t="str">
        <f>IF('ENTRADAS-BASE'!E102="","",'ENTRADAS-BASE'!E102)</f>
        <v/>
      </c>
      <c r="G104" t="str">
        <f>IF('ENTRADAS-BASE'!F102="","",'ENTRADAS-BASE'!F102)</f>
        <v/>
      </c>
      <c r="H104" t="str">
        <f>IF('ENTRADAS-BASE'!G102="","",'ENTRADAS-BASE'!G102)</f>
        <v/>
      </c>
      <c r="I104" t="str">
        <f>IF('ENTRADAS-BASE'!H102="","",'ENTRADAS-BASE'!H102)</f>
        <v/>
      </c>
      <c r="J104" t="str">
        <f>IF('ENTRADAS-BASE'!I102="","",'ENTRADAS-BASE'!I102)</f>
        <v/>
      </c>
      <c r="K104" s="5" t="str">
        <f>IF('ENTRADAS-BASE'!J102="","",'ENTRADAS-BASE'!J102)</f>
        <v/>
      </c>
      <c r="L1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5" spans="2:12" x14ac:dyDescent="0.3">
      <c r="B105" t="str">
        <f>IF('ENTRADAS-BASE'!A103="","",'ENTRADAS-BASE'!A103)</f>
        <v/>
      </c>
      <c r="C105" t="str">
        <f>IF('ENTRADAS-BASE'!B103="","",'ENTRADAS-BASE'!B103)</f>
        <v/>
      </c>
      <c r="D105" t="str">
        <f>IF('ENTRADAS-BASE'!C103="","",'ENTRADAS-BASE'!C103)</f>
        <v/>
      </c>
      <c r="E105" s="7" t="str">
        <f>IF('ENTRADAS-BASE'!D103="","",'ENTRADAS-BASE'!D103)</f>
        <v/>
      </c>
      <c r="F105" s="6" t="str">
        <f>IF('ENTRADAS-BASE'!E103="","",'ENTRADAS-BASE'!E103)</f>
        <v/>
      </c>
      <c r="G105" t="str">
        <f>IF('ENTRADAS-BASE'!F103="","",'ENTRADAS-BASE'!F103)</f>
        <v/>
      </c>
      <c r="H105" t="str">
        <f>IF('ENTRADAS-BASE'!G103="","",'ENTRADAS-BASE'!G103)</f>
        <v/>
      </c>
      <c r="I105" t="str">
        <f>IF('ENTRADAS-BASE'!H103="","",'ENTRADAS-BASE'!H103)</f>
        <v/>
      </c>
      <c r="J105" t="str">
        <f>IF('ENTRADAS-BASE'!I103="","",'ENTRADAS-BASE'!I103)</f>
        <v/>
      </c>
      <c r="K105" s="5" t="str">
        <f>IF('ENTRADAS-BASE'!J103="","",'ENTRADAS-BASE'!J103)</f>
        <v/>
      </c>
      <c r="L1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6" spans="2:12" x14ac:dyDescent="0.3">
      <c r="B106" t="str">
        <f>IF('ENTRADAS-BASE'!A104="","",'ENTRADAS-BASE'!A104)</f>
        <v/>
      </c>
      <c r="C106" t="str">
        <f>IF('ENTRADAS-BASE'!B104="","",'ENTRADAS-BASE'!B104)</f>
        <v/>
      </c>
      <c r="D106" t="str">
        <f>IF('ENTRADAS-BASE'!C104="","",'ENTRADAS-BASE'!C104)</f>
        <v/>
      </c>
      <c r="E106" s="7" t="str">
        <f>IF('ENTRADAS-BASE'!D104="","",'ENTRADAS-BASE'!D104)</f>
        <v/>
      </c>
      <c r="F106" s="6" t="str">
        <f>IF('ENTRADAS-BASE'!E104="","",'ENTRADAS-BASE'!E104)</f>
        <v/>
      </c>
      <c r="G106" t="str">
        <f>IF('ENTRADAS-BASE'!F104="","",'ENTRADAS-BASE'!F104)</f>
        <v/>
      </c>
      <c r="H106" t="str">
        <f>IF('ENTRADAS-BASE'!G104="","",'ENTRADAS-BASE'!G104)</f>
        <v/>
      </c>
      <c r="I106" t="str">
        <f>IF('ENTRADAS-BASE'!H104="","",'ENTRADAS-BASE'!H104)</f>
        <v/>
      </c>
      <c r="J106" t="str">
        <f>IF('ENTRADAS-BASE'!I104="","",'ENTRADAS-BASE'!I104)</f>
        <v/>
      </c>
      <c r="K106" s="5" t="str">
        <f>IF('ENTRADAS-BASE'!J104="","",'ENTRADAS-BASE'!J104)</f>
        <v/>
      </c>
      <c r="L1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7" spans="2:12" x14ac:dyDescent="0.3">
      <c r="B107" t="str">
        <f>IF('ENTRADAS-BASE'!A105="","",'ENTRADAS-BASE'!A105)</f>
        <v/>
      </c>
      <c r="C107" t="str">
        <f>IF('ENTRADAS-BASE'!B105="","",'ENTRADAS-BASE'!B105)</f>
        <v/>
      </c>
      <c r="D107" t="str">
        <f>IF('ENTRADAS-BASE'!C105="","",'ENTRADAS-BASE'!C105)</f>
        <v/>
      </c>
      <c r="E107" s="7" t="str">
        <f>IF('ENTRADAS-BASE'!D105="","",'ENTRADAS-BASE'!D105)</f>
        <v/>
      </c>
      <c r="F107" s="6" t="str">
        <f>IF('ENTRADAS-BASE'!E105="","",'ENTRADAS-BASE'!E105)</f>
        <v/>
      </c>
      <c r="G107" t="str">
        <f>IF('ENTRADAS-BASE'!F105="","",'ENTRADAS-BASE'!F105)</f>
        <v/>
      </c>
      <c r="H107" t="str">
        <f>IF('ENTRADAS-BASE'!G105="","",'ENTRADAS-BASE'!G105)</f>
        <v/>
      </c>
      <c r="I107" t="str">
        <f>IF('ENTRADAS-BASE'!H105="","",'ENTRADAS-BASE'!H105)</f>
        <v/>
      </c>
      <c r="J107" t="str">
        <f>IF('ENTRADAS-BASE'!I105="","",'ENTRADAS-BASE'!I105)</f>
        <v/>
      </c>
      <c r="K107" s="5" t="str">
        <f>IF('ENTRADAS-BASE'!J105="","",'ENTRADAS-BASE'!J105)</f>
        <v/>
      </c>
      <c r="L1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8" spans="2:12" x14ac:dyDescent="0.3">
      <c r="B108" t="str">
        <f>IF('ENTRADAS-BASE'!A106="","",'ENTRADAS-BASE'!A106)</f>
        <v/>
      </c>
      <c r="C108" t="str">
        <f>IF('ENTRADAS-BASE'!B106="","",'ENTRADAS-BASE'!B106)</f>
        <v/>
      </c>
      <c r="D108" t="str">
        <f>IF('ENTRADAS-BASE'!C106="","",'ENTRADAS-BASE'!C106)</f>
        <v/>
      </c>
      <c r="E108" s="7" t="str">
        <f>IF('ENTRADAS-BASE'!D106="","",'ENTRADAS-BASE'!D106)</f>
        <v/>
      </c>
      <c r="F108" s="6" t="str">
        <f>IF('ENTRADAS-BASE'!E106="","",'ENTRADAS-BASE'!E106)</f>
        <v/>
      </c>
      <c r="G108" t="str">
        <f>IF('ENTRADAS-BASE'!F106="","",'ENTRADAS-BASE'!F106)</f>
        <v/>
      </c>
      <c r="H108" t="str">
        <f>IF('ENTRADAS-BASE'!G106="","",'ENTRADAS-BASE'!G106)</f>
        <v/>
      </c>
      <c r="I108" t="str">
        <f>IF('ENTRADAS-BASE'!H106="","",'ENTRADAS-BASE'!H106)</f>
        <v/>
      </c>
      <c r="J108" t="str">
        <f>IF('ENTRADAS-BASE'!I106="","",'ENTRADAS-BASE'!I106)</f>
        <v/>
      </c>
      <c r="K108" s="5" t="str">
        <f>IF('ENTRADAS-BASE'!J106="","",'ENTRADAS-BASE'!J106)</f>
        <v/>
      </c>
      <c r="L1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9" spans="2:12" x14ac:dyDescent="0.3">
      <c r="B109" t="str">
        <f>IF('ENTRADAS-BASE'!A107="","",'ENTRADAS-BASE'!A107)</f>
        <v/>
      </c>
      <c r="C109" t="str">
        <f>IF('ENTRADAS-BASE'!B107="","",'ENTRADAS-BASE'!B107)</f>
        <v/>
      </c>
      <c r="D109" t="str">
        <f>IF('ENTRADAS-BASE'!C107="","",'ENTRADAS-BASE'!C107)</f>
        <v/>
      </c>
      <c r="E109" s="7" t="str">
        <f>IF('ENTRADAS-BASE'!D107="","",'ENTRADAS-BASE'!D107)</f>
        <v/>
      </c>
      <c r="F109" s="6" t="str">
        <f>IF('ENTRADAS-BASE'!E107="","",'ENTRADAS-BASE'!E107)</f>
        <v/>
      </c>
      <c r="G109" t="str">
        <f>IF('ENTRADAS-BASE'!F107="","",'ENTRADAS-BASE'!F107)</f>
        <v/>
      </c>
      <c r="H109" t="str">
        <f>IF('ENTRADAS-BASE'!G107="","",'ENTRADAS-BASE'!G107)</f>
        <v/>
      </c>
      <c r="I109" t="str">
        <f>IF('ENTRADAS-BASE'!H107="","",'ENTRADAS-BASE'!H107)</f>
        <v/>
      </c>
      <c r="J109" t="str">
        <f>IF('ENTRADAS-BASE'!I107="","",'ENTRADAS-BASE'!I107)</f>
        <v/>
      </c>
      <c r="K109" s="5" t="str">
        <f>IF('ENTRADAS-BASE'!J107="","",'ENTRADAS-BASE'!J107)</f>
        <v/>
      </c>
      <c r="L1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0" spans="2:12" x14ac:dyDescent="0.3">
      <c r="B110" t="str">
        <f>IF('ENTRADAS-BASE'!A108="","",'ENTRADAS-BASE'!A108)</f>
        <v/>
      </c>
      <c r="C110" t="str">
        <f>IF('ENTRADAS-BASE'!B108="","",'ENTRADAS-BASE'!B108)</f>
        <v/>
      </c>
      <c r="D110" t="str">
        <f>IF('ENTRADAS-BASE'!C108="","",'ENTRADAS-BASE'!C108)</f>
        <v/>
      </c>
      <c r="E110" s="7" t="str">
        <f>IF('ENTRADAS-BASE'!D108="","",'ENTRADAS-BASE'!D108)</f>
        <v/>
      </c>
      <c r="F110" s="6" t="str">
        <f>IF('ENTRADAS-BASE'!E108="","",'ENTRADAS-BASE'!E108)</f>
        <v/>
      </c>
      <c r="G110" t="str">
        <f>IF('ENTRADAS-BASE'!F108="","",'ENTRADAS-BASE'!F108)</f>
        <v/>
      </c>
      <c r="H110" t="str">
        <f>IF('ENTRADAS-BASE'!G108="","",'ENTRADAS-BASE'!G108)</f>
        <v/>
      </c>
      <c r="I110" t="str">
        <f>IF('ENTRADAS-BASE'!H108="","",'ENTRADAS-BASE'!H108)</f>
        <v/>
      </c>
      <c r="J110" t="str">
        <f>IF('ENTRADAS-BASE'!I108="","",'ENTRADAS-BASE'!I108)</f>
        <v/>
      </c>
      <c r="K110" s="5" t="str">
        <f>IF('ENTRADAS-BASE'!J108="","",'ENTRADAS-BASE'!J108)</f>
        <v/>
      </c>
      <c r="L1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1" spans="2:12" x14ac:dyDescent="0.3">
      <c r="B111" t="str">
        <f>IF('ENTRADAS-BASE'!A109="","",'ENTRADAS-BASE'!A109)</f>
        <v/>
      </c>
      <c r="C111" t="str">
        <f>IF('ENTRADAS-BASE'!B109="","",'ENTRADAS-BASE'!B109)</f>
        <v/>
      </c>
      <c r="D111" t="str">
        <f>IF('ENTRADAS-BASE'!C109="","",'ENTRADAS-BASE'!C109)</f>
        <v/>
      </c>
      <c r="E111" s="7" t="str">
        <f>IF('ENTRADAS-BASE'!D109="","",'ENTRADAS-BASE'!D109)</f>
        <v/>
      </c>
      <c r="F111" s="6" t="str">
        <f>IF('ENTRADAS-BASE'!E109="","",'ENTRADAS-BASE'!E109)</f>
        <v/>
      </c>
      <c r="G111" t="str">
        <f>IF('ENTRADAS-BASE'!F109="","",'ENTRADAS-BASE'!F109)</f>
        <v/>
      </c>
      <c r="H111" t="str">
        <f>IF('ENTRADAS-BASE'!G109="","",'ENTRADAS-BASE'!G109)</f>
        <v/>
      </c>
      <c r="I111" t="str">
        <f>IF('ENTRADAS-BASE'!H109="","",'ENTRADAS-BASE'!H109)</f>
        <v/>
      </c>
      <c r="J111" t="str">
        <f>IF('ENTRADAS-BASE'!I109="","",'ENTRADAS-BASE'!I109)</f>
        <v/>
      </c>
      <c r="K111" s="5" t="str">
        <f>IF('ENTRADAS-BASE'!J109="","",'ENTRADAS-BASE'!J109)</f>
        <v/>
      </c>
      <c r="L1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2" spans="2:12" x14ac:dyDescent="0.3">
      <c r="B112" t="str">
        <f>IF('ENTRADAS-BASE'!A110="","",'ENTRADAS-BASE'!A110)</f>
        <v/>
      </c>
      <c r="C112" t="str">
        <f>IF('ENTRADAS-BASE'!B110="","",'ENTRADAS-BASE'!B110)</f>
        <v/>
      </c>
      <c r="D112" t="str">
        <f>IF('ENTRADAS-BASE'!C110="","",'ENTRADAS-BASE'!C110)</f>
        <v/>
      </c>
      <c r="E112" s="7" t="str">
        <f>IF('ENTRADAS-BASE'!D110="","",'ENTRADAS-BASE'!D110)</f>
        <v/>
      </c>
      <c r="F112" s="6" t="str">
        <f>IF('ENTRADAS-BASE'!E110="","",'ENTRADAS-BASE'!E110)</f>
        <v/>
      </c>
      <c r="G112" t="str">
        <f>IF('ENTRADAS-BASE'!F110="","",'ENTRADAS-BASE'!F110)</f>
        <v/>
      </c>
      <c r="H112" t="str">
        <f>IF('ENTRADAS-BASE'!G110="","",'ENTRADAS-BASE'!G110)</f>
        <v/>
      </c>
      <c r="I112" t="str">
        <f>IF('ENTRADAS-BASE'!H110="","",'ENTRADAS-BASE'!H110)</f>
        <v/>
      </c>
      <c r="J112" t="str">
        <f>IF('ENTRADAS-BASE'!I110="","",'ENTRADAS-BASE'!I110)</f>
        <v/>
      </c>
      <c r="K112" s="5" t="str">
        <f>IF('ENTRADAS-BASE'!J110="","",'ENTRADAS-BASE'!J110)</f>
        <v/>
      </c>
      <c r="L1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3" spans="2:12" x14ac:dyDescent="0.3">
      <c r="B113" t="str">
        <f>IF('ENTRADAS-BASE'!A111="","",'ENTRADAS-BASE'!A111)</f>
        <v/>
      </c>
      <c r="C113" t="str">
        <f>IF('ENTRADAS-BASE'!B111="","",'ENTRADAS-BASE'!B111)</f>
        <v/>
      </c>
      <c r="D113" t="str">
        <f>IF('ENTRADAS-BASE'!C111="","",'ENTRADAS-BASE'!C111)</f>
        <v/>
      </c>
      <c r="E113" s="7" t="str">
        <f>IF('ENTRADAS-BASE'!D111="","",'ENTRADAS-BASE'!D111)</f>
        <v/>
      </c>
      <c r="F113" s="6" t="str">
        <f>IF('ENTRADAS-BASE'!E111="","",'ENTRADAS-BASE'!E111)</f>
        <v/>
      </c>
      <c r="G113" t="str">
        <f>IF('ENTRADAS-BASE'!F111="","",'ENTRADAS-BASE'!F111)</f>
        <v/>
      </c>
      <c r="H113" t="str">
        <f>IF('ENTRADAS-BASE'!G111="","",'ENTRADAS-BASE'!G111)</f>
        <v/>
      </c>
      <c r="I113" t="str">
        <f>IF('ENTRADAS-BASE'!H111="","",'ENTRADAS-BASE'!H111)</f>
        <v/>
      </c>
      <c r="J113" t="str">
        <f>IF('ENTRADAS-BASE'!I111="","",'ENTRADAS-BASE'!I111)</f>
        <v/>
      </c>
      <c r="K113" s="5" t="str">
        <f>IF('ENTRADAS-BASE'!J111="","",'ENTRADAS-BASE'!J111)</f>
        <v/>
      </c>
      <c r="L1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4" spans="2:12" x14ac:dyDescent="0.3">
      <c r="B114" t="str">
        <f>IF('ENTRADAS-BASE'!A112="","",'ENTRADAS-BASE'!A112)</f>
        <v/>
      </c>
      <c r="C114" t="str">
        <f>IF('ENTRADAS-BASE'!B112="","",'ENTRADAS-BASE'!B112)</f>
        <v/>
      </c>
      <c r="D114" t="str">
        <f>IF('ENTRADAS-BASE'!C112="","",'ENTRADAS-BASE'!C112)</f>
        <v/>
      </c>
      <c r="E114" s="7" t="str">
        <f>IF('ENTRADAS-BASE'!D112="","",'ENTRADAS-BASE'!D112)</f>
        <v/>
      </c>
      <c r="F114" s="6" t="str">
        <f>IF('ENTRADAS-BASE'!E112="","",'ENTRADAS-BASE'!E112)</f>
        <v/>
      </c>
      <c r="G114" t="str">
        <f>IF('ENTRADAS-BASE'!F112="","",'ENTRADAS-BASE'!F112)</f>
        <v/>
      </c>
      <c r="H114" t="str">
        <f>IF('ENTRADAS-BASE'!G112="","",'ENTRADAS-BASE'!G112)</f>
        <v/>
      </c>
      <c r="I114" t="str">
        <f>IF('ENTRADAS-BASE'!H112="","",'ENTRADAS-BASE'!H112)</f>
        <v/>
      </c>
      <c r="J114" t="str">
        <f>IF('ENTRADAS-BASE'!I112="","",'ENTRADAS-BASE'!I112)</f>
        <v/>
      </c>
      <c r="K114" s="5" t="str">
        <f>IF('ENTRADAS-BASE'!J112="","",'ENTRADAS-BASE'!J112)</f>
        <v/>
      </c>
      <c r="L1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5" spans="2:12" x14ac:dyDescent="0.3">
      <c r="B115" t="str">
        <f>IF('ENTRADAS-BASE'!A113="","",'ENTRADAS-BASE'!A113)</f>
        <v/>
      </c>
      <c r="C115" t="str">
        <f>IF('ENTRADAS-BASE'!B113="","",'ENTRADAS-BASE'!B113)</f>
        <v/>
      </c>
      <c r="D115" t="str">
        <f>IF('ENTRADAS-BASE'!C113="","",'ENTRADAS-BASE'!C113)</f>
        <v/>
      </c>
      <c r="E115" s="7" t="str">
        <f>IF('ENTRADAS-BASE'!D113="","",'ENTRADAS-BASE'!D113)</f>
        <v/>
      </c>
      <c r="F115" s="6" t="str">
        <f>IF('ENTRADAS-BASE'!E113="","",'ENTRADAS-BASE'!E113)</f>
        <v/>
      </c>
      <c r="G115" t="str">
        <f>IF('ENTRADAS-BASE'!F113="","",'ENTRADAS-BASE'!F113)</f>
        <v/>
      </c>
      <c r="H115" t="str">
        <f>IF('ENTRADAS-BASE'!G113="","",'ENTRADAS-BASE'!G113)</f>
        <v/>
      </c>
      <c r="I115" t="str">
        <f>IF('ENTRADAS-BASE'!H113="","",'ENTRADAS-BASE'!H113)</f>
        <v/>
      </c>
      <c r="J115" t="str">
        <f>IF('ENTRADAS-BASE'!I113="","",'ENTRADAS-BASE'!I113)</f>
        <v/>
      </c>
      <c r="K115" s="5" t="str">
        <f>IF('ENTRADAS-BASE'!J113="","",'ENTRADAS-BASE'!J113)</f>
        <v/>
      </c>
      <c r="L1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6" spans="2:12" x14ac:dyDescent="0.3">
      <c r="B116" t="str">
        <f>IF('ENTRADAS-BASE'!A114="","",'ENTRADAS-BASE'!A114)</f>
        <v/>
      </c>
      <c r="C116" t="str">
        <f>IF('ENTRADAS-BASE'!B114="","",'ENTRADAS-BASE'!B114)</f>
        <v/>
      </c>
      <c r="D116" t="str">
        <f>IF('ENTRADAS-BASE'!C114="","",'ENTRADAS-BASE'!C114)</f>
        <v/>
      </c>
      <c r="E116" s="7" t="str">
        <f>IF('ENTRADAS-BASE'!D114="","",'ENTRADAS-BASE'!D114)</f>
        <v/>
      </c>
      <c r="F116" s="6" t="str">
        <f>IF('ENTRADAS-BASE'!E114="","",'ENTRADAS-BASE'!E114)</f>
        <v/>
      </c>
      <c r="G116" t="str">
        <f>IF('ENTRADAS-BASE'!F114="","",'ENTRADAS-BASE'!F114)</f>
        <v/>
      </c>
      <c r="H116" t="str">
        <f>IF('ENTRADAS-BASE'!G114="","",'ENTRADAS-BASE'!G114)</f>
        <v/>
      </c>
      <c r="I116" t="str">
        <f>IF('ENTRADAS-BASE'!H114="","",'ENTRADAS-BASE'!H114)</f>
        <v/>
      </c>
      <c r="J116" t="str">
        <f>IF('ENTRADAS-BASE'!I114="","",'ENTRADAS-BASE'!I114)</f>
        <v/>
      </c>
      <c r="K116" s="5" t="str">
        <f>IF('ENTRADAS-BASE'!J114="","",'ENTRADAS-BASE'!J114)</f>
        <v/>
      </c>
      <c r="L1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7" spans="2:12" x14ac:dyDescent="0.3">
      <c r="B117" t="str">
        <f>IF('ENTRADAS-BASE'!A115="","",'ENTRADAS-BASE'!A115)</f>
        <v/>
      </c>
      <c r="C117" t="str">
        <f>IF('ENTRADAS-BASE'!B115="","",'ENTRADAS-BASE'!B115)</f>
        <v/>
      </c>
      <c r="D117" t="str">
        <f>IF('ENTRADAS-BASE'!C115="","",'ENTRADAS-BASE'!C115)</f>
        <v/>
      </c>
      <c r="E117" s="7" t="str">
        <f>IF('ENTRADAS-BASE'!D115="","",'ENTRADAS-BASE'!D115)</f>
        <v/>
      </c>
      <c r="F117" s="6" t="str">
        <f>IF('ENTRADAS-BASE'!E115="","",'ENTRADAS-BASE'!E115)</f>
        <v/>
      </c>
      <c r="G117" t="str">
        <f>IF('ENTRADAS-BASE'!F115="","",'ENTRADAS-BASE'!F115)</f>
        <v/>
      </c>
      <c r="H117" t="str">
        <f>IF('ENTRADAS-BASE'!G115="","",'ENTRADAS-BASE'!G115)</f>
        <v/>
      </c>
      <c r="I117" t="str">
        <f>IF('ENTRADAS-BASE'!H115="","",'ENTRADAS-BASE'!H115)</f>
        <v/>
      </c>
      <c r="J117" t="str">
        <f>IF('ENTRADAS-BASE'!I115="","",'ENTRADAS-BASE'!I115)</f>
        <v/>
      </c>
      <c r="K117" s="5" t="str">
        <f>IF('ENTRADAS-BASE'!J115="","",'ENTRADAS-BASE'!J115)</f>
        <v/>
      </c>
      <c r="L1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8" spans="2:12" x14ac:dyDescent="0.3">
      <c r="B118" t="str">
        <f>IF('ENTRADAS-BASE'!A116="","",'ENTRADAS-BASE'!A116)</f>
        <v/>
      </c>
      <c r="C118" t="str">
        <f>IF('ENTRADAS-BASE'!B116="","",'ENTRADAS-BASE'!B116)</f>
        <v/>
      </c>
      <c r="D118" t="str">
        <f>IF('ENTRADAS-BASE'!C116="","",'ENTRADAS-BASE'!C116)</f>
        <v/>
      </c>
      <c r="E118" s="7" t="str">
        <f>IF('ENTRADAS-BASE'!D116="","",'ENTRADAS-BASE'!D116)</f>
        <v/>
      </c>
      <c r="F118" s="6" t="str">
        <f>IF('ENTRADAS-BASE'!E116="","",'ENTRADAS-BASE'!E116)</f>
        <v/>
      </c>
      <c r="G118" t="str">
        <f>IF('ENTRADAS-BASE'!F116="","",'ENTRADAS-BASE'!F116)</f>
        <v/>
      </c>
      <c r="H118" t="str">
        <f>IF('ENTRADAS-BASE'!G116="","",'ENTRADAS-BASE'!G116)</f>
        <v/>
      </c>
      <c r="I118" t="str">
        <f>IF('ENTRADAS-BASE'!H116="","",'ENTRADAS-BASE'!H116)</f>
        <v/>
      </c>
      <c r="J118" t="str">
        <f>IF('ENTRADAS-BASE'!I116="","",'ENTRADAS-BASE'!I116)</f>
        <v/>
      </c>
      <c r="K118" s="5" t="str">
        <f>IF('ENTRADAS-BASE'!J116="","",'ENTRADAS-BASE'!J116)</f>
        <v/>
      </c>
      <c r="L1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9" spans="2:12" x14ac:dyDescent="0.3">
      <c r="B119" t="str">
        <f>IF('ENTRADAS-BASE'!A117="","",'ENTRADAS-BASE'!A117)</f>
        <v/>
      </c>
      <c r="C119" t="str">
        <f>IF('ENTRADAS-BASE'!B117="","",'ENTRADAS-BASE'!B117)</f>
        <v/>
      </c>
      <c r="D119" t="str">
        <f>IF('ENTRADAS-BASE'!C117="","",'ENTRADAS-BASE'!C117)</f>
        <v/>
      </c>
      <c r="E119" s="7" t="str">
        <f>IF('ENTRADAS-BASE'!D117="","",'ENTRADAS-BASE'!D117)</f>
        <v/>
      </c>
      <c r="F119" s="6" t="str">
        <f>IF('ENTRADAS-BASE'!E117="","",'ENTRADAS-BASE'!E117)</f>
        <v/>
      </c>
      <c r="G119" t="str">
        <f>IF('ENTRADAS-BASE'!F117="","",'ENTRADAS-BASE'!F117)</f>
        <v/>
      </c>
      <c r="H119" t="str">
        <f>IF('ENTRADAS-BASE'!G117="","",'ENTRADAS-BASE'!G117)</f>
        <v/>
      </c>
      <c r="I119" t="str">
        <f>IF('ENTRADAS-BASE'!H117="","",'ENTRADAS-BASE'!H117)</f>
        <v/>
      </c>
      <c r="J119" t="str">
        <f>IF('ENTRADAS-BASE'!I117="","",'ENTRADAS-BASE'!I117)</f>
        <v/>
      </c>
      <c r="K119" s="5" t="str">
        <f>IF('ENTRADAS-BASE'!J117="","",'ENTRADAS-BASE'!J117)</f>
        <v/>
      </c>
      <c r="L1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0" spans="2:12" x14ac:dyDescent="0.3">
      <c r="B120" t="str">
        <f>IF('ENTRADAS-BASE'!A118="","",'ENTRADAS-BASE'!A118)</f>
        <v/>
      </c>
      <c r="C120" t="str">
        <f>IF('ENTRADAS-BASE'!B118="","",'ENTRADAS-BASE'!B118)</f>
        <v/>
      </c>
      <c r="D120" t="str">
        <f>IF('ENTRADAS-BASE'!C118="","",'ENTRADAS-BASE'!C118)</f>
        <v/>
      </c>
      <c r="E120" s="7" t="str">
        <f>IF('ENTRADAS-BASE'!D118="","",'ENTRADAS-BASE'!D118)</f>
        <v/>
      </c>
      <c r="F120" s="6" t="str">
        <f>IF('ENTRADAS-BASE'!E118="","",'ENTRADAS-BASE'!E118)</f>
        <v/>
      </c>
      <c r="G120" t="str">
        <f>IF('ENTRADAS-BASE'!F118="","",'ENTRADAS-BASE'!F118)</f>
        <v/>
      </c>
      <c r="H120" t="str">
        <f>IF('ENTRADAS-BASE'!G118="","",'ENTRADAS-BASE'!G118)</f>
        <v/>
      </c>
      <c r="I120" t="str">
        <f>IF('ENTRADAS-BASE'!H118="","",'ENTRADAS-BASE'!H118)</f>
        <v/>
      </c>
      <c r="J120" t="str">
        <f>IF('ENTRADAS-BASE'!I118="","",'ENTRADAS-BASE'!I118)</f>
        <v/>
      </c>
      <c r="K120" s="5" t="str">
        <f>IF('ENTRADAS-BASE'!J118="","",'ENTRADAS-BASE'!J118)</f>
        <v/>
      </c>
      <c r="L1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1" spans="2:12" x14ac:dyDescent="0.3">
      <c r="B121" t="str">
        <f>IF('ENTRADAS-BASE'!A119="","",'ENTRADAS-BASE'!A119)</f>
        <v/>
      </c>
      <c r="C121" t="str">
        <f>IF('ENTRADAS-BASE'!B119="","",'ENTRADAS-BASE'!B119)</f>
        <v/>
      </c>
      <c r="D121" t="str">
        <f>IF('ENTRADAS-BASE'!C119="","",'ENTRADAS-BASE'!C119)</f>
        <v/>
      </c>
      <c r="E121" s="7" t="str">
        <f>IF('ENTRADAS-BASE'!D119="","",'ENTRADAS-BASE'!D119)</f>
        <v/>
      </c>
      <c r="F121" s="6" t="str">
        <f>IF('ENTRADAS-BASE'!E119="","",'ENTRADAS-BASE'!E119)</f>
        <v/>
      </c>
      <c r="G121" t="str">
        <f>IF('ENTRADAS-BASE'!F119="","",'ENTRADAS-BASE'!F119)</f>
        <v/>
      </c>
      <c r="H121" t="str">
        <f>IF('ENTRADAS-BASE'!G119="","",'ENTRADAS-BASE'!G119)</f>
        <v/>
      </c>
      <c r="I121" t="str">
        <f>IF('ENTRADAS-BASE'!H119="","",'ENTRADAS-BASE'!H119)</f>
        <v/>
      </c>
      <c r="J121" t="str">
        <f>IF('ENTRADAS-BASE'!I119="","",'ENTRADAS-BASE'!I119)</f>
        <v/>
      </c>
      <c r="K121" s="5" t="str">
        <f>IF('ENTRADAS-BASE'!J119="","",'ENTRADAS-BASE'!J119)</f>
        <v/>
      </c>
      <c r="L1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2" spans="2:12" x14ac:dyDescent="0.3">
      <c r="B122" t="str">
        <f>IF('ENTRADAS-BASE'!A120="","",'ENTRADAS-BASE'!A120)</f>
        <v/>
      </c>
      <c r="C122" t="str">
        <f>IF('ENTRADAS-BASE'!B120="","",'ENTRADAS-BASE'!B120)</f>
        <v/>
      </c>
      <c r="D122" t="str">
        <f>IF('ENTRADAS-BASE'!C120="","",'ENTRADAS-BASE'!C120)</f>
        <v/>
      </c>
      <c r="E122" s="7" t="str">
        <f>IF('ENTRADAS-BASE'!D120="","",'ENTRADAS-BASE'!D120)</f>
        <v/>
      </c>
      <c r="F122" s="6" t="str">
        <f>IF('ENTRADAS-BASE'!E120="","",'ENTRADAS-BASE'!E120)</f>
        <v/>
      </c>
      <c r="G122" t="str">
        <f>IF('ENTRADAS-BASE'!F120="","",'ENTRADAS-BASE'!F120)</f>
        <v/>
      </c>
      <c r="H122" t="str">
        <f>IF('ENTRADAS-BASE'!G120="","",'ENTRADAS-BASE'!G120)</f>
        <v/>
      </c>
      <c r="I122" t="str">
        <f>IF('ENTRADAS-BASE'!H120="","",'ENTRADAS-BASE'!H120)</f>
        <v/>
      </c>
      <c r="J122" t="str">
        <f>IF('ENTRADAS-BASE'!I120="","",'ENTRADAS-BASE'!I120)</f>
        <v/>
      </c>
      <c r="K122" s="5" t="str">
        <f>IF('ENTRADAS-BASE'!J120="","",'ENTRADAS-BASE'!J120)</f>
        <v/>
      </c>
      <c r="L1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3" spans="2:12" x14ac:dyDescent="0.3">
      <c r="B123" t="str">
        <f>IF('ENTRADAS-BASE'!A121="","",'ENTRADAS-BASE'!A121)</f>
        <v/>
      </c>
      <c r="C123" t="str">
        <f>IF('ENTRADAS-BASE'!B121="","",'ENTRADAS-BASE'!B121)</f>
        <v/>
      </c>
      <c r="D123" t="str">
        <f>IF('ENTRADAS-BASE'!C121="","",'ENTRADAS-BASE'!C121)</f>
        <v/>
      </c>
      <c r="E123" s="7" t="str">
        <f>IF('ENTRADAS-BASE'!D121="","",'ENTRADAS-BASE'!D121)</f>
        <v/>
      </c>
      <c r="F123" s="6" t="str">
        <f>IF('ENTRADAS-BASE'!E121="","",'ENTRADAS-BASE'!E121)</f>
        <v/>
      </c>
      <c r="G123" t="str">
        <f>IF('ENTRADAS-BASE'!F121="","",'ENTRADAS-BASE'!F121)</f>
        <v/>
      </c>
      <c r="H123" t="str">
        <f>IF('ENTRADAS-BASE'!G121="","",'ENTRADAS-BASE'!G121)</f>
        <v/>
      </c>
      <c r="I123" t="str">
        <f>IF('ENTRADAS-BASE'!H121="","",'ENTRADAS-BASE'!H121)</f>
        <v/>
      </c>
      <c r="J123" t="str">
        <f>IF('ENTRADAS-BASE'!I121="","",'ENTRADAS-BASE'!I121)</f>
        <v/>
      </c>
      <c r="K123" s="5" t="str">
        <f>IF('ENTRADAS-BASE'!J121="","",'ENTRADAS-BASE'!J121)</f>
        <v/>
      </c>
      <c r="L1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4" spans="2:12" x14ac:dyDescent="0.3">
      <c r="B124" t="str">
        <f>IF('ENTRADAS-BASE'!A122="","",'ENTRADAS-BASE'!A122)</f>
        <v/>
      </c>
      <c r="C124" t="str">
        <f>IF('ENTRADAS-BASE'!B122="","",'ENTRADAS-BASE'!B122)</f>
        <v/>
      </c>
      <c r="D124" t="str">
        <f>IF('ENTRADAS-BASE'!C122="","",'ENTRADAS-BASE'!C122)</f>
        <v/>
      </c>
      <c r="E124" s="7" t="str">
        <f>IF('ENTRADAS-BASE'!D122="","",'ENTRADAS-BASE'!D122)</f>
        <v/>
      </c>
      <c r="F124" s="6" t="str">
        <f>IF('ENTRADAS-BASE'!E122="","",'ENTRADAS-BASE'!E122)</f>
        <v/>
      </c>
      <c r="G124" t="str">
        <f>IF('ENTRADAS-BASE'!F122="","",'ENTRADAS-BASE'!F122)</f>
        <v/>
      </c>
      <c r="H124" t="str">
        <f>IF('ENTRADAS-BASE'!G122="","",'ENTRADAS-BASE'!G122)</f>
        <v/>
      </c>
      <c r="I124" t="str">
        <f>IF('ENTRADAS-BASE'!H122="","",'ENTRADAS-BASE'!H122)</f>
        <v/>
      </c>
      <c r="J124" t="str">
        <f>IF('ENTRADAS-BASE'!I122="","",'ENTRADAS-BASE'!I122)</f>
        <v/>
      </c>
      <c r="K124" s="5" t="str">
        <f>IF('ENTRADAS-BASE'!J122="","",'ENTRADAS-BASE'!J122)</f>
        <v/>
      </c>
      <c r="L1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5" spans="2:12" x14ac:dyDescent="0.3">
      <c r="B125" t="str">
        <f>IF('ENTRADAS-BASE'!A123="","",'ENTRADAS-BASE'!A123)</f>
        <v/>
      </c>
      <c r="C125" t="str">
        <f>IF('ENTRADAS-BASE'!B123="","",'ENTRADAS-BASE'!B123)</f>
        <v/>
      </c>
      <c r="D125" t="str">
        <f>IF('ENTRADAS-BASE'!C123="","",'ENTRADAS-BASE'!C123)</f>
        <v/>
      </c>
      <c r="E125" s="7" t="str">
        <f>IF('ENTRADAS-BASE'!D123="","",'ENTRADAS-BASE'!D123)</f>
        <v/>
      </c>
      <c r="F125" s="6" t="str">
        <f>IF('ENTRADAS-BASE'!E123="","",'ENTRADAS-BASE'!E123)</f>
        <v/>
      </c>
      <c r="G125" t="str">
        <f>IF('ENTRADAS-BASE'!F123="","",'ENTRADAS-BASE'!F123)</f>
        <v/>
      </c>
      <c r="H125" t="str">
        <f>IF('ENTRADAS-BASE'!G123="","",'ENTRADAS-BASE'!G123)</f>
        <v/>
      </c>
      <c r="I125" t="str">
        <f>IF('ENTRADAS-BASE'!H123="","",'ENTRADAS-BASE'!H123)</f>
        <v/>
      </c>
      <c r="J125" t="str">
        <f>IF('ENTRADAS-BASE'!I123="","",'ENTRADAS-BASE'!I123)</f>
        <v/>
      </c>
      <c r="K125" s="5" t="str">
        <f>IF('ENTRADAS-BASE'!J123="","",'ENTRADAS-BASE'!J123)</f>
        <v/>
      </c>
      <c r="L1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6" spans="2:12" x14ac:dyDescent="0.3">
      <c r="B126" t="str">
        <f>IF('ENTRADAS-BASE'!A124="","",'ENTRADAS-BASE'!A124)</f>
        <v/>
      </c>
      <c r="C126" t="str">
        <f>IF('ENTRADAS-BASE'!B124="","",'ENTRADAS-BASE'!B124)</f>
        <v/>
      </c>
      <c r="D126" t="str">
        <f>IF('ENTRADAS-BASE'!C124="","",'ENTRADAS-BASE'!C124)</f>
        <v/>
      </c>
      <c r="E126" s="7" t="str">
        <f>IF('ENTRADAS-BASE'!D124="","",'ENTRADAS-BASE'!D124)</f>
        <v/>
      </c>
      <c r="F126" s="6" t="str">
        <f>IF('ENTRADAS-BASE'!E124="","",'ENTRADAS-BASE'!E124)</f>
        <v/>
      </c>
      <c r="G126" t="str">
        <f>IF('ENTRADAS-BASE'!F124="","",'ENTRADAS-BASE'!F124)</f>
        <v/>
      </c>
      <c r="H126" t="str">
        <f>IF('ENTRADAS-BASE'!G124="","",'ENTRADAS-BASE'!G124)</f>
        <v/>
      </c>
      <c r="I126" t="str">
        <f>IF('ENTRADAS-BASE'!H124="","",'ENTRADAS-BASE'!H124)</f>
        <v/>
      </c>
      <c r="J126" t="str">
        <f>IF('ENTRADAS-BASE'!I124="","",'ENTRADAS-BASE'!I124)</f>
        <v/>
      </c>
      <c r="K126" s="5" t="str">
        <f>IF('ENTRADAS-BASE'!J124="","",'ENTRADAS-BASE'!J124)</f>
        <v/>
      </c>
      <c r="L1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7" spans="2:12" x14ac:dyDescent="0.3">
      <c r="B127" t="str">
        <f>IF('ENTRADAS-BASE'!A125="","",'ENTRADAS-BASE'!A125)</f>
        <v/>
      </c>
      <c r="C127" t="str">
        <f>IF('ENTRADAS-BASE'!B125="","",'ENTRADAS-BASE'!B125)</f>
        <v/>
      </c>
      <c r="D127" t="str">
        <f>IF('ENTRADAS-BASE'!C125="","",'ENTRADAS-BASE'!C125)</f>
        <v/>
      </c>
      <c r="E127" s="7" t="str">
        <f>IF('ENTRADAS-BASE'!D125="","",'ENTRADAS-BASE'!D125)</f>
        <v/>
      </c>
      <c r="F127" s="6" t="str">
        <f>IF('ENTRADAS-BASE'!E125="","",'ENTRADAS-BASE'!E125)</f>
        <v/>
      </c>
      <c r="G127" t="str">
        <f>IF('ENTRADAS-BASE'!F125="","",'ENTRADAS-BASE'!F125)</f>
        <v/>
      </c>
      <c r="H127" t="str">
        <f>IF('ENTRADAS-BASE'!G125="","",'ENTRADAS-BASE'!G125)</f>
        <v/>
      </c>
      <c r="I127" t="str">
        <f>IF('ENTRADAS-BASE'!H125="","",'ENTRADAS-BASE'!H125)</f>
        <v/>
      </c>
      <c r="J127" t="str">
        <f>IF('ENTRADAS-BASE'!I125="","",'ENTRADAS-BASE'!I125)</f>
        <v/>
      </c>
      <c r="K127" s="5" t="str">
        <f>IF('ENTRADAS-BASE'!J125="","",'ENTRADAS-BASE'!J125)</f>
        <v/>
      </c>
      <c r="L1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8" spans="2:12" x14ac:dyDescent="0.3">
      <c r="B128" t="str">
        <f>IF('ENTRADAS-BASE'!A126="","",'ENTRADAS-BASE'!A126)</f>
        <v/>
      </c>
      <c r="C128" t="str">
        <f>IF('ENTRADAS-BASE'!B126="","",'ENTRADAS-BASE'!B126)</f>
        <v/>
      </c>
      <c r="D128" t="str">
        <f>IF('ENTRADAS-BASE'!C126="","",'ENTRADAS-BASE'!C126)</f>
        <v/>
      </c>
      <c r="E128" s="7" t="str">
        <f>IF('ENTRADAS-BASE'!D126="","",'ENTRADAS-BASE'!D126)</f>
        <v/>
      </c>
      <c r="F128" s="6" t="str">
        <f>IF('ENTRADAS-BASE'!E126="","",'ENTRADAS-BASE'!E126)</f>
        <v/>
      </c>
      <c r="G128" t="str">
        <f>IF('ENTRADAS-BASE'!F126="","",'ENTRADAS-BASE'!F126)</f>
        <v/>
      </c>
      <c r="H128" t="str">
        <f>IF('ENTRADAS-BASE'!G126="","",'ENTRADAS-BASE'!G126)</f>
        <v/>
      </c>
      <c r="I128" t="str">
        <f>IF('ENTRADAS-BASE'!H126="","",'ENTRADAS-BASE'!H126)</f>
        <v/>
      </c>
      <c r="J128" t="str">
        <f>IF('ENTRADAS-BASE'!I126="","",'ENTRADAS-BASE'!I126)</f>
        <v/>
      </c>
      <c r="K128" s="5" t="str">
        <f>IF('ENTRADAS-BASE'!J126="","",'ENTRADAS-BASE'!J126)</f>
        <v/>
      </c>
      <c r="L1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9" spans="2:12" x14ac:dyDescent="0.3">
      <c r="B129" t="str">
        <f>IF('ENTRADAS-BASE'!A127="","",'ENTRADAS-BASE'!A127)</f>
        <v/>
      </c>
      <c r="C129" t="str">
        <f>IF('ENTRADAS-BASE'!B127="","",'ENTRADAS-BASE'!B127)</f>
        <v/>
      </c>
      <c r="D129" t="str">
        <f>IF('ENTRADAS-BASE'!C127="","",'ENTRADAS-BASE'!C127)</f>
        <v/>
      </c>
      <c r="E129" s="7" t="str">
        <f>IF('ENTRADAS-BASE'!D127="","",'ENTRADAS-BASE'!D127)</f>
        <v/>
      </c>
      <c r="F129" s="6" t="str">
        <f>IF('ENTRADAS-BASE'!E127="","",'ENTRADAS-BASE'!E127)</f>
        <v/>
      </c>
      <c r="G129" t="str">
        <f>IF('ENTRADAS-BASE'!F127="","",'ENTRADAS-BASE'!F127)</f>
        <v/>
      </c>
      <c r="H129" t="str">
        <f>IF('ENTRADAS-BASE'!G127="","",'ENTRADAS-BASE'!G127)</f>
        <v/>
      </c>
      <c r="I129" t="str">
        <f>IF('ENTRADAS-BASE'!H127="","",'ENTRADAS-BASE'!H127)</f>
        <v/>
      </c>
      <c r="J129" t="str">
        <f>IF('ENTRADAS-BASE'!I127="","",'ENTRADAS-BASE'!I127)</f>
        <v/>
      </c>
      <c r="K129" s="5" t="str">
        <f>IF('ENTRADAS-BASE'!J127="","",'ENTRADAS-BASE'!J127)</f>
        <v/>
      </c>
      <c r="L1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0" spans="2:12" x14ac:dyDescent="0.3">
      <c r="B130" t="str">
        <f>IF('ENTRADAS-BASE'!A128="","",'ENTRADAS-BASE'!A128)</f>
        <v/>
      </c>
      <c r="C130" t="str">
        <f>IF('ENTRADAS-BASE'!B128="","",'ENTRADAS-BASE'!B128)</f>
        <v/>
      </c>
      <c r="D130" t="str">
        <f>IF('ENTRADAS-BASE'!C128="","",'ENTRADAS-BASE'!C128)</f>
        <v/>
      </c>
      <c r="E130" s="7" t="str">
        <f>IF('ENTRADAS-BASE'!D128="","",'ENTRADAS-BASE'!D128)</f>
        <v/>
      </c>
      <c r="F130" s="6" t="str">
        <f>IF('ENTRADAS-BASE'!E128="","",'ENTRADAS-BASE'!E128)</f>
        <v/>
      </c>
      <c r="G130" t="str">
        <f>IF('ENTRADAS-BASE'!F128="","",'ENTRADAS-BASE'!F128)</f>
        <v/>
      </c>
      <c r="H130" t="str">
        <f>IF('ENTRADAS-BASE'!G128="","",'ENTRADAS-BASE'!G128)</f>
        <v/>
      </c>
      <c r="I130" t="str">
        <f>IF('ENTRADAS-BASE'!H128="","",'ENTRADAS-BASE'!H128)</f>
        <v/>
      </c>
      <c r="J130" t="str">
        <f>IF('ENTRADAS-BASE'!I128="","",'ENTRADAS-BASE'!I128)</f>
        <v/>
      </c>
      <c r="K130" s="5" t="str">
        <f>IF('ENTRADAS-BASE'!J128="","",'ENTRADAS-BASE'!J128)</f>
        <v/>
      </c>
      <c r="L1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1" spans="2:12" x14ac:dyDescent="0.3">
      <c r="B131" t="str">
        <f>IF('ENTRADAS-BASE'!A129="","",'ENTRADAS-BASE'!A129)</f>
        <v/>
      </c>
      <c r="C131" t="str">
        <f>IF('ENTRADAS-BASE'!B129="","",'ENTRADAS-BASE'!B129)</f>
        <v/>
      </c>
      <c r="D131" t="str">
        <f>IF('ENTRADAS-BASE'!C129="","",'ENTRADAS-BASE'!C129)</f>
        <v/>
      </c>
      <c r="E131" s="7" t="str">
        <f>IF('ENTRADAS-BASE'!D129="","",'ENTRADAS-BASE'!D129)</f>
        <v/>
      </c>
      <c r="F131" s="6" t="str">
        <f>IF('ENTRADAS-BASE'!E129="","",'ENTRADAS-BASE'!E129)</f>
        <v/>
      </c>
      <c r="G131" t="str">
        <f>IF('ENTRADAS-BASE'!F129="","",'ENTRADAS-BASE'!F129)</f>
        <v/>
      </c>
      <c r="H131" t="str">
        <f>IF('ENTRADAS-BASE'!G129="","",'ENTRADAS-BASE'!G129)</f>
        <v/>
      </c>
      <c r="I131" t="str">
        <f>IF('ENTRADAS-BASE'!H129="","",'ENTRADAS-BASE'!H129)</f>
        <v/>
      </c>
      <c r="J131" t="str">
        <f>IF('ENTRADAS-BASE'!I129="","",'ENTRADAS-BASE'!I129)</f>
        <v/>
      </c>
      <c r="K131" s="5" t="str">
        <f>IF('ENTRADAS-BASE'!J129="","",'ENTRADAS-BASE'!J129)</f>
        <v/>
      </c>
      <c r="L1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2" spans="2:12" x14ac:dyDescent="0.3">
      <c r="B132" t="str">
        <f>IF('ENTRADAS-BASE'!A130="","",'ENTRADAS-BASE'!A130)</f>
        <v/>
      </c>
      <c r="C132" t="str">
        <f>IF('ENTRADAS-BASE'!B130="","",'ENTRADAS-BASE'!B130)</f>
        <v/>
      </c>
      <c r="D132" t="str">
        <f>IF('ENTRADAS-BASE'!C130="","",'ENTRADAS-BASE'!C130)</f>
        <v/>
      </c>
      <c r="E132" s="7" t="str">
        <f>IF('ENTRADAS-BASE'!D130="","",'ENTRADAS-BASE'!D130)</f>
        <v/>
      </c>
      <c r="F132" s="6" t="str">
        <f>IF('ENTRADAS-BASE'!E130="","",'ENTRADAS-BASE'!E130)</f>
        <v/>
      </c>
      <c r="G132" t="str">
        <f>IF('ENTRADAS-BASE'!F130="","",'ENTRADAS-BASE'!F130)</f>
        <v/>
      </c>
      <c r="H132" t="str">
        <f>IF('ENTRADAS-BASE'!G130="","",'ENTRADAS-BASE'!G130)</f>
        <v/>
      </c>
      <c r="I132" t="str">
        <f>IF('ENTRADAS-BASE'!H130="","",'ENTRADAS-BASE'!H130)</f>
        <v/>
      </c>
      <c r="J132" t="str">
        <f>IF('ENTRADAS-BASE'!I130="","",'ENTRADAS-BASE'!I130)</f>
        <v/>
      </c>
      <c r="K132" s="5" t="str">
        <f>IF('ENTRADAS-BASE'!J130="","",'ENTRADAS-BASE'!J130)</f>
        <v/>
      </c>
      <c r="L1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3" spans="2:12" x14ac:dyDescent="0.3">
      <c r="B133" t="str">
        <f>IF('ENTRADAS-BASE'!A131="","",'ENTRADAS-BASE'!A131)</f>
        <v/>
      </c>
      <c r="C133" t="str">
        <f>IF('ENTRADAS-BASE'!B131="","",'ENTRADAS-BASE'!B131)</f>
        <v/>
      </c>
      <c r="D133" t="str">
        <f>IF('ENTRADAS-BASE'!C131="","",'ENTRADAS-BASE'!C131)</f>
        <v/>
      </c>
      <c r="E133" s="7" t="str">
        <f>IF('ENTRADAS-BASE'!D131="","",'ENTRADAS-BASE'!D131)</f>
        <v/>
      </c>
      <c r="F133" s="6" t="str">
        <f>IF('ENTRADAS-BASE'!E131="","",'ENTRADAS-BASE'!E131)</f>
        <v/>
      </c>
      <c r="G133" t="str">
        <f>IF('ENTRADAS-BASE'!F131="","",'ENTRADAS-BASE'!F131)</f>
        <v/>
      </c>
      <c r="H133" t="str">
        <f>IF('ENTRADAS-BASE'!G131="","",'ENTRADAS-BASE'!G131)</f>
        <v/>
      </c>
      <c r="I133" t="str">
        <f>IF('ENTRADAS-BASE'!H131="","",'ENTRADAS-BASE'!H131)</f>
        <v/>
      </c>
      <c r="J133" t="str">
        <f>IF('ENTRADAS-BASE'!I131="","",'ENTRADAS-BASE'!I131)</f>
        <v/>
      </c>
      <c r="K133" s="5" t="str">
        <f>IF('ENTRADAS-BASE'!J131="","",'ENTRADAS-BASE'!J131)</f>
        <v/>
      </c>
      <c r="L1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4" spans="2:12" x14ac:dyDescent="0.3">
      <c r="B134" t="str">
        <f>IF('ENTRADAS-BASE'!A132="","",'ENTRADAS-BASE'!A132)</f>
        <v/>
      </c>
      <c r="C134" t="str">
        <f>IF('ENTRADAS-BASE'!B132="","",'ENTRADAS-BASE'!B132)</f>
        <v/>
      </c>
      <c r="D134" t="str">
        <f>IF('ENTRADAS-BASE'!C132="","",'ENTRADAS-BASE'!C132)</f>
        <v/>
      </c>
      <c r="E134" s="7" t="str">
        <f>IF('ENTRADAS-BASE'!D132="","",'ENTRADAS-BASE'!D132)</f>
        <v/>
      </c>
      <c r="F134" s="6" t="str">
        <f>IF('ENTRADAS-BASE'!E132="","",'ENTRADAS-BASE'!E132)</f>
        <v/>
      </c>
      <c r="G134" t="str">
        <f>IF('ENTRADAS-BASE'!F132="","",'ENTRADAS-BASE'!F132)</f>
        <v/>
      </c>
      <c r="H134" t="str">
        <f>IF('ENTRADAS-BASE'!G132="","",'ENTRADAS-BASE'!G132)</f>
        <v/>
      </c>
      <c r="I134" t="str">
        <f>IF('ENTRADAS-BASE'!H132="","",'ENTRADAS-BASE'!H132)</f>
        <v/>
      </c>
      <c r="J134" t="str">
        <f>IF('ENTRADAS-BASE'!I132="","",'ENTRADAS-BASE'!I132)</f>
        <v/>
      </c>
      <c r="K134" s="5" t="str">
        <f>IF('ENTRADAS-BASE'!J132="","",'ENTRADAS-BASE'!J132)</f>
        <v/>
      </c>
      <c r="L1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5" spans="2:12" x14ac:dyDescent="0.3">
      <c r="B135" t="str">
        <f>IF('ENTRADAS-BASE'!A133="","",'ENTRADAS-BASE'!A133)</f>
        <v/>
      </c>
      <c r="C135" t="str">
        <f>IF('ENTRADAS-BASE'!B133="","",'ENTRADAS-BASE'!B133)</f>
        <v/>
      </c>
      <c r="D135" t="str">
        <f>IF('ENTRADAS-BASE'!C133="","",'ENTRADAS-BASE'!C133)</f>
        <v/>
      </c>
      <c r="E135" s="7" t="str">
        <f>IF('ENTRADAS-BASE'!D133="","",'ENTRADAS-BASE'!D133)</f>
        <v/>
      </c>
      <c r="F135" s="6" t="str">
        <f>IF('ENTRADAS-BASE'!E133="","",'ENTRADAS-BASE'!E133)</f>
        <v/>
      </c>
      <c r="G135" t="str">
        <f>IF('ENTRADAS-BASE'!F133="","",'ENTRADAS-BASE'!F133)</f>
        <v/>
      </c>
      <c r="H135" t="str">
        <f>IF('ENTRADAS-BASE'!G133="","",'ENTRADAS-BASE'!G133)</f>
        <v/>
      </c>
      <c r="I135" t="str">
        <f>IF('ENTRADAS-BASE'!H133="","",'ENTRADAS-BASE'!H133)</f>
        <v/>
      </c>
      <c r="J135" t="str">
        <f>IF('ENTRADAS-BASE'!I133="","",'ENTRADAS-BASE'!I133)</f>
        <v/>
      </c>
      <c r="K135" s="5" t="str">
        <f>IF('ENTRADAS-BASE'!J133="","",'ENTRADAS-BASE'!J133)</f>
        <v/>
      </c>
      <c r="L1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6" spans="2:12" x14ac:dyDescent="0.3">
      <c r="B136" t="str">
        <f>IF('ENTRADAS-BASE'!A134="","",'ENTRADAS-BASE'!A134)</f>
        <v/>
      </c>
      <c r="C136" t="str">
        <f>IF('ENTRADAS-BASE'!B134="","",'ENTRADAS-BASE'!B134)</f>
        <v/>
      </c>
      <c r="D136" t="str">
        <f>IF('ENTRADAS-BASE'!C134="","",'ENTRADAS-BASE'!C134)</f>
        <v/>
      </c>
      <c r="E136" s="7" t="str">
        <f>IF('ENTRADAS-BASE'!D134="","",'ENTRADAS-BASE'!D134)</f>
        <v/>
      </c>
      <c r="F136" s="6" t="str">
        <f>IF('ENTRADAS-BASE'!E134="","",'ENTRADAS-BASE'!E134)</f>
        <v/>
      </c>
      <c r="G136" t="str">
        <f>IF('ENTRADAS-BASE'!F134="","",'ENTRADAS-BASE'!F134)</f>
        <v/>
      </c>
      <c r="H136" t="str">
        <f>IF('ENTRADAS-BASE'!G134="","",'ENTRADAS-BASE'!G134)</f>
        <v/>
      </c>
      <c r="I136" t="str">
        <f>IF('ENTRADAS-BASE'!H134="","",'ENTRADAS-BASE'!H134)</f>
        <v/>
      </c>
      <c r="J136" t="str">
        <f>IF('ENTRADAS-BASE'!I134="","",'ENTRADAS-BASE'!I134)</f>
        <v/>
      </c>
      <c r="K136" s="5" t="str">
        <f>IF('ENTRADAS-BASE'!J134="","",'ENTRADAS-BASE'!J134)</f>
        <v/>
      </c>
      <c r="L1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7" spans="2:12" x14ac:dyDescent="0.3">
      <c r="B137" t="str">
        <f>IF('ENTRADAS-BASE'!A135="","",'ENTRADAS-BASE'!A135)</f>
        <v/>
      </c>
      <c r="C137" t="str">
        <f>IF('ENTRADAS-BASE'!B135="","",'ENTRADAS-BASE'!B135)</f>
        <v/>
      </c>
      <c r="D137" t="str">
        <f>IF('ENTRADAS-BASE'!C135="","",'ENTRADAS-BASE'!C135)</f>
        <v/>
      </c>
      <c r="E137" s="7" t="str">
        <f>IF('ENTRADAS-BASE'!D135="","",'ENTRADAS-BASE'!D135)</f>
        <v/>
      </c>
      <c r="F137" s="6" t="str">
        <f>IF('ENTRADAS-BASE'!E135="","",'ENTRADAS-BASE'!E135)</f>
        <v/>
      </c>
      <c r="G137" t="str">
        <f>IF('ENTRADAS-BASE'!F135="","",'ENTRADAS-BASE'!F135)</f>
        <v/>
      </c>
      <c r="H137" t="str">
        <f>IF('ENTRADAS-BASE'!G135="","",'ENTRADAS-BASE'!G135)</f>
        <v/>
      </c>
      <c r="I137" t="str">
        <f>IF('ENTRADAS-BASE'!H135="","",'ENTRADAS-BASE'!H135)</f>
        <v/>
      </c>
      <c r="J137" t="str">
        <f>IF('ENTRADAS-BASE'!I135="","",'ENTRADAS-BASE'!I135)</f>
        <v/>
      </c>
      <c r="K137" s="5" t="str">
        <f>IF('ENTRADAS-BASE'!J135="","",'ENTRADAS-BASE'!J135)</f>
        <v/>
      </c>
      <c r="L1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8" spans="2:12" x14ac:dyDescent="0.3">
      <c r="B138" t="str">
        <f>IF('ENTRADAS-BASE'!A136="","",'ENTRADAS-BASE'!A136)</f>
        <v/>
      </c>
      <c r="C138" t="str">
        <f>IF('ENTRADAS-BASE'!B136="","",'ENTRADAS-BASE'!B136)</f>
        <v/>
      </c>
      <c r="D138" t="str">
        <f>IF('ENTRADAS-BASE'!C136="","",'ENTRADAS-BASE'!C136)</f>
        <v/>
      </c>
      <c r="E138" s="7" t="str">
        <f>IF('ENTRADAS-BASE'!D136="","",'ENTRADAS-BASE'!D136)</f>
        <v/>
      </c>
      <c r="F138" s="6" t="str">
        <f>IF('ENTRADAS-BASE'!E136="","",'ENTRADAS-BASE'!E136)</f>
        <v/>
      </c>
      <c r="G138" t="str">
        <f>IF('ENTRADAS-BASE'!F136="","",'ENTRADAS-BASE'!F136)</f>
        <v/>
      </c>
      <c r="H138" t="str">
        <f>IF('ENTRADAS-BASE'!G136="","",'ENTRADAS-BASE'!G136)</f>
        <v/>
      </c>
      <c r="I138" t="str">
        <f>IF('ENTRADAS-BASE'!H136="","",'ENTRADAS-BASE'!H136)</f>
        <v/>
      </c>
      <c r="J138" t="str">
        <f>IF('ENTRADAS-BASE'!I136="","",'ENTRADAS-BASE'!I136)</f>
        <v/>
      </c>
      <c r="K138" s="5" t="str">
        <f>IF('ENTRADAS-BASE'!J136="","",'ENTRADAS-BASE'!J136)</f>
        <v/>
      </c>
      <c r="L1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9" spans="2:12" x14ac:dyDescent="0.3">
      <c r="B139" t="str">
        <f>IF('ENTRADAS-BASE'!A137="","",'ENTRADAS-BASE'!A137)</f>
        <v/>
      </c>
      <c r="C139" t="str">
        <f>IF('ENTRADAS-BASE'!B137="","",'ENTRADAS-BASE'!B137)</f>
        <v/>
      </c>
      <c r="D139" t="str">
        <f>IF('ENTRADAS-BASE'!C137="","",'ENTRADAS-BASE'!C137)</f>
        <v/>
      </c>
      <c r="E139" s="7" t="str">
        <f>IF('ENTRADAS-BASE'!D137="","",'ENTRADAS-BASE'!D137)</f>
        <v/>
      </c>
      <c r="F139" s="6" t="str">
        <f>IF('ENTRADAS-BASE'!E137="","",'ENTRADAS-BASE'!E137)</f>
        <v/>
      </c>
      <c r="G139" t="str">
        <f>IF('ENTRADAS-BASE'!F137="","",'ENTRADAS-BASE'!F137)</f>
        <v/>
      </c>
      <c r="H139" t="str">
        <f>IF('ENTRADAS-BASE'!G137="","",'ENTRADAS-BASE'!G137)</f>
        <v/>
      </c>
      <c r="I139" t="str">
        <f>IF('ENTRADAS-BASE'!H137="","",'ENTRADAS-BASE'!H137)</f>
        <v/>
      </c>
      <c r="J139" t="str">
        <f>IF('ENTRADAS-BASE'!I137="","",'ENTRADAS-BASE'!I137)</f>
        <v/>
      </c>
      <c r="K139" s="5" t="str">
        <f>IF('ENTRADAS-BASE'!J137="","",'ENTRADAS-BASE'!J137)</f>
        <v/>
      </c>
      <c r="L1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0" spans="2:12" x14ac:dyDescent="0.3">
      <c r="B140" t="str">
        <f>IF('ENTRADAS-BASE'!A138="","",'ENTRADAS-BASE'!A138)</f>
        <v/>
      </c>
      <c r="C140" t="str">
        <f>IF('ENTRADAS-BASE'!B138="","",'ENTRADAS-BASE'!B138)</f>
        <v/>
      </c>
      <c r="D140" t="str">
        <f>IF('ENTRADAS-BASE'!C138="","",'ENTRADAS-BASE'!C138)</f>
        <v/>
      </c>
      <c r="E140" s="7" t="str">
        <f>IF('ENTRADAS-BASE'!D138="","",'ENTRADAS-BASE'!D138)</f>
        <v/>
      </c>
      <c r="F140" s="6" t="str">
        <f>IF('ENTRADAS-BASE'!E138="","",'ENTRADAS-BASE'!E138)</f>
        <v/>
      </c>
      <c r="G140" t="str">
        <f>IF('ENTRADAS-BASE'!F138="","",'ENTRADAS-BASE'!F138)</f>
        <v/>
      </c>
      <c r="H140" t="str">
        <f>IF('ENTRADAS-BASE'!G138="","",'ENTRADAS-BASE'!G138)</f>
        <v/>
      </c>
      <c r="I140" t="str">
        <f>IF('ENTRADAS-BASE'!H138="","",'ENTRADAS-BASE'!H138)</f>
        <v/>
      </c>
      <c r="J140" t="str">
        <f>IF('ENTRADAS-BASE'!I138="","",'ENTRADAS-BASE'!I138)</f>
        <v/>
      </c>
      <c r="K140" s="5" t="str">
        <f>IF('ENTRADAS-BASE'!J138="","",'ENTRADAS-BASE'!J138)</f>
        <v/>
      </c>
      <c r="L1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1" spans="2:12" x14ac:dyDescent="0.3">
      <c r="B141" t="str">
        <f>IF('ENTRADAS-BASE'!A139="","",'ENTRADAS-BASE'!A139)</f>
        <v/>
      </c>
      <c r="C141" t="str">
        <f>IF('ENTRADAS-BASE'!B139="","",'ENTRADAS-BASE'!B139)</f>
        <v/>
      </c>
      <c r="D141" t="str">
        <f>IF('ENTRADAS-BASE'!C139="","",'ENTRADAS-BASE'!C139)</f>
        <v/>
      </c>
      <c r="E141" s="7" t="str">
        <f>IF('ENTRADAS-BASE'!D139="","",'ENTRADAS-BASE'!D139)</f>
        <v/>
      </c>
      <c r="F141" s="6" t="str">
        <f>IF('ENTRADAS-BASE'!E139="","",'ENTRADAS-BASE'!E139)</f>
        <v/>
      </c>
      <c r="G141" t="str">
        <f>IF('ENTRADAS-BASE'!F139="","",'ENTRADAS-BASE'!F139)</f>
        <v/>
      </c>
      <c r="H141" t="str">
        <f>IF('ENTRADAS-BASE'!G139="","",'ENTRADAS-BASE'!G139)</f>
        <v/>
      </c>
      <c r="I141" t="str">
        <f>IF('ENTRADAS-BASE'!H139="","",'ENTRADAS-BASE'!H139)</f>
        <v/>
      </c>
      <c r="J141" t="str">
        <f>IF('ENTRADAS-BASE'!I139="","",'ENTRADAS-BASE'!I139)</f>
        <v/>
      </c>
      <c r="K141" s="5" t="str">
        <f>IF('ENTRADAS-BASE'!J139="","",'ENTRADAS-BASE'!J139)</f>
        <v/>
      </c>
      <c r="L1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2" spans="2:12" x14ac:dyDescent="0.3">
      <c r="B142" t="str">
        <f>IF('ENTRADAS-BASE'!A140="","",'ENTRADAS-BASE'!A140)</f>
        <v/>
      </c>
      <c r="C142" t="str">
        <f>IF('ENTRADAS-BASE'!B140="","",'ENTRADAS-BASE'!B140)</f>
        <v/>
      </c>
      <c r="D142" t="str">
        <f>IF('ENTRADAS-BASE'!C140="","",'ENTRADAS-BASE'!C140)</f>
        <v/>
      </c>
      <c r="E142" s="7" t="str">
        <f>IF('ENTRADAS-BASE'!D140="","",'ENTRADAS-BASE'!D140)</f>
        <v/>
      </c>
      <c r="F142" s="6" t="str">
        <f>IF('ENTRADAS-BASE'!E140="","",'ENTRADAS-BASE'!E140)</f>
        <v/>
      </c>
      <c r="G142" t="str">
        <f>IF('ENTRADAS-BASE'!F140="","",'ENTRADAS-BASE'!F140)</f>
        <v/>
      </c>
      <c r="H142" t="str">
        <f>IF('ENTRADAS-BASE'!G140="","",'ENTRADAS-BASE'!G140)</f>
        <v/>
      </c>
      <c r="I142" t="str">
        <f>IF('ENTRADAS-BASE'!H140="","",'ENTRADAS-BASE'!H140)</f>
        <v/>
      </c>
      <c r="J142" t="str">
        <f>IF('ENTRADAS-BASE'!I140="","",'ENTRADAS-BASE'!I140)</f>
        <v/>
      </c>
      <c r="K142" s="5" t="str">
        <f>IF('ENTRADAS-BASE'!J140="","",'ENTRADAS-BASE'!J140)</f>
        <v/>
      </c>
      <c r="L1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3" spans="2:12" x14ac:dyDescent="0.3">
      <c r="B143" t="str">
        <f>IF('ENTRADAS-BASE'!A141="","",'ENTRADAS-BASE'!A141)</f>
        <v/>
      </c>
      <c r="C143" t="str">
        <f>IF('ENTRADAS-BASE'!B141="","",'ENTRADAS-BASE'!B141)</f>
        <v/>
      </c>
      <c r="D143" t="str">
        <f>IF('ENTRADAS-BASE'!C141="","",'ENTRADAS-BASE'!C141)</f>
        <v/>
      </c>
      <c r="E143" s="7" t="str">
        <f>IF('ENTRADAS-BASE'!D141="","",'ENTRADAS-BASE'!D141)</f>
        <v/>
      </c>
      <c r="F143" s="6" t="str">
        <f>IF('ENTRADAS-BASE'!E141="","",'ENTRADAS-BASE'!E141)</f>
        <v/>
      </c>
      <c r="G143" t="str">
        <f>IF('ENTRADAS-BASE'!F141="","",'ENTRADAS-BASE'!F141)</f>
        <v/>
      </c>
      <c r="H143" t="str">
        <f>IF('ENTRADAS-BASE'!G141="","",'ENTRADAS-BASE'!G141)</f>
        <v/>
      </c>
      <c r="I143" t="str">
        <f>IF('ENTRADAS-BASE'!H141="","",'ENTRADAS-BASE'!H141)</f>
        <v/>
      </c>
      <c r="J143" t="str">
        <f>IF('ENTRADAS-BASE'!I141="","",'ENTRADAS-BASE'!I141)</f>
        <v/>
      </c>
      <c r="K143" s="5" t="str">
        <f>IF('ENTRADAS-BASE'!J141="","",'ENTRADAS-BASE'!J141)</f>
        <v/>
      </c>
      <c r="L1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4" spans="2:12" x14ac:dyDescent="0.3">
      <c r="B144" t="str">
        <f>IF('ENTRADAS-BASE'!A142="","",'ENTRADAS-BASE'!A142)</f>
        <v/>
      </c>
      <c r="C144" t="str">
        <f>IF('ENTRADAS-BASE'!B142="","",'ENTRADAS-BASE'!B142)</f>
        <v/>
      </c>
      <c r="D144" t="str">
        <f>IF('ENTRADAS-BASE'!C142="","",'ENTRADAS-BASE'!C142)</f>
        <v/>
      </c>
      <c r="E144" s="7" t="str">
        <f>IF('ENTRADAS-BASE'!D142="","",'ENTRADAS-BASE'!D142)</f>
        <v/>
      </c>
      <c r="F144" s="6" t="str">
        <f>IF('ENTRADAS-BASE'!E142="","",'ENTRADAS-BASE'!E142)</f>
        <v/>
      </c>
      <c r="G144" t="str">
        <f>IF('ENTRADAS-BASE'!F142="","",'ENTRADAS-BASE'!F142)</f>
        <v/>
      </c>
      <c r="H144" t="str">
        <f>IF('ENTRADAS-BASE'!G142="","",'ENTRADAS-BASE'!G142)</f>
        <v/>
      </c>
      <c r="I144" t="str">
        <f>IF('ENTRADAS-BASE'!H142="","",'ENTRADAS-BASE'!H142)</f>
        <v/>
      </c>
      <c r="J144" t="str">
        <f>IF('ENTRADAS-BASE'!I142="","",'ENTRADAS-BASE'!I142)</f>
        <v/>
      </c>
      <c r="K144" s="5" t="str">
        <f>IF('ENTRADAS-BASE'!J142="","",'ENTRADAS-BASE'!J142)</f>
        <v/>
      </c>
      <c r="L1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5" spans="2:12" x14ac:dyDescent="0.3">
      <c r="B145" t="str">
        <f>IF('ENTRADAS-BASE'!A143="","",'ENTRADAS-BASE'!A143)</f>
        <v/>
      </c>
      <c r="C145" t="str">
        <f>IF('ENTRADAS-BASE'!B143="","",'ENTRADAS-BASE'!B143)</f>
        <v/>
      </c>
      <c r="D145" t="str">
        <f>IF('ENTRADAS-BASE'!C143="","",'ENTRADAS-BASE'!C143)</f>
        <v/>
      </c>
      <c r="E145" s="7" t="str">
        <f>IF('ENTRADAS-BASE'!D143="","",'ENTRADAS-BASE'!D143)</f>
        <v/>
      </c>
      <c r="F145" s="6" t="str">
        <f>IF('ENTRADAS-BASE'!E143="","",'ENTRADAS-BASE'!E143)</f>
        <v/>
      </c>
      <c r="G145" t="str">
        <f>IF('ENTRADAS-BASE'!F143="","",'ENTRADAS-BASE'!F143)</f>
        <v/>
      </c>
      <c r="H145" t="str">
        <f>IF('ENTRADAS-BASE'!G143="","",'ENTRADAS-BASE'!G143)</f>
        <v/>
      </c>
      <c r="I145" t="str">
        <f>IF('ENTRADAS-BASE'!H143="","",'ENTRADAS-BASE'!H143)</f>
        <v/>
      </c>
      <c r="J145" t="str">
        <f>IF('ENTRADAS-BASE'!I143="","",'ENTRADAS-BASE'!I143)</f>
        <v/>
      </c>
      <c r="K145" s="5" t="str">
        <f>IF('ENTRADAS-BASE'!J143="","",'ENTRADAS-BASE'!J143)</f>
        <v/>
      </c>
      <c r="L1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6" spans="2:12" x14ac:dyDescent="0.3">
      <c r="B146" t="str">
        <f>IF('ENTRADAS-BASE'!A144="","",'ENTRADAS-BASE'!A144)</f>
        <v/>
      </c>
      <c r="C146" t="str">
        <f>IF('ENTRADAS-BASE'!B144="","",'ENTRADAS-BASE'!B144)</f>
        <v/>
      </c>
      <c r="D146" t="str">
        <f>IF('ENTRADAS-BASE'!C144="","",'ENTRADAS-BASE'!C144)</f>
        <v/>
      </c>
      <c r="E146" s="7" t="str">
        <f>IF('ENTRADAS-BASE'!D144="","",'ENTRADAS-BASE'!D144)</f>
        <v/>
      </c>
      <c r="F146" s="6" t="str">
        <f>IF('ENTRADAS-BASE'!E144="","",'ENTRADAS-BASE'!E144)</f>
        <v/>
      </c>
      <c r="G146" t="str">
        <f>IF('ENTRADAS-BASE'!F144="","",'ENTRADAS-BASE'!F144)</f>
        <v/>
      </c>
      <c r="H146" t="str">
        <f>IF('ENTRADAS-BASE'!G144="","",'ENTRADAS-BASE'!G144)</f>
        <v/>
      </c>
      <c r="I146" t="str">
        <f>IF('ENTRADAS-BASE'!H144="","",'ENTRADAS-BASE'!H144)</f>
        <v/>
      </c>
      <c r="J146" t="str">
        <f>IF('ENTRADAS-BASE'!I144="","",'ENTRADAS-BASE'!I144)</f>
        <v/>
      </c>
      <c r="K146" s="5" t="str">
        <f>IF('ENTRADAS-BASE'!J144="","",'ENTRADAS-BASE'!J144)</f>
        <v/>
      </c>
      <c r="L1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7" spans="2:12" x14ac:dyDescent="0.3">
      <c r="B147" t="str">
        <f>IF('ENTRADAS-BASE'!A145="","",'ENTRADAS-BASE'!A145)</f>
        <v/>
      </c>
      <c r="C147" t="str">
        <f>IF('ENTRADAS-BASE'!B145="","",'ENTRADAS-BASE'!B145)</f>
        <v/>
      </c>
      <c r="D147" t="str">
        <f>IF('ENTRADAS-BASE'!C145="","",'ENTRADAS-BASE'!C145)</f>
        <v/>
      </c>
      <c r="E147" s="7" t="str">
        <f>IF('ENTRADAS-BASE'!D145="","",'ENTRADAS-BASE'!D145)</f>
        <v/>
      </c>
      <c r="F147" s="6" t="str">
        <f>IF('ENTRADAS-BASE'!E145="","",'ENTRADAS-BASE'!E145)</f>
        <v/>
      </c>
      <c r="G147" t="str">
        <f>IF('ENTRADAS-BASE'!F145="","",'ENTRADAS-BASE'!F145)</f>
        <v/>
      </c>
      <c r="H147" t="str">
        <f>IF('ENTRADAS-BASE'!G145="","",'ENTRADAS-BASE'!G145)</f>
        <v/>
      </c>
      <c r="I147" t="str">
        <f>IF('ENTRADAS-BASE'!H145="","",'ENTRADAS-BASE'!H145)</f>
        <v/>
      </c>
      <c r="J147" t="str">
        <f>IF('ENTRADAS-BASE'!I145="","",'ENTRADAS-BASE'!I145)</f>
        <v/>
      </c>
      <c r="K147" s="5" t="str">
        <f>IF('ENTRADAS-BASE'!J145="","",'ENTRADAS-BASE'!J145)</f>
        <v/>
      </c>
      <c r="L1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8" spans="2:12" x14ac:dyDescent="0.3">
      <c r="B148" t="str">
        <f>IF('ENTRADAS-BASE'!A146="","",'ENTRADAS-BASE'!A146)</f>
        <v/>
      </c>
      <c r="C148" t="str">
        <f>IF('ENTRADAS-BASE'!B146="","",'ENTRADAS-BASE'!B146)</f>
        <v/>
      </c>
      <c r="D148" t="str">
        <f>IF('ENTRADAS-BASE'!C146="","",'ENTRADAS-BASE'!C146)</f>
        <v/>
      </c>
      <c r="E148" s="7" t="str">
        <f>IF('ENTRADAS-BASE'!D146="","",'ENTRADAS-BASE'!D146)</f>
        <v/>
      </c>
      <c r="F148" s="6" t="str">
        <f>IF('ENTRADAS-BASE'!E146="","",'ENTRADAS-BASE'!E146)</f>
        <v/>
      </c>
      <c r="G148" t="str">
        <f>IF('ENTRADAS-BASE'!F146="","",'ENTRADAS-BASE'!F146)</f>
        <v/>
      </c>
      <c r="H148" t="str">
        <f>IF('ENTRADAS-BASE'!G146="","",'ENTRADAS-BASE'!G146)</f>
        <v/>
      </c>
      <c r="I148" t="str">
        <f>IF('ENTRADAS-BASE'!H146="","",'ENTRADAS-BASE'!H146)</f>
        <v/>
      </c>
      <c r="J148" t="str">
        <f>IF('ENTRADAS-BASE'!I146="","",'ENTRADAS-BASE'!I146)</f>
        <v/>
      </c>
      <c r="K148" s="5" t="str">
        <f>IF('ENTRADAS-BASE'!J146="","",'ENTRADAS-BASE'!J146)</f>
        <v/>
      </c>
      <c r="L1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9" spans="2:12" x14ac:dyDescent="0.3">
      <c r="B149" t="str">
        <f>IF('ENTRADAS-BASE'!A147="","",'ENTRADAS-BASE'!A147)</f>
        <v/>
      </c>
      <c r="C149" t="str">
        <f>IF('ENTRADAS-BASE'!B147="","",'ENTRADAS-BASE'!B147)</f>
        <v/>
      </c>
      <c r="D149" t="str">
        <f>IF('ENTRADAS-BASE'!C147="","",'ENTRADAS-BASE'!C147)</f>
        <v/>
      </c>
      <c r="E149" s="7" t="str">
        <f>IF('ENTRADAS-BASE'!D147="","",'ENTRADAS-BASE'!D147)</f>
        <v/>
      </c>
      <c r="F149" s="6" t="str">
        <f>IF('ENTRADAS-BASE'!E147="","",'ENTRADAS-BASE'!E147)</f>
        <v/>
      </c>
      <c r="G149" t="str">
        <f>IF('ENTRADAS-BASE'!F147="","",'ENTRADAS-BASE'!F147)</f>
        <v/>
      </c>
      <c r="H149" t="str">
        <f>IF('ENTRADAS-BASE'!G147="","",'ENTRADAS-BASE'!G147)</f>
        <v/>
      </c>
      <c r="I149" t="str">
        <f>IF('ENTRADAS-BASE'!H147="","",'ENTRADAS-BASE'!H147)</f>
        <v/>
      </c>
      <c r="J149" t="str">
        <f>IF('ENTRADAS-BASE'!I147="","",'ENTRADAS-BASE'!I147)</f>
        <v/>
      </c>
      <c r="K149" s="5" t="str">
        <f>IF('ENTRADAS-BASE'!J147="","",'ENTRADAS-BASE'!J147)</f>
        <v/>
      </c>
      <c r="L1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0" spans="2:12" x14ac:dyDescent="0.3">
      <c r="B150" t="str">
        <f>IF('ENTRADAS-BASE'!A148="","",'ENTRADAS-BASE'!A148)</f>
        <v/>
      </c>
      <c r="C150" t="str">
        <f>IF('ENTRADAS-BASE'!B148="","",'ENTRADAS-BASE'!B148)</f>
        <v/>
      </c>
      <c r="D150" t="str">
        <f>IF('ENTRADAS-BASE'!C148="","",'ENTRADAS-BASE'!C148)</f>
        <v/>
      </c>
      <c r="E150" s="7" t="str">
        <f>IF('ENTRADAS-BASE'!D148="","",'ENTRADAS-BASE'!D148)</f>
        <v/>
      </c>
      <c r="F150" s="6" t="str">
        <f>IF('ENTRADAS-BASE'!E148="","",'ENTRADAS-BASE'!E148)</f>
        <v/>
      </c>
      <c r="G150" t="str">
        <f>IF('ENTRADAS-BASE'!F148="","",'ENTRADAS-BASE'!F148)</f>
        <v/>
      </c>
      <c r="H150" t="str">
        <f>IF('ENTRADAS-BASE'!G148="","",'ENTRADAS-BASE'!G148)</f>
        <v/>
      </c>
      <c r="I150" t="str">
        <f>IF('ENTRADAS-BASE'!H148="","",'ENTRADAS-BASE'!H148)</f>
        <v/>
      </c>
      <c r="J150" t="str">
        <f>IF('ENTRADAS-BASE'!I148="","",'ENTRADAS-BASE'!I148)</f>
        <v/>
      </c>
      <c r="K150" s="5" t="str">
        <f>IF('ENTRADAS-BASE'!J148="","",'ENTRADAS-BASE'!J148)</f>
        <v/>
      </c>
      <c r="L1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1" spans="2:12" x14ac:dyDescent="0.3">
      <c r="B151" t="str">
        <f>IF('ENTRADAS-BASE'!A149="","",'ENTRADAS-BASE'!A149)</f>
        <v/>
      </c>
      <c r="C151" t="str">
        <f>IF('ENTRADAS-BASE'!B149="","",'ENTRADAS-BASE'!B149)</f>
        <v/>
      </c>
      <c r="D151" t="str">
        <f>IF('ENTRADAS-BASE'!C149="","",'ENTRADAS-BASE'!C149)</f>
        <v/>
      </c>
      <c r="E151" s="7" t="str">
        <f>IF('ENTRADAS-BASE'!D149="","",'ENTRADAS-BASE'!D149)</f>
        <v/>
      </c>
      <c r="F151" s="6" t="str">
        <f>IF('ENTRADAS-BASE'!E149="","",'ENTRADAS-BASE'!E149)</f>
        <v/>
      </c>
      <c r="G151" t="str">
        <f>IF('ENTRADAS-BASE'!F149="","",'ENTRADAS-BASE'!F149)</f>
        <v/>
      </c>
      <c r="H151" t="str">
        <f>IF('ENTRADAS-BASE'!G149="","",'ENTRADAS-BASE'!G149)</f>
        <v/>
      </c>
      <c r="I151" t="str">
        <f>IF('ENTRADAS-BASE'!H149="","",'ENTRADAS-BASE'!H149)</f>
        <v/>
      </c>
      <c r="J151" t="str">
        <f>IF('ENTRADAS-BASE'!I149="","",'ENTRADAS-BASE'!I149)</f>
        <v/>
      </c>
      <c r="K151" s="5" t="str">
        <f>IF('ENTRADAS-BASE'!J149="","",'ENTRADAS-BASE'!J149)</f>
        <v/>
      </c>
      <c r="L1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2" spans="2:12" x14ac:dyDescent="0.3">
      <c r="B152" t="str">
        <f>IF('ENTRADAS-BASE'!A150="","",'ENTRADAS-BASE'!A150)</f>
        <v/>
      </c>
      <c r="C152" t="str">
        <f>IF('ENTRADAS-BASE'!B150="","",'ENTRADAS-BASE'!B150)</f>
        <v/>
      </c>
      <c r="D152" t="str">
        <f>IF('ENTRADAS-BASE'!C150="","",'ENTRADAS-BASE'!C150)</f>
        <v/>
      </c>
      <c r="E152" s="7" t="str">
        <f>IF('ENTRADAS-BASE'!D150="","",'ENTRADAS-BASE'!D150)</f>
        <v/>
      </c>
      <c r="F152" s="6" t="str">
        <f>IF('ENTRADAS-BASE'!E150="","",'ENTRADAS-BASE'!E150)</f>
        <v/>
      </c>
      <c r="G152" t="str">
        <f>IF('ENTRADAS-BASE'!F150="","",'ENTRADAS-BASE'!F150)</f>
        <v/>
      </c>
      <c r="H152" t="str">
        <f>IF('ENTRADAS-BASE'!G150="","",'ENTRADAS-BASE'!G150)</f>
        <v/>
      </c>
      <c r="I152" t="str">
        <f>IF('ENTRADAS-BASE'!H150="","",'ENTRADAS-BASE'!H150)</f>
        <v/>
      </c>
      <c r="J152" t="str">
        <f>IF('ENTRADAS-BASE'!I150="","",'ENTRADAS-BASE'!I150)</f>
        <v/>
      </c>
      <c r="K152" s="5" t="str">
        <f>IF('ENTRADAS-BASE'!J150="","",'ENTRADAS-BASE'!J150)</f>
        <v/>
      </c>
      <c r="L1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3" spans="2:12" x14ac:dyDescent="0.3">
      <c r="B153" t="str">
        <f>IF('ENTRADAS-BASE'!A151="","",'ENTRADAS-BASE'!A151)</f>
        <v/>
      </c>
      <c r="C153" t="str">
        <f>IF('ENTRADAS-BASE'!B151="","",'ENTRADAS-BASE'!B151)</f>
        <v/>
      </c>
      <c r="D153" t="str">
        <f>IF('ENTRADAS-BASE'!C151="","",'ENTRADAS-BASE'!C151)</f>
        <v/>
      </c>
      <c r="E153" s="7" t="str">
        <f>IF('ENTRADAS-BASE'!D151="","",'ENTRADAS-BASE'!D151)</f>
        <v/>
      </c>
      <c r="F153" s="6" t="str">
        <f>IF('ENTRADAS-BASE'!E151="","",'ENTRADAS-BASE'!E151)</f>
        <v/>
      </c>
      <c r="G153" t="str">
        <f>IF('ENTRADAS-BASE'!F151="","",'ENTRADAS-BASE'!F151)</f>
        <v/>
      </c>
      <c r="H153" t="str">
        <f>IF('ENTRADAS-BASE'!G151="","",'ENTRADAS-BASE'!G151)</f>
        <v/>
      </c>
      <c r="I153" t="str">
        <f>IF('ENTRADAS-BASE'!H151="","",'ENTRADAS-BASE'!H151)</f>
        <v/>
      </c>
      <c r="J153" t="str">
        <f>IF('ENTRADAS-BASE'!I151="","",'ENTRADAS-BASE'!I151)</f>
        <v/>
      </c>
      <c r="K153" s="5" t="str">
        <f>IF('ENTRADAS-BASE'!J151="","",'ENTRADAS-BASE'!J151)</f>
        <v/>
      </c>
      <c r="L1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4" spans="2:12" x14ac:dyDescent="0.3">
      <c r="B154" t="str">
        <f>IF('ENTRADAS-BASE'!A152="","",'ENTRADAS-BASE'!A152)</f>
        <v/>
      </c>
      <c r="C154" t="str">
        <f>IF('ENTRADAS-BASE'!B152="","",'ENTRADAS-BASE'!B152)</f>
        <v/>
      </c>
      <c r="D154" t="str">
        <f>IF('ENTRADAS-BASE'!C152="","",'ENTRADAS-BASE'!C152)</f>
        <v/>
      </c>
      <c r="E154" s="7" t="str">
        <f>IF('ENTRADAS-BASE'!D152="","",'ENTRADAS-BASE'!D152)</f>
        <v/>
      </c>
      <c r="F154" s="6" t="str">
        <f>IF('ENTRADAS-BASE'!E152="","",'ENTRADAS-BASE'!E152)</f>
        <v/>
      </c>
      <c r="G154" t="str">
        <f>IF('ENTRADAS-BASE'!F152="","",'ENTRADAS-BASE'!F152)</f>
        <v/>
      </c>
      <c r="H154" t="str">
        <f>IF('ENTRADAS-BASE'!G152="","",'ENTRADAS-BASE'!G152)</f>
        <v/>
      </c>
      <c r="I154" t="str">
        <f>IF('ENTRADAS-BASE'!H152="","",'ENTRADAS-BASE'!H152)</f>
        <v/>
      </c>
      <c r="J154" t="str">
        <f>IF('ENTRADAS-BASE'!I152="","",'ENTRADAS-BASE'!I152)</f>
        <v/>
      </c>
      <c r="K154" s="5" t="str">
        <f>IF('ENTRADAS-BASE'!J152="","",'ENTRADAS-BASE'!J152)</f>
        <v/>
      </c>
      <c r="L1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5" spans="2:12" x14ac:dyDescent="0.3">
      <c r="B155" t="str">
        <f>IF('ENTRADAS-BASE'!A153="","",'ENTRADAS-BASE'!A153)</f>
        <v/>
      </c>
      <c r="C155" t="str">
        <f>IF('ENTRADAS-BASE'!B153="","",'ENTRADAS-BASE'!B153)</f>
        <v/>
      </c>
      <c r="D155" t="str">
        <f>IF('ENTRADAS-BASE'!C153="","",'ENTRADAS-BASE'!C153)</f>
        <v/>
      </c>
      <c r="E155" s="7" t="str">
        <f>IF('ENTRADAS-BASE'!D153="","",'ENTRADAS-BASE'!D153)</f>
        <v/>
      </c>
      <c r="F155" s="6" t="str">
        <f>IF('ENTRADAS-BASE'!E153="","",'ENTRADAS-BASE'!E153)</f>
        <v/>
      </c>
      <c r="G155" t="str">
        <f>IF('ENTRADAS-BASE'!F153="","",'ENTRADAS-BASE'!F153)</f>
        <v/>
      </c>
      <c r="H155" t="str">
        <f>IF('ENTRADAS-BASE'!G153="","",'ENTRADAS-BASE'!G153)</f>
        <v/>
      </c>
      <c r="I155" t="str">
        <f>IF('ENTRADAS-BASE'!H153="","",'ENTRADAS-BASE'!H153)</f>
        <v/>
      </c>
      <c r="J155" t="str">
        <f>IF('ENTRADAS-BASE'!I153="","",'ENTRADAS-BASE'!I153)</f>
        <v/>
      </c>
      <c r="K155" s="5" t="str">
        <f>IF('ENTRADAS-BASE'!J153="","",'ENTRADAS-BASE'!J153)</f>
        <v/>
      </c>
      <c r="L1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6" spans="2:12" x14ac:dyDescent="0.3">
      <c r="B156" t="str">
        <f>IF('ENTRADAS-BASE'!A154="","",'ENTRADAS-BASE'!A154)</f>
        <v/>
      </c>
      <c r="C156" t="str">
        <f>IF('ENTRADAS-BASE'!B154="","",'ENTRADAS-BASE'!B154)</f>
        <v/>
      </c>
      <c r="D156" t="str">
        <f>IF('ENTRADAS-BASE'!C154="","",'ENTRADAS-BASE'!C154)</f>
        <v/>
      </c>
      <c r="E156" s="7" t="str">
        <f>IF('ENTRADAS-BASE'!D154="","",'ENTRADAS-BASE'!D154)</f>
        <v/>
      </c>
      <c r="F156" s="6" t="str">
        <f>IF('ENTRADAS-BASE'!E154="","",'ENTRADAS-BASE'!E154)</f>
        <v/>
      </c>
      <c r="G156" t="str">
        <f>IF('ENTRADAS-BASE'!F154="","",'ENTRADAS-BASE'!F154)</f>
        <v/>
      </c>
      <c r="H156" t="str">
        <f>IF('ENTRADAS-BASE'!G154="","",'ENTRADAS-BASE'!G154)</f>
        <v/>
      </c>
      <c r="I156" t="str">
        <f>IF('ENTRADAS-BASE'!H154="","",'ENTRADAS-BASE'!H154)</f>
        <v/>
      </c>
      <c r="J156" t="str">
        <f>IF('ENTRADAS-BASE'!I154="","",'ENTRADAS-BASE'!I154)</f>
        <v/>
      </c>
      <c r="K156" s="5" t="str">
        <f>IF('ENTRADAS-BASE'!J154="","",'ENTRADAS-BASE'!J154)</f>
        <v/>
      </c>
      <c r="L1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7" spans="2:12" x14ac:dyDescent="0.3">
      <c r="B157" t="str">
        <f>IF('ENTRADAS-BASE'!A155="","",'ENTRADAS-BASE'!A155)</f>
        <v/>
      </c>
      <c r="C157" t="str">
        <f>IF('ENTRADAS-BASE'!B155="","",'ENTRADAS-BASE'!B155)</f>
        <v/>
      </c>
      <c r="D157" t="str">
        <f>IF('ENTRADAS-BASE'!C155="","",'ENTRADAS-BASE'!C155)</f>
        <v/>
      </c>
      <c r="E157" s="7" t="str">
        <f>IF('ENTRADAS-BASE'!D155="","",'ENTRADAS-BASE'!D155)</f>
        <v/>
      </c>
      <c r="F157" s="6" t="str">
        <f>IF('ENTRADAS-BASE'!E155="","",'ENTRADAS-BASE'!E155)</f>
        <v/>
      </c>
      <c r="G157" t="str">
        <f>IF('ENTRADAS-BASE'!F155="","",'ENTRADAS-BASE'!F155)</f>
        <v/>
      </c>
      <c r="H157" t="str">
        <f>IF('ENTRADAS-BASE'!G155="","",'ENTRADAS-BASE'!G155)</f>
        <v/>
      </c>
      <c r="I157" t="str">
        <f>IF('ENTRADAS-BASE'!H155="","",'ENTRADAS-BASE'!H155)</f>
        <v/>
      </c>
      <c r="J157" t="str">
        <f>IF('ENTRADAS-BASE'!I155="","",'ENTRADAS-BASE'!I155)</f>
        <v/>
      </c>
      <c r="K157" s="5" t="str">
        <f>IF('ENTRADAS-BASE'!J155="","",'ENTRADAS-BASE'!J155)</f>
        <v/>
      </c>
      <c r="L1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8" spans="2:12" x14ac:dyDescent="0.3">
      <c r="B158" t="str">
        <f>IF('ENTRADAS-BASE'!A156="","",'ENTRADAS-BASE'!A156)</f>
        <v/>
      </c>
      <c r="C158" t="str">
        <f>IF('ENTRADAS-BASE'!B156="","",'ENTRADAS-BASE'!B156)</f>
        <v/>
      </c>
      <c r="D158" t="str">
        <f>IF('ENTRADAS-BASE'!C156="","",'ENTRADAS-BASE'!C156)</f>
        <v/>
      </c>
      <c r="E158" s="7" t="str">
        <f>IF('ENTRADAS-BASE'!D156="","",'ENTRADAS-BASE'!D156)</f>
        <v/>
      </c>
      <c r="F158" s="6" t="str">
        <f>IF('ENTRADAS-BASE'!E156="","",'ENTRADAS-BASE'!E156)</f>
        <v/>
      </c>
      <c r="G158" t="str">
        <f>IF('ENTRADAS-BASE'!F156="","",'ENTRADAS-BASE'!F156)</f>
        <v/>
      </c>
      <c r="H158" t="str">
        <f>IF('ENTRADAS-BASE'!G156="","",'ENTRADAS-BASE'!G156)</f>
        <v/>
      </c>
      <c r="I158" t="str">
        <f>IF('ENTRADAS-BASE'!H156="","",'ENTRADAS-BASE'!H156)</f>
        <v/>
      </c>
      <c r="J158" t="str">
        <f>IF('ENTRADAS-BASE'!I156="","",'ENTRADAS-BASE'!I156)</f>
        <v/>
      </c>
      <c r="K158" s="5" t="str">
        <f>IF('ENTRADAS-BASE'!J156="","",'ENTRADAS-BASE'!J156)</f>
        <v/>
      </c>
      <c r="L1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9" spans="2:12" x14ac:dyDescent="0.3">
      <c r="B159" t="str">
        <f>IF('ENTRADAS-BASE'!A157="","",'ENTRADAS-BASE'!A157)</f>
        <v/>
      </c>
      <c r="C159" t="str">
        <f>IF('ENTRADAS-BASE'!B157="","",'ENTRADAS-BASE'!B157)</f>
        <v/>
      </c>
      <c r="D159" t="str">
        <f>IF('ENTRADAS-BASE'!C157="","",'ENTRADAS-BASE'!C157)</f>
        <v/>
      </c>
      <c r="E159" s="7" t="str">
        <f>IF('ENTRADAS-BASE'!D157="","",'ENTRADAS-BASE'!D157)</f>
        <v/>
      </c>
      <c r="F159" s="6" t="str">
        <f>IF('ENTRADAS-BASE'!E157="","",'ENTRADAS-BASE'!E157)</f>
        <v/>
      </c>
      <c r="G159" t="str">
        <f>IF('ENTRADAS-BASE'!F157="","",'ENTRADAS-BASE'!F157)</f>
        <v/>
      </c>
      <c r="H159" t="str">
        <f>IF('ENTRADAS-BASE'!G157="","",'ENTRADAS-BASE'!G157)</f>
        <v/>
      </c>
      <c r="I159" t="str">
        <f>IF('ENTRADAS-BASE'!H157="","",'ENTRADAS-BASE'!H157)</f>
        <v/>
      </c>
      <c r="J159" t="str">
        <f>IF('ENTRADAS-BASE'!I157="","",'ENTRADAS-BASE'!I157)</f>
        <v/>
      </c>
      <c r="K159" s="5" t="str">
        <f>IF('ENTRADAS-BASE'!J157="","",'ENTRADAS-BASE'!J157)</f>
        <v/>
      </c>
      <c r="L1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0" spans="2:12" x14ac:dyDescent="0.3">
      <c r="B160" t="str">
        <f>IF('ENTRADAS-BASE'!A158="","",'ENTRADAS-BASE'!A158)</f>
        <v/>
      </c>
      <c r="C160" t="str">
        <f>IF('ENTRADAS-BASE'!B158="","",'ENTRADAS-BASE'!B158)</f>
        <v/>
      </c>
      <c r="D160" t="str">
        <f>IF('ENTRADAS-BASE'!C158="","",'ENTRADAS-BASE'!C158)</f>
        <v/>
      </c>
      <c r="E160" s="7" t="str">
        <f>IF('ENTRADAS-BASE'!D158="","",'ENTRADAS-BASE'!D158)</f>
        <v/>
      </c>
      <c r="F160" s="6" t="str">
        <f>IF('ENTRADAS-BASE'!E158="","",'ENTRADAS-BASE'!E158)</f>
        <v/>
      </c>
      <c r="G160" t="str">
        <f>IF('ENTRADAS-BASE'!F158="","",'ENTRADAS-BASE'!F158)</f>
        <v/>
      </c>
      <c r="H160" t="str">
        <f>IF('ENTRADAS-BASE'!G158="","",'ENTRADAS-BASE'!G158)</f>
        <v/>
      </c>
      <c r="I160" t="str">
        <f>IF('ENTRADAS-BASE'!H158="","",'ENTRADAS-BASE'!H158)</f>
        <v/>
      </c>
      <c r="J160" t="str">
        <f>IF('ENTRADAS-BASE'!I158="","",'ENTRADAS-BASE'!I158)</f>
        <v/>
      </c>
      <c r="K160" s="5" t="str">
        <f>IF('ENTRADAS-BASE'!J158="","",'ENTRADAS-BASE'!J158)</f>
        <v/>
      </c>
      <c r="L1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1" spans="2:12" x14ac:dyDescent="0.3">
      <c r="B161" t="str">
        <f>IF('ENTRADAS-BASE'!A159="","",'ENTRADAS-BASE'!A159)</f>
        <v/>
      </c>
      <c r="C161" t="str">
        <f>IF('ENTRADAS-BASE'!B159="","",'ENTRADAS-BASE'!B159)</f>
        <v/>
      </c>
      <c r="D161" t="str">
        <f>IF('ENTRADAS-BASE'!C159="","",'ENTRADAS-BASE'!C159)</f>
        <v/>
      </c>
      <c r="E161" s="7" t="str">
        <f>IF('ENTRADAS-BASE'!D159="","",'ENTRADAS-BASE'!D159)</f>
        <v/>
      </c>
      <c r="F161" s="6" t="str">
        <f>IF('ENTRADAS-BASE'!E159="","",'ENTRADAS-BASE'!E159)</f>
        <v/>
      </c>
      <c r="G161" t="str">
        <f>IF('ENTRADAS-BASE'!F159="","",'ENTRADAS-BASE'!F159)</f>
        <v/>
      </c>
      <c r="H161" t="str">
        <f>IF('ENTRADAS-BASE'!G159="","",'ENTRADAS-BASE'!G159)</f>
        <v/>
      </c>
      <c r="I161" t="str">
        <f>IF('ENTRADAS-BASE'!H159="","",'ENTRADAS-BASE'!H159)</f>
        <v/>
      </c>
      <c r="J161" t="str">
        <f>IF('ENTRADAS-BASE'!I159="","",'ENTRADAS-BASE'!I159)</f>
        <v/>
      </c>
      <c r="K161" s="5" t="str">
        <f>IF('ENTRADAS-BASE'!J159="","",'ENTRADAS-BASE'!J159)</f>
        <v/>
      </c>
      <c r="L1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2" spans="2:12" x14ac:dyDescent="0.3">
      <c r="B162" t="str">
        <f>IF('ENTRADAS-BASE'!A160="","",'ENTRADAS-BASE'!A160)</f>
        <v/>
      </c>
      <c r="C162" t="str">
        <f>IF('ENTRADAS-BASE'!B160="","",'ENTRADAS-BASE'!B160)</f>
        <v/>
      </c>
      <c r="D162" t="str">
        <f>IF('ENTRADAS-BASE'!C160="","",'ENTRADAS-BASE'!C160)</f>
        <v/>
      </c>
      <c r="E162" s="7" t="str">
        <f>IF('ENTRADAS-BASE'!D160="","",'ENTRADAS-BASE'!D160)</f>
        <v/>
      </c>
      <c r="F162" s="6" t="str">
        <f>IF('ENTRADAS-BASE'!E160="","",'ENTRADAS-BASE'!E160)</f>
        <v/>
      </c>
      <c r="G162" t="str">
        <f>IF('ENTRADAS-BASE'!F160="","",'ENTRADAS-BASE'!F160)</f>
        <v/>
      </c>
      <c r="H162" t="str">
        <f>IF('ENTRADAS-BASE'!G160="","",'ENTRADAS-BASE'!G160)</f>
        <v/>
      </c>
      <c r="I162" t="str">
        <f>IF('ENTRADAS-BASE'!H160="","",'ENTRADAS-BASE'!H160)</f>
        <v/>
      </c>
      <c r="J162" t="str">
        <f>IF('ENTRADAS-BASE'!I160="","",'ENTRADAS-BASE'!I160)</f>
        <v/>
      </c>
      <c r="K162" s="5" t="str">
        <f>IF('ENTRADAS-BASE'!J160="","",'ENTRADAS-BASE'!J160)</f>
        <v/>
      </c>
      <c r="L1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3" spans="2:12" x14ac:dyDescent="0.3">
      <c r="B163" t="str">
        <f>IF('ENTRADAS-BASE'!A161="","",'ENTRADAS-BASE'!A161)</f>
        <v/>
      </c>
      <c r="C163" t="str">
        <f>IF('ENTRADAS-BASE'!B161="","",'ENTRADAS-BASE'!B161)</f>
        <v/>
      </c>
      <c r="D163" t="str">
        <f>IF('ENTRADAS-BASE'!C161="","",'ENTRADAS-BASE'!C161)</f>
        <v/>
      </c>
      <c r="E163" s="7" t="str">
        <f>IF('ENTRADAS-BASE'!D161="","",'ENTRADAS-BASE'!D161)</f>
        <v/>
      </c>
      <c r="F163" s="6" t="str">
        <f>IF('ENTRADAS-BASE'!E161="","",'ENTRADAS-BASE'!E161)</f>
        <v/>
      </c>
      <c r="G163" t="str">
        <f>IF('ENTRADAS-BASE'!F161="","",'ENTRADAS-BASE'!F161)</f>
        <v/>
      </c>
      <c r="H163" t="str">
        <f>IF('ENTRADAS-BASE'!G161="","",'ENTRADAS-BASE'!G161)</f>
        <v/>
      </c>
      <c r="I163" t="str">
        <f>IF('ENTRADAS-BASE'!H161="","",'ENTRADAS-BASE'!H161)</f>
        <v/>
      </c>
      <c r="J163" t="str">
        <f>IF('ENTRADAS-BASE'!I161="","",'ENTRADAS-BASE'!I161)</f>
        <v/>
      </c>
      <c r="K163" s="5" t="str">
        <f>IF('ENTRADAS-BASE'!J161="","",'ENTRADAS-BASE'!J161)</f>
        <v/>
      </c>
      <c r="L1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4" spans="2:12" x14ac:dyDescent="0.3">
      <c r="B164" t="str">
        <f>IF('ENTRADAS-BASE'!A162="","",'ENTRADAS-BASE'!A162)</f>
        <v/>
      </c>
      <c r="C164" t="str">
        <f>IF('ENTRADAS-BASE'!B162="","",'ENTRADAS-BASE'!B162)</f>
        <v/>
      </c>
      <c r="D164" t="str">
        <f>IF('ENTRADAS-BASE'!C162="","",'ENTRADAS-BASE'!C162)</f>
        <v/>
      </c>
      <c r="E164" s="7" t="str">
        <f>IF('ENTRADAS-BASE'!D162="","",'ENTRADAS-BASE'!D162)</f>
        <v/>
      </c>
      <c r="F164" s="6" t="str">
        <f>IF('ENTRADAS-BASE'!E162="","",'ENTRADAS-BASE'!E162)</f>
        <v/>
      </c>
      <c r="G164" t="str">
        <f>IF('ENTRADAS-BASE'!F162="","",'ENTRADAS-BASE'!F162)</f>
        <v/>
      </c>
      <c r="H164" t="str">
        <f>IF('ENTRADAS-BASE'!G162="","",'ENTRADAS-BASE'!G162)</f>
        <v/>
      </c>
      <c r="I164" t="str">
        <f>IF('ENTRADAS-BASE'!H162="","",'ENTRADAS-BASE'!H162)</f>
        <v/>
      </c>
      <c r="J164" t="str">
        <f>IF('ENTRADAS-BASE'!I162="","",'ENTRADAS-BASE'!I162)</f>
        <v/>
      </c>
      <c r="K164" s="5" t="str">
        <f>IF('ENTRADAS-BASE'!J162="","",'ENTRADAS-BASE'!J162)</f>
        <v/>
      </c>
      <c r="L1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5" spans="2:12" x14ac:dyDescent="0.3">
      <c r="B165" t="str">
        <f>IF('ENTRADAS-BASE'!A163="","",'ENTRADAS-BASE'!A163)</f>
        <v/>
      </c>
      <c r="C165" t="str">
        <f>IF('ENTRADAS-BASE'!B163="","",'ENTRADAS-BASE'!B163)</f>
        <v/>
      </c>
      <c r="D165" t="str">
        <f>IF('ENTRADAS-BASE'!C163="","",'ENTRADAS-BASE'!C163)</f>
        <v/>
      </c>
      <c r="E165" s="7" t="str">
        <f>IF('ENTRADAS-BASE'!D163="","",'ENTRADAS-BASE'!D163)</f>
        <v/>
      </c>
      <c r="F165" s="6" t="str">
        <f>IF('ENTRADAS-BASE'!E163="","",'ENTRADAS-BASE'!E163)</f>
        <v/>
      </c>
      <c r="G165" t="str">
        <f>IF('ENTRADAS-BASE'!F163="","",'ENTRADAS-BASE'!F163)</f>
        <v/>
      </c>
      <c r="H165" t="str">
        <f>IF('ENTRADAS-BASE'!G163="","",'ENTRADAS-BASE'!G163)</f>
        <v/>
      </c>
      <c r="I165" t="str">
        <f>IF('ENTRADAS-BASE'!H163="","",'ENTRADAS-BASE'!H163)</f>
        <v/>
      </c>
      <c r="J165" t="str">
        <f>IF('ENTRADAS-BASE'!I163="","",'ENTRADAS-BASE'!I163)</f>
        <v/>
      </c>
      <c r="K165" s="5" t="str">
        <f>IF('ENTRADAS-BASE'!J163="","",'ENTRADAS-BASE'!J163)</f>
        <v/>
      </c>
      <c r="L1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6" spans="2:12" x14ac:dyDescent="0.3">
      <c r="B166" t="str">
        <f>IF('ENTRADAS-BASE'!A164="","",'ENTRADAS-BASE'!A164)</f>
        <v/>
      </c>
      <c r="C166" t="str">
        <f>IF('ENTRADAS-BASE'!B164="","",'ENTRADAS-BASE'!B164)</f>
        <v/>
      </c>
      <c r="D166" t="str">
        <f>IF('ENTRADAS-BASE'!C164="","",'ENTRADAS-BASE'!C164)</f>
        <v/>
      </c>
      <c r="E166" s="7" t="str">
        <f>IF('ENTRADAS-BASE'!D164="","",'ENTRADAS-BASE'!D164)</f>
        <v/>
      </c>
      <c r="F166" s="6" t="str">
        <f>IF('ENTRADAS-BASE'!E164="","",'ENTRADAS-BASE'!E164)</f>
        <v/>
      </c>
      <c r="G166" t="str">
        <f>IF('ENTRADAS-BASE'!F164="","",'ENTRADAS-BASE'!F164)</f>
        <v/>
      </c>
      <c r="H166" t="str">
        <f>IF('ENTRADAS-BASE'!G164="","",'ENTRADAS-BASE'!G164)</f>
        <v/>
      </c>
      <c r="I166" t="str">
        <f>IF('ENTRADAS-BASE'!H164="","",'ENTRADAS-BASE'!H164)</f>
        <v/>
      </c>
      <c r="J166" t="str">
        <f>IF('ENTRADAS-BASE'!I164="","",'ENTRADAS-BASE'!I164)</f>
        <v/>
      </c>
      <c r="K166" s="5" t="str">
        <f>IF('ENTRADAS-BASE'!J164="","",'ENTRADAS-BASE'!J164)</f>
        <v/>
      </c>
      <c r="L1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7" spans="2:12" x14ac:dyDescent="0.3">
      <c r="B167" t="str">
        <f>IF('ENTRADAS-BASE'!A165="","",'ENTRADAS-BASE'!A165)</f>
        <v/>
      </c>
      <c r="C167" t="str">
        <f>IF('ENTRADAS-BASE'!B165="","",'ENTRADAS-BASE'!B165)</f>
        <v/>
      </c>
      <c r="D167" t="str">
        <f>IF('ENTRADAS-BASE'!C165="","",'ENTRADAS-BASE'!C165)</f>
        <v/>
      </c>
      <c r="E167" s="7" t="str">
        <f>IF('ENTRADAS-BASE'!D165="","",'ENTRADAS-BASE'!D165)</f>
        <v/>
      </c>
      <c r="F167" s="6" t="str">
        <f>IF('ENTRADAS-BASE'!E165="","",'ENTRADAS-BASE'!E165)</f>
        <v/>
      </c>
      <c r="G167" t="str">
        <f>IF('ENTRADAS-BASE'!F165="","",'ENTRADAS-BASE'!F165)</f>
        <v/>
      </c>
      <c r="H167" t="str">
        <f>IF('ENTRADAS-BASE'!G165="","",'ENTRADAS-BASE'!G165)</f>
        <v/>
      </c>
      <c r="I167" t="str">
        <f>IF('ENTRADAS-BASE'!H165="","",'ENTRADAS-BASE'!H165)</f>
        <v/>
      </c>
      <c r="J167" t="str">
        <f>IF('ENTRADAS-BASE'!I165="","",'ENTRADAS-BASE'!I165)</f>
        <v/>
      </c>
      <c r="K167" s="5" t="str">
        <f>IF('ENTRADAS-BASE'!J165="","",'ENTRADAS-BASE'!J165)</f>
        <v/>
      </c>
      <c r="L1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8" spans="2:12" x14ac:dyDescent="0.3">
      <c r="B168" t="str">
        <f>IF('ENTRADAS-BASE'!A166="","",'ENTRADAS-BASE'!A166)</f>
        <v/>
      </c>
      <c r="C168" t="str">
        <f>IF('ENTRADAS-BASE'!B166="","",'ENTRADAS-BASE'!B166)</f>
        <v/>
      </c>
      <c r="D168" t="str">
        <f>IF('ENTRADAS-BASE'!C166="","",'ENTRADAS-BASE'!C166)</f>
        <v/>
      </c>
      <c r="E168" s="7" t="str">
        <f>IF('ENTRADAS-BASE'!D166="","",'ENTRADAS-BASE'!D166)</f>
        <v/>
      </c>
      <c r="F168" s="6" t="str">
        <f>IF('ENTRADAS-BASE'!E166="","",'ENTRADAS-BASE'!E166)</f>
        <v/>
      </c>
      <c r="G168" t="str">
        <f>IF('ENTRADAS-BASE'!F166="","",'ENTRADAS-BASE'!F166)</f>
        <v/>
      </c>
      <c r="H168" t="str">
        <f>IF('ENTRADAS-BASE'!G166="","",'ENTRADAS-BASE'!G166)</f>
        <v/>
      </c>
      <c r="I168" t="str">
        <f>IF('ENTRADAS-BASE'!H166="","",'ENTRADAS-BASE'!H166)</f>
        <v/>
      </c>
      <c r="J168" t="str">
        <f>IF('ENTRADAS-BASE'!I166="","",'ENTRADAS-BASE'!I166)</f>
        <v/>
      </c>
      <c r="K168" s="5" t="str">
        <f>IF('ENTRADAS-BASE'!J166="","",'ENTRADAS-BASE'!J166)</f>
        <v/>
      </c>
      <c r="L1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9" spans="2:12" x14ac:dyDescent="0.3">
      <c r="B169" t="str">
        <f>IF('ENTRADAS-BASE'!A167="","",'ENTRADAS-BASE'!A167)</f>
        <v/>
      </c>
      <c r="C169" t="str">
        <f>IF('ENTRADAS-BASE'!B167="","",'ENTRADAS-BASE'!B167)</f>
        <v/>
      </c>
      <c r="D169" t="str">
        <f>IF('ENTRADAS-BASE'!C167="","",'ENTRADAS-BASE'!C167)</f>
        <v/>
      </c>
      <c r="E169" s="7" t="str">
        <f>IF('ENTRADAS-BASE'!D167="","",'ENTRADAS-BASE'!D167)</f>
        <v/>
      </c>
      <c r="F169" s="6" t="str">
        <f>IF('ENTRADAS-BASE'!E167="","",'ENTRADAS-BASE'!E167)</f>
        <v/>
      </c>
      <c r="G169" t="str">
        <f>IF('ENTRADAS-BASE'!F167="","",'ENTRADAS-BASE'!F167)</f>
        <v/>
      </c>
      <c r="H169" t="str">
        <f>IF('ENTRADAS-BASE'!G167="","",'ENTRADAS-BASE'!G167)</f>
        <v/>
      </c>
      <c r="I169" t="str">
        <f>IF('ENTRADAS-BASE'!H167="","",'ENTRADAS-BASE'!H167)</f>
        <v/>
      </c>
      <c r="J169" t="str">
        <f>IF('ENTRADAS-BASE'!I167="","",'ENTRADAS-BASE'!I167)</f>
        <v/>
      </c>
      <c r="K169" s="5" t="str">
        <f>IF('ENTRADAS-BASE'!J167="","",'ENTRADAS-BASE'!J167)</f>
        <v/>
      </c>
      <c r="L1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0" spans="2:12" x14ac:dyDescent="0.3">
      <c r="B170" t="str">
        <f>IF('ENTRADAS-BASE'!A168="","",'ENTRADAS-BASE'!A168)</f>
        <v/>
      </c>
      <c r="C170" t="str">
        <f>IF('ENTRADAS-BASE'!B168="","",'ENTRADAS-BASE'!B168)</f>
        <v/>
      </c>
      <c r="D170" t="str">
        <f>IF('ENTRADAS-BASE'!C168="","",'ENTRADAS-BASE'!C168)</f>
        <v/>
      </c>
      <c r="E170" s="7" t="str">
        <f>IF('ENTRADAS-BASE'!D168="","",'ENTRADAS-BASE'!D168)</f>
        <v/>
      </c>
      <c r="F170" s="6" t="str">
        <f>IF('ENTRADAS-BASE'!E168="","",'ENTRADAS-BASE'!E168)</f>
        <v/>
      </c>
      <c r="G170" t="str">
        <f>IF('ENTRADAS-BASE'!F168="","",'ENTRADAS-BASE'!F168)</f>
        <v/>
      </c>
      <c r="H170" t="str">
        <f>IF('ENTRADAS-BASE'!G168="","",'ENTRADAS-BASE'!G168)</f>
        <v/>
      </c>
      <c r="I170" t="str">
        <f>IF('ENTRADAS-BASE'!H168="","",'ENTRADAS-BASE'!H168)</f>
        <v/>
      </c>
      <c r="J170" t="str">
        <f>IF('ENTRADAS-BASE'!I168="","",'ENTRADAS-BASE'!I168)</f>
        <v/>
      </c>
      <c r="K170" s="5" t="str">
        <f>IF('ENTRADAS-BASE'!J168="","",'ENTRADAS-BASE'!J168)</f>
        <v/>
      </c>
      <c r="L1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1" spans="2:12" x14ac:dyDescent="0.3">
      <c r="B171" t="str">
        <f>IF('ENTRADAS-BASE'!A169="","",'ENTRADAS-BASE'!A169)</f>
        <v/>
      </c>
      <c r="C171" t="str">
        <f>IF('ENTRADAS-BASE'!B169="","",'ENTRADAS-BASE'!B169)</f>
        <v/>
      </c>
      <c r="D171" t="str">
        <f>IF('ENTRADAS-BASE'!C169="","",'ENTRADAS-BASE'!C169)</f>
        <v/>
      </c>
      <c r="E171" s="7" t="str">
        <f>IF('ENTRADAS-BASE'!D169="","",'ENTRADAS-BASE'!D169)</f>
        <v/>
      </c>
      <c r="F171" s="6" t="str">
        <f>IF('ENTRADAS-BASE'!E169="","",'ENTRADAS-BASE'!E169)</f>
        <v/>
      </c>
      <c r="G171" t="str">
        <f>IF('ENTRADAS-BASE'!F169="","",'ENTRADAS-BASE'!F169)</f>
        <v/>
      </c>
      <c r="H171" t="str">
        <f>IF('ENTRADAS-BASE'!G169="","",'ENTRADAS-BASE'!G169)</f>
        <v/>
      </c>
      <c r="I171" t="str">
        <f>IF('ENTRADAS-BASE'!H169="","",'ENTRADAS-BASE'!H169)</f>
        <v/>
      </c>
      <c r="J171" t="str">
        <f>IF('ENTRADAS-BASE'!I169="","",'ENTRADAS-BASE'!I169)</f>
        <v/>
      </c>
      <c r="K171" s="5" t="str">
        <f>IF('ENTRADAS-BASE'!J169="","",'ENTRADAS-BASE'!J169)</f>
        <v/>
      </c>
      <c r="L1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2" spans="2:12" x14ac:dyDescent="0.3">
      <c r="B172" t="str">
        <f>IF('ENTRADAS-BASE'!A170="","",'ENTRADAS-BASE'!A170)</f>
        <v/>
      </c>
      <c r="C172" t="str">
        <f>IF('ENTRADAS-BASE'!B170="","",'ENTRADAS-BASE'!B170)</f>
        <v/>
      </c>
      <c r="D172" t="str">
        <f>IF('ENTRADAS-BASE'!C170="","",'ENTRADAS-BASE'!C170)</f>
        <v/>
      </c>
      <c r="E172" s="7" t="str">
        <f>IF('ENTRADAS-BASE'!D170="","",'ENTRADAS-BASE'!D170)</f>
        <v/>
      </c>
      <c r="F172" s="6" t="str">
        <f>IF('ENTRADAS-BASE'!E170="","",'ENTRADAS-BASE'!E170)</f>
        <v/>
      </c>
      <c r="G172" t="str">
        <f>IF('ENTRADAS-BASE'!F170="","",'ENTRADAS-BASE'!F170)</f>
        <v/>
      </c>
      <c r="H172" t="str">
        <f>IF('ENTRADAS-BASE'!G170="","",'ENTRADAS-BASE'!G170)</f>
        <v/>
      </c>
      <c r="I172" t="str">
        <f>IF('ENTRADAS-BASE'!H170="","",'ENTRADAS-BASE'!H170)</f>
        <v/>
      </c>
      <c r="J172" t="str">
        <f>IF('ENTRADAS-BASE'!I170="","",'ENTRADAS-BASE'!I170)</f>
        <v/>
      </c>
      <c r="K172" s="5" t="str">
        <f>IF('ENTRADAS-BASE'!J170="","",'ENTRADAS-BASE'!J170)</f>
        <v/>
      </c>
      <c r="L1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3" spans="2:12" x14ac:dyDescent="0.3">
      <c r="B173" t="str">
        <f>IF('ENTRADAS-BASE'!A171="","",'ENTRADAS-BASE'!A171)</f>
        <v/>
      </c>
      <c r="C173" t="str">
        <f>IF('ENTRADAS-BASE'!B171="","",'ENTRADAS-BASE'!B171)</f>
        <v/>
      </c>
      <c r="D173" t="str">
        <f>IF('ENTRADAS-BASE'!C171="","",'ENTRADAS-BASE'!C171)</f>
        <v/>
      </c>
      <c r="E173" s="7" t="str">
        <f>IF('ENTRADAS-BASE'!D171="","",'ENTRADAS-BASE'!D171)</f>
        <v/>
      </c>
      <c r="F173" s="6" t="str">
        <f>IF('ENTRADAS-BASE'!E171="","",'ENTRADAS-BASE'!E171)</f>
        <v/>
      </c>
      <c r="G173" t="str">
        <f>IF('ENTRADAS-BASE'!F171="","",'ENTRADAS-BASE'!F171)</f>
        <v/>
      </c>
      <c r="H173" t="str">
        <f>IF('ENTRADAS-BASE'!G171="","",'ENTRADAS-BASE'!G171)</f>
        <v/>
      </c>
      <c r="I173" t="str">
        <f>IF('ENTRADAS-BASE'!H171="","",'ENTRADAS-BASE'!H171)</f>
        <v/>
      </c>
      <c r="J173" t="str">
        <f>IF('ENTRADAS-BASE'!I171="","",'ENTRADAS-BASE'!I171)</f>
        <v/>
      </c>
      <c r="K173" s="5" t="str">
        <f>IF('ENTRADAS-BASE'!J171="","",'ENTRADAS-BASE'!J171)</f>
        <v/>
      </c>
      <c r="L1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4" spans="2:12" x14ac:dyDescent="0.3">
      <c r="B174" t="str">
        <f>IF('ENTRADAS-BASE'!A172="","",'ENTRADAS-BASE'!A172)</f>
        <v/>
      </c>
      <c r="C174" t="str">
        <f>IF('ENTRADAS-BASE'!B172="","",'ENTRADAS-BASE'!B172)</f>
        <v/>
      </c>
      <c r="D174" t="str">
        <f>IF('ENTRADAS-BASE'!C172="","",'ENTRADAS-BASE'!C172)</f>
        <v/>
      </c>
      <c r="E174" s="7" t="str">
        <f>IF('ENTRADAS-BASE'!D172="","",'ENTRADAS-BASE'!D172)</f>
        <v/>
      </c>
      <c r="F174" s="6" t="str">
        <f>IF('ENTRADAS-BASE'!E172="","",'ENTRADAS-BASE'!E172)</f>
        <v/>
      </c>
      <c r="G174" t="str">
        <f>IF('ENTRADAS-BASE'!F172="","",'ENTRADAS-BASE'!F172)</f>
        <v/>
      </c>
      <c r="H174" t="str">
        <f>IF('ENTRADAS-BASE'!G172="","",'ENTRADAS-BASE'!G172)</f>
        <v/>
      </c>
      <c r="I174" t="str">
        <f>IF('ENTRADAS-BASE'!H172="","",'ENTRADAS-BASE'!H172)</f>
        <v/>
      </c>
      <c r="J174" t="str">
        <f>IF('ENTRADAS-BASE'!I172="","",'ENTRADAS-BASE'!I172)</f>
        <v/>
      </c>
      <c r="K174" s="5" t="str">
        <f>IF('ENTRADAS-BASE'!J172="","",'ENTRADAS-BASE'!J172)</f>
        <v/>
      </c>
      <c r="L1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5" spans="2:12" x14ac:dyDescent="0.3">
      <c r="B175" t="str">
        <f>IF('ENTRADAS-BASE'!A173="","",'ENTRADAS-BASE'!A173)</f>
        <v/>
      </c>
      <c r="C175" t="str">
        <f>IF('ENTRADAS-BASE'!B173="","",'ENTRADAS-BASE'!B173)</f>
        <v/>
      </c>
      <c r="D175" t="str">
        <f>IF('ENTRADAS-BASE'!C173="","",'ENTRADAS-BASE'!C173)</f>
        <v/>
      </c>
      <c r="E175" s="7" t="str">
        <f>IF('ENTRADAS-BASE'!D173="","",'ENTRADAS-BASE'!D173)</f>
        <v/>
      </c>
      <c r="F175" s="6" t="str">
        <f>IF('ENTRADAS-BASE'!E173="","",'ENTRADAS-BASE'!E173)</f>
        <v/>
      </c>
      <c r="G175" t="str">
        <f>IF('ENTRADAS-BASE'!F173="","",'ENTRADAS-BASE'!F173)</f>
        <v/>
      </c>
      <c r="H175" t="str">
        <f>IF('ENTRADAS-BASE'!G173="","",'ENTRADAS-BASE'!G173)</f>
        <v/>
      </c>
      <c r="I175" t="str">
        <f>IF('ENTRADAS-BASE'!H173="","",'ENTRADAS-BASE'!H173)</f>
        <v/>
      </c>
      <c r="J175" t="str">
        <f>IF('ENTRADAS-BASE'!I173="","",'ENTRADAS-BASE'!I173)</f>
        <v/>
      </c>
      <c r="K175" s="5" t="str">
        <f>IF('ENTRADAS-BASE'!J173="","",'ENTRADAS-BASE'!J173)</f>
        <v/>
      </c>
      <c r="L1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6" spans="2:12" x14ac:dyDescent="0.3">
      <c r="B176" t="str">
        <f>IF('ENTRADAS-BASE'!A174="","",'ENTRADAS-BASE'!A174)</f>
        <v/>
      </c>
      <c r="C176" t="str">
        <f>IF('ENTRADAS-BASE'!B174="","",'ENTRADAS-BASE'!B174)</f>
        <v/>
      </c>
      <c r="D176" t="str">
        <f>IF('ENTRADAS-BASE'!C174="","",'ENTRADAS-BASE'!C174)</f>
        <v/>
      </c>
      <c r="E176" s="7" t="str">
        <f>IF('ENTRADAS-BASE'!D174="","",'ENTRADAS-BASE'!D174)</f>
        <v/>
      </c>
      <c r="F176" s="6" t="str">
        <f>IF('ENTRADAS-BASE'!E174="","",'ENTRADAS-BASE'!E174)</f>
        <v/>
      </c>
      <c r="G176" t="str">
        <f>IF('ENTRADAS-BASE'!F174="","",'ENTRADAS-BASE'!F174)</f>
        <v/>
      </c>
      <c r="H176" t="str">
        <f>IF('ENTRADAS-BASE'!G174="","",'ENTRADAS-BASE'!G174)</f>
        <v/>
      </c>
      <c r="I176" t="str">
        <f>IF('ENTRADAS-BASE'!H174="","",'ENTRADAS-BASE'!H174)</f>
        <v/>
      </c>
      <c r="J176" t="str">
        <f>IF('ENTRADAS-BASE'!I174="","",'ENTRADAS-BASE'!I174)</f>
        <v/>
      </c>
      <c r="K176" s="5" t="str">
        <f>IF('ENTRADAS-BASE'!J174="","",'ENTRADAS-BASE'!J174)</f>
        <v/>
      </c>
      <c r="L1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7" spans="2:12" x14ac:dyDescent="0.3">
      <c r="B177" t="str">
        <f>IF('ENTRADAS-BASE'!A175="","",'ENTRADAS-BASE'!A175)</f>
        <v/>
      </c>
      <c r="C177" t="str">
        <f>IF('ENTRADAS-BASE'!B175="","",'ENTRADAS-BASE'!B175)</f>
        <v/>
      </c>
      <c r="D177" t="str">
        <f>IF('ENTRADAS-BASE'!C175="","",'ENTRADAS-BASE'!C175)</f>
        <v/>
      </c>
      <c r="E177" s="7" t="str">
        <f>IF('ENTRADAS-BASE'!D175="","",'ENTRADAS-BASE'!D175)</f>
        <v/>
      </c>
      <c r="F177" s="6" t="str">
        <f>IF('ENTRADAS-BASE'!E175="","",'ENTRADAS-BASE'!E175)</f>
        <v/>
      </c>
      <c r="G177" t="str">
        <f>IF('ENTRADAS-BASE'!F175="","",'ENTRADAS-BASE'!F175)</f>
        <v/>
      </c>
      <c r="H177" t="str">
        <f>IF('ENTRADAS-BASE'!G175="","",'ENTRADAS-BASE'!G175)</f>
        <v/>
      </c>
      <c r="I177" t="str">
        <f>IF('ENTRADAS-BASE'!H175="","",'ENTRADAS-BASE'!H175)</f>
        <v/>
      </c>
      <c r="J177" t="str">
        <f>IF('ENTRADAS-BASE'!I175="","",'ENTRADAS-BASE'!I175)</f>
        <v/>
      </c>
      <c r="K177" s="5" t="str">
        <f>IF('ENTRADAS-BASE'!J175="","",'ENTRADAS-BASE'!J175)</f>
        <v/>
      </c>
      <c r="L1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8" spans="2:12" x14ac:dyDescent="0.3">
      <c r="B178" t="str">
        <f>IF('ENTRADAS-BASE'!A176="","",'ENTRADAS-BASE'!A176)</f>
        <v/>
      </c>
      <c r="C178" t="str">
        <f>IF('ENTRADAS-BASE'!B176="","",'ENTRADAS-BASE'!B176)</f>
        <v/>
      </c>
      <c r="D178" t="str">
        <f>IF('ENTRADAS-BASE'!C176="","",'ENTRADAS-BASE'!C176)</f>
        <v/>
      </c>
      <c r="E178" s="7" t="str">
        <f>IF('ENTRADAS-BASE'!D176="","",'ENTRADAS-BASE'!D176)</f>
        <v/>
      </c>
      <c r="F178" s="6" t="str">
        <f>IF('ENTRADAS-BASE'!E176="","",'ENTRADAS-BASE'!E176)</f>
        <v/>
      </c>
      <c r="G178" t="str">
        <f>IF('ENTRADAS-BASE'!F176="","",'ENTRADAS-BASE'!F176)</f>
        <v/>
      </c>
      <c r="H178" t="str">
        <f>IF('ENTRADAS-BASE'!G176="","",'ENTRADAS-BASE'!G176)</f>
        <v/>
      </c>
      <c r="I178" t="str">
        <f>IF('ENTRADAS-BASE'!H176="","",'ENTRADAS-BASE'!H176)</f>
        <v/>
      </c>
      <c r="J178" t="str">
        <f>IF('ENTRADAS-BASE'!I176="","",'ENTRADAS-BASE'!I176)</f>
        <v/>
      </c>
      <c r="K178" s="5" t="str">
        <f>IF('ENTRADAS-BASE'!J176="","",'ENTRADAS-BASE'!J176)</f>
        <v/>
      </c>
      <c r="L1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9" spans="2:12" x14ac:dyDescent="0.3">
      <c r="B179" t="str">
        <f>IF('ENTRADAS-BASE'!A177="","",'ENTRADAS-BASE'!A177)</f>
        <v/>
      </c>
      <c r="C179" t="str">
        <f>IF('ENTRADAS-BASE'!B177="","",'ENTRADAS-BASE'!B177)</f>
        <v/>
      </c>
      <c r="D179" t="str">
        <f>IF('ENTRADAS-BASE'!C177="","",'ENTRADAS-BASE'!C177)</f>
        <v/>
      </c>
      <c r="E179" s="7" t="str">
        <f>IF('ENTRADAS-BASE'!D177="","",'ENTRADAS-BASE'!D177)</f>
        <v/>
      </c>
      <c r="F179" s="6" t="str">
        <f>IF('ENTRADAS-BASE'!E177="","",'ENTRADAS-BASE'!E177)</f>
        <v/>
      </c>
      <c r="G179" t="str">
        <f>IF('ENTRADAS-BASE'!F177="","",'ENTRADAS-BASE'!F177)</f>
        <v/>
      </c>
      <c r="H179" t="str">
        <f>IF('ENTRADAS-BASE'!G177="","",'ENTRADAS-BASE'!G177)</f>
        <v/>
      </c>
      <c r="I179" t="str">
        <f>IF('ENTRADAS-BASE'!H177="","",'ENTRADAS-BASE'!H177)</f>
        <v/>
      </c>
      <c r="J179" t="str">
        <f>IF('ENTRADAS-BASE'!I177="","",'ENTRADAS-BASE'!I177)</f>
        <v/>
      </c>
      <c r="K179" s="5" t="str">
        <f>IF('ENTRADAS-BASE'!J177="","",'ENTRADAS-BASE'!J177)</f>
        <v/>
      </c>
      <c r="L1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0" spans="2:12" x14ac:dyDescent="0.3">
      <c r="B180" t="str">
        <f>IF('ENTRADAS-BASE'!A178="","",'ENTRADAS-BASE'!A178)</f>
        <v/>
      </c>
      <c r="C180" t="str">
        <f>IF('ENTRADAS-BASE'!B178="","",'ENTRADAS-BASE'!B178)</f>
        <v/>
      </c>
      <c r="D180" t="str">
        <f>IF('ENTRADAS-BASE'!C178="","",'ENTRADAS-BASE'!C178)</f>
        <v/>
      </c>
      <c r="E180" s="7" t="str">
        <f>IF('ENTRADAS-BASE'!D178="","",'ENTRADAS-BASE'!D178)</f>
        <v/>
      </c>
      <c r="F180" s="6" t="str">
        <f>IF('ENTRADAS-BASE'!E178="","",'ENTRADAS-BASE'!E178)</f>
        <v/>
      </c>
      <c r="G180" t="str">
        <f>IF('ENTRADAS-BASE'!F178="","",'ENTRADAS-BASE'!F178)</f>
        <v/>
      </c>
      <c r="H180" t="str">
        <f>IF('ENTRADAS-BASE'!G178="","",'ENTRADAS-BASE'!G178)</f>
        <v/>
      </c>
      <c r="I180" t="str">
        <f>IF('ENTRADAS-BASE'!H178="","",'ENTRADAS-BASE'!H178)</f>
        <v/>
      </c>
      <c r="J180" t="str">
        <f>IF('ENTRADAS-BASE'!I178="","",'ENTRADAS-BASE'!I178)</f>
        <v/>
      </c>
      <c r="K180" s="5" t="str">
        <f>IF('ENTRADAS-BASE'!J178="","",'ENTRADAS-BASE'!J178)</f>
        <v/>
      </c>
      <c r="L1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1" spans="2:12" x14ac:dyDescent="0.3">
      <c r="B181" t="str">
        <f>IF('ENTRADAS-BASE'!A179="","",'ENTRADAS-BASE'!A179)</f>
        <v/>
      </c>
      <c r="C181" t="str">
        <f>IF('ENTRADAS-BASE'!B179="","",'ENTRADAS-BASE'!B179)</f>
        <v/>
      </c>
      <c r="D181" t="str">
        <f>IF('ENTRADAS-BASE'!C179="","",'ENTRADAS-BASE'!C179)</f>
        <v/>
      </c>
      <c r="E181" s="7" t="str">
        <f>IF('ENTRADAS-BASE'!D179="","",'ENTRADAS-BASE'!D179)</f>
        <v/>
      </c>
      <c r="F181" s="6" t="str">
        <f>IF('ENTRADAS-BASE'!E179="","",'ENTRADAS-BASE'!E179)</f>
        <v/>
      </c>
      <c r="G181" t="str">
        <f>IF('ENTRADAS-BASE'!F179="","",'ENTRADAS-BASE'!F179)</f>
        <v/>
      </c>
      <c r="H181" t="str">
        <f>IF('ENTRADAS-BASE'!G179="","",'ENTRADAS-BASE'!G179)</f>
        <v/>
      </c>
      <c r="I181" t="str">
        <f>IF('ENTRADAS-BASE'!H179="","",'ENTRADAS-BASE'!H179)</f>
        <v/>
      </c>
      <c r="J181" t="str">
        <f>IF('ENTRADAS-BASE'!I179="","",'ENTRADAS-BASE'!I179)</f>
        <v/>
      </c>
      <c r="K181" s="5" t="str">
        <f>IF('ENTRADAS-BASE'!J179="","",'ENTRADAS-BASE'!J179)</f>
        <v/>
      </c>
      <c r="L1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2" spans="2:12" x14ac:dyDescent="0.3">
      <c r="B182" t="str">
        <f>IF('ENTRADAS-BASE'!A180="","",'ENTRADAS-BASE'!A180)</f>
        <v/>
      </c>
      <c r="C182" t="str">
        <f>IF('ENTRADAS-BASE'!B180="","",'ENTRADAS-BASE'!B180)</f>
        <v/>
      </c>
      <c r="D182" t="str">
        <f>IF('ENTRADAS-BASE'!C180="","",'ENTRADAS-BASE'!C180)</f>
        <v/>
      </c>
      <c r="E182" s="7" t="str">
        <f>IF('ENTRADAS-BASE'!D180="","",'ENTRADAS-BASE'!D180)</f>
        <v/>
      </c>
      <c r="F182" s="6" t="str">
        <f>IF('ENTRADAS-BASE'!E180="","",'ENTRADAS-BASE'!E180)</f>
        <v/>
      </c>
      <c r="G182" t="str">
        <f>IF('ENTRADAS-BASE'!F180="","",'ENTRADAS-BASE'!F180)</f>
        <v/>
      </c>
      <c r="H182" t="str">
        <f>IF('ENTRADAS-BASE'!G180="","",'ENTRADAS-BASE'!G180)</f>
        <v/>
      </c>
      <c r="I182" t="str">
        <f>IF('ENTRADAS-BASE'!H180="","",'ENTRADAS-BASE'!H180)</f>
        <v/>
      </c>
      <c r="J182" t="str">
        <f>IF('ENTRADAS-BASE'!I180="","",'ENTRADAS-BASE'!I180)</f>
        <v/>
      </c>
      <c r="K182" s="5" t="str">
        <f>IF('ENTRADAS-BASE'!J180="","",'ENTRADAS-BASE'!J180)</f>
        <v/>
      </c>
      <c r="L1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3" spans="2:12" x14ac:dyDescent="0.3">
      <c r="B183" t="str">
        <f>IF('ENTRADAS-BASE'!A181="","",'ENTRADAS-BASE'!A181)</f>
        <v/>
      </c>
      <c r="C183" t="str">
        <f>IF('ENTRADAS-BASE'!B181="","",'ENTRADAS-BASE'!B181)</f>
        <v/>
      </c>
      <c r="D183" t="str">
        <f>IF('ENTRADAS-BASE'!C181="","",'ENTRADAS-BASE'!C181)</f>
        <v/>
      </c>
      <c r="E183" s="7" t="str">
        <f>IF('ENTRADAS-BASE'!D181="","",'ENTRADAS-BASE'!D181)</f>
        <v/>
      </c>
      <c r="F183" s="6" t="str">
        <f>IF('ENTRADAS-BASE'!E181="","",'ENTRADAS-BASE'!E181)</f>
        <v/>
      </c>
      <c r="G183" t="str">
        <f>IF('ENTRADAS-BASE'!F181="","",'ENTRADAS-BASE'!F181)</f>
        <v/>
      </c>
      <c r="H183" t="str">
        <f>IF('ENTRADAS-BASE'!G181="","",'ENTRADAS-BASE'!G181)</f>
        <v/>
      </c>
      <c r="I183" t="str">
        <f>IF('ENTRADAS-BASE'!H181="","",'ENTRADAS-BASE'!H181)</f>
        <v/>
      </c>
      <c r="J183" t="str">
        <f>IF('ENTRADAS-BASE'!I181="","",'ENTRADAS-BASE'!I181)</f>
        <v/>
      </c>
      <c r="K183" s="5" t="str">
        <f>IF('ENTRADAS-BASE'!J181="","",'ENTRADAS-BASE'!J181)</f>
        <v/>
      </c>
      <c r="L1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4" spans="2:12" x14ac:dyDescent="0.3">
      <c r="B184" t="str">
        <f>IF('ENTRADAS-BASE'!A182="","",'ENTRADAS-BASE'!A182)</f>
        <v/>
      </c>
      <c r="C184" t="str">
        <f>IF('ENTRADAS-BASE'!B182="","",'ENTRADAS-BASE'!B182)</f>
        <v/>
      </c>
      <c r="D184" t="str">
        <f>IF('ENTRADAS-BASE'!C182="","",'ENTRADAS-BASE'!C182)</f>
        <v/>
      </c>
      <c r="E184" s="7" t="str">
        <f>IF('ENTRADAS-BASE'!D182="","",'ENTRADAS-BASE'!D182)</f>
        <v/>
      </c>
      <c r="F184" s="6" t="str">
        <f>IF('ENTRADAS-BASE'!E182="","",'ENTRADAS-BASE'!E182)</f>
        <v/>
      </c>
      <c r="G184" t="str">
        <f>IF('ENTRADAS-BASE'!F182="","",'ENTRADAS-BASE'!F182)</f>
        <v/>
      </c>
      <c r="H184" t="str">
        <f>IF('ENTRADAS-BASE'!G182="","",'ENTRADAS-BASE'!G182)</f>
        <v/>
      </c>
      <c r="I184" t="str">
        <f>IF('ENTRADAS-BASE'!H182="","",'ENTRADAS-BASE'!H182)</f>
        <v/>
      </c>
      <c r="J184" t="str">
        <f>IF('ENTRADAS-BASE'!I182="","",'ENTRADAS-BASE'!I182)</f>
        <v/>
      </c>
      <c r="K184" s="5" t="str">
        <f>IF('ENTRADAS-BASE'!J182="","",'ENTRADAS-BASE'!J182)</f>
        <v/>
      </c>
      <c r="L1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5" spans="2:12" x14ac:dyDescent="0.3">
      <c r="B185" t="str">
        <f>IF('ENTRADAS-BASE'!A183="","",'ENTRADAS-BASE'!A183)</f>
        <v/>
      </c>
      <c r="C185" t="str">
        <f>IF('ENTRADAS-BASE'!B183="","",'ENTRADAS-BASE'!B183)</f>
        <v/>
      </c>
      <c r="D185" t="str">
        <f>IF('ENTRADAS-BASE'!C183="","",'ENTRADAS-BASE'!C183)</f>
        <v/>
      </c>
      <c r="E185" s="7" t="str">
        <f>IF('ENTRADAS-BASE'!D183="","",'ENTRADAS-BASE'!D183)</f>
        <v/>
      </c>
      <c r="F185" s="6" t="str">
        <f>IF('ENTRADAS-BASE'!E183="","",'ENTRADAS-BASE'!E183)</f>
        <v/>
      </c>
      <c r="G185" t="str">
        <f>IF('ENTRADAS-BASE'!F183="","",'ENTRADAS-BASE'!F183)</f>
        <v/>
      </c>
      <c r="H185" t="str">
        <f>IF('ENTRADAS-BASE'!G183="","",'ENTRADAS-BASE'!G183)</f>
        <v/>
      </c>
      <c r="I185" t="str">
        <f>IF('ENTRADAS-BASE'!H183="","",'ENTRADAS-BASE'!H183)</f>
        <v/>
      </c>
      <c r="J185" t="str">
        <f>IF('ENTRADAS-BASE'!I183="","",'ENTRADAS-BASE'!I183)</f>
        <v/>
      </c>
      <c r="K185" s="5" t="str">
        <f>IF('ENTRADAS-BASE'!J183="","",'ENTRADAS-BASE'!J183)</f>
        <v/>
      </c>
      <c r="L1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6" spans="2:12" x14ac:dyDescent="0.3">
      <c r="B186" t="str">
        <f>IF('ENTRADAS-BASE'!A184="","",'ENTRADAS-BASE'!A184)</f>
        <v/>
      </c>
      <c r="C186" t="str">
        <f>IF('ENTRADAS-BASE'!B184="","",'ENTRADAS-BASE'!B184)</f>
        <v/>
      </c>
      <c r="D186" t="str">
        <f>IF('ENTRADAS-BASE'!C184="","",'ENTRADAS-BASE'!C184)</f>
        <v/>
      </c>
      <c r="E186" s="7" t="str">
        <f>IF('ENTRADAS-BASE'!D184="","",'ENTRADAS-BASE'!D184)</f>
        <v/>
      </c>
      <c r="F186" s="6" t="str">
        <f>IF('ENTRADAS-BASE'!E184="","",'ENTRADAS-BASE'!E184)</f>
        <v/>
      </c>
      <c r="G186" t="str">
        <f>IF('ENTRADAS-BASE'!F184="","",'ENTRADAS-BASE'!F184)</f>
        <v/>
      </c>
      <c r="H186" t="str">
        <f>IF('ENTRADAS-BASE'!G184="","",'ENTRADAS-BASE'!G184)</f>
        <v/>
      </c>
      <c r="I186" t="str">
        <f>IF('ENTRADAS-BASE'!H184="","",'ENTRADAS-BASE'!H184)</f>
        <v/>
      </c>
      <c r="J186" t="str">
        <f>IF('ENTRADAS-BASE'!I184="","",'ENTRADAS-BASE'!I184)</f>
        <v/>
      </c>
      <c r="K186" s="5" t="str">
        <f>IF('ENTRADAS-BASE'!J184="","",'ENTRADAS-BASE'!J184)</f>
        <v/>
      </c>
      <c r="L1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7" spans="2:12" x14ac:dyDescent="0.3">
      <c r="B187" t="str">
        <f>IF('ENTRADAS-BASE'!A185="","",'ENTRADAS-BASE'!A185)</f>
        <v/>
      </c>
      <c r="C187" t="str">
        <f>IF('ENTRADAS-BASE'!B185="","",'ENTRADAS-BASE'!B185)</f>
        <v/>
      </c>
      <c r="D187" t="str">
        <f>IF('ENTRADAS-BASE'!C185="","",'ENTRADAS-BASE'!C185)</f>
        <v/>
      </c>
      <c r="E187" s="7" t="str">
        <f>IF('ENTRADAS-BASE'!D185="","",'ENTRADAS-BASE'!D185)</f>
        <v/>
      </c>
      <c r="F187" s="6" t="str">
        <f>IF('ENTRADAS-BASE'!E185="","",'ENTRADAS-BASE'!E185)</f>
        <v/>
      </c>
      <c r="G187" t="str">
        <f>IF('ENTRADAS-BASE'!F185="","",'ENTRADAS-BASE'!F185)</f>
        <v/>
      </c>
      <c r="H187" t="str">
        <f>IF('ENTRADAS-BASE'!G185="","",'ENTRADAS-BASE'!G185)</f>
        <v/>
      </c>
      <c r="I187" t="str">
        <f>IF('ENTRADAS-BASE'!H185="","",'ENTRADAS-BASE'!H185)</f>
        <v/>
      </c>
      <c r="J187" t="str">
        <f>IF('ENTRADAS-BASE'!I185="","",'ENTRADAS-BASE'!I185)</f>
        <v/>
      </c>
      <c r="K187" s="5" t="str">
        <f>IF('ENTRADAS-BASE'!J185="","",'ENTRADAS-BASE'!J185)</f>
        <v/>
      </c>
      <c r="L1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8" spans="2:12" x14ac:dyDescent="0.3">
      <c r="B188" t="str">
        <f>IF('ENTRADAS-BASE'!A186="","",'ENTRADAS-BASE'!A186)</f>
        <v/>
      </c>
      <c r="C188" t="str">
        <f>IF('ENTRADAS-BASE'!B186="","",'ENTRADAS-BASE'!B186)</f>
        <v/>
      </c>
      <c r="D188" t="str">
        <f>IF('ENTRADAS-BASE'!C186="","",'ENTRADAS-BASE'!C186)</f>
        <v/>
      </c>
      <c r="E188" s="7" t="str">
        <f>IF('ENTRADAS-BASE'!D186="","",'ENTRADAS-BASE'!D186)</f>
        <v/>
      </c>
      <c r="F188" s="6" t="str">
        <f>IF('ENTRADAS-BASE'!E186="","",'ENTRADAS-BASE'!E186)</f>
        <v/>
      </c>
      <c r="G188" t="str">
        <f>IF('ENTRADAS-BASE'!F186="","",'ENTRADAS-BASE'!F186)</f>
        <v/>
      </c>
      <c r="H188" t="str">
        <f>IF('ENTRADAS-BASE'!G186="","",'ENTRADAS-BASE'!G186)</f>
        <v/>
      </c>
      <c r="I188" t="str">
        <f>IF('ENTRADAS-BASE'!H186="","",'ENTRADAS-BASE'!H186)</f>
        <v/>
      </c>
      <c r="J188" t="str">
        <f>IF('ENTRADAS-BASE'!I186="","",'ENTRADAS-BASE'!I186)</f>
        <v/>
      </c>
      <c r="K188" s="5" t="str">
        <f>IF('ENTRADAS-BASE'!J186="","",'ENTRADAS-BASE'!J186)</f>
        <v/>
      </c>
      <c r="L1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9" spans="2:12" x14ac:dyDescent="0.3">
      <c r="B189" t="str">
        <f>IF('ENTRADAS-BASE'!A187="","",'ENTRADAS-BASE'!A187)</f>
        <v/>
      </c>
      <c r="C189" t="str">
        <f>IF('ENTRADAS-BASE'!B187="","",'ENTRADAS-BASE'!B187)</f>
        <v/>
      </c>
      <c r="D189" t="str">
        <f>IF('ENTRADAS-BASE'!C187="","",'ENTRADAS-BASE'!C187)</f>
        <v/>
      </c>
      <c r="E189" s="7" t="str">
        <f>IF('ENTRADAS-BASE'!D187="","",'ENTRADAS-BASE'!D187)</f>
        <v/>
      </c>
      <c r="F189" s="6" t="str">
        <f>IF('ENTRADAS-BASE'!E187="","",'ENTRADAS-BASE'!E187)</f>
        <v/>
      </c>
      <c r="G189" t="str">
        <f>IF('ENTRADAS-BASE'!F187="","",'ENTRADAS-BASE'!F187)</f>
        <v/>
      </c>
      <c r="H189" t="str">
        <f>IF('ENTRADAS-BASE'!G187="","",'ENTRADAS-BASE'!G187)</f>
        <v/>
      </c>
      <c r="I189" t="str">
        <f>IF('ENTRADAS-BASE'!H187="","",'ENTRADAS-BASE'!H187)</f>
        <v/>
      </c>
      <c r="J189" t="str">
        <f>IF('ENTRADAS-BASE'!I187="","",'ENTRADAS-BASE'!I187)</f>
        <v/>
      </c>
      <c r="K189" s="5" t="str">
        <f>IF('ENTRADAS-BASE'!J187="","",'ENTRADAS-BASE'!J187)</f>
        <v/>
      </c>
      <c r="L1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0" spans="2:12" x14ac:dyDescent="0.3">
      <c r="B190" t="str">
        <f>IF('ENTRADAS-BASE'!A188="","",'ENTRADAS-BASE'!A188)</f>
        <v/>
      </c>
      <c r="C190" t="str">
        <f>IF('ENTRADAS-BASE'!B188="","",'ENTRADAS-BASE'!B188)</f>
        <v/>
      </c>
      <c r="D190" t="str">
        <f>IF('ENTRADAS-BASE'!C188="","",'ENTRADAS-BASE'!C188)</f>
        <v/>
      </c>
      <c r="E190" s="7" t="str">
        <f>IF('ENTRADAS-BASE'!D188="","",'ENTRADAS-BASE'!D188)</f>
        <v/>
      </c>
      <c r="F190" s="6" t="str">
        <f>IF('ENTRADAS-BASE'!E188="","",'ENTRADAS-BASE'!E188)</f>
        <v/>
      </c>
      <c r="G190" t="str">
        <f>IF('ENTRADAS-BASE'!F188="","",'ENTRADAS-BASE'!F188)</f>
        <v/>
      </c>
      <c r="H190" t="str">
        <f>IF('ENTRADAS-BASE'!G188="","",'ENTRADAS-BASE'!G188)</f>
        <v/>
      </c>
      <c r="I190" t="str">
        <f>IF('ENTRADAS-BASE'!H188="","",'ENTRADAS-BASE'!H188)</f>
        <v/>
      </c>
      <c r="J190" t="str">
        <f>IF('ENTRADAS-BASE'!I188="","",'ENTRADAS-BASE'!I188)</f>
        <v/>
      </c>
      <c r="K190" s="5" t="str">
        <f>IF('ENTRADAS-BASE'!J188="","",'ENTRADAS-BASE'!J188)</f>
        <v/>
      </c>
      <c r="L1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1" spans="2:12" x14ac:dyDescent="0.3">
      <c r="B191" t="str">
        <f>IF('ENTRADAS-BASE'!A189="","",'ENTRADAS-BASE'!A189)</f>
        <v/>
      </c>
      <c r="C191" t="str">
        <f>IF('ENTRADAS-BASE'!B189="","",'ENTRADAS-BASE'!B189)</f>
        <v/>
      </c>
      <c r="D191" t="str">
        <f>IF('ENTRADAS-BASE'!C189="","",'ENTRADAS-BASE'!C189)</f>
        <v/>
      </c>
      <c r="E191" s="7" t="str">
        <f>IF('ENTRADAS-BASE'!D189="","",'ENTRADAS-BASE'!D189)</f>
        <v/>
      </c>
      <c r="F191" s="6" t="str">
        <f>IF('ENTRADAS-BASE'!E189="","",'ENTRADAS-BASE'!E189)</f>
        <v/>
      </c>
      <c r="G191" t="str">
        <f>IF('ENTRADAS-BASE'!F189="","",'ENTRADAS-BASE'!F189)</f>
        <v/>
      </c>
      <c r="H191" t="str">
        <f>IF('ENTRADAS-BASE'!G189="","",'ENTRADAS-BASE'!G189)</f>
        <v/>
      </c>
      <c r="I191" t="str">
        <f>IF('ENTRADAS-BASE'!H189="","",'ENTRADAS-BASE'!H189)</f>
        <v/>
      </c>
      <c r="J191" t="str">
        <f>IF('ENTRADAS-BASE'!I189="","",'ENTRADAS-BASE'!I189)</f>
        <v/>
      </c>
      <c r="K191" s="5" t="str">
        <f>IF('ENTRADAS-BASE'!J189="","",'ENTRADAS-BASE'!J189)</f>
        <v/>
      </c>
      <c r="L1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2" spans="2:12" x14ac:dyDescent="0.3">
      <c r="B192" t="str">
        <f>IF('ENTRADAS-BASE'!A190="","",'ENTRADAS-BASE'!A190)</f>
        <v/>
      </c>
      <c r="C192" t="str">
        <f>IF('ENTRADAS-BASE'!B190="","",'ENTRADAS-BASE'!B190)</f>
        <v/>
      </c>
      <c r="D192" t="str">
        <f>IF('ENTRADAS-BASE'!C190="","",'ENTRADAS-BASE'!C190)</f>
        <v/>
      </c>
      <c r="E192" s="7" t="str">
        <f>IF('ENTRADAS-BASE'!D190="","",'ENTRADAS-BASE'!D190)</f>
        <v/>
      </c>
      <c r="F192" s="6" t="str">
        <f>IF('ENTRADAS-BASE'!E190="","",'ENTRADAS-BASE'!E190)</f>
        <v/>
      </c>
      <c r="G192" t="str">
        <f>IF('ENTRADAS-BASE'!F190="","",'ENTRADAS-BASE'!F190)</f>
        <v/>
      </c>
      <c r="H192" t="str">
        <f>IF('ENTRADAS-BASE'!G190="","",'ENTRADAS-BASE'!G190)</f>
        <v/>
      </c>
      <c r="I192" t="str">
        <f>IF('ENTRADAS-BASE'!H190="","",'ENTRADAS-BASE'!H190)</f>
        <v/>
      </c>
      <c r="J192" t="str">
        <f>IF('ENTRADAS-BASE'!I190="","",'ENTRADAS-BASE'!I190)</f>
        <v/>
      </c>
      <c r="K192" s="5" t="str">
        <f>IF('ENTRADAS-BASE'!J190="","",'ENTRADAS-BASE'!J190)</f>
        <v/>
      </c>
      <c r="L1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3" spans="2:12" x14ac:dyDescent="0.3">
      <c r="B193" t="str">
        <f>IF('ENTRADAS-BASE'!A191="","",'ENTRADAS-BASE'!A191)</f>
        <v/>
      </c>
      <c r="C193" t="str">
        <f>IF('ENTRADAS-BASE'!B191="","",'ENTRADAS-BASE'!B191)</f>
        <v/>
      </c>
      <c r="D193" t="str">
        <f>IF('ENTRADAS-BASE'!C191="","",'ENTRADAS-BASE'!C191)</f>
        <v/>
      </c>
      <c r="E193" s="7" t="str">
        <f>IF('ENTRADAS-BASE'!D191="","",'ENTRADAS-BASE'!D191)</f>
        <v/>
      </c>
      <c r="F193" s="6" t="str">
        <f>IF('ENTRADAS-BASE'!E191="","",'ENTRADAS-BASE'!E191)</f>
        <v/>
      </c>
      <c r="G193" t="str">
        <f>IF('ENTRADAS-BASE'!F191="","",'ENTRADAS-BASE'!F191)</f>
        <v/>
      </c>
      <c r="H193" t="str">
        <f>IF('ENTRADAS-BASE'!G191="","",'ENTRADAS-BASE'!G191)</f>
        <v/>
      </c>
      <c r="I193" t="str">
        <f>IF('ENTRADAS-BASE'!H191="","",'ENTRADAS-BASE'!H191)</f>
        <v/>
      </c>
      <c r="J193" t="str">
        <f>IF('ENTRADAS-BASE'!I191="","",'ENTRADAS-BASE'!I191)</f>
        <v/>
      </c>
      <c r="K193" s="5" t="str">
        <f>IF('ENTRADAS-BASE'!J191="","",'ENTRADAS-BASE'!J191)</f>
        <v/>
      </c>
      <c r="L1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4" spans="2:12" x14ac:dyDescent="0.3">
      <c r="B194" t="str">
        <f>IF('ENTRADAS-BASE'!A192="","",'ENTRADAS-BASE'!A192)</f>
        <v/>
      </c>
      <c r="C194" t="str">
        <f>IF('ENTRADAS-BASE'!B192="","",'ENTRADAS-BASE'!B192)</f>
        <v/>
      </c>
      <c r="D194" t="str">
        <f>IF('ENTRADAS-BASE'!C192="","",'ENTRADAS-BASE'!C192)</f>
        <v/>
      </c>
      <c r="E194" s="7" t="str">
        <f>IF('ENTRADAS-BASE'!D192="","",'ENTRADAS-BASE'!D192)</f>
        <v/>
      </c>
      <c r="F194" s="6" t="str">
        <f>IF('ENTRADAS-BASE'!E192="","",'ENTRADAS-BASE'!E192)</f>
        <v/>
      </c>
      <c r="G194" t="str">
        <f>IF('ENTRADAS-BASE'!F192="","",'ENTRADAS-BASE'!F192)</f>
        <v/>
      </c>
      <c r="H194" t="str">
        <f>IF('ENTRADAS-BASE'!G192="","",'ENTRADAS-BASE'!G192)</f>
        <v/>
      </c>
      <c r="I194" t="str">
        <f>IF('ENTRADAS-BASE'!H192="","",'ENTRADAS-BASE'!H192)</f>
        <v/>
      </c>
      <c r="J194" t="str">
        <f>IF('ENTRADAS-BASE'!I192="","",'ENTRADAS-BASE'!I192)</f>
        <v/>
      </c>
      <c r="K194" s="5" t="str">
        <f>IF('ENTRADAS-BASE'!J192="","",'ENTRADAS-BASE'!J192)</f>
        <v/>
      </c>
      <c r="L1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5" spans="2:12" x14ac:dyDescent="0.3">
      <c r="B195" t="str">
        <f>IF('ENTRADAS-BASE'!A193="","",'ENTRADAS-BASE'!A193)</f>
        <v/>
      </c>
      <c r="C195" t="str">
        <f>IF('ENTRADAS-BASE'!B193="","",'ENTRADAS-BASE'!B193)</f>
        <v/>
      </c>
      <c r="D195" t="str">
        <f>IF('ENTRADAS-BASE'!C193="","",'ENTRADAS-BASE'!C193)</f>
        <v/>
      </c>
      <c r="E195" s="7" t="str">
        <f>IF('ENTRADAS-BASE'!D193="","",'ENTRADAS-BASE'!D193)</f>
        <v/>
      </c>
      <c r="F195" s="6" t="str">
        <f>IF('ENTRADAS-BASE'!E193="","",'ENTRADAS-BASE'!E193)</f>
        <v/>
      </c>
      <c r="G195" t="str">
        <f>IF('ENTRADAS-BASE'!F193="","",'ENTRADAS-BASE'!F193)</f>
        <v/>
      </c>
      <c r="H195" t="str">
        <f>IF('ENTRADAS-BASE'!G193="","",'ENTRADAS-BASE'!G193)</f>
        <v/>
      </c>
      <c r="I195" t="str">
        <f>IF('ENTRADAS-BASE'!H193="","",'ENTRADAS-BASE'!H193)</f>
        <v/>
      </c>
      <c r="J195" t="str">
        <f>IF('ENTRADAS-BASE'!I193="","",'ENTRADAS-BASE'!I193)</f>
        <v/>
      </c>
      <c r="K195" s="5" t="str">
        <f>IF('ENTRADAS-BASE'!J193="","",'ENTRADAS-BASE'!J193)</f>
        <v/>
      </c>
      <c r="L1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6" spans="2:12" x14ac:dyDescent="0.3">
      <c r="B196" t="str">
        <f>IF('ENTRADAS-BASE'!A194="","",'ENTRADAS-BASE'!A194)</f>
        <v/>
      </c>
      <c r="C196" t="str">
        <f>IF('ENTRADAS-BASE'!B194="","",'ENTRADAS-BASE'!B194)</f>
        <v/>
      </c>
      <c r="D196" t="str">
        <f>IF('ENTRADAS-BASE'!C194="","",'ENTRADAS-BASE'!C194)</f>
        <v/>
      </c>
      <c r="E196" s="7" t="str">
        <f>IF('ENTRADAS-BASE'!D194="","",'ENTRADAS-BASE'!D194)</f>
        <v/>
      </c>
      <c r="F196" s="6" t="str">
        <f>IF('ENTRADAS-BASE'!E194="","",'ENTRADAS-BASE'!E194)</f>
        <v/>
      </c>
      <c r="G196" t="str">
        <f>IF('ENTRADAS-BASE'!F194="","",'ENTRADAS-BASE'!F194)</f>
        <v/>
      </c>
      <c r="H196" t="str">
        <f>IF('ENTRADAS-BASE'!G194="","",'ENTRADAS-BASE'!G194)</f>
        <v/>
      </c>
      <c r="I196" t="str">
        <f>IF('ENTRADAS-BASE'!H194="","",'ENTRADAS-BASE'!H194)</f>
        <v/>
      </c>
      <c r="J196" t="str">
        <f>IF('ENTRADAS-BASE'!I194="","",'ENTRADAS-BASE'!I194)</f>
        <v/>
      </c>
      <c r="K196" s="5" t="str">
        <f>IF('ENTRADAS-BASE'!J194="","",'ENTRADAS-BASE'!J194)</f>
        <v/>
      </c>
      <c r="L1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7" spans="2:12" x14ac:dyDescent="0.3">
      <c r="B197" t="str">
        <f>IF('ENTRADAS-BASE'!A195="","",'ENTRADAS-BASE'!A195)</f>
        <v/>
      </c>
      <c r="C197" t="str">
        <f>IF('ENTRADAS-BASE'!B195="","",'ENTRADAS-BASE'!B195)</f>
        <v/>
      </c>
      <c r="D197" t="str">
        <f>IF('ENTRADAS-BASE'!C195="","",'ENTRADAS-BASE'!C195)</f>
        <v/>
      </c>
      <c r="E197" s="7" t="str">
        <f>IF('ENTRADAS-BASE'!D195="","",'ENTRADAS-BASE'!D195)</f>
        <v/>
      </c>
      <c r="F197" s="6" t="str">
        <f>IF('ENTRADAS-BASE'!E195="","",'ENTRADAS-BASE'!E195)</f>
        <v/>
      </c>
      <c r="G197" t="str">
        <f>IF('ENTRADAS-BASE'!F195="","",'ENTRADAS-BASE'!F195)</f>
        <v/>
      </c>
      <c r="H197" t="str">
        <f>IF('ENTRADAS-BASE'!G195="","",'ENTRADAS-BASE'!G195)</f>
        <v/>
      </c>
      <c r="I197" t="str">
        <f>IF('ENTRADAS-BASE'!H195="","",'ENTRADAS-BASE'!H195)</f>
        <v/>
      </c>
      <c r="J197" t="str">
        <f>IF('ENTRADAS-BASE'!I195="","",'ENTRADAS-BASE'!I195)</f>
        <v/>
      </c>
      <c r="K197" s="5" t="str">
        <f>IF('ENTRADAS-BASE'!J195="","",'ENTRADAS-BASE'!J195)</f>
        <v/>
      </c>
      <c r="L1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8" spans="2:12" x14ac:dyDescent="0.3">
      <c r="B198" t="str">
        <f>IF('ENTRADAS-BASE'!A196="","",'ENTRADAS-BASE'!A196)</f>
        <v/>
      </c>
      <c r="C198" t="str">
        <f>IF('ENTRADAS-BASE'!B196="","",'ENTRADAS-BASE'!B196)</f>
        <v/>
      </c>
      <c r="D198" t="str">
        <f>IF('ENTRADAS-BASE'!C196="","",'ENTRADAS-BASE'!C196)</f>
        <v/>
      </c>
      <c r="E198" s="7" t="str">
        <f>IF('ENTRADAS-BASE'!D196="","",'ENTRADAS-BASE'!D196)</f>
        <v/>
      </c>
      <c r="F198" s="6" t="str">
        <f>IF('ENTRADAS-BASE'!E196="","",'ENTRADAS-BASE'!E196)</f>
        <v/>
      </c>
      <c r="G198" t="str">
        <f>IF('ENTRADAS-BASE'!F196="","",'ENTRADAS-BASE'!F196)</f>
        <v/>
      </c>
      <c r="H198" t="str">
        <f>IF('ENTRADAS-BASE'!G196="","",'ENTRADAS-BASE'!G196)</f>
        <v/>
      </c>
      <c r="I198" t="str">
        <f>IF('ENTRADAS-BASE'!H196="","",'ENTRADAS-BASE'!H196)</f>
        <v/>
      </c>
      <c r="J198" t="str">
        <f>IF('ENTRADAS-BASE'!I196="","",'ENTRADAS-BASE'!I196)</f>
        <v/>
      </c>
      <c r="K198" s="5" t="str">
        <f>IF('ENTRADAS-BASE'!J196="","",'ENTRADAS-BASE'!J196)</f>
        <v/>
      </c>
      <c r="L1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9" spans="2:12" x14ac:dyDescent="0.3">
      <c r="B199" t="str">
        <f>IF('ENTRADAS-BASE'!A197="","",'ENTRADAS-BASE'!A197)</f>
        <v/>
      </c>
      <c r="C199" t="str">
        <f>IF('ENTRADAS-BASE'!B197="","",'ENTRADAS-BASE'!B197)</f>
        <v/>
      </c>
      <c r="D199" t="str">
        <f>IF('ENTRADAS-BASE'!C197="","",'ENTRADAS-BASE'!C197)</f>
        <v/>
      </c>
      <c r="E199" s="7" t="str">
        <f>IF('ENTRADAS-BASE'!D197="","",'ENTRADAS-BASE'!D197)</f>
        <v/>
      </c>
      <c r="F199" s="6" t="str">
        <f>IF('ENTRADAS-BASE'!E197="","",'ENTRADAS-BASE'!E197)</f>
        <v/>
      </c>
      <c r="G199" t="str">
        <f>IF('ENTRADAS-BASE'!F197="","",'ENTRADAS-BASE'!F197)</f>
        <v/>
      </c>
      <c r="H199" t="str">
        <f>IF('ENTRADAS-BASE'!G197="","",'ENTRADAS-BASE'!G197)</f>
        <v/>
      </c>
      <c r="I199" t="str">
        <f>IF('ENTRADAS-BASE'!H197="","",'ENTRADAS-BASE'!H197)</f>
        <v/>
      </c>
      <c r="J199" t="str">
        <f>IF('ENTRADAS-BASE'!I197="","",'ENTRADAS-BASE'!I197)</f>
        <v/>
      </c>
      <c r="K199" s="5" t="str">
        <f>IF('ENTRADAS-BASE'!J197="","",'ENTRADAS-BASE'!J197)</f>
        <v/>
      </c>
      <c r="L1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0" spans="2:12" x14ac:dyDescent="0.3">
      <c r="B200" t="str">
        <f>IF('ENTRADAS-BASE'!A198="","",'ENTRADAS-BASE'!A198)</f>
        <v/>
      </c>
      <c r="C200" t="str">
        <f>IF('ENTRADAS-BASE'!B198="","",'ENTRADAS-BASE'!B198)</f>
        <v/>
      </c>
      <c r="D200" t="str">
        <f>IF('ENTRADAS-BASE'!C198="","",'ENTRADAS-BASE'!C198)</f>
        <v/>
      </c>
      <c r="E200" s="7" t="str">
        <f>IF('ENTRADAS-BASE'!D198="","",'ENTRADAS-BASE'!D198)</f>
        <v/>
      </c>
      <c r="F200" s="6" t="str">
        <f>IF('ENTRADAS-BASE'!E198="","",'ENTRADAS-BASE'!E198)</f>
        <v/>
      </c>
      <c r="G200" t="str">
        <f>IF('ENTRADAS-BASE'!F198="","",'ENTRADAS-BASE'!F198)</f>
        <v/>
      </c>
      <c r="H200" t="str">
        <f>IF('ENTRADAS-BASE'!G198="","",'ENTRADAS-BASE'!G198)</f>
        <v/>
      </c>
      <c r="I200" t="str">
        <f>IF('ENTRADAS-BASE'!H198="","",'ENTRADAS-BASE'!H198)</f>
        <v/>
      </c>
      <c r="J200" t="str">
        <f>IF('ENTRADAS-BASE'!I198="","",'ENTRADAS-BASE'!I198)</f>
        <v/>
      </c>
      <c r="K200" s="5" t="str">
        <f>IF('ENTRADAS-BASE'!J198="","",'ENTRADAS-BASE'!J198)</f>
        <v/>
      </c>
      <c r="L2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1" spans="2:12" x14ac:dyDescent="0.3">
      <c r="B201" t="str">
        <f>IF('ENTRADAS-BASE'!A199="","",'ENTRADAS-BASE'!A199)</f>
        <v/>
      </c>
      <c r="C201" t="str">
        <f>IF('ENTRADAS-BASE'!B199="","",'ENTRADAS-BASE'!B199)</f>
        <v/>
      </c>
      <c r="D201" t="str">
        <f>IF('ENTRADAS-BASE'!C199="","",'ENTRADAS-BASE'!C199)</f>
        <v/>
      </c>
      <c r="E201" s="7" t="str">
        <f>IF('ENTRADAS-BASE'!D199="","",'ENTRADAS-BASE'!D199)</f>
        <v/>
      </c>
      <c r="F201" s="6" t="str">
        <f>IF('ENTRADAS-BASE'!E199="","",'ENTRADAS-BASE'!E199)</f>
        <v/>
      </c>
      <c r="G201" t="str">
        <f>IF('ENTRADAS-BASE'!F199="","",'ENTRADAS-BASE'!F199)</f>
        <v/>
      </c>
      <c r="H201" t="str">
        <f>IF('ENTRADAS-BASE'!G199="","",'ENTRADAS-BASE'!G199)</f>
        <v/>
      </c>
      <c r="I201" t="str">
        <f>IF('ENTRADAS-BASE'!H199="","",'ENTRADAS-BASE'!H199)</f>
        <v/>
      </c>
      <c r="J201" t="str">
        <f>IF('ENTRADAS-BASE'!I199="","",'ENTRADAS-BASE'!I199)</f>
        <v/>
      </c>
      <c r="K201" s="5" t="str">
        <f>IF('ENTRADAS-BASE'!J199="","",'ENTRADAS-BASE'!J199)</f>
        <v/>
      </c>
      <c r="L2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2" spans="2:12" x14ac:dyDescent="0.3">
      <c r="B202" t="str">
        <f>IF('ENTRADAS-BASE'!A200="","",'ENTRADAS-BASE'!A200)</f>
        <v/>
      </c>
      <c r="C202" t="str">
        <f>IF('ENTRADAS-BASE'!B200="","",'ENTRADAS-BASE'!B200)</f>
        <v/>
      </c>
      <c r="D202" t="str">
        <f>IF('ENTRADAS-BASE'!C200="","",'ENTRADAS-BASE'!C200)</f>
        <v/>
      </c>
      <c r="E202" s="7" t="str">
        <f>IF('ENTRADAS-BASE'!D200="","",'ENTRADAS-BASE'!D200)</f>
        <v/>
      </c>
      <c r="F202" s="6" t="str">
        <f>IF('ENTRADAS-BASE'!E200="","",'ENTRADAS-BASE'!E200)</f>
        <v/>
      </c>
      <c r="G202" t="str">
        <f>IF('ENTRADAS-BASE'!F200="","",'ENTRADAS-BASE'!F200)</f>
        <v/>
      </c>
      <c r="H202" t="str">
        <f>IF('ENTRADAS-BASE'!G200="","",'ENTRADAS-BASE'!G200)</f>
        <v/>
      </c>
      <c r="I202" t="str">
        <f>IF('ENTRADAS-BASE'!H200="","",'ENTRADAS-BASE'!H200)</f>
        <v/>
      </c>
      <c r="J202" t="str">
        <f>IF('ENTRADAS-BASE'!I200="","",'ENTRADAS-BASE'!I200)</f>
        <v/>
      </c>
      <c r="K202" s="5" t="str">
        <f>IF('ENTRADAS-BASE'!J200="","",'ENTRADAS-BASE'!J200)</f>
        <v/>
      </c>
      <c r="L2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3" spans="2:12" x14ac:dyDescent="0.3">
      <c r="B203" t="str">
        <f>IF('ENTRADAS-BASE'!A201="","",'ENTRADAS-BASE'!A201)</f>
        <v/>
      </c>
      <c r="C203" t="str">
        <f>IF('ENTRADAS-BASE'!B201="","",'ENTRADAS-BASE'!B201)</f>
        <v/>
      </c>
      <c r="D203" t="str">
        <f>IF('ENTRADAS-BASE'!C201="","",'ENTRADAS-BASE'!C201)</f>
        <v/>
      </c>
      <c r="E203" s="7" t="str">
        <f>IF('ENTRADAS-BASE'!D201="","",'ENTRADAS-BASE'!D201)</f>
        <v/>
      </c>
      <c r="F203" s="6" t="str">
        <f>IF('ENTRADAS-BASE'!E201="","",'ENTRADAS-BASE'!E201)</f>
        <v/>
      </c>
      <c r="G203" t="str">
        <f>IF('ENTRADAS-BASE'!F201="","",'ENTRADAS-BASE'!F201)</f>
        <v/>
      </c>
      <c r="H203" t="str">
        <f>IF('ENTRADAS-BASE'!G201="","",'ENTRADAS-BASE'!G201)</f>
        <v/>
      </c>
      <c r="I203" t="str">
        <f>IF('ENTRADAS-BASE'!H201="","",'ENTRADAS-BASE'!H201)</f>
        <v/>
      </c>
      <c r="J203" t="str">
        <f>IF('ENTRADAS-BASE'!I201="","",'ENTRADAS-BASE'!I201)</f>
        <v/>
      </c>
      <c r="K203" s="5" t="str">
        <f>IF('ENTRADAS-BASE'!J201="","",'ENTRADAS-BASE'!J201)</f>
        <v/>
      </c>
      <c r="L2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4" spans="2:12" x14ac:dyDescent="0.3">
      <c r="B204" t="str">
        <f>IF('ENTRADAS-BASE'!A202="","",'ENTRADAS-BASE'!A202)</f>
        <v/>
      </c>
      <c r="C204" t="str">
        <f>IF('ENTRADAS-BASE'!B202="","",'ENTRADAS-BASE'!B202)</f>
        <v/>
      </c>
      <c r="D204" t="str">
        <f>IF('ENTRADAS-BASE'!C202="","",'ENTRADAS-BASE'!C202)</f>
        <v/>
      </c>
      <c r="E204" s="7" t="str">
        <f>IF('ENTRADAS-BASE'!D202="","",'ENTRADAS-BASE'!D202)</f>
        <v/>
      </c>
      <c r="F204" s="6" t="str">
        <f>IF('ENTRADAS-BASE'!E202="","",'ENTRADAS-BASE'!E202)</f>
        <v/>
      </c>
      <c r="G204" t="str">
        <f>IF('ENTRADAS-BASE'!F202="","",'ENTRADAS-BASE'!F202)</f>
        <v/>
      </c>
      <c r="H204" t="str">
        <f>IF('ENTRADAS-BASE'!G202="","",'ENTRADAS-BASE'!G202)</f>
        <v/>
      </c>
      <c r="I204" t="str">
        <f>IF('ENTRADAS-BASE'!H202="","",'ENTRADAS-BASE'!H202)</f>
        <v/>
      </c>
      <c r="J204" t="str">
        <f>IF('ENTRADAS-BASE'!I202="","",'ENTRADAS-BASE'!I202)</f>
        <v/>
      </c>
      <c r="K204" s="5" t="str">
        <f>IF('ENTRADAS-BASE'!J202="","",'ENTRADAS-BASE'!J202)</f>
        <v/>
      </c>
      <c r="L2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5" spans="2:12" x14ac:dyDescent="0.3">
      <c r="B205" t="str">
        <f>IF('ENTRADAS-BASE'!A203="","",'ENTRADAS-BASE'!A203)</f>
        <v/>
      </c>
      <c r="C205" t="str">
        <f>IF('ENTRADAS-BASE'!B203="","",'ENTRADAS-BASE'!B203)</f>
        <v/>
      </c>
      <c r="D205" t="str">
        <f>IF('ENTRADAS-BASE'!C203="","",'ENTRADAS-BASE'!C203)</f>
        <v/>
      </c>
      <c r="E205" s="7" t="str">
        <f>IF('ENTRADAS-BASE'!D203="","",'ENTRADAS-BASE'!D203)</f>
        <v/>
      </c>
      <c r="F205" s="6" t="str">
        <f>IF('ENTRADAS-BASE'!E203="","",'ENTRADAS-BASE'!E203)</f>
        <v/>
      </c>
      <c r="G205" t="str">
        <f>IF('ENTRADAS-BASE'!F203="","",'ENTRADAS-BASE'!F203)</f>
        <v/>
      </c>
      <c r="H205" t="str">
        <f>IF('ENTRADAS-BASE'!G203="","",'ENTRADAS-BASE'!G203)</f>
        <v/>
      </c>
      <c r="I205" t="str">
        <f>IF('ENTRADAS-BASE'!H203="","",'ENTRADAS-BASE'!H203)</f>
        <v/>
      </c>
      <c r="J205" t="str">
        <f>IF('ENTRADAS-BASE'!I203="","",'ENTRADAS-BASE'!I203)</f>
        <v/>
      </c>
      <c r="K205" s="5" t="str">
        <f>IF('ENTRADAS-BASE'!J203="","",'ENTRADAS-BASE'!J203)</f>
        <v/>
      </c>
      <c r="L2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6" spans="2:12" x14ac:dyDescent="0.3">
      <c r="B206" t="str">
        <f>IF('ENTRADAS-BASE'!A204="","",'ENTRADAS-BASE'!A204)</f>
        <v/>
      </c>
      <c r="C206" t="str">
        <f>IF('ENTRADAS-BASE'!B204="","",'ENTRADAS-BASE'!B204)</f>
        <v/>
      </c>
      <c r="D206" t="str">
        <f>IF('ENTRADAS-BASE'!C204="","",'ENTRADAS-BASE'!C204)</f>
        <v/>
      </c>
      <c r="E206" s="7" t="str">
        <f>IF('ENTRADAS-BASE'!D204="","",'ENTRADAS-BASE'!D204)</f>
        <v/>
      </c>
      <c r="F206" s="6" t="str">
        <f>IF('ENTRADAS-BASE'!E204="","",'ENTRADAS-BASE'!E204)</f>
        <v/>
      </c>
      <c r="G206" t="str">
        <f>IF('ENTRADAS-BASE'!F204="","",'ENTRADAS-BASE'!F204)</f>
        <v/>
      </c>
      <c r="H206" t="str">
        <f>IF('ENTRADAS-BASE'!G204="","",'ENTRADAS-BASE'!G204)</f>
        <v/>
      </c>
      <c r="I206" t="str">
        <f>IF('ENTRADAS-BASE'!H204="","",'ENTRADAS-BASE'!H204)</f>
        <v/>
      </c>
      <c r="J206" t="str">
        <f>IF('ENTRADAS-BASE'!I204="","",'ENTRADAS-BASE'!I204)</f>
        <v/>
      </c>
      <c r="K206" s="5" t="str">
        <f>IF('ENTRADAS-BASE'!J204="","",'ENTRADAS-BASE'!J204)</f>
        <v/>
      </c>
      <c r="L2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7" spans="2:12" x14ac:dyDescent="0.3">
      <c r="B207" t="str">
        <f>IF('ENTRADAS-BASE'!A205="","",'ENTRADAS-BASE'!A205)</f>
        <v/>
      </c>
      <c r="C207" t="str">
        <f>IF('ENTRADAS-BASE'!B205="","",'ENTRADAS-BASE'!B205)</f>
        <v/>
      </c>
      <c r="D207" t="str">
        <f>IF('ENTRADAS-BASE'!C205="","",'ENTRADAS-BASE'!C205)</f>
        <v/>
      </c>
      <c r="E207" s="7" t="str">
        <f>IF('ENTRADAS-BASE'!D205="","",'ENTRADAS-BASE'!D205)</f>
        <v/>
      </c>
      <c r="F207" s="6" t="str">
        <f>IF('ENTRADAS-BASE'!E205="","",'ENTRADAS-BASE'!E205)</f>
        <v/>
      </c>
      <c r="G207" t="str">
        <f>IF('ENTRADAS-BASE'!F205="","",'ENTRADAS-BASE'!F205)</f>
        <v/>
      </c>
      <c r="H207" t="str">
        <f>IF('ENTRADAS-BASE'!G205="","",'ENTRADAS-BASE'!G205)</f>
        <v/>
      </c>
      <c r="I207" t="str">
        <f>IF('ENTRADAS-BASE'!H205="","",'ENTRADAS-BASE'!H205)</f>
        <v/>
      </c>
      <c r="J207" t="str">
        <f>IF('ENTRADAS-BASE'!I205="","",'ENTRADAS-BASE'!I205)</f>
        <v/>
      </c>
      <c r="K207" s="5" t="str">
        <f>IF('ENTRADAS-BASE'!J205="","",'ENTRADAS-BASE'!J205)</f>
        <v/>
      </c>
      <c r="L2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8" spans="2:12" x14ac:dyDescent="0.3">
      <c r="B208" t="str">
        <f>IF('ENTRADAS-BASE'!A206="","",'ENTRADAS-BASE'!A206)</f>
        <v/>
      </c>
      <c r="C208" t="str">
        <f>IF('ENTRADAS-BASE'!B206="","",'ENTRADAS-BASE'!B206)</f>
        <v/>
      </c>
      <c r="D208" t="str">
        <f>IF('ENTRADAS-BASE'!C206="","",'ENTRADAS-BASE'!C206)</f>
        <v/>
      </c>
      <c r="E208" s="7" t="str">
        <f>IF('ENTRADAS-BASE'!D206="","",'ENTRADAS-BASE'!D206)</f>
        <v/>
      </c>
      <c r="F208" s="6" t="str">
        <f>IF('ENTRADAS-BASE'!E206="","",'ENTRADAS-BASE'!E206)</f>
        <v/>
      </c>
      <c r="G208" t="str">
        <f>IF('ENTRADAS-BASE'!F206="","",'ENTRADAS-BASE'!F206)</f>
        <v/>
      </c>
      <c r="H208" t="str">
        <f>IF('ENTRADAS-BASE'!G206="","",'ENTRADAS-BASE'!G206)</f>
        <v/>
      </c>
      <c r="I208" t="str">
        <f>IF('ENTRADAS-BASE'!H206="","",'ENTRADAS-BASE'!H206)</f>
        <v/>
      </c>
      <c r="J208" t="str">
        <f>IF('ENTRADAS-BASE'!I206="","",'ENTRADAS-BASE'!I206)</f>
        <v/>
      </c>
      <c r="K208" s="5" t="str">
        <f>IF('ENTRADAS-BASE'!J206="","",'ENTRADAS-BASE'!J206)</f>
        <v/>
      </c>
      <c r="L2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9" spans="2:12" x14ac:dyDescent="0.3">
      <c r="B209" t="str">
        <f>IF('ENTRADAS-BASE'!A207="","",'ENTRADAS-BASE'!A207)</f>
        <v/>
      </c>
      <c r="C209" t="str">
        <f>IF('ENTRADAS-BASE'!B207="","",'ENTRADAS-BASE'!B207)</f>
        <v/>
      </c>
      <c r="D209" t="str">
        <f>IF('ENTRADAS-BASE'!C207="","",'ENTRADAS-BASE'!C207)</f>
        <v/>
      </c>
      <c r="E209" s="7" t="str">
        <f>IF('ENTRADAS-BASE'!D207="","",'ENTRADAS-BASE'!D207)</f>
        <v/>
      </c>
      <c r="F209" s="6" t="str">
        <f>IF('ENTRADAS-BASE'!E207="","",'ENTRADAS-BASE'!E207)</f>
        <v/>
      </c>
      <c r="G209" t="str">
        <f>IF('ENTRADAS-BASE'!F207="","",'ENTRADAS-BASE'!F207)</f>
        <v/>
      </c>
      <c r="H209" t="str">
        <f>IF('ENTRADAS-BASE'!G207="","",'ENTRADAS-BASE'!G207)</f>
        <v/>
      </c>
      <c r="I209" t="str">
        <f>IF('ENTRADAS-BASE'!H207="","",'ENTRADAS-BASE'!H207)</f>
        <v/>
      </c>
      <c r="J209" t="str">
        <f>IF('ENTRADAS-BASE'!I207="","",'ENTRADAS-BASE'!I207)</f>
        <v/>
      </c>
      <c r="K209" s="5" t="str">
        <f>IF('ENTRADAS-BASE'!J207="","",'ENTRADAS-BASE'!J207)</f>
        <v/>
      </c>
      <c r="L2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0" spans="2:12" x14ac:dyDescent="0.3">
      <c r="B210" t="str">
        <f>IF('ENTRADAS-BASE'!A208="","",'ENTRADAS-BASE'!A208)</f>
        <v/>
      </c>
      <c r="C210" t="str">
        <f>IF('ENTRADAS-BASE'!B208="","",'ENTRADAS-BASE'!B208)</f>
        <v/>
      </c>
      <c r="D210" t="str">
        <f>IF('ENTRADAS-BASE'!C208="","",'ENTRADAS-BASE'!C208)</f>
        <v/>
      </c>
      <c r="E210" s="7" t="str">
        <f>IF('ENTRADAS-BASE'!D208="","",'ENTRADAS-BASE'!D208)</f>
        <v/>
      </c>
      <c r="F210" s="6" t="str">
        <f>IF('ENTRADAS-BASE'!E208="","",'ENTRADAS-BASE'!E208)</f>
        <v/>
      </c>
      <c r="G210" t="str">
        <f>IF('ENTRADAS-BASE'!F208="","",'ENTRADAS-BASE'!F208)</f>
        <v/>
      </c>
      <c r="H210" t="str">
        <f>IF('ENTRADAS-BASE'!G208="","",'ENTRADAS-BASE'!G208)</f>
        <v/>
      </c>
      <c r="I210" t="str">
        <f>IF('ENTRADAS-BASE'!H208="","",'ENTRADAS-BASE'!H208)</f>
        <v/>
      </c>
      <c r="J210" t="str">
        <f>IF('ENTRADAS-BASE'!I208="","",'ENTRADAS-BASE'!I208)</f>
        <v/>
      </c>
      <c r="K210" s="5" t="str">
        <f>IF('ENTRADAS-BASE'!J208="","",'ENTRADAS-BASE'!J208)</f>
        <v/>
      </c>
      <c r="L2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1" spans="2:12" x14ac:dyDescent="0.3">
      <c r="B211" t="str">
        <f>IF('ENTRADAS-BASE'!A209="","",'ENTRADAS-BASE'!A209)</f>
        <v/>
      </c>
      <c r="C211" t="str">
        <f>IF('ENTRADAS-BASE'!B209="","",'ENTRADAS-BASE'!B209)</f>
        <v/>
      </c>
      <c r="D211" t="str">
        <f>IF('ENTRADAS-BASE'!C209="","",'ENTRADAS-BASE'!C209)</f>
        <v/>
      </c>
      <c r="E211" s="7" t="str">
        <f>IF('ENTRADAS-BASE'!D209="","",'ENTRADAS-BASE'!D209)</f>
        <v/>
      </c>
      <c r="F211" s="6" t="str">
        <f>IF('ENTRADAS-BASE'!E209="","",'ENTRADAS-BASE'!E209)</f>
        <v/>
      </c>
      <c r="G211" t="str">
        <f>IF('ENTRADAS-BASE'!F209="","",'ENTRADAS-BASE'!F209)</f>
        <v/>
      </c>
      <c r="H211" t="str">
        <f>IF('ENTRADAS-BASE'!G209="","",'ENTRADAS-BASE'!G209)</f>
        <v/>
      </c>
      <c r="I211" t="str">
        <f>IF('ENTRADAS-BASE'!H209="","",'ENTRADAS-BASE'!H209)</f>
        <v/>
      </c>
      <c r="J211" t="str">
        <f>IF('ENTRADAS-BASE'!I209="","",'ENTRADAS-BASE'!I209)</f>
        <v/>
      </c>
      <c r="K211" s="5" t="str">
        <f>IF('ENTRADAS-BASE'!J209="","",'ENTRADAS-BASE'!J209)</f>
        <v/>
      </c>
      <c r="L2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2" spans="2:12" x14ac:dyDescent="0.3">
      <c r="B212" t="str">
        <f>IF('ENTRADAS-BASE'!A210="","",'ENTRADAS-BASE'!A210)</f>
        <v/>
      </c>
      <c r="C212" t="str">
        <f>IF('ENTRADAS-BASE'!B210="","",'ENTRADAS-BASE'!B210)</f>
        <v/>
      </c>
      <c r="D212" t="str">
        <f>IF('ENTRADAS-BASE'!C210="","",'ENTRADAS-BASE'!C210)</f>
        <v/>
      </c>
      <c r="E212" s="7" t="str">
        <f>IF('ENTRADAS-BASE'!D210="","",'ENTRADAS-BASE'!D210)</f>
        <v/>
      </c>
      <c r="F212" s="6" t="str">
        <f>IF('ENTRADAS-BASE'!E210="","",'ENTRADAS-BASE'!E210)</f>
        <v/>
      </c>
      <c r="G212" t="str">
        <f>IF('ENTRADAS-BASE'!F210="","",'ENTRADAS-BASE'!F210)</f>
        <v/>
      </c>
      <c r="H212" t="str">
        <f>IF('ENTRADAS-BASE'!G210="","",'ENTRADAS-BASE'!G210)</f>
        <v/>
      </c>
      <c r="I212" t="str">
        <f>IF('ENTRADAS-BASE'!H210="","",'ENTRADAS-BASE'!H210)</f>
        <v/>
      </c>
      <c r="J212" t="str">
        <f>IF('ENTRADAS-BASE'!I210="","",'ENTRADAS-BASE'!I210)</f>
        <v/>
      </c>
      <c r="K212" s="5" t="str">
        <f>IF('ENTRADAS-BASE'!J210="","",'ENTRADAS-BASE'!J210)</f>
        <v/>
      </c>
      <c r="L2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3" spans="2:12" x14ac:dyDescent="0.3">
      <c r="B213" t="str">
        <f>IF('ENTRADAS-BASE'!A211="","",'ENTRADAS-BASE'!A211)</f>
        <v/>
      </c>
      <c r="C213" t="str">
        <f>IF('ENTRADAS-BASE'!B211="","",'ENTRADAS-BASE'!B211)</f>
        <v/>
      </c>
      <c r="D213" t="str">
        <f>IF('ENTRADAS-BASE'!C211="","",'ENTRADAS-BASE'!C211)</f>
        <v/>
      </c>
      <c r="E213" s="7" t="str">
        <f>IF('ENTRADAS-BASE'!D211="","",'ENTRADAS-BASE'!D211)</f>
        <v/>
      </c>
      <c r="F213" s="6" t="str">
        <f>IF('ENTRADAS-BASE'!E211="","",'ENTRADAS-BASE'!E211)</f>
        <v/>
      </c>
      <c r="G213" t="str">
        <f>IF('ENTRADAS-BASE'!F211="","",'ENTRADAS-BASE'!F211)</f>
        <v/>
      </c>
      <c r="H213" t="str">
        <f>IF('ENTRADAS-BASE'!G211="","",'ENTRADAS-BASE'!G211)</f>
        <v/>
      </c>
      <c r="I213" t="str">
        <f>IF('ENTRADAS-BASE'!H211="","",'ENTRADAS-BASE'!H211)</f>
        <v/>
      </c>
      <c r="J213" t="str">
        <f>IF('ENTRADAS-BASE'!I211="","",'ENTRADAS-BASE'!I211)</f>
        <v/>
      </c>
      <c r="K213" s="5" t="str">
        <f>IF('ENTRADAS-BASE'!J211="","",'ENTRADAS-BASE'!J211)</f>
        <v/>
      </c>
      <c r="L2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4" spans="2:12" x14ac:dyDescent="0.3">
      <c r="B214" t="str">
        <f>IF('ENTRADAS-BASE'!A212="","",'ENTRADAS-BASE'!A212)</f>
        <v/>
      </c>
      <c r="C214" t="str">
        <f>IF('ENTRADAS-BASE'!B212="","",'ENTRADAS-BASE'!B212)</f>
        <v/>
      </c>
      <c r="D214" t="str">
        <f>IF('ENTRADAS-BASE'!C212="","",'ENTRADAS-BASE'!C212)</f>
        <v/>
      </c>
      <c r="E214" s="7" t="str">
        <f>IF('ENTRADAS-BASE'!D212="","",'ENTRADAS-BASE'!D212)</f>
        <v/>
      </c>
      <c r="F214" s="6" t="str">
        <f>IF('ENTRADAS-BASE'!E212="","",'ENTRADAS-BASE'!E212)</f>
        <v/>
      </c>
      <c r="G214" t="str">
        <f>IF('ENTRADAS-BASE'!F212="","",'ENTRADAS-BASE'!F212)</f>
        <v/>
      </c>
      <c r="H214" t="str">
        <f>IF('ENTRADAS-BASE'!G212="","",'ENTRADAS-BASE'!G212)</f>
        <v/>
      </c>
      <c r="I214" t="str">
        <f>IF('ENTRADAS-BASE'!H212="","",'ENTRADAS-BASE'!H212)</f>
        <v/>
      </c>
      <c r="J214" t="str">
        <f>IF('ENTRADAS-BASE'!I212="","",'ENTRADAS-BASE'!I212)</f>
        <v/>
      </c>
      <c r="K214" s="5" t="str">
        <f>IF('ENTRADAS-BASE'!J212="","",'ENTRADAS-BASE'!J212)</f>
        <v/>
      </c>
      <c r="L2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5" spans="2:12" x14ac:dyDescent="0.3">
      <c r="B215" t="str">
        <f>IF('ENTRADAS-BASE'!A213="","",'ENTRADAS-BASE'!A213)</f>
        <v/>
      </c>
      <c r="C215" t="str">
        <f>IF('ENTRADAS-BASE'!B213="","",'ENTRADAS-BASE'!B213)</f>
        <v/>
      </c>
      <c r="D215" t="str">
        <f>IF('ENTRADAS-BASE'!C213="","",'ENTRADAS-BASE'!C213)</f>
        <v/>
      </c>
      <c r="E215" s="7" t="str">
        <f>IF('ENTRADAS-BASE'!D213="","",'ENTRADAS-BASE'!D213)</f>
        <v/>
      </c>
      <c r="F215" s="6" t="str">
        <f>IF('ENTRADAS-BASE'!E213="","",'ENTRADAS-BASE'!E213)</f>
        <v/>
      </c>
      <c r="G215" t="str">
        <f>IF('ENTRADAS-BASE'!F213="","",'ENTRADAS-BASE'!F213)</f>
        <v/>
      </c>
      <c r="H215" t="str">
        <f>IF('ENTRADAS-BASE'!G213="","",'ENTRADAS-BASE'!G213)</f>
        <v/>
      </c>
      <c r="I215" t="str">
        <f>IF('ENTRADAS-BASE'!H213="","",'ENTRADAS-BASE'!H213)</f>
        <v/>
      </c>
      <c r="J215" t="str">
        <f>IF('ENTRADAS-BASE'!I213="","",'ENTRADAS-BASE'!I213)</f>
        <v/>
      </c>
      <c r="K215" s="5" t="str">
        <f>IF('ENTRADAS-BASE'!J213="","",'ENTRADAS-BASE'!J213)</f>
        <v/>
      </c>
      <c r="L2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6" spans="2:12" x14ac:dyDescent="0.3">
      <c r="B216" t="str">
        <f>IF('ENTRADAS-BASE'!A214="","",'ENTRADAS-BASE'!A214)</f>
        <v/>
      </c>
      <c r="C216" t="str">
        <f>IF('ENTRADAS-BASE'!B214="","",'ENTRADAS-BASE'!B214)</f>
        <v/>
      </c>
      <c r="D216" t="str">
        <f>IF('ENTRADAS-BASE'!C214="","",'ENTRADAS-BASE'!C214)</f>
        <v/>
      </c>
      <c r="E216" s="7" t="str">
        <f>IF('ENTRADAS-BASE'!D214="","",'ENTRADAS-BASE'!D214)</f>
        <v/>
      </c>
      <c r="F216" s="6" t="str">
        <f>IF('ENTRADAS-BASE'!E214="","",'ENTRADAS-BASE'!E214)</f>
        <v/>
      </c>
      <c r="G216" t="str">
        <f>IF('ENTRADAS-BASE'!F214="","",'ENTRADAS-BASE'!F214)</f>
        <v/>
      </c>
      <c r="H216" t="str">
        <f>IF('ENTRADAS-BASE'!G214="","",'ENTRADAS-BASE'!G214)</f>
        <v/>
      </c>
      <c r="I216" t="str">
        <f>IF('ENTRADAS-BASE'!H214="","",'ENTRADAS-BASE'!H214)</f>
        <v/>
      </c>
      <c r="J216" t="str">
        <f>IF('ENTRADAS-BASE'!I214="","",'ENTRADAS-BASE'!I214)</f>
        <v/>
      </c>
      <c r="K216" s="5" t="str">
        <f>IF('ENTRADAS-BASE'!J214="","",'ENTRADAS-BASE'!J214)</f>
        <v/>
      </c>
      <c r="L2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7" spans="2:12" x14ac:dyDescent="0.3">
      <c r="B217" t="str">
        <f>IF('ENTRADAS-BASE'!A215="","",'ENTRADAS-BASE'!A215)</f>
        <v/>
      </c>
      <c r="C217" t="str">
        <f>IF('ENTRADAS-BASE'!B215="","",'ENTRADAS-BASE'!B215)</f>
        <v/>
      </c>
      <c r="D217" t="str">
        <f>IF('ENTRADAS-BASE'!C215="","",'ENTRADAS-BASE'!C215)</f>
        <v/>
      </c>
      <c r="E217" s="7" t="str">
        <f>IF('ENTRADAS-BASE'!D215="","",'ENTRADAS-BASE'!D215)</f>
        <v/>
      </c>
      <c r="F217" s="6" t="str">
        <f>IF('ENTRADAS-BASE'!E215="","",'ENTRADAS-BASE'!E215)</f>
        <v/>
      </c>
      <c r="G217" t="str">
        <f>IF('ENTRADAS-BASE'!F215="","",'ENTRADAS-BASE'!F215)</f>
        <v/>
      </c>
      <c r="H217" t="str">
        <f>IF('ENTRADAS-BASE'!G215="","",'ENTRADAS-BASE'!G215)</f>
        <v/>
      </c>
      <c r="I217" t="str">
        <f>IF('ENTRADAS-BASE'!H215="","",'ENTRADAS-BASE'!H215)</f>
        <v/>
      </c>
      <c r="J217" t="str">
        <f>IF('ENTRADAS-BASE'!I215="","",'ENTRADAS-BASE'!I215)</f>
        <v/>
      </c>
      <c r="K217" s="5" t="str">
        <f>IF('ENTRADAS-BASE'!J215="","",'ENTRADAS-BASE'!J215)</f>
        <v/>
      </c>
      <c r="L2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8" spans="2:12" x14ac:dyDescent="0.3">
      <c r="B218" t="str">
        <f>IF('ENTRADAS-BASE'!A216="","",'ENTRADAS-BASE'!A216)</f>
        <v/>
      </c>
      <c r="C218" t="str">
        <f>IF('ENTRADAS-BASE'!B216="","",'ENTRADAS-BASE'!B216)</f>
        <v/>
      </c>
      <c r="D218" t="str">
        <f>IF('ENTRADAS-BASE'!C216="","",'ENTRADAS-BASE'!C216)</f>
        <v/>
      </c>
      <c r="E218" s="7" t="str">
        <f>IF('ENTRADAS-BASE'!D216="","",'ENTRADAS-BASE'!D216)</f>
        <v/>
      </c>
      <c r="F218" s="6" t="str">
        <f>IF('ENTRADAS-BASE'!E216="","",'ENTRADAS-BASE'!E216)</f>
        <v/>
      </c>
      <c r="G218" t="str">
        <f>IF('ENTRADAS-BASE'!F216="","",'ENTRADAS-BASE'!F216)</f>
        <v/>
      </c>
      <c r="H218" t="str">
        <f>IF('ENTRADAS-BASE'!G216="","",'ENTRADAS-BASE'!G216)</f>
        <v/>
      </c>
      <c r="I218" t="str">
        <f>IF('ENTRADAS-BASE'!H216="","",'ENTRADAS-BASE'!H216)</f>
        <v/>
      </c>
      <c r="J218" t="str">
        <f>IF('ENTRADAS-BASE'!I216="","",'ENTRADAS-BASE'!I216)</f>
        <v/>
      </c>
      <c r="K218" s="5" t="str">
        <f>IF('ENTRADAS-BASE'!J216="","",'ENTRADAS-BASE'!J216)</f>
        <v/>
      </c>
      <c r="L2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9" spans="2:12" x14ac:dyDescent="0.3">
      <c r="B219" t="str">
        <f>IF('ENTRADAS-BASE'!A217="","",'ENTRADAS-BASE'!A217)</f>
        <v/>
      </c>
      <c r="C219" t="str">
        <f>IF('ENTRADAS-BASE'!B217="","",'ENTRADAS-BASE'!B217)</f>
        <v/>
      </c>
      <c r="D219" t="str">
        <f>IF('ENTRADAS-BASE'!C217="","",'ENTRADAS-BASE'!C217)</f>
        <v/>
      </c>
      <c r="E219" s="7" t="str">
        <f>IF('ENTRADAS-BASE'!D217="","",'ENTRADAS-BASE'!D217)</f>
        <v/>
      </c>
      <c r="F219" s="6" t="str">
        <f>IF('ENTRADAS-BASE'!E217="","",'ENTRADAS-BASE'!E217)</f>
        <v/>
      </c>
      <c r="G219" t="str">
        <f>IF('ENTRADAS-BASE'!F217="","",'ENTRADAS-BASE'!F217)</f>
        <v/>
      </c>
      <c r="H219" t="str">
        <f>IF('ENTRADAS-BASE'!G217="","",'ENTRADAS-BASE'!G217)</f>
        <v/>
      </c>
      <c r="I219" t="str">
        <f>IF('ENTRADAS-BASE'!H217="","",'ENTRADAS-BASE'!H217)</f>
        <v/>
      </c>
      <c r="J219" t="str">
        <f>IF('ENTRADAS-BASE'!I217="","",'ENTRADAS-BASE'!I217)</f>
        <v/>
      </c>
      <c r="K219" s="5" t="str">
        <f>IF('ENTRADAS-BASE'!J217="","",'ENTRADAS-BASE'!J217)</f>
        <v/>
      </c>
      <c r="L2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0" spans="2:12" x14ac:dyDescent="0.3">
      <c r="B220" t="str">
        <f>IF('ENTRADAS-BASE'!A218="","",'ENTRADAS-BASE'!A218)</f>
        <v/>
      </c>
      <c r="C220" t="str">
        <f>IF('ENTRADAS-BASE'!B218="","",'ENTRADAS-BASE'!B218)</f>
        <v/>
      </c>
      <c r="D220" t="str">
        <f>IF('ENTRADAS-BASE'!C218="","",'ENTRADAS-BASE'!C218)</f>
        <v/>
      </c>
      <c r="E220" s="7" t="str">
        <f>IF('ENTRADAS-BASE'!D218="","",'ENTRADAS-BASE'!D218)</f>
        <v/>
      </c>
      <c r="F220" s="6" t="str">
        <f>IF('ENTRADAS-BASE'!E218="","",'ENTRADAS-BASE'!E218)</f>
        <v/>
      </c>
      <c r="G220" t="str">
        <f>IF('ENTRADAS-BASE'!F218="","",'ENTRADAS-BASE'!F218)</f>
        <v/>
      </c>
      <c r="H220" t="str">
        <f>IF('ENTRADAS-BASE'!G218="","",'ENTRADAS-BASE'!G218)</f>
        <v/>
      </c>
      <c r="I220" t="str">
        <f>IF('ENTRADAS-BASE'!H218="","",'ENTRADAS-BASE'!H218)</f>
        <v/>
      </c>
      <c r="J220" t="str">
        <f>IF('ENTRADAS-BASE'!I218="","",'ENTRADAS-BASE'!I218)</f>
        <v/>
      </c>
      <c r="K220" s="5" t="str">
        <f>IF('ENTRADAS-BASE'!J218="","",'ENTRADAS-BASE'!J218)</f>
        <v/>
      </c>
      <c r="L2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1" spans="2:12" x14ac:dyDescent="0.3">
      <c r="B221" t="str">
        <f>IF('ENTRADAS-BASE'!A219="","",'ENTRADAS-BASE'!A219)</f>
        <v/>
      </c>
      <c r="C221" t="str">
        <f>IF('ENTRADAS-BASE'!B219="","",'ENTRADAS-BASE'!B219)</f>
        <v/>
      </c>
      <c r="D221" t="str">
        <f>IF('ENTRADAS-BASE'!C219="","",'ENTRADAS-BASE'!C219)</f>
        <v/>
      </c>
      <c r="E221" s="7" t="str">
        <f>IF('ENTRADAS-BASE'!D219="","",'ENTRADAS-BASE'!D219)</f>
        <v/>
      </c>
      <c r="F221" s="6" t="str">
        <f>IF('ENTRADAS-BASE'!E219="","",'ENTRADAS-BASE'!E219)</f>
        <v/>
      </c>
      <c r="G221" t="str">
        <f>IF('ENTRADAS-BASE'!F219="","",'ENTRADAS-BASE'!F219)</f>
        <v/>
      </c>
      <c r="H221" t="str">
        <f>IF('ENTRADAS-BASE'!G219="","",'ENTRADAS-BASE'!G219)</f>
        <v/>
      </c>
      <c r="I221" t="str">
        <f>IF('ENTRADAS-BASE'!H219="","",'ENTRADAS-BASE'!H219)</f>
        <v/>
      </c>
      <c r="J221" t="str">
        <f>IF('ENTRADAS-BASE'!I219="","",'ENTRADAS-BASE'!I219)</f>
        <v/>
      </c>
      <c r="K221" s="5" t="str">
        <f>IF('ENTRADAS-BASE'!J219="","",'ENTRADAS-BASE'!J219)</f>
        <v/>
      </c>
      <c r="L2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2" spans="2:12" x14ac:dyDescent="0.3">
      <c r="B222" t="str">
        <f>IF('ENTRADAS-BASE'!A220="","",'ENTRADAS-BASE'!A220)</f>
        <v/>
      </c>
      <c r="C222" t="str">
        <f>IF('ENTRADAS-BASE'!B220="","",'ENTRADAS-BASE'!B220)</f>
        <v/>
      </c>
      <c r="D222" t="str">
        <f>IF('ENTRADAS-BASE'!C220="","",'ENTRADAS-BASE'!C220)</f>
        <v/>
      </c>
      <c r="E222" s="7" t="str">
        <f>IF('ENTRADAS-BASE'!D220="","",'ENTRADAS-BASE'!D220)</f>
        <v/>
      </c>
      <c r="F222" s="6" t="str">
        <f>IF('ENTRADAS-BASE'!E220="","",'ENTRADAS-BASE'!E220)</f>
        <v/>
      </c>
      <c r="G222" t="str">
        <f>IF('ENTRADAS-BASE'!F220="","",'ENTRADAS-BASE'!F220)</f>
        <v/>
      </c>
      <c r="H222" t="str">
        <f>IF('ENTRADAS-BASE'!G220="","",'ENTRADAS-BASE'!G220)</f>
        <v/>
      </c>
      <c r="I222" t="str">
        <f>IF('ENTRADAS-BASE'!H220="","",'ENTRADAS-BASE'!H220)</f>
        <v/>
      </c>
      <c r="J222" t="str">
        <f>IF('ENTRADAS-BASE'!I220="","",'ENTRADAS-BASE'!I220)</f>
        <v/>
      </c>
      <c r="K222" s="5" t="str">
        <f>IF('ENTRADAS-BASE'!J220="","",'ENTRADAS-BASE'!J220)</f>
        <v/>
      </c>
      <c r="L2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3" spans="2:12" x14ac:dyDescent="0.3">
      <c r="B223" t="str">
        <f>IF('ENTRADAS-BASE'!A221="","",'ENTRADAS-BASE'!A221)</f>
        <v/>
      </c>
      <c r="C223" t="str">
        <f>IF('ENTRADAS-BASE'!B221="","",'ENTRADAS-BASE'!B221)</f>
        <v/>
      </c>
      <c r="D223" t="str">
        <f>IF('ENTRADAS-BASE'!C221="","",'ENTRADAS-BASE'!C221)</f>
        <v/>
      </c>
      <c r="E223" s="7" t="str">
        <f>IF('ENTRADAS-BASE'!D221="","",'ENTRADAS-BASE'!D221)</f>
        <v/>
      </c>
      <c r="F223" s="6" t="str">
        <f>IF('ENTRADAS-BASE'!E221="","",'ENTRADAS-BASE'!E221)</f>
        <v/>
      </c>
      <c r="G223" t="str">
        <f>IF('ENTRADAS-BASE'!F221="","",'ENTRADAS-BASE'!F221)</f>
        <v/>
      </c>
      <c r="H223" t="str">
        <f>IF('ENTRADAS-BASE'!G221="","",'ENTRADAS-BASE'!G221)</f>
        <v/>
      </c>
      <c r="I223" t="str">
        <f>IF('ENTRADAS-BASE'!H221="","",'ENTRADAS-BASE'!H221)</f>
        <v/>
      </c>
      <c r="J223" t="str">
        <f>IF('ENTRADAS-BASE'!I221="","",'ENTRADAS-BASE'!I221)</f>
        <v/>
      </c>
      <c r="K223" s="5" t="str">
        <f>IF('ENTRADAS-BASE'!J221="","",'ENTRADAS-BASE'!J221)</f>
        <v/>
      </c>
      <c r="L2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4" spans="2:12" x14ac:dyDescent="0.3">
      <c r="B224" t="str">
        <f>IF('ENTRADAS-BASE'!A222="","",'ENTRADAS-BASE'!A222)</f>
        <v/>
      </c>
      <c r="C224" t="str">
        <f>IF('ENTRADAS-BASE'!B222="","",'ENTRADAS-BASE'!B222)</f>
        <v/>
      </c>
      <c r="D224" t="str">
        <f>IF('ENTRADAS-BASE'!C222="","",'ENTRADAS-BASE'!C222)</f>
        <v/>
      </c>
      <c r="E224" s="7" t="str">
        <f>IF('ENTRADAS-BASE'!D222="","",'ENTRADAS-BASE'!D222)</f>
        <v/>
      </c>
      <c r="F224" s="6" t="str">
        <f>IF('ENTRADAS-BASE'!E222="","",'ENTRADAS-BASE'!E222)</f>
        <v/>
      </c>
      <c r="G224" t="str">
        <f>IF('ENTRADAS-BASE'!F222="","",'ENTRADAS-BASE'!F222)</f>
        <v/>
      </c>
      <c r="H224" t="str">
        <f>IF('ENTRADAS-BASE'!G222="","",'ENTRADAS-BASE'!G222)</f>
        <v/>
      </c>
      <c r="I224" t="str">
        <f>IF('ENTRADAS-BASE'!H222="","",'ENTRADAS-BASE'!H222)</f>
        <v/>
      </c>
      <c r="J224" t="str">
        <f>IF('ENTRADAS-BASE'!I222="","",'ENTRADAS-BASE'!I222)</f>
        <v/>
      </c>
      <c r="K224" s="5" t="str">
        <f>IF('ENTRADAS-BASE'!J222="","",'ENTRADAS-BASE'!J222)</f>
        <v/>
      </c>
      <c r="L2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5" spans="2:12" x14ac:dyDescent="0.3">
      <c r="B225" t="str">
        <f>IF('ENTRADAS-BASE'!A223="","",'ENTRADAS-BASE'!A223)</f>
        <v/>
      </c>
      <c r="C225" t="str">
        <f>IF('ENTRADAS-BASE'!B223="","",'ENTRADAS-BASE'!B223)</f>
        <v/>
      </c>
      <c r="D225" t="str">
        <f>IF('ENTRADAS-BASE'!C223="","",'ENTRADAS-BASE'!C223)</f>
        <v/>
      </c>
      <c r="E225" s="7" t="str">
        <f>IF('ENTRADAS-BASE'!D223="","",'ENTRADAS-BASE'!D223)</f>
        <v/>
      </c>
      <c r="F225" s="6" t="str">
        <f>IF('ENTRADAS-BASE'!E223="","",'ENTRADAS-BASE'!E223)</f>
        <v/>
      </c>
      <c r="G225" t="str">
        <f>IF('ENTRADAS-BASE'!F223="","",'ENTRADAS-BASE'!F223)</f>
        <v/>
      </c>
      <c r="H225" t="str">
        <f>IF('ENTRADAS-BASE'!G223="","",'ENTRADAS-BASE'!G223)</f>
        <v/>
      </c>
      <c r="I225" t="str">
        <f>IF('ENTRADAS-BASE'!H223="","",'ENTRADAS-BASE'!H223)</f>
        <v/>
      </c>
      <c r="J225" t="str">
        <f>IF('ENTRADAS-BASE'!I223="","",'ENTRADAS-BASE'!I223)</f>
        <v/>
      </c>
      <c r="K225" s="5" t="str">
        <f>IF('ENTRADAS-BASE'!J223="","",'ENTRADAS-BASE'!J223)</f>
        <v/>
      </c>
      <c r="L2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6" spans="2:12" x14ac:dyDescent="0.3">
      <c r="B226" t="str">
        <f>IF('ENTRADAS-BASE'!A224="","",'ENTRADAS-BASE'!A224)</f>
        <v/>
      </c>
      <c r="C226" t="str">
        <f>IF('ENTRADAS-BASE'!B224="","",'ENTRADAS-BASE'!B224)</f>
        <v/>
      </c>
      <c r="D226" t="str">
        <f>IF('ENTRADAS-BASE'!C224="","",'ENTRADAS-BASE'!C224)</f>
        <v/>
      </c>
      <c r="E226" s="7" t="str">
        <f>IF('ENTRADAS-BASE'!D224="","",'ENTRADAS-BASE'!D224)</f>
        <v/>
      </c>
      <c r="F226" s="6" t="str">
        <f>IF('ENTRADAS-BASE'!E224="","",'ENTRADAS-BASE'!E224)</f>
        <v/>
      </c>
      <c r="G226" t="str">
        <f>IF('ENTRADAS-BASE'!F224="","",'ENTRADAS-BASE'!F224)</f>
        <v/>
      </c>
      <c r="H226" t="str">
        <f>IF('ENTRADAS-BASE'!G224="","",'ENTRADAS-BASE'!G224)</f>
        <v/>
      </c>
      <c r="I226" t="str">
        <f>IF('ENTRADAS-BASE'!H224="","",'ENTRADAS-BASE'!H224)</f>
        <v/>
      </c>
      <c r="J226" t="str">
        <f>IF('ENTRADAS-BASE'!I224="","",'ENTRADAS-BASE'!I224)</f>
        <v/>
      </c>
      <c r="K226" s="5" t="str">
        <f>IF('ENTRADAS-BASE'!J224="","",'ENTRADAS-BASE'!J224)</f>
        <v/>
      </c>
      <c r="L2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7" spans="2:12" x14ac:dyDescent="0.3">
      <c r="B227" t="str">
        <f>IF('ENTRADAS-BASE'!A225="","",'ENTRADAS-BASE'!A225)</f>
        <v/>
      </c>
      <c r="C227" t="str">
        <f>IF('ENTRADAS-BASE'!B225="","",'ENTRADAS-BASE'!B225)</f>
        <v/>
      </c>
      <c r="D227" t="str">
        <f>IF('ENTRADAS-BASE'!C225="","",'ENTRADAS-BASE'!C225)</f>
        <v/>
      </c>
      <c r="E227" s="7" t="str">
        <f>IF('ENTRADAS-BASE'!D225="","",'ENTRADAS-BASE'!D225)</f>
        <v/>
      </c>
      <c r="F227" s="6" t="str">
        <f>IF('ENTRADAS-BASE'!E225="","",'ENTRADAS-BASE'!E225)</f>
        <v/>
      </c>
      <c r="G227" t="str">
        <f>IF('ENTRADAS-BASE'!F225="","",'ENTRADAS-BASE'!F225)</f>
        <v/>
      </c>
      <c r="H227" t="str">
        <f>IF('ENTRADAS-BASE'!G225="","",'ENTRADAS-BASE'!G225)</f>
        <v/>
      </c>
      <c r="I227" t="str">
        <f>IF('ENTRADAS-BASE'!H225="","",'ENTRADAS-BASE'!H225)</f>
        <v/>
      </c>
      <c r="J227" t="str">
        <f>IF('ENTRADAS-BASE'!I225="","",'ENTRADAS-BASE'!I225)</f>
        <v/>
      </c>
      <c r="K227" s="5" t="str">
        <f>IF('ENTRADAS-BASE'!J225="","",'ENTRADAS-BASE'!J225)</f>
        <v/>
      </c>
      <c r="L2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8" spans="2:12" x14ac:dyDescent="0.3">
      <c r="B228" t="str">
        <f>IF('ENTRADAS-BASE'!A226="","",'ENTRADAS-BASE'!A226)</f>
        <v/>
      </c>
      <c r="C228" t="str">
        <f>IF('ENTRADAS-BASE'!B226="","",'ENTRADAS-BASE'!B226)</f>
        <v/>
      </c>
      <c r="D228" t="str">
        <f>IF('ENTRADAS-BASE'!C226="","",'ENTRADAS-BASE'!C226)</f>
        <v/>
      </c>
      <c r="E228" s="7" t="str">
        <f>IF('ENTRADAS-BASE'!D226="","",'ENTRADAS-BASE'!D226)</f>
        <v/>
      </c>
      <c r="F228" s="6" t="str">
        <f>IF('ENTRADAS-BASE'!E226="","",'ENTRADAS-BASE'!E226)</f>
        <v/>
      </c>
      <c r="G228" t="str">
        <f>IF('ENTRADAS-BASE'!F226="","",'ENTRADAS-BASE'!F226)</f>
        <v/>
      </c>
      <c r="H228" t="str">
        <f>IF('ENTRADAS-BASE'!G226="","",'ENTRADAS-BASE'!G226)</f>
        <v/>
      </c>
      <c r="I228" t="str">
        <f>IF('ENTRADAS-BASE'!H226="","",'ENTRADAS-BASE'!H226)</f>
        <v/>
      </c>
      <c r="J228" t="str">
        <f>IF('ENTRADAS-BASE'!I226="","",'ENTRADAS-BASE'!I226)</f>
        <v/>
      </c>
      <c r="K228" s="5" t="str">
        <f>IF('ENTRADAS-BASE'!J226="","",'ENTRADAS-BASE'!J226)</f>
        <v/>
      </c>
      <c r="L2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9" spans="2:12" x14ac:dyDescent="0.3">
      <c r="B229" t="str">
        <f>IF('ENTRADAS-BASE'!A227="","",'ENTRADAS-BASE'!A227)</f>
        <v/>
      </c>
      <c r="C229" t="str">
        <f>IF('ENTRADAS-BASE'!B227="","",'ENTRADAS-BASE'!B227)</f>
        <v/>
      </c>
      <c r="D229" t="str">
        <f>IF('ENTRADAS-BASE'!C227="","",'ENTRADAS-BASE'!C227)</f>
        <v/>
      </c>
      <c r="E229" s="7" t="str">
        <f>IF('ENTRADAS-BASE'!D227="","",'ENTRADAS-BASE'!D227)</f>
        <v/>
      </c>
      <c r="F229" s="6" t="str">
        <f>IF('ENTRADAS-BASE'!E227="","",'ENTRADAS-BASE'!E227)</f>
        <v/>
      </c>
      <c r="G229" t="str">
        <f>IF('ENTRADAS-BASE'!F227="","",'ENTRADAS-BASE'!F227)</f>
        <v/>
      </c>
      <c r="H229" t="str">
        <f>IF('ENTRADAS-BASE'!G227="","",'ENTRADAS-BASE'!G227)</f>
        <v/>
      </c>
      <c r="I229" t="str">
        <f>IF('ENTRADAS-BASE'!H227="","",'ENTRADAS-BASE'!H227)</f>
        <v/>
      </c>
      <c r="J229" t="str">
        <f>IF('ENTRADAS-BASE'!I227="","",'ENTRADAS-BASE'!I227)</f>
        <v/>
      </c>
      <c r="K229" s="5" t="str">
        <f>IF('ENTRADAS-BASE'!J227="","",'ENTRADAS-BASE'!J227)</f>
        <v/>
      </c>
      <c r="L2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0" spans="2:12" x14ac:dyDescent="0.3">
      <c r="B230" t="str">
        <f>IF('ENTRADAS-BASE'!A228="","",'ENTRADAS-BASE'!A228)</f>
        <v/>
      </c>
      <c r="C230" t="str">
        <f>IF('ENTRADAS-BASE'!B228="","",'ENTRADAS-BASE'!B228)</f>
        <v/>
      </c>
      <c r="D230" t="str">
        <f>IF('ENTRADAS-BASE'!C228="","",'ENTRADAS-BASE'!C228)</f>
        <v/>
      </c>
      <c r="E230" s="7" t="str">
        <f>IF('ENTRADAS-BASE'!D228="","",'ENTRADAS-BASE'!D228)</f>
        <v/>
      </c>
      <c r="F230" s="6" t="str">
        <f>IF('ENTRADAS-BASE'!E228="","",'ENTRADAS-BASE'!E228)</f>
        <v/>
      </c>
      <c r="G230" t="str">
        <f>IF('ENTRADAS-BASE'!F228="","",'ENTRADAS-BASE'!F228)</f>
        <v/>
      </c>
      <c r="H230" t="str">
        <f>IF('ENTRADAS-BASE'!G228="","",'ENTRADAS-BASE'!G228)</f>
        <v/>
      </c>
      <c r="I230" t="str">
        <f>IF('ENTRADAS-BASE'!H228="","",'ENTRADAS-BASE'!H228)</f>
        <v/>
      </c>
      <c r="J230" t="str">
        <f>IF('ENTRADAS-BASE'!I228="","",'ENTRADAS-BASE'!I228)</f>
        <v/>
      </c>
      <c r="K230" s="5" t="str">
        <f>IF('ENTRADAS-BASE'!J228="","",'ENTRADAS-BASE'!J228)</f>
        <v/>
      </c>
      <c r="L2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1" spans="2:12" x14ac:dyDescent="0.3">
      <c r="B231" t="str">
        <f>IF('ENTRADAS-BASE'!A229="","",'ENTRADAS-BASE'!A229)</f>
        <v/>
      </c>
      <c r="C231" t="str">
        <f>IF('ENTRADAS-BASE'!B229="","",'ENTRADAS-BASE'!B229)</f>
        <v/>
      </c>
      <c r="D231" t="str">
        <f>IF('ENTRADAS-BASE'!C229="","",'ENTRADAS-BASE'!C229)</f>
        <v/>
      </c>
      <c r="E231" s="7" t="str">
        <f>IF('ENTRADAS-BASE'!D229="","",'ENTRADAS-BASE'!D229)</f>
        <v/>
      </c>
      <c r="F231" s="6" t="str">
        <f>IF('ENTRADAS-BASE'!E229="","",'ENTRADAS-BASE'!E229)</f>
        <v/>
      </c>
      <c r="G231" t="str">
        <f>IF('ENTRADAS-BASE'!F229="","",'ENTRADAS-BASE'!F229)</f>
        <v/>
      </c>
      <c r="H231" t="str">
        <f>IF('ENTRADAS-BASE'!G229="","",'ENTRADAS-BASE'!G229)</f>
        <v/>
      </c>
      <c r="I231" t="str">
        <f>IF('ENTRADAS-BASE'!H229="","",'ENTRADAS-BASE'!H229)</f>
        <v/>
      </c>
      <c r="J231" t="str">
        <f>IF('ENTRADAS-BASE'!I229="","",'ENTRADAS-BASE'!I229)</f>
        <v/>
      </c>
      <c r="K231" s="5" t="str">
        <f>IF('ENTRADAS-BASE'!J229="","",'ENTRADAS-BASE'!J229)</f>
        <v/>
      </c>
      <c r="L2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2" spans="2:12" x14ac:dyDescent="0.3">
      <c r="B232" t="str">
        <f>IF('ENTRADAS-BASE'!A230="","",'ENTRADAS-BASE'!A230)</f>
        <v/>
      </c>
      <c r="C232" t="str">
        <f>IF('ENTRADAS-BASE'!B230="","",'ENTRADAS-BASE'!B230)</f>
        <v/>
      </c>
      <c r="D232" t="str">
        <f>IF('ENTRADAS-BASE'!C230="","",'ENTRADAS-BASE'!C230)</f>
        <v/>
      </c>
      <c r="E232" s="7" t="str">
        <f>IF('ENTRADAS-BASE'!D230="","",'ENTRADAS-BASE'!D230)</f>
        <v/>
      </c>
      <c r="F232" s="6" t="str">
        <f>IF('ENTRADAS-BASE'!E230="","",'ENTRADAS-BASE'!E230)</f>
        <v/>
      </c>
      <c r="G232" t="str">
        <f>IF('ENTRADAS-BASE'!F230="","",'ENTRADAS-BASE'!F230)</f>
        <v/>
      </c>
      <c r="H232" t="str">
        <f>IF('ENTRADAS-BASE'!G230="","",'ENTRADAS-BASE'!G230)</f>
        <v/>
      </c>
      <c r="I232" t="str">
        <f>IF('ENTRADAS-BASE'!H230="","",'ENTRADAS-BASE'!H230)</f>
        <v/>
      </c>
      <c r="J232" t="str">
        <f>IF('ENTRADAS-BASE'!I230="","",'ENTRADAS-BASE'!I230)</f>
        <v/>
      </c>
      <c r="K232" s="5" t="str">
        <f>IF('ENTRADAS-BASE'!J230="","",'ENTRADAS-BASE'!J230)</f>
        <v/>
      </c>
      <c r="L2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3" spans="2:12" x14ac:dyDescent="0.3">
      <c r="B233" t="str">
        <f>IF('ENTRADAS-BASE'!A231="","",'ENTRADAS-BASE'!A231)</f>
        <v/>
      </c>
      <c r="C233" t="str">
        <f>IF('ENTRADAS-BASE'!B231="","",'ENTRADAS-BASE'!B231)</f>
        <v/>
      </c>
      <c r="D233" t="str">
        <f>IF('ENTRADAS-BASE'!C231="","",'ENTRADAS-BASE'!C231)</f>
        <v/>
      </c>
      <c r="E233" s="7" t="str">
        <f>IF('ENTRADAS-BASE'!D231="","",'ENTRADAS-BASE'!D231)</f>
        <v/>
      </c>
      <c r="F233" s="6" t="str">
        <f>IF('ENTRADAS-BASE'!E231="","",'ENTRADAS-BASE'!E231)</f>
        <v/>
      </c>
      <c r="G233" t="str">
        <f>IF('ENTRADAS-BASE'!F231="","",'ENTRADAS-BASE'!F231)</f>
        <v/>
      </c>
      <c r="H233" t="str">
        <f>IF('ENTRADAS-BASE'!G231="","",'ENTRADAS-BASE'!G231)</f>
        <v/>
      </c>
      <c r="I233" t="str">
        <f>IF('ENTRADAS-BASE'!H231="","",'ENTRADAS-BASE'!H231)</f>
        <v/>
      </c>
      <c r="J233" t="str">
        <f>IF('ENTRADAS-BASE'!I231="","",'ENTRADAS-BASE'!I231)</f>
        <v/>
      </c>
      <c r="K233" s="5" t="str">
        <f>IF('ENTRADAS-BASE'!J231="","",'ENTRADAS-BASE'!J231)</f>
        <v/>
      </c>
      <c r="L2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4" spans="2:12" x14ac:dyDescent="0.3">
      <c r="B234" t="str">
        <f>IF('ENTRADAS-BASE'!A232="","",'ENTRADAS-BASE'!A232)</f>
        <v/>
      </c>
      <c r="C234" t="str">
        <f>IF('ENTRADAS-BASE'!B232="","",'ENTRADAS-BASE'!B232)</f>
        <v/>
      </c>
      <c r="D234" t="str">
        <f>IF('ENTRADAS-BASE'!C232="","",'ENTRADAS-BASE'!C232)</f>
        <v/>
      </c>
      <c r="E234" s="7" t="str">
        <f>IF('ENTRADAS-BASE'!D232="","",'ENTRADAS-BASE'!D232)</f>
        <v/>
      </c>
      <c r="F234" s="6" t="str">
        <f>IF('ENTRADAS-BASE'!E232="","",'ENTRADAS-BASE'!E232)</f>
        <v/>
      </c>
      <c r="G234" t="str">
        <f>IF('ENTRADAS-BASE'!F232="","",'ENTRADAS-BASE'!F232)</f>
        <v/>
      </c>
      <c r="H234" t="str">
        <f>IF('ENTRADAS-BASE'!G232="","",'ENTRADAS-BASE'!G232)</f>
        <v/>
      </c>
      <c r="I234" t="str">
        <f>IF('ENTRADAS-BASE'!H232="","",'ENTRADAS-BASE'!H232)</f>
        <v/>
      </c>
      <c r="J234" t="str">
        <f>IF('ENTRADAS-BASE'!I232="","",'ENTRADAS-BASE'!I232)</f>
        <v/>
      </c>
      <c r="K234" s="5" t="str">
        <f>IF('ENTRADAS-BASE'!J232="","",'ENTRADAS-BASE'!J232)</f>
        <v/>
      </c>
      <c r="L2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5" spans="2:12" x14ac:dyDescent="0.3">
      <c r="B235" t="str">
        <f>IF('ENTRADAS-BASE'!A233="","",'ENTRADAS-BASE'!A233)</f>
        <v/>
      </c>
      <c r="C235" t="str">
        <f>IF('ENTRADAS-BASE'!B233="","",'ENTRADAS-BASE'!B233)</f>
        <v/>
      </c>
      <c r="D235" t="str">
        <f>IF('ENTRADAS-BASE'!C233="","",'ENTRADAS-BASE'!C233)</f>
        <v/>
      </c>
      <c r="E235" s="7" t="str">
        <f>IF('ENTRADAS-BASE'!D233="","",'ENTRADAS-BASE'!D233)</f>
        <v/>
      </c>
      <c r="F235" s="6" t="str">
        <f>IF('ENTRADAS-BASE'!E233="","",'ENTRADAS-BASE'!E233)</f>
        <v/>
      </c>
      <c r="G235" t="str">
        <f>IF('ENTRADAS-BASE'!F233="","",'ENTRADAS-BASE'!F233)</f>
        <v/>
      </c>
      <c r="H235" t="str">
        <f>IF('ENTRADAS-BASE'!G233="","",'ENTRADAS-BASE'!G233)</f>
        <v/>
      </c>
      <c r="I235" t="str">
        <f>IF('ENTRADAS-BASE'!H233="","",'ENTRADAS-BASE'!H233)</f>
        <v/>
      </c>
      <c r="J235" t="str">
        <f>IF('ENTRADAS-BASE'!I233="","",'ENTRADAS-BASE'!I233)</f>
        <v/>
      </c>
      <c r="K235" s="5" t="str">
        <f>IF('ENTRADAS-BASE'!J233="","",'ENTRADAS-BASE'!J233)</f>
        <v/>
      </c>
      <c r="L2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6" spans="2:12" x14ac:dyDescent="0.3">
      <c r="B236" t="str">
        <f>IF('ENTRADAS-BASE'!A234="","",'ENTRADAS-BASE'!A234)</f>
        <v/>
      </c>
      <c r="C236" t="str">
        <f>IF('ENTRADAS-BASE'!B234="","",'ENTRADAS-BASE'!B234)</f>
        <v/>
      </c>
      <c r="D236" t="str">
        <f>IF('ENTRADAS-BASE'!C234="","",'ENTRADAS-BASE'!C234)</f>
        <v/>
      </c>
      <c r="E236" s="7" t="str">
        <f>IF('ENTRADAS-BASE'!D234="","",'ENTRADAS-BASE'!D234)</f>
        <v/>
      </c>
      <c r="F236" s="6" t="str">
        <f>IF('ENTRADAS-BASE'!E234="","",'ENTRADAS-BASE'!E234)</f>
        <v/>
      </c>
      <c r="G236" t="str">
        <f>IF('ENTRADAS-BASE'!F234="","",'ENTRADAS-BASE'!F234)</f>
        <v/>
      </c>
      <c r="H236" t="str">
        <f>IF('ENTRADAS-BASE'!G234="","",'ENTRADAS-BASE'!G234)</f>
        <v/>
      </c>
      <c r="I236" t="str">
        <f>IF('ENTRADAS-BASE'!H234="","",'ENTRADAS-BASE'!H234)</f>
        <v/>
      </c>
      <c r="J236" t="str">
        <f>IF('ENTRADAS-BASE'!I234="","",'ENTRADAS-BASE'!I234)</f>
        <v/>
      </c>
      <c r="K236" s="5" t="str">
        <f>IF('ENTRADAS-BASE'!J234="","",'ENTRADAS-BASE'!J234)</f>
        <v/>
      </c>
      <c r="L2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7" spans="2:12" x14ac:dyDescent="0.3">
      <c r="B237" t="str">
        <f>IF('ENTRADAS-BASE'!A235="","",'ENTRADAS-BASE'!A235)</f>
        <v/>
      </c>
      <c r="C237" t="str">
        <f>IF('ENTRADAS-BASE'!B235="","",'ENTRADAS-BASE'!B235)</f>
        <v/>
      </c>
      <c r="D237" t="str">
        <f>IF('ENTRADAS-BASE'!C235="","",'ENTRADAS-BASE'!C235)</f>
        <v/>
      </c>
      <c r="E237" s="7" t="str">
        <f>IF('ENTRADAS-BASE'!D235="","",'ENTRADAS-BASE'!D235)</f>
        <v/>
      </c>
      <c r="F237" s="6" t="str">
        <f>IF('ENTRADAS-BASE'!E235="","",'ENTRADAS-BASE'!E235)</f>
        <v/>
      </c>
      <c r="G237" t="str">
        <f>IF('ENTRADAS-BASE'!F235="","",'ENTRADAS-BASE'!F235)</f>
        <v/>
      </c>
      <c r="H237" t="str">
        <f>IF('ENTRADAS-BASE'!G235="","",'ENTRADAS-BASE'!G235)</f>
        <v/>
      </c>
      <c r="I237" t="str">
        <f>IF('ENTRADAS-BASE'!H235="","",'ENTRADAS-BASE'!H235)</f>
        <v/>
      </c>
      <c r="J237" t="str">
        <f>IF('ENTRADAS-BASE'!I235="","",'ENTRADAS-BASE'!I235)</f>
        <v/>
      </c>
      <c r="K237" s="5" t="str">
        <f>IF('ENTRADAS-BASE'!J235="","",'ENTRADAS-BASE'!J235)</f>
        <v/>
      </c>
      <c r="L2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8" spans="2:12" x14ac:dyDescent="0.3">
      <c r="B238" t="str">
        <f>IF('ENTRADAS-BASE'!A236="","",'ENTRADAS-BASE'!A236)</f>
        <v/>
      </c>
      <c r="C238" t="str">
        <f>IF('ENTRADAS-BASE'!B236="","",'ENTRADAS-BASE'!B236)</f>
        <v/>
      </c>
      <c r="D238" t="str">
        <f>IF('ENTRADAS-BASE'!C236="","",'ENTRADAS-BASE'!C236)</f>
        <v/>
      </c>
      <c r="E238" s="7" t="str">
        <f>IF('ENTRADAS-BASE'!D236="","",'ENTRADAS-BASE'!D236)</f>
        <v/>
      </c>
      <c r="F238" s="6" t="str">
        <f>IF('ENTRADAS-BASE'!E236="","",'ENTRADAS-BASE'!E236)</f>
        <v/>
      </c>
      <c r="G238" t="str">
        <f>IF('ENTRADAS-BASE'!F236="","",'ENTRADAS-BASE'!F236)</f>
        <v/>
      </c>
      <c r="H238" t="str">
        <f>IF('ENTRADAS-BASE'!G236="","",'ENTRADAS-BASE'!G236)</f>
        <v/>
      </c>
      <c r="I238" t="str">
        <f>IF('ENTRADAS-BASE'!H236="","",'ENTRADAS-BASE'!H236)</f>
        <v/>
      </c>
      <c r="J238" t="str">
        <f>IF('ENTRADAS-BASE'!I236="","",'ENTRADAS-BASE'!I236)</f>
        <v/>
      </c>
      <c r="K238" s="5" t="str">
        <f>IF('ENTRADAS-BASE'!J236="","",'ENTRADAS-BASE'!J236)</f>
        <v/>
      </c>
      <c r="L2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9" spans="2:12" x14ac:dyDescent="0.3">
      <c r="B239" t="str">
        <f>IF('ENTRADAS-BASE'!A237="","",'ENTRADAS-BASE'!A237)</f>
        <v/>
      </c>
      <c r="C239" t="str">
        <f>IF('ENTRADAS-BASE'!B237="","",'ENTRADAS-BASE'!B237)</f>
        <v/>
      </c>
      <c r="D239" t="str">
        <f>IF('ENTRADAS-BASE'!C237="","",'ENTRADAS-BASE'!C237)</f>
        <v/>
      </c>
      <c r="E239" s="7" t="str">
        <f>IF('ENTRADAS-BASE'!D237="","",'ENTRADAS-BASE'!D237)</f>
        <v/>
      </c>
      <c r="F239" s="6" t="str">
        <f>IF('ENTRADAS-BASE'!E237="","",'ENTRADAS-BASE'!E237)</f>
        <v/>
      </c>
      <c r="G239" t="str">
        <f>IF('ENTRADAS-BASE'!F237="","",'ENTRADAS-BASE'!F237)</f>
        <v/>
      </c>
      <c r="H239" t="str">
        <f>IF('ENTRADAS-BASE'!G237="","",'ENTRADAS-BASE'!G237)</f>
        <v/>
      </c>
      <c r="I239" t="str">
        <f>IF('ENTRADAS-BASE'!H237="","",'ENTRADAS-BASE'!H237)</f>
        <v/>
      </c>
      <c r="J239" t="str">
        <f>IF('ENTRADAS-BASE'!I237="","",'ENTRADAS-BASE'!I237)</f>
        <v/>
      </c>
      <c r="K239" s="5" t="str">
        <f>IF('ENTRADAS-BASE'!J237="","",'ENTRADAS-BASE'!J237)</f>
        <v/>
      </c>
      <c r="L2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0" spans="2:12" x14ac:dyDescent="0.3">
      <c r="B240" t="str">
        <f>IF('ENTRADAS-BASE'!A238="","",'ENTRADAS-BASE'!A238)</f>
        <v/>
      </c>
      <c r="C240" t="str">
        <f>IF('ENTRADAS-BASE'!B238="","",'ENTRADAS-BASE'!B238)</f>
        <v/>
      </c>
      <c r="D240" t="str">
        <f>IF('ENTRADAS-BASE'!C238="","",'ENTRADAS-BASE'!C238)</f>
        <v/>
      </c>
      <c r="E240" s="7" t="str">
        <f>IF('ENTRADAS-BASE'!D238="","",'ENTRADAS-BASE'!D238)</f>
        <v/>
      </c>
      <c r="F240" s="6" t="str">
        <f>IF('ENTRADAS-BASE'!E238="","",'ENTRADAS-BASE'!E238)</f>
        <v/>
      </c>
      <c r="G240" t="str">
        <f>IF('ENTRADAS-BASE'!F238="","",'ENTRADAS-BASE'!F238)</f>
        <v/>
      </c>
      <c r="H240" t="str">
        <f>IF('ENTRADAS-BASE'!G238="","",'ENTRADAS-BASE'!G238)</f>
        <v/>
      </c>
      <c r="I240" t="str">
        <f>IF('ENTRADAS-BASE'!H238="","",'ENTRADAS-BASE'!H238)</f>
        <v/>
      </c>
      <c r="J240" t="str">
        <f>IF('ENTRADAS-BASE'!I238="","",'ENTRADAS-BASE'!I238)</f>
        <v/>
      </c>
      <c r="K240" s="5" t="str">
        <f>IF('ENTRADAS-BASE'!J238="","",'ENTRADAS-BASE'!J238)</f>
        <v/>
      </c>
      <c r="L2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1" spans="2:12" x14ac:dyDescent="0.3">
      <c r="B241" t="str">
        <f>IF('ENTRADAS-BASE'!A239="","",'ENTRADAS-BASE'!A239)</f>
        <v/>
      </c>
      <c r="C241" t="str">
        <f>IF('ENTRADAS-BASE'!B239="","",'ENTRADAS-BASE'!B239)</f>
        <v/>
      </c>
      <c r="D241" t="str">
        <f>IF('ENTRADAS-BASE'!C239="","",'ENTRADAS-BASE'!C239)</f>
        <v/>
      </c>
      <c r="E241" s="7" t="str">
        <f>IF('ENTRADAS-BASE'!D239="","",'ENTRADAS-BASE'!D239)</f>
        <v/>
      </c>
      <c r="F241" s="6" t="str">
        <f>IF('ENTRADAS-BASE'!E239="","",'ENTRADAS-BASE'!E239)</f>
        <v/>
      </c>
      <c r="G241" t="str">
        <f>IF('ENTRADAS-BASE'!F239="","",'ENTRADAS-BASE'!F239)</f>
        <v/>
      </c>
      <c r="H241" t="str">
        <f>IF('ENTRADAS-BASE'!G239="","",'ENTRADAS-BASE'!G239)</f>
        <v/>
      </c>
      <c r="I241" t="str">
        <f>IF('ENTRADAS-BASE'!H239="","",'ENTRADAS-BASE'!H239)</f>
        <v/>
      </c>
      <c r="J241" t="str">
        <f>IF('ENTRADAS-BASE'!I239="","",'ENTRADAS-BASE'!I239)</f>
        <v/>
      </c>
      <c r="K241" s="5" t="str">
        <f>IF('ENTRADAS-BASE'!J239="","",'ENTRADAS-BASE'!J239)</f>
        <v/>
      </c>
      <c r="L2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2" spans="2:12" x14ac:dyDescent="0.3">
      <c r="B242" t="str">
        <f>IF('ENTRADAS-BASE'!A240="","",'ENTRADAS-BASE'!A240)</f>
        <v/>
      </c>
      <c r="C242" t="str">
        <f>IF('ENTRADAS-BASE'!B240="","",'ENTRADAS-BASE'!B240)</f>
        <v/>
      </c>
      <c r="D242" t="str">
        <f>IF('ENTRADAS-BASE'!C240="","",'ENTRADAS-BASE'!C240)</f>
        <v/>
      </c>
      <c r="E242" s="7" t="str">
        <f>IF('ENTRADAS-BASE'!D240="","",'ENTRADAS-BASE'!D240)</f>
        <v/>
      </c>
      <c r="F242" s="6" t="str">
        <f>IF('ENTRADAS-BASE'!E240="","",'ENTRADAS-BASE'!E240)</f>
        <v/>
      </c>
      <c r="G242" t="str">
        <f>IF('ENTRADAS-BASE'!F240="","",'ENTRADAS-BASE'!F240)</f>
        <v/>
      </c>
      <c r="H242" t="str">
        <f>IF('ENTRADAS-BASE'!G240="","",'ENTRADAS-BASE'!G240)</f>
        <v/>
      </c>
      <c r="I242" t="str">
        <f>IF('ENTRADAS-BASE'!H240="","",'ENTRADAS-BASE'!H240)</f>
        <v/>
      </c>
      <c r="J242" t="str">
        <f>IF('ENTRADAS-BASE'!I240="","",'ENTRADAS-BASE'!I240)</f>
        <v/>
      </c>
      <c r="K242" s="5" t="str">
        <f>IF('ENTRADAS-BASE'!J240="","",'ENTRADAS-BASE'!J240)</f>
        <v/>
      </c>
      <c r="L2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3" spans="2:12" x14ac:dyDescent="0.3">
      <c r="B243" t="str">
        <f>IF('ENTRADAS-BASE'!A241="","",'ENTRADAS-BASE'!A241)</f>
        <v/>
      </c>
      <c r="C243" t="str">
        <f>IF('ENTRADAS-BASE'!B241="","",'ENTRADAS-BASE'!B241)</f>
        <v/>
      </c>
      <c r="D243" t="str">
        <f>IF('ENTRADAS-BASE'!C241="","",'ENTRADAS-BASE'!C241)</f>
        <v/>
      </c>
      <c r="E243" s="7" t="str">
        <f>IF('ENTRADAS-BASE'!D241="","",'ENTRADAS-BASE'!D241)</f>
        <v/>
      </c>
      <c r="F243" s="6" t="str">
        <f>IF('ENTRADAS-BASE'!E241="","",'ENTRADAS-BASE'!E241)</f>
        <v/>
      </c>
      <c r="G243" t="str">
        <f>IF('ENTRADAS-BASE'!F241="","",'ENTRADAS-BASE'!F241)</f>
        <v/>
      </c>
      <c r="H243" t="str">
        <f>IF('ENTRADAS-BASE'!G241="","",'ENTRADAS-BASE'!G241)</f>
        <v/>
      </c>
      <c r="I243" t="str">
        <f>IF('ENTRADAS-BASE'!H241="","",'ENTRADAS-BASE'!H241)</f>
        <v/>
      </c>
      <c r="J243" t="str">
        <f>IF('ENTRADAS-BASE'!I241="","",'ENTRADAS-BASE'!I241)</f>
        <v/>
      </c>
      <c r="K243" s="5" t="str">
        <f>IF('ENTRADAS-BASE'!J241="","",'ENTRADAS-BASE'!J241)</f>
        <v/>
      </c>
      <c r="L2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4" spans="2:12" x14ac:dyDescent="0.3">
      <c r="B244" t="str">
        <f>IF('ENTRADAS-BASE'!A242="","",'ENTRADAS-BASE'!A242)</f>
        <v/>
      </c>
      <c r="C244" t="str">
        <f>IF('ENTRADAS-BASE'!B242="","",'ENTRADAS-BASE'!B242)</f>
        <v/>
      </c>
      <c r="D244" t="str">
        <f>IF('ENTRADAS-BASE'!C242="","",'ENTRADAS-BASE'!C242)</f>
        <v/>
      </c>
      <c r="E244" s="7" t="str">
        <f>IF('ENTRADAS-BASE'!D242="","",'ENTRADAS-BASE'!D242)</f>
        <v/>
      </c>
      <c r="F244" s="6" t="str">
        <f>IF('ENTRADAS-BASE'!E242="","",'ENTRADAS-BASE'!E242)</f>
        <v/>
      </c>
      <c r="G244" t="str">
        <f>IF('ENTRADAS-BASE'!F242="","",'ENTRADAS-BASE'!F242)</f>
        <v/>
      </c>
      <c r="H244" t="str">
        <f>IF('ENTRADAS-BASE'!G242="","",'ENTRADAS-BASE'!G242)</f>
        <v/>
      </c>
      <c r="I244" t="str">
        <f>IF('ENTRADAS-BASE'!H242="","",'ENTRADAS-BASE'!H242)</f>
        <v/>
      </c>
      <c r="J244" t="str">
        <f>IF('ENTRADAS-BASE'!I242="","",'ENTRADAS-BASE'!I242)</f>
        <v/>
      </c>
      <c r="K244" s="5" t="str">
        <f>IF('ENTRADAS-BASE'!J242="","",'ENTRADAS-BASE'!J242)</f>
        <v/>
      </c>
      <c r="L2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5" spans="2:12" x14ac:dyDescent="0.3">
      <c r="B245" t="str">
        <f>IF('ENTRADAS-BASE'!A243="","",'ENTRADAS-BASE'!A243)</f>
        <v/>
      </c>
      <c r="C245" t="str">
        <f>IF('ENTRADAS-BASE'!B243="","",'ENTRADAS-BASE'!B243)</f>
        <v/>
      </c>
      <c r="D245" t="str">
        <f>IF('ENTRADAS-BASE'!C243="","",'ENTRADAS-BASE'!C243)</f>
        <v/>
      </c>
      <c r="E245" s="7" t="str">
        <f>IF('ENTRADAS-BASE'!D243="","",'ENTRADAS-BASE'!D243)</f>
        <v/>
      </c>
      <c r="F245" s="6" t="str">
        <f>IF('ENTRADAS-BASE'!E243="","",'ENTRADAS-BASE'!E243)</f>
        <v/>
      </c>
      <c r="G245" t="str">
        <f>IF('ENTRADAS-BASE'!F243="","",'ENTRADAS-BASE'!F243)</f>
        <v/>
      </c>
      <c r="H245" t="str">
        <f>IF('ENTRADAS-BASE'!G243="","",'ENTRADAS-BASE'!G243)</f>
        <v/>
      </c>
      <c r="I245" t="str">
        <f>IF('ENTRADAS-BASE'!H243="","",'ENTRADAS-BASE'!H243)</f>
        <v/>
      </c>
      <c r="J245" t="str">
        <f>IF('ENTRADAS-BASE'!I243="","",'ENTRADAS-BASE'!I243)</f>
        <v/>
      </c>
      <c r="K245" s="5" t="str">
        <f>IF('ENTRADAS-BASE'!J243="","",'ENTRADAS-BASE'!J243)</f>
        <v/>
      </c>
      <c r="L2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6" spans="2:12" x14ac:dyDescent="0.3">
      <c r="B246" t="str">
        <f>IF('ENTRADAS-BASE'!A244="","",'ENTRADAS-BASE'!A244)</f>
        <v/>
      </c>
      <c r="C246" t="str">
        <f>IF('ENTRADAS-BASE'!B244="","",'ENTRADAS-BASE'!B244)</f>
        <v/>
      </c>
      <c r="D246" t="str">
        <f>IF('ENTRADAS-BASE'!C244="","",'ENTRADAS-BASE'!C244)</f>
        <v/>
      </c>
      <c r="E246" s="7" t="str">
        <f>IF('ENTRADAS-BASE'!D244="","",'ENTRADAS-BASE'!D244)</f>
        <v/>
      </c>
      <c r="F246" s="6" t="str">
        <f>IF('ENTRADAS-BASE'!E244="","",'ENTRADAS-BASE'!E244)</f>
        <v/>
      </c>
      <c r="G246" t="str">
        <f>IF('ENTRADAS-BASE'!F244="","",'ENTRADAS-BASE'!F244)</f>
        <v/>
      </c>
      <c r="H246" t="str">
        <f>IF('ENTRADAS-BASE'!G244="","",'ENTRADAS-BASE'!G244)</f>
        <v/>
      </c>
      <c r="I246" t="str">
        <f>IF('ENTRADAS-BASE'!H244="","",'ENTRADAS-BASE'!H244)</f>
        <v/>
      </c>
      <c r="J246" t="str">
        <f>IF('ENTRADAS-BASE'!I244="","",'ENTRADAS-BASE'!I244)</f>
        <v/>
      </c>
      <c r="K246" s="5" t="str">
        <f>IF('ENTRADAS-BASE'!J244="","",'ENTRADAS-BASE'!J244)</f>
        <v/>
      </c>
      <c r="L2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7" spans="2:12" x14ac:dyDescent="0.3">
      <c r="B247" t="str">
        <f>IF('ENTRADAS-BASE'!A245="","",'ENTRADAS-BASE'!A245)</f>
        <v/>
      </c>
      <c r="C247" t="str">
        <f>IF('ENTRADAS-BASE'!B245="","",'ENTRADAS-BASE'!B245)</f>
        <v/>
      </c>
      <c r="D247" t="str">
        <f>IF('ENTRADAS-BASE'!C245="","",'ENTRADAS-BASE'!C245)</f>
        <v/>
      </c>
      <c r="E247" s="7" t="str">
        <f>IF('ENTRADAS-BASE'!D245="","",'ENTRADAS-BASE'!D245)</f>
        <v/>
      </c>
      <c r="F247" s="6" t="str">
        <f>IF('ENTRADAS-BASE'!E245="","",'ENTRADAS-BASE'!E245)</f>
        <v/>
      </c>
      <c r="G247" t="str">
        <f>IF('ENTRADAS-BASE'!F245="","",'ENTRADAS-BASE'!F245)</f>
        <v/>
      </c>
      <c r="H247" t="str">
        <f>IF('ENTRADAS-BASE'!G245="","",'ENTRADAS-BASE'!G245)</f>
        <v/>
      </c>
      <c r="I247" t="str">
        <f>IF('ENTRADAS-BASE'!H245="","",'ENTRADAS-BASE'!H245)</f>
        <v/>
      </c>
      <c r="J247" t="str">
        <f>IF('ENTRADAS-BASE'!I245="","",'ENTRADAS-BASE'!I245)</f>
        <v/>
      </c>
      <c r="K247" s="5" t="str">
        <f>IF('ENTRADAS-BASE'!J245="","",'ENTRADAS-BASE'!J245)</f>
        <v/>
      </c>
      <c r="L2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8" spans="2:12" x14ac:dyDescent="0.3">
      <c r="B248" t="str">
        <f>IF('ENTRADAS-BASE'!A246="","",'ENTRADAS-BASE'!A246)</f>
        <v/>
      </c>
      <c r="C248" t="str">
        <f>IF('ENTRADAS-BASE'!B246="","",'ENTRADAS-BASE'!B246)</f>
        <v/>
      </c>
      <c r="D248" t="str">
        <f>IF('ENTRADAS-BASE'!C246="","",'ENTRADAS-BASE'!C246)</f>
        <v/>
      </c>
      <c r="E248" s="7" t="str">
        <f>IF('ENTRADAS-BASE'!D246="","",'ENTRADAS-BASE'!D246)</f>
        <v/>
      </c>
      <c r="F248" s="6" t="str">
        <f>IF('ENTRADAS-BASE'!E246="","",'ENTRADAS-BASE'!E246)</f>
        <v/>
      </c>
      <c r="G248" t="str">
        <f>IF('ENTRADAS-BASE'!F246="","",'ENTRADAS-BASE'!F246)</f>
        <v/>
      </c>
      <c r="H248" t="str">
        <f>IF('ENTRADAS-BASE'!G246="","",'ENTRADAS-BASE'!G246)</f>
        <v/>
      </c>
      <c r="I248" t="str">
        <f>IF('ENTRADAS-BASE'!H246="","",'ENTRADAS-BASE'!H246)</f>
        <v/>
      </c>
      <c r="J248" t="str">
        <f>IF('ENTRADAS-BASE'!I246="","",'ENTRADAS-BASE'!I246)</f>
        <v/>
      </c>
      <c r="K248" s="5" t="str">
        <f>IF('ENTRADAS-BASE'!J246="","",'ENTRADAS-BASE'!J246)</f>
        <v/>
      </c>
      <c r="L2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9" spans="2:12" x14ac:dyDescent="0.3">
      <c r="B249" t="str">
        <f>IF('ENTRADAS-BASE'!A247="","",'ENTRADAS-BASE'!A247)</f>
        <v/>
      </c>
      <c r="C249" t="str">
        <f>IF('ENTRADAS-BASE'!B247="","",'ENTRADAS-BASE'!B247)</f>
        <v/>
      </c>
      <c r="D249" t="str">
        <f>IF('ENTRADAS-BASE'!C247="","",'ENTRADAS-BASE'!C247)</f>
        <v/>
      </c>
      <c r="E249" s="7" t="str">
        <f>IF('ENTRADAS-BASE'!D247="","",'ENTRADAS-BASE'!D247)</f>
        <v/>
      </c>
      <c r="F249" s="6" t="str">
        <f>IF('ENTRADAS-BASE'!E247="","",'ENTRADAS-BASE'!E247)</f>
        <v/>
      </c>
      <c r="G249" t="str">
        <f>IF('ENTRADAS-BASE'!F247="","",'ENTRADAS-BASE'!F247)</f>
        <v/>
      </c>
      <c r="H249" t="str">
        <f>IF('ENTRADAS-BASE'!G247="","",'ENTRADAS-BASE'!G247)</f>
        <v/>
      </c>
      <c r="I249" t="str">
        <f>IF('ENTRADAS-BASE'!H247="","",'ENTRADAS-BASE'!H247)</f>
        <v/>
      </c>
      <c r="J249" t="str">
        <f>IF('ENTRADAS-BASE'!I247="","",'ENTRADAS-BASE'!I247)</f>
        <v/>
      </c>
      <c r="K249" s="5" t="str">
        <f>IF('ENTRADAS-BASE'!J247="","",'ENTRADAS-BASE'!J247)</f>
        <v/>
      </c>
      <c r="L2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0" spans="2:12" x14ac:dyDescent="0.3">
      <c r="B250" t="str">
        <f>IF('ENTRADAS-BASE'!A248="","",'ENTRADAS-BASE'!A248)</f>
        <v/>
      </c>
      <c r="C250" t="str">
        <f>IF('ENTRADAS-BASE'!B248="","",'ENTRADAS-BASE'!B248)</f>
        <v/>
      </c>
      <c r="D250" t="str">
        <f>IF('ENTRADAS-BASE'!C248="","",'ENTRADAS-BASE'!C248)</f>
        <v/>
      </c>
      <c r="E250" s="7" t="str">
        <f>IF('ENTRADAS-BASE'!D248="","",'ENTRADAS-BASE'!D248)</f>
        <v/>
      </c>
      <c r="F250" s="6" t="str">
        <f>IF('ENTRADAS-BASE'!E248="","",'ENTRADAS-BASE'!E248)</f>
        <v/>
      </c>
      <c r="G250" t="str">
        <f>IF('ENTRADAS-BASE'!F248="","",'ENTRADAS-BASE'!F248)</f>
        <v/>
      </c>
      <c r="H250" t="str">
        <f>IF('ENTRADAS-BASE'!G248="","",'ENTRADAS-BASE'!G248)</f>
        <v/>
      </c>
      <c r="I250" t="str">
        <f>IF('ENTRADAS-BASE'!H248="","",'ENTRADAS-BASE'!H248)</f>
        <v/>
      </c>
      <c r="J250" t="str">
        <f>IF('ENTRADAS-BASE'!I248="","",'ENTRADAS-BASE'!I248)</f>
        <v/>
      </c>
      <c r="K250" s="5" t="str">
        <f>IF('ENTRADAS-BASE'!J248="","",'ENTRADAS-BASE'!J248)</f>
        <v/>
      </c>
      <c r="L2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1" spans="2:12" x14ac:dyDescent="0.3">
      <c r="B251" t="str">
        <f>IF('ENTRADAS-BASE'!A249="","",'ENTRADAS-BASE'!A249)</f>
        <v/>
      </c>
      <c r="C251" t="str">
        <f>IF('ENTRADAS-BASE'!B249="","",'ENTRADAS-BASE'!B249)</f>
        <v/>
      </c>
      <c r="D251" t="str">
        <f>IF('ENTRADAS-BASE'!C249="","",'ENTRADAS-BASE'!C249)</f>
        <v/>
      </c>
      <c r="E251" s="7" t="str">
        <f>IF('ENTRADAS-BASE'!D249="","",'ENTRADAS-BASE'!D249)</f>
        <v/>
      </c>
      <c r="F251" s="6" t="str">
        <f>IF('ENTRADAS-BASE'!E249="","",'ENTRADAS-BASE'!E249)</f>
        <v/>
      </c>
      <c r="G251" t="str">
        <f>IF('ENTRADAS-BASE'!F249="","",'ENTRADAS-BASE'!F249)</f>
        <v/>
      </c>
      <c r="H251" t="str">
        <f>IF('ENTRADAS-BASE'!G249="","",'ENTRADAS-BASE'!G249)</f>
        <v/>
      </c>
      <c r="I251" t="str">
        <f>IF('ENTRADAS-BASE'!H249="","",'ENTRADAS-BASE'!H249)</f>
        <v/>
      </c>
      <c r="J251" t="str">
        <f>IF('ENTRADAS-BASE'!I249="","",'ENTRADAS-BASE'!I249)</f>
        <v/>
      </c>
      <c r="K251" s="5" t="str">
        <f>IF('ENTRADAS-BASE'!J249="","",'ENTRADAS-BASE'!J249)</f>
        <v/>
      </c>
      <c r="L2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2" spans="2:12" x14ac:dyDescent="0.3">
      <c r="B252" t="str">
        <f>IF('ENTRADAS-BASE'!A250="","",'ENTRADAS-BASE'!A250)</f>
        <v/>
      </c>
      <c r="C252" t="str">
        <f>IF('ENTRADAS-BASE'!B250="","",'ENTRADAS-BASE'!B250)</f>
        <v/>
      </c>
      <c r="D252" t="str">
        <f>IF('ENTRADAS-BASE'!C250="","",'ENTRADAS-BASE'!C250)</f>
        <v/>
      </c>
      <c r="E252" s="7" t="str">
        <f>IF('ENTRADAS-BASE'!D250="","",'ENTRADAS-BASE'!D250)</f>
        <v/>
      </c>
      <c r="F252" s="6" t="str">
        <f>IF('ENTRADAS-BASE'!E250="","",'ENTRADAS-BASE'!E250)</f>
        <v/>
      </c>
      <c r="G252" t="str">
        <f>IF('ENTRADAS-BASE'!F250="","",'ENTRADAS-BASE'!F250)</f>
        <v/>
      </c>
      <c r="H252" t="str">
        <f>IF('ENTRADAS-BASE'!G250="","",'ENTRADAS-BASE'!G250)</f>
        <v/>
      </c>
      <c r="I252" t="str">
        <f>IF('ENTRADAS-BASE'!H250="","",'ENTRADAS-BASE'!H250)</f>
        <v/>
      </c>
      <c r="J252" t="str">
        <f>IF('ENTRADAS-BASE'!I250="","",'ENTRADAS-BASE'!I250)</f>
        <v/>
      </c>
      <c r="K252" s="5" t="str">
        <f>IF('ENTRADAS-BASE'!J250="","",'ENTRADAS-BASE'!J250)</f>
        <v/>
      </c>
      <c r="L2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3" spans="2:12" x14ac:dyDescent="0.3">
      <c r="B253" t="str">
        <f>IF('ENTRADAS-BASE'!A251="","",'ENTRADAS-BASE'!A251)</f>
        <v/>
      </c>
      <c r="C253" t="str">
        <f>IF('ENTRADAS-BASE'!B251="","",'ENTRADAS-BASE'!B251)</f>
        <v/>
      </c>
      <c r="D253" t="str">
        <f>IF('ENTRADAS-BASE'!C251="","",'ENTRADAS-BASE'!C251)</f>
        <v/>
      </c>
      <c r="E253" s="7" t="str">
        <f>IF('ENTRADAS-BASE'!D251="","",'ENTRADAS-BASE'!D251)</f>
        <v/>
      </c>
      <c r="F253" s="6" t="str">
        <f>IF('ENTRADAS-BASE'!E251="","",'ENTRADAS-BASE'!E251)</f>
        <v/>
      </c>
      <c r="G253" t="str">
        <f>IF('ENTRADAS-BASE'!F251="","",'ENTRADAS-BASE'!F251)</f>
        <v/>
      </c>
      <c r="H253" t="str">
        <f>IF('ENTRADAS-BASE'!G251="","",'ENTRADAS-BASE'!G251)</f>
        <v/>
      </c>
      <c r="I253" t="str">
        <f>IF('ENTRADAS-BASE'!H251="","",'ENTRADAS-BASE'!H251)</f>
        <v/>
      </c>
      <c r="J253" t="str">
        <f>IF('ENTRADAS-BASE'!I251="","",'ENTRADAS-BASE'!I251)</f>
        <v/>
      </c>
      <c r="K253" s="5" t="str">
        <f>IF('ENTRADAS-BASE'!J251="","",'ENTRADAS-BASE'!J251)</f>
        <v/>
      </c>
      <c r="L2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4" spans="2:12" x14ac:dyDescent="0.3">
      <c r="B254" t="str">
        <f>IF('ENTRADAS-BASE'!A252="","",'ENTRADAS-BASE'!A252)</f>
        <v/>
      </c>
      <c r="C254" t="str">
        <f>IF('ENTRADAS-BASE'!B252="","",'ENTRADAS-BASE'!B252)</f>
        <v/>
      </c>
      <c r="D254" t="str">
        <f>IF('ENTRADAS-BASE'!C252="","",'ENTRADAS-BASE'!C252)</f>
        <v/>
      </c>
      <c r="E254" s="7" t="str">
        <f>IF('ENTRADAS-BASE'!D252="","",'ENTRADAS-BASE'!D252)</f>
        <v/>
      </c>
      <c r="F254" s="6" t="str">
        <f>IF('ENTRADAS-BASE'!E252="","",'ENTRADAS-BASE'!E252)</f>
        <v/>
      </c>
      <c r="G254" t="str">
        <f>IF('ENTRADAS-BASE'!F252="","",'ENTRADAS-BASE'!F252)</f>
        <v/>
      </c>
      <c r="H254" t="str">
        <f>IF('ENTRADAS-BASE'!G252="","",'ENTRADAS-BASE'!G252)</f>
        <v/>
      </c>
      <c r="I254" t="str">
        <f>IF('ENTRADAS-BASE'!H252="","",'ENTRADAS-BASE'!H252)</f>
        <v/>
      </c>
      <c r="J254" t="str">
        <f>IF('ENTRADAS-BASE'!I252="","",'ENTRADAS-BASE'!I252)</f>
        <v/>
      </c>
      <c r="K254" s="5" t="str">
        <f>IF('ENTRADAS-BASE'!J252="","",'ENTRADAS-BASE'!J252)</f>
        <v/>
      </c>
      <c r="L2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5" spans="2:12" x14ac:dyDescent="0.3">
      <c r="B255" t="str">
        <f>IF('ENTRADAS-BASE'!A253="","",'ENTRADAS-BASE'!A253)</f>
        <v/>
      </c>
      <c r="C255" t="str">
        <f>IF('ENTRADAS-BASE'!B253="","",'ENTRADAS-BASE'!B253)</f>
        <v/>
      </c>
      <c r="D255" t="str">
        <f>IF('ENTRADAS-BASE'!C253="","",'ENTRADAS-BASE'!C253)</f>
        <v/>
      </c>
      <c r="E255" s="7" t="str">
        <f>IF('ENTRADAS-BASE'!D253="","",'ENTRADAS-BASE'!D253)</f>
        <v/>
      </c>
      <c r="F255" s="6" t="str">
        <f>IF('ENTRADAS-BASE'!E253="","",'ENTRADAS-BASE'!E253)</f>
        <v/>
      </c>
      <c r="G255" t="str">
        <f>IF('ENTRADAS-BASE'!F253="","",'ENTRADAS-BASE'!F253)</f>
        <v/>
      </c>
      <c r="H255" t="str">
        <f>IF('ENTRADAS-BASE'!G253="","",'ENTRADAS-BASE'!G253)</f>
        <v/>
      </c>
      <c r="I255" t="str">
        <f>IF('ENTRADAS-BASE'!H253="","",'ENTRADAS-BASE'!H253)</f>
        <v/>
      </c>
      <c r="J255" t="str">
        <f>IF('ENTRADAS-BASE'!I253="","",'ENTRADAS-BASE'!I253)</f>
        <v/>
      </c>
      <c r="K255" s="5" t="str">
        <f>IF('ENTRADAS-BASE'!J253="","",'ENTRADAS-BASE'!J253)</f>
        <v/>
      </c>
      <c r="L2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6" spans="2:12" x14ac:dyDescent="0.3">
      <c r="B256" t="str">
        <f>IF('ENTRADAS-BASE'!A254="","",'ENTRADAS-BASE'!A254)</f>
        <v/>
      </c>
      <c r="C256" t="str">
        <f>IF('ENTRADAS-BASE'!B254="","",'ENTRADAS-BASE'!B254)</f>
        <v/>
      </c>
      <c r="D256" t="str">
        <f>IF('ENTRADAS-BASE'!C254="","",'ENTRADAS-BASE'!C254)</f>
        <v/>
      </c>
      <c r="E256" s="7" t="str">
        <f>IF('ENTRADAS-BASE'!D254="","",'ENTRADAS-BASE'!D254)</f>
        <v/>
      </c>
      <c r="F256" s="6" t="str">
        <f>IF('ENTRADAS-BASE'!E254="","",'ENTRADAS-BASE'!E254)</f>
        <v/>
      </c>
      <c r="G256" t="str">
        <f>IF('ENTRADAS-BASE'!F254="","",'ENTRADAS-BASE'!F254)</f>
        <v/>
      </c>
      <c r="H256" t="str">
        <f>IF('ENTRADAS-BASE'!G254="","",'ENTRADAS-BASE'!G254)</f>
        <v/>
      </c>
      <c r="I256" t="str">
        <f>IF('ENTRADAS-BASE'!H254="","",'ENTRADAS-BASE'!H254)</f>
        <v/>
      </c>
      <c r="J256" t="str">
        <f>IF('ENTRADAS-BASE'!I254="","",'ENTRADAS-BASE'!I254)</f>
        <v/>
      </c>
      <c r="K256" s="5" t="str">
        <f>IF('ENTRADAS-BASE'!J254="","",'ENTRADAS-BASE'!J254)</f>
        <v/>
      </c>
      <c r="L2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7" spans="2:12" x14ac:dyDescent="0.3">
      <c r="B257" t="str">
        <f>IF('ENTRADAS-BASE'!A255="","",'ENTRADAS-BASE'!A255)</f>
        <v/>
      </c>
      <c r="C257" t="str">
        <f>IF('ENTRADAS-BASE'!B255="","",'ENTRADAS-BASE'!B255)</f>
        <v/>
      </c>
      <c r="D257" t="str">
        <f>IF('ENTRADAS-BASE'!C255="","",'ENTRADAS-BASE'!C255)</f>
        <v/>
      </c>
      <c r="E257" s="7" t="str">
        <f>IF('ENTRADAS-BASE'!D255="","",'ENTRADAS-BASE'!D255)</f>
        <v/>
      </c>
      <c r="F257" s="6" t="str">
        <f>IF('ENTRADAS-BASE'!E255="","",'ENTRADAS-BASE'!E255)</f>
        <v/>
      </c>
      <c r="G257" t="str">
        <f>IF('ENTRADAS-BASE'!F255="","",'ENTRADAS-BASE'!F255)</f>
        <v/>
      </c>
      <c r="H257" t="str">
        <f>IF('ENTRADAS-BASE'!G255="","",'ENTRADAS-BASE'!G255)</f>
        <v/>
      </c>
      <c r="I257" t="str">
        <f>IF('ENTRADAS-BASE'!H255="","",'ENTRADAS-BASE'!H255)</f>
        <v/>
      </c>
      <c r="J257" t="str">
        <f>IF('ENTRADAS-BASE'!I255="","",'ENTRADAS-BASE'!I255)</f>
        <v/>
      </c>
      <c r="K257" s="5" t="str">
        <f>IF('ENTRADAS-BASE'!J255="","",'ENTRADAS-BASE'!J255)</f>
        <v/>
      </c>
      <c r="L2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8" spans="2:12" x14ac:dyDescent="0.3">
      <c r="B258" t="str">
        <f>IF('ENTRADAS-BASE'!A256="","",'ENTRADAS-BASE'!A256)</f>
        <v/>
      </c>
      <c r="C258" t="str">
        <f>IF('ENTRADAS-BASE'!B256="","",'ENTRADAS-BASE'!B256)</f>
        <v/>
      </c>
      <c r="D258" t="str">
        <f>IF('ENTRADAS-BASE'!C256="","",'ENTRADAS-BASE'!C256)</f>
        <v/>
      </c>
      <c r="E258" s="7" t="str">
        <f>IF('ENTRADAS-BASE'!D256="","",'ENTRADAS-BASE'!D256)</f>
        <v/>
      </c>
      <c r="F258" s="6" t="str">
        <f>IF('ENTRADAS-BASE'!E256="","",'ENTRADAS-BASE'!E256)</f>
        <v/>
      </c>
      <c r="G258" t="str">
        <f>IF('ENTRADAS-BASE'!F256="","",'ENTRADAS-BASE'!F256)</f>
        <v/>
      </c>
      <c r="H258" t="str">
        <f>IF('ENTRADAS-BASE'!G256="","",'ENTRADAS-BASE'!G256)</f>
        <v/>
      </c>
      <c r="I258" t="str">
        <f>IF('ENTRADAS-BASE'!H256="","",'ENTRADAS-BASE'!H256)</f>
        <v/>
      </c>
      <c r="J258" t="str">
        <f>IF('ENTRADAS-BASE'!I256="","",'ENTRADAS-BASE'!I256)</f>
        <v/>
      </c>
      <c r="K258" s="5" t="str">
        <f>IF('ENTRADAS-BASE'!J256="","",'ENTRADAS-BASE'!J256)</f>
        <v/>
      </c>
      <c r="L2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9" spans="2:12" x14ac:dyDescent="0.3">
      <c r="B259" t="str">
        <f>IF('ENTRADAS-BASE'!A257="","",'ENTRADAS-BASE'!A257)</f>
        <v/>
      </c>
      <c r="C259" t="str">
        <f>IF('ENTRADAS-BASE'!B257="","",'ENTRADAS-BASE'!B257)</f>
        <v/>
      </c>
      <c r="D259" t="str">
        <f>IF('ENTRADAS-BASE'!C257="","",'ENTRADAS-BASE'!C257)</f>
        <v/>
      </c>
      <c r="E259" s="7" t="str">
        <f>IF('ENTRADAS-BASE'!D257="","",'ENTRADAS-BASE'!D257)</f>
        <v/>
      </c>
      <c r="F259" s="6" t="str">
        <f>IF('ENTRADAS-BASE'!E257="","",'ENTRADAS-BASE'!E257)</f>
        <v/>
      </c>
      <c r="G259" t="str">
        <f>IF('ENTRADAS-BASE'!F257="","",'ENTRADAS-BASE'!F257)</f>
        <v/>
      </c>
      <c r="H259" t="str">
        <f>IF('ENTRADAS-BASE'!G257="","",'ENTRADAS-BASE'!G257)</f>
        <v/>
      </c>
      <c r="I259" t="str">
        <f>IF('ENTRADAS-BASE'!H257="","",'ENTRADAS-BASE'!H257)</f>
        <v/>
      </c>
      <c r="J259" t="str">
        <f>IF('ENTRADAS-BASE'!I257="","",'ENTRADAS-BASE'!I257)</f>
        <v/>
      </c>
      <c r="K259" s="5" t="str">
        <f>IF('ENTRADAS-BASE'!J257="","",'ENTRADAS-BASE'!J257)</f>
        <v/>
      </c>
      <c r="L2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0" spans="2:12" x14ac:dyDescent="0.3">
      <c r="B260" t="str">
        <f>IF('ENTRADAS-BASE'!A258="","",'ENTRADAS-BASE'!A258)</f>
        <v/>
      </c>
      <c r="C260" t="str">
        <f>IF('ENTRADAS-BASE'!B258="","",'ENTRADAS-BASE'!B258)</f>
        <v/>
      </c>
      <c r="D260" t="str">
        <f>IF('ENTRADAS-BASE'!C258="","",'ENTRADAS-BASE'!C258)</f>
        <v/>
      </c>
      <c r="E260" s="7" t="str">
        <f>IF('ENTRADAS-BASE'!D258="","",'ENTRADAS-BASE'!D258)</f>
        <v/>
      </c>
      <c r="F260" s="6" t="str">
        <f>IF('ENTRADAS-BASE'!E258="","",'ENTRADAS-BASE'!E258)</f>
        <v/>
      </c>
      <c r="G260" t="str">
        <f>IF('ENTRADAS-BASE'!F258="","",'ENTRADAS-BASE'!F258)</f>
        <v/>
      </c>
      <c r="H260" t="str">
        <f>IF('ENTRADAS-BASE'!G258="","",'ENTRADAS-BASE'!G258)</f>
        <v/>
      </c>
      <c r="I260" t="str">
        <f>IF('ENTRADAS-BASE'!H258="","",'ENTRADAS-BASE'!H258)</f>
        <v/>
      </c>
      <c r="J260" t="str">
        <f>IF('ENTRADAS-BASE'!I258="","",'ENTRADAS-BASE'!I258)</f>
        <v/>
      </c>
      <c r="K260" s="5" t="str">
        <f>IF('ENTRADAS-BASE'!J258="","",'ENTRADAS-BASE'!J258)</f>
        <v/>
      </c>
      <c r="L2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1" spans="2:12" x14ac:dyDescent="0.3">
      <c r="B261" t="str">
        <f>IF('ENTRADAS-BASE'!A259="","",'ENTRADAS-BASE'!A259)</f>
        <v/>
      </c>
      <c r="C261" t="str">
        <f>IF('ENTRADAS-BASE'!B259="","",'ENTRADAS-BASE'!B259)</f>
        <v/>
      </c>
      <c r="D261" t="str">
        <f>IF('ENTRADAS-BASE'!C259="","",'ENTRADAS-BASE'!C259)</f>
        <v/>
      </c>
      <c r="E261" s="7" t="str">
        <f>IF('ENTRADAS-BASE'!D259="","",'ENTRADAS-BASE'!D259)</f>
        <v/>
      </c>
      <c r="F261" s="6" t="str">
        <f>IF('ENTRADAS-BASE'!E259="","",'ENTRADAS-BASE'!E259)</f>
        <v/>
      </c>
      <c r="G261" t="str">
        <f>IF('ENTRADAS-BASE'!F259="","",'ENTRADAS-BASE'!F259)</f>
        <v/>
      </c>
      <c r="H261" t="str">
        <f>IF('ENTRADAS-BASE'!G259="","",'ENTRADAS-BASE'!G259)</f>
        <v/>
      </c>
      <c r="I261" t="str">
        <f>IF('ENTRADAS-BASE'!H259="","",'ENTRADAS-BASE'!H259)</f>
        <v/>
      </c>
      <c r="J261" t="str">
        <f>IF('ENTRADAS-BASE'!I259="","",'ENTRADAS-BASE'!I259)</f>
        <v/>
      </c>
      <c r="K261" s="5" t="str">
        <f>IF('ENTRADAS-BASE'!J259="","",'ENTRADAS-BASE'!J259)</f>
        <v/>
      </c>
      <c r="L2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2" spans="2:12" x14ac:dyDescent="0.3">
      <c r="B262" t="str">
        <f>IF('ENTRADAS-BASE'!A260="","",'ENTRADAS-BASE'!A260)</f>
        <v/>
      </c>
      <c r="C262" t="str">
        <f>IF('ENTRADAS-BASE'!B260="","",'ENTRADAS-BASE'!B260)</f>
        <v/>
      </c>
      <c r="D262" t="str">
        <f>IF('ENTRADAS-BASE'!C260="","",'ENTRADAS-BASE'!C260)</f>
        <v/>
      </c>
      <c r="E262" s="7" t="str">
        <f>IF('ENTRADAS-BASE'!D260="","",'ENTRADAS-BASE'!D260)</f>
        <v/>
      </c>
      <c r="F262" s="6" t="str">
        <f>IF('ENTRADAS-BASE'!E260="","",'ENTRADAS-BASE'!E260)</f>
        <v/>
      </c>
      <c r="G262" t="str">
        <f>IF('ENTRADAS-BASE'!F260="","",'ENTRADAS-BASE'!F260)</f>
        <v/>
      </c>
      <c r="H262" t="str">
        <f>IF('ENTRADAS-BASE'!G260="","",'ENTRADAS-BASE'!G260)</f>
        <v/>
      </c>
      <c r="I262" t="str">
        <f>IF('ENTRADAS-BASE'!H260="","",'ENTRADAS-BASE'!H260)</f>
        <v/>
      </c>
      <c r="J262" t="str">
        <f>IF('ENTRADAS-BASE'!I260="","",'ENTRADAS-BASE'!I260)</f>
        <v/>
      </c>
      <c r="K262" s="5" t="str">
        <f>IF('ENTRADAS-BASE'!J260="","",'ENTRADAS-BASE'!J260)</f>
        <v/>
      </c>
      <c r="L2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3" spans="2:12" x14ac:dyDescent="0.3">
      <c r="B263" t="str">
        <f>IF('ENTRADAS-BASE'!A261="","",'ENTRADAS-BASE'!A261)</f>
        <v/>
      </c>
      <c r="C263" t="str">
        <f>IF('ENTRADAS-BASE'!B261="","",'ENTRADAS-BASE'!B261)</f>
        <v/>
      </c>
      <c r="D263" t="str">
        <f>IF('ENTRADAS-BASE'!C261="","",'ENTRADAS-BASE'!C261)</f>
        <v/>
      </c>
      <c r="E263" s="7" t="str">
        <f>IF('ENTRADAS-BASE'!D261="","",'ENTRADAS-BASE'!D261)</f>
        <v/>
      </c>
      <c r="F263" s="6" t="str">
        <f>IF('ENTRADAS-BASE'!E261="","",'ENTRADAS-BASE'!E261)</f>
        <v/>
      </c>
      <c r="G263" t="str">
        <f>IF('ENTRADAS-BASE'!F261="","",'ENTRADAS-BASE'!F261)</f>
        <v/>
      </c>
      <c r="H263" t="str">
        <f>IF('ENTRADAS-BASE'!G261="","",'ENTRADAS-BASE'!G261)</f>
        <v/>
      </c>
      <c r="I263" t="str">
        <f>IF('ENTRADAS-BASE'!H261="","",'ENTRADAS-BASE'!H261)</f>
        <v/>
      </c>
      <c r="J263" t="str">
        <f>IF('ENTRADAS-BASE'!I261="","",'ENTRADAS-BASE'!I261)</f>
        <v/>
      </c>
      <c r="K263" s="5" t="str">
        <f>IF('ENTRADAS-BASE'!J261="","",'ENTRADAS-BASE'!J261)</f>
        <v/>
      </c>
      <c r="L2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4" spans="2:12" x14ac:dyDescent="0.3">
      <c r="B264" t="str">
        <f>IF('ENTRADAS-BASE'!A262="","",'ENTRADAS-BASE'!A262)</f>
        <v/>
      </c>
      <c r="C264" t="str">
        <f>IF('ENTRADAS-BASE'!B262="","",'ENTRADAS-BASE'!B262)</f>
        <v/>
      </c>
      <c r="D264" t="str">
        <f>IF('ENTRADAS-BASE'!C262="","",'ENTRADAS-BASE'!C262)</f>
        <v/>
      </c>
      <c r="E264" s="7" t="str">
        <f>IF('ENTRADAS-BASE'!D262="","",'ENTRADAS-BASE'!D262)</f>
        <v/>
      </c>
      <c r="F264" s="6" t="str">
        <f>IF('ENTRADAS-BASE'!E262="","",'ENTRADAS-BASE'!E262)</f>
        <v/>
      </c>
      <c r="G264" t="str">
        <f>IF('ENTRADAS-BASE'!F262="","",'ENTRADAS-BASE'!F262)</f>
        <v/>
      </c>
      <c r="H264" t="str">
        <f>IF('ENTRADAS-BASE'!G262="","",'ENTRADAS-BASE'!G262)</f>
        <v/>
      </c>
      <c r="I264" t="str">
        <f>IF('ENTRADAS-BASE'!H262="","",'ENTRADAS-BASE'!H262)</f>
        <v/>
      </c>
      <c r="J264" t="str">
        <f>IF('ENTRADAS-BASE'!I262="","",'ENTRADAS-BASE'!I262)</f>
        <v/>
      </c>
      <c r="K264" s="5" t="str">
        <f>IF('ENTRADAS-BASE'!J262="","",'ENTRADAS-BASE'!J262)</f>
        <v/>
      </c>
      <c r="L2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5" spans="2:12" x14ac:dyDescent="0.3">
      <c r="B265" t="str">
        <f>IF('ENTRADAS-BASE'!A263="","",'ENTRADAS-BASE'!A263)</f>
        <v/>
      </c>
      <c r="C265" t="str">
        <f>IF('ENTRADAS-BASE'!B263="","",'ENTRADAS-BASE'!B263)</f>
        <v/>
      </c>
      <c r="D265" t="str">
        <f>IF('ENTRADAS-BASE'!C263="","",'ENTRADAS-BASE'!C263)</f>
        <v/>
      </c>
      <c r="E265" s="7" t="str">
        <f>IF('ENTRADAS-BASE'!D263="","",'ENTRADAS-BASE'!D263)</f>
        <v/>
      </c>
      <c r="F265" s="6" t="str">
        <f>IF('ENTRADAS-BASE'!E263="","",'ENTRADAS-BASE'!E263)</f>
        <v/>
      </c>
      <c r="G265" t="str">
        <f>IF('ENTRADAS-BASE'!F263="","",'ENTRADAS-BASE'!F263)</f>
        <v/>
      </c>
      <c r="H265" t="str">
        <f>IF('ENTRADAS-BASE'!G263="","",'ENTRADAS-BASE'!G263)</f>
        <v/>
      </c>
      <c r="I265" t="str">
        <f>IF('ENTRADAS-BASE'!H263="","",'ENTRADAS-BASE'!H263)</f>
        <v/>
      </c>
      <c r="J265" t="str">
        <f>IF('ENTRADAS-BASE'!I263="","",'ENTRADAS-BASE'!I263)</f>
        <v/>
      </c>
      <c r="K265" s="5" t="str">
        <f>IF('ENTRADAS-BASE'!J263="","",'ENTRADAS-BASE'!J263)</f>
        <v/>
      </c>
      <c r="L2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6" spans="2:12" x14ac:dyDescent="0.3">
      <c r="B266" t="str">
        <f>IF('ENTRADAS-BASE'!A264="","",'ENTRADAS-BASE'!A264)</f>
        <v/>
      </c>
      <c r="C266" t="str">
        <f>IF('ENTRADAS-BASE'!B264="","",'ENTRADAS-BASE'!B264)</f>
        <v/>
      </c>
      <c r="D266" t="str">
        <f>IF('ENTRADAS-BASE'!C264="","",'ENTRADAS-BASE'!C264)</f>
        <v/>
      </c>
      <c r="E266" s="7" t="str">
        <f>IF('ENTRADAS-BASE'!D264="","",'ENTRADAS-BASE'!D264)</f>
        <v/>
      </c>
      <c r="F266" s="6" t="str">
        <f>IF('ENTRADAS-BASE'!E264="","",'ENTRADAS-BASE'!E264)</f>
        <v/>
      </c>
      <c r="G266" t="str">
        <f>IF('ENTRADAS-BASE'!F264="","",'ENTRADAS-BASE'!F264)</f>
        <v/>
      </c>
      <c r="H266" t="str">
        <f>IF('ENTRADAS-BASE'!G264="","",'ENTRADAS-BASE'!G264)</f>
        <v/>
      </c>
      <c r="I266" t="str">
        <f>IF('ENTRADAS-BASE'!H264="","",'ENTRADAS-BASE'!H264)</f>
        <v/>
      </c>
      <c r="J266" t="str">
        <f>IF('ENTRADAS-BASE'!I264="","",'ENTRADAS-BASE'!I264)</f>
        <v/>
      </c>
      <c r="K266" s="5" t="str">
        <f>IF('ENTRADAS-BASE'!J264="","",'ENTRADAS-BASE'!J264)</f>
        <v/>
      </c>
      <c r="L2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7" spans="2:12" x14ac:dyDescent="0.3">
      <c r="B267" t="str">
        <f>IF('ENTRADAS-BASE'!A265="","",'ENTRADAS-BASE'!A265)</f>
        <v/>
      </c>
      <c r="C267" t="str">
        <f>IF('ENTRADAS-BASE'!B265="","",'ENTRADAS-BASE'!B265)</f>
        <v/>
      </c>
      <c r="D267" t="str">
        <f>IF('ENTRADAS-BASE'!C265="","",'ENTRADAS-BASE'!C265)</f>
        <v/>
      </c>
      <c r="E267" s="7" t="str">
        <f>IF('ENTRADAS-BASE'!D265="","",'ENTRADAS-BASE'!D265)</f>
        <v/>
      </c>
      <c r="F267" s="6" t="str">
        <f>IF('ENTRADAS-BASE'!E265="","",'ENTRADAS-BASE'!E265)</f>
        <v/>
      </c>
      <c r="G267" t="str">
        <f>IF('ENTRADAS-BASE'!F265="","",'ENTRADAS-BASE'!F265)</f>
        <v/>
      </c>
      <c r="H267" t="str">
        <f>IF('ENTRADAS-BASE'!G265="","",'ENTRADAS-BASE'!G265)</f>
        <v/>
      </c>
      <c r="I267" t="str">
        <f>IF('ENTRADAS-BASE'!H265="","",'ENTRADAS-BASE'!H265)</f>
        <v/>
      </c>
      <c r="J267" t="str">
        <f>IF('ENTRADAS-BASE'!I265="","",'ENTRADAS-BASE'!I265)</f>
        <v/>
      </c>
      <c r="K267" s="5" t="str">
        <f>IF('ENTRADAS-BASE'!J265="","",'ENTRADAS-BASE'!J265)</f>
        <v/>
      </c>
      <c r="L2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8" spans="2:12" x14ac:dyDescent="0.3">
      <c r="B268" t="str">
        <f>IF('ENTRADAS-BASE'!A266="","",'ENTRADAS-BASE'!A266)</f>
        <v/>
      </c>
      <c r="C268" t="str">
        <f>IF('ENTRADAS-BASE'!B266="","",'ENTRADAS-BASE'!B266)</f>
        <v/>
      </c>
      <c r="D268" t="str">
        <f>IF('ENTRADAS-BASE'!C266="","",'ENTRADAS-BASE'!C266)</f>
        <v/>
      </c>
      <c r="E268" s="7" t="str">
        <f>IF('ENTRADAS-BASE'!D266="","",'ENTRADAS-BASE'!D266)</f>
        <v/>
      </c>
      <c r="F268" s="6" t="str">
        <f>IF('ENTRADAS-BASE'!E266="","",'ENTRADAS-BASE'!E266)</f>
        <v/>
      </c>
      <c r="G268" t="str">
        <f>IF('ENTRADAS-BASE'!F266="","",'ENTRADAS-BASE'!F266)</f>
        <v/>
      </c>
      <c r="H268" t="str">
        <f>IF('ENTRADAS-BASE'!G266="","",'ENTRADAS-BASE'!G266)</f>
        <v/>
      </c>
      <c r="I268" t="str">
        <f>IF('ENTRADAS-BASE'!H266="","",'ENTRADAS-BASE'!H266)</f>
        <v/>
      </c>
      <c r="J268" t="str">
        <f>IF('ENTRADAS-BASE'!I266="","",'ENTRADAS-BASE'!I266)</f>
        <v/>
      </c>
      <c r="K268" s="5" t="str">
        <f>IF('ENTRADAS-BASE'!J266="","",'ENTRADAS-BASE'!J266)</f>
        <v/>
      </c>
      <c r="L2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9" spans="2:12" x14ac:dyDescent="0.3">
      <c r="B269" t="str">
        <f>IF('ENTRADAS-BASE'!A267="","",'ENTRADAS-BASE'!A267)</f>
        <v/>
      </c>
      <c r="C269" t="str">
        <f>IF('ENTRADAS-BASE'!B267="","",'ENTRADAS-BASE'!B267)</f>
        <v/>
      </c>
      <c r="D269" t="str">
        <f>IF('ENTRADAS-BASE'!C267="","",'ENTRADAS-BASE'!C267)</f>
        <v/>
      </c>
      <c r="E269" s="7" t="str">
        <f>IF('ENTRADAS-BASE'!D267="","",'ENTRADAS-BASE'!D267)</f>
        <v/>
      </c>
      <c r="F269" s="6" t="str">
        <f>IF('ENTRADAS-BASE'!E267="","",'ENTRADAS-BASE'!E267)</f>
        <v/>
      </c>
      <c r="G269" t="str">
        <f>IF('ENTRADAS-BASE'!F267="","",'ENTRADAS-BASE'!F267)</f>
        <v/>
      </c>
      <c r="H269" t="str">
        <f>IF('ENTRADAS-BASE'!G267="","",'ENTRADAS-BASE'!G267)</f>
        <v/>
      </c>
      <c r="I269" t="str">
        <f>IF('ENTRADAS-BASE'!H267="","",'ENTRADAS-BASE'!H267)</f>
        <v/>
      </c>
      <c r="J269" t="str">
        <f>IF('ENTRADAS-BASE'!I267="","",'ENTRADAS-BASE'!I267)</f>
        <v/>
      </c>
      <c r="K269" s="5" t="str">
        <f>IF('ENTRADAS-BASE'!J267="","",'ENTRADAS-BASE'!J267)</f>
        <v/>
      </c>
      <c r="L2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0" spans="2:12" x14ac:dyDescent="0.3">
      <c r="B270" t="str">
        <f>IF('ENTRADAS-BASE'!A268="","",'ENTRADAS-BASE'!A268)</f>
        <v/>
      </c>
      <c r="C270" t="str">
        <f>IF('ENTRADAS-BASE'!B268="","",'ENTRADAS-BASE'!B268)</f>
        <v/>
      </c>
      <c r="D270" t="str">
        <f>IF('ENTRADAS-BASE'!C268="","",'ENTRADAS-BASE'!C268)</f>
        <v/>
      </c>
      <c r="E270" s="7" t="str">
        <f>IF('ENTRADAS-BASE'!D268="","",'ENTRADAS-BASE'!D268)</f>
        <v/>
      </c>
      <c r="F270" s="6" t="str">
        <f>IF('ENTRADAS-BASE'!E268="","",'ENTRADAS-BASE'!E268)</f>
        <v/>
      </c>
      <c r="G270" t="str">
        <f>IF('ENTRADAS-BASE'!F268="","",'ENTRADAS-BASE'!F268)</f>
        <v/>
      </c>
      <c r="H270" t="str">
        <f>IF('ENTRADAS-BASE'!G268="","",'ENTRADAS-BASE'!G268)</f>
        <v/>
      </c>
      <c r="I270" t="str">
        <f>IF('ENTRADAS-BASE'!H268="","",'ENTRADAS-BASE'!H268)</f>
        <v/>
      </c>
      <c r="J270" t="str">
        <f>IF('ENTRADAS-BASE'!I268="","",'ENTRADAS-BASE'!I268)</f>
        <v/>
      </c>
      <c r="K270" s="5" t="str">
        <f>IF('ENTRADAS-BASE'!J268="","",'ENTRADAS-BASE'!J268)</f>
        <v/>
      </c>
      <c r="L2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1" spans="2:12" x14ac:dyDescent="0.3">
      <c r="B271" t="str">
        <f>IF('ENTRADAS-BASE'!A269="","",'ENTRADAS-BASE'!A269)</f>
        <v/>
      </c>
      <c r="C271" t="str">
        <f>IF('ENTRADAS-BASE'!B269="","",'ENTRADAS-BASE'!B269)</f>
        <v/>
      </c>
      <c r="D271" t="str">
        <f>IF('ENTRADAS-BASE'!C269="","",'ENTRADAS-BASE'!C269)</f>
        <v/>
      </c>
      <c r="E271" s="7" t="str">
        <f>IF('ENTRADAS-BASE'!D269="","",'ENTRADAS-BASE'!D269)</f>
        <v/>
      </c>
      <c r="F271" s="6" t="str">
        <f>IF('ENTRADAS-BASE'!E269="","",'ENTRADAS-BASE'!E269)</f>
        <v/>
      </c>
      <c r="G271" t="str">
        <f>IF('ENTRADAS-BASE'!F269="","",'ENTRADAS-BASE'!F269)</f>
        <v/>
      </c>
      <c r="H271" t="str">
        <f>IF('ENTRADAS-BASE'!G269="","",'ENTRADAS-BASE'!G269)</f>
        <v/>
      </c>
      <c r="I271" t="str">
        <f>IF('ENTRADAS-BASE'!H269="","",'ENTRADAS-BASE'!H269)</f>
        <v/>
      </c>
      <c r="J271" t="str">
        <f>IF('ENTRADAS-BASE'!I269="","",'ENTRADAS-BASE'!I269)</f>
        <v/>
      </c>
      <c r="K271" s="5" t="str">
        <f>IF('ENTRADAS-BASE'!J269="","",'ENTRADAS-BASE'!J269)</f>
        <v/>
      </c>
      <c r="L2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2" spans="2:12" x14ac:dyDescent="0.3">
      <c r="B272" t="str">
        <f>IF('ENTRADAS-BASE'!A270="","",'ENTRADAS-BASE'!A270)</f>
        <v/>
      </c>
      <c r="C272" t="str">
        <f>IF('ENTRADAS-BASE'!B270="","",'ENTRADAS-BASE'!B270)</f>
        <v/>
      </c>
      <c r="D272" t="str">
        <f>IF('ENTRADAS-BASE'!C270="","",'ENTRADAS-BASE'!C270)</f>
        <v/>
      </c>
      <c r="E272" s="7" t="str">
        <f>IF('ENTRADAS-BASE'!D270="","",'ENTRADAS-BASE'!D270)</f>
        <v/>
      </c>
      <c r="F272" s="6" t="str">
        <f>IF('ENTRADAS-BASE'!E270="","",'ENTRADAS-BASE'!E270)</f>
        <v/>
      </c>
      <c r="G272" t="str">
        <f>IF('ENTRADAS-BASE'!F270="","",'ENTRADAS-BASE'!F270)</f>
        <v/>
      </c>
      <c r="H272" t="str">
        <f>IF('ENTRADAS-BASE'!G270="","",'ENTRADAS-BASE'!G270)</f>
        <v/>
      </c>
      <c r="I272" t="str">
        <f>IF('ENTRADAS-BASE'!H270="","",'ENTRADAS-BASE'!H270)</f>
        <v/>
      </c>
      <c r="J272" t="str">
        <f>IF('ENTRADAS-BASE'!I270="","",'ENTRADAS-BASE'!I270)</f>
        <v/>
      </c>
      <c r="K272" s="5" t="str">
        <f>IF('ENTRADAS-BASE'!J270="","",'ENTRADAS-BASE'!J270)</f>
        <v/>
      </c>
      <c r="L2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3" spans="2:12" x14ac:dyDescent="0.3">
      <c r="B273" t="str">
        <f>IF('ENTRADAS-BASE'!A271="","",'ENTRADAS-BASE'!A271)</f>
        <v/>
      </c>
      <c r="C273" t="str">
        <f>IF('ENTRADAS-BASE'!B271="","",'ENTRADAS-BASE'!B271)</f>
        <v/>
      </c>
      <c r="D273" t="str">
        <f>IF('ENTRADAS-BASE'!C271="","",'ENTRADAS-BASE'!C271)</f>
        <v/>
      </c>
      <c r="E273" s="7" t="str">
        <f>IF('ENTRADAS-BASE'!D271="","",'ENTRADAS-BASE'!D271)</f>
        <v/>
      </c>
      <c r="F273" s="6" t="str">
        <f>IF('ENTRADAS-BASE'!E271="","",'ENTRADAS-BASE'!E271)</f>
        <v/>
      </c>
      <c r="G273" t="str">
        <f>IF('ENTRADAS-BASE'!F271="","",'ENTRADAS-BASE'!F271)</f>
        <v/>
      </c>
      <c r="H273" t="str">
        <f>IF('ENTRADAS-BASE'!G271="","",'ENTRADAS-BASE'!G271)</f>
        <v/>
      </c>
      <c r="I273" t="str">
        <f>IF('ENTRADAS-BASE'!H271="","",'ENTRADAS-BASE'!H271)</f>
        <v/>
      </c>
      <c r="J273" t="str">
        <f>IF('ENTRADAS-BASE'!I271="","",'ENTRADAS-BASE'!I271)</f>
        <v/>
      </c>
      <c r="K273" s="5" t="str">
        <f>IF('ENTRADAS-BASE'!J271="","",'ENTRADAS-BASE'!J271)</f>
        <v/>
      </c>
      <c r="L2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4" spans="2:12" x14ac:dyDescent="0.3">
      <c r="B274" t="str">
        <f>IF('ENTRADAS-BASE'!A272="","",'ENTRADAS-BASE'!A272)</f>
        <v/>
      </c>
      <c r="C274" t="str">
        <f>IF('ENTRADAS-BASE'!B272="","",'ENTRADAS-BASE'!B272)</f>
        <v/>
      </c>
      <c r="D274" t="str">
        <f>IF('ENTRADAS-BASE'!C272="","",'ENTRADAS-BASE'!C272)</f>
        <v/>
      </c>
      <c r="E274" s="7" t="str">
        <f>IF('ENTRADAS-BASE'!D272="","",'ENTRADAS-BASE'!D272)</f>
        <v/>
      </c>
      <c r="F274" s="6" t="str">
        <f>IF('ENTRADAS-BASE'!E272="","",'ENTRADAS-BASE'!E272)</f>
        <v/>
      </c>
      <c r="G274" t="str">
        <f>IF('ENTRADAS-BASE'!F272="","",'ENTRADAS-BASE'!F272)</f>
        <v/>
      </c>
      <c r="H274" t="str">
        <f>IF('ENTRADAS-BASE'!G272="","",'ENTRADAS-BASE'!G272)</f>
        <v/>
      </c>
      <c r="I274" t="str">
        <f>IF('ENTRADAS-BASE'!H272="","",'ENTRADAS-BASE'!H272)</f>
        <v/>
      </c>
      <c r="J274" t="str">
        <f>IF('ENTRADAS-BASE'!I272="","",'ENTRADAS-BASE'!I272)</f>
        <v/>
      </c>
      <c r="K274" s="5" t="str">
        <f>IF('ENTRADAS-BASE'!J272="","",'ENTRADAS-BASE'!J272)</f>
        <v/>
      </c>
      <c r="L2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5" spans="2:12" x14ac:dyDescent="0.3">
      <c r="B275" t="str">
        <f>IF('ENTRADAS-BASE'!A273="","",'ENTRADAS-BASE'!A273)</f>
        <v/>
      </c>
      <c r="C275" t="str">
        <f>IF('ENTRADAS-BASE'!B273="","",'ENTRADAS-BASE'!B273)</f>
        <v/>
      </c>
      <c r="D275" t="str">
        <f>IF('ENTRADAS-BASE'!C273="","",'ENTRADAS-BASE'!C273)</f>
        <v/>
      </c>
      <c r="E275" s="7" t="str">
        <f>IF('ENTRADAS-BASE'!D273="","",'ENTRADAS-BASE'!D273)</f>
        <v/>
      </c>
      <c r="F275" s="6" t="str">
        <f>IF('ENTRADAS-BASE'!E273="","",'ENTRADAS-BASE'!E273)</f>
        <v/>
      </c>
      <c r="G275" t="str">
        <f>IF('ENTRADAS-BASE'!F273="","",'ENTRADAS-BASE'!F273)</f>
        <v/>
      </c>
      <c r="H275" t="str">
        <f>IF('ENTRADAS-BASE'!G273="","",'ENTRADAS-BASE'!G273)</f>
        <v/>
      </c>
      <c r="I275" t="str">
        <f>IF('ENTRADAS-BASE'!H273="","",'ENTRADAS-BASE'!H273)</f>
        <v/>
      </c>
      <c r="J275" t="str">
        <f>IF('ENTRADAS-BASE'!I273="","",'ENTRADAS-BASE'!I273)</f>
        <v/>
      </c>
      <c r="K275" s="5" t="str">
        <f>IF('ENTRADAS-BASE'!J273="","",'ENTRADAS-BASE'!J273)</f>
        <v/>
      </c>
      <c r="L2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6" spans="2:12" x14ac:dyDescent="0.3">
      <c r="B276" t="str">
        <f>IF('ENTRADAS-BASE'!A274="","",'ENTRADAS-BASE'!A274)</f>
        <v/>
      </c>
      <c r="C276" t="str">
        <f>IF('ENTRADAS-BASE'!B274="","",'ENTRADAS-BASE'!B274)</f>
        <v/>
      </c>
      <c r="D276" t="str">
        <f>IF('ENTRADAS-BASE'!C274="","",'ENTRADAS-BASE'!C274)</f>
        <v/>
      </c>
      <c r="E276" s="7" t="str">
        <f>IF('ENTRADAS-BASE'!D274="","",'ENTRADAS-BASE'!D274)</f>
        <v/>
      </c>
      <c r="F276" s="6" t="str">
        <f>IF('ENTRADAS-BASE'!E274="","",'ENTRADAS-BASE'!E274)</f>
        <v/>
      </c>
      <c r="G276" t="str">
        <f>IF('ENTRADAS-BASE'!F274="","",'ENTRADAS-BASE'!F274)</f>
        <v/>
      </c>
      <c r="H276" t="str">
        <f>IF('ENTRADAS-BASE'!G274="","",'ENTRADAS-BASE'!G274)</f>
        <v/>
      </c>
      <c r="I276" t="str">
        <f>IF('ENTRADAS-BASE'!H274="","",'ENTRADAS-BASE'!H274)</f>
        <v/>
      </c>
      <c r="J276" t="str">
        <f>IF('ENTRADAS-BASE'!I274="","",'ENTRADAS-BASE'!I274)</f>
        <v/>
      </c>
      <c r="K276" s="5" t="str">
        <f>IF('ENTRADAS-BASE'!J274="","",'ENTRADAS-BASE'!J274)</f>
        <v/>
      </c>
      <c r="L2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7" spans="2:12" x14ac:dyDescent="0.3">
      <c r="B277" t="str">
        <f>IF('ENTRADAS-BASE'!A275="","",'ENTRADAS-BASE'!A275)</f>
        <v/>
      </c>
      <c r="C277" t="str">
        <f>IF('ENTRADAS-BASE'!B275="","",'ENTRADAS-BASE'!B275)</f>
        <v/>
      </c>
      <c r="D277" t="str">
        <f>IF('ENTRADAS-BASE'!C275="","",'ENTRADAS-BASE'!C275)</f>
        <v/>
      </c>
      <c r="E277" s="7" t="str">
        <f>IF('ENTRADAS-BASE'!D275="","",'ENTRADAS-BASE'!D275)</f>
        <v/>
      </c>
      <c r="F277" s="6" t="str">
        <f>IF('ENTRADAS-BASE'!E275="","",'ENTRADAS-BASE'!E275)</f>
        <v/>
      </c>
      <c r="G277" t="str">
        <f>IF('ENTRADAS-BASE'!F275="","",'ENTRADAS-BASE'!F275)</f>
        <v/>
      </c>
      <c r="H277" t="str">
        <f>IF('ENTRADAS-BASE'!G275="","",'ENTRADAS-BASE'!G275)</f>
        <v/>
      </c>
      <c r="I277" t="str">
        <f>IF('ENTRADAS-BASE'!H275="","",'ENTRADAS-BASE'!H275)</f>
        <v/>
      </c>
      <c r="J277" t="str">
        <f>IF('ENTRADAS-BASE'!I275="","",'ENTRADAS-BASE'!I275)</f>
        <v/>
      </c>
      <c r="K277" s="5" t="str">
        <f>IF('ENTRADAS-BASE'!J275="","",'ENTRADAS-BASE'!J275)</f>
        <v/>
      </c>
      <c r="L2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8" spans="2:12" x14ac:dyDescent="0.3">
      <c r="B278" t="str">
        <f>IF('ENTRADAS-BASE'!A276="","",'ENTRADAS-BASE'!A276)</f>
        <v/>
      </c>
      <c r="C278" t="str">
        <f>IF('ENTRADAS-BASE'!B276="","",'ENTRADAS-BASE'!B276)</f>
        <v/>
      </c>
      <c r="D278" t="str">
        <f>IF('ENTRADAS-BASE'!C276="","",'ENTRADAS-BASE'!C276)</f>
        <v/>
      </c>
      <c r="E278" s="7" t="str">
        <f>IF('ENTRADAS-BASE'!D276="","",'ENTRADAS-BASE'!D276)</f>
        <v/>
      </c>
      <c r="F278" s="6" t="str">
        <f>IF('ENTRADAS-BASE'!E276="","",'ENTRADAS-BASE'!E276)</f>
        <v/>
      </c>
      <c r="G278" t="str">
        <f>IF('ENTRADAS-BASE'!F276="","",'ENTRADAS-BASE'!F276)</f>
        <v/>
      </c>
      <c r="H278" t="str">
        <f>IF('ENTRADAS-BASE'!G276="","",'ENTRADAS-BASE'!G276)</f>
        <v/>
      </c>
      <c r="I278" t="str">
        <f>IF('ENTRADAS-BASE'!H276="","",'ENTRADAS-BASE'!H276)</f>
        <v/>
      </c>
      <c r="J278" t="str">
        <f>IF('ENTRADAS-BASE'!I276="","",'ENTRADAS-BASE'!I276)</f>
        <v/>
      </c>
      <c r="K278" s="5" t="str">
        <f>IF('ENTRADAS-BASE'!J276="","",'ENTRADAS-BASE'!J276)</f>
        <v/>
      </c>
      <c r="L2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9" spans="2:12" x14ac:dyDescent="0.3">
      <c r="B279" t="str">
        <f>IF('ENTRADAS-BASE'!A277="","",'ENTRADAS-BASE'!A277)</f>
        <v/>
      </c>
      <c r="C279" t="str">
        <f>IF('ENTRADAS-BASE'!B277="","",'ENTRADAS-BASE'!B277)</f>
        <v/>
      </c>
      <c r="D279" t="str">
        <f>IF('ENTRADAS-BASE'!C277="","",'ENTRADAS-BASE'!C277)</f>
        <v/>
      </c>
      <c r="E279" s="7" t="str">
        <f>IF('ENTRADAS-BASE'!D277="","",'ENTRADAS-BASE'!D277)</f>
        <v/>
      </c>
      <c r="F279" s="6" t="str">
        <f>IF('ENTRADAS-BASE'!E277="","",'ENTRADAS-BASE'!E277)</f>
        <v/>
      </c>
      <c r="G279" t="str">
        <f>IF('ENTRADAS-BASE'!F277="","",'ENTRADAS-BASE'!F277)</f>
        <v/>
      </c>
      <c r="H279" t="str">
        <f>IF('ENTRADAS-BASE'!G277="","",'ENTRADAS-BASE'!G277)</f>
        <v/>
      </c>
      <c r="I279" t="str">
        <f>IF('ENTRADAS-BASE'!H277="","",'ENTRADAS-BASE'!H277)</f>
        <v/>
      </c>
      <c r="J279" t="str">
        <f>IF('ENTRADAS-BASE'!I277="","",'ENTRADAS-BASE'!I277)</f>
        <v/>
      </c>
      <c r="K279" s="5" t="str">
        <f>IF('ENTRADAS-BASE'!J277="","",'ENTRADAS-BASE'!J277)</f>
        <v/>
      </c>
      <c r="L2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0" spans="2:12" x14ac:dyDescent="0.3">
      <c r="B280" t="str">
        <f>IF('ENTRADAS-BASE'!A278="","",'ENTRADAS-BASE'!A278)</f>
        <v/>
      </c>
      <c r="C280" t="str">
        <f>IF('ENTRADAS-BASE'!B278="","",'ENTRADAS-BASE'!B278)</f>
        <v/>
      </c>
      <c r="D280" t="str">
        <f>IF('ENTRADAS-BASE'!C278="","",'ENTRADAS-BASE'!C278)</f>
        <v/>
      </c>
      <c r="E280" s="7" t="str">
        <f>IF('ENTRADAS-BASE'!D278="","",'ENTRADAS-BASE'!D278)</f>
        <v/>
      </c>
      <c r="F280" s="6" t="str">
        <f>IF('ENTRADAS-BASE'!E278="","",'ENTRADAS-BASE'!E278)</f>
        <v/>
      </c>
      <c r="G280" t="str">
        <f>IF('ENTRADAS-BASE'!F278="","",'ENTRADAS-BASE'!F278)</f>
        <v/>
      </c>
      <c r="H280" t="str">
        <f>IF('ENTRADAS-BASE'!G278="","",'ENTRADAS-BASE'!G278)</f>
        <v/>
      </c>
      <c r="I280" t="str">
        <f>IF('ENTRADAS-BASE'!H278="","",'ENTRADAS-BASE'!H278)</f>
        <v/>
      </c>
      <c r="J280" t="str">
        <f>IF('ENTRADAS-BASE'!I278="","",'ENTRADAS-BASE'!I278)</f>
        <v/>
      </c>
      <c r="K280" s="5" t="str">
        <f>IF('ENTRADAS-BASE'!J278="","",'ENTRADAS-BASE'!J278)</f>
        <v/>
      </c>
      <c r="L2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1" spans="2:12" x14ac:dyDescent="0.3">
      <c r="B281" t="str">
        <f>IF('ENTRADAS-BASE'!A279="","",'ENTRADAS-BASE'!A279)</f>
        <v/>
      </c>
      <c r="C281" t="str">
        <f>IF('ENTRADAS-BASE'!B279="","",'ENTRADAS-BASE'!B279)</f>
        <v/>
      </c>
      <c r="D281" t="str">
        <f>IF('ENTRADAS-BASE'!C279="","",'ENTRADAS-BASE'!C279)</f>
        <v/>
      </c>
      <c r="E281" s="7" t="str">
        <f>IF('ENTRADAS-BASE'!D279="","",'ENTRADAS-BASE'!D279)</f>
        <v/>
      </c>
      <c r="F281" s="6" t="str">
        <f>IF('ENTRADAS-BASE'!E279="","",'ENTRADAS-BASE'!E279)</f>
        <v/>
      </c>
      <c r="G281" t="str">
        <f>IF('ENTRADAS-BASE'!F279="","",'ENTRADAS-BASE'!F279)</f>
        <v/>
      </c>
      <c r="H281" t="str">
        <f>IF('ENTRADAS-BASE'!G279="","",'ENTRADAS-BASE'!G279)</f>
        <v/>
      </c>
      <c r="I281" t="str">
        <f>IF('ENTRADAS-BASE'!H279="","",'ENTRADAS-BASE'!H279)</f>
        <v/>
      </c>
      <c r="J281" t="str">
        <f>IF('ENTRADAS-BASE'!I279="","",'ENTRADAS-BASE'!I279)</f>
        <v/>
      </c>
      <c r="K281" s="5" t="str">
        <f>IF('ENTRADAS-BASE'!J279="","",'ENTRADAS-BASE'!J279)</f>
        <v/>
      </c>
      <c r="L2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2" spans="2:12" x14ac:dyDescent="0.3">
      <c r="B282" t="str">
        <f>IF('ENTRADAS-BASE'!A280="","",'ENTRADAS-BASE'!A280)</f>
        <v/>
      </c>
      <c r="C282" t="str">
        <f>IF('ENTRADAS-BASE'!B280="","",'ENTRADAS-BASE'!B280)</f>
        <v/>
      </c>
      <c r="D282" t="str">
        <f>IF('ENTRADAS-BASE'!C280="","",'ENTRADAS-BASE'!C280)</f>
        <v/>
      </c>
      <c r="E282" s="7" t="str">
        <f>IF('ENTRADAS-BASE'!D280="","",'ENTRADAS-BASE'!D280)</f>
        <v/>
      </c>
      <c r="F282" s="6" t="str">
        <f>IF('ENTRADAS-BASE'!E280="","",'ENTRADAS-BASE'!E280)</f>
        <v/>
      </c>
      <c r="G282" t="str">
        <f>IF('ENTRADAS-BASE'!F280="","",'ENTRADAS-BASE'!F280)</f>
        <v/>
      </c>
      <c r="H282" t="str">
        <f>IF('ENTRADAS-BASE'!G280="","",'ENTRADAS-BASE'!G280)</f>
        <v/>
      </c>
      <c r="I282" t="str">
        <f>IF('ENTRADAS-BASE'!H280="","",'ENTRADAS-BASE'!H280)</f>
        <v/>
      </c>
      <c r="J282" t="str">
        <f>IF('ENTRADAS-BASE'!I280="","",'ENTRADAS-BASE'!I280)</f>
        <v/>
      </c>
      <c r="K282" s="5" t="str">
        <f>IF('ENTRADAS-BASE'!J280="","",'ENTRADAS-BASE'!J280)</f>
        <v/>
      </c>
      <c r="L2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3" spans="2:12" x14ac:dyDescent="0.3">
      <c r="B283" t="str">
        <f>IF('ENTRADAS-BASE'!A281="","",'ENTRADAS-BASE'!A281)</f>
        <v/>
      </c>
      <c r="C283" t="str">
        <f>IF('ENTRADAS-BASE'!B281="","",'ENTRADAS-BASE'!B281)</f>
        <v/>
      </c>
      <c r="D283" t="str">
        <f>IF('ENTRADAS-BASE'!C281="","",'ENTRADAS-BASE'!C281)</f>
        <v/>
      </c>
      <c r="E283" s="7" t="str">
        <f>IF('ENTRADAS-BASE'!D281="","",'ENTRADAS-BASE'!D281)</f>
        <v/>
      </c>
      <c r="F283" s="6" t="str">
        <f>IF('ENTRADAS-BASE'!E281="","",'ENTRADAS-BASE'!E281)</f>
        <v/>
      </c>
      <c r="G283" t="str">
        <f>IF('ENTRADAS-BASE'!F281="","",'ENTRADAS-BASE'!F281)</f>
        <v/>
      </c>
      <c r="H283" t="str">
        <f>IF('ENTRADAS-BASE'!G281="","",'ENTRADAS-BASE'!G281)</f>
        <v/>
      </c>
      <c r="I283" t="str">
        <f>IF('ENTRADAS-BASE'!H281="","",'ENTRADAS-BASE'!H281)</f>
        <v/>
      </c>
      <c r="J283" t="str">
        <f>IF('ENTRADAS-BASE'!I281="","",'ENTRADAS-BASE'!I281)</f>
        <v/>
      </c>
      <c r="K283" s="5" t="str">
        <f>IF('ENTRADAS-BASE'!J281="","",'ENTRADAS-BASE'!J281)</f>
        <v/>
      </c>
      <c r="L2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4" spans="2:12" x14ac:dyDescent="0.3">
      <c r="B284" t="str">
        <f>IF('ENTRADAS-BASE'!A282="","",'ENTRADAS-BASE'!A282)</f>
        <v/>
      </c>
      <c r="C284" t="str">
        <f>IF('ENTRADAS-BASE'!B282="","",'ENTRADAS-BASE'!B282)</f>
        <v/>
      </c>
      <c r="D284" t="str">
        <f>IF('ENTRADAS-BASE'!C282="","",'ENTRADAS-BASE'!C282)</f>
        <v/>
      </c>
      <c r="E284" s="7" t="str">
        <f>IF('ENTRADAS-BASE'!D282="","",'ENTRADAS-BASE'!D282)</f>
        <v/>
      </c>
      <c r="F284" s="6" t="str">
        <f>IF('ENTRADAS-BASE'!E282="","",'ENTRADAS-BASE'!E282)</f>
        <v/>
      </c>
      <c r="G284" t="str">
        <f>IF('ENTRADAS-BASE'!F282="","",'ENTRADAS-BASE'!F282)</f>
        <v/>
      </c>
      <c r="H284" t="str">
        <f>IF('ENTRADAS-BASE'!G282="","",'ENTRADAS-BASE'!G282)</f>
        <v/>
      </c>
      <c r="I284" t="str">
        <f>IF('ENTRADAS-BASE'!H282="","",'ENTRADAS-BASE'!H282)</f>
        <v/>
      </c>
      <c r="J284" t="str">
        <f>IF('ENTRADAS-BASE'!I282="","",'ENTRADAS-BASE'!I282)</f>
        <v/>
      </c>
      <c r="K284" s="5" t="str">
        <f>IF('ENTRADAS-BASE'!J282="","",'ENTRADAS-BASE'!J282)</f>
        <v/>
      </c>
      <c r="L2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5" spans="2:12" x14ac:dyDescent="0.3">
      <c r="B285" t="str">
        <f>IF('ENTRADAS-BASE'!A283="","",'ENTRADAS-BASE'!A283)</f>
        <v/>
      </c>
      <c r="C285" t="str">
        <f>IF('ENTRADAS-BASE'!B283="","",'ENTRADAS-BASE'!B283)</f>
        <v/>
      </c>
      <c r="D285" t="str">
        <f>IF('ENTRADAS-BASE'!C283="","",'ENTRADAS-BASE'!C283)</f>
        <v/>
      </c>
      <c r="E285" s="7" t="str">
        <f>IF('ENTRADAS-BASE'!D283="","",'ENTRADAS-BASE'!D283)</f>
        <v/>
      </c>
      <c r="F285" s="6" t="str">
        <f>IF('ENTRADAS-BASE'!E283="","",'ENTRADAS-BASE'!E283)</f>
        <v/>
      </c>
      <c r="G285" t="str">
        <f>IF('ENTRADAS-BASE'!F283="","",'ENTRADAS-BASE'!F283)</f>
        <v/>
      </c>
      <c r="H285" t="str">
        <f>IF('ENTRADAS-BASE'!G283="","",'ENTRADAS-BASE'!G283)</f>
        <v/>
      </c>
      <c r="I285" t="str">
        <f>IF('ENTRADAS-BASE'!H283="","",'ENTRADAS-BASE'!H283)</f>
        <v/>
      </c>
      <c r="J285" t="str">
        <f>IF('ENTRADAS-BASE'!I283="","",'ENTRADAS-BASE'!I283)</f>
        <v/>
      </c>
      <c r="K285" s="5" t="str">
        <f>IF('ENTRADAS-BASE'!J283="","",'ENTRADAS-BASE'!J283)</f>
        <v/>
      </c>
      <c r="L2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6" spans="2:12" x14ac:dyDescent="0.3">
      <c r="B286" t="str">
        <f>IF('ENTRADAS-BASE'!A284="","",'ENTRADAS-BASE'!A284)</f>
        <v/>
      </c>
      <c r="C286" t="str">
        <f>IF('ENTRADAS-BASE'!B284="","",'ENTRADAS-BASE'!B284)</f>
        <v/>
      </c>
      <c r="D286" t="str">
        <f>IF('ENTRADAS-BASE'!C284="","",'ENTRADAS-BASE'!C284)</f>
        <v/>
      </c>
      <c r="E286" s="7" t="str">
        <f>IF('ENTRADAS-BASE'!D284="","",'ENTRADAS-BASE'!D284)</f>
        <v/>
      </c>
      <c r="F286" s="6" t="str">
        <f>IF('ENTRADAS-BASE'!E284="","",'ENTRADAS-BASE'!E284)</f>
        <v/>
      </c>
      <c r="G286" t="str">
        <f>IF('ENTRADAS-BASE'!F284="","",'ENTRADAS-BASE'!F284)</f>
        <v/>
      </c>
      <c r="H286" t="str">
        <f>IF('ENTRADAS-BASE'!G284="","",'ENTRADAS-BASE'!G284)</f>
        <v/>
      </c>
      <c r="I286" t="str">
        <f>IF('ENTRADAS-BASE'!H284="","",'ENTRADAS-BASE'!H284)</f>
        <v/>
      </c>
      <c r="J286" t="str">
        <f>IF('ENTRADAS-BASE'!I284="","",'ENTRADAS-BASE'!I284)</f>
        <v/>
      </c>
      <c r="K286" s="5" t="str">
        <f>IF('ENTRADAS-BASE'!J284="","",'ENTRADAS-BASE'!J284)</f>
        <v/>
      </c>
      <c r="L2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7" spans="2:12" x14ac:dyDescent="0.3">
      <c r="B287" t="str">
        <f>IF('ENTRADAS-BASE'!A285="","",'ENTRADAS-BASE'!A285)</f>
        <v/>
      </c>
      <c r="C287" t="str">
        <f>IF('ENTRADAS-BASE'!B285="","",'ENTRADAS-BASE'!B285)</f>
        <v/>
      </c>
      <c r="D287" t="str">
        <f>IF('ENTRADAS-BASE'!C285="","",'ENTRADAS-BASE'!C285)</f>
        <v/>
      </c>
      <c r="E287" s="7" t="str">
        <f>IF('ENTRADAS-BASE'!D285="","",'ENTRADAS-BASE'!D285)</f>
        <v/>
      </c>
      <c r="F287" s="6" t="str">
        <f>IF('ENTRADAS-BASE'!E285="","",'ENTRADAS-BASE'!E285)</f>
        <v/>
      </c>
      <c r="G287" t="str">
        <f>IF('ENTRADAS-BASE'!F285="","",'ENTRADAS-BASE'!F285)</f>
        <v/>
      </c>
      <c r="H287" t="str">
        <f>IF('ENTRADAS-BASE'!G285="","",'ENTRADAS-BASE'!G285)</f>
        <v/>
      </c>
      <c r="I287" t="str">
        <f>IF('ENTRADAS-BASE'!H285="","",'ENTRADAS-BASE'!H285)</f>
        <v/>
      </c>
      <c r="J287" t="str">
        <f>IF('ENTRADAS-BASE'!I285="","",'ENTRADAS-BASE'!I285)</f>
        <v/>
      </c>
      <c r="K287" s="5" t="str">
        <f>IF('ENTRADAS-BASE'!J285="","",'ENTRADAS-BASE'!J285)</f>
        <v/>
      </c>
      <c r="L2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8" spans="2:12" x14ac:dyDescent="0.3">
      <c r="B288" t="str">
        <f>IF('ENTRADAS-BASE'!A286="","",'ENTRADAS-BASE'!A286)</f>
        <v/>
      </c>
      <c r="C288" t="str">
        <f>IF('ENTRADAS-BASE'!B286="","",'ENTRADAS-BASE'!B286)</f>
        <v/>
      </c>
      <c r="D288" t="str">
        <f>IF('ENTRADAS-BASE'!C286="","",'ENTRADAS-BASE'!C286)</f>
        <v/>
      </c>
      <c r="E288" s="7" t="str">
        <f>IF('ENTRADAS-BASE'!D286="","",'ENTRADAS-BASE'!D286)</f>
        <v/>
      </c>
      <c r="F288" s="6" t="str">
        <f>IF('ENTRADAS-BASE'!E286="","",'ENTRADAS-BASE'!E286)</f>
        <v/>
      </c>
      <c r="G288" t="str">
        <f>IF('ENTRADAS-BASE'!F286="","",'ENTRADAS-BASE'!F286)</f>
        <v/>
      </c>
      <c r="H288" t="str">
        <f>IF('ENTRADAS-BASE'!G286="","",'ENTRADAS-BASE'!G286)</f>
        <v/>
      </c>
      <c r="I288" t="str">
        <f>IF('ENTRADAS-BASE'!H286="","",'ENTRADAS-BASE'!H286)</f>
        <v/>
      </c>
      <c r="J288" t="str">
        <f>IF('ENTRADAS-BASE'!I286="","",'ENTRADAS-BASE'!I286)</f>
        <v/>
      </c>
      <c r="K288" s="5" t="str">
        <f>IF('ENTRADAS-BASE'!J286="","",'ENTRADAS-BASE'!J286)</f>
        <v/>
      </c>
      <c r="L2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9" spans="2:12" x14ac:dyDescent="0.3">
      <c r="B289" t="str">
        <f>IF('ENTRADAS-BASE'!A287="","",'ENTRADAS-BASE'!A287)</f>
        <v/>
      </c>
      <c r="C289" t="str">
        <f>IF('ENTRADAS-BASE'!B287="","",'ENTRADAS-BASE'!B287)</f>
        <v/>
      </c>
      <c r="D289" t="str">
        <f>IF('ENTRADAS-BASE'!C287="","",'ENTRADAS-BASE'!C287)</f>
        <v/>
      </c>
      <c r="E289" s="7" t="str">
        <f>IF('ENTRADAS-BASE'!D287="","",'ENTRADAS-BASE'!D287)</f>
        <v/>
      </c>
      <c r="F289" s="6" t="str">
        <f>IF('ENTRADAS-BASE'!E287="","",'ENTRADAS-BASE'!E287)</f>
        <v/>
      </c>
      <c r="G289" t="str">
        <f>IF('ENTRADAS-BASE'!F287="","",'ENTRADAS-BASE'!F287)</f>
        <v/>
      </c>
      <c r="H289" t="str">
        <f>IF('ENTRADAS-BASE'!G287="","",'ENTRADAS-BASE'!G287)</f>
        <v/>
      </c>
      <c r="I289" t="str">
        <f>IF('ENTRADAS-BASE'!H287="","",'ENTRADAS-BASE'!H287)</f>
        <v/>
      </c>
      <c r="J289" t="str">
        <f>IF('ENTRADAS-BASE'!I287="","",'ENTRADAS-BASE'!I287)</f>
        <v/>
      </c>
      <c r="K289" s="5" t="str">
        <f>IF('ENTRADAS-BASE'!J287="","",'ENTRADAS-BASE'!J287)</f>
        <v/>
      </c>
      <c r="L2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0" spans="2:12" x14ac:dyDescent="0.3">
      <c r="B290" t="str">
        <f>IF('ENTRADAS-BASE'!A288="","",'ENTRADAS-BASE'!A288)</f>
        <v/>
      </c>
      <c r="C290" t="str">
        <f>IF('ENTRADAS-BASE'!B288="","",'ENTRADAS-BASE'!B288)</f>
        <v/>
      </c>
      <c r="D290" t="str">
        <f>IF('ENTRADAS-BASE'!C288="","",'ENTRADAS-BASE'!C288)</f>
        <v/>
      </c>
      <c r="E290" s="7" t="str">
        <f>IF('ENTRADAS-BASE'!D288="","",'ENTRADAS-BASE'!D288)</f>
        <v/>
      </c>
      <c r="F290" s="6" t="str">
        <f>IF('ENTRADAS-BASE'!E288="","",'ENTRADAS-BASE'!E288)</f>
        <v/>
      </c>
      <c r="G290" t="str">
        <f>IF('ENTRADAS-BASE'!F288="","",'ENTRADAS-BASE'!F288)</f>
        <v/>
      </c>
      <c r="H290" t="str">
        <f>IF('ENTRADAS-BASE'!G288="","",'ENTRADAS-BASE'!G288)</f>
        <v/>
      </c>
      <c r="I290" t="str">
        <f>IF('ENTRADAS-BASE'!H288="","",'ENTRADAS-BASE'!H288)</f>
        <v/>
      </c>
      <c r="J290" t="str">
        <f>IF('ENTRADAS-BASE'!I288="","",'ENTRADAS-BASE'!I288)</f>
        <v/>
      </c>
      <c r="K290" s="5" t="str">
        <f>IF('ENTRADAS-BASE'!J288="","",'ENTRADAS-BASE'!J288)</f>
        <v/>
      </c>
      <c r="L2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1" spans="2:12" x14ac:dyDescent="0.3">
      <c r="B291" t="str">
        <f>IF('ENTRADAS-BASE'!A289="","",'ENTRADAS-BASE'!A289)</f>
        <v/>
      </c>
      <c r="C291" t="str">
        <f>IF('ENTRADAS-BASE'!B289="","",'ENTRADAS-BASE'!B289)</f>
        <v/>
      </c>
      <c r="D291" t="str">
        <f>IF('ENTRADAS-BASE'!C289="","",'ENTRADAS-BASE'!C289)</f>
        <v/>
      </c>
      <c r="E291" s="7" t="str">
        <f>IF('ENTRADAS-BASE'!D289="","",'ENTRADAS-BASE'!D289)</f>
        <v/>
      </c>
      <c r="F291" s="6" t="str">
        <f>IF('ENTRADAS-BASE'!E289="","",'ENTRADAS-BASE'!E289)</f>
        <v/>
      </c>
      <c r="G291" t="str">
        <f>IF('ENTRADAS-BASE'!F289="","",'ENTRADAS-BASE'!F289)</f>
        <v/>
      </c>
      <c r="H291" t="str">
        <f>IF('ENTRADAS-BASE'!G289="","",'ENTRADAS-BASE'!G289)</f>
        <v/>
      </c>
      <c r="I291" t="str">
        <f>IF('ENTRADAS-BASE'!H289="","",'ENTRADAS-BASE'!H289)</f>
        <v/>
      </c>
      <c r="J291" t="str">
        <f>IF('ENTRADAS-BASE'!I289="","",'ENTRADAS-BASE'!I289)</f>
        <v/>
      </c>
      <c r="K291" s="5" t="str">
        <f>IF('ENTRADAS-BASE'!J289="","",'ENTRADAS-BASE'!J289)</f>
        <v/>
      </c>
      <c r="L2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2" spans="2:12" x14ac:dyDescent="0.3">
      <c r="B292" t="str">
        <f>IF('ENTRADAS-BASE'!A290="","",'ENTRADAS-BASE'!A290)</f>
        <v/>
      </c>
      <c r="C292" t="str">
        <f>IF('ENTRADAS-BASE'!B290="","",'ENTRADAS-BASE'!B290)</f>
        <v/>
      </c>
      <c r="D292" t="str">
        <f>IF('ENTRADAS-BASE'!C290="","",'ENTRADAS-BASE'!C290)</f>
        <v/>
      </c>
      <c r="E292" s="7" t="str">
        <f>IF('ENTRADAS-BASE'!D290="","",'ENTRADAS-BASE'!D290)</f>
        <v/>
      </c>
      <c r="F292" s="6" t="str">
        <f>IF('ENTRADAS-BASE'!E290="","",'ENTRADAS-BASE'!E290)</f>
        <v/>
      </c>
      <c r="G292" t="str">
        <f>IF('ENTRADAS-BASE'!F290="","",'ENTRADAS-BASE'!F290)</f>
        <v/>
      </c>
      <c r="H292" t="str">
        <f>IF('ENTRADAS-BASE'!G290="","",'ENTRADAS-BASE'!G290)</f>
        <v/>
      </c>
      <c r="I292" t="str">
        <f>IF('ENTRADAS-BASE'!H290="","",'ENTRADAS-BASE'!H290)</f>
        <v/>
      </c>
      <c r="J292" t="str">
        <f>IF('ENTRADAS-BASE'!I290="","",'ENTRADAS-BASE'!I290)</f>
        <v/>
      </c>
      <c r="K292" s="5" t="str">
        <f>IF('ENTRADAS-BASE'!J290="","",'ENTRADAS-BASE'!J290)</f>
        <v/>
      </c>
      <c r="L2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3" spans="2:12" x14ac:dyDescent="0.3">
      <c r="B293" t="str">
        <f>IF('ENTRADAS-BASE'!A291="","",'ENTRADAS-BASE'!A291)</f>
        <v/>
      </c>
      <c r="C293" t="str">
        <f>IF('ENTRADAS-BASE'!B291="","",'ENTRADAS-BASE'!B291)</f>
        <v/>
      </c>
      <c r="D293" t="str">
        <f>IF('ENTRADAS-BASE'!C291="","",'ENTRADAS-BASE'!C291)</f>
        <v/>
      </c>
      <c r="E293" s="7" t="str">
        <f>IF('ENTRADAS-BASE'!D291="","",'ENTRADAS-BASE'!D291)</f>
        <v/>
      </c>
      <c r="F293" s="6" t="str">
        <f>IF('ENTRADAS-BASE'!E291="","",'ENTRADAS-BASE'!E291)</f>
        <v/>
      </c>
      <c r="G293" t="str">
        <f>IF('ENTRADAS-BASE'!F291="","",'ENTRADAS-BASE'!F291)</f>
        <v/>
      </c>
      <c r="H293" t="str">
        <f>IF('ENTRADAS-BASE'!G291="","",'ENTRADAS-BASE'!G291)</f>
        <v/>
      </c>
      <c r="I293" t="str">
        <f>IF('ENTRADAS-BASE'!H291="","",'ENTRADAS-BASE'!H291)</f>
        <v/>
      </c>
      <c r="J293" t="str">
        <f>IF('ENTRADAS-BASE'!I291="","",'ENTRADAS-BASE'!I291)</f>
        <v/>
      </c>
      <c r="K293" s="5" t="str">
        <f>IF('ENTRADAS-BASE'!J291="","",'ENTRADAS-BASE'!J291)</f>
        <v/>
      </c>
      <c r="L2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4" spans="2:12" x14ac:dyDescent="0.3">
      <c r="B294" t="str">
        <f>IF('ENTRADAS-BASE'!A292="","",'ENTRADAS-BASE'!A292)</f>
        <v/>
      </c>
      <c r="C294" t="str">
        <f>IF('ENTRADAS-BASE'!B292="","",'ENTRADAS-BASE'!B292)</f>
        <v/>
      </c>
      <c r="D294" t="str">
        <f>IF('ENTRADAS-BASE'!C292="","",'ENTRADAS-BASE'!C292)</f>
        <v/>
      </c>
      <c r="E294" s="7" t="str">
        <f>IF('ENTRADAS-BASE'!D292="","",'ENTRADAS-BASE'!D292)</f>
        <v/>
      </c>
      <c r="F294" s="6" t="str">
        <f>IF('ENTRADAS-BASE'!E292="","",'ENTRADAS-BASE'!E292)</f>
        <v/>
      </c>
      <c r="G294" t="str">
        <f>IF('ENTRADAS-BASE'!F292="","",'ENTRADAS-BASE'!F292)</f>
        <v/>
      </c>
      <c r="H294" t="str">
        <f>IF('ENTRADAS-BASE'!G292="","",'ENTRADAS-BASE'!G292)</f>
        <v/>
      </c>
      <c r="I294" t="str">
        <f>IF('ENTRADAS-BASE'!H292="","",'ENTRADAS-BASE'!H292)</f>
        <v/>
      </c>
      <c r="J294" t="str">
        <f>IF('ENTRADAS-BASE'!I292="","",'ENTRADAS-BASE'!I292)</f>
        <v/>
      </c>
      <c r="K294" s="5" t="str">
        <f>IF('ENTRADAS-BASE'!J292="","",'ENTRADAS-BASE'!J292)</f>
        <v/>
      </c>
      <c r="L2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5" spans="2:12" x14ac:dyDescent="0.3">
      <c r="B295" t="str">
        <f>IF('ENTRADAS-BASE'!A293="","",'ENTRADAS-BASE'!A293)</f>
        <v/>
      </c>
      <c r="C295" t="str">
        <f>IF('ENTRADAS-BASE'!B293="","",'ENTRADAS-BASE'!B293)</f>
        <v/>
      </c>
      <c r="D295" t="str">
        <f>IF('ENTRADAS-BASE'!C293="","",'ENTRADAS-BASE'!C293)</f>
        <v/>
      </c>
      <c r="E295" s="7" t="str">
        <f>IF('ENTRADAS-BASE'!D293="","",'ENTRADAS-BASE'!D293)</f>
        <v/>
      </c>
      <c r="F295" s="6" t="str">
        <f>IF('ENTRADAS-BASE'!E293="","",'ENTRADAS-BASE'!E293)</f>
        <v/>
      </c>
      <c r="G295" t="str">
        <f>IF('ENTRADAS-BASE'!F293="","",'ENTRADAS-BASE'!F293)</f>
        <v/>
      </c>
      <c r="H295" t="str">
        <f>IF('ENTRADAS-BASE'!G293="","",'ENTRADAS-BASE'!G293)</f>
        <v/>
      </c>
      <c r="I295" t="str">
        <f>IF('ENTRADAS-BASE'!H293="","",'ENTRADAS-BASE'!H293)</f>
        <v/>
      </c>
      <c r="J295" t="str">
        <f>IF('ENTRADAS-BASE'!I293="","",'ENTRADAS-BASE'!I293)</f>
        <v/>
      </c>
      <c r="K295" s="5" t="str">
        <f>IF('ENTRADAS-BASE'!J293="","",'ENTRADAS-BASE'!J293)</f>
        <v/>
      </c>
      <c r="L2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6" spans="2:12" x14ac:dyDescent="0.3">
      <c r="B296" t="str">
        <f>IF('ENTRADAS-BASE'!A294="","",'ENTRADAS-BASE'!A294)</f>
        <v/>
      </c>
      <c r="C296" t="str">
        <f>IF('ENTRADAS-BASE'!B294="","",'ENTRADAS-BASE'!B294)</f>
        <v/>
      </c>
      <c r="D296" t="str">
        <f>IF('ENTRADAS-BASE'!C294="","",'ENTRADAS-BASE'!C294)</f>
        <v/>
      </c>
      <c r="E296" s="7" t="str">
        <f>IF('ENTRADAS-BASE'!D294="","",'ENTRADAS-BASE'!D294)</f>
        <v/>
      </c>
      <c r="F296" s="6" t="str">
        <f>IF('ENTRADAS-BASE'!E294="","",'ENTRADAS-BASE'!E294)</f>
        <v/>
      </c>
      <c r="G296" t="str">
        <f>IF('ENTRADAS-BASE'!F294="","",'ENTRADAS-BASE'!F294)</f>
        <v/>
      </c>
      <c r="H296" t="str">
        <f>IF('ENTRADAS-BASE'!G294="","",'ENTRADAS-BASE'!G294)</f>
        <v/>
      </c>
      <c r="I296" t="str">
        <f>IF('ENTRADAS-BASE'!H294="","",'ENTRADAS-BASE'!H294)</f>
        <v/>
      </c>
      <c r="J296" t="str">
        <f>IF('ENTRADAS-BASE'!I294="","",'ENTRADAS-BASE'!I294)</f>
        <v/>
      </c>
      <c r="K296" s="5" t="str">
        <f>IF('ENTRADAS-BASE'!J294="","",'ENTRADAS-BASE'!J294)</f>
        <v/>
      </c>
      <c r="L2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7" spans="2:12" x14ac:dyDescent="0.3">
      <c r="B297" t="str">
        <f>IF('ENTRADAS-BASE'!A295="","",'ENTRADAS-BASE'!A295)</f>
        <v/>
      </c>
      <c r="C297" t="str">
        <f>IF('ENTRADAS-BASE'!B295="","",'ENTRADAS-BASE'!B295)</f>
        <v/>
      </c>
      <c r="D297" t="str">
        <f>IF('ENTRADAS-BASE'!C295="","",'ENTRADAS-BASE'!C295)</f>
        <v/>
      </c>
      <c r="E297" s="7" t="str">
        <f>IF('ENTRADAS-BASE'!D295="","",'ENTRADAS-BASE'!D295)</f>
        <v/>
      </c>
      <c r="F297" s="6" t="str">
        <f>IF('ENTRADAS-BASE'!E295="","",'ENTRADAS-BASE'!E295)</f>
        <v/>
      </c>
      <c r="G297" t="str">
        <f>IF('ENTRADAS-BASE'!F295="","",'ENTRADAS-BASE'!F295)</f>
        <v/>
      </c>
      <c r="H297" t="str">
        <f>IF('ENTRADAS-BASE'!G295="","",'ENTRADAS-BASE'!G295)</f>
        <v/>
      </c>
      <c r="I297" t="str">
        <f>IF('ENTRADAS-BASE'!H295="","",'ENTRADAS-BASE'!H295)</f>
        <v/>
      </c>
      <c r="J297" t="str">
        <f>IF('ENTRADAS-BASE'!I295="","",'ENTRADAS-BASE'!I295)</f>
        <v/>
      </c>
      <c r="K297" s="5" t="str">
        <f>IF('ENTRADAS-BASE'!J295="","",'ENTRADAS-BASE'!J295)</f>
        <v/>
      </c>
      <c r="L2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8" spans="2:12" x14ac:dyDescent="0.3">
      <c r="B298" t="str">
        <f>IF('ENTRADAS-BASE'!A296="","",'ENTRADAS-BASE'!A296)</f>
        <v/>
      </c>
      <c r="C298" t="str">
        <f>IF('ENTRADAS-BASE'!B296="","",'ENTRADAS-BASE'!B296)</f>
        <v/>
      </c>
      <c r="D298" t="str">
        <f>IF('ENTRADAS-BASE'!C296="","",'ENTRADAS-BASE'!C296)</f>
        <v/>
      </c>
      <c r="E298" s="7" t="str">
        <f>IF('ENTRADAS-BASE'!D296="","",'ENTRADAS-BASE'!D296)</f>
        <v/>
      </c>
      <c r="F298" s="6" t="str">
        <f>IF('ENTRADAS-BASE'!E296="","",'ENTRADAS-BASE'!E296)</f>
        <v/>
      </c>
      <c r="G298" t="str">
        <f>IF('ENTRADAS-BASE'!F296="","",'ENTRADAS-BASE'!F296)</f>
        <v/>
      </c>
      <c r="H298" t="str">
        <f>IF('ENTRADAS-BASE'!G296="","",'ENTRADAS-BASE'!G296)</f>
        <v/>
      </c>
      <c r="I298" t="str">
        <f>IF('ENTRADAS-BASE'!H296="","",'ENTRADAS-BASE'!H296)</f>
        <v/>
      </c>
      <c r="J298" t="str">
        <f>IF('ENTRADAS-BASE'!I296="","",'ENTRADAS-BASE'!I296)</f>
        <v/>
      </c>
      <c r="K298" s="5" t="str">
        <f>IF('ENTRADAS-BASE'!J296="","",'ENTRADAS-BASE'!J296)</f>
        <v/>
      </c>
      <c r="L2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9" spans="2:12" x14ac:dyDescent="0.3">
      <c r="B299" t="str">
        <f>IF('ENTRADAS-BASE'!A297="","",'ENTRADAS-BASE'!A297)</f>
        <v/>
      </c>
      <c r="C299" t="str">
        <f>IF('ENTRADAS-BASE'!B297="","",'ENTRADAS-BASE'!B297)</f>
        <v/>
      </c>
      <c r="D299" t="str">
        <f>IF('ENTRADAS-BASE'!C297="","",'ENTRADAS-BASE'!C297)</f>
        <v/>
      </c>
      <c r="E299" s="7" t="str">
        <f>IF('ENTRADAS-BASE'!D297="","",'ENTRADAS-BASE'!D297)</f>
        <v/>
      </c>
      <c r="F299" s="6" t="str">
        <f>IF('ENTRADAS-BASE'!E297="","",'ENTRADAS-BASE'!E297)</f>
        <v/>
      </c>
      <c r="G299" t="str">
        <f>IF('ENTRADAS-BASE'!F297="","",'ENTRADAS-BASE'!F297)</f>
        <v/>
      </c>
      <c r="H299" t="str">
        <f>IF('ENTRADAS-BASE'!G297="","",'ENTRADAS-BASE'!G297)</f>
        <v/>
      </c>
      <c r="I299" t="str">
        <f>IF('ENTRADAS-BASE'!H297="","",'ENTRADAS-BASE'!H297)</f>
        <v/>
      </c>
      <c r="J299" t="str">
        <f>IF('ENTRADAS-BASE'!I297="","",'ENTRADAS-BASE'!I297)</f>
        <v/>
      </c>
      <c r="K299" s="5" t="str">
        <f>IF('ENTRADAS-BASE'!J297="","",'ENTRADAS-BASE'!J297)</f>
        <v/>
      </c>
      <c r="L2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0" spans="2:12" x14ac:dyDescent="0.3">
      <c r="B300" t="str">
        <f>IF('ENTRADAS-BASE'!A298="","",'ENTRADAS-BASE'!A298)</f>
        <v/>
      </c>
      <c r="C300" t="str">
        <f>IF('ENTRADAS-BASE'!B298="","",'ENTRADAS-BASE'!B298)</f>
        <v/>
      </c>
      <c r="D300" t="str">
        <f>IF('ENTRADAS-BASE'!C298="","",'ENTRADAS-BASE'!C298)</f>
        <v/>
      </c>
      <c r="E300" s="7" t="str">
        <f>IF('ENTRADAS-BASE'!D298="","",'ENTRADAS-BASE'!D298)</f>
        <v/>
      </c>
      <c r="F300" s="6" t="str">
        <f>IF('ENTRADAS-BASE'!E298="","",'ENTRADAS-BASE'!E298)</f>
        <v/>
      </c>
      <c r="G300" t="str">
        <f>IF('ENTRADAS-BASE'!F298="","",'ENTRADAS-BASE'!F298)</f>
        <v/>
      </c>
      <c r="H300" t="str">
        <f>IF('ENTRADAS-BASE'!G298="","",'ENTRADAS-BASE'!G298)</f>
        <v/>
      </c>
      <c r="I300" t="str">
        <f>IF('ENTRADAS-BASE'!H298="","",'ENTRADAS-BASE'!H298)</f>
        <v/>
      </c>
      <c r="J300" t="str">
        <f>IF('ENTRADAS-BASE'!I298="","",'ENTRADAS-BASE'!I298)</f>
        <v/>
      </c>
      <c r="K300" s="5" t="str">
        <f>IF('ENTRADAS-BASE'!J298="","",'ENTRADAS-BASE'!J298)</f>
        <v/>
      </c>
      <c r="L3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1" spans="2:12" x14ac:dyDescent="0.3">
      <c r="B301" t="str">
        <f>IF('ENTRADAS-BASE'!A299="","",'ENTRADAS-BASE'!A299)</f>
        <v/>
      </c>
      <c r="C301" t="str">
        <f>IF('ENTRADAS-BASE'!B299="","",'ENTRADAS-BASE'!B299)</f>
        <v/>
      </c>
      <c r="D301" t="str">
        <f>IF('ENTRADAS-BASE'!C299="","",'ENTRADAS-BASE'!C299)</f>
        <v/>
      </c>
      <c r="E301" s="7" t="str">
        <f>IF('ENTRADAS-BASE'!D299="","",'ENTRADAS-BASE'!D299)</f>
        <v/>
      </c>
      <c r="F301" s="6" t="str">
        <f>IF('ENTRADAS-BASE'!E299="","",'ENTRADAS-BASE'!E299)</f>
        <v/>
      </c>
      <c r="G301" t="str">
        <f>IF('ENTRADAS-BASE'!F299="","",'ENTRADAS-BASE'!F299)</f>
        <v/>
      </c>
      <c r="H301" t="str">
        <f>IF('ENTRADAS-BASE'!G299="","",'ENTRADAS-BASE'!G299)</f>
        <v/>
      </c>
      <c r="I301" t="str">
        <f>IF('ENTRADAS-BASE'!H299="","",'ENTRADAS-BASE'!H299)</f>
        <v/>
      </c>
      <c r="J301" t="str">
        <f>IF('ENTRADAS-BASE'!I299="","",'ENTRADAS-BASE'!I299)</f>
        <v/>
      </c>
      <c r="K301" s="5" t="str">
        <f>IF('ENTRADAS-BASE'!J299="","",'ENTRADAS-BASE'!J299)</f>
        <v/>
      </c>
      <c r="L3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2" spans="2:12" x14ac:dyDescent="0.3">
      <c r="B302" t="str">
        <f>IF('ENTRADAS-BASE'!A300="","",'ENTRADAS-BASE'!A300)</f>
        <v/>
      </c>
      <c r="C302" t="str">
        <f>IF('ENTRADAS-BASE'!B300="","",'ENTRADAS-BASE'!B300)</f>
        <v/>
      </c>
      <c r="D302" t="str">
        <f>IF('ENTRADAS-BASE'!C300="","",'ENTRADAS-BASE'!C300)</f>
        <v/>
      </c>
      <c r="E302" s="7" t="str">
        <f>IF('ENTRADAS-BASE'!D300="","",'ENTRADAS-BASE'!D300)</f>
        <v/>
      </c>
      <c r="F302" s="6" t="str">
        <f>IF('ENTRADAS-BASE'!E300="","",'ENTRADAS-BASE'!E300)</f>
        <v/>
      </c>
      <c r="G302" t="str">
        <f>IF('ENTRADAS-BASE'!F300="","",'ENTRADAS-BASE'!F300)</f>
        <v/>
      </c>
      <c r="H302" t="str">
        <f>IF('ENTRADAS-BASE'!G300="","",'ENTRADAS-BASE'!G300)</f>
        <v/>
      </c>
      <c r="I302" t="str">
        <f>IF('ENTRADAS-BASE'!H300="","",'ENTRADAS-BASE'!H300)</f>
        <v/>
      </c>
      <c r="J302" t="str">
        <f>IF('ENTRADAS-BASE'!I300="","",'ENTRADAS-BASE'!I300)</f>
        <v/>
      </c>
      <c r="K302" s="5" t="str">
        <f>IF('ENTRADAS-BASE'!J300="","",'ENTRADAS-BASE'!J300)</f>
        <v/>
      </c>
      <c r="L3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3" spans="2:12" x14ac:dyDescent="0.3">
      <c r="B303" t="str">
        <f>IF('ENTRADAS-BASE'!A301="","",'ENTRADAS-BASE'!A301)</f>
        <v/>
      </c>
      <c r="C303" t="str">
        <f>IF('ENTRADAS-BASE'!B301="","",'ENTRADAS-BASE'!B301)</f>
        <v/>
      </c>
      <c r="D303" t="str">
        <f>IF('ENTRADAS-BASE'!C301="","",'ENTRADAS-BASE'!C301)</f>
        <v/>
      </c>
      <c r="E303" s="7" t="str">
        <f>IF('ENTRADAS-BASE'!D301="","",'ENTRADAS-BASE'!D301)</f>
        <v/>
      </c>
      <c r="F303" s="6" t="str">
        <f>IF('ENTRADAS-BASE'!E301="","",'ENTRADAS-BASE'!E301)</f>
        <v/>
      </c>
      <c r="G303" t="str">
        <f>IF('ENTRADAS-BASE'!F301="","",'ENTRADAS-BASE'!F301)</f>
        <v/>
      </c>
      <c r="H303" t="str">
        <f>IF('ENTRADAS-BASE'!G301="","",'ENTRADAS-BASE'!G301)</f>
        <v/>
      </c>
      <c r="I303" t="str">
        <f>IF('ENTRADAS-BASE'!H301="","",'ENTRADAS-BASE'!H301)</f>
        <v/>
      </c>
      <c r="J303" t="str">
        <f>IF('ENTRADAS-BASE'!I301="","",'ENTRADAS-BASE'!I301)</f>
        <v/>
      </c>
      <c r="K303" s="5" t="str">
        <f>IF('ENTRADAS-BASE'!J301="","",'ENTRADAS-BASE'!J301)</f>
        <v/>
      </c>
      <c r="L3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4" spans="2:12" x14ac:dyDescent="0.3">
      <c r="B304" t="str">
        <f>IF('ENTRADAS-BASE'!A302="","",'ENTRADAS-BASE'!A302)</f>
        <v/>
      </c>
      <c r="C304" t="str">
        <f>IF('ENTRADAS-BASE'!B302="","",'ENTRADAS-BASE'!B302)</f>
        <v/>
      </c>
      <c r="D304" t="str">
        <f>IF('ENTRADAS-BASE'!C302="","",'ENTRADAS-BASE'!C302)</f>
        <v/>
      </c>
      <c r="E304" s="7" t="str">
        <f>IF('ENTRADAS-BASE'!D302="","",'ENTRADAS-BASE'!D302)</f>
        <v/>
      </c>
      <c r="F304" s="6" t="str">
        <f>IF('ENTRADAS-BASE'!E302="","",'ENTRADAS-BASE'!E302)</f>
        <v/>
      </c>
      <c r="G304" t="str">
        <f>IF('ENTRADAS-BASE'!F302="","",'ENTRADAS-BASE'!F302)</f>
        <v/>
      </c>
      <c r="H304" t="str">
        <f>IF('ENTRADAS-BASE'!G302="","",'ENTRADAS-BASE'!G302)</f>
        <v/>
      </c>
      <c r="I304" t="str">
        <f>IF('ENTRADAS-BASE'!H302="","",'ENTRADAS-BASE'!H302)</f>
        <v/>
      </c>
      <c r="J304" t="str">
        <f>IF('ENTRADAS-BASE'!I302="","",'ENTRADAS-BASE'!I302)</f>
        <v/>
      </c>
      <c r="K304" s="5" t="str">
        <f>IF('ENTRADAS-BASE'!J302="","",'ENTRADAS-BASE'!J302)</f>
        <v/>
      </c>
      <c r="L3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5" spans="2:12" x14ac:dyDescent="0.3">
      <c r="B305" t="str">
        <f>IF('ENTRADAS-BASE'!A303="","",'ENTRADAS-BASE'!A303)</f>
        <v/>
      </c>
      <c r="C305" t="str">
        <f>IF('ENTRADAS-BASE'!B303="","",'ENTRADAS-BASE'!B303)</f>
        <v/>
      </c>
      <c r="D305" t="str">
        <f>IF('ENTRADAS-BASE'!C303="","",'ENTRADAS-BASE'!C303)</f>
        <v/>
      </c>
      <c r="E305" s="7" t="str">
        <f>IF('ENTRADAS-BASE'!D303="","",'ENTRADAS-BASE'!D303)</f>
        <v/>
      </c>
      <c r="F305" s="6" t="str">
        <f>IF('ENTRADAS-BASE'!E303="","",'ENTRADAS-BASE'!E303)</f>
        <v/>
      </c>
      <c r="G305" t="str">
        <f>IF('ENTRADAS-BASE'!F303="","",'ENTRADAS-BASE'!F303)</f>
        <v/>
      </c>
      <c r="H305" t="str">
        <f>IF('ENTRADAS-BASE'!G303="","",'ENTRADAS-BASE'!G303)</f>
        <v/>
      </c>
      <c r="I305" t="str">
        <f>IF('ENTRADAS-BASE'!H303="","",'ENTRADAS-BASE'!H303)</f>
        <v/>
      </c>
      <c r="J305" t="str">
        <f>IF('ENTRADAS-BASE'!I303="","",'ENTRADAS-BASE'!I303)</f>
        <v/>
      </c>
      <c r="K305" s="5" t="str">
        <f>IF('ENTRADAS-BASE'!J303="","",'ENTRADAS-BASE'!J303)</f>
        <v/>
      </c>
      <c r="L3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6" spans="2:12" x14ac:dyDescent="0.3">
      <c r="B306" t="str">
        <f>IF('ENTRADAS-BASE'!A304="","",'ENTRADAS-BASE'!A304)</f>
        <v/>
      </c>
      <c r="C306" t="str">
        <f>IF('ENTRADAS-BASE'!B304="","",'ENTRADAS-BASE'!B304)</f>
        <v/>
      </c>
      <c r="D306" t="str">
        <f>IF('ENTRADAS-BASE'!C304="","",'ENTRADAS-BASE'!C304)</f>
        <v/>
      </c>
      <c r="E306" s="7" t="str">
        <f>IF('ENTRADAS-BASE'!D304="","",'ENTRADAS-BASE'!D304)</f>
        <v/>
      </c>
      <c r="F306" s="6" t="str">
        <f>IF('ENTRADAS-BASE'!E304="","",'ENTRADAS-BASE'!E304)</f>
        <v/>
      </c>
      <c r="G306" t="str">
        <f>IF('ENTRADAS-BASE'!F304="","",'ENTRADAS-BASE'!F304)</f>
        <v/>
      </c>
      <c r="H306" t="str">
        <f>IF('ENTRADAS-BASE'!G304="","",'ENTRADAS-BASE'!G304)</f>
        <v/>
      </c>
      <c r="I306" t="str">
        <f>IF('ENTRADAS-BASE'!H304="","",'ENTRADAS-BASE'!H304)</f>
        <v/>
      </c>
      <c r="J306" t="str">
        <f>IF('ENTRADAS-BASE'!I304="","",'ENTRADAS-BASE'!I304)</f>
        <v/>
      </c>
      <c r="K306" s="5" t="str">
        <f>IF('ENTRADAS-BASE'!J304="","",'ENTRADAS-BASE'!J304)</f>
        <v/>
      </c>
      <c r="L3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7" spans="2:12" x14ac:dyDescent="0.3">
      <c r="B307" t="str">
        <f>IF('ENTRADAS-BASE'!A305="","",'ENTRADAS-BASE'!A305)</f>
        <v/>
      </c>
      <c r="C307" t="str">
        <f>IF('ENTRADAS-BASE'!B305="","",'ENTRADAS-BASE'!B305)</f>
        <v/>
      </c>
      <c r="D307" t="str">
        <f>IF('ENTRADAS-BASE'!C305="","",'ENTRADAS-BASE'!C305)</f>
        <v/>
      </c>
      <c r="E307" s="7" t="str">
        <f>IF('ENTRADAS-BASE'!D305="","",'ENTRADAS-BASE'!D305)</f>
        <v/>
      </c>
      <c r="F307" s="6" t="str">
        <f>IF('ENTRADAS-BASE'!E305="","",'ENTRADAS-BASE'!E305)</f>
        <v/>
      </c>
      <c r="G307" t="str">
        <f>IF('ENTRADAS-BASE'!F305="","",'ENTRADAS-BASE'!F305)</f>
        <v/>
      </c>
      <c r="H307" t="str">
        <f>IF('ENTRADAS-BASE'!G305="","",'ENTRADAS-BASE'!G305)</f>
        <v/>
      </c>
      <c r="I307" t="str">
        <f>IF('ENTRADAS-BASE'!H305="","",'ENTRADAS-BASE'!H305)</f>
        <v/>
      </c>
      <c r="J307" t="str">
        <f>IF('ENTRADAS-BASE'!I305="","",'ENTRADAS-BASE'!I305)</f>
        <v/>
      </c>
      <c r="K307" s="5" t="str">
        <f>IF('ENTRADAS-BASE'!J305="","",'ENTRADAS-BASE'!J305)</f>
        <v/>
      </c>
      <c r="L3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8" spans="2:12" x14ac:dyDescent="0.3">
      <c r="B308" t="str">
        <f>IF('ENTRADAS-BASE'!A306="","",'ENTRADAS-BASE'!A306)</f>
        <v/>
      </c>
      <c r="C308" t="str">
        <f>IF('ENTRADAS-BASE'!B306="","",'ENTRADAS-BASE'!B306)</f>
        <v/>
      </c>
      <c r="D308" t="str">
        <f>IF('ENTRADAS-BASE'!C306="","",'ENTRADAS-BASE'!C306)</f>
        <v/>
      </c>
      <c r="E308" s="7" t="str">
        <f>IF('ENTRADAS-BASE'!D306="","",'ENTRADAS-BASE'!D306)</f>
        <v/>
      </c>
      <c r="F308" s="6" t="str">
        <f>IF('ENTRADAS-BASE'!E306="","",'ENTRADAS-BASE'!E306)</f>
        <v/>
      </c>
      <c r="G308" t="str">
        <f>IF('ENTRADAS-BASE'!F306="","",'ENTRADAS-BASE'!F306)</f>
        <v/>
      </c>
      <c r="H308" t="str">
        <f>IF('ENTRADAS-BASE'!G306="","",'ENTRADAS-BASE'!G306)</f>
        <v/>
      </c>
      <c r="I308" t="str">
        <f>IF('ENTRADAS-BASE'!H306="","",'ENTRADAS-BASE'!H306)</f>
        <v/>
      </c>
      <c r="J308" t="str">
        <f>IF('ENTRADAS-BASE'!I306="","",'ENTRADAS-BASE'!I306)</f>
        <v/>
      </c>
      <c r="K308" s="5" t="str">
        <f>IF('ENTRADAS-BASE'!J306="","",'ENTRADAS-BASE'!J306)</f>
        <v/>
      </c>
      <c r="L3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9" spans="2:12" x14ac:dyDescent="0.3">
      <c r="B309" t="str">
        <f>IF('ENTRADAS-BASE'!A307="","",'ENTRADAS-BASE'!A307)</f>
        <v/>
      </c>
      <c r="C309" t="str">
        <f>IF('ENTRADAS-BASE'!B307="","",'ENTRADAS-BASE'!B307)</f>
        <v/>
      </c>
      <c r="D309" t="str">
        <f>IF('ENTRADAS-BASE'!C307="","",'ENTRADAS-BASE'!C307)</f>
        <v/>
      </c>
      <c r="E309" s="7" t="str">
        <f>IF('ENTRADAS-BASE'!D307="","",'ENTRADAS-BASE'!D307)</f>
        <v/>
      </c>
      <c r="F309" s="6" t="str">
        <f>IF('ENTRADAS-BASE'!E307="","",'ENTRADAS-BASE'!E307)</f>
        <v/>
      </c>
      <c r="G309" t="str">
        <f>IF('ENTRADAS-BASE'!F307="","",'ENTRADAS-BASE'!F307)</f>
        <v/>
      </c>
      <c r="H309" t="str">
        <f>IF('ENTRADAS-BASE'!G307="","",'ENTRADAS-BASE'!G307)</f>
        <v/>
      </c>
      <c r="I309" t="str">
        <f>IF('ENTRADAS-BASE'!H307="","",'ENTRADAS-BASE'!H307)</f>
        <v/>
      </c>
      <c r="J309" t="str">
        <f>IF('ENTRADAS-BASE'!I307="","",'ENTRADAS-BASE'!I307)</f>
        <v/>
      </c>
      <c r="K309" s="5" t="str">
        <f>IF('ENTRADAS-BASE'!J307="","",'ENTRADAS-BASE'!J307)</f>
        <v/>
      </c>
      <c r="L3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0" spans="2:12" x14ac:dyDescent="0.3">
      <c r="B310" t="str">
        <f>IF('ENTRADAS-BASE'!A308="","",'ENTRADAS-BASE'!A308)</f>
        <v/>
      </c>
      <c r="C310" t="str">
        <f>IF('ENTRADAS-BASE'!B308="","",'ENTRADAS-BASE'!B308)</f>
        <v/>
      </c>
      <c r="D310" t="str">
        <f>IF('ENTRADAS-BASE'!C308="","",'ENTRADAS-BASE'!C308)</f>
        <v/>
      </c>
      <c r="E310" s="7" t="str">
        <f>IF('ENTRADAS-BASE'!D308="","",'ENTRADAS-BASE'!D308)</f>
        <v/>
      </c>
      <c r="F310" s="6" t="str">
        <f>IF('ENTRADAS-BASE'!E308="","",'ENTRADAS-BASE'!E308)</f>
        <v/>
      </c>
      <c r="G310" t="str">
        <f>IF('ENTRADAS-BASE'!F308="","",'ENTRADAS-BASE'!F308)</f>
        <v/>
      </c>
      <c r="H310" t="str">
        <f>IF('ENTRADAS-BASE'!G308="","",'ENTRADAS-BASE'!G308)</f>
        <v/>
      </c>
      <c r="I310" t="str">
        <f>IF('ENTRADAS-BASE'!H308="","",'ENTRADAS-BASE'!H308)</f>
        <v/>
      </c>
      <c r="J310" t="str">
        <f>IF('ENTRADAS-BASE'!I308="","",'ENTRADAS-BASE'!I308)</f>
        <v/>
      </c>
      <c r="K310" s="5" t="str">
        <f>IF('ENTRADAS-BASE'!J308="","",'ENTRADAS-BASE'!J308)</f>
        <v/>
      </c>
      <c r="L3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1" spans="2:12" x14ac:dyDescent="0.3">
      <c r="B311" t="str">
        <f>IF('ENTRADAS-BASE'!A309="","",'ENTRADAS-BASE'!A309)</f>
        <v/>
      </c>
      <c r="C311" t="str">
        <f>IF('ENTRADAS-BASE'!B309="","",'ENTRADAS-BASE'!B309)</f>
        <v/>
      </c>
      <c r="D311" t="str">
        <f>IF('ENTRADAS-BASE'!C309="","",'ENTRADAS-BASE'!C309)</f>
        <v/>
      </c>
      <c r="E311" s="7" t="str">
        <f>IF('ENTRADAS-BASE'!D309="","",'ENTRADAS-BASE'!D309)</f>
        <v/>
      </c>
      <c r="F311" s="6" t="str">
        <f>IF('ENTRADAS-BASE'!E309="","",'ENTRADAS-BASE'!E309)</f>
        <v/>
      </c>
      <c r="G311" t="str">
        <f>IF('ENTRADAS-BASE'!F309="","",'ENTRADAS-BASE'!F309)</f>
        <v/>
      </c>
      <c r="H311" t="str">
        <f>IF('ENTRADAS-BASE'!G309="","",'ENTRADAS-BASE'!G309)</f>
        <v/>
      </c>
      <c r="I311" t="str">
        <f>IF('ENTRADAS-BASE'!H309="","",'ENTRADAS-BASE'!H309)</f>
        <v/>
      </c>
      <c r="J311" t="str">
        <f>IF('ENTRADAS-BASE'!I309="","",'ENTRADAS-BASE'!I309)</f>
        <v/>
      </c>
      <c r="K311" s="5" t="str">
        <f>IF('ENTRADAS-BASE'!J309="","",'ENTRADAS-BASE'!J309)</f>
        <v/>
      </c>
      <c r="L3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2" spans="2:12" x14ac:dyDescent="0.3">
      <c r="B312" t="str">
        <f>IF('ENTRADAS-BASE'!A310="","",'ENTRADAS-BASE'!A310)</f>
        <v/>
      </c>
      <c r="C312" t="str">
        <f>IF('ENTRADAS-BASE'!B310="","",'ENTRADAS-BASE'!B310)</f>
        <v/>
      </c>
      <c r="D312" t="str">
        <f>IF('ENTRADAS-BASE'!C310="","",'ENTRADAS-BASE'!C310)</f>
        <v/>
      </c>
      <c r="E312" s="7" t="str">
        <f>IF('ENTRADAS-BASE'!D310="","",'ENTRADAS-BASE'!D310)</f>
        <v/>
      </c>
      <c r="F312" s="6" t="str">
        <f>IF('ENTRADAS-BASE'!E310="","",'ENTRADAS-BASE'!E310)</f>
        <v/>
      </c>
      <c r="G312" t="str">
        <f>IF('ENTRADAS-BASE'!F310="","",'ENTRADAS-BASE'!F310)</f>
        <v/>
      </c>
      <c r="H312" t="str">
        <f>IF('ENTRADAS-BASE'!G310="","",'ENTRADAS-BASE'!G310)</f>
        <v/>
      </c>
      <c r="I312" t="str">
        <f>IF('ENTRADAS-BASE'!H310="","",'ENTRADAS-BASE'!H310)</f>
        <v/>
      </c>
      <c r="J312" t="str">
        <f>IF('ENTRADAS-BASE'!I310="","",'ENTRADAS-BASE'!I310)</f>
        <v/>
      </c>
      <c r="K312" s="5" t="str">
        <f>IF('ENTRADAS-BASE'!J310="","",'ENTRADAS-BASE'!J310)</f>
        <v/>
      </c>
      <c r="L3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3" spans="2:12" x14ac:dyDescent="0.3">
      <c r="B313" t="str">
        <f>IF('ENTRADAS-BASE'!A311="","",'ENTRADAS-BASE'!A311)</f>
        <v/>
      </c>
      <c r="C313" t="str">
        <f>IF('ENTRADAS-BASE'!B311="","",'ENTRADAS-BASE'!B311)</f>
        <v/>
      </c>
      <c r="D313" t="str">
        <f>IF('ENTRADAS-BASE'!C311="","",'ENTRADAS-BASE'!C311)</f>
        <v/>
      </c>
      <c r="E313" s="7" t="str">
        <f>IF('ENTRADAS-BASE'!D311="","",'ENTRADAS-BASE'!D311)</f>
        <v/>
      </c>
      <c r="F313" s="6" t="str">
        <f>IF('ENTRADAS-BASE'!E311="","",'ENTRADAS-BASE'!E311)</f>
        <v/>
      </c>
      <c r="G313" t="str">
        <f>IF('ENTRADAS-BASE'!F311="","",'ENTRADAS-BASE'!F311)</f>
        <v/>
      </c>
      <c r="H313" t="str">
        <f>IF('ENTRADAS-BASE'!G311="","",'ENTRADAS-BASE'!G311)</f>
        <v/>
      </c>
      <c r="I313" t="str">
        <f>IF('ENTRADAS-BASE'!H311="","",'ENTRADAS-BASE'!H311)</f>
        <v/>
      </c>
      <c r="J313" t="str">
        <f>IF('ENTRADAS-BASE'!I311="","",'ENTRADAS-BASE'!I311)</f>
        <v/>
      </c>
      <c r="K313" s="5" t="str">
        <f>IF('ENTRADAS-BASE'!J311="","",'ENTRADAS-BASE'!J311)</f>
        <v/>
      </c>
      <c r="L3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4" spans="2:12" x14ac:dyDescent="0.3">
      <c r="B314" t="str">
        <f>IF('ENTRADAS-BASE'!A312="","",'ENTRADAS-BASE'!A312)</f>
        <v/>
      </c>
      <c r="C314" t="str">
        <f>IF('ENTRADAS-BASE'!B312="","",'ENTRADAS-BASE'!B312)</f>
        <v/>
      </c>
      <c r="D314" t="str">
        <f>IF('ENTRADAS-BASE'!C312="","",'ENTRADAS-BASE'!C312)</f>
        <v/>
      </c>
      <c r="E314" s="7" t="str">
        <f>IF('ENTRADAS-BASE'!D312="","",'ENTRADAS-BASE'!D312)</f>
        <v/>
      </c>
      <c r="F314" s="6" t="str">
        <f>IF('ENTRADAS-BASE'!E312="","",'ENTRADAS-BASE'!E312)</f>
        <v/>
      </c>
      <c r="G314" t="str">
        <f>IF('ENTRADAS-BASE'!F312="","",'ENTRADAS-BASE'!F312)</f>
        <v/>
      </c>
      <c r="H314" t="str">
        <f>IF('ENTRADAS-BASE'!G312="","",'ENTRADAS-BASE'!G312)</f>
        <v/>
      </c>
      <c r="I314" t="str">
        <f>IF('ENTRADAS-BASE'!H312="","",'ENTRADAS-BASE'!H312)</f>
        <v/>
      </c>
      <c r="J314" t="str">
        <f>IF('ENTRADAS-BASE'!I312="","",'ENTRADAS-BASE'!I312)</f>
        <v/>
      </c>
      <c r="K314" s="5" t="str">
        <f>IF('ENTRADAS-BASE'!J312="","",'ENTRADAS-BASE'!J312)</f>
        <v/>
      </c>
      <c r="L3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5" spans="2:12" x14ac:dyDescent="0.3">
      <c r="B315" t="str">
        <f>IF('ENTRADAS-BASE'!A313="","",'ENTRADAS-BASE'!A313)</f>
        <v/>
      </c>
      <c r="C315" t="str">
        <f>IF('ENTRADAS-BASE'!B313="","",'ENTRADAS-BASE'!B313)</f>
        <v/>
      </c>
      <c r="D315" t="str">
        <f>IF('ENTRADAS-BASE'!C313="","",'ENTRADAS-BASE'!C313)</f>
        <v/>
      </c>
      <c r="E315" s="7" t="str">
        <f>IF('ENTRADAS-BASE'!D313="","",'ENTRADAS-BASE'!D313)</f>
        <v/>
      </c>
      <c r="F315" s="6" t="str">
        <f>IF('ENTRADAS-BASE'!E313="","",'ENTRADAS-BASE'!E313)</f>
        <v/>
      </c>
      <c r="G315" t="str">
        <f>IF('ENTRADAS-BASE'!F313="","",'ENTRADAS-BASE'!F313)</f>
        <v/>
      </c>
      <c r="H315" t="str">
        <f>IF('ENTRADAS-BASE'!G313="","",'ENTRADAS-BASE'!G313)</f>
        <v/>
      </c>
      <c r="I315" t="str">
        <f>IF('ENTRADAS-BASE'!H313="","",'ENTRADAS-BASE'!H313)</f>
        <v/>
      </c>
      <c r="J315" t="str">
        <f>IF('ENTRADAS-BASE'!I313="","",'ENTRADAS-BASE'!I313)</f>
        <v/>
      </c>
      <c r="K315" s="5" t="str">
        <f>IF('ENTRADAS-BASE'!J313="","",'ENTRADAS-BASE'!J313)</f>
        <v/>
      </c>
      <c r="L3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6" spans="2:12" x14ac:dyDescent="0.3">
      <c r="B316" t="str">
        <f>IF('ENTRADAS-BASE'!A314="","",'ENTRADAS-BASE'!A314)</f>
        <v/>
      </c>
      <c r="C316" t="str">
        <f>IF('ENTRADAS-BASE'!B314="","",'ENTRADAS-BASE'!B314)</f>
        <v/>
      </c>
      <c r="D316" t="str">
        <f>IF('ENTRADAS-BASE'!C314="","",'ENTRADAS-BASE'!C314)</f>
        <v/>
      </c>
      <c r="E316" s="7" t="str">
        <f>IF('ENTRADAS-BASE'!D314="","",'ENTRADAS-BASE'!D314)</f>
        <v/>
      </c>
      <c r="F316" s="6" t="str">
        <f>IF('ENTRADAS-BASE'!E314="","",'ENTRADAS-BASE'!E314)</f>
        <v/>
      </c>
      <c r="G316" t="str">
        <f>IF('ENTRADAS-BASE'!F314="","",'ENTRADAS-BASE'!F314)</f>
        <v/>
      </c>
      <c r="H316" t="str">
        <f>IF('ENTRADAS-BASE'!G314="","",'ENTRADAS-BASE'!G314)</f>
        <v/>
      </c>
      <c r="I316" t="str">
        <f>IF('ENTRADAS-BASE'!H314="","",'ENTRADAS-BASE'!H314)</f>
        <v/>
      </c>
      <c r="J316" t="str">
        <f>IF('ENTRADAS-BASE'!I314="","",'ENTRADAS-BASE'!I314)</f>
        <v/>
      </c>
      <c r="K316" s="5" t="str">
        <f>IF('ENTRADAS-BASE'!J314="","",'ENTRADAS-BASE'!J314)</f>
        <v/>
      </c>
      <c r="L3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7" spans="2:12" x14ac:dyDescent="0.3">
      <c r="B317" t="str">
        <f>IF('ENTRADAS-BASE'!A315="","",'ENTRADAS-BASE'!A315)</f>
        <v/>
      </c>
      <c r="C317" t="str">
        <f>IF('ENTRADAS-BASE'!B315="","",'ENTRADAS-BASE'!B315)</f>
        <v/>
      </c>
      <c r="D317" t="str">
        <f>IF('ENTRADAS-BASE'!C315="","",'ENTRADAS-BASE'!C315)</f>
        <v/>
      </c>
      <c r="E317" s="7" t="str">
        <f>IF('ENTRADAS-BASE'!D315="","",'ENTRADAS-BASE'!D315)</f>
        <v/>
      </c>
      <c r="F317" s="6" t="str">
        <f>IF('ENTRADAS-BASE'!E315="","",'ENTRADAS-BASE'!E315)</f>
        <v/>
      </c>
      <c r="G317" t="str">
        <f>IF('ENTRADAS-BASE'!F315="","",'ENTRADAS-BASE'!F315)</f>
        <v/>
      </c>
      <c r="H317" t="str">
        <f>IF('ENTRADAS-BASE'!G315="","",'ENTRADAS-BASE'!G315)</f>
        <v/>
      </c>
      <c r="I317" t="str">
        <f>IF('ENTRADAS-BASE'!H315="","",'ENTRADAS-BASE'!H315)</f>
        <v/>
      </c>
      <c r="J317" t="str">
        <f>IF('ENTRADAS-BASE'!I315="","",'ENTRADAS-BASE'!I315)</f>
        <v/>
      </c>
      <c r="K317" s="5" t="str">
        <f>IF('ENTRADAS-BASE'!J315="","",'ENTRADAS-BASE'!J315)</f>
        <v/>
      </c>
      <c r="L3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8" spans="2:12" x14ac:dyDescent="0.3">
      <c r="B318" t="str">
        <f>IF('ENTRADAS-BASE'!A316="","",'ENTRADAS-BASE'!A316)</f>
        <v/>
      </c>
      <c r="C318" t="str">
        <f>IF('ENTRADAS-BASE'!B316="","",'ENTRADAS-BASE'!B316)</f>
        <v/>
      </c>
      <c r="D318" t="str">
        <f>IF('ENTRADAS-BASE'!C316="","",'ENTRADAS-BASE'!C316)</f>
        <v/>
      </c>
      <c r="E318" s="7" t="str">
        <f>IF('ENTRADAS-BASE'!D316="","",'ENTRADAS-BASE'!D316)</f>
        <v/>
      </c>
      <c r="F318" s="6" t="str">
        <f>IF('ENTRADAS-BASE'!E316="","",'ENTRADAS-BASE'!E316)</f>
        <v/>
      </c>
      <c r="G318" t="str">
        <f>IF('ENTRADAS-BASE'!F316="","",'ENTRADAS-BASE'!F316)</f>
        <v/>
      </c>
      <c r="H318" t="str">
        <f>IF('ENTRADAS-BASE'!G316="","",'ENTRADAS-BASE'!G316)</f>
        <v/>
      </c>
      <c r="I318" t="str">
        <f>IF('ENTRADAS-BASE'!H316="","",'ENTRADAS-BASE'!H316)</f>
        <v/>
      </c>
      <c r="J318" t="str">
        <f>IF('ENTRADAS-BASE'!I316="","",'ENTRADAS-BASE'!I316)</f>
        <v/>
      </c>
      <c r="K318" s="5" t="str">
        <f>IF('ENTRADAS-BASE'!J316="","",'ENTRADAS-BASE'!J316)</f>
        <v/>
      </c>
      <c r="L3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9" spans="2:12" x14ac:dyDescent="0.3">
      <c r="B319" t="str">
        <f>IF('ENTRADAS-BASE'!A317="","",'ENTRADAS-BASE'!A317)</f>
        <v/>
      </c>
      <c r="C319" t="str">
        <f>IF('ENTRADAS-BASE'!B317="","",'ENTRADAS-BASE'!B317)</f>
        <v/>
      </c>
      <c r="D319" t="str">
        <f>IF('ENTRADAS-BASE'!C317="","",'ENTRADAS-BASE'!C317)</f>
        <v/>
      </c>
      <c r="E319" s="7" t="str">
        <f>IF('ENTRADAS-BASE'!D317="","",'ENTRADAS-BASE'!D317)</f>
        <v/>
      </c>
      <c r="F319" s="6" t="str">
        <f>IF('ENTRADAS-BASE'!E317="","",'ENTRADAS-BASE'!E317)</f>
        <v/>
      </c>
      <c r="G319" t="str">
        <f>IF('ENTRADAS-BASE'!F317="","",'ENTRADAS-BASE'!F317)</f>
        <v/>
      </c>
      <c r="H319" t="str">
        <f>IF('ENTRADAS-BASE'!G317="","",'ENTRADAS-BASE'!G317)</f>
        <v/>
      </c>
      <c r="I319" t="str">
        <f>IF('ENTRADAS-BASE'!H317="","",'ENTRADAS-BASE'!H317)</f>
        <v/>
      </c>
      <c r="J319" t="str">
        <f>IF('ENTRADAS-BASE'!I317="","",'ENTRADAS-BASE'!I317)</f>
        <v/>
      </c>
      <c r="K319" s="5" t="str">
        <f>IF('ENTRADAS-BASE'!J317="","",'ENTRADAS-BASE'!J317)</f>
        <v/>
      </c>
      <c r="L3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0" spans="2:12" x14ac:dyDescent="0.3">
      <c r="B320" t="str">
        <f>IF('ENTRADAS-BASE'!A318="","",'ENTRADAS-BASE'!A318)</f>
        <v/>
      </c>
      <c r="C320" t="str">
        <f>IF('ENTRADAS-BASE'!B318="","",'ENTRADAS-BASE'!B318)</f>
        <v/>
      </c>
      <c r="D320" t="str">
        <f>IF('ENTRADAS-BASE'!C318="","",'ENTRADAS-BASE'!C318)</f>
        <v/>
      </c>
      <c r="E320" s="7" t="str">
        <f>IF('ENTRADAS-BASE'!D318="","",'ENTRADAS-BASE'!D318)</f>
        <v/>
      </c>
      <c r="F320" s="6" t="str">
        <f>IF('ENTRADAS-BASE'!E318="","",'ENTRADAS-BASE'!E318)</f>
        <v/>
      </c>
      <c r="G320" t="str">
        <f>IF('ENTRADAS-BASE'!F318="","",'ENTRADAS-BASE'!F318)</f>
        <v/>
      </c>
      <c r="H320" t="str">
        <f>IF('ENTRADAS-BASE'!G318="","",'ENTRADAS-BASE'!G318)</f>
        <v/>
      </c>
      <c r="I320" t="str">
        <f>IF('ENTRADAS-BASE'!H318="","",'ENTRADAS-BASE'!H318)</f>
        <v/>
      </c>
      <c r="J320" t="str">
        <f>IF('ENTRADAS-BASE'!I318="","",'ENTRADAS-BASE'!I318)</f>
        <v/>
      </c>
      <c r="K320" s="5" t="str">
        <f>IF('ENTRADAS-BASE'!J318="","",'ENTRADAS-BASE'!J318)</f>
        <v/>
      </c>
      <c r="L3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1" spans="2:12" x14ac:dyDescent="0.3">
      <c r="B321" t="str">
        <f>IF('ENTRADAS-BASE'!A319="","",'ENTRADAS-BASE'!A319)</f>
        <v/>
      </c>
      <c r="C321" t="str">
        <f>IF('ENTRADAS-BASE'!B319="","",'ENTRADAS-BASE'!B319)</f>
        <v/>
      </c>
      <c r="D321" t="str">
        <f>IF('ENTRADAS-BASE'!C319="","",'ENTRADAS-BASE'!C319)</f>
        <v/>
      </c>
      <c r="E321" s="7" t="str">
        <f>IF('ENTRADAS-BASE'!D319="","",'ENTRADAS-BASE'!D319)</f>
        <v/>
      </c>
      <c r="F321" s="6" t="str">
        <f>IF('ENTRADAS-BASE'!E319="","",'ENTRADAS-BASE'!E319)</f>
        <v/>
      </c>
      <c r="G321" t="str">
        <f>IF('ENTRADAS-BASE'!F319="","",'ENTRADAS-BASE'!F319)</f>
        <v/>
      </c>
      <c r="H321" t="str">
        <f>IF('ENTRADAS-BASE'!G319="","",'ENTRADAS-BASE'!G319)</f>
        <v/>
      </c>
      <c r="I321" t="str">
        <f>IF('ENTRADAS-BASE'!H319="","",'ENTRADAS-BASE'!H319)</f>
        <v/>
      </c>
      <c r="J321" t="str">
        <f>IF('ENTRADAS-BASE'!I319="","",'ENTRADAS-BASE'!I319)</f>
        <v/>
      </c>
      <c r="K321" s="5" t="str">
        <f>IF('ENTRADAS-BASE'!J319="","",'ENTRADAS-BASE'!J319)</f>
        <v/>
      </c>
      <c r="L3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2" spans="2:12" x14ac:dyDescent="0.3">
      <c r="B322" t="str">
        <f>IF('ENTRADAS-BASE'!A320="","",'ENTRADAS-BASE'!A320)</f>
        <v/>
      </c>
      <c r="C322" t="str">
        <f>IF('ENTRADAS-BASE'!B320="","",'ENTRADAS-BASE'!B320)</f>
        <v/>
      </c>
      <c r="D322" t="str">
        <f>IF('ENTRADAS-BASE'!C320="","",'ENTRADAS-BASE'!C320)</f>
        <v/>
      </c>
      <c r="E322" s="7" t="str">
        <f>IF('ENTRADAS-BASE'!D320="","",'ENTRADAS-BASE'!D320)</f>
        <v/>
      </c>
      <c r="F322" s="6" t="str">
        <f>IF('ENTRADAS-BASE'!E320="","",'ENTRADAS-BASE'!E320)</f>
        <v/>
      </c>
      <c r="G322" t="str">
        <f>IF('ENTRADAS-BASE'!F320="","",'ENTRADAS-BASE'!F320)</f>
        <v/>
      </c>
      <c r="H322" t="str">
        <f>IF('ENTRADAS-BASE'!G320="","",'ENTRADAS-BASE'!G320)</f>
        <v/>
      </c>
      <c r="I322" t="str">
        <f>IF('ENTRADAS-BASE'!H320="","",'ENTRADAS-BASE'!H320)</f>
        <v/>
      </c>
      <c r="J322" t="str">
        <f>IF('ENTRADAS-BASE'!I320="","",'ENTRADAS-BASE'!I320)</f>
        <v/>
      </c>
      <c r="K322" s="5" t="str">
        <f>IF('ENTRADAS-BASE'!J320="","",'ENTRADAS-BASE'!J320)</f>
        <v/>
      </c>
      <c r="L3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3" spans="2:12" x14ac:dyDescent="0.3">
      <c r="B323" t="str">
        <f>IF('ENTRADAS-BASE'!A321="","",'ENTRADAS-BASE'!A321)</f>
        <v/>
      </c>
      <c r="C323" t="str">
        <f>IF('ENTRADAS-BASE'!B321="","",'ENTRADAS-BASE'!B321)</f>
        <v/>
      </c>
      <c r="D323" t="str">
        <f>IF('ENTRADAS-BASE'!C321="","",'ENTRADAS-BASE'!C321)</f>
        <v/>
      </c>
      <c r="E323" s="7" t="str">
        <f>IF('ENTRADAS-BASE'!D321="","",'ENTRADAS-BASE'!D321)</f>
        <v/>
      </c>
      <c r="F323" s="6" t="str">
        <f>IF('ENTRADAS-BASE'!E321="","",'ENTRADAS-BASE'!E321)</f>
        <v/>
      </c>
      <c r="G323" t="str">
        <f>IF('ENTRADAS-BASE'!F321="","",'ENTRADAS-BASE'!F321)</f>
        <v/>
      </c>
      <c r="H323" t="str">
        <f>IF('ENTRADAS-BASE'!G321="","",'ENTRADAS-BASE'!G321)</f>
        <v/>
      </c>
      <c r="I323" t="str">
        <f>IF('ENTRADAS-BASE'!H321="","",'ENTRADAS-BASE'!H321)</f>
        <v/>
      </c>
      <c r="J323" t="str">
        <f>IF('ENTRADAS-BASE'!I321="","",'ENTRADAS-BASE'!I321)</f>
        <v/>
      </c>
      <c r="K323" s="5" t="str">
        <f>IF('ENTRADAS-BASE'!J321="","",'ENTRADAS-BASE'!J321)</f>
        <v/>
      </c>
      <c r="L3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4" spans="2:12" x14ac:dyDescent="0.3">
      <c r="B324" t="str">
        <f>IF('ENTRADAS-BASE'!A322="","",'ENTRADAS-BASE'!A322)</f>
        <v/>
      </c>
      <c r="C324" t="str">
        <f>IF('ENTRADAS-BASE'!B322="","",'ENTRADAS-BASE'!B322)</f>
        <v/>
      </c>
      <c r="D324" t="str">
        <f>IF('ENTRADAS-BASE'!C322="","",'ENTRADAS-BASE'!C322)</f>
        <v/>
      </c>
      <c r="E324" s="7" t="str">
        <f>IF('ENTRADAS-BASE'!D322="","",'ENTRADAS-BASE'!D322)</f>
        <v/>
      </c>
      <c r="F324" s="6" t="str">
        <f>IF('ENTRADAS-BASE'!E322="","",'ENTRADAS-BASE'!E322)</f>
        <v/>
      </c>
      <c r="G324" t="str">
        <f>IF('ENTRADAS-BASE'!F322="","",'ENTRADAS-BASE'!F322)</f>
        <v/>
      </c>
      <c r="H324" t="str">
        <f>IF('ENTRADAS-BASE'!G322="","",'ENTRADAS-BASE'!G322)</f>
        <v/>
      </c>
      <c r="I324" t="str">
        <f>IF('ENTRADAS-BASE'!H322="","",'ENTRADAS-BASE'!H322)</f>
        <v/>
      </c>
      <c r="J324" t="str">
        <f>IF('ENTRADAS-BASE'!I322="","",'ENTRADAS-BASE'!I322)</f>
        <v/>
      </c>
      <c r="K324" s="5" t="str">
        <f>IF('ENTRADAS-BASE'!J322="","",'ENTRADAS-BASE'!J322)</f>
        <v/>
      </c>
      <c r="L3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5" spans="2:12" x14ac:dyDescent="0.3">
      <c r="B325" t="str">
        <f>IF('ENTRADAS-BASE'!A323="","",'ENTRADAS-BASE'!A323)</f>
        <v/>
      </c>
      <c r="C325" t="str">
        <f>IF('ENTRADAS-BASE'!B323="","",'ENTRADAS-BASE'!B323)</f>
        <v/>
      </c>
      <c r="D325" t="str">
        <f>IF('ENTRADAS-BASE'!C323="","",'ENTRADAS-BASE'!C323)</f>
        <v/>
      </c>
      <c r="E325" s="7" t="str">
        <f>IF('ENTRADAS-BASE'!D323="","",'ENTRADAS-BASE'!D323)</f>
        <v/>
      </c>
      <c r="F325" s="6" t="str">
        <f>IF('ENTRADAS-BASE'!E323="","",'ENTRADAS-BASE'!E323)</f>
        <v/>
      </c>
      <c r="G325" t="str">
        <f>IF('ENTRADAS-BASE'!F323="","",'ENTRADAS-BASE'!F323)</f>
        <v/>
      </c>
      <c r="H325" t="str">
        <f>IF('ENTRADAS-BASE'!G323="","",'ENTRADAS-BASE'!G323)</f>
        <v/>
      </c>
      <c r="I325" t="str">
        <f>IF('ENTRADAS-BASE'!H323="","",'ENTRADAS-BASE'!H323)</f>
        <v/>
      </c>
      <c r="J325" t="str">
        <f>IF('ENTRADAS-BASE'!I323="","",'ENTRADAS-BASE'!I323)</f>
        <v/>
      </c>
      <c r="K325" s="5" t="str">
        <f>IF('ENTRADAS-BASE'!J323="","",'ENTRADAS-BASE'!J323)</f>
        <v/>
      </c>
      <c r="L3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6" spans="2:12" x14ac:dyDescent="0.3">
      <c r="B326" t="str">
        <f>IF('ENTRADAS-BASE'!A324="","",'ENTRADAS-BASE'!A324)</f>
        <v/>
      </c>
      <c r="C326" t="str">
        <f>IF('ENTRADAS-BASE'!B324="","",'ENTRADAS-BASE'!B324)</f>
        <v/>
      </c>
      <c r="D326" t="str">
        <f>IF('ENTRADAS-BASE'!C324="","",'ENTRADAS-BASE'!C324)</f>
        <v/>
      </c>
      <c r="E326" s="7" t="str">
        <f>IF('ENTRADAS-BASE'!D324="","",'ENTRADAS-BASE'!D324)</f>
        <v/>
      </c>
      <c r="F326" s="6" t="str">
        <f>IF('ENTRADAS-BASE'!E324="","",'ENTRADAS-BASE'!E324)</f>
        <v/>
      </c>
      <c r="G326" t="str">
        <f>IF('ENTRADAS-BASE'!F324="","",'ENTRADAS-BASE'!F324)</f>
        <v/>
      </c>
      <c r="H326" t="str">
        <f>IF('ENTRADAS-BASE'!G324="","",'ENTRADAS-BASE'!G324)</f>
        <v/>
      </c>
      <c r="I326" t="str">
        <f>IF('ENTRADAS-BASE'!H324="","",'ENTRADAS-BASE'!H324)</f>
        <v/>
      </c>
      <c r="J326" t="str">
        <f>IF('ENTRADAS-BASE'!I324="","",'ENTRADAS-BASE'!I324)</f>
        <v/>
      </c>
      <c r="K326" s="5" t="str">
        <f>IF('ENTRADAS-BASE'!J324="","",'ENTRADAS-BASE'!J324)</f>
        <v/>
      </c>
      <c r="L3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7" spans="2:12" x14ac:dyDescent="0.3">
      <c r="B327" t="str">
        <f>IF('ENTRADAS-BASE'!A325="","",'ENTRADAS-BASE'!A325)</f>
        <v/>
      </c>
      <c r="C327" t="str">
        <f>IF('ENTRADAS-BASE'!B325="","",'ENTRADAS-BASE'!B325)</f>
        <v/>
      </c>
      <c r="D327" t="str">
        <f>IF('ENTRADAS-BASE'!C325="","",'ENTRADAS-BASE'!C325)</f>
        <v/>
      </c>
      <c r="E327" s="7" t="str">
        <f>IF('ENTRADAS-BASE'!D325="","",'ENTRADAS-BASE'!D325)</f>
        <v/>
      </c>
      <c r="F327" s="6" t="str">
        <f>IF('ENTRADAS-BASE'!E325="","",'ENTRADAS-BASE'!E325)</f>
        <v/>
      </c>
      <c r="G327" t="str">
        <f>IF('ENTRADAS-BASE'!F325="","",'ENTRADAS-BASE'!F325)</f>
        <v/>
      </c>
      <c r="H327" t="str">
        <f>IF('ENTRADAS-BASE'!G325="","",'ENTRADAS-BASE'!G325)</f>
        <v/>
      </c>
      <c r="I327" t="str">
        <f>IF('ENTRADAS-BASE'!H325="","",'ENTRADAS-BASE'!H325)</f>
        <v/>
      </c>
      <c r="J327" t="str">
        <f>IF('ENTRADAS-BASE'!I325="","",'ENTRADAS-BASE'!I325)</f>
        <v/>
      </c>
      <c r="K327" s="5" t="str">
        <f>IF('ENTRADAS-BASE'!J325="","",'ENTRADAS-BASE'!J325)</f>
        <v/>
      </c>
      <c r="L3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8" spans="2:12" x14ac:dyDescent="0.3">
      <c r="B328" t="str">
        <f>IF('ENTRADAS-BASE'!A326="","",'ENTRADAS-BASE'!A326)</f>
        <v/>
      </c>
      <c r="C328" t="str">
        <f>IF('ENTRADAS-BASE'!B326="","",'ENTRADAS-BASE'!B326)</f>
        <v/>
      </c>
      <c r="D328" t="str">
        <f>IF('ENTRADAS-BASE'!C326="","",'ENTRADAS-BASE'!C326)</f>
        <v/>
      </c>
      <c r="E328" s="7" t="str">
        <f>IF('ENTRADAS-BASE'!D326="","",'ENTRADAS-BASE'!D326)</f>
        <v/>
      </c>
      <c r="F328" s="6" t="str">
        <f>IF('ENTRADAS-BASE'!E326="","",'ENTRADAS-BASE'!E326)</f>
        <v/>
      </c>
      <c r="G328" t="str">
        <f>IF('ENTRADAS-BASE'!F326="","",'ENTRADAS-BASE'!F326)</f>
        <v/>
      </c>
      <c r="H328" t="str">
        <f>IF('ENTRADAS-BASE'!G326="","",'ENTRADAS-BASE'!G326)</f>
        <v/>
      </c>
      <c r="I328" t="str">
        <f>IF('ENTRADAS-BASE'!H326="","",'ENTRADAS-BASE'!H326)</f>
        <v/>
      </c>
      <c r="J328" t="str">
        <f>IF('ENTRADAS-BASE'!I326="","",'ENTRADAS-BASE'!I326)</f>
        <v/>
      </c>
      <c r="K328" s="5" t="str">
        <f>IF('ENTRADAS-BASE'!J326="","",'ENTRADAS-BASE'!J326)</f>
        <v/>
      </c>
      <c r="L3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9" spans="2:12" x14ac:dyDescent="0.3">
      <c r="B329" t="str">
        <f>IF('ENTRADAS-BASE'!A327="","",'ENTRADAS-BASE'!A327)</f>
        <v/>
      </c>
      <c r="C329" t="str">
        <f>IF('ENTRADAS-BASE'!B327="","",'ENTRADAS-BASE'!B327)</f>
        <v/>
      </c>
      <c r="D329" t="str">
        <f>IF('ENTRADAS-BASE'!C327="","",'ENTRADAS-BASE'!C327)</f>
        <v/>
      </c>
      <c r="E329" s="7" t="str">
        <f>IF('ENTRADAS-BASE'!D327="","",'ENTRADAS-BASE'!D327)</f>
        <v/>
      </c>
      <c r="F329" s="6" t="str">
        <f>IF('ENTRADAS-BASE'!E327="","",'ENTRADAS-BASE'!E327)</f>
        <v/>
      </c>
      <c r="G329" t="str">
        <f>IF('ENTRADAS-BASE'!F327="","",'ENTRADAS-BASE'!F327)</f>
        <v/>
      </c>
      <c r="H329" t="str">
        <f>IF('ENTRADAS-BASE'!G327="","",'ENTRADAS-BASE'!G327)</f>
        <v/>
      </c>
      <c r="I329" t="str">
        <f>IF('ENTRADAS-BASE'!H327="","",'ENTRADAS-BASE'!H327)</f>
        <v/>
      </c>
      <c r="J329" t="str">
        <f>IF('ENTRADAS-BASE'!I327="","",'ENTRADAS-BASE'!I327)</f>
        <v/>
      </c>
      <c r="K329" s="5" t="str">
        <f>IF('ENTRADAS-BASE'!J327="","",'ENTRADAS-BASE'!J327)</f>
        <v/>
      </c>
      <c r="L3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0" spans="2:12" x14ac:dyDescent="0.3">
      <c r="B330" t="str">
        <f>IF('ENTRADAS-BASE'!A328="","",'ENTRADAS-BASE'!A328)</f>
        <v/>
      </c>
      <c r="C330" t="str">
        <f>IF('ENTRADAS-BASE'!B328="","",'ENTRADAS-BASE'!B328)</f>
        <v/>
      </c>
      <c r="D330" t="str">
        <f>IF('ENTRADAS-BASE'!C328="","",'ENTRADAS-BASE'!C328)</f>
        <v/>
      </c>
      <c r="E330" s="7" t="str">
        <f>IF('ENTRADAS-BASE'!D328="","",'ENTRADAS-BASE'!D328)</f>
        <v/>
      </c>
      <c r="F330" s="6" t="str">
        <f>IF('ENTRADAS-BASE'!E328="","",'ENTRADAS-BASE'!E328)</f>
        <v/>
      </c>
      <c r="G330" t="str">
        <f>IF('ENTRADAS-BASE'!F328="","",'ENTRADAS-BASE'!F328)</f>
        <v/>
      </c>
      <c r="H330" t="str">
        <f>IF('ENTRADAS-BASE'!G328="","",'ENTRADAS-BASE'!G328)</f>
        <v/>
      </c>
      <c r="I330" t="str">
        <f>IF('ENTRADAS-BASE'!H328="","",'ENTRADAS-BASE'!H328)</f>
        <v/>
      </c>
      <c r="J330" t="str">
        <f>IF('ENTRADAS-BASE'!I328="","",'ENTRADAS-BASE'!I328)</f>
        <v/>
      </c>
      <c r="K330" s="5" t="str">
        <f>IF('ENTRADAS-BASE'!J328="","",'ENTRADAS-BASE'!J328)</f>
        <v/>
      </c>
      <c r="L3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1" spans="2:12" x14ac:dyDescent="0.3">
      <c r="B331" t="str">
        <f>IF('ENTRADAS-BASE'!A329="","",'ENTRADAS-BASE'!A329)</f>
        <v/>
      </c>
      <c r="C331" t="str">
        <f>IF('ENTRADAS-BASE'!B329="","",'ENTRADAS-BASE'!B329)</f>
        <v/>
      </c>
      <c r="D331" t="str">
        <f>IF('ENTRADAS-BASE'!C329="","",'ENTRADAS-BASE'!C329)</f>
        <v/>
      </c>
      <c r="E331" s="7" t="str">
        <f>IF('ENTRADAS-BASE'!D329="","",'ENTRADAS-BASE'!D329)</f>
        <v/>
      </c>
      <c r="F331" s="6" t="str">
        <f>IF('ENTRADAS-BASE'!E329="","",'ENTRADAS-BASE'!E329)</f>
        <v/>
      </c>
      <c r="G331" t="str">
        <f>IF('ENTRADAS-BASE'!F329="","",'ENTRADAS-BASE'!F329)</f>
        <v/>
      </c>
      <c r="H331" t="str">
        <f>IF('ENTRADAS-BASE'!G329="","",'ENTRADAS-BASE'!G329)</f>
        <v/>
      </c>
      <c r="I331" t="str">
        <f>IF('ENTRADAS-BASE'!H329="","",'ENTRADAS-BASE'!H329)</f>
        <v/>
      </c>
      <c r="J331" t="str">
        <f>IF('ENTRADAS-BASE'!I329="","",'ENTRADAS-BASE'!I329)</f>
        <v/>
      </c>
      <c r="K331" s="5" t="str">
        <f>IF('ENTRADAS-BASE'!J329="","",'ENTRADAS-BASE'!J329)</f>
        <v/>
      </c>
      <c r="L3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2" spans="2:12" x14ac:dyDescent="0.3">
      <c r="B332" t="str">
        <f>IF('ENTRADAS-BASE'!A330="","",'ENTRADAS-BASE'!A330)</f>
        <v/>
      </c>
      <c r="C332" t="str">
        <f>IF('ENTRADAS-BASE'!B330="","",'ENTRADAS-BASE'!B330)</f>
        <v/>
      </c>
      <c r="D332" t="str">
        <f>IF('ENTRADAS-BASE'!C330="","",'ENTRADAS-BASE'!C330)</f>
        <v/>
      </c>
      <c r="E332" s="7" t="str">
        <f>IF('ENTRADAS-BASE'!D330="","",'ENTRADAS-BASE'!D330)</f>
        <v/>
      </c>
      <c r="F332" s="6" t="str">
        <f>IF('ENTRADAS-BASE'!E330="","",'ENTRADAS-BASE'!E330)</f>
        <v/>
      </c>
      <c r="G332" t="str">
        <f>IF('ENTRADAS-BASE'!F330="","",'ENTRADAS-BASE'!F330)</f>
        <v/>
      </c>
      <c r="H332" t="str">
        <f>IF('ENTRADAS-BASE'!G330="","",'ENTRADAS-BASE'!G330)</f>
        <v/>
      </c>
      <c r="I332" t="str">
        <f>IF('ENTRADAS-BASE'!H330="","",'ENTRADAS-BASE'!H330)</f>
        <v/>
      </c>
      <c r="J332" t="str">
        <f>IF('ENTRADAS-BASE'!I330="","",'ENTRADAS-BASE'!I330)</f>
        <v/>
      </c>
      <c r="K332" s="5" t="str">
        <f>IF('ENTRADAS-BASE'!J330="","",'ENTRADAS-BASE'!J330)</f>
        <v/>
      </c>
      <c r="L3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3" spans="2:12" x14ac:dyDescent="0.3">
      <c r="B333" t="str">
        <f>IF('ENTRADAS-BASE'!A331="","",'ENTRADAS-BASE'!A331)</f>
        <v/>
      </c>
      <c r="C333" t="str">
        <f>IF('ENTRADAS-BASE'!B331="","",'ENTRADAS-BASE'!B331)</f>
        <v/>
      </c>
      <c r="D333" t="str">
        <f>IF('ENTRADAS-BASE'!C331="","",'ENTRADAS-BASE'!C331)</f>
        <v/>
      </c>
      <c r="E333" s="7" t="str">
        <f>IF('ENTRADAS-BASE'!D331="","",'ENTRADAS-BASE'!D331)</f>
        <v/>
      </c>
      <c r="F333" s="6" t="str">
        <f>IF('ENTRADAS-BASE'!E331="","",'ENTRADAS-BASE'!E331)</f>
        <v/>
      </c>
      <c r="G333" t="str">
        <f>IF('ENTRADAS-BASE'!F331="","",'ENTRADAS-BASE'!F331)</f>
        <v/>
      </c>
      <c r="H333" t="str">
        <f>IF('ENTRADAS-BASE'!G331="","",'ENTRADAS-BASE'!G331)</f>
        <v/>
      </c>
      <c r="I333" t="str">
        <f>IF('ENTRADAS-BASE'!H331="","",'ENTRADAS-BASE'!H331)</f>
        <v/>
      </c>
      <c r="J333" t="str">
        <f>IF('ENTRADAS-BASE'!I331="","",'ENTRADAS-BASE'!I331)</f>
        <v/>
      </c>
      <c r="K333" s="5" t="str">
        <f>IF('ENTRADAS-BASE'!J331="","",'ENTRADAS-BASE'!J331)</f>
        <v/>
      </c>
      <c r="L3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4" spans="2:12" x14ac:dyDescent="0.3">
      <c r="B334" t="str">
        <f>IF('ENTRADAS-BASE'!A332="","",'ENTRADAS-BASE'!A332)</f>
        <v/>
      </c>
      <c r="C334" t="str">
        <f>IF('ENTRADAS-BASE'!B332="","",'ENTRADAS-BASE'!B332)</f>
        <v/>
      </c>
      <c r="D334" t="str">
        <f>IF('ENTRADAS-BASE'!C332="","",'ENTRADAS-BASE'!C332)</f>
        <v/>
      </c>
      <c r="E334" s="7" t="str">
        <f>IF('ENTRADAS-BASE'!D332="","",'ENTRADAS-BASE'!D332)</f>
        <v/>
      </c>
      <c r="F334" s="6" t="str">
        <f>IF('ENTRADAS-BASE'!E332="","",'ENTRADAS-BASE'!E332)</f>
        <v/>
      </c>
      <c r="G334" t="str">
        <f>IF('ENTRADAS-BASE'!F332="","",'ENTRADAS-BASE'!F332)</f>
        <v/>
      </c>
      <c r="H334" t="str">
        <f>IF('ENTRADAS-BASE'!G332="","",'ENTRADAS-BASE'!G332)</f>
        <v/>
      </c>
      <c r="I334" t="str">
        <f>IF('ENTRADAS-BASE'!H332="","",'ENTRADAS-BASE'!H332)</f>
        <v/>
      </c>
      <c r="J334" t="str">
        <f>IF('ENTRADAS-BASE'!I332="","",'ENTRADAS-BASE'!I332)</f>
        <v/>
      </c>
      <c r="K334" s="5" t="str">
        <f>IF('ENTRADAS-BASE'!J332="","",'ENTRADAS-BASE'!J332)</f>
        <v/>
      </c>
      <c r="L3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5" spans="2:12" x14ac:dyDescent="0.3">
      <c r="B335" t="str">
        <f>IF('ENTRADAS-BASE'!A333="","",'ENTRADAS-BASE'!A333)</f>
        <v/>
      </c>
      <c r="C335" t="str">
        <f>IF('ENTRADAS-BASE'!B333="","",'ENTRADAS-BASE'!B333)</f>
        <v/>
      </c>
      <c r="D335" t="str">
        <f>IF('ENTRADAS-BASE'!C333="","",'ENTRADAS-BASE'!C333)</f>
        <v/>
      </c>
      <c r="E335" s="7" t="str">
        <f>IF('ENTRADAS-BASE'!D333="","",'ENTRADAS-BASE'!D333)</f>
        <v/>
      </c>
      <c r="F335" s="6" t="str">
        <f>IF('ENTRADAS-BASE'!E333="","",'ENTRADAS-BASE'!E333)</f>
        <v/>
      </c>
      <c r="G335" t="str">
        <f>IF('ENTRADAS-BASE'!F333="","",'ENTRADAS-BASE'!F333)</f>
        <v/>
      </c>
      <c r="H335" t="str">
        <f>IF('ENTRADAS-BASE'!G333="","",'ENTRADAS-BASE'!G333)</f>
        <v/>
      </c>
      <c r="I335" t="str">
        <f>IF('ENTRADAS-BASE'!H333="","",'ENTRADAS-BASE'!H333)</f>
        <v/>
      </c>
      <c r="J335" t="str">
        <f>IF('ENTRADAS-BASE'!I333="","",'ENTRADAS-BASE'!I333)</f>
        <v/>
      </c>
      <c r="K335" s="5" t="str">
        <f>IF('ENTRADAS-BASE'!J333="","",'ENTRADAS-BASE'!J333)</f>
        <v/>
      </c>
      <c r="L3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6" spans="2:12" x14ac:dyDescent="0.3">
      <c r="B336" t="str">
        <f>IF('ENTRADAS-BASE'!A334="","",'ENTRADAS-BASE'!A334)</f>
        <v/>
      </c>
      <c r="C336" t="str">
        <f>IF('ENTRADAS-BASE'!B334="","",'ENTRADAS-BASE'!B334)</f>
        <v/>
      </c>
      <c r="D336" t="str">
        <f>IF('ENTRADAS-BASE'!C334="","",'ENTRADAS-BASE'!C334)</f>
        <v/>
      </c>
      <c r="E336" s="7" t="str">
        <f>IF('ENTRADAS-BASE'!D334="","",'ENTRADAS-BASE'!D334)</f>
        <v/>
      </c>
      <c r="F336" s="6" t="str">
        <f>IF('ENTRADAS-BASE'!E334="","",'ENTRADAS-BASE'!E334)</f>
        <v/>
      </c>
      <c r="G336" t="str">
        <f>IF('ENTRADAS-BASE'!F334="","",'ENTRADAS-BASE'!F334)</f>
        <v/>
      </c>
      <c r="H336" t="str">
        <f>IF('ENTRADAS-BASE'!G334="","",'ENTRADAS-BASE'!G334)</f>
        <v/>
      </c>
      <c r="I336" t="str">
        <f>IF('ENTRADAS-BASE'!H334="","",'ENTRADAS-BASE'!H334)</f>
        <v/>
      </c>
      <c r="J336" t="str">
        <f>IF('ENTRADAS-BASE'!I334="","",'ENTRADAS-BASE'!I334)</f>
        <v/>
      </c>
      <c r="K336" s="5" t="str">
        <f>IF('ENTRADAS-BASE'!J334="","",'ENTRADAS-BASE'!J334)</f>
        <v/>
      </c>
      <c r="L3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7" spans="2:12" x14ac:dyDescent="0.3">
      <c r="B337" t="str">
        <f>IF('ENTRADAS-BASE'!A335="","",'ENTRADAS-BASE'!A335)</f>
        <v/>
      </c>
      <c r="C337" t="str">
        <f>IF('ENTRADAS-BASE'!B335="","",'ENTRADAS-BASE'!B335)</f>
        <v/>
      </c>
      <c r="D337" t="str">
        <f>IF('ENTRADAS-BASE'!C335="","",'ENTRADAS-BASE'!C335)</f>
        <v/>
      </c>
      <c r="E337" s="7" t="str">
        <f>IF('ENTRADAS-BASE'!D335="","",'ENTRADAS-BASE'!D335)</f>
        <v/>
      </c>
      <c r="F337" s="6" t="str">
        <f>IF('ENTRADAS-BASE'!E335="","",'ENTRADAS-BASE'!E335)</f>
        <v/>
      </c>
      <c r="G337" t="str">
        <f>IF('ENTRADAS-BASE'!F335="","",'ENTRADAS-BASE'!F335)</f>
        <v/>
      </c>
      <c r="H337" t="str">
        <f>IF('ENTRADAS-BASE'!G335="","",'ENTRADAS-BASE'!G335)</f>
        <v/>
      </c>
      <c r="I337" t="str">
        <f>IF('ENTRADAS-BASE'!H335="","",'ENTRADAS-BASE'!H335)</f>
        <v/>
      </c>
      <c r="J337" t="str">
        <f>IF('ENTRADAS-BASE'!I335="","",'ENTRADAS-BASE'!I335)</f>
        <v/>
      </c>
      <c r="K337" s="5" t="str">
        <f>IF('ENTRADAS-BASE'!J335="","",'ENTRADAS-BASE'!J335)</f>
        <v/>
      </c>
      <c r="L3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8" spans="2:12" x14ac:dyDescent="0.3">
      <c r="B338" t="str">
        <f>IF('ENTRADAS-BASE'!A336="","",'ENTRADAS-BASE'!A336)</f>
        <v/>
      </c>
      <c r="C338" t="str">
        <f>IF('ENTRADAS-BASE'!B336="","",'ENTRADAS-BASE'!B336)</f>
        <v/>
      </c>
      <c r="D338" t="str">
        <f>IF('ENTRADAS-BASE'!C336="","",'ENTRADAS-BASE'!C336)</f>
        <v/>
      </c>
      <c r="E338" s="7" t="str">
        <f>IF('ENTRADAS-BASE'!D336="","",'ENTRADAS-BASE'!D336)</f>
        <v/>
      </c>
      <c r="F338" s="6" t="str">
        <f>IF('ENTRADAS-BASE'!E336="","",'ENTRADAS-BASE'!E336)</f>
        <v/>
      </c>
      <c r="G338" t="str">
        <f>IF('ENTRADAS-BASE'!F336="","",'ENTRADAS-BASE'!F336)</f>
        <v/>
      </c>
      <c r="H338" t="str">
        <f>IF('ENTRADAS-BASE'!G336="","",'ENTRADAS-BASE'!G336)</f>
        <v/>
      </c>
      <c r="I338" t="str">
        <f>IF('ENTRADAS-BASE'!H336="","",'ENTRADAS-BASE'!H336)</f>
        <v/>
      </c>
      <c r="J338" t="str">
        <f>IF('ENTRADAS-BASE'!I336="","",'ENTRADAS-BASE'!I336)</f>
        <v/>
      </c>
      <c r="K338" s="5" t="str">
        <f>IF('ENTRADAS-BASE'!J336="","",'ENTRADAS-BASE'!J336)</f>
        <v/>
      </c>
      <c r="L3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9" spans="2:12" x14ac:dyDescent="0.3">
      <c r="B339" t="str">
        <f>IF('ENTRADAS-BASE'!A337="","",'ENTRADAS-BASE'!A337)</f>
        <v/>
      </c>
      <c r="C339" t="str">
        <f>IF('ENTRADAS-BASE'!B337="","",'ENTRADAS-BASE'!B337)</f>
        <v/>
      </c>
      <c r="D339" t="str">
        <f>IF('ENTRADAS-BASE'!C337="","",'ENTRADAS-BASE'!C337)</f>
        <v/>
      </c>
      <c r="E339" s="7" t="str">
        <f>IF('ENTRADAS-BASE'!D337="","",'ENTRADAS-BASE'!D337)</f>
        <v/>
      </c>
      <c r="F339" s="6" t="str">
        <f>IF('ENTRADAS-BASE'!E337="","",'ENTRADAS-BASE'!E337)</f>
        <v/>
      </c>
      <c r="G339" t="str">
        <f>IF('ENTRADAS-BASE'!F337="","",'ENTRADAS-BASE'!F337)</f>
        <v/>
      </c>
      <c r="H339" t="str">
        <f>IF('ENTRADAS-BASE'!G337="","",'ENTRADAS-BASE'!G337)</f>
        <v/>
      </c>
      <c r="I339" t="str">
        <f>IF('ENTRADAS-BASE'!H337="","",'ENTRADAS-BASE'!H337)</f>
        <v/>
      </c>
      <c r="J339" t="str">
        <f>IF('ENTRADAS-BASE'!I337="","",'ENTRADAS-BASE'!I337)</f>
        <v/>
      </c>
      <c r="K339" s="5" t="str">
        <f>IF('ENTRADAS-BASE'!J337="","",'ENTRADAS-BASE'!J337)</f>
        <v/>
      </c>
      <c r="L3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0" spans="2:12" x14ac:dyDescent="0.3">
      <c r="B340" t="str">
        <f>IF('ENTRADAS-BASE'!A338="","",'ENTRADAS-BASE'!A338)</f>
        <v/>
      </c>
      <c r="C340" t="str">
        <f>IF('ENTRADAS-BASE'!B338="","",'ENTRADAS-BASE'!B338)</f>
        <v/>
      </c>
      <c r="D340" t="str">
        <f>IF('ENTRADAS-BASE'!C338="","",'ENTRADAS-BASE'!C338)</f>
        <v/>
      </c>
      <c r="E340" s="7" t="str">
        <f>IF('ENTRADAS-BASE'!D338="","",'ENTRADAS-BASE'!D338)</f>
        <v/>
      </c>
      <c r="F340" s="6" t="str">
        <f>IF('ENTRADAS-BASE'!E338="","",'ENTRADAS-BASE'!E338)</f>
        <v/>
      </c>
      <c r="G340" t="str">
        <f>IF('ENTRADAS-BASE'!F338="","",'ENTRADAS-BASE'!F338)</f>
        <v/>
      </c>
      <c r="H340" t="str">
        <f>IF('ENTRADAS-BASE'!G338="","",'ENTRADAS-BASE'!G338)</f>
        <v/>
      </c>
      <c r="I340" t="str">
        <f>IF('ENTRADAS-BASE'!H338="","",'ENTRADAS-BASE'!H338)</f>
        <v/>
      </c>
      <c r="J340" t="str">
        <f>IF('ENTRADAS-BASE'!I338="","",'ENTRADAS-BASE'!I338)</f>
        <v/>
      </c>
      <c r="K340" s="5" t="str">
        <f>IF('ENTRADAS-BASE'!J338="","",'ENTRADAS-BASE'!J338)</f>
        <v/>
      </c>
      <c r="L3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1" spans="2:12" x14ac:dyDescent="0.3">
      <c r="B341" t="str">
        <f>IF('ENTRADAS-BASE'!A339="","",'ENTRADAS-BASE'!A339)</f>
        <v/>
      </c>
      <c r="C341" t="str">
        <f>IF('ENTRADAS-BASE'!B339="","",'ENTRADAS-BASE'!B339)</f>
        <v/>
      </c>
      <c r="D341" t="str">
        <f>IF('ENTRADAS-BASE'!C339="","",'ENTRADAS-BASE'!C339)</f>
        <v/>
      </c>
      <c r="E341" s="7" t="str">
        <f>IF('ENTRADAS-BASE'!D339="","",'ENTRADAS-BASE'!D339)</f>
        <v/>
      </c>
      <c r="F341" s="6" t="str">
        <f>IF('ENTRADAS-BASE'!E339="","",'ENTRADAS-BASE'!E339)</f>
        <v/>
      </c>
      <c r="G341" t="str">
        <f>IF('ENTRADAS-BASE'!F339="","",'ENTRADAS-BASE'!F339)</f>
        <v/>
      </c>
      <c r="H341" t="str">
        <f>IF('ENTRADAS-BASE'!G339="","",'ENTRADAS-BASE'!G339)</f>
        <v/>
      </c>
      <c r="I341" t="str">
        <f>IF('ENTRADAS-BASE'!H339="","",'ENTRADAS-BASE'!H339)</f>
        <v/>
      </c>
      <c r="J341" t="str">
        <f>IF('ENTRADAS-BASE'!I339="","",'ENTRADAS-BASE'!I339)</f>
        <v/>
      </c>
      <c r="K341" s="5" t="str">
        <f>IF('ENTRADAS-BASE'!J339="","",'ENTRADAS-BASE'!J339)</f>
        <v/>
      </c>
      <c r="L3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2" spans="2:12" x14ac:dyDescent="0.3">
      <c r="B342" t="str">
        <f>IF('ENTRADAS-BASE'!A340="","",'ENTRADAS-BASE'!A340)</f>
        <v/>
      </c>
      <c r="C342" t="str">
        <f>IF('ENTRADAS-BASE'!B340="","",'ENTRADAS-BASE'!B340)</f>
        <v/>
      </c>
      <c r="D342" t="str">
        <f>IF('ENTRADAS-BASE'!C340="","",'ENTRADAS-BASE'!C340)</f>
        <v/>
      </c>
      <c r="E342" s="7" t="str">
        <f>IF('ENTRADAS-BASE'!D340="","",'ENTRADAS-BASE'!D340)</f>
        <v/>
      </c>
      <c r="F342" s="6" t="str">
        <f>IF('ENTRADAS-BASE'!E340="","",'ENTRADAS-BASE'!E340)</f>
        <v/>
      </c>
      <c r="G342" t="str">
        <f>IF('ENTRADAS-BASE'!F340="","",'ENTRADAS-BASE'!F340)</f>
        <v/>
      </c>
      <c r="H342" t="str">
        <f>IF('ENTRADAS-BASE'!G340="","",'ENTRADAS-BASE'!G340)</f>
        <v/>
      </c>
      <c r="I342" t="str">
        <f>IF('ENTRADAS-BASE'!H340="","",'ENTRADAS-BASE'!H340)</f>
        <v/>
      </c>
      <c r="J342" t="str">
        <f>IF('ENTRADAS-BASE'!I340="","",'ENTRADAS-BASE'!I340)</f>
        <v/>
      </c>
      <c r="K342" s="5" t="str">
        <f>IF('ENTRADAS-BASE'!J340="","",'ENTRADAS-BASE'!J340)</f>
        <v/>
      </c>
      <c r="L3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3" spans="2:12" x14ac:dyDescent="0.3">
      <c r="B343" t="str">
        <f>IF('ENTRADAS-BASE'!A341="","",'ENTRADAS-BASE'!A341)</f>
        <v/>
      </c>
      <c r="C343" t="str">
        <f>IF('ENTRADAS-BASE'!B341="","",'ENTRADAS-BASE'!B341)</f>
        <v/>
      </c>
      <c r="D343" t="str">
        <f>IF('ENTRADAS-BASE'!C341="","",'ENTRADAS-BASE'!C341)</f>
        <v/>
      </c>
      <c r="E343" s="7" t="str">
        <f>IF('ENTRADAS-BASE'!D341="","",'ENTRADAS-BASE'!D341)</f>
        <v/>
      </c>
      <c r="F343" s="6" t="str">
        <f>IF('ENTRADAS-BASE'!E341="","",'ENTRADAS-BASE'!E341)</f>
        <v/>
      </c>
      <c r="G343" t="str">
        <f>IF('ENTRADAS-BASE'!F341="","",'ENTRADAS-BASE'!F341)</f>
        <v/>
      </c>
      <c r="H343" t="str">
        <f>IF('ENTRADAS-BASE'!G341="","",'ENTRADAS-BASE'!G341)</f>
        <v/>
      </c>
      <c r="I343" t="str">
        <f>IF('ENTRADAS-BASE'!H341="","",'ENTRADAS-BASE'!H341)</f>
        <v/>
      </c>
      <c r="J343" t="str">
        <f>IF('ENTRADAS-BASE'!I341="","",'ENTRADAS-BASE'!I341)</f>
        <v/>
      </c>
      <c r="K343" s="5" t="str">
        <f>IF('ENTRADAS-BASE'!J341="","",'ENTRADAS-BASE'!J341)</f>
        <v/>
      </c>
      <c r="L3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4" spans="2:12" x14ac:dyDescent="0.3">
      <c r="B344" t="str">
        <f>IF('ENTRADAS-BASE'!A342="","",'ENTRADAS-BASE'!A342)</f>
        <v/>
      </c>
      <c r="C344" t="str">
        <f>IF('ENTRADAS-BASE'!B342="","",'ENTRADAS-BASE'!B342)</f>
        <v/>
      </c>
      <c r="D344" t="str">
        <f>IF('ENTRADAS-BASE'!C342="","",'ENTRADAS-BASE'!C342)</f>
        <v/>
      </c>
      <c r="E344" s="7" t="str">
        <f>IF('ENTRADAS-BASE'!D342="","",'ENTRADAS-BASE'!D342)</f>
        <v/>
      </c>
      <c r="F344" s="6" t="str">
        <f>IF('ENTRADAS-BASE'!E342="","",'ENTRADAS-BASE'!E342)</f>
        <v/>
      </c>
      <c r="G344" t="str">
        <f>IF('ENTRADAS-BASE'!F342="","",'ENTRADAS-BASE'!F342)</f>
        <v/>
      </c>
      <c r="H344" t="str">
        <f>IF('ENTRADAS-BASE'!G342="","",'ENTRADAS-BASE'!G342)</f>
        <v/>
      </c>
      <c r="I344" t="str">
        <f>IF('ENTRADAS-BASE'!H342="","",'ENTRADAS-BASE'!H342)</f>
        <v/>
      </c>
      <c r="J344" t="str">
        <f>IF('ENTRADAS-BASE'!I342="","",'ENTRADAS-BASE'!I342)</f>
        <v/>
      </c>
      <c r="K344" s="5" t="str">
        <f>IF('ENTRADAS-BASE'!J342="","",'ENTRADAS-BASE'!J342)</f>
        <v/>
      </c>
      <c r="L3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5" spans="2:12" x14ac:dyDescent="0.3">
      <c r="B345" t="str">
        <f>IF('ENTRADAS-BASE'!A343="","",'ENTRADAS-BASE'!A343)</f>
        <v/>
      </c>
      <c r="C345" t="str">
        <f>IF('ENTRADAS-BASE'!B343="","",'ENTRADAS-BASE'!B343)</f>
        <v/>
      </c>
      <c r="D345" t="str">
        <f>IF('ENTRADAS-BASE'!C343="","",'ENTRADAS-BASE'!C343)</f>
        <v/>
      </c>
      <c r="E345" s="7" t="str">
        <f>IF('ENTRADAS-BASE'!D343="","",'ENTRADAS-BASE'!D343)</f>
        <v/>
      </c>
      <c r="F345" s="6" t="str">
        <f>IF('ENTRADAS-BASE'!E343="","",'ENTRADAS-BASE'!E343)</f>
        <v/>
      </c>
      <c r="G345" t="str">
        <f>IF('ENTRADAS-BASE'!F343="","",'ENTRADAS-BASE'!F343)</f>
        <v/>
      </c>
      <c r="H345" t="str">
        <f>IF('ENTRADAS-BASE'!G343="","",'ENTRADAS-BASE'!G343)</f>
        <v/>
      </c>
      <c r="I345" t="str">
        <f>IF('ENTRADAS-BASE'!H343="","",'ENTRADAS-BASE'!H343)</f>
        <v/>
      </c>
      <c r="J345" t="str">
        <f>IF('ENTRADAS-BASE'!I343="","",'ENTRADAS-BASE'!I343)</f>
        <v/>
      </c>
      <c r="K345" s="5" t="str">
        <f>IF('ENTRADAS-BASE'!J343="","",'ENTRADAS-BASE'!J343)</f>
        <v/>
      </c>
      <c r="L3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6" spans="2:12" x14ac:dyDescent="0.3">
      <c r="B346" t="str">
        <f>IF('ENTRADAS-BASE'!A344="","",'ENTRADAS-BASE'!A344)</f>
        <v/>
      </c>
      <c r="C346" t="str">
        <f>IF('ENTRADAS-BASE'!B344="","",'ENTRADAS-BASE'!B344)</f>
        <v/>
      </c>
      <c r="D346" t="str">
        <f>IF('ENTRADAS-BASE'!C344="","",'ENTRADAS-BASE'!C344)</f>
        <v/>
      </c>
      <c r="E346" s="7" t="str">
        <f>IF('ENTRADAS-BASE'!D344="","",'ENTRADAS-BASE'!D344)</f>
        <v/>
      </c>
      <c r="F346" s="6" t="str">
        <f>IF('ENTRADAS-BASE'!E344="","",'ENTRADAS-BASE'!E344)</f>
        <v/>
      </c>
      <c r="G346" t="str">
        <f>IF('ENTRADAS-BASE'!F344="","",'ENTRADAS-BASE'!F344)</f>
        <v/>
      </c>
      <c r="H346" t="str">
        <f>IF('ENTRADAS-BASE'!G344="","",'ENTRADAS-BASE'!G344)</f>
        <v/>
      </c>
      <c r="I346" t="str">
        <f>IF('ENTRADAS-BASE'!H344="","",'ENTRADAS-BASE'!H344)</f>
        <v/>
      </c>
      <c r="J346" t="str">
        <f>IF('ENTRADAS-BASE'!I344="","",'ENTRADAS-BASE'!I344)</f>
        <v/>
      </c>
      <c r="K346" s="5" t="str">
        <f>IF('ENTRADAS-BASE'!J344="","",'ENTRADAS-BASE'!J344)</f>
        <v/>
      </c>
      <c r="L3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7" spans="2:12" x14ac:dyDescent="0.3">
      <c r="B347" t="str">
        <f>IF('ENTRADAS-BASE'!A345="","",'ENTRADAS-BASE'!A345)</f>
        <v/>
      </c>
      <c r="C347" t="str">
        <f>IF('ENTRADAS-BASE'!B345="","",'ENTRADAS-BASE'!B345)</f>
        <v/>
      </c>
      <c r="D347" t="str">
        <f>IF('ENTRADAS-BASE'!C345="","",'ENTRADAS-BASE'!C345)</f>
        <v/>
      </c>
      <c r="E347" s="7" t="str">
        <f>IF('ENTRADAS-BASE'!D345="","",'ENTRADAS-BASE'!D345)</f>
        <v/>
      </c>
      <c r="F347" s="6" t="str">
        <f>IF('ENTRADAS-BASE'!E345="","",'ENTRADAS-BASE'!E345)</f>
        <v/>
      </c>
      <c r="G347" t="str">
        <f>IF('ENTRADAS-BASE'!F345="","",'ENTRADAS-BASE'!F345)</f>
        <v/>
      </c>
      <c r="H347" t="str">
        <f>IF('ENTRADAS-BASE'!G345="","",'ENTRADAS-BASE'!G345)</f>
        <v/>
      </c>
      <c r="I347" t="str">
        <f>IF('ENTRADAS-BASE'!H345="","",'ENTRADAS-BASE'!H345)</f>
        <v/>
      </c>
      <c r="J347" t="str">
        <f>IF('ENTRADAS-BASE'!I345="","",'ENTRADAS-BASE'!I345)</f>
        <v/>
      </c>
      <c r="K347" s="5" t="str">
        <f>IF('ENTRADAS-BASE'!J345="","",'ENTRADAS-BASE'!J345)</f>
        <v/>
      </c>
      <c r="L3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8" spans="2:12" x14ac:dyDescent="0.3">
      <c r="B348" t="str">
        <f>IF('ENTRADAS-BASE'!A346="","",'ENTRADAS-BASE'!A346)</f>
        <v/>
      </c>
      <c r="C348" t="str">
        <f>IF('ENTRADAS-BASE'!B346="","",'ENTRADAS-BASE'!B346)</f>
        <v/>
      </c>
      <c r="D348" t="str">
        <f>IF('ENTRADAS-BASE'!C346="","",'ENTRADAS-BASE'!C346)</f>
        <v/>
      </c>
      <c r="E348" s="7" t="str">
        <f>IF('ENTRADAS-BASE'!D346="","",'ENTRADAS-BASE'!D346)</f>
        <v/>
      </c>
      <c r="F348" s="6" t="str">
        <f>IF('ENTRADAS-BASE'!E346="","",'ENTRADAS-BASE'!E346)</f>
        <v/>
      </c>
      <c r="G348" t="str">
        <f>IF('ENTRADAS-BASE'!F346="","",'ENTRADAS-BASE'!F346)</f>
        <v/>
      </c>
      <c r="H348" t="str">
        <f>IF('ENTRADAS-BASE'!G346="","",'ENTRADAS-BASE'!G346)</f>
        <v/>
      </c>
      <c r="I348" t="str">
        <f>IF('ENTRADAS-BASE'!H346="","",'ENTRADAS-BASE'!H346)</f>
        <v/>
      </c>
      <c r="J348" t="str">
        <f>IF('ENTRADAS-BASE'!I346="","",'ENTRADAS-BASE'!I346)</f>
        <v/>
      </c>
      <c r="K348" s="5" t="str">
        <f>IF('ENTRADAS-BASE'!J346="","",'ENTRADAS-BASE'!J346)</f>
        <v/>
      </c>
      <c r="L3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9" spans="2:12" x14ac:dyDescent="0.3">
      <c r="B349" t="str">
        <f>IF('ENTRADAS-BASE'!A347="","",'ENTRADAS-BASE'!A347)</f>
        <v/>
      </c>
      <c r="C349" t="str">
        <f>IF('ENTRADAS-BASE'!B347="","",'ENTRADAS-BASE'!B347)</f>
        <v/>
      </c>
      <c r="D349" t="str">
        <f>IF('ENTRADAS-BASE'!C347="","",'ENTRADAS-BASE'!C347)</f>
        <v/>
      </c>
      <c r="E349" s="7" t="str">
        <f>IF('ENTRADAS-BASE'!D347="","",'ENTRADAS-BASE'!D347)</f>
        <v/>
      </c>
      <c r="F349" s="6" t="str">
        <f>IF('ENTRADAS-BASE'!E347="","",'ENTRADAS-BASE'!E347)</f>
        <v/>
      </c>
      <c r="G349" t="str">
        <f>IF('ENTRADAS-BASE'!F347="","",'ENTRADAS-BASE'!F347)</f>
        <v/>
      </c>
      <c r="H349" t="str">
        <f>IF('ENTRADAS-BASE'!G347="","",'ENTRADAS-BASE'!G347)</f>
        <v/>
      </c>
      <c r="I349" t="str">
        <f>IF('ENTRADAS-BASE'!H347="","",'ENTRADAS-BASE'!H347)</f>
        <v/>
      </c>
      <c r="J349" t="str">
        <f>IF('ENTRADAS-BASE'!I347="","",'ENTRADAS-BASE'!I347)</f>
        <v/>
      </c>
      <c r="K349" s="5" t="str">
        <f>IF('ENTRADAS-BASE'!J347="","",'ENTRADAS-BASE'!J347)</f>
        <v/>
      </c>
      <c r="L3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0" spans="2:12" x14ac:dyDescent="0.3">
      <c r="B350" t="str">
        <f>IF('ENTRADAS-BASE'!A348="","",'ENTRADAS-BASE'!A348)</f>
        <v/>
      </c>
      <c r="C350" t="str">
        <f>IF('ENTRADAS-BASE'!B348="","",'ENTRADAS-BASE'!B348)</f>
        <v/>
      </c>
      <c r="D350" t="str">
        <f>IF('ENTRADAS-BASE'!C348="","",'ENTRADAS-BASE'!C348)</f>
        <v/>
      </c>
      <c r="E350" s="7" t="str">
        <f>IF('ENTRADAS-BASE'!D348="","",'ENTRADAS-BASE'!D348)</f>
        <v/>
      </c>
      <c r="F350" s="6" t="str">
        <f>IF('ENTRADAS-BASE'!E348="","",'ENTRADAS-BASE'!E348)</f>
        <v/>
      </c>
      <c r="G350" t="str">
        <f>IF('ENTRADAS-BASE'!F348="","",'ENTRADAS-BASE'!F348)</f>
        <v/>
      </c>
      <c r="H350" t="str">
        <f>IF('ENTRADAS-BASE'!G348="","",'ENTRADAS-BASE'!G348)</f>
        <v/>
      </c>
      <c r="I350" t="str">
        <f>IF('ENTRADAS-BASE'!H348="","",'ENTRADAS-BASE'!H348)</f>
        <v/>
      </c>
      <c r="J350" t="str">
        <f>IF('ENTRADAS-BASE'!I348="","",'ENTRADAS-BASE'!I348)</f>
        <v/>
      </c>
      <c r="K350" s="5" t="str">
        <f>IF('ENTRADAS-BASE'!J348="","",'ENTRADAS-BASE'!J348)</f>
        <v/>
      </c>
      <c r="L3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1" spans="2:12" x14ac:dyDescent="0.3">
      <c r="B351" t="str">
        <f>IF('ENTRADAS-BASE'!A349="","",'ENTRADAS-BASE'!A349)</f>
        <v/>
      </c>
      <c r="C351" t="str">
        <f>IF('ENTRADAS-BASE'!B349="","",'ENTRADAS-BASE'!B349)</f>
        <v/>
      </c>
      <c r="D351" t="str">
        <f>IF('ENTRADAS-BASE'!C349="","",'ENTRADAS-BASE'!C349)</f>
        <v/>
      </c>
      <c r="E351" s="7" t="str">
        <f>IF('ENTRADAS-BASE'!D349="","",'ENTRADAS-BASE'!D349)</f>
        <v/>
      </c>
      <c r="F351" s="6" t="str">
        <f>IF('ENTRADAS-BASE'!E349="","",'ENTRADAS-BASE'!E349)</f>
        <v/>
      </c>
      <c r="G351" t="str">
        <f>IF('ENTRADAS-BASE'!F349="","",'ENTRADAS-BASE'!F349)</f>
        <v/>
      </c>
      <c r="H351" t="str">
        <f>IF('ENTRADAS-BASE'!G349="","",'ENTRADAS-BASE'!G349)</f>
        <v/>
      </c>
      <c r="I351" t="str">
        <f>IF('ENTRADAS-BASE'!H349="","",'ENTRADAS-BASE'!H349)</f>
        <v/>
      </c>
      <c r="J351" t="str">
        <f>IF('ENTRADAS-BASE'!I349="","",'ENTRADAS-BASE'!I349)</f>
        <v/>
      </c>
      <c r="K351" s="5" t="str">
        <f>IF('ENTRADAS-BASE'!J349="","",'ENTRADAS-BASE'!J349)</f>
        <v/>
      </c>
      <c r="L3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2" spans="2:12" x14ac:dyDescent="0.3">
      <c r="B352" t="str">
        <f>IF('ENTRADAS-BASE'!A350="","",'ENTRADAS-BASE'!A350)</f>
        <v/>
      </c>
      <c r="C352" t="str">
        <f>IF('ENTRADAS-BASE'!B350="","",'ENTRADAS-BASE'!B350)</f>
        <v/>
      </c>
      <c r="D352" t="str">
        <f>IF('ENTRADAS-BASE'!C350="","",'ENTRADAS-BASE'!C350)</f>
        <v/>
      </c>
      <c r="E352" s="7" t="str">
        <f>IF('ENTRADAS-BASE'!D350="","",'ENTRADAS-BASE'!D350)</f>
        <v/>
      </c>
      <c r="F352" s="6" t="str">
        <f>IF('ENTRADAS-BASE'!E350="","",'ENTRADAS-BASE'!E350)</f>
        <v/>
      </c>
      <c r="G352" t="str">
        <f>IF('ENTRADAS-BASE'!F350="","",'ENTRADAS-BASE'!F350)</f>
        <v/>
      </c>
      <c r="H352" t="str">
        <f>IF('ENTRADAS-BASE'!G350="","",'ENTRADAS-BASE'!G350)</f>
        <v/>
      </c>
      <c r="I352" t="str">
        <f>IF('ENTRADAS-BASE'!H350="","",'ENTRADAS-BASE'!H350)</f>
        <v/>
      </c>
      <c r="J352" t="str">
        <f>IF('ENTRADAS-BASE'!I350="","",'ENTRADAS-BASE'!I350)</f>
        <v/>
      </c>
      <c r="K352" s="5" t="str">
        <f>IF('ENTRADAS-BASE'!J350="","",'ENTRADAS-BASE'!J350)</f>
        <v/>
      </c>
      <c r="L3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3" spans="2:12" x14ac:dyDescent="0.3">
      <c r="B353" t="str">
        <f>IF('ENTRADAS-BASE'!A351="","",'ENTRADAS-BASE'!A351)</f>
        <v/>
      </c>
      <c r="C353" t="str">
        <f>IF('ENTRADAS-BASE'!B351="","",'ENTRADAS-BASE'!B351)</f>
        <v/>
      </c>
      <c r="D353" t="str">
        <f>IF('ENTRADAS-BASE'!C351="","",'ENTRADAS-BASE'!C351)</f>
        <v/>
      </c>
      <c r="E353" s="7" t="str">
        <f>IF('ENTRADAS-BASE'!D351="","",'ENTRADAS-BASE'!D351)</f>
        <v/>
      </c>
      <c r="F353" s="6" t="str">
        <f>IF('ENTRADAS-BASE'!E351="","",'ENTRADAS-BASE'!E351)</f>
        <v/>
      </c>
      <c r="G353" t="str">
        <f>IF('ENTRADAS-BASE'!F351="","",'ENTRADAS-BASE'!F351)</f>
        <v/>
      </c>
      <c r="H353" t="str">
        <f>IF('ENTRADAS-BASE'!G351="","",'ENTRADAS-BASE'!G351)</f>
        <v/>
      </c>
      <c r="I353" t="str">
        <f>IF('ENTRADAS-BASE'!H351="","",'ENTRADAS-BASE'!H351)</f>
        <v/>
      </c>
      <c r="J353" t="str">
        <f>IF('ENTRADAS-BASE'!I351="","",'ENTRADAS-BASE'!I351)</f>
        <v/>
      </c>
      <c r="K353" s="5" t="str">
        <f>IF('ENTRADAS-BASE'!J351="","",'ENTRADAS-BASE'!J351)</f>
        <v/>
      </c>
      <c r="L3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4" spans="2:12" x14ac:dyDescent="0.3">
      <c r="B354" t="str">
        <f>IF('ENTRADAS-BASE'!A352="","",'ENTRADAS-BASE'!A352)</f>
        <v/>
      </c>
      <c r="C354" t="str">
        <f>IF('ENTRADAS-BASE'!B352="","",'ENTRADAS-BASE'!B352)</f>
        <v/>
      </c>
      <c r="D354" t="str">
        <f>IF('ENTRADAS-BASE'!C352="","",'ENTRADAS-BASE'!C352)</f>
        <v/>
      </c>
      <c r="E354" s="7" t="str">
        <f>IF('ENTRADAS-BASE'!D352="","",'ENTRADAS-BASE'!D352)</f>
        <v/>
      </c>
      <c r="F354" s="6" t="str">
        <f>IF('ENTRADAS-BASE'!E352="","",'ENTRADAS-BASE'!E352)</f>
        <v/>
      </c>
      <c r="G354" t="str">
        <f>IF('ENTRADAS-BASE'!F352="","",'ENTRADAS-BASE'!F352)</f>
        <v/>
      </c>
      <c r="H354" t="str">
        <f>IF('ENTRADAS-BASE'!G352="","",'ENTRADAS-BASE'!G352)</f>
        <v/>
      </c>
      <c r="I354" t="str">
        <f>IF('ENTRADAS-BASE'!H352="","",'ENTRADAS-BASE'!H352)</f>
        <v/>
      </c>
      <c r="J354" t="str">
        <f>IF('ENTRADAS-BASE'!I352="","",'ENTRADAS-BASE'!I352)</f>
        <v/>
      </c>
      <c r="K354" s="5" t="str">
        <f>IF('ENTRADAS-BASE'!J352="","",'ENTRADAS-BASE'!J352)</f>
        <v/>
      </c>
      <c r="L3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5" spans="2:12" x14ac:dyDescent="0.3">
      <c r="B355" t="str">
        <f>IF('ENTRADAS-BASE'!A353="","",'ENTRADAS-BASE'!A353)</f>
        <v/>
      </c>
      <c r="C355" t="str">
        <f>IF('ENTRADAS-BASE'!B353="","",'ENTRADAS-BASE'!B353)</f>
        <v/>
      </c>
      <c r="D355" t="str">
        <f>IF('ENTRADAS-BASE'!C353="","",'ENTRADAS-BASE'!C353)</f>
        <v/>
      </c>
      <c r="E355" s="7" t="str">
        <f>IF('ENTRADAS-BASE'!D353="","",'ENTRADAS-BASE'!D353)</f>
        <v/>
      </c>
      <c r="F355" s="6" t="str">
        <f>IF('ENTRADAS-BASE'!E353="","",'ENTRADAS-BASE'!E353)</f>
        <v/>
      </c>
      <c r="G355" t="str">
        <f>IF('ENTRADAS-BASE'!F353="","",'ENTRADAS-BASE'!F353)</f>
        <v/>
      </c>
      <c r="H355" t="str">
        <f>IF('ENTRADAS-BASE'!G353="","",'ENTRADAS-BASE'!G353)</f>
        <v/>
      </c>
      <c r="I355" t="str">
        <f>IF('ENTRADAS-BASE'!H353="","",'ENTRADAS-BASE'!H353)</f>
        <v/>
      </c>
      <c r="J355" t="str">
        <f>IF('ENTRADAS-BASE'!I353="","",'ENTRADAS-BASE'!I353)</f>
        <v/>
      </c>
      <c r="K355" s="5" t="str">
        <f>IF('ENTRADAS-BASE'!J353="","",'ENTRADAS-BASE'!J353)</f>
        <v/>
      </c>
      <c r="L3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6" spans="2:12" x14ac:dyDescent="0.3">
      <c r="B356" t="str">
        <f>IF('ENTRADAS-BASE'!A354="","",'ENTRADAS-BASE'!A354)</f>
        <v/>
      </c>
      <c r="C356" t="str">
        <f>IF('ENTRADAS-BASE'!B354="","",'ENTRADAS-BASE'!B354)</f>
        <v/>
      </c>
      <c r="D356" t="str">
        <f>IF('ENTRADAS-BASE'!C354="","",'ENTRADAS-BASE'!C354)</f>
        <v/>
      </c>
      <c r="E356" s="7" t="str">
        <f>IF('ENTRADAS-BASE'!D354="","",'ENTRADAS-BASE'!D354)</f>
        <v/>
      </c>
      <c r="F356" s="6" t="str">
        <f>IF('ENTRADAS-BASE'!E354="","",'ENTRADAS-BASE'!E354)</f>
        <v/>
      </c>
      <c r="G356" t="str">
        <f>IF('ENTRADAS-BASE'!F354="","",'ENTRADAS-BASE'!F354)</f>
        <v/>
      </c>
      <c r="H356" t="str">
        <f>IF('ENTRADAS-BASE'!G354="","",'ENTRADAS-BASE'!G354)</f>
        <v/>
      </c>
      <c r="I356" t="str">
        <f>IF('ENTRADAS-BASE'!H354="","",'ENTRADAS-BASE'!H354)</f>
        <v/>
      </c>
      <c r="J356" t="str">
        <f>IF('ENTRADAS-BASE'!I354="","",'ENTRADAS-BASE'!I354)</f>
        <v/>
      </c>
      <c r="K356" s="5" t="str">
        <f>IF('ENTRADAS-BASE'!J354="","",'ENTRADAS-BASE'!J354)</f>
        <v/>
      </c>
      <c r="L3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7" spans="2:12" x14ac:dyDescent="0.3">
      <c r="B357" t="str">
        <f>IF('ENTRADAS-BASE'!A355="","",'ENTRADAS-BASE'!A355)</f>
        <v/>
      </c>
      <c r="C357" t="str">
        <f>IF('ENTRADAS-BASE'!B355="","",'ENTRADAS-BASE'!B355)</f>
        <v/>
      </c>
      <c r="D357" t="str">
        <f>IF('ENTRADAS-BASE'!C355="","",'ENTRADAS-BASE'!C355)</f>
        <v/>
      </c>
      <c r="E357" s="7" t="str">
        <f>IF('ENTRADAS-BASE'!D355="","",'ENTRADAS-BASE'!D355)</f>
        <v/>
      </c>
      <c r="F357" s="6" t="str">
        <f>IF('ENTRADAS-BASE'!E355="","",'ENTRADAS-BASE'!E355)</f>
        <v/>
      </c>
      <c r="G357" t="str">
        <f>IF('ENTRADAS-BASE'!F355="","",'ENTRADAS-BASE'!F355)</f>
        <v/>
      </c>
      <c r="H357" t="str">
        <f>IF('ENTRADAS-BASE'!G355="","",'ENTRADAS-BASE'!G355)</f>
        <v/>
      </c>
      <c r="I357" t="str">
        <f>IF('ENTRADAS-BASE'!H355="","",'ENTRADAS-BASE'!H355)</f>
        <v/>
      </c>
      <c r="J357" t="str">
        <f>IF('ENTRADAS-BASE'!I355="","",'ENTRADAS-BASE'!I355)</f>
        <v/>
      </c>
      <c r="K357" s="5" t="str">
        <f>IF('ENTRADAS-BASE'!J355="","",'ENTRADAS-BASE'!J355)</f>
        <v/>
      </c>
      <c r="L3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8" spans="2:12" x14ac:dyDescent="0.3">
      <c r="B358" t="str">
        <f>IF('ENTRADAS-BASE'!A356="","",'ENTRADAS-BASE'!A356)</f>
        <v/>
      </c>
      <c r="C358" t="str">
        <f>IF('ENTRADAS-BASE'!B356="","",'ENTRADAS-BASE'!B356)</f>
        <v/>
      </c>
      <c r="D358" t="str">
        <f>IF('ENTRADAS-BASE'!C356="","",'ENTRADAS-BASE'!C356)</f>
        <v/>
      </c>
      <c r="E358" s="7" t="str">
        <f>IF('ENTRADAS-BASE'!D356="","",'ENTRADAS-BASE'!D356)</f>
        <v/>
      </c>
      <c r="F358" s="6" t="str">
        <f>IF('ENTRADAS-BASE'!E356="","",'ENTRADAS-BASE'!E356)</f>
        <v/>
      </c>
      <c r="G358" t="str">
        <f>IF('ENTRADAS-BASE'!F356="","",'ENTRADAS-BASE'!F356)</f>
        <v/>
      </c>
      <c r="H358" t="str">
        <f>IF('ENTRADAS-BASE'!G356="","",'ENTRADAS-BASE'!G356)</f>
        <v/>
      </c>
      <c r="I358" t="str">
        <f>IF('ENTRADAS-BASE'!H356="","",'ENTRADAS-BASE'!H356)</f>
        <v/>
      </c>
      <c r="J358" t="str">
        <f>IF('ENTRADAS-BASE'!I356="","",'ENTRADAS-BASE'!I356)</f>
        <v/>
      </c>
      <c r="K358" s="5" t="str">
        <f>IF('ENTRADAS-BASE'!J356="","",'ENTRADAS-BASE'!J356)</f>
        <v/>
      </c>
      <c r="L3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9" spans="2:12" x14ac:dyDescent="0.3">
      <c r="B359" t="str">
        <f>IF('ENTRADAS-BASE'!A357="","",'ENTRADAS-BASE'!A357)</f>
        <v/>
      </c>
      <c r="C359" t="str">
        <f>IF('ENTRADAS-BASE'!B357="","",'ENTRADAS-BASE'!B357)</f>
        <v/>
      </c>
      <c r="D359" t="str">
        <f>IF('ENTRADAS-BASE'!C357="","",'ENTRADAS-BASE'!C357)</f>
        <v/>
      </c>
      <c r="E359" s="7" t="str">
        <f>IF('ENTRADAS-BASE'!D357="","",'ENTRADAS-BASE'!D357)</f>
        <v/>
      </c>
      <c r="F359" s="6" t="str">
        <f>IF('ENTRADAS-BASE'!E357="","",'ENTRADAS-BASE'!E357)</f>
        <v/>
      </c>
      <c r="G359" t="str">
        <f>IF('ENTRADAS-BASE'!F357="","",'ENTRADAS-BASE'!F357)</f>
        <v/>
      </c>
      <c r="H359" t="str">
        <f>IF('ENTRADAS-BASE'!G357="","",'ENTRADAS-BASE'!G357)</f>
        <v/>
      </c>
      <c r="I359" t="str">
        <f>IF('ENTRADAS-BASE'!H357="","",'ENTRADAS-BASE'!H357)</f>
        <v/>
      </c>
      <c r="J359" t="str">
        <f>IF('ENTRADAS-BASE'!I357="","",'ENTRADAS-BASE'!I357)</f>
        <v/>
      </c>
      <c r="K359" s="5" t="str">
        <f>IF('ENTRADAS-BASE'!J357="","",'ENTRADAS-BASE'!J357)</f>
        <v/>
      </c>
      <c r="L3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0" spans="2:12" x14ac:dyDescent="0.3">
      <c r="B360" t="str">
        <f>IF('ENTRADAS-BASE'!A358="","",'ENTRADAS-BASE'!A358)</f>
        <v/>
      </c>
      <c r="C360" t="str">
        <f>IF('ENTRADAS-BASE'!B358="","",'ENTRADAS-BASE'!B358)</f>
        <v/>
      </c>
      <c r="D360" t="str">
        <f>IF('ENTRADAS-BASE'!C358="","",'ENTRADAS-BASE'!C358)</f>
        <v/>
      </c>
      <c r="E360" s="7" t="str">
        <f>IF('ENTRADAS-BASE'!D358="","",'ENTRADAS-BASE'!D358)</f>
        <v/>
      </c>
      <c r="F360" s="6" t="str">
        <f>IF('ENTRADAS-BASE'!E358="","",'ENTRADAS-BASE'!E358)</f>
        <v/>
      </c>
      <c r="G360" t="str">
        <f>IF('ENTRADAS-BASE'!F358="","",'ENTRADAS-BASE'!F358)</f>
        <v/>
      </c>
      <c r="H360" t="str">
        <f>IF('ENTRADAS-BASE'!G358="","",'ENTRADAS-BASE'!G358)</f>
        <v/>
      </c>
      <c r="I360" t="str">
        <f>IF('ENTRADAS-BASE'!H358="","",'ENTRADAS-BASE'!H358)</f>
        <v/>
      </c>
      <c r="J360" t="str">
        <f>IF('ENTRADAS-BASE'!I358="","",'ENTRADAS-BASE'!I358)</f>
        <v/>
      </c>
      <c r="K360" s="5" t="str">
        <f>IF('ENTRADAS-BASE'!J358="","",'ENTRADAS-BASE'!J358)</f>
        <v/>
      </c>
      <c r="L3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1" spans="2:12" x14ac:dyDescent="0.3">
      <c r="B361" t="str">
        <f>IF('ENTRADAS-BASE'!A359="","",'ENTRADAS-BASE'!A359)</f>
        <v/>
      </c>
      <c r="C361" t="str">
        <f>IF('ENTRADAS-BASE'!B359="","",'ENTRADAS-BASE'!B359)</f>
        <v/>
      </c>
      <c r="D361" t="str">
        <f>IF('ENTRADAS-BASE'!C359="","",'ENTRADAS-BASE'!C359)</f>
        <v/>
      </c>
      <c r="E361" s="7" t="str">
        <f>IF('ENTRADAS-BASE'!D359="","",'ENTRADAS-BASE'!D359)</f>
        <v/>
      </c>
      <c r="F361" s="6" t="str">
        <f>IF('ENTRADAS-BASE'!E359="","",'ENTRADAS-BASE'!E359)</f>
        <v/>
      </c>
      <c r="G361" t="str">
        <f>IF('ENTRADAS-BASE'!F359="","",'ENTRADAS-BASE'!F359)</f>
        <v/>
      </c>
      <c r="H361" t="str">
        <f>IF('ENTRADAS-BASE'!G359="","",'ENTRADAS-BASE'!G359)</f>
        <v/>
      </c>
      <c r="I361" t="str">
        <f>IF('ENTRADAS-BASE'!H359="","",'ENTRADAS-BASE'!H359)</f>
        <v/>
      </c>
      <c r="J361" t="str">
        <f>IF('ENTRADAS-BASE'!I359="","",'ENTRADAS-BASE'!I359)</f>
        <v/>
      </c>
      <c r="K361" s="5" t="str">
        <f>IF('ENTRADAS-BASE'!J359="","",'ENTRADAS-BASE'!J359)</f>
        <v/>
      </c>
      <c r="L3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2" spans="2:12" x14ac:dyDescent="0.3">
      <c r="B362" t="str">
        <f>IF('ENTRADAS-BASE'!A360="","",'ENTRADAS-BASE'!A360)</f>
        <v/>
      </c>
      <c r="C362" t="str">
        <f>IF('ENTRADAS-BASE'!B360="","",'ENTRADAS-BASE'!B360)</f>
        <v/>
      </c>
      <c r="D362" t="str">
        <f>IF('ENTRADAS-BASE'!C360="","",'ENTRADAS-BASE'!C360)</f>
        <v/>
      </c>
      <c r="E362" s="7" t="str">
        <f>IF('ENTRADAS-BASE'!D360="","",'ENTRADAS-BASE'!D360)</f>
        <v/>
      </c>
      <c r="F362" s="6" t="str">
        <f>IF('ENTRADAS-BASE'!E360="","",'ENTRADAS-BASE'!E360)</f>
        <v/>
      </c>
      <c r="G362" t="str">
        <f>IF('ENTRADAS-BASE'!F360="","",'ENTRADAS-BASE'!F360)</f>
        <v/>
      </c>
      <c r="H362" t="str">
        <f>IF('ENTRADAS-BASE'!G360="","",'ENTRADAS-BASE'!G360)</f>
        <v/>
      </c>
      <c r="I362" t="str">
        <f>IF('ENTRADAS-BASE'!H360="","",'ENTRADAS-BASE'!H360)</f>
        <v/>
      </c>
      <c r="J362" t="str">
        <f>IF('ENTRADAS-BASE'!I360="","",'ENTRADAS-BASE'!I360)</f>
        <v/>
      </c>
      <c r="K362" s="5" t="str">
        <f>IF('ENTRADAS-BASE'!J360="","",'ENTRADAS-BASE'!J360)</f>
        <v/>
      </c>
      <c r="L3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3" spans="2:12" x14ac:dyDescent="0.3">
      <c r="B363" t="str">
        <f>IF('ENTRADAS-BASE'!A361="","",'ENTRADAS-BASE'!A361)</f>
        <v/>
      </c>
      <c r="C363" t="str">
        <f>IF('ENTRADAS-BASE'!B361="","",'ENTRADAS-BASE'!B361)</f>
        <v/>
      </c>
      <c r="D363" t="str">
        <f>IF('ENTRADAS-BASE'!C361="","",'ENTRADAS-BASE'!C361)</f>
        <v/>
      </c>
      <c r="E363" s="7" t="str">
        <f>IF('ENTRADAS-BASE'!D361="","",'ENTRADAS-BASE'!D361)</f>
        <v/>
      </c>
      <c r="F363" s="6" t="str">
        <f>IF('ENTRADAS-BASE'!E361="","",'ENTRADAS-BASE'!E361)</f>
        <v/>
      </c>
      <c r="G363" t="str">
        <f>IF('ENTRADAS-BASE'!F361="","",'ENTRADAS-BASE'!F361)</f>
        <v/>
      </c>
      <c r="H363" t="str">
        <f>IF('ENTRADAS-BASE'!G361="","",'ENTRADAS-BASE'!G361)</f>
        <v/>
      </c>
      <c r="I363" t="str">
        <f>IF('ENTRADAS-BASE'!H361="","",'ENTRADAS-BASE'!H361)</f>
        <v/>
      </c>
      <c r="J363" t="str">
        <f>IF('ENTRADAS-BASE'!I361="","",'ENTRADAS-BASE'!I361)</f>
        <v/>
      </c>
      <c r="K363" s="5" t="str">
        <f>IF('ENTRADAS-BASE'!J361="","",'ENTRADAS-BASE'!J361)</f>
        <v/>
      </c>
      <c r="L3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4" spans="2:12" x14ac:dyDescent="0.3">
      <c r="B364" t="str">
        <f>IF('ENTRADAS-BASE'!A362="","",'ENTRADAS-BASE'!A362)</f>
        <v/>
      </c>
      <c r="C364" t="str">
        <f>IF('ENTRADAS-BASE'!B362="","",'ENTRADAS-BASE'!B362)</f>
        <v/>
      </c>
      <c r="D364" t="str">
        <f>IF('ENTRADAS-BASE'!C362="","",'ENTRADAS-BASE'!C362)</f>
        <v/>
      </c>
      <c r="E364" s="7" t="str">
        <f>IF('ENTRADAS-BASE'!D362="","",'ENTRADAS-BASE'!D362)</f>
        <v/>
      </c>
      <c r="F364" s="6" t="str">
        <f>IF('ENTRADAS-BASE'!E362="","",'ENTRADAS-BASE'!E362)</f>
        <v/>
      </c>
      <c r="G364" t="str">
        <f>IF('ENTRADAS-BASE'!F362="","",'ENTRADAS-BASE'!F362)</f>
        <v/>
      </c>
      <c r="H364" t="str">
        <f>IF('ENTRADAS-BASE'!G362="","",'ENTRADAS-BASE'!G362)</f>
        <v/>
      </c>
      <c r="I364" t="str">
        <f>IF('ENTRADAS-BASE'!H362="","",'ENTRADAS-BASE'!H362)</f>
        <v/>
      </c>
      <c r="J364" t="str">
        <f>IF('ENTRADAS-BASE'!I362="","",'ENTRADAS-BASE'!I362)</f>
        <v/>
      </c>
      <c r="K364" s="5" t="str">
        <f>IF('ENTRADAS-BASE'!J362="","",'ENTRADAS-BASE'!J362)</f>
        <v/>
      </c>
      <c r="L3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5" spans="2:12" x14ac:dyDescent="0.3">
      <c r="B365" t="str">
        <f>IF('ENTRADAS-BASE'!A363="","",'ENTRADAS-BASE'!A363)</f>
        <v/>
      </c>
      <c r="C365" t="str">
        <f>IF('ENTRADAS-BASE'!B363="","",'ENTRADAS-BASE'!B363)</f>
        <v/>
      </c>
      <c r="D365" t="str">
        <f>IF('ENTRADAS-BASE'!C363="","",'ENTRADAS-BASE'!C363)</f>
        <v/>
      </c>
      <c r="E365" s="7" t="str">
        <f>IF('ENTRADAS-BASE'!D363="","",'ENTRADAS-BASE'!D363)</f>
        <v/>
      </c>
      <c r="F365" s="6" t="str">
        <f>IF('ENTRADAS-BASE'!E363="","",'ENTRADAS-BASE'!E363)</f>
        <v/>
      </c>
      <c r="G365" t="str">
        <f>IF('ENTRADAS-BASE'!F363="","",'ENTRADAS-BASE'!F363)</f>
        <v/>
      </c>
      <c r="H365" t="str">
        <f>IF('ENTRADAS-BASE'!G363="","",'ENTRADAS-BASE'!G363)</f>
        <v/>
      </c>
      <c r="I365" t="str">
        <f>IF('ENTRADAS-BASE'!H363="","",'ENTRADAS-BASE'!H363)</f>
        <v/>
      </c>
      <c r="J365" t="str">
        <f>IF('ENTRADAS-BASE'!I363="","",'ENTRADAS-BASE'!I363)</f>
        <v/>
      </c>
      <c r="K365" s="5" t="str">
        <f>IF('ENTRADAS-BASE'!J363="","",'ENTRADAS-BASE'!J363)</f>
        <v/>
      </c>
      <c r="L3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6" spans="2:12" x14ac:dyDescent="0.3">
      <c r="B366" t="str">
        <f>IF('ENTRADAS-BASE'!A364="","",'ENTRADAS-BASE'!A364)</f>
        <v/>
      </c>
      <c r="C366" t="str">
        <f>IF('ENTRADAS-BASE'!B364="","",'ENTRADAS-BASE'!B364)</f>
        <v/>
      </c>
      <c r="D366" t="str">
        <f>IF('ENTRADAS-BASE'!C364="","",'ENTRADAS-BASE'!C364)</f>
        <v/>
      </c>
      <c r="E366" s="7" t="str">
        <f>IF('ENTRADAS-BASE'!D364="","",'ENTRADAS-BASE'!D364)</f>
        <v/>
      </c>
      <c r="F366" s="6" t="str">
        <f>IF('ENTRADAS-BASE'!E364="","",'ENTRADAS-BASE'!E364)</f>
        <v/>
      </c>
      <c r="G366" t="str">
        <f>IF('ENTRADAS-BASE'!F364="","",'ENTRADAS-BASE'!F364)</f>
        <v/>
      </c>
      <c r="H366" t="str">
        <f>IF('ENTRADAS-BASE'!G364="","",'ENTRADAS-BASE'!G364)</f>
        <v/>
      </c>
      <c r="I366" t="str">
        <f>IF('ENTRADAS-BASE'!H364="","",'ENTRADAS-BASE'!H364)</f>
        <v/>
      </c>
      <c r="J366" t="str">
        <f>IF('ENTRADAS-BASE'!I364="","",'ENTRADAS-BASE'!I364)</f>
        <v/>
      </c>
      <c r="K366" s="5" t="str">
        <f>IF('ENTRADAS-BASE'!J364="","",'ENTRADAS-BASE'!J364)</f>
        <v/>
      </c>
      <c r="L3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7" spans="2:12" x14ac:dyDescent="0.3">
      <c r="B367" t="str">
        <f>IF('ENTRADAS-BASE'!A365="","",'ENTRADAS-BASE'!A365)</f>
        <v/>
      </c>
      <c r="C367" t="str">
        <f>IF('ENTRADAS-BASE'!B365="","",'ENTRADAS-BASE'!B365)</f>
        <v/>
      </c>
      <c r="D367" t="str">
        <f>IF('ENTRADAS-BASE'!C365="","",'ENTRADAS-BASE'!C365)</f>
        <v/>
      </c>
      <c r="E367" s="7" t="str">
        <f>IF('ENTRADAS-BASE'!D365="","",'ENTRADAS-BASE'!D365)</f>
        <v/>
      </c>
      <c r="F367" s="6" t="str">
        <f>IF('ENTRADAS-BASE'!E365="","",'ENTRADAS-BASE'!E365)</f>
        <v/>
      </c>
      <c r="G367" t="str">
        <f>IF('ENTRADAS-BASE'!F365="","",'ENTRADAS-BASE'!F365)</f>
        <v/>
      </c>
      <c r="H367" t="str">
        <f>IF('ENTRADAS-BASE'!G365="","",'ENTRADAS-BASE'!G365)</f>
        <v/>
      </c>
      <c r="I367" t="str">
        <f>IF('ENTRADAS-BASE'!H365="","",'ENTRADAS-BASE'!H365)</f>
        <v/>
      </c>
      <c r="J367" t="str">
        <f>IF('ENTRADAS-BASE'!I365="","",'ENTRADAS-BASE'!I365)</f>
        <v/>
      </c>
      <c r="K367" s="5" t="str">
        <f>IF('ENTRADAS-BASE'!J365="","",'ENTRADAS-BASE'!J365)</f>
        <v/>
      </c>
      <c r="L3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8" spans="2:12" x14ac:dyDescent="0.3">
      <c r="B368" t="str">
        <f>IF('ENTRADAS-BASE'!A366="","",'ENTRADAS-BASE'!A366)</f>
        <v/>
      </c>
      <c r="C368" t="str">
        <f>IF('ENTRADAS-BASE'!B366="","",'ENTRADAS-BASE'!B366)</f>
        <v/>
      </c>
      <c r="D368" t="str">
        <f>IF('ENTRADAS-BASE'!C366="","",'ENTRADAS-BASE'!C366)</f>
        <v/>
      </c>
      <c r="E368" s="7" t="str">
        <f>IF('ENTRADAS-BASE'!D366="","",'ENTRADAS-BASE'!D366)</f>
        <v/>
      </c>
      <c r="F368" s="6" t="str">
        <f>IF('ENTRADAS-BASE'!E366="","",'ENTRADAS-BASE'!E366)</f>
        <v/>
      </c>
      <c r="G368" t="str">
        <f>IF('ENTRADAS-BASE'!F366="","",'ENTRADAS-BASE'!F366)</f>
        <v/>
      </c>
      <c r="H368" t="str">
        <f>IF('ENTRADAS-BASE'!G366="","",'ENTRADAS-BASE'!G366)</f>
        <v/>
      </c>
      <c r="I368" t="str">
        <f>IF('ENTRADAS-BASE'!H366="","",'ENTRADAS-BASE'!H366)</f>
        <v/>
      </c>
      <c r="J368" t="str">
        <f>IF('ENTRADAS-BASE'!I366="","",'ENTRADAS-BASE'!I366)</f>
        <v/>
      </c>
      <c r="K368" s="5" t="str">
        <f>IF('ENTRADAS-BASE'!J366="","",'ENTRADAS-BASE'!J366)</f>
        <v/>
      </c>
      <c r="L3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9" spans="2:12" x14ac:dyDescent="0.3">
      <c r="B369" t="str">
        <f>IF('ENTRADAS-BASE'!A367="","",'ENTRADAS-BASE'!A367)</f>
        <v/>
      </c>
      <c r="C369" t="str">
        <f>IF('ENTRADAS-BASE'!B367="","",'ENTRADAS-BASE'!B367)</f>
        <v/>
      </c>
      <c r="D369" t="str">
        <f>IF('ENTRADAS-BASE'!C367="","",'ENTRADAS-BASE'!C367)</f>
        <v/>
      </c>
      <c r="E369" s="7" t="str">
        <f>IF('ENTRADAS-BASE'!D367="","",'ENTRADAS-BASE'!D367)</f>
        <v/>
      </c>
      <c r="F369" s="6" t="str">
        <f>IF('ENTRADAS-BASE'!E367="","",'ENTRADAS-BASE'!E367)</f>
        <v/>
      </c>
      <c r="G369" t="str">
        <f>IF('ENTRADAS-BASE'!F367="","",'ENTRADAS-BASE'!F367)</f>
        <v/>
      </c>
      <c r="H369" t="str">
        <f>IF('ENTRADAS-BASE'!G367="","",'ENTRADAS-BASE'!G367)</f>
        <v/>
      </c>
      <c r="I369" t="str">
        <f>IF('ENTRADAS-BASE'!H367="","",'ENTRADAS-BASE'!H367)</f>
        <v/>
      </c>
      <c r="J369" t="str">
        <f>IF('ENTRADAS-BASE'!I367="","",'ENTRADAS-BASE'!I367)</f>
        <v/>
      </c>
      <c r="K369" s="5" t="str">
        <f>IF('ENTRADAS-BASE'!J367="","",'ENTRADAS-BASE'!J367)</f>
        <v/>
      </c>
      <c r="L3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0" spans="2:12" x14ac:dyDescent="0.3">
      <c r="B370" t="str">
        <f>IF('ENTRADAS-BASE'!A368="","",'ENTRADAS-BASE'!A368)</f>
        <v/>
      </c>
      <c r="C370" t="str">
        <f>IF('ENTRADAS-BASE'!B368="","",'ENTRADAS-BASE'!B368)</f>
        <v/>
      </c>
      <c r="D370" t="str">
        <f>IF('ENTRADAS-BASE'!C368="","",'ENTRADAS-BASE'!C368)</f>
        <v/>
      </c>
      <c r="E370" s="7" t="str">
        <f>IF('ENTRADAS-BASE'!D368="","",'ENTRADAS-BASE'!D368)</f>
        <v/>
      </c>
      <c r="F370" s="6" t="str">
        <f>IF('ENTRADAS-BASE'!E368="","",'ENTRADAS-BASE'!E368)</f>
        <v/>
      </c>
      <c r="G370" t="str">
        <f>IF('ENTRADAS-BASE'!F368="","",'ENTRADAS-BASE'!F368)</f>
        <v/>
      </c>
      <c r="H370" t="str">
        <f>IF('ENTRADAS-BASE'!G368="","",'ENTRADAS-BASE'!G368)</f>
        <v/>
      </c>
      <c r="I370" t="str">
        <f>IF('ENTRADAS-BASE'!H368="","",'ENTRADAS-BASE'!H368)</f>
        <v/>
      </c>
      <c r="J370" t="str">
        <f>IF('ENTRADAS-BASE'!I368="","",'ENTRADAS-BASE'!I368)</f>
        <v/>
      </c>
      <c r="K370" s="5" t="str">
        <f>IF('ENTRADAS-BASE'!J368="","",'ENTRADAS-BASE'!J368)</f>
        <v/>
      </c>
      <c r="L3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1" spans="2:12" x14ac:dyDescent="0.3">
      <c r="B371" t="str">
        <f>IF('ENTRADAS-BASE'!A369="","",'ENTRADAS-BASE'!A369)</f>
        <v/>
      </c>
      <c r="C371" t="str">
        <f>IF('ENTRADAS-BASE'!B369="","",'ENTRADAS-BASE'!B369)</f>
        <v/>
      </c>
      <c r="D371" t="str">
        <f>IF('ENTRADAS-BASE'!C369="","",'ENTRADAS-BASE'!C369)</f>
        <v/>
      </c>
      <c r="E371" s="7" t="str">
        <f>IF('ENTRADAS-BASE'!D369="","",'ENTRADAS-BASE'!D369)</f>
        <v/>
      </c>
      <c r="F371" s="6" t="str">
        <f>IF('ENTRADAS-BASE'!E369="","",'ENTRADAS-BASE'!E369)</f>
        <v/>
      </c>
      <c r="G371" t="str">
        <f>IF('ENTRADAS-BASE'!F369="","",'ENTRADAS-BASE'!F369)</f>
        <v/>
      </c>
      <c r="H371" t="str">
        <f>IF('ENTRADAS-BASE'!G369="","",'ENTRADAS-BASE'!G369)</f>
        <v/>
      </c>
      <c r="I371" t="str">
        <f>IF('ENTRADAS-BASE'!H369="","",'ENTRADAS-BASE'!H369)</f>
        <v/>
      </c>
      <c r="J371" t="str">
        <f>IF('ENTRADAS-BASE'!I369="","",'ENTRADAS-BASE'!I369)</f>
        <v/>
      </c>
      <c r="K371" s="5" t="str">
        <f>IF('ENTRADAS-BASE'!J369="","",'ENTRADAS-BASE'!J369)</f>
        <v/>
      </c>
      <c r="L3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2" spans="2:12" x14ac:dyDescent="0.3">
      <c r="B372" t="str">
        <f>IF('ENTRADAS-BASE'!A370="","",'ENTRADAS-BASE'!A370)</f>
        <v/>
      </c>
      <c r="C372" t="str">
        <f>IF('ENTRADAS-BASE'!B370="","",'ENTRADAS-BASE'!B370)</f>
        <v/>
      </c>
      <c r="D372" t="str">
        <f>IF('ENTRADAS-BASE'!C370="","",'ENTRADAS-BASE'!C370)</f>
        <v/>
      </c>
      <c r="E372" s="7" t="str">
        <f>IF('ENTRADAS-BASE'!D370="","",'ENTRADAS-BASE'!D370)</f>
        <v/>
      </c>
      <c r="F372" s="6" t="str">
        <f>IF('ENTRADAS-BASE'!E370="","",'ENTRADAS-BASE'!E370)</f>
        <v/>
      </c>
      <c r="G372" t="str">
        <f>IF('ENTRADAS-BASE'!F370="","",'ENTRADAS-BASE'!F370)</f>
        <v/>
      </c>
      <c r="H372" t="str">
        <f>IF('ENTRADAS-BASE'!G370="","",'ENTRADAS-BASE'!G370)</f>
        <v/>
      </c>
      <c r="I372" t="str">
        <f>IF('ENTRADAS-BASE'!H370="","",'ENTRADAS-BASE'!H370)</f>
        <v/>
      </c>
      <c r="J372" t="str">
        <f>IF('ENTRADAS-BASE'!I370="","",'ENTRADAS-BASE'!I370)</f>
        <v/>
      </c>
      <c r="K372" s="5" t="str">
        <f>IF('ENTRADAS-BASE'!J370="","",'ENTRADAS-BASE'!J370)</f>
        <v/>
      </c>
      <c r="L3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3" spans="2:12" x14ac:dyDescent="0.3">
      <c r="B373" t="str">
        <f>IF('ENTRADAS-BASE'!A371="","",'ENTRADAS-BASE'!A371)</f>
        <v/>
      </c>
      <c r="C373" t="str">
        <f>IF('ENTRADAS-BASE'!B371="","",'ENTRADAS-BASE'!B371)</f>
        <v/>
      </c>
      <c r="D373" t="str">
        <f>IF('ENTRADAS-BASE'!C371="","",'ENTRADAS-BASE'!C371)</f>
        <v/>
      </c>
      <c r="E373" s="7" t="str">
        <f>IF('ENTRADAS-BASE'!D371="","",'ENTRADAS-BASE'!D371)</f>
        <v/>
      </c>
      <c r="F373" s="6" t="str">
        <f>IF('ENTRADAS-BASE'!E371="","",'ENTRADAS-BASE'!E371)</f>
        <v/>
      </c>
      <c r="G373" t="str">
        <f>IF('ENTRADAS-BASE'!F371="","",'ENTRADAS-BASE'!F371)</f>
        <v/>
      </c>
      <c r="H373" t="str">
        <f>IF('ENTRADAS-BASE'!G371="","",'ENTRADAS-BASE'!G371)</f>
        <v/>
      </c>
      <c r="I373" t="str">
        <f>IF('ENTRADAS-BASE'!H371="","",'ENTRADAS-BASE'!H371)</f>
        <v/>
      </c>
      <c r="J373" t="str">
        <f>IF('ENTRADAS-BASE'!I371="","",'ENTRADAS-BASE'!I371)</f>
        <v/>
      </c>
      <c r="K373" s="5" t="str">
        <f>IF('ENTRADAS-BASE'!J371="","",'ENTRADAS-BASE'!J371)</f>
        <v/>
      </c>
      <c r="L3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4" spans="2:12" x14ac:dyDescent="0.3">
      <c r="B374" t="str">
        <f>IF('ENTRADAS-BASE'!A372="","",'ENTRADAS-BASE'!A372)</f>
        <v/>
      </c>
      <c r="C374" t="str">
        <f>IF('ENTRADAS-BASE'!B372="","",'ENTRADAS-BASE'!B372)</f>
        <v/>
      </c>
      <c r="D374" t="str">
        <f>IF('ENTRADAS-BASE'!C372="","",'ENTRADAS-BASE'!C372)</f>
        <v/>
      </c>
      <c r="E374" s="7" t="str">
        <f>IF('ENTRADAS-BASE'!D372="","",'ENTRADAS-BASE'!D372)</f>
        <v/>
      </c>
      <c r="F374" s="6" t="str">
        <f>IF('ENTRADAS-BASE'!E372="","",'ENTRADAS-BASE'!E372)</f>
        <v/>
      </c>
      <c r="G374" t="str">
        <f>IF('ENTRADAS-BASE'!F372="","",'ENTRADAS-BASE'!F372)</f>
        <v/>
      </c>
      <c r="H374" t="str">
        <f>IF('ENTRADAS-BASE'!G372="","",'ENTRADAS-BASE'!G372)</f>
        <v/>
      </c>
      <c r="I374" t="str">
        <f>IF('ENTRADAS-BASE'!H372="","",'ENTRADAS-BASE'!H372)</f>
        <v/>
      </c>
      <c r="J374" t="str">
        <f>IF('ENTRADAS-BASE'!I372="","",'ENTRADAS-BASE'!I372)</f>
        <v/>
      </c>
      <c r="K374" s="5" t="str">
        <f>IF('ENTRADAS-BASE'!J372="","",'ENTRADAS-BASE'!J372)</f>
        <v/>
      </c>
      <c r="L3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5" spans="2:12" x14ac:dyDescent="0.3">
      <c r="B375" t="str">
        <f>IF('ENTRADAS-BASE'!A373="","",'ENTRADAS-BASE'!A373)</f>
        <v/>
      </c>
      <c r="C375" t="str">
        <f>IF('ENTRADAS-BASE'!B373="","",'ENTRADAS-BASE'!B373)</f>
        <v/>
      </c>
      <c r="D375" t="str">
        <f>IF('ENTRADAS-BASE'!C373="","",'ENTRADAS-BASE'!C373)</f>
        <v/>
      </c>
      <c r="E375" s="7" t="str">
        <f>IF('ENTRADAS-BASE'!D373="","",'ENTRADAS-BASE'!D373)</f>
        <v/>
      </c>
      <c r="F375" s="6" t="str">
        <f>IF('ENTRADAS-BASE'!E373="","",'ENTRADAS-BASE'!E373)</f>
        <v/>
      </c>
      <c r="G375" t="str">
        <f>IF('ENTRADAS-BASE'!F373="","",'ENTRADAS-BASE'!F373)</f>
        <v/>
      </c>
      <c r="H375" t="str">
        <f>IF('ENTRADAS-BASE'!G373="","",'ENTRADAS-BASE'!G373)</f>
        <v/>
      </c>
      <c r="I375" t="str">
        <f>IF('ENTRADAS-BASE'!H373="","",'ENTRADAS-BASE'!H373)</f>
        <v/>
      </c>
      <c r="J375" t="str">
        <f>IF('ENTRADAS-BASE'!I373="","",'ENTRADAS-BASE'!I373)</f>
        <v/>
      </c>
      <c r="K375" s="5" t="str">
        <f>IF('ENTRADAS-BASE'!J373="","",'ENTRADAS-BASE'!J373)</f>
        <v/>
      </c>
      <c r="L3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6" spans="2:12" x14ac:dyDescent="0.3">
      <c r="B376" t="str">
        <f>IF('ENTRADAS-BASE'!A374="","",'ENTRADAS-BASE'!A374)</f>
        <v/>
      </c>
      <c r="C376" t="str">
        <f>IF('ENTRADAS-BASE'!B374="","",'ENTRADAS-BASE'!B374)</f>
        <v/>
      </c>
      <c r="D376" t="str">
        <f>IF('ENTRADAS-BASE'!C374="","",'ENTRADAS-BASE'!C374)</f>
        <v/>
      </c>
      <c r="E376" s="7" t="str">
        <f>IF('ENTRADAS-BASE'!D374="","",'ENTRADAS-BASE'!D374)</f>
        <v/>
      </c>
      <c r="F376" s="6" t="str">
        <f>IF('ENTRADAS-BASE'!E374="","",'ENTRADAS-BASE'!E374)</f>
        <v/>
      </c>
      <c r="G376" t="str">
        <f>IF('ENTRADAS-BASE'!F374="","",'ENTRADAS-BASE'!F374)</f>
        <v/>
      </c>
      <c r="H376" t="str">
        <f>IF('ENTRADAS-BASE'!G374="","",'ENTRADAS-BASE'!G374)</f>
        <v/>
      </c>
      <c r="I376" t="str">
        <f>IF('ENTRADAS-BASE'!H374="","",'ENTRADAS-BASE'!H374)</f>
        <v/>
      </c>
      <c r="J376" t="str">
        <f>IF('ENTRADAS-BASE'!I374="","",'ENTRADAS-BASE'!I374)</f>
        <v/>
      </c>
      <c r="K376" s="5" t="str">
        <f>IF('ENTRADAS-BASE'!J374="","",'ENTRADAS-BASE'!J374)</f>
        <v/>
      </c>
      <c r="L3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7" spans="2:12" x14ac:dyDescent="0.3">
      <c r="B377" t="str">
        <f>IF('ENTRADAS-BASE'!A375="","",'ENTRADAS-BASE'!A375)</f>
        <v/>
      </c>
      <c r="C377" t="str">
        <f>IF('ENTRADAS-BASE'!B375="","",'ENTRADAS-BASE'!B375)</f>
        <v/>
      </c>
      <c r="D377" t="str">
        <f>IF('ENTRADAS-BASE'!C375="","",'ENTRADAS-BASE'!C375)</f>
        <v/>
      </c>
      <c r="E377" s="7" t="str">
        <f>IF('ENTRADAS-BASE'!D375="","",'ENTRADAS-BASE'!D375)</f>
        <v/>
      </c>
      <c r="F377" s="6" t="str">
        <f>IF('ENTRADAS-BASE'!E375="","",'ENTRADAS-BASE'!E375)</f>
        <v/>
      </c>
      <c r="G377" t="str">
        <f>IF('ENTRADAS-BASE'!F375="","",'ENTRADAS-BASE'!F375)</f>
        <v/>
      </c>
      <c r="H377" t="str">
        <f>IF('ENTRADAS-BASE'!G375="","",'ENTRADAS-BASE'!G375)</f>
        <v/>
      </c>
      <c r="I377" t="str">
        <f>IF('ENTRADAS-BASE'!H375="","",'ENTRADAS-BASE'!H375)</f>
        <v/>
      </c>
      <c r="J377" t="str">
        <f>IF('ENTRADAS-BASE'!I375="","",'ENTRADAS-BASE'!I375)</f>
        <v/>
      </c>
      <c r="K377" s="5" t="str">
        <f>IF('ENTRADAS-BASE'!J375="","",'ENTRADAS-BASE'!J375)</f>
        <v/>
      </c>
      <c r="L3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8" spans="2:12" x14ac:dyDescent="0.3">
      <c r="B378" t="str">
        <f>IF('ENTRADAS-BASE'!A376="","",'ENTRADAS-BASE'!A376)</f>
        <v/>
      </c>
      <c r="C378" t="str">
        <f>IF('ENTRADAS-BASE'!B376="","",'ENTRADAS-BASE'!B376)</f>
        <v/>
      </c>
      <c r="D378" t="str">
        <f>IF('ENTRADAS-BASE'!C376="","",'ENTRADAS-BASE'!C376)</f>
        <v/>
      </c>
      <c r="E378" s="7" t="str">
        <f>IF('ENTRADAS-BASE'!D376="","",'ENTRADAS-BASE'!D376)</f>
        <v/>
      </c>
      <c r="F378" s="6" t="str">
        <f>IF('ENTRADAS-BASE'!E376="","",'ENTRADAS-BASE'!E376)</f>
        <v/>
      </c>
      <c r="G378" t="str">
        <f>IF('ENTRADAS-BASE'!F376="","",'ENTRADAS-BASE'!F376)</f>
        <v/>
      </c>
      <c r="H378" t="str">
        <f>IF('ENTRADAS-BASE'!G376="","",'ENTRADAS-BASE'!G376)</f>
        <v/>
      </c>
      <c r="I378" t="str">
        <f>IF('ENTRADAS-BASE'!H376="","",'ENTRADAS-BASE'!H376)</f>
        <v/>
      </c>
      <c r="J378" t="str">
        <f>IF('ENTRADAS-BASE'!I376="","",'ENTRADAS-BASE'!I376)</f>
        <v/>
      </c>
      <c r="K378" s="5" t="str">
        <f>IF('ENTRADAS-BASE'!J376="","",'ENTRADAS-BASE'!J376)</f>
        <v/>
      </c>
      <c r="L3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9" spans="2:12" x14ac:dyDescent="0.3">
      <c r="B379" t="str">
        <f>IF('ENTRADAS-BASE'!A377="","",'ENTRADAS-BASE'!A377)</f>
        <v/>
      </c>
      <c r="C379" t="str">
        <f>IF('ENTRADAS-BASE'!B377="","",'ENTRADAS-BASE'!B377)</f>
        <v/>
      </c>
      <c r="D379" t="str">
        <f>IF('ENTRADAS-BASE'!C377="","",'ENTRADAS-BASE'!C377)</f>
        <v/>
      </c>
      <c r="E379" s="7" t="str">
        <f>IF('ENTRADAS-BASE'!D377="","",'ENTRADAS-BASE'!D377)</f>
        <v/>
      </c>
      <c r="F379" s="6" t="str">
        <f>IF('ENTRADAS-BASE'!E377="","",'ENTRADAS-BASE'!E377)</f>
        <v/>
      </c>
      <c r="G379" t="str">
        <f>IF('ENTRADAS-BASE'!F377="","",'ENTRADAS-BASE'!F377)</f>
        <v/>
      </c>
      <c r="H379" t="str">
        <f>IF('ENTRADAS-BASE'!G377="","",'ENTRADAS-BASE'!G377)</f>
        <v/>
      </c>
      <c r="I379" t="str">
        <f>IF('ENTRADAS-BASE'!H377="","",'ENTRADAS-BASE'!H377)</f>
        <v/>
      </c>
      <c r="J379" t="str">
        <f>IF('ENTRADAS-BASE'!I377="","",'ENTRADAS-BASE'!I377)</f>
        <v/>
      </c>
      <c r="K379" s="5" t="str">
        <f>IF('ENTRADAS-BASE'!J377="","",'ENTRADAS-BASE'!J377)</f>
        <v/>
      </c>
      <c r="L3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0" spans="2:12" x14ac:dyDescent="0.3">
      <c r="B380" t="str">
        <f>IF('ENTRADAS-BASE'!A378="","",'ENTRADAS-BASE'!A378)</f>
        <v/>
      </c>
      <c r="C380" t="str">
        <f>IF('ENTRADAS-BASE'!B378="","",'ENTRADAS-BASE'!B378)</f>
        <v/>
      </c>
      <c r="D380" t="str">
        <f>IF('ENTRADAS-BASE'!C378="","",'ENTRADAS-BASE'!C378)</f>
        <v/>
      </c>
      <c r="E380" s="7" t="str">
        <f>IF('ENTRADAS-BASE'!D378="","",'ENTRADAS-BASE'!D378)</f>
        <v/>
      </c>
      <c r="F380" s="6" t="str">
        <f>IF('ENTRADAS-BASE'!E378="","",'ENTRADAS-BASE'!E378)</f>
        <v/>
      </c>
      <c r="G380" t="str">
        <f>IF('ENTRADAS-BASE'!F378="","",'ENTRADAS-BASE'!F378)</f>
        <v/>
      </c>
      <c r="H380" t="str">
        <f>IF('ENTRADAS-BASE'!G378="","",'ENTRADAS-BASE'!G378)</f>
        <v/>
      </c>
      <c r="I380" t="str">
        <f>IF('ENTRADAS-BASE'!H378="","",'ENTRADAS-BASE'!H378)</f>
        <v/>
      </c>
      <c r="J380" t="str">
        <f>IF('ENTRADAS-BASE'!I378="","",'ENTRADAS-BASE'!I378)</f>
        <v/>
      </c>
      <c r="K380" s="5" t="str">
        <f>IF('ENTRADAS-BASE'!J378="","",'ENTRADAS-BASE'!J378)</f>
        <v/>
      </c>
      <c r="L3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1" spans="2:12" x14ac:dyDescent="0.3">
      <c r="B381" t="str">
        <f>IF('ENTRADAS-BASE'!A379="","",'ENTRADAS-BASE'!A379)</f>
        <v/>
      </c>
      <c r="C381" t="str">
        <f>IF('ENTRADAS-BASE'!B379="","",'ENTRADAS-BASE'!B379)</f>
        <v/>
      </c>
      <c r="D381" t="str">
        <f>IF('ENTRADAS-BASE'!C379="","",'ENTRADAS-BASE'!C379)</f>
        <v/>
      </c>
      <c r="E381" s="7" t="str">
        <f>IF('ENTRADAS-BASE'!D379="","",'ENTRADAS-BASE'!D379)</f>
        <v/>
      </c>
      <c r="F381" s="6" t="str">
        <f>IF('ENTRADAS-BASE'!E379="","",'ENTRADAS-BASE'!E379)</f>
        <v/>
      </c>
      <c r="G381" t="str">
        <f>IF('ENTRADAS-BASE'!F379="","",'ENTRADAS-BASE'!F379)</f>
        <v/>
      </c>
      <c r="H381" t="str">
        <f>IF('ENTRADAS-BASE'!G379="","",'ENTRADAS-BASE'!G379)</f>
        <v/>
      </c>
      <c r="I381" t="str">
        <f>IF('ENTRADAS-BASE'!H379="","",'ENTRADAS-BASE'!H379)</f>
        <v/>
      </c>
      <c r="J381" t="str">
        <f>IF('ENTRADAS-BASE'!I379="","",'ENTRADAS-BASE'!I379)</f>
        <v/>
      </c>
      <c r="K381" s="5" t="str">
        <f>IF('ENTRADAS-BASE'!J379="","",'ENTRADAS-BASE'!J379)</f>
        <v/>
      </c>
      <c r="L3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2" spans="2:12" x14ac:dyDescent="0.3">
      <c r="B382" t="str">
        <f>IF('ENTRADAS-BASE'!A380="","",'ENTRADAS-BASE'!A380)</f>
        <v/>
      </c>
      <c r="C382" t="str">
        <f>IF('ENTRADAS-BASE'!B380="","",'ENTRADAS-BASE'!B380)</f>
        <v/>
      </c>
      <c r="D382" t="str">
        <f>IF('ENTRADAS-BASE'!C380="","",'ENTRADAS-BASE'!C380)</f>
        <v/>
      </c>
      <c r="E382" s="7" t="str">
        <f>IF('ENTRADAS-BASE'!D380="","",'ENTRADAS-BASE'!D380)</f>
        <v/>
      </c>
      <c r="F382" s="6" t="str">
        <f>IF('ENTRADAS-BASE'!E380="","",'ENTRADAS-BASE'!E380)</f>
        <v/>
      </c>
      <c r="G382" t="str">
        <f>IF('ENTRADAS-BASE'!F380="","",'ENTRADAS-BASE'!F380)</f>
        <v/>
      </c>
      <c r="H382" t="str">
        <f>IF('ENTRADAS-BASE'!G380="","",'ENTRADAS-BASE'!G380)</f>
        <v/>
      </c>
      <c r="I382" t="str">
        <f>IF('ENTRADAS-BASE'!H380="","",'ENTRADAS-BASE'!H380)</f>
        <v/>
      </c>
      <c r="J382" t="str">
        <f>IF('ENTRADAS-BASE'!I380="","",'ENTRADAS-BASE'!I380)</f>
        <v/>
      </c>
      <c r="K382" s="5" t="str">
        <f>IF('ENTRADAS-BASE'!J380="","",'ENTRADAS-BASE'!J380)</f>
        <v/>
      </c>
      <c r="L3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3" spans="2:12" x14ac:dyDescent="0.3">
      <c r="B383" t="str">
        <f>IF('ENTRADAS-BASE'!A381="","",'ENTRADAS-BASE'!A381)</f>
        <v/>
      </c>
      <c r="C383" t="str">
        <f>IF('ENTRADAS-BASE'!B381="","",'ENTRADAS-BASE'!B381)</f>
        <v/>
      </c>
      <c r="D383" t="str">
        <f>IF('ENTRADAS-BASE'!C381="","",'ENTRADAS-BASE'!C381)</f>
        <v/>
      </c>
      <c r="E383" s="7" t="str">
        <f>IF('ENTRADAS-BASE'!D381="","",'ENTRADAS-BASE'!D381)</f>
        <v/>
      </c>
      <c r="F383" s="6" t="str">
        <f>IF('ENTRADAS-BASE'!E381="","",'ENTRADAS-BASE'!E381)</f>
        <v/>
      </c>
      <c r="G383" t="str">
        <f>IF('ENTRADAS-BASE'!F381="","",'ENTRADAS-BASE'!F381)</f>
        <v/>
      </c>
      <c r="H383" t="str">
        <f>IF('ENTRADAS-BASE'!G381="","",'ENTRADAS-BASE'!G381)</f>
        <v/>
      </c>
      <c r="I383" t="str">
        <f>IF('ENTRADAS-BASE'!H381="","",'ENTRADAS-BASE'!H381)</f>
        <v/>
      </c>
      <c r="J383" t="str">
        <f>IF('ENTRADAS-BASE'!I381="","",'ENTRADAS-BASE'!I381)</f>
        <v/>
      </c>
      <c r="K383" s="5" t="str">
        <f>IF('ENTRADAS-BASE'!J381="","",'ENTRADAS-BASE'!J381)</f>
        <v/>
      </c>
      <c r="L3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4" spans="2:12" x14ac:dyDescent="0.3">
      <c r="B384" t="str">
        <f>IF('ENTRADAS-BASE'!A382="","",'ENTRADAS-BASE'!A382)</f>
        <v/>
      </c>
      <c r="C384" t="str">
        <f>IF('ENTRADAS-BASE'!B382="","",'ENTRADAS-BASE'!B382)</f>
        <v/>
      </c>
      <c r="D384" t="str">
        <f>IF('ENTRADAS-BASE'!C382="","",'ENTRADAS-BASE'!C382)</f>
        <v/>
      </c>
      <c r="E384" s="7" t="str">
        <f>IF('ENTRADAS-BASE'!D382="","",'ENTRADAS-BASE'!D382)</f>
        <v/>
      </c>
      <c r="F384" s="6" t="str">
        <f>IF('ENTRADAS-BASE'!E382="","",'ENTRADAS-BASE'!E382)</f>
        <v/>
      </c>
      <c r="G384" t="str">
        <f>IF('ENTRADAS-BASE'!F382="","",'ENTRADAS-BASE'!F382)</f>
        <v/>
      </c>
      <c r="H384" t="str">
        <f>IF('ENTRADAS-BASE'!G382="","",'ENTRADAS-BASE'!G382)</f>
        <v/>
      </c>
      <c r="I384" t="str">
        <f>IF('ENTRADAS-BASE'!H382="","",'ENTRADAS-BASE'!H382)</f>
        <v/>
      </c>
      <c r="J384" t="str">
        <f>IF('ENTRADAS-BASE'!I382="","",'ENTRADAS-BASE'!I382)</f>
        <v/>
      </c>
      <c r="K384" s="5" t="str">
        <f>IF('ENTRADAS-BASE'!J382="","",'ENTRADAS-BASE'!J382)</f>
        <v/>
      </c>
      <c r="L3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5" spans="2:12" x14ac:dyDescent="0.3">
      <c r="B385" t="str">
        <f>IF('ENTRADAS-BASE'!A383="","",'ENTRADAS-BASE'!A383)</f>
        <v/>
      </c>
      <c r="C385" t="str">
        <f>IF('ENTRADAS-BASE'!B383="","",'ENTRADAS-BASE'!B383)</f>
        <v/>
      </c>
      <c r="D385" t="str">
        <f>IF('ENTRADAS-BASE'!C383="","",'ENTRADAS-BASE'!C383)</f>
        <v/>
      </c>
      <c r="E385" s="7" t="str">
        <f>IF('ENTRADAS-BASE'!D383="","",'ENTRADAS-BASE'!D383)</f>
        <v/>
      </c>
      <c r="F385" s="6" t="str">
        <f>IF('ENTRADAS-BASE'!E383="","",'ENTRADAS-BASE'!E383)</f>
        <v/>
      </c>
      <c r="G385" t="str">
        <f>IF('ENTRADAS-BASE'!F383="","",'ENTRADAS-BASE'!F383)</f>
        <v/>
      </c>
      <c r="H385" t="str">
        <f>IF('ENTRADAS-BASE'!G383="","",'ENTRADAS-BASE'!G383)</f>
        <v/>
      </c>
      <c r="I385" t="str">
        <f>IF('ENTRADAS-BASE'!H383="","",'ENTRADAS-BASE'!H383)</f>
        <v/>
      </c>
      <c r="J385" t="str">
        <f>IF('ENTRADAS-BASE'!I383="","",'ENTRADAS-BASE'!I383)</f>
        <v/>
      </c>
      <c r="K385" s="5" t="str">
        <f>IF('ENTRADAS-BASE'!J383="","",'ENTRADAS-BASE'!J383)</f>
        <v/>
      </c>
      <c r="L3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6" spans="2:12" x14ac:dyDescent="0.3">
      <c r="B386" t="str">
        <f>IF('ENTRADAS-BASE'!A384="","",'ENTRADAS-BASE'!A384)</f>
        <v/>
      </c>
      <c r="C386" t="str">
        <f>IF('ENTRADAS-BASE'!B384="","",'ENTRADAS-BASE'!B384)</f>
        <v/>
      </c>
      <c r="D386" t="str">
        <f>IF('ENTRADAS-BASE'!C384="","",'ENTRADAS-BASE'!C384)</f>
        <v/>
      </c>
      <c r="E386" s="7" t="str">
        <f>IF('ENTRADAS-BASE'!D384="","",'ENTRADAS-BASE'!D384)</f>
        <v/>
      </c>
      <c r="F386" s="6" t="str">
        <f>IF('ENTRADAS-BASE'!E384="","",'ENTRADAS-BASE'!E384)</f>
        <v/>
      </c>
      <c r="G386" t="str">
        <f>IF('ENTRADAS-BASE'!F384="","",'ENTRADAS-BASE'!F384)</f>
        <v/>
      </c>
      <c r="H386" t="str">
        <f>IF('ENTRADAS-BASE'!G384="","",'ENTRADAS-BASE'!G384)</f>
        <v/>
      </c>
      <c r="I386" t="str">
        <f>IF('ENTRADAS-BASE'!H384="","",'ENTRADAS-BASE'!H384)</f>
        <v/>
      </c>
      <c r="J386" t="str">
        <f>IF('ENTRADAS-BASE'!I384="","",'ENTRADAS-BASE'!I384)</f>
        <v/>
      </c>
      <c r="K386" s="5" t="str">
        <f>IF('ENTRADAS-BASE'!J384="","",'ENTRADAS-BASE'!J384)</f>
        <v/>
      </c>
      <c r="L3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7" spans="2:12" x14ac:dyDescent="0.3">
      <c r="B387" t="str">
        <f>IF('ENTRADAS-BASE'!A385="","",'ENTRADAS-BASE'!A385)</f>
        <v/>
      </c>
      <c r="C387" t="str">
        <f>IF('ENTRADAS-BASE'!B385="","",'ENTRADAS-BASE'!B385)</f>
        <v/>
      </c>
      <c r="D387" t="str">
        <f>IF('ENTRADAS-BASE'!C385="","",'ENTRADAS-BASE'!C385)</f>
        <v/>
      </c>
      <c r="E387" s="7" t="str">
        <f>IF('ENTRADAS-BASE'!D385="","",'ENTRADAS-BASE'!D385)</f>
        <v/>
      </c>
      <c r="F387" s="6" t="str">
        <f>IF('ENTRADAS-BASE'!E385="","",'ENTRADAS-BASE'!E385)</f>
        <v/>
      </c>
      <c r="G387" t="str">
        <f>IF('ENTRADAS-BASE'!F385="","",'ENTRADAS-BASE'!F385)</f>
        <v/>
      </c>
      <c r="H387" t="str">
        <f>IF('ENTRADAS-BASE'!G385="","",'ENTRADAS-BASE'!G385)</f>
        <v/>
      </c>
      <c r="I387" t="str">
        <f>IF('ENTRADAS-BASE'!H385="","",'ENTRADAS-BASE'!H385)</f>
        <v/>
      </c>
      <c r="J387" t="str">
        <f>IF('ENTRADAS-BASE'!I385="","",'ENTRADAS-BASE'!I385)</f>
        <v/>
      </c>
      <c r="K387" s="5" t="str">
        <f>IF('ENTRADAS-BASE'!J385="","",'ENTRADAS-BASE'!J385)</f>
        <v/>
      </c>
      <c r="L3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8" spans="2:12" x14ac:dyDescent="0.3">
      <c r="B388" t="str">
        <f>IF('ENTRADAS-BASE'!A386="","",'ENTRADAS-BASE'!A386)</f>
        <v/>
      </c>
      <c r="C388" t="str">
        <f>IF('ENTRADAS-BASE'!B386="","",'ENTRADAS-BASE'!B386)</f>
        <v/>
      </c>
      <c r="D388" t="str">
        <f>IF('ENTRADAS-BASE'!C386="","",'ENTRADAS-BASE'!C386)</f>
        <v/>
      </c>
      <c r="E388" s="7" t="str">
        <f>IF('ENTRADAS-BASE'!D386="","",'ENTRADAS-BASE'!D386)</f>
        <v/>
      </c>
      <c r="F388" s="6" t="str">
        <f>IF('ENTRADAS-BASE'!E386="","",'ENTRADAS-BASE'!E386)</f>
        <v/>
      </c>
      <c r="G388" t="str">
        <f>IF('ENTRADAS-BASE'!F386="","",'ENTRADAS-BASE'!F386)</f>
        <v/>
      </c>
      <c r="H388" t="str">
        <f>IF('ENTRADAS-BASE'!G386="","",'ENTRADAS-BASE'!G386)</f>
        <v/>
      </c>
      <c r="I388" t="str">
        <f>IF('ENTRADAS-BASE'!H386="","",'ENTRADAS-BASE'!H386)</f>
        <v/>
      </c>
      <c r="J388" t="str">
        <f>IF('ENTRADAS-BASE'!I386="","",'ENTRADAS-BASE'!I386)</f>
        <v/>
      </c>
      <c r="K388" s="5" t="str">
        <f>IF('ENTRADAS-BASE'!J386="","",'ENTRADAS-BASE'!J386)</f>
        <v/>
      </c>
      <c r="L3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9" spans="2:12" x14ac:dyDescent="0.3">
      <c r="B389" t="str">
        <f>IF('ENTRADAS-BASE'!A387="","",'ENTRADAS-BASE'!A387)</f>
        <v/>
      </c>
      <c r="C389" t="str">
        <f>IF('ENTRADAS-BASE'!B387="","",'ENTRADAS-BASE'!B387)</f>
        <v/>
      </c>
      <c r="D389" t="str">
        <f>IF('ENTRADAS-BASE'!C387="","",'ENTRADAS-BASE'!C387)</f>
        <v/>
      </c>
      <c r="E389" s="7" t="str">
        <f>IF('ENTRADAS-BASE'!D387="","",'ENTRADAS-BASE'!D387)</f>
        <v/>
      </c>
      <c r="F389" s="6" t="str">
        <f>IF('ENTRADAS-BASE'!E387="","",'ENTRADAS-BASE'!E387)</f>
        <v/>
      </c>
      <c r="G389" t="str">
        <f>IF('ENTRADAS-BASE'!F387="","",'ENTRADAS-BASE'!F387)</f>
        <v/>
      </c>
      <c r="H389" t="str">
        <f>IF('ENTRADAS-BASE'!G387="","",'ENTRADAS-BASE'!G387)</f>
        <v/>
      </c>
      <c r="I389" t="str">
        <f>IF('ENTRADAS-BASE'!H387="","",'ENTRADAS-BASE'!H387)</f>
        <v/>
      </c>
      <c r="J389" t="str">
        <f>IF('ENTRADAS-BASE'!I387="","",'ENTRADAS-BASE'!I387)</f>
        <v/>
      </c>
      <c r="K389" s="5" t="str">
        <f>IF('ENTRADAS-BASE'!J387="","",'ENTRADAS-BASE'!J387)</f>
        <v/>
      </c>
      <c r="L3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0" spans="2:12" x14ac:dyDescent="0.3">
      <c r="B390" t="str">
        <f>IF('ENTRADAS-BASE'!A388="","",'ENTRADAS-BASE'!A388)</f>
        <v/>
      </c>
      <c r="C390" t="str">
        <f>IF('ENTRADAS-BASE'!B388="","",'ENTRADAS-BASE'!B388)</f>
        <v/>
      </c>
      <c r="D390" t="str">
        <f>IF('ENTRADAS-BASE'!C388="","",'ENTRADAS-BASE'!C388)</f>
        <v/>
      </c>
      <c r="E390" s="7" t="str">
        <f>IF('ENTRADAS-BASE'!D388="","",'ENTRADAS-BASE'!D388)</f>
        <v/>
      </c>
      <c r="F390" s="6" t="str">
        <f>IF('ENTRADAS-BASE'!E388="","",'ENTRADAS-BASE'!E388)</f>
        <v/>
      </c>
      <c r="G390" t="str">
        <f>IF('ENTRADAS-BASE'!F388="","",'ENTRADAS-BASE'!F388)</f>
        <v/>
      </c>
      <c r="H390" t="str">
        <f>IF('ENTRADAS-BASE'!G388="","",'ENTRADAS-BASE'!G388)</f>
        <v/>
      </c>
      <c r="I390" t="str">
        <f>IF('ENTRADAS-BASE'!H388="","",'ENTRADAS-BASE'!H388)</f>
        <v/>
      </c>
      <c r="J390" t="str">
        <f>IF('ENTRADAS-BASE'!I388="","",'ENTRADAS-BASE'!I388)</f>
        <v/>
      </c>
      <c r="K390" s="5" t="str">
        <f>IF('ENTRADAS-BASE'!J388="","",'ENTRADAS-BASE'!J388)</f>
        <v/>
      </c>
      <c r="L3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1" spans="2:12" x14ac:dyDescent="0.3">
      <c r="B391" t="str">
        <f>IF('ENTRADAS-BASE'!A389="","",'ENTRADAS-BASE'!A389)</f>
        <v/>
      </c>
      <c r="C391" t="str">
        <f>IF('ENTRADAS-BASE'!B389="","",'ENTRADAS-BASE'!B389)</f>
        <v/>
      </c>
      <c r="D391" t="str">
        <f>IF('ENTRADAS-BASE'!C389="","",'ENTRADAS-BASE'!C389)</f>
        <v/>
      </c>
      <c r="E391" s="7" t="str">
        <f>IF('ENTRADAS-BASE'!D389="","",'ENTRADAS-BASE'!D389)</f>
        <v/>
      </c>
      <c r="F391" s="6" t="str">
        <f>IF('ENTRADAS-BASE'!E389="","",'ENTRADAS-BASE'!E389)</f>
        <v/>
      </c>
      <c r="G391" t="str">
        <f>IF('ENTRADAS-BASE'!F389="","",'ENTRADAS-BASE'!F389)</f>
        <v/>
      </c>
      <c r="H391" t="str">
        <f>IF('ENTRADAS-BASE'!G389="","",'ENTRADAS-BASE'!G389)</f>
        <v/>
      </c>
      <c r="I391" t="str">
        <f>IF('ENTRADAS-BASE'!H389="","",'ENTRADAS-BASE'!H389)</f>
        <v/>
      </c>
      <c r="J391" t="str">
        <f>IF('ENTRADAS-BASE'!I389="","",'ENTRADAS-BASE'!I389)</f>
        <v/>
      </c>
      <c r="K391" s="5" t="str">
        <f>IF('ENTRADAS-BASE'!J389="","",'ENTRADAS-BASE'!J389)</f>
        <v/>
      </c>
      <c r="L3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2" spans="2:12" x14ac:dyDescent="0.3">
      <c r="B392" t="str">
        <f>IF('ENTRADAS-BASE'!A390="","",'ENTRADAS-BASE'!A390)</f>
        <v/>
      </c>
      <c r="C392" t="str">
        <f>IF('ENTRADAS-BASE'!B390="","",'ENTRADAS-BASE'!B390)</f>
        <v/>
      </c>
      <c r="D392" t="str">
        <f>IF('ENTRADAS-BASE'!C390="","",'ENTRADAS-BASE'!C390)</f>
        <v/>
      </c>
      <c r="E392" s="7" t="str">
        <f>IF('ENTRADAS-BASE'!D390="","",'ENTRADAS-BASE'!D390)</f>
        <v/>
      </c>
      <c r="F392" s="6" t="str">
        <f>IF('ENTRADAS-BASE'!E390="","",'ENTRADAS-BASE'!E390)</f>
        <v/>
      </c>
      <c r="G392" t="str">
        <f>IF('ENTRADAS-BASE'!F390="","",'ENTRADAS-BASE'!F390)</f>
        <v/>
      </c>
      <c r="H392" t="str">
        <f>IF('ENTRADAS-BASE'!G390="","",'ENTRADAS-BASE'!G390)</f>
        <v/>
      </c>
      <c r="I392" t="str">
        <f>IF('ENTRADAS-BASE'!H390="","",'ENTRADAS-BASE'!H390)</f>
        <v/>
      </c>
      <c r="J392" t="str">
        <f>IF('ENTRADAS-BASE'!I390="","",'ENTRADAS-BASE'!I390)</f>
        <v/>
      </c>
      <c r="K392" s="5" t="str">
        <f>IF('ENTRADAS-BASE'!J390="","",'ENTRADAS-BASE'!J390)</f>
        <v/>
      </c>
      <c r="L3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3" spans="2:12" x14ac:dyDescent="0.3">
      <c r="B393" t="str">
        <f>IF('ENTRADAS-BASE'!A391="","",'ENTRADAS-BASE'!A391)</f>
        <v/>
      </c>
      <c r="C393" t="str">
        <f>IF('ENTRADAS-BASE'!B391="","",'ENTRADAS-BASE'!B391)</f>
        <v/>
      </c>
      <c r="D393" t="str">
        <f>IF('ENTRADAS-BASE'!C391="","",'ENTRADAS-BASE'!C391)</f>
        <v/>
      </c>
      <c r="E393" s="7" t="str">
        <f>IF('ENTRADAS-BASE'!D391="","",'ENTRADAS-BASE'!D391)</f>
        <v/>
      </c>
      <c r="F393" s="6" t="str">
        <f>IF('ENTRADAS-BASE'!E391="","",'ENTRADAS-BASE'!E391)</f>
        <v/>
      </c>
      <c r="G393" t="str">
        <f>IF('ENTRADAS-BASE'!F391="","",'ENTRADAS-BASE'!F391)</f>
        <v/>
      </c>
      <c r="H393" t="str">
        <f>IF('ENTRADAS-BASE'!G391="","",'ENTRADAS-BASE'!G391)</f>
        <v/>
      </c>
      <c r="I393" t="str">
        <f>IF('ENTRADAS-BASE'!H391="","",'ENTRADAS-BASE'!H391)</f>
        <v/>
      </c>
      <c r="J393" t="str">
        <f>IF('ENTRADAS-BASE'!I391="","",'ENTRADAS-BASE'!I391)</f>
        <v/>
      </c>
      <c r="K393" s="5" t="str">
        <f>IF('ENTRADAS-BASE'!J391="","",'ENTRADAS-BASE'!J391)</f>
        <v/>
      </c>
      <c r="L3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4" spans="2:12" x14ac:dyDescent="0.3">
      <c r="B394" t="str">
        <f>IF('ENTRADAS-BASE'!A392="","",'ENTRADAS-BASE'!A392)</f>
        <v/>
      </c>
      <c r="C394" t="str">
        <f>IF('ENTRADAS-BASE'!B392="","",'ENTRADAS-BASE'!B392)</f>
        <v/>
      </c>
      <c r="D394" t="str">
        <f>IF('ENTRADAS-BASE'!C392="","",'ENTRADAS-BASE'!C392)</f>
        <v/>
      </c>
      <c r="E394" s="7" t="str">
        <f>IF('ENTRADAS-BASE'!D392="","",'ENTRADAS-BASE'!D392)</f>
        <v/>
      </c>
      <c r="F394" s="6" t="str">
        <f>IF('ENTRADAS-BASE'!E392="","",'ENTRADAS-BASE'!E392)</f>
        <v/>
      </c>
      <c r="G394" t="str">
        <f>IF('ENTRADAS-BASE'!F392="","",'ENTRADAS-BASE'!F392)</f>
        <v/>
      </c>
      <c r="H394" t="str">
        <f>IF('ENTRADAS-BASE'!G392="","",'ENTRADAS-BASE'!G392)</f>
        <v/>
      </c>
      <c r="I394" t="str">
        <f>IF('ENTRADAS-BASE'!H392="","",'ENTRADAS-BASE'!H392)</f>
        <v/>
      </c>
      <c r="J394" t="str">
        <f>IF('ENTRADAS-BASE'!I392="","",'ENTRADAS-BASE'!I392)</f>
        <v/>
      </c>
      <c r="K394" s="5" t="str">
        <f>IF('ENTRADAS-BASE'!J392="","",'ENTRADAS-BASE'!J392)</f>
        <v/>
      </c>
      <c r="L3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5" spans="2:12" x14ac:dyDescent="0.3">
      <c r="B395" t="str">
        <f>IF('ENTRADAS-BASE'!A393="","",'ENTRADAS-BASE'!A393)</f>
        <v/>
      </c>
      <c r="C395" t="str">
        <f>IF('ENTRADAS-BASE'!B393="","",'ENTRADAS-BASE'!B393)</f>
        <v/>
      </c>
      <c r="D395" t="str">
        <f>IF('ENTRADAS-BASE'!C393="","",'ENTRADAS-BASE'!C393)</f>
        <v/>
      </c>
      <c r="E395" s="7" t="str">
        <f>IF('ENTRADAS-BASE'!D393="","",'ENTRADAS-BASE'!D393)</f>
        <v/>
      </c>
      <c r="F395" s="6" t="str">
        <f>IF('ENTRADAS-BASE'!E393="","",'ENTRADAS-BASE'!E393)</f>
        <v/>
      </c>
      <c r="G395" t="str">
        <f>IF('ENTRADAS-BASE'!F393="","",'ENTRADAS-BASE'!F393)</f>
        <v/>
      </c>
      <c r="H395" t="str">
        <f>IF('ENTRADAS-BASE'!G393="","",'ENTRADAS-BASE'!G393)</f>
        <v/>
      </c>
      <c r="I395" t="str">
        <f>IF('ENTRADAS-BASE'!H393="","",'ENTRADAS-BASE'!H393)</f>
        <v/>
      </c>
      <c r="J395" t="str">
        <f>IF('ENTRADAS-BASE'!I393="","",'ENTRADAS-BASE'!I393)</f>
        <v/>
      </c>
      <c r="K395" s="5" t="str">
        <f>IF('ENTRADAS-BASE'!J393="","",'ENTRADAS-BASE'!J393)</f>
        <v/>
      </c>
      <c r="L3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6" spans="2:12" x14ac:dyDescent="0.3">
      <c r="B396" t="str">
        <f>IF('ENTRADAS-BASE'!A394="","",'ENTRADAS-BASE'!A394)</f>
        <v/>
      </c>
      <c r="C396" t="str">
        <f>IF('ENTRADAS-BASE'!B394="","",'ENTRADAS-BASE'!B394)</f>
        <v/>
      </c>
      <c r="D396" t="str">
        <f>IF('ENTRADAS-BASE'!C394="","",'ENTRADAS-BASE'!C394)</f>
        <v/>
      </c>
      <c r="E396" s="7" t="str">
        <f>IF('ENTRADAS-BASE'!D394="","",'ENTRADAS-BASE'!D394)</f>
        <v/>
      </c>
      <c r="F396" s="6" t="str">
        <f>IF('ENTRADAS-BASE'!E394="","",'ENTRADAS-BASE'!E394)</f>
        <v/>
      </c>
      <c r="G396" t="str">
        <f>IF('ENTRADAS-BASE'!F394="","",'ENTRADAS-BASE'!F394)</f>
        <v/>
      </c>
      <c r="H396" t="str">
        <f>IF('ENTRADAS-BASE'!G394="","",'ENTRADAS-BASE'!G394)</f>
        <v/>
      </c>
      <c r="I396" t="str">
        <f>IF('ENTRADAS-BASE'!H394="","",'ENTRADAS-BASE'!H394)</f>
        <v/>
      </c>
      <c r="J396" t="str">
        <f>IF('ENTRADAS-BASE'!I394="","",'ENTRADAS-BASE'!I394)</f>
        <v/>
      </c>
      <c r="K396" s="5" t="str">
        <f>IF('ENTRADAS-BASE'!J394="","",'ENTRADAS-BASE'!J394)</f>
        <v/>
      </c>
      <c r="L3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7" spans="2:12" x14ac:dyDescent="0.3">
      <c r="B397" t="str">
        <f>IF('ENTRADAS-BASE'!A395="","",'ENTRADAS-BASE'!A395)</f>
        <v/>
      </c>
      <c r="C397" t="str">
        <f>IF('ENTRADAS-BASE'!B395="","",'ENTRADAS-BASE'!B395)</f>
        <v/>
      </c>
      <c r="D397" t="str">
        <f>IF('ENTRADAS-BASE'!C395="","",'ENTRADAS-BASE'!C395)</f>
        <v/>
      </c>
      <c r="E397" s="7" t="str">
        <f>IF('ENTRADAS-BASE'!D395="","",'ENTRADAS-BASE'!D395)</f>
        <v/>
      </c>
      <c r="F397" s="6" t="str">
        <f>IF('ENTRADAS-BASE'!E395="","",'ENTRADAS-BASE'!E395)</f>
        <v/>
      </c>
      <c r="G397" t="str">
        <f>IF('ENTRADAS-BASE'!F395="","",'ENTRADAS-BASE'!F395)</f>
        <v/>
      </c>
      <c r="H397" t="str">
        <f>IF('ENTRADAS-BASE'!G395="","",'ENTRADAS-BASE'!G395)</f>
        <v/>
      </c>
      <c r="I397" t="str">
        <f>IF('ENTRADAS-BASE'!H395="","",'ENTRADAS-BASE'!H395)</f>
        <v/>
      </c>
      <c r="J397" t="str">
        <f>IF('ENTRADAS-BASE'!I395="","",'ENTRADAS-BASE'!I395)</f>
        <v/>
      </c>
      <c r="K397" s="5" t="str">
        <f>IF('ENTRADAS-BASE'!J395="","",'ENTRADAS-BASE'!J395)</f>
        <v/>
      </c>
      <c r="L3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8" spans="2:12" x14ac:dyDescent="0.3">
      <c r="B398" t="str">
        <f>IF('ENTRADAS-BASE'!A396="","",'ENTRADAS-BASE'!A396)</f>
        <v/>
      </c>
      <c r="C398" t="str">
        <f>IF('ENTRADAS-BASE'!B396="","",'ENTRADAS-BASE'!B396)</f>
        <v/>
      </c>
      <c r="D398" t="str">
        <f>IF('ENTRADAS-BASE'!C396="","",'ENTRADAS-BASE'!C396)</f>
        <v/>
      </c>
      <c r="E398" s="7" t="str">
        <f>IF('ENTRADAS-BASE'!D396="","",'ENTRADAS-BASE'!D396)</f>
        <v/>
      </c>
      <c r="F398" s="6" t="str">
        <f>IF('ENTRADAS-BASE'!E396="","",'ENTRADAS-BASE'!E396)</f>
        <v/>
      </c>
      <c r="G398" t="str">
        <f>IF('ENTRADAS-BASE'!F396="","",'ENTRADAS-BASE'!F396)</f>
        <v/>
      </c>
      <c r="H398" t="str">
        <f>IF('ENTRADAS-BASE'!G396="","",'ENTRADAS-BASE'!G396)</f>
        <v/>
      </c>
      <c r="I398" t="str">
        <f>IF('ENTRADAS-BASE'!H396="","",'ENTRADAS-BASE'!H396)</f>
        <v/>
      </c>
      <c r="J398" t="str">
        <f>IF('ENTRADAS-BASE'!I396="","",'ENTRADAS-BASE'!I396)</f>
        <v/>
      </c>
      <c r="K398" s="5" t="str">
        <f>IF('ENTRADAS-BASE'!J396="","",'ENTRADAS-BASE'!J396)</f>
        <v/>
      </c>
      <c r="L3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9" spans="2:12" x14ac:dyDescent="0.3">
      <c r="B399" t="str">
        <f>IF('ENTRADAS-BASE'!A397="","",'ENTRADAS-BASE'!A397)</f>
        <v/>
      </c>
      <c r="C399" t="str">
        <f>IF('ENTRADAS-BASE'!B397="","",'ENTRADAS-BASE'!B397)</f>
        <v/>
      </c>
      <c r="D399" t="str">
        <f>IF('ENTRADAS-BASE'!C397="","",'ENTRADAS-BASE'!C397)</f>
        <v/>
      </c>
      <c r="E399" s="7" t="str">
        <f>IF('ENTRADAS-BASE'!D397="","",'ENTRADAS-BASE'!D397)</f>
        <v/>
      </c>
      <c r="F399" s="6" t="str">
        <f>IF('ENTRADAS-BASE'!E397="","",'ENTRADAS-BASE'!E397)</f>
        <v/>
      </c>
      <c r="G399" t="str">
        <f>IF('ENTRADAS-BASE'!F397="","",'ENTRADAS-BASE'!F397)</f>
        <v/>
      </c>
      <c r="H399" t="str">
        <f>IF('ENTRADAS-BASE'!G397="","",'ENTRADAS-BASE'!G397)</f>
        <v/>
      </c>
      <c r="I399" t="str">
        <f>IF('ENTRADAS-BASE'!H397="","",'ENTRADAS-BASE'!H397)</f>
        <v/>
      </c>
      <c r="J399" t="str">
        <f>IF('ENTRADAS-BASE'!I397="","",'ENTRADAS-BASE'!I397)</f>
        <v/>
      </c>
      <c r="K399" s="5" t="str">
        <f>IF('ENTRADAS-BASE'!J397="","",'ENTRADAS-BASE'!J397)</f>
        <v/>
      </c>
      <c r="L3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0" spans="2:12" x14ac:dyDescent="0.3">
      <c r="B400" t="str">
        <f>IF('ENTRADAS-BASE'!A398="","",'ENTRADAS-BASE'!A398)</f>
        <v/>
      </c>
      <c r="C400" t="str">
        <f>IF('ENTRADAS-BASE'!B398="","",'ENTRADAS-BASE'!B398)</f>
        <v/>
      </c>
      <c r="D400" t="str">
        <f>IF('ENTRADAS-BASE'!C398="","",'ENTRADAS-BASE'!C398)</f>
        <v/>
      </c>
      <c r="E400" s="7" t="str">
        <f>IF('ENTRADAS-BASE'!D398="","",'ENTRADAS-BASE'!D398)</f>
        <v/>
      </c>
      <c r="F400" s="6" t="str">
        <f>IF('ENTRADAS-BASE'!E398="","",'ENTRADAS-BASE'!E398)</f>
        <v/>
      </c>
      <c r="G400" t="str">
        <f>IF('ENTRADAS-BASE'!F398="","",'ENTRADAS-BASE'!F398)</f>
        <v/>
      </c>
      <c r="H400" t="str">
        <f>IF('ENTRADAS-BASE'!G398="","",'ENTRADAS-BASE'!G398)</f>
        <v/>
      </c>
      <c r="I400" t="str">
        <f>IF('ENTRADAS-BASE'!H398="","",'ENTRADAS-BASE'!H398)</f>
        <v/>
      </c>
      <c r="J400" t="str">
        <f>IF('ENTRADAS-BASE'!I398="","",'ENTRADAS-BASE'!I398)</f>
        <v/>
      </c>
      <c r="K400" s="5" t="str">
        <f>IF('ENTRADAS-BASE'!J398="","",'ENTRADAS-BASE'!J398)</f>
        <v/>
      </c>
      <c r="L4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1" spans="2:12" x14ac:dyDescent="0.3">
      <c r="B401" t="str">
        <f>IF('ENTRADAS-BASE'!A399="","",'ENTRADAS-BASE'!A399)</f>
        <v/>
      </c>
      <c r="C401" t="str">
        <f>IF('ENTRADAS-BASE'!B399="","",'ENTRADAS-BASE'!B399)</f>
        <v/>
      </c>
      <c r="D401" t="str">
        <f>IF('ENTRADAS-BASE'!C399="","",'ENTRADAS-BASE'!C399)</f>
        <v/>
      </c>
      <c r="E401" s="7" t="str">
        <f>IF('ENTRADAS-BASE'!D399="","",'ENTRADAS-BASE'!D399)</f>
        <v/>
      </c>
      <c r="F401" s="6" t="str">
        <f>IF('ENTRADAS-BASE'!E399="","",'ENTRADAS-BASE'!E399)</f>
        <v/>
      </c>
      <c r="G401" t="str">
        <f>IF('ENTRADAS-BASE'!F399="","",'ENTRADAS-BASE'!F399)</f>
        <v/>
      </c>
      <c r="H401" t="str">
        <f>IF('ENTRADAS-BASE'!G399="","",'ENTRADAS-BASE'!G399)</f>
        <v/>
      </c>
      <c r="I401" t="str">
        <f>IF('ENTRADAS-BASE'!H399="","",'ENTRADAS-BASE'!H399)</f>
        <v/>
      </c>
      <c r="J401" t="str">
        <f>IF('ENTRADAS-BASE'!I399="","",'ENTRADAS-BASE'!I399)</f>
        <v/>
      </c>
      <c r="K401" s="5" t="str">
        <f>IF('ENTRADAS-BASE'!J399="","",'ENTRADAS-BASE'!J399)</f>
        <v/>
      </c>
      <c r="L4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2" spans="2:12" x14ac:dyDescent="0.3">
      <c r="B402" t="str">
        <f>IF('ENTRADAS-BASE'!A400="","",'ENTRADAS-BASE'!A400)</f>
        <v/>
      </c>
      <c r="C402" t="str">
        <f>IF('ENTRADAS-BASE'!B400="","",'ENTRADAS-BASE'!B400)</f>
        <v/>
      </c>
      <c r="D402" t="str">
        <f>IF('ENTRADAS-BASE'!C400="","",'ENTRADAS-BASE'!C400)</f>
        <v/>
      </c>
      <c r="E402" s="7" t="str">
        <f>IF('ENTRADAS-BASE'!D400="","",'ENTRADAS-BASE'!D400)</f>
        <v/>
      </c>
      <c r="F402" s="6" t="str">
        <f>IF('ENTRADAS-BASE'!E400="","",'ENTRADAS-BASE'!E400)</f>
        <v/>
      </c>
      <c r="G402" t="str">
        <f>IF('ENTRADAS-BASE'!F400="","",'ENTRADAS-BASE'!F400)</f>
        <v/>
      </c>
      <c r="H402" t="str">
        <f>IF('ENTRADAS-BASE'!G400="","",'ENTRADAS-BASE'!G400)</f>
        <v/>
      </c>
      <c r="I402" t="str">
        <f>IF('ENTRADAS-BASE'!H400="","",'ENTRADAS-BASE'!H400)</f>
        <v/>
      </c>
      <c r="J402" t="str">
        <f>IF('ENTRADAS-BASE'!I400="","",'ENTRADAS-BASE'!I400)</f>
        <v/>
      </c>
      <c r="K402" s="5" t="str">
        <f>IF('ENTRADAS-BASE'!J400="","",'ENTRADAS-BASE'!J400)</f>
        <v/>
      </c>
      <c r="L4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3" spans="2:12" x14ac:dyDescent="0.3">
      <c r="B403" t="str">
        <f>IF('ENTRADAS-BASE'!A401="","",'ENTRADAS-BASE'!A401)</f>
        <v/>
      </c>
      <c r="C403" t="str">
        <f>IF('ENTRADAS-BASE'!B401="","",'ENTRADAS-BASE'!B401)</f>
        <v/>
      </c>
      <c r="D403" t="str">
        <f>IF('ENTRADAS-BASE'!C401="","",'ENTRADAS-BASE'!C401)</f>
        <v/>
      </c>
      <c r="E403" s="7" t="str">
        <f>IF('ENTRADAS-BASE'!D401="","",'ENTRADAS-BASE'!D401)</f>
        <v/>
      </c>
      <c r="F403" s="6" t="str">
        <f>IF('ENTRADAS-BASE'!E401="","",'ENTRADAS-BASE'!E401)</f>
        <v/>
      </c>
      <c r="G403" t="str">
        <f>IF('ENTRADAS-BASE'!F401="","",'ENTRADAS-BASE'!F401)</f>
        <v/>
      </c>
      <c r="H403" t="str">
        <f>IF('ENTRADAS-BASE'!G401="","",'ENTRADAS-BASE'!G401)</f>
        <v/>
      </c>
      <c r="I403" t="str">
        <f>IF('ENTRADAS-BASE'!H401="","",'ENTRADAS-BASE'!H401)</f>
        <v/>
      </c>
      <c r="J403" t="str">
        <f>IF('ENTRADAS-BASE'!I401="","",'ENTRADAS-BASE'!I401)</f>
        <v/>
      </c>
      <c r="K403" s="5" t="str">
        <f>IF('ENTRADAS-BASE'!J401="","",'ENTRADAS-BASE'!J401)</f>
        <v/>
      </c>
      <c r="L4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4" spans="2:12" x14ac:dyDescent="0.3">
      <c r="B404" t="str">
        <f>IF('ENTRADAS-BASE'!A402="","",'ENTRADAS-BASE'!A402)</f>
        <v/>
      </c>
      <c r="C404" t="str">
        <f>IF('ENTRADAS-BASE'!B402="","",'ENTRADAS-BASE'!B402)</f>
        <v/>
      </c>
      <c r="D404" t="str">
        <f>IF('ENTRADAS-BASE'!C402="","",'ENTRADAS-BASE'!C402)</f>
        <v/>
      </c>
      <c r="E404" s="7" t="str">
        <f>IF('ENTRADAS-BASE'!D402="","",'ENTRADAS-BASE'!D402)</f>
        <v/>
      </c>
      <c r="F404" s="6" t="str">
        <f>IF('ENTRADAS-BASE'!E402="","",'ENTRADAS-BASE'!E402)</f>
        <v/>
      </c>
      <c r="G404" t="str">
        <f>IF('ENTRADAS-BASE'!F402="","",'ENTRADAS-BASE'!F402)</f>
        <v/>
      </c>
      <c r="H404" t="str">
        <f>IF('ENTRADAS-BASE'!G402="","",'ENTRADAS-BASE'!G402)</f>
        <v/>
      </c>
      <c r="I404" t="str">
        <f>IF('ENTRADAS-BASE'!H402="","",'ENTRADAS-BASE'!H402)</f>
        <v/>
      </c>
      <c r="J404" t="str">
        <f>IF('ENTRADAS-BASE'!I402="","",'ENTRADAS-BASE'!I402)</f>
        <v/>
      </c>
      <c r="K404" s="5" t="str">
        <f>IF('ENTRADAS-BASE'!J402="","",'ENTRADAS-BASE'!J402)</f>
        <v/>
      </c>
      <c r="L4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5" spans="2:12" x14ac:dyDescent="0.3">
      <c r="B405" t="str">
        <f>IF('ENTRADAS-BASE'!A403="","",'ENTRADAS-BASE'!A403)</f>
        <v/>
      </c>
      <c r="C405" t="str">
        <f>IF('ENTRADAS-BASE'!B403="","",'ENTRADAS-BASE'!B403)</f>
        <v/>
      </c>
      <c r="D405" t="str">
        <f>IF('ENTRADAS-BASE'!C403="","",'ENTRADAS-BASE'!C403)</f>
        <v/>
      </c>
      <c r="E405" s="7" t="str">
        <f>IF('ENTRADAS-BASE'!D403="","",'ENTRADAS-BASE'!D403)</f>
        <v/>
      </c>
      <c r="F405" s="6" t="str">
        <f>IF('ENTRADAS-BASE'!E403="","",'ENTRADAS-BASE'!E403)</f>
        <v/>
      </c>
      <c r="G405" t="str">
        <f>IF('ENTRADAS-BASE'!F403="","",'ENTRADAS-BASE'!F403)</f>
        <v/>
      </c>
      <c r="H405" t="str">
        <f>IF('ENTRADAS-BASE'!G403="","",'ENTRADAS-BASE'!G403)</f>
        <v/>
      </c>
      <c r="I405" t="str">
        <f>IF('ENTRADAS-BASE'!H403="","",'ENTRADAS-BASE'!H403)</f>
        <v/>
      </c>
      <c r="J405" t="str">
        <f>IF('ENTRADAS-BASE'!I403="","",'ENTRADAS-BASE'!I403)</f>
        <v/>
      </c>
      <c r="K405" s="5" t="str">
        <f>IF('ENTRADAS-BASE'!J403="","",'ENTRADAS-BASE'!J403)</f>
        <v/>
      </c>
      <c r="L4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6" spans="2:12" x14ac:dyDescent="0.3">
      <c r="B406" t="str">
        <f>IF('ENTRADAS-BASE'!A404="","",'ENTRADAS-BASE'!A404)</f>
        <v/>
      </c>
      <c r="C406" t="str">
        <f>IF('ENTRADAS-BASE'!B404="","",'ENTRADAS-BASE'!B404)</f>
        <v/>
      </c>
      <c r="D406" t="str">
        <f>IF('ENTRADAS-BASE'!C404="","",'ENTRADAS-BASE'!C404)</f>
        <v/>
      </c>
      <c r="E406" s="7" t="str">
        <f>IF('ENTRADAS-BASE'!D404="","",'ENTRADAS-BASE'!D404)</f>
        <v/>
      </c>
      <c r="F406" s="6" t="str">
        <f>IF('ENTRADAS-BASE'!E404="","",'ENTRADAS-BASE'!E404)</f>
        <v/>
      </c>
      <c r="G406" t="str">
        <f>IF('ENTRADAS-BASE'!F404="","",'ENTRADAS-BASE'!F404)</f>
        <v/>
      </c>
      <c r="H406" t="str">
        <f>IF('ENTRADAS-BASE'!G404="","",'ENTRADAS-BASE'!G404)</f>
        <v/>
      </c>
      <c r="I406" t="str">
        <f>IF('ENTRADAS-BASE'!H404="","",'ENTRADAS-BASE'!H404)</f>
        <v/>
      </c>
      <c r="J406" t="str">
        <f>IF('ENTRADAS-BASE'!I404="","",'ENTRADAS-BASE'!I404)</f>
        <v/>
      </c>
      <c r="K406" s="5" t="str">
        <f>IF('ENTRADAS-BASE'!J404="","",'ENTRADAS-BASE'!J404)</f>
        <v/>
      </c>
      <c r="L4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7" spans="2:12" x14ac:dyDescent="0.3">
      <c r="B407" t="str">
        <f>IF('ENTRADAS-BASE'!A405="","",'ENTRADAS-BASE'!A405)</f>
        <v/>
      </c>
      <c r="C407" t="str">
        <f>IF('ENTRADAS-BASE'!B405="","",'ENTRADAS-BASE'!B405)</f>
        <v/>
      </c>
      <c r="D407" t="str">
        <f>IF('ENTRADAS-BASE'!C405="","",'ENTRADAS-BASE'!C405)</f>
        <v/>
      </c>
      <c r="E407" s="7" t="str">
        <f>IF('ENTRADAS-BASE'!D405="","",'ENTRADAS-BASE'!D405)</f>
        <v/>
      </c>
      <c r="F407" s="6" t="str">
        <f>IF('ENTRADAS-BASE'!E405="","",'ENTRADAS-BASE'!E405)</f>
        <v/>
      </c>
      <c r="G407" t="str">
        <f>IF('ENTRADAS-BASE'!F405="","",'ENTRADAS-BASE'!F405)</f>
        <v/>
      </c>
      <c r="H407" t="str">
        <f>IF('ENTRADAS-BASE'!G405="","",'ENTRADAS-BASE'!G405)</f>
        <v/>
      </c>
      <c r="I407" t="str">
        <f>IF('ENTRADAS-BASE'!H405="","",'ENTRADAS-BASE'!H405)</f>
        <v/>
      </c>
      <c r="J407" t="str">
        <f>IF('ENTRADAS-BASE'!I405="","",'ENTRADAS-BASE'!I405)</f>
        <v/>
      </c>
      <c r="K407" s="5" t="str">
        <f>IF('ENTRADAS-BASE'!J405="","",'ENTRADAS-BASE'!J405)</f>
        <v/>
      </c>
      <c r="L4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8" spans="2:12" x14ac:dyDescent="0.3">
      <c r="B408" t="str">
        <f>IF('ENTRADAS-BASE'!A406="","",'ENTRADAS-BASE'!A406)</f>
        <v/>
      </c>
      <c r="C408" t="str">
        <f>IF('ENTRADAS-BASE'!B406="","",'ENTRADAS-BASE'!B406)</f>
        <v/>
      </c>
      <c r="D408" t="str">
        <f>IF('ENTRADAS-BASE'!C406="","",'ENTRADAS-BASE'!C406)</f>
        <v/>
      </c>
      <c r="E408" s="7" t="str">
        <f>IF('ENTRADAS-BASE'!D406="","",'ENTRADAS-BASE'!D406)</f>
        <v/>
      </c>
      <c r="F408" s="6" t="str">
        <f>IF('ENTRADAS-BASE'!E406="","",'ENTRADAS-BASE'!E406)</f>
        <v/>
      </c>
      <c r="G408" t="str">
        <f>IF('ENTRADAS-BASE'!F406="","",'ENTRADAS-BASE'!F406)</f>
        <v/>
      </c>
      <c r="H408" t="str">
        <f>IF('ENTRADAS-BASE'!G406="","",'ENTRADAS-BASE'!G406)</f>
        <v/>
      </c>
      <c r="I408" t="str">
        <f>IF('ENTRADAS-BASE'!H406="","",'ENTRADAS-BASE'!H406)</f>
        <v/>
      </c>
      <c r="J408" t="str">
        <f>IF('ENTRADAS-BASE'!I406="","",'ENTRADAS-BASE'!I406)</f>
        <v/>
      </c>
      <c r="K408" s="5" t="str">
        <f>IF('ENTRADAS-BASE'!J406="","",'ENTRADAS-BASE'!J406)</f>
        <v/>
      </c>
      <c r="L4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9" spans="2:12" x14ac:dyDescent="0.3">
      <c r="B409" t="str">
        <f>IF('ENTRADAS-BASE'!A407="","",'ENTRADAS-BASE'!A407)</f>
        <v/>
      </c>
      <c r="C409" t="str">
        <f>IF('ENTRADAS-BASE'!B407="","",'ENTRADAS-BASE'!B407)</f>
        <v/>
      </c>
      <c r="D409" t="str">
        <f>IF('ENTRADAS-BASE'!C407="","",'ENTRADAS-BASE'!C407)</f>
        <v/>
      </c>
      <c r="E409" s="7" t="str">
        <f>IF('ENTRADAS-BASE'!D407="","",'ENTRADAS-BASE'!D407)</f>
        <v/>
      </c>
      <c r="F409" s="6" t="str">
        <f>IF('ENTRADAS-BASE'!E407="","",'ENTRADAS-BASE'!E407)</f>
        <v/>
      </c>
      <c r="G409" t="str">
        <f>IF('ENTRADAS-BASE'!F407="","",'ENTRADAS-BASE'!F407)</f>
        <v/>
      </c>
      <c r="H409" t="str">
        <f>IF('ENTRADAS-BASE'!G407="","",'ENTRADAS-BASE'!G407)</f>
        <v/>
      </c>
      <c r="I409" t="str">
        <f>IF('ENTRADAS-BASE'!H407="","",'ENTRADAS-BASE'!H407)</f>
        <v/>
      </c>
      <c r="J409" t="str">
        <f>IF('ENTRADAS-BASE'!I407="","",'ENTRADAS-BASE'!I407)</f>
        <v/>
      </c>
      <c r="K409" s="5" t="str">
        <f>IF('ENTRADAS-BASE'!J407="","",'ENTRADAS-BASE'!J407)</f>
        <v/>
      </c>
      <c r="L4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0" spans="2:12" x14ac:dyDescent="0.3">
      <c r="B410" t="str">
        <f>IF('ENTRADAS-BASE'!A408="","",'ENTRADAS-BASE'!A408)</f>
        <v/>
      </c>
      <c r="C410" t="str">
        <f>IF('ENTRADAS-BASE'!B408="","",'ENTRADAS-BASE'!B408)</f>
        <v/>
      </c>
      <c r="D410" t="str">
        <f>IF('ENTRADAS-BASE'!C408="","",'ENTRADAS-BASE'!C408)</f>
        <v/>
      </c>
      <c r="E410" s="7" t="str">
        <f>IF('ENTRADAS-BASE'!D408="","",'ENTRADAS-BASE'!D408)</f>
        <v/>
      </c>
      <c r="F410" s="6" t="str">
        <f>IF('ENTRADAS-BASE'!E408="","",'ENTRADAS-BASE'!E408)</f>
        <v/>
      </c>
      <c r="G410" t="str">
        <f>IF('ENTRADAS-BASE'!F408="","",'ENTRADAS-BASE'!F408)</f>
        <v/>
      </c>
      <c r="H410" t="str">
        <f>IF('ENTRADAS-BASE'!G408="","",'ENTRADAS-BASE'!G408)</f>
        <v/>
      </c>
      <c r="I410" t="str">
        <f>IF('ENTRADAS-BASE'!H408="","",'ENTRADAS-BASE'!H408)</f>
        <v/>
      </c>
      <c r="J410" t="str">
        <f>IF('ENTRADAS-BASE'!I408="","",'ENTRADAS-BASE'!I408)</f>
        <v/>
      </c>
      <c r="K410" s="5" t="str">
        <f>IF('ENTRADAS-BASE'!J408="","",'ENTRADAS-BASE'!J408)</f>
        <v/>
      </c>
      <c r="L4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1" spans="2:12" x14ac:dyDescent="0.3">
      <c r="B411" t="str">
        <f>IF('ENTRADAS-BASE'!A409="","",'ENTRADAS-BASE'!A409)</f>
        <v/>
      </c>
      <c r="C411" t="str">
        <f>IF('ENTRADAS-BASE'!B409="","",'ENTRADAS-BASE'!B409)</f>
        <v/>
      </c>
      <c r="D411" t="str">
        <f>IF('ENTRADAS-BASE'!C409="","",'ENTRADAS-BASE'!C409)</f>
        <v/>
      </c>
      <c r="E411" s="7" t="str">
        <f>IF('ENTRADAS-BASE'!D409="","",'ENTRADAS-BASE'!D409)</f>
        <v/>
      </c>
      <c r="F411" s="6" t="str">
        <f>IF('ENTRADAS-BASE'!E409="","",'ENTRADAS-BASE'!E409)</f>
        <v/>
      </c>
      <c r="G411" t="str">
        <f>IF('ENTRADAS-BASE'!F409="","",'ENTRADAS-BASE'!F409)</f>
        <v/>
      </c>
      <c r="H411" t="str">
        <f>IF('ENTRADAS-BASE'!G409="","",'ENTRADAS-BASE'!G409)</f>
        <v/>
      </c>
      <c r="I411" t="str">
        <f>IF('ENTRADAS-BASE'!H409="","",'ENTRADAS-BASE'!H409)</f>
        <v/>
      </c>
      <c r="J411" t="str">
        <f>IF('ENTRADAS-BASE'!I409="","",'ENTRADAS-BASE'!I409)</f>
        <v/>
      </c>
      <c r="K411" s="5" t="str">
        <f>IF('ENTRADAS-BASE'!J409="","",'ENTRADAS-BASE'!J409)</f>
        <v/>
      </c>
      <c r="L4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2" spans="2:12" x14ac:dyDescent="0.3">
      <c r="B412" t="str">
        <f>IF('ENTRADAS-BASE'!A410="","",'ENTRADAS-BASE'!A410)</f>
        <v/>
      </c>
      <c r="C412" t="str">
        <f>IF('ENTRADAS-BASE'!B410="","",'ENTRADAS-BASE'!B410)</f>
        <v/>
      </c>
      <c r="D412" t="str">
        <f>IF('ENTRADAS-BASE'!C410="","",'ENTRADAS-BASE'!C410)</f>
        <v/>
      </c>
      <c r="E412" s="7" t="str">
        <f>IF('ENTRADAS-BASE'!D410="","",'ENTRADAS-BASE'!D410)</f>
        <v/>
      </c>
      <c r="F412" s="6" t="str">
        <f>IF('ENTRADAS-BASE'!E410="","",'ENTRADAS-BASE'!E410)</f>
        <v/>
      </c>
      <c r="G412" t="str">
        <f>IF('ENTRADAS-BASE'!F410="","",'ENTRADAS-BASE'!F410)</f>
        <v/>
      </c>
      <c r="H412" t="str">
        <f>IF('ENTRADAS-BASE'!G410="","",'ENTRADAS-BASE'!G410)</f>
        <v/>
      </c>
      <c r="I412" t="str">
        <f>IF('ENTRADAS-BASE'!H410="","",'ENTRADAS-BASE'!H410)</f>
        <v/>
      </c>
      <c r="J412" t="str">
        <f>IF('ENTRADAS-BASE'!I410="","",'ENTRADAS-BASE'!I410)</f>
        <v/>
      </c>
      <c r="K412" s="5" t="str">
        <f>IF('ENTRADAS-BASE'!J410="","",'ENTRADAS-BASE'!J410)</f>
        <v/>
      </c>
      <c r="L4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3" spans="2:12" x14ac:dyDescent="0.3">
      <c r="B413" t="str">
        <f>IF('ENTRADAS-BASE'!A411="","",'ENTRADAS-BASE'!A411)</f>
        <v/>
      </c>
      <c r="C413" t="str">
        <f>IF('ENTRADAS-BASE'!B411="","",'ENTRADAS-BASE'!B411)</f>
        <v/>
      </c>
      <c r="D413" t="str">
        <f>IF('ENTRADAS-BASE'!C411="","",'ENTRADAS-BASE'!C411)</f>
        <v/>
      </c>
      <c r="E413" s="7" t="str">
        <f>IF('ENTRADAS-BASE'!D411="","",'ENTRADAS-BASE'!D411)</f>
        <v/>
      </c>
      <c r="F413" s="6" t="str">
        <f>IF('ENTRADAS-BASE'!E411="","",'ENTRADAS-BASE'!E411)</f>
        <v/>
      </c>
      <c r="G413" t="str">
        <f>IF('ENTRADAS-BASE'!F411="","",'ENTRADAS-BASE'!F411)</f>
        <v/>
      </c>
      <c r="H413" t="str">
        <f>IF('ENTRADAS-BASE'!G411="","",'ENTRADAS-BASE'!G411)</f>
        <v/>
      </c>
      <c r="I413" t="str">
        <f>IF('ENTRADAS-BASE'!H411="","",'ENTRADAS-BASE'!H411)</f>
        <v/>
      </c>
      <c r="J413" t="str">
        <f>IF('ENTRADAS-BASE'!I411="","",'ENTRADAS-BASE'!I411)</f>
        <v/>
      </c>
      <c r="K413" s="5" t="str">
        <f>IF('ENTRADAS-BASE'!J411="","",'ENTRADAS-BASE'!J411)</f>
        <v/>
      </c>
      <c r="L4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4" spans="2:12" x14ac:dyDescent="0.3">
      <c r="B414" t="str">
        <f>IF('ENTRADAS-BASE'!A412="","",'ENTRADAS-BASE'!A412)</f>
        <v/>
      </c>
      <c r="C414" t="str">
        <f>IF('ENTRADAS-BASE'!B412="","",'ENTRADAS-BASE'!B412)</f>
        <v/>
      </c>
      <c r="D414" t="str">
        <f>IF('ENTRADAS-BASE'!C412="","",'ENTRADAS-BASE'!C412)</f>
        <v/>
      </c>
      <c r="E414" s="7" t="str">
        <f>IF('ENTRADAS-BASE'!D412="","",'ENTRADAS-BASE'!D412)</f>
        <v/>
      </c>
      <c r="F414" s="6" t="str">
        <f>IF('ENTRADAS-BASE'!E412="","",'ENTRADAS-BASE'!E412)</f>
        <v/>
      </c>
      <c r="G414" t="str">
        <f>IF('ENTRADAS-BASE'!F412="","",'ENTRADAS-BASE'!F412)</f>
        <v/>
      </c>
      <c r="H414" t="str">
        <f>IF('ENTRADAS-BASE'!G412="","",'ENTRADAS-BASE'!G412)</f>
        <v/>
      </c>
      <c r="I414" t="str">
        <f>IF('ENTRADAS-BASE'!H412="","",'ENTRADAS-BASE'!H412)</f>
        <v/>
      </c>
      <c r="J414" t="str">
        <f>IF('ENTRADAS-BASE'!I412="","",'ENTRADAS-BASE'!I412)</f>
        <v/>
      </c>
      <c r="K414" s="5" t="str">
        <f>IF('ENTRADAS-BASE'!J412="","",'ENTRADAS-BASE'!J412)</f>
        <v/>
      </c>
      <c r="L4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5" spans="2:12" x14ac:dyDescent="0.3">
      <c r="B415" t="str">
        <f>IF('ENTRADAS-BASE'!A413="","",'ENTRADAS-BASE'!A413)</f>
        <v/>
      </c>
      <c r="C415" t="str">
        <f>IF('ENTRADAS-BASE'!B413="","",'ENTRADAS-BASE'!B413)</f>
        <v/>
      </c>
      <c r="D415" t="str">
        <f>IF('ENTRADAS-BASE'!C413="","",'ENTRADAS-BASE'!C413)</f>
        <v/>
      </c>
      <c r="E415" s="7" t="str">
        <f>IF('ENTRADAS-BASE'!D413="","",'ENTRADAS-BASE'!D413)</f>
        <v/>
      </c>
      <c r="F415" s="6" t="str">
        <f>IF('ENTRADAS-BASE'!E413="","",'ENTRADAS-BASE'!E413)</f>
        <v/>
      </c>
      <c r="G415" t="str">
        <f>IF('ENTRADAS-BASE'!F413="","",'ENTRADAS-BASE'!F413)</f>
        <v/>
      </c>
      <c r="H415" t="str">
        <f>IF('ENTRADAS-BASE'!G413="","",'ENTRADAS-BASE'!G413)</f>
        <v/>
      </c>
      <c r="I415" t="str">
        <f>IF('ENTRADAS-BASE'!H413="","",'ENTRADAS-BASE'!H413)</f>
        <v/>
      </c>
      <c r="J415" t="str">
        <f>IF('ENTRADAS-BASE'!I413="","",'ENTRADAS-BASE'!I413)</f>
        <v/>
      </c>
      <c r="K415" s="5" t="str">
        <f>IF('ENTRADAS-BASE'!J413="","",'ENTRADAS-BASE'!J413)</f>
        <v/>
      </c>
      <c r="L4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6" spans="2:12" x14ac:dyDescent="0.3">
      <c r="B416" t="str">
        <f>IF('ENTRADAS-BASE'!A414="","",'ENTRADAS-BASE'!A414)</f>
        <v/>
      </c>
      <c r="C416" t="str">
        <f>IF('ENTRADAS-BASE'!B414="","",'ENTRADAS-BASE'!B414)</f>
        <v/>
      </c>
      <c r="D416" t="str">
        <f>IF('ENTRADAS-BASE'!C414="","",'ENTRADAS-BASE'!C414)</f>
        <v/>
      </c>
      <c r="E416" s="7" t="str">
        <f>IF('ENTRADAS-BASE'!D414="","",'ENTRADAS-BASE'!D414)</f>
        <v/>
      </c>
      <c r="F416" s="6" t="str">
        <f>IF('ENTRADAS-BASE'!E414="","",'ENTRADAS-BASE'!E414)</f>
        <v/>
      </c>
      <c r="G416" t="str">
        <f>IF('ENTRADAS-BASE'!F414="","",'ENTRADAS-BASE'!F414)</f>
        <v/>
      </c>
      <c r="H416" t="str">
        <f>IF('ENTRADAS-BASE'!G414="","",'ENTRADAS-BASE'!G414)</f>
        <v/>
      </c>
      <c r="I416" t="str">
        <f>IF('ENTRADAS-BASE'!H414="","",'ENTRADAS-BASE'!H414)</f>
        <v/>
      </c>
      <c r="J416" t="str">
        <f>IF('ENTRADAS-BASE'!I414="","",'ENTRADAS-BASE'!I414)</f>
        <v/>
      </c>
      <c r="K416" s="5" t="str">
        <f>IF('ENTRADAS-BASE'!J414="","",'ENTRADAS-BASE'!J414)</f>
        <v/>
      </c>
      <c r="L4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7" spans="2:12" x14ac:dyDescent="0.3">
      <c r="B417" t="str">
        <f>IF('ENTRADAS-BASE'!A415="","",'ENTRADAS-BASE'!A415)</f>
        <v/>
      </c>
      <c r="C417" t="str">
        <f>IF('ENTRADAS-BASE'!B415="","",'ENTRADAS-BASE'!B415)</f>
        <v/>
      </c>
      <c r="D417" t="str">
        <f>IF('ENTRADAS-BASE'!C415="","",'ENTRADAS-BASE'!C415)</f>
        <v/>
      </c>
      <c r="E417" s="7" t="str">
        <f>IF('ENTRADAS-BASE'!D415="","",'ENTRADAS-BASE'!D415)</f>
        <v/>
      </c>
      <c r="F417" s="6" t="str">
        <f>IF('ENTRADAS-BASE'!E415="","",'ENTRADAS-BASE'!E415)</f>
        <v/>
      </c>
      <c r="G417" t="str">
        <f>IF('ENTRADAS-BASE'!F415="","",'ENTRADAS-BASE'!F415)</f>
        <v/>
      </c>
      <c r="H417" t="str">
        <f>IF('ENTRADAS-BASE'!G415="","",'ENTRADAS-BASE'!G415)</f>
        <v/>
      </c>
      <c r="I417" t="str">
        <f>IF('ENTRADAS-BASE'!H415="","",'ENTRADAS-BASE'!H415)</f>
        <v/>
      </c>
      <c r="J417" t="str">
        <f>IF('ENTRADAS-BASE'!I415="","",'ENTRADAS-BASE'!I415)</f>
        <v/>
      </c>
      <c r="K417" s="5" t="str">
        <f>IF('ENTRADAS-BASE'!J415="","",'ENTRADAS-BASE'!J415)</f>
        <v/>
      </c>
      <c r="L4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8" spans="2:12" x14ac:dyDescent="0.3">
      <c r="B418" t="str">
        <f>IF('ENTRADAS-BASE'!A416="","",'ENTRADAS-BASE'!A416)</f>
        <v/>
      </c>
      <c r="C418" t="str">
        <f>IF('ENTRADAS-BASE'!B416="","",'ENTRADAS-BASE'!B416)</f>
        <v/>
      </c>
      <c r="D418" t="str">
        <f>IF('ENTRADAS-BASE'!C416="","",'ENTRADAS-BASE'!C416)</f>
        <v/>
      </c>
      <c r="E418" s="7" t="str">
        <f>IF('ENTRADAS-BASE'!D416="","",'ENTRADAS-BASE'!D416)</f>
        <v/>
      </c>
      <c r="F418" s="6" t="str">
        <f>IF('ENTRADAS-BASE'!E416="","",'ENTRADAS-BASE'!E416)</f>
        <v/>
      </c>
      <c r="G418" t="str">
        <f>IF('ENTRADAS-BASE'!F416="","",'ENTRADAS-BASE'!F416)</f>
        <v/>
      </c>
      <c r="H418" t="str">
        <f>IF('ENTRADAS-BASE'!G416="","",'ENTRADAS-BASE'!G416)</f>
        <v/>
      </c>
      <c r="I418" t="str">
        <f>IF('ENTRADAS-BASE'!H416="","",'ENTRADAS-BASE'!H416)</f>
        <v/>
      </c>
      <c r="J418" t="str">
        <f>IF('ENTRADAS-BASE'!I416="","",'ENTRADAS-BASE'!I416)</f>
        <v/>
      </c>
      <c r="K418" s="5" t="str">
        <f>IF('ENTRADAS-BASE'!J416="","",'ENTRADAS-BASE'!J416)</f>
        <v/>
      </c>
      <c r="L4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9" spans="2:12" x14ac:dyDescent="0.3">
      <c r="B419" t="str">
        <f>IF('ENTRADAS-BASE'!A417="","",'ENTRADAS-BASE'!A417)</f>
        <v/>
      </c>
      <c r="C419" t="str">
        <f>IF('ENTRADAS-BASE'!B417="","",'ENTRADAS-BASE'!B417)</f>
        <v/>
      </c>
      <c r="D419" t="str">
        <f>IF('ENTRADAS-BASE'!C417="","",'ENTRADAS-BASE'!C417)</f>
        <v/>
      </c>
      <c r="E419" s="7" t="str">
        <f>IF('ENTRADAS-BASE'!D417="","",'ENTRADAS-BASE'!D417)</f>
        <v/>
      </c>
      <c r="F419" s="6" t="str">
        <f>IF('ENTRADAS-BASE'!E417="","",'ENTRADAS-BASE'!E417)</f>
        <v/>
      </c>
      <c r="G419" t="str">
        <f>IF('ENTRADAS-BASE'!F417="","",'ENTRADAS-BASE'!F417)</f>
        <v/>
      </c>
      <c r="H419" t="str">
        <f>IF('ENTRADAS-BASE'!G417="","",'ENTRADAS-BASE'!G417)</f>
        <v/>
      </c>
      <c r="I419" t="str">
        <f>IF('ENTRADAS-BASE'!H417="","",'ENTRADAS-BASE'!H417)</f>
        <v/>
      </c>
      <c r="J419" t="str">
        <f>IF('ENTRADAS-BASE'!I417="","",'ENTRADAS-BASE'!I417)</f>
        <v/>
      </c>
      <c r="K419" s="5" t="str">
        <f>IF('ENTRADAS-BASE'!J417="","",'ENTRADAS-BASE'!J417)</f>
        <v/>
      </c>
      <c r="L4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0" spans="2:12" x14ac:dyDescent="0.3">
      <c r="B420" t="str">
        <f>IF('ENTRADAS-BASE'!A418="","",'ENTRADAS-BASE'!A418)</f>
        <v/>
      </c>
      <c r="C420" t="str">
        <f>IF('ENTRADAS-BASE'!B418="","",'ENTRADAS-BASE'!B418)</f>
        <v/>
      </c>
      <c r="D420" t="str">
        <f>IF('ENTRADAS-BASE'!C418="","",'ENTRADAS-BASE'!C418)</f>
        <v/>
      </c>
      <c r="E420" s="7" t="str">
        <f>IF('ENTRADAS-BASE'!D418="","",'ENTRADAS-BASE'!D418)</f>
        <v/>
      </c>
      <c r="F420" s="6" t="str">
        <f>IF('ENTRADAS-BASE'!E418="","",'ENTRADAS-BASE'!E418)</f>
        <v/>
      </c>
      <c r="G420" t="str">
        <f>IF('ENTRADAS-BASE'!F418="","",'ENTRADAS-BASE'!F418)</f>
        <v/>
      </c>
      <c r="H420" t="str">
        <f>IF('ENTRADAS-BASE'!G418="","",'ENTRADAS-BASE'!G418)</f>
        <v/>
      </c>
      <c r="I420" t="str">
        <f>IF('ENTRADAS-BASE'!H418="","",'ENTRADAS-BASE'!H418)</f>
        <v/>
      </c>
      <c r="J420" t="str">
        <f>IF('ENTRADAS-BASE'!I418="","",'ENTRADAS-BASE'!I418)</f>
        <v/>
      </c>
      <c r="K420" s="5" t="str">
        <f>IF('ENTRADAS-BASE'!J418="","",'ENTRADAS-BASE'!J418)</f>
        <v/>
      </c>
      <c r="L4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1" spans="2:12" x14ac:dyDescent="0.3">
      <c r="B421" t="str">
        <f>IF('ENTRADAS-BASE'!A419="","",'ENTRADAS-BASE'!A419)</f>
        <v/>
      </c>
      <c r="C421" t="str">
        <f>IF('ENTRADAS-BASE'!B419="","",'ENTRADAS-BASE'!B419)</f>
        <v/>
      </c>
      <c r="D421" t="str">
        <f>IF('ENTRADAS-BASE'!C419="","",'ENTRADAS-BASE'!C419)</f>
        <v/>
      </c>
      <c r="E421" s="7" t="str">
        <f>IF('ENTRADAS-BASE'!D419="","",'ENTRADAS-BASE'!D419)</f>
        <v/>
      </c>
      <c r="F421" s="6" t="str">
        <f>IF('ENTRADAS-BASE'!E419="","",'ENTRADAS-BASE'!E419)</f>
        <v/>
      </c>
      <c r="G421" t="str">
        <f>IF('ENTRADAS-BASE'!F419="","",'ENTRADAS-BASE'!F419)</f>
        <v/>
      </c>
      <c r="H421" t="str">
        <f>IF('ENTRADAS-BASE'!G419="","",'ENTRADAS-BASE'!G419)</f>
        <v/>
      </c>
      <c r="I421" t="str">
        <f>IF('ENTRADAS-BASE'!H419="","",'ENTRADAS-BASE'!H419)</f>
        <v/>
      </c>
      <c r="J421" t="str">
        <f>IF('ENTRADAS-BASE'!I419="","",'ENTRADAS-BASE'!I419)</f>
        <v/>
      </c>
      <c r="K421" s="5" t="str">
        <f>IF('ENTRADAS-BASE'!J419="","",'ENTRADAS-BASE'!J419)</f>
        <v/>
      </c>
      <c r="L4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2" spans="2:12" x14ac:dyDescent="0.3">
      <c r="B422" t="str">
        <f>IF('ENTRADAS-BASE'!A420="","",'ENTRADAS-BASE'!A420)</f>
        <v/>
      </c>
      <c r="C422" t="str">
        <f>IF('ENTRADAS-BASE'!B420="","",'ENTRADAS-BASE'!B420)</f>
        <v/>
      </c>
      <c r="D422" t="str">
        <f>IF('ENTRADAS-BASE'!C420="","",'ENTRADAS-BASE'!C420)</f>
        <v/>
      </c>
      <c r="E422" s="7" t="str">
        <f>IF('ENTRADAS-BASE'!D420="","",'ENTRADAS-BASE'!D420)</f>
        <v/>
      </c>
      <c r="F422" s="6" t="str">
        <f>IF('ENTRADAS-BASE'!E420="","",'ENTRADAS-BASE'!E420)</f>
        <v/>
      </c>
      <c r="G422" t="str">
        <f>IF('ENTRADAS-BASE'!F420="","",'ENTRADAS-BASE'!F420)</f>
        <v/>
      </c>
      <c r="H422" t="str">
        <f>IF('ENTRADAS-BASE'!G420="","",'ENTRADAS-BASE'!G420)</f>
        <v/>
      </c>
      <c r="I422" t="str">
        <f>IF('ENTRADAS-BASE'!H420="","",'ENTRADAS-BASE'!H420)</f>
        <v/>
      </c>
      <c r="J422" t="str">
        <f>IF('ENTRADAS-BASE'!I420="","",'ENTRADAS-BASE'!I420)</f>
        <v/>
      </c>
      <c r="K422" s="5" t="str">
        <f>IF('ENTRADAS-BASE'!J420="","",'ENTRADAS-BASE'!J420)</f>
        <v/>
      </c>
      <c r="L4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3" spans="2:12" x14ac:dyDescent="0.3">
      <c r="B423" t="str">
        <f>IF('ENTRADAS-BASE'!A421="","",'ENTRADAS-BASE'!A421)</f>
        <v/>
      </c>
      <c r="C423" t="str">
        <f>IF('ENTRADAS-BASE'!B421="","",'ENTRADAS-BASE'!B421)</f>
        <v/>
      </c>
      <c r="D423" t="str">
        <f>IF('ENTRADAS-BASE'!C421="","",'ENTRADAS-BASE'!C421)</f>
        <v/>
      </c>
      <c r="E423" s="7" t="str">
        <f>IF('ENTRADAS-BASE'!D421="","",'ENTRADAS-BASE'!D421)</f>
        <v/>
      </c>
      <c r="F423" s="6" t="str">
        <f>IF('ENTRADAS-BASE'!E421="","",'ENTRADAS-BASE'!E421)</f>
        <v/>
      </c>
      <c r="G423" t="str">
        <f>IF('ENTRADAS-BASE'!F421="","",'ENTRADAS-BASE'!F421)</f>
        <v/>
      </c>
      <c r="H423" t="str">
        <f>IF('ENTRADAS-BASE'!G421="","",'ENTRADAS-BASE'!G421)</f>
        <v/>
      </c>
      <c r="I423" t="str">
        <f>IF('ENTRADAS-BASE'!H421="","",'ENTRADAS-BASE'!H421)</f>
        <v/>
      </c>
      <c r="J423" t="str">
        <f>IF('ENTRADAS-BASE'!I421="","",'ENTRADAS-BASE'!I421)</f>
        <v/>
      </c>
      <c r="K423" s="5" t="str">
        <f>IF('ENTRADAS-BASE'!J421="","",'ENTRADAS-BASE'!J421)</f>
        <v/>
      </c>
      <c r="L4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4" spans="2:12" x14ac:dyDescent="0.3">
      <c r="B424" t="str">
        <f>IF('ENTRADAS-BASE'!A422="","",'ENTRADAS-BASE'!A422)</f>
        <v/>
      </c>
      <c r="C424" t="str">
        <f>IF('ENTRADAS-BASE'!B422="","",'ENTRADAS-BASE'!B422)</f>
        <v/>
      </c>
      <c r="D424" t="str">
        <f>IF('ENTRADAS-BASE'!C422="","",'ENTRADAS-BASE'!C422)</f>
        <v/>
      </c>
      <c r="E424" s="7" t="str">
        <f>IF('ENTRADAS-BASE'!D422="","",'ENTRADAS-BASE'!D422)</f>
        <v/>
      </c>
      <c r="F424" s="6" t="str">
        <f>IF('ENTRADAS-BASE'!E422="","",'ENTRADAS-BASE'!E422)</f>
        <v/>
      </c>
      <c r="G424" t="str">
        <f>IF('ENTRADAS-BASE'!F422="","",'ENTRADAS-BASE'!F422)</f>
        <v/>
      </c>
      <c r="H424" t="str">
        <f>IF('ENTRADAS-BASE'!G422="","",'ENTRADAS-BASE'!G422)</f>
        <v/>
      </c>
      <c r="I424" t="str">
        <f>IF('ENTRADAS-BASE'!H422="","",'ENTRADAS-BASE'!H422)</f>
        <v/>
      </c>
      <c r="J424" t="str">
        <f>IF('ENTRADAS-BASE'!I422="","",'ENTRADAS-BASE'!I422)</f>
        <v/>
      </c>
      <c r="K424" s="5" t="str">
        <f>IF('ENTRADAS-BASE'!J422="","",'ENTRADAS-BASE'!J422)</f>
        <v/>
      </c>
      <c r="L4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5" spans="2:12" x14ac:dyDescent="0.3">
      <c r="B425" t="str">
        <f>IF('ENTRADAS-BASE'!A423="","",'ENTRADAS-BASE'!A423)</f>
        <v/>
      </c>
      <c r="C425" t="str">
        <f>IF('ENTRADAS-BASE'!B423="","",'ENTRADAS-BASE'!B423)</f>
        <v/>
      </c>
      <c r="D425" t="str">
        <f>IF('ENTRADAS-BASE'!C423="","",'ENTRADAS-BASE'!C423)</f>
        <v/>
      </c>
      <c r="E425" s="7" t="str">
        <f>IF('ENTRADAS-BASE'!D423="","",'ENTRADAS-BASE'!D423)</f>
        <v/>
      </c>
      <c r="F425" s="6" t="str">
        <f>IF('ENTRADAS-BASE'!E423="","",'ENTRADAS-BASE'!E423)</f>
        <v/>
      </c>
      <c r="G425" t="str">
        <f>IF('ENTRADAS-BASE'!F423="","",'ENTRADAS-BASE'!F423)</f>
        <v/>
      </c>
      <c r="H425" t="str">
        <f>IF('ENTRADAS-BASE'!G423="","",'ENTRADAS-BASE'!G423)</f>
        <v/>
      </c>
      <c r="I425" t="str">
        <f>IF('ENTRADAS-BASE'!H423="","",'ENTRADAS-BASE'!H423)</f>
        <v/>
      </c>
      <c r="J425" t="str">
        <f>IF('ENTRADAS-BASE'!I423="","",'ENTRADAS-BASE'!I423)</f>
        <v/>
      </c>
      <c r="K425" s="5" t="str">
        <f>IF('ENTRADAS-BASE'!J423="","",'ENTRADAS-BASE'!J423)</f>
        <v/>
      </c>
      <c r="L4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6" spans="2:12" x14ac:dyDescent="0.3">
      <c r="B426" t="str">
        <f>IF('ENTRADAS-BASE'!A424="","",'ENTRADAS-BASE'!A424)</f>
        <v/>
      </c>
      <c r="C426" t="str">
        <f>IF('ENTRADAS-BASE'!B424="","",'ENTRADAS-BASE'!B424)</f>
        <v/>
      </c>
      <c r="D426" t="str">
        <f>IF('ENTRADAS-BASE'!C424="","",'ENTRADAS-BASE'!C424)</f>
        <v/>
      </c>
      <c r="E426" s="7" t="str">
        <f>IF('ENTRADAS-BASE'!D424="","",'ENTRADAS-BASE'!D424)</f>
        <v/>
      </c>
      <c r="F426" s="6" t="str">
        <f>IF('ENTRADAS-BASE'!E424="","",'ENTRADAS-BASE'!E424)</f>
        <v/>
      </c>
      <c r="G426" t="str">
        <f>IF('ENTRADAS-BASE'!F424="","",'ENTRADAS-BASE'!F424)</f>
        <v/>
      </c>
      <c r="H426" t="str">
        <f>IF('ENTRADAS-BASE'!G424="","",'ENTRADAS-BASE'!G424)</f>
        <v/>
      </c>
      <c r="I426" t="str">
        <f>IF('ENTRADAS-BASE'!H424="","",'ENTRADAS-BASE'!H424)</f>
        <v/>
      </c>
      <c r="J426" t="str">
        <f>IF('ENTRADAS-BASE'!I424="","",'ENTRADAS-BASE'!I424)</f>
        <v/>
      </c>
      <c r="K426" s="5" t="str">
        <f>IF('ENTRADAS-BASE'!J424="","",'ENTRADAS-BASE'!J424)</f>
        <v/>
      </c>
      <c r="L4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7" spans="2:12" x14ac:dyDescent="0.3">
      <c r="B427" t="str">
        <f>IF('ENTRADAS-BASE'!A425="","",'ENTRADAS-BASE'!A425)</f>
        <v/>
      </c>
      <c r="C427" t="str">
        <f>IF('ENTRADAS-BASE'!B425="","",'ENTRADAS-BASE'!B425)</f>
        <v/>
      </c>
      <c r="D427" t="str">
        <f>IF('ENTRADAS-BASE'!C425="","",'ENTRADAS-BASE'!C425)</f>
        <v/>
      </c>
      <c r="E427" s="7" t="str">
        <f>IF('ENTRADAS-BASE'!D425="","",'ENTRADAS-BASE'!D425)</f>
        <v/>
      </c>
      <c r="F427" s="6" t="str">
        <f>IF('ENTRADAS-BASE'!E425="","",'ENTRADAS-BASE'!E425)</f>
        <v/>
      </c>
      <c r="G427" t="str">
        <f>IF('ENTRADAS-BASE'!F425="","",'ENTRADAS-BASE'!F425)</f>
        <v/>
      </c>
      <c r="H427" t="str">
        <f>IF('ENTRADAS-BASE'!G425="","",'ENTRADAS-BASE'!G425)</f>
        <v/>
      </c>
      <c r="I427" t="str">
        <f>IF('ENTRADAS-BASE'!H425="","",'ENTRADAS-BASE'!H425)</f>
        <v/>
      </c>
      <c r="J427" t="str">
        <f>IF('ENTRADAS-BASE'!I425="","",'ENTRADAS-BASE'!I425)</f>
        <v/>
      </c>
      <c r="K427" s="5" t="str">
        <f>IF('ENTRADAS-BASE'!J425="","",'ENTRADAS-BASE'!J425)</f>
        <v/>
      </c>
      <c r="L4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8" spans="2:12" x14ac:dyDescent="0.3">
      <c r="B428" t="str">
        <f>IF('ENTRADAS-BASE'!A426="","",'ENTRADAS-BASE'!A426)</f>
        <v/>
      </c>
      <c r="C428" t="str">
        <f>IF('ENTRADAS-BASE'!B426="","",'ENTRADAS-BASE'!B426)</f>
        <v/>
      </c>
      <c r="D428" t="str">
        <f>IF('ENTRADAS-BASE'!C426="","",'ENTRADAS-BASE'!C426)</f>
        <v/>
      </c>
      <c r="E428" s="7" t="str">
        <f>IF('ENTRADAS-BASE'!D426="","",'ENTRADAS-BASE'!D426)</f>
        <v/>
      </c>
      <c r="F428" s="6" t="str">
        <f>IF('ENTRADAS-BASE'!E426="","",'ENTRADAS-BASE'!E426)</f>
        <v/>
      </c>
      <c r="G428" t="str">
        <f>IF('ENTRADAS-BASE'!F426="","",'ENTRADAS-BASE'!F426)</f>
        <v/>
      </c>
      <c r="H428" t="str">
        <f>IF('ENTRADAS-BASE'!G426="","",'ENTRADAS-BASE'!G426)</f>
        <v/>
      </c>
      <c r="I428" t="str">
        <f>IF('ENTRADAS-BASE'!H426="","",'ENTRADAS-BASE'!H426)</f>
        <v/>
      </c>
      <c r="J428" t="str">
        <f>IF('ENTRADAS-BASE'!I426="","",'ENTRADAS-BASE'!I426)</f>
        <v/>
      </c>
      <c r="K428" s="5" t="str">
        <f>IF('ENTRADAS-BASE'!J426="","",'ENTRADAS-BASE'!J426)</f>
        <v/>
      </c>
      <c r="L4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9" spans="2:12" x14ac:dyDescent="0.3">
      <c r="B429" t="str">
        <f>IF('ENTRADAS-BASE'!A427="","",'ENTRADAS-BASE'!A427)</f>
        <v/>
      </c>
      <c r="C429" t="str">
        <f>IF('ENTRADAS-BASE'!B427="","",'ENTRADAS-BASE'!B427)</f>
        <v/>
      </c>
      <c r="D429" t="str">
        <f>IF('ENTRADAS-BASE'!C427="","",'ENTRADAS-BASE'!C427)</f>
        <v/>
      </c>
      <c r="E429" s="7" t="str">
        <f>IF('ENTRADAS-BASE'!D427="","",'ENTRADAS-BASE'!D427)</f>
        <v/>
      </c>
      <c r="F429" s="6" t="str">
        <f>IF('ENTRADAS-BASE'!E427="","",'ENTRADAS-BASE'!E427)</f>
        <v/>
      </c>
      <c r="G429" t="str">
        <f>IF('ENTRADAS-BASE'!F427="","",'ENTRADAS-BASE'!F427)</f>
        <v/>
      </c>
      <c r="H429" t="str">
        <f>IF('ENTRADAS-BASE'!G427="","",'ENTRADAS-BASE'!G427)</f>
        <v/>
      </c>
      <c r="I429" t="str">
        <f>IF('ENTRADAS-BASE'!H427="","",'ENTRADAS-BASE'!H427)</f>
        <v/>
      </c>
      <c r="J429" t="str">
        <f>IF('ENTRADAS-BASE'!I427="","",'ENTRADAS-BASE'!I427)</f>
        <v/>
      </c>
      <c r="K429" s="5" t="str">
        <f>IF('ENTRADAS-BASE'!J427="","",'ENTRADAS-BASE'!J427)</f>
        <v/>
      </c>
      <c r="L4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0" spans="2:12" x14ac:dyDescent="0.3">
      <c r="B430" t="str">
        <f>IF('ENTRADAS-BASE'!A428="","",'ENTRADAS-BASE'!A428)</f>
        <v/>
      </c>
      <c r="C430" t="str">
        <f>IF('ENTRADAS-BASE'!B428="","",'ENTRADAS-BASE'!B428)</f>
        <v/>
      </c>
      <c r="D430" t="str">
        <f>IF('ENTRADAS-BASE'!C428="","",'ENTRADAS-BASE'!C428)</f>
        <v/>
      </c>
      <c r="E430" s="7" t="str">
        <f>IF('ENTRADAS-BASE'!D428="","",'ENTRADAS-BASE'!D428)</f>
        <v/>
      </c>
      <c r="F430" s="6" t="str">
        <f>IF('ENTRADAS-BASE'!E428="","",'ENTRADAS-BASE'!E428)</f>
        <v/>
      </c>
      <c r="G430" t="str">
        <f>IF('ENTRADAS-BASE'!F428="","",'ENTRADAS-BASE'!F428)</f>
        <v/>
      </c>
      <c r="H430" t="str">
        <f>IF('ENTRADAS-BASE'!G428="","",'ENTRADAS-BASE'!G428)</f>
        <v/>
      </c>
      <c r="I430" t="str">
        <f>IF('ENTRADAS-BASE'!H428="","",'ENTRADAS-BASE'!H428)</f>
        <v/>
      </c>
      <c r="J430" t="str">
        <f>IF('ENTRADAS-BASE'!I428="","",'ENTRADAS-BASE'!I428)</f>
        <v/>
      </c>
      <c r="K430" s="5" t="str">
        <f>IF('ENTRADAS-BASE'!J428="","",'ENTRADAS-BASE'!J428)</f>
        <v/>
      </c>
      <c r="L4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1" spans="2:12" x14ac:dyDescent="0.3">
      <c r="B431" t="str">
        <f>IF('ENTRADAS-BASE'!A429="","",'ENTRADAS-BASE'!A429)</f>
        <v/>
      </c>
      <c r="C431" t="str">
        <f>IF('ENTRADAS-BASE'!B429="","",'ENTRADAS-BASE'!B429)</f>
        <v/>
      </c>
      <c r="D431" t="str">
        <f>IF('ENTRADAS-BASE'!C429="","",'ENTRADAS-BASE'!C429)</f>
        <v/>
      </c>
      <c r="E431" s="7" t="str">
        <f>IF('ENTRADAS-BASE'!D429="","",'ENTRADAS-BASE'!D429)</f>
        <v/>
      </c>
      <c r="F431" s="6" t="str">
        <f>IF('ENTRADAS-BASE'!E429="","",'ENTRADAS-BASE'!E429)</f>
        <v/>
      </c>
      <c r="G431" t="str">
        <f>IF('ENTRADAS-BASE'!F429="","",'ENTRADAS-BASE'!F429)</f>
        <v/>
      </c>
      <c r="H431" t="str">
        <f>IF('ENTRADAS-BASE'!G429="","",'ENTRADAS-BASE'!G429)</f>
        <v/>
      </c>
      <c r="I431" t="str">
        <f>IF('ENTRADAS-BASE'!H429="","",'ENTRADAS-BASE'!H429)</f>
        <v/>
      </c>
      <c r="J431" t="str">
        <f>IF('ENTRADAS-BASE'!I429="","",'ENTRADAS-BASE'!I429)</f>
        <v/>
      </c>
      <c r="K431" s="5" t="str">
        <f>IF('ENTRADAS-BASE'!J429="","",'ENTRADAS-BASE'!J429)</f>
        <v/>
      </c>
      <c r="L4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2" spans="2:12" x14ac:dyDescent="0.3">
      <c r="B432" t="str">
        <f>IF('ENTRADAS-BASE'!A430="","",'ENTRADAS-BASE'!A430)</f>
        <v/>
      </c>
      <c r="C432" t="str">
        <f>IF('ENTRADAS-BASE'!B430="","",'ENTRADAS-BASE'!B430)</f>
        <v/>
      </c>
      <c r="D432" t="str">
        <f>IF('ENTRADAS-BASE'!C430="","",'ENTRADAS-BASE'!C430)</f>
        <v/>
      </c>
      <c r="E432" s="7" t="str">
        <f>IF('ENTRADAS-BASE'!D430="","",'ENTRADAS-BASE'!D430)</f>
        <v/>
      </c>
      <c r="F432" s="6" t="str">
        <f>IF('ENTRADAS-BASE'!E430="","",'ENTRADAS-BASE'!E430)</f>
        <v/>
      </c>
      <c r="G432" t="str">
        <f>IF('ENTRADAS-BASE'!F430="","",'ENTRADAS-BASE'!F430)</f>
        <v/>
      </c>
      <c r="H432" t="str">
        <f>IF('ENTRADAS-BASE'!G430="","",'ENTRADAS-BASE'!G430)</f>
        <v/>
      </c>
      <c r="I432" t="str">
        <f>IF('ENTRADAS-BASE'!H430="","",'ENTRADAS-BASE'!H430)</f>
        <v/>
      </c>
      <c r="J432" t="str">
        <f>IF('ENTRADAS-BASE'!I430="","",'ENTRADAS-BASE'!I430)</f>
        <v/>
      </c>
      <c r="K432" s="5" t="str">
        <f>IF('ENTRADAS-BASE'!J430="","",'ENTRADAS-BASE'!J430)</f>
        <v/>
      </c>
      <c r="L4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3" spans="2:12" x14ac:dyDescent="0.3">
      <c r="B433" t="str">
        <f>IF('ENTRADAS-BASE'!A431="","",'ENTRADAS-BASE'!A431)</f>
        <v/>
      </c>
      <c r="C433" t="str">
        <f>IF('ENTRADAS-BASE'!B431="","",'ENTRADAS-BASE'!B431)</f>
        <v/>
      </c>
      <c r="D433" t="str">
        <f>IF('ENTRADAS-BASE'!C431="","",'ENTRADAS-BASE'!C431)</f>
        <v/>
      </c>
      <c r="E433" s="7" t="str">
        <f>IF('ENTRADAS-BASE'!D431="","",'ENTRADAS-BASE'!D431)</f>
        <v/>
      </c>
      <c r="F433" s="6" t="str">
        <f>IF('ENTRADAS-BASE'!E431="","",'ENTRADAS-BASE'!E431)</f>
        <v/>
      </c>
      <c r="G433" t="str">
        <f>IF('ENTRADAS-BASE'!F431="","",'ENTRADAS-BASE'!F431)</f>
        <v/>
      </c>
      <c r="H433" t="str">
        <f>IF('ENTRADAS-BASE'!G431="","",'ENTRADAS-BASE'!G431)</f>
        <v/>
      </c>
      <c r="I433" t="str">
        <f>IF('ENTRADAS-BASE'!H431="","",'ENTRADAS-BASE'!H431)</f>
        <v/>
      </c>
      <c r="J433" t="str">
        <f>IF('ENTRADAS-BASE'!I431="","",'ENTRADAS-BASE'!I431)</f>
        <v/>
      </c>
      <c r="K433" s="5" t="str">
        <f>IF('ENTRADAS-BASE'!J431="","",'ENTRADAS-BASE'!J431)</f>
        <v/>
      </c>
      <c r="L4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4" spans="2:12" x14ac:dyDescent="0.3">
      <c r="B434" t="str">
        <f>IF('ENTRADAS-BASE'!A432="","",'ENTRADAS-BASE'!A432)</f>
        <v/>
      </c>
      <c r="C434" t="str">
        <f>IF('ENTRADAS-BASE'!B432="","",'ENTRADAS-BASE'!B432)</f>
        <v/>
      </c>
      <c r="D434" t="str">
        <f>IF('ENTRADAS-BASE'!C432="","",'ENTRADAS-BASE'!C432)</f>
        <v/>
      </c>
      <c r="E434" s="7" t="str">
        <f>IF('ENTRADAS-BASE'!D432="","",'ENTRADAS-BASE'!D432)</f>
        <v/>
      </c>
      <c r="F434" s="6" t="str">
        <f>IF('ENTRADAS-BASE'!E432="","",'ENTRADAS-BASE'!E432)</f>
        <v/>
      </c>
      <c r="G434" t="str">
        <f>IF('ENTRADAS-BASE'!F432="","",'ENTRADAS-BASE'!F432)</f>
        <v/>
      </c>
      <c r="H434" t="str">
        <f>IF('ENTRADAS-BASE'!G432="","",'ENTRADAS-BASE'!G432)</f>
        <v/>
      </c>
      <c r="I434" t="str">
        <f>IF('ENTRADAS-BASE'!H432="","",'ENTRADAS-BASE'!H432)</f>
        <v/>
      </c>
      <c r="J434" t="str">
        <f>IF('ENTRADAS-BASE'!I432="","",'ENTRADAS-BASE'!I432)</f>
        <v/>
      </c>
      <c r="K434" s="5" t="str">
        <f>IF('ENTRADAS-BASE'!J432="","",'ENTRADAS-BASE'!J432)</f>
        <v/>
      </c>
      <c r="L4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5" spans="2:12" x14ac:dyDescent="0.3">
      <c r="B435" t="str">
        <f>IF('ENTRADAS-BASE'!A433="","",'ENTRADAS-BASE'!A433)</f>
        <v/>
      </c>
      <c r="C435" t="str">
        <f>IF('ENTRADAS-BASE'!B433="","",'ENTRADAS-BASE'!B433)</f>
        <v/>
      </c>
      <c r="D435" t="str">
        <f>IF('ENTRADAS-BASE'!C433="","",'ENTRADAS-BASE'!C433)</f>
        <v/>
      </c>
      <c r="E435" s="7" t="str">
        <f>IF('ENTRADAS-BASE'!D433="","",'ENTRADAS-BASE'!D433)</f>
        <v/>
      </c>
      <c r="F435" s="6" t="str">
        <f>IF('ENTRADAS-BASE'!E433="","",'ENTRADAS-BASE'!E433)</f>
        <v/>
      </c>
      <c r="G435" t="str">
        <f>IF('ENTRADAS-BASE'!F433="","",'ENTRADAS-BASE'!F433)</f>
        <v/>
      </c>
      <c r="H435" t="str">
        <f>IF('ENTRADAS-BASE'!G433="","",'ENTRADAS-BASE'!G433)</f>
        <v/>
      </c>
      <c r="I435" t="str">
        <f>IF('ENTRADAS-BASE'!H433="","",'ENTRADAS-BASE'!H433)</f>
        <v/>
      </c>
      <c r="J435" t="str">
        <f>IF('ENTRADAS-BASE'!I433="","",'ENTRADAS-BASE'!I433)</f>
        <v/>
      </c>
      <c r="K435" s="5" t="str">
        <f>IF('ENTRADAS-BASE'!J433="","",'ENTRADAS-BASE'!J433)</f>
        <v/>
      </c>
      <c r="L4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6" spans="2:12" x14ac:dyDescent="0.3">
      <c r="B436" t="str">
        <f>IF('ENTRADAS-BASE'!A434="","",'ENTRADAS-BASE'!A434)</f>
        <v/>
      </c>
      <c r="C436" t="str">
        <f>IF('ENTRADAS-BASE'!B434="","",'ENTRADAS-BASE'!B434)</f>
        <v/>
      </c>
      <c r="D436" t="str">
        <f>IF('ENTRADAS-BASE'!C434="","",'ENTRADAS-BASE'!C434)</f>
        <v/>
      </c>
      <c r="E436" s="7" t="str">
        <f>IF('ENTRADAS-BASE'!D434="","",'ENTRADAS-BASE'!D434)</f>
        <v/>
      </c>
      <c r="F436" s="6" t="str">
        <f>IF('ENTRADAS-BASE'!E434="","",'ENTRADAS-BASE'!E434)</f>
        <v/>
      </c>
      <c r="G436" t="str">
        <f>IF('ENTRADAS-BASE'!F434="","",'ENTRADAS-BASE'!F434)</f>
        <v/>
      </c>
      <c r="H436" t="str">
        <f>IF('ENTRADAS-BASE'!G434="","",'ENTRADAS-BASE'!G434)</f>
        <v/>
      </c>
      <c r="I436" t="str">
        <f>IF('ENTRADAS-BASE'!H434="","",'ENTRADAS-BASE'!H434)</f>
        <v/>
      </c>
      <c r="J436" t="str">
        <f>IF('ENTRADAS-BASE'!I434="","",'ENTRADAS-BASE'!I434)</f>
        <v/>
      </c>
      <c r="K436" s="5" t="str">
        <f>IF('ENTRADAS-BASE'!J434="","",'ENTRADAS-BASE'!J434)</f>
        <v/>
      </c>
      <c r="L4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7" spans="2:12" x14ac:dyDescent="0.3">
      <c r="B437" t="str">
        <f>IF('ENTRADAS-BASE'!A435="","",'ENTRADAS-BASE'!A435)</f>
        <v/>
      </c>
      <c r="C437" t="str">
        <f>IF('ENTRADAS-BASE'!B435="","",'ENTRADAS-BASE'!B435)</f>
        <v/>
      </c>
      <c r="D437" t="str">
        <f>IF('ENTRADAS-BASE'!C435="","",'ENTRADAS-BASE'!C435)</f>
        <v/>
      </c>
      <c r="E437" s="7" t="str">
        <f>IF('ENTRADAS-BASE'!D435="","",'ENTRADAS-BASE'!D435)</f>
        <v/>
      </c>
      <c r="F437" s="6" t="str">
        <f>IF('ENTRADAS-BASE'!E435="","",'ENTRADAS-BASE'!E435)</f>
        <v/>
      </c>
      <c r="G437" t="str">
        <f>IF('ENTRADAS-BASE'!F435="","",'ENTRADAS-BASE'!F435)</f>
        <v/>
      </c>
      <c r="H437" t="str">
        <f>IF('ENTRADAS-BASE'!G435="","",'ENTRADAS-BASE'!G435)</f>
        <v/>
      </c>
      <c r="I437" t="str">
        <f>IF('ENTRADAS-BASE'!H435="","",'ENTRADAS-BASE'!H435)</f>
        <v/>
      </c>
      <c r="J437" t="str">
        <f>IF('ENTRADAS-BASE'!I435="","",'ENTRADAS-BASE'!I435)</f>
        <v/>
      </c>
      <c r="K437" s="5" t="str">
        <f>IF('ENTRADAS-BASE'!J435="","",'ENTRADAS-BASE'!J435)</f>
        <v/>
      </c>
      <c r="L4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8" spans="2:12" x14ac:dyDescent="0.3">
      <c r="B438" t="str">
        <f>IF('ENTRADAS-BASE'!A436="","",'ENTRADAS-BASE'!A436)</f>
        <v/>
      </c>
      <c r="C438" t="str">
        <f>IF('ENTRADAS-BASE'!B436="","",'ENTRADAS-BASE'!B436)</f>
        <v/>
      </c>
      <c r="D438" t="str">
        <f>IF('ENTRADAS-BASE'!C436="","",'ENTRADAS-BASE'!C436)</f>
        <v/>
      </c>
      <c r="E438" s="7" t="str">
        <f>IF('ENTRADAS-BASE'!D436="","",'ENTRADAS-BASE'!D436)</f>
        <v/>
      </c>
      <c r="F438" s="6" t="str">
        <f>IF('ENTRADAS-BASE'!E436="","",'ENTRADAS-BASE'!E436)</f>
        <v/>
      </c>
      <c r="G438" t="str">
        <f>IF('ENTRADAS-BASE'!F436="","",'ENTRADAS-BASE'!F436)</f>
        <v/>
      </c>
      <c r="H438" t="str">
        <f>IF('ENTRADAS-BASE'!G436="","",'ENTRADAS-BASE'!G436)</f>
        <v/>
      </c>
      <c r="I438" t="str">
        <f>IF('ENTRADAS-BASE'!H436="","",'ENTRADAS-BASE'!H436)</f>
        <v/>
      </c>
      <c r="J438" t="str">
        <f>IF('ENTRADAS-BASE'!I436="","",'ENTRADAS-BASE'!I436)</f>
        <v/>
      </c>
      <c r="K438" s="5" t="str">
        <f>IF('ENTRADAS-BASE'!J436="","",'ENTRADAS-BASE'!J436)</f>
        <v/>
      </c>
      <c r="L4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9" spans="2:12" x14ac:dyDescent="0.3">
      <c r="B439" t="str">
        <f>IF('ENTRADAS-BASE'!A437="","",'ENTRADAS-BASE'!A437)</f>
        <v/>
      </c>
      <c r="C439" t="str">
        <f>IF('ENTRADAS-BASE'!B437="","",'ENTRADAS-BASE'!B437)</f>
        <v/>
      </c>
      <c r="D439" t="str">
        <f>IF('ENTRADAS-BASE'!C437="","",'ENTRADAS-BASE'!C437)</f>
        <v/>
      </c>
      <c r="E439" s="7" t="str">
        <f>IF('ENTRADAS-BASE'!D437="","",'ENTRADAS-BASE'!D437)</f>
        <v/>
      </c>
      <c r="F439" s="6" t="str">
        <f>IF('ENTRADAS-BASE'!E437="","",'ENTRADAS-BASE'!E437)</f>
        <v/>
      </c>
      <c r="G439" t="str">
        <f>IF('ENTRADAS-BASE'!F437="","",'ENTRADAS-BASE'!F437)</f>
        <v/>
      </c>
      <c r="H439" t="str">
        <f>IF('ENTRADAS-BASE'!G437="","",'ENTRADAS-BASE'!G437)</f>
        <v/>
      </c>
      <c r="I439" t="str">
        <f>IF('ENTRADAS-BASE'!H437="","",'ENTRADAS-BASE'!H437)</f>
        <v/>
      </c>
      <c r="J439" t="str">
        <f>IF('ENTRADAS-BASE'!I437="","",'ENTRADAS-BASE'!I437)</f>
        <v/>
      </c>
      <c r="K439" s="5" t="str">
        <f>IF('ENTRADAS-BASE'!J437="","",'ENTRADAS-BASE'!J437)</f>
        <v/>
      </c>
      <c r="L4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0" spans="2:12" x14ac:dyDescent="0.3">
      <c r="B440" t="str">
        <f>IF('ENTRADAS-BASE'!A438="","",'ENTRADAS-BASE'!A438)</f>
        <v/>
      </c>
      <c r="C440" t="str">
        <f>IF('ENTRADAS-BASE'!B438="","",'ENTRADAS-BASE'!B438)</f>
        <v/>
      </c>
      <c r="D440" t="str">
        <f>IF('ENTRADAS-BASE'!C438="","",'ENTRADAS-BASE'!C438)</f>
        <v/>
      </c>
      <c r="E440" s="7" t="str">
        <f>IF('ENTRADAS-BASE'!D438="","",'ENTRADAS-BASE'!D438)</f>
        <v/>
      </c>
      <c r="F440" s="6" t="str">
        <f>IF('ENTRADAS-BASE'!E438="","",'ENTRADAS-BASE'!E438)</f>
        <v/>
      </c>
      <c r="G440" t="str">
        <f>IF('ENTRADAS-BASE'!F438="","",'ENTRADAS-BASE'!F438)</f>
        <v/>
      </c>
      <c r="H440" t="str">
        <f>IF('ENTRADAS-BASE'!G438="","",'ENTRADAS-BASE'!G438)</f>
        <v/>
      </c>
      <c r="I440" t="str">
        <f>IF('ENTRADAS-BASE'!H438="","",'ENTRADAS-BASE'!H438)</f>
        <v/>
      </c>
      <c r="J440" t="str">
        <f>IF('ENTRADAS-BASE'!I438="","",'ENTRADAS-BASE'!I438)</f>
        <v/>
      </c>
      <c r="K440" s="5" t="str">
        <f>IF('ENTRADAS-BASE'!J438="","",'ENTRADAS-BASE'!J438)</f>
        <v/>
      </c>
      <c r="L4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1" spans="2:12" x14ac:dyDescent="0.3">
      <c r="B441" t="str">
        <f>IF('ENTRADAS-BASE'!A439="","",'ENTRADAS-BASE'!A439)</f>
        <v/>
      </c>
      <c r="C441" t="str">
        <f>IF('ENTRADAS-BASE'!B439="","",'ENTRADAS-BASE'!B439)</f>
        <v/>
      </c>
      <c r="D441" t="str">
        <f>IF('ENTRADAS-BASE'!C439="","",'ENTRADAS-BASE'!C439)</f>
        <v/>
      </c>
      <c r="E441" s="7" t="str">
        <f>IF('ENTRADAS-BASE'!D439="","",'ENTRADAS-BASE'!D439)</f>
        <v/>
      </c>
      <c r="F441" s="6" t="str">
        <f>IF('ENTRADAS-BASE'!E439="","",'ENTRADAS-BASE'!E439)</f>
        <v/>
      </c>
      <c r="G441" t="str">
        <f>IF('ENTRADAS-BASE'!F439="","",'ENTRADAS-BASE'!F439)</f>
        <v/>
      </c>
      <c r="H441" t="str">
        <f>IF('ENTRADAS-BASE'!G439="","",'ENTRADAS-BASE'!G439)</f>
        <v/>
      </c>
      <c r="I441" t="str">
        <f>IF('ENTRADAS-BASE'!H439="","",'ENTRADAS-BASE'!H439)</f>
        <v/>
      </c>
      <c r="J441" t="str">
        <f>IF('ENTRADAS-BASE'!I439="","",'ENTRADAS-BASE'!I439)</f>
        <v/>
      </c>
      <c r="K441" s="5" t="str">
        <f>IF('ENTRADAS-BASE'!J439="","",'ENTRADAS-BASE'!J439)</f>
        <v/>
      </c>
      <c r="L4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2" spans="2:12" x14ac:dyDescent="0.3">
      <c r="B442" t="str">
        <f>IF('ENTRADAS-BASE'!A440="","",'ENTRADAS-BASE'!A440)</f>
        <v/>
      </c>
      <c r="C442" t="str">
        <f>IF('ENTRADAS-BASE'!B440="","",'ENTRADAS-BASE'!B440)</f>
        <v/>
      </c>
      <c r="D442" t="str">
        <f>IF('ENTRADAS-BASE'!C440="","",'ENTRADAS-BASE'!C440)</f>
        <v/>
      </c>
      <c r="E442" s="7" t="str">
        <f>IF('ENTRADAS-BASE'!D440="","",'ENTRADAS-BASE'!D440)</f>
        <v/>
      </c>
      <c r="F442" s="6" t="str">
        <f>IF('ENTRADAS-BASE'!E440="","",'ENTRADAS-BASE'!E440)</f>
        <v/>
      </c>
      <c r="G442" t="str">
        <f>IF('ENTRADAS-BASE'!F440="","",'ENTRADAS-BASE'!F440)</f>
        <v/>
      </c>
      <c r="H442" t="str">
        <f>IF('ENTRADAS-BASE'!G440="","",'ENTRADAS-BASE'!G440)</f>
        <v/>
      </c>
      <c r="I442" t="str">
        <f>IF('ENTRADAS-BASE'!H440="","",'ENTRADAS-BASE'!H440)</f>
        <v/>
      </c>
      <c r="J442" t="str">
        <f>IF('ENTRADAS-BASE'!I440="","",'ENTRADAS-BASE'!I440)</f>
        <v/>
      </c>
      <c r="K442" s="5" t="str">
        <f>IF('ENTRADAS-BASE'!J440="","",'ENTRADAS-BASE'!J440)</f>
        <v/>
      </c>
      <c r="L4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3" spans="2:12" x14ac:dyDescent="0.3">
      <c r="B443" t="str">
        <f>IF('ENTRADAS-BASE'!A441="","",'ENTRADAS-BASE'!A441)</f>
        <v/>
      </c>
      <c r="C443" t="str">
        <f>IF('ENTRADAS-BASE'!B441="","",'ENTRADAS-BASE'!B441)</f>
        <v/>
      </c>
      <c r="D443" t="str">
        <f>IF('ENTRADAS-BASE'!C441="","",'ENTRADAS-BASE'!C441)</f>
        <v/>
      </c>
      <c r="E443" s="7" t="str">
        <f>IF('ENTRADAS-BASE'!D441="","",'ENTRADAS-BASE'!D441)</f>
        <v/>
      </c>
      <c r="F443" s="6" t="str">
        <f>IF('ENTRADAS-BASE'!E441="","",'ENTRADAS-BASE'!E441)</f>
        <v/>
      </c>
      <c r="G443" t="str">
        <f>IF('ENTRADAS-BASE'!F441="","",'ENTRADAS-BASE'!F441)</f>
        <v/>
      </c>
      <c r="H443" t="str">
        <f>IF('ENTRADAS-BASE'!G441="","",'ENTRADAS-BASE'!G441)</f>
        <v/>
      </c>
      <c r="I443" t="str">
        <f>IF('ENTRADAS-BASE'!H441="","",'ENTRADAS-BASE'!H441)</f>
        <v/>
      </c>
      <c r="J443" t="str">
        <f>IF('ENTRADAS-BASE'!I441="","",'ENTRADAS-BASE'!I441)</f>
        <v/>
      </c>
      <c r="K443" s="5" t="str">
        <f>IF('ENTRADAS-BASE'!J441="","",'ENTRADAS-BASE'!J441)</f>
        <v/>
      </c>
      <c r="L4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4" spans="2:12" x14ac:dyDescent="0.3">
      <c r="B444" t="str">
        <f>IF('ENTRADAS-BASE'!A442="","",'ENTRADAS-BASE'!A442)</f>
        <v/>
      </c>
      <c r="C444" t="str">
        <f>IF('ENTRADAS-BASE'!B442="","",'ENTRADAS-BASE'!B442)</f>
        <v/>
      </c>
      <c r="D444" t="str">
        <f>IF('ENTRADAS-BASE'!C442="","",'ENTRADAS-BASE'!C442)</f>
        <v/>
      </c>
      <c r="E444" s="7" t="str">
        <f>IF('ENTRADAS-BASE'!D442="","",'ENTRADAS-BASE'!D442)</f>
        <v/>
      </c>
      <c r="F444" s="6" t="str">
        <f>IF('ENTRADAS-BASE'!E442="","",'ENTRADAS-BASE'!E442)</f>
        <v/>
      </c>
      <c r="G444" t="str">
        <f>IF('ENTRADAS-BASE'!F442="","",'ENTRADAS-BASE'!F442)</f>
        <v/>
      </c>
      <c r="H444" t="str">
        <f>IF('ENTRADAS-BASE'!G442="","",'ENTRADAS-BASE'!G442)</f>
        <v/>
      </c>
      <c r="I444" t="str">
        <f>IF('ENTRADAS-BASE'!H442="","",'ENTRADAS-BASE'!H442)</f>
        <v/>
      </c>
      <c r="J444" t="str">
        <f>IF('ENTRADAS-BASE'!I442="","",'ENTRADAS-BASE'!I442)</f>
        <v/>
      </c>
      <c r="K444" s="5" t="str">
        <f>IF('ENTRADAS-BASE'!J442="","",'ENTRADAS-BASE'!J442)</f>
        <v/>
      </c>
      <c r="L4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5" spans="2:12" x14ac:dyDescent="0.3">
      <c r="B445" t="str">
        <f>IF('ENTRADAS-BASE'!A443="","",'ENTRADAS-BASE'!A443)</f>
        <v/>
      </c>
      <c r="C445" t="str">
        <f>IF('ENTRADAS-BASE'!B443="","",'ENTRADAS-BASE'!B443)</f>
        <v/>
      </c>
      <c r="D445" t="str">
        <f>IF('ENTRADAS-BASE'!C443="","",'ENTRADAS-BASE'!C443)</f>
        <v/>
      </c>
      <c r="E445" s="7" t="str">
        <f>IF('ENTRADAS-BASE'!D443="","",'ENTRADAS-BASE'!D443)</f>
        <v/>
      </c>
      <c r="F445" s="6" t="str">
        <f>IF('ENTRADAS-BASE'!E443="","",'ENTRADAS-BASE'!E443)</f>
        <v/>
      </c>
      <c r="G445" t="str">
        <f>IF('ENTRADAS-BASE'!F443="","",'ENTRADAS-BASE'!F443)</f>
        <v/>
      </c>
      <c r="H445" t="str">
        <f>IF('ENTRADAS-BASE'!G443="","",'ENTRADAS-BASE'!G443)</f>
        <v/>
      </c>
      <c r="I445" t="str">
        <f>IF('ENTRADAS-BASE'!H443="","",'ENTRADAS-BASE'!H443)</f>
        <v/>
      </c>
      <c r="J445" t="str">
        <f>IF('ENTRADAS-BASE'!I443="","",'ENTRADAS-BASE'!I443)</f>
        <v/>
      </c>
      <c r="K445" s="5" t="str">
        <f>IF('ENTRADAS-BASE'!J443="","",'ENTRADAS-BASE'!J443)</f>
        <v/>
      </c>
      <c r="L4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6" spans="2:12" x14ac:dyDescent="0.3">
      <c r="B446" t="str">
        <f>IF('ENTRADAS-BASE'!A444="","",'ENTRADAS-BASE'!A444)</f>
        <v/>
      </c>
      <c r="C446" t="str">
        <f>IF('ENTRADAS-BASE'!B444="","",'ENTRADAS-BASE'!B444)</f>
        <v/>
      </c>
      <c r="D446" t="str">
        <f>IF('ENTRADAS-BASE'!C444="","",'ENTRADAS-BASE'!C444)</f>
        <v/>
      </c>
      <c r="E446" s="7" t="str">
        <f>IF('ENTRADAS-BASE'!D444="","",'ENTRADAS-BASE'!D444)</f>
        <v/>
      </c>
      <c r="F446" s="6" t="str">
        <f>IF('ENTRADAS-BASE'!E444="","",'ENTRADAS-BASE'!E444)</f>
        <v/>
      </c>
      <c r="G446" t="str">
        <f>IF('ENTRADAS-BASE'!F444="","",'ENTRADAS-BASE'!F444)</f>
        <v/>
      </c>
      <c r="H446" t="str">
        <f>IF('ENTRADAS-BASE'!G444="","",'ENTRADAS-BASE'!G444)</f>
        <v/>
      </c>
      <c r="I446" t="str">
        <f>IF('ENTRADAS-BASE'!H444="","",'ENTRADAS-BASE'!H444)</f>
        <v/>
      </c>
      <c r="J446" t="str">
        <f>IF('ENTRADAS-BASE'!I444="","",'ENTRADAS-BASE'!I444)</f>
        <v/>
      </c>
      <c r="K446" s="5" t="str">
        <f>IF('ENTRADAS-BASE'!J444="","",'ENTRADAS-BASE'!J444)</f>
        <v/>
      </c>
      <c r="L4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7" spans="2:12" x14ac:dyDescent="0.3">
      <c r="B447" t="str">
        <f>IF('ENTRADAS-BASE'!A445="","",'ENTRADAS-BASE'!A445)</f>
        <v/>
      </c>
      <c r="C447" t="str">
        <f>IF('ENTRADAS-BASE'!B445="","",'ENTRADAS-BASE'!B445)</f>
        <v/>
      </c>
      <c r="D447" t="str">
        <f>IF('ENTRADAS-BASE'!C445="","",'ENTRADAS-BASE'!C445)</f>
        <v/>
      </c>
      <c r="E447" s="7" t="str">
        <f>IF('ENTRADAS-BASE'!D445="","",'ENTRADAS-BASE'!D445)</f>
        <v/>
      </c>
      <c r="F447" s="6" t="str">
        <f>IF('ENTRADAS-BASE'!E445="","",'ENTRADAS-BASE'!E445)</f>
        <v/>
      </c>
      <c r="G447" t="str">
        <f>IF('ENTRADAS-BASE'!F445="","",'ENTRADAS-BASE'!F445)</f>
        <v/>
      </c>
      <c r="H447" t="str">
        <f>IF('ENTRADAS-BASE'!G445="","",'ENTRADAS-BASE'!G445)</f>
        <v/>
      </c>
      <c r="I447" t="str">
        <f>IF('ENTRADAS-BASE'!H445="","",'ENTRADAS-BASE'!H445)</f>
        <v/>
      </c>
      <c r="J447" t="str">
        <f>IF('ENTRADAS-BASE'!I445="","",'ENTRADAS-BASE'!I445)</f>
        <v/>
      </c>
      <c r="K447" s="5" t="str">
        <f>IF('ENTRADAS-BASE'!J445="","",'ENTRADAS-BASE'!J445)</f>
        <v/>
      </c>
      <c r="L4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8" spans="2:12" x14ac:dyDescent="0.3">
      <c r="B448" t="str">
        <f>IF('ENTRADAS-BASE'!A446="","",'ENTRADAS-BASE'!A446)</f>
        <v/>
      </c>
      <c r="C448" t="str">
        <f>IF('ENTRADAS-BASE'!B446="","",'ENTRADAS-BASE'!B446)</f>
        <v/>
      </c>
      <c r="D448" t="str">
        <f>IF('ENTRADAS-BASE'!C446="","",'ENTRADAS-BASE'!C446)</f>
        <v/>
      </c>
      <c r="E448" s="7" t="str">
        <f>IF('ENTRADAS-BASE'!D446="","",'ENTRADAS-BASE'!D446)</f>
        <v/>
      </c>
      <c r="F448" s="6" t="str">
        <f>IF('ENTRADAS-BASE'!E446="","",'ENTRADAS-BASE'!E446)</f>
        <v/>
      </c>
      <c r="G448" t="str">
        <f>IF('ENTRADAS-BASE'!F446="","",'ENTRADAS-BASE'!F446)</f>
        <v/>
      </c>
      <c r="H448" t="str">
        <f>IF('ENTRADAS-BASE'!G446="","",'ENTRADAS-BASE'!G446)</f>
        <v/>
      </c>
      <c r="I448" t="str">
        <f>IF('ENTRADAS-BASE'!H446="","",'ENTRADAS-BASE'!H446)</f>
        <v/>
      </c>
      <c r="J448" t="str">
        <f>IF('ENTRADAS-BASE'!I446="","",'ENTRADAS-BASE'!I446)</f>
        <v/>
      </c>
      <c r="K448" s="5" t="str">
        <f>IF('ENTRADAS-BASE'!J446="","",'ENTRADAS-BASE'!J446)</f>
        <v/>
      </c>
      <c r="L4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9" spans="2:12" x14ac:dyDescent="0.3">
      <c r="B449" t="str">
        <f>IF('ENTRADAS-BASE'!A447="","",'ENTRADAS-BASE'!A447)</f>
        <v/>
      </c>
      <c r="C449" t="str">
        <f>IF('ENTRADAS-BASE'!B447="","",'ENTRADAS-BASE'!B447)</f>
        <v/>
      </c>
      <c r="D449" t="str">
        <f>IF('ENTRADAS-BASE'!C447="","",'ENTRADAS-BASE'!C447)</f>
        <v/>
      </c>
      <c r="E449" s="7" t="str">
        <f>IF('ENTRADAS-BASE'!D447="","",'ENTRADAS-BASE'!D447)</f>
        <v/>
      </c>
      <c r="F449" s="6" t="str">
        <f>IF('ENTRADAS-BASE'!E447="","",'ENTRADAS-BASE'!E447)</f>
        <v/>
      </c>
      <c r="G449" t="str">
        <f>IF('ENTRADAS-BASE'!F447="","",'ENTRADAS-BASE'!F447)</f>
        <v/>
      </c>
      <c r="H449" t="str">
        <f>IF('ENTRADAS-BASE'!G447="","",'ENTRADAS-BASE'!G447)</f>
        <v/>
      </c>
      <c r="I449" t="str">
        <f>IF('ENTRADAS-BASE'!H447="","",'ENTRADAS-BASE'!H447)</f>
        <v/>
      </c>
      <c r="J449" t="str">
        <f>IF('ENTRADAS-BASE'!I447="","",'ENTRADAS-BASE'!I447)</f>
        <v/>
      </c>
      <c r="K449" s="5" t="str">
        <f>IF('ENTRADAS-BASE'!J447="","",'ENTRADAS-BASE'!J447)</f>
        <v/>
      </c>
      <c r="L4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0" spans="2:12" x14ac:dyDescent="0.3">
      <c r="B450" t="str">
        <f>IF('ENTRADAS-BASE'!A448="","",'ENTRADAS-BASE'!A448)</f>
        <v/>
      </c>
      <c r="C450" t="str">
        <f>IF('ENTRADAS-BASE'!B448="","",'ENTRADAS-BASE'!B448)</f>
        <v/>
      </c>
      <c r="D450" t="str">
        <f>IF('ENTRADAS-BASE'!C448="","",'ENTRADAS-BASE'!C448)</f>
        <v/>
      </c>
      <c r="E450" s="7" t="str">
        <f>IF('ENTRADAS-BASE'!D448="","",'ENTRADAS-BASE'!D448)</f>
        <v/>
      </c>
      <c r="F450" s="6" t="str">
        <f>IF('ENTRADAS-BASE'!E448="","",'ENTRADAS-BASE'!E448)</f>
        <v/>
      </c>
      <c r="G450" t="str">
        <f>IF('ENTRADAS-BASE'!F448="","",'ENTRADAS-BASE'!F448)</f>
        <v/>
      </c>
      <c r="H450" t="str">
        <f>IF('ENTRADAS-BASE'!G448="","",'ENTRADAS-BASE'!G448)</f>
        <v/>
      </c>
      <c r="I450" t="str">
        <f>IF('ENTRADAS-BASE'!H448="","",'ENTRADAS-BASE'!H448)</f>
        <v/>
      </c>
      <c r="J450" t="str">
        <f>IF('ENTRADAS-BASE'!I448="","",'ENTRADAS-BASE'!I448)</f>
        <v/>
      </c>
      <c r="K450" s="5" t="str">
        <f>IF('ENTRADAS-BASE'!J448="","",'ENTRADAS-BASE'!J448)</f>
        <v/>
      </c>
      <c r="L4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1" spans="2:12" x14ac:dyDescent="0.3">
      <c r="B451" t="str">
        <f>IF('ENTRADAS-BASE'!A449="","",'ENTRADAS-BASE'!A449)</f>
        <v/>
      </c>
      <c r="C451" t="str">
        <f>IF('ENTRADAS-BASE'!B449="","",'ENTRADAS-BASE'!B449)</f>
        <v/>
      </c>
      <c r="D451" t="str">
        <f>IF('ENTRADAS-BASE'!C449="","",'ENTRADAS-BASE'!C449)</f>
        <v/>
      </c>
      <c r="E451" s="7" t="str">
        <f>IF('ENTRADAS-BASE'!D449="","",'ENTRADAS-BASE'!D449)</f>
        <v/>
      </c>
      <c r="F451" s="6" t="str">
        <f>IF('ENTRADAS-BASE'!E449="","",'ENTRADAS-BASE'!E449)</f>
        <v/>
      </c>
      <c r="G451" t="str">
        <f>IF('ENTRADAS-BASE'!F449="","",'ENTRADAS-BASE'!F449)</f>
        <v/>
      </c>
      <c r="H451" t="str">
        <f>IF('ENTRADAS-BASE'!G449="","",'ENTRADAS-BASE'!G449)</f>
        <v/>
      </c>
      <c r="I451" t="str">
        <f>IF('ENTRADAS-BASE'!H449="","",'ENTRADAS-BASE'!H449)</f>
        <v/>
      </c>
      <c r="J451" t="str">
        <f>IF('ENTRADAS-BASE'!I449="","",'ENTRADAS-BASE'!I449)</f>
        <v/>
      </c>
      <c r="K451" s="5" t="str">
        <f>IF('ENTRADAS-BASE'!J449="","",'ENTRADAS-BASE'!J449)</f>
        <v/>
      </c>
      <c r="L4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2" spans="2:12" x14ac:dyDescent="0.3">
      <c r="B452" t="str">
        <f>IF('ENTRADAS-BASE'!A450="","",'ENTRADAS-BASE'!A450)</f>
        <v/>
      </c>
      <c r="C452" t="str">
        <f>IF('ENTRADAS-BASE'!B450="","",'ENTRADAS-BASE'!B450)</f>
        <v/>
      </c>
      <c r="D452" t="str">
        <f>IF('ENTRADAS-BASE'!C450="","",'ENTRADAS-BASE'!C450)</f>
        <v/>
      </c>
      <c r="E452" s="7" t="str">
        <f>IF('ENTRADAS-BASE'!D450="","",'ENTRADAS-BASE'!D450)</f>
        <v/>
      </c>
      <c r="F452" s="6" t="str">
        <f>IF('ENTRADAS-BASE'!E450="","",'ENTRADAS-BASE'!E450)</f>
        <v/>
      </c>
      <c r="G452" t="str">
        <f>IF('ENTRADAS-BASE'!F450="","",'ENTRADAS-BASE'!F450)</f>
        <v/>
      </c>
      <c r="H452" t="str">
        <f>IF('ENTRADAS-BASE'!G450="","",'ENTRADAS-BASE'!G450)</f>
        <v/>
      </c>
      <c r="I452" t="str">
        <f>IF('ENTRADAS-BASE'!H450="","",'ENTRADAS-BASE'!H450)</f>
        <v/>
      </c>
      <c r="J452" t="str">
        <f>IF('ENTRADAS-BASE'!I450="","",'ENTRADAS-BASE'!I450)</f>
        <v/>
      </c>
      <c r="K452" s="5" t="str">
        <f>IF('ENTRADAS-BASE'!J450="","",'ENTRADAS-BASE'!J450)</f>
        <v/>
      </c>
      <c r="L4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3" spans="2:12" x14ac:dyDescent="0.3">
      <c r="B453" t="str">
        <f>IF('ENTRADAS-BASE'!A451="","",'ENTRADAS-BASE'!A451)</f>
        <v/>
      </c>
      <c r="C453" t="str">
        <f>IF('ENTRADAS-BASE'!B451="","",'ENTRADAS-BASE'!B451)</f>
        <v/>
      </c>
      <c r="D453" t="str">
        <f>IF('ENTRADAS-BASE'!C451="","",'ENTRADAS-BASE'!C451)</f>
        <v/>
      </c>
      <c r="E453" s="7" t="str">
        <f>IF('ENTRADAS-BASE'!D451="","",'ENTRADAS-BASE'!D451)</f>
        <v/>
      </c>
      <c r="F453" s="6" t="str">
        <f>IF('ENTRADAS-BASE'!E451="","",'ENTRADAS-BASE'!E451)</f>
        <v/>
      </c>
      <c r="G453" t="str">
        <f>IF('ENTRADAS-BASE'!F451="","",'ENTRADAS-BASE'!F451)</f>
        <v/>
      </c>
      <c r="H453" t="str">
        <f>IF('ENTRADAS-BASE'!G451="","",'ENTRADAS-BASE'!G451)</f>
        <v/>
      </c>
      <c r="I453" t="str">
        <f>IF('ENTRADAS-BASE'!H451="","",'ENTRADAS-BASE'!H451)</f>
        <v/>
      </c>
      <c r="J453" t="str">
        <f>IF('ENTRADAS-BASE'!I451="","",'ENTRADAS-BASE'!I451)</f>
        <v/>
      </c>
      <c r="K453" s="5" t="str">
        <f>IF('ENTRADAS-BASE'!J451="","",'ENTRADAS-BASE'!J451)</f>
        <v/>
      </c>
      <c r="L4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4" spans="2:12" x14ac:dyDescent="0.3">
      <c r="B454" t="str">
        <f>IF('ENTRADAS-BASE'!A452="","",'ENTRADAS-BASE'!A452)</f>
        <v/>
      </c>
      <c r="C454" t="str">
        <f>IF('ENTRADAS-BASE'!B452="","",'ENTRADAS-BASE'!B452)</f>
        <v/>
      </c>
      <c r="D454" t="str">
        <f>IF('ENTRADAS-BASE'!C452="","",'ENTRADAS-BASE'!C452)</f>
        <v/>
      </c>
      <c r="E454" s="7" t="str">
        <f>IF('ENTRADAS-BASE'!D452="","",'ENTRADAS-BASE'!D452)</f>
        <v/>
      </c>
      <c r="F454" s="6" t="str">
        <f>IF('ENTRADAS-BASE'!E452="","",'ENTRADAS-BASE'!E452)</f>
        <v/>
      </c>
      <c r="G454" t="str">
        <f>IF('ENTRADAS-BASE'!F452="","",'ENTRADAS-BASE'!F452)</f>
        <v/>
      </c>
      <c r="H454" t="str">
        <f>IF('ENTRADAS-BASE'!G452="","",'ENTRADAS-BASE'!G452)</f>
        <v/>
      </c>
      <c r="I454" t="str">
        <f>IF('ENTRADAS-BASE'!H452="","",'ENTRADAS-BASE'!H452)</f>
        <v/>
      </c>
      <c r="J454" t="str">
        <f>IF('ENTRADAS-BASE'!I452="","",'ENTRADAS-BASE'!I452)</f>
        <v/>
      </c>
      <c r="K454" s="5" t="str">
        <f>IF('ENTRADAS-BASE'!J452="","",'ENTRADAS-BASE'!J452)</f>
        <v/>
      </c>
      <c r="L4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5" spans="2:12" x14ac:dyDescent="0.3">
      <c r="B455" t="str">
        <f>IF('ENTRADAS-BASE'!A453="","",'ENTRADAS-BASE'!A453)</f>
        <v/>
      </c>
      <c r="C455" t="str">
        <f>IF('ENTRADAS-BASE'!B453="","",'ENTRADAS-BASE'!B453)</f>
        <v/>
      </c>
      <c r="D455" t="str">
        <f>IF('ENTRADAS-BASE'!C453="","",'ENTRADAS-BASE'!C453)</f>
        <v/>
      </c>
      <c r="E455" s="7" t="str">
        <f>IF('ENTRADAS-BASE'!D453="","",'ENTRADAS-BASE'!D453)</f>
        <v/>
      </c>
      <c r="F455" s="6" t="str">
        <f>IF('ENTRADAS-BASE'!E453="","",'ENTRADAS-BASE'!E453)</f>
        <v/>
      </c>
      <c r="G455" t="str">
        <f>IF('ENTRADAS-BASE'!F453="","",'ENTRADAS-BASE'!F453)</f>
        <v/>
      </c>
      <c r="H455" t="str">
        <f>IF('ENTRADAS-BASE'!G453="","",'ENTRADAS-BASE'!G453)</f>
        <v/>
      </c>
      <c r="I455" t="str">
        <f>IF('ENTRADAS-BASE'!H453="","",'ENTRADAS-BASE'!H453)</f>
        <v/>
      </c>
      <c r="J455" t="str">
        <f>IF('ENTRADAS-BASE'!I453="","",'ENTRADAS-BASE'!I453)</f>
        <v/>
      </c>
      <c r="K455" s="5" t="str">
        <f>IF('ENTRADAS-BASE'!J453="","",'ENTRADAS-BASE'!J453)</f>
        <v/>
      </c>
      <c r="L4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6" spans="2:12" x14ac:dyDescent="0.3">
      <c r="B456" t="str">
        <f>IF('ENTRADAS-BASE'!A454="","",'ENTRADAS-BASE'!A454)</f>
        <v/>
      </c>
      <c r="C456" t="str">
        <f>IF('ENTRADAS-BASE'!B454="","",'ENTRADAS-BASE'!B454)</f>
        <v/>
      </c>
      <c r="D456" t="str">
        <f>IF('ENTRADAS-BASE'!C454="","",'ENTRADAS-BASE'!C454)</f>
        <v/>
      </c>
      <c r="E456" s="7" t="str">
        <f>IF('ENTRADAS-BASE'!D454="","",'ENTRADAS-BASE'!D454)</f>
        <v/>
      </c>
      <c r="F456" s="6" t="str">
        <f>IF('ENTRADAS-BASE'!E454="","",'ENTRADAS-BASE'!E454)</f>
        <v/>
      </c>
      <c r="G456" t="str">
        <f>IF('ENTRADAS-BASE'!F454="","",'ENTRADAS-BASE'!F454)</f>
        <v/>
      </c>
      <c r="H456" t="str">
        <f>IF('ENTRADAS-BASE'!G454="","",'ENTRADAS-BASE'!G454)</f>
        <v/>
      </c>
      <c r="I456" t="str">
        <f>IF('ENTRADAS-BASE'!H454="","",'ENTRADAS-BASE'!H454)</f>
        <v/>
      </c>
      <c r="J456" t="str">
        <f>IF('ENTRADAS-BASE'!I454="","",'ENTRADAS-BASE'!I454)</f>
        <v/>
      </c>
      <c r="K456" s="5" t="str">
        <f>IF('ENTRADAS-BASE'!J454="","",'ENTRADAS-BASE'!J454)</f>
        <v/>
      </c>
      <c r="L4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7" spans="2:12" x14ac:dyDescent="0.3">
      <c r="B457" t="str">
        <f>IF('ENTRADAS-BASE'!A455="","",'ENTRADAS-BASE'!A455)</f>
        <v/>
      </c>
      <c r="C457" t="str">
        <f>IF('ENTRADAS-BASE'!B455="","",'ENTRADAS-BASE'!B455)</f>
        <v/>
      </c>
      <c r="D457" t="str">
        <f>IF('ENTRADAS-BASE'!C455="","",'ENTRADAS-BASE'!C455)</f>
        <v/>
      </c>
      <c r="E457" s="7" t="str">
        <f>IF('ENTRADAS-BASE'!D455="","",'ENTRADAS-BASE'!D455)</f>
        <v/>
      </c>
      <c r="F457" s="6" t="str">
        <f>IF('ENTRADAS-BASE'!E455="","",'ENTRADAS-BASE'!E455)</f>
        <v/>
      </c>
      <c r="G457" t="str">
        <f>IF('ENTRADAS-BASE'!F455="","",'ENTRADAS-BASE'!F455)</f>
        <v/>
      </c>
      <c r="H457" t="str">
        <f>IF('ENTRADAS-BASE'!G455="","",'ENTRADAS-BASE'!G455)</f>
        <v/>
      </c>
      <c r="I457" t="str">
        <f>IF('ENTRADAS-BASE'!H455="","",'ENTRADAS-BASE'!H455)</f>
        <v/>
      </c>
      <c r="J457" t="str">
        <f>IF('ENTRADAS-BASE'!I455="","",'ENTRADAS-BASE'!I455)</f>
        <v/>
      </c>
      <c r="K457" s="5" t="str">
        <f>IF('ENTRADAS-BASE'!J455="","",'ENTRADAS-BASE'!J455)</f>
        <v/>
      </c>
      <c r="L4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8" spans="2:12" x14ac:dyDescent="0.3">
      <c r="B458" t="str">
        <f>IF('ENTRADAS-BASE'!A456="","",'ENTRADAS-BASE'!A456)</f>
        <v/>
      </c>
      <c r="C458" t="str">
        <f>IF('ENTRADAS-BASE'!B456="","",'ENTRADAS-BASE'!B456)</f>
        <v/>
      </c>
      <c r="D458" t="str">
        <f>IF('ENTRADAS-BASE'!C456="","",'ENTRADAS-BASE'!C456)</f>
        <v/>
      </c>
      <c r="E458" s="7" t="str">
        <f>IF('ENTRADAS-BASE'!D456="","",'ENTRADAS-BASE'!D456)</f>
        <v/>
      </c>
      <c r="F458" s="6" t="str">
        <f>IF('ENTRADAS-BASE'!E456="","",'ENTRADAS-BASE'!E456)</f>
        <v/>
      </c>
      <c r="G458" t="str">
        <f>IF('ENTRADAS-BASE'!F456="","",'ENTRADAS-BASE'!F456)</f>
        <v/>
      </c>
      <c r="H458" t="str">
        <f>IF('ENTRADAS-BASE'!G456="","",'ENTRADAS-BASE'!G456)</f>
        <v/>
      </c>
      <c r="I458" t="str">
        <f>IF('ENTRADAS-BASE'!H456="","",'ENTRADAS-BASE'!H456)</f>
        <v/>
      </c>
      <c r="J458" t="str">
        <f>IF('ENTRADAS-BASE'!I456="","",'ENTRADAS-BASE'!I456)</f>
        <v/>
      </c>
      <c r="K458" s="5" t="str">
        <f>IF('ENTRADAS-BASE'!J456="","",'ENTRADAS-BASE'!J456)</f>
        <v/>
      </c>
      <c r="L4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9" spans="2:12" x14ac:dyDescent="0.3">
      <c r="B459" t="str">
        <f>IF('ENTRADAS-BASE'!A457="","",'ENTRADAS-BASE'!A457)</f>
        <v/>
      </c>
      <c r="C459" t="str">
        <f>IF('ENTRADAS-BASE'!B457="","",'ENTRADAS-BASE'!B457)</f>
        <v/>
      </c>
      <c r="D459" t="str">
        <f>IF('ENTRADAS-BASE'!C457="","",'ENTRADAS-BASE'!C457)</f>
        <v/>
      </c>
      <c r="E459" s="7" t="str">
        <f>IF('ENTRADAS-BASE'!D457="","",'ENTRADAS-BASE'!D457)</f>
        <v/>
      </c>
      <c r="F459" s="6" t="str">
        <f>IF('ENTRADAS-BASE'!E457="","",'ENTRADAS-BASE'!E457)</f>
        <v/>
      </c>
      <c r="G459" t="str">
        <f>IF('ENTRADAS-BASE'!F457="","",'ENTRADAS-BASE'!F457)</f>
        <v/>
      </c>
      <c r="H459" t="str">
        <f>IF('ENTRADAS-BASE'!G457="","",'ENTRADAS-BASE'!G457)</f>
        <v/>
      </c>
      <c r="I459" t="str">
        <f>IF('ENTRADAS-BASE'!H457="","",'ENTRADAS-BASE'!H457)</f>
        <v/>
      </c>
      <c r="J459" t="str">
        <f>IF('ENTRADAS-BASE'!I457="","",'ENTRADAS-BASE'!I457)</f>
        <v/>
      </c>
      <c r="K459" s="5" t="str">
        <f>IF('ENTRADAS-BASE'!J457="","",'ENTRADAS-BASE'!J457)</f>
        <v/>
      </c>
      <c r="L4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0" spans="2:12" x14ac:dyDescent="0.3">
      <c r="B460" t="str">
        <f>IF('ENTRADAS-BASE'!A458="","",'ENTRADAS-BASE'!A458)</f>
        <v/>
      </c>
      <c r="C460" t="str">
        <f>IF('ENTRADAS-BASE'!B458="","",'ENTRADAS-BASE'!B458)</f>
        <v/>
      </c>
      <c r="D460" t="str">
        <f>IF('ENTRADAS-BASE'!C458="","",'ENTRADAS-BASE'!C458)</f>
        <v/>
      </c>
      <c r="E460" s="7" t="str">
        <f>IF('ENTRADAS-BASE'!D458="","",'ENTRADAS-BASE'!D458)</f>
        <v/>
      </c>
      <c r="F460" s="6" t="str">
        <f>IF('ENTRADAS-BASE'!E458="","",'ENTRADAS-BASE'!E458)</f>
        <v/>
      </c>
      <c r="G460" t="str">
        <f>IF('ENTRADAS-BASE'!F458="","",'ENTRADAS-BASE'!F458)</f>
        <v/>
      </c>
      <c r="H460" t="str">
        <f>IF('ENTRADAS-BASE'!G458="","",'ENTRADAS-BASE'!G458)</f>
        <v/>
      </c>
      <c r="I460" t="str">
        <f>IF('ENTRADAS-BASE'!H458="","",'ENTRADAS-BASE'!H458)</f>
        <v/>
      </c>
      <c r="J460" t="str">
        <f>IF('ENTRADAS-BASE'!I458="","",'ENTRADAS-BASE'!I458)</f>
        <v/>
      </c>
      <c r="K460" s="5" t="str">
        <f>IF('ENTRADAS-BASE'!J458="","",'ENTRADAS-BASE'!J458)</f>
        <v/>
      </c>
      <c r="L4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1" spans="2:12" x14ac:dyDescent="0.3">
      <c r="B461" t="str">
        <f>IF('ENTRADAS-BASE'!A459="","",'ENTRADAS-BASE'!A459)</f>
        <v/>
      </c>
      <c r="C461" t="str">
        <f>IF('ENTRADAS-BASE'!B459="","",'ENTRADAS-BASE'!B459)</f>
        <v/>
      </c>
      <c r="D461" t="str">
        <f>IF('ENTRADAS-BASE'!C459="","",'ENTRADAS-BASE'!C459)</f>
        <v/>
      </c>
      <c r="E461" s="7" t="str">
        <f>IF('ENTRADAS-BASE'!D459="","",'ENTRADAS-BASE'!D459)</f>
        <v/>
      </c>
      <c r="F461" s="6" t="str">
        <f>IF('ENTRADAS-BASE'!E459="","",'ENTRADAS-BASE'!E459)</f>
        <v/>
      </c>
      <c r="G461" t="str">
        <f>IF('ENTRADAS-BASE'!F459="","",'ENTRADAS-BASE'!F459)</f>
        <v/>
      </c>
      <c r="H461" t="str">
        <f>IF('ENTRADAS-BASE'!G459="","",'ENTRADAS-BASE'!G459)</f>
        <v/>
      </c>
      <c r="I461" t="str">
        <f>IF('ENTRADAS-BASE'!H459="","",'ENTRADAS-BASE'!H459)</f>
        <v/>
      </c>
      <c r="J461" t="str">
        <f>IF('ENTRADAS-BASE'!I459="","",'ENTRADAS-BASE'!I459)</f>
        <v/>
      </c>
      <c r="K461" s="5" t="str">
        <f>IF('ENTRADAS-BASE'!J459="","",'ENTRADAS-BASE'!J459)</f>
        <v/>
      </c>
      <c r="L4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2" spans="2:12" x14ac:dyDescent="0.3">
      <c r="B462" t="str">
        <f>IF('ENTRADAS-BASE'!A460="","",'ENTRADAS-BASE'!A460)</f>
        <v/>
      </c>
      <c r="C462" t="str">
        <f>IF('ENTRADAS-BASE'!B460="","",'ENTRADAS-BASE'!B460)</f>
        <v/>
      </c>
      <c r="D462" t="str">
        <f>IF('ENTRADAS-BASE'!C460="","",'ENTRADAS-BASE'!C460)</f>
        <v/>
      </c>
      <c r="E462" s="7" t="str">
        <f>IF('ENTRADAS-BASE'!D460="","",'ENTRADAS-BASE'!D460)</f>
        <v/>
      </c>
      <c r="F462" s="6" t="str">
        <f>IF('ENTRADAS-BASE'!E460="","",'ENTRADAS-BASE'!E460)</f>
        <v/>
      </c>
      <c r="G462" t="str">
        <f>IF('ENTRADAS-BASE'!F460="","",'ENTRADAS-BASE'!F460)</f>
        <v/>
      </c>
      <c r="H462" t="str">
        <f>IF('ENTRADAS-BASE'!G460="","",'ENTRADAS-BASE'!G460)</f>
        <v/>
      </c>
      <c r="I462" t="str">
        <f>IF('ENTRADAS-BASE'!H460="","",'ENTRADAS-BASE'!H460)</f>
        <v/>
      </c>
      <c r="J462" t="str">
        <f>IF('ENTRADAS-BASE'!I460="","",'ENTRADAS-BASE'!I460)</f>
        <v/>
      </c>
      <c r="K462" s="5" t="str">
        <f>IF('ENTRADAS-BASE'!J460="","",'ENTRADAS-BASE'!J460)</f>
        <v/>
      </c>
      <c r="L4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3" spans="2:12" x14ac:dyDescent="0.3">
      <c r="B463" t="str">
        <f>IF('ENTRADAS-BASE'!A461="","",'ENTRADAS-BASE'!A461)</f>
        <v/>
      </c>
      <c r="C463" t="str">
        <f>IF('ENTRADAS-BASE'!B461="","",'ENTRADAS-BASE'!B461)</f>
        <v/>
      </c>
      <c r="D463" t="str">
        <f>IF('ENTRADAS-BASE'!C461="","",'ENTRADAS-BASE'!C461)</f>
        <v/>
      </c>
      <c r="E463" s="7" t="str">
        <f>IF('ENTRADAS-BASE'!D461="","",'ENTRADAS-BASE'!D461)</f>
        <v/>
      </c>
      <c r="F463" s="6" t="str">
        <f>IF('ENTRADAS-BASE'!E461="","",'ENTRADAS-BASE'!E461)</f>
        <v/>
      </c>
      <c r="G463" t="str">
        <f>IF('ENTRADAS-BASE'!F461="","",'ENTRADAS-BASE'!F461)</f>
        <v/>
      </c>
      <c r="H463" t="str">
        <f>IF('ENTRADAS-BASE'!G461="","",'ENTRADAS-BASE'!G461)</f>
        <v/>
      </c>
      <c r="I463" t="str">
        <f>IF('ENTRADAS-BASE'!H461="","",'ENTRADAS-BASE'!H461)</f>
        <v/>
      </c>
      <c r="J463" t="str">
        <f>IF('ENTRADAS-BASE'!I461="","",'ENTRADAS-BASE'!I461)</f>
        <v/>
      </c>
      <c r="K463" s="5" t="str">
        <f>IF('ENTRADAS-BASE'!J461="","",'ENTRADAS-BASE'!J461)</f>
        <v/>
      </c>
      <c r="L4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4" spans="2:12" x14ac:dyDescent="0.3">
      <c r="B464" t="str">
        <f>IF('ENTRADAS-BASE'!A462="","",'ENTRADAS-BASE'!A462)</f>
        <v/>
      </c>
      <c r="C464" t="str">
        <f>IF('ENTRADAS-BASE'!B462="","",'ENTRADAS-BASE'!B462)</f>
        <v/>
      </c>
      <c r="D464" t="str">
        <f>IF('ENTRADAS-BASE'!C462="","",'ENTRADAS-BASE'!C462)</f>
        <v/>
      </c>
      <c r="E464" s="7" t="str">
        <f>IF('ENTRADAS-BASE'!D462="","",'ENTRADAS-BASE'!D462)</f>
        <v/>
      </c>
      <c r="F464" s="6" t="str">
        <f>IF('ENTRADAS-BASE'!E462="","",'ENTRADAS-BASE'!E462)</f>
        <v/>
      </c>
      <c r="G464" t="str">
        <f>IF('ENTRADAS-BASE'!F462="","",'ENTRADAS-BASE'!F462)</f>
        <v/>
      </c>
      <c r="H464" t="str">
        <f>IF('ENTRADAS-BASE'!G462="","",'ENTRADAS-BASE'!G462)</f>
        <v/>
      </c>
      <c r="I464" t="str">
        <f>IF('ENTRADAS-BASE'!H462="","",'ENTRADAS-BASE'!H462)</f>
        <v/>
      </c>
      <c r="J464" t="str">
        <f>IF('ENTRADAS-BASE'!I462="","",'ENTRADAS-BASE'!I462)</f>
        <v/>
      </c>
      <c r="K464" s="5" t="str">
        <f>IF('ENTRADAS-BASE'!J462="","",'ENTRADAS-BASE'!J462)</f>
        <v/>
      </c>
      <c r="L4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5" spans="2:12" x14ac:dyDescent="0.3">
      <c r="B465" t="str">
        <f>IF('ENTRADAS-BASE'!A463="","",'ENTRADAS-BASE'!A463)</f>
        <v/>
      </c>
      <c r="C465" t="str">
        <f>IF('ENTRADAS-BASE'!B463="","",'ENTRADAS-BASE'!B463)</f>
        <v/>
      </c>
      <c r="D465" t="str">
        <f>IF('ENTRADAS-BASE'!C463="","",'ENTRADAS-BASE'!C463)</f>
        <v/>
      </c>
      <c r="E465" s="7" t="str">
        <f>IF('ENTRADAS-BASE'!D463="","",'ENTRADAS-BASE'!D463)</f>
        <v/>
      </c>
      <c r="F465" s="6" t="str">
        <f>IF('ENTRADAS-BASE'!E463="","",'ENTRADAS-BASE'!E463)</f>
        <v/>
      </c>
      <c r="G465" t="str">
        <f>IF('ENTRADAS-BASE'!F463="","",'ENTRADAS-BASE'!F463)</f>
        <v/>
      </c>
      <c r="H465" t="str">
        <f>IF('ENTRADAS-BASE'!G463="","",'ENTRADAS-BASE'!G463)</f>
        <v/>
      </c>
      <c r="I465" t="str">
        <f>IF('ENTRADAS-BASE'!H463="","",'ENTRADAS-BASE'!H463)</f>
        <v/>
      </c>
      <c r="J465" t="str">
        <f>IF('ENTRADAS-BASE'!I463="","",'ENTRADAS-BASE'!I463)</f>
        <v/>
      </c>
      <c r="K465" s="5" t="str">
        <f>IF('ENTRADAS-BASE'!J463="","",'ENTRADAS-BASE'!J463)</f>
        <v/>
      </c>
      <c r="L4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6" spans="2:12" x14ac:dyDescent="0.3">
      <c r="B466" t="str">
        <f>IF('ENTRADAS-BASE'!A464="","",'ENTRADAS-BASE'!A464)</f>
        <v/>
      </c>
      <c r="C466" t="str">
        <f>IF('ENTRADAS-BASE'!B464="","",'ENTRADAS-BASE'!B464)</f>
        <v/>
      </c>
      <c r="D466" t="str">
        <f>IF('ENTRADAS-BASE'!C464="","",'ENTRADAS-BASE'!C464)</f>
        <v/>
      </c>
      <c r="E466" s="7" t="str">
        <f>IF('ENTRADAS-BASE'!D464="","",'ENTRADAS-BASE'!D464)</f>
        <v/>
      </c>
      <c r="F466" s="6" t="str">
        <f>IF('ENTRADAS-BASE'!E464="","",'ENTRADAS-BASE'!E464)</f>
        <v/>
      </c>
      <c r="G466" t="str">
        <f>IF('ENTRADAS-BASE'!F464="","",'ENTRADAS-BASE'!F464)</f>
        <v/>
      </c>
      <c r="H466" t="str">
        <f>IF('ENTRADAS-BASE'!G464="","",'ENTRADAS-BASE'!G464)</f>
        <v/>
      </c>
      <c r="I466" t="str">
        <f>IF('ENTRADAS-BASE'!H464="","",'ENTRADAS-BASE'!H464)</f>
        <v/>
      </c>
      <c r="J466" t="str">
        <f>IF('ENTRADAS-BASE'!I464="","",'ENTRADAS-BASE'!I464)</f>
        <v/>
      </c>
      <c r="K466" s="5" t="str">
        <f>IF('ENTRADAS-BASE'!J464="","",'ENTRADAS-BASE'!J464)</f>
        <v/>
      </c>
      <c r="L4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7" spans="2:12" x14ac:dyDescent="0.3">
      <c r="B467" t="str">
        <f>IF('ENTRADAS-BASE'!A465="","",'ENTRADAS-BASE'!A465)</f>
        <v/>
      </c>
      <c r="C467" t="str">
        <f>IF('ENTRADAS-BASE'!B465="","",'ENTRADAS-BASE'!B465)</f>
        <v/>
      </c>
      <c r="D467" t="str">
        <f>IF('ENTRADAS-BASE'!C465="","",'ENTRADAS-BASE'!C465)</f>
        <v/>
      </c>
      <c r="E467" s="7" t="str">
        <f>IF('ENTRADAS-BASE'!D465="","",'ENTRADAS-BASE'!D465)</f>
        <v/>
      </c>
      <c r="F467" s="6" t="str">
        <f>IF('ENTRADAS-BASE'!E465="","",'ENTRADAS-BASE'!E465)</f>
        <v/>
      </c>
      <c r="G467" t="str">
        <f>IF('ENTRADAS-BASE'!F465="","",'ENTRADAS-BASE'!F465)</f>
        <v/>
      </c>
      <c r="H467" t="str">
        <f>IF('ENTRADAS-BASE'!G465="","",'ENTRADAS-BASE'!G465)</f>
        <v/>
      </c>
      <c r="I467" t="str">
        <f>IF('ENTRADAS-BASE'!H465="","",'ENTRADAS-BASE'!H465)</f>
        <v/>
      </c>
      <c r="J467" t="str">
        <f>IF('ENTRADAS-BASE'!I465="","",'ENTRADAS-BASE'!I465)</f>
        <v/>
      </c>
      <c r="K467" s="5" t="str">
        <f>IF('ENTRADAS-BASE'!J465="","",'ENTRADAS-BASE'!J465)</f>
        <v/>
      </c>
      <c r="L4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8" spans="2:12" x14ac:dyDescent="0.3">
      <c r="B468" t="str">
        <f>IF('ENTRADAS-BASE'!A466="","",'ENTRADAS-BASE'!A466)</f>
        <v/>
      </c>
      <c r="C468" t="str">
        <f>IF('ENTRADAS-BASE'!B466="","",'ENTRADAS-BASE'!B466)</f>
        <v/>
      </c>
      <c r="D468" t="str">
        <f>IF('ENTRADAS-BASE'!C466="","",'ENTRADAS-BASE'!C466)</f>
        <v/>
      </c>
      <c r="E468" s="7" t="str">
        <f>IF('ENTRADAS-BASE'!D466="","",'ENTRADAS-BASE'!D466)</f>
        <v/>
      </c>
      <c r="F468" s="6" t="str">
        <f>IF('ENTRADAS-BASE'!E466="","",'ENTRADAS-BASE'!E466)</f>
        <v/>
      </c>
      <c r="G468" t="str">
        <f>IF('ENTRADAS-BASE'!F466="","",'ENTRADAS-BASE'!F466)</f>
        <v/>
      </c>
      <c r="H468" t="str">
        <f>IF('ENTRADAS-BASE'!G466="","",'ENTRADAS-BASE'!G466)</f>
        <v/>
      </c>
      <c r="I468" t="str">
        <f>IF('ENTRADAS-BASE'!H466="","",'ENTRADAS-BASE'!H466)</f>
        <v/>
      </c>
      <c r="J468" t="str">
        <f>IF('ENTRADAS-BASE'!I466="","",'ENTRADAS-BASE'!I466)</f>
        <v/>
      </c>
      <c r="K468" s="5" t="str">
        <f>IF('ENTRADAS-BASE'!J466="","",'ENTRADAS-BASE'!J466)</f>
        <v/>
      </c>
      <c r="L4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9" spans="2:12" x14ac:dyDescent="0.3">
      <c r="B469" t="str">
        <f>IF('ENTRADAS-BASE'!A467="","",'ENTRADAS-BASE'!A467)</f>
        <v/>
      </c>
      <c r="C469" t="str">
        <f>IF('ENTRADAS-BASE'!B467="","",'ENTRADAS-BASE'!B467)</f>
        <v/>
      </c>
      <c r="D469" t="str">
        <f>IF('ENTRADAS-BASE'!C467="","",'ENTRADAS-BASE'!C467)</f>
        <v/>
      </c>
      <c r="E469" s="7" t="str">
        <f>IF('ENTRADAS-BASE'!D467="","",'ENTRADAS-BASE'!D467)</f>
        <v/>
      </c>
      <c r="F469" s="6" t="str">
        <f>IF('ENTRADAS-BASE'!E467="","",'ENTRADAS-BASE'!E467)</f>
        <v/>
      </c>
      <c r="G469" t="str">
        <f>IF('ENTRADAS-BASE'!F467="","",'ENTRADAS-BASE'!F467)</f>
        <v/>
      </c>
      <c r="H469" t="str">
        <f>IF('ENTRADAS-BASE'!G467="","",'ENTRADAS-BASE'!G467)</f>
        <v/>
      </c>
      <c r="I469" t="str">
        <f>IF('ENTRADAS-BASE'!H467="","",'ENTRADAS-BASE'!H467)</f>
        <v/>
      </c>
      <c r="J469" t="str">
        <f>IF('ENTRADAS-BASE'!I467="","",'ENTRADAS-BASE'!I467)</f>
        <v/>
      </c>
      <c r="K469" s="5" t="str">
        <f>IF('ENTRADAS-BASE'!J467="","",'ENTRADAS-BASE'!J467)</f>
        <v/>
      </c>
      <c r="L4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0" spans="2:12" x14ac:dyDescent="0.3">
      <c r="B470" t="str">
        <f>IF('ENTRADAS-BASE'!A468="","",'ENTRADAS-BASE'!A468)</f>
        <v/>
      </c>
      <c r="C470" t="str">
        <f>IF('ENTRADAS-BASE'!B468="","",'ENTRADAS-BASE'!B468)</f>
        <v/>
      </c>
      <c r="D470" t="str">
        <f>IF('ENTRADAS-BASE'!C468="","",'ENTRADAS-BASE'!C468)</f>
        <v/>
      </c>
      <c r="E470" s="7" t="str">
        <f>IF('ENTRADAS-BASE'!D468="","",'ENTRADAS-BASE'!D468)</f>
        <v/>
      </c>
      <c r="F470" s="6" t="str">
        <f>IF('ENTRADAS-BASE'!E468="","",'ENTRADAS-BASE'!E468)</f>
        <v/>
      </c>
      <c r="G470" t="str">
        <f>IF('ENTRADAS-BASE'!F468="","",'ENTRADAS-BASE'!F468)</f>
        <v/>
      </c>
      <c r="H470" t="str">
        <f>IF('ENTRADAS-BASE'!G468="","",'ENTRADAS-BASE'!G468)</f>
        <v/>
      </c>
      <c r="I470" t="str">
        <f>IF('ENTRADAS-BASE'!H468="","",'ENTRADAS-BASE'!H468)</f>
        <v/>
      </c>
      <c r="J470" t="str">
        <f>IF('ENTRADAS-BASE'!I468="","",'ENTRADAS-BASE'!I468)</f>
        <v/>
      </c>
      <c r="K470" s="5" t="str">
        <f>IF('ENTRADAS-BASE'!J468="","",'ENTRADAS-BASE'!J468)</f>
        <v/>
      </c>
      <c r="L4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1" spans="2:12" x14ac:dyDescent="0.3">
      <c r="B471" t="str">
        <f>IF('ENTRADAS-BASE'!A469="","",'ENTRADAS-BASE'!A469)</f>
        <v/>
      </c>
      <c r="C471" t="str">
        <f>IF('ENTRADAS-BASE'!B469="","",'ENTRADAS-BASE'!B469)</f>
        <v/>
      </c>
      <c r="D471" t="str">
        <f>IF('ENTRADAS-BASE'!C469="","",'ENTRADAS-BASE'!C469)</f>
        <v/>
      </c>
      <c r="E471" s="7" t="str">
        <f>IF('ENTRADAS-BASE'!D469="","",'ENTRADAS-BASE'!D469)</f>
        <v/>
      </c>
      <c r="F471" s="6" t="str">
        <f>IF('ENTRADAS-BASE'!E469="","",'ENTRADAS-BASE'!E469)</f>
        <v/>
      </c>
      <c r="G471" t="str">
        <f>IF('ENTRADAS-BASE'!F469="","",'ENTRADAS-BASE'!F469)</f>
        <v/>
      </c>
      <c r="H471" t="str">
        <f>IF('ENTRADAS-BASE'!G469="","",'ENTRADAS-BASE'!G469)</f>
        <v/>
      </c>
      <c r="I471" t="str">
        <f>IF('ENTRADAS-BASE'!H469="","",'ENTRADAS-BASE'!H469)</f>
        <v/>
      </c>
      <c r="J471" t="str">
        <f>IF('ENTRADAS-BASE'!I469="","",'ENTRADAS-BASE'!I469)</f>
        <v/>
      </c>
      <c r="K471" s="5" t="str">
        <f>IF('ENTRADAS-BASE'!J469="","",'ENTRADAS-BASE'!J469)</f>
        <v/>
      </c>
      <c r="L4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2" spans="2:12" x14ac:dyDescent="0.3">
      <c r="B472" t="str">
        <f>IF('ENTRADAS-BASE'!A470="","",'ENTRADAS-BASE'!A470)</f>
        <v/>
      </c>
      <c r="C472" t="str">
        <f>IF('ENTRADAS-BASE'!B470="","",'ENTRADAS-BASE'!B470)</f>
        <v/>
      </c>
      <c r="D472" t="str">
        <f>IF('ENTRADAS-BASE'!C470="","",'ENTRADAS-BASE'!C470)</f>
        <v/>
      </c>
      <c r="E472" s="7" t="str">
        <f>IF('ENTRADAS-BASE'!D470="","",'ENTRADAS-BASE'!D470)</f>
        <v/>
      </c>
      <c r="F472" s="6" t="str">
        <f>IF('ENTRADAS-BASE'!E470="","",'ENTRADAS-BASE'!E470)</f>
        <v/>
      </c>
      <c r="G472" t="str">
        <f>IF('ENTRADAS-BASE'!F470="","",'ENTRADAS-BASE'!F470)</f>
        <v/>
      </c>
      <c r="H472" t="str">
        <f>IF('ENTRADAS-BASE'!G470="","",'ENTRADAS-BASE'!G470)</f>
        <v/>
      </c>
      <c r="I472" t="str">
        <f>IF('ENTRADAS-BASE'!H470="","",'ENTRADAS-BASE'!H470)</f>
        <v/>
      </c>
      <c r="J472" t="str">
        <f>IF('ENTRADAS-BASE'!I470="","",'ENTRADAS-BASE'!I470)</f>
        <v/>
      </c>
      <c r="K472" s="5" t="str">
        <f>IF('ENTRADAS-BASE'!J470="","",'ENTRADAS-BASE'!J470)</f>
        <v/>
      </c>
      <c r="L4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3" spans="2:12" x14ac:dyDescent="0.3">
      <c r="B473" t="str">
        <f>IF('ENTRADAS-BASE'!A471="","",'ENTRADAS-BASE'!A471)</f>
        <v/>
      </c>
      <c r="C473" t="str">
        <f>IF('ENTRADAS-BASE'!B471="","",'ENTRADAS-BASE'!B471)</f>
        <v/>
      </c>
      <c r="D473" t="str">
        <f>IF('ENTRADAS-BASE'!C471="","",'ENTRADAS-BASE'!C471)</f>
        <v/>
      </c>
      <c r="E473" s="7" t="str">
        <f>IF('ENTRADAS-BASE'!D471="","",'ENTRADAS-BASE'!D471)</f>
        <v/>
      </c>
      <c r="F473" s="6" t="str">
        <f>IF('ENTRADAS-BASE'!E471="","",'ENTRADAS-BASE'!E471)</f>
        <v/>
      </c>
      <c r="G473" t="str">
        <f>IF('ENTRADAS-BASE'!F471="","",'ENTRADAS-BASE'!F471)</f>
        <v/>
      </c>
      <c r="H473" t="str">
        <f>IF('ENTRADAS-BASE'!G471="","",'ENTRADAS-BASE'!G471)</f>
        <v/>
      </c>
      <c r="I473" t="str">
        <f>IF('ENTRADAS-BASE'!H471="","",'ENTRADAS-BASE'!H471)</f>
        <v/>
      </c>
      <c r="J473" t="str">
        <f>IF('ENTRADAS-BASE'!I471="","",'ENTRADAS-BASE'!I471)</f>
        <v/>
      </c>
      <c r="K473" s="5" t="str">
        <f>IF('ENTRADAS-BASE'!J471="","",'ENTRADAS-BASE'!J471)</f>
        <v/>
      </c>
      <c r="L4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4" spans="2:12" x14ac:dyDescent="0.3">
      <c r="B474" t="str">
        <f>IF('ENTRADAS-BASE'!A472="","",'ENTRADAS-BASE'!A472)</f>
        <v/>
      </c>
      <c r="C474" t="str">
        <f>IF('ENTRADAS-BASE'!B472="","",'ENTRADAS-BASE'!B472)</f>
        <v/>
      </c>
      <c r="D474" t="str">
        <f>IF('ENTRADAS-BASE'!C472="","",'ENTRADAS-BASE'!C472)</f>
        <v/>
      </c>
      <c r="E474" s="7" t="str">
        <f>IF('ENTRADAS-BASE'!D472="","",'ENTRADAS-BASE'!D472)</f>
        <v/>
      </c>
      <c r="F474" s="6" t="str">
        <f>IF('ENTRADAS-BASE'!E472="","",'ENTRADAS-BASE'!E472)</f>
        <v/>
      </c>
      <c r="G474" t="str">
        <f>IF('ENTRADAS-BASE'!F472="","",'ENTRADAS-BASE'!F472)</f>
        <v/>
      </c>
      <c r="H474" t="str">
        <f>IF('ENTRADAS-BASE'!G472="","",'ENTRADAS-BASE'!G472)</f>
        <v/>
      </c>
      <c r="I474" t="str">
        <f>IF('ENTRADAS-BASE'!H472="","",'ENTRADAS-BASE'!H472)</f>
        <v/>
      </c>
      <c r="J474" t="str">
        <f>IF('ENTRADAS-BASE'!I472="","",'ENTRADAS-BASE'!I472)</f>
        <v/>
      </c>
      <c r="K474" s="5" t="str">
        <f>IF('ENTRADAS-BASE'!J472="","",'ENTRADAS-BASE'!J472)</f>
        <v/>
      </c>
      <c r="L4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5" spans="2:12" x14ac:dyDescent="0.3">
      <c r="B475" t="str">
        <f>IF('ENTRADAS-BASE'!A473="","",'ENTRADAS-BASE'!A473)</f>
        <v/>
      </c>
      <c r="C475" t="str">
        <f>IF('ENTRADAS-BASE'!B473="","",'ENTRADAS-BASE'!B473)</f>
        <v/>
      </c>
      <c r="D475" t="str">
        <f>IF('ENTRADAS-BASE'!C473="","",'ENTRADAS-BASE'!C473)</f>
        <v/>
      </c>
      <c r="E475" s="7" t="str">
        <f>IF('ENTRADAS-BASE'!D473="","",'ENTRADAS-BASE'!D473)</f>
        <v/>
      </c>
      <c r="F475" s="6" t="str">
        <f>IF('ENTRADAS-BASE'!E473="","",'ENTRADAS-BASE'!E473)</f>
        <v/>
      </c>
      <c r="G475" t="str">
        <f>IF('ENTRADAS-BASE'!F473="","",'ENTRADAS-BASE'!F473)</f>
        <v/>
      </c>
      <c r="H475" t="str">
        <f>IF('ENTRADAS-BASE'!G473="","",'ENTRADAS-BASE'!G473)</f>
        <v/>
      </c>
      <c r="I475" t="str">
        <f>IF('ENTRADAS-BASE'!H473="","",'ENTRADAS-BASE'!H473)</f>
        <v/>
      </c>
      <c r="J475" t="str">
        <f>IF('ENTRADAS-BASE'!I473="","",'ENTRADAS-BASE'!I473)</f>
        <v/>
      </c>
      <c r="K475" s="5" t="str">
        <f>IF('ENTRADAS-BASE'!J473="","",'ENTRADAS-BASE'!J473)</f>
        <v/>
      </c>
      <c r="L4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6" spans="2:12" x14ac:dyDescent="0.3">
      <c r="B476" t="str">
        <f>IF('ENTRADAS-BASE'!A474="","",'ENTRADAS-BASE'!A474)</f>
        <v/>
      </c>
      <c r="C476" t="str">
        <f>IF('ENTRADAS-BASE'!B474="","",'ENTRADAS-BASE'!B474)</f>
        <v/>
      </c>
      <c r="D476" t="str">
        <f>IF('ENTRADAS-BASE'!C474="","",'ENTRADAS-BASE'!C474)</f>
        <v/>
      </c>
      <c r="E476" s="7" t="str">
        <f>IF('ENTRADAS-BASE'!D474="","",'ENTRADAS-BASE'!D474)</f>
        <v/>
      </c>
      <c r="F476" s="6" t="str">
        <f>IF('ENTRADAS-BASE'!E474="","",'ENTRADAS-BASE'!E474)</f>
        <v/>
      </c>
      <c r="G476" t="str">
        <f>IF('ENTRADAS-BASE'!F474="","",'ENTRADAS-BASE'!F474)</f>
        <v/>
      </c>
      <c r="H476" t="str">
        <f>IF('ENTRADAS-BASE'!G474="","",'ENTRADAS-BASE'!G474)</f>
        <v/>
      </c>
      <c r="I476" t="str">
        <f>IF('ENTRADAS-BASE'!H474="","",'ENTRADAS-BASE'!H474)</f>
        <v/>
      </c>
      <c r="J476" t="str">
        <f>IF('ENTRADAS-BASE'!I474="","",'ENTRADAS-BASE'!I474)</f>
        <v/>
      </c>
      <c r="K476" s="5" t="str">
        <f>IF('ENTRADAS-BASE'!J474="","",'ENTRADAS-BASE'!J474)</f>
        <v/>
      </c>
      <c r="L4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7" spans="2:12" x14ac:dyDescent="0.3">
      <c r="B477" t="str">
        <f>IF('ENTRADAS-BASE'!A475="","",'ENTRADAS-BASE'!A475)</f>
        <v/>
      </c>
      <c r="C477" t="str">
        <f>IF('ENTRADAS-BASE'!B475="","",'ENTRADAS-BASE'!B475)</f>
        <v/>
      </c>
      <c r="D477" t="str">
        <f>IF('ENTRADAS-BASE'!C475="","",'ENTRADAS-BASE'!C475)</f>
        <v/>
      </c>
      <c r="E477" s="7" t="str">
        <f>IF('ENTRADAS-BASE'!D475="","",'ENTRADAS-BASE'!D475)</f>
        <v/>
      </c>
      <c r="F477" s="6" t="str">
        <f>IF('ENTRADAS-BASE'!E475="","",'ENTRADAS-BASE'!E475)</f>
        <v/>
      </c>
      <c r="G477" t="str">
        <f>IF('ENTRADAS-BASE'!F475="","",'ENTRADAS-BASE'!F475)</f>
        <v/>
      </c>
      <c r="H477" t="str">
        <f>IF('ENTRADAS-BASE'!G475="","",'ENTRADAS-BASE'!G475)</f>
        <v/>
      </c>
      <c r="I477" t="str">
        <f>IF('ENTRADAS-BASE'!H475="","",'ENTRADAS-BASE'!H475)</f>
        <v/>
      </c>
      <c r="J477" t="str">
        <f>IF('ENTRADAS-BASE'!I475="","",'ENTRADAS-BASE'!I475)</f>
        <v/>
      </c>
      <c r="K477" s="5" t="str">
        <f>IF('ENTRADAS-BASE'!J475="","",'ENTRADAS-BASE'!J475)</f>
        <v/>
      </c>
      <c r="L4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8" spans="2:12" x14ac:dyDescent="0.3">
      <c r="B478" t="str">
        <f>IF('ENTRADAS-BASE'!A476="","",'ENTRADAS-BASE'!A476)</f>
        <v/>
      </c>
      <c r="C478" t="str">
        <f>IF('ENTRADAS-BASE'!B476="","",'ENTRADAS-BASE'!B476)</f>
        <v/>
      </c>
      <c r="D478" t="str">
        <f>IF('ENTRADAS-BASE'!C476="","",'ENTRADAS-BASE'!C476)</f>
        <v/>
      </c>
      <c r="E478" s="7" t="str">
        <f>IF('ENTRADAS-BASE'!D476="","",'ENTRADAS-BASE'!D476)</f>
        <v/>
      </c>
      <c r="F478" s="6" t="str">
        <f>IF('ENTRADAS-BASE'!E476="","",'ENTRADAS-BASE'!E476)</f>
        <v/>
      </c>
      <c r="G478" t="str">
        <f>IF('ENTRADAS-BASE'!F476="","",'ENTRADAS-BASE'!F476)</f>
        <v/>
      </c>
      <c r="H478" t="str">
        <f>IF('ENTRADAS-BASE'!G476="","",'ENTRADAS-BASE'!G476)</f>
        <v/>
      </c>
      <c r="I478" t="str">
        <f>IF('ENTRADAS-BASE'!H476="","",'ENTRADAS-BASE'!H476)</f>
        <v/>
      </c>
      <c r="J478" t="str">
        <f>IF('ENTRADAS-BASE'!I476="","",'ENTRADAS-BASE'!I476)</f>
        <v/>
      </c>
      <c r="K478" s="5" t="str">
        <f>IF('ENTRADAS-BASE'!J476="","",'ENTRADAS-BASE'!J476)</f>
        <v/>
      </c>
      <c r="L4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9" spans="2:12" x14ac:dyDescent="0.3">
      <c r="B479" t="str">
        <f>IF('ENTRADAS-BASE'!A477="","",'ENTRADAS-BASE'!A477)</f>
        <v/>
      </c>
      <c r="C479" t="str">
        <f>IF('ENTRADAS-BASE'!B477="","",'ENTRADAS-BASE'!B477)</f>
        <v/>
      </c>
      <c r="D479" t="str">
        <f>IF('ENTRADAS-BASE'!C477="","",'ENTRADAS-BASE'!C477)</f>
        <v/>
      </c>
      <c r="E479" s="7" t="str">
        <f>IF('ENTRADAS-BASE'!D477="","",'ENTRADAS-BASE'!D477)</f>
        <v/>
      </c>
      <c r="F479" s="6" t="str">
        <f>IF('ENTRADAS-BASE'!E477="","",'ENTRADAS-BASE'!E477)</f>
        <v/>
      </c>
      <c r="G479" t="str">
        <f>IF('ENTRADAS-BASE'!F477="","",'ENTRADAS-BASE'!F477)</f>
        <v/>
      </c>
      <c r="H479" t="str">
        <f>IF('ENTRADAS-BASE'!G477="","",'ENTRADAS-BASE'!G477)</f>
        <v/>
      </c>
      <c r="I479" t="str">
        <f>IF('ENTRADAS-BASE'!H477="","",'ENTRADAS-BASE'!H477)</f>
        <v/>
      </c>
      <c r="J479" t="str">
        <f>IF('ENTRADAS-BASE'!I477="","",'ENTRADAS-BASE'!I477)</f>
        <v/>
      </c>
      <c r="K479" s="5" t="str">
        <f>IF('ENTRADAS-BASE'!J477="","",'ENTRADAS-BASE'!J477)</f>
        <v/>
      </c>
      <c r="L4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0" spans="2:12" x14ac:dyDescent="0.3">
      <c r="B480" t="str">
        <f>IF('ENTRADAS-BASE'!A478="","",'ENTRADAS-BASE'!A478)</f>
        <v/>
      </c>
      <c r="C480" t="str">
        <f>IF('ENTRADAS-BASE'!B478="","",'ENTRADAS-BASE'!B478)</f>
        <v/>
      </c>
      <c r="D480" t="str">
        <f>IF('ENTRADAS-BASE'!C478="","",'ENTRADAS-BASE'!C478)</f>
        <v/>
      </c>
      <c r="E480" s="7" t="str">
        <f>IF('ENTRADAS-BASE'!D478="","",'ENTRADAS-BASE'!D478)</f>
        <v/>
      </c>
      <c r="F480" s="6" t="str">
        <f>IF('ENTRADAS-BASE'!E478="","",'ENTRADAS-BASE'!E478)</f>
        <v/>
      </c>
      <c r="G480" t="str">
        <f>IF('ENTRADAS-BASE'!F478="","",'ENTRADAS-BASE'!F478)</f>
        <v/>
      </c>
      <c r="H480" t="str">
        <f>IF('ENTRADAS-BASE'!G478="","",'ENTRADAS-BASE'!G478)</f>
        <v/>
      </c>
      <c r="I480" t="str">
        <f>IF('ENTRADAS-BASE'!H478="","",'ENTRADAS-BASE'!H478)</f>
        <v/>
      </c>
      <c r="J480" t="str">
        <f>IF('ENTRADAS-BASE'!I478="","",'ENTRADAS-BASE'!I478)</f>
        <v/>
      </c>
      <c r="K480" s="5" t="str">
        <f>IF('ENTRADAS-BASE'!J478="","",'ENTRADAS-BASE'!J478)</f>
        <v/>
      </c>
      <c r="L4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1" spans="2:12" x14ac:dyDescent="0.3">
      <c r="B481" t="str">
        <f>IF('ENTRADAS-BASE'!A479="","",'ENTRADAS-BASE'!A479)</f>
        <v/>
      </c>
      <c r="C481" t="str">
        <f>IF('ENTRADAS-BASE'!B479="","",'ENTRADAS-BASE'!B479)</f>
        <v/>
      </c>
      <c r="D481" t="str">
        <f>IF('ENTRADAS-BASE'!C479="","",'ENTRADAS-BASE'!C479)</f>
        <v/>
      </c>
      <c r="E481" s="7" t="str">
        <f>IF('ENTRADAS-BASE'!D479="","",'ENTRADAS-BASE'!D479)</f>
        <v/>
      </c>
      <c r="F481" s="6" t="str">
        <f>IF('ENTRADAS-BASE'!E479="","",'ENTRADAS-BASE'!E479)</f>
        <v/>
      </c>
      <c r="G481" t="str">
        <f>IF('ENTRADAS-BASE'!F479="","",'ENTRADAS-BASE'!F479)</f>
        <v/>
      </c>
      <c r="H481" t="str">
        <f>IF('ENTRADAS-BASE'!G479="","",'ENTRADAS-BASE'!G479)</f>
        <v/>
      </c>
      <c r="I481" t="str">
        <f>IF('ENTRADAS-BASE'!H479="","",'ENTRADAS-BASE'!H479)</f>
        <v/>
      </c>
      <c r="J481" t="str">
        <f>IF('ENTRADAS-BASE'!I479="","",'ENTRADAS-BASE'!I479)</f>
        <v/>
      </c>
      <c r="K481" s="5" t="str">
        <f>IF('ENTRADAS-BASE'!J479="","",'ENTRADAS-BASE'!J479)</f>
        <v/>
      </c>
      <c r="L4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2" spans="2:12" x14ac:dyDescent="0.3">
      <c r="B482" t="str">
        <f>IF('ENTRADAS-BASE'!A480="","",'ENTRADAS-BASE'!A480)</f>
        <v/>
      </c>
      <c r="C482" t="str">
        <f>IF('ENTRADAS-BASE'!B480="","",'ENTRADAS-BASE'!B480)</f>
        <v/>
      </c>
      <c r="D482" t="str">
        <f>IF('ENTRADAS-BASE'!C480="","",'ENTRADAS-BASE'!C480)</f>
        <v/>
      </c>
      <c r="E482" s="7" t="str">
        <f>IF('ENTRADAS-BASE'!D480="","",'ENTRADAS-BASE'!D480)</f>
        <v/>
      </c>
      <c r="F482" s="6" t="str">
        <f>IF('ENTRADAS-BASE'!E480="","",'ENTRADAS-BASE'!E480)</f>
        <v/>
      </c>
      <c r="G482" t="str">
        <f>IF('ENTRADAS-BASE'!F480="","",'ENTRADAS-BASE'!F480)</f>
        <v/>
      </c>
      <c r="H482" t="str">
        <f>IF('ENTRADAS-BASE'!G480="","",'ENTRADAS-BASE'!G480)</f>
        <v/>
      </c>
      <c r="I482" t="str">
        <f>IF('ENTRADAS-BASE'!H480="","",'ENTRADAS-BASE'!H480)</f>
        <v/>
      </c>
      <c r="J482" t="str">
        <f>IF('ENTRADAS-BASE'!I480="","",'ENTRADAS-BASE'!I480)</f>
        <v/>
      </c>
      <c r="K482" s="5" t="str">
        <f>IF('ENTRADAS-BASE'!J480="","",'ENTRADAS-BASE'!J480)</f>
        <v/>
      </c>
      <c r="L4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3" spans="2:12" x14ac:dyDescent="0.3">
      <c r="B483" t="str">
        <f>IF('ENTRADAS-BASE'!A481="","",'ENTRADAS-BASE'!A481)</f>
        <v/>
      </c>
      <c r="C483" t="str">
        <f>IF('ENTRADAS-BASE'!B481="","",'ENTRADAS-BASE'!B481)</f>
        <v/>
      </c>
      <c r="D483" t="str">
        <f>IF('ENTRADAS-BASE'!C481="","",'ENTRADAS-BASE'!C481)</f>
        <v/>
      </c>
      <c r="E483" s="7" t="str">
        <f>IF('ENTRADAS-BASE'!D481="","",'ENTRADAS-BASE'!D481)</f>
        <v/>
      </c>
      <c r="F483" s="6" t="str">
        <f>IF('ENTRADAS-BASE'!E481="","",'ENTRADAS-BASE'!E481)</f>
        <v/>
      </c>
      <c r="G483" t="str">
        <f>IF('ENTRADAS-BASE'!F481="","",'ENTRADAS-BASE'!F481)</f>
        <v/>
      </c>
      <c r="H483" t="str">
        <f>IF('ENTRADAS-BASE'!G481="","",'ENTRADAS-BASE'!G481)</f>
        <v/>
      </c>
      <c r="I483" t="str">
        <f>IF('ENTRADAS-BASE'!H481="","",'ENTRADAS-BASE'!H481)</f>
        <v/>
      </c>
      <c r="J483" t="str">
        <f>IF('ENTRADAS-BASE'!I481="","",'ENTRADAS-BASE'!I481)</f>
        <v/>
      </c>
      <c r="K483" s="5" t="str">
        <f>IF('ENTRADAS-BASE'!J481="","",'ENTRADAS-BASE'!J481)</f>
        <v/>
      </c>
      <c r="L4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4" spans="2:12" x14ac:dyDescent="0.3">
      <c r="B484" t="str">
        <f>IF('ENTRADAS-BASE'!A482="","",'ENTRADAS-BASE'!A482)</f>
        <v/>
      </c>
      <c r="C484" t="str">
        <f>IF('ENTRADAS-BASE'!B482="","",'ENTRADAS-BASE'!B482)</f>
        <v/>
      </c>
      <c r="D484" t="str">
        <f>IF('ENTRADAS-BASE'!C482="","",'ENTRADAS-BASE'!C482)</f>
        <v/>
      </c>
      <c r="E484" s="7" t="str">
        <f>IF('ENTRADAS-BASE'!D482="","",'ENTRADAS-BASE'!D482)</f>
        <v/>
      </c>
      <c r="F484" s="6" t="str">
        <f>IF('ENTRADAS-BASE'!E482="","",'ENTRADAS-BASE'!E482)</f>
        <v/>
      </c>
      <c r="G484" t="str">
        <f>IF('ENTRADAS-BASE'!F482="","",'ENTRADAS-BASE'!F482)</f>
        <v/>
      </c>
      <c r="H484" t="str">
        <f>IF('ENTRADAS-BASE'!G482="","",'ENTRADAS-BASE'!G482)</f>
        <v/>
      </c>
      <c r="I484" t="str">
        <f>IF('ENTRADAS-BASE'!H482="","",'ENTRADAS-BASE'!H482)</f>
        <v/>
      </c>
      <c r="J484" t="str">
        <f>IF('ENTRADAS-BASE'!I482="","",'ENTRADAS-BASE'!I482)</f>
        <v/>
      </c>
      <c r="K484" s="5" t="str">
        <f>IF('ENTRADAS-BASE'!J482="","",'ENTRADAS-BASE'!J482)</f>
        <v/>
      </c>
      <c r="L4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5" spans="2:12" x14ac:dyDescent="0.3">
      <c r="B485" t="str">
        <f>IF('ENTRADAS-BASE'!A483="","",'ENTRADAS-BASE'!A483)</f>
        <v/>
      </c>
      <c r="C485" t="str">
        <f>IF('ENTRADAS-BASE'!B483="","",'ENTRADAS-BASE'!B483)</f>
        <v/>
      </c>
      <c r="D485" t="str">
        <f>IF('ENTRADAS-BASE'!C483="","",'ENTRADAS-BASE'!C483)</f>
        <v/>
      </c>
      <c r="E485" s="7" t="str">
        <f>IF('ENTRADAS-BASE'!D483="","",'ENTRADAS-BASE'!D483)</f>
        <v/>
      </c>
      <c r="F485" s="6" t="str">
        <f>IF('ENTRADAS-BASE'!E483="","",'ENTRADAS-BASE'!E483)</f>
        <v/>
      </c>
      <c r="G485" t="str">
        <f>IF('ENTRADAS-BASE'!F483="","",'ENTRADAS-BASE'!F483)</f>
        <v/>
      </c>
      <c r="H485" t="str">
        <f>IF('ENTRADAS-BASE'!G483="","",'ENTRADAS-BASE'!G483)</f>
        <v/>
      </c>
      <c r="I485" t="str">
        <f>IF('ENTRADAS-BASE'!H483="","",'ENTRADAS-BASE'!H483)</f>
        <v/>
      </c>
      <c r="J485" t="str">
        <f>IF('ENTRADAS-BASE'!I483="","",'ENTRADAS-BASE'!I483)</f>
        <v/>
      </c>
      <c r="K485" s="5" t="str">
        <f>IF('ENTRADAS-BASE'!J483="","",'ENTRADAS-BASE'!J483)</f>
        <v/>
      </c>
      <c r="L4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6" spans="2:12" x14ac:dyDescent="0.3">
      <c r="B486" t="str">
        <f>IF('ENTRADAS-BASE'!A484="","",'ENTRADAS-BASE'!A484)</f>
        <v/>
      </c>
      <c r="C486" t="str">
        <f>IF('ENTRADAS-BASE'!B484="","",'ENTRADAS-BASE'!B484)</f>
        <v/>
      </c>
      <c r="D486" t="str">
        <f>IF('ENTRADAS-BASE'!C484="","",'ENTRADAS-BASE'!C484)</f>
        <v/>
      </c>
      <c r="E486" s="7" t="str">
        <f>IF('ENTRADAS-BASE'!D484="","",'ENTRADAS-BASE'!D484)</f>
        <v/>
      </c>
      <c r="F486" s="6" t="str">
        <f>IF('ENTRADAS-BASE'!E484="","",'ENTRADAS-BASE'!E484)</f>
        <v/>
      </c>
      <c r="G486" t="str">
        <f>IF('ENTRADAS-BASE'!F484="","",'ENTRADAS-BASE'!F484)</f>
        <v/>
      </c>
      <c r="H486" t="str">
        <f>IF('ENTRADAS-BASE'!G484="","",'ENTRADAS-BASE'!G484)</f>
        <v/>
      </c>
      <c r="I486" t="str">
        <f>IF('ENTRADAS-BASE'!H484="","",'ENTRADAS-BASE'!H484)</f>
        <v/>
      </c>
      <c r="J486" t="str">
        <f>IF('ENTRADAS-BASE'!I484="","",'ENTRADAS-BASE'!I484)</f>
        <v/>
      </c>
      <c r="K486" s="5" t="str">
        <f>IF('ENTRADAS-BASE'!J484="","",'ENTRADAS-BASE'!J484)</f>
        <v/>
      </c>
      <c r="L4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7" spans="2:12" x14ac:dyDescent="0.3">
      <c r="B487" t="str">
        <f>IF('ENTRADAS-BASE'!A485="","",'ENTRADAS-BASE'!A485)</f>
        <v/>
      </c>
      <c r="C487" t="str">
        <f>IF('ENTRADAS-BASE'!B485="","",'ENTRADAS-BASE'!B485)</f>
        <v/>
      </c>
      <c r="D487" t="str">
        <f>IF('ENTRADAS-BASE'!C485="","",'ENTRADAS-BASE'!C485)</f>
        <v/>
      </c>
      <c r="E487" s="7" t="str">
        <f>IF('ENTRADAS-BASE'!D485="","",'ENTRADAS-BASE'!D485)</f>
        <v/>
      </c>
      <c r="F487" s="6" t="str">
        <f>IF('ENTRADAS-BASE'!E485="","",'ENTRADAS-BASE'!E485)</f>
        <v/>
      </c>
      <c r="G487" t="str">
        <f>IF('ENTRADAS-BASE'!F485="","",'ENTRADAS-BASE'!F485)</f>
        <v/>
      </c>
      <c r="H487" t="str">
        <f>IF('ENTRADAS-BASE'!G485="","",'ENTRADAS-BASE'!G485)</f>
        <v/>
      </c>
      <c r="I487" t="str">
        <f>IF('ENTRADAS-BASE'!H485="","",'ENTRADAS-BASE'!H485)</f>
        <v/>
      </c>
      <c r="J487" t="str">
        <f>IF('ENTRADAS-BASE'!I485="","",'ENTRADAS-BASE'!I485)</f>
        <v/>
      </c>
      <c r="K487" s="5" t="str">
        <f>IF('ENTRADAS-BASE'!J485="","",'ENTRADAS-BASE'!J485)</f>
        <v/>
      </c>
      <c r="L4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8" spans="2:12" x14ac:dyDescent="0.3">
      <c r="B488" t="str">
        <f>IF('ENTRADAS-BASE'!A486="","",'ENTRADAS-BASE'!A486)</f>
        <v/>
      </c>
      <c r="C488" t="str">
        <f>IF('ENTRADAS-BASE'!B486="","",'ENTRADAS-BASE'!B486)</f>
        <v/>
      </c>
      <c r="D488" t="str">
        <f>IF('ENTRADAS-BASE'!C486="","",'ENTRADAS-BASE'!C486)</f>
        <v/>
      </c>
      <c r="E488" s="7" t="str">
        <f>IF('ENTRADAS-BASE'!D486="","",'ENTRADAS-BASE'!D486)</f>
        <v/>
      </c>
      <c r="F488" s="6" t="str">
        <f>IF('ENTRADAS-BASE'!E486="","",'ENTRADAS-BASE'!E486)</f>
        <v/>
      </c>
      <c r="G488" t="str">
        <f>IF('ENTRADAS-BASE'!F486="","",'ENTRADAS-BASE'!F486)</f>
        <v/>
      </c>
      <c r="H488" t="str">
        <f>IF('ENTRADAS-BASE'!G486="","",'ENTRADAS-BASE'!G486)</f>
        <v/>
      </c>
      <c r="I488" t="str">
        <f>IF('ENTRADAS-BASE'!H486="","",'ENTRADAS-BASE'!H486)</f>
        <v/>
      </c>
      <c r="J488" t="str">
        <f>IF('ENTRADAS-BASE'!I486="","",'ENTRADAS-BASE'!I486)</f>
        <v/>
      </c>
      <c r="K488" s="5" t="str">
        <f>IF('ENTRADAS-BASE'!J486="","",'ENTRADAS-BASE'!J486)</f>
        <v/>
      </c>
      <c r="L4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9" spans="2:12" x14ac:dyDescent="0.3">
      <c r="B489" t="str">
        <f>IF('ENTRADAS-BASE'!A487="","",'ENTRADAS-BASE'!A487)</f>
        <v/>
      </c>
      <c r="C489" t="str">
        <f>IF('ENTRADAS-BASE'!B487="","",'ENTRADAS-BASE'!B487)</f>
        <v/>
      </c>
      <c r="D489" t="str">
        <f>IF('ENTRADAS-BASE'!C487="","",'ENTRADAS-BASE'!C487)</f>
        <v/>
      </c>
      <c r="E489" s="7" t="str">
        <f>IF('ENTRADAS-BASE'!D487="","",'ENTRADAS-BASE'!D487)</f>
        <v/>
      </c>
      <c r="F489" s="6" t="str">
        <f>IF('ENTRADAS-BASE'!E487="","",'ENTRADAS-BASE'!E487)</f>
        <v/>
      </c>
      <c r="G489" t="str">
        <f>IF('ENTRADAS-BASE'!F487="","",'ENTRADAS-BASE'!F487)</f>
        <v/>
      </c>
      <c r="H489" t="str">
        <f>IF('ENTRADAS-BASE'!G487="","",'ENTRADAS-BASE'!G487)</f>
        <v/>
      </c>
      <c r="I489" t="str">
        <f>IF('ENTRADAS-BASE'!H487="","",'ENTRADAS-BASE'!H487)</f>
        <v/>
      </c>
      <c r="J489" t="str">
        <f>IF('ENTRADAS-BASE'!I487="","",'ENTRADAS-BASE'!I487)</f>
        <v/>
      </c>
      <c r="K489" s="5" t="str">
        <f>IF('ENTRADAS-BASE'!J487="","",'ENTRADAS-BASE'!J487)</f>
        <v/>
      </c>
      <c r="L4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0" spans="2:12" x14ac:dyDescent="0.3">
      <c r="B490" t="str">
        <f>IF('ENTRADAS-BASE'!A488="","",'ENTRADAS-BASE'!A488)</f>
        <v/>
      </c>
      <c r="C490" t="str">
        <f>IF('ENTRADAS-BASE'!B488="","",'ENTRADAS-BASE'!B488)</f>
        <v/>
      </c>
      <c r="D490" t="str">
        <f>IF('ENTRADAS-BASE'!C488="","",'ENTRADAS-BASE'!C488)</f>
        <v/>
      </c>
      <c r="E490" s="7" t="str">
        <f>IF('ENTRADAS-BASE'!D488="","",'ENTRADAS-BASE'!D488)</f>
        <v/>
      </c>
      <c r="F490" s="6" t="str">
        <f>IF('ENTRADAS-BASE'!E488="","",'ENTRADAS-BASE'!E488)</f>
        <v/>
      </c>
      <c r="G490" t="str">
        <f>IF('ENTRADAS-BASE'!F488="","",'ENTRADAS-BASE'!F488)</f>
        <v/>
      </c>
      <c r="H490" t="str">
        <f>IF('ENTRADAS-BASE'!G488="","",'ENTRADAS-BASE'!G488)</f>
        <v/>
      </c>
      <c r="I490" t="str">
        <f>IF('ENTRADAS-BASE'!H488="","",'ENTRADAS-BASE'!H488)</f>
        <v/>
      </c>
      <c r="J490" t="str">
        <f>IF('ENTRADAS-BASE'!I488="","",'ENTRADAS-BASE'!I488)</f>
        <v/>
      </c>
      <c r="K490" s="5" t="str">
        <f>IF('ENTRADAS-BASE'!J488="","",'ENTRADAS-BASE'!J488)</f>
        <v/>
      </c>
      <c r="L4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1" spans="2:12" x14ac:dyDescent="0.3">
      <c r="B491" t="str">
        <f>IF('ENTRADAS-BASE'!A489="","",'ENTRADAS-BASE'!A489)</f>
        <v/>
      </c>
      <c r="C491" t="str">
        <f>IF('ENTRADAS-BASE'!B489="","",'ENTRADAS-BASE'!B489)</f>
        <v/>
      </c>
      <c r="D491" t="str">
        <f>IF('ENTRADAS-BASE'!C489="","",'ENTRADAS-BASE'!C489)</f>
        <v/>
      </c>
      <c r="E491" s="7" t="str">
        <f>IF('ENTRADAS-BASE'!D489="","",'ENTRADAS-BASE'!D489)</f>
        <v/>
      </c>
      <c r="F491" s="6" t="str">
        <f>IF('ENTRADAS-BASE'!E489="","",'ENTRADAS-BASE'!E489)</f>
        <v/>
      </c>
      <c r="G491" t="str">
        <f>IF('ENTRADAS-BASE'!F489="","",'ENTRADAS-BASE'!F489)</f>
        <v/>
      </c>
      <c r="H491" t="str">
        <f>IF('ENTRADAS-BASE'!G489="","",'ENTRADAS-BASE'!G489)</f>
        <v/>
      </c>
      <c r="I491" t="str">
        <f>IF('ENTRADAS-BASE'!H489="","",'ENTRADAS-BASE'!H489)</f>
        <v/>
      </c>
      <c r="J491" t="str">
        <f>IF('ENTRADAS-BASE'!I489="","",'ENTRADAS-BASE'!I489)</f>
        <v/>
      </c>
      <c r="K491" s="5" t="str">
        <f>IF('ENTRADAS-BASE'!J489="","",'ENTRADAS-BASE'!J489)</f>
        <v/>
      </c>
      <c r="L4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2" spans="2:12" x14ac:dyDescent="0.3">
      <c r="B492" t="str">
        <f>IF('ENTRADAS-BASE'!A490="","",'ENTRADAS-BASE'!A490)</f>
        <v/>
      </c>
      <c r="C492" t="str">
        <f>IF('ENTRADAS-BASE'!B490="","",'ENTRADAS-BASE'!B490)</f>
        <v/>
      </c>
      <c r="D492" t="str">
        <f>IF('ENTRADAS-BASE'!C490="","",'ENTRADAS-BASE'!C490)</f>
        <v/>
      </c>
      <c r="E492" s="7" t="str">
        <f>IF('ENTRADAS-BASE'!D490="","",'ENTRADAS-BASE'!D490)</f>
        <v/>
      </c>
      <c r="F492" s="6" t="str">
        <f>IF('ENTRADAS-BASE'!E490="","",'ENTRADAS-BASE'!E490)</f>
        <v/>
      </c>
      <c r="G492" t="str">
        <f>IF('ENTRADAS-BASE'!F490="","",'ENTRADAS-BASE'!F490)</f>
        <v/>
      </c>
      <c r="H492" t="str">
        <f>IF('ENTRADAS-BASE'!G490="","",'ENTRADAS-BASE'!G490)</f>
        <v/>
      </c>
      <c r="I492" t="str">
        <f>IF('ENTRADAS-BASE'!H490="","",'ENTRADAS-BASE'!H490)</f>
        <v/>
      </c>
      <c r="J492" t="str">
        <f>IF('ENTRADAS-BASE'!I490="","",'ENTRADAS-BASE'!I490)</f>
        <v/>
      </c>
      <c r="K492" s="5" t="str">
        <f>IF('ENTRADAS-BASE'!J490="","",'ENTRADAS-BASE'!J490)</f>
        <v/>
      </c>
      <c r="L4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3" spans="2:12" x14ac:dyDescent="0.3">
      <c r="B493" t="str">
        <f>IF('ENTRADAS-BASE'!A491="","",'ENTRADAS-BASE'!A491)</f>
        <v/>
      </c>
      <c r="C493" t="str">
        <f>IF('ENTRADAS-BASE'!B491="","",'ENTRADAS-BASE'!B491)</f>
        <v/>
      </c>
      <c r="D493" t="str">
        <f>IF('ENTRADAS-BASE'!C491="","",'ENTRADAS-BASE'!C491)</f>
        <v/>
      </c>
      <c r="E493" s="7" t="str">
        <f>IF('ENTRADAS-BASE'!D491="","",'ENTRADAS-BASE'!D491)</f>
        <v/>
      </c>
      <c r="F493" s="6" t="str">
        <f>IF('ENTRADAS-BASE'!E491="","",'ENTRADAS-BASE'!E491)</f>
        <v/>
      </c>
      <c r="G493" t="str">
        <f>IF('ENTRADAS-BASE'!F491="","",'ENTRADAS-BASE'!F491)</f>
        <v/>
      </c>
      <c r="H493" t="str">
        <f>IF('ENTRADAS-BASE'!G491="","",'ENTRADAS-BASE'!G491)</f>
        <v/>
      </c>
      <c r="I493" t="str">
        <f>IF('ENTRADAS-BASE'!H491="","",'ENTRADAS-BASE'!H491)</f>
        <v/>
      </c>
      <c r="J493" t="str">
        <f>IF('ENTRADAS-BASE'!I491="","",'ENTRADAS-BASE'!I491)</f>
        <v/>
      </c>
      <c r="K493" s="5" t="str">
        <f>IF('ENTRADAS-BASE'!J491="","",'ENTRADAS-BASE'!J491)</f>
        <v/>
      </c>
      <c r="L4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4" spans="2:12" x14ac:dyDescent="0.3">
      <c r="B494" t="str">
        <f>IF('ENTRADAS-BASE'!A492="","",'ENTRADAS-BASE'!A492)</f>
        <v/>
      </c>
      <c r="C494" t="str">
        <f>IF('ENTRADAS-BASE'!B492="","",'ENTRADAS-BASE'!B492)</f>
        <v/>
      </c>
      <c r="D494" t="str">
        <f>IF('ENTRADAS-BASE'!C492="","",'ENTRADAS-BASE'!C492)</f>
        <v/>
      </c>
      <c r="E494" s="7" t="str">
        <f>IF('ENTRADAS-BASE'!D492="","",'ENTRADAS-BASE'!D492)</f>
        <v/>
      </c>
      <c r="F494" s="6" t="str">
        <f>IF('ENTRADAS-BASE'!E492="","",'ENTRADAS-BASE'!E492)</f>
        <v/>
      </c>
      <c r="G494" t="str">
        <f>IF('ENTRADAS-BASE'!F492="","",'ENTRADAS-BASE'!F492)</f>
        <v/>
      </c>
      <c r="H494" t="str">
        <f>IF('ENTRADAS-BASE'!G492="","",'ENTRADAS-BASE'!G492)</f>
        <v/>
      </c>
      <c r="I494" t="str">
        <f>IF('ENTRADAS-BASE'!H492="","",'ENTRADAS-BASE'!H492)</f>
        <v/>
      </c>
      <c r="J494" t="str">
        <f>IF('ENTRADAS-BASE'!I492="","",'ENTRADAS-BASE'!I492)</f>
        <v/>
      </c>
      <c r="K494" s="5" t="str">
        <f>IF('ENTRADAS-BASE'!J492="","",'ENTRADAS-BASE'!J492)</f>
        <v/>
      </c>
      <c r="L4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5" spans="2:12" x14ac:dyDescent="0.3">
      <c r="B495" t="str">
        <f>IF('ENTRADAS-BASE'!A493="","",'ENTRADAS-BASE'!A493)</f>
        <v/>
      </c>
      <c r="C495" t="str">
        <f>IF('ENTRADAS-BASE'!B493="","",'ENTRADAS-BASE'!B493)</f>
        <v/>
      </c>
      <c r="D495" t="str">
        <f>IF('ENTRADAS-BASE'!C493="","",'ENTRADAS-BASE'!C493)</f>
        <v/>
      </c>
      <c r="E495" s="7" t="str">
        <f>IF('ENTRADAS-BASE'!D493="","",'ENTRADAS-BASE'!D493)</f>
        <v/>
      </c>
      <c r="F495" s="6" t="str">
        <f>IF('ENTRADAS-BASE'!E493="","",'ENTRADAS-BASE'!E493)</f>
        <v/>
      </c>
      <c r="G495" t="str">
        <f>IF('ENTRADAS-BASE'!F493="","",'ENTRADAS-BASE'!F493)</f>
        <v/>
      </c>
      <c r="H495" t="str">
        <f>IF('ENTRADAS-BASE'!G493="","",'ENTRADAS-BASE'!G493)</f>
        <v/>
      </c>
      <c r="I495" t="str">
        <f>IF('ENTRADAS-BASE'!H493="","",'ENTRADAS-BASE'!H493)</f>
        <v/>
      </c>
      <c r="J495" t="str">
        <f>IF('ENTRADAS-BASE'!I493="","",'ENTRADAS-BASE'!I493)</f>
        <v/>
      </c>
      <c r="K495" s="5" t="str">
        <f>IF('ENTRADAS-BASE'!J493="","",'ENTRADAS-BASE'!J493)</f>
        <v/>
      </c>
      <c r="L4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6" spans="2:12" x14ac:dyDescent="0.3">
      <c r="B496" t="str">
        <f>IF('ENTRADAS-BASE'!A494="","",'ENTRADAS-BASE'!A494)</f>
        <v/>
      </c>
      <c r="C496" t="str">
        <f>IF('ENTRADAS-BASE'!B494="","",'ENTRADAS-BASE'!B494)</f>
        <v/>
      </c>
      <c r="D496" t="str">
        <f>IF('ENTRADAS-BASE'!C494="","",'ENTRADAS-BASE'!C494)</f>
        <v/>
      </c>
      <c r="E496" s="7" t="str">
        <f>IF('ENTRADAS-BASE'!D494="","",'ENTRADAS-BASE'!D494)</f>
        <v/>
      </c>
      <c r="F496" s="6" t="str">
        <f>IF('ENTRADAS-BASE'!E494="","",'ENTRADAS-BASE'!E494)</f>
        <v/>
      </c>
      <c r="G496" t="str">
        <f>IF('ENTRADAS-BASE'!F494="","",'ENTRADAS-BASE'!F494)</f>
        <v/>
      </c>
      <c r="H496" t="str">
        <f>IF('ENTRADAS-BASE'!G494="","",'ENTRADAS-BASE'!G494)</f>
        <v/>
      </c>
      <c r="I496" t="str">
        <f>IF('ENTRADAS-BASE'!H494="","",'ENTRADAS-BASE'!H494)</f>
        <v/>
      </c>
      <c r="J496" t="str">
        <f>IF('ENTRADAS-BASE'!I494="","",'ENTRADAS-BASE'!I494)</f>
        <v/>
      </c>
      <c r="K496" s="5" t="str">
        <f>IF('ENTRADAS-BASE'!J494="","",'ENTRADAS-BASE'!J494)</f>
        <v/>
      </c>
      <c r="L4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7" spans="2:12" x14ac:dyDescent="0.3">
      <c r="B497" t="str">
        <f>IF('ENTRADAS-BASE'!A495="","",'ENTRADAS-BASE'!A495)</f>
        <v/>
      </c>
      <c r="C497" t="str">
        <f>IF('ENTRADAS-BASE'!B495="","",'ENTRADAS-BASE'!B495)</f>
        <v/>
      </c>
      <c r="D497" t="str">
        <f>IF('ENTRADAS-BASE'!C495="","",'ENTRADAS-BASE'!C495)</f>
        <v/>
      </c>
      <c r="E497" s="7" t="str">
        <f>IF('ENTRADAS-BASE'!D495="","",'ENTRADAS-BASE'!D495)</f>
        <v/>
      </c>
      <c r="F497" s="6" t="str">
        <f>IF('ENTRADAS-BASE'!E495="","",'ENTRADAS-BASE'!E495)</f>
        <v/>
      </c>
      <c r="G497" t="str">
        <f>IF('ENTRADAS-BASE'!F495="","",'ENTRADAS-BASE'!F495)</f>
        <v/>
      </c>
      <c r="H497" t="str">
        <f>IF('ENTRADAS-BASE'!G495="","",'ENTRADAS-BASE'!G495)</f>
        <v/>
      </c>
      <c r="I497" t="str">
        <f>IF('ENTRADAS-BASE'!H495="","",'ENTRADAS-BASE'!H495)</f>
        <v/>
      </c>
      <c r="J497" t="str">
        <f>IF('ENTRADAS-BASE'!I495="","",'ENTRADAS-BASE'!I495)</f>
        <v/>
      </c>
      <c r="K497" s="5" t="str">
        <f>IF('ENTRADAS-BASE'!J495="","",'ENTRADAS-BASE'!J495)</f>
        <v/>
      </c>
      <c r="L4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8" spans="2:12" x14ac:dyDescent="0.3">
      <c r="B498" t="str">
        <f>IF('ENTRADAS-BASE'!A496="","",'ENTRADAS-BASE'!A496)</f>
        <v/>
      </c>
      <c r="C498" t="str">
        <f>IF('ENTRADAS-BASE'!B496="","",'ENTRADAS-BASE'!B496)</f>
        <v/>
      </c>
      <c r="D498" t="str">
        <f>IF('ENTRADAS-BASE'!C496="","",'ENTRADAS-BASE'!C496)</f>
        <v/>
      </c>
      <c r="E498" s="7" t="str">
        <f>IF('ENTRADAS-BASE'!D496="","",'ENTRADAS-BASE'!D496)</f>
        <v/>
      </c>
      <c r="F498" s="6" t="str">
        <f>IF('ENTRADAS-BASE'!E496="","",'ENTRADAS-BASE'!E496)</f>
        <v/>
      </c>
      <c r="G498" t="str">
        <f>IF('ENTRADAS-BASE'!F496="","",'ENTRADAS-BASE'!F496)</f>
        <v/>
      </c>
      <c r="H498" t="str">
        <f>IF('ENTRADAS-BASE'!G496="","",'ENTRADAS-BASE'!G496)</f>
        <v/>
      </c>
      <c r="I498" t="str">
        <f>IF('ENTRADAS-BASE'!H496="","",'ENTRADAS-BASE'!H496)</f>
        <v/>
      </c>
      <c r="J498" t="str">
        <f>IF('ENTRADAS-BASE'!I496="","",'ENTRADAS-BASE'!I496)</f>
        <v/>
      </c>
      <c r="K498" s="5" t="str">
        <f>IF('ENTRADAS-BASE'!J496="","",'ENTRADAS-BASE'!J496)</f>
        <v/>
      </c>
      <c r="L4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9" spans="2:12" x14ac:dyDescent="0.3">
      <c r="B499" t="str">
        <f>IF('ENTRADAS-BASE'!A497="","",'ENTRADAS-BASE'!A497)</f>
        <v/>
      </c>
      <c r="C499" t="str">
        <f>IF('ENTRADAS-BASE'!B497="","",'ENTRADAS-BASE'!B497)</f>
        <v/>
      </c>
      <c r="D499" t="str">
        <f>IF('ENTRADAS-BASE'!C497="","",'ENTRADAS-BASE'!C497)</f>
        <v/>
      </c>
      <c r="E499" s="7" t="str">
        <f>IF('ENTRADAS-BASE'!D497="","",'ENTRADAS-BASE'!D497)</f>
        <v/>
      </c>
      <c r="F499" s="6" t="str">
        <f>IF('ENTRADAS-BASE'!E497="","",'ENTRADAS-BASE'!E497)</f>
        <v/>
      </c>
      <c r="G499" t="str">
        <f>IF('ENTRADAS-BASE'!F497="","",'ENTRADAS-BASE'!F497)</f>
        <v/>
      </c>
      <c r="H499" t="str">
        <f>IF('ENTRADAS-BASE'!G497="","",'ENTRADAS-BASE'!G497)</f>
        <v/>
      </c>
      <c r="I499" t="str">
        <f>IF('ENTRADAS-BASE'!H497="","",'ENTRADAS-BASE'!H497)</f>
        <v/>
      </c>
      <c r="J499" t="str">
        <f>IF('ENTRADAS-BASE'!I497="","",'ENTRADAS-BASE'!I497)</f>
        <v/>
      </c>
      <c r="K499" s="5" t="str">
        <f>IF('ENTRADAS-BASE'!J497="","",'ENTRADAS-BASE'!J497)</f>
        <v/>
      </c>
      <c r="L4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0" spans="2:12" x14ac:dyDescent="0.3">
      <c r="B500" t="str">
        <f>IF('ENTRADAS-BASE'!A498="","",'ENTRADAS-BASE'!A498)</f>
        <v/>
      </c>
      <c r="C500" t="str">
        <f>IF('ENTRADAS-BASE'!B498="","",'ENTRADAS-BASE'!B498)</f>
        <v/>
      </c>
      <c r="D500" t="str">
        <f>IF('ENTRADAS-BASE'!C498="","",'ENTRADAS-BASE'!C498)</f>
        <v/>
      </c>
      <c r="E500" s="7" t="str">
        <f>IF('ENTRADAS-BASE'!D498="","",'ENTRADAS-BASE'!D498)</f>
        <v/>
      </c>
      <c r="F500" s="6" t="str">
        <f>IF('ENTRADAS-BASE'!E498="","",'ENTRADAS-BASE'!E498)</f>
        <v/>
      </c>
      <c r="G500" t="str">
        <f>IF('ENTRADAS-BASE'!F498="","",'ENTRADAS-BASE'!F498)</f>
        <v/>
      </c>
      <c r="H500" t="str">
        <f>IF('ENTRADAS-BASE'!G498="","",'ENTRADAS-BASE'!G498)</f>
        <v/>
      </c>
      <c r="I500" t="str">
        <f>IF('ENTRADAS-BASE'!H498="","",'ENTRADAS-BASE'!H498)</f>
        <v/>
      </c>
      <c r="J500" t="str">
        <f>IF('ENTRADAS-BASE'!I498="","",'ENTRADAS-BASE'!I498)</f>
        <v/>
      </c>
      <c r="K500" s="5" t="str">
        <f>IF('ENTRADAS-BASE'!J498="","",'ENTRADAS-BASE'!J498)</f>
        <v/>
      </c>
      <c r="L5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1" spans="2:12" x14ac:dyDescent="0.3">
      <c r="B501" t="str">
        <f>IF('ENTRADAS-BASE'!A499="","",'ENTRADAS-BASE'!A499)</f>
        <v/>
      </c>
      <c r="C501" t="str">
        <f>IF('ENTRADAS-BASE'!B499="","",'ENTRADAS-BASE'!B499)</f>
        <v/>
      </c>
      <c r="D501" t="str">
        <f>IF('ENTRADAS-BASE'!C499="","",'ENTRADAS-BASE'!C499)</f>
        <v/>
      </c>
      <c r="E501" s="7" t="str">
        <f>IF('ENTRADAS-BASE'!D499="","",'ENTRADAS-BASE'!D499)</f>
        <v/>
      </c>
      <c r="F501" s="6" t="str">
        <f>IF('ENTRADAS-BASE'!E499="","",'ENTRADAS-BASE'!E499)</f>
        <v/>
      </c>
      <c r="G501" t="str">
        <f>IF('ENTRADAS-BASE'!F499="","",'ENTRADAS-BASE'!F499)</f>
        <v/>
      </c>
      <c r="H501" t="str">
        <f>IF('ENTRADAS-BASE'!G499="","",'ENTRADAS-BASE'!G499)</f>
        <v/>
      </c>
      <c r="I501" t="str">
        <f>IF('ENTRADAS-BASE'!H499="","",'ENTRADAS-BASE'!H499)</f>
        <v/>
      </c>
      <c r="J501" t="str">
        <f>IF('ENTRADAS-BASE'!I499="","",'ENTRADAS-BASE'!I499)</f>
        <v/>
      </c>
      <c r="K501" s="5" t="str">
        <f>IF('ENTRADAS-BASE'!J499="","",'ENTRADAS-BASE'!J499)</f>
        <v/>
      </c>
      <c r="L5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2" spans="2:12" x14ac:dyDescent="0.3">
      <c r="B502" t="str">
        <f>IF('ENTRADAS-BASE'!A500="","",'ENTRADAS-BASE'!A500)</f>
        <v/>
      </c>
      <c r="C502" t="str">
        <f>IF('ENTRADAS-BASE'!B500="","",'ENTRADAS-BASE'!B500)</f>
        <v/>
      </c>
      <c r="D502" t="str">
        <f>IF('ENTRADAS-BASE'!C500="","",'ENTRADAS-BASE'!C500)</f>
        <v/>
      </c>
      <c r="E502" s="7" t="str">
        <f>IF('ENTRADAS-BASE'!D500="","",'ENTRADAS-BASE'!D500)</f>
        <v/>
      </c>
      <c r="F502" s="6" t="str">
        <f>IF('ENTRADAS-BASE'!E500="","",'ENTRADAS-BASE'!E500)</f>
        <v/>
      </c>
      <c r="G502" t="str">
        <f>IF('ENTRADAS-BASE'!F500="","",'ENTRADAS-BASE'!F500)</f>
        <v/>
      </c>
      <c r="H502" t="str">
        <f>IF('ENTRADAS-BASE'!G500="","",'ENTRADAS-BASE'!G500)</f>
        <v/>
      </c>
      <c r="I502" t="str">
        <f>IF('ENTRADAS-BASE'!H500="","",'ENTRADAS-BASE'!H500)</f>
        <v/>
      </c>
      <c r="J502" t="str">
        <f>IF('ENTRADAS-BASE'!I500="","",'ENTRADAS-BASE'!I500)</f>
        <v/>
      </c>
      <c r="K502" s="5" t="str">
        <f>IF('ENTRADAS-BASE'!J500="","",'ENTRADAS-BASE'!J500)</f>
        <v/>
      </c>
      <c r="L5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3" spans="2:12" x14ac:dyDescent="0.3">
      <c r="B503" t="str">
        <f>IF('ENTRADAS-BASE'!A501="","",'ENTRADAS-BASE'!A501)</f>
        <v/>
      </c>
      <c r="C503" t="str">
        <f>IF('ENTRADAS-BASE'!B501="","",'ENTRADAS-BASE'!B501)</f>
        <v/>
      </c>
      <c r="D503" t="str">
        <f>IF('ENTRADAS-BASE'!C501="","",'ENTRADAS-BASE'!C501)</f>
        <v/>
      </c>
      <c r="E503" s="7" t="str">
        <f>IF('ENTRADAS-BASE'!D501="","",'ENTRADAS-BASE'!D501)</f>
        <v/>
      </c>
      <c r="F503" s="6" t="str">
        <f>IF('ENTRADAS-BASE'!E501="","",'ENTRADAS-BASE'!E501)</f>
        <v/>
      </c>
      <c r="G503" t="str">
        <f>IF('ENTRADAS-BASE'!F501="","",'ENTRADAS-BASE'!F501)</f>
        <v/>
      </c>
      <c r="H503" t="str">
        <f>IF('ENTRADAS-BASE'!G501="","",'ENTRADAS-BASE'!G501)</f>
        <v/>
      </c>
      <c r="I503" t="str">
        <f>IF('ENTRADAS-BASE'!H501="","",'ENTRADAS-BASE'!H501)</f>
        <v/>
      </c>
      <c r="J503" t="str">
        <f>IF('ENTRADAS-BASE'!I501="","",'ENTRADAS-BASE'!I501)</f>
        <v/>
      </c>
      <c r="K503" s="5" t="str">
        <f>IF('ENTRADAS-BASE'!J501="","",'ENTRADAS-BASE'!J501)</f>
        <v/>
      </c>
      <c r="L5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4" spans="2:12" x14ac:dyDescent="0.3">
      <c r="B504" t="str">
        <f>IF('ENTRADAS-BASE'!A502="","",'ENTRADAS-BASE'!A502)</f>
        <v/>
      </c>
      <c r="C504" t="str">
        <f>IF('ENTRADAS-BASE'!B502="","",'ENTRADAS-BASE'!B502)</f>
        <v/>
      </c>
      <c r="D504" t="str">
        <f>IF('ENTRADAS-BASE'!C502="","",'ENTRADAS-BASE'!C502)</f>
        <v/>
      </c>
      <c r="E504" s="7" t="str">
        <f>IF('ENTRADAS-BASE'!D502="","",'ENTRADAS-BASE'!D502)</f>
        <v/>
      </c>
      <c r="F504" s="6" t="str">
        <f>IF('ENTRADAS-BASE'!E502="","",'ENTRADAS-BASE'!E502)</f>
        <v/>
      </c>
      <c r="G504" t="str">
        <f>IF('ENTRADAS-BASE'!F502="","",'ENTRADAS-BASE'!F502)</f>
        <v/>
      </c>
      <c r="H504" t="str">
        <f>IF('ENTRADAS-BASE'!G502="","",'ENTRADAS-BASE'!G502)</f>
        <v/>
      </c>
      <c r="I504" t="str">
        <f>IF('ENTRADAS-BASE'!H502="","",'ENTRADAS-BASE'!H502)</f>
        <v/>
      </c>
      <c r="J504" t="str">
        <f>IF('ENTRADAS-BASE'!I502="","",'ENTRADAS-BASE'!I502)</f>
        <v/>
      </c>
      <c r="K504" s="5" t="str">
        <f>IF('ENTRADAS-BASE'!J502="","",'ENTRADAS-BASE'!J502)</f>
        <v/>
      </c>
      <c r="L5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5" spans="2:12" x14ac:dyDescent="0.3">
      <c r="B505" t="str">
        <f>IF('ENTRADAS-BASE'!A503="","",'ENTRADAS-BASE'!A503)</f>
        <v/>
      </c>
      <c r="C505" t="str">
        <f>IF('ENTRADAS-BASE'!B503="","",'ENTRADAS-BASE'!B503)</f>
        <v/>
      </c>
      <c r="D505" t="str">
        <f>IF('ENTRADAS-BASE'!C503="","",'ENTRADAS-BASE'!C503)</f>
        <v/>
      </c>
      <c r="E505" s="7" t="str">
        <f>IF('ENTRADAS-BASE'!D503="","",'ENTRADAS-BASE'!D503)</f>
        <v/>
      </c>
      <c r="F505" s="6" t="str">
        <f>IF('ENTRADAS-BASE'!E503="","",'ENTRADAS-BASE'!E503)</f>
        <v/>
      </c>
      <c r="G505" t="str">
        <f>IF('ENTRADAS-BASE'!F503="","",'ENTRADAS-BASE'!F503)</f>
        <v/>
      </c>
      <c r="H505" t="str">
        <f>IF('ENTRADAS-BASE'!G503="","",'ENTRADAS-BASE'!G503)</f>
        <v/>
      </c>
      <c r="I505" t="str">
        <f>IF('ENTRADAS-BASE'!H503="","",'ENTRADAS-BASE'!H503)</f>
        <v/>
      </c>
      <c r="J505" t="str">
        <f>IF('ENTRADAS-BASE'!I503="","",'ENTRADAS-BASE'!I503)</f>
        <v/>
      </c>
      <c r="K505" s="5" t="str">
        <f>IF('ENTRADAS-BASE'!J503="","",'ENTRADAS-BASE'!J503)</f>
        <v/>
      </c>
      <c r="L5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6" spans="2:12" x14ac:dyDescent="0.3">
      <c r="B506" t="str">
        <f>IF('ENTRADAS-BASE'!A504="","",'ENTRADAS-BASE'!A504)</f>
        <v/>
      </c>
      <c r="C506" t="str">
        <f>IF('ENTRADAS-BASE'!B504="","",'ENTRADAS-BASE'!B504)</f>
        <v/>
      </c>
      <c r="D506" t="str">
        <f>IF('ENTRADAS-BASE'!C504="","",'ENTRADAS-BASE'!C504)</f>
        <v/>
      </c>
      <c r="E506" s="7" t="str">
        <f>IF('ENTRADAS-BASE'!D504="","",'ENTRADAS-BASE'!D504)</f>
        <v/>
      </c>
      <c r="F506" s="6" t="str">
        <f>IF('ENTRADAS-BASE'!E504="","",'ENTRADAS-BASE'!E504)</f>
        <v/>
      </c>
      <c r="G506" t="str">
        <f>IF('ENTRADAS-BASE'!F504="","",'ENTRADAS-BASE'!F504)</f>
        <v/>
      </c>
      <c r="H506" t="str">
        <f>IF('ENTRADAS-BASE'!G504="","",'ENTRADAS-BASE'!G504)</f>
        <v/>
      </c>
      <c r="I506" t="str">
        <f>IF('ENTRADAS-BASE'!H504="","",'ENTRADAS-BASE'!H504)</f>
        <v/>
      </c>
      <c r="J506" t="str">
        <f>IF('ENTRADAS-BASE'!I504="","",'ENTRADAS-BASE'!I504)</f>
        <v/>
      </c>
      <c r="K506" s="5" t="str">
        <f>IF('ENTRADAS-BASE'!J504="","",'ENTRADAS-BASE'!J504)</f>
        <v/>
      </c>
      <c r="L5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7" spans="2:12" x14ac:dyDescent="0.3">
      <c r="B507" t="str">
        <f>IF('ENTRADAS-BASE'!A505="","",'ENTRADAS-BASE'!A505)</f>
        <v/>
      </c>
      <c r="C507" t="str">
        <f>IF('ENTRADAS-BASE'!B505="","",'ENTRADAS-BASE'!B505)</f>
        <v/>
      </c>
      <c r="D507" t="str">
        <f>IF('ENTRADAS-BASE'!C505="","",'ENTRADAS-BASE'!C505)</f>
        <v/>
      </c>
      <c r="E507" s="7" t="str">
        <f>IF('ENTRADAS-BASE'!D505="","",'ENTRADAS-BASE'!D505)</f>
        <v/>
      </c>
      <c r="F507" s="6" t="str">
        <f>IF('ENTRADAS-BASE'!E505="","",'ENTRADAS-BASE'!E505)</f>
        <v/>
      </c>
      <c r="G507" t="str">
        <f>IF('ENTRADAS-BASE'!F505="","",'ENTRADAS-BASE'!F505)</f>
        <v/>
      </c>
      <c r="H507" t="str">
        <f>IF('ENTRADAS-BASE'!G505="","",'ENTRADAS-BASE'!G505)</f>
        <v/>
      </c>
      <c r="I507" t="str">
        <f>IF('ENTRADAS-BASE'!H505="","",'ENTRADAS-BASE'!H505)</f>
        <v/>
      </c>
      <c r="J507" t="str">
        <f>IF('ENTRADAS-BASE'!I505="","",'ENTRADAS-BASE'!I505)</f>
        <v/>
      </c>
      <c r="K507" s="5" t="str">
        <f>IF('ENTRADAS-BASE'!J505="","",'ENTRADAS-BASE'!J505)</f>
        <v/>
      </c>
      <c r="L5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8" spans="2:12" x14ac:dyDescent="0.3">
      <c r="B508" t="str">
        <f>IF('ENTRADAS-BASE'!A506="","",'ENTRADAS-BASE'!A506)</f>
        <v/>
      </c>
      <c r="C508" t="str">
        <f>IF('ENTRADAS-BASE'!B506="","",'ENTRADAS-BASE'!B506)</f>
        <v/>
      </c>
      <c r="D508" t="str">
        <f>IF('ENTRADAS-BASE'!C506="","",'ENTRADAS-BASE'!C506)</f>
        <v/>
      </c>
      <c r="E508" s="7" t="str">
        <f>IF('ENTRADAS-BASE'!D506="","",'ENTRADAS-BASE'!D506)</f>
        <v/>
      </c>
      <c r="F508" s="6" t="str">
        <f>IF('ENTRADAS-BASE'!E506="","",'ENTRADAS-BASE'!E506)</f>
        <v/>
      </c>
      <c r="G508" t="str">
        <f>IF('ENTRADAS-BASE'!F506="","",'ENTRADAS-BASE'!F506)</f>
        <v/>
      </c>
      <c r="H508" t="str">
        <f>IF('ENTRADAS-BASE'!G506="","",'ENTRADAS-BASE'!G506)</f>
        <v/>
      </c>
      <c r="I508" t="str">
        <f>IF('ENTRADAS-BASE'!H506="","",'ENTRADAS-BASE'!H506)</f>
        <v/>
      </c>
      <c r="J508" t="str">
        <f>IF('ENTRADAS-BASE'!I506="","",'ENTRADAS-BASE'!I506)</f>
        <v/>
      </c>
      <c r="K508" s="5" t="str">
        <f>IF('ENTRADAS-BASE'!J506="","",'ENTRADAS-BASE'!J506)</f>
        <v/>
      </c>
      <c r="L5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9" spans="2:12" x14ac:dyDescent="0.3">
      <c r="B509" t="str">
        <f>IF('ENTRADAS-BASE'!A507="","",'ENTRADAS-BASE'!A507)</f>
        <v/>
      </c>
      <c r="C509" t="str">
        <f>IF('ENTRADAS-BASE'!B507="","",'ENTRADAS-BASE'!B507)</f>
        <v/>
      </c>
      <c r="D509" t="str">
        <f>IF('ENTRADAS-BASE'!C507="","",'ENTRADAS-BASE'!C507)</f>
        <v/>
      </c>
      <c r="E509" s="7" t="str">
        <f>IF('ENTRADAS-BASE'!D507="","",'ENTRADAS-BASE'!D507)</f>
        <v/>
      </c>
      <c r="F509" s="6" t="str">
        <f>IF('ENTRADAS-BASE'!E507="","",'ENTRADAS-BASE'!E507)</f>
        <v/>
      </c>
      <c r="G509" t="str">
        <f>IF('ENTRADAS-BASE'!F507="","",'ENTRADAS-BASE'!F507)</f>
        <v/>
      </c>
      <c r="H509" t="str">
        <f>IF('ENTRADAS-BASE'!G507="","",'ENTRADAS-BASE'!G507)</f>
        <v/>
      </c>
      <c r="I509" t="str">
        <f>IF('ENTRADAS-BASE'!H507="","",'ENTRADAS-BASE'!H507)</f>
        <v/>
      </c>
      <c r="J509" t="str">
        <f>IF('ENTRADAS-BASE'!I507="","",'ENTRADAS-BASE'!I507)</f>
        <v/>
      </c>
      <c r="K509" s="5" t="str">
        <f>IF('ENTRADAS-BASE'!J507="","",'ENTRADAS-BASE'!J507)</f>
        <v/>
      </c>
      <c r="L5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0" spans="2:12" x14ac:dyDescent="0.3">
      <c r="B510" t="str">
        <f>IF('ENTRADAS-BASE'!A508="","",'ENTRADAS-BASE'!A508)</f>
        <v/>
      </c>
      <c r="C510" t="str">
        <f>IF('ENTRADAS-BASE'!B508="","",'ENTRADAS-BASE'!B508)</f>
        <v/>
      </c>
      <c r="D510" t="str">
        <f>IF('ENTRADAS-BASE'!C508="","",'ENTRADAS-BASE'!C508)</f>
        <v/>
      </c>
      <c r="E510" s="7" t="str">
        <f>IF('ENTRADAS-BASE'!D508="","",'ENTRADAS-BASE'!D508)</f>
        <v/>
      </c>
      <c r="F510" s="6" t="str">
        <f>IF('ENTRADAS-BASE'!E508="","",'ENTRADAS-BASE'!E508)</f>
        <v/>
      </c>
      <c r="G510" t="str">
        <f>IF('ENTRADAS-BASE'!F508="","",'ENTRADAS-BASE'!F508)</f>
        <v/>
      </c>
      <c r="H510" t="str">
        <f>IF('ENTRADAS-BASE'!G508="","",'ENTRADAS-BASE'!G508)</f>
        <v/>
      </c>
      <c r="I510" t="str">
        <f>IF('ENTRADAS-BASE'!H508="","",'ENTRADAS-BASE'!H508)</f>
        <v/>
      </c>
      <c r="J510" t="str">
        <f>IF('ENTRADAS-BASE'!I508="","",'ENTRADAS-BASE'!I508)</f>
        <v/>
      </c>
      <c r="K510" s="5" t="str">
        <f>IF('ENTRADAS-BASE'!J508="","",'ENTRADAS-BASE'!J508)</f>
        <v/>
      </c>
      <c r="L5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1" spans="2:12" x14ac:dyDescent="0.3">
      <c r="B511" t="str">
        <f>IF('ENTRADAS-BASE'!A509="","",'ENTRADAS-BASE'!A509)</f>
        <v/>
      </c>
      <c r="C511" t="str">
        <f>IF('ENTRADAS-BASE'!B509="","",'ENTRADAS-BASE'!B509)</f>
        <v/>
      </c>
      <c r="D511" t="str">
        <f>IF('ENTRADAS-BASE'!C509="","",'ENTRADAS-BASE'!C509)</f>
        <v/>
      </c>
      <c r="E511" s="7" t="str">
        <f>IF('ENTRADAS-BASE'!D509="","",'ENTRADAS-BASE'!D509)</f>
        <v/>
      </c>
      <c r="F511" s="6" t="str">
        <f>IF('ENTRADAS-BASE'!E509="","",'ENTRADAS-BASE'!E509)</f>
        <v/>
      </c>
      <c r="G511" t="str">
        <f>IF('ENTRADAS-BASE'!F509="","",'ENTRADAS-BASE'!F509)</f>
        <v/>
      </c>
      <c r="H511" t="str">
        <f>IF('ENTRADAS-BASE'!G509="","",'ENTRADAS-BASE'!G509)</f>
        <v/>
      </c>
      <c r="I511" t="str">
        <f>IF('ENTRADAS-BASE'!H509="","",'ENTRADAS-BASE'!H509)</f>
        <v/>
      </c>
      <c r="J511" t="str">
        <f>IF('ENTRADAS-BASE'!I509="","",'ENTRADAS-BASE'!I509)</f>
        <v/>
      </c>
      <c r="K511" s="5" t="str">
        <f>IF('ENTRADAS-BASE'!J509="","",'ENTRADAS-BASE'!J509)</f>
        <v/>
      </c>
      <c r="L5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2" spans="2:12" x14ac:dyDescent="0.3">
      <c r="B512" t="str">
        <f>IF('ENTRADAS-BASE'!A510="","",'ENTRADAS-BASE'!A510)</f>
        <v/>
      </c>
      <c r="C512" t="str">
        <f>IF('ENTRADAS-BASE'!B510="","",'ENTRADAS-BASE'!B510)</f>
        <v/>
      </c>
      <c r="D512" t="str">
        <f>IF('ENTRADAS-BASE'!C510="","",'ENTRADAS-BASE'!C510)</f>
        <v/>
      </c>
      <c r="E512" s="7" t="str">
        <f>IF('ENTRADAS-BASE'!D510="","",'ENTRADAS-BASE'!D510)</f>
        <v/>
      </c>
      <c r="F512" s="6" t="str">
        <f>IF('ENTRADAS-BASE'!E510="","",'ENTRADAS-BASE'!E510)</f>
        <v/>
      </c>
      <c r="G512" t="str">
        <f>IF('ENTRADAS-BASE'!F510="","",'ENTRADAS-BASE'!F510)</f>
        <v/>
      </c>
      <c r="H512" t="str">
        <f>IF('ENTRADAS-BASE'!G510="","",'ENTRADAS-BASE'!G510)</f>
        <v/>
      </c>
      <c r="I512" t="str">
        <f>IF('ENTRADAS-BASE'!H510="","",'ENTRADAS-BASE'!H510)</f>
        <v/>
      </c>
      <c r="J512" t="str">
        <f>IF('ENTRADAS-BASE'!I510="","",'ENTRADAS-BASE'!I510)</f>
        <v/>
      </c>
      <c r="K512" s="5" t="str">
        <f>IF('ENTRADAS-BASE'!J510="","",'ENTRADAS-BASE'!J510)</f>
        <v/>
      </c>
      <c r="L5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3" spans="2:12" x14ac:dyDescent="0.3">
      <c r="B513" t="str">
        <f>IF('ENTRADAS-BASE'!A511="","",'ENTRADAS-BASE'!A511)</f>
        <v/>
      </c>
      <c r="C513" t="str">
        <f>IF('ENTRADAS-BASE'!B511="","",'ENTRADAS-BASE'!B511)</f>
        <v/>
      </c>
      <c r="D513" t="str">
        <f>IF('ENTRADAS-BASE'!C511="","",'ENTRADAS-BASE'!C511)</f>
        <v/>
      </c>
      <c r="E513" s="7" t="str">
        <f>IF('ENTRADAS-BASE'!D511="","",'ENTRADAS-BASE'!D511)</f>
        <v/>
      </c>
      <c r="F513" s="6" t="str">
        <f>IF('ENTRADAS-BASE'!E511="","",'ENTRADAS-BASE'!E511)</f>
        <v/>
      </c>
      <c r="G513" t="str">
        <f>IF('ENTRADAS-BASE'!F511="","",'ENTRADAS-BASE'!F511)</f>
        <v/>
      </c>
      <c r="H513" t="str">
        <f>IF('ENTRADAS-BASE'!G511="","",'ENTRADAS-BASE'!G511)</f>
        <v/>
      </c>
      <c r="I513" t="str">
        <f>IF('ENTRADAS-BASE'!H511="","",'ENTRADAS-BASE'!H511)</f>
        <v/>
      </c>
      <c r="J513" t="str">
        <f>IF('ENTRADAS-BASE'!I511="","",'ENTRADAS-BASE'!I511)</f>
        <v/>
      </c>
      <c r="K513" s="5" t="str">
        <f>IF('ENTRADAS-BASE'!J511="","",'ENTRADAS-BASE'!J511)</f>
        <v/>
      </c>
      <c r="L5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4" spans="2:12" x14ac:dyDescent="0.3">
      <c r="B514" t="str">
        <f>IF('ENTRADAS-BASE'!A512="","",'ENTRADAS-BASE'!A512)</f>
        <v/>
      </c>
      <c r="C514" t="str">
        <f>IF('ENTRADAS-BASE'!B512="","",'ENTRADAS-BASE'!B512)</f>
        <v/>
      </c>
      <c r="D514" t="str">
        <f>IF('ENTRADAS-BASE'!C512="","",'ENTRADAS-BASE'!C512)</f>
        <v/>
      </c>
      <c r="E514" s="7" t="str">
        <f>IF('ENTRADAS-BASE'!D512="","",'ENTRADAS-BASE'!D512)</f>
        <v/>
      </c>
      <c r="F514" s="6" t="str">
        <f>IF('ENTRADAS-BASE'!E512="","",'ENTRADAS-BASE'!E512)</f>
        <v/>
      </c>
      <c r="G514" t="str">
        <f>IF('ENTRADAS-BASE'!F512="","",'ENTRADAS-BASE'!F512)</f>
        <v/>
      </c>
      <c r="H514" t="str">
        <f>IF('ENTRADAS-BASE'!G512="","",'ENTRADAS-BASE'!G512)</f>
        <v/>
      </c>
      <c r="I514" t="str">
        <f>IF('ENTRADAS-BASE'!H512="","",'ENTRADAS-BASE'!H512)</f>
        <v/>
      </c>
      <c r="J514" t="str">
        <f>IF('ENTRADAS-BASE'!I512="","",'ENTRADAS-BASE'!I512)</f>
        <v/>
      </c>
      <c r="K514" s="5" t="str">
        <f>IF('ENTRADAS-BASE'!J512="","",'ENTRADAS-BASE'!J512)</f>
        <v/>
      </c>
      <c r="L5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5" spans="2:12" x14ac:dyDescent="0.3">
      <c r="B515" t="str">
        <f>IF('ENTRADAS-BASE'!A513="","",'ENTRADAS-BASE'!A513)</f>
        <v/>
      </c>
      <c r="C515" t="str">
        <f>IF('ENTRADAS-BASE'!B513="","",'ENTRADAS-BASE'!B513)</f>
        <v/>
      </c>
      <c r="D515" t="str">
        <f>IF('ENTRADAS-BASE'!C513="","",'ENTRADAS-BASE'!C513)</f>
        <v/>
      </c>
      <c r="E515" s="7" t="str">
        <f>IF('ENTRADAS-BASE'!D513="","",'ENTRADAS-BASE'!D513)</f>
        <v/>
      </c>
      <c r="F515" s="6" t="str">
        <f>IF('ENTRADAS-BASE'!E513="","",'ENTRADAS-BASE'!E513)</f>
        <v/>
      </c>
      <c r="G515" t="str">
        <f>IF('ENTRADAS-BASE'!F513="","",'ENTRADAS-BASE'!F513)</f>
        <v/>
      </c>
      <c r="H515" t="str">
        <f>IF('ENTRADAS-BASE'!G513="","",'ENTRADAS-BASE'!G513)</f>
        <v/>
      </c>
      <c r="I515" t="str">
        <f>IF('ENTRADAS-BASE'!H513="","",'ENTRADAS-BASE'!H513)</f>
        <v/>
      </c>
      <c r="J515" t="str">
        <f>IF('ENTRADAS-BASE'!I513="","",'ENTRADAS-BASE'!I513)</f>
        <v/>
      </c>
      <c r="K515" s="5" t="str">
        <f>IF('ENTRADAS-BASE'!J513="","",'ENTRADAS-BASE'!J513)</f>
        <v/>
      </c>
      <c r="L5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6" spans="2:12" x14ac:dyDescent="0.3">
      <c r="B516" t="str">
        <f>IF('ENTRADAS-BASE'!A514="","",'ENTRADAS-BASE'!A514)</f>
        <v/>
      </c>
      <c r="C516" t="str">
        <f>IF('ENTRADAS-BASE'!B514="","",'ENTRADAS-BASE'!B514)</f>
        <v/>
      </c>
      <c r="D516" t="str">
        <f>IF('ENTRADAS-BASE'!C514="","",'ENTRADAS-BASE'!C514)</f>
        <v/>
      </c>
      <c r="E516" s="7" t="str">
        <f>IF('ENTRADAS-BASE'!D514="","",'ENTRADAS-BASE'!D514)</f>
        <v/>
      </c>
      <c r="F516" s="6" t="str">
        <f>IF('ENTRADAS-BASE'!E514="","",'ENTRADAS-BASE'!E514)</f>
        <v/>
      </c>
      <c r="G516" t="str">
        <f>IF('ENTRADAS-BASE'!F514="","",'ENTRADAS-BASE'!F514)</f>
        <v/>
      </c>
      <c r="H516" t="str">
        <f>IF('ENTRADAS-BASE'!G514="","",'ENTRADAS-BASE'!G514)</f>
        <v/>
      </c>
      <c r="I516" t="str">
        <f>IF('ENTRADAS-BASE'!H514="","",'ENTRADAS-BASE'!H514)</f>
        <v/>
      </c>
      <c r="J516" t="str">
        <f>IF('ENTRADAS-BASE'!I514="","",'ENTRADAS-BASE'!I514)</f>
        <v/>
      </c>
      <c r="K516" s="5" t="str">
        <f>IF('ENTRADAS-BASE'!J514="","",'ENTRADAS-BASE'!J514)</f>
        <v/>
      </c>
      <c r="L5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7" spans="2:12" x14ac:dyDescent="0.3">
      <c r="B517" t="str">
        <f>IF('ENTRADAS-BASE'!A515="","",'ENTRADAS-BASE'!A515)</f>
        <v/>
      </c>
      <c r="C517" t="str">
        <f>IF('ENTRADAS-BASE'!B515="","",'ENTRADAS-BASE'!B515)</f>
        <v/>
      </c>
      <c r="D517" t="str">
        <f>IF('ENTRADAS-BASE'!C515="","",'ENTRADAS-BASE'!C515)</f>
        <v/>
      </c>
      <c r="E517" s="7" t="str">
        <f>IF('ENTRADAS-BASE'!D515="","",'ENTRADAS-BASE'!D515)</f>
        <v/>
      </c>
      <c r="F517" s="6" t="str">
        <f>IF('ENTRADAS-BASE'!E515="","",'ENTRADAS-BASE'!E515)</f>
        <v/>
      </c>
      <c r="G517" t="str">
        <f>IF('ENTRADAS-BASE'!F515="","",'ENTRADAS-BASE'!F515)</f>
        <v/>
      </c>
      <c r="H517" t="str">
        <f>IF('ENTRADAS-BASE'!G515="","",'ENTRADAS-BASE'!G515)</f>
        <v/>
      </c>
      <c r="I517" t="str">
        <f>IF('ENTRADAS-BASE'!H515="","",'ENTRADAS-BASE'!H515)</f>
        <v/>
      </c>
      <c r="J517" t="str">
        <f>IF('ENTRADAS-BASE'!I515="","",'ENTRADAS-BASE'!I515)</f>
        <v/>
      </c>
      <c r="K517" s="5" t="str">
        <f>IF('ENTRADAS-BASE'!J515="","",'ENTRADAS-BASE'!J515)</f>
        <v/>
      </c>
      <c r="L5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8" spans="2:12" x14ac:dyDescent="0.3">
      <c r="B518" t="str">
        <f>IF('ENTRADAS-BASE'!A516="","",'ENTRADAS-BASE'!A516)</f>
        <v/>
      </c>
      <c r="C518" t="str">
        <f>IF('ENTRADAS-BASE'!B516="","",'ENTRADAS-BASE'!B516)</f>
        <v/>
      </c>
      <c r="D518" t="str">
        <f>IF('ENTRADAS-BASE'!C516="","",'ENTRADAS-BASE'!C516)</f>
        <v/>
      </c>
      <c r="E518" s="7" t="str">
        <f>IF('ENTRADAS-BASE'!D516="","",'ENTRADAS-BASE'!D516)</f>
        <v/>
      </c>
      <c r="F518" s="6" t="str">
        <f>IF('ENTRADAS-BASE'!E516="","",'ENTRADAS-BASE'!E516)</f>
        <v/>
      </c>
      <c r="G518" t="str">
        <f>IF('ENTRADAS-BASE'!F516="","",'ENTRADAS-BASE'!F516)</f>
        <v/>
      </c>
      <c r="H518" t="str">
        <f>IF('ENTRADAS-BASE'!G516="","",'ENTRADAS-BASE'!G516)</f>
        <v/>
      </c>
      <c r="I518" t="str">
        <f>IF('ENTRADAS-BASE'!H516="","",'ENTRADAS-BASE'!H516)</f>
        <v/>
      </c>
      <c r="J518" t="str">
        <f>IF('ENTRADAS-BASE'!I516="","",'ENTRADAS-BASE'!I516)</f>
        <v/>
      </c>
      <c r="K518" s="5" t="str">
        <f>IF('ENTRADAS-BASE'!J516="","",'ENTRADAS-BASE'!J516)</f>
        <v/>
      </c>
      <c r="L5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9" spans="2:12" x14ac:dyDescent="0.3">
      <c r="B519" t="str">
        <f>IF('ENTRADAS-BASE'!A517="","",'ENTRADAS-BASE'!A517)</f>
        <v/>
      </c>
      <c r="C519" t="str">
        <f>IF('ENTRADAS-BASE'!B517="","",'ENTRADAS-BASE'!B517)</f>
        <v/>
      </c>
      <c r="D519" t="str">
        <f>IF('ENTRADAS-BASE'!C517="","",'ENTRADAS-BASE'!C517)</f>
        <v/>
      </c>
      <c r="E519" s="7" t="str">
        <f>IF('ENTRADAS-BASE'!D517="","",'ENTRADAS-BASE'!D517)</f>
        <v/>
      </c>
      <c r="F519" s="6" t="str">
        <f>IF('ENTRADAS-BASE'!E517="","",'ENTRADAS-BASE'!E517)</f>
        <v/>
      </c>
      <c r="G519" t="str">
        <f>IF('ENTRADAS-BASE'!F517="","",'ENTRADAS-BASE'!F517)</f>
        <v/>
      </c>
      <c r="H519" t="str">
        <f>IF('ENTRADAS-BASE'!G517="","",'ENTRADAS-BASE'!G517)</f>
        <v/>
      </c>
      <c r="I519" t="str">
        <f>IF('ENTRADAS-BASE'!H517="","",'ENTRADAS-BASE'!H517)</f>
        <v/>
      </c>
      <c r="J519" t="str">
        <f>IF('ENTRADAS-BASE'!I517="","",'ENTRADAS-BASE'!I517)</f>
        <v/>
      </c>
      <c r="K519" s="5" t="str">
        <f>IF('ENTRADAS-BASE'!J517="","",'ENTRADAS-BASE'!J517)</f>
        <v/>
      </c>
      <c r="L5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0" spans="2:12" x14ac:dyDescent="0.3">
      <c r="B520" t="str">
        <f>IF('ENTRADAS-BASE'!A518="","",'ENTRADAS-BASE'!A518)</f>
        <v/>
      </c>
      <c r="C520" t="str">
        <f>IF('ENTRADAS-BASE'!B518="","",'ENTRADAS-BASE'!B518)</f>
        <v/>
      </c>
      <c r="D520" t="str">
        <f>IF('ENTRADAS-BASE'!C518="","",'ENTRADAS-BASE'!C518)</f>
        <v/>
      </c>
      <c r="E520" s="7" t="str">
        <f>IF('ENTRADAS-BASE'!D518="","",'ENTRADAS-BASE'!D518)</f>
        <v/>
      </c>
      <c r="F520" s="6" t="str">
        <f>IF('ENTRADAS-BASE'!E518="","",'ENTRADAS-BASE'!E518)</f>
        <v/>
      </c>
      <c r="G520" t="str">
        <f>IF('ENTRADAS-BASE'!F518="","",'ENTRADAS-BASE'!F518)</f>
        <v/>
      </c>
      <c r="H520" t="str">
        <f>IF('ENTRADAS-BASE'!G518="","",'ENTRADAS-BASE'!G518)</f>
        <v/>
      </c>
      <c r="I520" t="str">
        <f>IF('ENTRADAS-BASE'!H518="","",'ENTRADAS-BASE'!H518)</f>
        <v/>
      </c>
      <c r="J520" t="str">
        <f>IF('ENTRADAS-BASE'!I518="","",'ENTRADAS-BASE'!I518)</f>
        <v/>
      </c>
      <c r="K520" s="5" t="str">
        <f>IF('ENTRADAS-BASE'!J518="","",'ENTRADAS-BASE'!J518)</f>
        <v/>
      </c>
      <c r="L5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1" spans="2:12" x14ac:dyDescent="0.3">
      <c r="B521" t="str">
        <f>IF('ENTRADAS-BASE'!A519="","",'ENTRADAS-BASE'!A519)</f>
        <v/>
      </c>
      <c r="C521" t="str">
        <f>IF('ENTRADAS-BASE'!B519="","",'ENTRADAS-BASE'!B519)</f>
        <v/>
      </c>
      <c r="D521" t="str">
        <f>IF('ENTRADAS-BASE'!C519="","",'ENTRADAS-BASE'!C519)</f>
        <v/>
      </c>
      <c r="E521" s="7" t="str">
        <f>IF('ENTRADAS-BASE'!D519="","",'ENTRADAS-BASE'!D519)</f>
        <v/>
      </c>
      <c r="F521" s="6" t="str">
        <f>IF('ENTRADAS-BASE'!E519="","",'ENTRADAS-BASE'!E519)</f>
        <v/>
      </c>
      <c r="G521" t="str">
        <f>IF('ENTRADAS-BASE'!F519="","",'ENTRADAS-BASE'!F519)</f>
        <v/>
      </c>
      <c r="H521" t="str">
        <f>IF('ENTRADAS-BASE'!G519="","",'ENTRADAS-BASE'!G519)</f>
        <v/>
      </c>
      <c r="I521" t="str">
        <f>IF('ENTRADAS-BASE'!H519="","",'ENTRADAS-BASE'!H519)</f>
        <v/>
      </c>
      <c r="J521" t="str">
        <f>IF('ENTRADAS-BASE'!I519="","",'ENTRADAS-BASE'!I519)</f>
        <v/>
      </c>
      <c r="K521" s="5" t="str">
        <f>IF('ENTRADAS-BASE'!J519="","",'ENTRADAS-BASE'!J519)</f>
        <v/>
      </c>
      <c r="L5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2" spans="2:12" x14ac:dyDescent="0.3">
      <c r="B522" t="str">
        <f>IF('ENTRADAS-BASE'!A520="","",'ENTRADAS-BASE'!A520)</f>
        <v/>
      </c>
      <c r="C522" t="str">
        <f>IF('ENTRADAS-BASE'!B520="","",'ENTRADAS-BASE'!B520)</f>
        <v/>
      </c>
      <c r="D522" t="str">
        <f>IF('ENTRADAS-BASE'!C520="","",'ENTRADAS-BASE'!C520)</f>
        <v/>
      </c>
      <c r="E522" s="7" t="str">
        <f>IF('ENTRADAS-BASE'!D520="","",'ENTRADAS-BASE'!D520)</f>
        <v/>
      </c>
      <c r="F522" s="6" t="str">
        <f>IF('ENTRADAS-BASE'!E520="","",'ENTRADAS-BASE'!E520)</f>
        <v/>
      </c>
      <c r="G522" t="str">
        <f>IF('ENTRADAS-BASE'!F520="","",'ENTRADAS-BASE'!F520)</f>
        <v/>
      </c>
      <c r="H522" t="str">
        <f>IF('ENTRADAS-BASE'!G520="","",'ENTRADAS-BASE'!G520)</f>
        <v/>
      </c>
      <c r="I522" t="str">
        <f>IF('ENTRADAS-BASE'!H520="","",'ENTRADAS-BASE'!H520)</f>
        <v/>
      </c>
      <c r="J522" t="str">
        <f>IF('ENTRADAS-BASE'!I520="","",'ENTRADAS-BASE'!I520)</f>
        <v/>
      </c>
      <c r="K522" s="5" t="str">
        <f>IF('ENTRADAS-BASE'!J520="","",'ENTRADAS-BASE'!J520)</f>
        <v/>
      </c>
      <c r="L5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3" spans="2:12" x14ac:dyDescent="0.3">
      <c r="B523" t="str">
        <f>IF('ENTRADAS-BASE'!A521="","",'ENTRADAS-BASE'!A521)</f>
        <v/>
      </c>
      <c r="C523" t="str">
        <f>IF('ENTRADAS-BASE'!B521="","",'ENTRADAS-BASE'!B521)</f>
        <v/>
      </c>
      <c r="D523" t="str">
        <f>IF('ENTRADAS-BASE'!C521="","",'ENTRADAS-BASE'!C521)</f>
        <v/>
      </c>
      <c r="E523" s="7" t="str">
        <f>IF('ENTRADAS-BASE'!D521="","",'ENTRADAS-BASE'!D521)</f>
        <v/>
      </c>
      <c r="F523" s="6" t="str">
        <f>IF('ENTRADAS-BASE'!E521="","",'ENTRADAS-BASE'!E521)</f>
        <v/>
      </c>
      <c r="G523" t="str">
        <f>IF('ENTRADAS-BASE'!F521="","",'ENTRADAS-BASE'!F521)</f>
        <v/>
      </c>
      <c r="H523" t="str">
        <f>IF('ENTRADAS-BASE'!G521="","",'ENTRADAS-BASE'!G521)</f>
        <v/>
      </c>
      <c r="I523" t="str">
        <f>IF('ENTRADAS-BASE'!H521="","",'ENTRADAS-BASE'!H521)</f>
        <v/>
      </c>
      <c r="J523" t="str">
        <f>IF('ENTRADAS-BASE'!I521="","",'ENTRADAS-BASE'!I521)</f>
        <v/>
      </c>
      <c r="K523" s="5" t="str">
        <f>IF('ENTRADAS-BASE'!J521="","",'ENTRADAS-BASE'!J521)</f>
        <v/>
      </c>
      <c r="L5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4" spans="2:12" x14ac:dyDescent="0.3">
      <c r="B524" t="str">
        <f>IF('ENTRADAS-BASE'!A522="","",'ENTRADAS-BASE'!A522)</f>
        <v/>
      </c>
      <c r="C524" t="str">
        <f>IF('ENTRADAS-BASE'!B522="","",'ENTRADAS-BASE'!B522)</f>
        <v/>
      </c>
      <c r="D524" t="str">
        <f>IF('ENTRADAS-BASE'!C522="","",'ENTRADAS-BASE'!C522)</f>
        <v/>
      </c>
      <c r="E524" s="7" t="str">
        <f>IF('ENTRADAS-BASE'!D522="","",'ENTRADAS-BASE'!D522)</f>
        <v/>
      </c>
      <c r="F524" s="6" t="str">
        <f>IF('ENTRADAS-BASE'!E522="","",'ENTRADAS-BASE'!E522)</f>
        <v/>
      </c>
      <c r="G524" t="str">
        <f>IF('ENTRADAS-BASE'!F522="","",'ENTRADAS-BASE'!F522)</f>
        <v/>
      </c>
      <c r="H524" t="str">
        <f>IF('ENTRADAS-BASE'!G522="","",'ENTRADAS-BASE'!G522)</f>
        <v/>
      </c>
      <c r="I524" t="str">
        <f>IF('ENTRADAS-BASE'!H522="","",'ENTRADAS-BASE'!H522)</f>
        <v/>
      </c>
      <c r="J524" t="str">
        <f>IF('ENTRADAS-BASE'!I522="","",'ENTRADAS-BASE'!I522)</f>
        <v/>
      </c>
      <c r="K524" s="5" t="str">
        <f>IF('ENTRADAS-BASE'!J522="","",'ENTRADAS-BASE'!J522)</f>
        <v/>
      </c>
      <c r="L5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5" spans="2:12" x14ac:dyDescent="0.3">
      <c r="B525" t="str">
        <f>IF('ENTRADAS-BASE'!A523="","",'ENTRADAS-BASE'!A523)</f>
        <v/>
      </c>
      <c r="C525" t="str">
        <f>IF('ENTRADAS-BASE'!B523="","",'ENTRADAS-BASE'!B523)</f>
        <v/>
      </c>
      <c r="D525" t="str">
        <f>IF('ENTRADAS-BASE'!C523="","",'ENTRADAS-BASE'!C523)</f>
        <v/>
      </c>
      <c r="E525" s="7" t="str">
        <f>IF('ENTRADAS-BASE'!D523="","",'ENTRADAS-BASE'!D523)</f>
        <v/>
      </c>
      <c r="F525" s="6" t="str">
        <f>IF('ENTRADAS-BASE'!E523="","",'ENTRADAS-BASE'!E523)</f>
        <v/>
      </c>
      <c r="G525" t="str">
        <f>IF('ENTRADAS-BASE'!F523="","",'ENTRADAS-BASE'!F523)</f>
        <v/>
      </c>
      <c r="H525" t="str">
        <f>IF('ENTRADAS-BASE'!G523="","",'ENTRADAS-BASE'!G523)</f>
        <v/>
      </c>
      <c r="I525" t="str">
        <f>IF('ENTRADAS-BASE'!H523="","",'ENTRADAS-BASE'!H523)</f>
        <v/>
      </c>
      <c r="J525" t="str">
        <f>IF('ENTRADAS-BASE'!I523="","",'ENTRADAS-BASE'!I523)</f>
        <v/>
      </c>
      <c r="K525" s="5" t="str">
        <f>IF('ENTRADAS-BASE'!J523="","",'ENTRADAS-BASE'!J523)</f>
        <v/>
      </c>
      <c r="L5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6" spans="2:12" x14ac:dyDescent="0.3">
      <c r="B526" t="str">
        <f>IF('ENTRADAS-BASE'!A524="","",'ENTRADAS-BASE'!A524)</f>
        <v/>
      </c>
      <c r="C526" t="str">
        <f>IF('ENTRADAS-BASE'!B524="","",'ENTRADAS-BASE'!B524)</f>
        <v/>
      </c>
      <c r="D526" t="str">
        <f>IF('ENTRADAS-BASE'!C524="","",'ENTRADAS-BASE'!C524)</f>
        <v/>
      </c>
      <c r="E526" s="7" t="str">
        <f>IF('ENTRADAS-BASE'!D524="","",'ENTRADAS-BASE'!D524)</f>
        <v/>
      </c>
      <c r="F526" s="6" t="str">
        <f>IF('ENTRADAS-BASE'!E524="","",'ENTRADAS-BASE'!E524)</f>
        <v/>
      </c>
      <c r="G526" t="str">
        <f>IF('ENTRADAS-BASE'!F524="","",'ENTRADAS-BASE'!F524)</f>
        <v/>
      </c>
      <c r="H526" t="str">
        <f>IF('ENTRADAS-BASE'!G524="","",'ENTRADAS-BASE'!G524)</f>
        <v/>
      </c>
      <c r="I526" t="str">
        <f>IF('ENTRADAS-BASE'!H524="","",'ENTRADAS-BASE'!H524)</f>
        <v/>
      </c>
      <c r="J526" t="str">
        <f>IF('ENTRADAS-BASE'!I524="","",'ENTRADAS-BASE'!I524)</f>
        <v/>
      </c>
      <c r="K526" s="5" t="str">
        <f>IF('ENTRADAS-BASE'!J524="","",'ENTRADAS-BASE'!J524)</f>
        <v/>
      </c>
      <c r="L5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7" spans="2:12" x14ac:dyDescent="0.3">
      <c r="B527" t="str">
        <f>IF('ENTRADAS-BASE'!A525="","",'ENTRADAS-BASE'!A525)</f>
        <v/>
      </c>
      <c r="C527" t="str">
        <f>IF('ENTRADAS-BASE'!B525="","",'ENTRADAS-BASE'!B525)</f>
        <v/>
      </c>
      <c r="D527" t="str">
        <f>IF('ENTRADAS-BASE'!C525="","",'ENTRADAS-BASE'!C525)</f>
        <v/>
      </c>
      <c r="E527" s="7" t="str">
        <f>IF('ENTRADAS-BASE'!D525="","",'ENTRADAS-BASE'!D525)</f>
        <v/>
      </c>
      <c r="F527" s="6" t="str">
        <f>IF('ENTRADAS-BASE'!E525="","",'ENTRADAS-BASE'!E525)</f>
        <v/>
      </c>
      <c r="G527" t="str">
        <f>IF('ENTRADAS-BASE'!F525="","",'ENTRADAS-BASE'!F525)</f>
        <v/>
      </c>
      <c r="H527" t="str">
        <f>IF('ENTRADAS-BASE'!G525="","",'ENTRADAS-BASE'!G525)</f>
        <v/>
      </c>
      <c r="I527" t="str">
        <f>IF('ENTRADAS-BASE'!H525="","",'ENTRADAS-BASE'!H525)</f>
        <v/>
      </c>
      <c r="J527" t="str">
        <f>IF('ENTRADAS-BASE'!I525="","",'ENTRADAS-BASE'!I525)</f>
        <v/>
      </c>
      <c r="K527" s="5" t="str">
        <f>IF('ENTRADAS-BASE'!J525="","",'ENTRADAS-BASE'!J525)</f>
        <v/>
      </c>
      <c r="L5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8" spans="2:12" x14ac:dyDescent="0.3">
      <c r="B528" t="str">
        <f>IF('ENTRADAS-BASE'!A526="","",'ENTRADAS-BASE'!A526)</f>
        <v/>
      </c>
      <c r="C528" t="str">
        <f>IF('ENTRADAS-BASE'!B526="","",'ENTRADAS-BASE'!B526)</f>
        <v/>
      </c>
      <c r="D528" t="str">
        <f>IF('ENTRADAS-BASE'!C526="","",'ENTRADAS-BASE'!C526)</f>
        <v/>
      </c>
      <c r="E528" s="7" t="str">
        <f>IF('ENTRADAS-BASE'!D526="","",'ENTRADAS-BASE'!D526)</f>
        <v/>
      </c>
      <c r="F528" s="6" t="str">
        <f>IF('ENTRADAS-BASE'!E526="","",'ENTRADAS-BASE'!E526)</f>
        <v/>
      </c>
      <c r="G528" t="str">
        <f>IF('ENTRADAS-BASE'!F526="","",'ENTRADAS-BASE'!F526)</f>
        <v/>
      </c>
      <c r="H528" t="str">
        <f>IF('ENTRADAS-BASE'!G526="","",'ENTRADAS-BASE'!G526)</f>
        <v/>
      </c>
      <c r="I528" t="str">
        <f>IF('ENTRADAS-BASE'!H526="","",'ENTRADAS-BASE'!H526)</f>
        <v/>
      </c>
      <c r="J528" t="str">
        <f>IF('ENTRADAS-BASE'!I526="","",'ENTRADAS-BASE'!I526)</f>
        <v/>
      </c>
      <c r="K528" s="5" t="str">
        <f>IF('ENTRADAS-BASE'!J526="","",'ENTRADAS-BASE'!J526)</f>
        <v/>
      </c>
      <c r="L5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9" spans="2:12" x14ac:dyDescent="0.3">
      <c r="B529" t="str">
        <f>IF('ENTRADAS-BASE'!A527="","",'ENTRADAS-BASE'!A527)</f>
        <v/>
      </c>
      <c r="C529" t="str">
        <f>IF('ENTRADAS-BASE'!B527="","",'ENTRADAS-BASE'!B527)</f>
        <v/>
      </c>
      <c r="D529" t="str">
        <f>IF('ENTRADAS-BASE'!C527="","",'ENTRADAS-BASE'!C527)</f>
        <v/>
      </c>
      <c r="E529" s="7" t="str">
        <f>IF('ENTRADAS-BASE'!D527="","",'ENTRADAS-BASE'!D527)</f>
        <v/>
      </c>
      <c r="F529" s="6" t="str">
        <f>IF('ENTRADAS-BASE'!E527="","",'ENTRADAS-BASE'!E527)</f>
        <v/>
      </c>
      <c r="G529" t="str">
        <f>IF('ENTRADAS-BASE'!F527="","",'ENTRADAS-BASE'!F527)</f>
        <v/>
      </c>
      <c r="H529" t="str">
        <f>IF('ENTRADAS-BASE'!G527="","",'ENTRADAS-BASE'!G527)</f>
        <v/>
      </c>
      <c r="I529" t="str">
        <f>IF('ENTRADAS-BASE'!H527="","",'ENTRADAS-BASE'!H527)</f>
        <v/>
      </c>
      <c r="J529" t="str">
        <f>IF('ENTRADAS-BASE'!I527="","",'ENTRADAS-BASE'!I527)</f>
        <v/>
      </c>
      <c r="K529" s="5" t="str">
        <f>IF('ENTRADAS-BASE'!J527="","",'ENTRADAS-BASE'!J527)</f>
        <v/>
      </c>
      <c r="L5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0" spans="2:12" x14ac:dyDescent="0.3">
      <c r="B530" t="str">
        <f>IF('ENTRADAS-BASE'!A528="","",'ENTRADAS-BASE'!A528)</f>
        <v/>
      </c>
      <c r="C530" t="str">
        <f>IF('ENTRADAS-BASE'!B528="","",'ENTRADAS-BASE'!B528)</f>
        <v/>
      </c>
      <c r="D530" t="str">
        <f>IF('ENTRADAS-BASE'!C528="","",'ENTRADAS-BASE'!C528)</f>
        <v/>
      </c>
      <c r="E530" s="7" t="str">
        <f>IF('ENTRADAS-BASE'!D528="","",'ENTRADAS-BASE'!D528)</f>
        <v/>
      </c>
      <c r="F530" s="6" t="str">
        <f>IF('ENTRADAS-BASE'!E528="","",'ENTRADAS-BASE'!E528)</f>
        <v/>
      </c>
      <c r="G530" t="str">
        <f>IF('ENTRADAS-BASE'!F528="","",'ENTRADAS-BASE'!F528)</f>
        <v/>
      </c>
      <c r="H530" t="str">
        <f>IF('ENTRADAS-BASE'!G528="","",'ENTRADAS-BASE'!G528)</f>
        <v/>
      </c>
      <c r="I530" t="str">
        <f>IF('ENTRADAS-BASE'!H528="","",'ENTRADAS-BASE'!H528)</f>
        <v/>
      </c>
      <c r="J530" t="str">
        <f>IF('ENTRADAS-BASE'!I528="","",'ENTRADAS-BASE'!I528)</f>
        <v/>
      </c>
      <c r="K530" s="5" t="str">
        <f>IF('ENTRADAS-BASE'!J528="","",'ENTRADAS-BASE'!J528)</f>
        <v/>
      </c>
      <c r="L5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1" spans="2:12" x14ac:dyDescent="0.3">
      <c r="B531" t="str">
        <f>IF('ENTRADAS-BASE'!A529="","",'ENTRADAS-BASE'!A529)</f>
        <v/>
      </c>
      <c r="C531" t="str">
        <f>IF('ENTRADAS-BASE'!B529="","",'ENTRADAS-BASE'!B529)</f>
        <v/>
      </c>
      <c r="D531" t="str">
        <f>IF('ENTRADAS-BASE'!C529="","",'ENTRADAS-BASE'!C529)</f>
        <v/>
      </c>
      <c r="E531" s="7" t="str">
        <f>IF('ENTRADAS-BASE'!D529="","",'ENTRADAS-BASE'!D529)</f>
        <v/>
      </c>
      <c r="F531" s="6" t="str">
        <f>IF('ENTRADAS-BASE'!E529="","",'ENTRADAS-BASE'!E529)</f>
        <v/>
      </c>
      <c r="G531" t="str">
        <f>IF('ENTRADAS-BASE'!F529="","",'ENTRADAS-BASE'!F529)</f>
        <v/>
      </c>
      <c r="H531" t="str">
        <f>IF('ENTRADAS-BASE'!G529="","",'ENTRADAS-BASE'!G529)</f>
        <v/>
      </c>
      <c r="I531" t="str">
        <f>IF('ENTRADAS-BASE'!H529="","",'ENTRADAS-BASE'!H529)</f>
        <v/>
      </c>
      <c r="J531" t="str">
        <f>IF('ENTRADAS-BASE'!I529="","",'ENTRADAS-BASE'!I529)</f>
        <v/>
      </c>
      <c r="K531" s="5" t="str">
        <f>IF('ENTRADAS-BASE'!J529="","",'ENTRADAS-BASE'!J529)</f>
        <v/>
      </c>
      <c r="L5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2" spans="2:12" x14ac:dyDescent="0.3">
      <c r="B532" t="str">
        <f>IF('ENTRADAS-BASE'!A530="","",'ENTRADAS-BASE'!A530)</f>
        <v/>
      </c>
      <c r="C532" t="str">
        <f>IF('ENTRADAS-BASE'!B530="","",'ENTRADAS-BASE'!B530)</f>
        <v/>
      </c>
      <c r="D532" t="str">
        <f>IF('ENTRADAS-BASE'!C530="","",'ENTRADAS-BASE'!C530)</f>
        <v/>
      </c>
      <c r="E532" s="7" t="str">
        <f>IF('ENTRADAS-BASE'!D530="","",'ENTRADAS-BASE'!D530)</f>
        <v/>
      </c>
      <c r="F532" s="6" t="str">
        <f>IF('ENTRADAS-BASE'!E530="","",'ENTRADAS-BASE'!E530)</f>
        <v/>
      </c>
      <c r="G532" t="str">
        <f>IF('ENTRADAS-BASE'!F530="","",'ENTRADAS-BASE'!F530)</f>
        <v/>
      </c>
      <c r="H532" t="str">
        <f>IF('ENTRADAS-BASE'!G530="","",'ENTRADAS-BASE'!G530)</f>
        <v/>
      </c>
      <c r="I532" t="str">
        <f>IF('ENTRADAS-BASE'!H530="","",'ENTRADAS-BASE'!H530)</f>
        <v/>
      </c>
      <c r="J532" t="str">
        <f>IF('ENTRADAS-BASE'!I530="","",'ENTRADAS-BASE'!I530)</f>
        <v/>
      </c>
      <c r="K532" s="5" t="str">
        <f>IF('ENTRADAS-BASE'!J530="","",'ENTRADAS-BASE'!J530)</f>
        <v/>
      </c>
      <c r="L5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3" spans="2:12" x14ac:dyDescent="0.3">
      <c r="B533" t="str">
        <f>IF('ENTRADAS-BASE'!A531="","",'ENTRADAS-BASE'!A531)</f>
        <v/>
      </c>
      <c r="C533" t="str">
        <f>IF('ENTRADAS-BASE'!B531="","",'ENTRADAS-BASE'!B531)</f>
        <v/>
      </c>
      <c r="D533" t="str">
        <f>IF('ENTRADAS-BASE'!C531="","",'ENTRADAS-BASE'!C531)</f>
        <v/>
      </c>
      <c r="E533" s="7" t="str">
        <f>IF('ENTRADAS-BASE'!D531="","",'ENTRADAS-BASE'!D531)</f>
        <v/>
      </c>
      <c r="F533" s="6" t="str">
        <f>IF('ENTRADAS-BASE'!E531="","",'ENTRADAS-BASE'!E531)</f>
        <v/>
      </c>
      <c r="G533" t="str">
        <f>IF('ENTRADAS-BASE'!F531="","",'ENTRADAS-BASE'!F531)</f>
        <v/>
      </c>
      <c r="H533" t="str">
        <f>IF('ENTRADAS-BASE'!G531="","",'ENTRADAS-BASE'!G531)</f>
        <v/>
      </c>
      <c r="I533" t="str">
        <f>IF('ENTRADAS-BASE'!H531="","",'ENTRADAS-BASE'!H531)</f>
        <v/>
      </c>
      <c r="J533" t="str">
        <f>IF('ENTRADAS-BASE'!I531="","",'ENTRADAS-BASE'!I531)</f>
        <v/>
      </c>
      <c r="K533" s="5" t="str">
        <f>IF('ENTRADAS-BASE'!J531="","",'ENTRADAS-BASE'!J531)</f>
        <v/>
      </c>
      <c r="L5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4" spans="2:12" x14ac:dyDescent="0.3">
      <c r="B534" t="str">
        <f>IF('ENTRADAS-BASE'!A532="","",'ENTRADAS-BASE'!A532)</f>
        <v/>
      </c>
      <c r="C534" t="str">
        <f>IF('ENTRADAS-BASE'!B532="","",'ENTRADAS-BASE'!B532)</f>
        <v/>
      </c>
      <c r="D534" t="str">
        <f>IF('ENTRADAS-BASE'!C532="","",'ENTRADAS-BASE'!C532)</f>
        <v/>
      </c>
      <c r="E534" s="7" t="str">
        <f>IF('ENTRADAS-BASE'!D532="","",'ENTRADAS-BASE'!D532)</f>
        <v/>
      </c>
      <c r="F534" s="6" t="str">
        <f>IF('ENTRADAS-BASE'!E532="","",'ENTRADAS-BASE'!E532)</f>
        <v/>
      </c>
      <c r="G534" t="str">
        <f>IF('ENTRADAS-BASE'!F532="","",'ENTRADAS-BASE'!F532)</f>
        <v/>
      </c>
      <c r="H534" t="str">
        <f>IF('ENTRADAS-BASE'!G532="","",'ENTRADAS-BASE'!G532)</f>
        <v/>
      </c>
      <c r="I534" t="str">
        <f>IF('ENTRADAS-BASE'!H532="","",'ENTRADAS-BASE'!H532)</f>
        <v/>
      </c>
      <c r="J534" t="str">
        <f>IF('ENTRADAS-BASE'!I532="","",'ENTRADAS-BASE'!I532)</f>
        <v/>
      </c>
      <c r="K534" s="5" t="str">
        <f>IF('ENTRADAS-BASE'!J532="","",'ENTRADAS-BASE'!J532)</f>
        <v/>
      </c>
      <c r="L5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5" spans="2:12" x14ac:dyDescent="0.3">
      <c r="B535" t="str">
        <f>IF('ENTRADAS-BASE'!A533="","",'ENTRADAS-BASE'!A533)</f>
        <v/>
      </c>
      <c r="C535" t="str">
        <f>IF('ENTRADAS-BASE'!B533="","",'ENTRADAS-BASE'!B533)</f>
        <v/>
      </c>
      <c r="D535" t="str">
        <f>IF('ENTRADAS-BASE'!C533="","",'ENTRADAS-BASE'!C533)</f>
        <v/>
      </c>
      <c r="E535" s="7" t="str">
        <f>IF('ENTRADAS-BASE'!D533="","",'ENTRADAS-BASE'!D533)</f>
        <v/>
      </c>
      <c r="F535" s="6" t="str">
        <f>IF('ENTRADAS-BASE'!E533="","",'ENTRADAS-BASE'!E533)</f>
        <v/>
      </c>
      <c r="G535" t="str">
        <f>IF('ENTRADAS-BASE'!F533="","",'ENTRADAS-BASE'!F533)</f>
        <v/>
      </c>
      <c r="H535" t="str">
        <f>IF('ENTRADAS-BASE'!G533="","",'ENTRADAS-BASE'!G533)</f>
        <v/>
      </c>
      <c r="I535" t="str">
        <f>IF('ENTRADAS-BASE'!H533="","",'ENTRADAS-BASE'!H533)</f>
        <v/>
      </c>
      <c r="J535" t="str">
        <f>IF('ENTRADAS-BASE'!I533="","",'ENTRADAS-BASE'!I533)</f>
        <v/>
      </c>
      <c r="K535" s="5" t="str">
        <f>IF('ENTRADAS-BASE'!J533="","",'ENTRADAS-BASE'!J533)</f>
        <v/>
      </c>
      <c r="L5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6" spans="2:12" x14ac:dyDescent="0.3">
      <c r="B536" t="str">
        <f>IF('ENTRADAS-BASE'!A534="","",'ENTRADAS-BASE'!A534)</f>
        <v/>
      </c>
      <c r="C536" t="str">
        <f>IF('ENTRADAS-BASE'!B534="","",'ENTRADAS-BASE'!B534)</f>
        <v/>
      </c>
      <c r="D536" t="str">
        <f>IF('ENTRADAS-BASE'!C534="","",'ENTRADAS-BASE'!C534)</f>
        <v/>
      </c>
      <c r="E536" s="7" t="str">
        <f>IF('ENTRADAS-BASE'!D534="","",'ENTRADAS-BASE'!D534)</f>
        <v/>
      </c>
      <c r="F536" s="6" t="str">
        <f>IF('ENTRADAS-BASE'!E534="","",'ENTRADAS-BASE'!E534)</f>
        <v/>
      </c>
      <c r="G536" t="str">
        <f>IF('ENTRADAS-BASE'!F534="","",'ENTRADAS-BASE'!F534)</f>
        <v/>
      </c>
      <c r="H536" t="str">
        <f>IF('ENTRADAS-BASE'!G534="","",'ENTRADAS-BASE'!G534)</f>
        <v/>
      </c>
      <c r="I536" t="str">
        <f>IF('ENTRADAS-BASE'!H534="","",'ENTRADAS-BASE'!H534)</f>
        <v/>
      </c>
      <c r="J536" t="str">
        <f>IF('ENTRADAS-BASE'!I534="","",'ENTRADAS-BASE'!I534)</f>
        <v/>
      </c>
      <c r="K536" s="5" t="str">
        <f>IF('ENTRADAS-BASE'!J534="","",'ENTRADAS-BASE'!J534)</f>
        <v/>
      </c>
      <c r="L5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7" spans="2:12" x14ac:dyDescent="0.3">
      <c r="B537" t="str">
        <f>IF('ENTRADAS-BASE'!A535="","",'ENTRADAS-BASE'!A535)</f>
        <v/>
      </c>
      <c r="C537" t="str">
        <f>IF('ENTRADAS-BASE'!B535="","",'ENTRADAS-BASE'!B535)</f>
        <v/>
      </c>
      <c r="D537" t="str">
        <f>IF('ENTRADAS-BASE'!C535="","",'ENTRADAS-BASE'!C535)</f>
        <v/>
      </c>
      <c r="E537" s="7" t="str">
        <f>IF('ENTRADAS-BASE'!D535="","",'ENTRADAS-BASE'!D535)</f>
        <v/>
      </c>
      <c r="F537" s="6" t="str">
        <f>IF('ENTRADAS-BASE'!E535="","",'ENTRADAS-BASE'!E535)</f>
        <v/>
      </c>
      <c r="G537" t="str">
        <f>IF('ENTRADAS-BASE'!F535="","",'ENTRADAS-BASE'!F535)</f>
        <v/>
      </c>
      <c r="H537" t="str">
        <f>IF('ENTRADAS-BASE'!G535="","",'ENTRADAS-BASE'!G535)</f>
        <v/>
      </c>
      <c r="I537" t="str">
        <f>IF('ENTRADAS-BASE'!H535="","",'ENTRADAS-BASE'!H535)</f>
        <v/>
      </c>
      <c r="J537" t="str">
        <f>IF('ENTRADAS-BASE'!I535="","",'ENTRADAS-BASE'!I535)</f>
        <v/>
      </c>
      <c r="K537" s="5" t="str">
        <f>IF('ENTRADAS-BASE'!J535="","",'ENTRADAS-BASE'!J535)</f>
        <v/>
      </c>
      <c r="L5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8" spans="2:12" x14ac:dyDescent="0.3">
      <c r="B538" t="str">
        <f>IF('ENTRADAS-BASE'!A536="","",'ENTRADAS-BASE'!A536)</f>
        <v/>
      </c>
      <c r="C538" t="str">
        <f>IF('ENTRADAS-BASE'!B536="","",'ENTRADAS-BASE'!B536)</f>
        <v/>
      </c>
      <c r="D538" t="str">
        <f>IF('ENTRADAS-BASE'!C536="","",'ENTRADAS-BASE'!C536)</f>
        <v/>
      </c>
      <c r="E538" s="7" t="str">
        <f>IF('ENTRADAS-BASE'!D536="","",'ENTRADAS-BASE'!D536)</f>
        <v/>
      </c>
      <c r="F538" s="6" t="str">
        <f>IF('ENTRADAS-BASE'!E536="","",'ENTRADAS-BASE'!E536)</f>
        <v/>
      </c>
      <c r="G538" t="str">
        <f>IF('ENTRADAS-BASE'!F536="","",'ENTRADAS-BASE'!F536)</f>
        <v/>
      </c>
      <c r="H538" t="str">
        <f>IF('ENTRADAS-BASE'!G536="","",'ENTRADAS-BASE'!G536)</f>
        <v/>
      </c>
      <c r="I538" t="str">
        <f>IF('ENTRADAS-BASE'!H536="","",'ENTRADAS-BASE'!H536)</f>
        <v/>
      </c>
      <c r="J538" t="str">
        <f>IF('ENTRADAS-BASE'!I536="","",'ENTRADAS-BASE'!I536)</f>
        <v/>
      </c>
      <c r="K538" s="5" t="str">
        <f>IF('ENTRADAS-BASE'!J536="","",'ENTRADAS-BASE'!J536)</f>
        <v/>
      </c>
      <c r="L5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9" spans="2:12" x14ac:dyDescent="0.3">
      <c r="B539" t="str">
        <f>IF('ENTRADAS-BASE'!A537="","",'ENTRADAS-BASE'!A537)</f>
        <v/>
      </c>
      <c r="C539" t="str">
        <f>IF('ENTRADAS-BASE'!B537="","",'ENTRADAS-BASE'!B537)</f>
        <v/>
      </c>
      <c r="D539" t="str">
        <f>IF('ENTRADAS-BASE'!C537="","",'ENTRADAS-BASE'!C537)</f>
        <v/>
      </c>
      <c r="E539" s="7" t="str">
        <f>IF('ENTRADAS-BASE'!D537="","",'ENTRADAS-BASE'!D537)</f>
        <v/>
      </c>
      <c r="F539" s="6" t="str">
        <f>IF('ENTRADAS-BASE'!E537="","",'ENTRADAS-BASE'!E537)</f>
        <v/>
      </c>
      <c r="G539" t="str">
        <f>IF('ENTRADAS-BASE'!F537="","",'ENTRADAS-BASE'!F537)</f>
        <v/>
      </c>
      <c r="H539" t="str">
        <f>IF('ENTRADAS-BASE'!G537="","",'ENTRADAS-BASE'!G537)</f>
        <v/>
      </c>
      <c r="I539" t="str">
        <f>IF('ENTRADAS-BASE'!H537="","",'ENTRADAS-BASE'!H537)</f>
        <v/>
      </c>
      <c r="J539" t="str">
        <f>IF('ENTRADAS-BASE'!I537="","",'ENTRADAS-BASE'!I537)</f>
        <v/>
      </c>
      <c r="K539" s="5" t="str">
        <f>IF('ENTRADAS-BASE'!J537="","",'ENTRADAS-BASE'!J537)</f>
        <v/>
      </c>
      <c r="L5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0" spans="2:12" x14ac:dyDescent="0.3">
      <c r="B540" t="str">
        <f>IF('ENTRADAS-BASE'!A538="","",'ENTRADAS-BASE'!A538)</f>
        <v/>
      </c>
      <c r="C540" t="str">
        <f>IF('ENTRADAS-BASE'!B538="","",'ENTRADAS-BASE'!B538)</f>
        <v/>
      </c>
      <c r="D540" t="str">
        <f>IF('ENTRADAS-BASE'!C538="","",'ENTRADAS-BASE'!C538)</f>
        <v/>
      </c>
      <c r="E540" s="7" t="str">
        <f>IF('ENTRADAS-BASE'!D538="","",'ENTRADAS-BASE'!D538)</f>
        <v/>
      </c>
      <c r="F540" s="6" t="str">
        <f>IF('ENTRADAS-BASE'!E538="","",'ENTRADAS-BASE'!E538)</f>
        <v/>
      </c>
      <c r="G540" t="str">
        <f>IF('ENTRADAS-BASE'!F538="","",'ENTRADAS-BASE'!F538)</f>
        <v/>
      </c>
      <c r="H540" t="str">
        <f>IF('ENTRADAS-BASE'!G538="","",'ENTRADAS-BASE'!G538)</f>
        <v/>
      </c>
      <c r="I540" t="str">
        <f>IF('ENTRADAS-BASE'!H538="","",'ENTRADAS-BASE'!H538)</f>
        <v/>
      </c>
      <c r="J540" t="str">
        <f>IF('ENTRADAS-BASE'!I538="","",'ENTRADAS-BASE'!I538)</f>
        <v/>
      </c>
      <c r="K540" s="5" t="str">
        <f>IF('ENTRADAS-BASE'!J538="","",'ENTRADAS-BASE'!J538)</f>
        <v/>
      </c>
      <c r="L5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1" spans="2:12" x14ac:dyDescent="0.3">
      <c r="B541" t="str">
        <f>IF('ENTRADAS-BASE'!A539="","",'ENTRADAS-BASE'!A539)</f>
        <v/>
      </c>
      <c r="C541" t="str">
        <f>IF('ENTRADAS-BASE'!B539="","",'ENTRADAS-BASE'!B539)</f>
        <v/>
      </c>
      <c r="D541" t="str">
        <f>IF('ENTRADAS-BASE'!C539="","",'ENTRADAS-BASE'!C539)</f>
        <v/>
      </c>
      <c r="E541" s="7" t="str">
        <f>IF('ENTRADAS-BASE'!D539="","",'ENTRADAS-BASE'!D539)</f>
        <v/>
      </c>
      <c r="F541" s="6" t="str">
        <f>IF('ENTRADAS-BASE'!E539="","",'ENTRADAS-BASE'!E539)</f>
        <v/>
      </c>
      <c r="G541" t="str">
        <f>IF('ENTRADAS-BASE'!F539="","",'ENTRADAS-BASE'!F539)</f>
        <v/>
      </c>
      <c r="H541" t="str">
        <f>IF('ENTRADAS-BASE'!G539="","",'ENTRADAS-BASE'!G539)</f>
        <v/>
      </c>
      <c r="I541" t="str">
        <f>IF('ENTRADAS-BASE'!H539="","",'ENTRADAS-BASE'!H539)</f>
        <v/>
      </c>
      <c r="J541" t="str">
        <f>IF('ENTRADAS-BASE'!I539="","",'ENTRADAS-BASE'!I539)</f>
        <v/>
      </c>
      <c r="K541" s="5" t="str">
        <f>IF('ENTRADAS-BASE'!J539="","",'ENTRADAS-BASE'!J539)</f>
        <v/>
      </c>
      <c r="L5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2" spans="2:12" x14ac:dyDescent="0.3">
      <c r="B542" t="str">
        <f>IF('ENTRADAS-BASE'!A540="","",'ENTRADAS-BASE'!A540)</f>
        <v/>
      </c>
      <c r="C542" t="str">
        <f>IF('ENTRADAS-BASE'!B540="","",'ENTRADAS-BASE'!B540)</f>
        <v/>
      </c>
      <c r="D542" t="str">
        <f>IF('ENTRADAS-BASE'!C540="","",'ENTRADAS-BASE'!C540)</f>
        <v/>
      </c>
      <c r="E542" s="7" t="str">
        <f>IF('ENTRADAS-BASE'!D540="","",'ENTRADAS-BASE'!D540)</f>
        <v/>
      </c>
      <c r="F542" s="6" t="str">
        <f>IF('ENTRADAS-BASE'!E540="","",'ENTRADAS-BASE'!E540)</f>
        <v/>
      </c>
      <c r="G542" t="str">
        <f>IF('ENTRADAS-BASE'!F540="","",'ENTRADAS-BASE'!F540)</f>
        <v/>
      </c>
      <c r="H542" t="str">
        <f>IF('ENTRADAS-BASE'!G540="","",'ENTRADAS-BASE'!G540)</f>
        <v/>
      </c>
      <c r="I542" t="str">
        <f>IF('ENTRADAS-BASE'!H540="","",'ENTRADAS-BASE'!H540)</f>
        <v/>
      </c>
      <c r="J542" t="str">
        <f>IF('ENTRADAS-BASE'!I540="","",'ENTRADAS-BASE'!I540)</f>
        <v/>
      </c>
      <c r="K542" s="5" t="str">
        <f>IF('ENTRADAS-BASE'!J540="","",'ENTRADAS-BASE'!J540)</f>
        <v/>
      </c>
      <c r="L5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3" spans="2:12" x14ac:dyDescent="0.3">
      <c r="B543" t="str">
        <f>IF('ENTRADAS-BASE'!A541="","",'ENTRADAS-BASE'!A541)</f>
        <v/>
      </c>
      <c r="C543" t="str">
        <f>IF('ENTRADAS-BASE'!B541="","",'ENTRADAS-BASE'!B541)</f>
        <v/>
      </c>
      <c r="D543" t="str">
        <f>IF('ENTRADAS-BASE'!C541="","",'ENTRADAS-BASE'!C541)</f>
        <v/>
      </c>
      <c r="E543" s="7" t="str">
        <f>IF('ENTRADAS-BASE'!D541="","",'ENTRADAS-BASE'!D541)</f>
        <v/>
      </c>
      <c r="F543" s="6" t="str">
        <f>IF('ENTRADAS-BASE'!E541="","",'ENTRADAS-BASE'!E541)</f>
        <v/>
      </c>
      <c r="G543" t="str">
        <f>IF('ENTRADAS-BASE'!F541="","",'ENTRADAS-BASE'!F541)</f>
        <v/>
      </c>
      <c r="H543" t="str">
        <f>IF('ENTRADAS-BASE'!G541="","",'ENTRADAS-BASE'!G541)</f>
        <v/>
      </c>
      <c r="I543" t="str">
        <f>IF('ENTRADAS-BASE'!H541="","",'ENTRADAS-BASE'!H541)</f>
        <v/>
      </c>
      <c r="J543" t="str">
        <f>IF('ENTRADAS-BASE'!I541="","",'ENTRADAS-BASE'!I541)</f>
        <v/>
      </c>
      <c r="K543" s="5" t="str">
        <f>IF('ENTRADAS-BASE'!J541="","",'ENTRADAS-BASE'!J541)</f>
        <v/>
      </c>
      <c r="L5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4" spans="2:12" x14ac:dyDescent="0.3">
      <c r="B544" t="str">
        <f>IF('ENTRADAS-BASE'!A542="","",'ENTRADAS-BASE'!A542)</f>
        <v/>
      </c>
      <c r="C544" t="str">
        <f>IF('ENTRADAS-BASE'!B542="","",'ENTRADAS-BASE'!B542)</f>
        <v/>
      </c>
      <c r="D544" t="str">
        <f>IF('ENTRADAS-BASE'!C542="","",'ENTRADAS-BASE'!C542)</f>
        <v/>
      </c>
      <c r="E544" s="7" t="str">
        <f>IF('ENTRADAS-BASE'!D542="","",'ENTRADAS-BASE'!D542)</f>
        <v/>
      </c>
      <c r="F544" s="6" t="str">
        <f>IF('ENTRADAS-BASE'!E542="","",'ENTRADAS-BASE'!E542)</f>
        <v/>
      </c>
      <c r="G544" t="str">
        <f>IF('ENTRADAS-BASE'!F542="","",'ENTRADAS-BASE'!F542)</f>
        <v/>
      </c>
      <c r="H544" t="str">
        <f>IF('ENTRADAS-BASE'!G542="","",'ENTRADAS-BASE'!G542)</f>
        <v/>
      </c>
      <c r="I544" t="str">
        <f>IF('ENTRADAS-BASE'!H542="","",'ENTRADAS-BASE'!H542)</f>
        <v/>
      </c>
      <c r="J544" t="str">
        <f>IF('ENTRADAS-BASE'!I542="","",'ENTRADAS-BASE'!I542)</f>
        <v/>
      </c>
      <c r="K544" s="5" t="str">
        <f>IF('ENTRADAS-BASE'!J542="","",'ENTRADAS-BASE'!J542)</f>
        <v/>
      </c>
      <c r="L5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5" spans="2:12" x14ac:dyDescent="0.3">
      <c r="B545" t="str">
        <f>IF('ENTRADAS-BASE'!A543="","",'ENTRADAS-BASE'!A543)</f>
        <v/>
      </c>
      <c r="C545" t="str">
        <f>IF('ENTRADAS-BASE'!B543="","",'ENTRADAS-BASE'!B543)</f>
        <v/>
      </c>
      <c r="D545" t="str">
        <f>IF('ENTRADAS-BASE'!C543="","",'ENTRADAS-BASE'!C543)</f>
        <v/>
      </c>
      <c r="E545" s="7" t="str">
        <f>IF('ENTRADAS-BASE'!D543="","",'ENTRADAS-BASE'!D543)</f>
        <v/>
      </c>
      <c r="F545" s="6" t="str">
        <f>IF('ENTRADAS-BASE'!E543="","",'ENTRADAS-BASE'!E543)</f>
        <v/>
      </c>
      <c r="G545" t="str">
        <f>IF('ENTRADAS-BASE'!F543="","",'ENTRADAS-BASE'!F543)</f>
        <v/>
      </c>
      <c r="H545" t="str">
        <f>IF('ENTRADAS-BASE'!G543="","",'ENTRADAS-BASE'!G543)</f>
        <v/>
      </c>
      <c r="I545" t="str">
        <f>IF('ENTRADAS-BASE'!H543="","",'ENTRADAS-BASE'!H543)</f>
        <v/>
      </c>
      <c r="J545" t="str">
        <f>IF('ENTRADAS-BASE'!I543="","",'ENTRADAS-BASE'!I543)</f>
        <v/>
      </c>
      <c r="K545" s="5" t="str">
        <f>IF('ENTRADAS-BASE'!J543="","",'ENTRADAS-BASE'!J543)</f>
        <v/>
      </c>
      <c r="L5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6" spans="2:12" x14ac:dyDescent="0.3">
      <c r="B546" t="str">
        <f>IF('ENTRADAS-BASE'!A544="","",'ENTRADAS-BASE'!A544)</f>
        <v/>
      </c>
      <c r="C546" t="str">
        <f>IF('ENTRADAS-BASE'!B544="","",'ENTRADAS-BASE'!B544)</f>
        <v/>
      </c>
      <c r="D546" t="str">
        <f>IF('ENTRADAS-BASE'!C544="","",'ENTRADAS-BASE'!C544)</f>
        <v/>
      </c>
      <c r="E546" s="7" t="str">
        <f>IF('ENTRADAS-BASE'!D544="","",'ENTRADAS-BASE'!D544)</f>
        <v/>
      </c>
      <c r="F546" s="6" t="str">
        <f>IF('ENTRADAS-BASE'!E544="","",'ENTRADAS-BASE'!E544)</f>
        <v/>
      </c>
      <c r="G546" t="str">
        <f>IF('ENTRADAS-BASE'!F544="","",'ENTRADAS-BASE'!F544)</f>
        <v/>
      </c>
      <c r="H546" t="str">
        <f>IF('ENTRADAS-BASE'!G544="","",'ENTRADAS-BASE'!G544)</f>
        <v/>
      </c>
      <c r="I546" t="str">
        <f>IF('ENTRADAS-BASE'!H544="","",'ENTRADAS-BASE'!H544)</f>
        <v/>
      </c>
      <c r="J546" t="str">
        <f>IF('ENTRADAS-BASE'!I544="","",'ENTRADAS-BASE'!I544)</f>
        <v/>
      </c>
      <c r="K546" s="5" t="str">
        <f>IF('ENTRADAS-BASE'!J544="","",'ENTRADAS-BASE'!J544)</f>
        <v/>
      </c>
      <c r="L5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7" spans="2:12" x14ac:dyDescent="0.3">
      <c r="B547" t="str">
        <f>IF('ENTRADAS-BASE'!A545="","",'ENTRADAS-BASE'!A545)</f>
        <v/>
      </c>
      <c r="C547" t="str">
        <f>IF('ENTRADAS-BASE'!B545="","",'ENTRADAS-BASE'!B545)</f>
        <v/>
      </c>
      <c r="D547" t="str">
        <f>IF('ENTRADAS-BASE'!C545="","",'ENTRADAS-BASE'!C545)</f>
        <v/>
      </c>
      <c r="E547" s="7" t="str">
        <f>IF('ENTRADAS-BASE'!D545="","",'ENTRADAS-BASE'!D545)</f>
        <v/>
      </c>
      <c r="F547" s="6" t="str">
        <f>IF('ENTRADAS-BASE'!E545="","",'ENTRADAS-BASE'!E545)</f>
        <v/>
      </c>
      <c r="G547" t="str">
        <f>IF('ENTRADAS-BASE'!F545="","",'ENTRADAS-BASE'!F545)</f>
        <v/>
      </c>
      <c r="H547" t="str">
        <f>IF('ENTRADAS-BASE'!G545="","",'ENTRADAS-BASE'!G545)</f>
        <v/>
      </c>
      <c r="I547" t="str">
        <f>IF('ENTRADAS-BASE'!H545="","",'ENTRADAS-BASE'!H545)</f>
        <v/>
      </c>
      <c r="J547" t="str">
        <f>IF('ENTRADAS-BASE'!I545="","",'ENTRADAS-BASE'!I545)</f>
        <v/>
      </c>
      <c r="K547" s="5" t="str">
        <f>IF('ENTRADAS-BASE'!J545="","",'ENTRADAS-BASE'!J545)</f>
        <v/>
      </c>
      <c r="L5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8" spans="2:12" x14ac:dyDescent="0.3">
      <c r="B548" t="str">
        <f>IF('ENTRADAS-BASE'!A546="","",'ENTRADAS-BASE'!A546)</f>
        <v/>
      </c>
      <c r="C548" t="str">
        <f>IF('ENTRADAS-BASE'!B546="","",'ENTRADAS-BASE'!B546)</f>
        <v/>
      </c>
      <c r="D548" t="str">
        <f>IF('ENTRADAS-BASE'!C546="","",'ENTRADAS-BASE'!C546)</f>
        <v/>
      </c>
      <c r="E548" s="7" t="str">
        <f>IF('ENTRADAS-BASE'!D546="","",'ENTRADAS-BASE'!D546)</f>
        <v/>
      </c>
      <c r="F548" s="6" t="str">
        <f>IF('ENTRADAS-BASE'!E546="","",'ENTRADAS-BASE'!E546)</f>
        <v/>
      </c>
      <c r="G548" t="str">
        <f>IF('ENTRADAS-BASE'!F546="","",'ENTRADAS-BASE'!F546)</f>
        <v/>
      </c>
      <c r="H548" t="str">
        <f>IF('ENTRADAS-BASE'!G546="","",'ENTRADAS-BASE'!G546)</f>
        <v/>
      </c>
      <c r="I548" t="str">
        <f>IF('ENTRADAS-BASE'!H546="","",'ENTRADAS-BASE'!H546)</f>
        <v/>
      </c>
      <c r="J548" t="str">
        <f>IF('ENTRADAS-BASE'!I546="","",'ENTRADAS-BASE'!I546)</f>
        <v/>
      </c>
      <c r="K548" s="5" t="str">
        <f>IF('ENTRADAS-BASE'!J546="","",'ENTRADAS-BASE'!J546)</f>
        <v/>
      </c>
      <c r="L5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9" spans="2:12" x14ac:dyDescent="0.3">
      <c r="B549" t="str">
        <f>IF('ENTRADAS-BASE'!A547="","",'ENTRADAS-BASE'!A547)</f>
        <v/>
      </c>
      <c r="C549" t="str">
        <f>IF('ENTRADAS-BASE'!B547="","",'ENTRADAS-BASE'!B547)</f>
        <v/>
      </c>
      <c r="D549" t="str">
        <f>IF('ENTRADAS-BASE'!C547="","",'ENTRADAS-BASE'!C547)</f>
        <v/>
      </c>
      <c r="E549" s="7" t="str">
        <f>IF('ENTRADAS-BASE'!D547="","",'ENTRADAS-BASE'!D547)</f>
        <v/>
      </c>
      <c r="F549" s="6" t="str">
        <f>IF('ENTRADAS-BASE'!E547="","",'ENTRADAS-BASE'!E547)</f>
        <v/>
      </c>
      <c r="G549" t="str">
        <f>IF('ENTRADAS-BASE'!F547="","",'ENTRADAS-BASE'!F547)</f>
        <v/>
      </c>
      <c r="H549" t="str">
        <f>IF('ENTRADAS-BASE'!G547="","",'ENTRADAS-BASE'!G547)</f>
        <v/>
      </c>
      <c r="I549" t="str">
        <f>IF('ENTRADAS-BASE'!H547="","",'ENTRADAS-BASE'!H547)</f>
        <v/>
      </c>
      <c r="J549" t="str">
        <f>IF('ENTRADAS-BASE'!I547="","",'ENTRADAS-BASE'!I547)</f>
        <v/>
      </c>
      <c r="K549" s="5" t="str">
        <f>IF('ENTRADAS-BASE'!J547="","",'ENTRADAS-BASE'!J547)</f>
        <v/>
      </c>
      <c r="L5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0" spans="2:12" x14ac:dyDescent="0.3">
      <c r="B550" t="str">
        <f>IF('ENTRADAS-BASE'!A548="","",'ENTRADAS-BASE'!A548)</f>
        <v/>
      </c>
      <c r="C550" t="str">
        <f>IF('ENTRADAS-BASE'!B548="","",'ENTRADAS-BASE'!B548)</f>
        <v/>
      </c>
      <c r="D550" t="str">
        <f>IF('ENTRADAS-BASE'!C548="","",'ENTRADAS-BASE'!C548)</f>
        <v/>
      </c>
      <c r="E550" s="7" t="str">
        <f>IF('ENTRADAS-BASE'!D548="","",'ENTRADAS-BASE'!D548)</f>
        <v/>
      </c>
      <c r="F550" s="6" t="str">
        <f>IF('ENTRADAS-BASE'!E548="","",'ENTRADAS-BASE'!E548)</f>
        <v/>
      </c>
      <c r="G550" t="str">
        <f>IF('ENTRADAS-BASE'!F548="","",'ENTRADAS-BASE'!F548)</f>
        <v/>
      </c>
      <c r="H550" t="str">
        <f>IF('ENTRADAS-BASE'!G548="","",'ENTRADAS-BASE'!G548)</f>
        <v/>
      </c>
      <c r="I550" t="str">
        <f>IF('ENTRADAS-BASE'!H548="","",'ENTRADAS-BASE'!H548)</f>
        <v/>
      </c>
      <c r="J550" t="str">
        <f>IF('ENTRADAS-BASE'!I548="","",'ENTRADAS-BASE'!I548)</f>
        <v/>
      </c>
      <c r="K550" s="5" t="str">
        <f>IF('ENTRADAS-BASE'!J548="","",'ENTRADAS-BASE'!J548)</f>
        <v/>
      </c>
      <c r="L5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1" spans="2:12" x14ac:dyDescent="0.3">
      <c r="B551" t="str">
        <f>IF('ENTRADAS-BASE'!A549="","",'ENTRADAS-BASE'!A549)</f>
        <v/>
      </c>
      <c r="C551" t="str">
        <f>IF('ENTRADAS-BASE'!B549="","",'ENTRADAS-BASE'!B549)</f>
        <v/>
      </c>
      <c r="D551" t="str">
        <f>IF('ENTRADAS-BASE'!C549="","",'ENTRADAS-BASE'!C549)</f>
        <v/>
      </c>
      <c r="E551" s="7" t="str">
        <f>IF('ENTRADAS-BASE'!D549="","",'ENTRADAS-BASE'!D549)</f>
        <v/>
      </c>
      <c r="F551" s="6" t="str">
        <f>IF('ENTRADAS-BASE'!E549="","",'ENTRADAS-BASE'!E549)</f>
        <v/>
      </c>
      <c r="G551" t="str">
        <f>IF('ENTRADAS-BASE'!F549="","",'ENTRADAS-BASE'!F549)</f>
        <v/>
      </c>
      <c r="H551" t="str">
        <f>IF('ENTRADAS-BASE'!G549="","",'ENTRADAS-BASE'!G549)</f>
        <v/>
      </c>
      <c r="I551" t="str">
        <f>IF('ENTRADAS-BASE'!H549="","",'ENTRADAS-BASE'!H549)</f>
        <v/>
      </c>
      <c r="J551" t="str">
        <f>IF('ENTRADAS-BASE'!I549="","",'ENTRADAS-BASE'!I549)</f>
        <v/>
      </c>
      <c r="K551" s="5" t="str">
        <f>IF('ENTRADAS-BASE'!J549="","",'ENTRADAS-BASE'!J549)</f>
        <v/>
      </c>
      <c r="L5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2" spans="2:12" x14ac:dyDescent="0.3">
      <c r="B552" t="str">
        <f>IF('ENTRADAS-BASE'!A550="","",'ENTRADAS-BASE'!A550)</f>
        <v/>
      </c>
      <c r="C552" t="str">
        <f>IF('ENTRADAS-BASE'!B550="","",'ENTRADAS-BASE'!B550)</f>
        <v/>
      </c>
      <c r="D552" t="str">
        <f>IF('ENTRADAS-BASE'!C550="","",'ENTRADAS-BASE'!C550)</f>
        <v/>
      </c>
      <c r="E552" s="7" t="str">
        <f>IF('ENTRADAS-BASE'!D550="","",'ENTRADAS-BASE'!D550)</f>
        <v/>
      </c>
      <c r="F552" s="6" t="str">
        <f>IF('ENTRADAS-BASE'!E550="","",'ENTRADAS-BASE'!E550)</f>
        <v/>
      </c>
      <c r="G552" t="str">
        <f>IF('ENTRADAS-BASE'!F550="","",'ENTRADAS-BASE'!F550)</f>
        <v/>
      </c>
      <c r="H552" t="str">
        <f>IF('ENTRADAS-BASE'!G550="","",'ENTRADAS-BASE'!G550)</f>
        <v/>
      </c>
      <c r="I552" t="str">
        <f>IF('ENTRADAS-BASE'!H550="","",'ENTRADAS-BASE'!H550)</f>
        <v/>
      </c>
      <c r="J552" t="str">
        <f>IF('ENTRADAS-BASE'!I550="","",'ENTRADAS-BASE'!I550)</f>
        <v/>
      </c>
      <c r="K552" s="5" t="str">
        <f>IF('ENTRADAS-BASE'!J550="","",'ENTRADAS-BASE'!J550)</f>
        <v/>
      </c>
      <c r="L5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3" spans="2:12" x14ac:dyDescent="0.3">
      <c r="B553" t="str">
        <f>IF('ENTRADAS-BASE'!A551="","",'ENTRADAS-BASE'!A551)</f>
        <v/>
      </c>
      <c r="C553" t="str">
        <f>IF('ENTRADAS-BASE'!B551="","",'ENTRADAS-BASE'!B551)</f>
        <v/>
      </c>
      <c r="D553" t="str">
        <f>IF('ENTRADAS-BASE'!C551="","",'ENTRADAS-BASE'!C551)</f>
        <v/>
      </c>
      <c r="E553" s="7" t="str">
        <f>IF('ENTRADAS-BASE'!D551="","",'ENTRADAS-BASE'!D551)</f>
        <v/>
      </c>
      <c r="F553" s="6" t="str">
        <f>IF('ENTRADAS-BASE'!E551="","",'ENTRADAS-BASE'!E551)</f>
        <v/>
      </c>
      <c r="G553" t="str">
        <f>IF('ENTRADAS-BASE'!F551="","",'ENTRADAS-BASE'!F551)</f>
        <v/>
      </c>
      <c r="H553" t="str">
        <f>IF('ENTRADAS-BASE'!G551="","",'ENTRADAS-BASE'!G551)</f>
        <v/>
      </c>
      <c r="I553" t="str">
        <f>IF('ENTRADAS-BASE'!H551="","",'ENTRADAS-BASE'!H551)</f>
        <v/>
      </c>
      <c r="J553" t="str">
        <f>IF('ENTRADAS-BASE'!I551="","",'ENTRADAS-BASE'!I551)</f>
        <v/>
      </c>
      <c r="K553" s="5" t="str">
        <f>IF('ENTRADAS-BASE'!J551="","",'ENTRADAS-BASE'!J551)</f>
        <v/>
      </c>
      <c r="L5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4" spans="2:12" x14ac:dyDescent="0.3">
      <c r="B554" t="str">
        <f>IF('ENTRADAS-BASE'!A552="","",'ENTRADAS-BASE'!A552)</f>
        <v/>
      </c>
      <c r="C554" t="str">
        <f>IF('ENTRADAS-BASE'!B552="","",'ENTRADAS-BASE'!B552)</f>
        <v/>
      </c>
      <c r="D554" t="str">
        <f>IF('ENTRADAS-BASE'!C552="","",'ENTRADAS-BASE'!C552)</f>
        <v/>
      </c>
      <c r="E554" s="7" t="str">
        <f>IF('ENTRADAS-BASE'!D552="","",'ENTRADAS-BASE'!D552)</f>
        <v/>
      </c>
      <c r="F554" s="6" t="str">
        <f>IF('ENTRADAS-BASE'!E552="","",'ENTRADAS-BASE'!E552)</f>
        <v/>
      </c>
      <c r="G554" t="str">
        <f>IF('ENTRADAS-BASE'!F552="","",'ENTRADAS-BASE'!F552)</f>
        <v/>
      </c>
      <c r="H554" t="str">
        <f>IF('ENTRADAS-BASE'!G552="","",'ENTRADAS-BASE'!G552)</f>
        <v/>
      </c>
      <c r="I554" t="str">
        <f>IF('ENTRADAS-BASE'!H552="","",'ENTRADAS-BASE'!H552)</f>
        <v/>
      </c>
      <c r="J554" t="str">
        <f>IF('ENTRADAS-BASE'!I552="","",'ENTRADAS-BASE'!I552)</f>
        <v/>
      </c>
      <c r="K554" s="5" t="str">
        <f>IF('ENTRADAS-BASE'!J552="","",'ENTRADAS-BASE'!J552)</f>
        <v/>
      </c>
      <c r="L5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5" spans="2:12" x14ac:dyDescent="0.3">
      <c r="B555" t="str">
        <f>IF('ENTRADAS-BASE'!A553="","",'ENTRADAS-BASE'!A553)</f>
        <v/>
      </c>
      <c r="C555" t="str">
        <f>IF('ENTRADAS-BASE'!B553="","",'ENTRADAS-BASE'!B553)</f>
        <v/>
      </c>
      <c r="D555" t="str">
        <f>IF('ENTRADAS-BASE'!C553="","",'ENTRADAS-BASE'!C553)</f>
        <v/>
      </c>
      <c r="E555" s="7" t="str">
        <f>IF('ENTRADAS-BASE'!D553="","",'ENTRADAS-BASE'!D553)</f>
        <v/>
      </c>
      <c r="F555" s="6" t="str">
        <f>IF('ENTRADAS-BASE'!E553="","",'ENTRADAS-BASE'!E553)</f>
        <v/>
      </c>
      <c r="G555" t="str">
        <f>IF('ENTRADAS-BASE'!F553="","",'ENTRADAS-BASE'!F553)</f>
        <v/>
      </c>
      <c r="H555" t="str">
        <f>IF('ENTRADAS-BASE'!G553="","",'ENTRADAS-BASE'!G553)</f>
        <v/>
      </c>
      <c r="I555" t="str">
        <f>IF('ENTRADAS-BASE'!H553="","",'ENTRADAS-BASE'!H553)</f>
        <v/>
      </c>
      <c r="J555" t="str">
        <f>IF('ENTRADAS-BASE'!I553="","",'ENTRADAS-BASE'!I553)</f>
        <v/>
      </c>
      <c r="K555" s="5" t="str">
        <f>IF('ENTRADAS-BASE'!J553="","",'ENTRADAS-BASE'!J553)</f>
        <v/>
      </c>
      <c r="L5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6" spans="2:12" x14ac:dyDescent="0.3">
      <c r="B556" t="str">
        <f>IF('ENTRADAS-BASE'!A554="","",'ENTRADAS-BASE'!A554)</f>
        <v/>
      </c>
      <c r="C556" t="str">
        <f>IF('ENTRADAS-BASE'!B554="","",'ENTRADAS-BASE'!B554)</f>
        <v/>
      </c>
      <c r="D556" t="str">
        <f>IF('ENTRADAS-BASE'!C554="","",'ENTRADAS-BASE'!C554)</f>
        <v/>
      </c>
      <c r="E556" s="7" t="str">
        <f>IF('ENTRADAS-BASE'!D554="","",'ENTRADAS-BASE'!D554)</f>
        <v/>
      </c>
      <c r="F556" s="6" t="str">
        <f>IF('ENTRADAS-BASE'!E554="","",'ENTRADAS-BASE'!E554)</f>
        <v/>
      </c>
      <c r="G556" t="str">
        <f>IF('ENTRADAS-BASE'!F554="","",'ENTRADAS-BASE'!F554)</f>
        <v/>
      </c>
      <c r="H556" t="str">
        <f>IF('ENTRADAS-BASE'!G554="","",'ENTRADAS-BASE'!G554)</f>
        <v/>
      </c>
      <c r="I556" t="str">
        <f>IF('ENTRADAS-BASE'!H554="","",'ENTRADAS-BASE'!H554)</f>
        <v/>
      </c>
      <c r="J556" t="str">
        <f>IF('ENTRADAS-BASE'!I554="","",'ENTRADAS-BASE'!I554)</f>
        <v/>
      </c>
      <c r="K556" s="5" t="str">
        <f>IF('ENTRADAS-BASE'!J554="","",'ENTRADAS-BASE'!J554)</f>
        <v/>
      </c>
      <c r="L5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7" spans="2:12" x14ac:dyDescent="0.3">
      <c r="B557" t="str">
        <f>IF('ENTRADAS-BASE'!A555="","",'ENTRADAS-BASE'!A555)</f>
        <v/>
      </c>
      <c r="C557" t="str">
        <f>IF('ENTRADAS-BASE'!B555="","",'ENTRADAS-BASE'!B555)</f>
        <v/>
      </c>
      <c r="D557" t="str">
        <f>IF('ENTRADAS-BASE'!C555="","",'ENTRADAS-BASE'!C555)</f>
        <v/>
      </c>
      <c r="E557" s="7" t="str">
        <f>IF('ENTRADAS-BASE'!D555="","",'ENTRADAS-BASE'!D555)</f>
        <v/>
      </c>
      <c r="F557" s="6" t="str">
        <f>IF('ENTRADAS-BASE'!E555="","",'ENTRADAS-BASE'!E555)</f>
        <v/>
      </c>
      <c r="G557" t="str">
        <f>IF('ENTRADAS-BASE'!F555="","",'ENTRADAS-BASE'!F555)</f>
        <v/>
      </c>
      <c r="H557" t="str">
        <f>IF('ENTRADAS-BASE'!G555="","",'ENTRADAS-BASE'!G555)</f>
        <v/>
      </c>
      <c r="I557" t="str">
        <f>IF('ENTRADAS-BASE'!H555="","",'ENTRADAS-BASE'!H555)</f>
        <v/>
      </c>
      <c r="J557" t="str">
        <f>IF('ENTRADAS-BASE'!I555="","",'ENTRADAS-BASE'!I555)</f>
        <v/>
      </c>
      <c r="K557" s="5" t="str">
        <f>IF('ENTRADAS-BASE'!J555="","",'ENTRADAS-BASE'!J555)</f>
        <v/>
      </c>
      <c r="L5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8" spans="2:12" x14ac:dyDescent="0.3">
      <c r="B558" t="str">
        <f>IF('ENTRADAS-BASE'!A556="","",'ENTRADAS-BASE'!A556)</f>
        <v/>
      </c>
      <c r="C558" t="str">
        <f>IF('ENTRADAS-BASE'!B556="","",'ENTRADAS-BASE'!B556)</f>
        <v/>
      </c>
      <c r="D558" t="str">
        <f>IF('ENTRADAS-BASE'!C556="","",'ENTRADAS-BASE'!C556)</f>
        <v/>
      </c>
      <c r="E558" s="7" t="str">
        <f>IF('ENTRADAS-BASE'!D556="","",'ENTRADAS-BASE'!D556)</f>
        <v/>
      </c>
      <c r="F558" s="6" t="str">
        <f>IF('ENTRADAS-BASE'!E556="","",'ENTRADAS-BASE'!E556)</f>
        <v/>
      </c>
      <c r="G558" t="str">
        <f>IF('ENTRADAS-BASE'!F556="","",'ENTRADAS-BASE'!F556)</f>
        <v/>
      </c>
      <c r="H558" t="str">
        <f>IF('ENTRADAS-BASE'!G556="","",'ENTRADAS-BASE'!G556)</f>
        <v/>
      </c>
      <c r="I558" t="str">
        <f>IF('ENTRADAS-BASE'!H556="","",'ENTRADAS-BASE'!H556)</f>
        <v/>
      </c>
      <c r="J558" t="str">
        <f>IF('ENTRADAS-BASE'!I556="","",'ENTRADAS-BASE'!I556)</f>
        <v/>
      </c>
      <c r="K558" s="5" t="str">
        <f>IF('ENTRADAS-BASE'!J556="","",'ENTRADAS-BASE'!J556)</f>
        <v/>
      </c>
      <c r="L5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9" spans="2:12" x14ac:dyDescent="0.3">
      <c r="B559" t="str">
        <f>IF('ENTRADAS-BASE'!A557="","",'ENTRADAS-BASE'!A557)</f>
        <v/>
      </c>
      <c r="C559" t="str">
        <f>IF('ENTRADAS-BASE'!B557="","",'ENTRADAS-BASE'!B557)</f>
        <v/>
      </c>
      <c r="D559" t="str">
        <f>IF('ENTRADAS-BASE'!C557="","",'ENTRADAS-BASE'!C557)</f>
        <v/>
      </c>
      <c r="E559" s="7" t="str">
        <f>IF('ENTRADAS-BASE'!D557="","",'ENTRADAS-BASE'!D557)</f>
        <v/>
      </c>
      <c r="F559" s="6" t="str">
        <f>IF('ENTRADAS-BASE'!E557="","",'ENTRADAS-BASE'!E557)</f>
        <v/>
      </c>
      <c r="G559" t="str">
        <f>IF('ENTRADAS-BASE'!F557="","",'ENTRADAS-BASE'!F557)</f>
        <v/>
      </c>
      <c r="H559" t="str">
        <f>IF('ENTRADAS-BASE'!G557="","",'ENTRADAS-BASE'!G557)</f>
        <v/>
      </c>
      <c r="I559" t="str">
        <f>IF('ENTRADAS-BASE'!H557="","",'ENTRADAS-BASE'!H557)</f>
        <v/>
      </c>
      <c r="J559" t="str">
        <f>IF('ENTRADAS-BASE'!I557="","",'ENTRADAS-BASE'!I557)</f>
        <v/>
      </c>
      <c r="K559" s="5" t="str">
        <f>IF('ENTRADAS-BASE'!J557="","",'ENTRADAS-BASE'!J557)</f>
        <v/>
      </c>
      <c r="L5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0" spans="2:12" x14ac:dyDescent="0.3">
      <c r="B560" t="str">
        <f>IF('ENTRADAS-BASE'!A558="","",'ENTRADAS-BASE'!A558)</f>
        <v/>
      </c>
      <c r="C560" t="str">
        <f>IF('ENTRADAS-BASE'!B558="","",'ENTRADAS-BASE'!B558)</f>
        <v/>
      </c>
      <c r="D560" t="str">
        <f>IF('ENTRADAS-BASE'!C558="","",'ENTRADAS-BASE'!C558)</f>
        <v/>
      </c>
      <c r="E560" s="7" t="str">
        <f>IF('ENTRADAS-BASE'!D558="","",'ENTRADAS-BASE'!D558)</f>
        <v/>
      </c>
      <c r="F560" s="6" t="str">
        <f>IF('ENTRADAS-BASE'!E558="","",'ENTRADAS-BASE'!E558)</f>
        <v/>
      </c>
      <c r="G560" t="str">
        <f>IF('ENTRADAS-BASE'!F558="","",'ENTRADAS-BASE'!F558)</f>
        <v/>
      </c>
      <c r="H560" t="str">
        <f>IF('ENTRADAS-BASE'!G558="","",'ENTRADAS-BASE'!G558)</f>
        <v/>
      </c>
      <c r="I560" t="str">
        <f>IF('ENTRADAS-BASE'!H558="","",'ENTRADAS-BASE'!H558)</f>
        <v/>
      </c>
      <c r="J560" t="str">
        <f>IF('ENTRADAS-BASE'!I558="","",'ENTRADAS-BASE'!I558)</f>
        <v/>
      </c>
      <c r="K560" s="5" t="str">
        <f>IF('ENTRADAS-BASE'!J558="","",'ENTRADAS-BASE'!J558)</f>
        <v/>
      </c>
      <c r="L5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1" spans="2:12" x14ac:dyDescent="0.3">
      <c r="B561" t="str">
        <f>IF('ENTRADAS-BASE'!A559="","",'ENTRADAS-BASE'!A559)</f>
        <v/>
      </c>
      <c r="C561" t="str">
        <f>IF('ENTRADAS-BASE'!B559="","",'ENTRADAS-BASE'!B559)</f>
        <v/>
      </c>
      <c r="D561" t="str">
        <f>IF('ENTRADAS-BASE'!C559="","",'ENTRADAS-BASE'!C559)</f>
        <v/>
      </c>
      <c r="E561" s="7" t="str">
        <f>IF('ENTRADAS-BASE'!D559="","",'ENTRADAS-BASE'!D559)</f>
        <v/>
      </c>
      <c r="F561" s="6" t="str">
        <f>IF('ENTRADAS-BASE'!E559="","",'ENTRADAS-BASE'!E559)</f>
        <v/>
      </c>
      <c r="G561" t="str">
        <f>IF('ENTRADAS-BASE'!F559="","",'ENTRADAS-BASE'!F559)</f>
        <v/>
      </c>
      <c r="H561" t="str">
        <f>IF('ENTRADAS-BASE'!G559="","",'ENTRADAS-BASE'!G559)</f>
        <v/>
      </c>
      <c r="I561" t="str">
        <f>IF('ENTRADAS-BASE'!H559="","",'ENTRADAS-BASE'!H559)</f>
        <v/>
      </c>
      <c r="J561" t="str">
        <f>IF('ENTRADAS-BASE'!I559="","",'ENTRADAS-BASE'!I559)</f>
        <v/>
      </c>
      <c r="K561" s="5" t="str">
        <f>IF('ENTRADAS-BASE'!J559="","",'ENTRADAS-BASE'!J559)</f>
        <v/>
      </c>
      <c r="L5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2" spans="2:12" x14ac:dyDescent="0.3">
      <c r="B562" t="str">
        <f>IF('ENTRADAS-BASE'!A560="","",'ENTRADAS-BASE'!A560)</f>
        <v/>
      </c>
      <c r="C562" t="str">
        <f>IF('ENTRADAS-BASE'!B560="","",'ENTRADAS-BASE'!B560)</f>
        <v/>
      </c>
      <c r="D562" t="str">
        <f>IF('ENTRADAS-BASE'!C560="","",'ENTRADAS-BASE'!C560)</f>
        <v/>
      </c>
      <c r="E562" s="7" t="str">
        <f>IF('ENTRADAS-BASE'!D560="","",'ENTRADAS-BASE'!D560)</f>
        <v/>
      </c>
      <c r="F562" s="6" t="str">
        <f>IF('ENTRADAS-BASE'!E560="","",'ENTRADAS-BASE'!E560)</f>
        <v/>
      </c>
      <c r="G562" t="str">
        <f>IF('ENTRADAS-BASE'!F560="","",'ENTRADAS-BASE'!F560)</f>
        <v/>
      </c>
      <c r="H562" t="str">
        <f>IF('ENTRADAS-BASE'!G560="","",'ENTRADAS-BASE'!G560)</f>
        <v/>
      </c>
      <c r="I562" t="str">
        <f>IF('ENTRADAS-BASE'!H560="","",'ENTRADAS-BASE'!H560)</f>
        <v/>
      </c>
      <c r="J562" t="str">
        <f>IF('ENTRADAS-BASE'!I560="","",'ENTRADAS-BASE'!I560)</f>
        <v/>
      </c>
      <c r="K562" s="5" t="str">
        <f>IF('ENTRADAS-BASE'!J560="","",'ENTRADAS-BASE'!J560)</f>
        <v/>
      </c>
      <c r="L5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3" spans="2:12" x14ac:dyDescent="0.3">
      <c r="B563" t="str">
        <f>IF('ENTRADAS-BASE'!A561="","",'ENTRADAS-BASE'!A561)</f>
        <v/>
      </c>
      <c r="C563" t="str">
        <f>IF('ENTRADAS-BASE'!B561="","",'ENTRADAS-BASE'!B561)</f>
        <v/>
      </c>
      <c r="D563" t="str">
        <f>IF('ENTRADAS-BASE'!C561="","",'ENTRADAS-BASE'!C561)</f>
        <v/>
      </c>
      <c r="E563" s="7" t="str">
        <f>IF('ENTRADAS-BASE'!D561="","",'ENTRADAS-BASE'!D561)</f>
        <v/>
      </c>
      <c r="F563" s="6" t="str">
        <f>IF('ENTRADAS-BASE'!E561="","",'ENTRADAS-BASE'!E561)</f>
        <v/>
      </c>
      <c r="G563" t="str">
        <f>IF('ENTRADAS-BASE'!F561="","",'ENTRADAS-BASE'!F561)</f>
        <v/>
      </c>
      <c r="H563" t="str">
        <f>IF('ENTRADAS-BASE'!G561="","",'ENTRADAS-BASE'!G561)</f>
        <v/>
      </c>
      <c r="I563" t="str">
        <f>IF('ENTRADAS-BASE'!H561="","",'ENTRADAS-BASE'!H561)</f>
        <v/>
      </c>
      <c r="J563" t="str">
        <f>IF('ENTRADAS-BASE'!I561="","",'ENTRADAS-BASE'!I561)</f>
        <v/>
      </c>
      <c r="K563" s="5" t="str">
        <f>IF('ENTRADAS-BASE'!J561="","",'ENTRADAS-BASE'!J561)</f>
        <v/>
      </c>
      <c r="L5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4" spans="2:12" x14ac:dyDescent="0.3">
      <c r="B564" t="str">
        <f>IF('ENTRADAS-BASE'!A562="","",'ENTRADAS-BASE'!A562)</f>
        <v/>
      </c>
      <c r="C564" t="str">
        <f>IF('ENTRADAS-BASE'!B562="","",'ENTRADAS-BASE'!B562)</f>
        <v/>
      </c>
      <c r="D564" t="str">
        <f>IF('ENTRADAS-BASE'!C562="","",'ENTRADAS-BASE'!C562)</f>
        <v/>
      </c>
      <c r="E564" s="7" t="str">
        <f>IF('ENTRADAS-BASE'!D562="","",'ENTRADAS-BASE'!D562)</f>
        <v/>
      </c>
      <c r="F564" s="6" t="str">
        <f>IF('ENTRADAS-BASE'!E562="","",'ENTRADAS-BASE'!E562)</f>
        <v/>
      </c>
      <c r="G564" t="str">
        <f>IF('ENTRADAS-BASE'!F562="","",'ENTRADAS-BASE'!F562)</f>
        <v/>
      </c>
      <c r="H564" t="str">
        <f>IF('ENTRADAS-BASE'!G562="","",'ENTRADAS-BASE'!G562)</f>
        <v/>
      </c>
      <c r="I564" t="str">
        <f>IF('ENTRADAS-BASE'!H562="","",'ENTRADAS-BASE'!H562)</f>
        <v/>
      </c>
      <c r="J564" t="str">
        <f>IF('ENTRADAS-BASE'!I562="","",'ENTRADAS-BASE'!I562)</f>
        <v/>
      </c>
      <c r="K564" s="5" t="str">
        <f>IF('ENTRADAS-BASE'!J562="","",'ENTRADAS-BASE'!J562)</f>
        <v/>
      </c>
      <c r="L5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5" spans="2:12" x14ac:dyDescent="0.3">
      <c r="B565" t="str">
        <f>IF('ENTRADAS-BASE'!A563="","",'ENTRADAS-BASE'!A563)</f>
        <v/>
      </c>
      <c r="C565" t="str">
        <f>IF('ENTRADAS-BASE'!B563="","",'ENTRADAS-BASE'!B563)</f>
        <v/>
      </c>
      <c r="D565" t="str">
        <f>IF('ENTRADAS-BASE'!C563="","",'ENTRADAS-BASE'!C563)</f>
        <v/>
      </c>
      <c r="E565" s="7" t="str">
        <f>IF('ENTRADAS-BASE'!D563="","",'ENTRADAS-BASE'!D563)</f>
        <v/>
      </c>
      <c r="F565" s="6" t="str">
        <f>IF('ENTRADAS-BASE'!E563="","",'ENTRADAS-BASE'!E563)</f>
        <v/>
      </c>
      <c r="G565" t="str">
        <f>IF('ENTRADAS-BASE'!F563="","",'ENTRADAS-BASE'!F563)</f>
        <v/>
      </c>
      <c r="H565" t="str">
        <f>IF('ENTRADAS-BASE'!G563="","",'ENTRADAS-BASE'!G563)</f>
        <v/>
      </c>
      <c r="I565" t="str">
        <f>IF('ENTRADAS-BASE'!H563="","",'ENTRADAS-BASE'!H563)</f>
        <v/>
      </c>
      <c r="J565" t="str">
        <f>IF('ENTRADAS-BASE'!I563="","",'ENTRADAS-BASE'!I563)</f>
        <v/>
      </c>
      <c r="K565" s="5" t="str">
        <f>IF('ENTRADAS-BASE'!J563="","",'ENTRADAS-BASE'!J563)</f>
        <v/>
      </c>
      <c r="L5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6" spans="2:12" x14ac:dyDescent="0.3">
      <c r="B566" t="str">
        <f>IF('ENTRADAS-BASE'!A564="","",'ENTRADAS-BASE'!A564)</f>
        <v/>
      </c>
      <c r="C566" t="str">
        <f>IF('ENTRADAS-BASE'!B564="","",'ENTRADAS-BASE'!B564)</f>
        <v/>
      </c>
      <c r="D566" t="str">
        <f>IF('ENTRADAS-BASE'!C564="","",'ENTRADAS-BASE'!C564)</f>
        <v/>
      </c>
      <c r="E566" s="7" t="str">
        <f>IF('ENTRADAS-BASE'!D564="","",'ENTRADAS-BASE'!D564)</f>
        <v/>
      </c>
      <c r="F566" s="6" t="str">
        <f>IF('ENTRADAS-BASE'!E564="","",'ENTRADAS-BASE'!E564)</f>
        <v/>
      </c>
      <c r="G566" t="str">
        <f>IF('ENTRADAS-BASE'!F564="","",'ENTRADAS-BASE'!F564)</f>
        <v/>
      </c>
      <c r="H566" t="str">
        <f>IF('ENTRADAS-BASE'!G564="","",'ENTRADAS-BASE'!G564)</f>
        <v/>
      </c>
      <c r="I566" t="str">
        <f>IF('ENTRADAS-BASE'!H564="","",'ENTRADAS-BASE'!H564)</f>
        <v/>
      </c>
      <c r="J566" t="str">
        <f>IF('ENTRADAS-BASE'!I564="","",'ENTRADAS-BASE'!I564)</f>
        <v/>
      </c>
      <c r="K566" s="5" t="str">
        <f>IF('ENTRADAS-BASE'!J564="","",'ENTRADAS-BASE'!J564)</f>
        <v/>
      </c>
      <c r="L5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7" spans="2:12" x14ac:dyDescent="0.3">
      <c r="B567" t="str">
        <f>IF('ENTRADAS-BASE'!A565="","",'ENTRADAS-BASE'!A565)</f>
        <v/>
      </c>
      <c r="C567" t="str">
        <f>IF('ENTRADAS-BASE'!B565="","",'ENTRADAS-BASE'!B565)</f>
        <v/>
      </c>
      <c r="D567" t="str">
        <f>IF('ENTRADAS-BASE'!C565="","",'ENTRADAS-BASE'!C565)</f>
        <v/>
      </c>
      <c r="E567" s="7" t="str">
        <f>IF('ENTRADAS-BASE'!D565="","",'ENTRADAS-BASE'!D565)</f>
        <v/>
      </c>
      <c r="F567" s="6" t="str">
        <f>IF('ENTRADAS-BASE'!E565="","",'ENTRADAS-BASE'!E565)</f>
        <v/>
      </c>
      <c r="G567" t="str">
        <f>IF('ENTRADAS-BASE'!F565="","",'ENTRADAS-BASE'!F565)</f>
        <v/>
      </c>
      <c r="H567" t="str">
        <f>IF('ENTRADAS-BASE'!G565="","",'ENTRADAS-BASE'!G565)</f>
        <v/>
      </c>
      <c r="I567" t="str">
        <f>IF('ENTRADAS-BASE'!H565="","",'ENTRADAS-BASE'!H565)</f>
        <v/>
      </c>
      <c r="J567" t="str">
        <f>IF('ENTRADAS-BASE'!I565="","",'ENTRADAS-BASE'!I565)</f>
        <v/>
      </c>
      <c r="K567" s="5" t="str">
        <f>IF('ENTRADAS-BASE'!J565="","",'ENTRADAS-BASE'!J565)</f>
        <v/>
      </c>
      <c r="L5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8" spans="2:12" x14ac:dyDescent="0.3">
      <c r="B568" t="str">
        <f>IF('ENTRADAS-BASE'!A566="","",'ENTRADAS-BASE'!A566)</f>
        <v/>
      </c>
      <c r="C568" t="str">
        <f>IF('ENTRADAS-BASE'!B566="","",'ENTRADAS-BASE'!B566)</f>
        <v/>
      </c>
      <c r="D568" t="str">
        <f>IF('ENTRADAS-BASE'!C566="","",'ENTRADAS-BASE'!C566)</f>
        <v/>
      </c>
      <c r="E568" s="7" t="str">
        <f>IF('ENTRADAS-BASE'!D566="","",'ENTRADAS-BASE'!D566)</f>
        <v/>
      </c>
      <c r="F568" s="6" t="str">
        <f>IF('ENTRADAS-BASE'!E566="","",'ENTRADAS-BASE'!E566)</f>
        <v/>
      </c>
      <c r="G568" t="str">
        <f>IF('ENTRADAS-BASE'!F566="","",'ENTRADAS-BASE'!F566)</f>
        <v/>
      </c>
      <c r="H568" t="str">
        <f>IF('ENTRADAS-BASE'!G566="","",'ENTRADAS-BASE'!G566)</f>
        <v/>
      </c>
      <c r="I568" t="str">
        <f>IF('ENTRADAS-BASE'!H566="","",'ENTRADAS-BASE'!H566)</f>
        <v/>
      </c>
      <c r="J568" t="str">
        <f>IF('ENTRADAS-BASE'!I566="","",'ENTRADAS-BASE'!I566)</f>
        <v/>
      </c>
      <c r="K568" s="5" t="str">
        <f>IF('ENTRADAS-BASE'!J566="","",'ENTRADAS-BASE'!J566)</f>
        <v/>
      </c>
      <c r="L5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9" spans="2:12" x14ac:dyDescent="0.3">
      <c r="B569" t="str">
        <f>IF('ENTRADAS-BASE'!A567="","",'ENTRADAS-BASE'!A567)</f>
        <v/>
      </c>
      <c r="C569" t="str">
        <f>IF('ENTRADAS-BASE'!B567="","",'ENTRADAS-BASE'!B567)</f>
        <v/>
      </c>
      <c r="D569" t="str">
        <f>IF('ENTRADAS-BASE'!C567="","",'ENTRADAS-BASE'!C567)</f>
        <v/>
      </c>
      <c r="E569" s="7" t="str">
        <f>IF('ENTRADAS-BASE'!D567="","",'ENTRADAS-BASE'!D567)</f>
        <v/>
      </c>
      <c r="F569" s="6" t="str">
        <f>IF('ENTRADAS-BASE'!E567="","",'ENTRADAS-BASE'!E567)</f>
        <v/>
      </c>
      <c r="G569" t="str">
        <f>IF('ENTRADAS-BASE'!F567="","",'ENTRADAS-BASE'!F567)</f>
        <v/>
      </c>
      <c r="H569" t="str">
        <f>IF('ENTRADAS-BASE'!G567="","",'ENTRADAS-BASE'!G567)</f>
        <v/>
      </c>
      <c r="I569" t="str">
        <f>IF('ENTRADAS-BASE'!H567="","",'ENTRADAS-BASE'!H567)</f>
        <v/>
      </c>
      <c r="J569" t="str">
        <f>IF('ENTRADAS-BASE'!I567="","",'ENTRADAS-BASE'!I567)</f>
        <v/>
      </c>
      <c r="K569" s="5" t="str">
        <f>IF('ENTRADAS-BASE'!J567="","",'ENTRADAS-BASE'!J567)</f>
        <v/>
      </c>
      <c r="L5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0" spans="2:12" x14ac:dyDescent="0.3">
      <c r="B570" t="str">
        <f>IF('ENTRADAS-BASE'!A568="","",'ENTRADAS-BASE'!A568)</f>
        <v/>
      </c>
      <c r="C570" t="str">
        <f>IF('ENTRADAS-BASE'!B568="","",'ENTRADAS-BASE'!B568)</f>
        <v/>
      </c>
      <c r="D570" t="str">
        <f>IF('ENTRADAS-BASE'!C568="","",'ENTRADAS-BASE'!C568)</f>
        <v/>
      </c>
      <c r="E570" s="7" t="str">
        <f>IF('ENTRADAS-BASE'!D568="","",'ENTRADAS-BASE'!D568)</f>
        <v/>
      </c>
      <c r="F570" s="6" t="str">
        <f>IF('ENTRADAS-BASE'!E568="","",'ENTRADAS-BASE'!E568)</f>
        <v/>
      </c>
      <c r="G570" t="str">
        <f>IF('ENTRADAS-BASE'!F568="","",'ENTRADAS-BASE'!F568)</f>
        <v/>
      </c>
      <c r="H570" t="str">
        <f>IF('ENTRADAS-BASE'!G568="","",'ENTRADAS-BASE'!G568)</f>
        <v/>
      </c>
      <c r="I570" t="str">
        <f>IF('ENTRADAS-BASE'!H568="","",'ENTRADAS-BASE'!H568)</f>
        <v/>
      </c>
      <c r="J570" t="str">
        <f>IF('ENTRADAS-BASE'!I568="","",'ENTRADAS-BASE'!I568)</f>
        <v/>
      </c>
      <c r="K570" s="5" t="str">
        <f>IF('ENTRADAS-BASE'!J568="","",'ENTRADAS-BASE'!J568)</f>
        <v/>
      </c>
      <c r="L5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1" spans="2:12" x14ac:dyDescent="0.3">
      <c r="B571" t="str">
        <f>IF('ENTRADAS-BASE'!A569="","",'ENTRADAS-BASE'!A569)</f>
        <v/>
      </c>
      <c r="C571" t="str">
        <f>IF('ENTRADAS-BASE'!B569="","",'ENTRADAS-BASE'!B569)</f>
        <v/>
      </c>
      <c r="D571" t="str">
        <f>IF('ENTRADAS-BASE'!C569="","",'ENTRADAS-BASE'!C569)</f>
        <v/>
      </c>
      <c r="E571" s="7" t="str">
        <f>IF('ENTRADAS-BASE'!D569="","",'ENTRADAS-BASE'!D569)</f>
        <v/>
      </c>
      <c r="F571" s="6" t="str">
        <f>IF('ENTRADAS-BASE'!E569="","",'ENTRADAS-BASE'!E569)</f>
        <v/>
      </c>
      <c r="G571" t="str">
        <f>IF('ENTRADAS-BASE'!F569="","",'ENTRADAS-BASE'!F569)</f>
        <v/>
      </c>
      <c r="H571" t="str">
        <f>IF('ENTRADAS-BASE'!G569="","",'ENTRADAS-BASE'!G569)</f>
        <v/>
      </c>
      <c r="I571" t="str">
        <f>IF('ENTRADAS-BASE'!H569="","",'ENTRADAS-BASE'!H569)</f>
        <v/>
      </c>
      <c r="J571" t="str">
        <f>IF('ENTRADAS-BASE'!I569="","",'ENTRADAS-BASE'!I569)</f>
        <v/>
      </c>
      <c r="K571" s="5" t="str">
        <f>IF('ENTRADAS-BASE'!J569="","",'ENTRADAS-BASE'!J569)</f>
        <v/>
      </c>
      <c r="L5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2" spans="2:12" x14ac:dyDescent="0.3">
      <c r="B572" t="str">
        <f>IF('ENTRADAS-BASE'!A570="","",'ENTRADAS-BASE'!A570)</f>
        <v/>
      </c>
      <c r="C572" t="str">
        <f>IF('ENTRADAS-BASE'!B570="","",'ENTRADAS-BASE'!B570)</f>
        <v/>
      </c>
      <c r="D572" t="str">
        <f>IF('ENTRADAS-BASE'!C570="","",'ENTRADAS-BASE'!C570)</f>
        <v/>
      </c>
      <c r="E572" s="7" t="str">
        <f>IF('ENTRADAS-BASE'!D570="","",'ENTRADAS-BASE'!D570)</f>
        <v/>
      </c>
      <c r="F572" s="6" t="str">
        <f>IF('ENTRADAS-BASE'!E570="","",'ENTRADAS-BASE'!E570)</f>
        <v/>
      </c>
      <c r="G572" t="str">
        <f>IF('ENTRADAS-BASE'!F570="","",'ENTRADAS-BASE'!F570)</f>
        <v/>
      </c>
      <c r="H572" t="str">
        <f>IF('ENTRADAS-BASE'!G570="","",'ENTRADAS-BASE'!G570)</f>
        <v/>
      </c>
      <c r="I572" t="str">
        <f>IF('ENTRADAS-BASE'!H570="","",'ENTRADAS-BASE'!H570)</f>
        <v/>
      </c>
      <c r="J572" t="str">
        <f>IF('ENTRADAS-BASE'!I570="","",'ENTRADAS-BASE'!I570)</f>
        <v/>
      </c>
      <c r="K572" s="5" t="str">
        <f>IF('ENTRADAS-BASE'!J570="","",'ENTRADAS-BASE'!J570)</f>
        <v/>
      </c>
      <c r="L5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3" spans="2:12" x14ac:dyDescent="0.3">
      <c r="B573" t="str">
        <f>IF('ENTRADAS-BASE'!A571="","",'ENTRADAS-BASE'!A571)</f>
        <v/>
      </c>
      <c r="C573" t="str">
        <f>IF('ENTRADAS-BASE'!B571="","",'ENTRADAS-BASE'!B571)</f>
        <v/>
      </c>
      <c r="D573" t="str">
        <f>IF('ENTRADAS-BASE'!C571="","",'ENTRADAS-BASE'!C571)</f>
        <v/>
      </c>
      <c r="E573" s="7" t="str">
        <f>IF('ENTRADAS-BASE'!D571="","",'ENTRADAS-BASE'!D571)</f>
        <v/>
      </c>
      <c r="F573" s="6" t="str">
        <f>IF('ENTRADAS-BASE'!E571="","",'ENTRADAS-BASE'!E571)</f>
        <v/>
      </c>
      <c r="G573" t="str">
        <f>IF('ENTRADAS-BASE'!F571="","",'ENTRADAS-BASE'!F571)</f>
        <v/>
      </c>
      <c r="H573" t="str">
        <f>IF('ENTRADAS-BASE'!G571="","",'ENTRADAS-BASE'!G571)</f>
        <v/>
      </c>
      <c r="I573" t="str">
        <f>IF('ENTRADAS-BASE'!H571="","",'ENTRADAS-BASE'!H571)</f>
        <v/>
      </c>
      <c r="J573" t="str">
        <f>IF('ENTRADAS-BASE'!I571="","",'ENTRADAS-BASE'!I571)</f>
        <v/>
      </c>
      <c r="K573" s="5" t="str">
        <f>IF('ENTRADAS-BASE'!J571="","",'ENTRADAS-BASE'!J571)</f>
        <v/>
      </c>
      <c r="L5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4" spans="2:12" x14ac:dyDescent="0.3">
      <c r="B574" t="str">
        <f>IF('ENTRADAS-BASE'!A572="","",'ENTRADAS-BASE'!A572)</f>
        <v/>
      </c>
      <c r="C574" t="str">
        <f>IF('ENTRADAS-BASE'!B572="","",'ENTRADAS-BASE'!B572)</f>
        <v/>
      </c>
      <c r="D574" t="str">
        <f>IF('ENTRADAS-BASE'!C572="","",'ENTRADAS-BASE'!C572)</f>
        <v/>
      </c>
      <c r="E574" s="7" t="str">
        <f>IF('ENTRADAS-BASE'!D572="","",'ENTRADAS-BASE'!D572)</f>
        <v/>
      </c>
      <c r="F574" s="6" t="str">
        <f>IF('ENTRADAS-BASE'!E572="","",'ENTRADAS-BASE'!E572)</f>
        <v/>
      </c>
      <c r="G574" t="str">
        <f>IF('ENTRADAS-BASE'!F572="","",'ENTRADAS-BASE'!F572)</f>
        <v/>
      </c>
      <c r="H574" t="str">
        <f>IF('ENTRADAS-BASE'!G572="","",'ENTRADAS-BASE'!G572)</f>
        <v/>
      </c>
      <c r="I574" t="str">
        <f>IF('ENTRADAS-BASE'!H572="","",'ENTRADAS-BASE'!H572)</f>
        <v/>
      </c>
      <c r="J574" t="str">
        <f>IF('ENTRADAS-BASE'!I572="","",'ENTRADAS-BASE'!I572)</f>
        <v/>
      </c>
      <c r="K574" s="5" t="str">
        <f>IF('ENTRADAS-BASE'!J572="","",'ENTRADAS-BASE'!J572)</f>
        <v/>
      </c>
      <c r="L5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5" spans="2:12" x14ac:dyDescent="0.3">
      <c r="B575" t="str">
        <f>IF('ENTRADAS-BASE'!A573="","",'ENTRADAS-BASE'!A573)</f>
        <v/>
      </c>
      <c r="C575" t="str">
        <f>IF('ENTRADAS-BASE'!B573="","",'ENTRADAS-BASE'!B573)</f>
        <v/>
      </c>
      <c r="D575" t="str">
        <f>IF('ENTRADAS-BASE'!C573="","",'ENTRADAS-BASE'!C573)</f>
        <v/>
      </c>
      <c r="E575" s="7" t="str">
        <f>IF('ENTRADAS-BASE'!D573="","",'ENTRADAS-BASE'!D573)</f>
        <v/>
      </c>
      <c r="F575" s="6" t="str">
        <f>IF('ENTRADAS-BASE'!E573="","",'ENTRADAS-BASE'!E573)</f>
        <v/>
      </c>
      <c r="G575" t="str">
        <f>IF('ENTRADAS-BASE'!F573="","",'ENTRADAS-BASE'!F573)</f>
        <v/>
      </c>
      <c r="H575" t="str">
        <f>IF('ENTRADAS-BASE'!G573="","",'ENTRADAS-BASE'!G573)</f>
        <v/>
      </c>
      <c r="I575" t="str">
        <f>IF('ENTRADAS-BASE'!H573="","",'ENTRADAS-BASE'!H573)</f>
        <v/>
      </c>
      <c r="J575" t="str">
        <f>IF('ENTRADAS-BASE'!I573="","",'ENTRADAS-BASE'!I573)</f>
        <v/>
      </c>
      <c r="K575" s="5" t="str">
        <f>IF('ENTRADAS-BASE'!J573="","",'ENTRADAS-BASE'!J573)</f>
        <v/>
      </c>
      <c r="L5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6" spans="2:12" x14ac:dyDescent="0.3">
      <c r="B576" t="str">
        <f>IF('ENTRADAS-BASE'!A574="","",'ENTRADAS-BASE'!A574)</f>
        <v/>
      </c>
      <c r="C576" t="str">
        <f>IF('ENTRADAS-BASE'!B574="","",'ENTRADAS-BASE'!B574)</f>
        <v/>
      </c>
      <c r="D576" t="str">
        <f>IF('ENTRADAS-BASE'!C574="","",'ENTRADAS-BASE'!C574)</f>
        <v/>
      </c>
      <c r="E576" s="7" t="str">
        <f>IF('ENTRADAS-BASE'!D574="","",'ENTRADAS-BASE'!D574)</f>
        <v/>
      </c>
      <c r="F576" s="6" t="str">
        <f>IF('ENTRADAS-BASE'!E574="","",'ENTRADAS-BASE'!E574)</f>
        <v/>
      </c>
      <c r="G576" t="str">
        <f>IF('ENTRADAS-BASE'!F574="","",'ENTRADAS-BASE'!F574)</f>
        <v/>
      </c>
      <c r="H576" t="str">
        <f>IF('ENTRADAS-BASE'!G574="","",'ENTRADAS-BASE'!G574)</f>
        <v/>
      </c>
      <c r="I576" t="str">
        <f>IF('ENTRADAS-BASE'!H574="","",'ENTRADAS-BASE'!H574)</f>
        <v/>
      </c>
      <c r="J576" t="str">
        <f>IF('ENTRADAS-BASE'!I574="","",'ENTRADAS-BASE'!I574)</f>
        <v/>
      </c>
      <c r="K576" s="5" t="str">
        <f>IF('ENTRADAS-BASE'!J574="","",'ENTRADAS-BASE'!J574)</f>
        <v/>
      </c>
      <c r="L5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7" spans="2:12" x14ac:dyDescent="0.3">
      <c r="B577" t="str">
        <f>IF('ENTRADAS-BASE'!A575="","",'ENTRADAS-BASE'!A575)</f>
        <v/>
      </c>
      <c r="C577" t="str">
        <f>IF('ENTRADAS-BASE'!B575="","",'ENTRADAS-BASE'!B575)</f>
        <v/>
      </c>
      <c r="D577" t="str">
        <f>IF('ENTRADAS-BASE'!C575="","",'ENTRADAS-BASE'!C575)</f>
        <v/>
      </c>
      <c r="E577" s="7" t="str">
        <f>IF('ENTRADAS-BASE'!D575="","",'ENTRADAS-BASE'!D575)</f>
        <v/>
      </c>
      <c r="F577" s="6" t="str">
        <f>IF('ENTRADAS-BASE'!E575="","",'ENTRADAS-BASE'!E575)</f>
        <v/>
      </c>
      <c r="G577" t="str">
        <f>IF('ENTRADAS-BASE'!F575="","",'ENTRADAS-BASE'!F575)</f>
        <v/>
      </c>
      <c r="H577" t="str">
        <f>IF('ENTRADAS-BASE'!G575="","",'ENTRADAS-BASE'!G575)</f>
        <v/>
      </c>
      <c r="I577" t="str">
        <f>IF('ENTRADAS-BASE'!H575="","",'ENTRADAS-BASE'!H575)</f>
        <v/>
      </c>
      <c r="J577" t="str">
        <f>IF('ENTRADAS-BASE'!I575="","",'ENTRADAS-BASE'!I575)</f>
        <v/>
      </c>
      <c r="K577" s="5" t="str">
        <f>IF('ENTRADAS-BASE'!J575="","",'ENTRADAS-BASE'!J575)</f>
        <v/>
      </c>
      <c r="L5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8" spans="2:12" x14ac:dyDescent="0.3">
      <c r="B578" t="str">
        <f>IF('ENTRADAS-BASE'!A576="","",'ENTRADAS-BASE'!A576)</f>
        <v/>
      </c>
      <c r="C578" t="str">
        <f>IF('ENTRADAS-BASE'!B576="","",'ENTRADAS-BASE'!B576)</f>
        <v/>
      </c>
      <c r="D578" t="str">
        <f>IF('ENTRADAS-BASE'!C576="","",'ENTRADAS-BASE'!C576)</f>
        <v/>
      </c>
      <c r="E578" s="7" t="str">
        <f>IF('ENTRADAS-BASE'!D576="","",'ENTRADAS-BASE'!D576)</f>
        <v/>
      </c>
      <c r="F578" s="6" t="str">
        <f>IF('ENTRADAS-BASE'!E576="","",'ENTRADAS-BASE'!E576)</f>
        <v/>
      </c>
      <c r="G578" t="str">
        <f>IF('ENTRADAS-BASE'!F576="","",'ENTRADAS-BASE'!F576)</f>
        <v/>
      </c>
      <c r="H578" t="str">
        <f>IF('ENTRADAS-BASE'!G576="","",'ENTRADAS-BASE'!G576)</f>
        <v/>
      </c>
      <c r="I578" t="str">
        <f>IF('ENTRADAS-BASE'!H576="","",'ENTRADAS-BASE'!H576)</f>
        <v/>
      </c>
      <c r="J578" t="str">
        <f>IF('ENTRADAS-BASE'!I576="","",'ENTRADAS-BASE'!I576)</f>
        <v/>
      </c>
      <c r="K578" s="5" t="str">
        <f>IF('ENTRADAS-BASE'!J576="","",'ENTRADAS-BASE'!J576)</f>
        <v/>
      </c>
      <c r="L5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9" spans="2:12" x14ac:dyDescent="0.3">
      <c r="B579" t="str">
        <f>IF('ENTRADAS-BASE'!A577="","",'ENTRADAS-BASE'!A577)</f>
        <v/>
      </c>
      <c r="C579" t="str">
        <f>IF('ENTRADAS-BASE'!B577="","",'ENTRADAS-BASE'!B577)</f>
        <v/>
      </c>
      <c r="D579" t="str">
        <f>IF('ENTRADAS-BASE'!C577="","",'ENTRADAS-BASE'!C577)</f>
        <v/>
      </c>
      <c r="E579" s="7" t="str">
        <f>IF('ENTRADAS-BASE'!D577="","",'ENTRADAS-BASE'!D577)</f>
        <v/>
      </c>
      <c r="F579" s="6" t="str">
        <f>IF('ENTRADAS-BASE'!E577="","",'ENTRADAS-BASE'!E577)</f>
        <v/>
      </c>
      <c r="G579" t="str">
        <f>IF('ENTRADAS-BASE'!F577="","",'ENTRADAS-BASE'!F577)</f>
        <v/>
      </c>
      <c r="H579" t="str">
        <f>IF('ENTRADAS-BASE'!G577="","",'ENTRADAS-BASE'!G577)</f>
        <v/>
      </c>
      <c r="I579" t="str">
        <f>IF('ENTRADAS-BASE'!H577="","",'ENTRADAS-BASE'!H577)</f>
        <v/>
      </c>
      <c r="J579" t="str">
        <f>IF('ENTRADAS-BASE'!I577="","",'ENTRADAS-BASE'!I577)</f>
        <v/>
      </c>
      <c r="K579" s="5" t="str">
        <f>IF('ENTRADAS-BASE'!J577="","",'ENTRADAS-BASE'!J577)</f>
        <v/>
      </c>
      <c r="L5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0" spans="2:12" x14ac:dyDescent="0.3">
      <c r="B580" t="str">
        <f>IF('ENTRADAS-BASE'!A578="","",'ENTRADAS-BASE'!A578)</f>
        <v/>
      </c>
      <c r="C580" t="str">
        <f>IF('ENTRADAS-BASE'!B578="","",'ENTRADAS-BASE'!B578)</f>
        <v/>
      </c>
      <c r="D580" t="str">
        <f>IF('ENTRADAS-BASE'!C578="","",'ENTRADAS-BASE'!C578)</f>
        <v/>
      </c>
      <c r="E580" s="7" t="str">
        <f>IF('ENTRADAS-BASE'!D578="","",'ENTRADAS-BASE'!D578)</f>
        <v/>
      </c>
      <c r="F580" s="6" t="str">
        <f>IF('ENTRADAS-BASE'!E578="","",'ENTRADAS-BASE'!E578)</f>
        <v/>
      </c>
      <c r="G580" t="str">
        <f>IF('ENTRADAS-BASE'!F578="","",'ENTRADAS-BASE'!F578)</f>
        <v/>
      </c>
      <c r="H580" t="str">
        <f>IF('ENTRADAS-BASE'!G578="","",'ENTRADAS-BASE'!G578)</f>
        <v/>
      </c>
      <c r="I580" t="str">
        <f>IF('ENTRADAS-BASE'!H578="","",'ENTRADAS-BASE'!H578)</f>
        <v/>
      </c>
      <c r="J580" t="str">
        <f>IF('ENTRADAS-BASE'!I578="","",'ENTRADAS-BASE'!I578)</f>
        <v/>
      </c>
      <c r="K580" s="5" t="str">
        <f>IF('ENTRADAS-BASE'!J578="","",'ENTRADAS-BASE'!J578)</f>
        <v/>
      </c>
      <c r="L5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1" spans="2:12" x14ac:dyDescent="0.3">
      <c r="B581" t="str">
        <f>IF('ENTRADAS-BASE'!A579="","",'ENTRADAS-BASE'!A579)</f>
        <v/>
      </c>
      <c r="C581" t="str">
        <f>IF('ENTRADAS-BASE'!B579="","",'ENTRADAS-BASE'!B579)</f>
        <v/>
      </c>
      <c r="D581" t="str">
        <f>IF('ENTRADAS-BASE'!C579="","",'ENTRADAS-BASE'!C579)</f>
        <v/>
      </c>
      <c r="E581" s="7" t="str">
        <f>IF('ENTRADAS-BASE'!D579="","",'ENTRADAS-BASE'!D579)</f>
        <v/>
      </c>
      <c r="F581" s="6" t="str">
        <f>IF('ENTRADAS-BASE'!E579="","",'ENTRADAS-BASE'!E579)</f>
        <v/>
      </c>
      <c r="G581" t="str">
        <f>IF('ENTRADAS-BASE'!F579="","",'ENTRADAS-BASE'!F579)</f>
        <v/>
      </c>
      <c r="H581" t="str">
        <f>IF('ENTRADAS-BASE'!G579="","",'ENTRADAS-BASE'!G579)</f>
        <v/>
      </c>
      <c r="I581" t="str">
        <f>IF('ENTRADAS-BASE'!H579="","",'ENTRADAS-BASE'!H579)</f>
        <v/>
      </c>
      <c r="J581" t="str">
        <f>IF('ENTRADAS-BASE'!I579="","",'ENTRADAS-BASE'!I579)</f>
        <v/>
      </c>
      <c r="K581" s="5" t="str">
        <f>IF('ENTRADAS-BASE'!J579="","",'ENTRADAS-BASE'!J579)</f>
        <v/>
      </c>
      <c r="L5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2" spans="2:12" x14ac:dyDescent="0.3">
      <c r="B582" t="str">
        <f>IF('ENTRADAS-BASE'!A580="","",'ENTRADAS-BASE'!A580)</f>
        <v/>
      </c>
      <c r="C582" t="str">
        <f>IF('ENTRADAS-BASE'!B580="","",'ENTRADAS-BASE'!B580)</f>
        <v/>
      </c>
      <c r="D582" t="str">
        <f>IF('ENTRADAS-BASE'!C580="","",'ENTRADAS-BASE'!C580)</f>
        <v/>
      </c>
      <c r="E582" s="7" t="str">
        <f>IF('ENTRADAS-BASE'!D580="","",'ENTRADAS-BASE'!D580)</f>
        <v/>
      </c>
      <c r="F582" s="6" t="str">
        <f>IF('ENTRADAS-BASE'!E580="","",'ENTRADAS-BASE'!E580)</f>
        <v/>
      </c>
      <c r="G582" t="str">
        <f>IF('ENTRADAS-BASE'!F580="","",'ENTRADAS-BASE'!F580)</f>
        <v/>
      </c>
      <c r="H582" t="str">
        <f>IF('ENTRADAS-BASE'!G580="","",'ENTRADAS-BASE'!G580)</f>
        <v/>
      </c>
      <c r="I582" t="str">
        <f>IF('ENTRADAS-BASE'!H580="","",'ENTRADAS-BASE'!H580)</f>
        <v/>
      </c>
      <c r="J582" t="str">
        <f>IF('ENTRADAS-BASE'!I580="","",'ENTRADAS-BASE'!I580)</f>
        <v/>
      </c>
      <c r="K582" s="5" t="str">
        <f>IF('ENTRADAS-BASE'!J580="","",'ENTRADAS-BASE'!J580)</f>
        <v/>
      </c>
      <c r="L5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3" spans="2:12" x14ac:dyDescent="0.3">
      <c r="B583" t="str">
        <f>IF('ENTRADAS-BASE'!A581="","",'ENTRADAS-BASE'!A581)</f>
        <v/>
      </c>
      <c r="C583" t="str">
        <f>IF('ENTRADAS-BASE'!B581="","",'ENTRADAS-BASE'!B581)</f>
        <v/>
      </c>
      <c r="D583" t="str">
        <f>IF('ENTRADAS-BASE'!C581="","",'ENTRADAS-BASE'!C581)</f>
        <v/>
      </c>
      <c r="E583" s="7" t="str">
        <f>IF('ENTRADAS-BASE'!D581="","",'ENTRADAS-BASE'!D581)</f>
        <v/>
      </c>
      <c r="F583" s="6" t="str">
        <f>IF('ENTRADAS-BASE'!E581="","",'ENTRADAS-BASE'!E581)</f>
        <v/>
      </c>
      <c r="G583" t="str">
        <f>IF('ENTRADAS-BASE'!F581="","",'ENTRADAS-BASE'!F581)</f>
        <v/>
      </c>
      <c r="H583" t="str">
        <f>IF('ENTRADAS-BASE'!G581="","",'ENTRADAS-BASE'!G581)</f>
        <v/>
      </c>
      <c r="I583" t="str">
        <f>IF('ENTRADAS-BASE'!H581="","",'ENTRADAS-BASE'!H581)</f>
        <v/>
      </c>
      <c r="J583" t="str">
        <f>IF('ENTRADAS-BASE'!I581="","",'ENTRADAS-BASE'!I581)</f>
        <v/>
      </c>
      <c r="K583" s="5" t="str">
        <f>IF('ENTRADAS-BASE'!J581="","",'ENTRADAS-BASE'!J581)</f>
        <v/>
      </c>
      <c r="L5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4" spans="2:12" x14ac:dyDescent="0.3">
      <c r="B584" t="str">
        <f>IF('ENTRADAS-BASE'!A582="","",'ENTRADAS-BASE'!A582)</f>
        <v/>
      </c>
      <c r="C584" t="str">
        <f>IF('ENTRADAS-BASE'!B582="","",'ENTRADAS-BASE'!B582)</f>
        <v/>
      </c>
      <c r="D584" t="str">
        <f>IF('ENTRADAS-BASE'!C582="","",'ENTRADAS-BASE'!C582)</f>
        <v/>
      </c>
      <c r="E584" s="7" t="str">
        <f>IF('ENTRADAS-BASE'!D582="","",'ENTRADAS-BASE'!D582)</f>
        <v/>
      </c>
      <c r="F584" s="6" t="str">
        <f>IF('ENTRADAS-BASE'!E582="","",'ENTRADAS-BASE'!E582)</f>
        <v/>
      </c>
      <c r="G584" t="str">
        <f>IF('ENTRADAS-BASE'!F582="","",'ENTRADAS-BASE'!F582)</f>
        <v/>
      </c>
      <c r="H584" t="str">
        <f>IF('ENTRADAS-BASE'!G582="","",'ENTRADAS-BASE'!G582)</f>
        <v/>
      </c>
      <c r="I584" t="str">
        <f>IF('ENTRADAS-BASE'!H582="","",'ENTRADAS-BASE'!H582)</f>
        <v/>
      </c>
      <c r="J584" t="str">
        <f>IF('ENTRADAS-BASE'!I582="","",'ENTRADAS-BASE'!I582)</f>
        <v/>
      </c>
      <c r="K584" s="5" t="str">
        <f>IF('ENTRADAS-BASE'!J582="","",'ENTRADAS-BASE'!J582)</f>
        <v/>
      </c>
      <c r="L5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5" spans="2:12" x14ac:dyDescent="0.3">
      <c r="B585" t="str">
        <f>IF('ENTRADAS-BASE'!A583="","",'ENTRADAS-BASE'!A583)</f>
        <v/>
      </c>
      <c r="C585" t="str">
        <f>IF('ENTRADAS-BASE'!B583="","",'ENTRADAS-BASE'!B583)</f>
        <v/>
      </c>
      <c r="D585" t="str">
        <f>IF('ENTRADAS-BASE'!C583="","",'ENTRADAS-BASE'!C583)</f>
        <v/>
      </c>
      <c r="E585" s="7" t="str">
        <f>IF('ENTRADAS-BASE'!D583="","",'ENTRADAS-BASE'!D583)</f>
        <v/>
      </c>
      <c r="F585" s="6" t="str">
        <f>IF('ENTRADAS-BASE'!E583="","",'ENTRADAS-BASE'!E583)</f>
        <v/>
      </c>
      <c r="G585" t="str">
        <f>IF('ENTRADAS-BASE'!F583="","",'ENTRADAS-BASE'!F583)</f>
        <v/>
      </c>
      <c r="H585" t="str">
        <f>IF('ENTRADAS-BASE'!G583="","",'ENTRADAS-BASE'!G583)</f>
        <v/>
      </c>
      <c r="I585" t="str">
        <f>IF('ENTRADAS-BASE'!H583="","",'ENTRADAS-BASE'!H583)</f>
        <v/>
      </c>
      <c r="J585" t="str">
        <f>IF('ENTRADAS-BASE'!I583="","",'ENTRADAS-BASE'!I583)</f>
        <v/>
      </c>
      <c r="K585" s="5" t="str">
        <f>IF('ENTRADAS-BASE'!J583="","",'ENTRADAS-BASE'!J583)</f>
        <v/>
      </c>
      <c r="L5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6" spans="2:12" x14ac:dyDescent="0.3">
      <c r="B586" t="str">
        <f>IF('ENTRADAS-BASE'!A584="","",'ENTRADAS-BASE'!A584)</f>
        <v/>
      </c>
      <c r="C586" t="str">
        <f>IF('ENTRADAS-BASE'!B584="","",'ENTRADAS-BASE'!B584)</f>
        <v/>
      </c>
      <c r="D586" t="str">
        <f>IF('ENTRADAS-BASE'!C584="","",'ENTRADAS-BASE'!C584)</f>
        <v/>
      </c>
      <c r="E586" s="7" t="str">
        <f>IF('ENTRADAS-BASE'!D584="","",'ENTRADAS-BASE'!D584)</f>
        <v/>
      </c>
      <c r="F586" s="6" t="str">
        <f>IF('ENTRADAS-BASE'!E584="","",'ENTRADAS-BASE'!E584)</f>
        <v/>
      </c>
      <c r="G586" t="str">
        <f>IF('ENTRADAS-BASE'!F584="","",'ENTRADAS-BASE'!F584)</f>
        <v/>
      </c>
      <c r="H586" t="str">
        <f>IF('ENTRADAS-BASE'!G584="","",'ENTRADAS-BASE'!G584)</f>
        <v/>
      </c>
      <c r="I586" t="str">
        <f>IF('ENTRADAS-BASE'!H584="","",'ENTRADAS-BASE'!H584)</f>
        <v/>
      </c>
      <c r="J586" t="str">
        <f>IF('ENTRADAS-BASE'!I584="","",'ENTRADAS-BASE'!I584)</f>
        <v/>
      </c>
      <c r="K586" s="5" t="str">
        <f>IF('ENTRADAS-BASE'!J584="","",'ENTRADAS-BASE'!J584)</f>
        <v/>
      </c>
      <c r="L5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7" spans="2:12" x14ac:dyDescent="0.3">
      <c r="B587" t="str">
        <f>IF('ENTRADAS-BASE'!A585="","",'ENTRADAS-BASE'!A585)</f>
        <v/>
      </c>
      <c r="C587" t="str">
        <f>IF('ENTRADAS-BASE'!B585="","",'ENTRADAS-BASE'!B585)</f>
        <v/>
      </c>
      <c r="D587" t="str">
        <f>IF('ENTRADAS-BASE'!C585="","",'ENTRADAS-BASE'!C585)</f>
        <v/>
      </c>
      <c r="E587" s="7" t="str">
        <f>IF('ENTRADAS-BASE'!D585="","",'ENTRADAS-BASE'!D585)</f>
        <v/>
      </c>
      <c r="F587" s="6" t="str">
        <f>IF('ENTRADAS-BASE'!E585="","",'ENTRADAS-BASE'!E585)</f>
        <v/>
      </c>
      <c r="G587" t="str">
        <f>IF('ENTRADAS-BASE'!F585="","",'ENTRADAS-BASE'!F585)</f>
        <v/>
      </c>
      <c r="H587" t="str">
        <f>IF('ENTRADAS-BASE'!G585="","",'ENTRADAS-BASE'!G585)</f>
        <v/>
      </c>
      <c r="I587" t="str">
        <f>IF('ENTRADAS-BASE'!H585="","",'ENTRADAS-BASE'!H585)</f>
        <v/>
      </c>
      <c r="J587" t="str">
        <f>IF('ENTRADAS-BASE'!I585="","",'ENTRADAS-BASE'!I585)</f>
        <v/>
      </c>
      <c r="K587" s="5" t="str">
        <f>IF('ENTRADAS-BASE'!J585="","",'ENTRADAS-BASE'!J585)</f>
        <v/>
      </c>
      <c r="L5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8" spans="2:12" x14ac:dyDescent="0.3">
      <c r="B588" t="str">
        <f>IF('ENTRADAS-BASE'!A586="","",'ENTRADAS-BASE'!A586)</f>
        <v/>
      </c>
      <c r="C588" t="str">
        <f>IF('ENTRADAS-BASE'!B586="","",'ENTRADAS-BASE'!B586)</f>
        <v/>
      </c>
      <c r="D588" t="str">
        <f>IF('ENTRADAS-BASE'!C586="","",'ENTRADAS-BASE'!C586)</f>
        <v/>
      </c>
      <c r="E588" s="7" t="str">
        <f>IF('ENTRADAS-BASE'!D586="","",'ENTRADAS-BASE'!D586)</f>
        <v/>
      </c>
      <c r="F588" s="6" t="str">
        <f>IF('ENTRADAS-BASE'!E586="","",'ENTRADAS-BASE'!E586)</f>
        <v/>
      </c>
      <c r="G588" t="str">
        <f>IF('ENTRADAS-BASE'!F586="","",'ENTRADAS-BASE'!F586)</f>
        <v/>
      </c>
      <c r="H588" t="str">
        <f>IF('ENTRADAS-BASE'!G586="","",'ENTRADAS-BASE'!G586)</f>
        <v/>
      </c>
      <c r="I588" t="str">
        <f>IF('ENTRADAS-BASE'!H586="","",'ENTRADAS-BASE'!H586)</f>
        <v/>
      </c>
      <c r="J588" t="str">
        <f>IF('ENTRADAS-BASE'!I586="","",'ENTRADAS-BASE'!I586)</f>
        <v/>
      </c>
      <c r="K588" s="5" t="str">
        <f>IF('ENTRADAS-BASE'!J586="","",'ENTRADAS-BASE'!J586)</f>
        <v/>
      </c>
      <c r="L5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9" spans="2:12" x14ac:dyDescent="0.3">
      <c r="B589" t="str">
        <f>IF('ENTRADAS-BASE'!A587="","",'ENTRADAS-BASE'!A587)</f>
        <v/>
      </c>
      <c r="C589" t="str">
        <f>IF('ENTRADAS-BASE'!B587="","",'ENTRADAS-BASE'!B587)</f>
        <v/>
      </c>
      <c r="D589" t="str">
        <f>IF('ENTRADAS-BASE'!C587="","",'ENTRADAS-BASE'!C587)</f>
        <v/>
      </c>
      <c r="E589" s="7" t="str">
        <f>IF('ENTRADAS-BASE'!D587="","",'ENTRADAS-BASE'!D587)</f>
        <v/>
      </c>
      <c r="F589" s="6" t="str">
        <f>IF('ENTRADAS-BASE'!E587="","",'ENTRADAS-BASE'!E587)</f>
        <v/>
      </c>
      <c r="G589" t="str">
        <f>IF('ENTRADAS-BASE'!F587="","",'ENTRADAS-BASE'!F587)</f>
        <v/>
      </c>
      <c r="H589" t="str">
        <f>IF('ENTRADAS-BASE'!G587="","",'ENTRADAS-BASE'!G587)</f>
        <v/>
      </c>
      <c r="I589" t="str">
        <f>IF('ENTRADAS-BASE'!H587="","",'ENTRADAS-BASE'!H587)</f>
        <v/>
      </c>
      <c r="J589" t="str">
        <f>IF('ENTRADAS-BASE'!I587="","",'ENTRADAS-BASE'!I587)</f>
        <v/>
      </c>
      <c r="K589" s="5" t="str">
        <f>IF('ENTRADAS-BASE'!J587="","",'ENTRADAS-BASE'!J587)</f>
        <v/>
      </c>
      <c r="L5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0" spans="2:12" x14ac:dyDescent="0.3">
      <c r="B590" t="str">
        <f>IF('ENTRADAS-BASE'!A588="","",'ENTRADAS-BASE'!A588)</f>
        <v/>
      </c>
      <c r="C590" t="str">
        <f>IF('ENTRADAS-BASE'!B588="","",'ENTRADAS-BASE'!B588)</f>
        <v/>
      </c>
      <c r="D590" t="str">
        <f>IF('ENTRADAS-BASE'!C588="","",'ENTRADAS-BASE'!C588)</f>
        <v/>
      </c>
      <c r="E590" s="7" t="str">
        <f>IF('ENTRADAS-BASE'!D588="","",'ENTRADAS-BASE'!D588)</f>
        <v/>
      </c>
      <c r="F590" s="6" t="str">
        <f>IF('ENTRADAS-BASE'!E588="","",'ENTRADAS-BASE'!E588)</f>
        <v/>
      </c>
      <c r="G590" t="str">
        <f>IF('ENTRADAS-BASE'!F588="","",'ENTRADAS-BASE'!F588)</f>
        <v/>
      </c>
      <c r="H590" t="str">
        <f>IF('ENTRADAS-BASE'!G588="","",'ENTRADAS-BASE'!G588)</f>
        <v/>
      </c>
      <c r="I590" t="str">
        <f>IF('ENTRADAS-BASE'!H588="","",'ENTRADAS-BASE'!H588)</f>
        <v/>
      </c>
      <c r="J590" t="str">
        <f>IF('ENTRADAS-BASE'!I588="","",'ENTRADAS-BASE'!I588)</f>
        <v/>
      </c>
      <c r="K590" s="5" t="str">
        <f>IF('ENTRADAS-BASE'!J588="","",'ENTRADAS-BASE'!J588)</f>
        <v/>
      </c>
      <c r="L5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1" spans="2:12" x14ac:dyDescent="0.3">
      <c r="B591" t="str">
        <f>IF('ENTRADAS-BASE'!A589="","",'ENTRADAS-BASE'!A589)</f>
        <v/>
      </c>
      <c r="C591" t="str">
        <f>IF('ENTRADAS-BASE'!B589="","",'ENTRADAS-BASE'!B589)</f>
        <v/>
      </c>
      <c r="D591" t="str">
        <f>IF('ENTRADAS-BASE'!C589="","",'ENTRADAS-BASE'!C589)</f>
        <v/>
      </c>
      <c r="E591" s="7" t="str">
        <f>IF('ENTRADAS-BASE'!D589="","",'ENTRADAS-BASE'!D589)</f>
        <v/>
      </c>
      <c r="F591" s="6" t="str">
        <f>IF('ENTRADAS-BASE'!E589="","",'ENTRADAS-BASE'!E589)</f>
        <v/>
      </c>
      <c r="G591" t="str">
        <f>IF('ENTRADAS-BASE'!F589="","",'ENTRADAS-BASE'!F589)</f>
        <v/>
      </c>
      <c r="H591" t="str">
        <f>IF('ENTRADAS-BASE'!G589="","",'ENTRADAS-BASE'!G589)</f>
        <v/>
      </c>
      <c r="I591" t="str">
        <f>IF('ENTRADAS-BASE'!H589="","",'ENTRADAS-BASE'!H589)</f>
        <v/>
      </c>
      <c r="J591" t="str">
        <f>IF('ENTRADAS-BASE'!I589="","",'ENTRADAS-BASE'!I589)</f>
        <v/>
      </c>
      <c r="K591" s="5" t="str">
        <f>IF('ENTRADAS-BASE'!J589="","",'ENTRADAS-BASE'!J589)</f>
        <v/>
      </c>
      <c r="L5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2" spans="2:12" x14ac:dyDescent="0.3">
      <c r="B592" t="str">
        <f>IF('ENTRADAS-BASE'!A590="","",'ENTRADAS-BASE'!A590)</f>
        <v/>
      </c>
      <c r="C592" t="str">
        <f>IF('ENTRADAS-BASE'!B590="","",'ENTRADAS-BASE'!B590)</f>
        <v/>
      </c>
      <c r="D592" t="str">
        <f>IF('ENTRADAS-BASE'!C590="","",'ENTRADAS-BASE'!C590)</f>
        <v/>
      </c>
      <c r="E592" s="7" t="str">
        <f>IF('ENTRADAS-BASE'!D590="","",'ENTRADAS-BASE'!D590)</f>
        <v/>
      </c>
      <c r="F592" s="6" t="str">
        <f>IF('ENTRADAS-BASE'!E590="","",'ENTRADAS-BASE'!E590)</f>
        <v/>
      </c>
      <c r="G592" t="str">
        <f>IF('ENTRADAS-BASE'!F590="","",'ENTRADAS-BASE'!F590)</f>
        <v/>
      </c>
      <c r="H592" t="str">
        <f>IF('ENTRADAS-BASE'!G590="","",'ENTRADAS-BASE'!G590)</f>
        <v/>
      </c>
      <c r="I592" t="str">
        <f>IF('ENTRADAS-BASE'!H590="","",'ENTRADAS-BASE'!H590)</f>
        <v/>
      </c>
      <c r="J592" t="str">
        <f>IF('ENTRADAS-BASE'!I590="","",'ENTRADAS-BASE'!I590)</f>
        <v/>
      </c>
      <c r="K592" s="5" t="str">
        <f>IF('ENTRADAS-BASE'!J590="","",'ENTRADAS-BASE'!J590)</f>
        <v/>
      </c>
      <c r="L5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3" spans="2:12" x14ac:dyDescent="0.3">
      <c r="B593" t="str">
        <f>IF('ENTRADAS-BASE'!A591="","",'ENTRADAS-BASE'!A591)</f>
        <v/>
      </c>
      <c r="C593" t="str">
        <f>IF('ENTRADAS-BASE'!B591="","",'ENTRADAS-BASE'!B591)</f>
        <v/>
      </c>
      <c r="D593" t="str">
        <f>IF('ENTRADAS-BASE'!C591="","",'ENTRADAS-BASE'!C591)</f>
        <v/>
      </c>
      <c r="E593" s="7" t="str">
        <f>IF('ENTRADAS-BASE'!D591="","",'ENTRADAS-BASE'!D591)</f>
        <v/>
      </c>
      <c r="F593" s="6" t="str">
        <f>IF('ENTRADAS-BASE'!E591="","",'ENTRADAS-BASE'!E591)</f>
        <v/>
      </c>
      <c r="G593" t="str">
        <f>IF('ENTRADAS-BASE'!F591="","",'ENTRADAS-BASE'!F591)</f>
        <v/>
      </c>
      <c r="H593" t="str">
        <f>IF('ENTRADAS-BASE'!G591="","",'ENTRADAS-BASE'!G591)</f>
        <v/>
      </c>
      <c r="I593" t="str">
        <f>IF('ENTRADAS-BASE'!H591="","",'ENTRADAS-BASE'!H591)</f>
        <v/>
      </c>
      <c r="J593" t="str">
        <f>IF('ENTRADAS-BASE'!I591="","",'ENTRADAS-BASE'!I591)</f>
        <v/>
      </c>
      <c r="K593" s="5" t="str">
        <f>IF('ENTRADAS-BASE'!J591="","",'ENTRADAS-BASE'!J591)</f>
        <v/>
      </c>
      <c r="L5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4" spans="2:12" x14ac:dyDescent="0.3">
      <c r="B594" t="str">
        <f>IF('ENTRADAS-BASE'!A592="","",'ENTRADAS-BASE'!A592)</f>
        <v/>
      </c>
      <c r="C594" t="str">
        <f>IF('ENTRADAS-BASE'!B592="","",'ENTRADAS-BASE'!B592)</f>
        <v/>
      </c>
      <c r="D594" t="str">
        <f>IF('ENTRADAS-BASE'!C592="","",'ENTRADAS-BASE'!C592)</f>
        <v/>
      </c>
      <c r="E594" s="7" t="str">
        <f>IF('ENTRADAS-BASE'!D592="","",'ENTRADAS-BASE'!D592)</f>
        <v/>
      </c>
      <c r="F594" s="6" t="str">
        <f>IF('ENTRADAS-BASE'!E592="","",'ENTRADAS-BASE'!E592)</f>
        <v/>
      </c>
      <c r="G594" t="str">
        <f>IF('ENTRADAS-BASE'!F592="","",'ENTRADAS-BASE'!F592)</f>
        <v/>
      </c>
      <c r="H594" t="str">
        <f>IF('ENTRADAS-BASE'!G592="","",'ENTRADAS-BASE'!G592)</f>
        <v/>
      </c>
      <c r="I594" t="str">
        <f>IF('ENTRADAS-BASE'!H592="","",'ENTRADAS-BASE'!H592)</f>
        <v/>
      </c>
      <c r="J594" t="str">
        <f>IF('ENTRADAS-BASE'!I592="","",'ENTRADAS-BASE'!I592)</f>
        <v/>
      </c>
      <c r="K594" s="5" t="str">
        <f>IF('ENTRADAS-BASE'!J592="","",'ENTRADAS-BASE'!J592)</f>
        <v/>
      </c>
      <c r="L5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5" spans="2:12" x14ac:dyDescent="0.3">
      <c r="B595" t="str">
        <f>IF('ENTRADAS-BASE'!A593="","",'ENTRADAS-BASE'!A593)</f>
        <v/>
      </c>
      <c r="C595" t="str">
        <f>IF('ENTRADAS-BASE'!B593="","",'ENTRADAS-BASE'!B593)</f>
        <v/>
      </c>
      <c r="D595" t="str">
        <f>IF('ENTRADAS-BASE'!C593="","",'ENTRADAS-BASE'!C593)</f>
        <v/>
      </c>
      <c r="E595" s="7" t="str">
        <f>IF('ENTRADAS-BASE'!D593="","",'ENTRADAS-BASE'!D593)</f>
        <v/>
      </c>
      <c r="F595" s="6" t="str">
        <f>IF('ENTRADAS-BASE'!E593="","",'ENTRADAS-BASE'!E593)</f>
        <v/>
      </c>
      <c r="G595" t="str">
        <f>IF('ENTRADAS-BASE'!F593="","",'ENTRADAS-BASE'!F593)</f>
        <v/>
      </c>
      <c r="H595" t="str">
        <f>IF('ENTRADAS-BASE'!G593="","",'ENTRADAS-BASE'!G593)</f>
        <v/>
      </c>
      <c r="I595" t="str">
        <f>IF('ENTRADAS-BASE'!H593="","",'ENTRADAS-BASE'!H593)</f>
        <v/>
      </c>
      <c r="J595" t="str">
        <f>IF('ENTRADAS-BASE'!I593="","",'ENTRADAS-BASE'!I593)</f>
        <v/>
      </c>
      <c r="K595" s="5" t="str">
        <f>IF('ENTRADAS-BASE'!J593="","",'ENTRADAS-BASE'!J593)</f>
        <v/>
      </c>
      <c r="L5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6" spans="2:12" x14ac:dyDescent="0.3">
      <c r="B596" t="str">
        <f>IF('ENTRADAS-BASE'!A594="","",'ENTRADAS-BASE'!A594)</f>
        <v/>
      </c>
      <c r="C596" t="str">
        <f>IF('ENTRADAS-BASE'!B594="","",'ENTRADAS-BASE'!B594)</f>
        <v/>
      </c>
      <c r="D596" t="str">
        <f>IF('ENTRADAS-BASE'!C594="","",'ENTRADAS-BASE'!C594)</f>
        <v/>
      </c>
      <c r="E596" s="7" t="str">
        <f>IF('ENTRADAS-BASE'!D594="","",'ENTRADAS-BASE'!D594)</f>
        <v/>
      </c>
      <c r="F596" s="6" t="str">
        <f>IF('ENTRADAS-BASE'!E594="","",'ENTRADAS-BASE'!E594)</f>
        <v/>
      </c>
      <c r="G596" t="str">
        <f>IF('ENTRADAS-BASE'!F594="","",'ENTRADAS-BASE'!F594)</f>
        <v/>
      </c>
      <c r="H596" t="str">
        <f>IF('ENTRADAS-BASE'!G594="","",'ENTRADAS-BASE'!G594)</f>
        <v/>
      </c>
      <c r="I596" t="str">
        <f>IF('ENTRADAS-BASE'!H594="","",'ENTRADAS-BASE'!H594)</f>
        <v/>
      </c>
      <c r="J596" t="str">
        <f>IF('ENTRADAS-BASE'!I594="","",'ENTRADAS-BASE'!I594)</f>
        <v/>
      </c>
      <c r="K596" s="5" t="str">
        <f>IF('ENTRADAS-BASE'!J594="","",'ENTRADAS-BASE'!J594)</f>
        <v/>
      </c>
      <c r="L5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7" spans="2:12" x14ac:dyDescent="0.3">
      <c r="B597" t="str">
        <f>IF('ENTRADAS-BASE'!A595="","",'ENTRADAS-BASE'!A595)</f>
        <v/>
      </c>
      <c r="C597" t="str">
        <f>IF('ENTRADAS-BASE'!B595="","",'ENTRADAS-BASE'!B595)</f>
        <v/>
      </c>
      <c r="D597" t="str">
        <f>IF('ENTRADAS-BASE'!C595="","",'ENTRADAS-BASE'!C595)</f>
        <v/>
      </c>
      <c r="E597" s="7" t="str">
        <f>IF('ENTRADAS-BASE'!D595="","",'ENTRADAS-BASE'!D595)</f>
        <v/>
      </c>
      <c r="F597" s="6" t="str">
        <f>IF('ENTRADAS-BASE'!E595="","",'ENTRADAS-BASE'!E595)</f>
        <v/>
      </c>
      <c r="G597" t="str">
        <f>IF('ENTRADAS-BASE'!F595="","",'ENTRADAS-BASE'!F595)</f>
        <v/>
      </c>
      <c r="H597" t="str">
        <f>IF('ENTRADAS-BASE'!G595="","",'ENTRADAS-BASE'!G595)</f>
        <v/>
      </c>
      <c r="I597" t="str">
        <f>IF('ENTRADAS-BASE'!H595="","",'ENTRADAS-BASE'!H595)</f>
        <v/>
      </c>
      <c r="J597" t="str">
        <f>IF('ENTRADAS-BASE'!I595="","",'ENTRADAS-BASE'!I595)</f>
        <v/>
      </c>
      <c r="K597" s="5" t="str">
        <f>IF('ENTRADAS-BASE'!J595="","",'ENTRADAS-BASE'!J595)</f>
        <v/>
      </c>
      <c r="L5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8" spans="2:12" x14ac:dyDescent="0.3">
      <c r="B598" t="str">
        <f>IF('ENTRADAS-BASE'!A596="","",'ENTRADAS-BASE'!A596)</f>
        <v/>
      </c>
      <c r="C598" t="str">
        <f>IF('ENTRADAS-BASE'!B596="","",'ENTRADAS-BASE'!B596)</f>
        <v/>
      </c>
      <c r="D598" t="str">
        <f>IF('ENTRADAS-BASE'!C596="","",'ENTRADAS-BASE'!C596)</f>
        <v/>
      </c>
      <c r="E598" s="7" t="str">
        <f>IF('ENTRADAS-BASE'!D596="","",'ENTRADAS-BASE'!D596)</f>
        <v/>
      </c>
      <c r="F598" s="6" t="str">
        <f>IF('ENTRADAS-BASE'!E596="","",'ENTRADAS-BASE'!E596)</f>
        <v/>
      </c>
      <c r="G598" t="str">
        <f>IF('ENTRADAS-BASE'!F596="","",'ENTRADAS-BASE'!F596)</f>
        <v/>
      </c>
      <c r="H598" t="str">
        <f>IF('ENTRADAS-BASE'!G596="","",'ENTRADAS-BASE'!G596)</f>
        <v/>
      </c>
      <c r="I598" t="str">
        <f>IF('ENTRADAS-BASE'!H596="","",'ENTRADAS-BASE'!H596)</f>
        <v/>
      </c>
      <c r="J598" t="str">
        <f>IF('ENTRADAS-BASE'!I596="","",'ENTRADAS-BASE'!I596)</f>
        <v/>
      </c>
      <c r="K598" s="5" t="str">
        <f>IF('ENTRADAS-BASE'!J596="","",'ENTRADAS-BASE'!J596)</f>
        <v/>
      </c>
      <c r="L5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9" spans="2:12" x14ac:dyDescent="0.3">
      <c r="B599" t="str">
        <f>IF('ENTRADAS-BASE'!A597="","",'ENTRADAS-BASE'!A597)</f>
        <v/>
      </c>
      <c r="C599" t="str">
        <f>IF('ENTRADAS-BASE'!B597="","",'ENTRADAS-BASE'!B597)</f>
        <v/>
      </c>
      <c r="D599" t="str">
        <f>IF('ENTRADAS-BASE'!C597="","",'ENTRADAS-BASE'!C597)</f>
        <v/>
      </c>
      <c r="E599" s="7" t="str">
        <f>IF('ENTRADAS-BASE'!D597="","",'ENTRADAS-BASE'!D597)</f>
        <v/>
      </c>
      <c r="F599" s="6" t="str">
        <f>IF('ENTRADAS-BASE'!E597="","",'ENTRADAS-BASE'!E597)</f>
        <v/>
      </c>
      <c r="G599" t="str">
        <f>IF('ENTRADAS-BASE'!F597="","",'ENTRADAS-BASE'!F597)</f>
        <v/>
      </c>
      <c r="H599" t="str">
        <f>IF('ENTRADAS-BASE'!G597="","",'ENTRADAS-BASE'!G597)</f>
        <v/>
      </c>
      <c r="I599" t="str">
        <f>IF('ENTRADAS-BASE'!H597="","",'ENTRADAS-BASE'!H597)</f>
        <v/>
      </c>
      <c r="J599" t="str">
        <f>IF('ENTRADAS-BASE'!I597="","",'ENTRADAS-BASE'!I597)</f>
        <v/>
      </c>
      <c r="K599" s="5" t="str">
        <f>IF('ENTRADAS-BASE'!J597="","",'ENTRADAS-BASE'!J597)</f>
        <v/>
      </c>
      <c r="L5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0" spans="2:12" x14ac:dyDescent="0.3">
      <c r="B600" t="str">
        <f>IF('ENTRADAS-BASE'!A598="","",'ENTRADAS-BASE'!A598)</f>
        <v/>
      </c>
      <c r="C600" t="str">
        <f>IF('ENTRADAS-BASE'!B598="","",'ENTRADAS-BASE'!B598)</f>
        <v/>
      </c>
      <c r="D600" t="str">
        <f>IF('ENTRADAS-BASE'!C598="","",'ENTRADAS-BASE'!C598)</f>
        <v/>
      </c>
      <c r="E600" s="7" t="str">
        <f>IF('ENTRADAS-BASE'!D598="","",'ENTRADAS-BASE'!D598)</f>
        <v/>
      </c>
      <c r="F600" s="6" t="str">
        <f>IF('ENTRADAS-BASE'!E598="","",'ENTRADAS-BASE'!E598)</f>
        <v/>
      </c>
      <c r="G600" t="str">
        <f>IF('ENTRADAS-BASE'!F598="","",'ENTRADAS-BASE'!F598)</f>
        <v/>
      </c>
      <c r="H600" t="str">
        <f>IF('ENTRADAS-BASE'!G598="","",'ENTRADAS-BASE'!G598)</f>
        <v/>
      </c>
      <c r="I600" t="str">
        <f>IF('ENTRADAS-BASE'!H598="","",'ENTRADAS-BASE'!H598)</f>
        <v/>
      </c>
      <c r="J600" t="str">
        <f>IF('ENTRADAS-BASE'!I598="","",'ENTRADAS-BASE'!I598)</f>
        <v/>
      </c>
      <c r="K600" s="5" t="str">
        <f>IF('ENTRADAS-BASE'!J598="","",'ENTRADAS-BASE'!J598)</f>
        <v/>
      </c>
      <c r="L6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1" spans="2:12" x14ac:dyDescent="0.3">
      <c r="B601" t="str">
        <f>IF('ENTRADAS-BASE'!A599="","",'ENTRADAS-BASE'!A599)</f>
        <v/>
      </c>
      <c r="C601" t="str">
        <f>IF('ENTRADAS-BASE'!B599="","",'ENTRADAS-BASE'!B599)</f>
        <v/>
      </c>
      <c r="D601" t="str">
        <f>IF('ENTRADAS-BASE'!C599="","",'ENTRADAS-BASE'!C599)</f>
        <v/>
      </c>
      <c r="E601" s="7" t="str">
        <f>IF('ENTRADAS-BASE'!D599="","",'ENTRADAS-BASE'!D599)</f>
        <v/>
      </c>
      <c r="F601" s="6" t="str">
        <f>IF('ENTRADAS-BASE'!E599="","",'ENTRADAS-BASE'!E599)</f>
        <v/>
      </c>
      <c r="G601" t="str">
        <f>IF('ENTRADAS-BASE'!F599="","",'ENTRADAS-BASE'!F599)</f>
        <v/>
      </c>
      <c r="H601" t="str">
        <f>IF('ENTRADAS-BASE'!G599="","",'ENTRADAS-BASE'!G599)</f>
        <v/>
      </c>
      <c r="I601" t="str">
        <f>IF('ENTRADAS-BASE'!H599="","",'ENTRADAS-BASE'!H599)</f>
        <v/>
      </c>
      <c r="J601" t="str">
        <f>IF('ENTRADAS-BASE'!I599="","",'ENTRADAS-BASE'!I599)</f>
        <v/>
      </c>
      <c r="K601" s="5" t="str">
        <f>IF('ENTRADAS-BASE'!J599="","",'ENTRADAS-BASE'!J599)</f>
        <v/>
      </c>
      <c r="L6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2" spans="2:12" x14ac:dyDescent="0.3">
      <c r="B602" t="str">
        <f>IF('ENTRADAS-BASE'!A600="","",'ENTRADAS-BASE'!A600)</f>
        <v/>
      </c>
      <c r="C602" t="str">
        <f>IF('ENTRADAS-BASE'!B600="","",'ENTRADAS-BASE'!B600)</f>
        <v/>
      </c>
      <c r="D602" t="str">
        <f>IF('ENTRADAS-BASE'!C600="","",'ENTRADAS-BASE'!C600)</f>
        <v/>
      </c>
      <c r="E602" s="7" t="str">
        <f>IF('ENTRADAS-BASE'!D600="","",'ENTRADAS-BASE'!D600)</f>
        <v/>
      </c>
      <c r="F602" s="6" t="str">
        <f>IF('ENTRADAS-BASE'!E600="","",'ENTRADAS-BASE'!E600)</f>
        <v/>
      </c>
      <c r="G602" t="str">
        <f>IF('ENTRADAS-BASE'!F600="","",'ENTRADAS-BASE'!F600)</f>
        <v/>
      </c>
      <c r="H602" t="str">
        <f>IF('ENTRADAS-BASE'!G600="","",'ENTRADAS-BASE'!G600)</f>
        <v/>
      </c>
      <c r="I602" t="str">
        <f>IF('ENTRADAS-BASE'!H600="","",'ENTRADAS-BASE'!H600)</f>
        <v/>
      </c>
      <c r="J602" t="str">
        <f>IF('ENTRADAS-BASE'!I600="","",'ENTRADAS-BASE'!I600)</f>
        <v/>
      </c>
      <c r="K602" s="5" t="str">
        <f>IF('ENTRADAS-BASE'!J600="","",'ENTRADAS-BASE'!J600)</f>
        <v/>
      </c>
      <c r="L6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3" spans="2:12" x14ac:dyDescent="0.3">
      <c r="B603" t="str">
        <f>IF('ENTRADAS-BASE'!A601="","",'ENTRADAS-BASE'!A601)</f>
        <v/>
      </c>
      <c r="C603" t="str">
        <f>IF('ENTRADAS-BASE'!B601="","",'ENTRADAS-BASE'!B601)</f>
        <v/>
      </c>
      <c r="D603" t="str">
        <f>IF('ENTRADAS-BASE'!C601="","",'ENTRADAS-BASE'!C601)</f>
        <v/>
      </c>
      <c r="E603" s="7" t="str">
        <f>IF('ENTRADAS-BASE'!D601="","",'ENTRADAS-BASE'!D601)</f>
        <v/>
      </c>
      <c r="F603" s="6" t="str">
        <f>IF('ENTRADAS-BASE'!E601="","",'ENTRADAS-BASE'!E601)</f>
        <v/>
      </c>
      <c r="G603" t="str">
        <f>IF('ENTRADAS-BASE'!F601="","",'ENTRADAS-BASE'!F601)</f>
        <v/>
      </c>
      <c r="H603" t="str">
        <f>IF('ENTRADAS-BASE'!G601="","",'ENTRADAS-BASE'!G601)</f>
        <v/>
      </c>
      <c r="I603" t="str">
        <f>IF('ENTRADAS-BASE'!H601="","",'ENTRADAS-BASE'!H601)</f>
        <v/>
      </c>
      <c r="J603" t="str">
        <f>IF('ENTRADAS-BASE'!I601="","",'ENTRADAS-BASE'!I601)</f>
        <v/>
      </c>
      <c r="K603" s="5" t="str">
        <f>IF('ENTRADAS-BASE'!J601="","",'ENTRADAS-BASE'!J601)</f>
        <v/>
      </c>
      <c r="L6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4" spans="2:12" x14ac:dyDescent="0.3">
      <c r="B604" t="str">
        <f>IF('ENTRADAS-BASE'!A602="","",'ENTRADAS-BASE'!A602)</f>
        <v/>
      </c>
      <c r="C604" t="str">
        <f>IF('ENTRADAS-BASE'!B602="","",'ENTRADAS-BASE'!B602)</f>
        <v/>
      </c>
      <c r="D604" t="str">
        <f>IF('ENTRADAS-BASE'!C602="","",'ENTRADAS-BASE'!C602)</f>
        <v/>
      </c>
      <c r="E604" s="7" t="str">
        <f>IF('ENTRADAS-BASE'!D602="","",'ENTRADAS-BASE'!D602)</f>
        <v/>
      </c>
      <c r="F604" s="6" t="str">
        <f>IF('ENTRADAS-BASE'!E602="","",'ENTRADAS-BASE'!E602)</f>
        <v/>
      </c>
      <c r="G604" t="str">
        <f>IF('ENTRADAS-BASE'!F602="","",'ENTRADAS-BASE'!F602)</f>
        <v/>
      </c>
      <c r="H604" t="str">
        <f>IF('ENTRADAS-BASE'!G602="","",'ENTRADAS-BASE'!G602)</f>
        <v/>
      </c>
      <c r="I604" t="str">
        <f>IF('ENTRADAS-BASE'!H602="","",'ENTRADAS-BASE'!H602)</f>
        <v/>
      </c>
      <c r="J604" t="str">
        <f>IF('ENTRADAS-BASE'!I602="","",'ENTRADAS-BASE'!I602)</f>
        <v/>
      </c>
      <c r="K604" s="5" t="str">
        <f>IF('ENTRADAS-BASE'!J602="","",'ENTRADAS-BASE'!J602)</f>
        <v/>
      </c>
      <c r="L6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5" spans="2:12" x14ac:dyDescent="0.3">
      <c r="B605" t="str">
        <f>IF('ENTRADAS-BASE'!A603="","",'ENTRADAS-BASE'!A603)</f>
        <v/>
      </c>
      <c r="C605" t="str">
        <f>IF('ENTRADAS-BASE'!B603="","",'ENTRADAS-BASE'!B603)</f>
        <v/>
      </c>
      <c r="D605" t="str">
        <f>IF('ENTRADAS-BASE'!C603="","",'ENTRADAS-BASE'!C603)</f>
        <v/>
      </c>
      <c r="E605" s="7" t="str">
        <f>IF('ENTRADAS-BASE'!D603="","",'ENTRADAS-BASE'!D603)</f>
        <v/>
      </c>
      <c r="F605" s="6" t="str">
        <f>IF('ENTRADAS-BASE'!E603="","",'ENTRADAS-BASE'!E603)</f>
        <v/>
      </c>
      <c r="G605" t="str">
        <f>IF('ENTRADAS-BASE'!F603="","",'ENTRADAS-BASE'!F603)</f>
        <v/>
      </c>
      <c r="H605" t="str">
        <f>IF('ENTRADAS-BASE'!G603="","",'ENTRADAS-BASE'!G603)</f>
        <v/>
      </c>
      <c r="I605" t="str">
        <f>IF('ENTRADAS-BASE'!H603="","",'ENTRADAS-BASE'!H603)</f>
        <v/>
      </c>
      <c r="J605" t="str">
        <f>IF('ENTRADAS-BASE'!I603="","",'ENTRADAS-BASE'!I603)</f>
        <v/>
      </c>
      <c r="K605" s="5" t="str">
        <f>IF('ENTRADAS-BASE'!J603="","",'ENTRADAS-BASE'!J603)</f>
        <v/>
      </c>
      <c r="L6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6" spans="2:12" x14ac:dyDescent="0.3">
      <c r="B606" t="str">
        <f>IF('ENTRADAS-BASE'!A604="","",'ENTRADAS-BASE'!A604)</f>
        <v/>
      </c>
      <c r="C606" t="str">
        <f>IF('ENTRADAS-BASE'!B604="","",'ENTRADAS-BASE'!B604)</f>
        <v/>
      </c>
      <c r="D606" t="str">
        <f>IF('ENTRADAS-BASE'!C604="","",'ENTRADAS-BASE'!C604)</f>
        <v/>
      </c>
      <c r="E606" s="7" t="str">
        <f>IF('ENTRADAS-BASE'!D604="","",'ENTRADAS-BASE'!D604)</f>
        <v/>
      </c>
      <c r="F606" s="6" t="str">
        <f>IF('ENTRADAS-BASE'!E604="","",'ENTRADAS-BASE'!E604)</f>
        <v/>
      </c>
      <c r="G606" t="str">
        <f>IF('ENTRADAS-BASE'!F604="","",'ENTRADAS-BASE'!F604)</f>
        <v/>
      </c>
      <c r="H606" t="str">
        <f>IF('ENTRADAS-BASE'!G604="","",'ENTRADAS-BASE'!G604)</f>
        <v/>
      </c>
      <c r="I606" t="str">
        <f>IF('ENTRADAS-BASE'!H604="","",'ENTRADAS-BASE'!H604)</f>
        <v/>
      </c>
      <c r="J606" t="str">
        <f>IF('ENTRADAS-BASE'!I604="","",'ENTRADAS-BASE'!I604)</f>
        <v/>
      </c>
      <c r="K606" s="5" t="str">
        <f>IF('ENTRADAS-BASE'!J604="","",'ENTRADAS-BASE'!J604)</f>
        <v/>
      </c>
      <c r="L6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7" spans="2:12" x14ac:dyDescent="0.3">
      <c r="B607" t="str">
        <f>IF('ENTRADAS-BASE'!A605="","",'ENTRADAS-BASE'!A605)</f>
        <v/>
      </c>
      <c r="C607" t="str">
        <f>IF('ENTRADAS-BASE'!B605="","",'ENTRADAS-BASE'!B605)</f>
        <v/>
      </c>
      <c r="D607" t="str">
        <f>IF('ENTRADAS-BASE'!C605="","",'ENTRADAS-BASE'!C605)</f>
        <v/>
      </c>
      <c r="E607" s="7" t="str">
        <f>IF('ENTRADAS-BASE'!D605="","",'ENTRADAS-BASE'!D605)</f>
        <v/>
      </c>
      <c r="F607" s="6" t="str">
        <f>IF('ENTRADAS-BASE'!E605="","",'ENTRADAS-BASE'!E605)</f>
        <v/>
      </c>
      <c r="G607" t="str">
        <f>IF('ENTRADAS-BASE'!F605="","",'ENTRADAS-BASE'!F605)</f>
        <v/>
      </c>
      <c r="H607" t="str">
        <f>IF('ENTRADAS-BASE'!G605="","",'ENTRADAS-BASE'!G605)</f>
        <v/>
      </c>
      <c r="I607" t="str">
        <f>IF('ENTRADAS-BASE'!H605="","",'ENTRADAS-BASE'!H605)</f>
        <v/>
      </c>
      <c r="J607" t="str">
        <f>IF('ENTRADAS-BASE'!I605="","",'ENTRADAS-BASE'!I605)</f>
        <v/>
      </c>
      <c r="K607" s="5" t="str">
        <f>IF('ENTRADAS-BASE'!J605="","",'ENTRADAS-BASE'!J605)</f>
        <v/>
      </c>
      <c r="L6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8" spans="2:12" x14ac:dyDescent="0.3">
      <c r="B608" t="str">
        <f>IF('ENTRADAS-BASE'!A606="","",'ENTRADAS-BASE'!A606)</f>
        <v/>
      </c>
      <c r="C608" t="str">
        <f>IF('ENTRADAS-BASE'!B606="","",'ENTRADAS-BASE'!B606)</f>
        <v/>
      </c>
      <c r="D608" t="str">
        <f>IF('ENTRADAS-BASE'!C606="","",'ENTRADAS-BASE'!C606)</f>
        <v/>
      </c>
      <c r="E608" s="7" t="str">
        <f>IF('ENTRADAS-BASE'!D606="","",'ENTRADAS-BASE'!D606)</f>
        <v/>
      </c>
      <c r="F608" s="6" t="str">
        <f>IF('ENTRADAS-BASE'!E606="","",'ENTRADAS-BASE'!E606)</f>
        <v/>
      </c>
      <c r="G608" t="str">
        <f>IF('ENTRADAS-BASE'!F606="","",'ENTRADAS-BASE'!F606)</f>
        <v/>
      </c>
      <c r="H608" t="str">
        <f>IF('ENTRADAS-BASE'!G606="","",'ENTRADAS-BASE'!G606)</f>
        <v/>
      </c>
      <c r="I608" t="str">
        <f>IF('ENTRADAS-BASE'!H606="","",'ENTRADAS-BASE'!H606)</f>
        <v/>
      </c>
      <c r="J608" t="str">
        <f>IF('ENTRADAS-BASE'!I606="","",'ENTRADAS-BASE'!I606)</f>
        <v/>
      </c>
      <c r="K608" s="5" t="str">
        <f>IF('ENTRADAS-BASE'!J606="","",'ENTRADAS-BASE'!J606)</f>
        <v/>
      </c>
      <c r="L6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9" spans="2:12" x14ac:dyDescent="0.3">
      <c r="B609" t="str">
        <f>IF('ENTRADAS-BASE'!A607="","",'ENTRADAS-BASE'!A607)</f>
        <v/>
      </c>
      <c r="C609" t="str">
        <f>IF('ENTRADAS-BASE'!B607="","",'ENTRADAS-BASE'!B607)</f>
        <v/>
      </c>
      <c r="D609" t="str">
        <f>IF('ENTRADAS-BASE'!C607="","",'ENTRADAS-BASE'!C607)</f>
        <v/>
      </c>
      <c r="E609" s="7" t="str">
        <f>IF('ENTRADAS-BASE'!D607="","",'ENTRADAS-BASE'!D607)</f>
        <v/>
      </c>
      <c r="F609" s="6" t="str">
        <f>IF('ENTRADAS-BASE'!E607="","",'ENTRADAS-BASE'!E607)</f>
        <v/>
      </c>
      <c r="G609" t="str">
        <f>IF('ENTRADAS-BASE'!F607="","",'ENTRADAS-BASE'!F607)</f>
        <v/>
      </c>
      <c r="H609" t="str">
        <f>IF('ENTRADAS-BASE'!G607="","",'ENTRADAS-BASE'!G607)</f>
        <v/>
      </c>
      <c r="I609" t="str">
        <f>IF('ENTRADAS-BASE'!H607="","",'ENTRADAS-BASE'!H607)</f>
        <v/>
      </c>
      <c r="J609" t="str">
        <f>IF('ENTRADAS-BASE'!I607="","",'ENTRADAS-BASE'!I607)</f>
        <v/>
      </c>
      <c r="K609" s="5" t="str">
        <f>IF('ENTRADAS-BASE'!J607="","",'ENTRADAS-BASE'!J607)</f>
        <v/>
      </c>
      <c r="L6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0" spans="2:12" x14ac:dyDescent="0.3">
      <c r="B610" t="str">
        <f>IF('ENTRADAS-BASE'!A608="","",'ENTRADAS-BASE'!A608)</f>
        <v/>
      </c>
      <c r="C610" t="str">
        <f>IF('ENTRADAS-BASE'!B608="","",'ENTRADAS-BASE'!B608)</f>
        <v/>
      </c>
      <c r="D610" t="str">
        <f>IF('ENTRADAS-BASE'!C608="","",'ENTRADAS-BASE'!C608)</f>
        <v/>
      </c>
      <c r="E610" s="7" t="str">
        <f>IF('ENTRADAS-BASE'!D608="","",'ENTRADAS-BASE'!D608)</f>
        <v/>
      </c>
      <c r="F610" s="6" t="str">
        <f>IF('ENTRADAS-BASE'!E608="","",'ENTRADAS-BASE'!E608)</f>
        <v/>
      </c>
      <c r="G610" t="str">
        <f>IF('ENTRADAS-BASE'!F608="","",'ENTRADAS-BASE'!F608)</f>
        <v/>
      </c>
      <c r="H610" t="str">
        <f>IF('ENTRADAS-BASE'!G608="","",'ENTRADAS-BASE'!G608)</f>
        <v/>
      </c>
      <c r="I610" t="str">
        <f>IF('ENTRADAS-BASE'!H608="","",'ENTRADAS-BASE'!H608)</f>
        <v/>
      </c>
      <c r="J610" t="str">
        <f>IF('ENTRADAS-BASE'!I608="","",'ENTRADAS-BASE'!I608)</f>
        <v/>
      </c>
      <c r="K610" s="5" t="str">
        <f>IF('ENTRADAS-BASE'!J608="","",'ENTRADAS-BASE'!J608)</f>
        <v/>
      </c>
      <c r="L6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1" spans="2:12" x14ac:dyDescent="0.3">
      <c r="B611" t="str">
        <f>IF('ENTRADAS-BASE'!A609="","",'ENTRADAS-BASE'!A609)</f>
        <v/>
      </c>
      <c r="C611" t="str">
        <f>IF('ENTRADAS-BASE'!B609="","",'ENTRADAS-BASE'!B609)</f>
        <v/>
      </c>
      <c r="D611" t="str">
        <f>IF('ENTRADAS-BASE'!C609="","",'ENTRADAS-BASE'!C609)</f>
        <v/>
      </c>
      <c r="E611" s="7" t="str">
        <f>IF('ENTRADAS-BASE'!D609="","",'ENTRADAS-BASE'!D609)</f>
        <v/>
      </c>
      <c r="F611" s="6" t="str">
        <f>IF('ENTRADAS-BASE'!E609="","",'ENTRADAS-BASE'!E609)</f>
        <v/>
      </c>
      <c r="G611" t="str">
        <f>IF('ENTRADAS-BASE'!F609="","",'ENTRADAS-BASE'!F609)</f>
        <v/>
      </c>
      <c r="H611" t="str">
        <f>IF('ENTRADAS-BASE'!G609="","",'ENTRADAS-BASE'!G609)</f>
        <v/>
      </c>
      <c r="I611" t="str">
        <f>IF('ENTRADAS-BASE'!H609="","",'ENTRADAS-BASE'!H609)</f>
        <v/>
      </c>
      <c r="J611" t="str">
        <f>IF('ENTRADAS-BASE'!I609="","",'ENTRADAS-BASE'!I609)</f>
        <v/>
      </c>
      <c r="K611" s="5" t="str">
        <f>IF('ENTRADAS-BASE'!J609="","",'ENTRADAS-BASE'!J609)</f>
        <v/>
      </c>
      <c r="L6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2" spans="2:12" x14ac:dyDescent="0.3">
      <c r="B612" t="str">
        <f>IF('ENTRADAS-BASE'!A610="","",'ENTRADAS-BASE'!A610)</f>
        <v/>
      </c>
      <c r="C612" t="str">
        <f>IF('ENTRADAS-BASE'!B610="","",'ENTRADAS-BASE'!B610)</f>
        <v/>
      </c>
      <c r="D612" t="str">
        <f>IF('ENTRADAS-BASE'!C610="","",'ENTRADAS-BASE'!C610)</f>
        <v/>
      </c>
      <c r="E612" s="7" t="str">
        <f>IF('ENTRADAS-BASE'!D610="","",'ENTRADAS-BASE'!D610)</f>
        <v/>
      </c>
      <c r="F612" s="6" t="str">
        <f>IF('ENTRADAS-BASE'!E610="","",'ENTRADAS-BASE'!E610)</f>
        <v/>
      </c>
      <c r="G612" t="str">
        <f>IF('ENTRADAS-BASE'!F610="","",'ENTRADAS-BASE'!F610)</f>
        <v/>
      </c>
      <c r="H612" t="str">
        <f>IF('ENTRADAS-BASE'!G610="","",'ENTRADAS-BASE'!G610)</f>
        <v/>
      </c>
      <c r="I612" t="str">
        <f>IF('ENTRADAS-BASE'!H610="","",'ENTRADAS-BASE'!H610)</f>
        <v/>
      </c>
      <c r="J612" t="str">
        <f>IF('ENTRADAS-BASE'!I610="","",'ENTRADAS-BASE'!I610)</f>
        <v/>
      </c>
      <c r="K612" s="5" t="str">
        <f>IF('ENTRADAS-BASE'!J610="","",'ENTRADAS-BASE'!J610)</f>
        <v/>
      </c>
      <c r="L6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3" spans="2:12" x14ac:dyDescent="0.3">
      <c r="B613" t="str">
        <f>IF('ENTRADAS-BASE'!A611="","",'ENTRADAS-BASE'!A611)</f>
        <v/>
      </c>
      <c r="C613" t="str">
        <f>IF('ENTRADAS-BASE'!B611="","",'ENTRADAS-BASE'!B611)</f>
        <v/>
      </c>
      <c r="D613" t="str">
        <f>IF('ENTRADAS-BASE'!C611="","",'ENTRADAS-BASE'!C611)</f>
        <v/>
      </c>
      <c r="E613" s="7" t="str">
        <f>IF('ENTRADAS-BASE'!D611="","",'ENTRADAS-BASE'!D611)</f>
        <v/>
      </c>
      <c r="F613" s="6" t="str">
        <f>IF('ENTRADAS-BASE'!E611="","",'ENTRADAS-BASE'!E611)</f>
        <v/>
      </c>
      <c r="G613" t="str">
        <f>IF('ENTRADAS-BASE'!F611="","",'ENTRADAS-BASE'!F611)</f>
        <v/>
      </c>
      <c r="H613" t="str">
        <f>IF('ENTRADAS-BASE'!G611="","",'ENTRADAS-BASE'!G611)</f>
        <v/>
      </c>
      <c r="I613" t="str">
        <f>IF('ENTRADAS-BASE'!H611="","",'ENTRADAS-BASE'!H611)</f>
        <v/>
      </c>
      <c r="J613" t="str">
        <f>IF('ENTRADAS-BASE'!I611="","",'ENTRADAS-BASE'!I611)</f>
        <v/>
      </c>
      <c r="K613" s="5" t="str">
        <f>IF('ENTRADAS-BASE'!J611="","",'ENTRADAS-BASE'!J611)</f>
        <v/>
      </c>
      <c r="L6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4" spans="2:12" x14ac:dyDescent="0.3">
      <c r="B614" t="str">
        <f>IF('ENTRADAS-BASE'!A612="","",'ENTRADAS-BASE'!A612)</f>
        <v/>
      </c>
      <c r="C614" t="str">
        <f>IF('ENTRADAS-BASE'!B612="","",'ENTRADAS-BASE'!B612)</f>
        <v/>
      </c>
      <c r="D614" t="str">
        <f>IF('ENTRADAS-BASE'!C612="","",'ENTRADAS-BASE'!C612)</f>
        <v/>
      </c>
      <c r="E614" s="7" t="str">
        <f>IF('ENTRADAS-BASE'!D612="","",'ENTRADAS-BASE'!D612)</f>
        <v/>
      </c>
      <c r="F614" s="6" t="str">
        <f>IF('ENTRADAS-BASE'!E612="","",'ENTRADAS-BASE'!E612)</f>
        <v/>
      </c>
      <c r="G614" t="str">
        <f>IF('ENTRADAS-BASE'!F612="","",'ENTRADAS-BASE'!F612)</f>
        <v/>
      </c>
      <c r="H614" t="str">
        <f>IF('ENTRADAS-BASE'!G612="","",'ENTRADAS-BASE'!G612)</f>
        <v/>
      </c>
      <c r="I614" t="str">
        <f>IF('ENTRADAS-BASE'!H612="","",'ENTRADAS-BASE'!H612)</f>
        <v/>
      </c>
      <c r="J614" t="str">
        <f>IF('ENTRADAS-BASE'!I612="","",'ENTRADAS-BASE'!I612)</f>
        <v/>
      </c>
      <c r="K614" s="5" t="str">
        <f>IF('ENTRADAS-BASE'!J612="","",'ENTRADAS-BASE'!J612)</f>
        <v/>
      </c>
      <c r="L6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5" spans="2:12" x14ac:dyDescent="0.3">
      <c r="B615" t="str">
        <f>IF('ENTRADAS-BASE'!A613="","",'ENTRADAS-BASE'!A613)</f>
        <v/>
      </c>
      <c r="C615" t="str">
        <f>IF('ENTRADAS-BASE'!B613="","",'ENTRADAS-BASE'!B613)</f>
        <v/>
      </c>
      <c r="D615" t="str">
        <f>IF('ENTRADAS-BASE'!C613="","",'ENTRADAS-BASE'!C613)</f>
        <v/>
      </c>
      <c r="E615" s="7" t="str">
        <f>IF('ENTRADAS-BASE'!D613="","",'ENTRADAS-BASE'!D613)</f>
        <v/>
      </c>
      <c r="F615" s="6" t="str">
        <f>IF('ENTRADAS-BASE'!E613="","",'ENTRADAS-BASE'!E613)</f>
        <v/>
      </c>
      <c r="G615" t="str">
        <f>IF('ENTRADAS-BASE'!F613="","",'ENTRADAS-BASE'!F613)</f>
        <v/>
      </c>
      <c r="H615" t="str">
        <f>IF('ENTRADAS-BASE'!G613="","",'ENTRADAS-BASE'!G613)</f>
        <v/>
      </c>
      <c r="I615" t="str">
        <f>IF('ENTRADAS-BASE'!H613="","",'ENTRADAS-BASE'!H613)</f>
        <v/>
      </c>
      <c r="J615" t="str">
        <f>IF('ENTRADAS-BASE'!I613="","",'ENTRADAS-BASE'!I613)</f>
        <v/>
      </c>
      <c r="K615" s="5" t="str">
        <f>IF('ENTRADAS-BASE'!J613="","",'ENTRADAS-BASE'!J613)</f>
        <v/>
      </c>
      <c r="L6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6" spans="2:12" x14ac:dyDescent="0.3">
      <c r="B616" t="str">
        <f>IF('ENTRADAS-BASE'!A614="","",'ENTRADAS-BASE'!A614)</f>
        <v/>
      </c>
      <c r="C616" t="str">
        <f>IF('ENTRADAS-BASE'!B614="","",'ENTRADAS-BASE'!B614)</f>
        <v/>
      </c>
      <c r="D616" t="str">
        <f>IF('ENTRADAS-BASE'!C614="","",'ENTRADAS-BASE'!C614)</f>
        <v/>
      </c>
      <c r="E616" s="7" t="str">
        <f>IF('ENTRADAS-BASE'!D614="","",'ENTRADAS-BASE'!D614)</f>
        <v/>
      </c>
      <c r="F616" s="6" t="str">
        <f>IF('ENTRADAS-BASE'!E614="","",'ENTRADAS-BASE'!E614)</f>
        <v/>
      </c>
      <c r="G616" t="str">
        <f>IF('ENTRADAS-BASE'!F614="","",'ENTRADAS-BASE'!F614)</f>
        <v/>
      </c>
      <c r="H616" t="str">
        <f>IF('ENTRADAS-BASE'!G614="","",'ENTRADAS-BASE'!G614)</f>
        <v/>
      </c>
      <c r="I616" t="str">
        <f>IF('ENTRADAS-BASE'!H614="","",'ENTRADAS-BASE'!H614)</f>
        <v/>
      </c>
      <c r="J616" t="str">
        <f>IF('ENTRADAS-BASE'!I614="","",'ENTRADAS-BASE'!I614)</f>
        <v/>
      </c>
      <c r="K616" s="5" t="str">
        <f>IF('ENTRADAS-BASE'!J614="","",'ENTRADAS-BASE'!J614)</f>
        <v/>
      </c>
      <c r="L6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7" spans="2:12" x14ac:dyDescent="0.3">
      <c r="B617" t="str">
        <f>IF('ENTRADAS-BASE'!A615="","",'ENTRADAS-BASE'!A615)</f>
        <v/>
      </c>
      <c r="C617" t="str">
        <f>IF('ENTRADAS-BASE'!B615="","",'ENTRADAS-BASE'!B615)</f>
        <v/>
      </c>
      <c r="D617" t="str">
        <f>IF('ENTRADAS-BASE'!C615="","",'ENTRADAS-BASE'!C615)</f>
        <v/>
      </c>
      <c r="E617" s="7" t="str">
        <f>IF('ENTRADAS-BASE'!D615="","",'ENTRADAS-BASE'!D615)</f>
        <v/>
      </c>
      <c r="F617" s="6" t="str">
        <f>IF('ENTRADAS-BASE'!E615="","",'ENTRADAS-BASE'!E615)</f>
        <v/>
      </c>
      <c r="G617" t="str">
        <f>IF('ENTRADAS-BASE'!F615="","",'ENTRADAS-BASE'!F615)</f>
        <v/>
      </c>
      <c r="H617" t="str">
        <f>IF('ENTRADAS-BASE'!G615="","",'ENTRADAS-BASE'!G615)</f>
        <v/>
      </c>
      <c r="I617" t="str">
        <f>IF('ENTRADAS-BASE'!H615="","",'ENTRADAS-BASE'!H615)</f>
        <v/>
      </c>
      <c r="J617" t="str">
        <f>IF('ENTRADAS-BASE'!I615="","",'ENTRADAS-BASE'!I615)</f>
        <v/>
      </c>
      <c r="K617" s="5" t="str">
        <f>IF('ENTRADAS-BASE'!J615="","",'ENTRADAS-BASE'!J615)</f>
        <v/>
      </c>
      <c r="L6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8" spans="2:12" x14ac:dyDescent="0.3">
      <c r="B618" t="str">
        <f>IF('ENTRADAS-BASE'!A616="","",'ENTRADAS-BASE'!A616)</f>
        <v/>
      </c>
      <c r="C618" t="str">
        <f>IF('ENTRADAS-BASE'!B616="","",'ENTRADAS-BASE'!B616)</f>
        <v/>
      </c>
      <c r="D618" t="str">
        <f>IF('ENTRADAS-BASE'!C616="","",'ENTRADAS-BASE'!C616)</f>
        <v/>
      </c>
      <c r="E618" s="7" t="str">
        <f>IF('ENTRADAS-BASE'!D616="","",'ENTRADAS-BASE'!D616)</f>
        <v/>
      </c>
      <c r="F618" s="6" t="str">
        <f>IF('ENTRADAS-BASE'!E616="","",'ENTRADAS-BASE'!E616)</f>
        <v/>
      </c>
      <c r="G618" t="str">
        <f>IF('ENTRADAS-BASE'!F616="","",'ENTRADAS-BASE'!F616)</f>
        <v/>
      </c>
      <c r="H618" t="str">
        <f>IF('ENTRADAS-BASE'!G616="","",'ENTRADAS-BASE'!G616)</f>
        <v/>
      </c>
      <c r="I618" t="str">
        <f>IF('ENTRADAS-BASE'!H616="","",'ENTRADAS-BASE'!H616)</f>
        <v/>
      </c>
      <c r="J618" t="str">
        <f>IF('ENTRADAS-BASE'!I616="","",'ENTRADAS-BASE'!I616)</f>
        <v/>
      </c>
      <c r="K618" s="5" t="str">
        <f>IF('ENTRADAS-BASE'!J616="","",'ENTRADAS-BASE'!J616)</f>
        <v/>
      </c>
      <c r="L6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9" spans="2:12" x14ac:dyDescent="0.3">
      <c r="B619" t="str">
        <f>IF('ENTRADAS-BASE'!A617="","",'ENTRADAS-BASE'!A617)</f>
        <v/>
      </c>
      <c r="C619" t="str">
        <f>IF('ENTRADAS-BASE'!B617="","",'ENTRADAS-BASE'!B617)</f>
        <v/>
      </c>
      <c r="D619" t="str">
        <f>IF('ENTRADAS-BASE'!C617="","",'ENTRADAS-BASE'!C617)</f>
        <v/>
      </c>
      <c r="E619" s="7" t="str">
        <f>IF('ENTRADAS-BASE'!D617="","",'ENTRADAS-BASE'!D617)</f>
        <v/>
      </c>
      <c r="F619" s="6" t="str">
        <f>IF('ENTRADAS-BASE'!E617="","",'ENTRADAS-BASE'!E617)</f>
        <v/>
      </c>
      <c r="G619" t="str">
        <f>IF('ENTRADAS-BASE'!F617="","",'ENTRADAS-BASE'!F617)</f>
        <v/>
      </c>
      <c r="H619" t="str">
        <f>IF('ENTRADAS-BASE'!G617="","",'ENTRADAS-BASE'!G617)</f>
        <v/>
      </c>
      <c r="I619" t="str">
        <f>IF('ENTRADAS-BASE'!H617="","",'ENTRADAS-BASE'!H617)</f>
        <v/>
      </c>
      <c r="J619" t="str">
        <f>IF('ENTRADAS-BASE'!I617="","",'ENTRADAS-BASE'!I617)</f>
        <v/>
      </c>
      <c r="K619" s="5" t="str">
        <f>IF('ENTRADAS-BASE'!J617="","",'ENTRADAS-BASE'!J617)</f>
        <v/>
      </c>
      <c r="L6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0" spans="2:12" x14ac:dyDescent="0.3">
      <c r="B620" t="str">
        <f>IF('ENTRADAS-BASE'!A618="","",'ENTRADAS-BASE'!A618)</f>
        <v/>
      </c>
      <c r="C620" t="str">
        <f>IF('ENTRADAS-BASE'!B618="","",'ENTRADAS-BASE'!B618)</f>
        <v/>
      </c>
      <c r="D620" t="str">
        <f>IF('ENTRADAS-BASE'!C618="","",'ENTRADAS-BASE'!C618)</f>
        <v/>
      </c>
      <c r="E620" s="7" t="str">
        <f>IF('ENTRADAS-BASE'!D618="","",'ENTRADAS-BASE'!D618)</f>
        <v/>
      </c>
      <c r="F620" s="6" t="str">
        <f>IF('ENTRADAS-BASE'!E618="","",'ENTRADAS-BASE'!E618)</f>
        <v/>
      </c>
      <c r="G620" t="str">
        <f>IF('ENTRADAS-BASE'!F618="","",'ENTRADAS-BASE'!F618)</f>
        <v/>
      </c>
      <c r="H620" t="str">
        <f>IF('ENTRADAS-BASE'!G618="","",'ENTRADAS-BASE'!G618)</f>
        <v/>
      </c>
      <c r="I620" t="str">
        <f>IF('ENTRADAS-BASE'!H618="","",'ENTRADAS-BASE'!H618)</f>
        <v/>
      </c>
      <c r="J620" t="str">
        <f>IF('ENTRADAS-BASE'!I618="","",'ENTRADAS-BASE'!I618)</f>
        <v/>
      </c>
      <c r="K620" s="5" t="str">
        <f>IF('ENTRADAS-BASE'!J618="","",'ENTRADAS-BASE'!J618)</f>
        <v/>
      </c>
      <c r="L6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1" spans="2:12" x14ac:dyDescent="0.3">
      <c r="B621" t="str">
        <f>IF('ENTRADAS-BASE'!A619="","",'ENTRADAS-BASE'!A619)</f>
        <v/>
      </c>
      <c r="C621" t="str">
        <f>IF('ENTRADAS-BASE'!B619="","",'ENTRADAS-BASE'!B619)</f>
        <v/>
      </c>
      <c r="D621" t="str">
        <f>IF('ENTRADAS-BASE'!C619="","",'ENTRADAS-BASE'!C619)</f>
        <v/>
      </c>
      <c r="E621" s="7" t="str">
        <f>IF('ENTRADAS-BASE'!D619="","",'ENTRADAS-BASE'!D619)</f>
        <v/>
      </c>
      <c r="F621" s="6" t="str">
        <f>IF('ENTRADAS-BASE'!E619="","",'ENTRADAS-BASE'!E619)</f>
        <v/>
      </c>
      <c r="G621" t="str">
        <f>IF('ENTRADAS-BASE'!F619="","",'ENTRADAS-BASE'!F619)</f>
        <v/>
      </c>
      <c r="H621" t="str">
        <f>IF('ENTRADAS-BASE'!G619="","",'ENTRADAS-BASE'!G619)</f>
        <v/>
      </c>
      <c r="I621" t="str">
        <f>IF('ENTRADAS-BASE'!H619="","",'ENTRADAS-BASE'!H619)</f>
        <v/>
      </c>
      <c r="J621" t="str">
        <f>IF('ENTRADAS-BASE'!I619="","",'ENTRADAS-BASE'!I619)</f>
        <v/>
      </c>
      <c r="K621" s="5" t="str">
        <f>IF('ENTRADAS-BASE'!J619="","",'ENTRADAS-BASE'!J619)</f>
        <v/>
      </c>
      <c r="L6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2" spans="2:12" x14ac:dyDescent="0.3">
      <c r="B622" t="str">
        <f>IF('ENTRADAS-BASE'!A620="","",'ENTRADAS-BASE'!A620)</f>
        <v/>
      </c>
      <c r="C622" t="str">
        <f>IF('ENTRADAS-BASE'!B620="","",'ENTRADAS-BASE'!B620)</f>
        <v/>
      </c>
      <c r="D622" t="str">
        <f>IF('ENTRADAS-BASE'!C620="","",'ENTRADAS-BASE'!C620)</f>
        <v/>
      </c>
      <c r="E622" s="7" t="str">
        <f>IF('ENTRADAS-BASE'!D620="","",'ENTRADAS-BASE'!D620)</f>
        <v/>
      </c>
      <c r="F622" s="6" t="str">
        <f>IF('ENTRADAS-BASE'!E620="","",'ENTRADAS-BASE'!E620)</f>
        <v/>
      </c>
      <c r="G622" t="str">
        <f>IF('ENTRADAS-BASE'!F620="","",'ENTRADAS-BASE'!F620)</f>
        <v/>
      </c>
      <c r="H622" t="str">
        <f>IF('ENTRADAS-BASE'!G620="","",'ENTRADAS-BASE'!G620)</f>
        <v/>
      </c>
      <c r="I622" t="str">
        <f>IF('ENTRADAS-BASE'!H620="","",'ENTRADAS-BASE'!H620)</f>
        <v/>
      </c>
      <c r="J622" t="str">
        <f>IF('ENTRADAS-BASE'!I620="","",'ENTRADAS-BASE'!I620)</f>
        <v/>
      </c>
      <c r="K622" s="5" t="str">
        <f>IF('ENTRADAS-BASE'!J620="","",'ENTRADAS-BASE'!J620)</f>
        <v/>
      </c>
      <c r="L6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3" spans="2:12" x14ac:dyDescent="0.3">
      <c r="B623" t="str">
        <f>IF('ENTRADAS-BASE'!A621="","",'ENTRADAS-BASE'!A621)</f>
        <v/>
      </c>
      <c r="C623" t="str">
        <f>IF('ENTRADAS-BASE'!B621="","",'ENTRADAS-BASE'!B621)</f>
        <v/>
      </c>
      <c r="D623" t="str">
        <f>IF('ENTRADAS-BASE'!C621="","",'ENTRADAS-BASE'!C621)</f>
        <v/>
      </c>
      <c r="E623" s="7" t="str">
        <f>IF('ENTRADAS-BASE'!D621="","",'ENTRADAS-BASE'!D621)</f>
        <v/>
      </c>
      <c r="F623" s="6" t="str">
        <f>IF('ENTRADAS-BASE'!E621="","",'ENTRADAS-BASE'!E621)</f>
        <v/>
      </c>
      <c r="G623" t="str">
        <f>IF('ENTRADAS-BASE'!F621="","",'ENTRADAS-BASE'!F621)</f>
        <v/>
      </c>
      <c r="H623" t="str">
        <f>IF('ENTRADAS-BASE'!G621="","",'ENTRADAS-BASE'!G621)</f>
        <v/>
      </c>
      <c r="I623" t="str">
        <f>IF('ENTRADAS-BASE'!H621="","",'ENTRADAS-BASE'!H621)</f>
        <v/>
      </c>
      <c r="J623" t="str">
        <f>IF('ENTRADAS-BASE'!I621="","",'ENTRADAS-BASE'!I621)</f>
        <v/>
      </c>
      <c r="K623" s="5" t="str">
        <f>IF('ENTRADAS-BASE'!J621="","",'ENTRADAS-BASE'!J621)</f>
        <v/>
      </c>
      <c r="L6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4" spans="2:12" x14ac:dyDescent="0.3">
      <c r="B624" t="str">
        <f>IF('ENTRADAS-BASE'!A622="","",'ENTRADAS-BASE'!A622)</f>
        <v/>
      </c>
      <c r="C624" t="str">
        <f>IF('ENTRADAS-BASE'!B622="","",'ENTRADAS-BASE'!B622)</f>
        <v/>
      </c>
      <c r="D624" t="str">
        <f>IF('ENTRADAS-BASE'!C622="","",'ENTRADAS-BASE'!C622)</f>
        <v/>
      </c>
      <c r="E624" s="7" t="str">
        <f>IF('ENTRADAS-BASE'!D622="","",'ENTRADAS-BASE'!D622)</f>
        <v/>
      </c>
      <c r="F624" s="6" t="str">
        <f>IF('ENTRADAS-BASE'!E622="","",'ENTRADAS-BASE'!E622)</f>
        <v/>
      </c>
      <c r="G624" t="str">
        <f>IF('ENTRADAS-BASE'!F622="","",'ENTRADAS-BASE'!F622)</f>
        <v/>
      </c>
      <c r="H624" t="str">
        <f>IF('ENTRADAS-BASE'!G622="","",'ENTRADAS-BASE'!G622)</f>
        <v/>
      </c>
      <c r="I624" t="str">
        <f>IF('ENTRADAS-BASE'!H622="","",'ENTRADAS-BASE'!H622)</f>
        <v/>
      </c>
      <c r="J624" t="str">
        <f>IF('ENTRADAS-BASE'!I622="","",'ENTRADAS-BASE'!I622)</f>
        <v/>
      </c>
      <c r="K624" s="5" t="str">
        <f>IF('ENTRADAS-BASE'!J622="","",'ENTRADAS-BASE'!J622)</f>
        <v/>
      </c>
      <c r="L6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5" spans="2:12" x14ac:dyDescent="0.3">
      <c r="B625" t="str">
        <f>IF('ENTRADAS-BASE'!A623="","",'ENTRADAS-BASE'!A623)</f>
        <v/>
      </c>
      <c r="C625" t="str">
        <f>IF('ENTRADAS-BASE'!B623="","",'ENTRADAS-BASE'!B623)</f>
        <v/>
      </c>
      <c r="D625" t="str">
        <f>IF('ENTRADAS-BASE'!C623="","",'ENTRADAS-BASE'!C623)</f>
        <v/>
      </c>
      <c r="E625" s="7" t="str">
        <f>IF('ENTRADAS-BASE'!D623="","",'ENTRADAS-BASE'!D623)</f>
        <v/>
      </c>
      <c r="F625" s="6" t="str">
        <f>IF('ENTRADAS-BASE'!E623="","",'ENTRADAS-BASE'!E623)</f>
        <v/>
      </c>
      <c r="G625" t="str">
        <f>IF('ENTRADAS-BASE'!F623="","",'ENTRADAS-BASE'!F623)</f>
        <v/>
      </c>
      <c r="H625" t="str">
        <f>IF('ENTRADAS-BASE'!G623="","",'ENTRADAS-BASE'!G623)</f>
        <v/>
      </c>
      <c r="I625" t="str">
        <f>IF('ENTRADAS-BASE'!H623="","",'ENTRADAS-BASE'!H623)</f>
        <v/>
      </c>
      <c r="J625" t="str">
        <f>IF('ENTRADAS-BASE'!I623="","",'ENTRADAS-BASE'!I623)</f>
        <v/>
      </c>
      <c r="K625" s="5" t="str">
        <f>IF('ENTRADAS-BASE'!J623="","",'ENTRADAS-BASE'!J623)</f>
        <v/>
      </c>
      <c r="L6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6" spans="2:12" x14ac:dyDescent="0.3">
      <c r="B626" t="str">
        <f>IF('ENTRADAS-BASE'!A624="","",'ENTRADAS-BASE'!A624)</f>
        <v/>
      </c>
      <c r="C626" t="str">
        <f>IF('ENTRADAS-BASE'!B624="","",'ENTRADAS-BASE'!B624)</f>
        <v/>
      </c>
      <c r="D626" t="str">
        <f>IF('ENTRADAS-BASE'!C624="","",'ENTRADAS-BASE'!C624)</f>
        <v/>
      </c>
      <c r="E626" s="7" t="str">
        <f>IF('ENTRADAS-BASE'!D624="","",'ENTRADAS-BASE'!D624)</f>
        <v/>
      </c>
      <c r="F626" s="6" t="str">
        <f>IF('ENTRADAS-BASE'!E624="","",'ENTRADAS-BASE'!E624)</f>
        <v/>
      </c>
      <c r="G626" t="str">
        <f>IF('ENTRADAS-BASE'!F624="","",'ENTRADAS-BASE'!F624)</f>
        <v/>
      </c>
      <c r="H626" t="str">
        <f>IF('ENTRADAS-BASE'!G624="","",'ENTRADAS-BASE'!G624)</f>
        <v/>
      </c>
      <c r="I626" t="str">
        <f>IF('ENTRADAS-BASE'!H624="","",'ENTRADAS-BASE'!H624)</f>
        <v/>
      </c>
      <c r="J626" t="str">
        <f>IF('ENTRADAS-BASE'!I624="","",'ENTRADAS-BASE'!I624)</f>
        <v/>
      </c>
      <c r="K626" s="5" t="str">
        <f>IF('ENTRADAS-BASE'!J624="","",'ENTRADAS-BASE'!J624)</f>
        <v/>
      </c>
      <c r="L6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7" spans="2:12" x14ac:dyDescent="0.3">
      <c r="B627" t="str">
        <f>IF('ENTRADAS-BASE'!A625="","",'ENTRADAS-BASE'!A625)</f>
        <v/>
      </c>
      <c r="C627" t="str">
        <f>IF('ENTRADAS-BASE'!B625="","",'ENTRADAS-BASE'!B625)</f>
        <v/>
      </c>
      <c r="D627" t="str">
        <f>IF('ENTRADAS-BASE'!C625="","",'ENTRADAS-BASE'!C625)</f>
        <v/>
      </c>
      <c r="E627" s="7" t="str">
        <f>IF('ENTRADAS-BASE'!D625="","",'ENTRADAS-BASE'!D625)</f>
        <v/>
      </c>
      <c r="F627" s="6" t="str">
        <f>IF('ENTRADAS-BASE'!E625="","",'ENTRADAS-BASE'!E625)</f>
        <v/>
      </c>
      <c r="G627" t="str">
        <f>IF('ENTRADAS-BASE'!F625="","",'ENTRADAS-BASE'!F625)</f>
        <v/>
      </c>
      <c r="H627" t="str">
        <f>IF('ENTRADAS-BASE'!G625="","",'ENTRADAS-BASE'!G625)</f>
        <v/>
      </c>
      <c r="I627" t="str">
        <f>IF('ENTRADAS-BASE'!H625="","",'ENTRADAS-BASE'!H625)</f>
        <v/>
      </c>
      <c r="J627" t="str">
        <f>IF('ENTRADAS-BASE'!I625="","",'ENTRADAS-BASE'!I625)</f>
        <v/>
      </c>
      <c r="K627" s="5" t="str">
        <f>IF('ENTRADAS-BASE'!J625="","",'ENTRADAS-BASE'!J625)</f>
        <v/>
      </c>
      <c r="L6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8" spans="2:12" x14ac:dyDescent="0.3">
      <c r="B628" t="str">
        <f>IF('ENTRADAS-BASE'!A626="","",'ENTRADAS-BASE'!A626)</f>
        <v/>
      </c>
      <c r="C628" t="str">
        <f>IF('ENTRADAS-BASE'!B626="","",'ENTRADAS-BASE'!B626)</f>
        <v/>
      </c>
      <c r="D628" t="str">
        <f>IF('ENTRADAS-BASE'!C626="","",'ENTRADAS-BASE'!C626)</f>
        <v/>
      </c>
      <c r="E628" s="7" t="str">
        <f>IF('ENTRADAS-BASE'!D626="","",'ENTRADAS-BASE'!D626)</f>
        <v/>
      </c>
      <c r="F628" s="6" t="str">
        <f>IF('ENTRADAS-BASE'!E626="","",'ENTRADAS-BASE'!E626)</f>
        <v/>
      </c>
      <c r="G628" t="str">
        <f>IF('ENTRADAS-BASE'!F626="","",'ENTRADAS-BASE'!F626)</f>
        <v/>
      </c>
      <c r="H628" t="str">
        <f>IF('ENTRADAS-BASE'!G626="","",'ENTRADAS-BASE'!G626)</f>
        <v/>
      </c>
      <c r="I628" t="str">
        <f>IF('ENTRADAS-BASE'!H626="","",'ENTRADAS-BASE'!H626)</f>
        <v/>
      </c>
      <c r="J628" t="str">
        <f>IF('ENTRADAS-BASE'!I626="","",'ENTRADAS-BASE'!I626)</f>
        <v/>
      </c>
      <c r="K628" s="5" t="str">
        <f>IF('ENTRADAS-BASE'!J626="","",'ENTRADAS-BASE'!J626)</f>
        <v/>
      </c>
      <c r="L6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9" spans="2:12" x14ac:dyDescent="0.3">
      <c r="B629" t="str">
        <f>IF('ENTRADAS-BASE'!A627="","",'ENTRADAS-BASE'!A627)</f>
        <v/>
      </c>
      <c r="C629" t="str">
        <f>IF('ENTRADAS-BASE'!B627="","",'ENTRADAS-BASE'!B627)</f>
        <v/>
      </c>
      <c r="D629" t="str">
        <f>IF('ENTRADAS-BASE'!C627="","",'ENTRADAS-BASE'!C627)</f>
        <v/>
      </c>
      <c r="E629" s="7" t="str">
        <f>IF('ENTRADAS-BASE'!D627="","",'ENTRADAS-BASE'!D627)</f>
        <v/>
      </c>
      <c r="F629" s="6" t="str">
        <f>IF('ENTRADAS-BASE'!E627="","",'ENTRADAS-BASE'!E627)</f>
        <v/>
      </c>
      <c r="G629" t="str">
        <f>IF('ENTRADAS-BASE'!F627="","",'ENTRADAS-BASE'!F627)</f>
        <v/>
      </c>
      <c r="H629" t="str">
        <f>IF('ENTRADAS-BASE'!G627="","",'ENTRADAS-BASE'!G627)</f>
        <v/>
      </c>
      <c r="I629" t="str">
        <f>IF('ENTRADAS-BASE'!H627="","",'ENTRADAS-BASE'!H627)</f>
        <v/>
      </c>
      <c r="J629" t="str">
        <f>IF('ENTRADAS-BASE'!I627="","",'ENTRADAS-BASE'!I627)</f>
        <v/>
      </c>
      <c r="K629" s="5" t="str">
        <f>IF('ENTRADAS-BASE'!J627="","",'ENTRADAS-BASE'!J627)</f>
        <v/>
      </c>
      <c r="L6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0" spans="2:12" x14ac:dyDescent="0.3">
      <c r="B630" t="str">
        <f>IF('ENTRADAS-BASE'!A628="","",'ENTRADAS-BASE'!A628)</f>
        <v/>
      </c>
      <c r="C630" t="str">
        <f>IF('ENTRADAS-BASE'!B628="","",'ENTRADAS-BASE'!B628)</f>
        <v/>
      </c>
      <c r="D630" t="str">
        <f>IF('ENTRADAS-BASE'!C628="","",'ENTRADAS-BASE'!C628)</f>
        <v/>
      </c>
      <c r="E630" s="7" t="str">
        <f>IF('ENTRADAS-BASE'!D628="","",'ENTRADAS-BASE'!D628)</f>
        <v/>
      </c>
      <c r="F630" s="6" t="str">
        <f>IF('ENTRADAS-BASE'!E628="","",'ENTRADAS-BASE'!E628)</f>
        <v/>
      </c>
      <c r="G630" t="str">
        <f>IF('ENTRADAS-BASE'!F628="","",'ENTRADAS-BASE'!F628)</f>
        <v/>
      </c>
      <c r="H630" t="str">
        <f>IF('ENTRADAS-BASE'!G628="","",'ENTRADAS-BASE'!G628)</f>
        <v/>
      </c>
      <c r="I630" t="str">
        <f>IF('ENTRADAS-BASE'!H628="","",'ENTRADAS-BASE'!H628)</f>
        <v/>
      </c>
      <c r="J630" t="str">
        <f>IF('ENTRADAS-BASE'!I628="","",'ENTRADAS-BASE'!I628)</f>
        <v/>
      </c>
      <c r="K630" s="5" t="str">
        <f>IF('ENTRADAS-BASE'!J628="","",'ENTRADAS-BASE'!J628)</f>
        <v/>
      </c>
      <c r="L6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1" spans="2:12" x14ac:dyDescent="0.3">
      <c r="B631" t="str">
        <f>IF('ENTRADAS-BASE'!A629="","",'ENTRADAS-BASE'!A629)</f>
        <v/>
      </c>
      <c r="C631" t="str">
        <f>IF('ENTRADAS-BASE'!B629="","",'ENTRADAS-BASE'!B629)</f>
        <v/>
      </c>
      <c r="D631" t="str">
        <f>IF('ENTRADAS-BASE'!C629="","",'ENTRADAS-BASE'!C629)</f>
        <v/>
      </c>
      <c r="E631" s="7" t="str">
        <f>IF('ENTRADAS-BASE'!D629="","",'ENTRADAS-BASE'!D629)</f>
        <v/>
      </c>
      <c r="F631" s="6" t="str">
        <f>IF('ENTRADAS-BASE'!E629="","",'ENTRADAS-BASE'!E629)</f>
        <v/>
      </c>
      <c r="G631" t="str">
        <f>IF('ENTRADAS-BASE'!F629="","",'ENTRADAS-BASE'!F629)</f>
        <v/>
      </c>
      <c r="H631" t="str">
        <f>IF('ENTRADAS-BASE'!G629="","",'ENTRADAS-BASE'!G629)</f>
        <v/>
      </c>
      <c r="I631" t="str">
        <f>IF('ENTRADAS-BASE'!H629="","",'ENTRADAS-BASE'!H629)</f>
        <v/>
      </c>
      <c r="J631" t="str">
        <f>IF('ENTRADAS-BASE'!I629="","",'ENTRADAS-BASE'!I629)</f>
        <v/>
      </c>
      <c r="K631" s="5" t="str">
        <f>IF('ENTRADAS-BASE'!J629="","",'ENTRADAS-BASE'!J629)</f>
        <v/>
      </c>
      <c r="L6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2" spans="2:12" x14ac:dyDescent="0.3">
      <c r="B632" t="str">
        <f>IF('ENTRADAS-BASE'!A630="","",'ENTRADAS-BASE'!A630)</f>
        <v/>
      </c>
      <c r="C632" t="str">
        <f>IF('ENTRADAS-BASE'!B630="","",'ENTRADAS-BASE'!B630)</f>
        <v/>
      </c>
      <c r="D632" t="str">
        <f>IF('ENTRADAS-BASE'!C630="","",'ENTRADAS-BASE'!C630)</f>
        <v/>
      </c>
      <c r="E632" s="7" t="str">
        <f>IF('ENTRADAS-BASE'!D630="","",'ENTRADAS-BASE'!D630)</f>
        <v/>
      </c>
      <c r="F632" s="6" t="str">
        <f>IF('ENTRADAS-BASE'!E630="","",'ENTRADAS-BASE'!E630)</f>
        <v/>
      </c>
      <c r="G632" t="str">
        <f>IF('ENTRADAS-BASE'!F630="","",'ENTRADAS-BASE'!F630)</f>
        <v/>
      </c>
      <c r="H632" t="str">
        <f>IF('ENTRADAS-BASE'!G630="","",'ENTRADAS-BASE'!G630)</f>
        <v/>
      </c>
      <c r="I632" t="str">
        <f>IF('ENTRADAS-BASE'!H630="","",'ENTRADAS-BASE'!H630)</f>
        <v/>
      </c>
      <c r="J632" t="str">
        <f>IF('ENTRADAS-BASE'!I630="","",'ENTRADAS-BASE'!I630)</f>
        <v/>
      </c>
      <c r="K632" s="5" t="str">
        <f>IF('ENTRADAS-BASE'!J630="","",'ENTRADAS-BASE'!J630)</f>
        <v/>
      </c>
      <c r="L6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3" spans="2:12" x14ac:dyDescent="0.3">
      <c r="B633" t="str">
        <f>IF('ENTRADAS-BASE'!A631="","",'ENTRADAS-BASE'!A631)</f>
        <v/>
      </c>
      <c r="C633" t="str">
        <f>IF('ENTRADAS-BASE'!B631="","",'ENTRADAS-BASE'!B631)</f>
        <v/>
      </c>
      <c r="D633" t="str">
        <f>IF('ENTRADAS-BASE'!C631="","",'ENTRADAS-BASE'!C631)</f>
        <v/>
      </c>
      <c r="E633" s="7" t="str">
        <f>IF('ENTRADAS-BASE'!D631="","",'ENTRADAS-BASE'!D631)</f>
        <v/>
      </c>
      <c r="F633" s="6" t="str">
        <f>IF('ENTRADAS-BASE'!E631="","",'ENTRADAS-BASE'!E631)</f>
        <v/>
      </c>
      <c r="G633" t="str">
        <f>IF('ENTRADAS-BASE'!F631="","",'ENTRADAS-BASE'!F631)</f>
        <v/>
      </c>
      <c r="H633" t="str">
        <f>IF('ENTRADAS-BASE'!G631="","",'ENTRADAS-BASE'!G631)</f>
        <v/>
      </c>
      <c r="I633" t="str">
        <f>IF('ENTRADAS-BASE'!H631="","",'ENTRADAS-BASE'!H631)</f>
        <v/>
      </c>
      <c r="J633" t="str">
        <f>IF('ENTRADAS-BASE'!I631="","",'ENTRADAS-BASE'!I631)</f>
        <v/>
      </c>
      <c r="K633" s="5" t="str">
        <f>IF('ENTRADAS-BASE'!J631="","",'ENTRADAS-BASE'!J631)</f>
        <v/>
      </c>
      <c r="L6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4" spans="2:12" x14ac:dyDescent="0.3">
      <c r="B634" t="str">
        <f>IF('ENTRADAS-BASE'!A632="","",'ENTRADAS-BASE'!A632)</f>
        <v/>
      </c>
      <c r="C634" t="str">
        <f>IF('ENTRADAS-BASE'!B632="","",'ENTRADAS-BASE'!B632)</f>
        <v/>
      </c>
      <c r="D634" t="str">
        <f>IF('ENTRADAS-BASE'!C632="","",'ENTRADAS-BASE'!C632)</f>
        <v/>
      </c>
      <c r="E634" s="7" t="str">
        <f>IF('ENTRADAS-BASE'!D632="","",'ENTRADAS-BASE'!D632)</f>
        <v/>
      </c>
      <c r="F634" s="6" t="str">
        <f>IF('ENTRADAS-BASE'!E632="","",'ENTRADAS-BASE'!E632)</f>
        <v/>
      </c>
      <c r="G634" t="str">
        <f>IF('ENTRADAS-BASE'!F632="","",'ENTRADAS-BASE'!F632)</f>
        <v/>
      </c>
      <c r="H634" t="str">
        <f>IF('ENTRADAS-BASE'!G632="","",'ENTRADAS-BASE'!G632)</f>
        <v/>
      </c>
      <c r="I634" t="str">
        <f>IF('ENTRADAS-BASE'!H632="","",'ENTRADAS-BASE'!H632)</f>
        <v/>
      </c>
      <c r="J634" t="str">
        <f>IF('ENTRADAS-BASE'!I632="","",'ENTRADAS-BASE'!I632)</f>
        <v/>
      </c>
      <c r="K634" s="5" t="str">
        <f>IF('ENTRADAS-BASE'!J632="","",'ENTRADAS-BASE'!J632)</f>
        <v/>
      </c>
      <c r="L6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5" spans="2:12" x14ac:dyDescent="0.3">
      <c r="B635" t="str">
        <f>IF('ENTRADAS-BASE'!A633="","",'ENTRADAS-BASE'!A633)</f>
        <v/>
      </c>
      <c r="C635" t="str">
        <f>IF('ENTRADAS-BASE'!B633="","",'ENTRADAS-BASE'!B633)</f>
        <v/>
      </c>
      <c r="D635" t="str">
        <f>IF('ENTRADAS-BASE'!C633="","",'ENTRADAS-BASE'!C633)</f>
        <v/>
      </c>
      <c r="E635" s="7" t="str">
        <f>IF('ENTRADAS-BASE'!D633="","",'ENTRADAS-BASE'!D633)</f>
        <v/>
      </c>
      <c r="F635" s="6" t="str">
        <f>IF('ENTRADAS-BASE'!E633="","",'ENTRADAS-BASE'!E633)</f>
        <v/>
      </c>
      <c r="G635" t="str">
        <f>IF('ENTRADAS-BASE'!F633="","",'ENTRADAS-BASE'!F633)</f>
        <v/>
      </c>
      <c r="H635" t="str">
        <f>IF('ENTRADAS-BASE'!G633="","",'ENTRADAS-BASE'!G633)</f>
        <v/>
      </c>
      <c r="I635" t="str">
        <f>IF('ENTRADAS-BASE'!H633="","",'ENTRADAS-BASE'!H633)</f>
        <v/>
      </c>
      <c r="J635" t="str">
        <f>IF('ENTRADAS-BASE'!I633="","",'ENTRADAS-BASE'!I633)</f>
        <v/>
      </c>
      <c r="K635" s="5" t="str">
        <f>IF('ENTRADAS-BASE'!J633="","",'ENTRADAS-BASE'!J633)</f>
        <v/>
      </c>
      <c r="L6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6" spans="2:12" x14ac:dyDescent="0.3">
      <c r="B636" t="str">
        <f>IF('ENTRADAS-BASE'!A634="","",'ENTRADAS-BASE'!A634)</f>
        <v/>
      </c>
      <c r="C636" t="str">
        <f>IF('ENTRADAS-BASE'!B634="","",'ENTRADAS-BASE'!B634)</f>
        <v/>
      </c>
      <c r="D636" t="str">
        <f>IF('ENTRADAS-BASE'!C634="","",'ENTRADAS-BASE'!C634)</f>
        <v/>
      </c>
      <c r="E636" s="7" t="str">
        <f>IF('ENTRADAS-BASE'!D634="","",'ENTRADAS-BASE'!D634)</f>
        <v/>
      </c>
      <c r="F636" s="6" t="str">
        <f>IF('ENTRADAS-BASE'!E634="","",'ENTRADAS-BASE'!E634)</f>
        <v/>
      </c>
      <c r="G636" t="str">
        <f>IF('ENTRADAS-BASE'!F634="","",'ENTRADAS-BASE'!F634)</f>
        <v/>
      </c>
      <c r="H636" t="str">
        <f>IF('ENTRADAS-BASE'!G634="","",'ENTRADAS-BASE'!G634)</f>
        <v/>
      </c>
      <c r="I636" t="str">
        <f>IF('ENTRADAS-BASE'!H634="","",'ENTRADAS-BASE'!H634)</f>
        <v/>
      </c>
      <c r="J636" t="str">
        <f>IF('ENTRADAS-BASE'!I634="","",'ENTRADAS-BASE'!I634)</f>
        <v/>
      </c>
      <c r="K636" s="5" t="str">
        <f>IF('ENTRADAS-BASE'!J634="","",'ENTRADAS-BASE'!J634)</f>
        <v/>
      </c>
      <c r="L6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7" spans="2:12" x14ac:dyDescent="0.3">
      <c r="B637" t="str">
        <f>IF('ENTRADAS-BASE'!A635="","",'ENTRADAS-BASE'!A635)</f>
        <v/>
      </c>
      <c r="C637" t="str">
        <f>IF('ENTRADAS-BASE'!B635="","",'ENTRADAS-BASE'!B635)</f>
        <v/>
      </c>
      <c r="D637" t="str">
        <f>IF('ENTRADAS-BASE'!C635="","",'ENTRADAS-BASE'!C635)</f>
        <v/>
      </c>
      <c r="E637" s="7" t="str">
        <f>IF('ENTRADAS-BASE'!D635="","",'ENTRADAS-BASE'!D635)</f>
        <v/>
      </c>
      <c r="F637" s="6" t="str">
        <f>IF('ENTRADAS-BASE'!E635="","",'ENTRADAS-BASE'!E635)</f>
        <v/>
      </c>
      <c r="G637" t="str">
        <f>IF('ENTRADAS-BASE'!F635="","",'ENTRADAS-BASE'!F635)</f>
        <v/>
      </c>
      <c r="H637" t="str">
        <f>IF('ENTRADAS-BASE'!G635="","",'ENTRADAS-BASE'!G635)</f>
        <v/>
      </c>
      <c r="I637" t="str">
        <f>IF('ENTRADAS-BASE'!H635="","",'ENTRADAS-BASE'!H635)</f>
        <v/>
      </c>
      <c r="J637" t="str">
        <f>IF('ENTRADAS-BASE'!I635="","",'ENTRADAS-BASE'!I635)</f>
        <v/>
      </c>
      <c r="K637" s="5" t="str">
        <f>IF('ENTRADAS-BASE'!J635="","",'ENTRADAS-BASE'!J635)</f>
        <v/>
      </c>
      <c r="L6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8" spans="2:12" x14ac:dyDescent="0.3">
      <c r="B638" t="str">
        <f>IF('ENTRADAS-BASE'!A636="","",'ENTRADAS-BASE'!A636)</f>
        <v/>
      </c>
      <c r="C638" t="str">
        <f>IF('ENTRADAS-BASE'!B636="","",'ENTRADAS-BASE'!B636)</f>
        <v/>
      </c>
      <c r="D638" t="str">
        <f>IF('ENTRADAS-BASE'!C636="","",'ENTRADAS-BASE'!C636)</f>
        <v/>
      </c>
      <c r="E638" s="7" t="str">
        <f>IF('ENTRADAS-BASE'!D636="","",'ENTRADAS-BASE'!D636)</f>
        <v/>
      </c>
      <c r="F638" s="6" t="str">
        <f>IF('ENTRADAS-BASE'!E636="","",'ENTRADAS-BASE'!E636)</f>
        <v/>
      </c>
      <c r="G638" t="str">
        <f>IF('ENTRADAS-BASE'!F636="","",'ENTRADAS-BASE'!F636)</f>
        <v/>
      </c>
      <c r="H638" t="str">
        <f>IF('ENTRADAS-BASE'!G636="","",'ENTRADAS-BASE'!G636)</f>
        <v/>
      </c>
      <c r="I638" t="str">
        <f>IF('ENTRADAS-BASE'!H636="","",'ENTRADAS-BASE'!H636)</f>
        <v/>
      </c>
      <c r="J638" t="str">
        <f>IF('ENTRADAS-BASE'!I636="","",'ENTRADAS-BASE'!I636)</f>
        <v/>
      </c>
      <c r="K638" s="5" t="str">
        <f>IF('ENTRADAS-BASE'!J636="","",'ENTRADAS-BASE'!J636)</f>
        <v/>
      </c>
      <c r="L6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9" spans="2:12" x14ac:dyDescent="0.3">
      <c r="B639" t="str">
        <f>IF('ENTRADAS-BASE'!A637="","",'ENTRADAS-BASE'!A637)</f>
        <v/>
      </c>
      <c r="C639" t="str">
        <f>IF('ENTRADAS-BASE'!B637="","",'ENTRADAS-BASE'!B637)</f>
        <v/>
      </c>
      <c r="D639" t="str">
        <f>IF('ENTRADAS-BASE'!C637="","",'ENTRADAS-BASE'!C637)</f>
        <v/>
      </c>
      <c r="E639" s="7" t="str">
        <f>IF('ENTRADAS-BASE'!D637="","",'ENTRADAS-BASE'!D637)</f>
        <v/>
      </c>
      <c r="F639" s="6" t="str">
        <f>IF('ENTRADAS-BASE'!E637="","",'ENTRADAS-BASE'!E637)</f>
        <v/>
      </c>
      <c r="G639" t="str">
        <f>IF('ENTRADAS-BASE'!F637="","",'ENTRADAS-BASE'!F637)</f>
        <v/>
      </c>
      <c r="H639" t="str">
        <f>IF('ENTRADAS-BASE'!G637="","",'ENTRADAS-BASE'!G637)</f>
        <v/>
      </c>
      <c r="I639" t="str">
        <f>IF('ENTRADAS-BASE'!H637="","",'ENTRADAS-BASE'!H637)</f>
        <v/>
      </c>
      <c r="J639" t="str">
        <f>IF('ENTRADAS-BASE'!I637="","",'ENTRADAS-BASE'!I637)</f>
        <v/>
      </c>
      <c r="K639" s="5" t="str">
        <f>IF('ENTRADAS-BASE'!J637="","",'ENTRADAS-BASE'!J637)</f>
        <v/>
      </c>
      <c r="L6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0" spans="2:12" x14ac:dyDescent="0.3">
      <c r="B640" t="str">
        <f>IF('ENTRADAS-BASE'!A638="","",'ENTRADAS-BASE'!A638)</f>
        <v/>
      </c>
      <c r="C640" t="str">
        <f>IF('ENTRADAS-BASE'!B638="","",'ENTRADAS-BASE'!B638)</f>
        <v/>
      </c>
      <c r="D640" t="str">
        <f>IF('ENTRADAS-BASE'!C638="","",'ENTRADAS-BASE'!C638)</f>
        <v/>
      </c>
      <c r="E640" s="7" t="str">
        <f>IF('ENTRADAS-BASE'!D638="","",'ENTRADAS-BASE'!D638)</f>
        <v/>
      </c>
      <c r="F640" s="6" t="str">
        <f>IF('ENTRADAS-BASE'!E638="","",'ENTRADAS-BASE'!E638)</f>
        <v/>
      </c>
      <c r="G640" t="str">
        <f>IF('ENTRADAS-BASE'!F638="","",'ENTRADAS-BASE'!F638)</f>
        <v/>
      </c>
      <c r="H640" t="str">
        <f>IF('ENTRADAS-BASE'!G638="","",'ENTRADAS-BASE'!G638)</f>
        <v/>
      </c>
      <c r="I640" t="str">
        <f>IF('ENTRADAS-BASE'!H638="","",'ENTRADAS-BASE'!H638)</f>
        <v/>
      </c>
      <c r="J640" t="str">
        <f>IF('ENTRADAS-BASE'!I638="","",'ENTRADAS-BASE'!I638)</f>
        <v/>
      </c>
      <c r="K640" s="5" t="str">
        <f>IF('ENTRADAS-BASE'!J638="","",'ENTRADAS-BASE'!J638)</f>
        <v/>
      </c>
      <c r="L6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1" spans="2:12" x14ac:dyDescent="0.3">
      <c r="B641" t="str">
        <f>IF('ENTRADAS-BASE'!A639="","",'ENTRADAS-BASE'!A639)</f>
        <v/>
      </c>
      <c r="C641" t="str">
        <f>IF('ENTRADAS-BASE'!B639="","",'ENTRADAS-BASE'!B639)</f>
        <v/>
      </c>
      <c r="D641" t="str">
        <f>IF('ENTRADAS-BASE'!C639="","",'ENTRADAS-BASE'!C639)</f>
        <v/>
      </c>
      <c r="E641" s="7" t="str">
        <f>IF('ENTRADAS-BASE'!D639="","",'ENTRADAS-BASE'!D639)</f>
        <v/>
      </c>
      <c r="F641" s="6" t="str">
        <f>IF('ENTRADAS-BASE'!E639="","",'ENTRADAS-BASE'!E639)</f>
        <v/>
      </c>
      <c r="G641" t="str">
        <f>IF('ENTRADAS-BASE'!F639="","",'ENTRADAS-BASE'!F639)</f>
        <v/>
      </c>
      <c r="H641" t="str">
        <f>IF('ENTRADAS-BASE'!G639="","",'ENTRADAS-BASE'!G639)</f>
        <v/>
      </c>
      <c r="I641" t="str">
        <f>IF('ENTRADAS-BASE'!H639="","",'ENTRADAS-BASE'!H639)</f>
        <v/>
      </c>
      <c r="J641" t="str">
        <f>IF('ENTRADAS-BASE'!I639="","",'ENTRADAS-BASE'!I639)</f>
        <v/>
      </c>
      <c r="K641" s="5" t="str">
        <f>IF('ENTRADAS-BASE'!J639="","",'ENTRADAS-BASE'!J639)</f>
        <v/>
      </c>
      <c r="L6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2" spans="2:12" x14ac:dyDescent="0.3">
      <c r="B642" t="str">
        <f>IF('ENTRADAS-BASE'!A640="","",'ENTRADAS-BASE'!A640)</f>
        <v/>
      </c>
      <c r="C642" t="str">
        <f>IF('ENTRADAS-BASE'!B640="","",'ENTRADAS-BASE'!B640)</f>
        <v/>
      </c>
      <c r="D642" t="str">
        <f>IF('ENTRADAS-BASE'!C640="","",'ENTRADAS-BASE'!C640)</f>
        <v/>
      </c>
      <c r="E642" s="7" t="str">
        <f>IF('ENTRADAS-BASE'!D640="","",'ENTRADAS-BASE'!D640)</f>
        <v/>
      </c>
      <c r="F642" s="6" t="str">
        <f>IF('ENTRADAS-BASE'!E640="","",'ENTRADAS-BASE'!E640)</f>
        <v/>
      </c>
      <c r="G642" t="str">
        <f>IF('ENTRADAS-BASE'!F640="","",'ENTRADAS-BASE'!F640)</f>
        <v/>
      </c>
      <c r="H642" t="str">
        <f>IF('ENTRADAS-BASE'!G640="","",'ENTRADAS-BASE'!G640)</f>
        <v/>
      </c>
      <c r="I642" t="str">
        <f>IF('ENTRADAS-BASE'!H640="","",'ENTRADAS-BASE'!H640)</f>
        <v/>
      </c>
      <c r="J642" t="str">
        <f>IF('ENTRADAS-BASE'!I640="","",'ENTRADAS-BASE'!I640)</f>
        <v/>
      </c>
      <c r="K642" s="5" t="str">
        <f>IF('ENTRADAS-BASE'!J640="","",'ENTRADAS-BASE'!J640)</f>
        <v/>
      </c>
      <c r="L6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3" spans="2:12" x14ac:dyDescent="0.3">
      <c r="B643" t="str">
        <f>IF('ENTRADAS-BASE'!A641="","",'ENTRADAS-BASE'!A641)</f>
        <v/>
      </c>
      <c r="C643" t="str">
        <f>IF('ENTRADAS-BASE'!B641="","",'ENTRADAS-BASE'!B641)</f>
        <v/>
      </c>
      <c r="D643" t="str">
        <f>IF('ENTRADAS-BASE'!C641="","",'ENTRADAS-BASE'!C641)</f>
        <v/>
      </c>
      <c r="E643" s="7" t="str">
        <f>IF('ENTRADAS-BASE'!D641="","",'ENTRADAS-BASE'!D641)</f>
        <v/>
      </c>
      <c r="F643" s="6" t="str">
        <f>IF('ENTRADAS-BASE'!E641="","",'ENTRADAS-BASE'!E641)</f>
        <v/>
      </c>
      <c r="G643" t="str">
        <f>IF('ENTRADAS-BASE'!F641="","",'ENTRADAS-BASE'!F641)</f>
        <v/>
      </c>
      <c r="H643" t="str">
        <f>IF('ENTRADAS-BASE'!G641="","",'ENTRADAS-BASE'!G641)</f>
        <v/>
      </c>
      <c r="I643" t="str">
        <f>IF('ENTRADAS-BASE'!H641="","",'ENTRADAS-BASE'!H641)</f>
        <v/>
      </c>
      <c r="J643" t="str">
        <f>IF('ENTRADAS-BASE'!I641="","",'ENTRADAS-BASE'!I641)</f>
        <v/>
      </c>
      <c r="K643" s="5" t="str">
        <f>IF('ENTRADAS-BASE'!J641="","",'ENTRADAS-BASE'!J641)</f>
        <v/>
      </c>
      <c r="L6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4" spans="2:12" x14ac:dyDescent="0.3">
      <c r="B644" t="str">
        <f>IF('ENTRADAS-BASE'!A642="","",'ENTRADAS-BASE'!A642)</f>
        <v/>
      </c>
      <c r="C644" t="str">
        <f>IF('ENTRADAS-BASE'!B642="","",'ENTRADAS-BASE'!B642)</f>
        <v/>
      </c>
      <c r="D644" t="str">
        <f>IF('ENTRADAS-BASE'!C642="","",'ENTRADAS-BASE'!C642)</f>
        <v/>
      </c>
      <c r="E644" s="7" t="str">
        <f>IF('ENTRADAS-BASE'!D642="","",'ENTRADAS-BASE'!D642)</f>
        <v/>
      </c>
      <c r="F644" s="6" t="str">
        <f>IF('ENTRADAS-BASE'!E642="","",'ENTRADAS-BASE'!E642)</f>
        <v/>
      </c>
      <c r="G644" t="str">
        <f>IF('ENTRADAS-BASE'!F642="","",'ENTRADAS-BASE'!F642)</f>
        <v/>
      </c>
      <c r="H644" t="str">
        <f>IF('ENTRADAS-BASE'!G642="","",'ENTRADAS-BASE'!G642)</f>
        <v/>
      </c>
      <c r="I644" t="str">
        <f>IF('ENTRADAS-BASE'!H642="","",'ENTRADAS-BASE'!H642)</f>
        <v/>
      </c>
      <c r="J644" t="str">
        <f>IF('ENTRADAS-BASE'!I642="","",'ENTRADAS-BASE'!I642)</f>
        <v/>
      </c>
      <c r="K644" s="5" t="str">
        <f>IF('ENTRADAS-BASE'!J642="","",'ENTRADAS-BASE'!J642)</f>
        <v/>
      </c>
      <c r="L6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5" spans="2:12" x14ac:dyDescent="0.3">
      <c r="B645" t="str">
        <f>IF('ENTRADAS-BASE'!A643="","",'ENTRADAS-BASE'!A643)</f>
        <v/>
      </c>
      <c r="C645" t="str">
        <f>IF('ENTRADAS-BASE'!B643="","",'ENTRADAS-BASE'!B643)</f>
        <v/>
      </c>
      <c r="D645" t="str">
        <f>IF('ENTRADAS-BASE'!C643="","",'ENTRADAS-BASE'!C643)</f>
        <v/>
      </c>
      <c r="E645" s="7" t="str">
        <f>IF('ENTRADAS-BASE'!D643="","",'ENTRADAS-BASE'!D643)</f>
        <v/>
      </c>
      <c r="F645" s="6" t="str">
        <f>IF('ENTRADAS-BASE'!E643="","",'ENTRADAS-BASE'!E643)</f>
        <v/>
      </c>
      <c r="G645" t="str">
        <f>IF('ENTRADAS-BASE'!F643="","",'ENTRADAS-BASE'!F643)</f>
        <v/>
      </c>
      <c r="H645" t="str">
        <f>IF('ENTRADAS-BASE'!G643="","",'ENTRADAS-BASE'!G643)</f>
        <v/>
      </c>
      <c r="I645" t="str">
        <f>IF('ENTRADAS-BASE'!H643="","",'ENTRADAS-BASE'!H643)</f>
        <v/>
      </c>
      <c r="J645" t="str">
        <f>IF('ENTRADAS-BASE'!I643="","",'ENTRADAS-BASE'!I643)</f>
        <v/>
      </c>
      <c r="K645" s="5" t="str">
        <f>IF('ENTRADAS-BASE'!J643="","",'ENTRADAS-BASE'!J643)</f>
        <v/>
      </c>
      <c r="L6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6" spans="2:12" x14ac:dyDescent="0.3">
      <c r="B646" t="str">
        <f>IF('ENTRADAS-BASE'!A644="","",'ENTRADAS-BASE'!A644)</f>
        <v/>
      </c>
      <c r="C646" t="str">
        <f>IF('ENTRADAS-BASE'!B644="","",'ENTRADAS-BASE'!B644)</f>
        <v/>
      </c>
      <c r="D646" t="str">
        <f>IF('ENTRADAS-BASE'!C644="","",'ENTRADAS-BASE'!C644)</f>
        <v/>
      </c>
      <c r="E646" s="7" t="str">
        <f>IF('ENTRADAS-BASE'!D644="","",'ENTRADAS-BASE'!D644)</f>
        <v/>
      </c>
      <c r="F646" s="6" t="str">
        <f>IF('ENTRADAS-BASE'!E644="","",'ENTRADAS-BASE'!E644)</f>
        <v/>
      </c>
      <c r="G646" t="str">
        <f>IF('ENTRADAS-BASE'!F644="","",'ENTRADAS-BASE'!F644)</f>
        <v/>
      </c>
      <c r="H646" t="str">
        <f>IF('ENTRADAS-BASE'!G644="","",'ENTRADAS-BASE'!G644)</f>
        <v/>
      </c>
      <c r="I646" t="str">
        <f>IF('ENTRADAS-BASE'!H644="","",'ENTRADAS-BASE'!H644)</f>
        <v/>
      </c>
      <c r="J646" t="str">
        <f>IF('ENTRADAS-BASE'!I644="","",'ENTRADAS-BASE'!I644)</f>
        <v/>
      </c>
      <c r="K646" s="5" t="str">
        <f>IF('ENTRADAS-BASE'!J644="","",'ENTRADAS-BASE'!J644)</f>
        <v/>
      </c>
      <c r="L6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7" spans="2:12" x14ac:dyDescent="0.3">
      <c r="B647" t="str">
        <f>IF('ENTRADAS-BASE'!A645="","",'ENTRADAS-BASE'!A645)</f>
        <v/>
      </c>
      <c r="C647" t="str">
        <f>IF('ENTRADAS-BASE'!B645="","",'ENTRADAS-BASE'!B645)</f>
        <v/>
      </c>
      <c r="D647" t="str">
        <f>IF('ENTRADAS-BASE'!C645="","",'ENTRADAS-BASE'!C645)</f>
        <v/>
      </c>
      <c r="E647" s="7" t="str">
        <f>IF('ENTRADAS-BASE'!D645="","",'ENTRADAS-BASE'!D645)</f>
        <v/>
      </c>
      <c r="F647" s="6" t="str">
        <f>IF('ENTRADAS-BASE'!E645="","",'ENTRADAS-BASE'!E645)</f>
        <v/>
      </c>
      <c r="G647" t="str">
        <f>IF('ENTRADAS-BASE'!F645="","",'ENTRADAS-BASE'!F645)</f>
        <v/>
      </c>
      <c r="H647" t="str">
        <f>IF('ENTRADAS-BASE'!G645="","",'ENTRADAS-BASE'!G645)</f>
        <v/>
      </c>
      <c r="I647" t="str">
        <f>IF('ENTRADAS-BASE'!H645="","",'ENTRADAS-BASE'!H645)</f>
        <v/>
      </c>
      <c r="J647" t="str">
        <f>IF('ENTRADAS-BASE'!I645="","",'ENTRADAS-BASE'!I645)</f>
        <v/>
      </c>
      <c r="K647" s="5" t="str">
        <f>IF('ENTRADAS-BASE'!J645="","",'ENTRADAS-BASE'!J645)</f>
        <v/>
      </c>
      <c r="L6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8" spans="2:12" x14ac:dyDescent="0.3">
      <c r="B648" t="str">
        <f>IF('ENTRADAS-BASE'!A646="","",'ENTRADAS-BASE'!A646)</f>
        <v/>
      </c>
      <c r="C648" t="str">
        <f>IF('ENTRADAS-BASE'!B646="","",'ENTRADAS-BASE'!B646)</f>
        <v/>
      </c>
      <c r="D648" t="str">
        <f>IF('ENTRADAS-BASE'!C646="","",'ENTRADAS-BASE'!C646)</f>
        <v/>
      </c>
      <c r="E648" s="7" t="str">
        <f>IF('ENTRADAS-BASE'!D646="","",'ENTRADAS-BASE'!D646)</f>
        <v/>
      </c>
      <c r="F648" s="6" t="str">
        <f>IF('ENTRADAS-BASE'!E646="","",'ENTRADAS-BASE'!E646)</f>
        <v/>
      </c>
      <c r="G648" t="str">
        <f>IF('ENTRADAS-BASE'!F646="","",'ENTRADAS-BASE'!F646)</f>
        <v/>
      </c>
      <c r="H648" t="str">
        <f>IF('ENTRADAS-BASE'!G646="","",'ENTRADAS-BASE'!G646)</f>
        <v/>
      </c>
      <c r="I648" t="str">
        <f>IF('ENTRADAS-BASE'!H646="","",'ENTRADAS-BASE'!H646)</f>
        <v/>
      </c>
      <c r="J648" t="str">
        <f>IF('ENTRADAS-BASE'!I646="","",'ENTRADAS-BASE'!I646)</f>
        <v/>
      </c>
      <c r="K648" s="5" t="str">
        <f>IF('ENTRADAS-BASE'!J646="","",'ENTRADAS-BASE'!J646)</f>
        <v/>
      </c>
      <c r="L6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9" spans="2:12" x14ac:dyDescent="0.3">
      <c r="B649" t="str">
        <f>IF('ENTRADAS-BASE'!A647="","",'ENTRADAS-BASE'!A647)</f>
        <v/>
      </c>
      <c r="C649" t="str">
        <f>IF('ENTRADAS-BASE'!B647="","",'ENTRADAS-BASE'!B647)</f>
        <v/>
      </c>
      <c r="D649" t="str">
        <f>IF('ENTRADAS-BASE'!C647="","",'ENTRADAS-BASE'!C647)</f>
        <v/>
      </c>
      <c r="E649" s="7" t="str">
        <f>IF('ENTRADAS-BASE'!D647="","",'ENTRADAS-BASE'!D647)</f>
        <v/>
      </c>
      <c r="F649" s="6" t="str">
        <f>IF('ENTRADAS-BASE'!E647="","",'ENTRADAS-BASE'!E647)</f>
        <v/>
      </c>
      <c r="G649" t="str">
        <f>IF('ENTRADAS-BASE'!F647="","",'ENTRADAS-BASE'!F647)</f>
        <v/>
      </c>
      <c r="H649" t="str">
        <f>IF('ENTRADAS-BASE'!G647="","",'ENTRADAS-BASE'!G647)</f>
        <v/>
      </c>
      <c r="I649" t="str">
        <f>IF('ENTRADAS-BASE'!H647="","",'ENTRADAS-BASE'!H647)</f>
        <v/>
      </c>
      <c r="J649" t="str">
        <f>IF('ENTRADAS-BASE'!I647="","",'ENTRADAS-BASE'!I647)</f>
        <v/>
      </c>
      <c r="K649" s="5" t="str">
        <f>IF('ENTRADAS-BASE'!J647="","",'ENTRADAS-BASE'!J647)</f>
        <v/>
      </c>
      <c r="L6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0" spans="2:12" x14ac:dyDescent="0.3">
      <c r="B650" t="str">
        <f>IF('ENTRADAS-BASE'!A648="","",'ENTRADAS-BASE'!A648)</f>
        <v/>
      </c>
      <c r="C650" t="str">
        <f>IF('ENTRADAS-BASE'!B648="","",'ENTRADAS-BASE'!B648)</f>
        <v/>
      </c>
      <c r="D650" t="str">
        <f>IF('ENTRADAS-BASE'!C648="","",'ENTRADAS-BASE'!C648)</f>
        <v/>
      </c>
      <c r="E650" s="7" t="str">
        <f>IF('ENTRADAS-BASE'!D648="","",'ENTRADAS-BASE'!D648)</f>
        <v/>
      </c>
      <c r="F650" s="6" t="str">
        <f>IF('ENTRADAS-BASE'!E648="","",'ENTRADAS-BASE'!E648)</f>
        <v/>
      </c>
      <c r="G650" t="str">
        <f>IF('ENTRADAS-BASE'!F648="","",'ENTRADAS-BASE'!F648)</f>
        <v/>
      </c>
      <c r="H650" t="str">
        <f>IF('ENTRADAS-BASE'!G648="","",'ENTRADAS-BASE'!G648)</f>
        <v/>
      </c>
      <c r="I650" t="str">
        <f>IF('ENTRADAS-BASE'!H648="","",'ENTRADAS-BASE'!H648)</f>
        <v/>
      </c>
      <c r="J650" t="str">
        <f>IF('ENTRADAS-BASE'!I648="","",'ENTRADAS-BASE'!I648)</f>
        <v/>
      </c>
      <c r="K650" s="5" t="str">
        <f>IF('ENTRADAS-BASE'!J648="","",'ENTRADAS-BASE'!J648)</f>
        <v/>
      </c>
      <c r="L6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1" spans="2:12" x14ac:dyDescent="0.3">
      <c r="B651" t="str">
        <f>IF('ENTRADAS-BASE'!A649="","",'ENTRADAS-BASE'!A649)</f>
        <v/>
      </c>
      <c r="C651" t="str">
        <f>IF('ENTRADAS-BASE'!B649="","",'ENTRADAS-BASE'!B649)</f>
        <v/>
      </c>
      <c r="D651" t="str">
        <f>IF('ENTRADAS-BASE'!C649="","",'ENTRADAS-BASE'!C649)</f>
        <v/>
      </c>
      <c r="E651" s="7" t="str">
        <f>IF('ENTRADAS-BASE'!D649="","",'ENTRADAS-BASE'!D649)</f>
        <v/>
      </c>
      <c r="F651" s="6" t="str">
        <f>IF('ENTRADAS-BASE'!E649="","",'ENTRADAS-BASE'!E649)</f>
        <v/>
      </c>
      <c r="G651" t="str">
        <f>IF('ENTRADAS-BASE'!F649="","",'ENTRADAS-BASE'!F649)</f>
        <v/>
      </c>
      <c r="H651" t="str">
        <f>IF('ENTRADAS-BASE'!G649="","",'ENTRADAS-BASE'!G649)</f>
        <v/>
      </c>
      <c r="I651" t="str">
        <f>IF('ENTRADAS-BASE'!H649="","",'ENTRADAS-BASE'!H649)</f>
        <v/>
      </c>
      <c r="J651" t="str">
        <f>IF('ENTRADAS-BASE'!I649="","",'ENTRADAS-BASE'!I649)</f>
        <v/>
      </c>
      <c r="K651" s="5" t="str">
        <f>IF('ENTRADAS-BASE'!J649="","",'ENTRADAS-BASE'!J649)</f>
        <v/>
      </c>
      <c r="L6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2" spans="2:12" x14ac:dyDescent="0.3">
      <c r="B652" t="str">
        <f>IF('ENTRADAS-BASE'!A650="","",'ENTRADAS-BASE'!A650)</f>
        <v/>
      </c>
      <c r="C652" t="str">
        <f>IF('ENTRADAS-BASE'!B650="","",'ENTRADAS-BASE'!B650)</f>
        <v/>
      </c>
      <c r="D652" t="str">
        <f>IF('ENTRADAS-BASE'!C650="","",'ENTRADAS-BASE'!C650)</f>
        <v/>
      </c>
      <c r="E652" s="7" t="str">
        <f>IF('ENTRADAS-BASE'!D650="","",'ENTRADAS-BASE'!D650)</f>
        <v/>
      </c>
      <c r="F652" s="6" t="str">
        <f>IF('ENTRADAS-BASE'!E650="","",'ENTRADAS-BASE'!E650)</f>
        <v/>
      </c>
      <c r="G652" t="str">
        <f>IF('ENTRADAS-BASE'!F650="","",'ENTRADAS-BASE'!F650)</f>
        <v/>
      </c>
      <c r="H652" t="str">
        <f>IF('ENTRADAS-BASE'!G650="","",'ENTRADAS-BASE'!G650)</f>
        <v/>
      </c>
      <c r="I652" t="str">
        <f>IF('ENTRADAS-BASE'!H650="","",'ENTRADAS-BASE'!H650)</f>
        <v/>
      </c>
      <c r="J652" t="str">
        <f>IF('ENTRADAS-BASE'!I650="","",'ENTRADAS-BASE'!I650)</f>
        <v/>
      </c>
      <c r="K652" s="5" t="str">
        <f>IF('ENTRADAS-BASE'!J650="","",'ENTRADAS-BASE'!J650)</f>
        <v/>
      </c>
      <c r="L6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3" spans="2:12" x14ac:dyDescent="0.3">
      <c r="B653" t="str">
        <f>IF('ENTRADAS-BASE'!A651="","",'ENTRADAS-BASE'!A651)</f>
        <v/>
      </c>
      <c r="C653" t="str">
        <f>IF('ENTRADAS-BASE'!B651="","",'ENTRADAS-BASE'!B651)</f>
        <v/>
      </c>
      <c r="D653" t="str">
        <f>IF('ENTRADAS-BASE'!C651="","",'ENTRADAS-BASE'!C651)</f>
        <v/>
      </c>
      <c r="E653" s="7" t="str">
        <f>IF('ENTRADAS-BASE'!D651="","",'ENTRADAS-BASE'!D651)</f>
        <v/>
      </c>
      <c r="F653" s="6" t="str">
        <f>IF('ENTRADAS-BASE'!E651="","",'ENTRADAS-BASE'!E651)</f>
        <v/>
      </c>
      <c r="G653" t="str">
        <f>IF('ENTRADAS-BASE'!F651="","",'ENTRADAS-BASE'!F651)</f>
        <v/>
      </c>
      <c r="H653" t="str">
        <f>IF('ENTRADAS-BASE'!G651="","",'ENTRADAS-BASE'!G651)</f>
        <v/>
      </c>
      <c r="I653" t="str">
        <f>IF('ENTRADAS-BASE'!H651="","",'ENTRADAS-BASE'!H651)</f>
        <v/>
      </c>
      <c r="J653" t="str">
        <f>IF('ENTRADAS-BASE'!I651="","",'ENTRADAS-BASE'!I651)</f>
        <v/>
      </c>
      <c r="K653" s="5" t="str">
        <f>IF('ENTRADAS-BASE'!J651="","",'ENTRADAS-BASE'!J651)</f>
        <v/>
      </c>
      <c r="L6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4" spans="2:12" x14ac:dyDescent="0.3">
      <c r="B654" t="str">
        <f>IF('ENTRADAS-BASE'!A652="","",'ENTRADAS-BASE'!A652)</f>
        <v/>
      </c>
      <c r="C654" t="str">
        <f>IF('ENTRADAS-BASE'!B652="","",'ENTRADAS-BASE'!B652)</f>
        <v/>
      </c>
      <c r="D654" t="str">
        <f>IF('ENTRADAS-BASE'!C652="","",'ENTRADAS-BASE'!C652)</f>
        <v/>
      </c>
      <c r="E654" s="7" t="str">
        <f>IF('ENTRADAS-BASE'!D652="","",'ENTRADAS-BASE'!D652)</f>
        <v/>
      </c>
      <c r="F654" s="6" t="str">
        <f>IF('ENTRADAS-BASE'!E652="","",'ENTRADAS-BASE'!E652)</f>
        <v/>
      </c>
      <c r="G654" t="str">
        <f>IF('ENTRADAS-BASE'!F652="","",'ENTRADAS-BASE'!F652)</f>
        <v/>
      </c>
      <c r="H654" t="str">
        <f>IF('ENTRADAS-BASE'!G652="","",'ENTRADAS-BASE'!G652)</f>
        <v/>
      </c>
      <c r="I654" t="str">
        <f>IF('ENTRADAS-BASE'!H652="","",'ENTRADAS-BASE'!H652)</f>
        <v/>
      </c>
      <c r="J654" t="str">
        <f>IF('ENTRADAS-BASE'!I652="","",'ENTRADAS-BASE'!I652)</f>
        <v/>
      </c>
      <c r="K654" s="5" t="str">
        <f>IF('ENTRADAS-BASE'!J652="","",'ENTRADAS-BASE'!J652)</f>
        <v/>
      </c>
      <c r="L6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5" spans="2:12" x14ac:dyDescent="0.3">
      <c r="B655" t="str">
        <f>IF('ENTRADAS-BASE'!A653="","",'ENTRADAS-BASE'!A653)</f>
        <v/>
      </c>
      <c r="C655" t="str">
        <f>IF('ENTRADAS-BASE'!B653="","",'ENTRADAS-BASE'!B653)</f>
        <v/>
      </c>
      <c r="D655" t="str">
        <f>IF('ENTRADAS-BASE'!C653="","",'ENTRADAS-BASE'!C653)</f>
        <v/>
      </c>
      <c r="E655" s="7" t="str">
        <f>IF('ENTRADAS-BASE'!D653="","",'ENTRADAS-BASE'!D653)</f>
        <v/>
      </c>
      <c r="F655" s="6" t="str">
        <f>IF('ENTRADAS-BASE'!E653="","",'ENTRADAS-BASE'!E653)</f>
        <v/>
      </c>
      <c r="G655" t="str">
        <f>IF('ENTRADAS-BASE'!F653="","",'ENTRADAS-BASE'!F653)</f>
        <v/>
      </c>
      <c r="H655" t="str">
        <f>IF('ENTRADAS-BASE'!G653="","",'ENTRADAS-BASE'!G653)</f>
        <v/>
      </c>
      <c r="I655" t="str">
        <f>IF('ENTRADAS-BASE'!H653="","",'ENTRADAS-BASE'!H653)</f>
        <v/>
      </c>
      <c r="J655" t="str">
        <f>IF('ENTRADAS-BASE'!I653="","",'ENTRADAS-BASE'!I653)</f>
        <v/>
      </c>
      <c r="K655" s="5" t="str">
        <f>IF('ENTRADAS-BASE'!J653="","",'ENTRADAS-BASE'!J653)</f>
        <v/>
      </c>
      <c r="L6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6" spans="2:12" x14ac:dyDescent="0.3">
      <c r="B656" t="str">
        <f>IF('ENTRADAS-BASE'!A654="","",'ENTRADAS-BASE'!A654)</f>
        <v/>
      </c>
      <c r="C656" t="str">
        <f>IF('ENTRADAS-BASE'!B654="","",'ENTRADAS-BASE'!B654)</f>
        <v/>
      </c>
      <c r="D656" t="str">
        <f>IF('ENTRADAS-BASE'!C654="","",'ENTRADAS-BASE'!C654)</f>
        <v/>
      </c>
      <c r="E656" s="7" t="str">
        <f>IF('ENTRADAS-BASE'!D654="","",'ENTRADAS-BASE'!D654)</f>
        <v/>
      </c>
      <c r="F656" s="6" t="str">
        <f>IF('ENTRADAS-BASE'!E654="","",'ENTRADAS-BASE'!E654)</f>
        <v/>
      </c>
      <c r="G656" t="str">
        <f>IF('ENTRADAS-BASE'!F654="","",'ENTRADAS-BASE'!F654)</f>
        <v/>
      </c>
      <c r="H656" t="str">
        <f>IF('ENTRADAS-BASE'!G654="","",'ENTRADAS-BASE'!G654)</f>
        <v/>
      </c>
      <c r="I656" t="str">
        <f>IF('ENTRADAS-BASE'!H654="","",'ENTRADAS-BASE'!H654)</f>
        <v/>
      </c>
      <c r="J656" t="str">
        <f>IF('ENTRADAS-BASE'!I654="","",'ENTRADAS-BASE'!I654)</f>
        <v/>
      </c>
      <c r="K656" s="5" t="str">
        <f>IF('ENTRADAS-BASE'!J654="","",'ENTRADAS-BASE'!J654)</f>
        <v/>
      </c>
      <c r="L6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7" spans="2:12" x14ac:dyDescent="0.3">
      <c r="B657" t="str">
        <f>IF('ENTRADAS-BASE'!A655="","",'ENTRADAS-BASE'!A655)</f>
        <v/>
      </c>
      <c r="C657" t="str">
        <f>IF('ENTRADAS-BASE'!B655="","",'ENTRADAS-BASE'!B655)</f>
        <v/>
      </c>
      <c r="D657" t="str">
        <f>IF('ENTRADAS-BASE'!C655="","",'ENTRADAS-BASE'!C655)</f>
        <v/>
      </c>
      <c r="E657" s="7" t="str">
        <f>IF('ENTRADAS-BASE'!D655="","",'ENTRADAS-BASE'!D655)</f>
        <v/>
      </c>
      <c r="F657" s="6" t="str">
        <f>IF('ENTRADAS-BASE'!E655="","",'ENTRADAS-BASE'!E655)</f>
        <v/>
      </c>
      <c r="G657" t="str">
        <f>IF('ENTRADAS-BASE'!F655="","",'ENTRADAS-BASE'!F655)</f>
        <v/>
      </c>
      <c r="H657" t="str">
        <f>IF('ENTRADAS-BASE'!G655="","",'ENTRADAS-BASE'!G655)</f>
        <v/>
      </c>
      <c r="I657" t="str">
        <f>IF('ENTRADAS-BASE'!H655="","",'ENTRADAS-BASE'!H655)</f>
        <v/>
      </c>
      <c r="J657" t="str">
        <f>IF('ENTRADAS-BASE'!I655="","",'ENTRADAS-BASE'!I655)</f>
        <v/>
      </c>
      <c r="K657" s="5" t="str">
        <f>IF('ENTRADAS-BASE'!J655="","",'ENTRADAS-BASE'!J655)</f>
        <v/>
      </c>
      <c r="L6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8" spans="2:12" x14ac:dyDescent="0.3">
      <c r="B658" t="str">
        <f>IF('ENTRADAS-BASE'!A656="","",'ENTRADAS-BASE'!A656)</f>
        <v/>
      </c>
      <c r="C658" t="str">
        <f>IF('ENTRADAS-BASE'!B656="","",'ENTRADAS-BASE'!B656)</f>
        <v/>
      </c>
      <c r="D658" t="str">
        <f>IF('ENTRADAS-BASE'!C656="","",'ENTRADAS-BASE'!C656)</f>
        <v/>
      </c>
      <c r="E658" s="7" t="str">
        <f>IF('ENTRADAS-BASE'!D656="","",'ENTRADAS-BASE'!D656)</f>
        <v/>
      </c>
      <c r="F658" s="6" t="str">
        <f>IF('ENTRADAS-BASE'!E656="","",'ENTRADAS-BASE'!E656)</f>
        <v/>
      </c>
      <c r="G658" t="str">
        <f>IF('ENTRADAS-BASE'!F656="","",'ENTRADAS-BASE'!F656)</f>
        <v/>
      </c>
      <c r="H658" t="str">
        <f>IF('ENTRADAS-BASE'!G656="","",'ENTRADAS-BASE'!G656)</f>
        <v/>
      </c>
      <c r="I658" t="str">
        <f>IF('ENTRADAS-BASE'!H656="","",'ENTRADAS-BASE'!H656)</f>
        <v/>
      </c>
      <c r="J658" t="str">
        <f>IF('ENTRADAS-BASE'!I656="","",'ENTRADAS-BASE'!I656)</f>
        <v/>
      </c>
      <c r="K658" s="5" t="str">
        <f>IF('ENTRADAS-BASE'!J656="","",'ENTRADAS-BASE'!J656)</f>
        <v/>
      </c>
      <c r="L6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9" spans="2:12" x14ac:dyDescent="0.3">
      <c r="B659" t="str">
        <f>IF('ENTRADAS-BASE'!A657="","",'ENTRADAS-BASE'!A657)</f>
        <v/>
      </c>
      <c r="C659" t="str">
        <f>IF('ENTRADAS-BASE'!B657="","",'ENTRADAS-BASE'!B657)</f>
        <v/>
      </c>
      <c r="D659" t="str">
        <f>IF('ENTRADAS-BASE'!C657="","",'ENTRADAS-BASE'!C657)</f>
        <v/>
      </c>
      <c r="E659" s="7" t="str">
        <f>IF('ENTRADAS-BASE'!D657="","",'ENTRADAS-BASE'!D657)</f>
        <v/>
      </c>
      <c r="F659" s="6" t="str">
        <f>IF('ENTRADAS-BASE'!E657="","",'ENTRADAS-BASE'!E657)</f>
        <v/>
      </c>
      <c r="G659" t="str">
        <f>IF('ENTRADAS-BASE'!F657="","",'ENTRADAS-BASE'!F657)</f>
        <v/>
      </c>
      <c r="H659" t="str">
        <f>IF('ENTRADAS-BASE'!G657="","",'ENTRADAS-BASE'!G657)</f>
        <v/>
      </c>
      <c r="I659" t="str">
        <f>IF('ENTRADAS-BASE'!H657="","",'ENTRADAS-BASE'!H657)</f>
        <v/>
      </c>
      <c r="J659" t="str">
        <f>IF('ENTRADAS-BASE'!I657="","",'ENTRADAS-BASE'!I657)</f>
        <v/>
      </c>
      <c r="K659" s="5" t="str">
        <f>IF('ENTRADAS-BASE'!J657="","",'ENTRADAS-BASE'!J657)</f>
        <v/>
      </c>
      <c r="L6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0" spans="2:12" x14ac:dyDescent="0.3">
      <c r="B660" t="str">
        <f>IF('ENTRADAS-BASE'!A658="","",'ENTRADAS-BASE'!A658)</f>
        <v/>
      </c>
      <c r="C660" t="str">
        <f>IF('ENTRADAS-BASE'!B658="","",'ENTRADAS-BASE'!B658)</f>
        <v/>
      </c>
      <c r="D660" t="str">
        <f>IF('ENTRADAS-BASE'!C658="","",'ENTRADAS-BASE'!C658)</f>
        <v/>
      </c>
      <c r="E660" s="7" t="str">
        <f>IF('ENTRADAS-BASE'!D658="","",'ENTRADAS-BASE'!D658)</f>
        <v/>
      </c>
      <c r="F660" s="6" t="str">
        <f>IF('ENTRADAS-BASE'!E658="","",'ENTRADAS-BASE'!E658)</f>
        <v/>
      </c>
      <c r="G660" t="str">
        <f>IF('ENTRADAS-BASE'!F658="","",'ENTRADAS-BASE'!F658)</f>
        <v/>
      </c>
      <c r="H660" t="str">
        <f>IF('ENTRADAS-BASE'!G658="","",'ENTRADAS-BASE'!G658)</f>
        <v/>
      </c>
      <c r="I660" t="str">
        <f>IF('ENTRADAS-BASE'!H658="","",'ENTRADAS-BASE'!H658)</f>
        <v/>
      </c>
      <c r="J660" t="str">
        <f>IF('ENTRADAS-BASE'!I658="","",'ENTRADAS-BASE'!I658)</f>
        <v/>
      </c>
      <c r="K660" s="5" t="str">
        <f>IF('ENTRADAS-BASE'!J658="","",'ENTRADAS-BASE'!J658)</f>
        <v/>
      </c>
      <c r="L6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1" spans="2:12" x14ac:dyDescent="0.3">
      <c r="B661" t="str">
        <f>IF('ENTRADAS-BASE'!A659="","",'ENTRADAS-BASE'!A659)</f>
        <v/>
      </c>
      <c r="C661" t="str">
        <f>IF('ENTRADAS-BASE'!B659="","",'ENTRADAS-BASE'!B659)</f>
        <v/>
      </c>
      <c r="D661" t="str">
        <f>IF('ENTRADAS-BASE'!C659="","",'ENTRADAS-BASE'!C659)</f>
        <v/>
      </c>
      <c r="E661" s="7" t="str">
        <f>IF('ENTRADAS-BASE'!D659="","",'ENTRADAS-BASE'!D659)</f>
        <v/>
      </c>
      <c r="F661" s="6" t="str">
        <f>IF('ENTRADAS-BASE'!E659="","",'ENTRADAS-BASE'!E659)</f>
        <v/>
      </c>
      <c r="G661" t="str">
        <f>IF('ENTRADAS-BASE'!F659="","",'ENTRADAS-BASE'!F659)</f>
        <v/>
      </c>
      <c r="H661" t="str">
        <f>IF('ENTRADAS-BASE'!G659="","",'ENTRADAS-BASE'!G659)</f>
        <v/>
      </c>
      <c r="I661" t="str">
        <f>IF('ENTRADAS-BASE'!H659="","",'ENTRADAS-BASE'!H659)</f>
        <v/>
      </c>
      <c r="J661" t="str">
        <f>IF('ENTRADAS-BASE'!I659="","",'ENTRADAS-BASE'!I659)</f>
        <v/>
      </c>
      <c r="K661" s="5" t="str">
        <f>IF('ENTRADAS-BASE'!J659="","",'ENTRADAS-BASE'!J659)</f>
        <v/>
      </c>
      <c r="L6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2" spans="2:12" x14ac:dyDescent="0.3">
      <c r="B662" t="str">
        <f>IF('ENTRADAS-BASE'!A660="","",'ENTRADAS-BASE'!A660)</f>
        <v/>
      </c>
      <c r="C662" t="str">
        <f>IF('ENTRADAS-BASE'!B660="","",'ENTRADAS-BASE'!B660)</f>
        <v/>
      </c>
      <c r="D662" t="str">
        <f>IF('ENTRADAS-BASE'!C660="","",'ENTRADAS-BASE'!C660)</f>
        <v/>
      </c>
      <c r="E662" s="7" t="str">
        <f>IF('ENTRADAS-BASE'!D660="","",'ENTRADAS-BASE'!D660)</f>
        <v/>
      </c>
      <c r="F662" s="6" t="str">
        <f>IF('ENTRADAS-BASE'!E660="","",'ENTRADAS-BASE'!E660)</f>
        <v/>
      </c>
      <c r="G662" t="str">
        <f>IF('ENTRADAS-BASE'!F660="","",'ENTRADAS-BASE'!F660)</f>
        <v/>
      </c>
      <c r="H662" t="str">
        <f>IF('ENTRADAS-BASE'!G660="","",'ENTRADAS-BASE'!G660)</f>
        <v/>
      </c>
      <c r="I662" t="str">
        <f>IF('ENTRADAS-BASE'!H660="","",'ENTRADAS-BASE'!H660)</f>
        <v/>
      </c>
      <c r="J662" t="str">
        <f>IF('ENTRADAS-BASE'!I660="","",'ENTRADAS-BASE'!I660)</f>
        <v/>
      </c>
      <c r="K662" s="5" t="str">
        <f>IF('ENTRADAS-BASE'!J660="","",'ENTRADAS-BASE'!J660)</f>
        <v/>
      </c>
      <c r="L6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3" spans="2:12" x14ac:dyDescent="0.3">
      <c r="B663" t="str">
        <f>IF('ENTRADAS-BASE'!A661="","",'ENTRADAS-BASE'!A661)</f>
        <v/>
      </c>
      <c r="C663" t="str">
        <f>IF('ENTRADAS-BASE'!B661="","",'ENTRADAS-BASE'!B661)</f>
        <v/>
      </c>
      <c r="D663" t="str">
        <f>IF('ENTRADAS-BASE'!C661="","",'ENTRADAS-BASE'!C661)</f>
        <v/>
      </c>
      <c r="E663" s="7" t="str">
        <f>IF('ENTRADAS-BASE'!D661="","",'ENTRADAS-BASE'!D661)</f>
        <v/>
      </c>
      <c r="F663" s="6" t="str">
        <f>IF('ENTRADAS-BASE'!E661="","",'ENTRADAS-BASE'!E661)</f>
        <v/>
      </c>
      <c r="G663" t="str">
        <f>IF('ENTRADAS-BASE'!F661="","",'ENTRADAS-BASE'!F661)</f>
        <v/>
      </c>
      <c r="H663" t="str">
        <f>IF('ENTRADAS-BASE'!G661="","",'ENTRADAS-BASE'!G661)</f>
        <v/>
      </c>
      <c r="I663" t="str">
        <f>IF('ENTRADAS-BASE'!H661="","",'ENTRADAS-BASE'!H661)</f>
        <v/>
      </c>
      <c r="J663" t="str">
        <f>IF('ENTRADAS-BASE'!I661="","",'ENTRADAS-BASE'!I661)</f>
        <v/>
      </c>
      <c r="K663" s="5" t="str">
        <f>IF('ENTRADAS-BASE'!J661="","",'ENTRADAS-BASE'!J661)</f>
        <v/>
      </c>
      <c r="L6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4" spans="2:12" x14ac:dyDescent="0.3">
      <c r="B664" t="str">
        <f>IF('ENTRADAS-BASE'!A662="","",'ENTRADAS-BASE'!A662)</f>
        <v/>
      </c>
      <c r="C664" t="str">
        <f>IF('ENTRADAS-BASE'!B662="","",'ENTRADAS-BASE'!B662)</f>
        <v/>
      </c>
      <c r="D664" t="str">
        <f>IF('ENTRADAS-BASE'!C662="","",'ENTRADAS-BASE'!C662)</f>
        <v/>
      </c>
      <c r="E664" s="7" t="str">
        <f>IF('ENTRADAS-BASE'!D662="","",'ENTRADAS-BASE'!D662)</f>
        <v/>
      </c>
      <c r="F664" s="6" t="str">
        <f>IF('ENTRADAS-BASE'!E662="","",'ENTRADAS-BASE'!E662)</f>
        <v/>
      </c>
      <c r="G664" t="str">
        <f>IF('ENTRADAS-BASE'!F662="","",'ENTRADAS-BASE'!F662)</f>
        <v/>
      </c>
      <c r="H664" t="str">
        <f>IF('ENTRADAS-BASE'!G662="","",'ENTRADAS-BASE'!G662)</f>
        <v/>
      </c>
      <c r="I664" t="str">
        <f>IF('ENTRADAS-BASE'!H662="","",'ENTRADAS-BASE'!H662)</f>
        <v/>
      </c>
      <c r="J664" t="str">
        <f>IF('ENTRADAS-BASE'!I662="","",'ENTRADAS-BASE'!I662)</f>
        <v/>
      </c>
      <c r="K664" s="5" t="str">
        <f>IF('ENTRADAS-BASE'!J662="","",'ENTRADAS-BASE'!J662)</f>
        <v/>
      </c>
      <c r="L6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5" spans="2:12" x14ac:dyDescent="0.3">
      <c r="B665" t="str">
        <f>IF('ENTRADAS-BASE'!A663="","",'ENTRADAS-BASE'!A663)</f>
        <v/>
      </c>
      <c r="C665" t="str">
        <f>IF('ENTRADAS-BASE'!B663="","",'ENTRADAS-BASE'!B663)</f>
        <v/>
      </c>
      <c r="D665" t="str">
        <f>IF('ENTRADAS-BASE'!C663="","",'ENTRADAS-BASE'!C663)</f>
        <v/>
      </c>
      <c r="E665" s="7" t="str">
        <f>IF('ENTRADAS-BASE'!D663="","",'ENTRADAS-BASE'!D663)</f>
        <v/>
      </c>
      <c r="F665" s="6" t="str">
        <f>IF('ENTRADAS-BASE'!E663="","",'ENTRADAS-BASE'!E663)</f>
        <v/>
      </c>
      <c r="G665" t="str">
        <f>IF('ENTRADAS-BASE'!F663="","",'ENTRADAS-BASE'!F663)</f>
        <v/>
      </c>
      <c r="H665" t="str">
        <f>IF('ENTRADAS-BASE'!G663="","",'ENTRADAS-BASE'!G663)</f>
        <v/>
      </c>
      <c r="I665" t="str">
        <f>IF('ENTRADAS-BASE'!H663="","",'ENTRADAS-BASE'!H663)</f>
        <v/>
      </c>
      <c r="J665" t="str">
        <f>IF('ENTRADAS-BASE'!I663="","",'ENTRADAS-BASE'!I663)</f>
        <v/>
      </c>
      <c r="K665" s="5" t="str">
        <f>IF('ENTRADAS-BASE'!J663="","",'ENTRADAS-BASE'!J663)</f>
        <v/>
      </c>
      <c r="L6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6" spans="2:12" x14ac:dyDescent="0.3">
      <c r="B666" t="str">
        <f>IF('ENTRADAS-BASE'!A664="","",'ENTRADAS-BASE'!A664)</f>
        <v/>
      </c>
      <c r="C666" t="str">
        <f>IF('ENTRADAS-BASE'!B664="","",'ENTRADAS-BASE'!B664)</f>
        <v/>
      </c>
      <c r="D666" t="str">
        <f>IF('ENTRADAS-BASE'!C664="","",'ENTRADAS-BASE'!C664)</f>
        <v/>
      </c>
      <c r="E666" s="7" t="str">
        <f>IF('ENTRADAS-BASE'!D664="","",'ENTRADAS-BASE'!D664)</f>
        <v/>
      </c>
      <c r="F666" s="6" t="str">
        <f>IF('ENTRADAS-BASE'!E664="","",'ENTRADAS-BASE'!E664)</f>
        <v/>
      </c>
      <c r="G666" t="str">
        <f>IF('ENTRADAS-BASE'!F664="","",'ENTRADAS-BASE'!F664)</f>
        <v/>
      </c>
      <c r="H666" t="str">
        <f>IF('ENTRADAS-BASE'!G664="","",'ENTRADAS-BASE'!G664)</f>
        <v/>
      </c>
      <c r="I666" t="str">
        <f>IF('ENTRADAS-BASE'!H664="","",'ENTRADAS-BASE'!H664)</f>
        <v/>
      </c>
      <c r="J666" t="str">
        <f>IF('ENTRADAS-BASE'!I664="","",'ENTRADAS-BASE'!I664)</f>
        <v/>
      </c>
      <c r="K666" s="5" t="str">
        <f>IF('ENTRADAS-BASE'!J664="","",'ENTRADAS-BASE'!J664)</f>
        <v/>
      </c>
      <c r="L6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7" spans="2:12" x14ac:dyDescent="0.3">
      <c r="B667" t="str">
        <f>IF('ENTRADAS-BASE'!A665="","",'ENTRADAS-BASE'!A665)</f>
        <v/>
      </c>
      <c r="C667" t="str">
        <f>IF('ENTRADAS-BASE'!B665="","",'ENTRADAS-BASE'!B665)</f>
        <v/>
      </c>
      <c r="D667" t="str">
        <f>IF('ENTRADAS-BASE'!C665="","",'ENTRADAS-BASE'!C665)</f>
        <v/>
      </c>
      <c r="E667" s="7" t="str">
        <f>IF('ENTRADAS-BASE'!D665="","",'ENTRADAS-BASE'!D665)</f>
        <v/>
      </c>
      <c r="F667" s="6" t="str">
        <f>IF('ENTRADAS-BASE'!E665="","",'ENTRADAS-BASE'!E665)</f>
        <v/>
      </c>
      <c r="G667" t="str">
        <f>IF('ENTRADAS-BASE'!F665="","",'ENTRADAS-BASE'!F665)</f>
        <v/>
      </c>
      <c r="H667" t="str">
        <f>IF('ENTRADAS-BASE'!G665="","",'ENTRADAS-BASE'!G665)</f>
        <v/>
      </c>
      <c r="I667" t="str">
        <f>IF('ENTRADAS-BASE'!H665="","",'ENTRADAS-BASE'!H665)</f>
        <v/>
      </c>
      <c r="J667" t="str">
        <f>IF('ENTRADAS-BASE'!I665="","",'ENTRADAS-BASE'!I665)</f>
        <v/>
      </c>
      <c r="K667" s="5" t="str">
        <f>IF('ENTRADAS-BASE'!J665="","",'ENTRADAS-BASE'!J665)</f>
        <v/>
      </c>
      <c r="L6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8" spans="2:12" x14ac:dyDescent="0.3">
      <c r="B668" t="str">
        <f>IF('ENTRADAS-BASE'!A666="","",'ENTRADAS-BASE'!A666)</f>
        <v/>
      </c>
      <c r="C668" t="str">
        <f>IF('ENTRADAS-BASE'!B666="","",'ENTRADAS-BASE'!B666)</f>
        <v/>
      </c>
      <c r="D668" t="str">
        <f>IF('ENTRADAS-BASE'!C666="","",'ENTRADAS-BASE'!C666)</f>
        <v/>
      </c>
      <c r="E668" s="7" t="str">
        <f>IF('ENTRADAS-BASE'!D666="","",'ENTRADAS-BASE'!D666)</f>
        <v/>
      </c>
      <c r="F668" s="6" t="str">
        <f>IF('ENTRADAS-BASE'!E666="","",'ENTRADAS-BASE'!E666)</f>
        <v/>
      </c>
      <c r="G668" t="str">
        <f>IF('ENTRADAS-BASE'!F666="","",'ENTRADAS-BASE'!F666)</f>
        <v/>
      </c>
      <c r="H668" t="str">
        <f>IF('ENTRADAS-BASE'!G666="","",'ENTRADAS-BASE'!G666)</f>
        <v/>
      </c>
      <c r="I668" t="str">
        <f>IF('ENTRADAS-BASE'!H666="","",'ENTRADAS-BASE'!H666)</f>
        <v/>
      </c>
      <c r="J668" t="str">
        <f>IF('ENTRADAS-BASE'!I666="","",'ENTRADAS-BASE'!I666)</f>
        <v/>
      </c>
      <c r="K668" s="5" t="str">
        <f>IF('ENTRADAS-BASE'!J666="","",'ENTRADAS-BASE'!J666)</f>
        <v/>
      </c>
      <c r="L6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9" spans="2:12" x14ac:dyDescent="0.3">
      <c r="B669" t="str">
        <f>IF('ENTRADAS-BASE'!A667="","",'ENTRADAS-BASE'!A667)</f>
        <v/>
      </c>
      <c r="C669" t="str">
        <f>IF('ENTRADAS-BASE'!B667="","",'ENTRADAS-BASE'!B667)</f>
        <v/>
      </c>
      <c r="D669" t="str">
        <f>IF('ENTRADAS-BASE'!C667="","",'ENTRADAS-BASE'!C667)</f>
        <v/>
      </c>
      <c r="E669" s="7" t="str">
        <f>IF('ENTRADAS-BASE'!D667="","",'ENTRADAS-BASE'!D667)</f>
        <v/>
      </c>
      <c r="F669" s="6" t="str">
        <f>IF('ENTRADAS-BASE'!E667="","",'ENTRADAS-BASE'!E667)</f>
        <v/>
      </c>
      <c r="G669" t="str">
        <f>IF('ENTRADAS-BASE'!F667="","",'ENTRADAS-BASE'!F667)</f>
        <v/>
      </c>
      <c r="H669" t="str">
        <f>IF('ENTRADAS-BASE'!G667="","",'ENTRADAS-BASE'!G667)</f>
        <v/>
      </c>
      <c r="I669" t="str">
        <f>IF('ENTRADAS-BASE'!H667="","",'ENTRADAS-BASE'!H667)</f>
        <v/>
      </c>
      <c r="J669" t="str">
        <f>IF('ENTRADAS-BASE'!I667="","",'ENTRADAS-BASE'!I667)</f>
        <v/>
      </c>
      <c r="K669" s="5" t="str">
        <f>IF('ENTRADAS-BASE'!J667="","",'ENTRADAS-BASE'!J667)</f>
        <v/>
      </c>
      <c r="L6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0" spans="2:12" x14ac:dyDescent="0.3">
      <c r="B670" t="str">
        <f>IF('ENTRADAS-BASE'!A668="","",'ENTRADAS-BASE'!A668)</f>
        <v/>
      </c>
      <c r="C670" t="str">
        <f>IF('ENTRADAS-BASE'!B668="","",'ENTRADAS-BASE'!B668)</f>
        <v/>
      </c>
      <c r="D670" t="str">
        <f>IF('ENTRADAS-BASE'!C668="","",'ENTRADAS-BASE'!C668)</f>
        <v/>
      </c>
      <c r="E670" s="7" t="str">
        <f>IF('ENTRADAS-BASE'!D668="","",'ENTRADAS-BASE'!D668)</f>
        <v/>
      </c>
      <c r="F670" s="6" t="str">
        <f>IF('ENTRADAS-BASE'!E668="","",'ENTRADAS-BASE'!E668)</f>
        <v/>
      </c>
      <c r="G670" t="str">
        <f>IF('ENTRADAS-BASE'!F668="","",'ENTRADAS-BASE'!F668)</f>
        <v/>
      </c>
      <c r="H670" t="str">
        <f>IF('ENTRADAS-BASE'!G668="","",'ENTRADAS-BASE'!G668)</f>
        <v/>
      </c>
      <c r="I670" t="str">
        <f>IF('ENTRADAS-BASE'!H668="","",'ENTRADAS-BASE'!H668)</f>
        <v/>
      </c>
      <c r="J670" t="str">
        <f>IF('ENTRADAS-BASE'!I668="","",'ENTRADAS-BASE'!I668)</f>
        <v/>
      </c>
      <c r="K670" s="5" t="str">
        <f>IF('ENTRADAS-BASE'!J668="","",'ENTRADAS-BASE'!J668)</f>
        <v/>
      </c>
      <c r="L6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1" spans="2:12" x14ac:dyDescent="0.3">
      <c r="B671" t="str">
        <f>IF('ENTRADAS-BASE'!A669="","",'ENTRADAS-BASE'!A669)</f>
        <v/>
      </c>
      <c r="C671" t="str">
        <f>IF('ENTRADAS-BASE'!B669="","",'ENTRADAS-BASE'!B669)</f>
        <v/>
      </c>
      <c r="D671" t="str">
        <f>IF('ENTRADAS-BASE'!C669="","",'ENTRADAS-BASE'!C669)</f>
        <v/>
      </c>
      <c r="E671" s="7" t="str">
        <f>IF('ENTRADAS-BASE'!D669="","",'ENTRADAS-BASE'!D669)</f>
        <v/>
      </c>
      <c r="F671" s="6" t="str">
        <f>IF('ENTRADAS-BASE'!E669="","",'ENTRADAS-BASE'!E669)</f>
        <v/>
      </c>
      <c r="G671" t="str">
        <f>IF('ENTRADAS-BASE'!F669="","",'ENTRADAS-BASE'!F669)</f>
        <v/>
      </c>
      <c r="H671" t="str">
        <f>IF('ENTRADAS-BASE'!G669="","",'ENTRADAS-BASE'!G669)</f>
        <v/>
      </c>
      <c r="I671" t="str">
        <f>IF('ENTRADAS-BASE'!H669="","",'ENTRADAS-BASE'!H669)</f>
        <v/>
      </c>
      <c r="J671" t="str">
        <f>IF('ENTRADAS-BASE'!I669="","",'ENTRADAS-BASE'!I669)</f>
        <v/>
      </c>
      <c r="K671" s="5" t="str">
        <f>IF('ENTRADAS-BASE'!J669="","",'ENTRADAS-BASE'!J669)</f>
        <v/>
      </c>
      <c r="L6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2" spans="2:12" x14ac:dyDescent="0.3">
      <c r="B672" t="str">
        <f>IF('ENTRADAS-BASE'!A670="","",'ENTRADAS-BASE'!A670)</f>
        <v/>
      </c>
      <c r="C672" t="str">
        <f>IF('ENTRADAS-BASE'!B670="","",'ENTRADAS-BASE'!B670)</f>
        <v/>
      </c>
      <c r="D672" t="str">
        <f>IF('ENTRADAS-BASE'!C670="","",'ENTRADAS-BASE'!C670)</f>
        <v/>
      </c>
      <c r="E672" s="7" t="str">
        <f>IF('ENTRADAS-BASE'!D670="","",'ENTRADAS-BASE'!D670)</f>
        <v/>
      </c>
      <c r="F672" s="6" t="str">
        <f>IF('ENTRADAS-BASE'!E670="","",'ENTRADAS-BASE'!E670)</f>
        <v/>
      </c>
      <c r="G672" t="str">
        <f>IF('ENTRADAS-BASE'!F670="","",'ENTRADAS-BASE'!F670)</f>
        <v/>
      </c>
      <c r="H672" t="str">
        <f>IF('ENTRADAS-BASE'!G670="","",'ENTRADAS-BASE'!G670)</f>
        <v/>
      </c>
      <c r="I672" t="str">
        <f>IF('ENTRADAS-BASE'!H670="","",'ENTRADAS-BASE'!H670)</f>
        <v/>
      </c>
      <c r="J672" t="str">
        <f>IF('ENTRADAS-BASE'!I670="","",'ENTRADAS-BASE'!I670)</f>
        <v/>
      </c>
      <c r="K672" s="5" t="str">
        <f>IF('ENTRADAS-BASE'!J670="","",'ENTRADAS-BASE'!J670)</f>
        <v/>
      </c>
      <c r="L6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3" spans="2:12" x14ac:dyDescent="0.3">
      <c r="B673" t="str">
        <f>IF('ENTRADAS-BASE'!A671="","",'ENTRADAS-BASE'!A671)</f>
        <v/>
      </c>
      <c r="C673" t="str">
        <f>IF('ENTRADAS-BASE'!B671="","",'ENTRADAS-BASE'!B671)</f>
        <v/>
      </c>
      <c r="D673" t="str">
        <f>IF('ENTRADAS-BASE'!C671="","",'ENTRADAS-BASE'!C671)</f>
        <v/>
      </c>
      <c r="E673" s="7" t="str">
        <f>IF('ENTRADAS-BASE'!D671="","",'ENTRADAS-BASE'!D671)</f>
        <v/>
      </c>
      <c r="F673" s="6" t="str">
        <f>IF('ENTRADAS-BASE'!E671="","",'ENTRADAS-BASE'!E671)</f>
        <v/>
      </c>
      <c r="G673" t="str">
        <f>IF('ENTRADAS-BASE'!F671="","",'ENTRADAS-BASE'!F671)</f>
        <v/>
      </c>
      <c r="H673" t="str">
        <f>IF('ENTRADAS-BASE'!G671="","",'ENTRADAS-BASE'!G671)</f>
        <v/>
      </c>
      <c r="I673" t="str">
        <f>IF('ENTRADAS-BASE'!H671="","",'ENTRADAS-BASE'!H671)</f>
        <v/>
      </c>
      <c r="J673" t="str">
        <f>IF('ENTRADAS-BASE'!I671="","",'ENTRADAS-BASE'!I671)</f>
        <v/>
      </c>
      <c r="K673" s="5" t="str">
        <f>IF('ENTRADAS-BASE'!J671="","",'ENTRADAS-BASE'!J671)</f>
        <v/>
      </c>
      <c r="L6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4" spans="2:12" x14ac:dyDescent="0.3">
      <c r="B674" t="str">
        <f>IF('ENTRADAS-BASE'!A672="","",'ENTRADAS-BASE'!A672)</f>
        <v/>
      </c>
      <c r="C674" t="str">
        <f>IF('ENTRADAS-BASE'!B672="","",'ENTRADAS-BASE'!B672)</f>
        <v/>
      </c>
      <c r="D674" t="str">
        <f>IF('ENTRADAS-BASE'!C672="","",'ENTRADAS-BASE'!C672)</f>
        <v/>
      </c>
      <c r="E674" s="7" t="str">
        <f>IF('ENTRADAS-BASE'!D672="","",'ENTRADAS-BASE'!D672)</f>
        <v/>
      </c>
      <c r="F674" s="6" t="str">
        <f>IF('ENTRADAS-BASE'!E672="","",'ENTRADAS-BASE'!E672)</f>
        <v/>
      </c>
      <c r="G674" t="str">
        <f>IF('ENTRADAS-BASE'!F672="","",'ENTRADAS-BASE'!F672)</f>
        <v/>
      </c>
      <c r="H674" t="str">
        <f>IF('ENTRADAS-BASE'!G672="","",'ENTRADAS-BASE'!G672)</f>
        <v/>
      </c>
      <c r="I674" t="str">
        <f>IF('ENTRADAS-BASE'!H672="","",'ENTRADAS-BASE'!H672)</f>
        <v/>
      </c>
      <c r="J674" t="str">
        <f>IF('ENTRADAS-BASE'!I672="","",'ENTRADAS-BASE'!I672)</f>
        <v/>
      </c>
      <c r="K674" s="5" t="str">
        <f>IF('ENTRADAS-BASE'!J672="","",'ENTRADAS-BASE'!J672)</f>
        <v/>
      </c>
      <c r="L6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5" spans="2:12" x14ac:dyDescent="0.3">
      <c r="B675" t="str">
        <f>IF('ENTRADAS-BASE'!A673="","",'ENTRADAS-BASE'!A673)</f>
        <v/>
      </c>
      <c r="C675" t="str">
        <f>IF('ENTRADAS-BASE'!B673="","",'ENTRADAS-BASE'!B673)</f>
        <v/>
      </c>
      <c r="D675" t="str">
        <f>IF('ENTRADAS-BASE'!C673="","",'ENTRADAS-BASE'!C673)</f>
        <v/>
      </c>
      <c r="E675" s="7" t="str">
        <f>IF('ENTRADAS-BASE'!D673="","",'ENTRADAS-BASE'!D673)</f>
        <v/>
      </c>
      <c r="F675" s="6" t="str">
        <f>IF('ENTRADAS-BASE'!E673="","",'ENTRADAS-BASE'!E673)</f>
        <v/>
      </c>
      <c r="G675" t="str">
        <f>IF('ENTRADAS-BASE'!F673="","",'ENTRADAS-BASE'!F673)</f>
        <v/>
      </c>
      <c r="H675" t="str">
        <f>IF('ENTRADAS-BASE'!G673="","",'ENTRADAS-BASE'!G673)</f>
        <v/>
      </c>
      <c r="I675" t="str">
        <f>IF('ENTRADAS-BASE'!H673="","",'ENTRADAS-BASE'!H673)</f>
        <v/>
      </c>
      <c r="J675" t="str">
        <f>IF('ENTRADAS-BASE'!I673="","",'ENTRADAS-BASE'!I673)</f>
        <v/>
      </c>
      <c r="K675" s="5" t="str">
        <f>IF('ENTRADAS-BASE'!J673="","",'ENTRADAS-BASE'!J673)</f>
        <v/>
      </c>
      <c r="L6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6" spans="2:12" x14ac:dyDescent="0.3">
      <c r="B676" t="str">
        <f>IF('ENTRADAS-BASE'!A674="","",'ENTRADAS-BASE'!A674)</f>
        <v/>
      </c>
      <c r="C676" t="str">
        <f>IF('ENTRADAS-BASE'!B674="","",'ENTRADAS-BASE'!B674)</f>
        <v/>
      </c>
      <c r="D676" t="str">
        <f>IF('ENTRADAS-BASE'!C674="","",'ENTRADAS-BASE'!C674)</f>
        <v/>
      </c>
      <c r="E676" s="7" t="str">
        <f>IF('ENTRADAS-BASE'!D674="","",'ENTRADAS-BASE'!D674)</f>
        <v/>
      </c>
      <c r="F676" s="6" t="str">
        <f>IF('ENTRADAS-BASE'!E674="","",'ENTRADAS-BASE'!E674)</f>
        <v/>
      </c>
      <c r="G676" t="str">
        <f>IF('ENTRADAS-BASE'!F674="","",'ENTRADAS-BASE'!F674)</f>
        <v/>
      </c>
      <c r="H676" t="str">
        <f>IF('ENTRADAS-BASE'!G674="","",'ENTRADAS-BASE'!G674)</f>
        <v/>
      </c>
      <c r="I676" t="str">
        <f>IF('ENTRADAS-BASE'!H674="","",'ENTRADAS-BASE'!H674)</f>
        <v/>
      </c>
      <c r="J676" t="str">
        <f>IF('ENTRADAS-BASE'!I674="","",'ENTRADAS-BASE'!I674)</f>
        <v/>
      </c>
      <c r="K676" s="5" t="str">
        <f>IF('ENTRADAS-BASE'!J674="","",'ENTRADAS-BASE'!J674)</f>
        <v/>
      </c>
      <c r="L6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7" spans="2:12" x14ac:dyDescent="0.3">
      <c r="B677" t="str">
        <f>IF('ENTRADAS-BASE'!A675="","",'ENTRADAS-BASE'!A675)</f>
        <v/>
      </c>
      <c r="C677" t="str">
        <f>IF('ENTRADAS-BASE'!B675="","",'ENTRADAS-BASE'!B675)</f>
        <v/>
      </c>
      <c r="D677" t="str">
        <f>IF('ENTRADAS-BASE'!C675="","",'ENTRADAS-BASE'!C675)</f>
        <v/>
      </c>
      <c r="E677" s="7" t="str">
        <f>IF('ENTRADAS-BASE'!D675="","",'ENTRADAS-BASE'!D675)</f>
        <v/>
      </c>
      <c r="F677" s="6" t="str">
        <f>IF('ENTRADAS-BASE'!E675="","",'ENTRADAS-BASE'!E675)</f>
        <v/>
      </c>
      <c r="G677" t="str">
        <f>IF('ENTRADAS-BASE'!F675="","",'ENTRADAS-BASE'!F675)</f>
        <v/>
      </c>
      <c r="H677" t="str">
        <f>IF('ENTRADAS-BASE'!G675="","",'ENTRADAS-BASE'!G675)</f>
        <v/>
      </c>
      <c r="I677" t="str">
        <f>IF('ENTRADAS-BASE'!H675="","",'ENTRADAS-BASE'!H675)</f>
        <v/>
      </c>
      <c r="J677" t="str">
        <f>IF('ENTRADAS-BASE'!I675="","",'ENTRADAS-BASE'!I675)</f>
        <v/>
      </c>
      <c r="K677" s="5" t="str">
        <f>IF('ENTRADAS-BASE'!J675="","",'ENTRADAS-BASE'!J675)</f>
        <v/>
      </c>
      <c r="L6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8" spans="2:12" x14ac:dyDescent="0.3">
      <c r="B678" t="str">
        <f>IF('ENTRADAS-BASE'!A676="","",'ENTRADAS-BASE'!A676)</f>
        <v/>
      </c>
      <c r="C678" t="str">
        <f>IF('ENTRADAS-BASE'!B676="","",'ENTRADAS-BASE'!B676)</f>
        <v/>
      </c>
      <c r="D678" t="str">
        <f>IF('ENTRADAS-BASE'!C676="","",'ENTRADAS-BASE'!C676)</f>
        <v/>
      </c>
      <c r="E678" s="7" t="str">
        <f>IF('ENTRADAS-BASE'!D676="","",'ENTRADAS-BASE'!D676)</f>
        <v/>
      </c>
      <c r="F678" s="6" t="str">
        <f>IF('ENTRADAS-BASE'!E676="","",'ENTRADAS-BASE'!E676)</f>
        <v/>
      </c>
      <c r="G678" t="str">
        <f>IF('ENTRADAS-BASE'!F676="","",'ENTRADAS-BASE'!F676)</f>
        <v/>
      </c>
      <c r="H678" t="str">
        <f>IF('ENTRADAS-BASE'!G676="","",'ENTRADAS-BASE'!G676)</f>
        <v/>
      </c>
      <c r="I678" t="str">
        <f>IF('ENTRADAS-BASE'!H676="","",'ENTRADAS-BASE'!H676)</f>
        <v/>
      </c>
      <c r="J678" t="str">
        <f>IF('ENTRADAS-BASE'!I676="","",'ENTRADAS-BASE'!I676)</f>
        <v/>
      </c>
      <c r="K678" s="5" t="str">
        <f>IF('ENTRADAS-BASE'!J676="","",'ENTRADAS-BASE'!J676)</f>
        <v/>
      </c>
      <c r="L6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9" spans="2:12" x14ac:dyDescent="0.3">
      <c r="B679" t="str">
        <f>IF('ENTRADAS-BASE'!A677="","",'ENTRADAS-BASE'!A677)</f>
        <v/>
      </c>
      <c r="C679" t="str">
        <f>IF('ENTRADAS-BASE'!B677="","",'ENTRADAS-BASE'!B677)</f>
        <v/>
      </c>
      <c r="D679" t="str">
        <f>IF('ENTRADAS-BASE'!C677="","",'ENTRADAS-BASE'!C677)</f>
        <v/>
      </c>
      <c r="E679" s="7" t="str">
        <f>IF('ENTRADAS-BASE'!D677="","",'ENTRADAS-BASE'!D677)</f>
        <v/>
      </c>
      <c r="F679" s="6" t="str">
        <f>IF('ENTRADAS-BASE'!E677="","",'ENTRADAS-BASE'!E677)</f>
        <v/>
      </c>
      <c r="G679" t="str">
        <f>IF('ENTRADAS-BASE'!F677="","",'ENTRADAS-BASE'!F677)</f>
        <v/>
      </c>
      <c r="H679" t="str">
        <f>IF('ENTRADAS-BASE'!G677="","",'ENTRADAS-BASE'!G677)</f>
        <v/>
      </c>
      <c r="I679" t="str">
        <f>IF('ENTRADAS-BASE'!H677="","",'ENTRADAS-BASE'!H677)</f>
        <v/>
      </c>
      <c r="J679" t="str">
        <f>IF('ENTRADAS-BASE'!I677="","",'ENTRADAS-BASE'!I677)</f>
        <v/>
      </c>
      <c r="K679" s="5" t="str">
        <f>IF('ENTRADAS-BASE'!J677="","",'ENTRADAS-BASE'!J677)</f>
        <v/>
      </c>
      <c r="L6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0" spans="2:12" x14ac:dyDescent="0.3">
      <c r="B680" t="str">
        <f>IF('ENTRADAS-BASE'!A678="","",'ENTRADAS-BASE'!A678)</f>
        <v/>
      </c>
      <c r="C680" t="str">
        <f>IF('ENTRADAS-BASE'!B678="","",'ENTRADAS-BASE'!B678)</f>
        <v/>
      </c>
      <c r="D680" t="str">
        <f>IF('ENTRADAS-BASE'!C678="","",'ENTRADAS-BASE'!C678)</f>
        <v/>
      </c>
      <c r="E680" s="7" t="str">
        <f>IF('ENTRADAS-BASE'!D678="","",'ENTRADAS-BASE'!D678)</f>
        <v/>
      </c>
      <c r="F680" s="6" t="str">
        <f>IF('ENTRADAS-BASE'!E678="","",'ENTRADAS-BASE'!E678)</f>
        <v/>
      </c>
      <c r="G680" t="str">
        <f>IF('ENTRADAS-BASE'!F678="","",'ENTRADAS-BASE'!F678)</f>
        <v/>
      </c>
      <c r="H680" t="str">
        <f>IF('ENTRADAS-BASE'!G678="","",'ENTRADAS-BASE'!G678)</f>
        <v/>
      </c>
      <c r="I680" t="str">
        <f>IF('ENTRADAS-BASE'!H678="","",'ENTRADAS-BASE'!H678)</f>
        <v/>
      </c>
      <c r="J680" t="str">
        <f>IF('ENTRADAS-BASE'!I678="","",'ENTRADAS-BASE'!I678)</f>
        <v/>
      </c>
      <c r="K680" s="5" t="str">
        <f>IF('ENTRADAS-BASE'!J678="","",'ENTRADAS-BASE'!J678)</f>
        <v/>
      </c>
      <c r="L6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1" spans="2:12" x14ac:dyDescent="0.3">
      <c r="B681" t="str">
        <f>IF('ENTRADAS-BASE'!A679="","",'ENTRADAS-BASE'!A679)</f>
        <v/>
      </c>
      <c r="C681" t="str">
        <f>IF('ENTRADAS-BASE'!B679="","",'ENTRADAS-BASE'!B679)</f>
        <v/>
      </c>
      <c r="D681" t="str">
        <f>IF('ENTRADAS-BASE'!C679="","",'ENTRADAS-BASE'!C679)</f>
        <v/>
      </c>
      <c r="E681" s="7" t="str">
        <f>IF('ENTRADAS-BASE'!D679="","",'ENTRADAS-BASE'!D679)</f>
        <v/>
      </c>
      <c r="F681" s="6" t="str">
        <f>IF('ENTRADAS-BASE'!E679="","",'ENTRADAS-BASE'!E679)</f>
        <v/>
      </c>
      <c r="G681" t="str">
        <f>IF('ENTRADAS-BASE'!F679="","",'ENTRADAS-BASE'!F679)</f>
        <v/>
      </c>
      <c r="H681" t="str">
        <f>IF('ENTRADAS-BASE'!G679="","",'ENTRADAS-BASE'!G679)</f>
        <v/>
      </c>
      <c r="I681" t="str">
        <f>IF('ENTRADAS-BASE'!H679="","",'ENTRADAS-BASE'!H679)</f>
        <v/>
      </c>
      <c r="J681" t="str">
        <f>IF('ENTRADAS-BASE'!I679="","",'ENTRADAS-BASE'!I679)</f>
        <v/>
      </c>
      <c r="K681" s="5" t="str">
        <f>IF('ENTRADAS-BASE'!J679="","",'ENTRADAS-BASE'!J679)</f>
        <v/>
      </c>
      <c r="L6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2" spans="2:12" x14ac:dyDescent="0.3">
      <c r="B682" t="str">
        <f>IF('ENTRADAS-BASE'!A680="","",'ENTRADAS-BASE'!A680)</f>
        <v/>
      </c>
      <c r="C682" t="str">
        <f>IF('ENTRADAS-BASE'!B680="","",'ENTRADAS-BASE'!B680)</f>
        <v/>
      </c>
      <c r="D682" t="str">
        <f>IF('ENTRADAS-BASE'!C680="","",'ENTRADAS-BASE'!C680)</f>
        <v/>
      </c>
      <c r="E682" s="7" t="str">
        <f>IF('ENTRADAS-BASE'!D680="","",'ENTRADAS-BASE'!D680)</f>
        <v/>
      </c>
      <c r="F682" s="6" t="str">
        <f>IF('ENTRADAS-BASE'!E680="","",'ENTRADAS-BASE'!E680)</f>
        <v/>
      </c>
      <c r="G682" t="str">
        <f>IF('ENTRADAS-BASE'!F680="","",'ENTRADAS-BASE'!F680)</f>
        <v/>
      </c>
      <c r="H682" t="str">
        <f>IF('ENTRADAS-BASE'!G680="","",'ENTRADAS-BASE'!G680)</f>
        <v/>
      </c>
      <c r="I682" t="str">
        <f>IF('ENTRADAS-BASE'!H680="","",'ENTRADAS-BASE'!H680)</f>
        <v/>
      </c>
      <c r="J682" t="str">
        <f>IF('ENTRADAS-BASE'!I680="","",'ENTRADAS-BASE'!I680)</f>
        <v/>
      </c>
      <c r="K682" s="5" t="str">
        <f>IF('ENTRADAS-BASE'!J680="","",'ENTRADAS-BASE'!J680)</f>
        <v/>
      </c>
      <c r="L6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3" spans="2:12" x14ac:dyDescent="0.3">
      <c r="B683" t="str">
        <f>IF('ENTRADAS-BASE'!A681="","",'ENTRADAS-BASE'!A681)</f>
        <v/>
      </c>
      <c r="C683" t="str">
        <f>IF('ENTRADAS-BASE'!B681="","",'ENTRADAS-BASE'!B681)</f>
        <v/>
      </c>
      <c r="D683" t="str">
        <f>IF('ENTRADAS-BASE'!C681="","",'ENTRADAS-BASE'!C681)</f>
        <v/>
      </c>
      <c r="E683" s="7" t="str">
        <f>IF('ENTRADAS-BASE'!D681="","",'ENTRADAS-BASE'!D681)</f>
        <v/>
      </c>
      <c r="F683" s="6" t="str">
        <f>IF('ENTRADAS-BASE'!E681="","",'ENTRADAS-BASE'!E681)</f>
        <v/>
      </c>
      <c r="G683" t="str">
        <f>IF('ENTRADAS-BASE'!F681="","",'ENTRADAS-BASE'!F681)</f>
        <v/>
      </c>
      <c r="H683" t="str">
        <f>IF('ENTRADAS-BASE'!G681="","",'ENTRADAS-BASE'!G681)</f>
        <v/>
      </c>
      <c r="I683" t="str">
        <f>IF('ENTRADAS-BASE'!H681="","",'ENTRADAS-BASE'!H681)</f>
        <v/>
      </c>
      <c r="J683" t="str">
        <f>IF('ENTRADAS-BASE'!I681="","",'ENTRADAS-BASE'!I681)</f>
        <v/>
      </c>
      <c r="K683" s="5" t="str">
        <f>IF('ENTRADAS-BASE'!J681="","",'ENTRADAS-BASE'!J681)</f>
        <v/>
      </c>
      <c r="L6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4" spans="2:12" x14ac:dyDescent="0.3">
      <c r="B684" t="str">
        <f>IF('ENTRADAS-BASE'!A682="","",'ENTRADAS-BASE'!A682)</f>
        <v/>
      </c>
      <c r="C684" t="str">
        <f>IF('ENTRADAS-BASE'!B682="","",'ENTRADAS-BASE'!B682)</f>
        <v/>
      </c>
      <c r="D684" t="str">
        <f>IF('ENTRADAS-BASE'!C682="","",'ENTRADAS-BASE'!C682)</f>
        <v/>
      </c>
      <c r="E684" s="7" t="str">
        <f>IF('ENTRADAS-BASE'!D682="","",'ENTRADAS-BASE'!D682)</f>
        <v/>
      </c>
      <c r="F684" s="6" t="str">
        <f>IF('ENTRADAS-BASE'!E682="","",'ENTRADAS-BASE'!E682)</f>
        <v/>
      </c>
      <c r="G684" t="str">
        <f>IF('ENTRADAS-BASE'!F682="","",'ENTRADAS-BASE'!F682)</f>
        <v/>
      </c>
      <c r="H684" t="str">
        <f>IF('ENTRADAS-BASE'!G682="","",'ENTRADAS-BASE'!G682)</f>
        <v/>
      </c>
      <c r="I684" t="str">
        <f>IF('ENTRADAS-BASE'!H682="","",'ENTRADAS-BASE'!H682)</f>
        <v/>
      </c>
      <c r="J684" t="str">
        <f>IF('ENTRADAS-BASE'!I682="","",'ENTRADAS-BASE'!I682)</f>
        <v/>
      </c>
      <c r="K684" s="5" t="str">
        <f>IF('ENTRADAS-BASE'!J682="","",'ENTRADAS-BASE'!J682)</f>
        <v/>
      </c>
      <c r="L6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5" spans="2:12" x14ac:dyDescent="0.3">
      <c r="B685" t="str">
        <f>IF('ENTRADAS-BASE'!A683="","",'ENTRADAS-BASE'!A683)</f>
        <v/>
      </c>
      <c r="C685" t="str">
        <f>IF('ENTRADAS-BASE'!B683="","",'ENTRADAS-BASE'!B683)</f>
        <v/>
      </c>
      <c r="D685" t="str">
        <f>IF('ENTRADAS-BASE'!C683="","",'ENTRADAS-BASE'!C683)</f>
        <v/>
      </c>
      <c r="E685" s="7" t="str">
        <f>IF('ENTRADAS-BASE'!D683="","",'ENTRADAS-BASE'!D683)</f>
        <v/>
      </c>
      <c r="F685" s="6" t="str">
        <f>IF('ENTRADAS-BASE'!E683="","",'ENTRADAS-BASE'!E683)</f>
        <v/>
      </c>
      <c r="G685" t="str">
        <f>IF('ENTRADAS-BASE'!F683="","",'ENTRADAS-BASE'!F683)</f>
        <v/>
      </c>
      <c r="H685" t="str">
        <f>IF('ENTRADAS-BASE'!G683="","",'ENTRADAS-BASE'!G683)</f>
        <v/>
      </c>
      <c r="I685" t="str">
        <f>IF('ENTRADAS-BASE'!H683="","",'ENTRADAS-BASE'!H683)</f>
        <v/>
      </c>
      <c r="J685" t="str">
        <f>IF('ENTRADAS-BASE'!I683="","",'ENTRADAS-BASE'!I683)</f>
        <v/>
      </c>
      <c r="K685" s="5" t="str">
        <f>IF('ENTRADAS-BASE'!J683="","",'ENTRADAS-BASE'!J683)</f>
        <v/>
      </c>
      <c r="L6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6" spans="2:12" x14ac:dyDescent="0.3">
      <c r="B686" t="str">
        <f>IF('ENTRADAS-BASE'!A684="","",'ENTRADAS-BASE'!A684)</f>
        <v/>
      </c>
      <c r="C686" t="str">
        <f>IF('ENTRADAS-BASE'!B684="","",'ENTRADAS-BASE'!B684)</f>
        <v/>
      </c>
      <c r="D686" t="str">
        <f>IF('ENTRADAS-BASE'!C684="","",'ENTRADAS-BASE'!C684)</f>
        <v/>
      </c>
      <c r="E686" s="7" t="str">
        <f>IF('ENTRADAS-BASE'!D684="","",'ENTRADAS-BASE'!D684)</f>
        <v/>
      </c>
      <c r="F686" s="6" t="str">
        <f>IF('ENTRADAS-BASE'!E684="","",'ENTRADAS-BASE'!E684)</f>
        <v/>
      </c>
      <c r="G686" t="str">
        <f>IF('ENTRADAS-BASE'!F684="","",'ENTRADAS-BASE'!F684)</f>
        <v/>
      </c>
      <c r="H686" t="str">
        <f>IF('ENTRADAS-BASE'!G684="","",'ENTRADAS-BASE'!G684)</f>
        <v/>
      </c>
      <c r="I686" t="str">
        <f>IF('ENTRADAS-BASE'!H684="","",'ENTRADAS-BASE'!H684)</f>
        <v/>
      </c>
      <c r="J686" t="str">
        <f>IF('ENTRADAS-BASE'!I684="","",'ENTRADAS-BASE'!I684)</f>
        <v/>
      </c>
      <c r="K686" s="5" t="str">
        <f>IF('ENTRADAS-BASE'!J684="","",'ENTRADAS-BASE'!J684)</f>
        <v/>
      </c>
      <c r="L6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7" spans="2:12" x14ac:dyDescent="0.3">
      <c r="B687" t="str">
        <f>IF('ENTRADAS-BASE'!A685="","",'ENTRADAS-BASE'!A685)</f>
        <v/>
      </c>
      <c r="C687" t="str">
        <f>IF('ENTRADAS-BASE'!B685="","",'ENTRADAS-BASE'!B685)</f>
        <v/>
      </c>
      <c r="D687" t="str">
        <f>IF('ENTRADAS-BASE'!C685="","",'ENTRADAS-BASE'!C685)</f>
        <v/>
      </c>
      <c r="E687" s="7" t="str">
        <f>IF('ENTRADAS-BASE'!D685="","",'ENTRADAS-BASE'!D685)</f>
        <v/>
      </c>
      <c r="F687" s="6" t="str">
        <f>IF('ENTRADAS-BASE'!E685="","",'ENTRADAS-BASE'!E685)</f>
        <v/>
      </c>
      <c r="G687" t="str">
        <f>IF('ENTRADAS-BASE'!F685="","",'ENTRADAS-BASE'!F685)</f>
        <v/>
      </c>
      <c r="H687" t="str">
        <f>IF('ENTRADAS-BASE'!G685="","",'ENTRADAS-BASE'!G685)</f>
        <v/>
      </c>
      <c r="I687" t="str">
        <f>IF('ENTRADAS-BASE'!H685="","",'ENTRADAS-BASE'!H685)</f>
        <v/>
      </c>
      <c r="J687" t="str">
        <f>IF('ENTRADAS-BASE'!I685="","",'ENTRADAS-BASE'!I685)</f>
        <v/>
      </c>
      <c r="K687" s="5" t="str">
        <f>IF('ENTRADAS-BASE'!J685="","",'ENTRADAS-BASE'!J685)</f>
        <v/>
      </c>
      <c r="L6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8" spans="2:12" x14ac:dyDescent="0.3">
      <c r="B688" t="str">
        <f>IF('ENTRADAS-BASE'!A686="","",'ENTRADAS-BASE'!A686)</f>
        <v/>
      </c>
      <c r="C688" t="str">
        <f>IF('ENTRADAS-BASE'!B686="","",'ENTRADAS-BASE'!B686)</f>
        <v/>
      </c>
      <c r="D688" t="str">
        <f>IF('ENTRADAS-BASE'!C686="","",'ENTRADAS-BASE'!C686)</f>
        <v/>
      </c>
      <c r="E688" s="7" t="str">
        <f>IF('ENTRADAS-BASE'!D686="","",'ENTRADAS-BASE'!D686)</f>
        <v/>
      </c>
      <c r="F688" s="6" t="str">
        <f>IF('ENTRADAS-BASE'!E686="","",'ENTRADAS-BASE'!E686)</f>
        <v/>
      </c>
      <c r="G688" t="str">
        <f>IF('ENTRADAS-BASE'!F686="","",'ENTRADAS-BASE'!F686)</f>
        <v/>
      </c>
      <c r="H688" t="str">
        <f>IF('ENTRADAS-BASE'!G686="","",'ENTRADAS-BASE'!G686)</f>
        <v/>
      </c>
      <c r="I688" t="str">
        <f>IF('ENTRADAS-BASE'!H686="","",'ENTRADAS-BASE'!H686)</f>
        <v/>
      </c>
      <c r="J688" t="str">
        <f>IF('ENTRADAS-BASE'!I686="","",'ENTRADAS-BASE'!I686)</f>
        <v/>
      </c>
      <c r="K688" s="5" t="str">
        <f>IF('ENTRADAS-BASE'!J686="","",'ENTRADAS-BASE'!J686)</f>
        <v/>
      </c>
      <c r="L6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9" spans="2:12" x14ac:dyDescent="0.3">
      <c r="B689" t="str">
        <f>IF('ENTRADAS-BASE'!A687="","",'ENTRADAS-BASE'!A687)</f>
        <v/>
      </c>
      <c r="C689" t="str">
        <f>IF('ENTRADAS-BASE'!B687="","",'ENTRADAS-BASE'!B687)</f>
        <v/>
      </c>
      <c r="D689" t="str">
        <f>IF('ENTRADAS-BASE'!C687="","",'ENTRADAS-BASE'!C687)</f>
        <v/>
      </c>
      <c r="E689" s="7" t="str">
        <f>IF('ENTRADAS-BASE'!D687="","",'ENTRADAS-BASE'!D687)</f>
        <v/>
      </c>
      <c r="F689" s="6" t="str">
        <f>IF('ENTRADAS-BASE'!E687="","",'ENTRADAS-BASE'!E687)</f>
        <v/>
      </c>
      <c r="G689" t="str">
        <f>IF('ENTRADAS-BASE'!F687="","",'ENTRADAS-BASE'!F687)</f>
        <v/>
      </c>
      <c r="H689" t="str">
        <f>IF('ENTRADAS-BASE'!G687="","",'ENTRADAS-BASE'!G687)</f>
        <v/>
      </c>
      <c r="I689" t="str">
        <f>IF('ENTRADAS-BASE'!H687="","",'ENTRADAS-BASE'!H687)</f>
        <v/>
      </c>
      <c r="J689" t="str">
        <f>IF('ENTRADAS-BASE'!I687="","",'ENTRADAS-BASE'!I687)</f>
        <v/>
      </c>
      <c r="K689" s="5" t="str">
        <f>IF('ENTRADAS-BASE'!J687="","",'ENTRADAS-BASE'!J687)</f>
        <v/>
      </c>
      <c r="L6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0" spans="2:12" x14ac:dyDescent="0.3">
      <c r="B690" t="str">
        <f>IF('ENTRADAS-BASE'!A688="","",'ENTRADAS-BASE'!A688)</f>
        <v/>
      </c>
      <c r="C690" t="str">
        <f>IF('ENTRADAS-BASE'!B688="","",'ENTRADAS-BASE'!B688)</f>
        <v/>
      </c>
      <c r="D690" t="str">
        <f>IF('ENTRADAS-BASE'!C688="","",'ENTRADAS-BASE'!C688)</f>
        <v/>
      </c>
      <c r="E690" s="7" t="str">
        <f>IF('ENTRADAS-BASE'!D688="","",'ENTRADAS-BASE'!D688)</f>
        <v/>
      </c>
      <c r="F690" s="6" t="str">
        <f>IF('ENTRADAS-BASE'!E688="","",'ENTRADAS-BASE'!E688)</f>
        <v/>
      </c>
      <c r="G690" t="str">
        <f>IF('ENTRADAS-BASE'!F688="","",'ENTRADAS-BASE'!F688)</f>
        <v/>
      </c>
      <c r="H690" t="str">
        <f>IF('ENTRADAS-BASE'!G688="","",'ENTRADAS-BASE'!G688)</f>
        <v/>
      </c>
      <c r="I690" t="str">
        <f>IF('ENTRADAS-BASE'!H688="","",'ENTRADAS-BASE'!H688)</f>
        <v/>
      </c>
      <c r="J690" t="str">
        <f>IF('ENTRADAS-BASE'!I688="","",'ENTRADAS-BASE'!I688)</f>
        <v/>
      </c>
      <c r="K690" s="5" t="str">
        <f>IF('ENTRADAS-BASE'!J688="","",'ENTRADAS-BASE'!J688)</f>
        <v/>
      </c>
      <c r="L6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1" spans="2:12" x14ac:dyDescent="0.3">
      <c r="B691" t="str">
        <f>IF('ENTRADAS-BASE'!A689="","",'ENTRADAS-BASE'!A689)</f>
        <v/>
      </c>
      <c r="C691" t="str">
        <f>IF('ENTRADAS-BASE'!B689="","",'ENTRADAS-BASE'!B689)</f>
        <v/>
      </c>
      <c r="D691" t="str">
        <f>IF('ENTRADAS-BASE'!C689="","",'ENTRADAS-BASE'!C689)</f>
        <v/>
      </c>
      <c r="E691" s="7" t="str">
        <f>IF('ENTRADAS-BASE'!D689="","",'ENTRADAS-BASE'!D689)</f>
        <v/>
      </c>
      <c r="F691" s="6" t="str">
        <f>IF('ENTRADAS-BASE'!E689="","",'ENTRADAS-BASE'!E689)</f>
        <v/>
      </c>
      <c r="G691" t="str">
        <f>IF('ENTRADAS-BASE'!F689="","",'ENTRADAS-BASE'!F689)</f>
        <v/>
      </c>
      <c r="H691" t="str">
        <f>IF('ENTRADAS-BASE'!G689="","",'ENTRADAS-BASE'!G689)</f>
        <v/>
      </c>
      <c r="I691" t="str">
        <f>IF('ENTRADAS-BASE'!H689="","",'ENTRADAS-BASE'!H689)</f>
        <v/>
      </c>
      <c r="J691" t="str">
        <f>IF('ENTRADAS-BASE'!I689="","",'ENTRADAS-BASE'!I689)</f>
        <v/>
      </c>
      <c r="K691" s="5" t="str">
        <f>IF('ENTRADAS-BASE'!J689="","",'ENTRADAS-BASE'!J689)</f>
        <v/>
      </c>
      <c r="L6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2" spans="2:12" x14ac:dyDescent="0.3">
      <c r="B692" t="str">
        <f>IF('ENTRADAS-BASE'!A690="","",'ENTRADAS-BASE'!A690)</f>
        <v/>
      </c>
      <c r="C692" t="str">
        <f>IF('ENTRADAS-BASE'!B690="","",'ENTRADAS-BASE'!B690)</f>
        <v/>
      </c>
      <c r="D692" t="str">
        <f>IF('ENTRADAS-BASE'!C690="","",'ENTRADAS-BASE'!C690)</f>
        <v/>
      </c>
      <c r="E692" s="7" t="str">
        <f>IF('ENTRADAS-BASE'!D690="","",'ENTRADAS-BASE'!D690)</f>
        <v/>
      </c>
      <c r="F692" s="6" t="str">
        <f>IF('ENTRADAS-BASE'!E690="","",'ENTRADAS-BASE'!E690)</f>
        <v/>
      </c>
      <c r="G692" t="str">
        <f>IF('ENTRADAS-BASE'!F690="","",'ENTRADAS-BASE'!F690)</f>
        <v/>
      </c>
      <c r="H692" t="str">
        <f>IF('ENTRADAS-BASE'!G690="","",'ENTRADAS-BASE'!G690)</f>
        <v/>
      </c>
      <c r="I692" t="str">
        <f>IF('ENTRADAS-BASE'!H690="","",'ENTRADAS-BASE'!H690)</f>
        <v/>
      </c>
      <c r="J692" t="str">
        <f>IF('ENTRADAS-BASE'!I690="","",'ENTRADAS-BASE'!I690)</f>
        <v/>
      </c>
      <c r="K692" s="5" t="str">
        <f>IF('ENTRADAS-BASE'!J690="","",'ENTRADAS-BASE'!J690)</f>
        <v/>
      </c>
      <c r="L6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3" spans="2:12" x14ac:dyDescent="0.3">
      <c r="B693" t="str">
        <f>IF('ENTRADAS-BASE'!A691="","",'ENTRADAS-BASE'!A691)</f>
        <v/>
      </c>
      <c r="C693" t="str">
        <f>IF('ENTRADAS-BASE'!B691="","",'ENTRADAS-BASE'!B691)</f>
        <v/>
      </c>
      <c r="D693" t="str">
        <f>IF('ENTRADAS-BASE'!C691="","",'ENTRADAS-BASE'!C691)</f>
        <v/>
      </c>
      <c r="E693" s="7" t="str">
        <f>IF('ENTRADAS-BASE'!D691="","",'ENTRADAS-BASE'!D691)</f>
        <v/>
      </c>
      <c r="F693" s="6" t="str">
        <f>IF('ENTRADAS-BASE'!E691="","",'ENTRADAS-BASE'!E691)</f>
        <v/>
      </c>
      <c r="G693" t="str">
        <f>IF('ENTRADAS-BASE'!F691="","",'ENTRADAS-BASE'!F691)</f>
        <v/>
      </c>
      <c r="H693" t="str">
        <f>IF('ENTRADAS-BASE'!G691="","",'ENTRADAS-BASE'!G691)</f>
        <v/>
      </c>
      <c r="I693" t="str">
        <f>IF('ENTRADAS-BASE'!H691="","",'ENTRADAS-BASE'!H691)</f>
        <v/>
      </c>
      <c r="J693" t="str">
        <f>IF('ENTRADAS-BASE'!I691="","",'ENTRADAS-BASE'!I691)</f>
        <v/>
      </c>
      <c r="K693" s="5" t="str">
        <f>IF('ENTRADAS-BASE'!J691="","",'ENTRADAS-BASE'!J691)</f>
        <v/>
      </c>
      <c r="L6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4" spans="2:12" x14ac:dyDescent="0.3">
      <c r="B694" t="str">
        <f>IF('ENTRADAS-BASE'!A692="","",'ENTRADAS-BASE'!A692)</f>
        <v/>
      </c>
      <c r="C694" t="str">
        <f>IF('ENTRADAS-BASE'!B692="","",'ENTRADAS-BASE'!B692)</f>
        <v/>
      </c>
      <c r="D694" t="str">
        <f>IF('ENTRADAS-BASE'!C692="","",'ENTRADAS-BASE'!C692)</f>
        <v/>
      </c>
      <c r="E694" s="7" t="str">
        <f>IF('ENTRADAS-BASE'!D692="","",'ENTRADAS-BASE'!D692)</f>
        <v/>
      </c>
      <c r="F694" s="6" t="str">
        <f>IF('ENTRADAS-BASE'!E692="","",'ENTRADAS-BASE'!E692)</f>
        <v/>
      </c>
      <c r="G694" t="str">
        <f>IF('ENTRADAS-BASE'!F692="","",'ENTRADAS-BASE'!F692)</f>
        <v/>
      </c>
      <c r="H694" t="str">
        <f>IF('ENTRADAS-BASE'!G692="","",'ENTRADAS-BASE'!G692)</f>
        <v/>
      </c>
      <c r="I694" t="str">
        <f>IF('ENTRADAS-BASE'!H692="","",'ENTRADAS-BASE'!H692)</f>
        <v/>
      </c>
      <c r="J694" t="str">
        <f>IF('ENTRADAS-BASE'!I692="","",'ENTRADAS-BASE'!I692)</f>
        <v/>
      </c>
      <c r="K694" s="5" t="str">
        <f>IF('ENTRADAS-BASE'!J692="","",'ENTRADAS-BASE'!J692)</f>
        <v/>
      </c>
      <c r="L6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5" spans="2:12" x14ac:dyDescent="0.3">
      <c r="B695" t="str">
        <f>IF('ENTRADAS-BASE'!A693="","",'ENTRADAS-BASE'!A693)</f>
        <v/>
      </c>
      <c r="C695" t="str">
        <f>IF('ENTRADAS-BASE'!B693="","",'ENTRADAS-BASE'!B693)</f>
        <v/>
      </c>
      <c r="D695" t="str">
        <f>IF('ENTRADAS-BASE'!C693="","",'ENTRADAS-BASE'!C693)</f>
        <v/>
      </c>
      <c r="E695" s="7" t="str">
        <f>IF('ENTRADAS-BASE'!D693="","",'ENTRADAS-BASE'!D693)</f>
        <v/>
      </c>
      <c r="F695" s="6" t="str">
        <f>IF('ENTRADAS-BASE'!E693="","",'ENTRADAS-BASE'!E693)</f>
        <v/>
      </c>
      <c r="G695" t="str">
        <f>IF('ENTRADAS-BASE'!F693="","",'ENTRADAS-BASE'!F693)</f>
        <v/>
      </c>
      <c r="H695" t="str">
        <f>IF('ENTRADAS-BASE'!G693="","",'ENTRADAS-BASE'!G693)</f>
        <v/>
      </c>
      <c r="I695" t="str">
        <f>IF('ENTRADAS-BASE'!H693="","",'ENTRADAS-BASE'!H693)</f>
        <v/>
      </c>
      <c r="J695" t="str">
        <f>IF('ENTRADAS-BASE'!I693="","",'ENTRADAS-BASE'!I693)</f>
        <v/>
      </c>
      <c r="K695" s="5" t="str">
        <f>IF('ENTRADAS-BASE'!J693="","",'ENTRADAS-BASE'!J693)</f>
        <v/>
      </c>
      <c r="L6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6" spans="2:12" x14ac:dyDescent="0.3">
      <c r="B696" t="str">
        <f>IF('ENTRADAS-BASE'!A694="","",'ENTRADAS-BASE'!A694)</f>
        <v/>
      </c>
      <c r="C696" t="str">
        <f>IF('ENTRADAS-BASE'!B694="","",'ENTRADAS-BASE'!B694)</f>
        <v/>
      </c>
      <c r="D696" t="str">
        <f>IF('ENTRADAS-BASE'!C694="","",'ENTRADAS-BASE'!C694)</f>
        <v/>
      </c>
      <c r="E696" s="7" t="str">
        <f>IF('ENTRADAS-BASE'!D694="","",'ENTRADAS-BASE'!D694)</f>
        <v/>
      </c>
      <c r="F696" s="6" t="str">
        <f>IF('ENTRADAS-BASE'!E694="","",'ENTRADAS-BASE'!E694)</f>
        <v/>
      </c>
      <c r="G696" t="str">
        <f>IF('ENTRADAS-BASE'!F694="","",'ENTRADAS-BASE'!F694)</f>
        <v/>
      </c>
      <c r="H696" t="str">
        <f>IF('ENTRADAS-BASE'!G694="","",'ENTRADAS-BASE'!G694)</f>
        <v/>
      </c>
      <c r="I696" t="str">
        <f>IF('ENTRADAS-BASE'!H694="","",'ENTRADAS-BASE'!H694)</f>
        <v/>
      </c>
      <c r="J696" t="str">
        <f>IF('ENTRADAS-BASE'!I694="","",'ENTRADAS-BASE'!I694)</f>
        <v/>
      </c>
      <c r="K696" s="5" t="str">
        <f>IF('ENTRADAS-BASE'!J694="","",'ENTRADAS-BASE'!J694)</f>
        <v/>
      </c>
      <c r="L6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7" spans="2:12" x14ac:dyDescent="0.3">
      <c r="B697" t="str">
        <f>IF('ENTRADAS-BASE'!A695="","",'ENTRADAS-BASE'!A695)</f>
        <v/>
      </c>
      <c r="C697" t="str">
        <f>IF('ENTRADAS-BASE'!B695="","",'ENTRADAS-BASE'!B695)</f>
        <v/>
      </c>
      <c r="D697" t="str">
        <f>IF('ENTRADAS-BASE'!C695="","",'ENTRADAS-BASE'!C695)</f>
        <v/>
      </c>
      <c r="E697" s="7" t="str">
        <f>IF('ENTRADAS-BASE'!D695="","",'ENTRADAS-BASE'!D695)</f>
        <v/>
      </c>
      <c r="F697" s="6" t="str">
        <f>IF('ENTRADAS-BASE'!E695="","",'ENTRADAS-BASE'!E695)</f>
        <v/>
      </c>
      <c r="G697" t="str">
        <f>IF('ENTRADAS-BASE'!F695="","",'ENTRADAS-BASE'!F695)</f>
        <v/>
      </c>
      <c r="H697" t="str">
        <f>IF('ENTRADAS-BASE'!G695="","",'ENTRADAS-BASE'!G695)</f>
        <v/>
      </c>
      <c r="I697" t="str">
        <f>IF('ENTRADAS-BASE'!H695="","",'ENTRADAS-BASE'!H695)</f>
        <v/>
      </c>
      <c r="J697" t="str">
        <f>IF('ENTRADAS-BASE'!I695="","",'ENTRADAS-BASE'!I695)</f>
        <v/>
      </c>
      <c r="K697" s="5" t="str">
        <f>IF('ENTRADAS-BASE'!J695="","",'ENTRADAS-BASE'!J695)</f>
        <v/>
      </c>
      <c r="L6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8" spans="2:12" x14ac:dyDescent="0.3">
      <c r="B698" t="str">
        <f>IF('ENTRADAS-BASE'!A696="","",'ENTRADAS-BASE'!A696)</f>
        <v/>
      </c>
      <c r="C698" t="str">
        <f>IF('ENTRADAS-BASE'!B696="","",'ENTRADAS-BASE'!B696)</f>
        <v/>
      </c>
      <c r="D698" t="str">
        <f>IF('ENTRADAS-BASE'!C696="","",'ENTRADAS-BASE'!C696)</f>
        <v/>
      </c>
      <c r="E698" s="7" t="str">
        <f>IF('ENTRADAS-BASE'!D696="","",'ENTRADAS-BASE'!D696)</f>
        <v/>
      </c>
      <c r="F698" s="6" t="str">
        <f>IF('ENTRADAS-BASE'!E696="","",'ENTRADAS-BASE'!E696)</f>
        <v/>
      </c>
      <c r="G698" t="str">
        <f>IF('ENTRADAS-BASE'!F696="","",'ENTRADAS-BASE'!F696)</f>
        <v/>
      </c>
      <c r="H698" t="str">
        <f>IF('ENTRADAS-BASE'!G696="","",'ENTRADAS-BASE'!G696)</f>
        <v/>
      </c>
      <c r="I698" t="str">
        <f>IF('ENTRADAS-BASE'!H696="","",'ENTRADAS-BASE'!H696)</f>
        <v/>
      </c>
      <c r="J698" t="str">
        <f>IF('ENTRADAS-BASE'!I696="","",'ENTRADAS-BASE'!I696)</f>
        <v/>
      </c>
      <c r="K698" s="5" t="str">
        <f>IF('ENTRADAS-BASE'!J696="","",'ENTRADAS-BASE'!J696)</f>
        <v/>
      </c>
      <c r="L6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9" spans="2:12" x14ac:dyDescent="0.3">
      <c r="B699" t="str">
        <f>IF('ENTRADAS-BASE'!A697="","",'ENTRADAS-BASE'!A697)</f>
        <v/>
      </c>
      <c r="C699" t="str">
        <f>IF('ENTRADAS-BASE'!B697="","",'ENTRADAS-BASE'!B697)</f>
        <v/>
      </c>
      <c r="D699" t="str">
        <f>IF('ENTRADAS-BASE'!C697="","",'ENTRADAS-BASE'!C697)</f>
        <v/>
      </c>
      <c r="E699" s="7" t="str">
        <f>IF('ENTRADAS-BASE'!D697="","",'ENTRADAS-BASE'!D697)</f>
        <v/>
      </c>
      <c r="F699" s="6" t="str">
        <f>IF('ENTRADAS-BASE'!E697="","",'ENTRADAS-BASE'!E697)</f>
        <v/>
      </c>
      <c r="G699" t="str">
        <f>IF('ENTRADAS-BASE'!F697="","",'ENTRADAS-BASE'!F697)</f>
        <v/>
      </c>
      <c r="H699" t="str">
        <f>IF('ENTRADAS-BASE'!G697="","",'ENTRADAS-BASE'!G697)</f>
        <v/>
      </c>
      <c r="I699" t="str">
        <f>IF('ENTRADAS-BASE'!H697="","",'ENTRADAS-BASE'!H697)</f>
        <v/>
      </c>
      <c r="J699" t="str">
        <f>IF('ENTRADAS-BASE'!I697="","",'ENTRADAS-BASE'!I697)</f>
        <v/>
      </c>
      <c r="K699" s="5" t="str">
        <f>IF('ENTRADAS-BASE'!J697="","",'ENTRADAS-BASE'!J697)</f>
        <v/>
      </c>
      <c r="L6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0" spans="2:12" x14ac:dyDescent="0.3">
      <c r="B700" t="str">
        <f>IF('ENTRADAS-BASE'!A698="","",'ENTRADAS-BASE'!A698)</f>
        <v/>
      </c>
      <c r="C700" t="str">
        <f>IF('ENTRADAS-BASE'!B698="","",'ENTRADAS-BASE'!B698)</f>
        <v/>
      </c>
      <c r="D700" t="str">
        <f>IF('ENTRADAS-BASE'!C698="","",'ENTRADAS-BASE'!C698)</f>
        <v/>
      </c>
      <c r="E700" s="7" t="str">
        <f>IF('ENTRADAS-BASE'!D698="","",'ENTRADAS-BASE'!D698)</f>
        <v/>
      </c>
      <c r="F700" s="6" t="str">
        <f>IF('ENTRADAS-BASE'!E698="","",'ENTRADAS-BASE'!E698)</f>
        <v/>
      </c>
      <c r="G700" t="str">
        <f>IF('ENTRADAS-BASE'!F698="","",'ENTRADAS-BASE'!F698)</f>
        <v/>
      </c>
      <c r="H700" t="str">
        <f>IF('ENTRADAS-BASE'!G698="","",'ENTRADAS-BASE'!G698)</f>
        <v/>
      </c>
      <c r="I700" t="str">
        <f>IF('ENTRADAS-BASE'!H698="","",'ENTRADAS-BASE'!H698)</f>
        <v/>
      </c>
      <c r="J700" t="str">
        <f>IF('ENTRADAS-BASE'!I698="","",'ENTRADAS-BASE'!I698)</f>
        <v/>
      </c>
      <c r="K700" s="5" t="str">
        <f>IF('ENTRADAS-BASE'!J698="","",'ENTRADAS-BASE'!J698)</f>
        <v/>
      </c>
      <c r="L7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1" spans="2:12" x14ac:dyDescent="0.3">
      <c r="B701" t="str">
        <f>IF('ENTRADAS-BASE'!A699="","",'ENTRADAS-BASE'!A699)</f>
        <v/>
      </c>
      <c r="C701" t="str">
        <f>IF('ENTRADAS-BASE'!B699="","",'ENTRADAS-BASE'!B699)</f>
        <v/>
      </c>
      <c r="D701" t="str">
        <f>IF('ENTRADAS-BASE'!C699="","",'ENTRADAS-BASE'!C699)</f>
        <v/>
      </c>
      <c r="E701" s="7" t="str">
        <f>IF('ENTRADAS-BASE'!D699="","",'ENTRADAS-BASE'!D699)</f>
        <v/>
      </c>
      <c r="F701" s="6" t="str">
        <f>IF('ENTRADAS-BASE'!E699="","",'ENTRADAS-BASE'!E699)</f>
        <v/>
      </c>
      <c r="G701" t="str">
        <f>IF('ENTRADAS-BASE'!F699="","",'ENTRADAS-BASE'!F699)</f>
        <v/>
      </c>
      <c r="H701" t="str">
        <f>IF('ENTRADAS-BASE'!G699="","",'ENTRADAS-BASE'!G699)</f>
        <v/>
      </c>
      <c r="I701" t="str">
        <f>IF('ENTRADAS-BASE'!H699="","",'ENTRADAS-BASE'!H699)</f>
        <v/>
      </c>
      <c r="J701" t="str">
        <f>IF('ENTRADAS-BASE'!I699="","",'ENTRADAS-BASE'!I699)</f>
        <v/>
      </c>
      <c r="K701" s="5" t="str">
        <f>IF('ENTRADAS-BASE'!J699="","",'ENTRADAS-BASE'!J699)</f>
        <v/>
      </c>
      <c r="L7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2" spans="2:12" x14ac:dyDescent="0.3">
      <c r="B702" t="str">
        <f>IF('ENTRADAS-BASE'!A700="","",'ENTRADAS-BASE'!A700)</f>
        <v/>
      </c>
      <c r="C702" t="str">
        <f>IF('ENTRADAS-BASE'!B700="","",'ENTRADAS-BASE'!B700)</f>
        <v/>
      </c>
      <c r="D702" t="str">
        <f>IF('ENTRADAS-BASE'!C700="","",'ENTRADAS-BASE'!C700)</f>
        <v/>
      </c>
      <c r="E702" s="7" t="str">
        <f>IF('ENTRADAS-BASE'!D700="","",'ENTRADAS-BASE'!D700)</f>
        <v/>
      </c>
      <c r="F702" s="6" t="str">
        <f>IF('ENTRADAS-BASE'!E700="","",'ENTRADAS-BASE'!E700)</f>
        <v/>
      </c>
      <c r="G702" t="str">
        <f>IF('ENTRADAS-BASE'!F700="","",'ENTRADAS-BASE'!F700)</f>
        <v/>
      </c>
      <c r="H702" t="str">
        <f>IF('ENTRADAS-BASE'!G700="","",'ENTRADAS-BASE'!G700)</f>
        <v/>
      </c>
      <c r="I702" t="str">
        <f>IF('ENTRADAS-BASE'!H700="","",'ENTRADAS-BASE'!H700)</f>
        <v/>
      </c>
      <c r="J702" t="str">
        <f>IF('ENTRADAS-BASE'!I700="","",'ENTRADAS-BASE'!I700)</f>
        <v/>
      </c>
      <c r="K702" s="5" t="str">
        <f>IF('ENTRADAS-BASE'!J700="","",'ENTRADAS-BASE'!J700)</f>
        <v/>
      </c>
      <c r="L7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3" spans="2:12" x14ac:dyDescent="0.3">
      <c r="B703" t="str">
        <f>IF('ENTRADAS-BASE'!A701="","",'ENTRADAS-BASE'!A701)</f>
        <v/>
      </c>
      <c r="C703" t="str">
        <f>IF('ENTRADAS-BASE'!B701="","",'ENTRADAS-BASE'!B701)</f>
        <v/>
      </c>
      <c r="D703" t="str">
        <f>IF('ENTRADAS-BASE'!C701="","",'ENTRADAS-BASE'!C701)</f>
        <v/>
      </c>
      <c r="E703" s="7" t="str">
        <f>IF('ENTRADAS-BASE'!D701="","",'ENTRADAS-BASE'!D701)</f>
        <v/>
      </c>
      <c r="F703" s="6" t="str">
        <f>IF('ENTRADAS-BASE'!E701="","",'ENTRADAS-BASE'!E701)</f>
        <v/>
      </c>
      <c r="G703" t="str">
        <f>IF('ENTRADAS-BASE'!F701="","",'ENTRADAS-BASE'!F701)</f>
        <v/>
      </c>
      <c r="H703" t="str">
        <f>IF('ENTRADAS-BASE'!G701="","",'ENTRADAS-BASE'!G701)</f>
        <v/>
      </c>
      <c r="I703" t="str">
        <f>IF('ENTRADAS-BASE'!H701="","",'ENTRADAS-BASE'!H701)</f>
        <v/>
      </c>
      <c r="J703" t="str">
        <f>IF('ENTRADAS-BASE'!I701="","",'ENTRADAS-BASE'!I701)</f>
        <v/>
      </c>
      <c r="K703" s="5" t="str">
        <f>IF('ENTRADAS-BASE'!J701="","",'ENTRADAS-BASE'!J701)</f>
        <v/>
      </c>
      <c r="L7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4" spans="2:12" x14ac:dyDescent="0.3">
      <c r="B704" t="str">
        <f>IF('ENTRADAS-BASE'!A702="","",'ENTRADAS-BASE'!A702)</f>
        <v/>
      </c>
      <c r="C704" t="str">
        <f>IF('ENTRADAS-BASE'!B702="","",'ENTRADAS-BASE'!B702)</f>
        <v/>
      </c>
      <c r="D704" t="str">
        <f>IF('ENTRADAS-BASE'!C702="","",'ENTRADAS-BASE'!C702)</f>
        <v/>
      </c>
      <c r="E704" s="7" t="str">
        <f>IF('ENTRADAS-BASE'!D702="","",'ENTRADAS-BASE'!D702)</f>
        <v/>
      </c>
      <c r="F704" s="6" t="str">
        <f>IF('ENTRADAS-BASE'!E702="","",'ENTRADAS-BASE'!E702)</f>
        <v/>
      </c>
      <c r="G704" t="str">
        <f>IF('ENTRADAS-BASE'!F702="","",'ENTRADAS-BASE'!F702)</f>
        <v/>
      </c>
      <c r="H704" t="str">
        <f>IF('ENTRADAS-BASE'!G702="","",'ENTRADAS-BASE'!G702)</f>
        <v/>
      </c>
      <c r="I704" t="str">
        <f>IF('ENTRADAS-BASE'!H702="","",'ENTRADAS-BASE'!H702)</f>
        <v/>
      </c>
      <c r="J704" t="str">
        <f>IF('ENTRADAS-BASE'!I702="","",'ENTRADAS-BASE'!I702)</f>
        <v/>
      </c>
      <c r="K704" s="5" t="str">
        <f>IF('ENTRADAS-BASE'!J702="","",'ENTRADAS-BASE'!J702)</f>
        <v/>
      </c>
      <c r="L7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5" spans="2:12" x14ac:dyDescent="0.3">
      <c r="B705" t="str">
        <f>IF('ENTRADAS-BASE'!A703="","",'ENTRADAS-BASE'!A703)</f>
        <v/>
      </c>
      <c r="C705" t="str">
        <f>IF('ENTRADAS-BASE'!B703="","",'ENTRADAS-BASE'!B703)</f>
        <v/>
      </c>
      <c r="D705" t="str">
        <f>IF('ENTRADAS-BASE'!C703="","",'ENTRADAS-BASE'!C703)</f>
        <v/>
      </c>
      <c r="E705" s="7" t="str">
        <f>IF('ENTRADAS-BASE'!D703="","",'ENTRADAS-BASE'!D703)</f>
        <v/>
      </c>
      <c r="F705" s="6" t="str">
        <f>IF('ENTRADAS-BASE'!E703="","",'ENTRADAS-BASE'!E703)</f>
        <v/>
      </c>
      <c r="G705" t="str">
        <f>IF('ENTRADAS-BASE'!F703="","",'ENTRADAS-BASE'!F703)</f>
        <v/>
      </c>
      <c r="H705" t="str">
        <f>IF('ENTRADAS-BASE'!G703="","",'ENTRADAS-BASE'!G703)</f>
        <v/>
      </c>
      <c r="I705" t="str">
        <f>IF('ENTRADAS-BASE'!H703="","",'ENTRADAS-BASE'!H703)</f>
        <v/>
      </c>
      <c r="J705" t="str">
        <f>IF('ENTRADAS-BASE'!I703="","",'ENTRADAS-BASE'!I703)</f>
        <v/>
      </c>
      <c r="K705" s="5" t="str">
        <f>IF('ENTRADAS-BASE'!J703="","",'ENTRADAS-BASE'!J703)</f>
        <v/>
      </c>
      <c r="L7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6" spans="2:12" x14ac:dyDescent="0.3">
      <c r="B706" t="str">
        <f>IF('ENTRADAS-BASE'!A704="","",'ENTRADAS-BASE'!A704)</f>
        <v/>
      </c>
      <c r="C706" t="str">
        <f>IF('ENTRADAS-BASE'!B704="","",'ENTRADAS-BASE'!B704)</f>
        <v/>
      </c>
      <c r="D706" t="str">
        <f>IF('ENTRADAS-BASE'!C704="","",'ENTRADAS-BASE'!C704)</f>
        <v/>
      </c>
      <c r="E706" s="7" t="str">
        <f>IF('ENTRADAS-BASE'!D704="","",'ENTRADAS-BASE'!D704)</f>
        <v/>
      </c>
      <c r="F706" s="6" t="str">
        <f>IF('ENTRADAS-BASE'!E704="","",'ENTRADAS-BASE'!E704)</f>
        <v/>
      </c>
      <c r="G706" t="str">
        <f>IF('ENTRADAS-BASE'!F704="","",'ENTRADAS-BASE'!F704)</f>
        <v/>
      </c>
      <c r="H706" t="str">
        <f>IF('ENTRADAS-BASE'!G704="","",'ENTRADAS-BASE'!G704)</f>
        <v/>
      </c>
      <c r="I706" t="str">
        <f>IF('ENTRADAS-BASE'!H704="","",'ENTRADAS-BASE'!H704)</f>
        <v/>
      </c>
      <c r="J706" t="str">
        <f>IF('ENTRADAS-BASE'!I704="","",'ENTRADAS-BASE'!I704)</f>
        <v/>
      </c>
      <c r="K706" s="5" t="str">
        <f>IF('ENTRADAS-BASE'!J704="","",'ENTRADAS-BASE'!J704)</f>
        <v/>
      </c>
      <c r="L7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7" spans="2:12" x14ac:dyDescent="0.3">
      <c r="B707" t="str">
        <f>IF('ENTRADAS-BASE'!A705="","",'ENTRADAS-BASE'!A705)</f>
        <v/>
      </c>
      <c r="C707" t="str">
        <f>IF('ENTRADAS-BASE'!B705="","",'ENTRADAS-BASE'!B705)</f>
        <v/>
      </c>
      <c r="D707" t="str">
        <f>IF('ENTRADAS-BASE'!C705="","",'ENTRADAS-BASE'!C705)</f>
        <v/>
      </c>
      <c r="E707" s="7" t="str">
        <f>IF('ENTRADAS-BASE'!D705="","",'ENTRADAS-BASE'!D705)</f>
        <v/>
      </c>
      <c r="F707" s="6" t="str">
        <f>IF('ENTRADAS-BASE'!E705="","",'ENTRADAS-BASE'!E705)</f>
        <v/>
      </c>
      <c r="G707" t="str">
        <f>IF('ENTRADAS-BASE'!F705="","",'ENTRADAS-BASE'!F705)</f>
        <v/>
      </c>
      <c r="H707" t="str">
        <f>IF('ENTRADAS-BASE'!G705="","",'ENTRADAS-BASE'!G705)</f>
        <v/>
      </c>
      <c r="I707" t="str">
        <f>IF('ENTRADAS-BASE'!H705="","",'ENTRADAS-BASE'!H705)</f>
        <v/>
      </c>
      <c r="J707" t="str">
        <f>IF('ENTRADAS-BASE'!I705="","",'ENTRADAS-BASE'!I705)</f>
        <v/>
      </c>
      <c r="K707" s="5" t="str">
        <f>IF('ENTRADAS-BASE'!J705="","",'ENTRADAS-BASE'!J705)</f>
        <v/>
      </c>
      <c r="L7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8" spans="2:12" x14ac:dyDescent="0.3">
      <c r="B708" t="str">
        <f>IF('ENTRADAS-BASE'!A706="","",'ENTRADAS-BASE'!A706)</f>
        <v/>
      </c>
      <c r="C708" t="str">
        <f>IF('ENTRADAS-BASE'!B706="","",'ENTRADAS-BASE'!B706)</f>
        <v/>
      </c>
      <c r="D708" t="str">
        <f>IF('ENTRADAS-BASE'!C706="","",'ENTRADAS-BASE'!C706)</f>
        <v/>
      </c>
      <c r="E708" s="7" t="str">
        <f>IF('ENTRADAS-BASE'!D706="","",'ENTRADAS-BASE'!D706)</f>
        <v/>
      </c>
      <c r="F708" s="6" t="str">
        <f>IF('ENTRADAS-BASE'!E706="","",'ENTRADAS-BASE'!E706)</f>
        <v/>
      </c>
      <c r="G708" t="str">
        <f>IF('ENTRADAS-BASE'!F706="","",'ENTRADAS-BASE'!F706)</f>
        <v/>
      </c>
      <c r="H708" t="str">
        <f>IF('ENTRADAS-BASE'!G706="","",'ENTRADAS-BASE'!G706)</f>
        <v/>
      </c>
      <c r="I708" t="str">
        <f>IF('ENTRADAS-BASE'!H706="","",'ENTRADAS-BASE'!H706)</f>
        <v/>
      </c>
      <c r="J708" t="str">
        <f>IF('ENTRADAS-BASE'!I706="","",'ENTRADAS-BASE'!I706)</f>
        <v/>
      </c>
      <c r="K708" s="5" t="str">
        <f>IF('ENTRADAS-BASE'!J706="","",'ENTRADAS-BASE'!J706)</f>
        <v/>
      </c>
      <c r="L7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9" spans="2:12" x14ac:dyDescent="0.3">
      <c r="B709" t="str">
        <f>IF('ENTRADAS-BASE'!A707="","",'ENTRADAS-BASE'!A707)</f>
        <v/>
      </c>
      <c r="C709" t="str">
        <f>IF('ENTRADAS-BASE'!B707="","",'ENTRADAS-BASE'!B707)</f>
        <v/>
      </c>
      <c r="D709" t="str">
        <f>IF('ENTRADAS-BASE'!C707="","",'ENTRADAS-BASE'!C707)</f>
        <v/>
      </c>
      <c r="E709" s="7" t="str">
        <f>IF('ENTRADAS-BASE'!D707="","",'ENTRADAS-BASE'!D707)</f>
        <v/>
      </c>
      <c r="F709" s="6" t="str">
        <f>IF('ENTRADAS-BASE'!E707="","",'ENTRADAS-BASE'!E707)</f>
        <v/>
      </c>
      <c r="G709" t="str">
        <f>IF('ENTRADAS-BASE'!F707="","",'ENTRADAS-BASE'!F707)</f>
        <v/>
      </c>
      <c r="H709" t="str">
        <f>IF('ENTRADAS-BASE'!G707="","",'ENTRADAS-BASE'!G707)</f>
        <v/>
      </c>
      <c r="I709" t="str">
        <f>IF('ENTRADAS-BASE'!H707="","",'ENTRADAS-BASE'!H707)</f>
        <v/>
      </c>
      <c r="J709" t="str">
        <f>IF('ENTRADAS-BASE'!I707="","",'ENTRADAS-BASE'!I707)</f>
        <v/>
      </c>
      <c r="K709" s="5" t="str">
        <f>IF('ENTRADAS-BASE'!J707="","",'ENTRADAS-BASE'!J707)</f>
        <v/>
      </c>
      <c r="L7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0" spans="2:12" x14ac:dyDescent="0.3">
      <c r="B710" t="str">
        <f>IF('ENTRADAS-BASE'!A708="","",'ENTRADAS-BASE'!A708)</f>
        <v/>
      </c>
      <c r="C710" t="str">
        <f>IF('ENTRADAS-BASE'!B708="","",'ENTRADAS-BASE'!B708)</f>
        <v/>
      </c>
      <c r="D710" t="str">
        <f>IF('ENTRADAS-BASE'!C708="","",'ENTRADAS-BASE'!C708)</f>
        <v/>
      </c>
      <c r="E710" s="7" t="str">
        <f>IF('ENTRADAS-BASE'!D708="","",'ENTRADAS-BASE'!D708)</f>
        <v/>
      </c>
      <c r="F710" s="6" t="str">
        <f>IF('ENTRADAS-BASE'!E708="","",'ENTRADAS-BASE'!E708)</f>
        <v/>
      </c>
      <c r="G710" t="str">
        <f>IF('ENTRADAS-BASE'!F708="","",'ENTRADAS-BASE'!F708)</f>
        <v/>
      </c>
      <c r="H710" t="str">
        <f>IF('ENTRADAS-BASE'!G708="","",'ENTRADAS-BASE'!G708)</f>
        <v/>
      </c>
      <c r="I710" t="str">
        <f>IF('ENTRADAS-BASE'!H708="","",'ENTRADAS-BASE'!H708)</f>
        <v/>
      </c>
      <c r="J710" t="str">
        <f>IF('ENTRADAS-BASE'!I708="","",'ENTRADAS-BASE'!I708)</f>
        <v/>
      </c>
      <c r="K710" s="5" t="str">
        <f>IF('ENTRADAS-BASE'!J708="","",'ENTRADAS-BASE'!J708)</f>
        <v/>
      </c>
      <c r="L7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1" spans="2:12" x14ac:dyDescent="0.3">
      <c r="B711" t="str">
        <f>IF('ENTRADAS-BASE'!A709="","",'ENTRADAS-BASE'!A709)</f>
        <v/>
      </c>
      <c r="C711" t="str">
        <f>IF('ENTRADAS-BASE'!B709="","",'ENTRADAS-BASE'!B709)</f>
        <v/>
      </c>
      <c r="D711" t="str">
        <f>IF('ENTRADAS-BASE'!C709="","",'ENTRADAS-BASE'!C709)</f>
        <v/>
      </c>
      <c r="E711" s="7" t="str">
        <f>IF('ENTRADAS-BASE'!D709="","",'ENTRADAS-BASE'!D709)</f>
        <v/>
      </c>
      <c r="F711" s="6" t="str">
        <f>IF('ENTRADAS-BASE'!E709="","",'ENTRADAS-BASE'!E709)</f>
        <v/>
      </c>
      <c r="G711" t="str">
        <f>IF('ENTRADAS-BASE'!F709="","",'ENTRADAS-BASE'!F709)</f>
        <v/>
      </c>
      <c r="H711" t="str">
        <f>IF('ENTRADAS-BASE'!G709="","",'ENTRADAS-BASE'!G709)</f>
        <v/>
      </c>
      <c r="I711" t="str">
        <f>IF('ENTRADAS-BASE'!H709="","",'ENTRADAS-BASE'!H709)</f>
        <v/>
      </c>
      <c r="J711" t="str">
        <f>IF('ENTRADAS-BASE'!I709="","",'ENTRADAS-BASE'!I709)</f>
        <v/>
      </c>
      <c r="K711" s="5" t="str">
        <f>IF('ENTRADAS-BASE'!J709="","",'ENTRADAS-BASE'!J709)</f>
        <v/>
      </c>
      <c r="L7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2" spans="2:12" x14ac:dyDescent="0.3">
      <c r="B712" t="str">
        <f>IF('ENTRADAS-BASE'!A710="","",'ENTRADAS-BASE'!A710)</f>
        <v/>
      </c>
      <c r="C712" t="str">
        <f>IF('ENTRADAS-BASE'!B710="","",'ENTRADAS-BASE'!B710)</f>
        <v/>
      </c>
      <c r="D712" t="str">
        <f>IF('ENTRADAS-BASE'!C710="","",'ENTRADAS-BASE'!C710)</f>
        <v/>
      </c>
      <c r="E712" s="7" t="str">
        <f>IF('ENTRADAS-BASE'!D710="","",'ENTRADAS-BASE'!D710)</f>
        <v/>
      </c>
      <c r="F712" s="6" t="str">
        <f>IF('ENTRADAS-BASE'!E710="","",'ENTRADAS-BASE'!E710)</f>
        <v/>
      </c>
      <c r="G712" t="str">
        <f>IF('ENTRADAS-BASE'!F710="","",'ENTRADAS-BASE'!F710)</f>
        <v/>
      </c>
      <c r="H712" t="str">
        <f>IF('ENTRADAS-BASE'!G710="","",'ENTRADAS-BASE'!G710)</f>
        <v/>
      </c>
      <c r="I712" t="str">
        <f>IF('ENTRADAS-BASE'!H710="","",'ENTRADAS-BASE'!H710)</f>
        <v/>
      </c>
      <c r="J712" t="str">
        <f>IF('ENTRADAS-BASE'!I710="","",'ENTRADAS-BASE'!I710)</f>
        <v/>
      </c>
      <c r="K712" s="5" t="str">
        <f>IF('ENTRADAS-BASE'!J710="","",'ENTRADAS-BASE'!J710)</f>
        <v/>
      </c>
      <c r="L7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3" spans="2:12" x14ac:dyDescent="0.3">
      <c r="B713" t="str">
        <f>IF('ENTRADAS-BASE'!A711="","",'ENTRADAS-BASE'!A711)</f>
        <v/>
      </c>
      <c r="C713" t="str">
        <f>IF('ENTRADAS-BASE'!B711="","",'ENTRADAS-BASE'!B711)</f>
        <v/>
      </c>
      <c r="D713" t="str">
        <f>IF('ENTRADAS-BASE'!C711="","",'ENTRADAS-BASE'!C711)</f>
        <v/>
      </c>
      <c r="E713" s="7" t="str">
        <f>IF('ENTRADAS-BASE'!D711="","",'ENTRADAS-BASE'!D711)</f>
        <v/>
      </c>
      <c r="F713" s="6" t="str">
        <f>IF('ENTRADAS-BASE'!E711="","",'ENTRADAS-BASE'!E711)</f>
        <v/>
      </c>
      <c r="G713" t="str">
        <f>IF('ENTRADAS-BASE'!F711="","",'ENTRADAS-BASE'!F711)</f>
        <v/>
      </c>
      <c r="H713" t="str">
        <f>IF('ENTRADAS-BASE'!G711="","",'ENTRADAS-BASE'!G711)</f>
        <v/>
      </c>
      <c r="I713" t="str">
        <f>IF('ENTRADAS-BASE'!H711="","",'ENTRADAS-BASE'!H711)</f>
        <v/>
      </c>
      <c r="J713" t="str">
        <f>IF('ENTRADAS-BASE'!I711="","",'ENTRADAS-BASE'!I711)</f>
        <v/>
      </c>
      <c r="K713" s="5" t="str">
        <f>IF('ENTRADAS-BASE'!J711="","",'ENTRADAS-BASE'!J711)</f>
        <v/>
      </c>
      <c r="L7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4" spans="2:12" x14ac:dyDescent="0.3">
      <c r="B714" t="str">
        <f>IF('ENTRADAS-BASE'!A712="","",'ENTRADAS-BASE'!A712)</f>
        <v/>
      </c>
      <c r="C714" t="str">
        <f>IF('ENTRADAS-BASE'!B712="","",'ENTRADAS-BASE'!B712)</f>
        <v/>
      </c>
      <c r="D714" t="str">
        <f>IF('ENTRADAS-BASE'!C712="","",'ENTRADAS-BASE'!C712)</f>
        <v/>
      </c>
      <c r="E714" s="7" t="str">
        <f>IF('ENTRADAS-BASE'!D712="","",'ENTRADAS-BASE'!D712)</f>
        <v/>
      </c>
      <c r="F714" s="6" t="str">
        <f>IF('ENTRADAS-BASE'!E712="","",'ENTRADAS-BASE'!E712)</f>
        <v/>
      </c>
      <c r="G714" t="str">
        <f>IF('ENTRADAS-BASE'!F712="","",'ENTRADAS-BASE'!F712)</f>
        <v/>
      </c>
      <c r="H714" t="str">
        <f>IF('ENTRADAS-BASE'!G712="","",'ENTRADAS-BASE'!G712)</f>
        <v/>
      </c>
      <c r="I714" t="str">
        <f>IF('ENTRADAS-BASE'!H712="","",'ENTRADAS-BASE'!H712)</f>
        <v/>
      </c>
      <c r="J714" t="str">
        <f>IF('ENTRADAS-BASE'!I712="","",'ENTRADAS-BASE'!I712)</f>
        <v/>
      </c>
      <c r="K714" s="5" t="str">
        <f>IF('ENTRADAS-BASE'!J712="","",'ENTRADAS-BASE'!J712)</f>
        <v/>
      </c>
      <c r="L7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5" spans="2:12" x14ac:dyDescent="0.3">
      <c r="B715" t="str">
        <f>IF('ENTRADAS-BASE'!A713="","",'ENTRADAS-BASE'!A713)</f>
        <v/>
      </c>
      <c r="C715" t="str">
        <f>IF('ENTRADAS-BASE'!B713="","",'ENTRADAS-BASE'!B713)</f>
        <v/>
      </c>
      <c r="D715" t="str">
        <f>IF('ENTRADAS-BASE'!C713="","",'ENTRADAS-BASE'!C713)</f>
        <v/>
      </c>
      <c r="E715" s="7" t="str">
        <f>IF('ENTRADAS-BASE'!D713="","",'ENTRADAS-BASE'!D713)</f>
        <v/>
      </c>
      <c r="F715" s="6" t="str">
        <f>IF('ENTRADAS-BASE'!E713="","",'ENTRADAS-BASE'!E713)</f>
        <v/>
      </c>
      <c r="G715" t="str">
        <f>IF('ENTRADAS-BASE'!F713="","",'ENTRADAS-BASE'!F713)</f>
        <v/>
      </c>
      <c r="H715" t="str">
        <f>IF('ENTRADAS-BASE'!G713="","",'ENTRADAS-BASE'!G713)</f>
        <v/>
      </c>
      <c r="I715" t="str">
        <f>IF('ENTRADAS-BASE'!H713="","",'ENTRADAS-BASE'!H713)</f>
        <v/>
      </c>
      <c r="J715" t="str">
        <f>IF('ENTRADAS-BASE'!I713="","",'ENTRADAS-BASE'!I713)</f>
        <v/>
      </c>
      <c r="K715" s="5" t="str">
        <f>IF('ENTRADAS-BASE'!J713="","",'ENTRADAS-BASE'!J713)</f>
        <v/>
      </c>
      <c r="L7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6" spans="2:12" x14ac:dyDescent="0.3">
      <c r="B716" t="str">
        <f>IF('ENTRADAS-BASE'!A714="","",'ENTRADAS-BASE'!A714)</f>
        <v/>
      </c>
      <c r="C716" t="str">
        <f>IF('ENTRADAS-BASE'!B714="","",'ENTRADAS-BASE'!B714)</f>
        <v/>
      </c>
      <c r="D716" t="str">
        <f>IF('ENTRADAS-BASE'!C714="","",'ENTRADAS-BASE'!C714)</f>
        <v/>
      </c>
      <c r="E716" s="7" t="str">
        <f>IF('ENTRADAS-BASE'!D714="","",'ENTRADAS-BASE'!D714)</f>
        <v/>
      </c>
      <c r="F716" s="6" t="str">
        <f>IF('ENTRADAS-BASE'!E714="","",'ENTRADAS-BASE'!E714)</f>
        <v/>
      </c>
      <c r="G716" t="str">
        <f>IF('ENTRADAS-BASE'!F714="","",'ENTRADAS-BASE'!F714)</f>
        <v/>
      </c>
      <c r="H716" t="str">
        <f>IF('ENTRADAS-BASE'!G714="","",'ENTRADAS-BASE'!G714)</f>
        <v/>
      </c>
      <c r="I716" t="str">
        <f>IF('ENTRADAS-BASE'!H714="","",'ENTRADAS-BASE'!H714)</f>
        <v/>
      </c>
      <c r="J716" t="str">
        <f>IF('ENTRADAS-BASE'!I714="","",'ENTRADAS-BASE'!I714)</f>
        <v/>
      </c>
      <c r="K716" s="5" t="str">
        <f>IF('ENTRADAS-BASE'!J714="","",'ENTRADAS-BASE'!J714)</f>
        <v/>
      </c>
      <c r="L7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7" spans="2:12" x14ac:dyDescent="0.3">
      <c r="B717" t="str">
        <f>IF('ENTRADAS-BASE'!A715="","",'ENTRADAS-BASE'!A715)</f>
        <v/>
      </c>
      <c r="C717" t="str">
        <f>IF('ENTRADAS-BASE'!B715="","",'ENTRADAS-BASE'!B715)</f>
        <v/>
      </c>
      <c r="D717" t="str">
        <f>IF('ENTRADAS-BASE'!C715="","",'ENTRADAS-BASE'!C715)</f>
        <v/>
      </c>
      <c r="E717" s="7" t="str">
        <f>IF('ENTRADAS-BASE'!D715="","",'ENTRADAS-BASE'!D715)</f>
        <v/>
      </c>
      <c r="F717" s="6" t="str">
        <f>IF('ENTRADAS-BASE'!E715="","",'ENTRADAS-BASE'!E715)</f>
        <v/>
      </c>
      <c r="G717" t="str">
        <f>IF('ENTRADAS-BASE'!F715="","",'ENTRADAS-BASE'!F715)</f>
        <v/>
      </c>
      <c r="H717" t="str">
        <f>IF('ENTRADAS-BASE'!G715="","",'ENTRADAS-BASE'!G715)</f>
        <v/>
      </c>
      <c r="I717" t="str">
        <f>IF('ENTRADAS-BASE'!H715="","",'ENTRADAS-BASE'!H715)</f>
        <v/>
      </c>
      <c r="J717" t="str">
        <f>IF('ENTRADAS-BASE'!I715="","",'ENTRADAS-BASE'!I715)</f>
        <v/>
      </c>
      <c r="K717" s="5" t="str">
        <f>IF('ENTRADAS-BASE'!J715="","",'ENTRADAS-BASE'!J715)</f>
        <v/>
      </c>
      <c r="L7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8" spans="2:12" x14ac:dyDescent="0.3">
      <c r="B718" t="str">
        <f>IF('ENTRADAS-BASE'!A716="","",'ENTRADAS-BASE'!A716)</f>
        <v/>
      </c>
      <c r="C718" t="str">
        <f>IF('ENTRADAS-BASE'!B716="","",'ENTRADAS-BASE'!B716)</f>
        <v/>
      </c>
      <c r="D718" t="str">
        <f>IF('ENTRADAS-BASE'!C716="","",'ENTRADAS-BASE'!C716)</f>
        <v/>
      </c>
      <c r="E718" s="7" t="str">
        <f>IF('ENTRADAS-BASE'!D716="","",'ENTRADAS-BASE'!D716)</f>
        <v/>
      </c>
      <c r="F718" s="6" t="str">
        <f>IF('ENTRADAS-BASE'!E716="","",'ENTRADAS-BASE'!E716)</f>
        <v/>
      </c>
      <c r="G718" t="str">
        <f>IF('ENTRADAS-BASE'!F716="","",'ENTRADAS-BASE'!F716)</f>
        <v/>
      </c>
      <c r="H718" t="str">
        <f>IF('ENTRADAS-BASE'!G716="","",'ENTRADAS-BASE'!G716)</f>
        <v/>
      </c>
      <c r="I718" t="str">
        <f>IF('ENTRADAS-BASE'!H716="","",'ENTRADAS-BASE'!H716)</f>
        <v/>
      </c>
      <c r="J718" t="str">
        <f>IF('ENTRADAS-BASE'!I716="","",'ENTRADAS-BASE'!I716)</f>
        <v/>
      </c>
      <c r="K718" s="5" t="str">
        <f>IF('ENTRADAS-BASE'!J716="","",'ENTRADAS-BASE'!J716)</f>
        <v/>
      </c>
      <c r="L7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9" spans="2:12" x14ac:dyDescent="0.3">
      <c r="B719" t="str">
        <f>IF('ENTRADAS-BASE'!A717="","",'ENTRADAS-BASE'!A717)</f>
        <v/>
      </c>
      <c r="C719" t="str">
        <f>IF('ENTRADAS-BASE'!B717="","",'ENTRADAS-BASE'!B717)</f>
        <v/>
      </c>
      <c r="D719" t="str">
        <f>IF('ENTRADAS-BASE'!C717="","",'ENTRADAS-BASE'!C717)</f>
        <v/>
      </c>
      <c r="E719" s="7" t="str">
        <f>IF('ENTRADAS-BASE'!D717="","",'ENTRADAS-BASE'!D717)</f>
        <v/>
      </c>
      <c r="F719" s="6" t="str">
        <f>IF('ENTRADAS-BASE'!E717="","",'ENTRADAS-BASE'!E717)</f>
        <v/>
      </c>
      <c r="G719" t="str">
        <f>IF('ENTRADAS-BASE'!F717="","",'ENTRADAS-BASE'!F717)</f>
        <v/>
      </c>
      <c r="H719" t="str">
        <f>IF('ENTRADAS-BASE'!G717="","",'ENTRADAS-BASE'!G717)</f>
        <v/>
      </c>
      <c r="I719" t="str">
        <f>IF('ENTRADAS-BASE'!H717="","",'ENTRADAS-BASE'!H717)</f>
        <v/>
      </c>
      <c r="J719" t="str">
        <f>IF('ENTRADAS-BASE'!I717="","",'ENTRADAS-BASE'!I717)</f>
        <v/>
      </c>
      <c r="K719" s="5" t="str">
        <f>IF('ENTRADAS-BASE'!J717="","",'ENTRADAS-BASE'!J717)</f>
        <v/>
      </c>
      <c r="L7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0" spans="2:12" x14ac:dyDescent="0.3">
      <c r="B720" t="str">
        <f>IF('ENTRADAS-BASE'!A718="","",'ENTRADAS-BASE'!A718)</f>
        <v/>
      </c>
      <c r="C720" t="str">
        <f>IF('ENTRADAS-BASE'!B718="","",'ENTRADAS-BASE'!B718)</f>
        <v/>
      </c>
      <c r="D720" t="str">
        <f>IF('ENTRADAS-BASE'!C718="","",'ENTRADAS-BASE'!C718)</f>
        <v/>
      </c>
      <c r="E720" s="7" t="str">
        <f>IF('ENTRADAS-BASE'!D718="","",'ENTRADAS-BASE'!D718)</f>
        <v/>
      </c>
      <c r="F720" s="6" t="str">
        <f>IF('ENTRADAS-BASE'!E718="","",'ENTRADAS-BASE'!E718)</f>
        <v/>
      </c>
      <c r="G720" t="str">
        <f>IF('ENTRADAS-BASE'!F718="","",'ENTRADAS-BASE'!F718)</f>
        <v/>
      </c>
      <c r="H720" t="str">
        <f>IF('ENTRADAS-BASE'!G718="","",'ENTRADAS-BASE'!G718)</f>
        <v/>
      </c>
      <c r="I720" t="str">
        <f>IF('ENTRADAS-BASE'!H718="","",'ENTRADAS-BASE'!H718)</f>
        <v/>
      </c>
      <c r="J720" t="str">
        <f>IF('ENTRADAS-BASE'!I718="","",'ENTRADAS-BASE'!I718)</f>
        <v/>
      </c>
      <c r="K720" s="5" t="str">
        <f>IF('ENTRADAS-BASE'!J718="","",'ENTRADAS-BASE'!J718)</f>
        <v/>
      </c>
      <c r="L7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1" spans="2:12" x14ac:dyDescent="0.3">
      <c r="B721" t="str">
        <f>IF('ENTRADAS-BASE'!A719="","",'ENTRADAS-BASE'!A719)</f>
        <v/>
      </c>
      <c r="C721" t="str">
        <f>IF('ENTRADAS-BASE'!B719="","",'ENTRADAS-BASE'!B719)</f>
        <v/>
      </c>
      <c r="D721" t="str">
        <f>IF('ENTRADAS-BASE'!C719="","",'ENTRADAS-BASE'!C719)</f>
        <v/>
      </c>
      <c r="E721" s="7" t="str">
        <f>IF('ENTRADAS-BASE'!D719="","",'ENTRADAS-BASE'!D719)</f>
        <v/>
      </c>
      <c r="F721" s="6" t="str">
        <f>IF('ENTRADAS-BASE'!E719="","",'ENTRADAS-BASE'!E719)</f>
        <v/>
      </c>
      <c r="G721" t="str">
        <f>IF('ENTRADAS-BASE'!F719="","",'ENTRADAS-BASE'!F719)</f>
        <v/>
      </c>
      <c r="H721" t="str">
        <f>IF('ENTRADAS-BASE'!G719="","",'ENTRADAS-BASE'!G719)</f>
        <v/>
      </c>
      <c r="I721" t="str">
        <f>IF('ENTRADAS-BASE'!H719="","",'ENTRADAS-BASE'!H719)</f>
        <v/>
      </c>
      <c r="J721" t="str">
        <f>IF('ENTRADAS-BASE'!I719="","",'ENTRADAS-BASE'!I719)</f>
        <v/>
      </c>
      <c r="K721" s="5" t="str">
        <f>IF('ENTRADAS-BASE'!J719="","",'ENTRADAS-BASE'!J719)</f>
        <v/>
      </c>
      <c r="L7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2" spans="2:12" x14ac:dyDescent="0.3">
      <c r="B722" t="str">
        <f>IF('ENTRADAS-BASE'!A720="","",'ENTRADAS-BASE'!A720)</f>
        <v/>
      </c>
      <c r="C722" t="str">
        <f>IF('ENTRADAS-BASE'!B720="","",'ENTRADAS-BASE'!B720)</f>
        <v/>
      </c>
      <c r="D722" t="str">
        <f>IF('ENTRADAS-BASE'!C720="","",'ENTRADAS-BASE'!C720)</f>
        <v/>
      </c>
      <c r="E722" s="7" t="str">
        <f>IF('ENTRADAS-BASE'!D720="","",'ENTRADAS-BASE'!D720)</f>
        <v/>
      </c>
      <c r="F722" s="6" t="str">
        <f>IF('ENTRADAS-BASE'!E720="","",'ENTRADAS-BASE'!E720)</f>
        <v/>
      </c>
      <c r="G722" t="str">
        <f>IF('ENTRADAS-BASE'!F720="","",'ENTRADAS-BASE'!F720)</f>
        <v/>
      </c>
      <c r="H722" t="str">
        <f>IF('ENTRADAS-BASE'!G720="","",'ENTRADAS-BASE'!G720)</f>
        <v/>
      </c>
      <c r="I722" t="str">
        <f>IF('ENTRADAS-BASE'!H720="","",'ENTRADAS-BASE'!H720)</f>
        <v/>
      </c>
      <c r="J722" t="str">
        <f>IF('ENTRADAS-BASE'!I720="","",'ENTRADAS-BASE'!I720)</f>
        <v/>
      </c>
      <c r="K722" s="5" t="str">
        <f>IF('ENTRADAS-BASE'!J720="","",'ENTRADAS-BASE'!J720)</f>
        <v/>
      </c>
      <c r="L7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3" spans="2:12" x14ac:dyDescent="0.3">
      <c r="B723" t="str">
        <f>IF('ENTRADAS-BASE'!A721="","",'ENTRADAS-BASE'!A721)</f>
        <v/>
      </c>
      <c r="C723" t="str">
        <f>IF('ENTRADAS-BASE'!B721="","",'ENTRADAS-BASE'!B721)</f>
        <v/>
      </c>
      <c r="D723" t="str">
        <f>IF('ENTRADAS-BASE'!C721="","",'ENTRADAS-BASE'!C721)</f>
        <v/>
      </c>
      <c r="E723" s="7" t="str">
        <f>IF('ENTRADAS-BASE'!D721="","",'ENTRADAS-BASE'!D721)</f>
        <v/>
      </c>
      <c r="F723" s="6" t="str">
        <f>IF('ENTRADAS-BASE'!E721="","",'ENTRADAS-BASE'!E721)</f>
        <v/>
      </c>
      <c r="G723" t="str">
        <f>IF('ENTRADAS-BASE'!F721="","",'ENTRADAS-BASE'!F721)</f>
        <v/>
      </c>
      <c r="H723" t="str">
        <f>IF('ENTRADAS-BASE'!G721="","",'ENTRADAS-BASE'!G721)</f>
        <v/>
      </c>
      <c r="I723" t="str">
        <f>IF('ENTRADAS-BASE'!H721="","",'ENTRADAS-BASE'!H721)</f>
        <v/>
      </c>
      <c r="J723" t="str">
        <f>IF('ENTRADAS-BASE'!I721="","",'ENTRADAS-BASE'!I721)</f>
        <v/>
      </c>
      <c r="K723" s="5" t="str">
        <f>IF('ENTRADAS-BASE'!J721="","",'ENTRADAS-BASE'!J721)</f>
        <v/>
      </c>
      <c r="L7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4" spans="2:12" x14ac:dyDescent="0.3">
      <c r="B724" t="str">
        <f>IF('ENTRADAS-BASE'!A722="","",'ENTRADAS-BASE'!A722)</f>
        <v/>
      </c>
      <c r="C724" t="str">
        <f>IF('ENTRADAS-BASE'!B722="","",'ENTRADAS-BASE'!B722)</f>
        <v/>
      </c>
      <c r="D724" t="str">
        <f>IF('ENTRADAS-BASE'!C722="","",'ENTRADAS-BASE'!C722)</f>
        <v/>
      </c>
      <c r="E724" s="7" t="str">
        <f>IF('ENTRADAS-BASE'!D722="","",'ENTRADAS-BASE'!D722)</f>
        <v/>
      </c>
      <c r="F724" s="6" t="str">
        <f>IF('ENTRADAS-BASE'!E722="","",'ENTRADAS-BASE'!E722)</f>
        <v/>
      </c>
      <c r="G724" t="str">
        <f>IF('ENTRADAS-BASE'!F722="","",'ENTRADAS-BASE'!F722)</f>
        <v/>
      </c>
      <c r="H724" t="str">
        <f>IF('ENTRADAS-BASE'!G722="","",'ENTRADAS-BASE'!G722)</f>
        <v/>
      </c>
      <c r="I724" t="str">
        <f>IF('ENTRADAS-BASE'!H722="","",'ENTRADAS-BASE'!H722)</f>
        <v/>
      </c>
      <c r="J724" t="str">
        <f>IF('ENTRADAS-BASE'!I722="","",'ENTRADAS-BASE'!I722)</f>
        <v/>
      </c>
      <c r="K724" s="5" t="str">
        <f>IF('ENTRADAS-BASE'!J722="","",'ENTRADAS-BASE'!J722)</f>
        <v/>
      </c>
      <c r="L7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5" spans="2:12" x14ac:dyDescent="0.3">
      <c r="B725" t="str">
        <f>IF('ENTRADAS-BASE'!A723="","",'ENTRADAS-BASE'!A723)</f>
        <v/>
      </c>
      <c r="C725" t="str">
        <f>IF('ENTRADAS-BASE'!B723="","",'ENTRADAS-BASE'!B723)</f>
        <v/>
      </c>
      <c r="D725" t="str">
        <f>IF('ENTRADAS-BASE'!C723="","",'ENTRADAS-BASE'!C723)</f>
        <v/>
      </c>
      <c r="E725" s="7" t="str">
        <f>IF('ENTRADAS-BASE'!D723="","",'ENTRADAS-BASE'!D723)</f>
        <v/>
      </c>
      <c r="F725" s="6" t="str">
        <f>IF('ENTRADAS-BASE'!E723="","",'ENTRADAS-BASE'!E723)</f>
        <v/>
      </c>
      <c r="G725" t="str">
        <f>IF('ENTRADAS-BASE'!F723="","",'ENTRADAS-BASE'!F723)</f>
        <v/>
      </c>
      <c r="H725" t="str">
        <f>IF('ENTRADAS-BASE'!G723="","",'ENTRADAS-BASE'!G723)</f>
        <v/>
      </c>
      <c r="I725" t="str">
        <f>IF('ENTRADAS-BASE'!H723="","",'ENTRADAS-BASE'!H723)</f>
        <v/>
      </c>
      <c r="J725" t="str">
        <f>IF('ENTRADAS-BASE'!I723="","",'ENTRADAS-BASE'!I723)</f>
        <v/>
      </c>
      <c r="K725" s="5" t="str">
        <f>IF('ENTRADAS-BASE'!J723="","",'ENTRADAS-BASE'!J723)</f>
        <v/>
      </c>
      <c r="L7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6" spans="2:12" x14ac:dyDescent="0.3">
      <c r="B726" t="str">
        <f>IF('ENTRADAS-BASE'!A724="","",'ENTRADAS-BASE'!A724)</f>
        <v/>
      </c>
      <c r="C726" t="str">
        <f>IF('ENTRADAS-BASE'!B724="","",'ENTRADAS-BASE'!B724)</f>
        <v/>
      </c>
      <c r="D726" t="str">
        <f>IF('ENTRADAS-BASE'!C724="","",'ENTRADAS-BASE'!C724)</f>
        <v/>
      </c>
      <c r="E726" s="7" t="str">
        <f>IF('ENTRADAS-BASE'!D724="","",'ENTRADAS-BASE'!D724)</f>
        <v/>
      </c>
      <c r="F726" s="6" t="str">
        <f>IF('ENTRADAS-BASE'!E724="","",'ENTRADAS-BASE'!E724)</f>
        <v/>
      </c>
      <c r="G726" t="str">
        <f>IF('ENTRADAS-BASE'!F724="","",'ENTRADAS-BASE'!F724)</f>
        <v/>
      </c>
      <c r="H726" t="str">
        <f>IF('ENTRADAS-BASE'!G724="","",'ENTRADAS-BASE'!G724)</f>
        <v/>
      </c>
      <c r="I726" t="str">
        <f>IF('ENTRADAS-BASE'!H724="","",'ENTRADAS-BASE'!H724)</f>
        <v/>
      </c>
      <c r="J726" t="str">
        <f>IF('ENTRADAS-BASE'!I724="","",'ENTRADAS-BASE'!I724)</f>
        <v/>
      </c>
      <c r="K726" s="5" t="str">
        <f>IF('ENTRADAS-BASE'!J724="","",'ENTRADAS-BASE'!J724)</f>
        <v/>
      </c>
      <c r="L7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7" spans="2:12" x14ac:dyDescent="0.3">
      <c r="B727" t="str">
        <f>IF('ENTRADAS-BASE'!A725="","",'ENTRADAS-BASE'!A725)</f>
        <v/>
      </c>
      <c r="C727" t="str">
        <f>IF('ENTRADAS-BASE'!B725="","",'ENTRADAS-BASE'!B725)</f>
        <v/>
      </c>
      <c r="D727" t="str">
        <f>IF('ENTRADAS-BASE'!C725="","",'ENTRADAS-BASE'!C725)</f>
        <v/>
      </c>
      <c r="E727" s="7" t="str">
        <f>IF('ENTRADAS-BASE'!D725="","",'ENTRADAS-BASE'!D725)</f>
        <v/>
      </c>
      <c r="F727" s="6" t="str">
        <f>IF('ENTRADAS-BASE'!E725="","",'ENTRADAS-BASE'!E725)</f>
        <v/>
      </c>
      <c r="G727" t="str">
        <f>IF('ENTRADAS-BASE'!F725="","",'ENTRADAS-BASE'!F725)</f>
        <v/>
      </c>
      <c r="H727" t="str">
        <f>IF('ENTRADAS-BASE'!G725="","",'ENTRADAS-BASE'!G725)</f>
        <v/>
      </c>
      <c r="I727" t="str">
        <f>IF('ENTRADAS-BASE'!H725="","",'ENTRADAS-BASE'!H725)</f>
        <v/>
      </c>
      <c r="J727" t="str">
        <f>IF('ENTRADAS-BASE'!I725="","",'ENTRADAS-BASE'!I725)</f>
        <v/>
      </c>
      <c r="K727" s="5" t="str">
        <f>IF('ENTRADAS-BASE'!J725="","",'ENTRADAS-BASE'!J725)</f>
        <v/>
      </c>
      <c r="L7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8" spans="2:12" x14ac:dyDescent="0.3">
      <c r="B728" t="str">
        <f>IF('ENTRADAS-BASE'!A726="","",'ENTRADAS-BASE'!A726)</f>
        <v/>
      </c>
      <c r="C728" t="str">
        <f>IF('ENTRADAS-BASE'!B726="","",'ENTRADAS-BASE'!B726)</f>
        <v/>
      </c>
      <c r="D728" t="str">
        <f>IF('ENTRADAS-BASE'!C726="","",'ENTRADAS-BASE'!C726)</f>
        <v/>
      </c>
      <c r="E728" s="7" t="str">
        <f>IF('ENTRADAS-BASE'!D726="","",'ENTRADAS-BASE'!D726)</f>
        <v/>
      </c>
      <c r="F728" s="6" t="str">
        <f>IF('ENTRADAS-BASE'!E726="","",'ENTRADAS-BASE'!E726)</f>
        <v/>
      </c>
      <c r="G728" t="str">
        <f>IF('ENTRADAS-BASE'!F726="","",'ENTRADAS-BASE'!F726)</f>
        <v/>
      </c>
      <c r="H728" t="str">
        <f>IF('ENTRADAS-BASE'!G726="","",'ENTRADAS-BASE'!G726)</f>
        <v/>
      </c>
      <c r="I728" t="str">
        <f>IF('ENTRADAS-BASE'!H726="","",'ENTRADAS-BASE'!H726)</f>
        <v/>
      </c>
      <c r="J728" t="str">
        <f>IF('ENTRADAS-BASE'!I726="","",'ENTRADAS-BASE'!I726)</f>
        <v/>
      </c>
      <c r="K728" s="5" t="str">
        <f>IF('ENTRADAS-BASE'!J726="","",'ENTRADAS-BASE'!J726)</f>
        <v/>
      </c>
      <c r="L7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9" spans="2:12" x14ac:dyDescent="0.3">
      <c r="B729" t="str">
        <f>IF('ENTRADAS-BASE'!A727="","",'ENTRADAS-BASE'!A727)</f>
        <v/>
      </c>
      <c r="C729" t="str">
        <f>IF('ENTRADAS-BASE'!B727="","",'ENTRADAS-BASE'!B727)</f>
        <v/>
      </c>
      <c r="D729" t="str">
        <f>IF('ENTRADAS-BASE'!C727="","",'ENTRADAS-BASE'!C727)</f>
        <v/>
      </c>
      <c r="E729" s="7" t="str">
        <f>IF('ENTRADAS-BASE'!D727="","",'ENTRADAS-BASE'!D727)</f>
        <v/>
      </c>
      <c r="F729" s="6" t="str">
        <f>IF('ENTRADAS-BASE'!E727="","",'ENTRADAS-BASE'!E727)</f>
        <v/>
      </c>
      <c r="G729" t="str">
        <f>IF('ENTRADAS-BASE'!F727="","",'ENTRADAS-BASE'!F727)</f>
        <v/>
      </c>
      <c r="H729" t="str">
        <f>IF('ENTRADAS-BASE'!G727="","",'ENTRADAS-BASE'!G727)</f>
        <v/>
      </c>
      <c r="I729" t="str">
        <f>IF('ENTRADAS-BASE'!H727="","",'ENTRADAS-BASE'!H727)</f>
        <v/>
      </c>
      <c r="J729" t="str">
        <f>IF('ENTRADAS-BASE'!I727="","",'ENTRADAS-BASE'!I727)</f>
        <v/>
      </c>
      <c r="K729" s="5" t="str">
        <f>IF('ENTRADAS-BASE'!J727="","",'ENTRADAS-BASE'!J727)</f>
        <v/>
      </c>
      <c r="L7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0" spans="2:12" x14ac:dyDescent="0.3">
      <c r="B730" t="str">
        <f>IF('ENTRADAS-BASE'!A728="","",'ENTRADAS-BASE'!A728)</f>
        <v/>
      </c>
      <c r="C730" t="str">
        <f>IF('ENTRADAS-BASE'!B728="","",'ENTRADAS-BASE'!B728)</f>
        <v/>
      </c>
      <c r="D730" t="str">
        <f>IF('ENTRADAS-BASE'!C728="","",'ENTRADAS-BASE'!C728)</f>
        <v/>
      </c>
      <c r="E730" s="7" t="str">
        <f>IF('ENTRADAS-BASE'!D728="","",'ENTRADAS-BASE'!D728)</f>
        <v/>
      </c>
      <c r="F730" s="6" t="str">
        <f>IF('ENTRADAS-BASE'!E728="","",'ENTRADAS-BASE'!E728)</f>
        <v/>
      </c>
      <c r="G730" t="str">
        <f>IF('ENTRADAS-BASE'!F728="","",'ENTRADAS-BASE'!F728)</f>
        <v/>
      </c>
      <c r="H730" t="str">
        <f>IF('ENTRADAS-BASE'!G728="","",'ENTRADAS-BASE'!G728)</f>
        <v/>
      </c>
      <c r="I730" t="str">
        <f>IF('ENTRADAS-BASE'!H728="","",'ENTRADAS-BASE'!H728)</f>
        <v/>
      </c>
      <c r="J730" t="str">
        <f>IF('ENTRADAS-BASE'!I728="","",'ENTRADAS-BASE'!I728)</f>
        <v/>
      </c>
      <c r="K730" s="5" t="str">
        <f>IF('ENTRADAS-BASE'!J728="","",'ENTRADAS-BASE'!J728)</f>
        <v/>
      </c>
      <c r="L7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1" spans="2:12" x14ac:dyDescent="0.3">
      <c r="B731" t="str">
        <f>IF('ENTRADAS-BASE'!A729="","",'ENTRADAS-BASE'!A729)</f>
        <v/>
      </c>
      <c r="C731" t="str">
        <f>IF('ENTRADAS-BASE'!B729="","",'ENTRADAS-BASE'!B729)</f>
        <v/>
      </c>
      <c r="D731" t="str">
        <f>IF('ENTRADAS-BASE'!C729="","",'ENTRADAS-BASE'!C729)</f>
        <v/>
      </c>
      <c r="E731" s="7" t="str">
        <f>IF('ENTRADAS-BASE'!D729="","",'ENTRADAS-BASE'!D729)</f>
        <v/>
      </c>
      <c r="F731" s="6" t="str">
        <f>IF('ENTRADAS-BASE'!E729="","",'ENTRADAS-BASE'!E729)</f>
        <v/>
      </c>
      <c r="G731" t="str">
        <f>IF('ENTRADAS-BASE'!F729="","",'ENTRADAS-BASE'!F729)</f>
        <v/>
      </c>
      <c r="H731" t="str">
        <f>IF('ENTRADAS-BASE'!G729="","",'ENTRADAS-BASE'!G729)</f>
        <v/>
      </c>
      <c r="I731" t="str">
        <f>IF('ENTRADAS-BASE'!H729="","",'ENTRADAS-BASE'!H729)</f>
        <v/>
      </c>
      <c r="J731" t="str">
        <f>IF('ENTRADAS-BASE'!I729="","",'ENTRADAS-BASE'!I729)</f>
        <v/>
      </c>
      <c r="K731" s="5" t="str">
        <f>IF('ENTRADAS-BASE'!J729="","",'ENTRADAS-BASE'!J729)</f>
        <v/>
      </c>
      <c r="L7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2" spans="2:12" x14ac:dyDescent="0.3">
      <c r="B732" t="str">
        <f>IF('ENTRADAS-BASE'!A730="","",'ENTRADAS-BASE'!A730)</f>
        <v/>
      </c>
      <c r="C732" t="str">
        <f>IF('ENTRADAS-BASE'!B730="","",'ENTRADAS-BASE'!B730)</f>
        <v/>
      </c>
      <c r="D732" t="str">
        <f>IF('ENTRADAS-BASE'!C730="","",'ENTRADAS-BASE'!C730)</f>
        <v/>
      </c>
      <c r="E732" s="7" t="str">
        <f>IF('ENTRADAS-BASE'!D730="","",'ENTRADAS-BASE'!D730)</f>
        <v/>
      </c>
      <c r="F732" s="6" t="str">
        <f>IF('ENTRADAS-BASE'!E730="","",'ENTRADAS-BASE'!E730)</f>
        <v/>
      </c>
      <c r="G732" t="str">
        <f>IF('ENTRADAS-BASE'!F730="","",'ENTRADAS-BASE'!F730)</f>
        <v/>
      </c>
      <c r="H732" t="str">
        <f>IF('ENTRADAS-BASE'!G730="","",'ENTRADAS-BASE'!G730)</f>
        <v/>
      </c>
      <c r="I732" t="str">
        <f>IF('ENTRADAS-BASE'!H730="","",'ENTRADAS-BASE'!H730)</f>
        <v/>
      </c>
      <c r="J732" t="str">
        <f>IF('ENTRADAS-BASE'!I730="","",'ENTRADAS-BASE'!I730)</f>
        <v/>
      </c>
      <c r="K732" s="5" t="str">
        <f>IF('ENTRADAS-BASE'!J730="","",'ENTRADAS-BASE'!J730)</f>
        <v/>
      </c>
      <c r="L7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3" spans="2:12" x14ac:dyDescent="0.3">
      <c r="B733" t="str">
        <f>IF('ENTRADAS-BASE'!A731="","",'ENTRADAS-BASE'!A731)</f>
        <v/>
      </c>
      <c r="C733" t="str">
        <f>IF('ENTRADAS-BASE'!B731="","",'ENTRADAS-BASE'!B731)</f>
        <v/>
      </c>
      <c r="D733" t="str">
        <f>IF('ENTRADAS-BASE'!C731="","",'ENTRADAS-BASE'!C731)</f>
        <v/>
      </c>
      <c r="E733" s="7" t="str">
        <f>IF('ENTRADAS-BASE'!D731="","",'ENTRADAS-BASE'!D731)</f>
        <v/>
      </c>
      <c r="F733" s="6" t="str">
        <f>IF('ENTRADAS-BASE'!E731="","",'ENTRADAS-BASE'!E731)</f>
        <v/>
      </c>
      <c r="G733" t="str">
        <f>IF('ENTRADAS-BASE'!F731="","",'ENTRADAS-BASE'!F731)</f>
        <v/>
      </c>
      <c r="H733" t="str">
        <f>IF('ENTRADAS-BASE'!G731="","",'ENTRADAS-BASE'!G731)</f>
        <v/>
      </c>
      <c r="I733" t="str">
        <f>IF('ENTRADAS-BASE'!H731="","",'ENTRADAS-BASE'!H731)</f>
        <v/>
      </c>
      <c r="J733" t="str">
        <f>IF('ENTRADAS-BASE'!I731="","",'ENTRADAS-BASE'!I731)</f>
        <v/>
      </c>
      <c r="K733" s="5" t="str">
        <f>IF('ENTRADAS-BASE'!J731="","",'ENTRADAS-BASE'!J731)</f>
        <v/>
      </c>
      <c r="L7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4" spans="2:12" x14ac:dyDescent="0.3">
      <c r="B734" t="str">
        <f>IF('ENTRADAS-BASE'!A732="","",'ENTRADAS-BASE'!A732)</f>
        <v/>
      </c>
      <c r="C734" t="str">
        <f>IF('ENTRADAS-BASE'!B732="","",'ENTRADAS-BASE'!B732)</f>
        <v/>
      </c>
      <c r="D734" t="str">
        <f>IF('ENTRADAS-BASE'!C732="","",'ENTRADAS-BASE'!C732)</f>
        <v/>
      </c>
      <c r="E734" s="7" t="str">
        <f>IF('ENTRADAS-BASE'!D732="","",'ENTRADAS-BASE'!D732)</f>
        <v/>
      </c>
      <c r="F734" s="6" t="str">
        <f>IF('ENTRADAS-BASE'!E732="","",'ENTRADAS-BASE'!E732)</f>
        <v/>
      </c>
      <c r="G734" t="str">
        <f>IF('ENTRADAS-BASE'!F732="","",'ENTRADAS-BASE'!F732)</f>
        <v/>
      </c>
      <c r="H734" t="str">
        <f>IF('ENTRADAS-BASE'!G732="","",'ENTRADAS-BASE'!G732)</f>
        <v/>
      </c>
      <c r="I734" t="str">
        <f>IF('ENTRADAS-BASE'!H732="","",'ENTRADAS-BASE'!H732)</f>
        <v/>
      </c>
      <c r="J734" t="str">
        <f>IF('ENTRADAS-BASE'!I732="","",'ENTRADAS-BASE'!I732)</f>
        <v/>
      </c>
      <c r="K734" s="5" t="str">
        <f>IF('ENTRADAS-BASE'!J732="","",'ENTRADAS-BASE'!J732)</f>
        <v/>
      </c>
      <c r="L7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5" spans="2:12" x14ac:dyDescent="0.3">
      <c r="B735" t="str">
        <f>IF('ENTRADAS-BASE'!A733="","",'ENTRADAS-BASE'!A733)</f>
        <v/>
      </c>
      <c r="C735" t="str">
        <f>IF('ENTRADAS-BASE'!B733="","",'ENTRADAS-BASE'!B733)</f>
        <v/>
      </c>
      <c r="D735" t="str">
        <f>IF('ENTRADAS-BASE'!C733="","",'ENTRADAS-BASE'!C733)</f>
        <v/>
      </c>
      <c r="E735" s="7" t="str">
        <f>IF('ENTRADAS-BASE'!D733="","",'ENTRADAS-BASE'!D733)</f>
        <v/>
      </c>
      <c r="F735" s="6" t="str">
        <f>IF('ENTRADAS-BASE'!E733="","",'ENTRADAS-BASE'!E733)</f>
        <v/>
      </c>
      <c r="G735" t="str">
        <f>IF('ENTRADAS-BASE'!F733="","",'ENTRADAS-BASE'!F733)</f>
        <v/>
      </c>
      <c r="H735" t="str">
        <f>IF('ENTRADAS-BASE'!G733="","",'ENTRADAS-BASE'!G733)</f>
        <v/>
      </c>
      <c r="I735" t="str">
        <f>IF('ENTRADAS-BASE'!H733="","",'ENTRADAS-BASE'!H733)</f>
        <v/>
      </c>
      <c r="J735" t="str">
        <f>IF('ENTRADAS-BASE'!I733="","",'ENTRADAS-BASE'!I733)</f>
        <v/>
      </c>
      <c r="K735" s="5" t="str">
        <f>IF('ENTRADAS-BASE'!J733="","",'ENTRADAS-BASE'!J733)</f>
        <v/>
      </c>
      <c r="L7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6" spans="2:12" x14ac:dyDescent="0.3">
      <c r="B736" t="str">
        <f>IF('ENTRADAS-BASE'!A734="","",'ENTRADAS-BASE'!A734)</f>
        <v/>
      </c>
      <c r="C736" t="str">
        <f>IF('ENTRADAS-BASE'!B734="","",'ENTRADAS-BASE'!B734)</f>
        <v/>
      </c>
      <c r="D736" t="str">
        <f>IF('ENTRADAS-BASE'!C734="","",'ENTRADAS-BASE'!C734)</f>
        <v/>
      </c>
      <c r="E736" s="7" t="str">
        <f>IF('ENTRADAS-BASE'!D734="","",'ENTRADAS-BASE'!D734)</f>
        <v/>
      </c>
      <c r="F736" s="6" t="str">
        <f>IF('ENTRADAS-BASE'!E734="","",'ENTRADAS-BASE'!E734)</f>
        <v/>
      </c>
      <c r="G736" t="str">
        <f>IF('ENTRADAS-BASE'!F734="","",'ENTRADAS-BASE'!F734)</f>
        <v/>
      </c>
      <c r="H736" t="str">
        <f>IF('ENTRADAS-BASE'!G734="","",'ENTRADAS-BASE'!G734)</f>
        <v/>
      </c>
      <c r="I736" t="str">
        <f>IF('ENTRADAS-BASE'!H734="","",'ENTRADAS-BASE'!H734)</f>
        <v/>
      </c>
      <c r="J736" t="str">
        <f>IF('ENTRADAS-BASE'!I734="","",'ENTRADAS-BASE'!I734)</f>
        <v/>
      </c>
      <c r="K736" s="5" t="str">
        <f>IF('ENTRADAS-BASE'!J734="","",'ENTRADAS-BASE'!J734)</f>
        <v/>
      </c>
      <c r="L7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7" spans="2:12" x14ac:dyDescent="0.3">
      <c r="B737" t="str">
        <f>IF('ENTRADAS-BASE'!A735="","",'ENTRADAS-BASE'!A735)</f>
        <v/>
      </c>
      <c r="C737" t="str">
        <f>IF('ENTRADAS-BASE'!B735="","",'ENTRADAS-BASE'!B735)</f>
        <v/>
      </c>
      <c r="D737" t="str">
        <f>IF('ENTRADAS-BASE'!C735="","",'ENTRADAS-BASE'!C735)</f>
        <v/>
      </c>
      <c r="E737" s="7" t="str">
        <f>IF('ENTRADAS-BASE'!D735="","",'ENTRADAS-BASE'!D735)</f>
        <v/>
      </c>
      <c r="F737" s="6" t="str">
        <f>IF('ENTRADAS-BASE'!E735="","",'ENTRADAS-BASE'!E735)</f>
        <v/>
      </c>
      <c r="G737" t="str">
        <f>IF('ENTRADAS-BASE'!F735="","",'ENTRADAS-BASE'!F735)</f>
        <v/>
      </c>
      <c r="H737" t="str">
        <f>IF('ENTRADAS-BASE'!G735="","",'ENTRADAS-BASE'!G735)</f>
        <v/>
      </c>
      <c r="I737" t="str">
        <f>IF('ENTRADAS-BASE'!H735="","",'ENTRADAS-BASE'!H735)</f>
        <v/>
      </c>
      <c r="J737" t="str">
        <f>IF('ENTRADAS-BASE'!I735="","",'ENTRADAS-BASE'!I735)</f>
        <v/>
      </c>
      <c r="K737" s="5" t="str">
        <f>IF('ENTRADAS-BASE'!J735="","",'ENTRADAS-BASE'!J735)</f>
        <v/>
      </c>
      <c r="L7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8" spans="2:12" x14ac:dyDescent="0.3">
      <c r="B738" t="str">
        <f>IF('ENTRADAS-BASE'!A736="","",'ENTRADAS-BASE'!A736)</f>
        <v/>
      </c>
      <c r="C738" t="str">
        <f>IF('ENTRADAS-BASE'!B736="","",'ENTRADAS-BASE'!B736)</f>
        <v/>
      </c>
      <c r="D738" t="str">
        <f>IF('ENTRADAS-BASE'!C736="","",'ENTRADAS-BASE'!C736)</f>
        <v/>
      </c>
      <c r="E738" s="7" t="str">
        <f>IF('ENTRADAS-BASE'!D736="","",'ENTRADAS-BASE'!D736)</f>
        <v/>
      </c>
      <c r="F738" s="6" t="str">
        <f>IF('ENTRADAS-BASE'!E736="","",'ENTRADAS-BASE'!E736)</f>
        <v/>
      </c>
      <c r="G738" t="str">
        <f>IF('ENTRADAS-BASE'!F736="","",'ENTRADAS-BASE'!F736)</f>
        <v/>
      </c>
      <c r="H738" t="str">
        <f>IF('ENTRADAS-BASE'!G736="","",'ENTRADAS-BASE'!G736)</f>
        <v/>
      </c>
      <c r="I738" t="str">
        <f>IF('ENTRADAS-BASE'!H736="","",'ENTRADAS-BASE'!H736)</f>
        <v/>
      </c>
      <c r="J738" t="str">
        <f>IF('ENTRADAS-BASE'!I736="","",'ENTRADAS-BASE'!I736)</f>
        <v/>
      </c>
      <c r="K738" s="5" t="str">
        <f>IF('ENTRADAS-BASE'!J736="","",'ENTRADAS-BASE'!J736)</f>
        <v/>
      </c>
      <c r="L7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9" spans="2:12" x14ac:dyDescent="0.3">
      <c r="B739" t="str">
        <f>IF('ENTRADAS-BASE'!A737="","",'ENTRADAS-BASE'!A737)</f>
        <v/>
      </c>
      <c r="C739" t="str">
        <f>IF('ENTRADAS-BASE'!B737="","",'ENTRADAS-BASE'!B737)</f>
        <v/>
      </c>
      <c r="D739" t="str">
        <f>IF('ENTRADAS-BASE'!C737="","",'ENTRADAS-BASE'!C737)</f>
        <v/>
      </c>
      <c r="E739" s="7" t="str">
        <f>IF('ENTRADAS-BASE'!D737="","",'ENTRADAS-BASE'!D737)</f>
        <v/>
      </c>
      <c r="F739" s="6" t="str">
        <f>IF('ENTRADAS-BASE'!E737="","",'ENTRADAS-BASE'!E737)</f>
        <v/>
      </c>
      <c r="G739" t="str">
        <f>IF('ENTRADAS-BASE'!F737="","",'ENTRADAS-BASE'!F737)</f>
        <v/>
      </c>
      <c r="H739" t="str">
        <f>IF('ENTRADAS-BASE'!G737="","",'ENTRADAS-BASE'!G737)</f>
        <v/>
      </c>
      <c r="I739" t="str">
        <f>IF('ENTRADAS-BASE'!H737="","",'ENTRADAS-BASE'!H737)</f>
        <v/>
      </c>
      <c r="J739" t="str">
        <f>IF('ENTRADAS-BASE'!I737="","",'ENTRADAS-BASE'!I737)</f>
        <v/>
      </c>
      <c r="K739" s="5" t="str">
        <f>IF('ENTRADAS-BASE'!J737="","",'ENTRADAS-BASE'!J737)</f>
        <v/>
      </c>
      <c r="L7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0" spans="2:12" x14ac:dyDescent="0.3">
      <c r="B740" t="str">
        <f>IF('ENTRADAS-BASE'!A738="","",'ENTRADAS-BASE'!A738)</f>
        <v/>
      </c>
      <c r="C740" t="str">
        <f>IF('ENTRADAS-BASE'!B738="","",'ENTRADAS-BASE'!B738)</f>
        <v/>
      </c>
      <c r="D740" t="str">
        <f>IF('ENTRADAS-BASE'!C738="","",'ENTRADAS-BASE'!C738)</f>
        <v/>
      </c>
      <c r="E740" s="7" t="str">
        <f>IF('ENTRADAS-BASE'!D738="","",'ENTRADAS-BASE'!D738)</f>
        <v/>
      </c>
      <c r="F740" s="6" t="str">
        <f>IF('ENTRADAS-BASE'!E738="","",'ENTRADAS-BASE'!E738)</f>
        <v/>
      </c>
      <c r="G740" t="str">
        <f>IF('ENTRADAS-BASE'!F738="","",'ENTRADAS-BASE'!F738)</f>
        <v/>
      </c>
      <c r="H740" t="str">
        <f>IF('ENTRADAS-BASE'!G738="","",'ENTRADAS-BASE'!G738)</f>
        <v/>
      </c>
      <c r="I740" t="str">
        <f>IF('ENTRADAS-BASE'!H738="","",'ENTRADAS-BASE'!H738)</f>
        <v/>
      </c>
      <c r="J740" t="str">
        <f>IF('ENTRADAS-BASE'!I738="","",'ENTRADAS-BASE'!I738)</f>
        <v/>
      </c>
      <c r="K740" s="5" t="str">
        <f>IF('ENTRADAS-BASE'!J738="","",'ENTRADAS-BASE'!J738)</f>
        <v/>
      </c>
      <c r="L7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1" spans="2:12" x14ac:dyDescent="0.3">
      <c r="B741" t="str">
        <f>IF('ENTRADAS-BASE'!A739="","",'ENTRADAS-BASE'!A739)</f>
        <v/>
      </c>
      <c r="C741" t="str">
        <f>IF('ENTRADAS-BASE'!B739="","",'ENTRADAS-BASE'!B739)</f>
        <v/>
      </c>
      <c r="D741" t="str">
        <f>IF('ENTRADAS-BASE'!C739="","",'ENTRADAS-BASE'!C739)</f>
        <v/>
      </c>
      <c r="E741" s="7" t="str">
        <f>IF('ENTRADAS-BASE'!D739="","",'ENTRADAS-BASE'!D739)</f>
        <v/>
      </c>
      <c r="F741" s="6" t="str">
        <f>IF('ENTRADAS-BASE'!E739="","",'ENTRADAS-BASE'!E739)</f>
        <v/>
      </c>
      <c r="G741" t="str">
        <f>IF('ENTRADAS-BASE'!F739="","",'ENTRADAS-BASE'!F739)</f>
        <v/>
      </c>
      <c r="H741" t="str">
        <f>IF('ENTRADAS-BASE'!G739="","",'ENTRADAS-BASE'!G739)</f>
        <v/>
      </c>
      <c r="I741" t="str">
        <f>IF('ENTRADAS-BASE'!H739="","",'ENTRADAS-BASE'!H739)</f>
        <v/>
      </c>
      <c r="J741" t="str">
        <f>IF('ENTRADAS-BASE'!I739="","",'ENTRADAS-BASE'!I739)</f>
        <v/>
      </c>
      <c r="K741" s="5" t="str">
        <f>IF('ENTRADAS-BASE'!J739="","",'ENTRADAS-BASE'!J739)</f>
        <v/>
      </c>
      <c r="L7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2" spans="2:12" x14ac:dyDescent="0.3">
      <c r="B742" t="str">
        <f>IF('ENTRADAS-BASE'!A740="","",'ENTRADAS-BASE'!A740)</f>
        <v/>
      </c>
      <c r="C742" t="str">
        <f>IF('ENTRADAS-BASE'!B740="","",'ENTRADAS-BASE'!B740)</f>
        <v/>
      </c>
      <c r="D742" t="str">
        <f>IF('ENTRADAS-BASE'!C740="","",'ENTRADAS-BASE'!C740)</f>
        <v/>
      </c>
      <c r="E742" s="7" t="str">
        <f>IF('ENTRADAS-BASE'!D740="","",'ENTRADAS-BASE'!D740)</f>
        <v/>
      </c>
      <c r="F742" s="6" t="str">
        <f>IF('ENTRADAS-BASE'!E740="","",'ENTRADAS-BASE'!E740)</f>
        <v/>
      </c>
      <c r="G742" t="str">
        <f>IF('ENTRADAS-BASE'!F740="","",'ENTRADAS-BASE'!F740)</f>
        <v/>
      </c>
      <c r="H742" t="str">
        <f>IF('ENTRADAS-BASE'!G740="","",'ENTRADAS-BASE'!G740)</f>
        <v/>
      </c>
      <c r="I742" t="str">
        <f>IF('ENTRADAS-BASE'!H740="","",'ENTRADAS-BASE'!H740)</f>
        <v/>
      </c>
      <c r="J742" t="str">
        <f>IF('ENTRADAS-BASE'!I740="","",'ENTRADAS-BASE'!I740)</f>
        <v/>
      </c>
      <c r="K742" s="5" t="str">
        <f>IF('ENTRADAS-BASE'!J740="","",'ENTRADAS-BASE'!J740)</f>
        <v/>
      </c>
      <c r="L7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3" spans="2:12" x14ac:dyDescent="0.3">
      <c r="B743" t="str">
        <f>IF('ENTRADAS-BASE'!A741="","",'ENTRADAS-BASE'!A741)</f>
        <v/>
      </c>
      <c r="C743" t="str">
        <f>IF('ENTRADAS-BASE'!B741="","",'ENTRADAS-BASE'!B741)</f>
        <v/>
      </c>
      <c r="D743" t="str">
        <f>IF('ENTRADAS-BASE'!C741="","",'ENTRADAS-BASE'!C741)</f>
        <v/>
      </c>
      <c r="E743" s="7" t="str">
        <f>IF('ENTRADAS-BASE'!D741="","",'ENTRADAS-BASE'!D741)</f>
        <v/>
      </c>
      <c r="F743" s="6" t="str">
        <f>IF('ENTRADAS-BASE'!E741="","",'ENTRADAS-BASE'!E741)</f>
        <v/>
      </c>
      <c r="G743" t="str">
        <f>IF('ENTRADAS-BASE'!F741="","",'ENTRADAS-BASE'!F741)</f>
        <v/>
      </c>
      <c r="H743" t="str">
        <f>IF('ENTRADAS-BASE'!G741="","",'ENTRADAS-BASE'!G741)</f>
        <v/>
      </c>
      <c r="I743" t="str">
        <f>IF('ENTRADAS-BASE'!H741="","",'ENTRADAS-BASE'!H741)</f>
        <v/>
      </c>
      <c r="J743" t="str">
        <f>IF('ENTRADAS-BASE'!I741="","",'ENTRADAS-BASE'!I741)</f>
        <v/>
      </c>
      <c r="K743" s="5" t="str">
        <f>IF('ENTRADAS-BASE'!J741="","",'ENTRADAS-BASE'!J741)</f>
        <v/>
      </c>
      <c r="L7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4" spans="2:12" x14ac:dyDescent="0.3">
      <c r="B744" t="str">
        <f>IF('ENTRADAS-BASE'!A742="","",'ENTRADAS-BASE'!A742)</f>
        <v/>
      </c>
      <c r="C744" t="str">
        <f>IF('ENTRADAS-BASE'!B742="","",'ENTRADAS-BASE'!B742)</f>
        <v/>
      </c>
      <c r="D744" t="str">
        <f>IF('ENTRADAS-BASE'!C742="","",'ENTRADAS-BASE'!C742)</f>
        <v/>
      </c>
      <c r="E744" s="7" t="str">
        <f>IF('ENTRADAS-BASE'!D742="","",'ENTRADAS-BASE'!D742)</f>
        <v/>
      </c>
      <c r="F744" s="6" t="str">
        <f>IF('ENTRADAS-BASE'!E742="","",'ENTRADAS-BASE'!E742)</f>
        <v/>
      </c>
      <c r="G744" t="str">
        <f>IF('ENTRADAS-BASE'!F742="","",'ENTRADAS-BASE'!F742)</f>
        <v/>
      </c>
      <c r="H744" t="str">
        <f>IF('ENTRADAS-BASE'!G742="","",'ENTRADAS-BASE'!G742)</f>
        <v/>
      </c>
      <c r="I744" t="str">
        <f>IF('ENTRADAS-BASE'!H742="","",'ENTRADAS-BASE'!H742)</f>
        <v/>
      </c>
      <c r="J744" t="str">
        <f>IF('ENTRADAS-BASE'!I742="","",'ENTRADAS-BASE'!I742)</f>
        <v/>
      </c>
      <c r="K744" s="5" t="str">
        <f>IF('ENTRADAS-BASE'!J742="","",'ENTRADAS-BASE'!J742)</f>
        <v/>
      </c>
      <c r="L7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5" spans="2:12" x14ac:dyDescent="0.3">
      <c r="B745" t="str">
        <f>IF('ENTRADAS-BASE'!A743="","",'ENTRADAS-BASE'!A743)</f>
        <v/>
      </c>
      <c r="C745" t="str">
        <f>IF('ENTRADAS-BASE'!B743="","",'ENTRADAS-BASE'!B743)</f>
        <v/>
      </c>
      <c r="D745" t="str">
        <f>IF('ENTRADAS-BASE'!C743="","",'ENTRADAS-BASE'!C743)</f>
        <v/>
      </c>
      <c r="E745" s="7" t="str">
        <f>IF('ENTRADAS-BASE'!D743="","",'ENTRADAS-BASE'!D743)</f>
        <v/>
      </c>
      <c r="F745" s="6" t="str">
        <f>IF('ENTRADAS-BASE'!E743="","",'ENTRADAS-BASE'!E743)</f>
        <v/>
      </c>
      <c r="G745" t="str">
        <f>IF('ENTRADAS-BASE'!F743="","",'ENTRADAS-BASE'!F743)</f>
        <v/>
      </c>
      <c r="H745" t="str">
        <f>IF('ENTRADAS-BASE'!G743="","",'ENTRADAS-BASE'!G743)</f>
        <v/>
      </c>
      <c r="I745" t="str">
        <f>IF('ENTRADAS-BASE'!H743="","",'ENTRADAS-BASE'!H743)</f>
        <v/>
      </c>
      <c r="J745" t="str">
        <f>IF('ENTRADAS-BASE'!I743="","",'ENTRADAS-BASE'!I743)</f>
        <v/>
      </c>
      <c r="K745" s="5" t="str">
        <f>IF('ENTRADAS-BASE'!J743="","",'ENTRADAS-BASE'!J743)</f>
        <v/>
      </c>
      <c r="L7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6" spans="2:12" x14ac:dyDescent="0.3">
      <c r="B746" t="str">
        <f>IF('ENTRADAS-BASE'!A744="","",'ENTRADAS-BASE'!A744)</f>
        <v/>
      </c>
      <c r="C746" t="str">
        <f>IF('ENTRADAS-BASE'!B744="","",'ENTRADAS-BASE'!B744)</f>
        <v/>
      </c>
      <c r="D746" t="str">
        <f>IF('ENTRADAS-BASE'!C744="","",'ENTRADAS-BASE'!C744)</f>
        <v/>
      </c>
      <c r="E746" s="7" t="str">
        <f>IF('ENTRADAS-BASE'!D744="","",'ENTRADAS-BASE'!D744)</f>
        <v/>
      </c>
      <c r="F746" s="6" t="str">
        <f>IF('ENTRADAS-BASE'!E744="","",'ENTRADAS-BASE'!E744)</f>
        <v/>
      </c>
      <c r="G746" t="str">
        <f>IF('ENTRADAS-BASE'!F744="","",'ENTRADAS-BASE'!F744)</f>
        <v/>
      </c>
      <c r="H746" t="str">
        <f>IF('ENTRADAS-BASE'!G744="","",'ENTRADAS-BASE'!G744)</f>
        <v/>
      </c>
      <c r="I746" t="str">
        <f>IF('ENTRADAS-BASE'!H744="","",'ENTRADAS-BASE'!H744)</f>
        <v/>
      </c>
      <c r="J746" t="str">
        <f>IF('ENTRADAS-BASE'!I744="","",'ENTRADAS-BASE'!I744)</f>
        <v/>
      </c>
      <c r="K746" s="5" t="str">
        <f>IF('ENTRADAS-BASE'!J744="","",'ENTRADAS-BASE'!J744)</f>
        <v/>
      </c>
      <c r="L7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7" spans="2:12" x14ac:dyDescent="0.3">
      <c r="B747" t="str">
        <f>IF('ENTRADAS-BASE'!A745="","",'ENTRADAS-BASE'!A745)</f>
        <v/>
      </c>
      <c r="C747" t="str">
        <f>IF('ENTRADAS-BASE'!B745="","",'ENTRADAS-BASE'!B745)</f>
        <v/>
      </c>
      <c r="D747" t="str">
        <f>IF('ENTRADAS-BASE'!C745="","",'ENTRADAS-BASE'!C745)</f>
        <v/>
      </c>
      <c r="E747" s="7" t="str">
        <f>IF('ENTRADAS-BASE'!D745="","",'ENTRADAS-BASE'!D745)</f>
        <v/>
      </c>
      <c r="F747" s="6" t="str">
        <f>IF('ENTRADAS-BASE'!E745="","",'ENTRADAS-BASE'!E745)</f>
        <v/>
      </c>
      <c r="G747" t="str">
        <f>IF('ENTRADAS-BASE'!F745="","",'ENTRADAS-BASE'!F745)</f>
        <v/>
      </c>
      <c r="H747" t="str">
        <f>IF('ENTRADAS-BASE'!G745="","",'ENTRADAS-BASE'!G745)</f>
        <v/>
      </c>
      <c r="I747" t="str">
        <f>IF('ENTRADAS-BASE'!H745="","",'ENTRADAS-BASE'!H745)</f>
        <v/>
      </c>
      <c r="J747" t="str">
        <f>IF('ENTRADAS-BASE'!I745="","",'ENTRADAS-BASE'!I745)</f>
        <v/>
      </c>
      <c r="K747" s="5" t="str">
        <f>IF('ENTRADAS-BASE'!J745="","",'ENTRADAS-BASE'!J745)</f>
        <v/>
      </c>
      <c r="L7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8" spans="2:12" x14ac:dyDescent="0.3">
      <c r="B748" t="str">
        <f>IF('ENTRADAS-BASE'!A746="","",'ENTRADAS-BASE'!A746)</f>
        <v/>
      </c>
      <c r="C748" t="str">
        <f>IF('ENTRADAS-BASE'!B746="","",'ENTRADAS-BASE'!B746)</f>
        <v/>
      </c>
      <c r="D748" t="str">
        <f>IF('ENTRADAS-BASE'!C746="","",'ENTRADAS-BASE'!C746)</f>
        <v/>
      </c>
      <c r="E748" s="7" t="str">
        <f>IF('ENTRADAS-BASE'!D746="","",'ENTRADAS-BASE'!D746)</f>
        <v/>
      </c>
      <c r="F748" s="6" t="str">
        <f>IF('ENTRADAS-BASE'!E746="","",'ENTRADAS-BASE'!E746)</f>
        <v/>
      </c>
      <c r="G748" t="str">
        <f>IF('ENTRADAS-BASE'!F746="","",'ENTRADAS-BASE'!F746)</f>
        <v/>
      </c>
      <c r="H748" t="str">
        <f>IF('ENTRADAS-BASE'!G746="","",'ENTRADAS-BASE'!G746)</f>
        <v/>
      </c>
      <c r="I748" t="str">
        <f>IF('ENTRADAS-BASE'!H746="","",'ENTRADAS-BASE'!H746)</f>
        <v/>
      </c>
      <c r="J748" t="str">
        <f>IF('ENTRADAS-BASE'!I746="","",'ENTRADAS-BASE'!I746)</f>
        <v/>
      </c>
      <c r="K748" s="5" t="str">
        <f>IF('ENTRADAS-BASE'!J746="","",'ENTRADAS-BASE'!J746)</f>
        <v/>
      </c>
      <c r="L7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9" spans="2:12" x14ac:dyDescent="0.3">
      <c r="B749" t="str">
        <f>IF('ENTRADAS-BASE'!A747="","",'ENTRADAS-BASE'!A747)</f>
        <v/>
      </c>
      <c r="C749" t="str">
        <f>IF('ENTRADAS-BASE'!B747="","",'ENTRADAS-BASE'!B747)</f>
        <v/>
      </c>
      <c r="D749" t="str">
        <f>IF('ENTRADAS-BASE'!C747="","",'ENTRADAS-BASE'!C747)</f>
        <v/>
      </c>
      <c r="E749" s="7" t="str">
        <f>IF('ENTRADAS-BASE'!D747="","",'ENTRADAS-BASE'!D747)</f>
        <v/>
      </c>
      <c r="F749" s="6" t="str">
        <f>IF('ENTRADAS-BASE'!E747="","",'ENTRADAS-BASE'!E747)</f>
        <v/>
      </c>
      <c r="G749" t="str">
        <f>IF('ENTRADAS-BASE'!F747="","",'ENTRADAS-BASE'!F747)</f>
        <v/>
      </c>
      <c r="H749" t="str">
        <f>IF('ENTRADAS-BASE'!G747="","",'ENTRADAS-BASE'!G747)</f>
        <v/>
      </c>
      <c r="I749" t="str">
        <f>IF('ENTRADAS-BASE'!H747="","",'ENTRADAS-BASE'!H747)</f>
        <v/>
      </c>
      <c r="J749" t="str">
        <f>IF('ENTRADAS-BASE'!I747="","",'ENTRADAS-BASE'!I747)</f>
        <v/>
      </c>
      <c r="K749" s="5" t="str">
        <f>IF('ENTRADAS-BASE'!J747="","",'ENTRADAS-BASE'!J747)</f>
        <v/>
      </c>
      <c r="L7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0" spans="2:12" x14ac:dyDescent="0.3">
      <c r="B750" t="str">
        <f>IF('ENTRADAS-BASE'!A748="","",'ENTRADAS-BASE'!A748)</f>
        <v/>
      </c>
      <c r="C750" t="str">
        <f>IF('ENTRADAS-BASE'!B748="","",'ENTRADAS-BASE'!B748)</f>
        <v/>
      </c>
      <c r="D750" t="str">
        <f>IF('ENTRADAS-BASE'!C748="","",'ENTRADAS-BASE'!C748)</f>
        <v/>
      </c>
      <c r="E750" s="7" t="str">
        <f>IF('ENTRADAS-BASE'!D748="","",'ENTRADAS-BASE'!D748)</f>
        <v/>
      </c>
      <c r="F750" s="6" t="str">
        <f>IF('ENTRADAS-BASE'!E748="","",'ENTRADAS-BASE'!E748)</f>
        <v/>
      </c>
      <c r="G750" t="str">
        <f>IF('ENTRADAS-BASE'!F748="","",'ENTRADAS-BASE'!F748)</f>
        <v/>
      </c>
      <c r="H750" t="str">
        <f>IF('ENTRADAS-BASE'!G748="","",'ENTRADAS-BASE'!G748)</f>
        <v/>
      </c>
      <c r="I750" t="str">
        <f>IF('ENTRADAS-BASE'!H748="","",'ENTRADAS-BASE'!H748)</f>
        <v/>
      </c>
      <c r="J750" t="str">
        <f>IF('ENTRADAS-BASE'!I748="","",'ENTRADAS-BASE'!I748)</f>
        <v/>
      </c>
      <c r="K750" s="5" t="str">
        <f>IF('ENTRADAS-BASE'!J748="","",'ENTRADAS-BASE'!J748)</f>
        <v/>
      </c>
      <c r="L7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1" spans="2:12" x14ac:dyDescent="0.3">
      <c r="B751" t="str">
        <f>IF('ENTRADAS-BASE'!A749="","",'ENTRADAS-BASE'!A749)</f>
        <v/>
      </c>
      <c r="C751" t="str">
        <f>IF('ENTRADAS-BASE'!B749="","",'ENTRADAS-BASE'!B749)</f>
        <v/>
      </c>
      <c r="D751" t="str">
        <f>IF('ENTRADAS-BASE'!C749="","",'ENTRADAS-BASE'!C749)</f>
        <v/>
      </c>
      <c r="E751" s="7" t="str">
        <f>IF('ENTRADAS-BASE'!D749="","",'ENTRADAS-BASE'!D749)</f>
        <v/>
      </c>
      <c r="F751" s="6" t="str">
        <f>IF('ENTRADAS-BASE'!E749="","",'ENTRADAS-BASE'!E749)</f>
        <v/>
      </c>
      <c r="G751" t="str">
        <f>IF('ENTRADAS-BASE'!F749="","",'ENTRADAS-BASE'!F749)</f>
        <v/>
      </c>
      <c r="H751" t="str">
        <f>IF('ENTRADAS-BASE'!G749="","",'ENTRADAS-BASE'!G749)</f>
        <v/>
      </c>
      <c r="I751" t="str">
        <f>IF('ENTRADAS-BASE'!H749="","",'ENTRADAS-BASE'!H749)</f>
        <v/>
      </c>
      <c r="J751" t="str">
        <f>IF('ENTRADAS-BASE'!I749="","",'ENTRADAS-BASE'!I749)</f>
        <v/>
      </c>
      <c r="K751" s="5" t="str">
        <f>IF('ENTRADAS-BASE'!J749="","",'ENTRADAS-BASE'!J749)</f>
        <v/>
      </c>
      <c r="L7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2" spans="2:12" x14ac:dyDescent="0.3">
      <c r="B752" t="str">
        <f>IF('ENTRADAS-BASE'!A750="","",'ENTRADAS-BASE'!A750)</f>
        <v/>
      </c>
      <c r="C752" t="str">
        <f>IF('ENTRADAS-BASE'!B750="","",'ENTRADAS-BASE'!B750)</f>
        <v/>
      </c>
      <c r="D752" t="str">
        <f>IF('ENTRADAS-BASE'!C750="","",'ENTRADAS-BASE'!C750)</f>
        <v/>
      </c>
      <c r="E752" s="7" t="str">
        <f>IF('ENTRADAS-BASE'!D750="","",'ENTRADAS-BASE'!D750)</f>
        <v/>
      </c>
      <c r="F752" s="6" t="str">
        <f>IF('ENTRADAS-BASE'!E750="","",'ENTRADAS-BASE'!E750)</f>
        <v/>
      </c>
      <c r="G752" t="str">
        <f>IF('ENTRADAS-BASE'!F750="","",'ENTRADAS-BASE'!F750)</f>
        <v/>
      </c>
      <c r="H752" t="str">
        <f>IF('ENTRADAS-BASE'!G750="","",'ENTRADAS-BASE'!G750)</f>
        <v/>
      </c>
      <c r="I752" t="str">
        <f>IF('ENTRADAS-BASE'!H750="","",'ENTRADAS-BASE'!H750)</f>
        <v/>
      </c>
      <c r="J752" t="str">
        <f>IF('ENTRADAS-BASE'!I750="","",'ENTRADAS-BASE'!I750)</f>
        <v/>
      </c>
      <c r="K752" s="5" t="str">
        <f>IF('ENTRADAS-BASE'!J750="","",'ENTRADAS-BASE'!J750)</f>
        <v/>
      </c>
      <c r="L7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3" spans="2:12" x14ac:dyDescent="0.3">
      <c r="B753" t="str">
        <f>IF('ENTRADAS-BASE'!A751="","",'ENTRADAS-BASE'!A751)</f>
        <v/>
      </c>
      <c r="C753" t="str">
        <f>IF('ENTRADAS-BASE'!B751="","",'ENTRADAS-BASE'!B751)</f>
        <v/>
      </c>
      <c r="D753" t="str">
        <f>IF('ENTRADAS-BASE'!C751="","",'ENTRADAS-BASE'!C751)</f>
        <v/>
      </c>
      <c r="E753" s="7" t="str">
        <f>IF('ENTRADAS-BASE'!D751="","",'ENTRADAS-BASE'!D751)</f>
        <v/>
      </c>
      <c r="F753" s="6" t="str">
        <f>IF('ENTRADAS-BASE'!E751="","",'ENTRADAS-BASE'!E751)</f>
        <v/>
      </c>
      <c r="G753" t="str">
        <f>IF('ENTRADAS-BASE'!F751="","",'ENTRADAS-BASE'!F751)</f>
        <v/>
      </c>
      <c r="H753" t="str">
        <f>IF('ENTRADAS-BASE'!G751="","",'ENTRADAS-BASE'!G751)</f>
        <v/>
      </c>
      <c r="I753" t="str">
        <f>IF('ENTRADAS-BASE'!H751="","",'ENTRADAS-BASE'!H751)</f>
        <v/>
      </c>
      <c r="J753" t="str">
        <f>IF('ENTRADAS-BASE'!I751="","",'ENTRADAS-BASE'!I751)</f>
        <v/>
      </c>
      <c r="K753" s="5" t="str">
        <f>IF('ENTRADAS-BASE'!J751="","",'ENTRADAS-BASE'!J751)</f>
        <v/>
      </c>
      <c r="L7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4" spans="2:12" x14ac:dyDescent="0.3">
      <c r="B754" t="str">
        <f>IF('ENTRADAS-BASE'!A752="","",'ENTRADAS-BASE'!A752)</f>
        <v/>
      </c>
      <c r="C754" t="str">
        <f>IF('ENTRADAS-BASE'!B752="","",'ENTRADAS-BASE'!B752)</f>
        <v/>
      </c>
      <c r="D754" t="str">
        <f>IF('ENTRADAS-BASE'!C752="","",'ENTRADAS-BASE'!C752)</f>
        <v/>
      </c>
      <c r="E754" s="7" t="str">
        <f>IF('ENTRADAS-BASE'!D752="","",'ENTRADAS-BASE'!D752)</f>
        <v/>
      </c>
      <c r="F754" s="6" t="str">
        <f>IF('ENTRADAS-BASE'!E752="","",'ENTRADAS-BASE'!E752)</f>
        <v/>
      </c>
      <c r="G754" t="str">
        <f>IF('ENTRADAS-BASE'!F752="","",'ENTRADAS-BASE'!F752)</f>
        <v/>
      </c>
      <c r="H754" t="str">
        <f>IF('ENTRADAS-BASE'!G752="","",'ENTRADAS-BASE'!G752)</f>
        <v/>
      </c>
      <c r="I754" t="str">
        <f>IF('ENTRADAS-BASE'!H752="","",'ENTRADAS-BASE'!H752)</f>
        <v/>
      </c>
      <c r="J754" t="str">
        <f>IF('ENTRADAS-BASE'!I752="","",'ENTRADAS-BASE'!I752)</f>
        <v/>
      </c>
      <c r="K754" s="5" t="str">
        <f>IF('ENTRADAS-BASE'!J752="","",'ENTRADAS-BASE'!J752)</f>
        <v/>
      </c>
      <c r="L7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5" spans="2:12" x14ac:dyDescent="0.3">
      <c r="B755" t="str">
        <f>IF('ENTRADAS-BASE'!A753="","",'ENTRADAS-BASE'!A753)</f>
        <v/>
      </c>
      <c r="C755" t="str">
        <f>IF('ENTRADAS-BASE'!B753="","",'ENTRADAS-BASE'!B753)</f>
        <v/>
      </c>
      <c r="D755" t="str">
        <f>IF('ENTRADAS-BASE'!C753="","",'ENTRADAS-BASE'!C753)</f>
        <v/>
      </c>
      <c r="E755" s="7" t="str">
        <f>IF('ENTRADAS-BASE'!D753="","",'ENTRADAS-BASE'!D753)</f>
        <v/>
      </c>
      <c r="F755" s="6" t="str">
        <f>IF('ENTRADAS-BASE'!E753="","",'ENTRADAS-BASE'!E753)</f>
        <v/>
      </c>
      <c r="G755" t="str">
        <f>IF('ENTRADAS-BASE'!F753="","",'ENTRADAS-BASE'!F753)</f>
        <v/>
      </c>
      <c r="H755" t="str">
        <f>IF('ENTRADAS-BASE'!G753="","",'ENTRADAS-BASE'!G753)</f>
        <v/>
      </c>
      <c r="I755" t="str">
        <f>IF('ENTRADAS-BASE'!H753="","",'ENTRADAS-BASE'!H753)</f>
        <v/>
      </c>
      <c r="J755" t="str">
        <f>IF('ENTRADAS-BASE'!I753="","",'ENTRADAS-BASE'!I753)</f>
        <v/>
      </c>
      <c r="K755" s="5" t="str">
        <f>IF('ENTRADAS-BASE'!J753="","",'ENTRADAS-BASE'!J753)</f>
        <v/>
      </c>
      <c r="L7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6" spans="2:12" x14ac:dyDescent="0.3">
      <c r="B756" t="str">
        <f>IF('ENTRADAS-BASE'!A754="","",'ENTRADAS-BASE'!A754)</f>
        <v/>
      </c>
      <c r="C756" t="str">
        <f>IF('ENTRADAS-BASE'!B754="","",'ENTRADAS-BASE'!B754)</f>
        <v/>
      </c>
      <c r="D756" t="str">
        <f>IF('ENTRADAS-BASE'!C754="","",'ENTRADAS-BASE'!C754)</f>
        <v/>
      </c>
      <c r="E756" s="7" t="str">
        <f>IF('ENTRADAS-BASE'!D754="","",'ENTRADAS-BASE'!D754)</f>
        <v/>
      </c>
      <c r="F756" s="6" t="str">
        <f>IF('ENTRADAS-BASE'!E754="","",'ENTRADAS-BASE'!E754)</f>
        <v/>
      </c>
      <c r="G756" t="str">
        <f>IF('ENTRADAS-BASE'!F754="","",'ENTRADAS-BASE'!F754)</f>
        <v/>
      </c>
      <c r="H756" t="str">
        <f>IF('ENTRADAS-BASE'!G754="","",'ENTRADAS-BASE'!G754)</f>
        <v/>
      </c>
      <c r="I756" t="str">
        <f>IF('ENTRADAS-BASE'!H754="","",'ENTRADAS-BASE'!H754)</f>
        <v/>
      </c>
      <c r="J756" t="str">
        <f>IF('ENTRADAS-BASE'!I754="","",'ENTRADAS-BASE'!I754)</f>
        <v/>
      </c>
      <c r="K756" s="5" t="str">
        <f>IF('ENTRADAS-BASE'!J754="","",'ENTRADAS-BASE'!J754)</f>
        <v/>
      </c>
      <c r="L7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7" spans="2:12" x14ac:dyDescent="0.3">
      <c r="B757" t="str">
        <f>IF('ENTRADAS-BASE'!A755="","",'ENTRADAS-BASE'!A755)</f>
        <v/>
      </c>
      <c r="C757" t="str">
        <f>IF('ENTRADAS-BASE'!B755="","",'ENTRADAS-BASE'!B755)</f>
        <v/>
      </c>
      <c r="D757" t="str">
        <f>IF('ENTRADAS-BASE'!C755="","",'ENTRADAS-BASE'!C755)</f>
        <v/>
      </c>
      <c r="E757" s="7" t="str">
        <f>IF('ENTRADAS-BASE'!D755="","",'ENTRADAS-BASE'!D755)</f>
        <v/>
      </c>
      <c r="F757" s="6" t="str">
        <f>IF('ENTRADAS-BASE'!E755="","",'ENTRADAS-BASE'!E755)</f>
        <v/>
      </c>
      <c r="G757" t="str">
        <f>IF('ENTRADAS-BASE'!F755="","",'ENTRADAS-BASE'!F755)</f>
        <v/>
      </c>
      <c r="H757" t="str">
        <f>IF('ENTRADAS-BASE'!G755="","",'ENTRADAS-BASE'!G755)</f>
        <v/>
      </c>
      <c r="I757" t="str">
        <f>IF('ENTRADAS-BASE'!H755="","",'ENTRADAS-BASE'!H755)</f>
        <v/>
      </c>
      <c r="J757" t="str">
        <f>IF('ENTRADAS-BASE'!I755="","",'ENTRADAS-BASE'!I755)</f>
        <v/>
      </c>
      <c r="K757" s="5" t="str">
        <f>IF('ENTRADAS-BASE'!J755="","",'ENTRADAS-BASE'!J755)</f>
        <v/>
      </c>
      <c r="L7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8" spans="2:12" x14ac:dyDescent="0.3">
      <c r="B758" t="str">
        <f>IF('ENTRADAS-BASE'!A756="","",'ENTRADAS-BASE'!A756)</f>
        <v/>
      </c>
      <c r="C758" t="str">
        <f>IF('ENTRADAS-BASE'!B756="","",'ENTRADAS-BASE'!B756)</f>
        <v/>
      </c>
      <c r="D758" t="str">
        <f>IF('ENTRADAS-BASE'!C756="","",'ENTRADAS-BASE'!C756)</f>
        <v/>
      </c>
      <c r="E758" s="7" t="str">
        <f>IF('ENTRADAS-BASE'!D756="","",'ENTRADAS-BASE'!D756)</f>
        <v/>
      </c>
      <c r="F758" s="6" t="str">
        <f>IF('ENTRADAS-BASE'!E756="","",'ENTRADAS-BASE'!E756)</f>
        <v/>
      </c>
      <c r="G758" t="str">
        <f>IF('ENTRADAS-BASE'!F756="","",'ENTRADAS-BASE'!F756)</f>
        <v/>
      </c>
      <c r="H758" t="str">
        <f>IF('ENTRADAS-BASE'!G756="","",'ENTRADAS-BASE'!G756)</f>
        <v/>
      </c>
      <c r="I758" t="str">
        <f>IF('ENTRADAS-BASE'!H756="","",'ENTRADAS-BASE'!H756)</f>
        <v/>
      </c>
      <c r="J758" t="str">
        <f>IF('ENTRADAS-BASE'!I756="","",'ENTRADAS-BASE'!I756)</f>
        <v/>
      </c>
      <c r="K758" s="5" t="str">
        <f>IF('ENTRADAS-BASE'!J756="","",'ENTRADAS-BASE'!J756)</f>
        <v/>
      </c>
      <c r="L7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9" spans="2:12" x14ac:dyDescent="0.3">
      <c r="B759" t="str">
        <f>IF('ENTRADAS-BASE'!A757="","",'ENTRADAS-BASE'!A757)</f>
        <v/>
      </c>
      <c r="C759" t="str">
        <f>IF('ENTRADAS-BASE'!B757="","",'ENTRADAS-BASE'!B757)</f>
        <v/>
      </c>
      <c r="D759" t="str">
        <f>IF('ENTRADAS-BASE'!C757="","",'ENTRADAS-BASE'!C757)</f>
        <v/>
      </c>
      <c r="E759" s="7" t="str">
        <f>IF('ENTRADAS-BASE'!D757="","",'ENTRADAS-BASE'!D757)</f>
        <v/>
      </c>
      <c r="F759" s="6" t="str">
        <f>IF('ENTRADAS-BASE'!E757="","",'ENTRADAS-BASE'!E757)</f>
        <v/>
      </c>
      <c r="G759" t="str">
        <f>IF('ENTRADAS-BASE'!F757="","",'ENTRADAS-BASE'!F757)</f>
        <v/>
      </c>
      <c r="H759" t="str">
        <f>IF('ENTRADAS-BASE'!G757="","",'ENTRADAS-BASE'!G757)</f>
        <v/>
      </c>
      <c r="I759" t="str">
        <f>IF('ENTRADAS-BASE'!H757="","",'ENTRADAS-BASE'!H757)</f>
        <v/>
      </c>
      <c r="J759" t="str">
        <f>IF('ENTRADAS-BASE'!I757="","",'ENTRADAS-BASE'!I757)</f>
        <v/>
      </c>
      <c r="K759" s="5" t="str">
        <f>IF('ENTRADAS-BASE'!J757="","",'ENTRADAS-BASE'!J757)</f>
        <v/>
      </c>
      <c r="L7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0" spans="2:12" x14ac:dyDescent="0.3">
      <c r="B760" t="str">
        <f>IF('ENTRADAS-BASE'!A758="","",'ENTRADAS-BASE'!A758)</f>
        <v/>
      </c>
      <c r="C760" t="str">
        <f>IF('ENTRADAS-BASE'!B758="","",'ENTRADAS-BASE'!B758)</f>
        <v/>
      </c>
      <c r="D760" t="str">
        <f>IF('ENTRADAS-BASE'!C758="","",'ENTRADAS-BASE'!C758)</f>
        <v/>
      </c>
      <c r="E760" s="7" t="str">
        <f>IF('ENTRADAS-BASE'!D758="","",'ENTRADAS-BASE'!D758)</f>
        <v/>
      </c>
      <c r="F760" s="6" t="str">
        <f>IF('ENTRADAS-BASE'!E758="","",'ENTRADAS-BASE'!E758)</f>
        <v/>
      </c>
      <c r="G760" t="str">
        <f>IF('ENTRADAS-BASE'!F758="","",'ENTRADAS-BASE'!F758)</f>
        <v/>
      </c>
      <c r="H760" t="str">
        <f>IF('ENTRADAS-BASE'!G758="","",'ENTRADAS-BASE'!G758)</f>
        <v/>
      </c>
      <c r="I760" t="str">
        <f>IF('ENTRADAS-BASE'!H758="","",'ENTRADAS-BASE'!H758)</f>
        <v/>
      </c>
      <c r="J760" t="str">
        <f>IF('ENTRADAS-BASE'!I758="","",'ENTRADAS-BASE'!I758)</f>
        <v/>
      </c>
      <c r="K760" s="5" t="str">
        <f>IF('ENTRADAS-BASE'!J758="","",'ENTRADAS-BASE'!J758)</f>
        <v/>
      </c>
      <c r="L7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1" spans="2:12" x14ac:dyDescent="0.3">
      <c r="B761" t="str">
        <f>IF('ENTRADAS-BASE'!A759="","",'ENTRADAS-BASE'!A759)</f>
        <v/>
      </c>
      <c r="C761" t="str">
        <f>IF('ENTRADAS-BASE'!B759="","",'ENTRADAS-BASE'!B759)</f>
        <v/>
      </c>
      <c r="D761" t="str">
        <f>IF('ENTRADAS-BASE'!C759="","",'ENTRADAS-BASE'!C759)</f>
        <v/>
      </c>
      <c r="E761" s="7" t="str">
        <f>IF('ENTRADAS-BASE'!D759="","",'ENTRADAS-BASE'!D759)</f>
        <v/>
      </c>
      <c r="F761" s="6" t="str">
        <f>IF('ENTRADAS-BASE'!E759="","",'ENTRADAS-BASE'!E759)</f>
        <v/>
      </c>
      <c r="G761" t="str">
        <f>IF('ENTRADAS-BASE'!F759="","",'ENTRADAS-BASE'!F759)</f>
        <v/>
      </c>
      <c r="H761" t="str">
        <f>IF('ENTRADAS-BASE'!G759="","",'ENTRADAS-BASE'!G759)</f>
        <v/>
      </c>
      <c r="I761" t="str">
        <f>IF('ENTRADAS-BASE'!H759="","",'ENTRADAS-BASE'!H759)</f>
        <v/>
      </c>
      <c r="J761" t="str">
        <f>IF('ENTRADAS-BASE'!I759="","",'ENTRADAS-BASE'!I759)</f>
        <v/>
      </c>
      <c r="K761" s="5" t="str">
        <f>IF('ENTRADAS-BASE'!J759="","",'ENTRADAS-BASE'!J759)</f>
        <v/>
      </c>
      <c r="L7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2" spans="2:12" x14ac:dyDescent="0.3">
      <c r="B762" t="str">
        <f>IF('ENTRADAS-BASE'!A760="","",'ENTRADAS-BASE'!A760)</f>
        <v/>
      </c>
      <c r="C762" t="str">
        <f>IF('ENTRADAS-BASE'!B760="","",'ENTRADAS-BASE'!B760)</f>
        <v/>
      </c>
      <c r="D762" t="str">
        <f>IF('ENTRADAS-BASE'!C760="","",'ENTRADAS-BASE'!C760)</f>
        <v/>
      </c>
      <c r="E762" s="7" t="str">
        <f>IF('ENTRADAS-BASE'!D760="","",'ENTRADAS-BASE'!D760)</f>
        <v/>
      </c>
      <c r="F762" s="6" t="str">
        <f>IF('ENTRADAS-BASE'!E760="","",'ENTRADAS-BASE'!E760)</f>
        <v/>
      </c>
      <c r="G762" t="str">
        <f>IF('ENTRADAS-BASE'!F760="","",'ENTRADAS-BASE'!F760)</f>
        <v/>
      </c>
      <c r="H762" t="str">
        <f>IF('ENTRADAS-BASE'!G760="","",'ENTRADAS-BASE'!G760)</f>
        <v/>
      </c>
      <c r="I762" t="str">
        <f>IF('ENTRADAS-BASE'!H760="","",'ENTRADAS-BASE'!H760)</f>
        <v/>
      </c>
      <c r="J762" t="str">
        <f>IF('ENTRADAS-BASE'!I760="","",'ENTRADAS-BASE'!I760)</f>
        <v/>
      </c>
      <c r="K762" s="5" t="str">
        <f>IF('ENTRADAS-BASE'!J760="","",'ENTRADAS-BASE'!J760)</f>
        <v/>
      </c>
      <c r="L7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3" spans="2:12" x14ac:dyDescent="0.3">
      <c r="B763" t="str">
        <f>IF('ENTRADAS-BASE'!A761="","",'ENTRADAS-BASE'!A761)</f>
        <v/>
      </c>
      <c r="C763" t="str">
        <f>IF('ENTRADAS-BASE'!B761="","",'ENTRADAS-BASE'!B761)</f>
        <v/>
      </c>
      <c r="D763" t="str">
        <f>IF('ENTRADAS-BASE'!C761="","",'ENTRADAS-BASE'!C761)</f>
        <v/>
      </c>
      <c r="E763" s="7" t="str">
        <f>IF('ENTRADAS-BASE'!D761="","",'ENTRADAS-BASE'!D761)</f>
        <v/>
      </c>
      <c r="F763" s="6" t="str">
        <f>IF('ENTRADAS-BASE'!E761="","",'ENTRADAS-BASE'!E761)</f>
        <v/>
      </c>
      <c r="G763" t="str">
        <f>IF('ENTRADAS-BASE'!F761="","",'ENTRADAS-BASE'!F761)</f>
        <v/>
      </c>
      <c r="H763" t="str">
        <f>IF('ENTRADAS-BASE'!G761="","",'ENTRADAS-BASE'!G761)</f>
        <v/>
      </c>
      <c r="I763" t="str">
        <f>IF('ENTRADAS-BASE'!H761="","",'ENTRADAS-BASE'!H761)</f>
        <v/>
      </c>
      <c r="J763" t="str">
        <f>IF('ENTRADAS-BASE'!I761="","",'ENTRADAS-BASE'!I761)</f>
        <v/>
      </c>
      <c r="K763" s="5" t="str">
        <f>IF('ENTRADAS-BASE'!J761="","",'ENTRADAS-BASE'!J761)</f>
        <v/>
      </c>
      <c r="L7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4" spans="2:12" x14ac:dyDescent="0.3">
      <c r="B764" t="str">
        <f>IF('ENTRADAS-BASE'!A762="","",'ENTRADAS-BASE'!A762)</f>
        <v/>
      </c>
      <c r="C764" t="str">
        <f>IF('ENTRADAS-BASE'!B762="","",'ENTRADAS-BASE'!B762)</f>
        <v/>
      </c>
      <c r="D764" t="str">
        <f>IF('ENTRADAS-BASE'!C762="","",'ENTRADAS-BASE'!C762)</f>
        <v/>
      </c>
      <c r="E764" s="7" t="str">
        <f>IF('ENTRADAS-BASE'!D762="","",'ENTRADAS-BASE'!D762)</f>
        <v/>
      </c>
      <c r="F764" s="6" t="str">
        <f>IF('ENTRADAS-BASE'!E762="","",'ENTRADAS-BASE'!E762)</f>
        <v/>
      </c>
      <c r="G764" t="str">
        <f>IF('ENTRADAS-BASE'!F762="","",'ENTRADAS-BASE'!F762)</f>
        <v/>
      </c>
      <c r="H764" t="str">
        <f>IF('ENTRADAS-BASE'!G762="","",'ENTRADAS-BASE'!G762)</f>
        <v/>
      </c>
      <c r="I764" t="str">
        <f>IF('ENTRADAS-BASE'!H762="","",'ENTRADAS-BASE'!H762)</f>
        <v/>
      </c>
      <c r="J764" t="str">
        <f>IF('ENTRADAS-BASE'!I762="","",'ENTRADAS-BASE'!I762)</f>
        <v/>
      </c>
      <c r="K764" s="5" t="str">
        <f>IF('ENTRADAS-BASE'!J762="","",'ENTRADAS-BASE'!J762)</f>
        <v/>
      </c>
      <c r="L7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5" spans="2:12" x14ac:dyDescent="0.3">
      <c r="B765" t="str">
        <f>IF('ENTRADAS-BASE'!A763="","",'ENTRADAS-BASE'!A763)</f>
        <v/>
      </c>
      <c r="C765" t="str">
        <f>IF('ENTRADAS-BASE'!B763="","",'ENTRADAS-BASE'!B763)</f>
        <v/>
      </c>
      <c r="D765" t="str">
        <f>IF('ENTRADAS-BASE'!C763="","",'ENTRADAS-BASE'!C763)</f>
        <v/>
      </c>
      <c r="E765" s="7" t="str">
        <f>IF('ENTRADAS-BASE'!D763="","",'ENTRADAS-BASE'!D763)</f>
        <v/>
      </c>
      <c r="F765" s="6" t="str">
        <f>IF('ENTRADAS-BASE'!E763="","",'ENTRADAS-BASE'!E763)</f>
        <v/>
      </c>
      <c r="G765" t="str">
        <f>IF('ENTRADAS-BASE'!F763="","",'ENTRADAS-BASE'!F763)</f>
        <v/>
      </c>
      <c r="H765" t="str">
        <f>IF('ENTRADAS-BASE'!G763="","",'ENTRADAS-BASE'!G763)</f>
        <v/>
      </c>
      <c r="I765" t="str">
        <f>IF('ENTRADAS-BASE'!H763="","",'ENTRADAS-BASE'!H763)</f>
        <v/>
      </c>
      <c r="J765" t="str">
        <f>IF('ENTRADAS-BASE'!I763="","",'ENTRADAS-BASE'!I763)</f>
        <v/>
      </c>
      <c r="K765" s="5" t="str">
        <f>IF('ENTRADAS-BASE'!J763="","",'ENTRADAS-BASE'!J763)</f>
        <v/>
      </c>
      <c r="L7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6" spans="2:12" x14ac:dyDescent="0.3">
      <c r="B766" t="str">
        <f>IF('ENTRADAS-BASE'!A764="","",'ENTRADAS-BASE'!A764)</f>
        <v/>
      </c>
      <c r="C766" t="str">
        <f>IF('ENTRADAS-BASE'!B764="","",'ENTRADAS-BASE'!B764)</f>
        <v/>
      </c>
      <c r="D766" t="str">
        <f>IF('ENTRADAS-BASE'!C764="","",'ENTRADAS-BASE'!C764)</f>
        <v/>
      </c>
      <c r="E766" s="7" t="str">
        <f>IF('ENTRADAS-BASE'!D764="","",'ENTRADAS-BASE'!D764)</f>
        <v/>
      </c>
      <c r="F766" s="6" t="str">
        <f>IF('ENTRADAS-BASE'!E764="","",'ENTRADAS-BASE'!E764)</f>
        <v/>
      </c>
      <c r="G766" t="str">
        <f>IF('ENTRADAS-BASE'!F764="","",'ENTRADAS-BASE'!F764)</f>
        <v/>
      </c>
      <c r="H766" t="str">
        <f>IF('ENTRADAS-BASE'!G764="","",'ENTRADAS-BASE'!G764)</f>
        <v/>
      </c>
      <c r="I766" t="str">
        <f>IF('ENTRADAS-BASE'!H764="","",'ENTRADAS-BASE'!H764)</f>
        <v/>
      </c>
      <c r="J766" t="str">
        <f>IF('ENTRADAS-BASE'!I764="","",'ENTRADAS-BASE'!I764)</f>
        <v/>
      </c>
      <c r="K766" s="5" t="str">
        <f>IF('ENTRADAS-BASE'!J764="","",'ENTRADAS-BASE'!J764)</f>
        <v/>
      </c>
      <c r="L7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7" spans="2:12" x14ac:dyDescent="0.3">
      <c r="B767" t="str">
        <f>IF('ENTRADAS-BASE'!A765="","",'ENTRADAS-BASE'!A765)</f>
        <v/>
      </c>
      <c r="C767" t="str">
        <f>IF('ENTRADAS-BASE'!B765="","",'ENTRADAS-BASE'!B765)</f>
        <v/>
      </c>
      <c r="D767" t="str">
        <f>IF('ENTRADAS-BASE'!C765="","",'ENTRADAS-BASE'!C765)</f>
        <v/>
      </c>
      <c r="E767" s="7" t="str">
        <f>IF('ENTRADAS-BASE'!D765="","",'ENTRADAS-BASE'!D765)</f>
        <v/>
      </c>
      <c r="F767" s="6" t="str">
        <f>IF('ENTRADAS-BASE'!E765="","",'ENTRADAS-BASE'!E765)</f>
        <v/>
      </c>
      <c r="G767" t="str">
        <f>IF('ENTRADAS-BASE'!F765="","",'ENTRADAS-BASE'!F765)</f>
        <v/>
      </c>
      <c r="H767" t="str">
        <f>IF('ENTRADAS-BASE'!G765="","",'ENTRADAS-BASE'!G765)</f>
        <v/>
      </c>
      <c r="I767" t="str">
        <f>IF('ENTRADAS-BASE'!H765="","",'ENTRADAS-BASE'!H765)</f>
        <v/>
      </c>
      <c r="J767" t="str">
        <f>IF('ENTRADAS-BASE'!I765="","",'ENTRADAS-BASE'!I765)</f>
        <v/>
      </c>
      <c r="K767" s="5" t="str">
        <f>IF('ENTRADAS-BASE'!J765="","",'ENTRADAS-BASE'!J765)</f>
        <v/>
      </c>
      <c r="L7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8" spans="2:12" x14ac:dyDescent="0.3">
      <c r="B768" t="str">
        <f>IF('ENTRADAS-BASE'!A766="","",'ENTRADAS-BASE'!A766)</f>
        <v/>
      </c>
      <c r="C768" t="str">
        <f>IF('ENTRADAS-BASE'!B766="","",'ENTRADAS-BASE'!B766)</f>
        <v/>
      </c>
      <c r="D768" t="str">
        <f>IF('ENTRADAS-BASE'!C766="","",'ENTRADAS-BASE'!C766)</f>
        <v/>
      </c>
      <c r="E768" s="7" t="str">
        <f>IF('ENTRADAS-BASE'!D766="","",'ENTRADAS-BASE'!D766)</f>
        <v/>
      </c>
      <c r="F768" s="6" t="str">
        <f>IF('ENTRADAS-BASE'!E766="","",'ENTRADAS-BASE'!E766)</f>
        <v/>
      </c>
      <c r="G768" t="str">
        <f>IF('ENTRADAS-BASE'!F766="","",'ENTRADAS-BASE'!F766)</f>
        <v/>
      </c>
      <c r="H768" t="str">
        <f>IF('ENTRADAS-BASE'!G766="","",'ENTRADAS-BASE'!G766)</f>
        <v/>
      </c>
      <c r="I768" t="str">
        <f>IF('ENTRADAS-BASE'!H766="","",'ENTRADAS-BASE'!H766)</f>
        <v/>
      </c>
      <c r="J768" t="str">
        <f>IF('ENTRADAS-BASE'!I766="","",'ENTRADAS-BASE'!I766)</f>
        <v/>
      </c>
      <c r="K768" s="5" t="str">
        <f>IF('ENTRADAS-BASE'!J766="","",'ENTRADAS-BASE'!J766)</f>
        <v/>
      </c>
      <c r="L7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9" spans="2:12" x14ac:dyDescent="0.3">
      <c r="B769" t="str">
        <f>IF('ENTRADAS-BASE'!A767="","",'ENTRADAS-BASE'!A767)</f>
        <v/>
      </c>
      <c r="C769" t="str">
        <f>IF('ENTRADAS-BASE'!B767="","",'ENTRADAS-BASE'!B767)</f>
        <v/>
      </c>
      <c r="D769" t="str">
        <f>IF('ENTRADAS-BASE'!C767="","",'ENTRADAS-BASE'!C767)</f>
        <v/>
      </c>
      <c r="E769" s="7" t="str">
        <f>IF('ENTRADAS-BASE'!D767="","",'ENTRADAS-BASE'!D767)</f>
        <v/>
      </c>
      <c r="F769" s="6" t="str">
        <f>IF('ENTRADAS-BASE'!E767="","",'ENTRADAS-BASE'!E767)</f>
        <v/>
      </c>
      <c r="G769" t="str">
        <f>IF('ENTRADAS-BASE'!F767="","",'ENTRADAS-BASE'!F767)</f>
        <v/>
      </c>
      <c r="H769" t="str">
        <f>IF('ENTRADAS-BASE'!G767="","",'ENTRADAS-BASE'!G767)</f>
        <v/>
      </c>
      <c r="I769" t="str">
        <f>IF('ENTRADAS-BASE'!H767="","",'ENTRADAS-BASE'!H767)</f>
        <v/>
      </c>
      <c r="J769" t="str">
        <f>IF('ENTRADAS-BASE'!I767="","",'ENTRADAS-BASE'!I767)</f>
        <v/>
      </c>
      <c r="K769" s="5" t="str">
        <f>IF('ENTRADAS-BASE'!J767="","",'ENTRADAS-BASE'!J767)</f>
        <v/>
      </c>
      <c r="L7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0" spans="2:12" x14ac:dyDescent="0.3">
      <c r="B770" t="str">
        <f>IF('ENTRADAS-BASE'!A768="","",'ENTRADAS-BASE'!A768)</f>
        <v/>
      </c>
      <c r="C770" t="str">
        <f>IF('ENTRADAS-BASE'!B768="","",'ENTRADAS-BASE'!B768)</f>
        <v/>
      </c>
      <c r="D770" t="str">
        <f>IF('ENTRADAS-BASE'!C768="","",'ENTRADAS-BASE'!C768)</f>
        <v/>
      </c>
      <c r="E770" s="7" t="str">
        <f>IF('ENTRADAS-BASE'!D768="","",'ENTRADAS-BASE'!D768)</f>
        <v/>
      </c>
      <c r="F770" s="6" t="str">
        <f>IF('ENTRADAS-BASE'!E768="","",'ENTRADAS-BASE'!E768)</f>
        <v/>
      </c>
      <c r="G770" t="str">
        <f>IF('ENTRADAS-BASE'!F768="","",'ENTRADAS-BASE'!F768)</f>
        <v/>
      </c>
      <c r="H770" t="str">
        <f>IF('ENTRADAS-BASE'!G768="","",'ENTRADAS-BASE'!G768)</f>
        <v/>
      </c>
      <c r="I770" t="str">
        <f>IF('ENTRADAS-BASE'!H768="","",'ENTRADAS-BASE'!H768)</f>
        <v/>
      </c>
      <c r="J770" t="str">
        <f>IF('ENTRADAS-BASE'!I768="","",'ENTRADAS-BASE'!I768)</f>
        <v/>
      </c>
      <c r="K770" s="5" t="str">
        <f>IF('ENTRADAS-BASE'!J768="","",'ENTRADAS-BASE'!J768)</f>
        <v/>
      </c>
      <c r="L7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1" spans="2:12" x14ac:dyDescent="0.3">
      <c r="B771" t="str">
        <f>IF('ENTRADAS-BASE'!A769="","",'ENTRADAS-BASE'!A769)</f>
        <v/>
      </c>
      <c r="C771" t="str">
        <f>IF('ENTRADAS-BASE'!B769="","",'ENTRADAS-BASE'!B769)</f>
        <v/>
      </c>
      <c r="D771" t="str">
        <f>IF('ENTRADAS-BASE'!C769="","",'ENTRADAS-BASE'!C769)</f>
        <v/>
      </c>
      <c r="E771" s="7" t="str">
        <f>IF('ENTRADAS-BASE'!D769="","",'ENTRADAS-BASE'!D769)</f>
        <v/>
      </c>
      <c r="F771" s="6" t="str">
        <f>IF('ENTRADAS-BASE'!E769="","",'ENTRADAS-BASE'!E769)</f>
        <v/>
      </c>
      <c r="G771" t="str">
        <f>IF('ENTRADAS-BASE'!F769="","",'ENTRADAS-BASE'!F769)</f>
        <v/>
      </c>
      <c r="H771" t="str">
        <f>IF('ENTRADAS-BASE'!G769="","",'ENTRADAS-BASE'!G769)</f>
        <v/>
      </c>
      <c r="I771" t="str">
        <f>IF('ENTRADAS-BASE'!H769="","",'ENTRADAS-BASE'!H769)</f>
        <v/>
      </c>
      <c r="J771" t="str">
        <f>IF('ENTRADAS-BASE'!I769="","",'ENTRADAS-BASE'!I769)</f>
        <v/>
      </c>
      <c r="K771" s="5" t="str">
        <f>IF('ENTRADAS-BASE'!J769="","",'ENTRADAS-BASE'!J769)</f>
        <v/>
      </c>
      <c r="L7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2" spans="2:12" x14ac:dyDescent="0.3">
      <c r="B772" t="str">
        <f>IF('ENTRADAS-BASE'!A770="","",'ENTRADAS-BASE'!A770)</f>
        <v/>
      </c>
      <c r="C772" t="str">
        <f>IF('ENTRADAS-BASE'!B770="","",'ENTRADAS-BASE'!B770)</f>
        <v/>
      </c>
      <c r="D772" t="str">
        <f>IF('ENTRADAS-BASE'!C770="","",'ENTRADAS-BASE'!C770)</f>
        <v/>
      </c>
      <c r="E772" s="7" t="str">
        <f>IF('ENTRADAS-BASE'!D770="","",'ENTRADAS-BASE'!D770)</f>
        <v/>
      </c>
      <c r="F772" s="6" t="str">
        <f>IF('ENTRADAS-BASE'!E770="","",'ENTRADAS-BASE'!E770)</f>
        <v/>
      </c>
      <c r="G772" t="str">
        <f>IF('ENTRADAS-BASE'!F770="","",'ENTRADAS-BASE'!F770)</f>
        <v/>
      </c>
      <c r="H772" t="str">
        <f>IF('ENTRADAS-BASE'!G770="","",'ENTRADAS-BASE'!G770)</f>
        <v/>
      </c>
      <c r="I772" t="str">
        <f>IF('ENTRADAS-BASE'!H770="","",'ENTRADAS-BASE'!H770)</f>
        <v/>
      </c>
      <c r="J772" t="str">
        <f>IF('ENTRADAS-BASE'!I770="","",'ENTRADAS-BASE'!I770)</f>
        <v/>
      </c>
      <c r="K772" s="5" t="str">
        <f>IF('ENTRADAS-BASE'!J770="","",'ENTRADAS-BASE'!J770)</f>
        <v/>
      </c>
      <c r="L7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3" spans="2:12" x14ac:dyDescent="0.3">
      <c r="B773" t="str">
        <f>IF('ENTRADAS-BASE'!A771="","",'ENTRADAS-BASE'!A771)</f>
        <v/>
      </c>
      <c r="C773" t="str">
        <f>IF('ENTRADAS-BASE'!B771="","",'ENTRADAS-BASE'!B771)</f>
        <v/>
      </c>
      <c r="D773" t="str">
        <f>IF('ENTRADAS-BASE'!C771="","",'ENTRADAS-BASE'!C771)</f>
        <v/>
      </c>
      <c r="E773" s="7" t="str">
        <f>IF('ENTRADAS-BASE'!D771="","",'ENTRADAS-BASE'!D771)</f>
        <v/>
      </c>
      <c r="F773" s="6" t="str">
        <f>IF('ENTRADAS-BASE'!E771="","",'ENTRADAS-BASE'!E771)</f>
        <v/>
      </c>
      <c r="G773" t="str">
        <f>IF('ENTRADAS-BASE'!F771="","",'ENTRADAS-BASE'!F771)</f>
        <v/>
      </c>
      <c r="H773" t="str">
        <f>IF('ENTRADAS-BASE'!G771="","",'ENTRADAS-BASE'!G771)</f>
        <v/>
      </c>
      <c r="I773" t="str">
        <f>IF('ENTRADAS-BASE'!H771="","",'ENTRADAS-BASE'!H771)</f>
        <v/>
      </c>
      <c r="J773" t="str">
        <f>IF('ENTRADAS-BASE'!I771="","",'ENTRADAS-BASE'!I771)</f>
        <v/>
      </c>
      <c r="K773" s="5" t="str">
        <f>IF('ENTRADAS-BASE'!J771="","",'ENTRADAS-BASE'!J771)</f>
        <v/>
      </c>
      <c r="L7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4" spans="2:12" x14ac:dyDescent="0.3">
      <c r="B774" t="str">
        <f>IF('ENTRADAS-BASE'!A772="","",'ENTRADAS-BASE'!A772)</f>
        <v/>
      </c>
      <c r="C774" t="str">
        <f>IF('ENTRADAS-BASE'!B772="","",'ENTRADAS-BASE'!B772)</f>
        <v/>
      </c>
      <c r="D774" t="str">
        <f>IF('ENTRADAS-BASE'!C772="","",'ENTRADAS-BASE'!C772)</f>
        <v/>
      </c>
      <c r="E774" s="7" t="str">
        <f>IF('ENTRADAS-BASE'!D772="","",'ENTRADAS-BASE'!D772)</f>
        <v/>
      </c>
      <c r="F774" s="6" t="str">
        <f>IF('ENTRADAS-BASE'!E772="","",'ENTRADAS-BASE'!E772)</f>
        <v/>
      </c>
      <c r="G774" t="str">
        <f>IF('ENTRADAS-BASE'!F772="","",'ENTRADAS-BASE'!F772)</f>
        <v/>
      </c>
      <c r="H774" t="str">
        <f>IF('ENTRADAS-BASE'!G772="","",'ENTRADAS-BASE'!G772)</f>
        <v/>
      </c>
      <c r="I774" t="str">
        <f>IF('ENTRADAS-BASE'!H772="","",'ENTRADAS-BASE'!H772)</f>
        <v/>
      </c>
      <c r="J774" t="str">
        <f>IF('ENTRADAS-BASE'!I772="","",'ENTRADAS-BASE'!I772)</f>
        <v/>
      </c>
      <c r="K774" s="5" t="str">
        <f>IF('ENTRADAS-BASE'!J772="","",'ENTRADAS-BASE'!J772)</f>
        <v/>
      </c>
      <c r="L7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5" spans="2:12" x14ac:dyDescent="0.3">
      <c r="B775" t="str">
        <f>IF('ENTRADAS-BASE'!A773="","",'ENTRADAS-BASE'!A773)</f>
        <v/>
      </c>
      <c r="C775" t="str">
        <f>IF('ENTRADAS-BASE'!B773="","",'ENTRADAS-BASE'!B773)</f>
        <v/>
      </c>
      <c r="D775" t="str">
        <f>IF('ENTRADAS-BASE'!C773="","",'ENTRADAS-BASE'!C773)</f>
        <v/>
      </c>
      <c r="E775" s="7" t="str">
        <f>IF('ENTRADAS-BASE'!D773="","",'ENTRADAS-BASE'!D773)</f>
        <v/>
      </c>
      <c r="F775" s="6" t="str">
        <f>IF('ENTRADAS-BASE'!E773="","",'ENTRADAS-BASE'!E773)</f>
        <v/>
      </c>
      <c r="G775" t="str">
        <f>IF('ENTRADAS-BASE'!F773="","",'ENTRADAS-BASE'!F773)</f>
        <v/>
      </c>
      <c r="H775" t="str">
        <f>IF('ENTRADAS-BASE'!G773="","",'ENTRADAS-BASE'!G773)</f>
        <v/>
      </c>
      <c r="I775" t="str">
        <f>IF('ENTRADAS-BASE'!H773="","",'ENTRADAS-BASE'!H773)</f>
        <v/>
      </c>
      <c r="J775" t="str">
        <f>IF('ENTRADAS-BASE'!I773="","",'ENTRADAS-BASE'!I773)</f>
        <v/>
      </c>
      <c r="K775" s="5" t="str">
        <f>IF('ENTRADAS-BASE'!J773="","",'ENTRADAS-BASE'!J773)</f>
        <v/>
      </c>
      <c r="L7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6" spans="2:12" x14ac:dyDescent="0.3">
      <c r="B776" t="str">
        <f>IF('ENTRADAS-BASE'!A774="","",'ENTRADAS-BASE'!A774)</f>
        <v/>
      </c>
      <c r="C776" t="str">
        <f>IF('ENTRADAS-BASE'!B774="","",'ENTRADAS-BASE'!B774)</f>
        <v/>
      </c>
      <c r="D776" t="str">
        <f>IF('ENTRADAS-BASE'!C774="","",'ENTRADAS-BASE'!C774)</f>
        <v/>
      </c>
      <c r="E776" s="7" t="str">
        <f>IF('ENTRADAS-BASE'!D774="","",'ENTRADAS-BASE'!D774)</f>
        <v/>
      </c>
      <c r="F776" s="6" t="str">
        <f>IF('ENTRADAS-BASE'!E774="","",'ENTRADAS-BASE'!E774)</f>
        <v/>
      </c>
      <c r="G776" t="str">
        <f>IF('ENTRADAS-BASE'!F774="","",'ENTRADAS-BASE'!F774)</f>
        <v/>
      </c>
      <c r="H776" t="str">
        <f>IF('ENTRADAS-BASE'!G774="","",'ENTRADAS-BASE'!G774)</f>
        <v/>
      </c>
      <c r="I776" t="str">
        <f>IF('ENTRADAS-BASE'!H774="","",'ENTRADAS-BASE'!H774)</f>
        <v/>
      </c>
      <c r="J776" t="str">
        <f>IF('ENTRADAS-BASE'!I774="","",'ENTRADAS-BASE'!I774)</f>
        <v/>
      </c>
      <c r="K776" s="5" t="str">
        <f>IF('ENTRADAS-BASE'!J774="","",'ENTRADAS-BASE'!J774)</f>
        <v/>
      </c>
      <c r="L7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7" spans="2:12" x14ac:dyDescent="0.3">
      <c r="B777" t="str">
        <f>IF('ENTRADAS-BASE'!A775="","",'ENTRADAS-BASE'!A775)</f>
        <v/>
      </c>
      <c r="C777" t="str">
        <f>IF('ENTRADAS-BASE'!B775="","",'ENTRADAS-BASE'!B775)</f>
        <v/>
      </c>
      <c r="D777" t="str">
        <f>IF('ENTRADAS-BASE'!C775="","",'ENTRADAS-BASE'!C775)</f>
        <v/>
      </c>
      <c r="E777" s="7" t="str">
        <f>IF('ENTRADAS-BASE'!D775="","",'ENTRADAS-BASE'!D775)</f>
        <v/>
      </c>
      <c r="F777" s="6" t="str">
        <f>IF('ENTRADAS-BASE'!E775="","",'ENTRADAS-BASE'!E775)</f>
        <v/>
      </c>
      <c r="G777" t="str">
        <f>IF('ENTRADAS-BASE'!F775="","",'ENTRADAS-BASE'!F775)</f>
        <v/>
      </c>
      <c r="H777" t="str">
        <f>IF('ENTRADAS-BASE'!G775="","",'ENTRADAS-BASE'!G775)</f>
        <v/>
      </c>
      <c r="I777" t="str">
        <f>IF('ENTRADAS-BASE'!H775="","",'ENTRADAS-BASE'!H775)</f>
        <v/>
      </c>
      <c r="J777" t="str">
        <f>IF('ENTRADAS-BASE'!I775="","",'ENTRADAS-BASE'!I775)</f>
        <v/>
      </c>
      <c r="K777" s="5" t="str">
        <f>IF('ENTRADAS-BASE'!J775="","",'ENTRADAS-BASE'!J775)</f>
        <v/>
      </c>
      <c r="L7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8" spans="2:12" x14ac:dyDescent="0.3">
      <c r="B778" t="str">
        <f>IF('ENTRADAS-BASE'!A776="","",'ENTRADAS-BASE'!A776)</f>
        <v/>
      </c>
      <c r="C778" t="str">
        <f>IF('ENTRADAS-BASE'!B776="","",'ENTRADAS-BASE'!B776)</f>
        <v/>
      </c>
      <c r="D778" t="str">
        <f>IF('ENTRADAS-BASE'!C776="","",'ENTRADAS-BASE'!C776)</f>
        <v/>
      </c>
      <c r="E778" s="7" t="str">
        <f>IF('ENTRADAS-BASE'!D776="","",'ENTRADAS-BASE'!D776)</f>
        <v/>
      </c>
      <c r="F778" s="6" t="str">
        <f>IF('ENTRADAS-BASE'!E776="","",'ENTRADAS-BASE'!E776)</f>
        <v/>
      </c>
      <c r="G778" t="str">
        <f>IF('ENTRADAS-BASE'!F776="","",'ENTRADAS-BASE'!F776)</f>
        <v/>
      </c>
      <c r="H778" t="str">
        <f>IF('ENTRADAS-BASE'!G776="","",'ENTRADAS-BASE'!G776)</f>
        <v/>
      </c>
      <c r="I778" t="str">
        <f>IF('ENTRADAS-BASE'!H776="","",'ENTRADAS-BASE'!H776)</f>
        <v/>
      </c>
      <c r="J778" t="str">
        <f>IF('ENTRADAS-BASE'!I776="","",'ENTRADAS-BASE'!I776)</f>
        <v/>
      </c>
      <c r="K778" s="5" t="str">
        <f>IF('ENTRADAS-BASE'!J776="","",'ENTRADAS-BASE'!J776)</f>
        <v/>
      </c>
      <c r="L7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9" spans="2:12" x14ac:dyDescent="0.3">
      <c r="B779" t="str">
        <f>IF('ENTRADAS-BASE'!A777="","",'ENTRADAS-BASE'!A777)</f>
        <v/>
      </c>
      <c r="C779" t="str">
        <f>IF('ENTRADAS-BASE'!B777="","",'ENTRADAS-BASE'!B777)</f>
        <v/>
      </c>
      <c r="D779" t="str">
        <f>IF('ENTRADAS-BASE'!C777="","",'ENTRADAS-BASE'!C777)</f>
        <v/>
      </c>
      <c r="E779" s="7" t="str">
        <f>IF('ENTRADAS-BASE'!D777="","",'ENTRADAS-BASE'!D777)</f>
        <v/>
      </c>
      <c r="F779" s="6" t="str">
        <f>IF('ENTRADAS-BASE'!E777="","",'ENTRADAS-BASE'!E777)</f>
        <v/>
      </c>
      <c r="G779" t="str">
        <f>IF('ENTRADAS-BASE'!F777="","",'ENTRADAS-BASE'!F777)</f>
        <v/>
      </c>
      <c r="H779" t="str">
        <f>IF('ENTRADAS-BASE'!G777="","",'ENTRADAS-BASE'!G777)</f>
        <v/>
      </c>
      <c r="I779" t="str">
        <f>IF('ENTRADAS-BASE'!H777="","",'ENTRADAS-BASE'!H777)</f>
        <v/>
      </c>
      <c r="J779" t="str">
        <f>IF('ENTRADAS-BASE'!I777="","",'ENTRADAS-BASE'!I777)</f>
        <v/>
      </c>
      <c r="K779" s="5" t="str">
        <f>IF('ENTRADAS-BASE'!J777="","",'ENTRADAS-BASE'!J777)</f>
        <v/>
      </c>
      <c r="L7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0" spans="2:12" x14ac:dyDescent="0.3">
      <c r="B780" t="str">
        <f>IF('ENTRADAS-BASE'!A778="","",'ENTRADAS-BASE'!A778)</f>
        <v/>
      </c>
      <c r="C780" t="str">
        <f>IF('ENTRADAS-BASE'!B778="","",'ENTRADAS-BASE'!B778)</f>
        <v/>
      </c>
      <c r="D780" t="str">
        <f>IF('ENTRADAS-BASE'!C778="","",'ENTRADAS-BASE'!C778)</f>
        <v/>
      </c>
      <c r="E780" s="7" t="str">
        <f>IF('ENTRADAS-BASE'!D778="","",'ENTRADAS-BASE'!D778)</f>
        <v/>
      </c>
      <c r="F780" s="6" t="str">
        <f>IF('ENTRADAS-BASE'!E778="","",'ENTRADAS-BASE'!E778)</f>
        <v/>
      </c>
      <c r="G780" t="str">
        <f>IF('ENTRADAS-BASE'!F778="","",'ENTRADAS-BASE'!F778)</f>
        <v/>
      </c>
      <c r="H780" t="str">
        <f>IF('ENTRADAS-BASE'!G778="","",'ENTRADAS-BASE'!G778)</f>
        <v/>
      </c>
      <c r="I780" t="str">
        <f>IF('ENTRADAS-BASE'!H778="","",'ENTRADAS-BASE'!H778)</f>
        <v/>
      </c>
      <c r="J780" t="str">
        <f>IF('ENTRADAS-BASE'!I778="","",'ENTRADAS-BASE'!I778)</f>
        <v/>
      </c>
      <c r="K780" s="5" t="str">
        <f>IF('ENTRADAS-BASE'!J778="","",'ENTRADAS-BASE'!J778)</f>
        <v/>
      </c>
      <c r="L7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1" spans="2:12" x14ac:dyDescent="0.3">
      <c r="B781" t="str">
        <f>IF('ENTRADAS-BASE'!A779="","",'ENTRADAS-BASE'!A779)</f>
        <v/>
      </c>
      <c r="C781" t="str">
        <f>IF('ENTRADAS-BASE'!B779="","",'ENTRADAS-BASE'!B779)</f>
        <v/>
      </c>
      <c r="D781" t="str">
        <f>IF('ENTRADAS-BASE'!C779="","",'ENTRADAS-BASE'!C779)</f>
        <v/>
      </c>
      <c r="E781" s="7" t="str">
        <f>IF('ENTRADAS-BASE'!D779="","",'ENTRADAS-BASE'!D779)</f>
        <v/>
      </c>
      <c r="F781" s="6" t="str">
        <f>IF('ENTRADAS-BASE'!E779="","",'ENTRADAS-BASE'!E779)</f>
        <v/>
      </c>
      <c r="G781" t="str">
        <f>IF('ENTRADAS-BASE'!F779="","",'ENTRADAS-BASE'!F779)</f>
        <v/>
      </c>
      <c r="H781" t="str">
        <f>IF('ENTRADAS-BASE'!G779="","",'ENTRADAS-BASE'!G779)</f>
        <v/>
      </c>
      <c r="I781" t="str">
        <f>IF('ENTRADAS-BASE'!H779="","",'ENTRADAS-BASE'!H779)</f>
        <v/>
      </c>
      <c r="J781" t="str">
        <f>IF('ENTRADAS-BASE'!I779="","",'ENTRADAS-BASE'!I779)</f>
        <v/>
      </c>
      <c r="K781" s="5" t="str">
        <f>IF('ENTRADAS-BASE'!J779="","",'ENTRADAS-BASE'!J779)</f>
        <v/>
      </c>
      <c r="L7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2" spans="2:12" x14ac:dyDescent="0.3">
      <c r="B782" t="str">
        <f>IF('ENTRADAS-BASE'!A780="","",'ENTRADAS-BASE'!A780)</f>
        <v/>
      </c>
      <c r="C782" t="str">
        <f>IF('ENTRADAS-BASE'!B780="","",'ENTRADAS-BASE'!B780)</f>
        <v/>
      </c>
      <c r="D782" t="str">
        <f>IF('ENTRADAS-BASE'!C780="","",'ENTRADAS-BASE'!C780)</f>
        <v/>
      </c>
      <c r="E782" s="7" t="str">
        <f>IF('ENTRADAS-BASE'!D780="","",'ENTRADAS-BASE'!D780)</f>
        <v/>
      </c>
      <c r="F782" s="6" t="str">
        <f>IF('ENTRADAS-BASE'!E780="","",'ENTRADAS-BASE'!E780)</f>
        <v/>
      </c>
      <c r="G782" t="str">
        <f>IF('ENTRADAS-BASE'!F780="","",'ENTRADAS-BASE'!F780)</f>
        <v/>
      </c>
      <c r="H782" t="str">
        <f>IF('ENTRADAS-BASE'!G780="","",'ENTRADAS-BASE'!G780)</f>
        <v/>
      </c>
      <c r="I782" t="str">
        <f>IF('ENTRADAS-BASE'!H780="","",'ENTRADAS-BASE'!H780)</f>
        <v/>
      </c>
      <c r="J782" t="str">
        <f>IF('ENTRADAS-BASE'!I780="","",'ENTRADAS-BASE'!I780)</f>
        <v/>
      </c>
      <c r="K782" s="5" t="str">
        <f>IF('ENTRADAS-BASE'!J780="","",'ENTRADAS-BASE'!J780)</f>
        <v/>
      </c>
      <c r="L7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3" spans="2:12" x14ac:dyDescent="0.3">
      <c r="B783" t="str">
        <f>IF('ENTRADAS-BASE'!A781="","",'ENTRADAS-BASE'!A781)</f>
        <v/>
      </c>
      <c r="C783" t="str">
        <f>IF('ENTRADAS-BASE'!B781="","",'ENTRADAS-BASE'!B781)</f>
        <v/>
      </c>
      <c r="D783" t="str">
        <f>IF('ENTRADAS-BASE'!C781="","",'ENTRADAS-BASE'!C781)</f>
        <v/>
      </c>
      <c r="E783" s="7" t="str">
        <f>IF('ENTRADAS-BASE'!D781="","",'ENTRADAS-BASE'!D781)</f>
        <v/>
      </c>
      <c r="F783" s="6" t="str">
        <f>IF('ENTRADAS-BASE'!E781="","",'ENTRADAS-BASE'!E781)</f>
        <v/>
      </c>
      <c r="G783" t="str">
        <f>IF('ENTRADAS-BASE'!F781="","",'ENTRADAS-BASE'!F781)</f>
        <v/>
      </c>
      <c r="H783" t="str">
        <f>IF('ENTRADAS-BASE'!G781="","",'ENTRADAS-BASE'!G781)</f>
        <v/>
      </c>
      <c r="I783" t="str">
        <f>IF('ENTRADAS-BASE'!H781="","",'ENTRADAS-BASE'!H781)</f>
        <v/>
      </c>
      <c r="J783" t="str">
        <f>IF('ENTRADAS-BASE'!I781="","",'ENTRADAS-BASE'!I781)</f>
        <v/>
      </c>
      <c r="K783" s="5" t="str">
        <f>IF('ENTRADAS-BASE'!J781="","",'ENTRADAS-BASE'!J781)</f>
        <v/>
      </c>
      <c r="L7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4" spans="2:12" x14ac:dyDescent="0.3">
      <c r="B784" t="str">
        <f>IF('ENTRADAS-BASE'!A782="","",'ENTRADAS-BASE'!A782)</f>
        <v/>
      </c>
      <c r="C784" t="str">
        <f>IF('ENTRADAS-BASE'!B782="","",'ENTRADAS-BASE'!B782)</f>
        <v/>
      </c>
      <c r="D784" t="str">
        <f>IF('ENTRADAS-BASE'!C782="","",'ENTRADAS-BASE'!C782)</f>
        <v/>
      </c>
      <c r="E784" s="7" t="str">
        <f>IF('ENTRADAS-BASE'!D782="","",'ENTRADAS-BASE'!D782)</f>
        <v/>
      </c>
      <c r="F784" s="6" t="str">
        <f>IF('ENTRADAS-BASE'!E782="","",'ENTRADAS-BASE'!E782)</f>
        <v/>
      </c>
      <c r="G784" t="str">
        <f>IF('ENTRADAS-BASE'!F782="","",'ENTRADAS-BASE'!F782)</f>
        <v/>
      </c>
      <c r="H784" t="str">
        <f>IF('ENTRADAS-BASE'!G782="","",'ENTRADAS-BASE'!G782)</f>
        <v/>
      </c>
      <c r="I784" t="str">
        <f>IF('ENTRADAS-BASE'!H782="","",'ENTRADAS-BASE'!H782)</f>
        <v/>
      </c>
      <c r="J784" t="str">
        <f>IF('ENTRADAS-BASE'!I782="","",'ENTRADAS-BASE'!I782)</f>
        <v/>
      </c>
      <c r="K784" s="5" t="str">
        <f>IF('ENTRADAS-BASE'!J782="","",'ENTRADAS-BASE'!J782)</f>
        <v/>
      </c>
      <c r="L7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5" spans="2:12" x14ac:dyDescent="0.3">
      <c r="B785" t="str">
        <f>IF('ENTRADAS-BASE'!A783="","",'ENTRADAS-BASE'!A783)</f>
        <v/>
      </c>
      <c r="C785" t="str">
        <f>IF('ENTRADAS-BASE'!B783="","",'ENTRADAS-BASE'!B783)</f>
        <v/>
      </c>
      <c r="D785" t="str">
        <f>IF('ENTRADAS-BASE'!C783="","",'ENTRADAS-BASE'!C783)</f>
        <v/>
      </c>
      <c r="E785" s="7" t="str">
        <f>IF('ENTRADAS-BASE'!D783="","",'ENTRADAS-BASE'!D783)</f>
        <v/>
      </c>
      <c r="F785" s="6" t="str">
        <f>IF('ENTRADAS-BASE'!E783="","",'ENTRADAS-BASE'!E783)</f>
        <v/>
      </c>
      <c r="G785" t="str">
        <f>IF('ENTRADAS-BASE'!F783="","",'ENTRADAS-BASE'!F783)</f>
        <v/>
      </c>
      <c r="H785" t="str">
        <f>IF('ENTRADAS-BASE'!G783="","",'ENTRADAS-BASE'!G783)</f>
        <v/>
      </c>
      <c r="I785" t="str">
        <f>IF('ENTRADAS-BASE'!H783="","",'ENTRADAS-BASE'!H783)</f>
        <v/>
      </c>
      <c r="J785" t="str">
        <f>IF('ENTRADAS-BASE'!I783="","",'ENTRADAS-BASE'!I783)</f>
        <v/>
      </c>
      <c r="K785" s="5" t="str">
        <f>IF('ENTRADAS-BASE'!J783="","",'ENTRADAS-BASE'!J783)</f>
        <v/>
      </c>
      <c r="L7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6" spans="2:12" x14ac:dyDescent="0.3">
      <c r="B786" t="str">
        <f>IF('ENTRADAS-BASE'!A784="","",'ENTRADAS-BASE'!A784)</f>
        <v/>
      </c>
      <c r="C786" t="str">
        <f>IF('ENTRADAS-BASE'!B784="","",'ENTRADAS-BASE'!B784)</f>
        <v/>
      </c>
      <c r="D786" t="str">
        <f>IF('ENTRADAS-BASE'!C784="","",'ENTRADAS-BASE'!C784)</f>
        <v/>
      </c>
      <c r="E786" s="7" t="str">
        <f>IF('ENTRADAS-BASE'!D784="","",'ENTRADAS-BASE'!D784)</f>
        <v/>
      </c>
      <c r="F786" s="6" t="str">
        <f>IF('ENTRADAS-BASE'!E784="","",'ENTRADAS-BASE'!E784)</f>
        <v/>
      </c>
      <c r="G786" t="str">
        <f>IF('ENTRADAS-BASE'!F784="","",'ENTRADAS-BASE'!F784)</f>
        <v/>
      </c>
      <c r="H786" t="str">
        <f>IF('ENTRADAS-BASE'!G784="","",'ENTRADAS-BASE'!G784)</f>
        <v/>
      </c>
      <c r="I786" t="str">
        <f>IF('ENTRADAS-BASE'!H784="","",'ENTRADAS-BASE'!H784)</f>
        <v/>
      </c>
      <c r="J786" t="str">
        <f>IF('ENTRADAS-BASE'!I784="","",'ENTRADAS-BASE'!I784)</f>
        <v/>
      </c>
      <c r="K786" s="5" t="str">
        <f>IF('ENTRADAS-BASE'!J784="","",'ENTRADAS-BASE'!J784)</f>
        <v/>
      </c>
      <c r="L7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7" spans="2:12" x14ac:dyDescent="0.3">
      <c r="B787" t="str">
        <f>IF('ENTRADAS-BASE'!A785="","",'ENTRADAS-BASE'!A785)</f>
        <v/>
      </c>
      <c r="C787" t="str">
        <f>IF('ENTRADAS-BASE'!B785="","",'ENTRADAS-BASE'!B785)</f>
        <v/>
      </c>
      <c r="D787" t="str">
        <f>IF('ENTRADAS-BASE'!C785="","",'ENTRADAS-BASE'!C785)</f>
        <v/>
      </c>
      <c r="E787" s="7" t="str">
        <f>IF('ENTRADAS-BASE'!D785="","",'ENTRADAS-BASE'!D785)</f>
        <v/>
      </c>
      <c r="F787" s="6" t="str">
        <f>IF('ENTRADAS-BASE'!E785="","",'ENTRADAS-BASE'!E785)</f>
        <v/>
      </c>
      <c r="G787" t="str">
        <f>IF('ENTRADAS-BASE'!F785="","",'ENTRADAS-BASE'!F785)</f>
        <v/>
      </c>
      <c r="H787" t="str">
        <f>IF('ENTRADAS-BASE'!G785="","",'ENTRADAS-BASE'!G785)</f>
        <v/>
      </c>
      <c r="I787" t="str">
        <f>IF('ENTRADAS-BASE'!H785="","",'ENTRADAS-BASE'!H785)</f>
        <v/>
      </c>
      <c r="J787" t="str">
        <f>IF('ENTRADAS-BASE'!I785="","",'ENTRADAS-BASE'!I785)</f>
        <v/>
      </c>
      <c r="K787" s="5" t="str">
        <f>IF('ENTRADAS-BASE'!J785="","",'ENTRADAS-BASE'!J785)</f>
        <v/>
      </c>
      <c r="L7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8" spans="2:12" x14ac:dyDescent="0.3">
      <c r="B788" t="str">
        <f>IF('ENTRADAS-BASE'!A786="","",'ENTRADAS-BASE'!A786)</f>
        <v/>
      </c>
      <c r="C788" t="str">
        <f>IF('ENTRADAS-BASE'!B786="","",'ENTRADAS-BASE'!B786)</f>
        <v/>
      </c>
      <c r="D788" t="str">
        <f>IF('ENTRADAS-BASE'!C786="","",'ENTRADAS-BASE'!C786)</f>
        <v/>
      </c>
      <c r="E788" s="7" t="str">
        <f>IF('ENTRADAS-BASE'!D786="","",'ENTRADAS-BASE'!D786)</f>
        <v/>
      </c>
      <c r="F788" s="6" t="str">
        <f>IF('ENTRADAS-BASE'!E786="","",'ENTRADAS-BASE'!E786)</f>
        <v/>
      </c>
      <c r="G788" t="str">
        <f>IF('ENTRADAS-BASE'!F786="","",'ENTRADAS-BASE'!F786)</f>
        <v/>
      </c>
      <c r="H788" t="str">
        <f>IF('ENTRADAS-BASE'!G786="","",'ENTRADAS-BASE'!G786)</f>
        <v/>
      </c>
      <c r="I788" t="str">
        <f>IF('ENTRADAS-BASE'!H786="","",'ENTRADAS-BASE'!H786)</f>
        <v/>
      </c>
      <c r="J788" t="str">
        <f>IF('ENTRADAS-BASE'!I786="","",'ENTRADAS-BASE'!I786)</f>
        <v/>
      </c>
      <c r="K788" s="5" t="str">
        <f>IF('ENTRADAS-BASE'!J786="","",'ENTRADAS-BASE'!J786)</f>
        <v/>
      </c>
      <c r="L7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9" spans="2:12" x14ac:dyDescent="0.3">
      <c r="B789" t="str">
        <f>IF('ENTRADAS-BASE'!A787="","",'ENTRADAS-BASE'!A787)</f>
        <v/>
      </c>
      <c r="C789" t="str">
        <f>IF('ENTRADAS-BASE'!B787="","",'ENTRADAS-BASE'!B787)</f>
        <v/>
      </c>
      <c r="D789" t="str">
        <f>IF('ENTRADAS-BASE'!C787="","",'ENTRADAS-BASE'!C787)</f>
        <v/>
      </c>
      <c r="E789" s="7" t="str">
        <f>IF('ENTRADAS-BASE'!D787="","",'ENTRADAS-BASE'!D787)</f>
        <v/>
      </c>
      <c r="F789" s="6" t="str">
        <f>IF('ENTRADAS-BASE'!E787="","",'ENTRADAS-BASE'!E787)</f>
        <v/>
      </c>
      <c r="G789" t="str">
        <f>IF('ENTRADAS-BASE'!F787="","",'ENTRADAS-BASE'!F787)</f>
        <v/>
      </c>
      <c r="H789" t="str">
        <f>IF('ENTRADAS-BASE'!G787="","",'ENTRADAS-BASE'!G787)</f>
        <v/>
      </c>
      <c r="I789" t="str">
        <f>IF('ENTRADAS-BASE'!H787="","",'ENTRADAS-BASE'!H787)</f>
        <v/>
      </c>
      <c r="J789" t="str">
        <f>IF('ENTRADAS-BASE'!I787="","",'ENTRADAS-BASE'!I787)</f>
        <v/>
      </c>
      <c r="K789" s="5" t="str">
        <f>IF('ENTRADAS-BASE'!J787="","",'ENTRADAS-BASE'!J787)</f>
        <v/>
      </c>
      <c r="L7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0" spans="2:12" x14ac:dyDescent="0.3">
      <c r="B790" t="str">
        <f>IF('ENTRADAS-BASE'!A788="","",'ENTRADAS-BASE'!A788)</f>
        <v/>
      </c>
      <c r="C790" t="str">
        <f>IF('ENTRADAS-BASE'!B788="","",'ENTRADAS-BASE'!B788)</f>
        <v/>
      </c>
      <c r="D790" t="str">
        <f>IF('ENTRADAS-BASE'!C788="","",'ENTRADAS-BASE'!C788)</f>
        <v/>
      </c>
      <c r="E790" s="7" t="str">
        <f>IF('ENTRADAS-BASE'!D788="","",'ENTRADAS-BASE'!D788)</f>
        <v/>
      </c>
      <c r="F790" s="6" t="str">
        <f>IF('ENTRADAS-BASE'!E788="","",'ENTRADAS-BASE'!E788)</f>
        <v/>
      </c>
      <c r="G790" t="str">
        <f>IF('ENTRADAS-BASE'!F788="","",'ENTRADAS-BASE'!F788)</f>
        <v/>
      </c>
      <c r="H790" t="str">
        <f>IF('ENTRADAS-BASE'!G788="","",'ENTRADAS-BASE'!G788)</f>
        <v/>
      </c>
      <c r="I790" t="str">
        <f>IF('ENTRADAS-BASE'!H788="","",'ENTRADAS-BASE'!H788)</f>
        <v/>
      </c>
      <c r="J790" t="str">
        <f>IF('ENTRADAS-BASE'!I788="","",'ENTRADAS-BASE'!I788)</f>
        <v/>
      </c>
      <c r="K790" s="5" t="str">
        <f>IF('ENTRADAS-BASE'!J788="","",'ENTRADAS-BASE'!J788)</f>
        <v/>
      </c>
      <c r="L7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1" spans="2:12" x14ac:dyDescent="0.3">
      <c r="B791" t="str">
        <f>IF('ENTRADAS-BASE'!A789="","",'ENTRADAS-BASE'!A789)</f>
        <v/>
      </c>
      <c r="C791" t="str">
        <f>IF('ENTRADAS-BASE'!B789="","",'ENTRADAS-BASE'!B789)</f>
        <v/>
      </c>
      <c r="D791" t="str">
        <f>IF('ENTRADAS-BASE'!C789="","",'ENTRADAS-BASE'!C789)</f>
        <v/>
      </c>
      <c r="E791" s="7" t="str">
        <f>IF('ENTRADAS-BASE'!D789="","",'ENTRADAS-BASE'!D789)</f>
        <v/>
      </c>
      <c r="F791" s="6" t="str">
        <f>IF('ENTRADAS-BASE'!E789="","",'ENTRADAS-BASE'!E789)</f>
        <v/>
      </c>
      <c r="G791" t="str">
        <f>IF('ENTRADAS-BASE'!F789="","",'ENTRADAS-BASE'!F789)</f>
        <v/>
      </c>
      <c r="H791" t="str">
        <f>IF('ENTRADAS-BASE'!G789="","",'ENTRADAS-BASE'!G789)</f>
        <v/>
      </c>
      <c r="I791" t="str">
        <f>IF('ENTRADAS-BASE'!H789="","",'ENTRADAS-BASE'!H789)</f>
        <v/>
      </c>
      <c r="J791" t="str">
        <f>IF('ENTRADAS-BASE'!I789="","",'ENTRADAS-BASE'!I789)</f>
        <v/>
      </c>
      <c r="K791" s="5" t="str">
        <f>IF('ENTRADAS-BASE'!J789="","",'ENTRADAS-BASE'!J789)</f>
        <v/>
      </c>
      <c r="L7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2" spans="2:12" x14ac:dyDescent="0.3">
      <c r="B792" t="str">
        <f>IF('ENTRADAS-BASE'!A790="","",'ENTRADAS-BASE'!A790)</f>
        <v/>
      </c>
      <c r="C792" t="str">
        <f>IF('ENTRADAS-BASE'!B790="","",'ENTRADAS-BASE'!B790)</f>
        <v/>
      </c>
      <c r="D792" t="str">
        <f>IF('ENTRADAS-BASE'!C790="","",'ENTRADAS-BASE'!C790)</f>
        <v/>
      </c>
      <c r="E792" s="7" t="str">
        <f>IF('ENTRADAS-BASE'!D790="","",'ENTRADAS-BASE'!D790)</f>
        <v/>
      </c>
      <c r="F792" s="6" t="str">
        <f>IF('ENTRADAS-BASE'!E790="","",'ENTRADAS-BASE'!E790)</f>
        <v/>
      </c>
      <c r="G792" t="str">
        <f>IF('ENTRADAS-BASE'!F790="","",'ENTRADAS-BASE'!F790)</f>
        <v/>
      </c>
      <c r="H792" t="str">
        <f>IF('ENTRADAS-BASE'!G790="","",'ENTRADAS-BASE'!G790)</f>
        <v/>
      </c>
      <c r="I792" t="str">
        <f>IF('ENTRADAS-BASE'!H790="","",'ENTRADAS-BASE'!H790)</f>
        <v/>
      </c>
      <c r="J792" t="str">
        <f>IF('ENTRADAS-BASE'!I790="","",'ENTRADAS-BASE'!I790)</f>
        <v/>
      </c>
      <c r="K792" s="5" t="str">
        <f>IF('ENTRADAS-BASE'!J790="","",'ENTRADAS-BASE'!J790)</f>
        <v/>
      </c>
      <c r="L7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3" spans="2:12" x14ac:dyDescent="0.3">
      <c r="B793" t="str">
        <f>IF('ENTRADAS-BASE'!A791="","",'ENTRADAS-BASE'!A791)</f>
        <v/>
      </c>
      <c r="C793" t="str">
        <f>IF('ENTRADAS-BASE'!B791="","",'ENTRADAS-BASE'!B791)</f>
        <v/>
      </c>
      <c r="D793" t="str">
        <f>IF('ENTRADAS-BASE'!C791="","",'ENTRADAS-BASE'!C791)</f>
        <v/>
      </c>
      <c r="E793" s="7" t="str">
        <f>IF('ENTRADAS-BASE'!D791="","",'ENTRADAS-BASE'!D791)</f>
        <v/>
      </c>
      <c r="F793" s="6" t="str">
        <f>IF('ENTRADAS-BASE'!E791="","",'ENTRADAS-BASE'!E791)</f>
        <v/>
      </c>
      <c r="G793" t="str">
        <f>IF('ENTRADAS-BASE'!F791="","",'ENTRADAS-BASE'!F791)</f>
        <v/>
      </c>
      <c r="H793" t="str">
        <f>IF('ENTRADAS-BASE'!G791="","",'ENTRADAS-BASE'!G791)</f>
        <v/>
      </c>
      <c r="I793" t="str">
        <f>IF('ENTRADAS-BASE'!H791="","",'ENTRADAS-BASE'!H791)</f>
        <v/>
      </c>
      <c r="J793" t="str">
        <f>IF('ENTRADAS-BASE'!I791="","",'ENTRADAS-BASE'!I791)</f>
        <v/>
      </c>
      <c r="K793" s="5" t="str">
        <f>IF('ENTRADAS-BASE'!J791="","",'ENTRADAS-BASE'!J791)</f>
        <v/>
      </c>
      <c r="L7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4" spans="2:12" x14ac:dyDescent="0.3">
      <c r="B794" t="str">
        <f>IF('ENTRADAS-BASE'!A792="","",'ENTRADAS-BASE'!A792)</f>
        <v/>
      </c>
      <c r="C794" t="str">
        <f>IF('ENTRADAS-BASE'!B792="","",'ENTRADAS-BASE'!B792)</f>
        <v/>
      </c>
      <c r="D794" t="str">
        <f>IF('ENTRADAS-BASE'!C792="","",'ENTRADAS-BASE'!C792)</f>
        <v/>
      </c>
      <c r="E794" s="7" t="str">
        <f>IF('ENTRADAS-BASE'!D792="","",'ENTRADAS-BASE'!D792)</f>
        <v/>
      </c>
      <c r="F794" s="6" t="str">
        <f>IF('ENTRADAS-BASE'!E792="","",'ENTRADAS-BASE'!E792)</f>
        <v/>
      </c>
      <c r="G794" t="str">
        <f>IF('ENTRADAS-BASE'!F792="","",'ENTRADAS-BASE'!F792)</f>
        <v/>
      </c>
      <c r="H794" t="str">
        <f>IF('ENTRADAS-BASE'!G792="","",'ENTRADAS-BASE'!G792)</f>
        <v/>
      </c>
      <c r="I794" t="str">
        <f>IF('ENTRADAS-BASE'!H792="","",'ENTRADAS-BASE'!H792)</f>
        <v/>
      </c>
      <c r="J794" t="str">
        <f>IF('ENTRADAS-BASE'!I792="","",'ENTRADAS-BASE'!I792)</f>
        <v/>
      </c>
      <c r="K794" s="5" t="str">
        <f>IF('ENTRADAS-BASE'!J792="","",'ENTRADAS-BASE'!J792)</f>
        <v/>
      </c>
      <c r="L7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5" spans="2:12" x14ac:dyDescent="0.3">
      <c r="B795" t="str">
        <f>IF('ENTRADAS-BASE'!A793="","",'ENTRADAS-BASE'!A793)</f>
        <v/>
      </c>
      <c r="C795" t="str">
        <f>IF('ENTRADAS-BASE'!B793="","",'ENTRADAS-BASE'!B793)</f>
        <v/>
      </c>
      <c r="D795" t="str">
        <f>IF('ENTRADAS-BASE'!C793="","",'ENTRADAS-BASE'!C793)</f>
        <v/>
      </c>
      <c r="E795" s="7" t="str">
        <f>IF('ENTRADAS-BASE'!D793="","",'ENTRADAS-BASE'!D793)</f>
        <v/>
      </c>
      <c r="F795" s="6" t="str">
        <f>IF('ENTRADAS-BASE'!E793="","",'ENTRADAS-BASE'!E793)</f>
        <v/>
      </c>
      <c r="G795" t="str">
        <f>IF('ENTRADAS-BASE'!F793="","",'ENTRADAS-BASE'!F793)</f>
        <v/>
      </c>
      <c r="H795" t="str">
        <f>IF('ENTRADAS-BASE'!G793="","",'ENTRADAS-BASE'!G793)</f>
        <v/>
      </c>
      <c r="I795" t="str">
        <f>IF('ENTRADAS-BASE'!H793="","",'ENTRADAS-BASE'!H793)</f>
        <v/>
      </c>
      <c r="J795" t="str">
        <f>IF('ENTRADAS-BASE'!I793="","",'ENTRADAS-BASE'!I793)</f>
        <v/>
      </c>
      <c r="K795" s="5" t="str">
        <f>IF('ENTRADAS-BASE'!J793="","",'ENTRADAS-BASE'!J793)</f>
        <v/>
      </c>
      <c r="L7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6" spans="2:12" x14ac:dyDescent="0.3">
      <c r="B796" t="str">
        <f>IF('ENTRADAS-BASE'!A794="","",'ENTRADAS-BASE'!A794)</f>
        <v/>
      </c>
      <c r="C796" t="str">
        <f>IF('ENTRADAS-BASE'!B794="","",'ENTRADAS-BASE'!B794)</f>
        <v/>
      </c>
      <c r="D796" t="str">
        <f>IF('ENTRADAS-BASE'!C794="","",'ENTRADAS-BASE'!C794)</f>
        <v/>
      </c>
      <c r="E796" s="7" t="str">
        <f>IF('ENTRADAS-BASE'!D794="","",'ENTRADAS-BASE'!D794)</f>
        <v/>
      </c>
      <c r="F796" s="6" t="str">
        <f>IF('ENTRADAS-BASE'!E794="","",'ENTRADAS-BASE'!E794)</f>
        <v/>
      </c>
      <c r="G796" t="str">
        <f>IF('ENTRADAS-BASE'!F794="","",'ENTRADAS-BASE'!F794)</f>
        <v/>
      </c>
      <c r="H796" t="str">
        <f>IF('ENTRADAS-BASE'!G794="","",'ENTRADAS-BASE'!G794)</f>
        <v/>
      </c>
      <c r="I796" t="str">
        <f>IF('ENTRADAS-BASE'!H794="","",'ENTRADAS-BASE'!H794)</f>
        <v/>
      </c>
      <c r="J796" t="str">
        <f>IF('ENTRADAS-BASE'!I794="","",'ENTRADAS-BASE'!I794)</f>
        <v/>
      </c>
      <c r="K796" s="5" t="str">
        <f>IF('ENTRADAS-BASE'!J794="","",'ENTRADAS-BASE'!J794)</f>
        <v/>
      </c>
      <c r="L7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7" spans="2:12" x14ac:dyDescent="0.3">
      <c r="B797" t="str">
        <f>IF('ENTRADAS-BASE'!A795="","",'ENTRADAS-BASE'!A795)</f>
        <v/>
      </c>
      <c r="C797" t="str">
        <f>IF('ENTRADAS-BASE'!B795="","",'ENTRADAS-BASE'!B795)</f>
        <v/>
      </c>
      <c r="D797" t="str">
        <f>IF('ENTRADAS-BASE'!C795="","",'ENTRADAS-BASE'!C795)</f>
        <v/>
      </c>
      <c r="E797" s="7" t="str">
        <f>IF('ENTRADAS-BASE'!D795="","",'ENTRADAS-BASE'!D795)</f>
        <v/>
      </c>
      <c r="F797" s="6" t="str">
        <f>IF('ENTRADAS-BASE'!E795="","",'ENTRADAS-BASE'!E795)</f>
        <v/>
      </c>
      <c r="G797" t="str">
        <f>IF('ENTRADAS-BASE'!F795="","",'ENTRADAS-BASE'!F795)</f>
        <v/>
      </c>
      <c r="H797" t="str">
        <f>IF('ENTRADAS-BASE'!G795="","",'ENTRADAS-BASE'!G795)</f>
        <v/>
      </c>
      <c r="I797" t="str">
        <f>IF('ENTRADAS-BASE'!H795="","",'ENTRADAS-BASE'!H795)</f>
        <v/>
      </c>
      <c r="J797" t="str">
        <f>IF('ENTRADAS-BASE'!I795="","",'ENTRADAS-BASE'!I795)</f>
        <v/>
      </c>
      <c r="K797" s="5" t="str">
        <f>IF('ENTRADAS-BASE'!J795="","",'ENTRADAS-BASE'!J795)</f>
        <v/>
      </c>
      <c r="L7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8" spans="2:12" x14ac:dyDescent="0.3">
      <c r="B798" t="str">
        <f>IF('ENTRADAS-BASE'!A796="","",'ENTRADAS-BASE'!A796)</f>
        <v/>
      </c>
      <c r="C798" t="str">
        <f>IF('ENTRADAS-BASE'!B796="","",'ENTRADAS-BASE'!B796)</f>
        <v/>
      </c>
      <c r="D798" t="str">
        <f>IF('ENTRADAS-BASE'!C796="","",'ENTRADAS-BASE'!C796)</f>
        <v/>
      </c>
      <c r="E798" s="7" t="str">
        <f>IF('ENTRADAS-BASE'!D796="","",'ENTRADAS-BASE'!D796)</f>
        <v/>
      </c>
      <c r="F798" s="6" t="str">
        <f>IF('ENTRADAS-BASE'!E796="","",'ENTRADAS-BASE'!E796)</f>
        <v/>
      </c>
      <c r="G798" t="str">
        <f>IF('ENTRADAS-BASE'!F796="","",'ENTRADAS-BASE'!F796)</f>
        <v/>
      </c>
      <c r="H798" t="str">
        <f>IF('ENTRADAS-BASE'!G796="","",'ENTRADAS-BASE'!G796)</f>
        <v/>
      </c>
      <c r="I798" t="str">
        <f>IF('ENTRADAS-BASE'!H796="","",'ENTRADAS-BASE'!H796)</f>
        <v/>
      </c>
      <c r="J798" t="str">
        <f>IF('ENTRADAS-BASE'!I796="","",'ENTRADAS-BASE'!I796)</f>
        <v/>
      </c>
      <c r="K798" s="5" t="str">
        <f>IF('ENTRADAS-BASE'!J796="","",'ENTRADAS-BASE'!J796)</f>
        <v/>
      </c>
      <c r="L7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9" spans="2:12" x14ac:dyDescent="0.3">
      <c r="B799" t="str">
        <f>IF('ENTRADAS-BASE'!A797="","",'ENTRADAS-BASE'!A797)</f>
        <v/>
      </c>
      <c r="C799" t="str">
        <f>IF('ENTRADAS-BASE'!B797="","",'ENTRADAS-BASE'!B797)</f>
        <v/>
      </c>
      <c r="D799" t="str">
        <f>IF('ENTRADAS-BASE'!C797="","",'ENTRADAS-BASE'!C797)</f>
        <v/>
      </c>
      <c r="E799" s="7" t="str">
        <f>IF('ENTRADAS-BASE'!D797="","",'ENTRADAS-BASE'!D797)</f>
        <v/>
      </c>
      <c r="F799" s="6" t="str">
        <f>IF('ENTRADAS-BASE'!E797="","",'ENTRADAS-BASE'!E797)</f>
        <v/>
      </c>
      <c r="G799" t="str">
        <f>IF('ENTRADAS-BASE'!F797="","",'ENTRADAS-BASE'!F797)</f>
        <v/>
      </c>
      <c r="H799" t="str">
        <f>IF('ENTRADAS-BASE'!G797="","",'ENTRADAS-BASE'!G797)</f>
        <v/>
      </c>
      <c r="I799" t="str">
        <f>IF('ENTRADAS-BASE'!H797="","",'ENTRADAS-BASE'!H797)</f>
        <v/>
      </c>
      <c r="J799" t="str">
        <f>IF('ENTRADAS-BASE'!I797="","",'ENTRADAS-BASE'!I797)</f>
        <v/>
      </c>
      <c r="K799" s="5" t="str">
        <f>IF('ENTRADAS-BASE'!J797="","",'ENTRADAS-BASE'!J797)</f>
        <v/>
      </c>
      <c r="L7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0" spans="2:12" x14ac:dyDescent="0.3">
      <c r="B800" t="str">
        <f>IF('ENTRADAS-BASE'!A798="","",'ENTRADAS-BASE'!A798)</f>
        <v/>
      </c>
      <c r="C800" t="str">
        <f>IF('ENTRADAS-BASE'!B798="","",'ENTRADAS-BASE'!B798)</f>
        <v/>
      </c>
      <c r="D800" t="str">
        <f>IF('ENTRADAS-BASE'!C798="","",'ENTRADAS-BASE'!C798)</f>
        <v/>
      </c>
      <c r="E800" s="7" t="str">
        <f>IF('ENTRADAS-BASE'!D798="","",'ENTRADAS-BASE'!D798)</f>
        <v/>
      </c>
      <c r="F800" s="6" t="str">
        <f>IF('ENTRADAS-BASE'!E798="","",'ENTRADAS-BASE'!E798)</f>
        <v/>
      </c>
      <c r="G800" t="str">
        <f>IF('ENTRADAS-BASE'!F798="","",'ENTRADAS-BASE'!F798)</f>
        <v/>
      </c>
      <c r="H800" t="str">
        <f>IF('ENTRADAS-BASE'!G798="","",'ENTRADAS-BASE'!G798)</f>
        <v/>
      </c>
      <c r="I800" t="str">
        <f>IF('ENTRADAS-BASE'!H798="","",'ENTRADAS-BASE'!H798)</f>
        <v/>
      </c>
      <c r="J800" t="str">
        <f>IF('ENTRADAS-BASE'!I798="","",'ENTRADAS-BASE'!I798)</f>
        <v/>
      </c>
      <c r="K800" s="5" t="str">
        <f>IF('ENTRADAS-BASE'!J798="","",'ENTRADAS-BASE'!J798)</f>
        <v/>
      </c>
      <c r="L8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1" spans="2:12" x14ac:dyDescent="0.3">
      <c r="B801" t="str">
        <f>IF('ENTRADAS-BASE'!A799="","",'ENTRADAS-BASE'!A799)</f>
        <v/>
      </c>
      <c r="C801" t="str">
        <f>IF('ENTRADAS-BASE'!B799="","",'ENTRADAS-BASE'!B799)</f>
        <v/>
      </c>
      <c r="D801" t="str">
        <f>IF('ENTRADAS-BASE'!C799="","",'ENTRADAS-BASE'!C799)</f>
        <v/>
      </c>
      <c r="E801" s="7" t="str">
        <f>IF('ENTRADAS-BASE'!D799="","",'ENTRADAS-BASE'!D799)</f>
        <v/>
      </c>
      <c r="F801" s="6" t="str">
        <f>IF('ENTRADAS-BASE'!E799="","",'ENTRADAS-BASE'!E799)</f>
        <v/>
      </c>
      <c r="G801" t="str">
        <f>IF('ENTRADAS-BASE'!F799="","",'ENTRADAS-BASE'!F799)</f>
        <v/>
      </c>
      <c r="H801" t="str">
        <f>IF('ENTRADAS-BASE'!G799="","",'ENTRADAS-BASE'!G799)</f>
        <v/>
      </c>
      <c r="I801" t="str">
        <f>IF('ENTRADAS-BASE'!H799="","",'ENTRADAS-BASE'!H799)</f>
        <v/>
      </c>
      <c r="J801" t="str">
        <f>IF('ENTRADAS-BASE'!I799="","",'ENTRADAS-BASE'!I799)</f>
        <v/>
      </c>
      <c r="K801" s="5" t="str">
        <f>IF('ENTRADAS-BASE'!J799="","",'ENTRADAS-BASE'!J799)</f>
        <v/>
      </c>
      <c r="L8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2" spans="2:12" x14ac:dyDescent="0.3">
      <c r="B802" t="str">
        <f>IF('ENTRADAS-BASE'!A800="","",'ENTRADAS-BASE'!A800)</f>
        <v/>
      </c>
      <c r="C802" t="str">
        <f>IF('ENTRADAS-BASE'!B800="","",'ENTRADAS-BASE'!B800)</f>
        <v/>
      </c>
      <c r="D802" t="str">
        <f>IF('ENTRADAS-BASE'!C800="","",'ENTRADAS-BASE'!C800)</f>
        <v/>
      </c>
      <c r="E802" s="7" t="str">
        <f>IF('ENTRADAS-BASE'!D800="","",'ENTRADAS-BASE'!D800)</f>
        <v/>
      </c>
      <c r="F802" s="6" t="str">
        <f>IF('ENTRADAS-BASE'!E800="","",'ENTRADAS-BASE'!E800)</f>
        <v/>
      </c>
      <c r="G802" t="str">
        <f>IF('ENTRADAS-BASE'!F800="","",'ENTRADAS-BASE'!F800)</f>
        <v/>
      </c>
      <c r="H802" t="str">
        <f>IF('ENTRADAS-BASE'!G800="","",'ENTRADAS-BASE'!G800)</f>
        <v/>
      </c>
      <c r="I802" t="str">
        <f>IF('ENTRADAS-BASE'!H800="","",'ENTRADAS-BASE'!H800)</f>
        <v/>
      </c>
      <c r="J802" t="str">
        <f>IF('ENTRADAS-BASE'!I800="","",'ENTRADAS-BASE'!I800)</f>
        <v/>
      </c>
      <c r="K802" s="5" t="str">
        <f>IF('ENTRADAS-BASE'!J800="","",'ENTRADAS-BASE'!J800)</f>
        <v/>
      </c>
      <c r="L8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3" spans="2:12" x14ac:dyDescent="0.3">
      <c r="B803" t="str">
        <f>IF('ENTRADAS-BASE'!A801="","",'ENTRADAS-BASE'!A801)</f>
        <v/>
      </c>
      <c r="C803" t="str">
        <f>IF('ENTRADAS-BASE'!B801="","",'ENTRADAS-BASE'!B801)</f>
        <v/>
      </c>
      <c r="D803" t="str">
        <f>IF('ENTRADAS-BASE'!C801="","",'ENTRADAS-BASE'!C801)</f>
        <v/>
      </c>
      <c r="E803" s="7" t="str">
        <f>IF('ENTRADAS-BASE'!D801="","",'ENTRADAS-BASE'!D801)</f>
        <v/>
      </c>
      <c r="F803" s="6" t="str">
        <f>IF('ENTRADAS-BASE'!E801="","",'ENTRADAS-BASE'!E801)</f>
        <v/>
      </c>
      <c r="G803" t="str">
        <f>IF('ENTRADAS-BASE'!F801="","",'ENTRADAS-BASE'!F801)</f>
        <v/>
      </c>
      <c r="H803" t="str">
        <f>IF('ENTRADAS-BASE'!G801="","",'ENTRADAS-BASE'!G801)</f>
        <v/>
      </c>
      <c r="I803" t="str">
        <f>IF('ENTRADAS-BASE'!H801="","",'ENTRADAS-BASE'!H801)</f>
        <v/>
      </c>
      <c r="J803" t="str">
        <f>IF('ENTRADAS-BASE'!I801="","",'ENTRADAS-BASE'!I801)</f>
        <v/>
      </c>
      <c r="K803" s="5" t="str">
        <f>IF('ENTRADAS-BASE'!J801="","",'ENTRADAS-BASE'!J801)</f>
        <v/>
      </c>
      <c r="L8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4" spans="2:12" x14ac:dyDescent="0.3">
      <c r="B804" t="str">
        <f>IF('ENTRADAS-BASE'!A802="","",'ENTRADAS-BASE'!A802)</f>
        <v/>
      </c>
      <c r="C804" t="str">
        <f>IF('ENTRADAS-BASE'!B802="","",'ENTRADAS-BASE'!B802)</f>
        <v/>
      </c>
      <c r="D804" t="str">
        <f>IF('ENTRADAS-BASE'!C802="","",'ENTRADAS-BASE'!C802)</f>
        <v/>
      </c>
      <c r="E804" s="7" t="str">
        <f>IF('ENTRADAS-BASE'!D802="","",'ENTRADAS-BASE'!D802)</f>
        <v/>
      </c>
      <c r="F804" s="6" t="str">
        <f>IF('ENTRADAS-BASE'!E802="","",'ENTRADAS-BASE'!E802)</f>
        <v/>
      </c>
      <c r="G804" t="str">
        <f>IF('ENTRADAS-BASE'!F802="","",'ENTRADAS-BASE'!F802)</f>
        <v/>
      </c>
      <c r="H804" t="str">
        <f>IF('ENTRADAS-BASE'!G802="","",'ENTRADAS-BASE'!G802)</f>
        <v/>
      </c>
      <c r="I804" t="str">
        <f>IF('ENTRADAS-BASE'!H802="","",'ENTRADAS-BASE'!H802)</f>
        <v/>
      </c>
      <c r="J804" t="str">
        <f>IF('ENTRADAS-BASE'!I802="","",'ENTRADAS-BASE'!I802)</f>
        <v/>
      </c>
      <c r="K804" s="5" t="str">
        <f>IF('ENTRADAS-BASE'!J802="","",'ENTRADAS-BASE'!J802)</f>
        <v/>
      </c>
      <c r="L8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5" spans="2:12" x14ac:dyDescent="0.3">
      <c r="B805" t="str">
        <f>IF('ENTRADAS-BASE'!A803="","",'ENTRADAS-BASE'!A803)</f>
        <v/>
      </c>
      <c r="C805" t="str">
        <f>IF('ENTRADAS-BASE'!B803="","",'ENTRADAS-BASE'!B803)</f>
        <v/>
      </c>
      <c r="D805" t="str">
        <f>IF('ENTRADAS-BASE'!C803="","",'ENTRADAS-BASE'!C803)</f>
        <v/>
      </c>
      <c r="E805" s="7" t="str">
        <f>IF('ENTRADAS-BASE'!D803="","",'ENTRADAS-BASE'!D803)</f>
        <v/>
      </c>
      <c r="F805" s="6" t="str">
        <f>IF('ENTRADAS-BASE'!E803="","",'ENTRADAS-BASE'!E803)</f>
        <v/>
      </c>
      <c r="G805" t="str">
        <f>IF('ENTRADAS-BASE'!F803="","",'ENTRADAS-BASE'!F803)</f>
        <v/>
      </c>
      <c r="H805" t="str">
        <f>IF('ENTRADAS-BASE'!G803="","",'ENTRADAS-BASE'!G803)</f>
        <v/>
      </c>
      <c r="I805" t="str">
        <f>IF('ENTRADAS-BASE'!H803="","",'ENTRADAS-BASE'!H803)</f>
        <v/>
      </c>
      <c r="J805" t="str">
        <f>IF('ENTRADAS-BASE'!I803="","",'ENTRADAS-BASE'!I803)</f>
        <v/>
      </c>
      <c r="K805" s="5" t="str">
        <f>IF('ENTRADAS-BASE'!J803="","",'ENTRADAS-BASE'!J803)</f>
        <v/>
      </c>
      <c r="L8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6" spans="2:12" x14ac:dyDescent="0.3">
      <c r="B806" t="str">
        <f>IF('ENTRADAS-BASE'!A804="","",'ENTRADAS-BASE'!A804)</f>
        <v/>
      </c>
      <c r="C806" t="str">
        <f>IF('ENTRADAS-BASE'!B804="","",'ENTRADAS-BASE'!B804)</f>
        <v/>
      </c>
      <c r="D806" t="str">
        <f>IF('ENTRADAS-BASE'!C804="","",'ENTRADAS-BASE'!C804)</f>
        <v/>
      </c>
      <c r="E806" s="7" t="str">
        <f>IF('ENTRADAS-BASE'!D804="","",'ENTRADAS-BASE'!D804)</f>
        <v/>
      </c>
      <c r="F806" s="6" t="str">
        <f>IF('ENTRADAS-BASE'!E804="","",'ENTRADAS-BASE'!E804)</f>
        <v/>
      </c>
      <c r="G806" t="str">
        <f>IF('ENTRADAS-BASE'!F804="","",'ENTRADAS-BASE'!F804)</f>
        <v/>
      </c>
      <c r="H806" t="str">
        <f>IF('ENTRADAS-BASE'!G804="","",'ENTRADAS-BASE'!G804)</f>
        <v/>
      </c>
      <c r="I806" t="str">
        <f>IF('ENTRADAS-BASE'!H804="","",'ENTRADAS-BASE'!H804)</f>
        <v/>
      </c>
      <c r="J806" t="str">
        <f>IF('ENTRADAS-BASE'!I804="","",'ENTRADAS-BASE'!I804)</f>
        <v/>
      </c>
      <c r="K806" s="5" t="str">
        <f>IF('ENTRADAS-BASE'!J804="","",'ENTRADAS-BASE'!J804)</f>
        <v/>
      </c>
      <c r="L8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7" spans="2:12" x14ac:dyDescent="0.3">
      <c r="B807" t="str">
        <f>IF('ENTRADAS-BASE'!A805="","",'ENTRADAS-BASE'!A805)</f>
        <v/>
      </c>
      <c r="C807" t="str">
        <f>IF('ENTRADAS-BASE'!B805="","",'ENTRADAS-BASE'!B805)</f>
        <v/>
      </c>
      <c r="D807" t="str">
        <f>IF('ENTRADAS-BASE'!C805="","",'ENTRADAS-BASE'!C805)</f>
        <v/>
      </c>
      <c r="E807" s="7" t="str">
        <f>IF('ENTRADAS-BASE'!D805="","",'ENTRADAS-BASE'!D805)</f>
        <v/>
      </c>
      <c r="F807" s="6" t="str">
        <f>IF('ENTRADAS-BASE'!E805="","",'ENTRADAS-BASE'!E805)</f>
        <v/>
      </c>
      <c r="G807" t="str">
        <f>IF('ENTRADAS-BASE'!F805="","",'ENTRADAS-BASE'!F805)</f>
        <v/>
      </c>
      <c r="H807" t="str">
        <f>IF('ENTRADAS-BASE'!G805="","",'ENTRADAS-BASE'!G805)</f>
        <v/>
      </c>
      <c r="I807" t="str">
        <f>IF('ENTRADAS-BASE'!H805="","",'ENTRADAS-BASE'!H805)</f>
        <v/>
      </c>
      <c r="J807" t="str">
        <f>IF('ENTRADAS-BASE'!I805="","",'ENTRADAS-BASE'!I805)</f>
        <v/>
      </c>
      <c r="K807" s="5" t="str">
        <f>IF('ENTRADAS-BASE'!J805="","",'ENTRADAS-BASE'!J805)</f>
        <v/>
      </c>
      <c r="L8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8" spans="2:12" x14ac:dyDescent="0.3">
      <c r="B808" t="str">
        <f>IF('ENTRADAS-BASE'!A806="","",'ENTRADAS-BASE'!A806)</f>
        <v/>
      </c>
      <c r="C808" t="str">
        <f>IF('ENTRADAS-BASE'!B806="","",'ENTRADAS-BASE'!B806)</f>
        <v/>
      </c>
      <c r="D808" t="str">
        <f>IF('ENTRADAS-BASE'!C806="","",'ENTRADAS-BASE'!C806)</f>
        <v/>
      </c>
      <c r="E808" s="7" t="str">
        <f>IF('ENTRADAS-BASE'!D806="","",'ENTRADAS-BASE'!D806)</f>
        <v/>
      </c>
      <c r="F808" s="6" t="str">
        <f>IF('ENTRADAS-BASE'!E806="","",'ENTRADAS-BASE'!E806)</f>
        <v/>
      </c>
      <c r="G808" t="str">
        <f>IF('ENTRADAS-BASE'!F806="","",'ENTRADAS-BASE'!F806)</f>
        <v/>
      </c>
      <c r="H808" t="str">
        <f>IF('ENTRADAS-BASE'!G806="","",'ENTRADAS-BASE'!G806)</f>
        <v/>
      </c>
      <c r="I808" t="str">
        <f>IF('ENTRADAS-BASE'!H806="","",'ENTRADAS-BASE'!H806)</f>
        <v/>
      </c>
      <c r="J808" t="str">
        <f>IF('ENTRADAS-BASE'!I806="","",'ENTRADAS-BASE'!I806)</f>
        <v/>
      </c>
      <c r="K808" s="5" t="str">
        <f>IF('ENTRADAS-BASE'!J806="","",'ENTRADAS-BASE'!J806)</f>
        <v/>
      </c>
      <c r="L8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9" spans="2:12" x14ac:dyDescent="0.3">
      <c r="B809" t="str">
        <f>IF('ENTRADAS-BASE'!A807="","",'ENTRADAS-BASE'!A807)</f>
        <v/>
      </c>
      <c r="C809" t="str">
        <f>IF('ENTRADAS-BASE'!B807="","",'ENTRADAS-BASE'!B807)</f>
        <v/>
      </c>
      <c r="D809" t="str">
        <f>IF('ENTRADAS-BASE'!C807="","",'ENTRADAS-BASE'!C807)</f>
        <v/>
      </c>
      <c r="E809" s="7" t="str">
        <f>IF('ENTRADAS-BASE'!D807="","",'ENTRADAS-BASE'!D807)</f>
        <v/>
      </c>
      <c r="F809" s="6" t="str">
        <f>IF('ENTRADAS-BASE'!E807="","",'ENTRADAS-BASE'!E807)</f>
        <v/>
      </c>
      <c r="G809" t="str">
        <f>IF('ENTRADAS-BASE'!F807="","",'ENTRADAS-BASE'!F807)</f>
        <v/>
      </c>
      <c r="H809" t="str">
        <f>IF('ENTRADAS-BASE'!G807="","",'ENTRADAS-BASE'!G807)</f>
        <v/>
      </c>
      <c r="I809" t="str">
        <f>IF('ENTRADAS-BASE'!H807="","",'ENTRADAS-BASE'!H807)</f>
        <v/>
      </c>
      <c r="J809" t="str">
        <f>IF('ENTRADAS-BASE'!I807="","",'ENTRADAS-BASE'!I807)</f>
        <v/>
      </c>
      <c r="K809" s="5" t="str">
        <f>IF('ENTRADAS-BASE'!J807="","",'ENTRADAS-BASE'!J807)</f>
        <v/>
      </c>
      <c r="L8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0" spans="2:12" x14ac:dyDescent="0.3">
      <c r="B810" t="str">
        <f>IF('ENTRADAS-BASE'!A808="","",'ENTRADAS-BASE'!A808)</f>
        <v/>
      </c>
      <c r="C810" t="str">
        <f>IF('ENTRADAS-BASE'!B808="","",'ENTRADAS-BASE'!B808)</f>
        <v/>
      </c>
      <c r="D810" t="str">
        <f>IF('ENTRADAS-BASE'!C808="","",'ENTRADAS-BASE'!C808)</f>
        <v/>
      </c>
      <c r="E810" s="7" t="str">
        <f>IF('ENTRADAS-BASE'!D808="","",'ENTRADAS-BASE'!D808)</f>
        <v/>
      </c>
      <c r="F810" s="6" t="str">
        <f>IF('ENTRADAS-BASE'!E808="","",'ENTRADAS-BASE'!E808)</f>
        <v/>
      </c>
      <c r="G810" t="str">
        <f>IF('ENTRADAS-BASE'!F808="","",'ENTRADAS-BASE'!F808)</f>
        <v/>
      </c>
      <c r="H810" t="str">
        <f>IF('ENTRADAS-BASE'!G808="","",'ENTRADAS-BASE'!G808)</f>
        <v/>
      </c>
      <c r="I810" t="str">
        <f>IF('ENTRADAS-BASE'!H808="","",'ENTRADAS-BASE'!H808)</f>
        <v/>
      </c>
      <c r="J810" t="str">
        <f>IF('ENTRADAS-BASE'!I808="","",'ENTRADAS-BASE'!I808)</f>
        <v/>
      </c>
      <c r="K810" s="5" t="str">
        <f>IF('ENTRADAS-BASE'!J808="","",'ENTRADAS-BASE'!J808)</f>
        <v/>
      </c>
      <c r="L8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1" spans="2:12" x14ac:dyDescent="0.3">
      <c r="B811" t="str">
        <f>IF('ENTRADAS-BASE'!A809="","",'ENTRADAS-BASE'!A809)</f>
        <v/>
      </c>
      <c r="C811" t="str">
        <f>IF('ENTRADAS-BASE'!B809="","",'ENTRADAS-BASE'!B809)</f>
        <v/>
      </c>
      <c r="D811" t="str">
        <f>IF('ENTRADAS-BASE'!C809="","",'ENTRADAS-BASE'!C809)</f>
        <v/>
      </c>
      <c r="E811" s="7" t="str">
        <f>IF('ENTRADAS-BASE'!D809="","",'ENTRADAS-BASE'!D809)</f>
        <v/>
      </c>
      <c r="F811" s="6" t="str">
        <f>IF('ENTRADAS-BASE'!E809="","",'ENTRADAS-BASE'!E809)</f>
        <v/>
      </c>
      <c r="G811" t="str">
        <f>IF('ENTRADAS-BASE'!F809="","",'ENTRADAS-BASE'!F809)</f>
        <v/>
      </c>
      <c r="H811" t="str">
        <f>IF('ENTRADAS-BASE'!G809="","",'ENTRADAS-BASE'!G809)</f>
        <v/>
      </c>
      <c r="I811" t="str">
        <f>IF('ENTRADAS-BASE'!H809="","",'ENTRADAS-BASE'!H809)</f>
        <v/>
      </c>
      <c r="J811" t="str">
        <f>IF('ENTRADAS-BASE'!I809="","",'ENTRADAS-BASE'!I809)</f>
        <v/>
      </c>
      <c r="K811" s="5" t="str">
        <f>IF('ENTRADAS-BASE'!J809="","",'ENTRADAS-BASE'!J809)</f>
        <v/>
      </c>
      <c r="L8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2" spans="2:12" x14ac:dyDescent="0.3">
      <c r="B812" t="str">
        <f>IF('ENTRADAS-BASE'!A810="","",'ENTRADAS-BASE'!A810)</f>
        <v/>
      </c>
      <c r="C812" t="str">
        <f>IF('ENTRADAS-BASE'!B810="","",'ENTRADAS-BASE'!B810)</f>
        <v/>
      </c>
      <c r="D812" t="str">
        <f>IF('ENTRADAS-BASE'!C810="","",'ENTRADAS-BASE'!C810)</f>
        <v/>
      </c>
      <c r="E812" s="7" t="str">
        <f>IF('ENTRADAS-BASE'!D810="","",'ENTRADAS-BASE'!D810)</f>
        <v/>
      </c>
      <c r="F812" s="6" t="str">
        <f>IF('ENTRADAS-BASE'!E810="","",'ENTRADAS-BASE'!E810)</f>
        <v/>
      </c>
      <c r="G812" t="str">
        <f>IF('ENTRADAS-BASE'!F810="","",'ENTRADAS-BASE'!F810)</f>
        <v/>
      </c>
      <c r="H812" t="str">
        <f>IF('ENTRADAS-BASE'!G810="","",'ENTRADAS-BASE'!G810)</f>
        <v/>
      </c>
      <c r="I812" t="str">
        <f>IF('ENTRADAS-BASE'!H810="","",'ENTRADAS-BASE'!H810)</f>
        <v/>
      </c>
      <c r="J812" t="str">
        <f>IF('ENTRADAS-BASE'!I810="","",'ENTRADAS-BASE'!I810)</f>
        <v/>
      </c>
      <c r="K812" s="5" t="str">
        <f>IF('ENTRADAS-BASE'!J810="","",'ENTRADAS-BASE'!J810)</f>
        <v/>
      </c>
      <c r="L8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3" spans="2:12" x14ac:dyDescent="0.3">
      <c r="B813" t="str">
        <f>IF('ENTRADAS-BASE'!A811="","",'ENTRADAS-BASE'!A811)</f>
        <v/>
      </c>
      <c r="C813" t="str">
        <f>IF('ENTRADAS-BASE'!B811="","",'ENTRADAS-BASE'!B811)</f>
        <v/>
      </c>
      <c r="D813" t="str">
        <f>IF('ENTRADAS-BASE'!C811="","",'ENTRADAS-BASE'!C811)</f>
        <v/>
      </c>
      <c r="E813" s="7" t="str">
        <f>IF('ENTRADAS-BASE'!D811="","",'ENTRADAS-BASE'!D811)</f>
        <v/>
      </c>
      <c r="F813" s="6" t="str">
        <f>IF('ENTRADAS-BASE'!E811="","",'ENTRADAS-BASE'!E811)</f>
        <v/>
      </c>
      <c r="G813" t="str">
        <f>IF('ENTRADAS-BASE'!F811="","",'ENTRADAS-BASE'!F811)</f>
        <v/>
      </c>
      <c r="H813" t="str">
        <f>IF('ENTRADAS-BASE'!G811="","",'ENTRADAS-BASE'!G811)</f>
        <v/>
      </c>
      <c r="I813" t="str">
        <f>IF('ENTRADAS-BASE'!H811="","",'ENTRADAS-BASE'!H811)</f>
        <v/>
      </c>
      <c r="J813" t="str">
        <f>IF('ENTRADAS-BASE'!I811="","",'ENTRADAS-BASE'!I811)</f>
        <v/>
      </c>
      <c r="K813" s="5" t="str">
        <f>IF('ENTRADAS-BASE'!J811="","",'ENTRADAS-BASE'!J811)</f>
        <v/>
      </c>
      <c r="L8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4" spans="2:12" x14ac:dyDescent="0.3">
      <c r="B814" t="str">
        <f>IF('ENTRADAS-BASE'!A812="","",'ENTRADAS-BASE'!A812)</f>
        <v/>
      </c>
      <c r="C814" t="str">
        <f>IF('ENTRADAS-BASE'!B812="","",'ENTRADAS-BASE'!B812)</f>
        <v/>
      </c>
      <c r="D814" t="str">
        <f>IF('ENTRADAS-BASE'!C812="","",'ENTRADAS-BASE'!C812)</f>
        <v/>
      </c>
      <c r="E814" s="7" t="str">
        <f>IF('ENTRADAS-BASE'!D812="","",'ENTRADAS-BASE'!D812)</f>
        <v/>
      </c>
      <c r="F814" s="6" t="str">
        <f>IF('ENTRADAS-BASE'!E812="","",'ENTRADAS-BASE'!E812)</f>
        <v/>
      </c>
      <c r="G814" t="str">
        <f>IF('ENTRADAS-BASE'!F812="","",'ENTRADAS-BASE'!F812)</f>
        <v/>
      </c>
      <c r="H814" t="str">
        <f>IF('ENTRADAS-BASE'!G812="","",'ENTRADAS-BASE'!G812)</f>
        <v/>
      </c>
      <c r="I814" t="str">
        <f>IF('ENTRADAS-BASE'!H812="","",'ENTRADAS-BASE'!H812)</f>
        <v/>
      </c>
      <c r="J814" t="str">
        <f>IF('ENTRADAS-BASE'!I812="","",'ENTRADAS-BASE'!I812)</f>
        <v/>
      </c>
      <c r="K814" s="5" t="str">
        <f>IF('ENTRADAS-BASE'!J812="","",'ENTRADAS-BASE'!J812)</f>
        <v/>
      </c>
      <c r="L8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5" spans="2:12" x14ac:dyDescent="0.3">
      <c r="B815" t="str">
        <f>IF('ENTRADAS-BASE'!A813="","",'ENTRADAS-BASE'!A813)</f>
        <v/>
      </c>
      <c r="C815" t="str">
        <f>IF('ENTRADAS-BASE'!B813="","",'ENTRADAS-BASE'!B813)</f>
        <v/>
      </c>
      <c r="D815" t="str">
        <f>IF('ENTRADAS-BASE'!C813="","",'ENTRADAS-BASE'!C813)</f>
        <v/>
      </c>
      <c r="E815" s="7" t="str">
        <f>IF('ENTRADAS-BASE'!D813="","",'ENTRADAS-BASE'!D813)</f>
        <v/>
      </c>
      <c r="F815" s="6" t="str">
        <f>IF('ENTRADAS-BASE'!E813="","",'ENTRADAS-BASE'!E813)</f>
        <v/>
      </c>
      <c r="G815" t="str">
        <f>IF('ENTRADAS-BASE'!F813="","",'ENTRADAS-BASE'!F813)</f>
        <v/>
      </c>
      <c r="H815" t="str">
        <f>IF('ENTRADAS-BASE'!G813="","",'ENTRADAS-BASE'!G813)</f>
        <v/>
      </c>
      <c r="I815" t="str">
        <f>IF('ENTRADAS-BASE'!H813="","",'ENTRADAS-BASE'!H813)</f>
        <v/>
      </c>
      <c r="J815" t="str">
        <f>IF('ENTRADAS-BASE'!I813="","",'ENTRADAS-BASE'!I813)</f>
        <v/>
      </c>
      <c r="K815" s="5" t="str">
        <f>IF('ENTRADAS-BASE'!J813="","",'ENTRADAS-BASE'!J813)</f>
        <v/>
      </c>
      <c r="L8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6" spans="2:12" x14ac:dyDescent="0.3">
      <c r="B816" t="str">
        <f>IF('ENTRADAS-BASE'!A814="","",'ENTRADAS-BASE'!A814)</f>
        <v/>
      </c>
      <c r="C816" t="str">
        <f>IF('ENTRADAS-BASE'!B814="","",'ENTRADAS-BASE'!B814)</f>
        <v/>
      </c>
      <c r="D816" t="str">
        <f>IF('ENTRADAS-BASE'!C814="","",'ENTRADAS-BASE'!C814)</f>
        <v/>
      </c>
      <c r="E816" s="7" t="str">
        <f>IF('ENTRADAS-BASE'!D814="","",'ENTRADAS-BASE'!D814)</f>
        <v/>
      </c>
      <c r="F816" s="6" t="str">
        <f>IF('ENTRADAS-BASE'!E814="","",'ENTRADAS-BASE'!E814)</f>
        <v/>
      </c>
      <c r="G816" t="str">
        <f>IF('ENTRADAS-BASE'!F814="","",'ENTRADAS-BASE'!F814)</f>
        <v/>
      </c>
      <c r="H816" t="str">
        <f>IF('ENTRADAS-BASE'!G814="","",'ENTRADAS-BASE'!G814)</f>
        <v/>
      </c>
      <c r="I816" t="str">
        <f>IF('ENTRADAS-BASE'!H814="","",'ENTRADAS-BASE'!H814)</f>
        <v/>
      </c>
      <c r="J816" t="str">
        <f>IF('ENTRADAS-BASE'!I814="","",'ENTRADAS-BASE'!I814)</f>
        <v/>
      </c>
      <c r="K816" s="5" t="str">
        <f>IF('ENTRADAS-BASE'!J814="","",'ENTRADAS-BASE'!J814)</f>
        <v/>
      </c>
      <c r="L8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7" spans="2:12" x14ac:dyDescent="0.3">
      <c r="B817" t="str">
        <f>IF('ENTRADAS-BASE'!A815="","",'ENTRADAS-BASE'!A815)</f>
        <v/>
      </c>
      <c r="C817" t="str">
        <f>IF('ENTRADAS-BASE'!B815="","",'ENTRADAS-BASE'!B815)</f>
        <v/>
      </c>
      <c r="D817" t="str">
        <f>IF('ENTRADAS-BASE'!C815="","",'ENTRADAS-BASE'!C815)</f>
        <v/>
      </c>
      <c r="E817" s="7" t="str">
        <f>IF('ENTRADAS-BASE'!D815="","",'ENTRADAS-BASE'!D815)</f>
        <v/>
      </c>
      <c r="F817" s="6" t="str">
        <f>IF('ENTRADAS-BASE'!E815="","",'ENTRADAS-BASE'!E815)</f>
        <v/>
      </c>
      <c r="G817" t="str">
        <f>IF('ENTRADAS-BASE'!F815="","",'ENTRADAS-BASE'!F815)</f>
        <v/>
      </c>
      <c r="H817" t="str">
        <f>IF('ENTRADAS-BASE'!G815="","",'ENTRADAS-BASE'!G815)</f>
        <v/>
      </c>
      <c r="I817" t="str">
        <f>IF('ENTRADAS-BASE'!H815="","",'ENTRADAS-BASE'!H815)</f>
        <v/>
      </c>
      <c r="J817" t="str">
        <f>IF('ENTRADAS-BASE'!I815="","",'ENTRADAS-BASE'!I815)</f>
        <v/>
      </c>
      <c r="K817" s="5" t="str">
        <f>IF('ENTRADAS-BASE'!J815="","",'ENTRADAS-BASE'!J815)</f>
        <v/>
      </c>
      <c r="L8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8" spans="2:12" x14ac:dyDescent="0.3">
      <c r="B818" t="str">
        <f>IF('ENTRADAS-BASE'!A816="","",'ENTRADAS-BASE'!A816)</f>
        <v/>
      </c>
      <c r="C818" t="str">
        <f>IF('ENTRADAS-BASE'!B816="","",'ENTRADAS-BASE'!B816)</f>
        <v/>
      </c>
      <c r="D818" t="str">
        <f>IF('ENTRADAS-BASE'!C816="","",'ENTRADAS-BASE'!C816)</f>
        <v/>
      </c>
      <c r="E818" s="7" t="str">
        <f>IF('ENTRADAS-BASE'!D816="","",'ENTRADAS-BASE'!D816)</f>
        <v/>
      </c>
      <c r="F818" s="6" t="str">
        <f>IF('ENTRADAS-BASE'!E816="","",'ENTRADAS-BASE'!E816)</f>
        <v/>
      </c>
      <c r="G818" t="str">
        <f>IF('ENTRADAS-BASE'!F816="","",'ENTRADAS-BASE'!F816)</f>
        <v/>
      </c>
      <c r="H818" t="str">
        <f>IF('ENTRADAS-BASE'!G816="","",'ENTRADAS-BASE'!G816)</f>
        <v/>
      </c>
      <c r="I818" t="str">
        <f>IF('ENTRADAS-BASE'!H816="","",'ENTRADAS-BASE'!H816)</f>
        <v/>
      </c>
      <c r="J818" t="str">
        <f>IF('ENTRADAS-BASE'!I816="","",'ENTRADAS-BASE'!I816)</f>
        <v/>
      </c>
      <c r="K818" s="5" t="str">
        <f>IF('ENTRADAS-BASE'!J816="","",'ENTRADAS-BASE'!J816)</f>
        <v/>
      </c>
      <c r="L8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9" spans="2:12" x14ac:dyDescent="0.3">
      <c r="B819" t="str">
        <f>IF('ENTRADAS-BASE'!A817="","",'ENTRADAS-BASE'!A817)</f>
        <v/>
      </c>
      <c r="C819" t="str">
        <f>IF('ENTRADAS-BASE'!B817="","",'ENTRADAS-BASE'!B817)</f>
        <v/>
      </c>
      <c r="D819" t="str">
        <f>IF('ENTRADAS-BASE'!C817="","",'ENTRADAS-BASE'!C817)</f>
        <v/>
      </c>
      <c r="E819" s="7" t="str">
        <f>IF('ENTRADAS-BASE'!D817="","",'ENTRADAS-BASE'!D817)</f>
        <v/>
      </c>
      <c r="F819" s="6" t="str">
        <f>IF('ENTRADAS-BASE'!E817="","",'ENTRADAS-BASE'!E817)</f>
        <v/>
      </c>
      <c r="G819" t="str">
        <f>IF('ENTRADAS-BASE'!F817="","",'ENTRADAS-BASE'!F817)</f>
        <v/>
      </c>
      <c r="H819" t="str">
        <f>IF('ENTRADAS-BASE'!G817="","",'ENTRADAS-BASE'!G817)</f>
        <v/>
      </c>
      <c r="I819" t="str">
        <f>IF('ENTRADAS-BASE'!H817="","",'ENTRADAS-BASE'!H817)</f>
        <v/>
      </c>
      <c r="J819" t="str">
        <f>IF('ENTRADAS-BASE'!I817="","",'ENTRADAS-BASE'!I817)</f>
        <v/>
      </c>
      <c r="K819" s="5" t="str">
        <f>IF('ENTRADAS-BASE'!J817="","",'ENTRADAS-BASE'!J817)</f>
        <v/>
      </c>
      <c r="L8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0" spans="2:12" x14ac:dyDescent="0.3">
      <c r="B820" t="str">
        <f>IF('ENTRADAS-BASE'!A818="","",'ENTRADAS-BASE'!A818)</f>
        <v/>
      </c>
      <c r="C820" t="str">
        <f>IF('ENTRADAS-BASE'!B818="","",'ENTRADAS-BASE'!B818)</f>
        <v/>
      </c>
      <c r="D820" t="str">
        <f>IF('ENTRADAS-BASE'!C818="","",'ENTRADAS-BASE'!C818)</f>
        <v/>
      </c>
      <c r="E820" s="7" t="str">
        <f>IF('ENTRADAS-BASE'!D818="","",'ENTRADAS-BASE'!D818)</f>
        <v/>
      </c>
      <c r="F820" s="6" t="str">
        <f>IF('ENTRADAS-BASE'!E818="","",'ENTRADAS-BASE'!E818)</f>
        <v/>
      </c>
      <c r="G820" t="str">
        <f>IF('ENTRADAS-BASE'!F818="","",'ENTRADAS-BASE'!F818)</f>
        <v/>
      </c>
      <c r="H820" t="str">
        <f>IF('ENTRADAS-BASE'!G818="","",'ENTRADAS-BASE'!G818)</f>
        <v/>
      </c>
      <c r="I820" t="str">
        <f>IF('ENTRADAS-BASE'!H818="","",'ENTRADAS-BASE'!H818)</f>
        <v/>
      </c>
      <c r="J820" t="str">
        <f>IF('ENTRADAS-BASE'!I818="","",'ENTRADAS-BASE'!I818)</f>
        <v/>
      </c>
      <c r="K820" s="5" t="str">
        <f>IF('ENTRADAS-BASE'!J818="","",'ENTRADAS-BASE'!J818)</f>
        <v/>
      </c>
      <c r="L8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1" spans="2:12" x14ac:dyDescent="0.3">
      <c r="B821" t="str">
        <f>IF('ENTRADAS-BASE'!A819="","",'ENTRADAS-BASE'!A819)</f>
        <v/>
      </c>
      <c r="C821" t="str">
        <f>IF('ENTRADAS-BASE'!B819="","",'ENTRADAS-BASE'!B819)</f>
        <v/>
      </c>
      <c r="D821" t="str">
        <f>IF('ENTRADAS-BASE'!C819="","",'ENTRADAS-BASE'!C819)</f>
        <v/>
      </c>
      <c r="E821" s="7" t="str">
        <f>IF('ENTRADAS-BASE'!D819="","",'ENTRADAS-BASE'!D819)</f>
        <v/>
      </c>
      <c r="F821" s="6" t="str">
        <f>IF('ENTRADAS-BASE'!E819="","",'ENTRADAS-BASE'!E819)</f>
        <v/>
      </c>
      <c r="G821" t="str">
        <f>IF('ENTRADAS-BASE'!F819="","",'ENTRADAS-BASE'!F819)</f>
        <v/>
      </c>
      <c r="H821" t="str">
        <f>IF('ENTRADAS-BASE'!G819="","",'ENTRADAS-BASE'!G819)</f>
        <v/>
      </c>
      <c r="I821" t="str">
        <f>IF('ENTRADAS-BASE'!H819="","",'ENTRADAS-BASE'!H819)</f>
        <v/>
      </c>
      <c r="J821" t="str">
        <f>IF('ENTRADAS-BASE'!I819="","",'ENTRADAS-BASE'!I819)</f>
        <v/>
      </c>
      <c r="K821" s="5" t="str">
        <f>IF('ENTRADAS-BASE'!J819="","",'ENTRADAS-BASE'!J819)</f>
        <v/>
      </c>
      <c r="L8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2" spans="2:12" x14ac:dyDescent="0.3">
      <c r="B822" t="str">
        <f>IF('ENTRADAS-BASE'!A820="","",'ENTRADAS-BASE'!A820)</f>
        <v/>
      </c>
      <c r="C822" t="str">
        <f>IF('ENTRADAS-BASE'!B820="","",'ENTRADAS-BASE'!B820)</f>
        <v/>
      </c>
      <c r="D822" t="str">
        <f>IF('ENTRADAS-BASE'!C820="","",'ENTRADAS-BASE'!C820)</f>
        <v/>
      </c>
      <c r="E822" s="7" t="str">
        <f>IF('ENTRADAS-BASE'!D820="","",'ENTRADAS-BASE'!D820)</f>
        <v/>
      </c>
      <c r="F822" s="6" t="str">
        <f>IF('ENTRADAS-BASE'!E820="","",'ENTRADAS-BASE'!E820)</f>
        <v/>
      </c>
      <c r="G822" t="str">
        <f>IF('ENTRADAS-BASE'!F820="","",'ENTRADAS-BASE'!F820)</f>
        <v/>
      </c>
      <c r="H822" t="str">
        <f>IF('ENTRADAS-BASE'!G820="","",'ENTRADAS-BASE'!G820)</f>
        <v/>
      </c>
      <c r="I822" t="str">
        <f>IF('ENTRADAS-BASE'!H820="","",'ENTRADAS-BASE'!H820)</f>
        <v/>
      </c>
      <c r="J822" t="str">
        <f>IF('ENTRADAS-BASE'!I820="","",'ENTRADAS-BASE'!I820)</f>
        <v/>
      </c>
      <c r="K822" s="5" t="str">
        <f>IF('ENTRADAS-BASE'!J820="","",'ENTRADAS-BASE'!J820)</f>
        <v/>
      </c>
      <c r="L8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3" spans="2:12" x14ac:dyDescent="0.3">
      <c r="B823" t="str">
        <f>IF('ENTRADAS-BASE'!A821="","",'ENTRADAS-BASE'!A821)</f>
        <v/>
      </c>
      <c r="C823" t="str">
        <f>IF('ENTRADAS-BASE'!B821="","",'ENTRADAS-BASE'!B821)</f>
        <v/>
      </c>
      <c r="D823" t="str">
        <f>IF('ENTRADAS-BASE'!C821="","",'ENTRADAS-BASE'!C821)</f>
        <v/>
      </c>
      <c r="E823" s="7" t="str">
        <f>IF('ENTRADAS-BASE'!D821="","",'ENTRADAS-BASE'!D821)</f>
        <v/>
      </c>
      <c r="F823" s="6" t="str">
        <f>IF('ENTRADAS-BASE'!E821="","",'ENTRADAS-BASE'!E821)</f>
        <v/>
      </c>
      <c r="G823" t="str">
        <f>IF('ENTRADAS-BASE'!F821="","",'ENTRADAS-BASE'!F821)</f>
        <v/>
      </c>
      <c r="H823" t="str">
        <f>IF('ENTRADAS-BASE'!G821="","",'ENTRADAS-BASE'!G821)</f>
        <v/>
      </c>
      <c r="I823" t="str">
        <f>IF('ENTRADAS-BASE'!H821="","",'ENTRADAS-BASE'!H821)</f>
        <v/>
      </c>
      <c r="J823" t="str">
        <f>IF('ENTRADAS-BASE'!I821="","",'ENTRADAS-BASE'!I821)</f>
        <v/>
      </c>
      <c r="K823" s="5" t="str">
        <f>IF('ENTRADAS-BASE'!J821="","",'ENTRADAS-BASE'!J821)</f>
        <v/>
      </c>
      <c r="L8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4" spans="2:12" x14ac:dyDescent="0.3">
      <c r="B824" t="str">
        <f>IF('ENTRADAS-BASE'!A822="","",'ENTRADAS-BASE'!A822)</f>
        <v/>
      </c>
      <c r="C824" t="str">
        <f>IF('ENTRADAS-BASE'!B822="","",'ENTRADAS-BASE'!B822)</f>
        <v/>
      </c>
      <c r="D824" t="str">
        <f>IF('ENTRADAS-BASE'!C822="","",'ENTRADAS-BASE'!C822)</f>
        <v/>
      </c>
      <c r="E824" s="7" t="str">
        <f>IF('ENTRADAS-BASE'!D822="","",'ENTRADAS-BASE'!D822)</f>
        <v/>
      </c>
      <c r="F824" s="6" t="str">
        <f>IF('ENTRADAS-BASE'!E822="","",'ENTRADAS-BASE'!E822)</f>
        <v/>
      </c>
      <c r="G824" t="str">
        <f>IF('ENTRADAS-BASE'!F822="","",'ENTRADAS-BASE'!F822)</f>
        <v/>
      </c>
      <c r="H824" t="str">
        <f>IF('ENTRADAS-BASE'!G822="","",'ENTRADAS-BASE'!G822)</f>
        <v/>
      </c>
      <c r="I824" t="str">
        <f>IF('ENTRADAS-BASE'!H822="","",'ENTRADAS-BASE'!H822)</f>
        <v/>
      </c>
      <c r="J824" t="str">
        <f>IF('ENTRADAS-BASE'!I822="","",'ENTRADAS-BASE'!I822)</f>
        <v/>
      </c>
      <c r="K824" s="5" t="str">
        <f>IF('ENTRADAS-BASE'!J822="","",'ENTRADAS-BASE'!J822)</f>
        <v/>
      </c>
      <c r="L8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5" spans="2:12" x14ac:dyDescent="0.3">
      <c r="B825" t="str">
        <f>IF('ENTRADAS-BASE'!A823="","",'ENTRADAS-BASE'!A823)</f>
        <v/>
      </c>
      <c r="C825" t="str">
        <f>IF('ENTRADAS-BASE'!B823="","",'ENTRADAS-BASE'!B823)</f>
        <v/>
      </c>
      <c r="D825" t="str">
        <f>IF('ENTRADAS-BASE'!C823="","",'ENTRADAS-BASE'!C823)</f>
        <v/>
      </c>
      <c r="E825" s="7" t="str">
        <f>IF('ENTRADAS-BASE'!D823="","",'ENTRADAS-BASE'!D823)</f>
        <v/>
      </c>
      <c r="F825" s="6" t="str">
        <f>IF('ENTRADAS-BASE'!E823="","",'ENTRADAS-BASE'!E823)</f>
        <v/>
      </c>
      <c r="G825" t="str">
        <f>IF('ENTRADAS-BASE'!F823="","",'ENTRADAS-BASE'!F823)</f>
        <v/>
      </c>
      <c r="H825" t="str">
        <f>IF('ENTRADAS-BASE'!G823="","",'ENTRADAS-BASE'!G823)</f>
        <v/>
      </c>
      <c r="I825" t="str">
        <f>IF('ENTRADAS-BASE'!H823="","",'ENTRADAS-BASE'!H823)</f>
        <v/>
      </c>
      <c r="J825" t="str">
        <f>IF('ENTRADAS-BASE'!I823="","",'ENTRADAS-BASE'!I823)</f>
        <v/>
      </c>
      <c r="K825" s="5" t="str">
        <f>IF('ENTRADAS-BASE'!J823="","",'ENTRADAS-BASE'!J823)</f>
        <v/>
      </c>
      <c r="L8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6" spans="2:12" x14ac:dyDescent="0.3">
      <c r="B826" t="str">
        <f>IF('ENTRADAS-BASE'!A824="","",'ENTRADAS-BASE'!A824)</f>
        <v/>
      </c>
      <c r="C826" t="str">
        <f>IF('ENTRADAS-BASE'!B824="","",'ENTRADAS-BASE'!B824)</f>
        <v/>
      </c>
      <c r="D826" t="str">
        <f>IF('ENTRADAS-BASE'!C824="","",'ENTRADAS-BASE'!C824)</f>
        <v/>
      </c>
      <c r="E826" s="7" t="str">
        <f>IF('ENTRADAS-BASE'!D824="","",'ENTRADAS-BASE'!D824)</f>
        <v/>
      </c>
      <c r="F826" s="6" t="str">
        <f>IF('ENTRADAS-BASE'!E824="","",'ENTRADAS-BASE'!E824)</f>
        <v/>
      </c>
      <c r="G826" t="str">
        <f>IF('ENTRADAS-BASE'!F824="","",'ENTRADAS-BASE'!F824)</f>
        <v/>
      </c>
      <c r="H826" t="str">
        <f>IF('ENTRADAS-BASE'!G824="","",'ENTRADAS-BASE'!G824)</f>
        <v/>
      </c>
      <c r="I826" t="str">
        <f>IF('ENTRADAS-BASE'!H824="","",'ENTRADAS-BASE'!H824)</f>
        <v/>
      </c>
      <c r="J826" t="str">
        <f>IF('ENTRADAS-BASE'!I824="","",'ENTRADAS-BASE'!I824)</f>
        <v/>
      </c>
      <c r="K826" s="5" t="str">
        <f>IF('ENTRADAS-BASE'!J824="","",'ENTRADAS-BASE'!J824)</f>
        <v/>
      </c>
      <c r="L8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7" spans="2:12" x14ac:dyDescent="0.3">
      <c r="B827" t="str">
        <f>IF('ENTRADAS-BASE'!A825="","",'ENTRADAS-BASE'!A825)</f>
        <v/>
      </c>
      <c r="C827" t="str">
        <f>IF('ENTRADAS-BASE'!B825="","",'ENTRADAS-BASE'!B825)</f>
        <v/>
      </c>
      <c r="D827" t="str">
        <f>IF('ENTRADAS-BASE'!C825="","",'ENTRADAS-BASE'!C825)</f>
        <v/>
      </c>
      <c r="E827" s="7" t="str">
        <f>IF('ENTRADAS-BASE'!D825="","",'ENTRADAS-BASE'!D825)</f>
        <v/>
      </c>
      <c r="F827" s="6" t="str">
        <f>IF('ENTRADAS-BASE'!E825="","",'ENTRADAS-BASE'!E825)</f>
        <v/>
      </c>
      <c r="G827" t="str">
        <f>IF('ENTRADAS-BASE'!F825="","",'ENTRADAS-BASE'!F825)</f>
        <v/>
      </c>
      <c r="H827" t="str">
        <f>IF('ENTRADAS-BASE'!G825="","",'ENTRADAS-BASE'!G825)</f>
        <v/>
      </c>
      <c r="I827" t="str">
        <f>IF('ENTRADAS-BASE'!H825="","",'ENTRADAS-BASE'!H825)</f>
        <v/>
      </c>
      <c r="J827" t="str">
        <f>IF('ENTRADAS-BASE'!I825="","",'ENTRADAS-BASE'!I825)</f>
        <v/>
      </c>
      <c r="K827" s="5" t="str">
        <f>IF('ENTRADAS-BASE'!J825="","",'ENTRADAS-BASE'!J825)</f>
        <v/>
      </c>
      <c r="L8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8" spans="2:12" x14ac:dyDescent="0.3">
      <c r="B828" t="str">
        <f>IF('ENTRADAS-BASE'!A826="","",'ENTRADAS-BASE'!A826)</f>
        <v/>
      </c>
      <c r="C828" t="str">
        <f>IF('ENTRADAS-BASE'!B826="","",'ENTRADAS-BASE'!B826)</f>
        <v/>
      </c>
      <c r="D828" t="str">
        <f>IF('ENTRADAS-BASE'!C826="","",'ENTRADAS-BASE'!C826)</f>
        <v/>
      </c>
      <c r="E828" s="7" t="str">
        <f>IF('ENTRADAS-BASE'!D826="","",'ENTRADAS-BASE'!D826)</f>
        <v/>
      </c>
      <c r="F828" s="6" t="str">
        <f>IF('ENTRADAS-BASE'!E826="","",'ENTRADAS-BASE'!E826)</f>
        <v/>
      </c>
      <c r="G828" t="str">
        <f>IF('ENTRADAS-BASE'!F826="","",'ENTRADAS-BASE'!F826)</f>
        <v/>
      </c>
      <c r="H828" t="str">
        <f>IF('ENTRADAS-BASE'!G826="","",'ENTRADAS-BASE'!G826)</f>
        <v/>
      </c>
      <c r="I828" t="str">
        <f>IF('ENTRADAS-BASE'!H826="","",'ENTRADAS-BASE'!H826)</f>
        <v/>
      </c>
      <c r="J828" t="str">
        <f>IF('ENTRADAS-BASE'!I826="","",'ENTRADAS-BASE'!I826)</f>
        <v/>
      </c>
      <c r="K828" s="5" t="str">
        <f>IF('ENTRADAS-BASE'!J826="","",'ENTRADAS-BASE'!J826)</f>
        <v/>
      </c>
      <c r="L8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9" spans="2:12" x14ac:dyDescent="0.3">
      <c r="B829" t="str">
        <f>IF('ENTRADAS-BASE'!A827="","",'ENTRADAS-BASE'!A827)</f>
        <v/>
      </c>
      <c r="C829" t="str">
        <f>IF('ENTRADAS-BASE'!B827="","",'ENTRADAS-BASE'!B827)</f>
        <v/>
      </c>
      <c r="D829" t="str">
        <f>IF('ENTRADAS-BASE'!C827="","",'ENTRADAS-BASE'!C827)</f>
        <v/>
      </c>
      <c r="E829" s="7" t="str">
        <f>IF('ENTRADAS-BASE'!D827="","",'ENTRADAS-BASE'!D827)</f>
        <v/>
      </c>
      <c r="F829" s="6" t="str">
        <f>IF('ENTRADAS-BASE'!E827="","",'ENTRADAS-BASE'!E827)</f>
        <v/>
      </c>
      <c r="G829" t="str">
        <f>IF('ENTRADAS-BASE'!F827="","",'ENTRADAS-BASE'!F827)</f>
        <v/>
      </c>
      <c r="H829" t="str">
        <f>IF('ENTRADAS-BASE'!G827="","",'ENTRADAS-BASE'!G827)</f>
        <v/>
      </c>
      <c r="I829" t="str">
        <f>IF('ENTRADAS-BASE'!H827="","",'ENTRADAS-BASE'!H827)</f>
        <v/>
      </c>
      <c r="J829" t="str">
        <f>IF('ENTRADAS-BASE'!I827="","",'ENTRADAS-BASE'!I827)</f>
        <v/>
      </c>
      <c r="K829" s="5" t="str">
        <f>IF('ENTRADAS-BASE'!J827="","",'ENTRADAS-BASE'!J827)</f>
        <v/>
      </c>
      <c r="L8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0" spans="2:12" x14ac:dyDescent="0.3">
      <c r="B830" t="str">
        <f>IF('ENTRADAS-BASE'!A828="","",'ENTRADAS-BASE'!A828)</f>
        <v/>
      </c>
      <c r="C830" t="str">
        <f>IF('ENTRADAS-BASE'!B828="","",'ENTRADAS-BASE'!B828)</f>
        <v/>
      </c>
      <c r="D830" t="str">
        <f>IF('ENTRADAS-BASE'!C828="","",'ENTRADAS-BASE'!C828)</f>
        <v/>
      </c>
      <c r="E830" s="7" t="str">
        <f>IF('ENTRADAS-BASE'!D828="","",'ENTRADAS-BASE'!D828)</f>
        <v/>
      </c>
      <c r="F830" s="6" t="str">
        <f>IF('ENTRADAS-BASE'!E828="","",'ENTRADAS-BASE'!E828)</f>
        <v/>
      </c>
      <c r="G830" t="str">
        <f>IF('ENTRADAS-BASE'!F828="","",'ENTRADAS-BASE'!F828)</f>
        <v/>
      </c>
      <c r="H830" t="str">
        <f>IF('ENTRADAS-BASE'!G828="","",'ENTRADAS-BASE'!G828)</f>
        <v/>
      </c>
      <c r="I830" t="str">
        <f>IF('ENTRADAS-BASE'!H828="","",'ENTRADAS-BASE'!H828)</f>
        <v/>
      </c>
      <c r="J830" t="str">
        <f>IF('ENTRADAS-BASE'!I828="","",'ENTRADAS-BASE'!I828)</f>
        <v/>
      </c>
      <c r="K830" s="5" t="str">
        <f>IF('ENTRADAS-BASE'!J828="","",'ENTRADAS-BASE'!J828)</f>
        <v/>
      </c>
      <c r="L8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1" spans="2:12" x14ac:dyDescent="0.3">
      <c r="B831" t="str">
        <f>IF('ENTRADAS-BASE'!A829="","",'ENTRADAS-BASE'!A829)</f>
        <v/>
      </c>
      <c r="C831" t="str">
        <f>IF('ENTRADAS-BASE'!B829="","",'ENTRADAS-BASE'!B829)</f>
        <v/>
      </c>
      <c r="D831" t="str">
        <f>IF('ENTRADAS-BASE'!C829="","",'ENTRADAS-BASE'!C829)</f>
        <v/>
      </c>
      <c r="E831" s="7" t="str">
        <f>IF('ENTRADAS-BASE'!D829="","",'ENTRADAS-BASE'!D829)</f>
        <v/>
      </c>
      <c r="F831" s="6" t="str">
        <f>IF('ENTRADAS-BASE'!E829="","",'ENTRADAS-BASE'!E829)</f>
        <v/>
      </c>
      <c r="G831" t="str">
        <f>IF('ENTRADAS-BASE'!F829="","",'ENTRADAS-BASE'!F829)</f>
        <v/>
      </c>
      <c r="H831" t="str">
        <f>IF('ENTRADAS-BASE'!G829="","",'ENTRADAS-BASE'!G829)</f>
        <v/>
      </c>
      <c r="I831" t="str">
        <f>IF('ENTRADAS-BASE'!H829="","",'ENTRADAS-BASE'!H829)</f>
        <v/>
      </c>
      <c r="J831" t="str">
        <f>IF('ENTRADAS-BASE'!I829="","",'ENTRADAS-BASE'!I829)</f>
        <v/>
      </c>
      <c r="K831" s="5" t="str">
        <f>IF('ENTRADAS-BASE'!J829="","",'ENTRADAS-BASE'!J829)</f>
        <v/>
      </c>
      <c r="L8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2" spans="2:12" x14ac:dyDescent="0.3">
      <c r="B832" t="str">
        <f>IF('ENTRADAS-BASE'!A830="","",'ENTRADAS-BASE'!A830)</f>
        <v/>
      </c>
      <c r="C832" t="str">
        <f>IF('ENTRADAS-BASE'!B830="","",'ENTRADAS-BASE'!B830)</f>
        <v/>
      </c>
      <c r="D832" t="str">
        <f>IF('ENTRADAS-BASE'!C830="","",'ENTRADAS-BASE'!C830)</f>
        <v/>
      </c>
      <c r="E832" s="7" t="str">
        <f>IF('ENTRADAS-BASE'!D830="","",'ENTRADAS-BASE'!D830)</f>
        <v/>
      </c>
      <c r="F832" s="6" t="str">
        <f>IF('ENTRADAS-BASE'!E830="","",'ENTRADAS-BASE'!E830)</f>
        <v/>
      </c>
      <c r="G832" t="str">
        <f>IF('ENTRADAS-BASE'!F830="","",'ENTRADAS-BASE'!F830)</f>
        <v/>
      </c>
      <c r="H832" t="str">
        <f>IF('ENTRADAS-BASE'!G830="","",'ENTRADAS-BASE'!G830)</f>
        <v/>
      </c>
      <c r="I832" t="str">
        <f>IF('ENTRADAS-BASE'!H830="","",'ENTRADAS-BASE'!H830)</f>
        <v/>
      </c>
      <c r="J832" t="str">
        <f>IF('ENTRADAS-BASE'!I830="","",'ENTRADAS-BASE'!I830)</f>
        <v/>
      </c>
      <c r="K832" s="5" t="str">
        <f>IF('ENTRADAS-BASE'!J830="","",'ENTRADAS-BASE'!J830)</f>
        <v/>
      </c>
      <c r="L8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3" spans="2:12" x14ac:dyDescent="0.3">
      <c r="B833" t="str">
        <f>IF('ENTRADAS-BASE'!A831="","",'ENTRADAS-BASE'!A831)</f>
        <v/>
      </c>
      <c r="C833" t="str">
        <f>IF('ENTRADAS-BASE'!B831="","",'ENTRADAS-BASE'!B831)</f>
        <v/>
      </c>
      <c r="D833" t="str">
        <f>IF('ENTRADAS-BASE'!C831="","",'ENTRADAS-BASE'!C831)</f>
        <v/>
      </c>
      <c r="E833" s="7" t="str">
        <f>IF('ENTRADAS-BASE'!D831="","",'ENTRADAS-BASE'!D831)</f>
        <v/>
      </c>
      <c r="F833" s="6" t="str">
        <f>IF('ENTRADAS-BASE'!E831="","",'ENTRADAS-BASE'!E831)</f>
        <v/>
      </c>
      <c r="G833" t="str">
        <f>IF('ENTRADAS-BASE'!F831="","",'ENTRADAS-BASE'!F831)</f>
        <v/>
      </c>
      <c r="H833" t="str">
        <f>IF('ENTRADAS-BASE'!G831="","",'ENTRADAS-BASE'!G831)</f>
        <v/>
      </c>
      <c r="I833" t="str">
        <f>IF('ENTRADAS-BASE'!H831="","",'ENTRADAS-BASE'!H831)</f>
        <v/>
      </c>
      <c r="J833" t="str">
        <f>IF('ENTRADAS-BASE'!I831="","",'ENTRADAS-BASE'!I831)</f>
        <v/>
      </c>
      <c r="K833" s="5" t="str">
        <f>IF('ENTRADAS-BASE'!J831="","",'ENTRADAS-BASE'!J831)</f>
        <v/>
      </c>
      <c r="L8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4" spans="2:12" x14ac:dyDescent="0.3">
      <c r="B834" t="str">
        <f>IF('ENTRADAS-BASE'!A832="","",'ENTRADAS-BASE'!A832)</f>
        <v/>
      </c>
      <c r="C834" t="str">
        <f>IF('ENTRADAS-BASE'!B832="","",'ENTRADAS-BASE'!B832)</f>
        <v/>
      </c>
      <c r="D834" t="str">
        <f>IF('ENTRADAS-BASE'!C832="","",'ENTRADAS-BASE'!C832)</f>
        <v/>
      </c>
      <c r="E834" s="7" t="str">
        <f>IF('ENTRADAS-BASE'!D832="","",'ENTRADAS-BASE'!D832)</f>
        <v/>
      </c>
      <c r="F834" s="6" t="str">
        <f>IF('ENTRADAS-BASE'!E832="","",'ENTRADAS-BASE'!E832)</f>
        <v/>
      </c>
      <c r="G834" t="str">
        <f>IF('ENTRADAS-BASE'!F832="","",'ENTRADAS-BASE'!F832)</f>
        <v/>
      </c>
      <c r="H834" t="str">
        <f>IF('ENTRADAS-BASE'!G832="","",'ENTRADAS-BASE'!G832)</f>
        <v/>
      </c>
      <c r="I834" t="str">
        <f>IF('ENTRADAS-BASE'!H832="","",'ENTRADAS-BASE'!H832)</f>
        <v/>
      </c>
      <c r="J834" t="str">
        <f>IF('ENTRADAS-BASE'!I832="","",'ENTRADAS-BASE'!I832)</f>
        <v/>
      </c>
      <c r="K834" s="5" t="str">
        <f>IF('ENTRADAS-BASE'!J832="","",'ENTRADAS-BASE'!J832)</f>
        <v/>
      </c>
      <c r="L8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5" spans="2:12" x14ac:dyDescent="0.3">
      <c r="B835" t="str">
        <f>IF('ENTRADAS-BASE'!A833="","",'ENTRADAS-BASE'!A833)</f>
        <v/>
      </c>
      <c r="C835" t="str">
        <f>IF('ENTRADAS-BASE'!B833="","",'ENTRADAS-BASE'!B833)</f>
        <v/>
      </c>
      <c r="D835" t="str">
        <f>IF('ENTRADAS-BASE'!C833="","",'ENTRADAS-BASE'!C833)</f>
        <v/>
      </c>
      <c r="E835" s="7" t="str">
        <f>IF('ENTRADAS-BASE'!D833="","",'ENTRADAS-BASE'!D833)</f>
        <v/>
      </c>
      <c r="F835" s="6" t="str">
        <f>IF('ENTRADAS-BASE'!E833="","",'ENTRADAS-BASE'!E833)</f>
        <v/>
      </c>
      <c r="G835" t="str">
        <f>IF('ENTRADAS-BASE'!F833="","",'ENTRADAS-BASE'!F833)</f>
        <v/>
      </c>
      <c r="H835" t="str">
        <f>IF('ENTRADAS-BASE'!G833="","",'ENTRADAS-BASE'!G833)</f>
        <v/>
      </c>
      <c r="I835" t="str">
        <f>IF('ENTRADAS-BASE'!H833="","",'ENTRADAS-BASE'!H833)</f>
        <v/>
      </c>
      <c r="J835" t="str">
        <f>IF('ENTRADAS-BASE'!I833="","",'ENTRADAS-BASE'!I833)</f>
        <v/>
      </c>
      <c r="K835" s="5" t="str">
        <f>IF('ENTRADAS-BASE'!J833="","",'ENTRADAS-BASE'!J833)</f>
        <v/>
      </c>
      <c r="L8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6" spans="2:12" x14ac:dyDescent="0.3">
      <c r="B836" t="str">
        <f>IF('ENTRADAS-BASE'!A834="","",'ENTRADAS-BASE'!A834)</f>
        <v/>
      </c>
      <c r="C836" t="str">
        <f>IF('ENTRADAS-BASE'!B834="","",'ENTRADAS-BASE'!B834)</f>
        <v/>
      </c>
      <c r="D836" t="str">
        <f>IF('ENTRADAS-BASE'!C834="","",'ENTRADAS-BASE'!C834)</f>
        <v/>
      </c>
      <c r="E836" s="7" t="str">
        <f>IF('ENTRADAS-BASE'!D834="","",'ENTRADAS-BASE'!D834)</f>
        <v/>
      </c>
      <c r="F836" s="6" t="str">
        <f>IF('ENTRADAS-BASE'!E834="","",'ENTRADAS-BASE'!E834)</f>
        <v/>
      </c>
      <c r="G836" t="str">
        <f>IF('ENTRADAS-BASE'!F834="","",'ENTRADAS-BASE'!F834)</f>
        <v/>
      </c>
      <c r="H836" t="str">
        <f>IF('ENTRADAS-BASE'!G834="","",'ENTRADAS-BASE'!G834)</f>
        <v/>
      </c>
      <c r="I836" t="str">
        <f>IF('ENTRADAS-BASE'!H834="","",'ENTRADAS-BASE'!H834)</f>
        <v/>
      </c>
      <c r="J836" t="str">
        <f>IF('ENTRADAS-BASE'!I834="","",'ENTRADAS-BASE'!I834)</f>
        <v/>
      </c>
      <c r="K836" s="5" t="str">
        <f>IF('ENTRADAS-BASE'!J834="","",'ENTRADAS-BASE'!J834)</f>
        <v/>
      </c>
      <c r="L8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7" spans="2:12" x14ac:dyDescent="0.3">
      <c r="B837" t="str">
        <f>IF('ENTRADAS-BASE'!A835="","",'ENTRADAS-BASE'!A835)</f>
        <v/>
      </c>
      <c r="C837" t="str">
        <f>IF('ENTRADAS-BASE'!B835="","",'ENTRADAS-BASE'!B835)</f>
        <v/>
      </c>
      <c r="D837" t="str">
        <f>IF('ENTRADAS-BASE'!C835="","",'ENTRADAS-BASE'!C835)</f>
        <v/>
      </c>
      <c r="E837" s="7" t="str">
        <f>IF('ENTRADAS-BASE'!D835="","",'ENTRADAS-BASE'!D835)</f>
        <v/>
      </c>
      <c r="F837" s="6" t="str">
        <f>IF('ENTRADAS-BASE'!E835="","",'ENTRADAS-BASE'!E835)</f>
        <v/>
      </c>
      <c r="G837" t="str">
        <f>IF('ENTRADAS-BASE'!F835="","",'ENTRADAS-BASE'!F835)</f>
        <v/>
      </c>
      <c r="H837" t="str">
        <f>IF('ENTRADAS-BASE'!G835="","",'ENTRADAS-BASE'!G835)</f>
        <v/>
      </c>
      <c r="I837" t="str">
        <f>IF('ENTRADAS-BASE'!H835="","",'ENTRADAS-BASE'!H835)</f>
        <v/>
      </c>
      <c r="J837" t="str">
        <f>IF('ENTRADAS-BASE'!I835="","",'ENTRADAS-BASE'!I835)</f>
        <v/>
      </c>
      <c r="K837" s="5" t="str">
        <f>IF('ENTRADAS-BASE'!J835="","",'ENTRADAS-BASE'!J835)</f>
        <v/>
      </c>
      <c r="L8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8" spans="2:12" x14ac:dyDescent="0.3">
      <c r="B838" t="str">
        <f>IF('ENTRADAS-BASE'!A836="","",'ENTRADAS-BASE'!A836)</f>
        <v/>
      </c>
      <c r="C838" t="str">
        <f>IF('ENTRADAS-BASE'!B836="","",'ENTRADAS-BASE'!B836)</f>
        <v/>
      </c>
      <c r="D838" t="str">
        <f>IF('ENTRADAS-BASE'!C836="","",'ENTRADAS-BASE'!C836)</f>
        <v/>
      </c>
      <c r="E838" s="7" t="str">
        <f>IF('ENTRADAS-BASE'!D836="","",'ENTRADAS-BASE'!D836)</f>
        <v/>
      </c>
      <c r="F838" s="6" t="str">
        <f>IF('ENTRADAS-BASE'!E836="","",'ENTRADAS-BASE'!E836)</f>
        <v/>
      </c>
      <c r="G838" t="str">
        <f>IF('ENTRADAS-BASE'!F836="","",'ENTRADAS-BASE'!F836)</f>
        <v/>
      </c>
      <c r="H838" t="str">
        <f>IF('ENTRADAS-BASE'!G836="","",'ENTRADAS-BASE'!G836)</f>
        <v/>
      </c>
      <c r="I838" t="str">
        <f>IF('ENTRADAS-BASE'!H836="","",'ENTRADAS-BASE'!H836)</f>
        <v/>
      </c>
      <c r="J838" t="str">
        <f>IF('ENTRADAS-BASE'!I836="","",'ENTRADAS-BASE'!I836)</f>
        <v/>
      </c>
      <c r="K838" s="5" t="str">
        <f>IF('ENTRADAS-BASE'!J836="","",'ENTRADAS-BASE'!J836)</f>
        <v/>
      </c>
      <c r="L8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9" spans="2:12" x14ac:dyDescent="0.3">
      <c r="B839" t="str">
        <f>IF('ENTRADAS-BASE'!A837="","",'ENTRADAS-BASE'!A837)</f>
        <v/>
      </c>
      <c r="C839" t="str">
        <f>IF('ENTRADAS-BASE'!B837="","",'ENTRADAS-BASE'!B837)</f>
        <v/>
      </c>
      <c r="D839" t="str">
        <f>IF('ENTRADAS-BASE'!C837="","",'ENTRADAS-BASE'!C837)</f>
        <v/>
      </c>
      <c r="E839" s="7" t="str">
        <f>IF('ENTRADAS-BASE'!D837="","",'ENTRADAS-BASE'!D837)</f>
        <v/>
      </c>
      <c r="F839" s="6" t="str">
        <f>IF('ENTRADAS-BASE'!E837="","",'ENTRADAS-BASE'!E837)</f>
        <v/>
      </c>
      <c r="G839" t="str">
        <f>IF('ENTRADAS-BASE'!F837="","",'ENTRADAS-BASE'!F837)</f>
        <v/>
      </c>
      <c r="H839" t="str">
        <f>IF('ENTRADAS-BASE'!G837="","",'ENTRADAS-BASE'!G837)</f>
        <v/>
      </c>
      <c r="I839" t="str">
        <f>IF('ENTRADAS-BASE'!H837="","",'ENTRADAS-BASE'!H837)</f>
        <v/>
      </c>
      <c r="J839" t="str">
        <f>IF('ENTRADAS-BASE'!I837="","",'ENTRADAS-BASE'!I837)</f>
        <v/>
      </c>
      <c r="K839" s="5" t="str">
        <f>IF('ENTRADAS-BASE'!J837="","",'ENTRADAS-BASE'!J837)</f>
        <v/>
      </c>
      <c r="L8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0" spans="2:12" x14ac:dyDescent="0.3">
      <c r="B840" t="str">
        <f>IF('ENTRADAS-BASE'!A838="","",'ENTRADAS-BASE'!A838)</f>
        <v/>
      </c>
      <c r="C840" t="str">
        <f>IF('ENTRADAS-BASE'!B838="","",'ENTRADAS-BASE'!B838)</f>
        <v/>
      </c>
      <c r="D840" t="str">
        <f>IF('ENTRADAS-BASE'!C838="","",'ENTRADAS-BASE'!C838)</f>
        <v/>
      </c>
      <c r="E840" s="7" t="str">
        <f>IF('ENTRADAS-BASE'!D838="","",'ENTRADAS-BASE'!D838)</f>
        <v/>
      </c>
      <c r="F840" s="6" t="str">
        <f>IF('ENTRADAS-BASE'!E838="","",'ENTRADAS-BASE'!E838)</f>
        <v/>
      </c>
      <c r="G840" t="str">
        <f>IF('ENTRADAS-BASE'!F838="","",'ENTRADAS-BASE'!F838)</f>
        <v/>
      </c>
      <c r="H840" t="str">
        <f>IF('ENTRADAS-BASE'!G838="","",'ENTRADAS-BASE'!G838)</f>
        <v/>
      </c>
      <c r="I840" t="str">
        <f>IF('ENTRADAS-BASE'!H838="","",'ENTRADAS-BASE'!H838)</f>
        <v/>
      </c>
      <c r="J840" t="str">
        <f>IF('ENTRADAS-BASE'!I838="","",'ENTRADAS-BASE'!I838)</f>
        <v/>
      </c>
      <c r="K840" s="5" t="str">
        <f>IF('ENTRADAS-BASE'!J838="","",'ENTRADAS-BASE'!J838)</f>
        <v/>
      </c>
      <c r="L8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1" spans="2:12" x14ac:dyDescent="0.3">
      <c r="B841" t="str">
        <f>IF('ENTRADAS-BASE'!A839="","",'ENTRADAS-BASE'!A839)</f>
        <v/>
      </c>
      <c r="C841" t="str">
        <f>IF('ENTRADAS-BASE'!B839="","",'ENTRADAS-BASE'!B839)</f>
        <v/>
      </c>
      <c r="D841" t="str">
        <f>IF('ENTRADAS-BASE'!C839="","",'ENTRADAS-BASE'!C839)</f>
        <v/>
      </c>
      <c r="E841" s="7" t="str">
        <f>IF('ENTRADAS-BASE'!D839="","",'ENTRADAS-BASE'!D839)</f>
        <v/>
      </c>
      <c r="F841" s="6" t="str">
        <f>IF('ENTRADAS-BASE'!E839="","",'ENTRADAS-BASE'!E839)</f>
        <v/>
      </c>
      <c r="G841" t="str">
        <f>IF('ENTRADAS-BASE'!F839="","",'ENTRADAS-BASE'!F839)</f>
        <v/>
      </c>
      <c r="H841" t="str">
        <f>IF('ENTRADAS-BASE'!G839="","",'ENTRADAS-BASE'!G839)</f>
        <v/>
      </c>
      <c r="I841" t="str">
        <f>IF('ENTRADAS-BASE'!H839="","",'ENTRADAS-BASE'!H839)</f>
        <v/>
      </c>
      <c r="J841" t="str">
        <f>IF('ENTRADAS-BASE'!I839="","",'ENTRADAS-BASE'!I839)</f>
        <v/>
      </c>
      <c r="K841" s="5" t="str">
        <f>IF('ENTRADAS-BASE'!J839="","",'ENTRADAS-BASE'!J839)</f>
        <v/>
      </c>
      <c r="L8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2" spans="2:12" x14ac:dyDescent="0.3">
      <c r="B842" t="str">
        <f>IF('ENTRADAS-BASE'!A840="","",'ENTRADAS-BASE'!A840)</f>
        <v/>
      </c>
      <c r="C842" t="str">
        <f>IF('ENTRADAS-BASE'!B840="","",'ENTRADAS-BASE'!B840)</f>
        <v/>
      </c>
      <c r="D842" t="str">
        <f>IF('ENTRADAS-BASE'!C840="","",'ENTRADAS-BASE'!C840)</f>
        <v/>
      </c>
      <c r="E842" s="7" t="str">
        <f>IF('ENTRADAS-BASE'!D840="","",'ENTRADAS-BASE'!D840)</f>
        <v/>
      </c>
      <c r="F842" s="6" t="str">
        <f>IF('ENTRADAS-BASE'!E840="","",'ENTRADAS-BASE'!E840)</f>
        <v/>
      </c>
      <c r="G842" t="str">
        <f>IF('ENTRADAS-BASE'!F840="","",'ENTRADAS-BASE'!F840)</f>
        <v/>
      </c>
      <c r="H842" t="str">
        <f>IF('ENTRADAS-BASE'!G840="","",'ENTRADAS-BASE'!G840)</f>
        <v/>
      </c>
      <c r="I842" t="str">
        <f>IF('ENTRADAS-BASE'!H840="","",'ENTRADAS-BASE'!H840)</f>
        <v/>
      </c>
      <c r="J842" t="str">
        <f>IF('ENTRADAS-BASE'!I840="","",'ENTRADAS-BASE'!I840)</f>
        <v/>
      </c>
      <c r="K842" s="5" t="str">
        <f>IF('ENTRADAS-BASE'!J840="","",'ENTRADAS-BASE'!J840)</f>
        <v/>
      </c>
      <c r="L8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3" spans="2:12" x14ac:dyDescent="0.3">
      <c r="B843" t="str">
        <f>IF('ENTRADAS-BASE'!A841="","",'ENTRADAS-BASE'!A841)</f>
        <v/>
      </c>
      <c r="C843" t="str">
        <f>IF('ENTRADAS-BASE'!B841="","",'ENTRADAS-BASE'!B841)</f>
        <v/>
      </c>
      <c r="D843" t="str">
        <f>IF('ENTRADAS-BASE'!C841="","",'ENTRADAS-BASE'!C841)</f>
        <v/>
      </c>
      <c r="E843" s="7" t="str">
        <f>IF('ENTRADAS-BASE'!D841="","",'ENTRADAS-BASE'!D841)</f>
        <v/>
      </c>
      <c r="F843" s="6" t="str">
        <f>IF('ENTRADAS-BASE'!E841="","",'ENTRADAS-BASE'!E841)</f>
        <v/>
      </c>
      <c r="G843" t="str">
        <f>IF('ENTRADAS-BASE'!F841="","",'ENTRADAS-BASE'!F841)</f>
        <v/>
      </c>
      <c r="H843" t="str">
        <f>IF('ENTRADAS-BASE'!G841="","",'ENTRADAS-BASE'!G841)</f>
        <v/>
      </c>
      <c r="I843" t="str">
        <f>IF('ENTRADAS-BASE'!H841="","",'ENTRADAS-BASE'!H841)</f>
        <v/>
      </c>
      <c r="J843" t="str">
        <f>IF('ENTRADAS-BASE'!I841="","",'ENTRADAS-BASE'!I841)</f>
        <v/>
      </c>
      <c r="K843" s="5" t="str">
        <f>IF('ENTRADAS-BASE'!J841="","",'ENTRADAS-BASE'!J841)</f>
        <v/>
      </c>
      <c r="L8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4" spans="2:12" x14ac:dyDescent="0.3">
      <c r="B844" t="str">
        <f>IF('ENTRADAS-BASE'!A842="","",'ENTRADAS-BASE'!A842)</f>
        <v/>
      </c>
      <c r="C844" t="str">
        <f>IF('ENTRADAS-BASE'!B842="","",'ENTRADAS-BASE'!B842)</f>
        <v/>
      </c>
      <c r="D844" t="str">
        <f>IF('ENTRADAS-BASE'!C842="","",'ENTRADAS-BASE'!C842)</f>
        <v/>
      </c>
      <c r="E844" s="7" t="str">
        <f>IF('ENTRADAS-BASE'!D842="","",'ENTRADAS-BASE'!D842)</f>
        <v/>
      </c>
      <c r="F844" s="6" t="str">
        <f>IF('ENTRADAS-BASE'!E842="","",'ENTRADAS-BASE'!E842)</f>
        <v/>
      </c>
      <c r="G844" t="str">
        <f>IF('ENTRADAS-BASE'!F842="","",'ENTRADAS-BASE'!F842)</f>
        <v/>
      </c>
      <c r="H844" t="str">
        <f>IF('ENTRADAS-BASE'!G842="","",'ENTRADAS-BASE'!G842)</f>
        <v/>
      </c>
      <c r="I844" t="str">
        <f>IF('ENTRADAS-BASE'!H842="","",'ENTRADAS-BASE'!H842)</f>
        <v/>
      </c>
      <c r="J844" t="str">
        <f>IF('ENTRADAS-BASE'!I842="","",'ENTRADAS-BASE'!I842)</f>
        <v/>
      </c>
      <c r="K844" s="5" t="str">
        <f>IF('ENTRADAS-BASE'!J842="","",'ENTRADAS-BASE'!J842)</f>
        <v/>
      </c>
      <c r="L8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5" spans="2:12" x14ac:dyDescent="0.3">
      <c r="B845" t="str">
        <f>IF('ENTRADAS-BASE'!A843="","",'ENTRADAS-BASE'!A843)</f>
        <v/>
      </c>
      <c r="C845" t="str">
        <f>IF('ENTRADAS-BASE'!B843="","",'ENTRADAS-BASE'!B843)</f>
        <v/>
      </c>
      <c r="D845" t="str">
        <f>IF('ENTRADAS-BASE'!C843="","",'ENTRADAS-BASE'!C843)</f>
        <v/>
      </c>
      <c r="E845" s="7" t="str">
        <f>IF('ENTRADAS-BASE'!D843="","",'ENTRADAS-BASE'!D843)</f>
        <v/>
      </c>
      <c r="F845" s="6" t="str">
        <f>IF('ENTRADAS-BASE'!E843="","",'ENTRADAS-BASE'!E843)</f>
        <v/>
      </c>
      <c r="G845" t="str">
        <f>IF('ENTRADAS-BASE'!F843="","",'ENTRADAS-BASE'!F843)</f>
        <v/>
      </c>
      <c r="H845" t="str">
        <f>IF('ENTRADAS-BASE'!G843="","",'ENTRADAS-BASE'!G843)</f>
        <v/>
      </c>
      <c r="I845" t="str">
        <f>IF('ENTRADAS-BASE'!H843="","",'ENTRADAS-BASE'!H843)</f>
        <v/>
      </c>
      <c r="J845" t="str">
        <f>IF('ENTRADAS-BASE'!I843="","",'ENTRADAS-BASE'!I843)</f>
        <v/>
      </c>
      <c r="K845" s="5" t="str">
        <f>IF('ENTRADAS-BASE'!J843="","",'ENTRADAS-BASE'!J843)</f>
        <v/>
      </c>
      <c r="L8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6" spans="2:12" x14ac:dyDescent="0.3">
      <c r="B846" t="str">
        <f>IF('ENTRADAS-BASE'!A844="","",'ENTRADAS-BASE'!A844)</f>
        <v/>
      </c>
      <c r="C846" t="str">
        <f>IF('ENTRADAS-BASE'!B844="","",'ENTRADAS-BASE'!B844)</f>
        <v/>
      </c>
      <c r="D846" t="str">
        <f>IF('ENTRADAS-BASE'!C844="","",'ENTRADAS-BASE'!C844)</f>
        <v/>
      </c>
      <c r="E846" s="7" t="str">
        <f>IF('ENTRADAS-BASE'!D844="","",'ENTRADAS-BASE'!D844)</f>
        <v/>
      </c>
      <c r="F846" s="6" t="str">
        <f>IF('ENTRADAS-BASE'!E844="","",'ENTRADAS-BASE'!E844)</f>
        <v/>
      </c>
      <c r="G846" t="str">
        <f>IF('ENTRADAS-BASE'!F844="","",'ENTRADAS-BASE'!F844)</f>
        <v/>
      </c>
      <c r="H846" t="str">
        <f>IF('ENTRADAS-BASE'!G844="","",'ENTRADAS-BASE'!G844)</f>
        <v/>
      </c>
      <c r="I846" t="str">
        <f>IF('ENTRADAS-BASE'!H844="","",'ENTRADAS-BASE'!H844)</f>
        <v/>
      </c>
      <c r="J846" t="str">
        <f>IF('ENTRADAS-BASE'!I844="","",'ENTRADAS-BASE'!I844)</f>
        <v/>
      </c>
      <c r="K846" s="5" t="str">
        <f>IF('ENTRADAS-BASE'!J844="","",'ENTRADAS-BASE'!J844)</f>
        <v/>
      </c>
      <c r="L8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7" spans="2:12" x14ac:dyDescent="0.3">
      <c r="B847" t="str">
        <f>IF('ENTRADAS-BASE'!A845="","",'ENTRADAS-BASE'!A845)</f>
        <v/>
      </c>
      <c r="C847" t="str">
        <f>IF('ENTRADAS-BASE'!B845="","",'ENTRADAS-BASE'!B845)</f>
        <v/>
      </c>
      <c r="D847" t="str">
        <f>IF('ENTRADAS-BASE'!C845="","",'ENTRADAS-BASE'!C845)</f>
        <v/>
      </c>
      <c r="E847" s="7" t="str">
        <f>IF('ENTRADAS-BASE'!D845="","",'ENTRADAS-BASE'!D845)</f>
        <v/>
      </c>
      <c r="F847" s="6" t="str">
        <f>IF('ENTRADAS-BASE'!E845="","",'ENTRADAS-BASE'!E845)</f>
        <v/>
      </c>
      <c r="G847" t="str">
        <f>IF('ENTRADAS-BASE'!F845="","",'ENTRADAS-BASE'!F845)</f>
        <v/>
      </c>
      <c r="H847" t="str">
        <f>IF('ENTRADAS-BASE'!G845="","",'ENTRADAS-BASE'!G845)</f>
        <v/>
      </c>
      <c r="I847" t="str">
        <f>IF('ENTRADAS-BASE'!H845="","",'ENTRADAS-BASE'!H845)</f>
        <v/>
      </c>
      <c r="J847" t="str">
        <f>IF('ENTRADAS-BASE'!I845="","",'ENTRADAS-BASE'!I845)</f>
        <v/>
      </c>
      <c r="K847" s="5" t="str">
        <f>IF('ENTRADAS-BASE'!J845="","",'ENTRADAS-BASE'!J845)</f>
        <v/>
      </c>
      <c r="L8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8" spans="2:12" x14ac:dyDescent="0.3">
      <c r="B848" t="str">
        <f>IF('ENTRADAS-BASE'!A846="","",'ENTRADAS-BASE'!A846)</f>
        <v/>
      </c>
      <c r="C848" t="str">
        <f>IF('ENTRADAS-BASE'!B846="","",'ENTRADAS-BASE'!B846)</f>
        <v/>
      </c>
      <c r="D848" t="str">
        <f>IF('ENTRADAS-BASE'!C846="","",'ENTRADAS-BASE'!C846)</f>
        <v/>
      </c>
      <c r="E848" s="7" t="str">
        <f>IF('ENTRADAS-BASE'!D846="","",'ENTRADAS-BASE'!D846)</f>
        <v/>
      </c>
      <c r="F848" s="6" t="str">
        <f>IF('ENTRADAS-BASE'!E846="","",'ENTRADAS-BASE'!E846)</f>
        <v/>
      </c>
      <c r="G848" t="str">
        <f>IF('ENTRADAS-BASE'!F846="","",'ENTRADAS-BASE'!F846)</f>
        <v/>
      </c>
      <c r="H848" t="str">
        <f>IF('ENTRADAS-BASE'!G846="","",'ENTRADAS-BASE'!G846)</f>
        <v/>
      </c>
      <c r="I848" t="str">
        <f>IF('ENTRADAS-BASE'!H846="","",'ENTRADAS-BASE'!H846)</f>
        <v/>
      </c>
      <c r="J848" t="str">
        <f>IF('ENTRADAS-BASE'!I846="","",'ENTRADAS-BASE'!I846)</f>
        <v/>
      </c>
      <c r="K848" s="5" t="str">
        <f>IF('ENTRADAS-BASE'!J846="","",'ENTRADAS-BASE'!J846)</f>
        <v/>
      </c>
      <c r="L8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9" spans="2:12" x14ac:dyDescent="0.3">
      <c r="B849" t="str">
        <f>IF('ENTRADAS-BASE'!A847="","",'ENTRADAS-BASE'!A847)</f>
        <v/>
      </c>
      <c r="C849" t="str">
        <f>IF('ENTRADAS-BASE'!B847="","",'ENTRADAS-BASE'!B847)</f>
        <v/>
      </c>
      <c r="D849" t="str">
        <f>IF('ENTRADAS-BASE'!C847="","",'ENTRADAS-BASE'!C847)</f>
        <v/>
      </c>
      <c r="E849" s="7" t="str">
        <f>IF('ENTRADAS-BASE'!D847="","",'ENTRADAS-BASE'!D847)</f>
        <v/>
      </c>
      <c r="F849" s="6" t="str">
        <f>IF('ENTRADAS-BASE'!E847="","",'ENTRADAS-BASE'!E847)</f>
        <v/>
      </c>
      <c r="G849" t="str">
        <f>IF('ENTRADAS-BASE'!F847="","",'ENTRADAS-BASE'!F847)</f>
        <v/>
      </c>
      <c r="H849" t="str">
        <f>IF('ENTRADAS-BASE'!G847="","",'ENTRADAS-BASE'!G847)</f>
        <v/>
      </c>
      <c r="I849" t="str">
        <f>IF('ENTRADAS-BASE'!H847="","",'ENTRADAS-BASE'!H847)</f>
        <v/>
      </c>
      <c r="J849" t="str">
        <f>IF('ENTRADAS-BASE'!I847="","",'ENTRADAS-BASE'!I847)</f>
        <v/>
      </c>
      <c r="K849" s="5" t="str">
        <f>IF('ENTRADAS-BASE'!J847="","",'ENTRADAS-BASE'!J847)</f>
        <v/>
      </c>
      <c r="L8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0" spans="2:12" x14ac:dyDescent="0.3">
      <c r="B850" t="str">
        <f>IF('ENTRADAS-BASE'!A848="","",'ENTRADAS-BASE'!A848)</f>
        <v/>
      </c>
      <c r="C850" t="str">
        <f>IF('ENTRADAS-BASE'!B848="","",'ENTRADAS-BASE'!B848)</f>
        <v/>
      </c>
      <c r="D850" t="str">
        <f>IF('ENTRADAS-BASE'!C848="","",'ENTRADAS-BASE'!C848)</f>
        <v/>
      </c>
      <c r="E850" s="7" t="str">
        <f>IF('ENTRADAS-BASE'!D848="","",'ENTRADAS-BASE'!D848)</f>
        <v/>
      </c>
      <c r="F850" s="6" t="str">
        <f>IF('ENTRADAS-BASE'!E848="","",'ENTRADAS-BASE'!E848)</f>
        <v/>
      </c>
      <c r="G850" t="str">
        <f>IF('ENTRADAS-BASE'!F848="","",'ENTRADAS-BASE'!F848)</f>
        <v/>
      </c>
      <c r="H850" t="str">
        <f>IF('ENTRADAS-BASE'!G848="","",'ENTRADAS-BASE'!G848)</f>
        <v/>
      </c>
      <c r="I850" t="str">
        <f>IF('ENTRADAS-BASE'!H848="","",'ENTRADAS-BASE'!H848)</f>
        <v/>
      </c>
      <c r="J850" t="str">
        <f>IF('ENTRADAS-BASE'!I848="","",'ENTRADAS-BASE'!I848)</f>
        <v/>
      </c>
      <c r="K850" s="5" t="str">
        <f>IF('ENTRADAS-BASE'!J848="","",'ENTRADAS-BASE'!J848)</f>
        <v/>
      </c>
      <c r="L8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1" spans="2:12" x14ac:dyDescent="0.3">
      <c r="B851" t="str">
        <f>IF('ENTRADAS-BASE'!A849="","",'ENTRADAS-BASE'!A849)</f>
        <v/>
      </c>
      <c r="C851" t="str">
        <f>IF('ENTRADAS-BASE'!B849="","",'ENTRADAS-BASE'!B849)</f>
        <v/>
      </c>
      <c r="D851" t="str">
        <f>IF('ENTRADAS-BASE'!C849="","",'ENTRADAS-BASE'!C849)</f>
        <v/>
      </c>
      <c r="E851" s="7" t="str">
        <f>IF('ENTRADAS-BASE'!D849="","",'ENTRADAS-BASE'!D849)</f>
        <v/>
      </c>
      <c r="F851" s="6" t="str">
        <f>IF('ENTRADAS-BASE'!E849="","",'ENTRADAS-BASE'!E849)</f>
        <v/>
      </c>
      <c r="G851" t="str">
        <f>IF('ENTRADAS-BASE'!F849="","",'ENTRADAS-BASE'!F849)</f>
        <v/>
      </c>
      <c r="H851" t="str">
        <f>IF('ENTRADAS-BASE'!G849="","",'ENTRADAS-BASE'!G849)</f>
        <v/>
      </c>
      <c r="I851" t="str">
        <f>IF('ENTRADAS-BASE'!H849="","",'ENTRADAS-BASE'!H849)</f>
        <v/>
      </c>
      <c r="J851" t="str">
        <f>IF('ENTRADAS-BASE'!I849="","",'ENTRADAS-BASE'!I849)</f>
        <v/>
      </c>
      <c r="K851" s="5" t="str">
        <f>IF('ENTRADAS-BASE'!J849="","",'ENTRADAS-BASE'!J849)</f>
        <v/>
      </c>
      <c r="L8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2" spans="2:12" x14ac:dyDescent="0.3">
      <c r="B852" t="str">
        <f>IF('ENTRADAS-BASE'!A850="","",'ENTRADAS-BASE'!A850)</f>
        <v/>
      </c>
      <c r="C852" t="str">
        <f>IF('ENTRADAS-BASE'!B850="","",'ENTRADAS-BASE'!B850)</f>
        <v/>
      </c>
      <c r="D852" t="str">
        <f>IF('ENTRADAS-BASE'!C850="","",'ENTRADAS-BASE'!C850)</f>
        <v/>
      </c>
      <c r="E852" s="7" t="str">
        <f>IF('ENTRADAS-BASE'!D850="","",'ENTRADAS-BASE'!D850)</f>
        <v/>
      </c>
      <c r="F852" s="6" t="str">
        <f>IF('ENTRADAS-BASE'!E850="","",'ENTRADAS-BASE'!E850)</f>
        <v/>
      </c>
      <c r="G852" t="str">
        <f>IF('ENTRADAS-BASE'!F850="","",'ENTRADAS-BASE'!F850)</f>
        <v/>
      </c>
      <c r="H852" t="str">
        <f>IF('ENTRADAS-BASE'!G850="","",'ENTRADAS-BASE'!G850)</f>
        <v/>
      </c>
      <c r="I852" t="str">
        <f>IF('ENTRADAS-BASE'!H850="","",'ENTRADAS-BASE'!H850)</f>
        <v/>
      </c>
      <c r="J852" t="str">
        <f>IF('ENTRADAS-BASE'!I850="","",'ENTRADAS-BASE'!I850)</f>
        <v/>
      </c>
      <c r="K852" s="5" t="str">
        <f>IF('ENTRADAS-BASE'!J850="","",'ENTRADAS-BASE'!J850)</f>
        <v/>
      </c>
      <c r="L8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3" spans="2:12" x14ac:dyDescent="0.3">
      <c r="B853" t="str">
        <f>IF('ENTRADAS-BASE'!A851="","",'ENTRADAS-BASE'!A851)</f>
        <v/>
      </c>
      <c r="C853" t="str">
        <f>IF('ENTRADAS-BASE'!B851="","",'ENTRADAS-BASE'!B851)</f>
        <v/>
      </c>
      <c r="D853" t="str">
        <f>IF('ENTRADAS-BASE'!C851="","",'ENTRADAS-BASE'!C851)</f>
        <v/>
      </c>
      <c r="E853" s="7" t="str">
        <f>IF('ENTRADAS-BASE'!D851="","",'ENTRADAS-BASE'!D851)</f>
        <v/>
      </c>
      <c r="F853" s="6" t="str">
        <f>IF('ENTRADAS-BASE'!E851="","",'ENTRADAS-BASE'!E851)</f>
        <v/>
      </c>
      <c r="G853" t="str">
        <f>IF('ENTRADAS-BASE'!F851="","",'ENTRADAS-BASE'!F851)</f>
        <v/>
      </c>
      <c r="H853" t="str">
        <f>IF('ENTRADAS-BASE'!G851="","",'ENTRADAS-BASE'!G851)</f>
        <v/>
      </c>
      <c r="I853" t="str">
        <f>IF('ENTRADAS-BASE'!H851="","",'ENTRADAS-BASE'!H851)</f>
        <v/>
      </c>
      <c r="J853" t="str">
        <f>IF('ENTRADAS-BASE'!I851="","",'ENTRADAS-BASE'!I851)</f>
        <v/>
      </c>
      <c r="K853" s="5" t="str">
        <f>IF('ENTRADAS-BASE'!J851="","",'ENTRADAS-BASE'!J851)</f>
        <v/>
      </c>
      <c r="L8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4" spans="2:12" x14ac:dyDescent="0.3">
      <c r="B854" t="str">
        <f>IF('ENTRADAS-BASE'!A852="","",'ENTRADAS-BASE'!A852)</f>
        <v/>
      </c>
      <c r="C854" t="str">
        <f>IF('ENTRADAS-BASE'!B852="","",'ENTRADAS-BASE'!B852)</f>
        <v/>
      </c>
      <c r="D854" t="str">
        <f>IF('ENTRADAS-BASE'!C852="","",'ENTRADAS-BASE'!C852)</f>
        <v/>
      </c>
      <c r="E854" s="7" t="str">
        <f>IF('ENTRADAS-BASE'!D852="","",'ENTRADAS-BASE'!D852)</f>
        <v/>
      </c>
      <c r="F854" s="6" t="str">
        <f>IF('ENTRADAS-BASE'!E852="","",'ENTRADAS-BASE'!E852)</f>
        <v/>
      </c>
      <c r="G854" t="str">
        <f>IF('ENTRADAS-BASE'!F852="","",'ENTRADAS-BASE'!F852)</f>
        <v/>
      </c>
      <c r="H854" t="str">
        <f>IF('ENTRADAS-BASE'!G852="","",'ENTRADAS-BASE'!G852)</f>
        <v/>
      </c>
      <c r="I854" t="str">
        <f>IF('ENTRADAS-BASE'!H852="","",'ENTRADAS-BASE'!H852)</f>
        <v/>
      </c>
      <c r="J854" t="str">
        <f>IF('ENTRADAS-BASE'!I852="","",'ENTRADAS-BASE'!I852)</f>
        <v/>
      </c>
      <c r="K854" s="5" t="str">
        <f>IF('ENTRADAS-BASE'!J852="","",'ENTRADAS-BASE'!J852)</f>
        <v/>
      </c>
      <c r="L8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5" spans="2:12" x14ac:dyDescent="0.3">
      <c r="B855" t="str">
        <f>IF('ENTRADAS-BASE'!A853="","",'ENTRADAS-BASE'!A853)</f>
        <v/>
      </c>
      <c r="C855" t="str">
        <f>IF('ENTRADAS-BASE'!B853="","",'ENTRADAS-BASE'!B853)</f>
        <v/>
      </c>
      <c r="D855" t="str">
        <f>IF('ENTRADAS-BASE'!C853="","",'ENTRADAS-BASE'!C853)</f>
        <v/>
      </c>
      <c r="E855" s="7" t="str">
        <f>IF('ENTRADAS-BASE'!D853="","",'ENTRADAS-BASE'!D853)</f>
        <v/>
      </c>
      <c r="F855" s="6" t="str">
        <f>IF('ENTRADAS-BASE'!E853="","",'ENTRADAS-BASE'!E853)</f>
        <v/>
      </c>
      <c r="G855" t="str">
        <f>IF('ENTRADAS-BASE'!F853="","",'ENTRADAS-BASE'!F853)</f>
        <v/>
      </c>
      <c r="H855" t="str">
        <f>IF('ENTRADAS-BASE'!G853="","",'ENTRADAS-BASE'!G853)</f>
        <v/>
      </c>
      <c r="I855" t="str">
        <f>IF('ENTRADAS-BASE'!H853="","",'ENTRADAS-BASE'!H853)</f>
        <v/>
      </c>
      <c r="J855" t="str">
        <f>IF('ENTRADAS-BASE'!I853="","",'ENTRADAS-BASE'!I853)</f>
        <v/>
      </c>
      <c r="K855" s="5" t="str">
        <f>IF('ENTRADAS-BASE'!J853="","",'ENTRADAS-BASE'!J853)</f>
        <v/>
      </c>
      <c r="L8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6" spans="2:12" x14ac:dyDescent="0.3">
      <c r="B856" t="str">
        <f>IF('ENTRADAS-BASE'!A854="","",'ENTRADAS-BASE'!A854)</f>
        <v/>
      </c>
      <c r="C856" t="str">
        <f>IF('ENTRADAS-BASE'!B854="","",'ENTRADAS-BASE'!B854)</f>
        <v/>
      </c>
      <c r="D856" t="str">
        <f>IF('ENTRADAS-BASE'!C854="","",'ENTRADAS-BASE'!C854)</f>
        <v/>
      </c>
      <c r="E856" s="7" t="str">
        <f>IF('ENTRADAS-BASE'!D854="","",'ENTRADAS-BASE'!D854)</f>
        <v/>
      </c>
      <c r="F856" s="6" t="str">
        <f>IF('ENTRADAS-BASE'!E854="","",'ENTRADAS-BASE'!E854)</f>
        <v/>
      </c>
      <c r="G856" t="str">
        <f>IF('ENTRADAS-BASE'!F854="","",'ENTRADAS-BASE'!F854)</f>
        <v/>
      </c>
      <c r="H856" t="str">
        <f>IF('ENTRADAS-BASE'!G854="","",'ENTRADAS-BASE'!G854)</f>
        <v/>
      </c>
      <c r="I856" t="str">
        <f>IF('ENTRADAS-BASE'!H854="","",'ENTRADAS-BASE'!H854)</f>
        <v/>
      </c>
      <c r="J856" t="str">
        <f>IF('ENTRADAS-BASE'!I854="","",'ENTRADAS-BASE'!I854)</f>
        <v/>
      </c>
      <c r="K856" s="5" t="str">
        <f>IF('ENTRADAS-BASE'!J854="","",'ENTRADAS-BASE'!J854)</f>
        <v/>
      </c>
      <c r="L8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7" spans="2:12" x14ac:dyDescent="0.3">
      <c r="B857" t="str">
        <f>IF('ENTRADAS-BASE'!A855="","",'ENTRADAS-BASE'!A855)</f>
        <v/>
      </c>
      <c r="C857" t="str">
        <f>IF('ENTRADAS-BASE'!B855="","",'ENTRADAS-BASE'!B855)</f>
        <v/>
      </c>
      <c r="D857" t="str">
        <f>IF('ENTRADAS-BASE'!C855="","",'ENTRADAS-BASE'!C855)</f>
        <v/>
      </c>
      <c r="E857" s="7" t="str">
        <f>IF('ENTRADAS-BASE'!D855="","",'ENTRADAS-BASE'!D855)</f>
        <v/>
      </c>
      <c r="F857" s="6" t="str">
        <f>IF('ENTRADAS-BASE'!E855="","",'ENTRADAS-BASE'!E855)</f>
        <v/>
      </c>
      <c r="G857" t="str">
        <f>IF('ENTRADAS-BASE'!F855="","",'ENTRADAS-BASE'!F855)</f>
        <v/>
      </c>
      <c r="H857" t="str">
        <f>IF('ENTRADAS-BASE'!G855="","",'ENTRADAS-BASE'!G855)</f>
        <v/>
      </c>
      <c r="I857" t="str">
        <f>IF('ENTRADAS-BASE'!H855="","",'ENTRADAS-BASE'!H855)</f>
        <v/>
      </c>
      <c r="J857" t="str">
        <f>IF('ENTRADAS-BASE'!I855="","",'ENTRADAS-BASE'!I855)</f>
        <v/>
      </c>
      <c r="K857" s="5" t="str">
        <f>IF('ENTRADAS-BASE'!J855="","",'ENTRADAS-BASE'!J855)</f>
        <v/>
      </c>
      <c r="L8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8" spans="2:12" x14ac:dyDescent="0.3">
      <c r="B858" t="str">
        <f>IF('ENTRADAS-BASE'!A856="","",'ENTRADAS-BASE'!A856)</f>
        <v/>
      </c>
      <c r="C858" t="str">
        <f>IF('ENTRADAS-BASE'!B856="","",'ENTRADAS-BASE'!B856)</f>
        <v/>
      </c>
      <c r="D858" t="str">
        <f>IF('ENTRADAS-BASE'!C856="","",'ENTRADAS-BASE'!C856)</f>
        <v/>
      </c>
      <c r="E858" s="7" t="str">
        <f>IF('ENTRADAS-BASE'!D856="","",'ENTRADAS-BASE'!D856)</f>
        <v/>
      </c>
      <c r="F858" s="6" t="str">
        <f>IF('ENTRADAS-BASE'!E856="","",'ENTRADAS-BASE'!E856)</f>
        <v/>
      </c>
      <c r="G858" t="str">
        <f>IF('ENTRADAS-BASE'!F856="","",'ENTRADAS-BASE'!F856)</f>
        <v/>
      </c>
      <c r="H858" t="str">
        <f>IF('ENTRADAS-BASE'!G856="","",'ENTRADAS-BASE'!G856)</f>
        <v/>
      </c>
      <c r="I858" t="str">
        <f>IF('ENTRADAS-BASE'!H856="","",'ENTRADAS-BASE'!H856)</f>
        <v/>
      </c>
      <c r="J858" t="str">
        <f>IF('ENTRADAS-BASE'!I856="","",'ENTRADAS-BASE'!I856)</f>
        <v/>
      </c>
      <c r="K858" s="5" t="str">
        <f>IF('ENTRADAS-BASE'!J856="","",'ENTRADAS-BASE'!J856)</f>
        <v/>
      </c>
      <c r="L8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9" spans="2:12" x14ac:dyDescent="0.3">
      <c r="B859" t="str">
        <f>IF('ENTRADAS-BASE'!A857="","",'ENTRADAS-BASE'!A857)</f>
        <v/>
      </c>
      <c r="C859" t="str">
        <f>IF('ENTRADAS-BASE'!B857="","",'ENTRADAS-BASE'!B857)</f>
        <v/>
      </c>
      <c r="D859" t="str">
        <f>IF('ENTRADAS-BASE'!C857="","",'ENTRADAS-BASE'!C857)</f>
        <v/>
      </c>
      <c r="E859" s="7" t="str">
        <f>IF('ENTRADAS-BASE'!D857="","",'ENTRADAS-BASE'!D857)</f>
        <v/>
      </c>
      <c r="F859" s="6" t="str">
        <f>IF('ENTRADAS-BASE'!E857="","",'ENTRADAS-BASE'!E857)</f>
        <v/>
      </c>
      <c r="G859" t="str">
        <f>IF('ENTRADAS-BASE'!F857="","",'ENTRADAS-BASE'!F857)</f>
        <v/>
      </c>
      <c r="H859" t="str">
        <f>IF('ENTRADAS-BASE'!G857="","",'ENTRADAS-BASE'!G857)</f>
        <v/>
      </c>
      <c r="I859" t="str">
        <f>IF('ENTRADAS-BASE'!H857="","",'ENTRADAS-BASE'!H857)</f>
        <v/>
      </c>
      <c r="J859" t="str">
        <f>IF('ENTRADAS-BASE'!I857="","",'ENTRADAS-BASE'!I857)</f>
        <v/>
      </c>
      <c r="K859" s="5" t="str">
        <f>IF('ENTRADAS-BASE'!J857="","",'ENTRADAS-BASE'!J857)</f>
        <v/>
      </c>
      <c r="L8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0" spans="2:12" x14ac:dyDescent="0.3">
      <c r="B860" t="str">
        <f>IF('ENTRADAS-BASE'!A858="","",'ENTRADAS-BASE'!A858)</f>
        <v/>
      </c>
      <c r="C860" t="str">
        <f>IF('ENTRADAS-BASE'!B858="","",'ENTRADAS-BASE'!B858)</f>
        <v/>
      </c>
      <c r="D860" t="str">
        <f>IF('ENTRADAS-BASE'!C858="","",'ENTRADAS-BASE'!C858)</f>
        <v/>
      </c>
      <c r="E860" s="7" t="str">
        <f>IF('ENTRADAS-BASE'!D858="","",'ENTRADAS-BASE'!D858)</f>
        <v/>
      </c>
      <c r="F860" s="6" t="str">
        <f>IF('ENTRADAS-BASE'!E858="","",'ENTRADAS-BASE'!E858)</f>
        <v/>
      </c>
      <c r="G860" t="str">
        <f>IF('ENTRADAS-BASE'!F858="","",'ENTRADAS-BASE'!F858)</f>
        <v/>
      </c>
      <c r="H860" t="str">
        <f>IF('ENTRADAS-BASE'!G858="","",'ENTRADAS-BASE'!G858)</f>
        <v/>
      </c>
      <c r="I860" t="str">
        <f>IF('ENTRADAS-BASE'!H858="","",'ENTRADAS-BASE'!H858)</f>
        <v/>
      </c>
      <c r="J860" t="str">
        <f>IF('ENTRADAS-BASE'!I858="","",'ENTRADAS-BASE'!I858)</f>
        <v/>
      </c>
      <c r="K860" s="5" t="str">
        <f>IF('ENTRADAS-BASE'!J858="","",'ENTRADAS-BASE'!J858)</f>
        <v/>
      </c>
      <c r="L8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1" spans="2:12" x14ac:dyDescent="0.3">
      <c r="B861" t="str">
        <f>IF('ENTRADAS-BASE'!A859="","",'ENTRADAS-BASE'!A859)</f>
        <v/>
      </c>
      <c r="C861" t="str">
        <f>IF('ENTRADAS-BASE'!B859="","",'ENTRADAS-BASE'!B859)</f>
        <v/>
      </c>
      <c r="D861" t="str">
        <f>IF('ENTRADAS-BASE'!C859="","",'ENTRADAS-BASE'!C859)</f>
        <v/>
      </c>
      <c r="E861" s="7" t="str">
        <f>IF('ENTRADAS-BASE'!D859="","",'ENTRADAS-BASE'!D859)</f>
        <v/>
      </c>
      <c r="F861" s="6" t="str">
        <f>IF('ENTRADAS-BASE'!E859="","",'ENTRADAS-BASE'!E859)</f>
        <v/>
      </c>
      <c r="G861" t="str">
        <f>IF('ENTRADAS-BASE'!F859="","",'ENTRADAS-BASE'!F859)</f>
        <v/>
      </c>
      <c r="H861" t="str">
        <f>IF('ENTRADAS-BASE'!G859="","",'ENTRADAS-BASE'!G859)</f>
        <v/>
      </c>
      <c r="I861" t="str">
        <f>IF('ENTRADAS-BASE'!H859="","",'ENTRADAS-BASE'!H859)</f>
        <v/>
      </c>
      <c r="J861" t="str">
        <f>IF('ENTRADAS-BASE'!I859="","",'ENTRADAS-BASE'!I859)</f>
        <v/>
      </c>
      <c r="K861" s="5" t="str">
        <f>IF('ENTRADAS-BASE'!J859="","",'ENTRADAS-BASE'!J859)</f>
        <v/>
      </c>
      <c r="L8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2" spans="2:12" x14ac:dyDescent="0.3">
      <c r="B862" t="str">
        <f>IF('ENTRADAS-BASE'!A860="","",'ENTRADAS-BASE'!A860)</f>
        <v/>
      </c>
      <c r="C862" t="str">
        <f>IF('ENTRADAS-BASE'!B860="","",'ENTRADAS-BASE'!B860)</f>
        <v/>
      </c>
      <c r="D862" t="str">
        <f>IF('ENTRADAS-BASE'!C860="","",'ENTRADAS-BASE'!C860)</f>
        <v/>
      </c>
      <c r="E862" s="7" t="str">
        <f>IF('ENTRADAS-BASE'!D860="","",'ENTRADAS-BASE'!D860)</f>
        <v/>
      </c>
      <c r="F862" s="6" t="str">
        <f>IF('ENTRADAS-BASE'!E860="","",'ENTRADAS-BASE'!E860)</f>
        <v/>
      </c>
      <c r="G862" t="str">
        <f>IF('ENTRADAS-BASE'!F860="","",'ENTRADAS-BASE'!F860)</f>
        <v/>
      </c>
      <c r="H862" t="str">
        <f>IF('ENTRADAS-BASE'!G860="","",'ENTRADAS-BASE'!G860)</f>
        <v/>
      </c>
      <c r="I862" t="str">
        <f>IF('ENTRADAS-BASE'!H860="","",'ENTRADAS-BASE'!H860)</f>
        <v/>
      </c>
      <c r="J862" t="str">
        <f>IF('ENTRADAS-BASE'!I860="","",'ENTRADAS-BASE'!I860)</f>
        <v/>
      </c>
      <c r="K862" s="5" t="str">
        <f>IF('ENTRADAS-BASE'!J860="","",'ENTRADAS-BASE'!J860)</f>
        <v/>
      </c>
      <c r="L8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3" spans="2:12" x14ac:dyDescent="0.3">
      <c r="B863" t="str">
        <f>IF('ENTRADAS-BASE'!A861="","",'ENTRADAS-BASE'!A861)</f>
        <v/>
      </c>
      <c r="C863" t="str">
        <f>IF('ENTRADAS-BASE'!B861="","",'ENTRADAS-BASE'!B861)</f>
        <v/>
      </c>
      <c r="D863" t="str">
        <f>IF('ENTRADAS-BASE'!C861="","",'ENTRADAS-BASE'!C861)</f>
        <v/>
      </c>
      <c r="E863" s="7" t="str">
        <f>IF('ENTRADAS-BASE'!D861="","",'ENTRADAS-BASE'!D861)</f>
        <v/>
      </c>
      <c r="F863" s="6" t="str">
        <f>IF('ENTRADAS-BASE'!E861="","",'ENTRADAS-BASE'!E861)</f>
        <v/>
      </c>
      <c r="G863" t="str">
        <f>IF('ENTRADAS-BASE'!F861="","",'ENTRADAS-BASE'!F861)</f>
        <v/>
      </c>
      <c r="H863" t="str">
        <f>IF('ENTRADAS-BASE'!G861="","",'ENTRADAS-BASE'!G861)</f>
        <v/>
      </c>
      <c r="I863" t="str">
        <f>IF('ENTRADAS-BASE'!H861="","",'ENTRADAS-BASE'!H861)</f>
        <v/>
      </c>
      <c r="J863" t="str">
        <f>IF('ENTRADAS-BASE'!I861="","",'ENTRADAS-BASE'!I861)</f>
        <v/>
      </c>
      <c r="K863" s="5" t="str">
        <f>IF('ENTRADAS-BASE'!J861="","",'ENTRADAS-BASE'!J861)</f>
        <v/>
      </c>
      <c r="L8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4" spans="2:12" x14ac:dyDescent="0.3">
      <c r="B864" t="str">
        <f>IF('ENTRADAS-BASE'!A862="","",'ENTRADAS-BASE'!A862)</f>
        <v/>
      </c>
      <c r="C864" t="str">
        <f>IF('ENTRADAS-BASE'!B862="","",'ENTRADAS-BASE'!B862)</f>
        <v/>
      </c>
      <c r="D864" t="str">
        <f>IF('ENTRADAS-BASE'!C862="","",'ENTRADAS-BASE'!C862)</f>
        <v/>
      </c>
      <c r="E864" s="7" t="str">
        <f>IF('ENTRADAS-BASE'!D862="","",'ENTRADAS-BASE'!D862)</f>
        <v/>
      </c>
      <c r="F864" s="6" t="str">
        <f>IF('ENTRADAS-BASE'!E862="","",'ENTRADAS-BASE'!E862)</f>
        <v/>
      </c>
      <c r="G864" t="str">
        <f>IF('ENTRADAS-BASE'!F862="","",'ENTRADAS-BASE'!F862)</f>
        <v/>
      </c>
      <c r="H864" t="str">
        <f>IF('ENTRADAS-BASE'!G862="","",'ENTRADAS-BASE'!G862)</f>
        <v/>
      </c>
      <c r="I864" t="str">
        <f>IF('ENTRADAS-BASE'!H862="","",'ENTRADAS-BASE'!H862)</f>
        <v/>
      </c>
      <c r="J864" t="str">
        <f>IF('ENTRADAS-BASE'!I862="","",'ENTRADAS-BASE'!I862)</f>
        <v/>
      </c>
      <c r="K864" s="5" t="str">
        <f>IF('ENTRADAS-BASE'!J862="","",'ENTRADAS-BASE'!J862)</f>
        <v/>
      </c>
      <c r="L8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5" spans="2:12" x14ac:dyDescent="0.3">
      <c r="B865" t="str">
        <f>IF('ENTRADAS-BASE'!A863="","",'ENTRADAS-BASE'!A863)</f>
        <v/>
      </c>
      <c r="C865" t="str">
        <f>IF('ENTRADAS-BASE'!B863="","",'ENTRADAS-BASE'!B863)</f>
        <v/>
      </c>
      <c r="D865" t="str">
        <f>IF('ENTRADAS-BASE'!C863="","",'ENTRADAS-BASE'!C863)</f>
        <v/>
      </c>
      <c r="E865" s="7" t="str">
        <f>IF('ENTRADAS-BASE'!D863="","",'ENTRADAS-BASE'!D863)</f>
        <v/>
      </c>
      <c r="F865" s="6" t="str">
        <f>IF('ENTRADAS-BASE'!E863="","",'ENTRADAS-BASE'!E863)</f>
        <v/>
      </c>
      <c r="G865" t="str">
        <f>IF('ENTRADAS-BASE'!F863="","",'ENTRADAS-BASE'!F863)</f>
        <v/>
      </c>
      <c r="H865" t="str">
        <f>IF('ENTRADAS-BASE'!G863="","",'ENTRADAS-BASE'!G863)</f>
        <v/>
      </c>
      <c r="I865" t="str">
        <f>IF('ENTRADAS-BASE'!H863="","",'ENTRADAS-BASE'!H863)</f>
        <v/>
      </c>
      <c r="J865" t="str">
        <f>IF('ENTRADAS-BASE'!I863="","",'ENTRADAS-BASE'!I863)</f>
        <v/>
      </c>
      <c r="K865" s="5" t="str">
        <f>IF('ENTRADAS-BASE'!J863="","",'ENTRADAS-BASE'!J863)</f>
        <v/>
      </c>
      <c r="L8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6" spans="2:12" x14ac:dyDescent="0.3">
      <c r="B866" t="str">
        <f>IF('ENTRADAS-BASE'!A864="","",'ENTRADAS-BASE'!A864)</f>
        <v/>
      </c>
      <c r="C866" t="str">
        <f>IF('ENTRADAS-BASE'!B864="","",'ENTRADAS-BASE'!B864)</f>
        <v/>
      </c>
      <c r="D866" t="str">
        <f>IF('ENTRADAS-BASE'!C864="","",'ENTRADAS-BASE'!C864)</f>
        <v/>
      </c>
      <c r="E866" s="7" t="str">
        <f>IF('ENTRADAS-BASE'!D864="","",'ENTRADAS-BASE'!D864)</f>
        <v/>
      </c>
      <c r="F866" s="6" t="str">
        <f>IF('ENTRADAS-BASE'!E864="","",'ENTRADAS-BASE'!E864)</f>
        <v/>
      </c>
      <c r="G866" t="str">
        <f>IF('ENTRADAS-BASE'!F864="","",'ENTRADAS-BASE'!F864)</f>
        <v/>
      </c>
      <c r="H866" t="str">
        <f>IF('ENTRADAS-BASE'!G864="","",'ENTRADAS-BASE'!G864)</f>
        <v/>
      </c>
      <c r="I866" t="str">
        <f>IF('ENTRADAS-BASE'!H864="","",'ENTRADAS-BASE'!H864)</f>
        <v/>
      </c>
      <c r="J866" t="str">
        <f>IF('ENTRADAS-BASE'!I864="","",'ENTRADAS-BASE'!I864)</f>
        <v/>
      </c>
      <c r="K866" s="5" t="str">
        <f>IF('ENTRADAS-BASE'!J864="","",'ENTRADAS-BASE'!J864)</f>
        <v/>
      </c>
      <c r="L8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7" spans="2:12" x14ac:dyDescent="0.3">
      <c r="B867" t="str">
        <f>IF('ENTRADAS-BASE'!A865="","",'ENTRADAS-BASE'!A865)</f>
        <v/>
      </c>
      <c r="C867" t="str">
        <f>IF('ENTRADAS-BASE'!B865="","",'ENTRADAS-BASE'!B865)</f>
        <v/>
      </c>
      <c r="D867" t="str">
        <f>IF('ENTRADAS-BASE'!C865="","",'ENTRADAS-BASE'!C865)</f>
        <v/>
      </c>
      <c r="E867" s="7" t="str">
        <f>IF('ENTRADAS-BASE'!D865="","",'ENTRADAS-BASE'!D865)</f>
        <v/>
      </c>
      <c r="F867" s="6" t="str">
        <f>IF('ENTRADAS-BASE'!E865="","",'ENTRADAS-BASE'!E865)</f>
        <v/>
      </c>
      <c r="G867" t="str">
        <f>IF('ENTRADAS-BASE'!F865="","",'ENTRADAS-BASE'!F865)</f>
        <v/>
      </c>
      <c r="H867" t="str">
        <f>IF('ENTRADAS-BASE'!G865="","",'ENTRADAS-BASE'!G865)</f>
        <v/>
      </c>
      <c r="I867" t="str">
        <f>IF('ENTRADAS-BASE'!H865="","",'ENTRADAS-BASE'!H865)</f>
        <v/>
      </c>
      <c r="J867" t="str">
        <f>IF('ENTRADAS-BASE'!I865="","",'ENTRADAS-BASE'!I865)</f>
        <v/>
      </c>
      <c r="K867" s="5" t="str">
        <f>IF('ENTRADAS-BASE'!J865="","",'ENTRADAS-BASE'!J865)</f>
        <v/>
      </c>
      <c r="L8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8" spans="2:12" x14ac:dyDescent="0.3">
      <c r="B868" t="str">
        <f>IF('ENTRADAS-BASE'!A866="","",'ENTRADAS-BASE'!A866)</f>
        <v/>
      </c>
      <c r="C868" t="str">
        <f>IF('ENTRADAS-BASE'!B866="","",'ENTRADAS-BASE'!B866)</f>
        <v/>
      </c>
      <c r="D868" t="str">
        <f>IF('ENTRADAS-BASE'!C866="","",'ENTRADAS-BASE'!C866)</f>
        <v/>
      </c>
      <c r="E868" s="7" t="str">
        <f>IF('ENTRADAS-BASE'!D866="","",'ENTRADAS-BASE'!D866)</f>
        <v/>
      </c>
      <c r="F868" s="6" t="str">
        <f>IF('ENTRADAS-BASE'!E866="","",'ENTRADAS-BASE'!E866)</f>
        <v/>
      </c>
      <c r="G868" t="str">
        <f>IF('ENTRADAS-BASE'!F866="","",'ENTRADAS-BASE'!F866)</f>
        <v/>
      </c>
      <c r="H868" t="str">
        <f>IF('ENTRADAS-BASE'!G866="","",'ENTRADAS-BASE'!G866)</f>
        <v/>
      </c>
      <c r="I868" t="str">
        <f>IF('ENTRADAS-BASE'!H866="","",'ENTRADAS-BASE'!H866)</f>
        <v/>
      </c>
      <c r="J868" t="str">
        <f>IF('ENTRADAS-BASE'!I866="","",'ENTRADAS-BASE'!I866)</f>
        <v/>
      </c>
      <c r="K868" s="5" t="str">
        <f>IF('ENTRADAS-BASE'!J866="","",'ENTRADAS-BASE'!J866)</f>
        <v/>
      </c>
      <c r="L8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9" spans="2:12" x14ac:dyDescent="0.3">
      <c r="B869" t="str">
        <f>IF('ENTRADAS-BASE'!A867="","",'ENTRADAS-BASE'!A867)</f>
        <v/>
      </c>
      <c r="C869" t="str">
        <f>IF('ENTRADAS-BASE'!B867="","",'ENTRADAS-BASE'!B867)</f>
        <v/>
      </c>
      <c r="D869" t="str">
        <f>IF('ENTRADAS-BASE'!C867="","",'ENTRADAS-BASE'!C867)</f>
        <v/>
      </c>
      <c r="E869" s="7" t="str">
        <f>IF('ENTRADAS-BASE'!D867="","",'ENTRADAS-BASE'!D867)</f>
        <v/>
      </c>
      <c r="F869" s="6" t="str">
        <f>IF('ENTRADAS-BASE'!E867="","",'ENTRADAS-BASE'!E867)</f>
        <v/>
      </c>
      <c r="G869" t="str">
        <f>IF('ENTRADAS-BASE'!F867="","",'ENTRADAS-BASE'!F867)</f>
        <v/>
      </c>
      <c r="H869" t="str">
        <f>IF('ENTRADAS-BASE'!G867="","",'ENTRADAS-BASE'!G867)</f>
        <v/>
      </c>
      <c r="I869" t="str">
        <f>IF('ENTRADAS-BASE'!H867="","",'ENTRADAS-BASE'!H867)</f>
        <v/>
      </c>
      <c r="J869" t="str">
        <f>IF('ENTRADAS-BASE'!I867="","",'ENTRADAS-BASE'!I867)</f>
        <v/>
      </c>
      <c r="K869" s="5" t="str">
        <f>IF('ENTRADAS-BASE'!J867="","",'ENTRADAS-BASE'!J867)</f>
        <v/>
      </c>
      <c r="L8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0" spans="2:12" x14ac:dyDescent="0.3">
      <c r="B870" t="str">
        <f>IF('ENTRADAS-BASE'!A868="","",'ENTRADAS-BASE'!A868)</f>
        <v/>
      </c>
      <c r="C870" t="str">
        <f>IF('ENTRADAS-BASE'!B868="","",'ENTRADAS-BASE'!B868)</f>
        <v/>
      </c>
      <c r="D870" t="str">
        <f>IF('ENTRADAS-BASE'!C868="","",'ENTRADAS-BASE'!C868)</f>
        <v/>
      </c>
      <c r="E870" s="7" t="str">
        <f>IF('ENTRADAS-BASE'!D868="","",'ENTRADAS-BASE'!D868)</f>
        <v/>
      </c>
      <c r="F870" s="6" t="str">
        <f>IF('ENTRADAS-BASE'!E868="","",'ENTRADAS-BASE'!E868)</f>
        <v/>
      </c>
      <c r="G870" t="str">
        <f>IF('ENTRADAS-BASE'!F868="","",'ENTRADAS-BASE'!F868)</f>
        <v/>
      </c>
      <c r="H870" t="str">
        <f>IF('ENTRADAS-BASE'!G868="","",'ENTRADAS-BASE'!G868)</f>
        <v/>
      </c>
      <c r="I870" t="str">
        <f>IF('ENTRADAS-BASE'!H868="","",'ENTRADAS-BASE'!H868)</f>
        <v/>
      </c>
      <c r="J870" t="str">
        <f>IF('ENTRADAS-BASE'!I868="","",'ENTRADAS-BASE'!I868)</f>
        <v/>
      </c>
      <c r="K870" s="5" t="str">
        <f>IF('ENTRADAS-BASE'!J868="","",'ENTRADAS-BASE'!J868)</f>
        <v/>
      </c>
      <c r="L8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1" spans="2:12" x14ac:dyDescent="0.3">
      <c r="B871" t="str">
        <f>IF('ENTRADAS-BASE'!A869="","",'ENTRADAS-BASE'!A869)</f>
        <v/>
      </c>
      <c r="C871" t="str">
        <f>IF('ENTRADAS-BASE'!B869="","",'ENTRADAS-BASE'!B869)</f>
        <v/>
      </c>
      <c r="D871" t="str">
        <f>IF('ENTRADAS-BASE'!C869="","",'ENTRADAS-BASE'!C869)</f>
        <v/>
      </c>
      <c r="E871" s="7" t="str">
        <f>IF('ENTRADAS-BASE'!D869="","",'ENTRADAS-BASE'!D869)</f>
        <v/>
      </c>
      <c r="F871" s="6" t="str">
        <f>IF('ENTRADAS-BASE'!E869="","",'ENTRADAS-BASE'!E869)</f>
        <v/>
      </c>
      <c r="G871" t="str">
        <f>IF('ENTRADAS-BASE'!F869="","",'ENTRADAS-BASE'!F869)</f>
        <v/>
      </c>
      <c r="H871" t="str">
        <f>IF('ENTRADAS-BASE'!G869="","",'ENTRADAS-BASE'!G869)</f>
        <v/>
      </c>
      <c r="I871" t="str">
        <f>IF('ENTRADAS-BASE'!H869="","",'ENTRADAS-BASE'!H869)</f>
        <v/>
      </c>
      <c r="J871" t="str">
        <f>IF('ENTRADAS-BASE'!I869="","",'ENTRADAS-BASE'!I869)</f>
        <v/>
      </c>
      <c r="K871" s="5" t="str">
        <f>IF('ENTRADAS-BASE'!J869="","",'ENTRADAS-BASE'!J869)</f>
        <v/>
      </c>
      <c r="L8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2" spans="2:12" x14ac:dyDescent="0.3">
      <c r="B872" t="str">
        <f>IF('ENTRADAS-BASE'!A870="","",'ENTRADAS-BASE'!A870)</f>
        <v/>
      </c>
      <c r="C872" t="str">
        <f>IF('ENTRADAS-BASE'!B870="","",'ENTRADAS-BASE'!B870)</f>
        <v/>
      </c>
      <c r="D872" t="str">
        <f>IF('ENTRADAS-BASE'!C870="","",'ENTRADAS-BASE'!C870)</f>
        <v/>
      </c>
      <c r="E872" s="7" t="str">
        <f>IF('ENTRADAS-BASE'!D870="","",'ENTRADAS-BASE'!D870)</f>
        <v/>
      </c>
      <c r="F872" s="6" t="str">
        <f>IF('ENTRADAS-BASE'!E870="","",'ENTRADAS-BASE'!E870)</f>
        <v/>
      </c>
      <c r="G872" t="str">
        <f>IF('ENTRADAS-BASE'!F870="","",'ENTRADAS-BASE'!F870)</f>
        <v/>
      </c>
      <c r="H872" t="str">
        <f>IF('ENTRADAS-BASE'!G870="","",'ENTRADAS-BASE'!G870)</f>
        <v/>
      </c>
      <c r="I872" t="str">
        <f>IF('ENTRADAS-BASE'!H870="","",'ENTRADAS-BASE'!H870)</f>
        <v/>
      </c>
      <c r="J872" t="str">
        <f>IF('ENTRADAS-BASE'!I870="","",'ENTRADAS-BASE'!I870)</f>
        <v/>
      </c>
      <c r="K872" s="5" t="str">
        <f>IF('ENTRADAS-BASE'!J870="","",'ENTRADAS-BASE'!J870)</f>
        <v/>
      </c>
      <c r="L8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3" spans="2:12" x14ac:dyDescent="0.3">
      <c r="B873" t="str">
        <f>IF('ENTRADAS-BASE'!A871="","",'ENTRADAS-BASE'!A871)</f>
        <v/>
      </c>
      <c r="C873" t="str">
        <f>IF('ENTRADAS-BASE'!B871="","",'ENTRADAS-BASE'!B871)</f>
        <v/>
      </c>
      <c r="D873" t="str">
        <f>IF('ENTRADAS-BASE'!C871="","",'ENTRADAS-BASE'!C871)</f>
        <v/>
      </c>
      <c r="E873" s="7" t="str">
        <f>IF('ENTRADAS-BASE'!D871="","",'ENTRADAS-BASE'!D871)</f>
        <v/>
      </c>
      <c r="F873" s="6" t="str">
        <f>IF('ENTRADAS-BASE'!E871="","",'ENTRADAS-BASE'!E871)</f>
        <v/>
      </c>
      <c r="G873" t="str">
        <f>IF('ENTRADAS-BASE'!F871="","",'ENTRADAS-BASE'!F871)</f>
        <v/>
      </c>
      <c r="H873" t="str">
        <f>IF('ENTRADAS-BASE'!G871="","",'ENTRADAS-BASE'!G871)</f>
        <v/>
      </c>
      <c r="I873" t="str">
        <f>IF('ENTRADAS-BASE'!H871="","",'ENTRADAS-BASE'!H871)</f>
        <v/>
      </c>
      <c r="J873" t="str">
        <f>IF('ENTRADAS-BASE'!I871="","",'ENTRADAS-BASE'!I871)</f>
        <v/>
      </c>
      <c r="K873" s="5" t="str">
        <f>IF('ENTRADAS-BASE'!J871="","",'ENTRADAS-BASE'!J871)</f>
        <v/>
      </c>
      <c r="L8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4" spans="2:12" x14ac:dyDescent="0.3">
      <c r="B874" t="str">
        <f>IF('ENTRADAS-BASE'!A872="","",'ENTRADAS-BASE'!A872)</f>
        <v/>
      </c>
      <c r="C874" t="str">
        <f>IF('ENTRADAS-BASE'!B872="","",'ENTRADAS-BASE'!B872)</f>
        <v/>
      </c>
      <c r="D874" t="str">
        <f>IF('ENTRADAS-BASE'!C872="","",'ENTRADAS-BASE'!C872)</f>
        <v/>
      </c>
      <c r="E874" s="7" t="str">
        <f>IF('ENTRADAS-BASE'!D872="","",'ENTRADAS-BASE'!D872)</f>
        <v/>
      </c>
      <c r="F874" s="6" t="str">
        <f>IF('ENTRADAS-BASE'!E872="","",'ENTRADAS-BASE'!E872)</f>
        <v/>
      </c>
      <c r="G874" t="str">
        <f>IF('ENTRADAS-BASE'!F872="","",'ENTRADAS-BASE'!F872)</f>
        <v/>
      </c>
      <c r="H874" t="str">
        <f>IF('ENTRADAS-BASE'!G872="","",'ENTRADAS-BASE'!G872)</f>
        <v/>
      </c>
      <c r="I874" t="str">
        <f>IF('ENTRADAS-BASE'!H872="","",'ENTRADAS-BASE'!H872)</f>
        <v/>
      </c>
      <c r="J874" t="str">
        <f>IF('ENTRADAS-BASE'!I872="","",'ENTRADAS-BASE'!I872)</f>
        <v/>
      </c>
      <c r="K874" s="5" t="str">
        <f>IF('ENTRADAS-BASE'!J872="","",'ENTRADAS-BASE'!J872)</f>
        <v/>
      </c>
      <c r="L8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5" spans="2:12" x14ac:dyDescent="0.3">
      <c r="B875" t="str">
        <f>IF('ENTRADAS-BASE'!A873="","",'ENTRADAS-BASE'!A873)</f>
        <v/>
      </c>
      <c r="C875" t="str">
        <f>IF('ENTRADAS-BASE'!B873="","",'ENTRADAS-BASE'!B873)</f>
        <v/>
      </c>
      <c r="D875" t="str">
        <f>IF('ENTRADAS-BASE'!C873="","",'ENTRADAS-BASE'!C873)</f>
        <v/>
      </c>
      <c r="E875" s="7" t="str">
        <f>IF('ENTRADAS-BASE'!D873="","",'ENTRADAS-BASE'!D873)</f>
        <v/>
      </c>
      <c r="F875" s="6" t="str">
        <f>IF('ENTRADAS-BASE'!E873="","",'ENTRADAS-BASE'!E873)</f>
        <v/>
      </c>
      <c r="G875" t="str">
        <f>IF('ENTRADAS-BASE'!F873="","",'ENTRADAS-BASE'!F873)</f>
        <v/>
      </c>
      <c r="H875" t="str">
        <f>IF('ENTRADAS-BASE'!G873="","",'ENTRADAS-BASE'!G873)</f>
        <v/>
      </c>
      <c r="I875" t="str">
        <f>IF('ENTRADAS-BASE'!H873="","",'ENTRADAS-BASE'!H873)</f>
        <v/>
      </c>
      <c r="J875" t="str">
        <f>IF('ENTRADAS-BASE'!I873="","",'ENTRADAS-BASE'!I873)</f>
        <v/>
      </c>
      <c r="K875" s="5" t="str">
        <f>IF('ENTRADAS-BASE'!J873="","",'ENTRADAS-BASE'!J873)</f>
        <v/>
      </c>
      <c r="L8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6" spans="2:12" x14ac:dyDescent="0.3">
      <c r="B876" t="str">
        <f>IF('ENTRADAS-BASE'!A874="","",'ENTRADAS-BASE'!A874)</f>
        <v/>
      </c>
      <c r="C876" t="str">
        <f>IF('ENTRADAS-BASE'!B874="","",'ENTRADAS-BASE'!B874)</f>
        <v/>
      </c>
      <c r="D876" t="str">
        <f>IF('ENTRADAS-BASE'!C874="","",'ENTRADAS-BASE'!C874)</f>
        <v/>
      </c>
      <c r="E876" s="7" t="str">
        <f>IF('ENTRADAS-BASE'!D874="","",'ENTRADAS-BASE'!D874)</f>
        <v/>
      </c>
      <c r="F876" s="6" t="str">
        <f>IF('ENTRADAS-BASE'!E874="","",'ENTRADAS-BASE'!E874)</f>
        <v/>
      </c>
      <c r="G876" t="str">
        <f>IF('ENTRADAS-BASE'!F874="","",'ENTRADAS-BASE'!F874)</f>
        <v/>
      </c>
      <c r="H876" t="str">
        <f>IF('ENTRADAS-BASE'!G874="","",'ENTRADAS-BASE'!G874)</f>
        <v/>
      </c>
      <c r="I876" t="str">
        <f>IF('ENTRADAS-BASE'!H874="","",'ENTRADAS-BASE'!H874)</f>
        <v/>
      </c>
      <c r="J876" t="str">
        <f>IF('ENTRADAS-BASE'!I874="","",'ENTRADAS-BASE'!I874)</f>
        <v/>
      </c>
      <c r="K876" s="5" t="str">
        <f>IF('ENTRADAS-BASE'!J874="","",'ENTRADAS-BASE'!J874)</f>
        <v/>
      </c>
      <c r="L8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7" spans="2:12" x14ac:dyDescent="0.3">
      <c r="B877" t="str">
        <f>IF('ENTRADAS-BASE'!A875="","",'ENTRADAS-BASE'!A875)</f>
        <v/>
      </c>
      <c r="C877" t="str">
        <f>IF('ENTRADAS-BASE'!B875="","",'ENTRADAS-BASE'!B875)</f>
        <v/>
      </c>
      <c r="D877" t="str">
        <f>IF('ENTRADAS-BASE'!C875="","",'ENTRADAS-BASE'!C875)</f>
        <v/>
      </c>
      <c r="E877" s="7" t="str">
        <f>IF('ENTRADAS-BASE'!D875="","",'ENTRADAS-BASE'!D875)</f>
        <v/>
      </c>
      <c r="F877" s="6" t="str">
        <f>IF('ENTRADAS-BASE'!E875="","",'ENTRADAS-BASE'!E875)</f>
        <v/>
      </c>
      <c r="G877" t="str">
        <f>IF('ENTRADAS-BASE'!F875="","",'ENTRADAS-BASE'!F875)</f>
        <v/>
      </c>
      <c r="H877" t="str">
        <f>IF('ENTRADAS-BASE'!G875="","",'ENTRADAS-BASE'!G875)</f>
        <v/>
      </c>
      <c r="I877" t="str">
        <f>IF('ENTRADAS-BASE'!H875="","",'ENTRADAS-BASE'!H875)</f>
        <v/>
      </c>
      <c r="J877" t="str">
        <f>IF('ENTRADAS-BASE'!I875="","",'ENTRADAS-BASE'!I875)</f>
        <v/>
      </c>
      <c r="K877" s="5" t="str">
        <f>IF('ENTRADAS-BASE'!J875="","",'ENTRADAS-BASE'!J875)</f>
        <v/>
      </c>
      <c r="L8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8" spans="2:12" x14ac:dyDescent="0.3">
      <c r="B878" t="str">
        <f>IF('ENTRADAS-BASE'!A876="","",'ENTRADAS-BASE'!A876)</f>
        <v/>
      </c>
      <c r="C878" t="str">
        <f>IF('ENTRADAS-BASE'!B876="","",'ENTRADAS-BASE'!B876)</f>
        <v/>
      </c>
      <c r="D878" t="str">
        <f>IF('ENTRADAS-BASE'!C876="","",'ENTRADAS-BASE'!C876)</f>
        <v/>
      </c>
      <c r="E878" s="7" t="str">
        <f>IF('ENTRADAS-BASE'!D876="","",'ENTRADAS-BASE'!D876)</f>
        <v/>
      </c>
      <c r="F878" s="6" t="str">
        <f>IF('ENTRADAS-BASE'!E876="","",'ENTRADAS-BASE'!E876)</f>
        <v/>
      </c>
      <c r="G878" t="str">
        <f>IF('ENTRADAS-BASE'!F876="","",'ENTRADAS-BASE'!F876)</f>
        <v/>
      </c>
      <c r="H878" t="str">
        <f>IF('ENTRADAS-BASE'!G876="","",'ENTRADAS-BASE'!G876)</f>
        <v/>
      </c>
      <c r="I878" t="str">
        <f>IF('ENTRADAS-BASE'!H876="","",'ENTRADAS-BASE'!H876)</f>
        <v/>
      </c>
      <c r="J878" t="str">
        <f>IF('ENTRADAS-BASE'!I876="","",'ENTRADAS-BASE'!I876)</f>
        <v/>
      </c>
      <c r="K878" s="5" t="str">
        <f>IF('ENTRADAS-BASE'!J876="","",'ENTRADAS-BASE'!J876)</f>
        <v/>
      </c>
      <c r="L8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9" spans="2:12" x14ac:dyDescent="0.3">
      <c r="B879" t="str">
        <f>IF('ENTRADAS-BASE'!A877="","",'ENTRADAS-BASE'!A877)</f>
        <v/>
      </c>
      <c r="C879" t="str">
        <f>IF('ENTRADAS-BASE'!B877="","",'ENTRADAS-BASE'!B877)</f>
        <v/>
      </c>
      <c r="D879" t="str">
        <f>IF('ENTRADAS-BASE'!C877="","",'ENTRADAS-BASE'!C877)</f>
        <v/>
      </c>
      <c r="E879" s="7" t="str">
        <f>IF('ENTRADAS-BASE'!D877="","",'ENTRADAS-BASE'!D877)</f>
        <v/>
      </c>
      <c r="F879" s="6" t="str">
        <f>IF('ENTRADAS-BASE'!E877="","",'ENTRADAS-BASE'!E877)</f>
        <v/>
      </c>
      <c r="G879" t="str">
        <f>IF('ENTRADAS-BASE'!F877="","",'ENTRADAS-BASE'!F877)</f>
        <v/>
      </c>
      <c r="H879" t="str">
        <f>IF('ENTRADAS-BASE'!G877="","",'ENTRADAS-BASE'!G877)</f>
        <v/>
      </c>
      <c r="I879" t="str">
        <f>IF('ENTRADAS-BASE'!H877="","",'ENTRADAS-BASE'!H877)</f>
        <v/>
      </c>
      <c r="J879" t="str">
        <f>IF('ENTRADAS-BASE'!I877="","",'ENTRADAS-BASE'!I877)</f>
        <v/>
      </c>
      <c r="K879" s="5" t="str">
        <f>IF('ENTRADAS-BASE'!J877="","",'ENTRADAS-BASE'!J877)</f>
        <v/>
      </c>
      <c r="L8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0" spans="2:12" x14ac:dyDescent="0.3">
      <c r="B880" t="str">
        <f>IF('ENTRADAS-BASE'!A878="","",'ENTRADAS-BASE'!A878)</f>
        <v/>
      </c>
      <c r="C880" t="str">
        <f>IF('ENTRADAS-BASE'!B878="","",'ENTRADAS-BASE'!B878)</f>
        <v/>
      </c>
      <c r="D880" t="str">
        <f>IF('ENTRADAS-BASE'!C878="","",'ENTRADAS-BASE'!C878)</f>
        <v/>
      </c>
      <c r="E880" s="7" t="str">
        <f>IF('ENTRADAS-BASE'!D878="","",'ENTRADAS-BASE'!D878)</f>
        <v/>
      </c>
      <c r="F880" s="6" t="str">
        <f>IF('ENTRADAS-BASE'!E878="","",'ENTRADAS-BASE'!E878)</f>
        <v/>
      </c>
      <c r="G880" t="str">
        <f>IF('ENTRADAS-BASE'!F878="","",'ENTRADAS-BASE'!F878)</f>
        <v/>
      </c>
      <c r="H880" t="str">
        <f>IF('ENTRADAS-BASE'!G878="","",'ENTRADAS-BASE'!G878)</f>
        <v/>
      </c>
      <c r="I880" t="str">
        <f>IF('ENTRADAS-BASE'!H878="","",'ENTRADAS-BASE'!H878)</f>
        <v/>
      </c>
      <c r="J880" t="str">
        <f>IF('ENTRADAS-BASE'!I878="","",'ENTRADAS-BASE'!I878)</f>
        <v/>
      </c>
      <c r="K880" s="5" t="str">
        <f>IF('ENTRADAS-BASE'!J878="","",'ENTRADAS-BASE'!J878)</f>
        <v/>
      </c>
      <c r="L8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1" spans="2:12" x14ac:dyDescent="0.3">
      <c r="B881" t="str">
        <f>IF('ENTRADAS-BASE'!A879="","",'ENTRADAS-BASE'!A879)</f>
        <v/>
      </c>
      <c r="C881" t="str">
        <f>IF('ENTRADAS-BASE'!B879="","",'ENTRADAS-BASE'!B879)</f>
        <v/>
      </c>
      <c r="D881" t="str">
        <f>IF('ENTRADAS-BASE'!C879="","",'ENTRADAS-BASE'!C879)</f>
        <v/>
      </c>
      <c r="E881" s="7" t="str">
        <f>IF('ENTRADAS-BASE'!D879="","",'ENTRADAS-BASE'!D879)</f>
        <v/>
      </c>
      <c r="F881" s="6" t="str">
        <f>IF('ENTRADAS-BASE'!E879="","",'ENTRADAS-BASE'!E879)</f>
        <v/>
      </c>
      <c r="G881" t="str">
        <f>IF('ENTRADAS-BASE'!F879="","",'ENTRADAS-BASE'!F879)</f>
        <v/>
      </c>
      <c r="H881" t="str">
        <f>IF('ENTRADAS-BASE'!G879="","",'ENTRADAS-BASE'!G879)</f>
        <v/>
      </c>
      <c r="I881" t="str">
        <f>IF('ENTRADAS-BASE'!H879="","",'ENTRADAS-BASE'!H879)</f>
        <v/>
      </c>
      <c r="J881" t="str">
        <f>IF('ENTRADAS-BASE'!I879="","",'ENTRADAS-BASE'!I879)</f>
        <v/>
      </c>
      <c r="K881" s="5" t="str">
        <f>IF('ENTRADAS-BASE'!J879="","",'ENTRADAS-BASE'!J879)</f>
        <v/>
      </c>
      <c r="L8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2" spans="2:12" x14ac:dyDescent="0.3">
      <c r="B882" t="str">
        <f>IF('ENTRADAS-BASE'!A880="","",'ENTRADAS-BASE'!A880)</f>
        <v/>
      </c>
      <c r="C882" t="str">
        <f>IF('ENTRADAS-BASE'!B880="","",'ENTRADAS-BASE'!B880)</f>
        <v/>
      </c>
      <c r="D882" t="str">
        <f>IF('ENTRADAS-BASE'!C880="","",'ENTRADAS-BASE'!C880)</f>
        <v/>
      </c>
      <c r="E882" s="7" t="str">
        <f>IF('ENTRADAS-BASE'!D880="","",'ENTRADAS-BASE'!D880)</f>
        <v/>
      </c>
      <c r="F882" s="6" t="str">
        <f>IF('ENTRADAS-BASE'!E880="","",'ENTRADAS-BASE'!E880)</f>
        <v/>
      </c>
      <c r="G882" t="str">
        <f>IF('ENTRADAS-BASE'!F880="","",'ENTRADAS-BASE'!F880)</f>
        <v/>
      </c>
      <c r="H882" t="str">
        <f>IF('ENTRADAS-BASE'!G880="","",'ENTRADAS-BASE'!G880)</f>
        <v/>
      </c>
      <c r="I882" t="str">
        <f>IF('ENTRADAS-BASE'!H880="","",'ENTRADAS-BASE'!H880)</f>
        <v/>
      </c>
      <c r="J882" t="str">
        <f>IF('ENTRADAS-BASE'!I880="","",'ENTRADAS-BASE'!I880)</f>
        <v/>
      </c>
      <c r="K882" s="5" t="str">
        <f>IF('ENTRADAS-BASE'!J880="","",'ENTRADAS-BASE'!J880)</f>
        <v/>
      </c>
      <c r="L8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3" spans="2:12" x14ac:dyDescent="0.3">
      <c r="B883" t="str">
        <f>IF('ENTRADAS-BASE'!A881="","",'ENTRADAS-BASE'!A881)</f>
        <v/>
      </c>
      <c r="C883" t="str">
        <f>IF('ENTRADAS-BASE'!B881="","",'ENTRADAS-BASE'!B881)</f>
        <v/>
      </c>
      <c r="D883" t="str">
        <f>IF('ENTRADAS-BASE'!C881="","",'ENTRADAS-BASE'!C881)</f>
        <v/>
      </c>
      <c r="E883" s="7" t="str">
        <f>IF('ENTRADAS-BASE'!D881="","",'ENTRADAS-BASE'!D881)</f>
        <v/>
      </c>
      <c r="F883" s="6" t="str">
        <f>IF('ENTRADAS-BASE'!E881="","",'ENTRADAS-BASE'!E881)</f>
        <v/>
      </c>
      <c r="G883" t="str">
        <f>IF('ENTRADAS-BASE'!F881="","",'ENTRADAS-BASE'!F881)</f>
        <v/>
      </c>
      <c r="H883" t="str">
        <f>IF('ENTRADAS-BASE'!G881="","",'ENTRADAS-BASE'!G881)</f>
        <v/>
      </c>
      <c r="I883" t="str">
        <f>IF('ENTRADAS-BASE'!H881="","",'ENTRADAS-BASE'!H881)</f>
        <v/>
      </c>
      <c r="J883" t="str">
        <f>IF('ENTRADAS-BASE'!I881="","",'ENTRADAS-BASE'!I881)</f>
        <v/>
      </c>
      <c r="K883" s="5" t="str">
        <f>IF('ENTRADAS-BASE'!J881="","",'ENTRADAS-BASE'!J881)</f>
        <v/>
      </c>
      <c r="L8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4" spans="2:12" x14ac:dyDescent="0.3">
      <c r="B884" t="str">
        <f>IF('ENTRADAS-BASE'!A882="","",'ENTRADAS-BASE'!A882)</f>
        <v/>
      </c>
      <c r="C884" t="str">
        <f>IF('ENTRADAS-BASE'!B882="","",'ENTRADAS-BASE'!B882)</f>
        <v/>
      </c>
      <c r="D884" t="str">
        <f>IF('ENTRADAS-BASE'!C882="","",'ENTRADAS-BASE'!C882)</f>
        <v/>
      </c>
      <c r="E884" s="7" t="str">
        <f>IF('ENTRADAS-BASE'!D882="","",'ENTRADAS-BASE'!D882)</f>
        <v/>
      </c>
      <c r="F884" s="6" t="str">
        <f>IF('ENTRADAS-BASE'!E882="","",'ENTRADAS-BASE'!E882)</f>
        <v/>
      </c>
      <c r="G884" t="str">
        <f>IF('ENTRADAS-BASE'!F882="","",'ENTRADAS-BASE'!F882)</f>
        <v/>
      </c>
      <c r="H884" t="str">
        <f>IF('ENTRADAS-BASE'!G882="","",'ENTRADAS-BASE'!G882)</f>
        <v/>
      </c>
      <c r="I884" t="str">
        <f>IF('ENTRADAS-BASE'!H882="","",'ENTRADAS-BASE'!H882)</f>
        <v/>
      </c>
      <c r="J884" t="str">
        <f>IF('ENTRADAS-BASE'!I882="","",'ENTRADAS-BASE'!I882)</f>
        <v/>
      </c>
      <c r="K884" s="5" t="str">
        <f>IF('ENTRADAS-BASE'!J882="","",'ENTRADAS-BASE'!J882)</f>
        <v/>
      </c>
      <c r="L8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5" spans="2:12" x14ac:dyDescent="0.3">
      <c r="B885" t="str">
        <f>IF('ENTRADAS-BASE'!A883="","",'ENTRADAS-BASE'!A883)</f>
        <v/>
      </c>
      <c r="C885" t="str">
        <f>IF('ENTRADAS-BASE'!B883="","",'ENTRADAS-BASE'!B883)</f>
        <v/>
      </c>
      <c r="D885" t="str">
        <f>IF('ENTRADAS-BASE'!C883="","",'ENTRADAS-BASE'!C883)</f>
        <v/>
      </c>
      <c r="E885" s="7" t="str">
        <f>IF('ENTRADAS-BASE'!D883="","",'ENTRADAS-BASE'!D883)</f>
        <v/>
      </c>
      <c r="F885" s="6" t="str">
        <f>IF('ENTRADAS-BASE'!E883="","",'ENTRADAS-BASE'!E883)</f>
        <v/>
      </c>
      <c r="G885" t="str">
        <f>IF('ENTRADAS-BASE'!F883="","",'ENTRADAS-BASE'!F883)</f>
        <v/>
      </c>
      <c r="H885" t="str">
        <f>IF('ENTRADAS-BASE'!G883="","",'ENTRADAS-BASE'!G883)</f>
        <v/>
      </c>
      <c r="I885" t="str">
        <f>IF('ENTRADAS-BASE'!H883="","",'ENTRADAS-BASE'!H883)</f>
        <v/>
      </c>
      <c r="J885" t="str">
        <f>IF('ENTRADAS-BASE'!I883="","",'ENTRADAS-BASE'!I883)</f>
        <v/>
      </c>
      <c r="K885" s="5" t="str">
        <f>IF('ENTRADAS-BASE'!J883="","",'ENTRADAS-BASE'!J883)</f>
        <v/>
      </c>
      <c r="L8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6" spans="2:12" x14ac:dyDescent="0.3">
      <c r="B886" t="str">
        <f>IF('ENTRADAS-BASE'!A884="","",'ENTRADAS-BASE'!A884)</f>
        <v/>
      </c>
      <c r="C886" t="str">
        <f>IF('ENTRADAS-BASE'!B884="","",'ENTRADAS-BASE'!B884)</f>
        <v/>
      </c>
      <c r="D886" t="str">
        <f>IF('ENTRADAS-BASE'!C884="","",'ENTRADAS-BASE'!C884)</f>
        <v/>
      </c>
      <c r="E886" s="7" t="str">
        <f>IF('ENTRADAS-BASE'!D884="","",'ENTRADAS-BASE'!D884)</f>
        <v/>
      </c>
      <c r="F886" s="6" t="str">
        <f>IF('ENTRADAS-BASE'!E884="","",'ENTRADAS-BASE'!E884)</f>
        <v/>
      </c>
      <c r="G886" t="str">
        <f>IF('ENTRADAS-BASE'!F884="","",'ENTRADAS-BASE'!F884)</f>
        <v/>
      </c>
      <c r="H886" t="str">
        <f>IF('ENTRADAS-BASE'!G884="","",'ENTRADAS-BASE'!G884)</f>
        <v/>
      </c>
      <c r="I886" t="str">
        <f>IF('ENTRADAS-BASE'!H884="","",'ENTRADAS-BASE'!H884)</f>
        <v/>
      </c>
      <c r="J886" t="str">
        <f>IF('ENTRADAS-BASE'!I884="","",'ENTRADAS-BASE'!I884)</f>
        <v/>
      </c>
      <c r="K886" s="5" t="str">
        <f>IF('ENTRADAS-BASE'!J884="","",'ENTRADAS-BASE'!J884)</f>
        <v/>
      </c>
      <c r="L8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7" spans="2:12" x14ac:dyDescent="0.3">
      <c r="B887" t="str">
        <f>IF('ENTRADAS-BASE'!A885="","",'ENTRADAS-BASE'!A885)</f>
        <v/>
      </c>
      <c r="C887" t="str">
        <f>IF('ENTRADAS-BASE'!B885="","",'ENTRADAS-BASE'!B885)</f>
        <v/>
      </c>
      <c r="D887" t="str">
        <f>IF('ENTRADAS-BASE'!C885="","",'ENTRADAS-BASE'!C885)</f>
        <v/>
      </c>
      <c r="E887" s="7" t="str">
        <f>IF('ENTRADAS-BASE'!D885="","",'ENTRADAS-BASE'!D885)</f>
        <v/>
      </c>
      <c r="F887" s="6" t="str">
        <f>IF('ENTRADAS-BASE'!E885="","",'ENTRADAS-BASE'!E885)</f>
        <v/>
      </c>
      <c r="G887" t="str">
        <f>IF('ENTRADAS-BASE'!F885="","",'ENTRADAS-BASE'!F885)</f>
        <v/>
      </c>
      <c r="H887" t="str">
        <f>IF('ENTRADAS-BASE'!G885="","",'ENTRADAS-BASE'!G885)</f>
        <v/>
      </c>
      <c r="I887" t="str">
        <f>IF('ENTRADAS-BASE'!H885="","",'ENTRADAS-BASE'!H885)</f>
        <v/>
      </c>
      <c r="J887" t="str">
        <f>IF('ENTRADAS-BASE'!I885="","",'ENTRADAS-BASE'!I885)</f>
        <v/>
      </c>
      <c r="K887" s="5" t="str">
        <f>IF('ENTRADAS-BASE'!J885="","",'ENTRADAS-BASE'!J885)</f>
        <v/>
      </c>
      <c r="L8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8" spans="2:12" x14ac:dyDescent="0.3">
      <c r="B888" t="str">
        <f>IF('ENTRADAS-BASE'!A886="","",'ENTRADAS-BASE'!A886)</f>
        <v/>
      </c>
      <c r="C888" t="str">
        <f>IF('ENTRADAS-BASE'!B886="","",'ENTRADAS-BASE'!B886)</f>
        <v/>
      </c>
      <c r="D888" t="str">
        <f>IF('ENTRADAS-BASE'!C886="","",'ENTRADAS-BASE'!C886)</f>
        <v/>
      </c>
      <c r="E888" s="7" t="str">
        <f>IF('ENTRADAS-BASE'!D886="","",'ENTRADAS-BASE'!D886)</f>
        <v/>
      </c>
      <c r="F888" s="6" t="str">
        <f>IF('ENTRADAS-BASE'!E886="","",'ENTRADAS-BASE'!E886)</f>
        <v/>
      </c>
      <c r="G888" t="str">
        <f>IF('ENTRADAS-BASE'!F886="","",'ENTRADAS-BASE'!F886)</f>
        <v/>
      </c>
      <c r="H888" t="str">
        <f>IF('ENTRADAS-BASE'!G886="","",'ENTRADAS-BASE'!G886)</f>
        <v/>
      </c>
      <c r="I888" t="str">
        <f>IF('ENTRADAS-BASE'!H886="","",'ENTRADAS-BASE'!H886)</f>
        <v/>
      </c>
      <c r="J888" t="str">
        <f>IF('ENTRADAS-BASE'!I886="","",'ENTRADAS-BASE'!I886)</f>
        <v/>
      </c>
      <c r="K888" s="5" t="str">
        <f>IF('ENTRADAS-BASE'!J886="","",'ENTRADAS-BASE'!J886)</f>
        <v/>
      </c>
      <c r="L8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9" spans="2:12" x14ac:dyDescent="0.3">
      <c r="B889" t="str">
        <f>IF('ENTRADAS-BASE'!A887="","",'ENTRADAS-BASE'!A887)</f>
        <v/>
      </c>
      <c r="C889" t="str">
        <f>IF('ENTRADAS-BASE'!B887="","",'ENTRADAS-BASE'!B887)</f>
        <v/>
      </c>
      <c r="D889" t="str">
        <f>IF('ENTRADAS-BASE'!C887="","",'ENTRADAS-BASE'!C887)</f>
        <v/>
      </c>
      <c r="E889" s="7" t="str">
        <f>IF('ENTRADAS-BASE'!D887="","",'ENTRADAS-BASE'!D887)</f>
        <v/>
      </c>
      <c r="F889" s="6" t="str">
        <f>IF('ENTRADAS-BASE'!E887="","",'ENTRADAS-BASE'!E887)</f>
        <v/>
      </c>
      <c r="G889" t="str">
        <f>IF('ENTRADAS-BASE'!F887="","",'ENTRADAS-BASE'!F887)</f>
        <v/>
      </c>
      <c r="H889" t="str">
        <f>IF('ENTRADAS-BASE'!G887="","",'ENTRADAS-BASE'!G887)</f>
        <v/>
      </c>
      <c r="I889" t="str">
        <f>IF('ENTRADAS-BASE'!H887="","",'ENTRADAS-BASE'!H887)</f>
        <v/>
      </c>
      <c r="J889" t="str">
        <f>IF('ENTRADAS-BASE'!I887="","",'ENTRADAS-BASE'!I887)</f>
        <v/>
      </c>
      <c r="K889" s="5" t="str">
        <f>IF('ENTRADAS-BASE'!J887="","",'ENTRADAS-BASE'!J887)</f>
        <v/>
      </c>
      <c r="L8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0" spans="2:12" x14ac:dyDescent="0.3">
      <c r="B890" t="str">
        <f>IF('ENTRADAS-BASE'!A888="","",'ENTRADAS-BASE'!A888)</f>
        <v/>
      </c>
      <c r="C890" t="str">
        <f>IF('ENTRADAS-BASE'!B888="","",'ENTRADAS-BASE'!B888)</f>
        <v/>
      </c>
      <c r="D890" t="str">
        <f>IF('ENTRADAS-BASE'!C888="","",'ENTRADAS-BASE'!C888)</f>
        <v/>
      </c>
      <c r="E890" s="7" t="str">
        <f>IF('ENTRADAS-BASE'!D888="","",'ENTRADAS-BASE'!D888)</f>
        <v/>
      </c>
      <c r="F890" s="6" t="str">
        <f>IF('ENTRADAS-BASE'!E888="","",'ENTRADAS-BASE'!E888)</f>
        <v/>
      </c>
      <c r="G890" t="str">
        <f>IF('ENTRADAS-BASE'!F888="","",'ENTRADAS-BASE'!F888)</f>
        <v/>
      </c>
      <c r="H890" t="str">
        <f>IF('ENTRADAS-BASE'!G888="","",'ENTRADAS-BASE'!G888)</f>
        <v/>
      </c>
      <c r="I890" t="str">
        <f>IF('ENTRADAS-BASE'!H888="","",'ENTRADAS-BASE'!H888)</f>
        <v/>
      </c>
      <c r="J890" t="str">
        <f>IF('ENTRADAS-BASE'!I888="","",'ENTRADAS-BASE'!I888)</f>
        <v/>
      </c>
      <c r="K890" s="5" t="str">
        <f>IF('ENTRADAS-BASE'!J888="","",'ENTRADAS-BASE'!J888)</f>
        <v/>
      </c>
      <c r="L8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1" spans="2:12" x14ac:dyDescent="0.3">
      <c r="B891" t="str">
        <f>IF('ENTRADAS-BASE'!A889="","",'ENTRADAS-BASE'!A889)</f>
        <v/>
      </c>
      <c r="C891" t="str">
        <f>IF('ENTRADAS-BASE'!B889="","",'ENTRADAS-BASE'!B889)</f>
        <v/>
      </c>
      <c r="D891" t="str">
        <f>IF('ENTRADAS-BASE'!C889="","",'ENTRADAS-BASE'!C889)</f>
        <v/>
      </c>
      <c r="E891" s="7" t="str">
        <f>IF('ENTRADAS-BASE'!D889="","",'ENTRADAS-BASE'!D889)</f>
        <v/>
      </c>
      <c r="F891" s="6" t="str">
        <f>IF('ENTRADAS-BASE'!E889="","",'ENTRADAS-BASE'!E889)</f>
        <v/>
      </c>
      <c r="G891" t="str">
        <f>IF('ENTRADAS-BASE'!F889="","",'ENTRADAS-BASE'!F889)</f>
        <v/>
      </c>
      <c r="H891" t="str">
        <f>IF('ENTRADAS-BASE'!G889="","",'ENTRADAS-BASE'!G889)</f>
        <v/>
      </c>
      <c r="I891" t="str">
        <f>IF('ENTRADAS-BASE'!H889="","",'ENTRADAS-BASE'!H889)</f>
        <v/>
      </c>
      <c r="J891" t="str">
        <f>IF('ENTRADAS-BASE'!I889="","",'ENTRADAS-BASE'!I889)</f>
        <v/>
      </c>
      <c r="K891" s="5" t="str">
        <f>IF('ENTRADAS-BASE'!J889="","",'ENTRADAS-BASE'!J889)</f>
        <v/>
      </c>
      <c r="L8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2" spans="2:12" x14ac:dyDescent="0.3">
      <c r="B892" t="str">
        <f>IF('ENTRADAS-BASE'!A890="","",'ENTRADAS-BASE'!A890)</f>
        <v/>
      </c>
      <c r="C892" t="str">
        <f>IF('ENTRADAS-BASE'!B890="","",'ENTRADAS-BASE'!B890)</f>
        <v/>
      </c>
      <c r="D892" t="str">
        <f>IF('ENTRADAS-BASE'!C890="","",'ENTRADAS-BASE'!C890)</f>
        <v/>
      </c>
      <c r="E892" s="7" t="str">
        <f>IF('ENTRADAS-BASE'!D890="","",'ENTRADAS-BASE'!D890)</f>
        <v/>
      </c>
      <c r="F892" s="6" t="str">
        <f>IF('ENTRADAS-BASE'!E890="","",'ENTRADAS-BASE'!E890)</f>
        <v/>
      </c>
      <c r="G892" t="str">
        <f>IF('ENTRADAS-BASE'!F890="","",'ENTRADAS-BASE'!F890)</f>
        <v/>
      </c>
      <c r="H892" t="str">
        <f>IF('ENTRADAS-BASE'!G890="","",'ENTRADAS-BASE'!G890)</f>
        <v/>
      </c>
      <c r="I892" t="str">
        <f>IF('ENTRADAS-BASE'!H890="","",'ENTRADAS-BASE'!H890)</f>
        <v/>
      </c>
      <c r="J892" t="str">
        <f>IF('ENTRADAS-BASE'!I890="","",'ENTRADAS-BASE'!I890)</f>
        <v/>
      </c>
      <c r="K892" s="5" t="str">
        <f>IF('ENTRADAS-BASE'!J890="","",'ENTRADAS-BASE'!J890)</f>
        <v/>
      </c>
      <c r="L8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3" spans="2:12" x14ac:dyDescent="0.3">
      <c r="B893" t="str">
        <f>IF('ENTRADAS-BASE'!A891="","",'ENTRADAS-BASE'!A891)</f>
        <v/>
      </c>
      <c r="C893" t="str">
        <f>IF('ENTRADAS-BASE'!B891="","",'ENTRADAS-BASE'!B891)</f>
        <v/>
      </c>
      <c r="D893" t="str">
        <f>IF('ENTRADAS-BASE'!C891="","",'ENTRADAS-BASE'!C891)</f>
        <v/>
      </c>
      <c r="E893" s="7" t="str">
        <f>IF('ENTRADAS-BASE'!D891="","",'ENTRADAS-BASE'!D891)</f>
        <v/>
      </c>
      <c r="F893" s="6" t="str">
        <f>IF('ENTRADAS-BASE'!E891="","",'ENTRADAS-BASE'!E891)</f>
        <v/>
      </c>
      <c r="G893" t="str">
        <f>IF('ENTRADAS-BASE'!F891="","",'ENTRADAS-BASE'!F891)</f>
        <v/>
      </c>
      <c r="H893" t="str">
        <f>IF('ENTRADAS-BASE'!G891="","",'ENTRADAS-BASE'!G891)</f>
        <v/>
      </c>
      <c r="I893" t="str">
        <f>IF('ENTRADAS-BASE'!H891="","",'ENTRADAS-BASE'!H891)</f>
        <v/>
      </c>
      <c r="J893" t="str">
        <f>IF('ENTRADAS-BASE'!I891="","",'ENTRADAS-BASE'!I891)</f>
        <v/>
      </c>
      <c r="K893" s="5" t="str">
        <f>IF('ENTRADAS-BASE'!J891="","",'ENTRADAS-BASE'!J891)</f>
        <v/>
      </c>
      <c r="L8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4" spans="2:12" x14ac:dyDescent="0.3">
      <c r="B894" t="str">
        <f>IF('ENTRADAS-BASE'!A892="","",'ENTRADAS-BASE'!A892)</f>
        <v/>
      </c>
      <c r="C894" t="str">
        <f>IF('ENTRADAS-BASE'!B892="","",'ENTRADAS-BASE'!B892)</f>
        <v/>
      </c>
      <c r="D894" t="str">
        <f>IF('ENTRADAS-BASE'!C892="","",'ENTRADAS-BASE'!C892)</f>
        <v/>
      </c>
      <c r="E894" s="7" t="str">
        <f>IF('ENTRADAS-BASE'!D892="","",'ENTRADAS-BASE'!D892)</f>
        <v/>
      </c>
      <c r="F894" s="6" t="str">
        <f>IF('ENTRADAS-BASE'!E892="","",'ENTRADAS-BASE'!E892)</f>
        <v/>
      </c>
      <c r="G894" t="str">
        <f>IF('ENTRADAS-BASE'!F892="","",'ENTRADAS-BASE'!F892)</f>
        <v/>
      </c>
      <c r="H894" t="str">
        <f>IF('ENTRADAS-BASE'!G892="","",'ENTRADAS-BASE'!G892)</f>
        <v/>
      </c>
      <c r="I894" t="str">
        <f>IF('ENTRADAS-BASE'!H892="","",'ENTRADAS-BASE'!H892)</f>
        <v/>
      </c>
      <c r="J894" t="str">
        <f>IF('ENTRADAS-BASE'!I892="","",'ENTRADAS-BASE'!I892)</f>
        <v/>
      </c>
      <c r="K894" s="5" t="str">
        <f>IF('ENTRADAS-BASE'!J892="","",'ENTRADAS-BASE'!J892)</f>
        <v/>
      </c>
      <c r="L8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5" spans="2:12" x14ac:dyDescent="0.3">
      <c r="B895" t="str">
        <f>IF('ENTRADAS-BASE'!A893="","",'ENTRADAS-BASE'!A893)</f>
        <v/>
      </c>
      <c r="C895" t="str">
        <f>IF('ENTRADAS-BASE'!B893="","",'ENTRADAS-BASE'!B893)</f>
        <v/>
      </c>
      <c r="D895" t="str">
        <f>IF('ENTRADAS-BASE'!C893="","",'ENTRADAS-BASE'!C893)</f>
        <v/>
      </c>
      <c r="E895" s="7" t="str">
        <f>IF('ENTRADAS-BASE'!D893="","",'ENTRADAS-BASE'!D893)</f>
        <v/>
      </c>
      <c r="F895" s="6" t="str">
        <f>IF('ENTRADAS-BASE'!E893="","",'ENTRADAS-BASE'!E893)</f>
        <v/>
      </c>
      <c r="G895" t="str">
        <f>IF('ENTRADAS-BASE'!F893="","",'ENTRADAS-BASE'!F893)</f>
        <v/>
      </c>
      <c r="H895" t="str">
        <f>IF('ENTRADAS-BASE'!G893="","",'ENTRADAS-BASE'!G893)</f>
        <v/>
      </c>
      <c r="I895" t="str">
        <f>IF('ENTRADAS-BASE'!H893="","",'ENTRADAS-BASE'!H893)</f>
        <v/>
      </c>
      <c r="J895" t="str">
        <f>IF('ENTRADAS-BASE'!I893="","",'ENTRADAS-BASE'!I893)</f>
        <v/>
      </c>
      <c r="K895" s="5" t="str">
        <f>IF('ENTRADAS-BASE'!J893="","",'ENTRADAS-BASE'!J893)</f>
        <v/>
      </c>
      <c r="L8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6" spans="2:12" x14ac:dyDescent="0.3">
      <c r="B896" t="str">
        <f>IF('ENTRADAS-BASE'!A894="","",'ENTRADAS-BASE'!A894)</f>
        <v/>
      </c>
      <c r="C896" t="str">
        <f>IF('ENTRADAS-BASE'!B894="","",'ENTRADAS-BASE'!B894)</f>
        <v/>
      </c>
      <c r="D896" t="str">
        <f>IF('ENTRADAS-BASE'!C894="","",'ENTRADAS-BASE'!C894)</f>
        <v/>
      </c>
      <c r="E896" s="7" t="str">
        <f>IF('ENTRADAS-BASE'!D894="","",'ENTRADAS-BASE'!D894)</f>
        <v/>
      </c>
      <c r="F896" s="6" t="str">
        <f>IF('ENTRADAS-BASE'!E894="","",'ENTRADAS-BASE'!E894)</f>
        <v/>
      </c>
      <c r="G896" t="str">
        <f>IF('ENTRADAS-BASE'!F894="","",'ENTRADAS-BASE'!F894)</f>
        <v/>
      </c>
      <c r="H896" t="str">
        <f>IF('ENTRADAS-BASE'!G894="","",'ENTRADAS-BASE'!G894)</f>
        <v/>
      </c>
      <c r="I896" t="str">
        <f>IF('ENTRADAS-BASE'!H894="","",'ENTRADAS-BASE'!H894)</f>
        <v/>
      </c>
      <c r="J896" t="str">
        <f>IF('ENTRADAS-BASE'!I894="","",'ENTRADAS-BASE'!I894)</f>
        <v/>
      </c>
      <c r="K896" s="5" t="str">
        <f>IF('ENTRADAS-BASE'!J894="","",'ENTRADAS-BASE'!J894)</f>
        <v/>
      </c>
      <c r="L8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7" spans="2:12" x14ac:dyDescent="0.3">
      <c r="B897" t="str">
        <f>IF('ENTRADAS-BASE'!A895="","",'ENTRADAS-BASE'!A895)</f>
        <v/>
      </c>
      <c r="C897" t="str">
        <f>IF('ENTRADAS-BASE'!B895="","",'ENTRADAS-BASE'!B895)</f>
        <v/>
      </c>
      <c r="D897" t="str">
        <f>IF('ENTRADAS-BASE'!C895="","",'ENTRADAS-BASE'!C895)</f>
        <v/>
      </c>
      <c r="E897" s="7" t="str">
        <f>IF('ENTRADAS-BASE'!D895="","",'ENTRADAS-BASE'!D895)</f>
        <v/>
      </c>
      <c r="F897" s="6" t="str">
        <f>IF('ENTRADAS-BASE'!E895="","",'ENTRADAS-BASE'!E895)</f>
        <v/>
      </c>
      <c r="G897" t="str">
        <f>IF('ENTRADAS-BASE'!F895="","",'ENTRADAS-BASE'!F895)</f>
        <v/>
      </c>
      <c r="H897" t="str">
        <f>IF('ENTRADAS-BASE'!G895="","",'ENTRADAS-BASE'!G895)</f>
        <v/>
      </c>
      <c r="I897" t="str">
        <f>IF('ENTRADAS-BASE'!H895="","",'ENTRADAS-BASE'!H895)</f>
        <v/>
      </c>
      <c r="J897" t="str">
        <f>IF('ENTRADAS-BASE'!I895="","",'ENTRADAS-BASE'!I895)</f>
        <v/>
      </c>
      <c r="K897" s="5" t="str">
        <f>IF('ENTRADAS-BASE'!J895="","",'ENTRADAS-BASE'!J895)</f>
        <v/>
      </c>
      <c r="L8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8" spans="2:12" x14ac:dyDescent="0.3">
      <c r="B898" t="str">
        <f>IF('ENTRADAS-BASE'!A896="","",'ENTRADAS-BASE'!A896)</f>
        <v/>
      </c>
      <c r="C898" t="str">
        <f>IF('ENTRADAS-BASE'!B896="","",'ENTRADAS-BASE'!B896)</f>
        <v/>
      </c>
      <c r="D898" t="str">
        <f>IF('ENTRADAS-BASE'!C896="","",'ENTRADAS-BASE'!C896)</f>
        <v/>
      </c>
      <c r="E898" s="7" t="str">
        <f>IF('ENTRADAS-BASE'!D896="","",'ENTRADAS-BASE'!D896)</f>
        <v/>
      </c>
      <c r="F898" s="6" t="str">
        <f>IF('ENTRADAS-BASE'!E896="","",'ENTRADAS-BASE'!E896)</f>
        <v/>
      </c>
      <c r="G898" t="str">
        <f>IF('ENTRADAS-BASE'!F896="","",'ENTRADAS-BASE'!F896)</f>
        <v/>
      </c>
      <c r="H898" t="str">
        <f>IF('ENTRADAS-BASE'!G896="","",'ENTRADAS-BASE'!G896)</f>
        <v/>
      </c>
      <c r="I898" t="str">
        <f>IF('ENTRADAS-BASE'!H896="","",'ENTRADAS-BASE'!H896)</f>
        <v/>
      </c>
      <c r="J898" t="str">
        <f>IF('ENTRADAS-BASE'!I896="","",'ENTRADAS-BASE'!I896)</f>
        <v/>
      </c>
      <c r="K898" s="5" t="str">
        <f>IF('ENTRADAS-BASE'!J896="","",'ENTRADAS-BASE'!J896)</f>
        <v/>
      </c>
      <c r="L8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9" spans="2:12" x14ac:dyDescent="0.3">
      <c r="B899" t="str">
        <f>IF('ENTRADAS-BASE'!A897="","",'ENTRADAS-BASE'!A897)</f>
        <v/>
      </c>
      <c r="C899" t="str">
        <f>IF('ENTRADAS-BASE'!B897="","",'ENTRADAS-BASE'!B897)</f>
        <v/>
      </c>
      <c r="D899" t="str">
        <f>IF('ENTRADAS-BASE'!C897="","",'ENTRADAS-BASE'!C897)</f>
        <v/>
      </c>
      <c r="E899" s="7" t="str">
        <f>IF('ENTRADAS-BASE'!D897="","",'ENTRADAS-BASE'!D897)</f>
        <v/>
      </c>
      <c r="F899" s="6" t="str">
        <f>IF('ENTRADAS-BASE'!E897="","",'ENTRADAS-BASE'!E897)</f>
        <v/>
      </c>
      <c r="G899" t="str">
        <f>IF('ENTRADAS-BASE'!F897="","",'ENTRADAS-BASE'!F897)</f>
        <v/>
      </c>
      <c r="H899" t="str">
        <f>IF('ENTRADAS-BASE'!G897="","",'ENTRADAS-BASE'!G897)</f>
        <v/>
      </c>
      <c r="I899" t="str">
        <f>IF('ENTRADAS-BASE'!H897="","",'ENTRADAS-BASE'!H897)</f>
        <v/>
      </c>
      <c r="J899" t="str">
        <f>IF('ENTRADAS-BASE'!I897="","",'ENTRADAS-BASE'!I897)</f>
        <v/>
      </c>
      <c r="K899" s="5" t="str">
        <f>IF('ENTRADAS-BASE'!J897="","",'ENTRADAS-BASE'!J897)</f>
        <v/>
      </c>
      <c r="L8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0" spans="2:12" x14ac:dyDescent="0.3">
      <c r="B900" t="str">
        <f>IF('ENTRADAS-BASE'!A898="","",'ENTRADAS-BASE'!A898)</f>
        <v/>
      </c>
      <c r="C900" t="str">
        <f>IF('ENTRADAS-BASE'!B898="","",'ENTRADAS-BASE'!B898)</f>
        <v/>
      </c>
      <c r="D900" t="str">
        <f>IF('ENTRADAS-BASE'!C898="","",'ENTRADAS-BASE'!C898)</f>
        <v/>
      </c>
      <c r="E900" s="7" t="str">
        <f>IF('ENTRADAS-BASE'!D898="","",'ENTRADAS-BASE'!D898)</f>
        <v/>
      </c>
      <c r="F900" s="6" t="str">
        <f>IF('ENTRADAS-BASE'!E898="","",'ENTRADAS-BASE'!E898)</f>
        <v/>
      </c>
      <c r="G900" t="str">
        <f>IF('ENTRADAS-BASE'!F898="","",'ENTRADAS-BASE'!F898)</f>
        <v/>
      </c>
      <c r="H900" t="str">
        <f>IF('ENTRADAS-BASE'!G898="","",'ENTRADAS-BASE'!G898)</f>
        <v/>
      </c>
      <c r="I900" t="str">
        <f>IF('ENTRADAS-BASE'!H898="","",'ENTRADAS-BASE'!H898)</f>
        <v/>
      </c>
      <c r="J900" t="str">
        <f>IF('ENTRADAS-BASE'!I898="","",'ENTRADAS-BASE'!I898)</f>
        <v/>
      </c>
      <c r="K900" s="5" t="str">
        <f>IF('ENTRADAS-BASE'!J898="","",'ENTRADAS-BASE'!J898)</f>
        <v/>
      </c>
      <c r="L9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1" spans="2:12" x14ac:dyDescent="0.3">
      <c r="B901" t="str">
        <f>IF('ENTRADAS-BASE'!A899="","",'ENTRADAS-BASE'!A899)</f>
        <v/>
      </c>
      <c r="C901" t="str">
        <f>IF('ENTRADAS-BASE'!B899="","",'ENTRADAS-BASE'!B899)</f>
        <v/>
      </c>
      <c r="D901" t="str">
        <f>IF('ENTRADAS-BASE'!C899="","",'ENTRADAS-BASE'!C899)</f>
        <v/>
      </c>
      <c r="E901" s="7" t="str">
        <f>IF('ENTRADAS-BASE'!D899="","",'ENTRADAS-BASE'!D899)</f>
        <v/>
      </c>
      <c r="F901" s="6" t="str">
        <f>IF('ENTRADAS-BASE'!E899="","",'ENTRADAS-BASE'!E899)</f>
        <v/>
      </c>
      <c r="G901" t="str">
        <f>IF('ENTRADAS-BASE'!F899="","",'ENTRADAS-BASE'!F899)</f>
        <v/>
      </c>
      <c r="H901" t="str">
        <f>IF('ENTRADAS-BASE'!G899="","",'ENTRADAS-BASE'!G899)</f>
        <v/>
      </c>
      <c r="I901" t="str">
        <f>IF('ENTRADAS-BASE'!H899="","",'ENTRADAS-BASE'!H899)</f>
        <v/>
      </c>
      <c r="J901" t="str">
        <f>IF('ENTRADAS-BASE'!I899="","",'ENTRADAS-BASE'!I899)</f>
        <v/>
      </c>
      <c r="K901" s="5" t="str">
        <f>IF('ENTRADAS-BASE'!J899="","",'ENTRADAS-BASE'!J899)</f>
        <v/>
      </c>
      <c r="L9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2" spans="2:12" x14ac:dyDescent="0.3">
      <c r="B902" t="str">
        <f>IF('ENTRADAS-BASE'!A900="","",'ENTRADAS-BASE'!A900)</f>
        <v/>
      </c>
      <c r="C902" t="str">
        <f>IF('ENTRADAS-BASE'!B900="","",'ENTRADAS-BASE'!B900)</f>
        <v/>
      </c>
      <c r="D902" t="str">
        <f>IF('ENTRADAS-BASE'!C900="","",'ENTRADAS-BASE'!C900)</f>
        <v/>
      </c>
      <c r="E902" s="7" t="str">
        <f>IF('ENTRADAS-BASE'!D900="","",'ENTRADAS-BASE'!D900)</f>
        <v/>
      </c>
      <c r="F902" s="6" t="str">
        <f>IF('ENTRADAS-BASE'!E900="","",'ENTRADAS-BASE'!E900)</f>
        <v/>
      </c>
      <c r="G902" t="str">
        <f>IF('ENTRADAS-BASE'!F900="","",'ENTRADAS-BASE'!F900)</f>
        <v/>
      </c>
      <c r="H902" t="str">
        <f>IF('ENTRADAS-BASE'!G900="","",'ENTRADAS-BASE'!G900)</f>
        <v/>
      </c>
      <c r="I902" t="str">
        <f>IF('ENTRADAS-BASE'!H900="","",'ENTRADAS-BASE'!H900)</f>
        <v/>
      </c>
      <c r="J902" t="str">
        <f>IF('ENTRADAS-BASE'!I900="","",'ENTRADAS-BASE'!I900)</f>
        <v/>
      </c>
      <c r="K902" s="5" t="str">
        <f>IF('ENTRADAS-BASE'!J900="","",'ENTRADAS-BASE'!J900)</f>
        <v/>
      </c>
      <c r="L9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3" spans="2:12" x14ac:dyDescent="0.3">
      <c r="B903" t="str">
        <f>IF('ENTRADAS-BASE'!A901="","",'ENTRADAS-BASE'!A901)</f>
        <v/>
      </c>
      <c r="C903" t="str">
        <f>IF('ENTRADAS-BASE'!B901="","",'ENTRADAS-BASE'!B901)</f>
        <v/>
      </c>
      <c r="D903" t="str">
        <f>IF('ENTRADAS-BASE'!C901="","",'ENTRADAS-BASE'!C901)</f>
        <v/>
      </c>
      <c r="E903" s="7" t="str">
        <f>IF('ENTRADAS-BASE'!D901="","",'ENTRADAS-BASE'!D901)</f>
        <v/>
      </c>
      <c r="F903" s="6" t="str">
        <f>IF('ENTRADAS-BASE'!E901="","",'ENTRADAS-BASE'!E901)</f>
        <v/>
      </c>
      <c r="G903" t="str">
        <f>IF('ENTRADAS-BASE'!F901="","",'ENTRADAS-BASE'!F901)</f>
        <v/>
      </c>
      <c r="H903" t="str">
        <f>IF('ENTRADAS-BASE'!G901="","",'ENTRADAS-BASE'!G901)</f>
        <v/>
      </c>
      <c r="I903" t="str">
        <f>IF('ENTRADAS-BASE'!H901="","",'ENTRADAS-BASE'!H901)</f>
        <v/>
      </c>
      <c r="J903" t="str">
        <f>IF('ENTRADAS-BASE'!I901="","",'ENTRADAS-BASE'!I901)</f>
        <v/>
      </c>
      <c r="K903" s="5" t="str">
        <f>IF('ENTRADAS-BASE'!J901="","",'ENTRADAS-BASE'!J901)</f>
        <v/>
      </c>
      <c r="L9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4" spans="2:12" x14ac:dyDescent="0.3">
      <c r="B904" t="str">
        <f>IF('ENTRADAS-BASE'!A902="","",'ENTRADAS-BASE'!A902)</f>
        <v/>
      </c>
      <c r="C904" t="str">
        <f>IF('ENTRADAS-BASE'!B902="","",'ENTRADAS-BASE'!B902)</f>
        <v/>
      </c>
      <c r="D904" t="str">
        <f>IF('ENTRADAS-BASE'!C902="","",'ENTRADAS-BASE'!C902)</f>
        <v/>
      </c>
      <c r="E904" s="7" t="str">
        <f>IF('ENTRADAS-BASE'!D902="","",'ENTRADAS-BASE'!D902)</f>
        <v/>
      </c>
      <c r="F904" s="6" t="str">
        <f>IF('ENTRADAS-BASE'!E902="","",'ENTRADAS-BASE'!E902)</f>
        <v/>
      </c>
      <c r="G904" t="str">
        <f>IF('ENTRADAS-BASE'!F902="","",'ENTRADAS-BASE'!F902)</f>
        <v/>
      </c>
      <c r="H904" t="str">
        <f>IF('ENTRADAS-BASE'!G902="","",'ENTRADAS-BASE'!G902)</f>
        <v/>
      </c>
      <c r="I904" t="str">
        <f>IF('ENTRADAS-BASE'!H902="","",'ENTRADAS-BASE'!H902)</f>
        <v/>
      </c>
      <c r="J904" t="str">
        <f>IF('ENTRADAS-BASE'!I902="","",'ENTRADAS-BASE'!I902)</f>
        <v/>
      </c>
      <c r="K904" s="5" t="str">
        <f>IF('ENTRADAS-BASE'!J902="","",'ENTRADAS-BASE'!J902)</f>
        <v/>
      </c>
      <c r="L9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5" spans="2:12" x14ac:dyDescent="0.3">
      <c r="B905" t="str">
        <f>IF('ENTRADAS-BASE'!A903="","",'ENTRADAS-BASE'!A903)</f>
        <v/>
      </c>
      <c r="C905" t="str">
        <f>IF('ENTRADAS-BASE'!B903="","",'ENTRADAS-BASE'!B903)</f>
        <v/>
      </c>
      <c r="D905" t="str">
        <f>IF('ENTRADAS-BASE'!C903="","",'ENTRADAS-BASE'!C903)</f>
        <v/>
      </c>
      <c r="E905" s="7" t="str">
        <f>IF('ENTRADAS-BASE'!D903="","",'ENTRADAS-BASE'!D903)</f>
        <v/>
      </c>
      <c r="F905" s="6" t="str">
        <f>IF('ENTRADAS-BASE'!E903="","",'ENTRADAS-BASE'!E903)</f>
        <v/>
      </c>
      <c r="G905" t="str">
        <f>IF('ENTRADAS-BASE'!F903="","",'ENTRADAS-BASE'!F903)</f>
        <v/>
      </c>
      <c r="H905" t="str">
        <f>IF('ENTRADAS-BASE'!G903="","",'ENTRADAS-BASE'!G903)</f>
        <v/>
      </c>
      <c r="I905" t="str">
        <f>IF('ENTRADAS-BASE'!H903="","",'ENTRADAS-BASE'!H903)</f>
        <v/>
      </c>
      <c r="J905" t="str">
        <f>IF('ENTRADAS-BASE'!I903="","",'ENTRADAS-BASE'!I903)</f>
        <v/>
      </c>
      <c r="K905" s="5" t="str">
        <f>IF('ENTRADAS-BASE'!J903="","",'ENTRADAS-BASE'!J903)</f>
        <v/>
      </c>
      <c r="L9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6" spans="2:12" x14ac:dyDescent="0.3">
      <c r="B906" t="str">
        <f>IF('ENTRADAS-BASE'!A904="","",'ENTRADAS-BASE'!A904)</f>
        <v/>
      </c>
      <c r="C906" t="str">
        <f>IF('ENTRADAS-BASE'!B904="","",'ENTRADAS-BASE'!B904)</f>
        <v/>
      </c>
      <c r="D906" t="str">
        <f>IF('ENTRADAS-BASE'!C904="","",'ENTRADAS-BASE'!C904)</f>
        <v/>
      </c>
      <c r="E906" s="7" t="str">
        <f>IF('ENTRADAS-BASE'!D904="","",'ENTRADAS-BASE'!D904)</f>
        <v/>
      </c>
      <c r="F906" s="6" t="str">
        <f>IF('ENTRADAS-BASE'!E904="","",'ENTRADAS-BASE'!E904)</f>
        <v/>
      </c>
      <c r="G906" t="str">
        <f>IF('ENTRADAS-BASE'!F904="","",'ENTRADAS-BASE'!F904)</f>
        <v/>
      </c>
      <c r="H906" t="str">
        <f>IF('ENTRADAS-BASE'!G904="","",'ENTRADAS-BASE'!G904)</f>
        <v/>
      </c>
      <c r="I906" t="str">
        <f>IF('ENTRADAS-BASE'!H904="","",'ENTRADAS-BASE'!H904)</f>
        <v/>
      </c>
      <c r="J906" t="str">
        <f>IF('ENTRADAS-BASE'!I904="","",'ENTRADAS-BASE'!I904)</f>
        <v/>
      </c>
      <c r="K906" s="5" t="str">
        <f>IF('ENTRADAS-BASE'!J904="","",'ENTRADAS-BASE'!J904)</f>
        <v/>
      </c>
      <c r="L9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7" spans="2:12" x14ac:dyDescent="0.3">
      <c r="B907" t="str">
        <f>IF('ENTRADAS-BASE'!A905="","",'ENTRADAS-BASE'!A905)</f>
        <v/>
      </c>
      <c r="C907" t="str">
        <f>IF('ENTRADAS-BASE'!B905="","",'ENTRADAS-BASE'!B905)</f>
        <v/>
      </c>
      <c r="D907" t="str">
        <f>IF('ENTRADAS-BASE'!C905="","",'ENTRADAS-BASE'!C905)</f>
        <v/>
      </c>
      <c r="E907" s="7" t="str">
        <f>IF('ENTRADAS-BASE'!D905="","",'ENTRADAS-BASE'!D905)</f>
        <v/>
      </c>
      <c r="F907" s="6" t="str">
        <f>IF('ENTRADAS-BASE'!E905="","",'ENTRADAS-BASE'!E905)</f>
        <v/>
      </c>
      <c r="G907" t="str">
        <f>IF('ENTRADAS-BASE'!F905="","",'ENTRADAS-BASE'!F905)</f>
        <v/>
      </c>
      <c r="H907" t="str">
        <f>IF('ENTRADAS-BASE'!G905="","",'ENTRADAS-BASE'!G905)</f>
        <v/>
      </c>
      <c r="I907" t="str">
        <f>IF('ENTRADAS-BASE'!H905="","",'ENTRADAS-BASE'!H905)</f>
        <v/>
      </c>
      <c r="J907" t="str">
        <f>IF('ENTRADAS-BASE'!I905="","",'ENTRADAS-BASE'!I905)</f>
        <v/>
      </c>
      <c r="K907" s="5" t="str">
        <f>IF('ENTRADAS-BASE'!J905="","",'ENTRADAS-BASE'!J905)</f>
        <v/>
      </c>
      <c r="L9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8" spans="2:12" x14ac:dyDescent="0.3">
      <c r="B908" t="str">
        <f>IF('ENTRADAS-BASE'!A906="","",'ENTRADAS-BASE'!A906)</f>
        <v/>
      </c>
      <c r="C908" t="str">
        <f>IF('ENTRADAS-BASE'!B906="","",'ENTRADAS-BASE'!B906)</f>
        <v/>
      </c>
      <c r="D908" t="str">
        <f>IF('ENTRADAS-BASE'!C906="","",'ENTRADAS-BASE'!C906)</f>
        <v/>
      </c>
      <c r="E908" s="7" t="str">
        <f>IF('ENTRADAS-BASE'!D906="","",'ENTRADAS-BASE'!D906)</f>
        <v/>
      </c>
      <c r="F908" s="6" t="str">
        <f>IF('ENTRADAS-BASE'!E906="","",'ENTRADAS-BASE'!E906)</f>
        <v/>
      </c>
      <c r="G908" t="str">
        <f>IF('ENTRADAS-BASE'!F906="","",'ENTRADAS-BASE'!F906)</f>
        <v/>
      </c>
      <c r="H908" t="str">
        <f>IF('ENTRADAS-BASE'!G906="","",'ENTRADAS-BASE'!G906)</f>
        <v/>
      </c>
      <c r="I908" t="str">
        <f>IF('ENTRADAS-BASE'!H906="","",'ENTRADAS-BASE'!H906)</f>
        <v/>
      </c>
      <c r="J908" t="str">
        <f>IF('ENTRADAS-BASE'!I906="","",'ENTRADAS-BASE'!I906)</f>
        <v/>
      </c>
      <c r="K908" s="5" t="str">
        <f>IF('ENTRADAS-BASE'!J906="","",'ENTRADAS-BASE'!J906)</f>
        <v/>
      </c>
      <c r="L9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9" spans="2:12" x14ac:dyDescent="0.3">
      <c r="B909" t="str">
        <f>IF('ENTRADAS-BASE'!A907="","",'ENTRADAS-BASE'!A907)</f>
        <v/>
      </c>
      <c r="C909" t="str">
        <f>IF('ENTRADAS-BASE'!B907="","",'ENTRADAS-BASE'!B907)</f>
        <v/>
      </c>
      <c r="D909" t="str">
        <f>IF('ENTRADAS-BASE'!C907="","",'ENTRADAS-BASE'!C907)</f>
        <v/>
      </c>
      <c r="E909" s="7" t="str">
        <f>IF('ENTRADAS-BASE'!D907="","",'ENTRADAS-BASE'!D907)</f>
        <v/>
      </c>
      <c r="F909" s="6" t="str">
        <f>IF('ENTRADAS-BASE'!E907="","",'ENTRADAS-BASE'!E907)</f>
        <v/>
      </c>
      <c r="G909" t="str">
        <f>IF('ENTRADAS-BASE'!F907="","",'ENTRADAS-BASE'!F907)</f>
        <v/>
      </c>
      <c r="H909" t="str">
        <f>IF('ENTRADAS-BASE'!G907="","",'ENTRADAS-BASE'!G907)</f>
        <v/>
      </c>
      <c r="I909" t="str">
        <f>IF('ENTRADAS-BASE'!H907="","",'ENTRADAS-BASE'!H907)</f>
        <v/>
      </c>
      <c r="J909" t="str">
        <f>IF('ENTRADAS-BASE'!I907="","",'ENTRADAS-BASE'!I907)</f>
        <v/>
      </c>
      <c r="K909" s="5" t="str">
        <f>IF('ENTRADAS-BASE'!J907="","",'ENTRADAS-BASE'!J907)</f>
        <v/>
      </c>
      <c r="L9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0" spans="2:12" x14ac:dyDescent="0.3">
      <c r="B910" t="str">
        <f>IF('ENTRADAS-BASE'!A908="","",'ENTRADAS-BASE'!A908)</f>
        <v/>
      </c>
      <c r="C910" t="str">
        <f>IF('ENTRADAS-BASE'!B908="","",'ENTRADAS-BASE'!B908)</f>
        <v/>
      </c>
      <c r="D910" t="str">
        <f>IF('ENTRADAS-BASE'!C908="","",'ENTRADAS-BASE'!C908)</f>
        <v/>
      </c>
      <c r="E910" s="7" t="str">
        <f>IF('ENTRADAS-BASE'!D908="","",'ENTRADAS-BASE'!D908)</f>
        <v/>
      </c>
      <c r="F910" s="6" t="str">
        <f>IF('ENTRADAS-BASE'!E908="","",'ENTRADAS-BASE'!E908)</f>
        <v/>
      </c>
      <c r="G910" t="str">
        <f>IF('ENTRADAS-BASE'!F908="","",'ENTRADAS-BASE'!F908)</f>
        <v/>
      </c>
      <c r="H910" t="str">
        <f>IF('ENTRADAS-BASE'!G908="","",'ENTRADAS-BASE'!G908)</f>
        <v/>
      </c>
      <c r="I910" t="str">
        <f>IF('ENTRADAS-BASE'!H908="","",'ENTRADAS-BASE'!H908)</f>
        <v/>
      </c>
      <c r="J910" t="str">
        <f>IF('ENTRADAS-BASE'!I908="","",'ENTRADAS-BASE'!I908)</f>
        <v/>
      </c>
      <c r="K910" s="5" t="str">
        <f>IF('ENTRADAS-BASE'!J908="","",'ENTRADAS-BASE'!J908)</f>
        <v/>
      </c>
      <c r="L9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1" spans="2:12" x14ac:dyDescent="0.3">
      <c r="B911" t="str">
        <f>IF('ENTRADAS-BASE'!A909="","",'ENTRADAS-BASE'!A909)</f>
        <v/>
      </c>
      <c r="C911" t="str">
        <f>IF('ENTRADAS-BASE'!B909="","",'ENTRADAS-BASE'!B909)</f>
        <v/>
      </c>
      <c r="D911" t="str">
        <f>IF('ENTRADAS-BASE'!C909="","",'ENTRADAS-BASE'!C909)</f>
        <v/>
      </c>
      <c r="E911" s="7" t="str">
        <f>IF('ENTRADAS-BASE'!D909="","",'ENTRADAS-BASE'!D909)</f>
        <v/>
      </c>
      <c r="F911" s="6" t="str">
        <f>IF('ENTRADAS-BASE'!E909="","",'ENTRADAS-BASE'!E909)</f>
        <v/>
      </c>
      <c r="G911" t="str">
        <f>IF('ENTRADAS-BASE'!F909="","",'ENTRADAS-BASE'!F909)</f>
        <v/>
      </c>
      <c r="H911" t="str">
        <f>IF('ENTRADAS-BASE'!G909="","",'ENTRADAS-BASE'!G909)</f>
        <v/>
      </c>
      <c r="I911" t="str">
        <f>IF('ENTRADAS-BASE'!H909="","",'ENTRADAS-BASE'!H909)</f>
        <v/>
      </c>
      <c r="J911" t="str">
        <f>IF('ENTRADAS-BASE'!I909="","",'ENTRADAS-BASE'!I909)</f>
        <v/>
      </c>
      <c r="K911" s="5" t="str">
        <f>IF('ENTRADAS-BASE'!J909="","",'ENTRADAS-BASE'!J909)</f>
        <v/>
      </c>
      <c r="L9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2" spans="2:12" x14ac:dyDescent="0.3">
      <c r="B912" t="str">
        <f>IF('ENTRADAS-BASE'!A910="","",'ENTRADAS-BASE'!A910)</f>
        <v/>
      </c>
      <c r="C912" t="str">
        <f>IF('ENTRADAS-BASE'!B910="","",'ENTRADAS-BASE'!B910)</f>
        <v/>
      </c>
      <c r="D912" t="str">
        <f>IF('ENTRADAS-BASE'!C910="","",'ENTRADAS-BASE'!C910)</f>
        <v/>
      </c>
      <c r="E912" s="7" t="str">
        <f>IF('ENTRADAS-BASE'!D910="","",'ENTRADAS-BASE'!D910)</f>
        <v/>
      </c>
      <c r="F912" s="6" t="str">
        <f>IF('ENTRADAS-BASE'!E910="","",'ENTRADAS-BASE'!E910)</f>
        <v/>
      </c>
      <c r="G912" t="str">
        <f>IF('ENTRADAS-BASE'!F910="","",'ENTRADAS-BASE'!F910)</f>
        <v/>
      </c>
      <c r="H912" t="str">
        <f>IF('ENTRADAS-BASE'!G910="","",'ENTRADAS-BASE'!G910)</f>
        <v/>
      </c>
      <c r="I912" t="str">
        <f>IF('ENTRADAS-BASE'!H910="","",'ENTRADAS-BASE'!H910)</f>
        <v/>
      </c>
      <c r="J912" t="str">
        <f>IF('ENTRADAS-BASE'!I910="","",'ENTRADAS-BASE'!I910)</f>
        <v/>
      </c>
      <c r="K912" s="5" t="str">
        <f>IF('ENTRADAS-BASE'!J910="","",'ENTRADAS-BASE'!J910)</f>
        <v/>
      </c>
      <c r="L9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3" spans="2:12" x14ac:dyDescent="0.3">
      <c r="B913" t="str">
        <f>IF('ENTRADAS-BASE'!A911="","",'ENTRADAS-BASE'!A911)</f>
        <v/>
      </c>
      <c r="C913" t="str">
        <f>IF('ENTRADAS-BASE'!B911="","",'ENTRADAS-BASE'!B911)</f>
        <v/>
      </c>
      <c r="D913" t="str">
        <f>IF('ENTRADAS-BASE'!C911="","",'ENTRADAS-BASE'!C911)</f>
        <v/>
      </c>
      <c r="E913" s="7" t="str">
        <f>IF('ENTRADAS-BASE'!D911="","",'ENTRADAS-BASE'!D911)</f>
        <v/>
      </c>
      <c r="F913" s="6" t="str">
        <f>IF('ENTRADAS-BASE'!E911="","",'ENTRADAS-BASE'!E911)</f>
        <v/>
      </c>
      <c r="G913" t="str">
        <f>IF('ENTRADAS-BASE'!F911="","",'ENTRADAS-BASE'!F911)</f>
        <v/>
      </c>
      <c r="H913" t="str">
        <f>IF('ENTRADAS-BASE'!G911="","",'ENTRADAS-BASE'!G911)</f>
        <v/>
      </c>
      <c r="I913" t="str">
        <f>IF('ENTRADAS-BASE'!H911="","",'ENTRADAS-BASE'!H911)</f>
        <v/>
      </c>
      <c r="J913" t="str">
        <f>IF('ENTRADAS-BASE'!I911="","",'ENTRADAS-BASE'!I911)</f>
        <v/>
      </c>
      <c r="K913" s="5" t="str">
        <f>IF('ENTRADAS-BASE'!J911="","",'ENTRADAS-BASE'!J911)</f>
        <v/>
      </c>
      <c r="L9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4" spans="2:12" x14ac:dyDescent="0.3">
      <c r="B914" t="str">
        <f>IF('ENTRADAS-BASE'!A912="","",'ENTRADAS-BASE'!A912)</f>
        <v/>
      </c>
      <c r="C914" t="str">
        <f>IF('ENTRADAS-BASE'!B912="","",'ENTRADAS-BASE'!B912)</f>
        <v/>
      </c>
      <c r="D914" t="str">
        <f>IF('ENTRADAS-BASE'!C912="","",'ENTRADAS-BASE'!C912)</f>
        <v/>
      </c>
      <c r="E914" s="7" t="str">
        <f>IF('ENTRADAS-BASE'!D912="","",'ENTRADAS-BASE'!D912)</f>
        <v/>
      </c>
      <c r="F914" s="6" t="str">
        <f>IF('ENTRADAS-BASE'!E912="","",'ENTRADAS-BASE'!E912)</f>
        <v/>
      </c>
      <c r="G914" t="str">
        <f>IF('ENTRADAS-BASE'!F912="","",'ENTRADAS-BASE'!F912)</f>
        <v/>
      </c>
      <c r="H914" t="str">
        <f>IF('ENTRADAS-BASE'!G912="","",'ENTRADAS-BASE'!G912)</f>
        <v/>
      </c>
      <c r="I914" t="str">
        <f>IF('ENTRADAS-BASE'!H912="","",'ENTRADAS-BASE'!H912)</f>
        <v/>
      </c>
      <c r="J914" t="str">
        <f>IF('ENTRADAS-BASE'!I912="","",'ENTRADAS-BASE'!I912)</f>
        <v/>
      </c>
      <c r="K914" s="5" t="str">
        <f>IF('ENTRADAS-BASE'!J912="","",'ENTRADAS-BASE'!J912)</f>
        <v/>
      </c>
      <c r="L9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5" spans="2:12" x14ac:dyDescent="0.3">
      <c r="B915" t="str">
        <f>IF('ENTRADAS-BASE'!A913="","",'ENTRADAS-BASE'!A913)</f>
        <v/>
      </c>
      <c r="C915" t="str">
        <f>IF('ENTRADAS-BASE'!B913="","",'ENTRADAS-BASE'!B913)</f>
        <v/>
      </c>
      <c r="D915" t="str">
        <f>IF('ENTRADAS-BASE'!C913="","",'ENTRADAS-BASE'!C913)</f>
        <v/>
      </c>
      <c r="E915" s="7" t="str">
        <f>IF('ENTRADAS-BASE'!D913="","",'ENTRADAS-BASE'!D913)</f>
        <v/>
      </c>
      <c r="F915" s="6" t="str">
        <f>IF('ENTRADAS-BASE'!E913="","",'ENTRADAS-BASE'!E913)</f>
        <v/>
      </c>
      <c r="G915" t="str">
        <f>IF('ENTRADAS-BASE'!F913="","",'ENTRADAS-BASE'!F913)</f>
        <v/>
      </c>
      <c r="H915" t="str">
        <f>IF('ENTRADAS-BASE'!G913="","",'ENTRADAS-BASE'!G913)</f>
        <v/>
      </c>
      <c r="I915" t="str">
        <f>IF('ENTRADAS-BASE'!H913="","",'ENTRADAS-BASE'!H913)</f>
        <v/>
      </c>
      <c r="J915" t="str">
        <f>IF('ENTRADAS-BASE'!I913="","",'ENTRADAS-BASE'!I913)</f>
        <v/>
      </c>
      <c r="K915" s="5" t="str">
        <f>IF('ENTRADAS-BASE'!J913="","",'ENTRADAS-BASE'!J913)</f>
        <v/>
      </c>
      <c r="L9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6" spans="2:12" x14ac:dyDescent="0.3">
      <c r="B916" t="str">
        <f>IF('ENTRADAS-BASE'!A914="","",'ENTRADAS-BASE'!A914)</f>
        <v/>
      </c>
      <c r="C916" t="str">
        <f>IF('ENTRADAS-BASE'!B914="","",'ENTRADAS-BASE'!B914)</f>
        <v/>
      </c>
      <c r="D916" t="str">
        <f>IF('ENTRADAS-BASE'!C914="","",'ENTRADAS-BASE'!C914)</f>
        <v/>
      </c>
      <c r="E916" s="7" t="str">
        <f>IF('ENTRADAS-BASE'!D914="","",'ENTRADAS-BASE'!D914)</f>
        <v/>
      </c>
      <c r="F916" s="6" t="str">
        <f>IF('ENTRADAS-BASE'!E914="","",'ENTRADAS-BASE'!E914)</f>
        <v/>
      </c>
      <c r="G916" t="str">
        <f>IF('ENTRADAS-BASE'!F914="","",'ENTRADAS-BASE'!F914)</f>
        <v/>
      </c>
      <c r="H916" t="str">
        <f>IF('ENTRADAS-BASE'!G914="","",'ENTRADAS-BASE'!G914)</f>
        <v/>
      </c>
      <c r="I916" t="str">
        <f>IF('ENTRADAS-BASE'!H914="","",'ENTRADAS-BASE'!H914)</f>
        <v/>
      </c>
      <c r="J916" t="str">
        <f>IF('ENTRADAS-BASE'!I914="","",'ENTRADAS-BASE'!I914)</f>
        <v/>
      </c>
      <c r="K916" s="5" t="str">
        <f>IF('ENTRADAS-BASE'!J914="","",'ENTRADAS-BASE'!J914)</f>
        <v/>
      </c>
      <c r="L9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7" spans="2:12" x14ac:dyDescent="0.3">
      <c r="B917" t="str">
        <f>IF('ENTRADAS-BASE'!A915="","",'ENTRADAS-BASE'!A915)</f>
        <v/>
      </c>
      <c r="C917" t="str">
        <f>IF('ENTRADAS-BASE'!B915="","",'ENTRADAS-BASE'!B915)</f>
        <v/>
      </c>
      <c r="D917" t="str">
        <f>IF('ENTRADAS-BASE'!C915="","",'ENTRADAS-BASE'!C915)</f>
        <v/>
      </c>
      <c r="E917" s="7" t="str">
        <f>IF('ENTRADAS-BASE'!D915="","",'ENTRADAS-BASE'!D915)</f>
        <v/>
      </c>
      <c r="F917" s="6" t="str">
        <f>IF('ENTRADAS-BASE'!E915="","",'ENTRADAS-BASE'!E915)</f>
        <v/>
      </c>
      <c r="G917" t="str">
        <f>IF('ENTRADAS-BASE'!F915="","",'ENTRADAS-BASE'!F915)</f>
        <v/>
      </c>
      <c r="H917" t="str">
        <f>IF('ENTRADAS-BASE'!G915="","",'ENTRADAS-BASE'!G915)</f>
        <v/>
      </c>
      <c r="I917" t="str">
        <f>IF('ENTRADAS-BASE'!H915="","",'ENTRADAS-BASE'!H915)</f>
        <v/>
      </c>
      <c r="J917" t="str">
        <f>IF('ENTRADAS-BASE'!I915="","",'ENTRADAS-BASE'!I915)</f>
        <v/>
      </c>
      <c r="K917" s="5" t="str">
        <f>IF('ENTRADAS-BASE'!J915="","",'ENTRADAS-BASE'!J915)</f>
        <v/>
      </c>
      <c r="L9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8" spans="2:12" x14ac:dyDescent="0.3">
      <c r="B918" t="str">
        <f>IF('ENTRADAS-BASE'!A916="","",'ENTRADAS-BASE'!A916)</f>
        <v/>
      </c>
      <c r="C918" t="str">
        <f>IF('ENTRADAS-BASE'!B916="","",'ENTRADAS-BASE'!B916)</f>
        <v/>
      </c>
      <c r="D918" t="str">
        <f>IF('ENTRADAS-BASE'!C916="","",'ENTRADAS-BASE'!C916)</f>
        <v/>
      </c>
      <c r="E918" s="7" t="str">
        <f>IF('ENTRADAS-BASE'!D916="","",'ENTRADAS-BASE'!D916)</f>
        <v/>
      </c>
      <c r="F918" s="6" t="str">
        <f>IF('ENTRADAS-BASE'!E916="","",'ENTRADAS-BASE'!E916)</f>
        <v/>
      </c>
      <c r="G918" t="str">
        <f>IF('ENTRADAS-BASE'!F916="","",'ENTRADAS-BASE'!F916)</f>
        <v/>
      </c>
      <c r="H918" t="str">
        <f>IF('ENTRADAS-BASE'!G916="","",'ENTRADAS-BASE'!G916)</f>
        <v/>
      </c>
      <c r="I918" t="str">
        <f>IF('ENTRADAS-BASE'!H916="","",'ENTRADAS-BASE'!H916)</f>
        <v/>
      </c>
      <c r="J918" t="str">
        <f>IF('ENTRADAS-BASE'!I916="","",'ENTRADAS-BASE'!I916)</f>
        <v/>
      </c>
      <c r="K918" s="5" t="str">
        <f>IF('ENTRADAS-BASE'!J916="","",'ENTRADAS-BASE'!J916)</f>
        <v/>
      </c>
      <c r="L9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9" spans="2:12" x14ac:dyDescent="0.3">
      <c r="B919" t="str">
        <f>IF('ENTRADAS-BASE'!A917="","",'ENTRADAS-BASE'!A917)</f>
        <v/>
      </c>
      <c r="C919" t="str">
        <f>IF('ENTRADAS-BASE'!B917="","",'ENTRADAS-BASE'!B917)</f>
        <v/>
      </c>
      <c r="D919" t="str">
        <f>IF('ENTRADAS-BASE'!C917="","",'ENTRADAS-BASE'!C917)</f>
        <v/>
      </c>
      <c r="E919" s="7" t="str">
        <f>IF('ENTRADAS-BASE'!D917="","",'ENTRADAS-BASE'!D917)</f>
        <v/>
      </c>
      <c r="F919" s="6" t="str">
        <f>IF('ENTRADAS-BASE'!E917="","",'ENTRADAS-BASE'!E917)</f>
        <v/>
      </c>
      <c r="G919" t="str">
        <f>IF('ENTRADAS-BASE'!F917="","",'ENTRADAS-BASE'!F917)</f>
        <v/>
      </c>
      <c r="H919" t="str">
        <f>IF('ENTRADAS-BASE'!G917="","",'ENTRADAS-BASE'!G917)</f>
        <v/>
      </c>
      <c r="I919" t="str">
        <f>IF('ENTRADAS-BASE'!H917="","",'ENTRADAS-BASE'!H917)</f>
        <v/>
      </c>
      <c r="J919" t="str">
        <f>IF('ENTRADAS-BASE'!I917="","",'ENTRADAS-BASE'!I917)</f>
        <v/>
      </c>
      <c r="K919" s="5" t="str">
        <f>IF('ENTRADAS-BASE'!J917="","",'ENTRADAS-BASE'!J917)</f>
        <v/>
      </c>
      <c r="L9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0" spans="2:12" x14ac:dyDescent="0.3">
      <c r="B920" t="str">
        <f>IF('ENTRADAS-BASE'!A918="","",'ENTRADAS-BASE'!A918)</f>
        <v/>
      </c>
      <c r="C920" t="str">
        <f>IF('ENTRADAS-BASE'!B918="","",'ENTRADAS-BASE'!B918)</f>
        <v/>
      </c>
      <c r="D920" t="str">
        <f>IF('ENTRADAS-BASE'!C918="","",'ENTRADAS-BASE'!C918)</f>
        <v/>
      </c>
      <c r="E920" s="7" t="str">
        <f>IF('ENTRADAS-BASE'!D918="","",'ENTRADAS-BASE'!D918)</f>
        <v/>
      </c>
      <c r="F920" s="6" t="str">
        <f>IF('ENTRADAS-BASE'!E918="","",'ENTRADAS-BASE'!E918)</f>
        <v/>
      </c>
      <c r="G920" t="str">
        <f>IF('ENTRADAS-BASE'!F918="","",'ENTRADAS-BASE'!F918)</f>
        <v/>
      </c>
      <c r="H920" t="str">
        <f>IF('ENTRADAS-BASE'!G918="","",'ENTRADAS-BASE'!G918)</f>
        <v/>
      </c>
      <c r="I920" t="str">
        <f>IF('ENTRADAS-BASE'!H918="","",'ENTRADAS-BASE'!H918)</f>
        <v/>
      </c>
      <c r="J920" t="str">
        <f>IF('ENTRADAS-BASE'!I918="","",'ENTRADAS-BASE'!I918)</f>
        <v/>
      </c>
      <c r="K920" s="5" t="str">
        <f>IF('ENTRADAS-BASE'!J918="","",'ENTRADAS-BASE'!J918)</f>
        <v/>
      </c>
      <c r="L9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1" spans="2:12" x14ac:dyDescent="0.3">
      <c r="B921" t="str">
        <f>IF('ENTRADAS-BASE'!A919="","",'ENTRADAS-BASE'!A919)</f>
        <v/>
      </c>
      <c r="C921" t="str">
        <f>IF('ENTRADAS-BASE'!B919="","",'ENTRADAS-BASE'!B919)</f>
        <v/>
      </c>
      <c r="D921" t="str">
        <f>IF('ENTRADAS-BASE'!C919="","",'ENTRADAS-BASE'!C919)</f>
        <v/>
      </c>
      <c r="E921" s="7" t="str">
        <f>IF('ENTRADAS-BASE'!D919="","",'ENTRADAS-BASE'!D919)</f>
        <v/>
      </c>
      <c r="F921" s="6" t="str">
        <f>IF('ENTRADAS-BASE'!E919="","",'ENTRADAS-BASE'!E919)</f>
        <v/>
      </c>
      <c r="G921" t="str">
        <f>IF('ENTRADAS-BASE'!F919="","",'ENTRADAS-BASE'!F919)</f>
        <v/>
      </c>
      <c r="H921" t="str">
        <f>IF('ENTRADAS-BASE'!G919="","",'ENTRADAS-BASE'!G919)</f>
        <v/>
      </c>
      <c r="I921" t="str">
        <f>IF('ENTRADAS-BASE'!H919="","",'ENTRADAS-BASE'!H919)</f>
        <v/>
      </c>
      <c r="J921" t="str">
        <f>IF('ENTRADAS-BASE'!I919="","",'ENTRADAS-BASE'!I919)</f>
        <v/>
      </c>
      <c r="K921" s="5" t="str">
        <f>IF('ENTRADAS-BASE'!J919="","",'ENTRADAS-BASE'!J919)</f>
        <v/>
      </c>
      <c r="L9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2" spans="2:12" x14ac:dyDescent="0.3">
      <c r="B922" t="str">
        <f>IF('ENTRADAS-BASE'!A920="","",'ENTRADAS-BASE'!A920)</f>
        <v/>
      </c>
      <c r="C922" t="str">
        <f>IF('ENTRADAS-BASE'!B920="","",'ENTRADAS-BASE'!B920)</f>
        <v/>
      </c>
      <c r="D922" t="str">
        <f>IF('ENTRADAS-BASE'!C920="","",'ENTRADAS-BASE'!C920)</f>
        <v/>
      </c>
      <c r="E922" s="7" t="str">
        <f>IF('ENTRADAS-BASE'!D920="","",'ENTRADAS-BASE'!D920)</f>
        <v/>
      </c>
      <c r="F922" s="6" t="str">
        <f>IF('ENTRADAS-BASE'!E920="","",'ENTRADAS-BASE'!E920)</f>
        <v/>
      </c>
      <c r="G922" t="str">
        <f>IF('ENTRADAS-BASE'!F920="","",'ENTRADAS-BASE'!F920)</f>
        <v/>
      </c>
      <c r="H922" t="str">
        <f>IF('ENTRADAS-BASE'!G920="","",'ENTRADAS-BASE'!G920)</f>
        <v/>
      </c>
      <c r="I922" t="str">
        <f>IF('ENTRADAS-BASE'!H920="","",'ENTRADAS-BASE'!H920)</f>
        <v/>
      </c>
      <c r="J922" t="str">
        <f>IF('ENTRADAS-BASE'!I920="","",'ENTRADAS-BASE'!I920)</f>
        <v/>
      </c>
      <c r="K922" s="5" t="str">
        <f>IF('ENTRADAS-BASE'!J920="","",'ENTRADAS-BASE'!J920)</f>
        <v/>
      </c>
      <c r="L9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3" spans="2:12" x14ac:dyDescent="0.3">
      <c r="B923" t="str">
        <f>IF('ENTRADAS-BASE'!A921="","",'ENTRADAS-BASE'!A921)</f>
        <v/>
      </c>
      <c r="C923" t="str">
        <f>IF('ENTRADAS-BASE'!B921="","",'ENTRADAS-BASE'!B921)</f>
        <v/>
      </c>
      <c r="D923" t="str">
        <f>IF('ENTRADAS-BASE'!C921="","",'ENTRADAS-BASE'!C921)</f>
        <v/>
      </c>
      <c r="E923" s="7" t="str">
        <f>IF('ENTRADAS-BASE'!D921="","",'ENTRADAS-BASE'!D921)</f>
        <v/>
      </c>
      <c r="F923" s="6" t="str">
        <f>IF('ENTRADAS-BASE'!E921="","",'ENTRADAS-BASE'!E921)</f>
        <v/>
      </c>
      <c r="G923" t="str">
        <f>IF('ENTRADAS-BASE'!F921="","",'ENTRADAS-BASE'!F921)</f>
        <v/>
      </c>
      <c r="H923" t="str">
        <f>IF('ENTRADAS-BASE'!G921="","",'ENTRADAS-BASE'!G921)</f>
        <v/>
      </c>
      <c r="I923" t="str">
        <f>IF('ENTRADAS-BASE'!H921="","",'ENTRADAS-BASE'!H921)</f>
        <v/>
      </c>
      <c r="J923" t="str">
        <f>IF('ENTRADAS-BASE'!I921="","",'ENTRADAS-BASE'!I921)</f>
        <v/>
      </c>
      <c r="K923" s="5" t="str">
        <f>IF('ENTRADAS-BASE'!J921="","",'ENTRADAS-BASE'!J921)</f>
        <v/>
      </c>
      <c r="L9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4" spans="2:12" x14ac:dyDescent="0.3">
      <c r="B924" t="str">
        <f>IF('ENTRADAS-BASE'!A922="","",'ENTRADAS-BASE'!A922)</f>
        <v/>
      </c>
      <c r="C924" t="str">
        <f>IF('ENTRADAS-BASE'!B922="","",'ENTRADAS-BASE'!B922)</f>
        <v/>
      </c>
      <c r="D924" t="str">
        <f>IF('ENTRADAS-BASE'!C922="","",'ENTRADAS-BASE'!C922)</f>
        <v/>
      </c>
      <c r="E924" s="7" t="str">
        <f>IF('ENTRADAS-BASE'!D922="","",'ENTRADAS-BASE'!D922)</f>
        <v/>
      </c>
      <c r="F924" s="6" t="str">
        <f>IF('ENTRADAS-BASE'!E922="","",'ENTRADAS-BASE'!E922)</f>
        <v/>
      </c>
      <c r="G924" t="str">
        <f>IF('ENTRADAS-BASE'!F922="","",'ENTRADAS-BASE'!F922)</f>
        <v/>
      </c>
      <c r="H924" t="str">
        <f>IF('ENTRADAS-BASE'!G922="","",'ENTRADAS-BASE'!G922)</f>
        <v/>
      </c>
      <c r="I924" t="str">
        <f>IF('ENTRADAS-BASE'!H922="","",'ENTRADAS-BASE'!H922)</f>
        <v/>
      </c>
      <c r="J924" t="str">
        <f>IF('ENTRADAS-BASE'!I922="","",'ENTRADAS-BASE'!I922)</f>
        <v/>
      </c>
      <c r="K924" s="5" t="str">
        <f>IF('ENTRADAS-BASE'!J922="","",'ENTRADAS-BASE'!J922)</f>
        <v/>
      </c>
      <c r="L9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5" spans="2:12" x14ac:dyDescent="0.3">
      <c r="B925" t="str">
        <f>IF('ENTRADAS-BASE'!A923="","",'ENTRADAS-BASE'!A923)</f>
        <v/>
      </c>
      <c r="C925" t="str">
        <f>IF('ENTRADAS-BASE'!B923="","",'ENTRADAS-BASE'!B923)</f>
        <v/>
      </c>
      <c r="D925" t="str">
        <f>IF('ENTRADAS-BASE'!C923="","",'ENTRADAS-BASE'!C923)</f>
        <v/>
      </c>
      <c r="E925" s="7" t="str">
        <f>IF('ENTRADAS-BASE'!D923="","",'ENTRADAS-BASE'!D923)</f>
        <v/>
      </c>
      <c r="F925" s="6" t="str">
        <f>IF('ENTRADAS-BASE'!E923="","",'ENTRADAS-BASE'!E923)</f>
        <v/>
      </c>
      <c r="G925" t="str">
        <f>IF('ENTRADAS-BASE'!F923="","",'ENTRADAS-BASE'!F923)</f>
        <v/>
      </c>
      <c r="H925" t="str">
        <f>IF('ENTRADAS-BASE'!G923="","",'ENTRADAS-BASE'!G923)</f>
        <v/>
      </c>
      <c r="I925" t="str">
        <f>IF('ENTRADAS-BASE'!H923="","",'ENTRADAS-BASE'!H923)</f>
        <v/>
      </c>
      <c r="J925" t="str">
        <f>IF('ENTRADAS-BASE'!I923="","",'ENTRADAS-BASE'!I923)</f>
        <v/>
      </c>
      <c r="K925" s="5" t="str">
        <f>IF('ENTRADAS-BASE'!J923="","",'ENTRADAS-BASE'!J923)</f>
        <v/>
      </c>
      <c r="L9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6" spans="2:12" x14ac:dyDescent="0.3">
      <c r="B926" t="str">
        <f>IF('ENTRADAS-BASE'!A924="","",'ENTRADAS-BASE'!A924)</f>
        <v/>
      </c>
      <c r="C926" t="str">
        <f>IF('ENTRADAS-BASE'!B924="","",'ENTRADAS-BASE'!B924)</f>
        <v/>
      </c>
      <c r="D926" t="str">
        <f>IF('ENTRADAS-BASE'!C924="","",'ENTRADAS-BASE'!C924)</f>
        <v/>
      </c>
      <c r="E926" s="7" t="str">
        <f>IF('ENTRADAS-BASE'!D924="","",'ENTRADAS-BASE'!D924)</f>
        <v/>
      </c>
      <c r="F926" s="6" t="str">
        <f>IF('ENTRADAS-BASE'!E924="","",'ENTRADAS-BASE'!E924)</f>
        <v/>
      </c>
      <c r="G926" t="str">
        <f>IF('ENTRADAS-BASE'!F924="","",'ENTRADAS-BASE'!F924)</f>
        <v/>
      </c>
      <c r="H926" t="str">
        <f>IF('ENTRADAS-BASE'!G924="","",'ENTRADAS-BASE'!G924)</f>
        <v/>
      </c>
      <c r="I926" t="str">
        <f>IF('ENTRADAS-BASE'!H924="","",'ENTRADAS-BASE'!H924)</f>
        <v/>
      </c>
      <c r="J926" t="str">
        <f>IF('ENTRADAS-BASE'!I924="","",'ENTRADAS-BASE'!I924)</f>
        <v/>
      </c>
      <c r="K926" s="5" t="str">
        <f>IF('ENTRADAS-BASE'!J924="","",'ENTRADAS-BASE'!J924)</f>
        <v/>
      </c>
      <c r="L9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7" spans="2:12" x14ac:dyDescent="0.3">
      <c r="B927" t="str">
        <f>IF('ENTRADAS-BASE'!A925="","",'ENTRADAS-BASE'!A925)</f>
        <v/>
      </c>
      <c r="C927" t="str">
        <f>IF('ENTRADAS-BASE'!B925="","",'ENTRADAS-BASE'!B925)</f>
        <v/>
      </c>
      <c r="D927" t="str">
        <f>IF('ENTRADAS-BASE'!C925="","",'ENTRADAS-BASE'!C925)</f>
        <v/>
      </c>
      <c r="E927" s="7" t="str">
        <f>IF('ENTRADAS-BASE'!D925="","",'ENTRADAS-BASE'!D925)</f>
        <v/>
      </c>
      <c r="F927" s="6" t="str">
        <f>IF('ENTRADAS-BASE'!E925="","",'ENTRADAS-BASE'!E925)</f>
        <v/>
      </c>
      <c r="G927" t="str">
        <f>IF('ENTRADAS-BASE'!F925="","",'ENTRADAS-BASE'!F925)</f>
        <v/>
      </c>
      <c r="H927" t="str">
        <f>IF('ENTRADAS-BASE'!G925="","",'ENTRADAS-BASE'!G925)</f>
        <v/>
      </c>
      <c r="I927" t="str">
        <f>IF('ENTRADAS-BASE'!H925="","",'ENTRADAS-BASE'!H925)</f>
        <v/>
      </c>
      <c r="J927" t="str">
        <f>IF('ENTRADAS-BASE'!I925="","",'ENTRADAS-BASE'!I925)</f>
        <v/>
      </c>
      <c r="K927" s="5" t="str">
        <f>IF('ENTRADAS-BASE'!J925="","",'ENTRADAS-BASE'!J925)</f>
        <v/>
      </c>
      <c r="L9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8" spans="2:12" x14ac:dyDescent="0.3">
      <c r="B928" t="str">
        <f>IF('ENTRADAS-BASE'!A926="","",'ENTRADAS-BASE'!A926)</f>
        <v/>
      </c>
      <c r="C928" t="str">
        <f>IF('ENTRADAS-BASE'!B926="","",'ENTRADAS-BASE'!B926)</f>
        <v/>
      </c>
      <c r="D928" t="str">
        <f>IF('ENTRADAS-BASE'!C926="","",'ENTRADAS-BASE'!C926)</f>
        <v/>
      </c>
      <c r="E928" s="7" t="str">
        <f>IF('ENTRADAS-BASE'!D926="","",'ENTRADAS-BASE'!D926)</f>
        <v/>
      </c>
      <c r="F928" s="6" t="str">
        <f>IF('ENTRADAS-BASE'!E926="","",'ENTRADAS-BASE'!E926)</f>
        <v/>
      </c>
      <c r="G928" t="str">
        <f>IF('ENTRADAS-BASE'!F926="","",'ENTRADAS-BASE'!F926)</f>
        <v/>
      </c>
      <c r="H928" t="str">
        <f>IF('ENTRADAS-BASE'!G926="","",'ENTRADAS-BASE'!G926)</f>
        <v/>
      </c>
      <c r="I928" t="str">
        <f>IF('ENTRADAS-BASE'!H926="","",'ENTRADAS-BASE'!H926)</f>
        <v/>
      </c>
      <c r="J928" t="str">
        <f>IF('ENTRADAS-BASE'!I926="","",'ENTRADAS-BASE'!I926)</f>
        <v/>
      </c>
      <c r="K928" s="5" t="str">
        <f>IF('ENTRADAS-BASE'!J926="","",'ENTRADAS-BASE'!J926)</f>
        <v/>
      </c>
      <c r="L9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9" spans="2:12" x14ac:dyDescent="0.3">
      <c r="B929" t="str">
        <f>IF('ENTRADAS-BASE'!A927="","",'ENTRADAS-BASE'!A927)</f>
        <v/>
      </c>
      <c r="C929" t="str">
        <f>IF('ENTRADAS-BASE'!B927="","",'ENTRADAS-BASE'!B927)</f>
        <v/>
      </c>
      <c r="D929" t="str">
        <f>IF('ENTRADAS-BASE'!C927="","",'ENTRADAS-BASE'!C927)</f>
        <v/>
      </c>
      <c r="E929" s="7" t="str">
        <f>IF('ENTRADAS-BASE'!D927="","",'ENTRADAS-BASE'!D927)</f>
        <v/>
      </c>
      <c r="F929" s="6" t="str">
        <f>IF('ENTRADAS-BASE'!E927="","",'ENTRADAS-BASE'!E927)</f>
        <v/>
      </c>
      <c r="G929" t="str">
        <f>IF('ENTRADAS-BASE'!F927="","",'ENTRADAS-BASE'!F927)</f>
        <v/>
      </c>
      <c r="H929" t="str">
        <f>IF('ENTRADAS-BASE'!G927="","",'ENTRADAS-BASE'!G927)</f>
        <v/>
      </c>
      <c r="I929" t="str">
        <f>IF('ENTRADAS-BASE'!H927="","",'ENTRADAS-BASE'!H927)</f>
        <v/>
      </c>
      <c r="J929" t="str">
        <f>IF('ENTRADAS-BASE'!I927="","",'ENTRADAS-BASE'!I927)</f>
        <v/>
      </c>
      <c r="K929" s="5" t="str">
        <f>IF('ENTRADAS-BASE'!J927="","",'ENTRADAS-BASE'!J927)</f>
        <v/>
      </c>
      <c r="L9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0" spans="2:12" x14ac:dyDescent="0.3">
      <c r="B930" t="str">
        <f>IF('ENTRADAS-BASE'!A928="","",'ENTRADAS-BASE'!A928)</f>
        <v/>
      </c>
      <c r="C930" t="str">
        <f>IF('ENTRADAS-BASE'!B928="","",'ENTRADAS-BASE'!B928)</f>
        <v/>
      </c>
      <c r="D930" t="str">
        <f>IF('ENTRADAS-BASE'!C928="","",'ENTRADAS-BASE'!C928)</f>
        <v/>
      </c>
      <c r="E930" s="7" t="str">
        <f>IF('ENTRADAS-BASE'!D928="","",'ENTRADAS-BASE'!D928)</f>
        <v/>
      </c>
      <c r="F930" s="6" t="str">
        <f>IF('ENTRADAS-BASE'!E928="","",'ENTRADAS-BASE'!E928)</f>
        <v/>
      </c>
      <c r="G930" t="str">
        <f>IF('ENTRADAS-BASE'!F928="","",'ENTRADAS-BASE'!F928)</f>
        <v/>
      </c>
      <c r="H930" t="str">
        <f>IF('ENTRADAS-BASE'!G928="","",'ENTRADAS-BASE'!G928)</f>
        <v/>
      </c>
      <c r="I930" t="str">
        <f>IF('ENTRADAS-BASE'!H928="","",'ENTRADAS-BASE'!H928)</f>
        <v/>
      </c>
      <c r="J930" t="str">
        <f>IF('ENTRADAS-BASE'!I928="","",'ENTRADAS-BASE'!I928)</f>
        <v/>
      </c>
      <c r="K930" s="5" t="str">
        <f>IF('ENTRADAS-BASE'!J928="","",'ENTRADAS-BASE'!J928)</f>
        <v/>
      </c>
      <c r="L9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1" spans="2:12" x14ac:dyDescent="0.3">
      <c r="B931" t="str">
        <f>IF('ENTRADAS-BASE'!A929="","",'ENTRADAS-BASE'!A929)</f>
        <v/>
      </c>
      <c r="C931" t="str">
        <f>IF('ENTRADAS-BASE'!B929="","",'ENTRADAS-BASE'!B929)</f>
        <v/>
      </c>
      <c r="D931" t="str">
        <f>IF('ENTRADAS-BASE'!C929="","",'ENTRADAS-BASE'!C929)</f>
        <v/>
      </c>
      <c r="E931" s="7" t="str">
        <f>IF('ENTRADAS-BASE'!D929="","",'ENTRADAS-BASE'!D929)</f>
        <v/>
      </c>
      <c r="F931" s="6" t="str">
        <f>IF('ENTRADAS-BASE'!E929="","",'ENTRADAS-BASE'!E929)</f>
        <v/>
      </c>
      <c r="G931" t="str">
        <f>IF('ENTRADAS-BASE'!F929="","",'ENTRADAS-BASE'!F929)</f>
        <v/>
      </c>
      <c r="H931" t="str">
        <f>IF('ENTRADAS-BASE'!G929="","",'ENTRADAS-BASE'!G929)</f>
        <v/>
      </c>
      <c r="I931" t="str">
        <f>IF('ENTRADAS-BASE'!H929="","",'ENTRADAS-BASE'!H929)</f>
        <v/>
      </c>
      <c r="J931" t="str">
        <f>IF('ENTRADAS-BASE'!I929="","",'ENTRADAS-BASE'!I929)</f>
        <v/>
      </c>
      <c r="K931" s="5" t="str">
        <f>IF('ENTRADAS-BASE'!J929="","",'ENTRADAS-BASE'!J929)</f>
        <v/>
      </c>
      <c r="L9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2" spans="2:12" x14ac:dyDescent="0.3">
      <c r="B932" t="str">
        <f>IF('ENTRADAS-BASE'!A930="","",'ENTRADAS-BASE'!A930)</f>
        <v/>
      </c>
      <c r="C932" t="str">
        <f>IF('ENTRADAS-BASE'!B930="","",'ENTRADAS-BASE'!B930)</f>
        <v/>
      </c>
      <c r="D932" t="str">
        <f>IF('ENTRADAS-BASE'!C930="","",'ENTRADAS-BASE'!C930)</f>
        <v/>
      </c>
      <c r="E932" s="7" t="str">
        <f>IF('ENTRADAS-BASE'!D930="","",'ENTRADAS-BASE'!D930)</f>
        <v/>
      </c>
      <c r="F932" s="6" t="str">
        <f>IF('ENTRADAS-BASE'!E930="","",'ENTRADAS-BASE'!E930)</f>
        <v/>
      </c>
      <c r="G932" t="str">
        <f>IF('ENTRADAS-BASE'!F930="","",'ENTRADAS-BASE'!F930)</f>
        <v/>
      </c>
      <c r="H932" t="str">
        <f>IF('ENTRADAS-BASE'!G930="","",'ENTRADAS-BASE'!G930)</f>
        <v/>
      </c>
      <c r="I932" t="str">
        <f>IF('ENTRADAS-BASE'!H930="","",'ENTRADAS-BASE'!H930)</f>
        <v/>
      </c>
      <c r="J932" t="str">
        <f>IF('ENTRADAS-BASE'!I930="","",'ENTRADAS-BASE'!I930)</f>
        <v/>
      </c>
      <c r="K932" s="5" t="str">
        <f>IF('ENTRADAS-BASE'!J930="","",'ENTRADAS-BASE'!J930)</f>
        <v/>
      </c>
      <c r="L9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3" spans="2:12" x14ac:dyDescent="0.3">
      <c r="B933" t="str">
        <f>IF('ENTRADAS-BASE'!A931="","",'ENTRADAS-BASE'!A931)</f>
        <v/>
      </c>
      <c r="C933" t="str">
        <f>IF('ENTRADAS-BASE'!B931="","",'ENTRADAS-BASE'!B931)</f>
        <v/>
      </c>
      <c r="D933" t="str">
        <f>IF('ENTRADAS-BASE'!C931="","",'ENTRADAS-BASE'!C931)</f>
        <v/>
      </c>
      <c r="E933" s="7" t="str">
        <f>IF('ENTRADAS-BASE'!D931="","",'ENTRADAS-BASE'!D931)</f>
        <v/>
      </c>
      <c r="F933" s="6" t="str">
        <f>IF('ENTRADAS-BASE'!E931="","",'ENTRADAS-BASE'!E931)</f>
        <v/>
      </c>
      <c r="G933" t="str">
        <f>IF('ENTRADAS-BASE'!F931="","",'ENTRADAS-BASE'!F931)</f>
        <v/>
      </c>
      <c r="H933" t="str">
        <f>IF('ENTRADAS-BASE'!G931="","",'ENTRADAS-BASE'!G931)</f>
        <v/>
      </c>
      <c r="I933" t="str">
        <f>IF('ENTRADAS-BASE'!H931="","",'ENTRADAS-BASE'!H931)</f>
        <v/>
      </c>
      <c r="J933" t="str">
        <f>IF('ENTRADAS-BASE'!I931="","",'ENTRADAS-BASE'!I931)</f>
        <v/>
      </c>
      <c r="K933" s="5" t="str">
        <f>IF('ENTRADAS-BASE'!J931="","",'ENTRADAS-BASE'!J931)</f>
        <v/>
      </c>
      <c r="L9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4" spans="2:12" x14ac:dyDescent="0.3">
      <c r="B934" t="str">
        <f>IF('ENTRADAS-BASE'!A932="","",'ENTRADAS-BASE'!A932)</f>
        <v/>
      </c>
      <c r="C934" t="str">
        <f>IF('ENTRADAS-BASE'!B932="","",'ENTRADAS-BASE'!B932)</f>
        <v/>
      </c>
      <c r="D934" t="str">
        <f>IF('ENTRADAS-BASE'!C932="","",'ENTRADAS-BASE'!C932)</f>
        <v/>
      </c>
      <c r="E934" s="7" t="str">
        <f>IF('ENTRADAS-BASE'!D932="","",'ENTRADAS-BASE'!D932)</f>
        <v/>
      </c>
      <c r="F934" s="6" t="str">
        <f>IF('ENTRADAS-BASE'!E932="","",'ENTRADAS-BASE'!E932)</f>
        <v/>
      </c>
      <c r="G934" t="str">
        <f>IF('ENTRADAS-BASE'!F932="","",'ENTRADAS-BASE'!F932)</f>
        <v/>
      </c>
      <c r="H934" t="str">
        <f>IF('ENTRADAS-BASE'!G932="","",'ENTRADAS-BASE'!G932)</f>
        <v/>
      </c>
      <c r="I934" t="str">
        <f>IF('ENTRADAS-BASE'!H932="","",'ENTRADAS-BASE'!H932)</f>
        <v/>
      </c>
      <c r="J934" t="str">
        <f>IF('ENTRADAS-BASE'!I932="","",'ENTRADAS-BASE'!I932)</f>
        <v/>
      </c>
      <c r="K934" s="5" t="str">
        <f>IF('ENTRADAS-BASE'!J932="","",'ENTRADAS-BASE'!J932)</f>
        <v/>
      </c>
      <c r="L9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5" spans="2:12" x14ac:dyDescent="0.3">
      <c r="B935" t="str">
        <f>IF('ENTRADAS-BASE'!A933="","",'ENTRADAS-BASE'!A933)</f>
        <v/>
      </c>
      <c r="C935" t="str">
        <f>IF('ENTRADAS-BASE'!B933="","",'ENTRADAS-BASE'!B933)</f>
        <v/>
      </c>
      <c r="D935" t="str">
        <f>IF('ENTRADAS-BASE'!C933="","",'ENTRADAS-BASE'!C933)</f>
        <v/>
      </c>
      <c r="E935" s="7" t="str">
        <f>IF('ENTRADAS-BASE'!D933="","",'ENTRADAS-BASE'!D933)</f>
        <v/>
      </c>
      <c r="F935" s="6" t="str">
        <f>IF('ENTRADAS-BASE'!E933="","",'ENTRADAS-BASE'!E933)</f>
        <v/>
      </c>
      <c r="G935" t="str">
        <f>IF('ENTRADAS-BASE'!F933="","",'ENTRADAS-BASE'!F933)</f>
        <v/>
      </c>
      <c r="H935" t="str">
        <f>IF('ENTRADAS-BASE'!G933="","",'ENTRADAS-BASE'!G933)</f>
        <v/>
      </c>
      <c r="I935" t="str">
        <f>IF('ENTRADAS-BASE'!H933="","",'ENTRADAS-BASE'!H933)</f>
        <v/>
      </c>
      <c r="J935" t="str">
        <f>IF('ENTRADAS-BASE'!I933="","",'ENTRADAS-BASE'!I933)</f>
        <v/>
      </c>
      <c r="K935" s="5" t="str">
        <f>IF('ENTRADAS-BASE'!J933="","",'ENTRADAS-BASE'!J933)</f>
        <v/>
      </c>
      <c r="L9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6" spans="2:12" x14ac:dyDescent="0.3">
      <c r="B936" t="str">
        <f>IF('ENTRADAS-BASE'!A934="","",'ENTRADAS-BASE'!A934)</f>
        <v/>
      </c>
      <c r="C936" t="str">
        <f>IF('ENTRADAS-BASE'!B934="","",'ENTRADAS-BASE'!B934)</f>
        <v/>
      </c>
      <c r="D936" t="str">
        <f>IF('ENTRADAS-BASE'!C934="","",'ENTRADAS-BASE'!C934)</f>
        <v/>
      </c>
      <c r="E936" s="7" t="str">
        <f>IF('ENTRADAS-BASE'!D934="","",'ENTRADAS-BASE'!D934)</f>
        <v/>
      </c>
      <c r="F936" s="6" t="str">
        <f>IF('ENTRADAS-BASE'!E934="","",'ENTRADAS-BASE'!E934)</f>
        <v/>
      </c>
      <c r="G936" t="str">
        <f>IF('ENTRADAS-BASE'!F934="","",'ENTRADAS-BASE'!F934)</f>
        <v/>
      </c>
      <c r="H936" t="str">
        <f>IF('ENTRADAS-BASE'!G934="","",'ENTRADAS-BASE'!G934)</f>
        <v/>
      </c>
      <c r="I936" t="str">
        <f>IF('ENTRADAS-BASE'!H934="","",'ENTRADAS-BASE'!H934)</f>
        <v/>
      </c>
      <c r="J936" t="str">
        <f>IF('ENTRADAS-BASE'!I934="","",'ENTRADAS-BASE'!I934)</f>
        <v/>
      </c>
      <c r="K936" s="5" t="str">
        <f>IF('ENTRADAS-BASE'!J934="","",'ENTRADAS-BASE'!J934)</f>
        <v/>
      </c>
      <c r="L9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7" spans="2:12" x14ac:dyDescent="0.3">
      <c r="B937" t="str">
        <f>IF('ENTRADAS-BASE'!A935="","",'ENTRADAS-BASE'!A935)</f>
        <v/>
      </c>
      <c r="C937" t="str">
        <f>IF('ENTRADAS-BASE'!B935="","",'ENTRADAS-BASE'!B935)</f>
        <v/>
      </c>
      <c r="D937" t="str">
        <f>IF('ENTRADAS-BASE'!C935="","",'ENTRADAS-BASE'!C935)</f>
        <v/>
      </c>
      <c r="E937" s="7" t="str">
        <f>IF('ENTRADAS-BASE'!D935="","",'ENTRADAS-BASE'!D935)</f>
        <v/>
      </c>
      <c r="F937" s="6" t="str">
        <f>IF('ENTRADAS-BASE'!E935="","",'ENTRADAS-BASE'!E935)</f>
        <v/>
      </c>
      <c r="G937" t="str">
        <f>IF('ENTRADAS-BASE'!F935="","",'ENTRADAS-BASE'!F935)</f>
        <v/>
      </c>
      <c r="H937" t="str">
        <f>IF('ENTRADAS-BASE'!G935="","",'ENTRADAS-BASE'!G935)</f>
        <v/>
      </c>
      <c r="I937" t="str">
        <f>IF('ENTRADAS-BASE'!H935="","",'ENTRADAS-BASE'!H935)</f>
        <v/>
      </c>
      <c r="J937" t="str">
        <f>IF('ENTRADAS-BASE'!I935="","",'ENTRADAS-BASE'!I935)</f>
        <v/>
      </c>
      <c r="K937" s="5" t="str">
        <f>IF('ENTRADAS-BASE'!J935="","",'ENTRADAS-BASE'!J935)</f>
        <v/>
      </c>
      <c r="L9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8" spans="2:12" x14ac:dyDescent="0.3">
      <c r="B938" t="str">
        <f>IF('ENTRADAS-BASE'!A936="","",'ENTRADAS-BASE'!A936)</f>
        <v/>
      </c>
      <c r="C938" t="str">
        <f>IF('ENTRADAS-BASE'!B936="","",'ENTRADAS-BASE'!B936)</f>
        <v/>
      </c>
      <c r="D938" t="str">
        <f>IF('ENTRADAS-BASE'!C936="","",'ENTRADAS-BASE'!C936)</f>
        <v/>
      </c>
      <c r="E938" s="7" t="str">
        <f>IF('ENTRADAS-BASE'!D936="","",'ENTRADAS-BASE'!D936)</f>
        <v/>
      </c>
      <c r="F938" s="6" t="str">
        <f>IF('ENTRADAS-BASE'!E936="","",'ENTRADAS-BASE'!E936)</f>
        <v/>
      </c>
      <c r="G938" t="str">
        <f>IF('ENTRADAS-BASE'!F936="","",'ENTRADAS-BASE'!F936)</f>
        <v/>
      </c>
      <c r="H938" t="str">
        <f>IF('ENTRADAS-BASE'!G936="","",'ENTRADAS-BASE'!G936)</f>
        <v/>
      </c>
      <c r="I938" t="str">
        <f>IF('ENTRADAS-BASE'!H936="","",'ENTRADAS-BASE'!H936)</f>
        <v/>
      </c>
      <c r="J938" t="str">
        <f>IF('ENTRADAS-BASE'!I936="","",'ENTRADAS-BASE'!I936)</f>
        <v/>
      </c>
      <c r="K938" s="5" t="str">
        <f>IF('ENTRADAS-BASE'!J936="","",'ENTRADAS-BASE'!J936)</f>
        <v/>
      </c>
      <c r="L9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9" spans="2:12" x14ac:dyDescent="0.3">
      <c r="B939" t="str">
        <f>IF('ENTRADAS-BASE'!A937="","",'ENTRADAS-BASE'!A937)</f>
        <v/>
      </c>
      <c r="C939" t="str">
        <f>IF('ENTRADAS-BASE'!B937="","",'ENTRADAS-BASE'!B937)</f>
        <v/>
      </c>
      <c r="D939" t="str">
        <f>IF('ENTRADAS-BASE'!C937="","",'ENTRADAS-BASE'!C937)</f>
        <v/>
      </c>
      <c r="E939" s="7" t="str">
        <f>IF('ENTRADAS-BASE'!D937="","",'ENTRADAS-BASE'!D937)</f>
        <v/>
      </c>
      <c r="F939" s="6" t="str">
        <f>IF('ENTRADAS-BASE'!E937="","",'ENTRADAS-BASE'!E937)</f>
        <v/>
      </c>
      <c r="G939" t="str">
        <f>IF('ENTRADAS-BASE'!F937="","",'ENTRADAS-BASE'!F937)</f>
        <v/>
      </c>
      <c r="H939" t="str">
        <f>IF('ENTRADAS-BASE'!G937="","",'ENTRADAS-BASE'!G937)</f>
        <v/>
      </c>
      <c r="I939" t="str">
        <f>IF('ENTRADAS-BASE'!H937="","",'ENTRADAS-BASE'!H937)</f>
        <v/>
      </c>
      <c r="J939" t="str">
        <f>IF('ENTRADAS-BASE'!I937="","",'ENTRADAS-BASE'!I937)</f>
        <v/>
      </c>
      <c r="K939" s="5" t="str">
        <f>IF('ENTRADAS-BASE'!J937="","",'ENTRADAS-BASE'!J937)</f>
        <v/>
      </c>
      <c r="L9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0" spans="2:12" x14ac:dyDescent="0.3">
      <c r="B940" t="str">
        <f>IF('ENTRADAS-BASE'!A938="","",'ENTRADAS-BASE'!A938)</f>
        <v/>
      </c>
      <c r="C940" t="str">
        <f>IF('ENTRADAS-BASE'!B938="","",'ENTRADAS-BASE'!B938)</f>
        <v/>
      </c>
      <c r="D940" t="str">
        <f>IF('ENTRADAS-BASE'!C938="","",'ENTRADAS-BASE'!C938)</f>
        <v/>
      </c>
      <c r="E940" s="7" t="str">
        <f>IF('ENTRADAS-BASE'!D938="","",'ENTRADAS-BASE'!D938)</f>
        <v/>
      </c>
      <c r="F940" s="6" t="str">
        <f>IF('ENTRADAS-BASE'!E938="","",'ENTRADAS-BASE'!E938)</f>
        <v/>
      </c>
      <c r="G940" t="str">
        <f>IF('ENTRADAS-BASE'!F938="","",'ENTRADAS-BASE'!F938)</f>
        <v/>
      </c>
      <c r="H940" t="str">
        <f>IF('ENTRADAS-BASE'!G938="","",'ENTRADAS-BASE'!G938)</f>
        <v/>
      </c>
      <c r="I940" t="str">
        <f>IF('ENTRADAS-BASE'!H938="","",'ENTRADAS-BASE'!H938)</f>
        <v/>
      </c>
      <c r="J940" t="str">
        <f>IF('ENTRADAS-BASE'!I938="","",'ENTRADAS-BASE'!I938)</f>
        <v/>
      </c>
      <c r="K940" s="5" t="str">
        <f>IF('ENTRADAS-BASE'!J938="","",'ENTRADAS-BASE'!J938)</f>
        <v/>
      </c>
      <c r="L9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1" spans="2:12" x14ac:dyDescent="0.3">
      <c r="B941" t="str">
        <f>IF('ENTRADAS-BASE'!A939="","",'ENTRADAS-BASE'!A939)</f>
        <v/>
      </c>
      <c r="C941" t="str">
        <f>IF('ENTRADAS-BASE'!B939="","",'ENTRADAS-BASE'!B939)</f>
        <v/>
      </c>
      <c r="D941" t="str">
        <f>IF('ENTRADAS-BASE'!C939="","",'ENTRADAS-BASE'!C939)</f>
        <v/>
      </c>
      <c r="E941" s="7" t="str">
        <f>IF('ENTRADAS-BASE'!D939="","",'ENTRADAS-BASE'!D939)</f>
        <v/>
      </c>
      <c r="F941" s="6" t="str">
        <f>IF('ENTRADAS-BASE'!E939="","",'ENTRADAS-BASE'!E939)</f>
        <v/>
      </c>
      <c r="G941" t="str">
        <f>IF('ENTRADAS-BASE'!F939="","",'ENTRADAS-BASE'!F939)</f>
        <v/>
      </c>
      <c r="H941" t="str">
        <f>IF('ENTRADAS-BASE'!G939="","",'ENTRADAS-BASE'!G939)</f>
        <v/>
      </c>
      <c r="I941" t="str">
        <f>IF('ENTRADAS-BASE'!H939="","",'ENTRADAS-BASE'!H939)</f>
        <v/>
      </c>
      <c r="J941" t="str">
        <f>IF('ENTRADAS-BASE'!I939="","",'ENTRADAS-BASE'!I939)</f>
        <v/>
      </c>
      <c r="K941" s="5" t="str">
        <f>IF('ENTRADAS-BASE'!J939="","",'ENTRADAS-BASE'!J939)</f>
        <v/>
      </c>
      <c r="L9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2" spans="2:12" x14ac:dyDescent="0.3">
      <c r="B942" t="str">
        <f>IF('ENTRADAS-BASE'!A940="","",'ENTRADAS-BASE'!A940)</f>
        <v/>
      </c>
      <c r="C942" t="str">
        <f>IF('ENTRADAS-BASE'!B940="","",'ENTRADAS-BASE'!B940)</f>
        <v/>
      </c>
      <c r="D942" t="str">
        <f>IF('ENTRADAS-BASE'!C940="","",'ENTRADAS-BASE'!C940)</f>
        <v/>
      </c>
      <c r="E942" s="7" t="str">
        <f>IF('ENTRADAS-BASE'!D940="","",'ENTRADAS-BASE'!D940)</f>
        <v/>
      </c>
      <c r="F942" s="6" t="str">
        <f>IF('ENTRADAS-BASE'!E940="","",'ENTRADAS-BASE'!E940)</f>
        <v/>
      </c>
      <c r="G942" t="str">
        <f>IF('ENTRADAS-BASE'!F940="","",'ENTRADAS-BASE'!F940)</f>
        <v/>
      </c>
      <c r="H942" t="str">
        <f>IF('ENTRADAS-BASE'!G940="","",'ENTRADAS-BASE'!G940)</f>
        <v/>
      </c>
      <c r="I942" t="str">
        <f>IF('ENTRADAS-BASE'!H940="","",'ENTRADAS-BASE'!H940)</f>
        <v/>
      </c>
      <c r="J942" t="str">
        <f>IF('ENTRADAS-BASE'!I940="","",'ENTRADAS-BASE'!I940)</f>
        <v/>
      </c>
      <c r="K942" s="5" t="str">
        <f>IF('ENTRADAS-BASE'!J940="","",'ENTRADAS-BASE'!J940)</f>
        <v/>
      </c>
      <c r="L9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3" spans="2:12" x14ac:dyDescent="0.3">
      <c r="B943" t="str">
        <f>IF('ENTRADAS-BASE'!A941="","",'ENTRADAS-BASE'!A941)</f>
        <v/>
      </c>
      <c r="C943" t="str">
        <f>IF('ENTRADAS-BASE'!B941="","",'ENTRADAS-BASE'!B941)</f>
        <v/>
      </c>
      <c r="D943" t="str">
        <f>IF('ENTRADAS-BASE'!C941="","",'ENTRADAS-BASE'!C941)</f>
        <v/>
      </c>
      <c r="E943" s="7" t="str">
        <f>IF('ENTRADAS-BASE'!D941="","",'ENTRADAS-BASE'!D941)</f>
        <v/>
      </c>
      <c r="F943" s="6" t="str">
        <f>IF('ENTRADAS-BASE'!E941="","",'ENTRADAS-BASE'!E941)</f>
        <v/>
      </c>
      <c r="G943" t="str">
        <f>IF('ENTRADAS-BASE'!F941="","",'ENTRADAS-BASE'!F941)</f>
        <v/>
      </c>
      <c r="H943" t="str">
        <f>IF('ENTRADAS-BASE'!G941="","",'ENTRADAS-BASE'!G941)</f>
        <v/>
      </c>
      <c r="I943" t="str">
        <f>IF('ENTRADAS-BASE'!H941="","",'ENTRADAS-BASE'!H941)</f>
        <v/>
      </c>
      <c r="J943" t="str">
        <f>IF('ENTRADAS-BASE'!I941="","",'ENTRADAS-BASE'!I941)</f>
        <v/>
      </c>
      <c r="K943" s="5" t="str">
        <f>IF('ENTRADAS-BASE'!J941="","",'ENTRADAS-BASE'!J941)</f>
        <v/>
      </c>
      <c r="L9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4" spans="2:12" x14ac:dyDescent="0.3">
      <c r="B944" t="str">
        <f>IF('ENTRADAS-BASE'!A942="","",'ENTRADAS-BASE'!A942)</f>
        <v/>
      </c>
      <c r="C944" t="str">
        <f>IF('ENTRADAS-BASE'!B942="","",'ENTRADAS-BASE'!B942)</f>
        <v/>
      </c>
      <c r="D944" t="str">
        <f>IF('ENTRADAS-BASE'!C942="","",'ENTRADAS-BASE'!C942)</f>
        <v/>
      </c>
      <c r="E944" s="7" t="str">
        <f>IF('ENTRADAS-BASE'!D942="","",'ENTRADAS-BASE'!D942)</f>
        <v/>
      </c>
      <c r="F944" s="6" t="str">
        <f>IF('ENTRADAS-BASE'!E942="","",'ENTRADAS-BASE'!E942)</f>
        <v/>
      </c>
      <c r="G944" t="str">
        <f>IF('ENTRADAS-BASE'!F942="","",'ENTRADAS-BASE'!F942)</f>
        <v/>
      </c>
      <c r="H944" t="str">
        <f>IF('ENTRADAS-BASE'!G942="","",'ENTRADAS-BASE'!G942)</f>
        <v/>
      </c>
      <c r="I944" t="str">
        <f>IF('ENTRADAS-BASE'!H942="","",'ENTRADAS-BASE'!H942)</f>
        <v/>
      </c>
      <c r="J944" t="str">
        <f>IF('ENTRADAS-BASE'!I942="","",'ENTRADAS-BASE'!I942)</f>
        <v/>
      </c>
      <c r="K944" s="5" t="str">
        <f>IF('ENTRADAS-BASE'!J942="","",'ENTRADAS-BASE'!J942)</f>
        <v/>
      </c>
      <c r="L9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5" spans="2:12" x14ac:dyDescent="0.3">
      <c r="B945" t="str">
        <f>IF('ENTRADAS-BASE'!A943="","",'ENTRADAS-BASE'!A943)</f>
        <v/>
      </c>
      <c r="C945" t="str">
        <f>IF('ENTRADAS-BASE'!B943="","",'ENTRADAS-BASE'!B943)</f>
        <v/>
      </c>
      <c r="D945" t="str">
        <f>IF('ENTRADAS-BASE'!C943="","",'ENTRADAS-BASE'!C943)</f>
        <v/>
      </c>
      <c r="E945" s="7" t="str">
        <f>IF('ENTRADAS-BASE'!D943="","",'ENTRADAS-BASE'!D943)</f>
        <v/>
      </c>
      <c r="F945" s="6" t="str">
        <f>IF('ENTRADAS-BASE'!E943="","",'ENTRADAS-BASE'!E943)</f>
        <v/>
      </c>
      <c r="G945" t="str">
        <f>IF('ENTRADAS-BASE'!F943="","",'ENTRADAS-BASE'!F943)</f>
        <v/>
      </c>
      <c r="H945" t="str">
        <f>IF('ENTRADAS-BASE'!G943="","",'ENTRADAS-BASE'!G943)</f>
        <v/>
      </c>
      <c r="I945" t="str">
        <f>IF('ENTRADAS-BASE'!H943="","",'ENTRADAS-BASE'!H943)</f>
        <v/>
      </c>
      <c r="J945" t="str">
        <f>IF('ENTRADAS-BASE'!I943="","",'ENTRADAS-BASE'!I943)</f>
        <v/>
      </c>
      <c r="K945" s="5" t="str">
        <f>IF('ENTRADAS-BASE'!J943="","",'ENTRADAS-BASE'!J943)</f>
        <v/>
      </c>
      <c r="L9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6" spans="2:12" x14ac:dyDescent="0.3">
      <c r="B946" t="str">
        <f>IF('ENTRADAS-BASE'!A944="","",'ENTRADAS-BASE'!A944)</f>
        <v/>
      </c>
      <c r="C946" t="str">
        <f>IF('ENTRADAS-BASE'!B944="","",'ENTRADAS-BASE'!B944)</f>
        <v/>
      </c>
      <c r="D946" t="str">
        <f>IF('ENTRADAS-BASE'!C944="","",'ENTRADAS-BASE'!C944)</f>
        <v/>
      </c>
      <c r="E946" s="7" t="str">
        <f>IF('ENTRADAS-BASE'!D944="","",'ENTRADAS-BASE'!D944)</f>
        <v/>
      </c>
      <c r="F946" s="6" t="str">
        <f>IF('ENTRADAS-BASE'!E944="","",'ENTRADAS-BASE'!E944)</f>
        <v/>
      </c>
      <c r="G946" t="str">
        <f>IF('ENTRADAS-BASE'!F944="","",'ENTRADAS-BASE'!F944)</f>
        <v/>
      </c>
      <c r="H946" t="str">
        <f>IF('ENTRADAS-BASE'!G944="","",'ENTRADAS-BASE'!G944)</f>
        <v/>
      </c>
      <c r="I946" t="str">
        <f>IF('ENTRADAS-BASE'!H944="","",'ENTRADAS-BASE'!H944)</f>
        <v/>
      </c>
      <c r="J946" t="str">
        <f>IF('ENTRADAS-BASE'!I944="","",'ENTRADAS-BASE'!I944)</f>
        <v/>
      </c>
      <c r="K946" s="5" t="str">
        <f>IF('ENTRADAS-BASE'!J944="","",'ENTRADAS-BASE'!J944)</f>
        <v/>
      </c>
      <c r="L9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7" spans="2:12" x14ac:dyDescent="0.3">
      <c r="B947" t="str">
        <f>IF('ENTRADAS-BASE'!A945="","",'ENTRADAS-BASE'!A945)</f>
        <v/>
      </c>
      <c r="C947" t="str">
        <f>IF('ENTRADAS-BASE'!B945="","",'ENTRADAS-BASE'!B945)</f>
        <v/>
      </c>
      <c r="D947" t="str">
        <f>IF('ENTRADAS-BASE'!C945="","",'ENTRADAS-BASE'!C945)</f>
        <v/>
      </c>
      <c r="E947" s="7" t="str">
        <f>IF('ENTRADAS-BASE'!D945="","",'ENTRADAS-BASE'!D945)</f>
        <v/>
      </c>
      <c r="F947" s="6" t="str">
        <f>IF('ENTRADAS-BASE'!E945="","",'ENTRADAS-BASE'!E945)</f>
        <v/>
      </c>
      <c r="G947" t="str">
        <f>IF('ENTRADAS-BASE'!F945="","",'ENTRADAS-BASE'!F945)</f>
        <v/>
      </c>
      <c r="H947" t="str">
        <f>IF('ENTRADAS-BASE'!G945="","",'ENTRADAS-BASE'!G945)</f>
        <v/>
      </c>
      <c r="I947" t="str">
        <f>IF('ENTRADAS-BASE'!H945="","",'ENTRADAS-BASE'!H945)</f>
        <v/>
      </c>
      <c r="J947" t="str">
        <f>IF('ENTRADAS-BASE'!I945="","",'ENTRADAS-BASE'!I945)</f>
        <v/>
      </c>
      <c r="K947" s="5" t="str">
        <f>IF('ENTRADAS-BASE'!J945="","",'ENTRADAS-BASE'!J945)</f>
        <v/>
      </c>
      <c r="L9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8" spans="2:12" x14ac:dyDescent="0.3">
      <c r="B948" t="str">
        <f>IF('ENTRADAS-BASE'!A946="","",'ENTRADAS-BASE'!A946)</f>
        <v/>
      </c>
      <c r="C948" t="str">
        <f>IF('ENTRADAS-BASE'!B946="","",'ENTRADAS-BASE'!B946)</f>
        <v/>
      </c>
      <c r="D948" t="str">
        <f>IF('ENTRADAS-BASE'!C946="","",'ENTRADAS-BASE'!C946)</f>
        <v/>
      </c>
      <c r="E948" s="7" t="str">
        <f>IF('ENTRADAS-BASE'!D946="","",'ENTRADAS-BASE'!D946)</f>
        <v/>
      </c>
      <c r="F948" s="6" t="str">
        <f>IF('ENTRADAS-BASE'!E946="","",'ENTRADAS-BASE'!E946)</f>
        <v/>
      </c>
      <c r="G948" t="str">
        <f>IF('ENTRADAS-BASE'!F946="","",'ENTRADAS-BASE'!F946)</f>
        <v/>
      </c>
      <c r="H948" t="str">
        <f>IF('ENTRADAS-BASE'!G946="","",'ENTRADAS-BASE'!G946)</f>
        <v/>
      </c>
      <c r="I948" t="str">
        <f>IF('ENTRADAS-BASE'!H946="","",'ENTRADAS-BASE'!H946)</f>
        <v/>
      </c>
      <c r="J948" t="str">
        <f>IF('ENTRADAS-BASE'!I946="","",'ENTRADAS-BASE'!I946)</f>
        <v/>
      </c>
      <c r="K948" s="5" t="str">
        <f>IF('ENTRADAS-BASE'!J946="","",'ENTRADAS-BASE'!J946)</f>
        <v/>
      </c>
      <c r="L9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9" spans="2:12" x14ac:dyDescent="0.3">
      <c r="B949" t="str">
        <f>IF('ENTRADAS-BASE'!A947="","",'ENTRADAS-BASE'!A947)</f>
        <v/>
      </c>
      <c r="C949" t="str">
        <f>IF('ENTRADAS-BASE'!B947="","",'ENTRADAS-BASE'!B947)</f>
        <v/>
      </c>
      <c r="D949" t="str">
        <f>IF('ENTRADAS-BASE'!C947="","",'ENTRADAS-BASE'!C947)</f>
        <v/>
      </c>
      <c r="E949" s="7" t="str">
        <f>IF('ENTRADAS-BASE'!D947="","",'ENTRADAS-BASE'!D947)</f>
        <v/>
      </c>
      <c r="F949" s="6" t="str">
        <f>IF('ENTRADAS-BASE'!E947="","",'ENTRADAS-BASE'!E947)</f>
        <v/>
      </c>
      <c r="G949" t="str">
        <f>IF('ENTRADAS-BASE'!F947="","",'ENTRADAS-BASE'!F947)</f>
        <v/>
      </c>
      <c r="H949" t="str">
        <f>IF('ENTRADAS-BASE'!G947="","",'ENTRADAS-BASE'!G947)</f>
        <v/>
      </c>
      <c r="I949" t="str">
        <f>IF('ENTRADAS-BASE'!H947="","",'ENTRADAS-BASE'!H947)</f>
        <v/>
      </c>
      <c r="J949" t="str">
        <f>IF('ENTRADAS-BASE'!I947="","",'ENTRADAS-BASE'!I947)</f>
        <v/>
      </c>
      <c r="K949" s="5" t="str">
        <f>IF('ENTRADAS-BASE'!J947="","",'ENTRADAS-BASE'!J947)</f>
        <v/>
      </c>
      <c r="L9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0" spans="2:12" x14ac:dyDescent="0.3">
      <c r="B950" t="str">
        <f>IF('ENTRADAS-BASE'!A948="","",'ENTRADAS-BASE'!A948)</f>
        <v/>
      </c>
      <c r="C950" t="str">
        <f>IF('ENTRADAS-BASE'!B948="","",'ENTRADAS-BASE'!B948)</f>
        <v/>
      </c>
      <c r="D950" t="str">
        <f>IF('ENTRADAS-BASE'!C948="","",'ENTRADAS-BASE'!C948)</f>
        <v/>
      </c>
      <c r="E950" s="7" t="str">
        <f>IF('ENTRADAS-BASE'!D948="","",'ENTRADAS-BASE'!D948)</f>
        <v/>
      </c>
      <c r="F950" s="6" t="str">
        <f>IF('ENTRADAS-BASE'!E948="","",'ENTRADAS-BASE'!E948)</f>
        <v/>
      </c>
      <c r="G950" t="str">
        <f>IF('ENTRADAS-BASE'!F948="","",'ENTRADAS-BASE'!F948)</f>
        <v/>
      </c>
      <c r="H950" t="str">
        <f>IF('ENTRADAS-BASE'!G948="","",'ENTRADAS-BASE'!G948)</f>
        <v/>
      </c>
      <c r="I950" t="str">
        <f>IF('ENTRADAS-BASE'!H948="","",'ENTRADAS-BASE'!H948)</f>
        <v/>
      </c>
      <c r="J950" t="str">
        <f>IF('ENTRADAS-BASE'!I948="","",'ENTRADAS-BASE'!I948)</f>
        <v/>
      </c>
      <c r="K950" s="5" t="str">
        <f>IF('ENTRADAS-BASE'!J948="","",'ENTRADAS-BASE'!J948)</f>
        <v/>
      </c>
      <c r="L9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1" spans="2:12" x14ac:dyDescent="0.3">
      <c r="B951" t="str">
        <f>IF('ENTRADAS-BASE'!A949="","",'ENTRADAS-BASE'!A949)</f>
        <v/>
      </c>
      <c r="C951" t="str">
        <f>IF('ENTRADAS-BASE'!B949="","",'ENTRADAS-BASE'!B949)</f>
        <v/>
      </c>
      <c r="D951" t="str">
        <f>IF('ENTRADAS-BASE'!C949="","",'ENTRADAS-BASE'!C949)</f>
        <v/>
      </c>
      <c r="E951" s="7" t="str">
        <f>IF('ENTRADAS-BASE'!D949="","",'ENTRADAS-BASE'!D949)</f>
        <v/>
      </c>
      <c r="F951" s="6" t="str">
        <f>IF('ENTRADAS-BASE'!E949="","",'ENTRADAS-BASE'!E949)</f>
        <v/>
      </c>
      <c r="G951" t="str">
        <f>IF('ENTRADAS-BASE'!F949="","",'ENTRADAS-BASE'!F949)</f>
        <v/>
      </c>
      <c r="H951" t="str">
        <f>IF('ENTRADAS-BASE'!G949="","",'ENTRADAS-BASE'!G949)</f>
        <v/>
      </c>
      <c r="I951" t="str">
        <f>IF('ENTRADAS-BASE'!H949="","",'ENTRADAS-BASE'!H949)</f>
        <v/>
      </c>
      <c r="J951" t="str">
        <f>IF('ENTRADAS-BASE'!I949="","",'ENTRADAS-BASE'!I949)</f>
        <v/>
      </c>
      <c r="K951" s="5" t="str">
        <f>IF('ENTRADAS-BASE'!J949="","",'ENTRADAS-BASE'!J949)</f>
        <v/>
      </c>
      <c r="L9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2" spans="2:12" x14ac:dyDescent="0.3">
      <c r="B952" t="str">
        <f>IF('ENTRADAS-BASE'!A950="","",'ENTRADAS-BASE'!A950)</f>
        <v/>
      </c>
      <c r="C952" t="str">
        <f>IF('ENTRADAS-BASE'!B950="","",'ENTRADAS-BASE'!B950)</f>
        <v/>
      </c>
      <c r="D952" t="str">
        <f>IF('ENTRADAS-BASE'!C950="","",'ENTRADAS-BASE'!C950)</f>
        <v/>
      </c>
      <c r="E952" s="7" t="str">
        <f>IF('ENTRADAS-BASE'!D950="","",'ENTRADAS-BASE'!D950)</f>
        <v/>
      </c>
      <c r="F952" s="6" t="str">
        <f>IF('ENTRADAS-BASE'!E950="","",'ENTRADAS-BASE'!E950)</f>
        <v/>
      </c>
      <c r="G952" t="str">
        <f>IF('ENTRADAS-BASE'!F950="","",'ENTRADAS-BASE'!F950)</f>
        <v/>
      </c>
      <c r="H952" t="str">
        <f>IF('ENTRADAS-BASE'!G950="","",'ENTRADAS-BASE'!G950)</f>
        <v/>
      </c>
      <c r="I952" t="str">
        <f>IF('ENTRADAS-BASE'!H950="","",'ENTRADAS-BASE'!H950)</f>
        <v/>
      </c>
      <c r="J952" t="str">
        <f>IF('ENTRADAS-BASE'!I950="","",'ENTRADAS-BASE'!I950)</f>
        <v/>
      </c>
      <c r="K952" s="5" t="str">
        <f>IF('ENTRADAS-BASE'!J950="","",'ENTRADAS-BASE'!J950)</f>
        <v/>
      </c>
      <c r="L9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3" spans="2:12" x14ac:dyDescent="0.3">
      <c r="B953" t="str">
        <f>IF('ENTRADAS-BASE'!A951="","",'ENTRADAS-BASE'!A951)</f>
        <v/>
      </c>
      <c r="C953" t="str">
        <f>IF('ENTRADAS-BASE'!B951="","",'ENTRADAS-BASE'!B951)</f>
        <v/>
      </c>
      <c r="D953" t="str">
        <f>IF('ENTRADAS-BASE'!C951="","",'ENTRADAS-BASE'!C951)</f>
        <v/>
      </c>
      <c r="E953" s="7" t="str">
        <f>IF('ENTRADAS-BASE'!D951="","",'ENTRADAS-BASE'!D951)</f>
        <v/>
      </c>
      <c r="F953" s="6" t="str">
        <f>IF('ENTRADAS-BASE'!E951="","",'ENTRADAS-BASE'!E951)</f>
        <v/>
      </c>
      <c r="G953" t="str">
        <f>IF('ENTRADAS-BASE'!F951="","",'ENTRADAS-BASE'!F951)</f>
        <v/>
      </c>
      <c r="H953" t="str">
        <f>IF('ENTRADAS-BASE'!G951="","",'ENTRADAS-BASE'!G951)</f>
        <v/>
      </c>
      <c r="I953" t="str">
        <f>IF('ENTRADAS-BASE'!H951="","",'ENTRADAS-BASE'!H951)</f>
        <v/>
      </c>
      <c r="J953" t="str">
        <f>IF('ENTRADAS-BASE'!I951="","",'ENTRADAS-BASE'!I951)</f>
        <v/>
      </c>
      <c r="K953" s="5" t="str">
        <f>IF('ENTRADAS-BASE'!J951="","",'ENTRADAS-BASE'!J951)</f>
        <v/>
      </c>
      <c r="L9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4" spans="2:12" x14ac:dyDescent="0.3">
      <c r="B954" t="str">
        <f>IF('ENTRADAS-BASE'!A952="","",'ENTRADAS-BASE'!A952)</f>
        <v/>
      </c>
      <c r="C954" t="str">
        <f>IF('ENTRADAS-BASE'!B952="","",'ENTRADAS-BASE'!B952)</f>
        <v/>
      </c>
      <c r="D954" t="str">
        <f>IF('ENTRADAS-BASE'!C952="","",'ENTRADAS-BASE'!C952)</f>
        <v/>
      </c>
      <c r="E954" s="7" t="str">
        <f>IF('ENTRADAS-BASE'!D952="","",'ENTRADAS-BASE'!D952)</f>
        <v/>
      </c>
      <c r="F954" s="6" t="str">
        <f>IF('ENTRADAS-BASE'!E952="","",'ENTRADAS-BASE'!E952)</f>
        <v/>
      </c>
      <c r="G954" t="str">
        <f>IF('ENTRADAS-BASE'!F952="","",'ENTRADAS-BASE'!F952)</f>
        <v/>
      </c>
      <c r="H954" t="str">
        <f>IF('ENTRADAS-BASE'!G952="","",'ENTRADAS-BASE'!G952)</f>
        <v/>
      </c>
      <c r="I954" t="str">
        <f>IF('ENTRADAS-BASE'!H952="","",'ENTRADAS-BASE'!H952)</f>
        <v/>
      </c>
      <c r="J954" t="str">
        <f>IF('ENTRADAS-BASE'!I952="","",'ENTRADAS-BASE'!I952)</f>
        <v/>
      </c>
      <c r="K954" s="5" t="str">
        <f>IF('ENTRADAS-BASE'!J952="","",'ENTRADAS-BASE'!J952)</f>
        <v/>
      </c>
      <c r="L9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5" spans="2:12" x14ac:dyDescent="0.3">
      <c r="B955" t="str">
        <f>IF('ENTRADAS-BASE'!A953="","",'ENTRADAS-BASE'!A953)</f>
        <v/>
      </c>
      <c r="C955" t="str">
        <f>IF('ENTRADAS-BASE'!B953="","",'ENTRADAS-BASE'!B953)</f>
        <v/>
      </c>
      <c r="D955" t="str">
        <f>IF('ENTRADAS-BASE'!C953="","",'ENTRADAS-BASE'!C953)</f>
        <v/>
      </c>
      <c r="E955" s="7" t="str">
        <f>IF('ENTRADAS-BASE'!D953="","",'ENTRADAS-BASE'!D953)</f>
        <v/>
      </c>
      <c r="F955" s="6" t="str">
        <f>IF('ENTRADAS-BASE'!E953="","",'ENTRADAS-BASE'!E953)</f>
        <v/>
      </c>
      <c r="G955" t="str">
        <f>IF('ENTRADAS-BASE'!F953="","",'ENTRADAS-BASE'!F953)</f>
        <v/>
      </c>
      <c r="H955" t="str">
        <f>IF('ENTRADAS-BASE'!G953="","",'ENTRADAS-BASE'!G953)</f>
        <v/>
      </c>
      <c r="I955" t="str">
        <f>IF('ENTRADAS-BASE'!H953="","",'ENTRADAS-BASE'!H953)</f>
        <v/>
      </c>
      <c r="J955" t="str">
        <f>IF('ENTRADAS-BASE'!I953="","",'ENTRADAS-BASE'!I953)</f>
        <v/>
      </c>
      <c r="K955" s="5" t="str">
        <f>IF('ENTRADAS-BASE'!J953="","",'ENTRADAS-BASE'!J953)</f>
        <v/>
      </c>
      <c r="L9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6" spans="2:12" x14ac:dyDescent="0.3">
      <c r="B956" t="str">
        <f>IF('ENTRADAS-BASE'!A954="","",'ENTRADAS-BASE'!A954)</f>
        <v/>
      </c>
      <c r="C956" t="str">
        <f>IF('ENTRADAS-BASE'!B954="","",'ENTRADAS-BASE'!B954)</f>
        <v/>
      </c>
      <c r="D956" t="str">
        <f>IF('ENTRADAS-BASE'!C954="","",'ENTRADAS-BASE'!C954)</f>
        <v/>
      </c>
      <c r="E956" s="7" t="str">
        <f>IF('ENTRADAS-BASE'!D954="","",'ENTRADAS-BASE'!D954)</f>
        <v/>
      </c>
      <c r="F956" s="6" t="str">
        <f>IF('ENTRADAS-BASE'!E954="","",'ENTRADAS-BASE'!E954)</f>
        <v/>
      </c>
      <c r="G956" t="str">
        <f>IF('ENTRADAS-BASE'!F954="","",'ENTRADAS-BASE'!F954)</f>
        <v/>
      </c>
      <c r="H956" t="str">
        <f>IF('ENTRADAS-BASE'!G954="","",'ENTRADAS-BASE'!G954)</f>
        <v/>
      </c>
      <c r="I956" t="str">
        <f>IF('ENTRADAS-BASE'!H954="","",'ENTRADAS-BASE'!H954)</f>
        <v/>
      </c>
      <c r="J956" t="str">
        <f>IF('ENTRADAS-BASE'!I954="","",'ENTRADAS-BASE'!I954)</f>
        <v/>
      </c>
      <c r="K956" s="5" t="str">
        <f>IF('ENTRADAS-BASE'!J954="","",'ENTRADAS-BASE'!J954)</f>
        <v/>
      </c>
      <c r="L9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7" spans="2:12" x14ac:dyDescent="0.3">
      <c r="B957" t="str">
        <f>IF('ENTRADAS-BASE'!A955="","",'ENTRADAS-BASE'!A955)</f>
        <v/>
      </c>
      <c r="C957" t="str">
        <f>IF('ENTRADAS-BASE'!B955="","",'ENTRADAS-BASE'!B955)</f>
        <v/>
      </c>
      <c r="D957" t="str">
        <f>IF('ENTRADAS-BASE'!C955="","",'ENTRADAS-BASE'!C955)</f>
        <v/>
      </c>
      <c r="E957" s="7" t="str">
        <f>IF('ENTRADAS-BASE'!D955="","",'ENTRADAS-BASE'!D955)</f>
        <v/>
      </c>
      <c r="F957" s="6" t="str">
        <f>IF('ENTRADAS-BASE'!E955="","",'ENTRADAS-BASE'!E955)</f>
        <v/>
      </c>
      <c r="G957" t="str">
        <f>IF('ENTRADAS-BASE'!F955="","",'ENTRADAS-BASE'!F955)</f>
        <v/>
      </c>
      <c r="H957" t="str">
        <f>IF('ENTRADAS-BASE'!G955="","",'ENTRADAS-BASE'!G955)</f>
        <v/>
      </c>
      <c r="I957" t="str">
        <f>IF('ENTRADAS-BASE'!H955="","",'ENTRADAS-BASE'!H955)</f>
        <v/>
      </c>
      <c r="J957" t="str">
        <f>IF('ENTRADAS-BASE'!I955="","",'ENTRADAS-BASE'!I955)</f>
        <v/>
      </c>
      <c r="K957" s="5" t="str">
        <f>IF('ENTRADAS-BASE'!J955="","",'ENTRADAS-BASE'!J955)</f>
        <v/>
      </c>
      <c r="L9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8" spans="2:12" x14ac:dyDescent="0.3">
      <c r="B958" t="str">
        <f>IF('ENTRADAS-BASE'!A956="","",'ENTRADAS-BASE'!A956)</f>
        <v/>
      </c>
      <c r="C958" t="str">
        <f>IF('ENTRADAS-BASE'!B956="","",'ENTRADAS-BASE'!B956)</f>
        <v/>
      </c>
      <c r="D958" t="str">
        <f>IF('ENTRADAS-BASE'!C956="","",'ENTRADAS-BASE'!C956)</f>
        <v/>
      </c>
      <c r="E958" s="7" t="str">
        <f>IF('ENTRADAS-BASE'!D956="","",'ENTRADAS-BASE'!D956)</f>
        <v/>
      </c>
      <c r="F958" s="6" t="str">
        <f>IF('ENTRADAS-BASE'!E956="","",'ENTRADAS-BASE'!E956)</f>
        <v/>
      </c>
      <c r="G958" t="str">
        <f>IF('ENTRADAS-BASE'!F956="","",'ENTRADAS-BASE'!F956)</f>
        <v/>
      </c>
      <c r="H958" t="str">
        <f>IF('ENTRADAS-BASE'!G956="","",'ENTRADAS-BASE'!G956)</f>
        <v/>
      </c>
      <c r="I958" t="str">
        <f>IF('ENTRADAS-BASE'!H956="","",'ENTRADAS-BASE'!H956)</f>
        <v/>
      </c>
      <c r="J958" t="str">
        <f>IF('ENTRADAS-BASE'!I956="","",'ENTRADAS-BASE'!I956)</f>
        <v/>
      </c>
      <c r="K958" s="5" t="str">
        <f>IF('ENTRADAS-BASE'!J956="","",'ENTRADAS-BASE'!J956)</f>
        <v/>
      </c>
      <c r="L9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9" spans="2:12" x14ac:dyDescent="0.3">
      <c r="B959" t="str">
        <f>IF('ENTRADAS-BASE'!A957="","",'ENTRADAS-BASE'!A957)</f>
        <v/>
      </c>
      <c r="C959" t="str">
        <f>IF('ENTRADAS-BASE'!B957="","",'ENTRADAS-BASE'!B957)</f>
        <v/>
      </c>
      <c r="D959" t="str">
        <f>IF('ENTRADAS-BASE'!C957="","",'ENTRADAS-BASE'!C957)</f>
        <v/>
      </c>
      <c r="E959" s="7" t="str">
        <f>IF('ENTRADAS-BASE'!D957="","",'ENTRADAS-BASE'!D957)</f>
        <v/>
      </c>
      <c r="F959" s="6" t="str">
        <f>IF('ENTRADAS-BASE'!E957="","",'ENTRADAS-BASE'!E957)</f>
        <v/>
      </c>
      <c r="G959" t="str">
        <f>IF('ENTRADAS-BASE'!F957="","",'ENTRADAS-BASE'!F957)</f>
        <v/>
      </c>
      <c r="H959" t="str">
        <f>IF('ENTRADAS-BASE'!G957="","",'ENTRADAS-BASE'!G957)</f>
        <v/>
      </c>
      <c r="I959" t="str">
        <f>IF('ENTRADAS-BASE'!H957="","",'ENTRADAS-BASE'!H957)</f>
        <v/>
      </c>
      <c r="J959" t="str">
        <f>IF('ENTRADAS-BASE'!I957="","",'ENTRADAS-BASE'!I957)</f>
        <v/>
      </c>
      <c r="K959" s="5" t="str">
        <f>IF('ENTRADAS-BASE'!J957="","",'ENTRADAS-BASE'!J957)</f>
        <v/>
      </c>
      <c r="L9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0" spans="2:12" x14ac:dyDescent="0.3">
      <c r="B960" t="str">
        <f>IF('ENTRADAS-BASE'!A958="","",'ENTRADAS-BASE'!A958)</f>
        <v/>
      </c>
      <c r="C960" t="str">
        <f>IF('ENTRADAS-BASE'!B958="","",'ENTRADAS-BASE'!B958)</f>
        <v/>
      </c>
      <c r="D960" t="str">
        <f>IF('ENTRADAS-BASE'!C958="","",'ENTRADAS-BASE'!C958)</f>
        <v/>
      </c>
      <c r="E960" s="7" t="str">
        <f>IF('ENTRADAS-BASE'!D958="","",'ENTRADAS-BASE'!D958)</f>
        <v/>
      </c>
      <c r="F960" s="6" t="str">
        <f>IF('ENTRADAS-BASE'!E958="","",'ENTRADAS-BASE'!E958)</f>
        <v/>
      </c>
      <c r="G960" t="str">
        <f>IF('ENTRADAS-BASE'!F958="","",'ENTRADAS-BASE'!F958)</f>
        <v/>
      </c>
      <c r="H960" t="str">
        <f>IF('ENTRADAS-BASE'!G958="","",'ENTRADAS-BASE'!G958)</f>
        <v/>
      </c>
      <c r="I960" t="str">
        <f>IF('ENTRADAS-BASE'!H958="","",'ENTRADAS-BASE'!H958)</f>
        <v/>
      </c>
      <c r="J960" t="str">
        <f>IF('ENTRADAS-BASE'!I958="","",'ENTRADAS-BASE'!I958)</f>
        <v/>
      </c>
      <c r="K960" s="5" t="str">
        <f>IF('ENTRADAS-BASE'!J958="","",'ENTRADAS-BASE'!J958)</f>
        <v/>
      </c>
      <c r="L9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1" spans="2:12" x14ac:dyDescent="0.3">
      <c r="B961" t="str">
        <f>IF('ENTRADAS-BASE'!A959="","",'ENTRADAS-BASE'!A959)</f>
        <v/>
      </c>
      <c r="C961" t="str">
        <f>IF('ENTRADAS-BASE'!B959="","",'ENTRADAS-BASE'!B959)</f>
        <v/>
      </c>
      <c r="D961" t="str">
        <f>IF('ENTRADAS-BASE'!C959="","",'ENTRADAS-BASE'!C959)</f>
        <v/>
      </c>
      <c r="E961" s="7" t="str">
        <f>IF('ENTRADAS-BASE'!D959="","",'ENTRADAS-BASE'!D959)</f>
        <v/>
      </c>
      <c r="F961" s="6" t="str">
        <f>IF('ENTRADAS-BASE'!E959="","",'ENTRADAS-BASE'!E959)</f>
        <v/>
      </c>
      <c r="G961" t="str">
        <f>IF('ENTRADAS-BASE'!F959="","",'ENTRADAS-BASE'!F959)</f>
        <v/>
      </c>
      <c r="H961" t="str">
        <f>IF('ENTRADAS-BASE'!G959="","",'ENTRADAS-BASE'!G959)</f>
        <v/>
      </c>
      <c r="I961" t="str">
        <f>IF('ENTRADAS-BASE'!H959="","",'ENTRADAS-BASE'!H959)</f>
        <v/>
      </c>
      <c r="J961" t="str">
        <f>IF('ENTRADAS-BASE'!I959="","",'ENTRADAS-BASE'!I959)</f>
        <v/>
      </c>
      <c r="K961" s="5" t="str">
        <f>IF('ENTRADAS-BASE'!J959="","",'ENTRADAS-BASE'!J959)</f>
        <v/>
      </c>
      <c r="L9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2" spans="2:12" x14ac:dyDescent="0.3">
      <c r="B962" t="str">
        <f>IF('ENTRADAS-BASE'!A960="","",'ENTRADAS-BASE'!A960)</f>
        <v/>
      </c>
      <c r="C962" t="str">
        <f>IF('ENTRADAS-BASE'!B960="","",'ENTRADAS-BASE'!B960)</f>
        <v/>
      </c>
      <c r="D962" t="str">
        <f>IF('ENTRADAS-BASE'!C960="","",'ENTRADAS-BASE'!C960)</f>
        <v/>
      </c>
      <c r="E962" s="7" t="str">
        <f>IF('ENTRADAS-BASE'!D960="","",'ENTRADAS-BASE'!D960)</f>
        <v/>
      </c>
      <c r="F962" s="6" t="str">
        <f>IF('ENTRADAS-BASE'!E960="","",'ENTRADAS-BASE'!E960)</f>
        <v/>
      </c>
      <c r="G962" t="str">
        <f>IF('ENTRADAS-BASE'!F960="","",'ENTRADAS-BASE'!F960)</f>
        <v/>
      </c>
      <c r="H962" t="str">
        <f>IF('ENTRADAS-BASE'!G960="","",'ENTRADAS-BASE'!G960)</f>
        <v/>
      </c>
      <c r="I962" t="str">
        <f>IF('ENTRADAS-BASE'!H960="","",'ENTRADAS-BASE'!H960)</f>
        <v/>
      </c>
      <c r="J962" t="str">
        <f>IF('ENTRADAS-BASE'!I960="","",'ENTRADAS-BASE'!I960)</f>
        <v/>
      </c>
      <c r="K962" s="5" t="str">
        <f>IF('ENTRADAS-BASE'!J960="","",'ENTRADAS-BASE'!J960)</f>
        <v/>
      </c>
      <c r="L9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3" spans="2:12" x14ac:dyDescent="0.3">
      <c r="B963" t="str">
        <f>IF('ENTRADAS-BASE'!A961="","",'ENTRADAS-BASE'!A961)</f>
        <v/>
      </c>
      <c r="C963" t="str">
        <f>IF('ENTRADAS-BASE'!B961="","",'ENTRADAS-BASE'!B961)</f>
        <v/>
      </c>
      <c r="D963" t="str">
        <f>IF('ENTRADAS-BASE'!C961="","",'ENTRADAS-BASE'!C961)</f>
        <v/>
      </c>
      <c r="E963" s="7" t="str">
        <f>IF('ENTRADAS-BASE'!D961="","",'ENTRADAS-BASE'!D961)</f>
        <v/>
      </c>
      <c r="F963" s="6" t="str">
        <f>IF('ENTRADAS-BASE'!E961="","",'ENTRADAS-BASE'!E961)</f>
        <v/>
      </c>
      <c r="G963" t="str">
        <f>IF('ENTRADAS-BASE'!F961="","",'ENTRADAS-BASE'!F961)</f>
        <v/>
      </c>
      <c r="H963" t="str">
        <f>IF('ENTRADAS-BASE'!G961="","",'ENTRADAS-BASE'!G961)</f>
        <v/>
      </c>
      <c r="I963" t="str">
        <f>IF('ENTRADAS-BASE'!H961="","",'ENTRADAS-BASE'!H961)</f>
        <v/>
      </c>
      <c r="J963" t="str">
        <f>IF('ENTRADAS-BASE'!I961="","",'ENTRADAS-BASE'!I961)</f>
        <v/>
      </c>
      <c r="K963" s="5" t="str">
        <f>IF('ENTRADAS-BASE'!J961="","",'ENTRADAS-BASE'!J961)</f>
        <v/>
      </c>
      <c r="L9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4" spans="2:12" x14ac:dyDescent="0.3">
      <c r="B964" t="str">
        <f>IF('ENTRADAS-BASE'!A962="","",'ENTRADAS-BASE'!A962)</f>
        <v/>
      </c>
      <c r="C964" t="str">
        <f>IF('ENTRADAS-BASE'!B962="","",'ENTRADAS-BASE'!B962)</f>
        <v/>
      </c>
      <c r="D964" t="str">
        <f>IF('ENTRADAS-BASE'!C962="","",'ENTRADAS-BASE'!C962)</f>
        <v/>
      </c>
      <c r="E964" s="7" t="str">
        <f>IF('ENTRADAS-BASE'!D962="","",'ENTRADAS-BASE'!D962)</f>
        <v/>
      </c>
      <c r="F964" s="6" t="str">
        <f>IF('ENTRADAS-BASE'!E962="","",'ENTRADAS-BASE'!E962)</f>
        <v/>
      </c>
      <c r="G964" t="str">
        <f>IF('ENTRADAS-BASE'!F962="","",'ENTRADAS-BASE'!F962)</f>
        <v/>
      </c>
      <c r="H964" t="str">
        <f>IF('ENTRADAS-BASE'!G962="","",'ENTRADAS-BASE'!G962)</f>
        <v/>
      </c>
      <c r="I964" t="str">
        <f>IF('ENTRADAS-BASE'!H962="","",'ENTRADAS-BASE'!H962)</f>
        <v/>
      </c>
      <c r="J964" t="str">
        <f>IF('ENTRADAS-BASE'!I962="","",'ENTRADAS-BASE'!I962)</f>
        <v/>
      </c>
      <c r="K964" s="5" t="str">
        <f>IF('ENTRADAS-BASE'!J962="","",'ENTRADAS-BASE'!J962)</f>
        <v/>
      </c>
      <c r="L9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5" spans="2:12" x14ac:dyDescent="0.3">
      <c r="B965" t="str">
        <f>IF('ENTRADAS-BASE'!A963="","",'ENTRADAS-BASE'!A963)</f>
        <v/>
      </c>
      <c r="C965" t="str">
        <f>IF('ENTRADAS-BASE'!B963="","",'ENTRADAS-BASE'!B963)</f>
        <v/>
      </c>
      <c r="D965" t="str">
        <f>IF('ENTRADAS-BASE'!C963="","",'ENTRADAS-BASE'!C963)</f>
        <v/>
      </c>
      <c r="E965" s="7" t="str">
        <f>IF('ENTRADAS-BASE'!D963="","",'ENTRADAS-BASE'!D963)</f>
        <v/>
      </c>
      <c r="F965" s="6" t="str">
        <f>IF('ENTRADAS-BASE'!E963="","",'ENTRADAS-BASE'!E963)</f>
        <v/>
      </c>
      <c r="G965" t="str">
        <f>IF('ENTRADAS-BASE'!F963="","",'ENTRADAS-BASE'!F963)</f>
        <v/>
      </c>
      <c r="H965" t="str">
        <f>IF('ENTRADAS-BASE'!G963="","",'ENTRADAS-BASE'!G963)</f>
        <v/>
      </c>
      <c r="I965" t="str">
        <f>IF('ENTRADAS-BASE'!H963="","",'ENTRADAS-BASE'!H963)</f>
        <v/>
      </c>
      <c r="J965" t="str">
        <f>IF('ENTRADAS-BASE'!I963="","",'ENTRADAS-BASE'!I963)</f>
        <v/>
      </c>
      <c r="K965" s="5" t="str">
        <f>IF('ENTRADAS-BASE'!J963="","",'ENTRADAS-BASE'!J963)</f>
        <v/>
      </c>
      <c r="L9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6" spans="2:12" x14ac:dyDescent="0.3">
      <c r="B966" t="str">
        <f>IF('ENTRADAS-BASE'!A964="","",'ENTRADAS-BASE'!A964)</f>
        <v/>
      </c>
      <c r="C966" t="str">
        <f>IF('ENTRADAS-BASE'!B964="","",'ENTRADAS-BASE'!B964)</f>
        <v/>
      </c>
      <c r="D966" t="str">
        <f>IF('ENTRADAS-BASE'!C964="","",'ENTRADAS-BASE'!C964)</f>
        <v/>
      </c>
      <c r="E966" s="7" t="str">
        <f>IF('ENTRADAS-BASE'!D964="","",'ENTRADAS-BASE'!D964)</f>
        <v/>
      </c>
      <c r="F966" s="6" t="str">
        <f>IF('ENTRADAS-BASE'!E964="","",'ENTRADAS-BASE'!E964)</f>
        <v/>
      </c>
      <c r="G966" t="str">
        <f>IF('ENTRADAS-BASE'!F964="","",'ENTRADAS-BASE'!F964)</f>
        <v/>
      </c>
      <c r="H966" t="str">
        <f>IF('ENTRADAS-BASE'!G964="","",'ENTRADAS-BASE'!G964)</f>
        <v/>
      </c>
      <c r="I966" t="str">
        <f>IF('ENTRADAS-BASE'!H964="","",'ENTRADAS-BASE'!H964)</f>
        <v/>
      </c>
      <c r="J966" t="str">
        <f>IF('ENTRADAS-BASE'!I964="","",'ENTRADAS-BASE'!I964)</f>
        <v/>
      </c>
      <c r="K966" s="5" t="str">
        <f>IF('ENTRADAS-BASE'!J964="","",'ENTRADAS-BASE'!J964)</f>
        <v/>
      </c>
      <c r="L9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7" spans="2:12" x14ac:dyDescent="0.3">
      <c r="B967" t="str">
        <f>IF('ENTRADAS-BASE'!A965="","",'ENTRADAS-BASE'!A965)</f>
        <v/>
      </c>
      <c r="C967" t="str">
        <f>IF('ENTRADAS-BASE'!B965="","",'ENTRADAS-BASE'!B965)</f>
        <v/>
      </c>
      <c r="D967" t="str">
        <f>IF('ENTRADAS-BASE'!C965="","",'ENTRADAS-BASE'!C965)</f>
        <v/>
      </c>
      <c r="E967" s="7" t="str">
        <f>IF('ENTRADAS-BASE'!D965="","",'ENTRADAS-BASE'!D965)</f>
        <v/>
      </c>
      <c r="F967" s="6" t="str">
        <f>IF('ENTRADAS-BASE'!E965="","",'ENTRADAS-BASE'!E965)</f>
        <v/>
      </c>
      <c r="G967" t="str">
        <f>IF('ENTRADAS-BASE'!F965="","",'ENTRADAS-BASE'!F965)</f>
        <v/>
      </c>
      <c r="H967" t="str">
        <f>IF('ENTRADAS-BASE'!G965="","",'ENTRADAS-BASE'!G965)</f>
        <v/>
      </c>
      <c r="I967" t="str">
        <f>IF('ENTRADAS-BASE'!H965="","",'ENTRADAS-BASE'!H965)</f>
        <v/>
      </c>
      <c r="J967" t="str">
        <f>IF('ENTRADAS-BASE'!I965="","",'ENTRADAS-BASE'!I965)</f>
        <v/>
      </c>
      <c r="K967" s="5" t="str">
        <f>IF('ENTRADAS-BASE'!J965="","",'ENTRADAS-BASE'!J965)</f>
        <v/>
      </c>
      <c r="L9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8" spans="2:12" x14ac:dyDescent="0.3">
      <c r="B968" t="str">
        <f>IF('ENTRADAS-BASE'!A966="","",'ENTRADAS-BASE'!A966)</f>
        <v/>
      </c>
      <c r="C968" t="str">
        <f>IF('ENTRADAS-BASE'!B966="","",'ENTRADAS-BASE'!B966)</f>
        <v/>
      </c>
      <c r="D968" t="str">
        <f>IF('ENTRADAS-BASE'!C966="","",'ENTRADAS-BASE'!C966)</f>
        <v/>
      </c>
      <c r="E968" s="7" t="str">
        <f>IF('ENTRADAS-BASE'!D966="","",'ENTRADAS-BASE'!D966)</f>
        <v/>
      </c>
      <c r="F968" s="6" t="str">
        <f>IF('ENTRADAS-BASE'!E966="","",'ENTRADAS-BASE'!E966)</f>
        <v/>
      </c>
      <c r="G968" t="str">
        <f>IF('ENTRADAS-BASE'!F966="","",'ENTRADAS-BASE'!F966)</f>
        <v/>
      </c>
      <c r="H968" t="str">
        <f>IF('ENTRADAS-BASE'!G966="","",'ENTRADAS-BASE'!G966)</f>
        <v/>
      </c>
      <c r="I968" t="str">
        <f>IF('ENTRADAS-BASE'!H966="","",'ENTRADAS-BASE'!H966)</f>
        <v/>
      </c>
      <c r="J968" t="str">
        <f>IF('ENTRADAS-BASE'!I966="","",'ENTRADAS-BASE'!I966)</f>
        <v/>
      </c>
      <c r="K968" s="5" t="str">
        <f>IF('ENTRADAS-BASE'!J966="","",'ENTRADAS-BASE'!J966)</f>
        <v/>
      </c>
      <c r="L9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9" spans="2:12" x14ac:dyDescent="0.3">
      <c r="B969" t="str">
        <f>IF('ENTRADAS-BASE'!A967="","",'ENTRADAS-BASE'!A967)</f>
        <v/>
      </c>
      <c r="C969" t="str">
        <f>IF('ENTRADAS-BASE'!B967="","",'ENTRADAS-BASE'!B967)</f>
        <v/>
      </c>
      <c r="D969" t="str">
        <f>IF('ENTRADAS-BASE'!C967="","",'ENTRADAS-BASE'!C967)</f>
        <v/>
      </c>
      <c r="E969" s="7" t="str">
        <f>IF('ENTRADAS-BASE'!D967="","",'ENTRADAS-BASE'!D967)</f>
        <v/>
      </c>
      <c r="F969" s="6" t="str">
        <f>IF('ENTRADAS-BASE'!E967="","",'ENTRADAS-BASE'!E967)</f>
        <v/>
      </c>
      <c r="G969" t="str">
        <f>IF('ENTRADAS-BASE'!F967="","",'ENTRADAS-BASE'!F967)</f>
        <v/>
      </c>
      <c r="H969" t="str">
        <f>IF('ENTRADAS-BASE'!G967="","",'ENTRADAS-BASE'!G967)</f>
        <v/>
      </c>
      <c r="I969" t="str">
        <f>IF('ENTRADAS-BASE'!H967="","",'ENTRADAS-BASE'!H967)</f>
        <v/>
      </c>
      <c r="J969" t="str">
        <f>IF('ENTRADAS-BASE'!I967="","",'ENTRADAS-BASE'!I967)</f>
        <v/>
      </c>
      <c r="K969" s="5" t="str">
        <f>IF('ENTRADAS-BASE'!J967="","",'ENTRADAS-BASE'!J967)</f>
        <v/>
      </c>
      <c r="L9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0" spans="2:12" x14ac:dyDescent="0.3">
      <c r="B970" t="str">
        <f>IF('ENTRADAS-BASE'!A968="","",'ENTRADAS-BASE'!A968)</f>
        <v/>
      </c>
      <c r="C970" t="str">
        <f>IF('ENTRADAS-BASE'!B968="","",'ENTRADAS-BASE'!B968)</f>
        <v/>
      </c>
      <c r="D970" t="str">
        <f>IF('ENTRADAS-BASE'!C968="","",'ENTRADAS-BASE'!C968)</f>
        <v/>
      </c>
      <c r="E970" s="7" t="str">
        <f>IF('ENTRADAS-BASE'!D968="","",'ENTRADAS-BASE'!D968)</f>
        <v/>
      </c>
      <c r="F970" s="6" t="str">
        <f>IF('ENTRADAS-BASE'!E968="","",'ENTRADAS-BASE'!E968)</f>
        <v/>
      </c>
      <c r="G970" t="str">
        <f>IF('ENTRADAS-BASE'!F968="","",'ENTRADAS-BASE'!F968)</f>
        <v/>
      </c>
      <c r="H970" t="str">
        <f>IF('ENTRADAS-BASE'!G968="","",'ENTRADAS-BASE'!G968)</f>
        <v/>
      </c>
      <c r="I970" t="str">
        <f>IF('ENTRADAS-BASE'!H968="","",'ENTRADAS-BASE'!H968)</f>
        <v/>
      </c>
      <c r="J970" t="str">
        <f>IF('ENTRADAS-BASE'!I968="","",'ENTRADAS-BASE'!I968)</f>
        <v/>
      </c>
      <c r="K970" s="5" t="str">
        <f>IF('ENTRADAS-BASE'!J968="","",'ENTRADAS-BASE'!J968)</f>
        <v/>
      </c>
      <c r="L9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1" spans="2:12" x14ac:dyDescent="0.3">
      <c r="B971" t="str">
        <f>IF('ENTRADAS-BASE'!A969="","",'ENTRADAS-BASE'!A969)</f>
        <v/>
      </c>
      <c r="C971" t="str">
        <f>IF('ENTRADAS-BASE'!B969="","",'ENTRADAS-BASE'!B969)</f>
        <v/>
      </c>
      <c r="D971" t="str">
        <f>IF('ENTRADAS-BASE'!C969="","",'ENTRADAS-BASE'!C969)</f>
        <v/>
      </c>
      <c r="E971" s="7" t="str">
        <f>IF('ENTRADAS-BASE'!D969="","",'ENTRADAS-BASE'!D969)</f>
        <v/>
      </c>
      <c r="F971" s="6" t="str">
        <f>IF('ENTRADAS-BASE'!E969="","",'ENTRADAS-BASE'!E969)</f>
        <v/>
      </c>
      <c r="G971" t="str">
        <f>IF('ENTRADAS-BASE'!F969="","",'ENTRADAS-BASE'!F969)</f>
        <v/>
      </c>
      <c r="H971" t="str">
        <f>IF('ENTRADAS-BASE'!G969="","",'ENTRADAS-BASE'!G969)</f>
        <v/>
      </c>
      <c r="I971" t="str">
        <f>IF('ENTRADAS-BASE'!H969="","",'ENTRADAS-BASE'!H969)</f>
        <v/>
      </c>
      <c r="J971" t="str">
        <f>IF('ENTRADAS-BASE'!I969="","",'ENTRADAS-BASE'!I969)</f>
        <v/>
      </c>
      <c r="K971" s="5" t="str">
        <f>IF('ENTRADAS-BASE'!J969="","",'ENTRADAS-BASE'!J969)</f>
        <v/>
      </c>
      <c r="L9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2" spans="2:12" x14ac:dyDescent="0.3">
      <c r="B972" t="str">
        <f>IF('ENTRADAS-BASE'!A970="","",'ENTRADAS-BASE'!A970)</f>
        <v/>
      </c>
      <c r="C972" t="str">
        <f>IF('ENTRADAS-BASE'!B970="","",'ENTRADAS-BASE'!B970)</f>
        <v/>
      </c>
      <c r="D972" t="str">
        <f>IF('ENTRADAS-BASE'!C970="","",'ENTRADAS-BASE'!C970)</f>
        <v/>
      </c>
      <c r="E972" s="7" t="str">
        <f>IF('ENTRADAS-BASE'!D970="","",'ENTRADAS-BASE'!D970)</f>
        <v/>
      </c>
      <c r="F972" s="6" t="str">
        <f>IF('ENTRADAS-BASE'!E970="","",'ENTRADAS-BASE'!E970)</f>
        <v/>
      </c>
      <c r="G972" t="str">
        <f>IF('ENTRADAS-BASE'!F970="","",'ENTRADAS-BASE'!F970)</f>
        <v/>
      </c>
      <c r="H972" t="str">
        <f>IF('ENTRADAS-BASE'!G970="","",'ENTRADAS-BASE'!G970)</f>
        <v/>
      </c>
      <c r="I972" t="str">
        <f>IF('ENTRADAS-BASE'!H970="","",'ENTRADAS-BASE'!H970)</f>
        <v/>
      </c>
      <c r="J972" t="str">
        <f>IF('ENTRADAS-BASE'!I970="","",'ENTRADAS-BASE'!I970)</f>
        <v/>
      </c>
      <c r="K972" s="5" t="str">
        <f>IF('ENTRADAS-BASE'!J970="","",'ENTRADAS-BASE'!J970)</f>
        <v/>
      </c>
      <c r="L9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3" spans="2:12" x14ac:dyDescent="0.3">
      <c r="B973" t="str">
        <f>IF('ENTRADAS-BASE'!A971="","",'ENTRADAS-BASE'!A971)</f>
        <v/>
      </c>
      <c r="C973" t="str">
        <f>IF('ENTRADAS-BASE'!B971="","",'ENTRADAS-BASE'!B971)</f>
        <v/>
      </c>
      <c r="D973" t="str">
        <f>IF('ENTRADAS-BASE'!C971="","",'ENTRADAS-BASE'!C971)</f>
        <v/>
      </c>
      <c r="E973" s="7" t="str">
        <f>IF('ENTRADAS-BASE'!D971="","",'ENTRADAS-BASE'!D971)</f>
        <v/>
      </c>
      <c r="F973" s="6" t="str">
        <f>IF('ENTRADAS-BASE'!E971="","",'ENTRADAS-BASE'!E971)</f>
        <v/>
      </c>
      <c r="G973" t="str">
        <f>IF('ENTRADAS-BASE'!F971="","",'ENTRADAS-BASE'!F971)</f>
        <v/>
      </c>
      <c r="H973" t="str">
        <f>IF('ENTRADAS-BASE'!G971="","",'ENTRADAS-BASE'!G971)</f>
        <v/>
      </c>
      <c r="I973" t="str">
        <f>IF('ENTRADAS-BASE'!H971="","",'ENTRADAS-BASE'!H971)</f>
        <v/>
      </c>
      <c r="J973" t="str">
        <f>IF('ENTRADAS-BASE'!I971="","",'ENTRADAS-BASE'!I971)</f>
        <v/>
      </c>
      <c r="K973" s="5" t="str">
        <f>IF('ENTRADAS-BASE'!J971="","",'ENTRADAS-BASE'!J971)</f>
        <v/>
      </c>
      <c r="L9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4" spans="2:12" x14ac:dyDescent="0.3">
      <c r="B974" t="str">
        <f>IF('ENTRADAS-BASE'!A972="","",'ENTRADAS-BASE'!A972)</f>
        <v/>
      </c>
      <c r="C974" t="str">
        <f>IF('ENTRADAS-BASE'!B972="","",'ENTRADAS-BASE'!B972)</f>
        <v/>
      </c>
      <c r="D974" t="str">
        <f>IF('ENTRADAS-BASE'!C972="","",'ENTRADAS-BASE'!C972)</f>
        <v/>
      </c>
      <c r="E974" s="7" t="str">
        <f>IF('ENTRADAS-BASE'!D972="","",'ENTRADAS-BASE'!D972)</f>
        <v/>
      </c>
      <c r="F974" s="6" t="str">
        <f>IF('ENTRADAS-BASE'!E972="","",'ENTRADAS-BASE'!E972)</f>
        <v/>
      </c>
      <c r="G974" t="str">
        <f>IF('ENTRADAS-BASE'!F972="","",'ENTRADAS-BASE'!F972)</f>
        <v/>
      </c>
      <c r="H974" t="str">
        <f>IF('ENTRADAS-BASE'!G972="","",'ENTRADAS-BASE'!G972)</f>
        <v/>
      </c>
      <c r="I974" t="str">
        <f>IF('ENTRADAS-BASE'!H972="","",'ENTRADAS-BASE'!H972)</f>
        <v/>
      </c>
      <c r="J974" t="str">
        <f>IF('ENTRADAS-BASE'!I972="","",'ENTRADAS-BASE'!I972)</f>
        <v/>
      </c>
      <c r="K974" s="5" t="str">
        <f>IF('ENTRADAS-BASE'!J972="","",'ENTRADAS-BASE'!J972)</f>
        <v/>
      </c>
      <c r="L9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5" spans="2:12" x14ac:dyDescent="0.3">
      <c r="B975" t="str">
        <f>IF('ENTRADAS-BASE'!A973="","",'ENTRADAS-BASE'!A973)</f>
        <v/>
      </c>
      <c r="C975" t="str">
        <f>IF('ENTRADAS-BASE'!B973="","",'ENTRADAS-BASE'!B973)</f>
        <v/>
      </c>
      <c r="D975" t="str">
        <f>IF('ENTRADAS-BASE'!C973="","",'ENTRADAS-BASE'!C973)</f>
        <v/>
      </c>
      <c r="E975" s="7" t="str">
        <f>IF('ENTRADAS-BASE'!D973="","",'ENTRADAS-BASE'!D973)</f>
        <v/>
      </c>
      <c r="F975" s="6" t="str">
        <f>IF('ENTRADAS-BASE'!E973="","",'ENTRADAS-BASE'!E973)</f>
        <v/>
      </c>
      <c r="G975" t="str">
        <f>IF('ENTRADAS-BASE'!F973="","",'ENTRADAS-BASE'!F973)</f>
        <v/>
      </c>
      <c r="H975" t="str">
        <f>IF('ENTRADAS-BASE'!G973="","",'ENTRADAS-BASE'!G973)</f>
        <v/>
      </c>
      <c r="I975" t="str">
        <f>IF('ENTRADAS-BASE'!H973="","",'ENTRADAS-BASE'!H973)</f>
        <v/>
      </c>
      <c r="J975" t="str">
        <f>IF('ENTRADAS-BASE'!I973="","",'ENTRADAS-BASE'!I973)</f>
        <v/>
      </c>
      <c r="K975" s="5" t="str">
        <f>IF('ENTRADAS-BASE'!J973="","",'ENTRADAS-BASE'!J973)</f>
        <v/>
      </c>
      <c r="L9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6" spans="2:12" x14ac:dyDescent="0.3">
      <c r="B976" t="str">
        <f>IF('ENTRADAS-BASE'!A974="","",'ENTRADAS-BASE'!A974)</f>
        <v/>
      </c>
      <c r="C976" t="str">
        <f>IF('ENTRADAS-BASE'!B974="","",'ENTRADAS-BASE'!B974)</f>
        <v/>
      </c>
      <c r="D976" t="str">
        <f>IF('ENTRADAS-BASE'!C974="","",'ENTRADAS-BASE'!C974)</f>
        <v/>
      </c>
      <c r="E976" s="7" t="str">
        <f>IF('ENTRADAS-BASE'!D974="","",'ENTRADAS-BASE'!D974)</f>
        <v/>
      </c>
      <c r="F976" s="6" t="str">
        <f>IF('ENTRADAS-BASE'!E974="","",'ENTRADAS-BASE'!E974)</f>
        <v/>
      </c>
      <c r="G976" t="str">
        <f>IF('ENTRADAS-BASE'!F974="","",'ENTRADAS-BASE'!F974)</f>
        <v/>
      </c>
      <c r="H976" t="str">
        <f>IF('ENTRADAS-BASE'!G974="","",'ENTRADAS-BASE'!G974)</f>
        <v/>
      </c>
      <c r="I976" t="str">
        <f>IF('ENTRADAS-BASE'!H974="","",'ENTRADAS-BASE'!H974)</f>
        <v/>
      </c>
      <c r="J976" t="str">
        <f>IF('ENTRADAS-BASE'!I974="","",'ENTRADAS-BASE'!I974)</f>
        <v/>
      </c>
      <c r="K976" s="5" t="str">
        <f>IF('ENTRADAS-BASE'!J974="","",'ENTRADAS-BASE'!J974)</f>
        <v/>
      </c>
      <c r="L9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7" spans="2:12" x14ac:dyDescent="0.3">
      <c r="B977" t="str">
        <f>IF('ENTRADAS-BASE'!A975="","",'ENTRADAS-BASE'!A975)</f>
        <v/>
      </c>
      <c r="C977" t="str">
        <f>IF('ENTRADAS-BASE'!B975="","",'ENTRADAS-BASE'!B975)</f>
        <v/>
      </c>
      <c r="D977" t="str">
        <f>IF('ENTRADAS-BASE'!C975="","",'ENTRADAS-BASE'!C975)</f>
        <v/>
      </c>
      <c r="E977" s="7" t="str">
        <f>IF('ENTRADAS-BASE'!D975="","",'ENTRADAS-BASE'!D975)</f>
        <v/>
      </c>
      <c r="F977" s="6" t="str">
        <f>IF('ENTRADAS-BASE'!E975="","",'ENTRADAS-BASE'!E975)</f>
        <v/>
      </c>
      <c r="G977" t="str">
        <f>IF('ENTRADAS-BASE'!F975="","",'ENTRADAS-BASE'!F975)</f>
        <v/>
      </c>
      <c r="H977" t="str">
        <f>IF('ENTRADAS-BASE'!G975="","",'ENTRADAS-BASE'!G975)</f>
        <v/>
      </c>
      <c r="I977" t="str">
        <f>IF('ENTRADAS-BASE'!H975="","",'ENTRADAS-BASE'!H975)</f>
        <v/>
      </c>
      <c r="J977" t="str">
        <f>IF('ENTRADAS-BASE'!I975="","",'ENTRADAS-BASE'!I975)</f>
        <v/>
      </c>
      <c r="K977" s="5" t="str">
        <f>IF('ENTRADAS-BASE'!J975="","",'ENTRADAS-BASE'!J975)</f>
        <v/>
      </c>
      <c r="L9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8" spans="2:12" x14ac:dyDescent="0.3">
      <c r="B978" t="str">
        <f>IF('ENTRADAS-BASE'!A976="","",'ENTRADAS-BASE'!A976)</f>
        <v/>
      </c>
      <c r="C978" t="str">
        <f>IF('ENTRADAS-BASE'!B976="","",'ENTRADAS-BASE'!B976)</f>
        <v/>
      </c>
      <c r="D978" t="str">
        <f>IF('ENTRADAS-BASE'!C976="","",'ENTRADAS-BASE'!C976)</f>
        <v/>
      </c>
      <c r="E978" s="7" t="str">
        <f>IF('ENTRADAS-BASE'!D976="","",'ENTRADAS-BASE'!D976)</f>
        <v/>
      </c>
      <c r="F978" s="6" t="str">
        <f>IF('ENTRADAS-BASE'!E976="","",'ENTRADAS-BASE'!E976)</f>
        <v/>
      </c>
      <c r="G978" t="str">
        <f>IF('ENTRADAS-BASE'!F976="","",'ENTRADAS-BASE'!F976)</f>
        <v/>
      </c>
      <c r="H978" t="str">
        <f>IF('ENTRADAS-BASE'!G976="","",'ENTRADAS-BASE'!G976)</f>
        <v/>
      </c>
      <c r="I978" t="str">
        <f>IF('ENTRADAS-BASE'!H976="","",'ENTRADAS-BASE'!H976)</f>
        <v/>
      </c>
      <c r="J978" t="str">
        <f>IF('ENTRADAS-BASE'!I976="","",'ENTRADAS-BASE'!I976)</f>
        <v/>
      </c>
      <c r="K978" s="5" t="str">
        <f>IF('ENTRADAS-BASE'!J976="","",'ENTRADAS-BASE'!J976)</f>
        <v/>
      </c>
      <c r="L9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9" spans="2:12" x14ac:dyDescent="0.3">
      <c r="B979" t="str">
        <f>IF('ENTRADAS-BASE'!A977="","",'ENTRADAS-BASE'!A977)</f>
        <v/>
      </c>
      <c r="C979" t="str">
        <f>IF('ENTRADAS-BASE'!B977="","",'ENTRADAS-BASE'!B977)</f>
        <v/>
      </c>
      <c r="D979" t="str">
        <f>IF('ENTRADAS-BASE'!C977="","",'ENTRADAS-BASE'!C977)</f>
        <v/>
      </c>
      <c r="E979" s="7" t="str">
        <f>IF('ENTRADAS-BASE'!D977="","",'ENTRADAS-BASE'!D977)</f>
        <v/>
      </c>
      <c r="F979" s="6" t="str">
        <f>IF('ENTRADAS-BASE'!E977="","",'ENTRADAS-BASE'!E977)</f>
        <v/>
      </c>
      <c r="G979" t="str">
        <f>IF('ENTRADAS-BASE'!F977="","",'ENTRADAS-BASE'!F977)</f>
        <v/>
      </c>
      <c r="H979" t="str">
        <f>IF('ENTRADAS-BASE'!G977="","",'ENTRADAS-BASE'!G977)</f>
        <v/>
      </c>
      <c r="I979" t="str">
        <f>IF('ENTRADAS-BASE'!H977="","",'ENTRADAS-BASE'!H977)</f>
        <v/>
      </c>
      <c r="J979" t="str">
        <f>IF('ENTRADAS-BASE'!I977="","",'ENTRADAS-BASE'!I977)</f>
        <v/>
      </c>
      <c r="K979" s="5" t="str">
        <f>IF('ENTRADAS-BASE'!J977="","",'ENTRADAS-BASE'!J977)</f>
        <v/>
      </c>
      <c r="L9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0" spans="2:12" x14ac:dyDescent="0.3">
      <c r="B980" t="str">
        <f>IF('ENTRADAS-BASE'!A978="","",'ENTRADAS-BASE'!A978)</f>
        <v/>
      </c>
      <c r="C980" t="str">
        <f>IF('ENTRADAS-BASE'!B978="","",'ENTRADAS-BASE'!B978)</f>
        <v/>
      </c>
      <c r="D980" t="str">
        <f>IF('ENTRADAS-BASE'!C978="","",'ENTRADAS-BASE'!C978)</f>
        <v/>
      </c>
      <c r="E980" s="7" t="str">
        <f>IF('ENTRADAS-BASE'!D978="","",'ENTRADAS-BASE'!D978)</f>
        <v/>
      </c>
      <c r="F980" s="6" t="str">
        <f>IF('ENTRADAS-BASE'!E978="","",'ENTRADAS-BASE'!E978)</f>
        <v/>
      </c>
      <c r="G980" t="str">
        <f>IF('ENTRADAS-BASE'!F978="","",'ENTRADAS-BASE'!F978)</f>
        <v/>
      </c>
      <c r="H980" t="str">
        <f>IF('ENTRADAS-BASE'!G978="","",'ENTRADAS-BASE'!G978)</f>
        <v/>
      </c>
      <c r="I980" t="str">
        <f>IF('ENTRADAS-BASE'!H978="","",'ENTRADAS-BASE'!H978)</f>
        <v/>
      </c>
      <c r="J980" t="str">
        <f>IF('ENTRADAS-BASE'!I978="","",'ENTRADAS-BASE'!I978)</f>
        <v/>
      </c>
      <c r="K980" s="5" t="str">
        <f>IF('ENTRADAS-BASE'!J978="","",'ENTRADAS-BASE'!J978)</f>
        <v/>
      </c>
      <c r="L9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1" spans="2:12" x14ac:dyDescent="0.3">
      <c r="B981" t="str">
        <f>IF('ENTRADAS-BASE'!A979="","",'ENTRADAS-BASE'!A979)</f>
        <v/>
      </c>
      <c r="C981" t="str">
        <f>IF('ENTRADAS-BASE'!B979="","",'ENTRADAS-BASE'!B979)</f>
        <v/>
      </c>
      <c r="D981" t="str">
        <f>IF('ENTRADAS-BASE'!C979="","",'ENTRADAS-BASE'!C979)</f>
        <v/>
      </c>
      <c r="E981" s="7" t="str">
        <f>IF('ENTRADAS-BASE'!D979="","",'ENTRADAS-BASE'!D979)</f>
        <v/>
      </c>
      <c r="F981" s="6" t="str">
        <f>IF('ENTRADAS-BASE'!E979="","",'ENTRADAS-BASE'!E979)</f>
        <v/>
      </c>
      <c r="G981" t="str">
        <f>IF('ENTRADAS-BASE'!F979="","",'ENTRADAS-BASE'!F979)</f>
        <v/>
      </c>
      <c r="H981" t="str">
        <f>IF('ENTRADAS-BASE'!G979="","",'ENTRADAS-BASE'!G979)</f>
        <v/>
      </c>
      <c r="I981" t="str">
        <f>IF('ENTRADAS-BASE'!H979="","",'ENTRADAS-BASE'!H979)</f>
        <v/>
      </c>
      <c r="J981" t="str">
        <f>IF('ENTRADAS-BASE'!I979="","",'ENTRADAS-BASE'!I979)</f>
        <v/>
      </c>
      <c r="K981" s="5" t="str">
        <f>IF('ENTRADAS-BASE'!J979="","",'ENTRADAS-BASE'!J979)</f>
        <v/>
      </c>
      <c r="L9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2" spans="2:12" x14ac:dyDescent="0.3">
      <c r="B982" t="str">
        <f>IF('ENTRADAS-BASE'!A980="","",'ENTRADAS-BASE'!A980)</f>
        <v/>
      </c>
      <c r="C982" t="str">
        <f>IF('ENTRADAS-BASE'!B980="","",'ENTRADAS-BASE'!B980)</f>
        <v/>
      </c>
      <c r="D982" t="str">
        <f>IF('ENTRADAS-BASE'!C980="","",'ENTRADAS-BASE'!C980)</f>
        <v/>
      </c>
      <c r="E982" s="7" t="str">
        <f>IF('ENTRADAS-BASE'!D980="","",'ENTRADAS-BASE'!D980)</f>
        <v/>
      </c>
      <c r="F982" s="6" t="str">
        <f>IF('ENTRADAS-BASE'!E980="","",'ENTRADAS-BASE'!E980)</f>
        <v/>
      </c>
      <c r="G982" t="str">
        <f>IF('ENTRADAS-BASE'!F980="","",'ENTRADAS-BASE'!F980)</f>
        <v/>
      </c>
      <c r="H982" t="str">
        <f>IF('ENTRADAS-BASE'!G980="","",'ENTRADAS-BASE'!G980)</f>
        <v/>
      </c>
      <c r="I982" t="str">
        <f>IF('ENTRADAS-BASE'!H980="","",'ENTRADAS-BASE'!H980)</f>
        <v/>
      </c>
      <c r="J982" t="str">
        <f>IF('ENTRADAS-BASE'!I980="","",'ENTRADAS-BASE'!I980)</f>
        <v/>
      </c>
      <c r="K982" s="5" t="str">
        <f>IF('ENTRADAS-BASE'!J980="","",'ENTRADAS-BASE'!J980)</f>
        <v/>
      </c>
      <c r="L9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3" spans="2:12" x14ac:dyDescent="0.3">
      <c r="B983" t="str">
        <f>IF('ENTRADAS-BASE'!A981="","",'ENTRADAS-BASE'!A981)</f>
        <v/>
      </c>
      <c r="C983" t="str">
        <f>IF('ENTRADAS-BASE'!B981="","",'ENTRADAS-BASE'!B981)</f>
        <v/>
      </c>
      <c r="D983" t="str">
        <f>IF('ENTRADAS-BASE'!C981="","",'ENTRADAS-BASE'!C981)</f>
        <v/>
      </c>
      <c r="E983" s="7" t="str">
        <f>IF('ENTRADAS-BASE'!D981="","",'ENTRADAS-BASE'!D981)</f>
        <v/>
      </c>
      <c r="F983" s="6" t="str">
        <f>IF('ENTRADAS-BASE'!E981="","",'ENTRADAS-BASE'!E981)</f>
        <v/>
      </c>
      <c r="G983" t="str">
        <f>IF('ENTRADAS-BASE'!F981="","",'ENTRADAS-BASE'!F981)</f>
        <v/>
      </c>
      <c r="H983" t="str">
        <f>IF('ENTRADAS-BASE'!G981="","",'ENTRADAS-BASE'!G981)</f>
        <v/>
      </c>
      <c r="I983" t="str">
        <f>IF('ENTRADAS-BASE'!H981="","",'ENTRADAS-BASE'!H981)</f>
        <v/>
      </c>
      <c r="J983" t="str">
        <f>IF('ENTRADAS-BASE'!I981="","",'ENTRADAS-BASE'!I981)</f>
        <v/>
      </c>
      <c r="K983" s="5" t="str">
        <f>IF('ENTRADAS-BASE'!J981="","",'ENTRADAS-BASE'!J981)</f>
        <v/>
      </c>
      <c r="L9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4" spans="2:12" x14ac:dyDescent="0.3">
      <c r="B984" t="str">
        <f>IF('ENTRADAS-BASE'!A982="","",'ENTRADAS-BASE'!A982)</f>
        <v/>
      </c>
      <c r="C984" t="str">
        <f>IF('ENTRADAS-BASE'!B982="","",'ENTRADAS-BASE'!B982)</f>
        <v/>
      </c>
      <c r="D984" t="str">
        <f>IF('ENTRADAS-BASE'!C982="","",'ENTRADAS-BASE'!C982)</f>
        <v/>
      </c>
      <c r="E984" s="7" t="str">
        <f>IF('ENTRADAS-BASE'!D982="","",'ENTRADAS-BASE'!D982)</f>
        <v/>
      </c>
      <c r="F984" s="6" t="str">
        <f>IF('ENTRADAS-BASE'!E982="","",'ENTRADAS-BASE'!E982)</f>
        <v/>
      </c>
      <c r="G984" t="str">
        <f>IF('ENTRADAS-BASE'!F982="","",'ENTRADAS-BASE'!F982)</f>
        <v/>
      </c>
      <c r="H984" t="str">
        <f>IF('ENTRADAS-BASE'!G982="","",'ENTRADAS-BASE'!G982)</f>
        <v/>
      </c>
      <c r="I984" t="str">
        <f>IF('ENTRADAS-BASE'!H982="","",'ENTRADAS-BASE'!H982)</f>
        <v/>
      </c>
      <c r="J984" t="str">
        <f>IF('ENTRADAS-BASE'!I982="","",'ENTRADAS-BASE'!I982)</f>
        <v/>
      </c>
      <c r="K984" s="5" t="str">
        <f>IF('ENTRADAS-BASE'!J982="","",'ENTRADAS-BASE'!J982)</f>
        <v/>
      </c>
      <c r="L9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5" spans="2:12" x14ac:dyDescent="0.3">
      <c r="B985" t="str">
        <f>IF('ENTRADAS-BASE'!A983="","",'ENTRADAS-BASE'!A983)</f>
        <v/>
      </c>
      <c r="C985" t="str">
        <f>IF('ENTRADAS-BASE'!B983="","",'ENTRADAS-BASE'!B983)</f>
        <v/>
      </c>
      <c r="D985" t="str">
        <f>IF('ENTRADAS-BASE'!C983="","",'ENTRADAS-BASE'!C983)</f>
        <v/>
      </c>
      <c r="E985" s="7" t="str">
        <f>IF('ENTRADAS-BASE'!D983="","",'ENTRADAS-BASE'!D983)</f>
        <v/>
      </c>
      <c r="F985" s="6" t="str">
        <f>IF('ENTRADAS-BASE'!E983="","",'ENTRADAS-BASE'!E983)</f>
        <v/>
      </c>
      <c r="G985" t="str">
        <f>IF('ENTRADAS-BASE'!F983="","",'ENTRADAS-BASE'!F983)</f>
        <v/>
      </c>
      <c r="H985" t="str">
        <f>IF('ENTRADAS-BASE'!G983="","",'ENTRADAS-BASE'!G983)</f>
        <v/>
      </c>
      <c r="I985" t="str">
        <f>IF('ENTRADAS-BASE'!H983="","",'ENTRADAS-BASE'!H983)</f>
        <v/>
      </c>
      <c r="J985" t="str">
        <f>IF('ENTRADAS-BASE'!I983="","",'ENTRADAS-BASE'!I983)</f>
        <v/>
      </c>
      <c r="K985" s="5" t="str">
        <f>IF('ENTRADAS-BASE'!J983="","",'ENTRADAS-BASE'!J983)</f>
        <v/>
      </c>
      <c r="L9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6" spans="2:12" x14ac:dyDescent="0.3">
      <c r="B986" t="str">
        <f>IF('ENTRADAS-BASE'!A984="","",'ENTRADAS-BASE'!A984)</f>
        <v/>
      </c>
      <c r="C986" t="str">
        <f>IF('ENTRADAS-BASE'!B984="","",'ENTRADAS-BASE'!B984)</f>
        <v/>
      </c>
      <c r="D986" t="str">
        <f>IF('ENTRADAS-BASE'!C984="","",'ENTRADAS-BASE'!C984)</f>
        <v/>
      </c>
      <c r="E986" s="7" t="str">
        <f>IF('ENTRADAS-BASE'!D984="","",'ENTRADAS-BASE'!D984)</f>
        <v/>
      </c>
      <c r="F986" s="6" t="str">
        <f>IF('ENTRADAS-BASE'!E984="","",'ENTRADAS-BASE'!E984)</f>
        <v/>
      </c>
      <c r="G986" t="str">
        <f>IF('ENTRADAS-BASE'!F984="","",'ENTRADAS-BASE'!F984)</f>
        <v/>
      </c>
      <c r="H986" t="str">
        <f>IF('ENTRADAS-BASE'!G984="","",'ENTRADAS-BASE'!G984)</f>
        <v/>
      </c>
      <c r="I986" t="str">
        <f>IF('ENTRADAS-BASE'!H984="","",'ENTRADAS-BASE'!H984)</f>
        <v/>
      </c>
      <c r="J986" t="str">
        <f>IF('ENTRADAS-BASE'!I984="","",'ENTRADAS-BASE'!I984)</f>
        <v/>
      </c>
      <c r="K986" s="5" t="str">
        <f>IF('ENTRADAS-BASE'!J984="","",'ENTRADAS-BASE'!J984)</f>
        <v/>
      </c>
      <c r="L9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7" spans="2:12" x14ac:dyDescent="0.3">
      <c r="B987" t="str">
        <f>IF('ENTRADAS-BASE'!A985="","",'ENTRADAS-BASE'!A985)</f>
        <v/>
      </c>
      <c r="C987" t="str">
        <f>IF('ENTRADAS-BASE'!B985="","",'ENTRADAS-BASE'!B985)</f>
        <v/>
      </c>
      <c r="D987" t="str">
        <f>IF('ENTRADAS-BASE'!C985="","",'ENTRADAS-BASE'!C985)</f>
        <v/>
      </c>
      <c r="E987" s="7" t="str">
        <f>IF('ENTRADAS-BASE'!D985="","",'ENTRADAS-BASE'!D985)</f>
        <v/>
      </c>
      <c r="F987" s="6" t="str">
        <f>IF('ENTRADAS-BASE'!E985="","",'ENTRADAS-BASE'!E985)</f>
        <v/>
      </c>
      <c r="G987" t="str">
        <f>IF('ENTRADAS-BASE'!F985="","",'ENTRADAS-BASE'!F985)</f>
        <v/>
      </c>
      <c r="H987" t="str">
        <f>IF('ENTRADAS-BASE'!G985="","",'ENTRADAS-BASE'!G985)</f>
        <v/>
      </c>
      <c r="I987" t="str">
        <f>IF('ENTRADAS-BASE'!H985="","",'ENTRADAS-BASE'!H985)</f>
        <v/>
      </c>
      <c r="J987" t="str">
        <f>IF('ENTRADAS-BASE'!I985="","",'ENTRADAS-BASE'!I985)</f>
        <v/>
      </c>
      <c r="K987" s="5" t="str">
        <f>IF('ENTRADAS-BASE'!J985="","",'ENTRADAS-BASE'!J985)</f>
        <v/>
      </c>
      <c r="L9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8" spans="2:12" x14ac:dyDescent="0.3">
      <c r="B988" t="str">
        <f>IF('ENTRADAS-BASE'!A986="","",'ENTRADAS-BASE'!A986)</f>
        <v/>
      </c>
      <c r="C988" t="str">
        <f>IF('ENTRADAS-BASE'!B986="","",'ENTRADAS-BASE'!B986)</f>
        <v/>
      </c>
      <c r="D988" t="str">
        <f>IF('ENTRADAS-BASE'!C986="","",'ENTRADAS-BASE'!C986)</f>
        <v/>
      </c>
      <c r="E988" s="7" t="str">
        <f>IF('ENTRADAS-BASE'!D986="","",'ENTRADAS-BASE'!D986)</f>
        <v/>
      </c>
      <c r="F988" s="6" t="str">
        <f>IF('ENTRADAS-BASE'!E986="","",'ENTRADAS-BASE'!E986)</f>
        <v/>
      </c>
      <c r="G988" t="str">
        <f>IF('ENTRADAS-BASE'!F986="","",'ENTRADAS-BASE'!F986)</f>
        <v/>
      </c>
      <c r="H988" t="str">
        <f>IF('ENTRADAS-BASE'!G986="","",'ENTRADAS-BASE'!G986)</f>
        <v/>
      </c>
      <c r="I988" t="str">
        <f>IF('ENTRADAS-BASE'!H986="","",'ENTRADAS-BASE'!H986)</f>
        <v/>
      </c>
      <c r="J988" t="str">
        <f>IF('ENTRADAS-BASE'!I986="","",'ENTRADAS-BASE'!I986)</f>
        <v/>
      </c>
      <c r="K988" s="5" t="str">
        <f>IF('ENTRADAS-BASE'!J986="","",'ENTRADAS-BASE'!J986)</f>
        <v/>
      </c>
      <c r="L9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9" spans="2:12" x14ac:dyDescent="0.3">
      <c r="B989" t="str">
        <f>IF('ENTRADAS-BASE'!A987="","",'ENTRADAS-BASE'!A987)</f>
        <v/>
      </c>
      <c r="C989" t="str">
        <f>IF('ENTRADAS-BASE'!B987="","",'ENTRADAS-BASE'!B987)</f>
        <v/>
      </c>
      <c r="D989" t="str">
        <f>IF('ENTRADAS-BASE'!C987="","",'ENTRADAS-BASE'!C987)</f>
        <v/>
      </c>
      <c r="E989" s="7" t="str">
        <f>IF('ENTRADAS-BASE'!D987="","",'ENTRADAS-BASE'!D987)</f>
        <v/>
      </c>
      <c r="F989" s="6" t="str">
        <f>IF('ENTRADAS-BASE'!E987="","",'ENTRADAS-BASE'!E987)</f>
        <v/>
      </c>
      <c r="G989" t="str">
        <f>IF('ENTRADAS-BASE'!F987="","",'ENTRADAS-BASE'!F987)</f>
        <v/>
      </c>
      <c r="H989" t="str">
        <f>IF('ENTRADAS-BASE'!G987="","",'ENTRADAS-BASE'!G987)</f>
        <v/>
      </c>
      <c r="I989" t="str">
        <f>IF('ENTRADAS-BASE'!H987="","",'ENTRADAS-BASE'!H987)</f>
        <v/>
      </c>
      <c r="J989" t="str">
        <f>IF('ENTRADAS-BASE'!I987="","",'ENTRADAS-BASE'!I987)</f>
        <v/>
      </c>
      <c r="K989" s="5" t="str">
        <f>IF('ENTRADAS-BASE'!J987="","",'ENTRADAS-BASE'!J987)</f>
        <v/>
      </c>
      <c r="L9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0" spans="2:12" x14ac:dyDescent="0.3">
      <c r="B990" t="str">
        <f>IF('ENTRADAS-BASE'!A988="","",'ENTRADAS-BASE'!A988)</f>
        <v/>
      </c>
      <c r="C990" t="str">
        <f>IF('ENTRADAS-BASE'!B988="","",'ENTRADAS-BASE'!B988)</f>
        <v/>
      </c>
      <c r="D990" t="str">
        <f>IF('ENTRADAS-BASE'!C988="","",'ENTRADAS-BASE'!C988)</f>
        <v/>
      </c>
      <c r="E990" s="7" t="str">
        <f>IF('ENTRADAS-BASE'!D988="","",'ENTRADAS-BASE'!D988)</f>
        <v/>
      </c>
      <c r="F990" s="6" t="str">
        <f>IF('ENTRADAS-BASE'!E988="","",'ENTRADAS-BASE'!E988)</f>
        <v/>
      </c>
      <c r="G990" t="str">
        <f>IF('ENTRADAS-BASE'!F988="","",'ENTRADAS-BASE'!F988)</f>
        <v/>
      </c>
      <c r="H990" t="str">
        <f>IF('ENTRADAS-BASE'!G988="","",'ENTRADAS-BASE'!G988)</f>
        <v/>
      </c>
      <c r="I990" t="str">
        <f>IF('ENTRADAS-BASE'!H988="","",'ENTRADAS-BASE'!H988)</f>
        <v/>
      </c>
      <c r="J990" t="str">
        <f>IF('ENTRADAS-BASE'!I988="","",'ENTRADAS-BASE'!I988)</f>
        <v/>
      </c>
      <c r="K990" s="5" t="str">
        <f>IF('ENTRADAS-BASE'!J988="","",'ENTRADAS-BASE'!J988)</f>
        <v/>
      </c>
      <c r="L9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1" spans="2:12" x14ac:dyDescent="0.3">
      <c r="B991" t="str">
        <f>IF('ENTRADAS-BASE'!A989="","",'ENTRADAS-BASE'!A989)</f>
        <v/>
      </c>
      <c r="C991" t="str">
        <f>IF('ENTRADAS-BASE'!B989="","",'ENTRADAS-BASE'!B989)</f>
        <v/>
      </c>
      <c r="D991" t="str">
        <f>IF('ENTRADAS-BASE'!C989="","",'ENTRADAS-BASE'!C989)</f>
        <v/>
      </c>
      <c r="E991" s="7" t="str">
        <f>IF('ENTRADAS-BASE'!D989="","",'ENTRADAS-BASE'!D989)</f>
        <v/>
      </c>
      <c r="F991" s="6" t="str">
        <f>IF('ENTRADAS-BASE'!E989="","",'ENTRADAS-BASE'!E989)</f>
        <v/>
      </c>
      <c r="G991" t="str">
        <f>IF('ENTRADAS-BASE'!F989="","",'ENTRADAS-BASE'!F989)</f>
        <v/>
      </c>
      <c r="H991" t="str">
        <f>IF('ENTRADAS-BASE'!G989="","",'ENTRADAS-BASE'!G989)</f>
        <v/>
      </c>
      <c r="I991" t="str">
        <f>IF('ENTRADAS-BASE'!H989="","",'ENTRADAS-BASE'!H989)</f>
        <v/>
      </c>
      <c r="J991" t="str">
        <f>IF('ENTRADAS-BASE'!I989="","",'ENTRADAS-BASE'!I989)</f>
        <v/>
      </c>
      <c r="K991" s="5" t="str">
        <f>IF('ENTRADAS-BASE'!J989="","",'ENTRADAS-BASE'!J989)</f>
        <v/>
      </c>
      <c r="L9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2" spans="2:12" x14ac:dyDescent="0.3">
      <c r="B992" t="str">
        <f>IF('ENTRADAS-BASE'!A990="","",'ENTRADAS-BASE'!A990)</f>
        <v/>
      </c>
      <c r="C992" t="str">
        <f>IF('ENTRADAS-BASE'!B990="","",'ENTRADAS-BASE'!B990)</f>
        <v/>
      </c>
      <c r="D992" t="str">
        <f>IF('ENTRADAS-BASE'!C990="","",'ENTRADAS-BASE'!C990)</f>
        <v/>
      </c>
      <c r="E992" s="7" t="str">
        <f>IF('ENTRADAS-BASE'!D990="","",'ENTRADAS-BASE'!D990)</f>
        <v/>
      </c>
      <c r="F992" s="6" t="str">
        <f>IF('ENTRADAS-BASE'!E990="","",'ENTRADAS-BASE'!E990)</f>
        <v/>
      </c>
      <c r="G992" t="str">
        <f>IF('ENTRADAS-BASE'!F990="","",'ENTRADAS-BASE'!F990)</f>
        <v/>
      </c>
      <c r="H992" t="str">
        <f>IF('ENTRADAS-BASE'!G990="","",'ENTRADAS-BASE'!G990)</f>
        <v/>
      </c>
      <c r="I992" t="str">
        <f>IF('ENTRADAS-BASE'!H990="","",'ENTRADAS-BASE'!H990)</f>
        <v/>
      </c>
      <c r="J992" t="str">
        <f>IF('ENTRADAS-BASE'!I990="","",'ENTRADAS-BASE'!I990)</f>
        <v/>
      </c>
      <c r="K992" s="5" t="str">
        <f>IF('ENTRADAS-BASE'!J990="","",'ENTRADAS-BASE'!J990)</f>
        <v/>
      </c>
      <c r="L9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3" spans="2:12" x14ac:dyDescent="0.3">
      <c r="B993" t="str">
        <f>IF('ENTRADAS-BASE'!A991="","",'ENTRADAS-BASE'!A991)</f>
        <v/>
      </c>
      <c r="C993" t="str">
        <f>IF('ENTRADAS-BASE'!B991="","",'ENTRADAS-BASE'!B991)</f>
        <v/>
      </c>
      <c r="D993" t="str">
        <f>IF('ENTRADAS-BASE'!C991="","",'ENTRADAS-BASE'!C991)</f>
        <v/>
      </c>
      <c r="E993" s="7" t="str">
        <f>IF('ENTRADAS-BASE'!D991="","",'ENTRADAS-BASE'!D991)</f>
        <v/>
      </c>
      <c r="F993" s="6" t="str">
        <f>IF('ENTRADAS-BASE'!E991="","",'ENTRADAS-BASE'!E991)</f>
        <v/>
      </c>
      <c r="G993" t="str">
        <f>IF('ENTRADAS-BASE'!F991="","",'ENTRADAS-BASE'!F991)</f>
        <v/>
      </c>
      <c r="H993" t="str">
        <f>IF('ENTRADAS-BASE'!G991="","",'ENTRADAS-BASE'!G991)</f>
        <v/>
      </c>
      <c r="I993" t="str">
        <f>IF('ENTRADAS-BASE'!H991="","",'ENTRADAS-BASE'!H991)</f>
        <v/>
      </c>
      <c r="J993" t="str">
        <f>IF('ENTRADAS-BASE'!I991="","",'ENTRADAS-BASE'!I991)</f>
        <v/>
      </c>
      <c r="K993" s="5" t="str">
        <f>IF('ENTRADAS-BASE'!J991="","",'ENTRADAS-BASE'!J991)</f>
        <v/>
      </c>
      <c r="L9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4" spans="2:12" x14ac:dyDescent="0.3">
      <c r="B994" t="str">
        <f>IF('ENTRADAS-BASE'!A992="","",'ENTRADAS-BASE'!A992)</f>
        <v/>
      </c>
      <c r="C994" t="str">
        <f>IF('ENTRADAS-BASE'!B992="","",'ENTRADAS-BASE'!B992)</f>
        <v/>
      </c>
      <c r="D994" t="str">
        <f>IF('ENTRADAS-BASE'!C992="","",'ENTRADAS-BASE'!C992)</f>
        <v/>
      </c>
      <c r="E994" s="7" t="str">
        <f>IF('ENTRADAS-BASE'!D992="","",'ENTRADAS-BASE'!D992)</f>
        <v/>
      </c>
      <c r="F994" s="6" t="str">
        <f>IF('ENTRADAS-BASE'!E992="","",'ENTRADAS-BASE'!E992)</f>
        <v/>
      </c>
      <c r="G994" t="str">
        <f>IF('ENTRADAS-BASE'!F992="","",'ENTRADAS-BASE'!F992)</f>
        <v/>
      </c>
      <c r="H994" t="str">
        <f>IF('ENTRADAS-BASE'!G992="","",'ENTRADAS-BASE'!G992)</f>
        <v/>
      </c>
      <c r="I994" t="str">
        <f>IF('ENTRADAS-BASE'!H992="","",'ENTRADAS-BASE'!H992)</f>
        <v/>
      </c>
      <c r="J994" t="str">
        <f>IF('ENTRADAS-BASE'!I992="","",'ENTRADAS-BASE'!I992)</f>
        <v/>
      </c>
      <c r="K994" s="5" t="str">
        <f>IF('ENTRADAS-BASE'!J992="","",'ENTRADAS-BASE'!J992)</f>
        <v/>
      </c>
      <c r="L9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5" spans="2:12" x14ac:dyDescent="0.3">
      <c r="B995" t="str">
        <f>IF('ENTRADAS-BASE'!A993="","",'ENTRADAS-BASE'!A993)</f>
        <v/>
      </c>
      <c r="C995" t="str">
        <f>IF('ENTRADAS-BASE'!B993="","",'ENTRADAS-BASE'!B993)</f>
        <v/>
      </c>
      <c r="D995" t="str">
        <f>IF('ENTRADAS-BASE'!C993="","",'ENTRADAS-BASE'!C993)</f>
        <v/>
      </c>
      <c r="E995" s="7" t="str">
        <f>IF('ENTRADAS-BASE'!D993="","",'ENTRADAS-BASE'!D993)</f>
        <v/>
      </c>
      <c r="F995" s="6" t="str">
        <f>IF('ENTRADAS-BASE'!E993="","",'ENTRADAS-BASE'!E993)</f>
        <v/>
      </c>
      <c r="G995" t="str">
        <f>IF('ENTRADAS-BASE'!F993="","",'ENTRADAS-BASE'!F993)</f>
        <v/>
      </c>
      <c r="H995" t="str">
        <f>IF('ENTRADAS-BASE'!G993="","",'ENTRADAS-BASE'!G993)</f>
        <v/>
      </c>
      <c r="I995" t="str">
        <f>IF('ENTRADAS-BASE'!H993="","",'ENTRADAS-BASE'!H993)</f>
        <v/>
      </c>
      <c r="J995" t="str">
        <f>IF('ENTRADAS-BASE'!I993="","",'ENTRADAS-BASE'!I993)</f>
        <v/>
      </c>
      <c r="K995" s="5" t="str">
        <f>IF('ENTRADAS-BASE'!J993="","",'ENTRADAS-BASE'!J993)</f>
        <v/>
      </c>
      <c r="L9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6" spans="2:12" x14ac:dyDescent="0.3">
      <c r="B996" t="str">
        <f>IF('ENTRADAS-BASE'!A994="","",'ENTRADAS-BASE'!A994)</f>
        <v/>
      </c>
      <c r="C996" t="str">
        <f>IF('ENTRADAS-BASE'!B994="","",'ENTRADAS-BASE'!B994)</f>
        <v/>
      </c>
      <c r="D996" t="str">
        <f>IF('ENTRADAS-BASE'!C994="","",'ENTRADAS-BASE'!C994)</f>
        <v/>
      </c>
      <c r="E996" s="7" t="str">
        <f>IF('ENTRADAS-BASE'!D994="","",'ENTRADAS-BASE'!D994)</f>
        <v/>
      </c>
      <c r="F996" s="6" t="str">
        <f>IF('ENTRADAS-BASE'!E994="","",'ENTRADAS-BASE'!E994)</f>
        <v/>
      </c>
      <c r="G996" t="str">
        <f>IF('ENTRADAS-BASE'!F994="","",'ENTRADAS-BASE'!F994)</f>
        <v/>
      </c>
      <c r="H996" t="str">
        <f>IF('ENTRADAS-BASE'!G994="","",'ENTRADAS-BASE'!G994)</f>
        <v/>
      </c>
      <c r="I996" t="str">
        <f>IF('ENTRADAS-BASE'!H994="","",'ENTRADAS-BASE'!H994)</f>
        <v/>
      </c>
      <c r="J996" t="str">
        <f>IF('ENTRADAS-BASE'!I994="","",'ENTRADAS-BASE'!I994)</f>
        <v/>
      </c>
      <c r="K996" s="5" t="str">
        <f>IF('ENTRADAS-BASE'!J994="","",'ENTRADAS-BASE'!J994)</f>
        <v/>
      </c>
      <c r="L9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7" spans="2:12" x14ac:dyDescent="0.3">
      <c r="B997" t="str">
        <f>IF('ENTRADAS-BASE'!A995="","",'ENTRADAS-BASE'!A995)</f>
        <v/>
      </c>
      <c r="C997" t="str">
        <f>IF('ENTRADAS-BASE'!B995="","",'ENTRADAS-BASE'!B995)</f>
        <v/>
      </c>
      <c r="D997" t="str">
        <f>IF('ENTRADAS-BASE'!C995="","",'ENTRADAS-BASE'!C995)</f>
        <v/>
      </c>
      <c r="E997" s="7" t="str">
        <f>IF('ENTRADAS-BASE'!D995="","",'ENTRADAS-BASE'!D995)</f>
        <v/>
      </c>
      <c r="F997" s="6" t="str">
        <f>IF('ENTRADAS-BASE'!E995="","",'ENTRADAS-BASE'!E995)</f>
        <v/>
      </c>
      <c r="G997" t="str">
        <f>IF('ENTRADAS-BASE'!F995="","",'ENTRADAS-BASE'!F995)</f>
        <v/>
      </c>
      <c r="H997" t="str">
        <f>IF('ENTRADAS-BASE'!G995="","",'ENTRADAS-BASE'!G995)</f>
        <v/>
      </c>
      <c r="I997" t="str">
        <f>IF('ENTRADAS-BASE'!H995="","",'ENTRADAS-BASE'!H995)</f>
        <v/>
      </c>
      <c r="J997" t="str">
        <f>IF('ENTRADAS-BASE'!I995="","",'ENTRADAS-BASE'!I995)</f>
        <v/>
      </c>
      <c r="K997" s="5" t="str">
        <f>IF('ENTRADAS-BASE'!J995="","",'ENTRADAS-BASE'!J995)</f>
        <v/>
      </c>
      <c r="L9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8" spans="2:12" x14ac:dyDescent="0.3">
      <c r="B998" t="str">
        <f>IF('ENTRADAS-BASE'!A996="","",'ENTRADAS-BASE'!A996)</f>
        <v/>
      </c>
      <c r="C998" t="str">
        <f>IF('ENTRADAS-BASE'!B996="","",'ENTRADAS-BASE'!B996)</f>
        <v/>
      </c>
      <c r="D998" t="str">
        <f>IF('ENTRADAS-BASE'!C996="","",'ENTRADAS-BASE'!C996)</f>
        <v/>
      </c>
      <c r="E998" s="7" t="str">
        <f>IF('ENTRADAS-BASE'!D996="","",'ENTRADAS-BASE'!D996)</f>
        <v/>
      </c>
      <c r="F998" s="6" t="str">
        <f>IF('ENTRADAS-BASE'!E996="","",'ENTRADAS-BASE'!E996)</f>
        <v/>
      </c>
      <c r="G998" t="str">
        <f>IF('ENTRADAS-BASE'!F996="","",'ENTRADAS-BASE'!F996)</f>
        <v/>
      </c>
      <c r="H998" t="str">
        <f>IF('ENTRADAS-BASE'!G996="","",'ENTRADAS-BASE'!G996)</f>
        <v/>
      </c>
      <c r="I998" t="str">
        <f>IF('ENTRADAS-BASE'!H996="","",'ENTRADAS-BASE'!H996)</f>
        <v/>
      </c>
      <c r="J998" t="str">
        <f>IF('ENTRADAS-BASE'!I996="","",'ENTRADAS-BASE'!I996)</f>
        <v/>
      </c>
      <c r="K998" s="5" t="str">
        <f>IF('ENTRADAS-BASE'!J996="","",'ENTRADAS-BASE'!J996)</f>
        <v/>
      </c>
      <c r="L9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9" spans="2:12" x14ac:dyDescent="0.3">
      <c r="B999" t="str">
        <f>IF('ENTRADAS-BASE'!A997="","",'ENTRADAS-BASE'!A997)</f>
        <v/>
      </c>
      <c r="C999" t="str">
        <f>IF('ENTRADAS-BASE'!B997="","",'ENTRADAS-BASE'!B997)</f>
        <v/>
      </c>
      <c r="D999" t="str">
        <f>IF('ENTRADAS-BASE'!C997="","",'ENTRADAS-BASE'!C997)</f>
        <v/>
      </c>
      <c r="E999" s="7" t="str">
        <f>IF('ENTRADAS-BASE'!D997="","",'ENTRADAS-BASE'!D997)</f>
        <v/>
      </c>
      <c r="F999" s="6" t="str">
        <f>IF('ENTRADAS-BASE'!E997="","",'ENTRADAS-BASE'!E997)</f>
        <v/>
      </c>
      <c r="G999" t="str">
        <f>IF('ENTRADAS-BASE'!F997="","",'ENTRADAS-BASE'!F997)</f>
        <v/>
      </c>
      <c r="H999" t="str">
        <f>IF('ENTRADAS-BASE'!G997="","",'ENTRADAS-BASE'!G997)</f>
        <v/>
      </c>
      <c r="I999" t="str">
        <f>IF('ENTRADAS-BASE'!H997="","",'ENTRADAS-BASE'!H997)</f>
        <v/>
      </c>
      <c r="J999" t="str">
        <f>IF('ENTRADAS-BASE'!I997="","",'ENTRADAS-BASE'!I997)</f>
        <v/>
      </c>
      <c r="K999" s="5" t="str">
        <f>IF('ENTRADAS-BASE'!J997="","",'ENTRADAS-BASE'!J997)</f>
        <v/>
      </c>
      <c r="L9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0" spans="2:12" x14ac:dyDescent="0.3">
      <c r="B1000" t="str">
        <f>IF('ENTRADAS-BASE'!A998="","",'ENTRADAS-BASE'!A998)</f>
        <v/>
      </c>
      <c r="C1000" t="str">
        <f>IF('ENTRADAS-BASE'!B998="","",'ENTRADAS-BASE'!B998)</f>
        <v/>
      </c>
      <c r="D1000" t="str">
        <f>IF('ENTRADAS-BASE'!C998="","",'ENTRADAS-BASE'!C998)</f>
        <v/>
      </c>
      <c r="E1000" s="7" t="str">
        <f>IF('ENTRADAS-BASE'!D998="","",'ENTRADAS-BASE'!D998)</f>
        <v/>
      </c>
      <c r="F1000" s="6" t="str">
        <f>IF('ENTRADAS-BASE'!E998="","",'ENTRADAS-BASE'!E998)</f>
        <v/>
      </c>
      <c r="G1000" t="str">
        <f>IF('ENTRADAS-BASE'!F998="","",'ENTRADAS-BASE'!F998)</f>
        <v/>
      </c>
      <c r="H1000" t="str">
        <f>IF('ENTRADAS-BASE'!G998="","",'ENTRADAS-BASE'!G998)</f>
        <v/>
      </c>
      <c r="I1000" t="str">
        <f>IF('ENTRADAS-BASE'!H998="","",'ENTRADAS-BASE'!H998)</f>
        <v/>
      </c>
      <c r="J1000" t="str">
        <f>IF('ENTRADAS-BASE'!I998="","",'ENTRADAS-BASE'!I998)</f>
        <v/>
      </c>
      <c r="K1000" s="5" t="str">
        <f>IF('ENTRADAS-BASE'!J998="","",'ENTRADAS-BASE'!J998)</f>
        <v/>
      </c>
      <c r="L10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96AE-03CD-4B7F-8B57-985F6D7BB054}">
  <dimension ref="A1:D1"/>
  <sheetViews>
    <sheetView workbookViewId="0">
      <selection activeCell="E16" sqref="E16"/>
    </sheetView>
  </sheetViews>
  <sheetFormatPr defaultRowHeight="14.4" x14ac:dyDescent="0.3"/>
  <cols>
    <col min="4" max="4" width="9.88671875" style="7" bestFit="1" customWidth="1"/>
  </cols>
  <sheetData>
    <row r="1" spans="1:1" x14ac:dyDescent="0.3">
      <c r="A1" t="e" cm="1" vm="2">
        <f t="array" ref="A1">_xlfn._xlws.FILTER(RELATORIO[[UF]:[VALOR]],RELATORIO[TIPO]="ENTRADA")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5889-5F88-4A89-A523-49F80C1AFB5F}">
  <dimension ref="B2:L1000"/>
  <sheetViews>
    <sheetView showGridLines="0" workbookViewId="0">
      <selection activeCell="N11" sqref="N11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14.332031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IF('SAÍDAS-BASE'!A1="","",'SAÍDAS-BASE'!A1)</f>
        <v>#VALUE!</v>
      </c>
      <c r="C3" t="str">
        <f>IF('SAÍDAS-BASE'!B1="","",'SAÍDAS-BASE'!B1)</f>
        <v/>
      </c>
      <c r="D3" t="str">
        <f>IF('SAÍDAS-BASE'!C1="","",'SAÍDAS-BASE'!C1)</f>
        <v/>
      </c>
      <c r="E3" s="7" t="str">
        <f>IF('SAÍDAS-BASE'!D1="","",'SAÍDAS-BASE'!D1)</f>
        <v/>
      </c>
      <c r="F3" s="6" t="str">
        <f>IF('SAÍDAS-BASE'!E1="","",'SAÍDAS-BASE'!E1)</f>
        <v/>
      </c>
      <c r="G3" t="str">
        <f>IF('SAÍDAS-BASE'!F1="","",'SAÍDAS-BASE'!F1)</f>
        <v/>
      </c>
      <c r="H3" t="str">
        <f>IF('SAÍDAS-BASE'!G1="","",'SAÍDAS-BASE'!G1)</f>
        <v/>
      </c>
      <c r="I3" t="str">
        <f>IF('SAÍDAS-BASE'!H1="","",'SAÍDAS-BASE'!H1)</f>
        <v/>
      </c>
      <c r="J3" t="str">
        <f>IF('SAÍDAS-BASE'!I1="","",'SAÍDAS-BASE'!I1)</f>
        <v/>
      </c>
      <c r="K3" s="5" t="str">
        <f>IF('SAÍDAS-BASE'!J1="","",'SAÍDAS-BASE'!J1)</f>
        <v/>
      </c>
      <c r="L3" t="e" vm="1">
        <f>IF(TABELA_SAIDAS[[#This Row],[UF]]="","",IFERROR(IF(VLOOKUP(TABELA_SAIDAS[[#This Row],[VALOR]],TABELA_ENTRADAS[VALOR],1,FALSE),"DEVOLUÇÃO"),"SEM ENTRADAS"))</f>
        <v>#VALUE!</v>
      </c>
    </row>
    <row r="4" spans="2:12" x14ac:dyDescent="0.3">
      <c r="B4" t="str">
        <f>IF('SAÍDAS-BASE'!A2="","",'SAÍDAS-BASE'!A2)</f>
        <v/>
      </c>
      <c r="C4" t="str">
        <f>IF('SAÍDAS-BASE'!B2="","",'SAÍDAS-BASE'!B2)</f>
        <v/>
      </c>
      <c r="D4" t="str">
        <f>IF('SAÍDAS-BASE'!C2="","",'SAÍDAS-BASE'!C2)</f>
        <v/>
      </c>
      <c r="E4" s="7" t="str">
        <f>IF('SAÍDAS-BASE'!D2="","",'SAÍDAS-BASE'!D2)</f>
        <v/>
      </c>
      <c r="F4" s="6" t="str">
        <f>IF('SAÍDAS-BASE'!E2="","",'SAÍDAS-BASE'!E2)</f>
        <v/>
      </c>
      <c r="G4" t="str">
        <f>IF('SAÍDAS-BASE'!F2="","",'SAÍDAS-BASE'!F2)</f>
        <v/>
      </c>
      <c r="H4" t="str">
        <f>IF('SAÍDAS-BASE'!G2="","",'SAÍDAS-BASE'!G2)</f>
        <v/>
      </c>
      <c r="I4" t="str">
        <f>IF('SAÍDAS-BASE'!H2="","",'SAÍDAS-BASE'!H2)</f>
        <v/>
      </c>
      <c r="J4" t="str">
        <f>IF('SAÍDAS-BASE'!I2="","",'SAÍDAS-BASE'!I2)</f>
        <v/>
      </c>
      <c r="K4" s="5" t="str">
        <f>IF('SAÍDAS-BASE'!J2="","",'SAÍDAS-BASE'!J2)</f>
        <v/>
      </c>
      <c r="L4" t="str">
        <f>IF(TABELA_SAIDAS[[#This Row],[UF]]="","",IFERROR(IF(VLOOKUP(TABELA_SAIDAS[[#This Row],[VALOR]],TABELA_ENTRADAS[VALOR],1,FALSE),"DEVOLUÇÃO"),"SEM ENTRADAS"))</f>
        <v/>
      </c>
    </row>
    <row r="5" spans="2:12" x14ac:dyDescent="0.3">
      <c r="B5" t="str">
        <f>IF('SAÍDAS-BASE'!A3="","",'SAÍDAS-BASE'!A3)</f>
        <v/>
      </c>
      <c r="C5" t="str">
        <f>IF('SAÍDAS-BASE'!B3="","",'SAÍDAS-BASE'!B3)</f>
        <v/>
      </c>
      <c r="D5" t="str">
        <f>IF('SAÍDAS-BASE'!C3="","",'SAÍDAS-BASE'!C3)</f>
        <v/>
      </c>
      <c r="E5" s="7" t="str">
        <f>IF('SAÍDAS-BASE'!D3="","",'SAÍDAS-BASE'!D3)</f>
        <v/>
      </c>
      <c r="F5" s="6" t="str">
        <f>IF('SAÍDAS-BASE'!E3="","",'SAÍDAS-BASE'!E3)</f>
        <v/>
      </c>
      <c r="G5" t="str">
        <f>IF('SAÍDAS-BASE'!F3="","",'SAÍDAS-BASE'!F3)</f>
        <v/>
      </c>
      <c r="H5" t="str">
        <f>IF('SAÍDAS-BASE'!G3="","",'SAÍDAS-BASE'!G3)</f>
        <v/>
      </c>
      <c r="I5" t="str">
        <f>IF('SAÍDAS-BASE'!H3="","",'SAÍDAS-BASE'!H3)</f>
        <v/>
      </c>
      <c r="J5" t="str">
        <f>IF('SAÍDAS-BASE'!I3="","",'SAÍDAS-BASE'!I3)</f>
        <v/>
      </c>
      <c r="K5" s="5" t="str">
        <f>IF('SAÍDAS-BASE'!J3="","",'SAÍDAS-BASE'!J3)</f>
        <v/>
      </c>
      <c r="L5" t="str">
        <f>IF(TABELA_SAIDAS[[#This Row],[UF]]="","",IFERROR(IF(VLOOKUP(TABELA_SAIDAS[[#This Row],[VALOR]],TABELA_ENTRADAS[VALOR],1,FALSE),"DEVOLUÇÃO"),"SEM ENTRADAS"))</f>
        <v/>
      </c>
    </row>
    <row r="6" spans="2:12" x14ac:dyDescent="0.3">
      <c r="B6" t="str">
        <f>IF('SAÍDAS-BASE'!A4="","",'SAÍDAS-BASE'!A4)</f>
        <v/>
      </c>
      <c r="C6" t="str">
        <f>IF('SAÍDAS-BASE'!B4="","",'SAÍDAS-BASE'!B4)</f>
        <v/>
      </c>
      <c r="D6" t="str">
        <f>IF('SAÍDAS-BASE'!C4="","",'SAÍDAS-BASE'!C4)</f>
        <v/>
      </c>
      <c r="E6" s="7" t="str">
        <f>IF('SAÍDAS-BASE'!D4="","",'SAÍDAS-BASE'!D4)</f>
        <v/>
      </c>
      <c r="F6" s="6" t="str">
        <f>IF('SAÍDAS-BASE'!E4="","",'SAÍDAS-BASE'!E4)</f>
        <v/>
      </c>
      <c r="G6" t="str">
        <f>IF('SAÍDAS-BASE'!F4="","",'SAÍDAS-BASE'!F4)</f>
        <v/>
      </c>
      <c r="H6" t="str">
        <f>IF('SAÍDAS-BASE'!G4="","",'SAÍDAS-BASE'!G4)</f>
        <v/>
      </c>
      <c r="I6" t="str">
        <f>IF('SAÍDAS-BASE'!H4="","",'SAÍDAS-BASE'!H4)</f>
        <v/>
      </c>
      <c r="J6" t="str">
        <f>IF('SAÍDAS-BASE'!I4="","",'SAÍDAS-BASE'!I4)</f>
        <v/>
      </c>
      <c r="K6" s="5" t="str">
        <f>IF('SAÍDAS-BASE'!J4="","",'SAÍDAS-BASE'!J4)</f>
        <v/>
      </c>
      <c r="L6" t="str">
        <f>IF(TABELA_SAIDAS[[#This Row],[UF]]="","",IFERROR(IF(VLOOKUP(TABELA_SAIDAS[[#This Row],[VALOR]],TABELA_ENTRADAS[VALOR],1,FALSE),"DEVOLUÇÃO"),"SEM ENTRADAS"))</f>
        <v/>
      </c>
    </row>
    <row r="7" spans="2:12" x14ac:dyDescent="0.3">
      <c r="B7" t="str">
        <f>IF('SAÍDAS-BASE'!A5="","",'SAÍDAS-BASE'!A5)</f>
        <v/>
      </c>
      <c r="C7" t="str">
        <f>IF('SAÍDAS-BASE'!B5="","",'SAÍDAS-BASE'!B5)</f>
        <v/>
      </c>
      <c r="D7" t="str">
        <f>IF('SAÍDAS-BASE'!C5="","",'SAÍDAS-BASE'!C5)</f>
        <v/>
      </c>
      <c r="E7" s="7" t="str">
        <f>IF('SAÍDAS-BASE'!D5="","",'SAÍDAS-BASE'!D5)</f>
        <v/>
      </c>
      <c r="F7" s="6" t="str">
        <f>IF('SAÍDAS-BASE'!E5="","",'SAÍDAS-BASE'!E5)</f>
        <v/>
      </c>
      <c r="G7" t="str">
        <f>IF('SAÍDAS-BASE'!F5="","",'SAÍDAS-BASE'!F5)</f>
        <v/>
      </c>
      <c r="H7" t="str">
        <f>IF('SAÍDAS-BASE'!G5="","",'SAÍDAS-BASE'!G5)</f>
        <v/>
      </c>
      <c r="I7" t="str">
        <f>IF('SAÍDAS-BASE'!H5="","",'SAÍDAS-BASE'!H5)</f>
        <v/>
      </c>
      <c r="J7" t="str">
        <f>IF('SAÍDAS-BASE'!I5="","",'SAÍDAS-BASE'!I5)</f>
        <v/>
      </c>
      <c r="K7" s="5" t="str">
        <f>IF('SAÍDAS-BASE'!J5="","",'SAÍDAS-BASE'!J5)</f>
        <v/>
      </c>
      <c r="L7" t="str">
        <f>IF(TABELA_SAIDAS[[#This Row],[UF]]="","",IFERROR(IF(VLOOKUP(TABELA_SAIDAS[[#This Row],[VALOR]],TABELA_ENTRADAS[VALOR],1,FALSE),"DEVOLUÇÃO"),"SEM ENTRADAS"))</f>
        <v/>
      </c>
    </row>
    <row r="8" spans="2:12" x14ac:dyDescent="0.3">
      <c r="B8" t="str">
        <f>IF('SAÍDAS-BASE'!A6="","",'SAÍDAS-BASE'!A6)</f>
        <v/>
      </c>
      <c r="C8" t="str">
        <f>IF('SAÍDAS-BASE'!B6="","",'SAÍDAS-BASE'!B6)</f>
        <v/>
      </c>
      <c r="D8" t="str">
        <f>IF('SAÍDAS-BASE'!C6="","",'SAÍDAS-BASE'!C6)</f>
        <v/>
      </c>
      <c r="E8" s="7" t="str">
        <f>IF('SAÍDAS-BASE'!D6="","",'SAÍDAS-BASE'!D6)</f>
        <v/>
      </c>
      <c r="F8" s="6" t="str">
        <f>IF('SAÍDAS-BASE'!E6="","",'SAÍDAS-BASE'!E6)</f>
        <v/>
      </c>
      <c r="G8" t="str">
        <f>IF('SAÍDAS-BASE'!F6="","",'SAÍDAS-BASE'!F6)</f>
        <v/>
      </c>
      <c r="H8" t="str">
        <f>IF('SAÍDAS-BASE'!G6="","",'SAÍDAS-BASE'!G6)</f>
        <v/>
      </c>
      <c r="I8" t="str">
        <f>IF('SAÍDAS-BASE'!H6="","",'SAÍDAS-BASE'!H6)</f>
        <v/>
      </c>
      <c r="J8" t="str">
        <f>IF('SAÍDAS-BASE'!I6="","",'SAÍDAS-BASE'!I6)</f>
        <v/>
      </c>
      <c r="K8" s="5" t="str">
        <f>IF('SAÍDAS-BASE'!J6="","",'SAÍDAS-BASE'!J6)</f>
        <v/>
      </c>
      <c r="L8" t="str">
        <f>IF(TABELA_SAIDAS[[#This Row],[UF]]="","",IFERROR(IF(VLOOKUP(TABELA_SAIDAS[[#This Row],[VALOR]],TABELA_ENTRADAS[VALOR],1,FALSE),"DEVOLUÇÃO"),"SEM ENTRADAS"))</f>
        <v/>
      </c>
    </row>
    <row r="9" spans="2:12" x14ac:dyDescent="0.3">
      <c r="B9" t="str">
        <f>IF('SAÍDAS-BASE'!A7="","",'SAÍDAS-BASE'!A7)</f>
        <v/>
      </c>
      <c r="C9" t="str">
        <f>IF('SAÍDAS-BASE'!B7="","",'SAÍDAS-BASE'!B7)</f>
        <v/>
      </c>
      <c r="D9" t="str">
        <f>IF('SAÍDAS-BASE'!C7="","",'SAÍDAS-BASE'!C7)</f>
        <v/>
      </c>
      <c r="E9" s="7" t="str">
        <f>IF('SAÍDAS-BASE'!D7="","",'SAÍDAS-BASE'!D7)</f>
        <v/>
      </c>
      <c r="F9" s="6" t="str">
        <f>IF('SAÍDAS-BASE'!E7="","",'SAÍDAS-BASE'!E7)</f>
        <v/>
      </c>
      <c r="G9" t="str">
        <f>IF('SAÍDAS-BASE'!F7="","",'SAÍDAS-BASE'!F7)</f>
        <v/>
      </c>
      <c r="H9" t="str">
        <f>IF('SAÍDAS-BASE'!G7="","",'SAÍDAS-BASE'!G7)</f>
        <v/>
      </c>
      <c r="I9" t="str">
        <f>IF('SAÍDAS-BASE'!H7="","",'SAÍDAS-BASE'!H7)</f>
        <v/>
      </c>
      <c r="J9" t="str">
        <f>IF('SAÍDAS-BASE'!I7="","",'SAÍDAS-BASE'!I7)</f>
        <v/>
      </c>
      <c r="K9" s="5" t="str">
        <f>IF('SAÍDAS-BASE'!J7="","",'SAÍDAS-BASE'!J7)</f>
        <v/>
      </c>
      <c r="L9" t="str">
        <f>IF(TABELA_SAIDAS[[#This Row],[UF]]="","",IFERROR(IF(VLOOKUP(TABELA_SAIDAS[[#This Row],[VALOR]],TABELA_ENTRADAS[VALOR],1,FALSE),"DEVOLUÇÃO"),"SEM ENTRADAS"))</f>
        <v/>
      </c>
    </row>
    <row r="10" spans="2:12" x14ac:dyDescent="0.3">
      <c r="B10" t="str">
        <f>IF('SAÍDAS-BASE'!A8="","",'SAÍDAS-BASE'!A8)</f>
        <v/>
      </c>
      <c r="C10" t="str">
        <f>IF('SAÍDAS-BASE'!B8="","",'SAÍDAS-BASE'!B8)</f>
        <v/>
      </c>
      <c r="D10" t="str">
        <f>IF('SAÍDAS-BASE'!C8="","",'SAÍDAS-BASE'!C8)</f>
        <v/>
      </c>
      <c r="E10" s="7" t="str">
        <f>IF('SAÍDAS-BASE'!D8="","",'SAÍDAS-BASE'!D8)</f>
        <v/>
      </c>
      <c r="F10" s="6" t="str">
        <f>IF('SAÍDAS-BASE'!E8="","",'SAÍDAS-BASE'!E8)</f>
        <v/>
      </c>
      <c r="G10" t="str">
        <f>IF('SAÍDAS-BASE'!F8="","",'SAÍDAS-BASE'!F8)</f>
        <v/>
      </c>
      <c r="H10" t="str">
        <f>IF('SAÍDAS-BASE'!G8="","",'SAÍDAS-BASE'!G8)</f>
        <v/>
      </c>
      <c r="I10" t="str">
        <f>IF('SAÍDAS-BASE'!H8="","",'SAÍDAS-BASE'!H8)</f>
        <v/>
      </c>
      <c r="J10" t="str">
        <f>IF('SAÍDAS-BASE'!I8="","",'SAÍDAS-BASE'!I8)</f>
        <v/>
      </c>
      <c r="K10" s="5" t="str">
        <f>IF('SAÍDAS-BASE'!J8="","",'SAÍDAS-BASE'!J8)</f>
        <v/>
      </c>
      <c r="L10" t="str">
        <f>IF(TABELA_SAIDAS[[#This Row],[UF]]="","",IFERROR(IF(VLOOKUP(TABELA_SAIDAS[[#This Row],[VALOR]],TABELA_ENTRADAS[VALOR],1,FALSE),"DEVOLUÇÃO"),"SEM ENTRADAS"))</f>
        <v/>
      </c>
    </row>
    <row r="11" spans="2:12" x14ac:dyDescent="0.3">
      <c r="B11" t="str">
        <f>IF('SAÍDAS-BASE'!A9="","",'SAÍDAS-BASE'!A9)</f>
        <v/>
      </c>
      <c r="C11" t="str">
        <f>IF('SAÍDAS-BASE'!B9="","",'SAÍDAS-BASE'!B9)</f>
        <v/>
      </c>
      <c r="D11" t="str">
        <f>IF('SAÍDAS-BASE'!C9="","",'SAÍDAS-BASE'!C9)</f>
        <v/>
      </c>
      <c r="E11" s="7" t="str">
        <f>IF('SAÍDAS-BASE'!D9="","",'SAÍDAS-BASE'!D9)</f>
        <v/>
      </c>
      <c r="F11" s="6" t="str">
        <f>IF('SAÍDAS-BASE'!E9="","",'SAÍDAS-BASE'!E9)</f>
        <v/>
      </c>
      <c r="G11" t="str">
        <f>IF('SAÍDAS-BASE'!F9="","",'SAÍDAS-BASE'!F9)</f>
        <v/>
      </c>
      <c r="H11" t="str">
        <f>IF('SAÍDAS-BASE'!G9="","",'SAÍDAS-BASE'!G9)</f>
        <v/>
      </c>
      <c r="I11" t="str">
        <f>IF('SAÍDAS-BASE'!H9="","",'SAÍDAS-BASE'!H9)</f>
        <v/>
      </c>
      <c r="J11" t="str">
        <f>IF('SAÍDAS-BASE'!I9="","",'SAÍDAS-BASE'!I9)</f>
        <v/>
      </c>
      <c r="K11" s="5" t="str">
        <f>IF('SAÍDAS-BASE'!J9="","",'SAÍDAS-BASE'!J9)</f>
        <v/>
      </c>
      <c r="L11" t="str">
        <f>IF(TABELA_SAIDAS[[#This Row],[UF]]="","",IFERROR(IF(VLOOKUP(TABELA_SAIDAS[[#This Row],[VALOR]],TABELA_ENTRADAS[VALOR],1,FALSE),"DEVOLUÇÃO"),"SEM ENTRADAS"))</f>
        <v/>
      </c>
    </row>
    <row r="12" spans="2:12" x14ac:dyDescent="0.3">
      <c r="B12" t="str">
        <f>IF('SAÍDAS-BASE'!A10="","",'SAÍDAS-BASE'!A10)</f>
        <v/>
      </c>
      <c r="C12" t="str">
        <f>IF('SAÍDAS-BASE'!B10="","",'SAÍDAS-BASE'!B10)</f>
        <v/>
      </c>
      <c r="D12" t="str">
        <f>IF('SAÍDAS-BASE'!C10="","",'SAÍDAS-BASE'!C10)</f>
        <v/>
      </c>
      <c r="E12" s="7" t="str">
        <f>IF('SAÍDAS-BASE'!D10="","",'SAÍDAS-BASE'!D10)</f>
        <v/>
      </c>
      <c r="F12" s="6" t="str">
        <f>IF('SAÍDAS-BASE'!E10="","",'SAÍDAS-BASE'!E10)</f>
        <v/>
      </c>
      <c r="G12" t="str">
        <f>IF('SAÍDAS-BASE'!F10="","",'SAÍDAS-BASE'!F10)</f>
        <v/>
      </c>
      <c r="H12" t="str">
        <f>IF('SAÍDAS-BASE'!G10="","",'SAÍDAS-BASE'!G10)</f>
        <v/>
      </c>
      <c r="I12" t="str">
        <f>IF('SAÍDAS-BASE'!H10="","",'SAÍDAS-BASE'!H10)</f>
        <v/>
      </c>
      <c r="J12" t="str">
        <f>IF('SAÍDAS-BASE'!I10="","",'SAÍDAS-BASE'!I10)</f>
        <v/>
      </c>
      <c r="K12" s="5" t="str">
        <f>IF('SAÍDAS-BASE'!J10="","",'SAÍDAS-BASE'!J10)</f>
        <v/>
      </c>
      <c r="L12" t="str">
        <f>IF(TABELA_SAIDAS[[#This Row],[UF]]="","",IFERROR(IF(VLOOKUP(TABELA_SAIDAS[[#This Row],[VALOR]],TABELA_ENTRADAS[VALOR],1,FALSE),"DEVOLUÇÃO"),"SEM ENTRADAS"))</f>
        <v/>
      </c>
    </row>
    <row r="13" spans="2:12" x14ac:dyDescent="0.3">
      <c r="B13" t="str">
        <f>IF('SAÍDAS-BASE'!A11="","",'SAÍDAS-BASE'!A11)</f>
        <v/>
      </c>
      <c r="C13" t="str">
        <f>IF('SAÍDAS-BASE'!B11="","",'SAÍDAS-BASE'!B11)</f>
        <v/>
      </c>
      <c r="D13" t="str">
        <f>IF('SAÍDAS-BASE'!C11="","",'SAÍDAS-BASE'!C11)</f>
        <v/>
      </c>
      <c r="E13" s="7" t="str">
        <f>IF('SAÍDAS-BASE'!D11="","",'SAÍDAS-BASE'!D11)</f>
        <v/>
      </c>
      <c r="F13" s="6" t="str">
        <f>IF('SAÍDAS-BASE'!E11="","",'SAÍDAS-BASE'!E11)</f>
        <v/>
      </c>
      <c r="G13" t="str">
        <f>IF('SAÍDAS-BASE'!F11="","",'SAÍDAS-BASE'!F11)</f>
        <v/>
      </c>
      <c r="H13" t="str">
        <f>IF('SAÍDAS-BASE'!G11="","",'SAÍDAS-BASE'!G11)</f>
        <v/>
      </c>
      <c r="I13" t="str">
        <f>IF('SAÍDAS-BASE'!H11="","",'SAÍDAS-BASE'!H11)</f>
        <v/>
      </c>
      <c r="J13" t="str">
        <f>IF('SAÍDAS-BASE'!I11="","",'SAÍDAS-BASE'!I11)</f>
        <v/>
      </c>
      <c r="K13" s="5" t="str">
        <f>IF('SAÍDAS-BASE'!J11="","",'SAÍDAS-BASE'!J11)</f>
        <v/>
      </c>
      <c r="L13" t="str">
        <f>IF(TABELA_SAIDAS[[#This Row],[UF]]="","",IFERROR(IF(VLOOKUP(TABELA_SAIDAS[[#This Row],[VALOR]],TABELA_ENTRADAS[VALOR],1,FALSE),"DEVOLUÇÃO"),"SEM ENTRADAS"))</f>
        <v/>
      </c>
    </row>
    <row r="14" spans="2:12" x14ac:dyDescent="0.3">
      <c r="B14" t="str">
        <f>IF('SAÍDAS-BASE'!A12="","",'SAÍDAS-BASE'!A12)</f>
        <v/>
      </c>
      <c r="C14" t="str">
        <f>IF('SAÍDAS-BASE'!B12="","",'SAÍDAS-BASE'!B12)</f>
        <v/>
      </c>
      <c r="D14" t="str">
        <f>IF('SAÍDAS-BASE'!C12="","",'SAÍDAS-BASE'!C12)</f>
        <v/>
      </c>
      <c r="E14" s="7" t="str">
        <f>IF('SAÍDAS-BASE'!D12="","",'SAÍDAS-BASE'!D12)</f>
        <v/>
      </c>
      <c r="F14" s="6" t="str">
        <f>IF('SAÍDAS-BASE'!E12="","",'SAÍDAS-BASE'!E12)</f>
        <v/>
      </c>
      <c r="G14" t="str">
        <f>IF('SAÍDAS-BASE'!F12="","",'SAÍDAS-BASE'!F12)</f>
        <v/>
      </c>
      <c r="H14" t="str">
        <f>IF('SAÍDAS-BASE'!G12="","",'SAÍDAS-BASE'!G12)</f>
        <v/>
      </c>
      <c r="I14" t="str">
        <f>IF('SAÍDAS-BASE'!H12="","",'SAÍDAS-BASE'!H12)</f>
        <v/>
      </c>
      <c r="J14" t="str">
        <f>IF('SAÍDAS-BASE'!I12="","",'SAÍDAS-BASE'!I12)</f>
        <v/>
      </c>
      <c r="K14" s="5" t="str">
        <f>IF('SAÍDAS-BASE'!J12="","",'SAÍDAS-BASE'!J12)</f>
        <v/>
      </c>
      <c r="L14" t="str">
        <f>IF(TABELA_SAIDAS[[#This Row],[UF]]="","",IFERROR(IF(VLOOKUP(TABELA_SAIDAS[[#This Row],[VALOR]],TABELA_ENTRADAS[VALOR],1,FALSE),"DEVOLUÇÃO"),"SEM ENTRADAS"))</f>
        <v/>
      </c>
    </row>
    <row r="15" spans="2:12" x14ac:dyDescent="0.3">
      <c r="B15" t="str">
        <f>IF('SAÍDAS-BASE'!A13="","",'SAÍDAS-BASE'!A13)</f>
        <v/>
      </c>
      <c r="C15" t="str">
        <f>IF('SAÍDAS-BASE'!B13="","",'SAÍDAS-BASE'!B13)</f>
        <v/>
      </c>
      <c r="D15" t="str">
        <f>IF('SAÍDAS-BASE'!C13="","",'SAÍDAS-BASE'!C13)</f>
        <v/>
      </c>
      <c r="E15" s="7" t="str">
        <f>IF('SAÍDAS-BASE'!D13="","",'SAÍDAS-BASE'!D13)</f>
        <v/>
      </c>
      <c r="F15" s="6" t="str">
        <f>IF('SAÍDAS-BASE'!E13="","",'SAÍDAS-BASE'!E13)</f>
        <v/>
      </c>
      <c r="G15" t="str">
        <f>IF('SAÍDAS-BASE'!F13="","",'SAÍDAS-BASE'!F13)</f>
        <v/>
      </c>
      <c r="H15" t="str">
        <f>IF('SAÍDAS-BASE'!G13="","",'SAÍDAS-BASE'!G13)</f>
        <v/>
      </c>
      <c r="I15" t="str">
        <f>IF('SAÍDAS-BASE'!H13="","",'SAÍDAS-BASE'!H13)</f>
        <v/>
      </c>
      <c r="J15" t="str">
        <f>IF('SAÍDAS-BASE'!I13="","",'SAÍDAS-BASE'!I13)</f>
        <v/>
      </c>
      <c r="K15" s="5" t="str">
        <f>IF('SAÍDAS-BASE'!J13="","",'SAÍDAS-BASE'!J13)</f>
        <v/>
      </c>
      <c r="L15" t="str">
        <f>IF(TABELA_SAIDAS[[#This Row],[UF]]="","",IFERROR(IF(VLOOKUP(TABELA_SAIDAS[[#This Row],[VALOR]],TABELA_ENTRADAS[VALOR],1,FALSE),"DEVOLUÇÃO"),"SEM ENTRADAS"))</f>
        <v/>
      </c>
    </row>
    <row r="16" spans="2:12" x14ac:dyDescent="0.3">
      <c r="B16" t="str">
        <f>IF('SAÍDAS-BASE'!A14="","",'SAÍDAS-BASE'!A14)</f>
        <v/>
      </c>
      <c r="C16" t="str">
        <f>IF('SAÍDAS-BASE'!B14="","",'SAÍDAS-BASE'!B14)</f>
        <v/>
      </c>
      <c r="D16" t="str">
        <f>IF('SAÍDAS-BASE'!C14="","",'SAÍDAS-BASE'!C14)</f>
        <v/>
      </c>
      <c r="E16" s="7" t="str">
        <f>IF('SAÍDAS-BASE'!D14="","",'SAÍDAS-BASE'!D14)</f>
        <v/>
      </c>
      <c r="F16" s="6" t="str">
        <f>IF('SAÍDAS-BASE'!E14="","",'SAÍDAS-BASE'!E14)</f>
        <v/>
      </c>
      <c r="G16" t="str">
        <f>IF('SAÍDAS-BASE'!F14="","",'SAÍDAS-BASE'!F14)</f>
        <v/>
      </c>
      <c r="H16" t="str">
        <f>IF('SAÍDAS-BASE'!G14="","",'SAÍDAS-BASE'!G14)</f>
        <v/>
      </c>
      <c r="I16" t="str">
        <f>IF('SAÍDAS-BASE'!H14="","",'SAÍDAS-BASE'!H14)</f>
        <v/>
      </c>
      <c r="J16" t="str">
        <f>IF('SAÍDAS-BASE'!I14="","",'SAÍDAS-BASE'!I14)</f>
        <v/>
      </c>
      <c r="K16" s="5" t="str">
        <f>IF('SAÍDAS-BASE'!J14="","",'SAÍDAS-BASE'!J14)</f>
        <v/>
      </c>
      <c r="L16" t="str">
        <f>IF(TABELA_SAIDAS[[#This Row],[UF]]="","",IFERROR(IF(VLOOKUP(TABELA_SAIDAS[[#This Row],[VALOR]],TABELA_ENTRADAS[VALOR],1,FALSE),"DEVOLUÇÃO"),"SEM ENTRADAS"))</f>
        <v/>
      </c>
    </row>
    <row r="17" spans="2:12" x14ac:dyDescent="0.3">
      <c r="B17" t="str">
        <f>IF('SAÍDAS-BASE'!A15="","",'SAÍDAS-BASE'!A15)</f>
        <v/>
      </c>
      <c r="C17" t="str">
        <f>IF('SAÍDAS-BASE'!B15="","",'SAÍDAS-BASE'!B15)</f>
        <v/>
      </c>
      <c r="D17" t="str">
        <f>IF('SAÍDAS-BASE'!C15="","",'SAÍDAS-BASE'!C15)</f>
        <v/>
      </c>
      <c r="E17" s="7" t="str">
        <f>IF('SAÍDAS-BASE'!D15="","",'SAÍDAS-BASE'!D15)</f>
        <v/>
      </c>
      <c r="F17" s="6" t="str">
        <f>IF('SAÍDAS-BASE'!E15="","",'SAÍDAS-BASE'!E15)</f>
        <v/>
      </c>
      <c r="G17" t="str">
        <f>IF('SAÍDAS-BASE'!F15="","",'SAÍDAS-BASE'!F15)</f>
        <v/>
      </c>
      <c r="H17" t="str">
        <f>IF('SAÍDAS-BASE'!G15="","",'SAÍDAS-BASE'!G15)</f>
        <v/>
      </c>
      <c r="I17" t="str">
        <f>IF('SAÍDAS-BASE'!H15="","",'SAÍDAS-BASE'!H15)</f>
        <v/>
      </c>
      <c r="J17" t="str">
        <f>IF('SAÍDAS-BASE'!I15="","",'SAÍDAS-BASE'!I15)</f>
        <v/>
      </c>
      <c r="K17" s="5" t="str">
        <f>IF('SAÍDAS-BASE'!J15="","",'SAÍDAS-BASE'!J15)</f>
        <v/>
      </c>
      <c r="L17" t="str">
        <f>IF(TABELA_SAIDAS[[#This Row],[UF]]="","",IFERROR(IF(VLOOKUP(TABELA_SAIDAS[[#This Row],[VALOR]],TABELA_ENTRADAS[VALOR],1,FALSE),"DEVOLUÇÃO"),"SEM ENTRADAS"))</f>
        <v/>
      </c>
    </row>
    <row r="18" spans="2:12" x14ac:dyDescent="0.3">
      <c r="B18" t="str">
        <f>IF('SAÍDAS-BASE'!A16="","",'SAÍDAS-BASE'!A16)</f>
        <v/>
      </c>
      <c r="C18" t="str">
        <f>IF('SAÍDAS-BASE'!B16="","",'SAÍDAS-BASE'!B16)</f>
        <v/>
      </c>
      <c r="D18" t="str">
        <f>IF('SAÍDAS-BASE'!C16="","",'SAÍDAS-BASE'!C16)</f>
        <v/>
      </c>
      <c r="E18" s="7" t="str">
        <f>IF('SAÍDAS-BASE'!D16="","",'SAÍDAS-BASE'!D16)</f>
        <v/>
      </c>
      <c r="F18" s="6" t="str">
        <f>IF('SAÍDAS-BASE'!E16="","",'SAÍDAS-BASE'!E16)</f>
        <v/>
      </c>
      <c r="G18" t="str">
        <f>IF('SAÍDAS-BASE'!F16="","",'SAÍDAS-BASE'!F16)</f>
        <v/>
      </c>
      <c r="H18" t="str">
        <f>IF('SAÍDAS-BASE'!G16="","",'SAÍDAS-BASE'!G16)</f>
        <v/>
      </c>
      <c r="I18" t="str">
        <f>IF('SAÍDAS-BASE'!H16="","",'SAÍDAS-BASE'!H16)</f>
        <v/>
      </c>
      <c r="J18" t="str">
        <f>IF('SAÍDAS-BASE'!I16="","",'SAÍDAS-BASE'!I16)</f>
        <v/>
      </c>
      <c r="K18" s="5" t="str">
        <f>IF('SAÍDAS-BASE'!J16="","",'SAÍDAS-BASE'!J16)</f>
        <v/>
      </c>
      <c r="L18" t="str">
        <f>IF(TABELA_SAIDAS[[#This Row],[UF]]="","",IFERROR(IF(VLOOKUP(TABELA_SAIDAS[[#This Row],[VALOR]],TABELA_ENTRADAS[VALOR],1,FALSE),"DEVOLUÇÃO"),"SEM ENTRADAS"))</f>
        <v/>
      </c>
    </row>
    <row r="19" spans="2:12" x14ac:dyDescent="0.3">
      <c r="B19" t="str">
        <f>IF('SAÍDAS-BASE'!A17="","",'SAÍDAS-BASE'!A17)</f>
        <v/>
      </c>
      <c r="C19" t="str">
        <f>IF('SAÍDAS-BASE'!B17="","",'SAÍDAS-BASE'!B17)</f>
        <v/>
      </c>
      <c r="D19" t="str">
        <f>IF('SAÍDAS-BASE'!C17="","",'SAÍDAS-BASE'!C17)</f>
        <v/>
      </c>
      <c r="E19" s="7" t="str">
        <f>IF('SAÍDAS-BASE'!D17="","",'SAÍDAS-BASE'!D17)</f>
        <v/>
      </c>
      <c r="F19" s="6" t="str">
        <f>IF('SAÍDAS-BASE'!E17="","",'SAÍDAS-BASE'!E17)</f>
        <v/>
      </c>
      <c r="G19" t="str">
        <f>IF('SAÍDAS-BASE'!F17="","",'SAÍDAS-BASE'!F17)</f>
        <v/>
      </c>
      <c r="H19" t="str">
        <f>IF('SAÍDAS-BASE'!G17="","",'SAÍDAS-BASE'!G17)</f>
        <v/>
      </c>
      <c r="I19" t="str">
        <f>IF('SAÍDAS-BASE'!H17="","",'SAÍDAS-BASE'!H17)</f>
        <v/>
      </c>
      <c r="J19" t="str">
        <f>IF('SAÍDAS-BASE'!I17="","",'SAÍDAS-BASE'!I17)</f>
        <v/>
      </c>
      <c r="K19" s="5" t="str">
        <f>IF('SAÍDAS-BASE'!J17="","",'SAÍDAS-BASE'!J17)</f>
        <v/>
      </c>
      <c r="L19" t="str">
        <f>IF(TABELA_SAIDAS[[#This Row],[UF]]="","",IFERROR(IF(VLOOKUP(TABELA_SAIDAS[[#This Row],[VALOR]],TABELA_ENTRADAS[VALOR],1,FALSE),"DEVOLUÇÃO"),"SEM ENTRADAS"))</f>
        <v/>
      </c>
    </row>
    <row r="20" spans="2:12" x14ac:dyDescent="0.3">
      <c r="B20" t="str">
        <f>IF('SAÍDAS-BASE'!A18="","",'SAÍDAS-BASE'!A18)</f>
        <v/>
      </c>
      <c r="C20" t="str">
        <f>IF('SAÍDAS-BASE'!B18="","",'SAÍDAS-BASE'!B18)</f>
        <v/>
      </c>
      <c r="D20" t="str">
        <f>IF('SAÍDAS-BASE'!C18="","",'SAÍDAS-BASE'!C18)</f>
        <v/>
      </c>
      <c r="E20" s="7" t="str">
        <f>IF('SAÍDAS-BASE'!D18="","",'SAÍDAS-BASE'!D18)</f>
        <v/>
      </c>
      <c r="F20" s="6" t="str">
        <f>IF('SAÍDAS-BASE'!E18="","",'SAÍDAS-BASE'!E18)</f>
        <v/>
      </c>
      <c r="G20" t="str">
        <f>IF('SAÍDAS-BASE'!F18="","",'SAÍDAS-BASE'!F18)</f>
        <v/>
      </c>
      <c r="H20" t="str">
        <f>IF('SAÍDAS-BASE'!G18="","",'SAÍDAS-BASE'!G18)</f>
        <v/>
      </c>
      <c r="I20" t="str">
        <f>IF('SAÍDAS-BASE'!H18="","",'SAÍDAS-BASE'!H18)</f>
        <v/>
      </c>
      <c r="J20" t="str">
        <f>IF('SAÍDAS-BASE'!I18="","",'SAÍDAS-BASE'!I18)</f>
        <v/>
      </c>
      <c r="K20" s="5" t="str">
        <f>IF('SAÍDAS-BASE'!J18="","",'SAÍDAS-BASE'!J18)</f>
        <v/>
      </c>
      <c r="L20" t="str">
        <f>IF(TABELA_SAIDAS[[#This Row],[UF]]="","",IFERROR(IF(VLOOKUP(TABELA_SAIDAS[[#This Row],[VALOR]],TABELA_ENTRADAS[VALOR],1,FALSE),"DEVOLUÇÃO"),"SEM ENTRADAS"))</f>
        <v/>
      </c>
    </row>
    <row r="21" spans="2:12" x14ac:dyDescent="0.3">
      <c r="B21" t="str">
        <f>IF('SAÍDAS-BASE'!A19="","",'SAÍDAS-BASE'!A19)</f>
        <v/>
      </c>
      <c r="C21" t="str">
        <f>IF('SAÍDAS-BASE'!B19="","",'SAÍDAS-BASE'!B19)</f>
        <v/>
      </c>
      <c r="D21" t="str">
        <f>IF('SAÍDAS-BASE'!C19="","",'SAÍDAS-BASE'!C19)</f>
        <v/>
      </c>
      <c r="E21" s="7" t="str">
        <f>IF('SAÍDAS-BASE'!D19="","",'SAÍDAS-BASE'!D19)</f>
        <v/>
      </c>
      <c r="F21" s="6" t="str">
        <f>IF('SAÍDAS-BASE'!E19="","",'SAÍDAS-BASE'!E19)</f>
        <v/>
      </c>
      <c r="G21" t="str">
        <f>IF('SAÍDAS-BASE'!F19="","",'SAÍDAS-BASE'!F19)</f>
        <v/>
      </c>
      <c r="H21" t="str">
        <f>IF('SAÍDAS-BASE'!G19="","",'SAÍDAS-BASE'!G19)</f>
        <v/>
      </c>
      <c r="I21" t="str">
        <f>IF('SAÍDAS-BASE'!H19="","",'SAÍDAS-BASE'!H19)</f>
        <v/>
      </c>
      <c r="J21" t="str">
        <f>IF('SAÍDAS-BASE'!I19="","",'SAÍDAS-BASE'!I19)</f>
        <v/>
      </c>
      <c r="K21" s="5" t="str">
        <f>IF('SAÍDAS-BASE'!J19="","",'SAÍDAS-BASE'!J19)</f>
        <v/>
      </c>
      <c r="L21" t="str">
        <f>IF(TABELA_SAIDAS[[#This Row],[UF]]="","",IFERROR(IF(VLOOKUP(TABELA_SAIDAS[[#This Row],[VALOR]],TABELA_ENTRADAS[VALOR],1,FALSE),"DEVOLUÇÃO"),"SEM ENTRADAS"))</f>
        <v/>
      </c>
    </row>
    <row r="22" spans="2:12" x14ac:dyDescent="0.3">
      <c r="B22" t="str">
        <f>IF('SAÍDAS-BASE'!A20="","",'SAÍDAS-BASE'!A20)</f>
        <v/>
      </c>
      <c r="C22" t="str">
        <f>IF('SAÍDAS-BASE'!B20="","",'SAÍDAS-BASE'!B20)</f>
        <v/>
      </c>
      <c r="D22" t="str">
        <f>IF('SAÍDAS-BASE'!C20="","",'SAÍDAS-BASE'!C20)</f>
        <v/>
      </c>
      <c r="E22" s="7" t="str">
        <f>IF('SAÍDAS-BASE'!D20="","",'SAÍDAS-BASE'!D20)</f>
        <v/>
      </c>
      <c r="F22" s="6" t="str">
        <f>IF('SAÍDAS-BASE'!E20="","",'SAÍDAS-BASE'!E20)</f>
        <v/>
      </c>
      <c r="G22" t="str">
        <f>IF('SAÍDAS-BASE'!F20="","",'SAÍDAS-BASE'!F20)</f>
        <v/>
      </c>
      <c r="H22" t="str">
        <f>IF('SAÍDAS-BASE'!G20="","",'SAÍDAS-BASE'!G20)</f>
        <v/>
      </c>
      <c r="I22" t="str">
        <f>IF('SAÍDAS-BASE'!H20="","",'SAÍDAS-BASE'!H20)</f>
        <v/>
      </c>
      <c r="J22" t="str">
        <f>IF('SAÍDAS-BASE'!I20="","",'SAÍDAS-BASE'!I20)</f>
        <v/>
      </c>
      <c r="K22" s="5" t="str">
        <f>IF('SAÍDAS-BASE'!J20="","",'SAÍDAS-BASE'!J20)</f>
        <v/>
      </c>
      <c r="L22" t="str">
        <f>IF(TABELA_SAIDAS[[#This Row],[UF]]="","",IFERROR(IF(VLOOKUP(TABELA_SAIDAS[[#This Row],[VALOR]],TABELA_ENTRADAS[VALOR],1,FALSE),"DEVOLUÇÃO"),"SEM ENTRADAS"))</f>
        <v/>
      </c>
    </row>
    <row r="23" spans="2:12" x14ac:dyDescent="0.3">
      <c r="B23" t="str">
        <f>IF('SAÍDAS-BASE'!A21="","",'SAÍDAS-BASE'!A21)</f>
        <v/>
      </c>
      <c r="C23" t="str">
        <f>IF('SAÍDAS-BASE'!B21="","",'SAÍDAS-BASE'!B21)</f>
        <v/>
      </c>
      <c r="D23" t="str">
        <f>IF('SAÍDAS-BASE'!C21="","",'SAÍDAS-BASE'!C21)</f>
        <v/>
      </c>
      <c r="E23" s="7" t="str">
        <f>IF('SAÍDAS-BASE'!D21="","",'SAÍDAS-BASE'!D21)</f>
        <v/>
      </c>
      <c r="F23" s="6" t="str">
        <f>IF('SAÍDAS-BASE'!E21="","",'SAÍDAS-BASE'!E21)</f>
        <v/>
      </c>
      <c r="G23" t="str">
        <f>IF('SAÍDAS-BASE'!F21="","",'SAÍDAS-BASE'!F21)</f>
        <v/>
      </c>
      <c r="H23" t="str">
        <f>IF('SAÍDAS-BASE'!G21="","",'SAÍDAS-BASE'!G21)</f>
        <v/>
      </c>
      <c r="I23" t="str">
        <f>IF('SAÍDAS-BASE'!H21="","",'SAÍDAS-BASE'!H21)</f>
        <v/>
      </c>
      <c r="J23" t="str">
        <f>IF('SAÍDAS-BASE'!I21="","",'SAÍDAS-BASE'!I21)</f>
        <v/>
      </c>
      <c r="K23" s="5" t="str">
        <f>IF('SAÍDAS-BASE'!J21="","",'SAÍDAS-BASE'!J21)</f>
        <v/>
      </c>
      <c r="L23" t="str">
        <f>IF(TABELA_SAIDAS[[#This Row],[UF]]="","",IFERROR(IF(VLOOKUP(TABELA_SAIDAS[[#This Row],[VALOR]],TABELA_ENTRADAS[VALOR],1,FALSE),"DEVOLUÇÃO"),"SEM ENTRADAS"))</f>
        <v/>
      </c>
    </row>
    <row r="24" spans="2:12" x14ac:dyDescent="0.3">
      <c r="B24" t="str">
        <f>IF('SAÍDAS-BASE'!A22="","",'SAÍDAS-BASE'!A22)</f>
        <v/>
      </c>
      <c r="C24" t="str">
        <f>IF('SAÍDAS-BASE'!B22="","",'SAÍDAS-BASE'!B22)</f>
        <v/>
      </c>
      <c r="D24" t="str">
        <f>IF('SAÍDAS-BASE'!C22="","",'SAÍDAS-BASE'!C22)</f>
        <v/>
      </c>
      <c r="E24" s="7" t="str">
        <f>IF('SAÍDAS-BASE'!D22="","",'SAÍDAS-BASE'!D22)</f>
        <v/>
      </c>
      <c r="F24" s="6" t="str">
        <f>IF('SAÍDAS-BASE'!E22="","",'SAÍDAS-BASE'!E22)</f>
        <v/>
      </c>
      <c r="G24" t="str">
        <f>IF('SAÍDAS-BASE'!F22="","",'SAÍDAS-BASE'!F22)</f>
        <v/>
      </c>
      <c r="H24" t="str">
        <f>IF('SAÍDAS-BASE'!G22="","",'SAÍDAS-BASE'!G22)</f>
        <v/>
      </c>
      <c r="I24" t="str">
        <f>IF('SAÍDAS-BASE'!H22="","",'SAÍDAS-BASE'!H22)</f>
        <v/>
      </c>
      <c r="J24" t="str">
        <f>IF('SAÍDAS-BASE'!I22="","",'SAÍDAS-BASE'!I22)</f>
        <v/>
      </c>
      <c r="K24" s="5" t="str">
        <f>IF('SAÍDAS-BASE'!J22="","",'SAÍDAS-BASE'!J22)</f>
        <v/>
      </c>
      <c r="L24" t="str">
        <f>IF(TABELA_SAIDAS[[#This Row],[UF]]="","",IFERROR(IF(VLOOKUP(TABELA_SAIDAS[[#This Row],[VALOR]],TABELA_ENTRADAS[VALOR],1,FALSE),"DEVOLUÇÃO"),"SEM ENTRADAS"))</f>
        <v/>
      </c>
    </row>
    <row r="25" spans="2:12" x14ac:dyDescent="0.3">
      <c r="B25" t="str">
        <f>IF('SAÍDAS-BASE'!A23="","",'SAÍDAS-BASE'!A23)</f>
        <v/>
      </c>
      <c r="C25" t="str">
        <f>IF('SAÍDAS-BASE'!B23="","",'SAÍDAS-BASE'!B23)</f>
        <v/>
      </c>
      <c r="D25" t="str">
        <f>IF('SAÍDAS-BASE'!C23="","",'SAÍDAS-BASE'!C23)</f>
        <v/>
      </c>
      <c r="E25" s="7" t="str">
        <f>IF('SAÍDAS-BASE'!D23="","",'SAÍDAS-BASE'!D23)</f>
        <v/>
      </c>
      <c r="F25" s="6" t="str">
        <f>IF('SAÍDAS-BASE'!E23="","",'SAÍDAS-BASE'!E23)</f>
        <v/>
      </c>
      <c r="G25" t="str">
        <f>IF('SAÍDAS-BASE'!F23="","",'SAÍDAS-BASE'!F23)</f>
        <v/>
      </c>
      <c r="H25" t="str">
        <f>IF('SAÍDAS-BASE'!G23="","",'SAÍDAS-BASE'!G23)</f>
        <v/>
      </c>
      <c r="I25" t="str">
        <f>IF('SAÍDAS-BASE'!H23="","",'SAÍDAS-BASE'!H23)</f>
        <v/>
      </c>
      <c r="J25" t="str">
        <f>IF('SAÍDAS-BASE'!I23="","",'SAÍDAS-BASE'!I23)</f>
        <v/>
      </c>
      <c r="K25" s="5" t="str">
        <f>IF('SAÍDAS-BASE'!J23="","",'SAÍDAS-BASE'!J23)</f>
        <v/>
      </c>
      <c r="L25" t="str">
        <f>IF(TABELA_SAIDAS[[#This Row],[UF]]="","",IFERROR(IF(VLOOKUP(TABELA_SAIDAS[[#This Row],[VALOR]],TABELA_ENTRADAS[VALOR],1,FALSE),"DEVOLUÇÃO"),"SEM ENTRADAS"))</f>
        <v/>
      </c>
    </row>
    <row r="26" spans="2:12" x14ac:dyDescent="0.3">
      <c r="B26" t="str">
        <f>IF('SAÍDAS-BASE'!A24="","",'SAÍDAS-BASE'!A24)</f>
        <v/>
      </c>
      <c r="C26" t="str">
        <f>IF('SAÍDAS-BASE'!B24="","",'SAÍDAS-BASE'!B24)</f>
        <v/>
      </c>
      <c r="D26" t="str">
        <f>IF('SAÍDAS-BASE'!C24="","",'SAÍDAS-BASE'!C24)</f>
        <v/>
      </c>
      <c r="E26" s="7" t="str">
        <f>IF('SAÍDAS-BASE'!D24="","",'SAÍDAS-BASE'!D24)</f>
        <v/>
      </c>
      <c r="F26" s="6" t="str">
        <f>IF('SAÍDAS-BASE'!E24="","",'SAÍDAS-BASE'!E24)</f>
        <v/>
      </c>
      <c r="G26" t="str">
        <f>IF('SAÍDAS-BASE'!F24="","",'SAÍDAS-BASE'!F24)</f>
        <v/>
      </c>
      <c r="H26" t="str">
        <f>IF('SAÍDAS-BASE'!G24="","",'SAÍDAS-BASE'!G24)</f>
        <v/>
      </c>
      <c r="I26" t="str">
        <f>IF('SAÍDAS-BASE'!H24="","",'SAÍDAS-BASE'!H24)</f>
        <v/>
      </c>
      <c r="J26" t="str">
        <f>IF('SAÍDAS-BASE'!I24="","",'SAÍDAS-BASE'!I24)</f>
        <v/>
      </c>
      <c r="K26" s="5" t="str">
        <f>IF('SAÍDAS-BASE'!J24="","",'SAÍDAS-BASE'!J24)</f>
        <v/>
      </c>
      <c r="L26" t="str">
        <f>IF(TABELA_SAIDAS[[#This Row],[UF]]="","",IFERROR(IF(VLOOKUP(TABELA_SAIDAS[[#This Row],[VALOR]],TABELA_ENTRADAS[VALOR],1,FALSE),"DEVOLUÇÃO"),"SEM ENTRADAS"))</f>
        <v/>
      </c>
    </row>
    <row r="27" spans="2:12" x14ac:dyDescent="0.3">
      <c r="B27" t="str">
        <f>IF('SAÍDAS-BASE'!A25="","",'SAÍDAS-BASE'!A25)</f>
        <v/>
      </c>
      <c r="C27" t="str">
        <f>IF('SAÍDAS-BASE'!B25="","",'SAÍDAS-BASE'!B25)</f>
        <v/>
      </c>
      <c r="D27" t="str">
        <f>IF('SAÍDAS-BASE'!C25="","",'SAÍDAS-BASE'!C25)</f>
        <v/>
      </c>
      <c r="E27" s="7" t="str">
        <f>IF('SAÍDAS-BASE'!D25="","",'SAÍDAS-BASE'!D25)</f>
        <v/>
      </c>
      <c r="F27" s="6" t="str">
        <f>IF('SAÍDAS-BASE'!E25="","",'SAÍDAS-BASE'!E25)</f>
        <v/>
      </c>
      <c r="G27" t="str">
        <f>IF('SAÍDAS-BASE'!F25="","",'SAÍDAS-BASE'!F25)</f>
        <v/>
      </c>
      <c r="H27" t="str">
        <f>IF('SAÍDAS-BASE'!G25="","",'SAÍDAS-BASE'!G25)</f>
        <v/>
      </c>
      <c r="I27" t="str">
        <f>IF('SAÍDAS-BASE'!H25="","",'SAÍDAS-BASE'!H25)</f>
        <v/>
      </c>
      <c r="J27" t="str">
        <f>IF('SAÍDAS-BASE'!I25="","",'SAÍDAS-BASE'!I25)</f>
        <v/>
      </c>
      <c r="K27" s="5" t="str">
        <f>IF('SAÍDAS-BASE'!J25="","",'SAÍDAS-BASE'!J25)</f>
        <v/>
      </c>
      <c r="L27" t="str">
        <f>IF(TABELA_SAIDAS[[#This Row],[UF]]="","",IFERROR(IF(VLOOKUP(TABELA_SAIDAS[[#This Row],[VALOR]],TABELA_ENTRADAS[VALOR],1,FALSE),"DEVOLUÇÃO"),"SEM ENTRADAS"))</f>
        <v/>
      </c>
    </row>
    <row r="28" spans="2:12" x14ac:dyDescent="0.3">
      <c r="B28" t="str">
        <f>IF('SAÍDAS-BASE'!A26="","",'SAÍDAS-BASE'!A26)</f>
        <v/>
      </c>
      <c r="C28" t="str">
        <f>IF('SAÍDAS-BASE'!B26="","",'SAÍDAS-BASE'!B26)</f>
        <v/>
      </c>
      <c r="D28" t="str">
        <f>IF('SAÍDAS-BASE'!C26="","",'SAÍDAS-BASE'!C26)</f>
        <v/>
      </c>
      <c r="E28" s="7" t="str">
        <f>IF('SAÍDAS-BASE'!D26="","",'SAÍDAS-BASE'!D26)</f>
        <v/>
      </c>
      <c r="F28" s="6" t="str">
        <f>IF('SAÍDAS-BASE'!E26="","",'SAÍDAS-BASE'!E26)</f>
        <v/>
      </c>
      <c r="G28" t="str">
        <f>IF('SAÍDAS-BASE'!F26="","",'SAÍDAS-BASE'!F26)</f>
        <v/>
      </c>
      <c r="H28" t="str">
        <f>IF('SAÍDAS-BASE'!G26="","",'SAÍDAS-BASE'!G26)</f>
        <v/>
      </c>
      <c r="I28" t="str">
        <f>IF('SAÍDAS-BASE'!H26="","",'SAÍDAS-BASE'!H26)</f>
        <v/>
      </c>
      <c r="J28" t="str">
        <f>IF('SAÍDAS-BASE'!I26="","",'SAÍDAS-BASE'!I26)</f>
        <v/>
      </c>
      <c r="K28" s="5" t="str">
        <f>IF('SAÍDAS-BASE'!J26="","",'SAÍDAS-BASE'!J26)</f>
        <v/>
      </c>
      <c r="L28" t="str">
        <f>IF(TABELA_SAIDAS[[#This Row],[UF]]="","",IFERROR(IF(VLOOKUP(TABELA_SAIDAS[[#This Row],[VALOR]],TABELA_ENTRADAS[VALOR],1,FALSE),"DEVOLUÇÃO"),"SEM ENTRADAS"))</f>
        <v/>
      </c>
    </row>
    <row r="29" spans="2:12" x14ac:dyDescent="0.3">
      <c r="B29" t="str">
        <f>IF('SAÍDAS-BASE'!A27="","",'SAÍDAS-BASE'!A27)</f>
        <v/>
      </c>
      <c r="C29" t="str">
        <f>IF('SAÍDAS-BASE'!B27="","",'SAÍDAS-BASE'!B27)</f>
        <v/>
      </c>
      <c r="D29" t="str">
        <f>IF('SAÍDAS-BASE'!C27="","",'SAÍDAS-BASE'!C27)</f>
        <v/>
      </c>
      <c r="E29" s="7" t="str">
        <f>IF('SAÍDAS-BASE'!D27="","",'SAÍDAS-BASE'!D27)</f>
        <v/>
      </c>
      <c r="F29" s="6" t="str">
        <f>IF('SAÍDAS-BASE'!E27="","",'SAÍDAS-BASE'!E27)</f>
        <v/>
      </c>
      <c r="G29" t="str">
        <f>IF('SAÍDAS-BASE'!F27="","",'SAÍDAS-BASE'!F27)</f>
        <v/>
      </c>
      <c r="H29" t="str">
        <f>IF('SAÍDAS-BASE'!G27="","",'SAÍDAS-BASE'!G27)</f>
        <v/>
      </c>
      <c r="I29" t="str">
        <f>IF('SAÍDAS-BASE'!H27="","",'SAÍDAS-BASE'!H27)</f>
        <v/>
      </c>
      <c r="J29" t="str">
        <f>IF('SAÍDAS-BASE'!I27="","",'SAÍDAS-BASE'!I27)</f>
        <v/>
      </c>
      <c r="K29" s="5" t="str">
        <f>IF('SAÍDAS-BASE'!J27="","",'SAÍDAS-BASE'!J27)</f>
        <v/>
      </c>
      <c r="L29" t="str">
        <f>IF(TABELA_SAIDAS[[#This Row],[UF]]="","",IFERROR(IF(VLOOKUP(TABELA_SAIDAS[[#This Row],[VALOR]],TABELA_ENTRADAS[VALOR],1,FALSE),"DEVOLUÇÃO"),"SEM ENTRADAS"))</f>
        <v/>
      </c>
    </row>
    <row r="30" spans="2:12" x14ac:dyDescent="0.3">
      <c r="B30" t="str">
        <f>IF('SAÍDAS-BASE'!A28="","",'SAÍDAS-BASE'!A28)</f>
        <v/>
      </c>
      <c r="C30" t="str">
        <f>IF('SAÍDAS-BASE'!B28="","",'SAÍDAS-BASE'!B28)</f>
        <v/>
      </c>
      <c r="D30" t="str">
        <f>IF('SAÍDAS-BASE'!C28="","",'SAÍDAS-BASE'!C28)</f>
        <v/>
      </c>
      <c r="E30" s="7" t="str">
        <f>IF('SAÍDAS-BASE'!D28="","",'SAÍDAS-BASE'!D28)</f>
        <v/>
      </c>
      <c r="F30" s="6" t="str">
        <f>IF('SAÍDAS-BASE'!E28="","",'SAÍDAS-BASE'!E28)</f>
        <v/>
      </c>
      <c r="G30" t="str">
        <f>IF('SAÍDAS-BASE'!F28="","",'SAÍDAS-BASE'!F28)</f>
        <v/>
      </c>
      <c r="H30" t="str">
        <f>IF('SAÍDAS-BASE'!G28="","",'SAÍDAS-BASE'!G28)</f>
        <v/>
      </c>
      <c r="I30" t="str">
        <f>IF('SAÍDAS-BASE'!H28="","",'SAÍDAS-BASE'!H28)</f>
        <v/>
      </c>
      <c r="J30" t="str">
        <f>IF('SAÍDAS-BASE'!I28="","",'SAÍDAS-BASE'!I28)</f>
        <v/>
      </c>
      <c r="K30" s="5" t="str">
        <f>IF('SAÍDAS-BASE'!J28="","",'SAÍDAS-BASE'!J28)</f>
        <v/>
      </c>
      <c r="L30" t="str">
        <f>IF(TABELA_SAIDAS[[#This Row],[UF]]="","",IFERROR(IF(VLOOKUP(TABELA_SAIDAS[[#This Row],[VALOR]],TABELA_ENTRADAS[VALOR],1,FALSE),"DEVOLUÇÃO"),"SEM ENTRADAS"))</f>
        <v/>
      </c>
    </row>
    <row r="31" spans="2:12" x14ac:dyDescent="0.3">
      <c r="B31" t="str">
        <f>IF('SAÍDAS-BASE'!A29="","",'SAÍDAS-BASE'!A29)</f>
        <v/>
      </c>
      <c r="C31" t="str">
        <f>IF('SAÍDAS-BASE'!B29="","",'SAÍDAS-BASE'!B29)</f>
        <v/>
      </c>
      <c r="D31" t="str">
        <f>IF('SAÍDAS-BASE'!C29="","",'SAÍDAS-BASE'!C29)</f>
        <v/>
      </c>
      <c r="E31" s="7" t="str">
        <f>IF('SAÍDAS-BASE'!D29="","",'SAÍDAS-BASE'!D29)</f>
        <v/>
      </c>
      <c r="F31" s="6" t="str">
        <f>IF('SAÍDAS-BASE'!E29="","",'SAÍDAS-BASE'!E29)</f>
        <v/>
      </c>
      <c r="G31" t="str">
        <f>IF('SAÍDAS-BASE'!F29="","",'SAÍDAS-BASE'!F29)</f>
        <v/>
      </c>
      <c r="H31" t="str">
        <f>IF('SAÍDAS-BASE'!G29="","",'SAÍDAS-BASE'!G29)</f>
        <v/>
      </c>
      <c r="I31" t="str">
        <f>IF('SAÍDAS-BASE'!H29="","",'SAÍDAS-BASE'!H29)</f>
        <v/>
      </c>
      <c r="J31" t="str">
        <f>IF('SAÍDAS-BASE'!I29="","",'SAÍDAS-BASE'!I29)</f>
        <v/>
      </c>
      <c r="K31" s="5" t="str">
        <f>IF('SAÍDAS-BASE'!J29="","",'SAÍDAS-BASE'!J29)</f>
        <v/>
      </c>
      <c r="L31" t="str">
        <f>IF(TABELA_SAIDAS[[#This Row],[UF]]="","",IFERROR(IF(VLOOKUP(TABELA_SAIDAS[[#This Row],[VALOR]],TABELA_ENTRADAS[VALOR],1,FALSE),"DEVOLUÇÃO"),"SEM ENTRADAS"))</f>
        <v/>
      </c>
    </row>
    <row r="32" spans="2:12" x14ac:dyDescent="0.3">
      <c r="B32" t="str">
        <f>IF('SAÍDAS-BASE'!A30="","",'SAÍDAS-BASE'!A30)</f>
        <v/>
      </c>
      <c r="C32" t="str">
        <f>IF('SAÍDAS-BASE'!B30="","",'SAÍDAS-BASE'!B30)</f>
        <v/>
      </c>
      <c r="D32" t="str">
        <f>IF('SAÍDAS-BASE'!C30="","",'SAÍDAS-BASE'!C30)</f>
        <v/>
      </c>
      <c r="E32" s="7" t="str">
        <f>IF('SAÍDAS-BASE'!D30="","",'SAÍDAS-BASE'!D30)</f>
        <v/>
      </c>
      <c r="F32" s="6" t="str">
        <f>IF('SAÍDAS-BASE'!E30="","",'SAÍDAS-BASE'!E30)</f>
        <v/>
      </c>
      <c r="G32" t="str">
        <f>IF('SAÍDAS-BASE'!F30="","",'SAÍDAS-BASE'!F30)</f>
        <v/>
      </c>
      <c r="H32" t="str">
        <f>IF('SAÍDAS-BASE'!G30="","",'SAÍDAS-BASE'!G30)</f>
        <v/>
      </c>
      <c r="I32" t="str">
        <f>IF('SAÍDAS-BASE'!H30="","",'SAÍDAS-BASE'!H30)</f>
        <v/>
      </c>
      <c r="J32" t="str">
        <f>IF('SAÍDAS-BASE'!I30="","",'SAÍDAS-BASE'!I30)</f>
        <v/>
      </c>
      <c r="K32" s="5" t="str">
        <f>IF('SAÍDAS-BASE'!J30="","",'SAÍDAS-BASE'!J30)</f>
        <v/>
      </c>
      <c r="L32" t="str">
        <f>IF(TABELA_SAIDAS[[#This Row],[UF]]="","",IFERROR(IF(VLOOKUP(TABELA_SAIDAS[[#This Row],[VALOR]],TABELA_ENTRADAS[VALOR],1,FALSE),"DEVOLUÇÃO"),"SEM ENTRADAS"))</f>
        <v/>
      </c>
    </row>
    <row r="33" spans="2:12" x14ac:dyDescent="0.3">
      <c r="B33" t="str">
        <f>IF('SAÍDAS-BASE'!A31="","",'SAÍDAS-BASE'!A31)</f>
        <v/>
      </c>
      <c r="C33" t="str">
        <f>IF('SAÍDAS-BASE'!B31="","",'SAÍDAS-BASE'!B31)</f>
        <v/>
      </c>
      <c r="D33" t="str">
        <f>IF('SAÍDAS-BASE'!C31="","",'SAÍDAS-BASE'!C31)</f>
        <v/>
      </c>
      <c r="E33" s="7" t="str">
        <f>IF('SAÍDAS-BASE'!D31="","",'SAÍDAS-BASE'!D31)</f>
        <v/>
      </c>
      <c r="F33" s="6" t="str">
        <f>IF('SAÍDAS-BASE'!E31="","",'SAÍDAS-BASE'!E31)</f>
        <v/>
      </c>
      <c r="G33" t="str">
        <f>IF('SAÍDAS-BASE'!F31="","",'SAÍDAS-BASE'!F31)</f>
        <v/>
      </c>
      <c r="H33" t="str">
        <f>IF('SAÍDAS-BASE'!G31="","",'SAÍDAS-BASE'!G31)</f>
        <v/>
      </c>
      <c r="I33" t="str">
        <f>IF('SAÍDAS-BASE'!H31="","",'SAÍDAS-BASE'!H31)</f>
        <v/>
      </c>
      <c r="J33" t="str">
        <f>IF('SAÍDAS-BASE'!I31="","",'SAÍDAS-BASE'!I31)</f>
        <v/>
      </c>
      <c r="K33" s="5" t="str">
        <f>IF('SAÍDAS-BASE'!J31="","",'SAÍDAS-BASE'!J31)</f>
        <v/>
      </c>
      <c r="L33" t="str">
        <f>IF(TABELA_SAIDAS[[#This Row],[UF]]="","",IFERROR(IF(VLOOKUP(TABELA_SAIDAS[[#This Row],[VALOR]],TABELA_ENTRADAS[VALOR],1,FALSE),"DEVOLUÇÃO"),"SEM ENTRADAS"))</f>
        <v/>
      </c>
    </row>
    <row r="34" spans="2:12" x14ac:dyDescent="0.3">
      <c r="B34" t="str">
        <f>IF('SAÍDAS-BASE'!A32="","",'SAÍDAS-BASE'!A32)</f>
        <v/>
      </c>
      <c r="C34" t="str">
        <f>IF('SAÍDAS-BASE'!B32="","",'SAÍDAS-BASE'!B32)</f>
        <v/>
      </c>
      <c r="D34" t="str">
        <f>IF('SAÍDAS-BASE'!C32="","",'SAÍDAS-BASE'!C32)</f>
        <v/>
      </c>
      <c r="E34" s="7" t="str">
        <f>IF('SAÍDAS-BASE'!D32="","",'SAÍDAS-BASE'!D32)</f>
        <v/>
      </c>
      <c r="F34" s="6" t="str">
        <f>IF('SAÍDAS-BASE'!E32="","",'SAÍDAS-BASE'!E32)</f>
        <v/>
      </c>
      <c r="G34" t="str">
        <f>IF('SAÍDAS-BASE'!F32="","",'SAÍDAS-BASE'!F32)</f>
        <v/>
      </c>
      <c r="H34" t="str">
        <f>IF('SAÍDAS-BASE'!G32="","",'SAÍDAS-BASE'!G32)</f>
        <v/>
      </c>
      <c r="I34" t="str">
        <f>IF('SAÍDAS-BASE'!H32="","",'SAÍDAS-BASE'!H32)</f>
        <v/>
      </c>
      <c r="J34" t="str">
        <f>IF('SAÍDAS-BASE'!I32="","",'SAÍDAS-BASE'!I32)</f>
        <v/>
      </c>
      <c r="K34" s="5" t="str">
        <f>IF('SAÍDAS-BASE'!J32="","",'SAÍDAS-BASE'!J32)</f>
        <v/>
      </c>
      <c r="L34" t="str">
        <f>IF(TABELA_SAIDAS[[#This Row],[UF]]="","",IFERROR(IF(VLOOKUP(TABELA_SAIDAS[[#This Row],[VALOR]],TABELA_ENTRADAS[VALOR],1,FALSE),"DEVOLUÇÃO"),"SEM ENTRADAS"))</f>
        <v/>
      </c>
    </row>
    <row r="35" spans="2:12" x14ac:dyDescent="0.3">
      <c r="B35" t="str">
        <f>IF('SAÍDAS-BASE'!A33="","",'SAÍDAS-BASE'!A33)</f>
        <v/>
      </c>
      <c r="C35" t="str">
        <f>IF('SAÍDAS-BASE'!B33="","",'SAÍDAS-BASE'!B33)</f>
        <v/>
      </c>
      <c r="D35" t="str">
        <f>IF('SAÍDAS-BASE'!C33="","",'SAÍDAS-BASE'!C33)</f>
        <v/>
      </c>
      <c r="E35" s="7" t="str">
        <f>IF('SAÍDAS-BASE'!D33="","",'SAÍDAS-BASE'!D33)</f>
        <v/>
      </c>
      <c r="F35" s="6" t="str">
        <f>IF('SAÍDAS-BASE'!E33="","",'SAÍDAS-BASE'!E33)</f>
        <v/>
      </c>
      <c r="G35" t="str">
        <f>IF('SAÍDAS-BASE'!F33="","",'SAÍDAS-BASE'!F33)</f>
        <v/>
      </c>
      <c r="H35" t="str">
        <f>IF('SAÍDAS-BASE'!G33="","",'SAÍDAS-BASE'!G33)</f>
        <v/>
      </c>
      <c r="I35" t="str">
        <f>IF('SAÍDAS-BASE'!H33="","",'SAÍDAS-BASE'!H33)</f>
        <v/>
      </c>
      <c r="J35" t="str">
        <f>IF('SAÍDAS-BASE'!I33="","",'SAÍDAS-BASE'!I33)</f>
        <v/>
      </c>
      <c r="K35" s="5" t="str">
        <f>IF('SAÍDAS-BASE'!J33="","",'SAÍDAS-BASE'!J33)</f>
        <v/>
      </c>
      <c r="L35" t="str">
        <f>IF(TABELA_SAIDAS[[#This Row],[UF]]="","",IFERROR(IF(VLOOKUP(TABELA_SAIDAS[[#This Row],[VALOR]],TABELA_ENTRADAS[VALOR],1,FALSE),"DEVOLUÇÃO"),"SEM ENTRADAS"))</f>
        <v/>
      </c>
    </row>
    <row r="36" spans="2:12" x14ac:dyDescent="0.3">
      <c r="B36" t="str">
        <f>IF('SAÍDAS-BASE'!A34="","",'SAÍDAS-BASE'!A34)</f>
        <v/>
      </c>
      <c r="C36" t="str">
        <f>IF('SAÍDAS-BASE'!B34="","",'SAÍDAS-BASE'!B34)</f>
        <v/>
      </c>
      <c r="D36" t="str">
        <f>IF('SAÍDAS-BASE'!C34="","",'SAÍDAS-BASE'!C34)</f>
        <v/>
      </c>
      <c r="E36" s="7" t="str">
        <f>IF('SAÍDAS-BASE'!D34="","",'SAÍDAS-BASE'!D34)</f>
        <v/>
      </c>
      <c r="F36" s="6" t="str">
        <f>IF('SAÍDAS-BASE'!E34="","",'SAÍDAS-BASE'!E34)</f>
        <v/>
      </c>
      <c r="G36" t="str">
        <f>IF('SAÍDAS-BASE'!F34="","",'SAÍDAS-BASE'!F34)</f>
        <v/>
      </c>
      <c r="H36" t="str">
        <f>IF('SAÍDAS-BASE'!G34="","",'SAÍDAS-BASE'!G34)</f>
        <v/>
      </c>
      <c r="I36" t="str">
        <f>IF('SAÍDAS-BASE'!H34="","",'SAÍDAS-BASE'!H34)</f>
        <v/>
      </c>
      <c r="J36" t="str">
        <f>IF('SAÍDAS-BASE'!I34="","",'SAÍDAS-BASE'!I34)</f>
        <v/>
      </c>
      <c r="K36" s="5" t="str">
        <f>IF('SAÍDAS-BASE'!J34="","",'SAÍDAS-BASE'!J34)</f>
        <v/>
      </c>
      <c r="L36" t="str">
        <f>IF(TABELA_SAIDAS[[#This Row],[UF]]="","",IFERROR(IF(VLOOKUP(TABELA_SAIDAS[[#This Row],[VALOR]],TABELA_ENTRADAS[VALOR],1,FALSE),"DEVOLUÇÃO"),"SEM ENTRADAS"))</f>
        <v/>
      </c>
    </row>
    <row r="37" spans="2:12" x14ac:dyDescent="0.3">
      <c r="B37" t="str">
        <f>IF('SAÍDAS-BASE'!A35="","",'SAÍDAS-BASE'!A35)</f>
        <v/>
      </c>
      <c r="C37" t="str">
        <f>IF('SAÍDAS-BASE'!B35="","",'SAÍDAS-BASE'!B35)</f>
        <v/>
      </c>
      <c r="D37" t="str">
        <f>IF('SAÍDAS-BASE'!C35="","",'SAÍDAS-BASE'!C35)</f>
        <v/>
      </c>
      <c r="E37" s="7" t="str">
        <f>IF('SAÍDAS-BASE'!D35="","",'SAÍDAS-BASE'!D35)</f>
        <v/>
      </c>
      <c r="F37" s="6" t="str">
        <f>IF('SAÍDAS-BASE'!E35="","",'SAÍDAS-BASE'!E35)</f>
        <v/>
      </c>
      <c r="G37" t="str">
        <f>IF('SAÍDAS-BASE'!F35="","",'SAÍDAS-BASE'!F35)</f>
        <v/>
      </c>
      <c r="H37" t="str">
        <f>IF('SAÍDAS-BASE'!G35="","",'SAÍDAS-BASE'!G35)</f>
        <v/>
      </c>
      <c r="I37" t="str">
        <f>IF('SAÍDAS-BASE'!H35="","",'SAÍDAS-BASE'!H35)</f>
        <v/>
      </c>
      <c r="J37" t="str">
        <f>IF('SAÍDAS-BASE'!I35="","",'SAÍDAS-BASE'!I35)</f>
        <v/>
      </c>
      <c r="K37" s="5" t="str">
        <f>IF('SAÍDAS-BASE'!J35="","",'SAÍDAS-BASE'!J35)</f>
        <v/>
      </c>
      <c r="L37" t="str">
        <f>IF(TABELA_SAIDAS[[#This Row],[UF]]="","",IFERROR(IF(VLOOKUP(TABELA_SAIDAS[[#This Row],[VALOR]],TABELA_ENTRADAS[VALOR],1,FALSE),"DEVOLUÇÃO"),"SEM ENTRADAS"))</f>
        <v/>
      </c>
    </row>
    <row r="38" spans="2:12" x14ac:dyDescent="0.3">
      <c r="B38" t="str">
        <f>IF('SAÍDAS-BASE'!A36="","",'SAÍDAS-BASE'!A36)</f>
        <v/>
      </c>
      <c r="C38" t="str">
        <f>IF('SAÍDAS-BASE'!B36="","",'SAÍDAS-BASE'!B36)</f>
        <v/>
      </c>
      <c r="D38" t="str">
        <f>IF('SAÍDAS-BASE'!C36="","",'SAÍDAS-BASE'!C36)</f>
        <v/>
      </c>
      <c r="E38" s="7" t="str">
        <f>IF('SAÍDAS-BASE'!D36="","",'SAÍDAS-BASE'!D36)</f>
        <v/>
      </c>
      <c r="F38" s="6" t="str">
        <f>IF('SAÍDAS-BASE'!E36="","",'SAÍDAS-BASE'!E36)</f>
        <v/>
      </c>
      <c r="G38" t="str">
        <f>IF('SAÍDAS-BASE'!F36="","",'SAÍDAS-BASE'!F36)</f>
        <v/>
      </c>
      <c r="H38" t="str">
        <f>IF('SAÍDAS-BASE'!G36="","",'SAÍDAS-BASE'!G36)</f>
        <v/>
      </c>
      <c r="I38" t="str">
        <f>IF('SAÍDAS-BASE'!H36="","",'SAÍDAS-BASE'!H36)</f>
        <v/>
      </c>
      <c r="J38" t="str">
        <f>IF('SAÍDAS-BASE'!I36="","",'SAÍDAS-BASE'!I36)</f>
        <v/>
      </c>
      <c r="K38" s="5" t="str">
        <f>IF('SAÍDAS-BASE'!J36="","",'SAÍDAS-BASE'!J36)</f>
        <v/>
      </c>
      <c r="L38" t="str">
        <f>IF(TABELA_SAIDAS[[#This Row],[UF]]="","",IFERROR(IF(VLOOKUP(TABELA_SAIDAS[[#This Row],[VALOR]],TABELA_ENTRADAS[VALOR],1,FALSE),"DEVOLUÇÃO"),"SEM ENTRADAS"))</f>
        <v/>
      </c>
    </row>
    <row r="39" spans="2:12" x14ac:dyDescent="0.3">
      <c r="B39" t="str">
        <f>IF('SAÍDAS-BASE'!A37="","",'SAÍDAS-BASE'!A37)</f>
        <v/>
      </c>
      <c r="C39" t="str">
        <f>IF('SAÍDAS-BASE'!B37="","",'SAÍDAS-BASE'!B37)</f>
        <v/>
      </c>
      <c r="D39" t="str">
        <f>IF('SAÍDAS-BASE'!C37="","",'SAÍDAS-BASE'!C37)</f>
        <v/>
      </c>
      <c r="E39" s="7" t="str">
        <f>IF('SAÍDAS-BASE'!D37="","",'SAÍDAS-BASE'!D37)</f>
        <v/>
      </c>
      <c r="F39" s="6" t="str">
        <f>IF('SAÍDAS-BASE'!E37="","",'SAÍDAS-BASE'!E37)</f>
        <v/>
      </c>
      <c r="G39" t="str">
        <f>IF('SAÍDAS-BASE'!F37="","",'SAÍDAS-BASE'!F37)</f>
        <v/>
      </c>
      <c r="H39" t="str">
        <f>IF('SAÍDAS-BASE'!G37="","",'SAÍDAS-BASE'!G37)</f>
        <v/>
      </c>
      <c r="I39" t="str">
        <f>IF('SAÍDAS-BASE'!H37="","",'SAÍDAS-BASE'!H37)</f>
        <v/>
      </c>
      <c r="J39" t="str">
        <f>IF('SAÍDAS-BASE'!I37="","",'SAÍDAS-BASE'!I37)</f>
        <v/>
      </c>
      <c r="K39" s="5" t="str">
        <f>IF('SAÍDAS-BASE'!J37="","",'SAÍDAS-BASE'!J37)</f>
        <v/>
      </c>
      <c r="L39" t="str">
        <f>IF(TABELA_SAIDAS[[#This Row],[UF]]="","",IFERROR(IF(VLOOKUP(TABELA_SAIDAS[[#This Row],[VALOR]],TABELA_ENTRADAS[VALOR],1,FALSE),"DEVOLUÇÃO"),"SEM ENTRADAS"))</f>
        <v/>
      </c>
    </row>
    <row r="40" spans="2:12" x14ac:dyDescent="0.3">
      <c r="B40" t="str">
        <f>IF('SAÍDAS-BASE'!A38="","",'SAÍDAS-BASE'!A38)</f>
        <v/>
      </c>
      <c r="C40" t="str">
        <f>IF('SAÍDAS-BASE'!B38="","",'SAÍDAS-BASE'!B38)</f>
        <v/>
      </c>
      <c r="D40" t="str">
        <f>IF('SAÍDAS-BASE'!C38="","",'SAÍDAS-BASE'!C38)</f>
        <v/>
      </c>
      <c r="E40" s="7" t="str">
        <f>IF('SAÍDAS-BASE'!D38="","",'SAÍDAS-BASE'!D38)</f>
        <v/>
      </c>
      <c r="F40" s="6" t="str">
        <f>IF('SAÍDAS-BASE'!E38="","",'SAÍDAS-BASE'!E38)</f>
        <v/>
      </c>
      <c r="G40" t="str">
        <f>IF('SAÍDAS-BASE'!F38="","",'SAÍDAS-BASE'!F38)</f>
        <v/>
      </c>
      <c r="H40" t="str">
        <f>IF('SAÍDAS-BASE'!G38="","",'SAÍDAS-BASE'!G38)</f>
        <v/>
      </c>
      <c r="I40" t="str">
        <f>IF('SAÍDAS-BASE'!H38="","",'SAÍDAS-BASE'!H38)</f>
        <v/>
      </c>
      <c r="J40" t="str">
        <f>IF('SAÍDAS-BASE'!I38="","",'SAÍDAS-BASE'!I38)</f>
        <v/>
      </c>
      <c r="K40" s="5" t="str">
        <f>IF('SAÍDAS-BASE'!J38="","",'SAÍDAS-BASE'!J38)</f>
        <v/>
      </c>
      <c r="L40" t="str">
        <f>IF(TABELA_SAIDAS[[#This Row],[UF]]="","",IFERROR(IF(VLOOKUP(TABELA_SAIDAS[[#This Row],[VALOR]],TABELA_ENTRADAS[VALOR],1,FALSE),"DEVOLUÇÃO"),"SEM ENTRADAS"))</f>
        <v/>
      </c>
    </row>
    <row r="41" spans="2:12" x14ac:dyDescent="0.3">
      <c r="B41" t="str">
        <f>IF('SAÍDAS-BASE'!A39="","",'SAÍDAS-BASE'!A39)</f>
        <v/>
      </c>
      <c r="C41" t="str">
        <f>IF('SAÍDAS-BASE'!B39="","",'SAÍDAS-BASE'!B39)</f>
        <v/>
      </c>
      <c r="D41" t="str">
        <f>IF('SAÍDAS-BASE'!C39="","",'SAÍDAS-BASE'!C39)</f>
        <v/>
      </c>
      <c r="E41" s="7" t="str">
        <f>IF('SAÍDAS-BASE'!D39="","",'SAÍDAS-BASE'!D39)</f>
        <v/>
      </c>
      <c r="F41" s="6" t="str">
        <f>IF('SAÍDAS-BASE'!E39="","",'SAÍDAS-BASE'!E39)</f>
        <v/>
      </c>
      <c r="G41" t="str">
        <f>IF('SAÍDAS-BASE'!F39="","",'SAÍDAS-BASE'!F39)</f>
        <v/>
      </c>
      <c r="H41" t="str">
        <f>IF('SAÍDAS-BASE'!G39="","",'SAÍDAS-BASE'!G39)</f>
        <v/>
      </c>
      <c r="I41" t="str">
        <f>IF('SAÍDAS-BASE'!H39="","",'SAÍDAS-BASE'!H39)</f>
        <v/>
      </c>
      <c r="J41" t="str">
        <f>IF('SAÍDAS-BASE'!I39="","",'SAÍDAS-BASE'!I39)</f>
        <v/>
      </c>
      <c r="K41" s="5" t="str">
        <f>IF('SAÍDAS-BASE'!J39="","",'SAÍDAS-BASE'!J39)</f>
        <v/>
      </c>
      <c r="L41" t="str">
        <f>IF(TABELA_SAIDAS[[#This Row],[UF]]="","",IFERROR(IF(VLOOKUP(TABELA_SAIDAS[[#This Row],[VALOR]],TABELA_ENTRADAS[VALOR],1,FALSE),"DEVOLUÇÃO"),"SEM ENTRADAS"))</f>
        <v/>
      </c>
    </row>
    <row r="42" spans="2:12" x14ac:dyDescent="0.3">
      <c r="B42" t="str">
        <f>IF('SAÍDAS-BASE'!A40="","",'SAÍDAS-BASE'!A40)</f>
        <v/>
      </c>
      <c r="C42" t="str">
        <f>IF('SAÍDAS-BASE'!B40="","",'SAÍDAS-BASE'!B40)</f>
        <v/>
      </c>
      <c r="D42" t="str">
        <f>IF('SAÍDAS-BASE'!C40="","",'SAÍDAS-BASE'!C40)</f>
        <v/>
      </c>
      <c r="E42" s="7" t="str">
        <f>IF('SAÍDAS-BASE'!D40="","",'SAÍDAS-BASE'!D40)</f>
        <v/>
      </c>
      <c r="F42" s="6" t="str">
        <f>IF('SAÍDAS-BASE'!E40="","",'SAÍDAS-BASE'!E40)</f>
        <v/>
      </c>
      <c r="G42" t="str">
        <f>IF('SAÍDAS-BASE'!F40="","",'SAÍDAS-BASE'!F40)</f>
        <v/>
      </c>
      <c r="H42" t="str">
        <f>IF('SAÍDAS-BASE'!G40="","",'SAÍDAS-BASE'!G40)</f>
        <v/>
      </c>
      <c r="I42" t="str">
        <f>IF('SAÍDAS-BASE'!H40="","",'SAÍDAS-BASE'!H40)</f>
        <v/>
      </c>
      <c r="J42" t="str">
        <f>IF('SAÍDAS-BASE'!I40="","",'SAÍDAS-BASE'!I40)</f>
        <v/>
      </c>
      <c r="K42" s="5" t="str">
        <f>IF('SAÍDAS-BASE'!J40="","",'SAÍDAS-BASE'!J40)</f>
        <v/>
      </c>
      <c r="L42" t="str">
        <f>IF(TABELA_SAIDAS[[#This Row],[UF]]="","",IFERROR(IF(VLOOKUP(TABELA_SAIDAS[[#This Row],[VALOR]],TABELA_ENTRADAS[VALOR],1,FALSE),"DEVOLUÇÃO"),"SEM ENTRADAS"))</f>
        <v/>
      </c>
    </row>
    <row r="43" spans="2:12" x14ac:dyDescent="0.3">
      <c r="B43" t="str">
        <f>IF('SAÍDAS-BASE'!A41="","",'SAÍDAS-BASE'!A41)</f>
        <v/>
      </c>
      <c r="C43" t="str">
        <f>IF('SAÍDAS-BASE'!B41="","",'SAÍDAS-BASE'!B41)</f>
        <v/>
      </c>
      <c r="D43" t="str">
        <f>IF('SAÍDAS-BASE'!C41="","",'SAÍDAS-BASE'!C41)</f>
        <v/>
      </c>
      <c r="E43" s="7" t="str">
        <f>IF('SAÍDAS-BASE'!D41="","",'SAÍDAS-BASE'!D41)</f>
        <v/>
      </c>
      <c r="F43" s="6" t="str">
        <f>IF('SAÍDAS-BASE'!E41="","",'SAÍDAS-BASE'!E41)</f>
        <v/>
      </c>
      <c r="G43" t="str">
        <f>IF('SAÍDAS-BASE'!F41="","",'SAÍDAS-BASE'!F41)</f>
        <v/>
      </c>
      <c r="H43" t="str">
        <f>IF('SAÍDAS-BASE'!G41="","",'SAÍDAS-BASE'!G41)</f>
        <v/>
      </c>
      <c r="I43" t="str">
        <f>IF('SAÍDAS-BASE'!H41="","",'SAÍDAS-BASE'!H41)</f>
        <v/>
      </c>
      <c r="J43" t="str">
        <f>IF('SAÍDAS-BASE'!I41="","",'SAÍDAS-BASE'!I41)</f>
        <v/>
      </c>
      <c r="K43" s="5" t="str">
        <f>IF('SAÍDAS-BASE'!J41="","",'SAÍDAS-BASE'!J41)</f>
        <v/>
      </c>
      <c r="L43" t="str">
        <f>IF(TABELA_SAIDAS[[#This Row],[UF]]="","",IFERROR(IF(VLOOKUP(TABELA_SAIDAS[[#This Row],[VALOR]],TABELA_ENTRADAS[VALOR],1,FALSE),"DEVOLUÇÃO"),"SEM ENTRADAS"))</f>
        <v/>
      </c>
    </row>
    <row r="44" spans="2:12" x14ac:dyDescent="0.3">
      <c r="B44" t="str">
        <f>IF('SAÍDAS-BASE'!A42="","",'SAÍDAS-BASE'!A42)</f>
        <v/>
      </c>
      <c r="C44" t="str">
        <f>IF('SAÍDAS-BASE'!B42="","",'SAÍDAS-BASE'!B42)</f>
        <v/>
      </c>
      <c r="D44" t="str">
        <f>IF('SAÍDAS-BASE'!C42="","",'SAÍDAS-BASE'!C42)</f>
        <v/>
      </c>
      <c r="E44" s="7" t="str">
        <f>IF('SAÍDAS-BASE'!D42="","",'SAÍDAS-BASE'!D42)</f>
        <v/>
      </c>
      <c r="F44" s="6" t="str">
        <f>IF('SAÍDAS-BASE'!E42="","",'SAÍDAS-BASE'!E42)</f>
        <v/>
      </c>
      <c r="G44" t="str">
        <f>IF('SAÍDAS-BASE'!F42="","",'SAÍDAS-BASE'!F42)</f>
        <v/>
      </c>
      <c r="H44" t="str">
        <f>IF('SAÍDAS-BASE'!G42="","",'SAÍDAS-BASE'!G42)</f>
        <v/>
      </c>
      <c r="I44" t="str">
        <f>IF('SAÍDAS-BASE'!H42="","",'SAÍDAS-BASE'!H42)</f>
        <v/>
      </c>
      <c r="J44" t="str">
        <f>IF('SAÍDAS-BASE'!I42="","",'SAÍDAS-BASE'!I42)</f>
        <v/>
      </c>
      <c r="K44" s="5" t="str">
        <f>IF('SAÍDAS-BASE'!J42="","",'SAÍDAS-BASE'!J42)</f>
        <v/>
      </c>
      <c r="L44" t="str">
        <f>IF(TABELA_SAIDAS[[#This Row],[UF]]="","",IFERROR(IF(VLOOKUP(TABELA_SAIDAS[[#This Row],[VALOR]],TABELA_ENTRADAS[VALOR],1,FALSE),"DEVOLUÇÃO"),"SEM ENTRADAS"))</f>
        <v/>
      </c>
    </row>
    <row r="45" spans="2:12" x14ac:dyDescent="0.3">
      <c r="B45" t="str">
        <f>IF('SAÍDAS-BASE'!A43="","",'SAÍDAS-BASE'!A43)</f>
        <v/>
      </c>
      <c r="C45" t="str">
        <f>IF('SAÍDAS-BASE'!B43="","",'SAÍDAS-BASE'!B43)</f>
        <v/>
      </c>
      <c r="D45" t="str">
        <f>IF('SAÍDAS-BASE'!C43="","",'SAÍDAS-BASE'!C43)</f>
        <v/>
      </c>
      <c r="E45" s="7" t="str">
        <f>IF('SAÍDAS-BASE'!D43="","",'SAÍDAS-BASE'!D43)</f>
        <v/>
      </c>
      <c r="F45" s="6" t="str">
        <f>IF('SAÍDAS-BASE'!E43="","",'SAÍDAS-BASE'!E43)</f>
        <v/>
      </c>
      <c r="G45" t="str">
        <f>IF('SAÍDAS-BASE'!F43="","",'SAÍDAS-BASE'!F43)</f>
        <v/>
      </c>
      <c r="H45" t="str">
        <f>IF('SAÍDAS-BASE'!G43="","",'SAÍDAS-BASE'!G43)</f>
        <v/>
      </c>
      <c r="I45" t="str">
        <f>IF('SAÍDAS-BASE'!H43="","",'SAÍDAS-BASE'!H43)</f>
        <v/>
      </c>
      <c r="J45" t="str">
        <f>IF('SAÍDAS-BASE'!I43="","",'SAÍDAS-BASE'!I43)</f>
        <v/>
      </c>
      <c r="K45" s="5" t="str">
        <f>IF('SAÍDAS-BASE'!J43="","",'SAÍDAS-BASE'!J43)</f>
        <v/>
      </c>
      <c r="L45" t="str">
        <f>IF(TABELA_SAIDAS[[#This Row],[UF]]="","",IFERROR(IF(VLOOKUP(TABELA_SAIDAS[[#This Row],[VALOR]],TABELA_ENTRADAS[VALOR],1,FALSE),"DEVOLUÇÃO"),"SEM ENTRADAS"))</f>
        <v/>
      </c>
    </row>
    <row r="46" spans="2:12" x14ac:dyDescent="0.3">
      <c r="B46" t="str">
        <f>IF('SAÍDAS-BASE'!A44="","",'SAÍDAS-BASE'!A44)</f>
        <v/>
      </c>
      <c r="C46" t="str">
        <f>IF('SAÍDAS-BASE'!B44="","",'SAÍDAS-BASE'!B44)</f>
        <v/>
      </c>
      <c r="D46" t="str">
        <f>IF('SAÍDAS-BASE'!C44="","",'SAÍDAS-BASE'!C44)</f>
        <v/>
      </c>
      <c r="E46" s="7" t="str">
        <f>IF('SAÍDAS-BASE'!D44="","",'SAÍDAS-BASE'!D44)</f>
        <v/>
      </c>
      <c r="F46" s="6" t="str">
        <f>IF('SAÍDAS-BASE'!E44="","",'SAÍDAS-BASE'!E44)</f>
        <v/>
      </c>
      <c r="G46" t="str">
        <f>IF('SAÍDAS-BASE'!F44="","",'SAÍDAS-BASE'!F44)</f>
        <v/>
      </c>
      <c r="H46" t="str">
        <f>IF('SAÍDAS-BASE'!G44="","",'SAÍDAS-BASE'!G44)</f>
        <v/>
      </c>
      <c r="I46" t="str">
        <f>IF('SAÍDAS-BASE'!H44="","",'SAÍDAS-BASE'!H44)</f>
        <v/>
      </c>
      <c r="J46" t="str">
        <f>IF('SAÍDAS-BASE'!I44="","",'SAÍDAS-BASE'!I44)</f>
        <v/>
      </c>
      <c r="K46" s="5" t="str">
        <f>IF('SAÍDAS-BASE'!J44="","",'SAÍDAS-BASE'!J44)</f>
        <v/>
      </c>
      <c r="L46" t="str">
        <f>IF(TABELA_SAIDAS[[#This Row],[UF]]="","",IFERROR(IF(VLOOKUP(TABELA_SAIDAS[[#This Row],[VALOR]],TABELA_ENTRADAS[VALOR],1,FALSE),"DEVOLUÇÃO"),"SEM ENTRADAS"))</f>
        <v/>
      </c>
    </row>
    <row r="47" spans="2:12" x14ac:dyDescent="0.3">
      <c r="B47" t="str">
        <f>IF('SAÍDAS-BASE'!A45="","",'SAÍDAS-BASE'!A45)</f>
        <v/>
      </c>
      <c r="C47" t="str">
        <f>IF('SAÍDAS-BASE'!B45="","",'SAÍDAS-BASE'!B45)</f>
        <v/>
      </c>
      <c r="D47" t="str">
        <f>IF('SAÍDAS-BASE'!C45="","",'SAÍDAS-BASE'!C45)</f>
        <v/>
      </c>
      <c r="E47" s="7" t="str">
        <f>IF('SAÍDAS-BASE'!D45="","",'SAÍDAS-BASE'!D45)</f>
        <v/>
      </c>
      <c r="F47" s="6" t="str">
        <f>IF('SAÍDAS-BASE'!E45="","",'SAÍDAS-BASE'!E45)</f>
        <v/>
      </c>
      <c r="G47" t="str">
        <f>IF('SAÍDAS-BASE'!F45="","",'SAÍDAS-BASE'!F45)</f>
        <v/>
      </c>
      <c r="H47" t="str">
        <f>IF('SAÍDAS-BASE'!G45="","",'SAÍDAS-BASE'!G45)</f>
        <v/>
      </c>
      <c r="I47" t="str">
        <f>IF('SAÍDAS-BASE'!H45="","",'SAÍDAS-BASE'!H45)</f>
        <v/>
      </c>
      <c r="J47" t="str">
        <f>IF('SAÍDAS-BASE'!I45="","",'SAÍDAS-BASE'!I45)</f>
        <v/>
      </c>
      <c r="K47" s="5" t="str">
        <f>IF('SAÍDAS-BASE'!J45="","",'SAÍDAS-BASE'!J45)</f>
        <v/>
      </c>
      <c r="L47" t="str">
        <f>IF(TABELA_SAIDAS[[#This Row],[UF]]="","",IFERROR(IF(VLOOKUP(TABELA_SAIDAS[[#This Row],[VALOR]],TABELA_ENTRADAS[VALOR],1,FALSE),"DEVOLUÇÃO"),"SEM ENTRADAS"))</f>
        <v/>
      </c>
    </row>
    <row r="48" spans="2:12" x14ac:dyDescent="0.3">
      <c r="B48" t="str">
        <f>IF('SAÍDAS-BASE'!A46="","",'SAÍDAS-BASE'!A46)</f>
        <v/>
      </c>
      <c r="C48" t="str">
        <f>IF('SAÍDAS-BASE'!B46="","",'SAÍDAS-BASE'!B46)</f>
        <v/>
      </c>
      <c r="D48" t="str">
        <f>IF('SAÍDAS-BASE'!C46="","",'SAÍDAS-BASE'!C46)</f>
        <v/>
      </c>
      <c r="E48" s="7" t="str">
        <f>IF('SAÍDAS-BASE'!D46="","",'SAÍDAS-BASE'!D46)</f>
        <v/>
      </c>
      <c r="F48" s="6" t="str">
        <f>IF('SAÍDAS-BASE'!E46="","",'SAÍDAS-BASE'!E46)</f>
        <v/>
      </c>
      <c r="G48" t="str">
        <f>IF('SAÍDAS-BASE'!F46="","",'SAÍDAS-BASE'!F46)</f>
        <v/>
      </c>
      <c r="H48" t="str">
        <f>IF('SAÍDAS-BASE'!G46="","",'SAÍDAS-BASE'!G46)</f>
        <v/>
      </c>
      <c r="I48" t="str">
        <f>IF('SAÍDAS-BASE'!H46="","",'SAÍDAS-BASE'!H46)</f>
        <v/>
      </c>
      <c r="J48" t="str">
        <f>IF('SAÍDAS-BASE'!I46="","",'SAÍDAS-BASE'!I46)</f>
        <v/>
      </c>
      <c r="K48" s="5" t="str">
        <f>IF('SAÍDAS-BASE'!J46="","",'SAÍDAS-BASE'!J46)</f>
        <v/>
      </c>
      <c r="L48" t="str">
        <f>IF(TABELA_SAIDAS[[#This Row],[UF]]="","",IFERROR(IF(VLOOKUP(TABELA_SAIDAS[[#This Row],[VALOR]],TABELA_ENTRADAS[VALOR],1,FALSE),"DEVOLUÇÃO"),"SEM ENTRADAS"))</f>
        <v/>
      </c>
    </row>
    <row r="49" spans="2:12" x14ac:dyDescent="0.3">
      <c r="B49" t="str">
        <f>IF('SAÍDAS-BASE'!A47="","",'SAÍDAS-BASE'!A47)</f>
        <v/>
      </c>
      <c r="C49" t="str">
        <f>IF('SAÍDAS-BASE'!B47="","",'SAÍDAS-BASE'!B47)</f>
        <v/>
      </c>
      <c r="D49" t="str">
        <f>IF('SAÍDAS-BASE'!C47="","",'SAÍDAS-BASE'!C47)</f>
        <v/>
      </c>
      <c r="E49" s="7" t="str">
        <f>IF('SAÍDAS-BASE'!D47="","",'SAÍDAS-BASE'!D47)</f>
        <v/>
      </c>
      <c r="F49" s="6" t="str">
        <f>IF('SAÍDAS-BASE'!E47="","",'SAÍDAS-BASE'!E47)</f>
        <v/>
      </c>
      <c r="G49" t="str">
        <f>IF('SAÍDAS-BASE'!F47="","",'SAÍDAS-BASE'!F47)</f>
        <v/>
      </c>
      <c r="H49" t="str">
        <f>IF('SAÍDAS-BASE'!G47="","",'SAÍDAS-BASE'!G47)</f>
        <v/>
      </c>
      <c r="I49" t="str">
        <f>IF('SAÍDAS-BASE'!H47="","",'SAÍDAS-BASE'!H47)</f>
        <v/>
      </c>
      <c r="J49" t="str">
        <f>IF('SAÍDAS-BASE'!I47="","",'SAÍDAS-BASE'!I47)</f>
        <v/>
      </c>
      <c r="K49" s="5" t="str">
        <f>IF('SAÍDAS-BASE'!J47="","",'SAÍDAS-BASE'!J47)</f>
        <v/>
      </c>
      <c r="L49" t="str">
        <f>IF(TABELA_SAIDAS[[#This Row],[UF]]="","",IFERROR(IF(VLOOKUP(TABELA_SAIDAS[[#This Row],[VALOR]],TABELA_ENTRADAS[VALOR],1,FALSE),"DEVOLUÇÃO"),"SEM ENTRADAS"))</f>
        <v/>
      </c>
    </row>
    <row r="50" spans="2:12" x14ac:dyDescent="0.3">
      <c r="B50" t="str">
        <f>IF('SAÍDAS-BASE'!A48="","",'SAÍDAS-BASE'!A48)</f>
        <v/>
      </c>
      <c r="C50" t="str">
        <f>IF('SAÍDAS-BASE'!B48="","",'SAÍDAS-BASE'!B48)</f>
        <v/>
      </c>
      <c r="D50" t="str">
        <f>IF('SAÍDAS-BASE'!C48="","",'SAÍDAS-BASE'!C48)</f>
        <v/>
      </c>
      <c r="E50" s="7" t="str">
        <f>IF('SAÍDAS-BASE'!D48="","",'SAÍDAS-BASE'!D48)</f>
        <v/>
      </c>
      <c r="F50" s="6" t="str">
        <f>IF('SAÍDAS-BASE'!E48="","",'SAÍDAS-BASE'!E48)</f>
        <v/>
      </c>
      <c r="G50" t="str">
        <f>IF('SAÍDAS-BASE'!F48="","",'SAÍDAS-BASE'!F48)</f>
        <v/>
      </c>
      <c r="H50" t="str">
        <f>IF('SAÍDAS-BASE'!G48="","",'SAÍDAS-BASE'!G48)</f>
        <v/>
      </c>
      <c r="I50" t="str">
        <f>IF('SAÍDAS-BASE'!H48="","",'SAÍDAS-BASE'!H48)</f>
        <v/>
      </c>
      <c r="J50" t="str">
        <f>IF('SAÍDAS-BASE'!I48="","",'SAÍDAS-BASE'!I48)</f>
        <v/>
      </c>
      <c r="K50" s="5" t="str">
        <f>IF('SAÍDAS-BASE'!J48="","",'SAÍDAS-BASE'!J48)</f>
        <v/>
      </c>
      <c r="L50" t="str">
        <f>IF(TABELA_SAIDAS[[#This Row],[UF]]="","",IFERROR(IF(VLOOKUP(TABELA_SAIDAS[[#This Row],[VALOR]],TABELA_ENTRADAS[VALOR],1,FALSE),"DEVOLUÇÃO"),"SEM ENTRADAS"))</f>
        <v/>
      </c>
    </row>
    <row r="51" spans="2:12" x14ac:dyDescent="0.3">
      <c r="B51" t="str">
        <f>IF('SAÍDAS-BASE'!A49="","",'SAÍDAS-BASE'!A49)</f>
        <v/>
      </c>
      <c r="C51" t="str">
        <f>IF('SAÍDAS-BASE'!B49="","",'SAÍDAS-BASE'!B49)</f>
        <v/>
      </c>
      <c r="D51" t="str">
        <f>IF('SAÍDAS-BASE'!C49="","",'SAÍDAS-BASE'!C49)</f>
        <v/>
      </c>
      <c r="E51" s="7" t="str">
        <f>IF('SAÍDAS-BASE'!D49="","",'SAÍDAS-BASE'!D49)</f>
        <v/>
      </c>
      <c r="F51" s="6" t="str">
        <f>IF('SAÍDAS-BASE'!E49="","",'SAÍDAS-BASE'!E49)</f>
        <v/>
      </c>
      <c r="G51" t="str">
        <f>IF('SAÍDAS-BASE'!F49="","",'SAÍDAS-BASE'!F49)</f>
        <v/>
      </c>
      <c r="H51" t="str">
        <f>IF('SAÍDAS-BASE'!G49="","",'SAÍDAS-BASE'!G49)</f>
        <v/>
      </c>
      <c r="I51" t="str">
        <f>IF('SAÍDAS-BASE'!H49="","",'SAÍDAS-BASE'!H49)</f>
        <v/>
      </c>
      <c r="J51" t="str">
        <f>IF('SAÍDAS-BASE'!I49="","",'SAÍDAS-BASE'!I49)</f>
        <v/>
      </c>
      <c r="K51" s="5" t="str">
        <f>IF('SAÍDAS-BASE'!J49="","",'SAÍDAS-BASE'!J49)</f>
        <v/>
      </c>
      <c r="L51" t="str">
        <f>IF(TABELA_SAIDAS[[#This Row],[UF]]="","",IFERROR(IF(VLOOKUP(TABELA_SAIDAS[[#This Row],[VALOR]],TABELA_ENTRADAS[VALOR],1,FALSE),"DEVOLUÇÃO"),"SEM ENTRADAS"))</f>
        <v/>
      </c>
    </row>
    <row r="52" spans="2:12" x14ac:dyDescent="0.3">
      <c r="B52" t="str">
        <f>IF('SAÍDAS-BASE'!A50="","",'SAÍDAS-BASE'!A50)</f>
        <v/>
      </c>
      <c r="C52" t="str">
        <f>IF('SAÍDAS-BASE'!B50="","",'SAÍDAS-BASE'!B50)</f>
        <v/>
      </c>
      <c r="D52" t="str">
        <f>IF('SAÍDAS-BASE'!C50="","",'SAÍDAS-BASE'!C50)</f>
        <v/>
      </c>
      <c r="E52" s="7" t="str">
        <f>IF('SAÍDAS-BASE'!D50="","",'SAÍDAS-BASE'!D50)</f>
        <v/>
      </c>
      <c r="F52" s="6" t="str">
        <f>IF('SAÍDAS-BASE'!E50="","",'SAÍDAS-BASE'!E50)</f>
        <v/>
      </c>
      <c r="G52" t="str">
        <f>IF('SAÍDAS-BASE'!F50="","",'SAÍDAS-BASE'!F50)</f>
        <v/>
      </c>
      <c r="H52" t="str">
        <f>IF('SAÍDAS-BASE'!G50="","",'SAÍDAS-BASE'!G50)</f>
        <v/>
      </c>
      <c r="I52" t="str">
        <f>IF('SAÍDAS-BASE'!H50="","",'SAÍDAS-BASE'!H50)</f>
        <v/>
      </c>
      <c r="J52" t="str">
        <f>IF('SAÍDAS-BASE'!I50="","",'SAÍDAS-BASE'!I50)</f>
        <v/>
      </c>
      <c r="K52" s="5" t="str">
        <f>IF('SAÍDAS-BASE'!J50="","",'SAÍDAS-BASE'!J50)</f>
        <v/>
      </c>
      <c r="L52" t="str">
        <f>IF(TABELA_SAIDAS[[#This Row],[UF]]="","",IFERROR(IF(VLOOKUP(TABELA_SAIDAS[[#This Row],[VALOR]],TABELA_ENTRADAS[VALOR],1,FALSE),"DEVOLUÇÃO"),"SEM ENTRADAS"))</f>
        <v/>
      </c>
    </row>
    <row r="53" spans="2:12" x14ac:dyDescent="0.3">
      <c r="B53" t="str">
        <f>IF('SAÍDAS-BASE'!A51="","",'SAÍDAS-BASE'!A51)</f>
        <v/>
      </c>
      <c r="C53" t="str">
        <f>IF('SAÍDAS-BASE'!B51="","",'SAÍDAS-BASE'!B51)</f>
        <v/>
      </c>
      <c r="D53" t="str">
        <f>IF('SAÍDAS-BASE'!C51="","",'SAÍDAS-BASE'!C51)</f>
        <v/>
      </c>
      <c r="E53" s="7" t="str">
        <f>IF('SAÍDAS-BASE'!D51="","",'SAÍDAS-BASE'!D51)</f>
        <v/>
      </c>
      <c r="F53" s="6" t="str">
        <f>IF('SAÍDAS-BASE'!E51="","",'SAÍDAS-BASE'!E51)</f>
        <v/>
      </c>
      <c r="G53" t="str">
        <f>IF('SAÍDAS-BASE'!F51="","",'SAÍDAS-BASE'!F51)</f>
        <v/>
      </c>
      <c r="H53" t="str">
        <f>IF('SAÍDAS-BASE'!G51="","",'SAÍDAS-BASE'!G51)</f>
        <v/>
      </c>
      <c r="I53" t="str">
        <f>IF('SAÍDAS-BASE'!H51="","",'SAÍDAS-BASE'!H51)</f>
        <v/>
      </c>
      <c r="J53" t="str">
        <f>IF('SAÍDAS-BASE'!I51="","",'SAÍDAS-BASE'!I51)</f>
        <v/>
      </c>
      <c r="K53" s="5" t="str">
        <f>IF('SAÍDAS-BASE'!J51="","",'SAÍDAS-BASE'!J51)</f>
        <v/>
      </c>
      <c r="L53" t="str">
        <f>IF(TABELA_SAIDAS[[#This Row],[UF]]="","",IFERROR(IF(VLOOKUP(TABELA_SAIDAS[[#This Row],[VALOR]],TABELA_ENTRADAS[VALOR],1,FALSE),"DEVOLUÇÃO"),"SEM ENTRADAS"))</f>
        <v/>
      </c>
    </row>
    <row r="54" spans="2:12" x14ac:dyDescent="0.3">
      <c r="B54" t="str">
        <f>IF('SAÍDAS-BASE'!A52="","",'SAÍDAS-BASE'!A52)</f>
        <v/>
      </c>
      <c r="C54" t="str">
        <f>IF('SAÍDAS-BASE'!B52="","",'SAÍDAS-BASE'!B52)</f>
        <v/>
      </c>
      <c r="D54" t="str">
        <f>IF('SAÍDAS-BASE'!C52="","",'SAÍDAS-BASE'!C52)</f>
        <v/>
      </c>
      <c r="E54" s="7" t="str">
        <f>IF('SAÍDAS-BASE'!D52="","",'SAÍDAS-BASE'!D52)</f>
        <v/>
      </c>
      <c r="F54" s="6" t="str">
        <f>IF('SAÍDAS-BASE'!E52="","",'SAÍDAS-BASE'!E52)</f>
        <v/>
      </c>
      <c r="G54" t="str">
        <f>IF('SAÍDAS-BASE'!F52="","",'SAÍDAS-BASE'!F52)</f>
        <v/>
      </c>
      <c r="H54" t="str">
        <f>IF('SAÍDAS-BASE'!G52="","",'SAÍDAS-BASE'!G52)</f>
        <v/>
      </c>
      <c r="I54" t="str">
        <f>IF('SAÍDAS-BASE'!H52="","",'SAÍDAS-BASE'!H52)</f>
        <v/>
      </c>
      <c r="J54" t="str">
        <f>IF('SAÍDAS-BASE'!I52="","",'SAÍDAS-BASE'!I52)</f>
        <v/>
      </c>
      <c r="K54" s="5" t="str">
        <f>IF('SAÍDAS-BASE'!J52="","",'SAÍDAS-BASE'!J52)</f>
        <v/>
      </c>
      <c r="L54" t="str">
        <f>IF(TABELA_SAIDAS[[#This Row],[UF]]="","",IFERROR(IF(VLOOKUP(TABELA_SAIDAS[[#This Row],[VALOR]],TABELA_ENTRADAS[VALOR],1,FALSE),"DEVOLUÇÃO"),"SEM ENTRADAS"))</f>
        <v/>
      </c>
    </row>
    <row r="55" spans="2:12" x14ac:dyDescent="0.3">
      <c r="B55" t="str">
        <f>IF('SAÍDAS-BASE'!A53="","",'SAÍDAS-BASE'!A53)</f>
        <v/>
      </c>
      <c r="C55" t="str">
        <f>IF('SAÍDAS-BASE'!B53="","",'SAÍDAS-BASE'!B53)</f>
        <v/>
      </c>
      <c r="D55" t="str">
        <f>IF('SAÍDAS-BASE'!C53="","",'SAÍDAS-BASE'!C53)</f>
        <v/>
      </c>
      <c r="E55" s="7" t="str">
        <f>IF('SAÍDAS-BASE'!D53="","",'SAÍDAS-BASE'!D53)</f>
        <v/>
      </c>
      <c r="F55" s="6" t="str">
        <f>IF('SAÍDAS-BASE'!E53="","",'SAÍDAS-BASE'!E53)</f>
        <v/>
      </c>
      <c r="G55" t="str">
        <f>IF('SAÍDAS-BASE'!F53="","",'SAÍDAS-BASE'!F53)</f>
        <v/>
      </c>
      <c r="H55" t="str">
        <f>IF('SAÍDAS-BASE'!G53="","",'SAÍDAS-BASE'!G53)</f>
        <v/>
      </c>
      <c r="I55" t="str">
        <f>IF('SAÍDAS-BASE'!H53="","",'SAÍDAS-BASE'!H53)</f>
        <v/>
      </c>
      <c r="J55" t="str">
        <f>IF('SAÍDAS-BASE'!I53="","",'SAÍDAS-BASE'!I53)</f>
        <v/>
      </c>
      <c r="K55" s="5" t="str">
        <f>IF('SAÍDAS-BASE'!J53="","",'SAÍDAS-BASE'!J53)</f>
        <v/>
      </c>
      <c r="L55" t="str">
        <f>IF(TABELA_SAIDAS[[#This Row],[UF]]="","",IFERROR(IF(VLOOKUP(TABELA_SAIDAS[[#This Row],[VALOR]],TABELA_ENTRADAS[VALOR],1,FALSE),"DEVOLUÇÃO"),"SEM ENTRADAS"))</f>
        <v/>
      </c>
    </row>
    <row r="56" spans="2:12" x14ac:dyDescent="0.3">
      <c r="B56" t="str">
        <f>IF('SAÍDAS-BASE'!A54="","",'SAÍDAS-BASE'!A54)</f>
        <v/>
      </c>
      <c r="C56" t="str">
        <f>IF('SAÍDAS-BASE'!B54="","",'SAÍDAS-BASE'!B54)</f>
        <v/>
      </c>
      <c r="D56" t="str">
        <f>IF('SAÍDAS-BASE'!C54="","",'SAÍDAS-BASE'!C54)</f>
        <v/>
      </c>
      <c r="E56" s="7" t="str">
        <f>IF('SAÍDAS-BASE'!D54="","",'SAÍDAS-BASE'!D54)</f>
        <v/>
      </c>
      <c r="F56" s="6" t="str">
        <f>IF('SAÍDAS-BASE'!E54="","",'SAÍDAS-BASE'!E54)</f>
        <v/>
      </c>
      <c r="G56" t="str">
        <f>IF('SAÍDAS-BASE'!F54="","",'SAÍDAS-BASE'!F54)</f>
        <v/>
      </c>
      <c r="H56" t="str">
        <f>IF('SAÍDAS-BASE'!G54="","",'SAÍDAS-BASE'!G54)</f>
        <v/>
      </c>
      <c r="I56" t="str">
        <f>IF('SAÍDAS-BASE'!H54="","",'SAÍDAS-BASE'!H54)</f>
        <v/>
      </c>
      <c r="J56" t="str">
        <f>IF('SAÍDAS-BASE'!I54="","",'SAÍDAS-BASE'!I54)</f>
        <v/>
      </c>
      <c r="K56" s="5" t="str">
        <f>IF('SAÍDAS-BASE'!J54="","",'SAÍDAS-BASE'!J54)</f>
        <v/>
      </c>
      <c r="L56" t="str">
        <f>IF(TABELA_SAIDAS[[#This Row],[UF]]="","",IFERROR(IF(VLOOKUP(TABELA_SAIDAS[[#This Row],[VALOR]],TABELA_ENTRADAS[VALOR],1,FALSE),"DEVOLUÇÃO"),"SEM ENTRADAS"))</f>
        <v/>
      </c>
    </row>
    <row r="57" spans="2:12" x14ac:dyDescent="0.3">
      <c r="B57" t="str">
        <f>IF('SAÍDAS-BASE'!A55="","",'SAÍDAS-BASE'!A55)</f>
        <v/>
      </c>
      <c r="C57" t="str">
        <f>IF('SAÍDAS-BASE'!B55="","",'SAÍDAS-BASE'!B55)</f>
        <v/>
      </c>
      <c r="D57" t="str">
        <f>IF('SAÍDAS-BASE'!C55="","",'SAÍDAS-BASE'!C55)</f>
        <v/>
      </c>
      <c r="E57" s="7" t="str">
        <f>IF('SAÍDAS-BASE'!D55="","",'SAÍDAS-BASE'!D55)</f>
        <v/>
      </c>
      <c r="F57" s="6" t="str">
        <f>IF('SAÍDAS-BASE'!E55="","",'SAÍDAS-BASE'!E55)</f>
        <v/>
      </c>
      <c r="G57" t="str">
        <f>IF('SAÍDAS-BASE'!F55="","",'SAÍDAS-BASE'!F55)</f>
        <v/>
      </c>
      <c r="H57" t="str">
        <f>IF('SAÍDAS-BASE'!G55="","",'SAÍDAS-BASE'!G55)</f>
        <v/>
      </c>
      <c r="I57" t="str">
        <f>IF('SAÍDAS-BASE'!H55="","",'SAÍDAS-BASE'!H55)</f>
        <v/>
      </c>
      <c r="J57" t="str">
        <f>IF('SAÍDAS-BASE'!I55="","",'SAÍDAS-BASE'!I55)</f>
        <v/>
      </c>
      <c r="K57" s="5" t="str">
        <f>IF('SAÍDAS-BASE'!J55="","",'SAÍDAS-BASE'!J55)</f>
        <v/>
      </c>
      <c r="L57" t="str">
        <f>IF(TABELA_SAIDAS[[#This Row],[UF]]="","",IFERROR(IF(VLOOKUP(TABELA_SAIDAS[[#This Row],[VALOR]],TABELA_ENTRADAS[VALOR],1,FALSE),"DEVOLUÇÃO"),"SEM ENTRADAS"))</f>
        <v/>
      </c>
    </row>
    <row r="58" spans="2:12" x14ac:dyDescent="0.3">
      <c r="B58" t="str">
        <f>IF('SAÍDAS-BASE'!A56="","",'SAÍDAS-BASE'!A56)</f>
        <v/>
      </c>
      <c r="C58" t="str">
        <f>IF('SAÍDAS-BASE'!B56="","",'SAÍDAS-BASE'!B56)</f>
        <v/>
      </c>
      <c r="D58" t="str">
        <f>IF('SAÍDAS-BASE'!C56="","",'SAÍDAS-BASE'!C56)</f>
        <v/>
      </c>
      <c r="E58" s="7" t="str">
        <f>IF('SAÍDAS-BASE'!D56="","",'SAÍDAS-BASE'!D56)</f>
        <v/>
      </c>
      <c r="F58" s="6" t="str">
        <f>IF('SAÍDAS-BASE'!E56="","",'SAÍDAS-BASE'!E56)</f>
        <v/>
      </c>
      <c r="G58" t="str">
        <f>IF('SAÍDAS-BASE'!F56="","",'SAÍDAS-BASE'!F56)</f>
        <v/>
      </c>
      <c r="H58" t="str">
        <f>IF('SAÍDAS-BASE'!G56="","",'SAÍDAS-BASE'!G56)</f>
        <v/>
      </c>
      <c r="I58" t="str">
        <f>IF('SAÍDAS-BASE'!H56="","",'SAÍDAS-BASE'!H56)</f>
        <v/>
      </c>
      <c r="J58" t="str">
        <f>IF('SAÍDAS-BASE'!I56="","",'SAÍDAS-BASE'!I56)</f>
        <v/>
      </c>
      <c r="K58" s="5" t="str">
        <f>IF('SAÍDAS-BASE'!J56="","",'SAÍDAS-BASE'!J56)</f>
        <v/>
      </c>
      <c r="L58" t="str">
        <f>IF(TABELA_SAIDAS[[#This Row],[UF]]="","",IFERROR(IF(VLOOKUP(TABELA_SAIDAS[[#This Row],[VALOR]],TABELA_ENTRADAS[VALOR],1,FALSE),"DEVOLUÇÃO"),"SEM ENTRADAS"))</f>
        <v/>
      </c>
    </row>
    <row r="59" spans="2:12" x14ac:dyDescent="0.3">
      <c r="B59" t="str">
        <f>IF('SAÍDAS-BASE'!A57="","",'SAÍDAS-BASE'!A57)</f>
        <v/>
      </c>
      <c r="C59" t="str">
        <f>IF('SAÍDAS-BASE'!B57="","",'SAÍDAS-BASE'!B57)</f>
        <v/>
      </c>
      <c r="D59" t="str">
        <f>IF('SAÍDAS-BASE'!C57="","",'SAÍDAS-BASE'!C57)</f>
        <v/>
      </c>
      <c r="E59" s="7" t="str">
        <f>IF('SAÍDAS-BASE'!D57="","",'SAÍDAS-BASE'!D57)</f>
        <v/>
      </c>
      <c r="F59" s="6" t="str">
        <f>IF('SAÍDAS-BASE'!E57="","",'SAÍDAS-BASE'!E57)</f>
        <v/>
      </c>
      <c r="G59" t="str">
        <f>IF('SAÍDAS-BASE'!F57="","",'SAÍDAS-BASE'!F57)</f>
        <v/>
      </c>
      <c r="H59" t="str">
        <f>IF('SAÍDAS-BASE'!G57="","",'SAÍDAS-BASE'!G57)</f>
        <v/>
      </c>
      <c r="I59" t="str">
        <f>IF('SAÍDAS-BASE'!H57="","",'SAÍDAS-BASE'!H57)</f>
        <v/>
      </c>
      <c r="J59" t="str">
        <f>IF('SAÍDAS-BASE'!I57="","",'SAÍDAS-BASE'!I57)</f>
        <v/>
      </c>
      <c r="K59" s="5" t="str">
        <f>IF('SAÍDAS-BASE'!J57="","",'SAÍDAS-BASE'!J57)</f>
        <v/>
      </c>
      <c r="L59" t="str">
        <f>IF(TABELA_SAIDAS[[#This Row],[UF]]="","",IFERROR(IF(VLOOKUP(TABELA_SAIDAS[[#This Row],[VALOR]],TABELA_ENTRADAS[VALOR],1,FALSE),"DEVOLUÇÃO"),"SEM ENTRADAS"))</f>
        <v/>
      </c>
    </row>
    <row r="60" spans="2:12" x14ac:dyDescent="0.3">
      <c r="B60" t="str">
        <f>IF('SAÍDAS-BASE'!A58="","",'SAÍDAS-BASE'!A58)</f>
        <v/>
      </c>
      <c r="C60" t="str">
        <f>IF('SAÍDAS-BASE'!B58="","",'SAÍDAS-BASE'!B58)</f>
        <v/>
      </c>
      <c r="D60" t="str">
        <f>IF('SAÍDAS-BASE'!C58="","",'SAÍDAS-BASE'!C58)</f>
        <v/>
      </c>
      <c r="E60" s="7" t="str">
        <f>IF('SAÍDAS-BASE'!D58="","",'SAÍDAS-BASE'!D58)</f>
        <v/>
      </c>
      <c r="F60" s="6" t="str">
        <f>IF('SAÍDAS-BASE'!E58="","",'SAÍDAS-BASE'!E58)</f>
        <v/>
      </c>
      <c r="G60" t="str">
        <f>IF('SAÍDAS-BASE'!F58="","",'SAÍDAS-BASE'!F58)</f>
        <v/>
      </c>
      <c r="H60" t="str">
        <f>IF('SAÍDAS-BASE'!G58="","",'SAÍDAS-BASE'!G58)</f>
        <v/>
      </c>
      <c r="I60" t="str">
        <f>IF('SAÍDAS-BASE'!H58="","",'SAÍDAS-BASE'!H58)</f>
        <v/>
      </c>
      <c r="J60" t="str">
        <f>IF('SAÍDAS-BASE'!I58="","",'SAÍDAS-BASE'!I58)</f>
        <v/>
      </c>
      <c r="K60" s="5" t="str">
        <f>IF('SAÍDAS-BASE'!J58="","",'SAÍDAS-BASE'!J58)</f>
        <v/>
      </c>
      <c r="L60" t="str">
        <f>IF(TABELA_SAIDAS[[#This Row],[UF]]="","",IFERROR(IF(VLOOKUP(TABELA_SAIDAS[[#This Row],[VALOR]],TABELA_ENTRADAS[VALOR],1,FALSE),"DEVOLUÇÃO"),"SEM ENTRADAS"))</f>
        <v/>
      </c>
    </row>
    <row r="61" spans="2:12" x14ac:dyDescent="0.3">
      <c r="B61" t="str">
        <f>IF('SAÍDAS-BASE'!A59="","",'SAÍDAS-BASE'!A59)</f>
        <v/>
      </c>
      <c r="C61" t="str">
        <f>IF('SAÍDAS-BASE'!B59="","",'SAÍDAS-BASE'!B59)</f>
        <v/>
      </c>
      <c r="D61" t="str">
        <f>IF('SAÍDAS-BASE'!C59="","",'SAÍDAS-BASE'!C59)</f>
        <v/>
      </c>
      <c r="E61" s="7" t="str">
        <f>IF('SAÍDAS-BASE'!D59="","",'SAÍDAS-BASE'!D59)</f>
        <v/>
      </c>
      <c r="F61" s="6" t="str">
        <f>IF('SAÍDAS-BASE'!E59="","",'SAÍDAS-BASE'!E59)</f>
        <v/>
      </c>
      <c r="G61" t="str">
        <f>IF('SAÍDAS-BASE'!F59="","",'SAÍDAS-BASE'!F59)</f>
        <v/>
      </c>
      <c r="H61" t="str">
        <f>IF('SAÍDAS-BASE'!G59="","",'SAÍDAS-BASE'!G59)</f>
        <v/>
      </c>
      <c r="I61" t="str">
        <f>IF('SAÍDAS-BASE'!H59="","",'SAÍDAS-BASE'!H59)</f>
        <v/>
      </c>
      <c r="J61" t="str">
        <f>IF('SAÍDAS-BASE'!I59="","",'SAÍDAS-BASE'!I59)</f>
        <v/>
      </c>
      <c r="K61" s="5" t="str">
        <f>IF('SAÍDAS-BASE'!J59="","",'SAÍDAS-BASE'!J59)</f>
        <v/>
      </c>
      <c r="L61" t="str">
        <f>IF(TABELA_SAIDAS[[#This Row],[UF]]="","",IFERROR(IF(VLOOKUP(TABELA_SAIDAS[[#This Row],[VALOR]],TABELA_ENTRADAS[VALOR],1,FALSE),"DEVOLUÇÃO"),"SEM ENTRADAS"))</f>
        <v/>
      </c>
    </row>
    <row r="62" spans="2:12" x14ac:dyDescent="0.3">
      <c r="B62" t="str">
        <f>IF('SAÍDAS-BASE'!A60="","",'SAÍDAS-BASE'!A60)</f>
        <v/>
      </c>
      <c r="C62" t="str">
        <f>IF('SAÍDAS-BASE'!B60="","",'SAÍDAS-BASE'!B60)</f>
        <v/>
      </c>
      <c r="D62" t="str">
        <f>IF('SAÍDAS-BASE'!C60="","",'SAÍDAS-BASE'!C60)</f>
        <v/>
      </c>
      <c r="E62" s="7" t="str">
        <f>IF('SAÍDAS-BASE'!D60="","",'SAÍDAS-BASE'!D60)</f>
        <v/>
      </c>
      <c r="F62" s="6" t="str">
        <f>IF('SAÍDAS-BASE'!E60="","",'SAÍDAS-BASE'!E60)</f>
        <v/>
      </c>
      <c r="G62" t="str">
        <f>IF('SAÍDAS-BASE'!F60="","",'SAÍDAS-BASE'!F60)</f>
        <v/>
      </c>
      <c r="H62" t="str">
        <f>IF('SAÍDAS-BASE'!G60="","",'SAÍDAS-BASE'!G60)</f>
        <v/>
      </c>
      <c r="I62" t="str">
        <f>IF('SAÍDAS-BASE'!H60="","",'SAÍDAS-BASE'!H60)</f>
        <v/>
      </c>
      <c r="J62" t="str">
        <f>IF('SAÍDAS-BASE'!I60="","",'SAÍDAS-BASE'!I60)</f>
        <v/>
      </c>
      <c r="K62" s="5" t="str">
        <f>IF('SAÍDAS-BASE'!J60="","",'SAÍDAS-BASE'!J60)</f>
        <v/>
      </c>
      <c r="L62" t="str">
        <f>IF(TABELA_SAIDAS[[#This Row],[UF]]="","",IFERROR(IF(VLOOKUP(TABELA_SAIDAS[[#This Row],[VALOR]],TABELA_ENTRADAS[VALOR],1,FALSE),"DEVOLUÇÃO"),"SEM ENTRADAS"))</f>
        <v/>
      </c>
    </row>
    <row r="63" spans="2:12" x14ac:dyDescent="0.3">
      <c r="B63" t="str">
        <f>IF('SAÍDAS-BASE'!A61="","",'SAÍDAS-BASE'!A61)</f>
        <v/>
      </c>
      <c r="C63" t="str">
        <f>IF('SAÍDAS-BASE'!B61="","",'SAÍDAS-BASE'!B61)</f>
        <v/>
      </c>
      <c r="D63" t="str">
        <f>IF('SAÍDAS-BASE'!C61="","",'SAÍDAS-BASE'!C61)</f>
        <v/>
      </c>
      <c r="E63" s="7" t="str">
        <f>IF('SAÍDAS-BASE'!D61="","",'SAÍDAS-BASE'!D61)</f>
        <v/>
      </c>
      <c r="F63" s="6" t="str">
        <f>IF('SAÍDAS-BASE'!E61="","",'SAÍDAS-BASE'!E61)</f>
        <v/>
      </c>
      <c r="G63" t="str">
        <f>IF('SAÍDAS-BASE'!F61="","",'SAÍDAS-BASE'!F61)</f>
        <v/>
      </c>
      <c r="H63" t="str">
        <f>IF('SAÍDAS-BASE'!G61="","",'SAÍDAS-BASE'!G61)</f>
        <v/>
      </c>
      <c r="I63" t="str">
        <f>IF('SAÍDAS-BASE'!H61="","",'SAÍDAS-BASE'!H61)</f>
        <v/>
      </c>
      <c r="J63" t="str">
        <f>IF('SAÍDAS-BASE'!I61="","",'SAÍDAS-BASE'!I61)</f>
        <v/>
      </c>
      <c r="K63" s="5" t="str">
        <f>IF('SAÍDAS-BASE'!J61="","",'SAÍDAS-BASE'!J61)</f>
        <v/>
      </c>
      <c r="L63" t="str">
        <f>IF(TABELA_SAIDAS[[#This Row],[UF]]="","",IFERROR(IF(VLOOKUP(TABELA_SAIDAS[[#This Row],[VALOR]],TABELA_ENTRADAS[VALOR],1,FALSE),"DEVOLUÇÃO"),"SEM ENTRADAS"))</f>
        <v/>
      </c>
    </row>
    <row r="64" spans="2:12" x14ac:dyDescent="0.3">
      <c r="B64" t="str">
        <f>IF('SAÍDAS-BASE'!A62="","",'SAÍDAS-BASE'!A62)</f>
        <v/>
      </c>
      <c r="C64" t="str">
        <f>IF('SAÍDAS-BASE'!B62="","",'SAÍDAS-BASE'!B62)</f>
        <v/>
      </c>
      <c r="D64" t="str">
        <f>IF('SAÍDAS-BASE'!C62="","",'SAÍDAS-BASE'!C62)</f>
        <v/>
      </c>
      <c r="E64" s="7" t="str">
        <f>IF('SAÍDAS-BASE'!D62="","",'SAÍDAS-BASE'!D62)</f>
        <v/>
      </c>
      <c r="F64" s="6" t="str">
        <f>IF('SAÍDAS-BASE'!E62="","",'SAÍDAS-BASE'!E62)</f>
        <v/>
      </c>
      <c r="G64" t="str">
        <f>IF('SAÍDAS-BASE'!F62="","",'SAÍDAS-BASE'!F62)</f>
        <v/>
      </c>
      <c r="H64" t="str">
        <f>IF('SAÍDAS-BASE'!G62="","",'SAÍDAS-BASE'!G62)</f>
        <v/>
      </c>
      <c r="I64" t="str">
        <f>IF('SAÍDAS-BASE'!H62="","",'SAÍDAS-BASE'!H62)</f>
        <v/>
      </c>
      <c r="J64" t="str">
        <f>IF('SAÍDAS-BASE'!I62="","",'SAÍDAS-BASE'!I62)</f>
        <v/>
      </c>
      <c r="K64" s="5" t="str">
        <f>IF('SAÍDAS-BASE'!J62="","",'SAÍDAS-BASE'!J62)</f>
        <v/>
      </c>
      <c r="L64" t="str">
        <f>IF(TABELA_SAIDAS[[#This Row],[UF]]="","",IFERROR(IF(VLOOKUP(TABELA_SAIDAS[[#This Row],[VALOR]],TABELA_ENTRADAS[VALOR],1,FALSE),"DEVOLUÇÃO"),"SEM ENTRADAS"))</f>
        <v/>
      </c>
    </row>
    <row r="65" spans="2:12" x14ac:dyDescent="0.3">
      <c r="B65" t="str">
        <f>IF('SAÍDAS-BASE'!A63="","",'SAÍDAS-BASE'!A63)</f>
        <v/>
      </c>
      <c r="C65" t="str">
        <f>IF('SAÍDAS-BASE'!B63="","",'SAÍDAS-BASE'!B63)</f>
        <v/>
      </c>
      <c r="D65" t="str">
        <f>IF('SAÍDAS-BASE'!C63="","",'SAÍDAS-BASE'!C63)</f>
        <v/>
      </c>
      <c r="E65" s="7" t="str">
        <f>IF('SAÍDAS-BASE'!D63="","",'SAÍDAS-BASE'!D63)</f>
        <v/>
      </c>
      <c r="F65" s="6" t="str">
        <f>IF('SAÍDAS-BASE'!E63="","",'SAÍDAS-BASE'!E63)</f>
        <v/>
      </c>
      <c r="G65" t="str">
        <f>IF('SAÍDAS-BASE'!F63="","",'SAÍDAS-BASE'!F63)</f>
        <v/>
      </c>
      <c r="H65" t="str">
        <f>IF('SAÍDAS-BASE'!G63="","",'SAÍDAS-BASE'!G63)</f>
        <v/>
      </c>
      <c r="I65" t="str">
        <f>IF('SAÍDAS-BASE'!H63="","",'SAÍDAS-BASE'!H63)</f>
        <v/>
      </c>
      <c r="J65" t="str">
        <f>IF('SAÍDAS-BASE'!I63="","",'SAÍDAS-BASE'!I63)</f>
        <v/>
      </c>
      <c r="K65" s="5" t="str">
        <f>IF('SAÍDAS-BASE'!J63="","",'SAÍDAS-BASE'!J63)</f>
        <v/>
      </c>
      <c r="L65" t="str">
        <f>IF(TABELA_SAIDAS[[#This Row],[UF]]="","",IFERROR(IF(VLOOKUP(TABELA_SAIDAS[[#This Row],[VALOR]],TABELA_ENTRADAS[VALOR],1,FALSE),"DEVOLUÇÃO"),"SEM ENTRADAS"))</f>
        <v/>
      </c>
    </row>
    <row r="66" spans="2:12" x14ac:dyDescent="0.3">
      <c r="B66" t="str">
        <f>IF('SAÍDAS-BASE'!A64="","",'SAÍDAS-BASE'!A64)</f>
        <v/>
      </c>
      <c r="C66" t="str">
        <f>IF('SAÍDAS-BASE'!B64="","",'SAÍDAS-BASE'!B64)</f>
        <v/>
      </c>
      <c r="D66" t="str">
        <f>IF('SAÍDAS-BASE'!C64="","",'SAÍDAS-BASE'!C64)</f>
        <v/>
      </c>
      <c r="E66" s="7" t="str">
        <f>IF('SAÍDAS-BASE'!D64="","",'SAÍDAS-BASE'!D64)</f>
        <v/>
      </c>
      <c r="F66" s="6" t="str">
        <f>IF('SAÍDAS-BASE'!E64="","",'SAÍDAS-BASE'!E64)</f>
        <v/>
      </c>
      <c r="G66" t="str">
        <f>IF('SAÍDAS-BASE'!F64="","",'SAÍDAS-BASE'!F64)</f>
        <v/>
      </c>
      <c r="H66" t="str">
        <f>IF('SAÍDAS-BASE'!G64="","",'SAÍDAS-BASE'!G64)</f>
        <v/>
      </c>
      <c r="I66" t="str">
        <f>IF('SAÍDAS-BASE'!H64="","",'SAÍDAS-BASE'!H64)</f>
        <v/>
      </c>
      <c r="J66" t="str">
        <f>IF('SAÍDAS-BASE'!I64="","",'SAÍDAS-BASE'!I64)</f>
        <v/>
      </c>
      <c r="K66" s="5" t="str">
        <f>IF('SAÍDAS-BASE'!J64="","",'SAÍDAS-BASE'!J64)</f>
        <v/>
      </c>
      <c r="L66" t="str">
        <f>IF(TABELA_SAIDAS[[#This Row],[UF]]="","",IFERROR(IF(VLOOKUP(TABELA_SAIDAS[[#This Row],[VALOR]],TABELA_ENTRADAS[VALOR],1,FALSE),"DEVOLUÇÃO"),"SEM ENTRADAS"))</f>
        <v/>
      </c>
    </row>
    <row r="67" spans="2:12" x14ac:dyDescent="0.3">
      <c r="B67" t="str">
        <f>IF('SAÍDAS-BASE'!A65="","",'SAÍDAS-BASE'!A65)</f>
        <v/>
      </c>
      <c r="C67" t="str">
        <f>IF('SAÍDAS-BASE'!B65="","",'SAÍDAS-BASE'!B65)</f>
        <v/>
      </c>
      <c r="D67" t="str">
        <f>IF('SAÍDAS-BASE'!C65="","",'SAÍDAS-BASE'!C65)</f>
        <v/>
      </c>
      <c r="E67" s="7" t="str">
        <f>IF('SAÍDAS-BASE'!D65="","",'SAÍDAS-BASE'!D65)</f>
        <v/>
      </c>
      <c r="F67" s="6" t="str">
        <f>IF('SAÍDAS-BASE'!E65="","",'SAÍDAS-BASE'!E65)</f>
        <v/>
      </c>
      <c r="G67" t="str">
        <f>IF('SAÍDAS-BASE'!F65="","",'SAÍDAS-BASE'!F65)</f>
        <v/>
      </c>
      <c r="H67" t="str">
        <f>IF('SAÍDAS-BASE'!G65="","",'SAÍDAS-BASE'!G65)</f>
        <v/>
      </c>
      <c r="I67" t="str">
        <f>IF('SAÍDAS-BASE'!H65="","",'SAÍDAS-BASE'!H65)</f>
        <v/>
      </c>
      <c r="J67" t="str">
        <f>IF('SAÍDAS-BASE'!I65="","",'SAÍDAS-BASE'!I65)</f>
        <v/>
      </c>
      <c r="K67" s="5" t="str">
        <f>IF('SAÍDAS-BASE'!J65="","",'SAÍDAS-BASE'!J65)</f>
        <v/>
      </c>
      <c r="L67" t="str">
        <f>IF(TABELA_SAIDAS[[#This Row],[UF]]="","",IFERROR(IF(VLOOKUP(TABELA_SAIDAS[[#This Row],[VALOR]],TABELA_ENTRADAS[VALOR],1,FALSE),"DEVOLUÇÃO"),"SEM ENTRADAS"))</f>
        <v/>
      </c>
    </row>
    <row r="68" spans="2:12" x14ac:dyDescent="0.3">
      <c r="B68" t="str">
        <f>IF('SAÍDAS-BASE'!A66="","",'SAÍDAS-BASE'!A66)</f>
        <v/>
      </c>
      <c r="C68" t="str">
        <f>IF('SAÍDAS-BASE'!B66="","",'SAÍDAS-BASE'!B66)</f>
        <v/>
      </c>
      <c r="D68" t="str">
        <f>IF('SAÍDAS-BASE'!C66="","",'SAÍDAS-BASE'!C66)</f>
        <v/>
      </c>
      <c r="E68" s="7" t="str">
        <f>IF('SAÍDAS-BASE'!D66="","",'SAÍDAS-BASE'!D66)</f>
        <v/>
      </c>
      <c r="F68" s="6" t="str">
        <f>IF('SAÍDAS-BASE'!E66="","",'SAÍDAS-BASE'!E66)</f>
        <v/>
      </c>
      <c r="G68" t="str">
        <f>IF('SAÍDAS-BASE'!F66="","",'SAÍDAS-BASE'!F66)</f>
        <v/>
      </c>
      <c r="H68" t="str">
        <f>IF('SAÍDAS-BASE'!G66="","",'SAÍDAS-BASE'!G66)</f>
        <v/>
      </c>
      <c r="I68" t="str">
        <f>IF('SAÍDAS-BASE'!H66="","",'SAÍDAS-BASE'!H66)</f>
        <v/>
      </c>
      <c r="J68" t="str">
        <f>IF('SAÍDAS-BASE'!I66="","",'SAÍDAS-BASE'!I66)</f>
        <v/>
      </c>
      <c r="K68" s="5" t="str">
        <f>IF('SAÍDAS-BASE'!J66="","",'SAÍDAS-BASE'!J66)</f>
        <v/>
      </c>
      <c r="L68" t="str">
        <f>IF(TABELA_SAIDAS[[#This Row],[UF]]="","",IFERROR(IF(VLOOKUP(TABELA_SAIDAS[[#This Row],[VALOR]],TABELA_ENTRADAS[VALOR],1,FALSE),"DEVOLUÇÃO"),"SEM ENTRADAS"))</f>
        <v/>
      </c>
    </row>
    <row r="69" spans="2:12" x14ac:dyDescent="0.3">
      <c r="B69" t="str">
        <f>IF('SAÍDAS-BASE'!A67="","",'SAÍDAS-BASE'!A67)</f>
        <v/>
      </c>
      <c r="C69" t="str">
        <f>IF('SAÍDAS-BASE'!B67="","",'SAÍDAS-BASE'!B67)</f>
        <v/>
      </c>
      <c r="D69" t="str">
        <f>IF('SAÍDAS-BASE'!C67="","",'SAÍDAS-BASE'!C67)</f>
        <v/>
      </c>
      <c r="E69" s="7" t="str">
        <f>IF('SAÍDAS-BASE'!D67="","",'SAÍDAS-BASE'!D67)</f>
        <v/>
      </c>
      <c r="F69" s="6" t="str">
        <f>IF('SAÍDAS-BASE'!E67="","",'SAÍDAS-BASE'!E67)</f>
        <v/>
      </c>
      <c r="G69" t="str">
        <f>IF('SAÍDAS-BASE'!F67="","",'SAÍDAS-BASE'!F67)</f>
        <v/>
      </c>
      <c r="H69" t="str">
        <f>IF('SAÍDAS-BASE'!G67="","",'SAÍDAS-BASE'!G67)</f>
        <v/>
      </c>
      <c r="I69" t="str">
        <f>IF('SAÍDAS-BASE'!H67="","",'SAÍDAS-BASE'!H67)</f>
        <v/>
      </c>
      <c r="J69" t="str">
        <f>IF('SAÍDAS-BASE'!I67="","",'SAÍDAS-BASE'!I67)</f>
        <v/>
      </c>
      <c r="K69" s="5" t="str">
        <f>IF('SAÍDAS-BASE'!J67="","",'SAÍDAS-BASE'!J67)</f>
        <v/>
      </c>
      <c r="L69" t="str">
        <f>IF(TABELA_SAIDAS[[#This Row],[UF]]="","",IFERROR(IF(VLOOKUP(TABELA_SAIDAS[[#This Row],[VALOR]],TABELA_ENTRADAS[VALOR],1,FALSE),"DEVOLUÇÃO"),"SEM ENTRADAS"))</f>
        <v/>
      </c>
    </row>
    <row r="70" spans="2:12" x14ac:dyDescent="0.3">
      <c r="B70" t="str">
        <f>IF('SAÍDAS-BASE'!A68="","",'SAÍDAS-BASE'!A68)</f>
        <v/>
      </c>
      <c r="C70" t="str">
        <f>IF('SAÍDAS-BASE'!B68="","",'SAÍDAS-BASE'!B68)</f>
        <v/>
      </c>
      <c r="D70" t="str">
        <f>IF('SAÍDAS-BASE'!C68="","",'SAÍDAS-BASE'!C68)</f>
        <v/>
      </c>
      <c r="E70" s="7" t="str">
        <f>IF('SAÍDAS-BASE'!D68="","",'SAÍDAS-BASE'!D68)</f>
        <v/>
      </c>
      <c r="F70" s="6" t="str">
        <f>IF('SAÍDAS-BASE'!E68="","",'SAÍDAS-BASE'!E68)</f>
        <v/>
      </c>
      <c r="G70" t="str">
        <f>IF('SAÍDAS-BASE'!F68="","",'SAÍDAS-BASE'!F68)</f>
        <v/>
      </c>
      <c r="H70" t="str">
        <f>IF('SAÍDAS-BASE'!G68="","",'SAÍDAS-BASE'!G68)</f>
        <v/>
      </c>
      <c r="I70" t="str">
        <f>IF('SAÍDAS-BASE'!H68="","",'SAÍDAS-BASE'!H68)</f>
        <v/>
      </c>
      <c r="J70" t="str">
        <f>IF('SAÍDAS-BASE'!I68="","",'SAÍDAS-BASE'!I68)</f>
        <v/>
      </c>
      <c r="K70" s="5" t="str">
        <f>IF('SAÍDAS-BASE'!J68="","",'SAÍDAS-BASE'!J68)</f>
        <v/>
      </c>
      <c r="L70" t="str">
        <f>IF(TABELA_SAIDAS[[#This Row],[UF]]="","",IFERROR(IF(VLOOKUP(TABELA_SAIDAS[[#This Row],[VALOR]],TABELA_ENTRADAS[VALOR],1,FALSE),"DEVOLUÇÃO"),"SEM ENTRADAS"))</f>
        <v/>
      </c>
    </row>
    <row r="71" spans="2:12" x14ac:dyDescent="0.3">
      <c r="B71" t="str">
        <f>IF('SAÍDAS-BASE'!A69="","",'SAÍDAS-BASE'!A69)</f>
        <v/>
      </c>
      <c r="C71" t="str">
        <f>IF('SAÍDAS-BASE'!B69="","",'SAÍDAS-BASE'!B69)</f>
        <v/>
      </c>
      <c r="D71" t="str">
        <f>IF('SAÍDAS-BASE'!C69="","",'SAÍDAS-BASE'!C69)</f>
        <v/>
      </c>
      <c r="E71" s="7" t="str">
        <f>IF('SAÍDAS-BASE'!D69="","",'SAÍDAS-BASE'!D69)</f>
        <v/>
      </c>
      <c r="F71" s="6" t="str">
        <f>IF('SAÍDAS-BASE'!E69="","",'SAÍDAS-BASE'!E69)</f>
        <v/>
      </c>
      <c r="G71" t="str">
        <f>IF('SAÍDAS-BASE'!F69="","",'SAÍDAS-BASE'!F69)</f>
        <v/>
      </c>
      <c r="H71" t="str">
        <f>IF('SAÍDAS-BASE'!G69="","",'SAÍDAS-BASE'!G69)</f>
        <v/>
      </c>
      <c r="I71" t="str">
        <f>IF('SAÍDAS-BASE'!H69="","",'SAÍDAS-BASE'!H69)</f>
        <v/>
      </c>
      <c r="J71" t="str">
        <f>IF('SAÍDAS-BASE'!I69="","",'SAÍDAS-BASE'!I69)</f>
        <v/>
      </c>
      <c r="K71" s="5" t="str">
        <f>IF('SAÍDAS-BASE'!J69="","",'SAÍDAS-BASE'!J69)</f>
        <v/>
      </c>
      <c r="L71" t="str">
        <f>IF(TABELA_SAIDAS[[#This Row],[UF]]="","",IFERROR(IF(VLOOKUP(TABELA_SAIDAS[[#This Row],[VALOR]],TABELA_ENTRADAS[VALOR],1,FALSE),"DEVOLUÇÃO"),"SEM ENTRADAS"))</f>
        <v/>
      </c>
    </row>
    <row r="72" spans="2:12" x14ac:dyDescent="0.3">
      <c r="B72" t="str">
        <f>IF('SAÍDAS-BASE'!A70="","",'SAÍDAS-BASE'!A70)</f>
        <v/>
      </c>
      <c r="C72" t="str">
        <f>IF('SAÍDAS-BASE'!B70="","",'SAÍDAS-BASE'!B70)</f>
        <v/>
      </c>
      <c r="D72" t="str">
        <f>IF('SAÍDAS-BASE'!C70="","",'SAÍDAS-BASE'!C70)</f>
        <v/>
      </c>
      <c r="E72" s="7" t="str">
        <f>IF('SAÍDAS-BASE'!D70="","",'SAÍDAS-BASE'!D70)</f>
        <v/>
      </c>
      <c r="F72" s="6" t="str">
        <f>IF('SAÍDAS-BASE'!E70="","",'SAÍDAS-BASE'!E70)</f>
        <v/>
      </c>
      <c r="G72" t="str">
        <f>IF('SAÍDAS-BASE'!F70="","",'SAÍDAS-BASE'!F70)</f>
        <v/>
      </c>
      <c r="H72" t="str">
        <f>IF('SAÍDAS-BASE'!G70="","",'SAÍDAS-BASE'!G70)</f>
        <v/>
      </c>
      <c r="I72" t="str">
        <f>IF('SAÍDAS-BASE'!H70="","",'SAÍDAS-BASE'!H70)</f>
        <v/>
      </c>
      <c r="J72" t="str">
        <f>IF('SAÍDAS-BASE'!I70="","",'SAÍDAS-BASE'!I70)</f>
        <v/>
      </c>
      <c r="K72" s="5" t="str">
        <f>IF('SAÍDAS-BASE'!J70="","",'SAÍDAS-BASE'!J70)</f>
        <v/>
      </c>
      <c r="L72" t="str">
        <f>IF(TABELA_SAIDAS[[#This Row],[UF]]="","",IFERROR(IF(VLOOKUP(TABELA_SAIDAS[[#This Row],[VALOR]],TABELA_ENTRADAS[VALOR],1,FALSE),"DEVOLUÇÃO"),"SEM ENTRADAS"))</f>
        <v/>
      </c>
    </row>
    <row r="73" spans="2:12" x14ac:dyDescent="0.3">
      <c r="B73" t="str">
        <f>IF('SAÍDAS-BASE'!A71="","",'SAÍDAS-BASE'!A71)</f>
        <v/>
      </c>
      <c r="C73" t="str">
        <f>IF('SAÍDAS-BASE'!B71="","",'SAÍDAS-BASE'!B71)</f>
        <v/>
      </c>
      <c r="D73" t="str">
        <f>IF('SAÍDAS-BASE'!C71="","",'SAÍDAS-BASE'!C71)</f>
        <v/>
      </c>
      <c r="E73" s="7" t="str">
        <f>IF('SAÍDAS-BASE'!D71="","",'SAÍDAS-BASE'!D71)</f>
        <v/>
      </c>
      <c r="F73" s="6" t="str">
        <f>IF('SAÍDAS-BASE'!E71="","",'SAÍDAS-BASE'!E71)</f>
        <v/>
      </c>
      <c r="G73" t="str">
        <f>IF('SAÍDAS-BASE'!F71="","",'SAÍDAS-BASE'!F71)</f>
        <v/>
      </c>
      <c r="H73" t="str">
        <f>IF('SAÍDAS-BASE'!G71="","",'SAÍDAS-BASE'!G71)</f>
        <v/>
      </c>
      <c r="I73" t="str">
        <f>IF('SAÍDAS-BASE'!H71="","",'SAÍDAS-BASE'!H71)</f>
        <v/>
      </c>
      <c r="J73" t="str">
        <f>IF('SAÍDAS-BASE'!I71="","",'SAÍDAS-BASE'!I71)</f>
        <v/>
      </c>
      <c r="K73" s="5" t="str">
        <f>IF('SAÍDAS-BASE'!J71="","",'SAÍDAS-BASE'!J71)</f>
        <v/>
      </c>
      <c r="L73" t="str">
        <f>IF(TABELA_SAIDAS[[#This Row],[UF]]="","",IFERROR(IF(VLOOKUP(TABELA_SAIDAS[[#This Row],[VALOR]],TABELA_ENTRADAS[VALOR],1,FALSE),"DEVOLUÇÃO"),"SEM ENTRADAS"))</f>
        <v/>
      </c>
    </row>
    <row r="74" spans="2:12" x14ac:dyDescent="0.3">
      <c r="B74" t="str">
        <f>IF('SAÍDAS-BASE'!A72="","",'SAÍDAS-BASE'!A72)</f>
        <v/>
      </c>
      <c r="C74" t="str">
        <f>IF('SAÍDAS-BASE'!B72="","",'SAÍDAS-BASE'!B72)</f>
        <v/>
      </c>
      <c r="D74" t="str">
        <f>IF('SAÍDAS-BASE'!C72="","",'SAÍDAS-BASE'!C72)</f>
        <v/>
      </c>
      <c r="E74" s="7" t="str">
        <f>IF('SAÍDAS-BASE'!D72="","",'SAÍDAS-BASE'!D72)</f>
        <v/>
      </c>
      <c r="F74" s="6" t="str">
        <f>IF('SAÍDAS-BASE'!E72="","",'SAÍDAS-BASE'!E72)</f>
        <v/>
      </c>
      <c r="G74" t="str">
        <f>IF('SAÍDAS-BASE'!F72="","",'SAÍDAS-BASE'!F72)</f>
        <v/>
      </c>
      <c r="H74" t="str">
        <f>IF('SAÍDAS-BASE'!G72="","",'SAÍDAS-BASE'!G72)</f>
        <v/>
      </c>
      <c r="I74" t="str">
        <f>IF('SAÍDAS-BASE'!H72="","",'SAÍDAS-BASE'!H72)</f>
        <v/>
      </c>
      <c r="J74" t="str">
        <f>IF('SAÍDAS-BASE'!I72="","",'SAÍDAS-BASE'!I72)</f>
        <v/>
      </c>
      <c r="K74" s="5" t="str">
        <f>IF('SAÍDAS-BASE'!J72="","",'SAÍDAS-BASE'!J72)</f>
        <v/>
      </c>
      <c r="L74" t="str">
        <f>IF(TABELA_SAIDAS[[#This Row],[UF]]="","",IFERROR(IF(VLOOKUP(TABELA_SAIDAS[[#This Row],[VALOR]],TABELA_ENTRADAS[VALOR],1,FALSE),"DEVOLUÇÃO"),"SEM ENTRADAS"))</f>
        <v/>
      </c>
    </row>
    <row r="75" spans="2:12" x14ac:dyDescent="0.3">
      <c r="B75" t="str">
        <f>IF('SAÍDAS-BASE'!A73="","",'SAÍDAS-BASE'!A73)</f>
        <v/>
      </c>
      <c r="C75" t="str">
        <f>IF('SAÍDAS-BASE'!B73="","",'SAÍDAS-BASE'!B73)</f>
        <v/>
      </c>
      <c r="D75" t="str">
        <f>IF('SAÍDAS-BASE'!C73="","",'SAÍDAS-BASE'!C73)</f>
        <v/>
      </c>
      <c r="E75" s="7" t="str">
        <f>IF('SAÍDAS-BASE'!D73="","",'SAÍDAS-BASE'!D73)</f>
        <v/>
      </c>
      <c r="F75" s="6" t="str">
        <f>IF('SAÍDAS-BASE'!E73="","",'SAÍDAS-BASE'!E73)</f>
        <v/>
      </c>
      <c r="G75" t="str">
        <f>IF('SAÍDAS-BASE'!F73="","",'SAÍDAS-BASE'!F73)</f>
        <v/>
      </c>
      <c r="H75" t="str">
        <f>IF('SAÍDAS-BASE'!G73="","",'SAÍDAS-BASE'!G73)</f>
        <v/>
      </c>
      <c r="I75" t="str">
        <f>IF('SAÍDAS-BASE'!H73="","",'SAÍDAS-BASE'!H73)</f>
        <v/>
      </c>
      <c r="J75" t="str">
        <f>IF('SAÍDAS-BASE'!I73="","",'SAÍDAS-BASE'!I73)</f>
        <v/>
      </c>
      <c r="K75" s="5" t="str">
        <f>IF('SAÍDAS-BASE'!J73="","",'SAÍDAS-BASE'!J73)</f>
        <v/>
      </c>
      <c r="L75" t="str">
        <f>IF(TABELA_SAIDAS[[#This Row],[UF]]="","",IFERROR(IF(VLOOKUP(TABELA_SAIDAS[[#This Row],[VALOR]],TABELA_ENTRADAS[VALOR],1,FALSE),"DEVOLUÇÃO"),"SEM ENTRADAS"))</f>
        <v/>
      </c>
    </row>
    <row r="76" spans="2:12" x14ac:dyDescent="0.3">
      <c r="B76" t="str">
        <f>IF('SAÍDAS-BASE'!A74="","",'SAÍDAS-BASE'!A74)</f>
        <v/>
      </c>
      <c r="C76" t="str">
        <f>IF('SAÍDAS-BASE'!B74="","",'SAÍDAS-BASE'!B74)</f>
        <v/>
      </c>
      <c r="D76" t="str">
        <f>IF('SAÍDAS-BASE'!C74="","",'SAÍDAS-BASE'!C74)</f>
        <v/>
      </c>
      <c r="E76" s="7" t="str">
        <f>IF('SAÍDAS-BASE'!D74="","",'SAÍDAS-BASE'!D74)</f>
        <v/>
      </c>
      <c r="F76" s="6" t="str">
        <f>IF('SAÍDAS-BASE'!E74="","",'SAÍDAS-BASE'!E74)</f>
        <v/>
      </c>
      <c r="G76" t="str">
        <f>IF('SAÍDAS-BASE'!F74="","",'SAÍDAS-BASE'!F74)</f>
        <v/>
      </c>
      <c r="H76" t="str">
        <f>IF('SAÍDAS-BASE'!G74="","",'SAÍDAS-BASE'!G74)</f>
        <v/>
      </c>
      <c r="I76" t="str">
        <f>IF('SAÍDAS-BASE'!H74="","",'SAÍDAS-BASE'!H74)</f>
        <v/>
      </c>
      <c r="J76" t="str">
        <f>IF('SAÍDAS-BASE'!I74="","",'SAÍDAS-BASE'!I74)</f>
        <v/>
      </c>
      <c r="K76" s="5" t="str">
        <f>IF('SAÍDAS-BASE'!J74="","",'SAÍDAS-BASE'!J74)</f>
        <v/>
      </c>
      <c r="L76" t="str">
        <f>IF(TABELA_SAIDAS[[#This Row],[UF]]="","",IFERROR(IF(VLOOKUP(TABELA_SAIDAS[[#This Row],[VALOR]],TABELA_ENTRADAS[VALOR],1,FALSE),"DEVOLUÇÃO"),"SEM ENTRADAS"))</f>
        <v/>
      </c>
    </row>
    <row r="77" spans="2:12" x14ac:dyDescent="0.3">
      <c r="B77" t="str">
        <f>IF('SAÍDAS-BASE'!A75="","",'SAÍDAS-BASE'!A75)</f>
        <v/>
      </c>
      <c r="C77" t="str">
        <f>IF('SAÍDAS-BASE'!B75="","",'SAÍDAS-BASE'!B75)</f>
        <v/>
      </c>
      <c r="D77" t="str">
        <f>IF('SAÍDAS-BASE'!C75="","",'SAÍDAS-BASE'!C75)</f>
        <v/>
      </c>
      <c r="E77" s="7" t="str">
        <f>IF('SAÍDAS-BASE'!D75="","",'SAÍDAS-BASE'!D75)</f>
        <v/>
      </c>
      <c r="F77" s="6" t="str">
        <f>IF('SAÍDAS-BASE'!E75="","",'SAÍDAS-BASE'!E75)</f>
        <v/>
      </c>
      <c r="G77" t="str">
        <f>IF('SAÍDAS-BASE'!F75="","",'SAÍDAS-BASE'!F75)</f>
        <v/>
      </c>
      <c r="H77" t="str">
        <f>IF('SAÍDAS-BASE'!G75="","",'SAÍDAS-BASE'!G75)</f>
        <v/>
      </c>
      <c r="I77" t="str">
        <f>IF('SAÍDAS-BASE'!H75="","",'SAÍDAS-BASE'!H75)</f>
        <v/>
      </c>
      <c r="J77" t="str">
        <f>IF('SAÍDAS-BASE'!I75="","",'SAÍDAS-BASE'!I75)</f>
        <v/>
      </c>
      <c r="K77" s="5" t="str">
        <f>IF('SAÍDAS-BASE'!J75="","",'SAÍDAS-BASE'!J75)</f>
        <v/>
      </c>
      <c r="L77" t="str">
        <f>IF(TABELA_SAIDAS[[#This Row],[UF]]="","",IFERROR(IF(VLOOKUP(TABELA_SAIDAS[[#This Row],[VALOR]],TABELA_ENTRADAS[VALOR],1,FALSE),"DEVOLUÇÃO"),"SEM ENTRADAS"))</f>
        <v/>
      </c>
    </row>
    <row r="78" spans="2:12" x14ac:dyDescent="0.3">
      <c r="B78" t="str">
        <f>IF('SAÍDAS-BASE'!A76="","",'SAÍDAS-BASE'!A76)</f>
        <v/>
      </c>
      <c r="C78" t="str">
        <f>IF('SAÍDAS-BASE'!B76="","",'SAÍDAS-BASE'!B76)</f>
        <v/>
      </c>
      <c r="D78" t="str">
        <f>IF('SAÍDAS-BASE'!C76="","",'SAÍDAS-BASE'!C76)</f>
        <v/>
      </c>
      <c r="E78" s="7" t="str">
        <f>IF('SAÍDAS-BASE'!D76="","",'SAÍDAS-BASE'!D76)</f>
        <v/>
      </c>
      <c r="F78" s="6" t="str">
        <f>IF('SAÍDAS-BASE'!E76="","",'SAÍDAS-BASE'!E76)</f>
        <v/>
      </c>
      <c r="G78" t="str">
        <f>IF('SAÍDAS-BASE'!F76="","",'SAÍDAS-BASE'!F76)</f>
        <v/>
      </c>
      <c r="H78" t="str">
        <f>IF('SAÍDAS-BASE'!G76="","",'SAÍDAS-BASE'!G76)</f>
        <v/>
      </c>
      <c r="I78" t="str">
        <f>IF('SAÍDAS-BASE'!H76="","",'SAÍDAS-BASE'!H76)</f>
        <v/>
      </c>
      <c r="J78" t="str">
        <f>IF('SAÍDAS-BASE'!I76="","",'SAÍDAS-BASE'!I76)</f>
        <v/>
      </c>
      <c r="K78" s="5" t="str">
        <f>IF('SAÍDAS-BASE'!J76="","",'SAÍDAS-BASE'!J76)</f>
        <v/>
      </c>
      <c r="L78" t="str">
        <f>IF(TABELA_SAIDAS[[#This Row],[UF]]="","",IFERROR(IF(VLOOKUP(TABELA_SAIDAS[[#This Row],[VALOR]],TABELA_ENTRADAS[VALOR],1,FALSE),"DEVOLUÇÃO"),"SEM ENTRADAS"))</f>
        <v/>
      </c>
    </row>
    <row r="79" spans="2:12" x14ac:dyDescent="0.3">
      <c r="B79" t="str">
        <f>IF('SAÍDAS-BASE'!A77="","",'SAÍDAS-BASE'!A77)</f>
        <v/>
      </c>
      <c r="C79" t="str">
        <f>IF('SAÍDAS-BASE'!B77="","",'SAÍDAS-BASE'!B77)</f>
        <v/>
      </c>
      <c r="D79" t="str">
        <f>IF('SAÍDAS-BASE'!C77="","",'SAÍDAS-BASE'!C77)</f>
        <v/>
      </c>
      <c r="E79" s="7" t="str">
        <f>IF('SAÍDAS-BASE'!D77="","",'SAÍDAS-BASE'!D77)</f>
        <v/>
      </c>
      <c r="F79" s="6" t="str">
        <f>IF('SAÍDAS-BASE'!E77="","",'SAÍDAS-BASE'!E77)</f>
        <v/>
      </c>
      <c r="G79" t="str">
        <f>IF('SAÍDAS-BASE'!F77="","",'SAÍDAS-BASE'!F77)</f>
        <v/>
      </c>
      <c r="H79" t="str">
        <f>IF('SAÍDAS-BASE'!G77="","",'SAÍDAS-BASE'!G77)</f>
        <v/>
      </c>
      <c r="I79" t="str">
        <f>IF('SAÍDAS-BASE'!H77="","",'SAÍDAS-BASE'!H77)</f>
        <v/>
      </c>
      <c r="J79" t="str">
        <f>IF('SAÍDAS-BASE'!I77="","",'SAÍDAS-BASE'!I77)</f>
        <v/>
      </c>
      <c r="K79" s="5" t="str">
        <f>IF('SAÍDAS-BASE'!J77="","",'SAÍDAS-BASE'!J77)</f>
        <v/>
      </c>
      <c r="L79" t="str">
        <f>IF(TABELA_SAIDAS[[#This Row],[UF]]="","",IFERROR(IF(VLOOKUP(TABELA_SAIDAS[[#This Row],[VALOR]],TABELA_ENTRADAS[VALOR],1,FALSE),"DEVOLUÇÃO"),"SEM ENTRADAS"))</f>
        <v/>
      </c>
    </row>
    <row r="80" spans="2:12" x14ac:dyDescent="0.3">
      <c r="B80" t="str">
        <f>IF('SAÍDAS-BASE'!A78="","",'SAÍDAS-BASE'!A78)</f>
        <v/>
      </c>
      <c r="C80" t="str">
        <f>IF('SAÍDAS-BASE'!B78="","",'SAÍDAS-BASE'!B78)</f>
        <v/>
      </c>
      <c r="D80" t="str">
        <f>IF('SAÍDAS-BASE'!C78="","",'SAÍDAS-BASE'!C78)</f>
        <v/>
      </c>
      <c r="E80" s="7" t="str">
        <f>IF('SAÍDAS-BASE'!D78="","",'SAÍDAS-BASE'!D78)</f>
        <v/>
      </c>
      <c r="F80" s="6" t="str">
        <f>IF('SAÍDAS-BASE'!E78="","",'SAÍDAS-BASE'!E78)</f>
        <v/>
      </c>
      <c r="G80" t="str">
        <f>IF('SAÍDAS-BASE'!F78="","",'SAÍDAS-BASE'!F78)</f>
        <v/>
      </c>
      <c r="H80" t="str">
        <f>IF('SAÍDAS-BASE'!G78="","",'SAÍDAS-BASE'!G78)</f>
        <v/>
      </c>
      <c r="I80" t="str">
        <f>IF('SAÍDAS-BASE'!H78="","",'SAÍDAS-BASE'!H78)</f>
        <v/>
      </c>
      <c r="J80" t="str">
        <f>IF('SAÍDAS-BASE'!I78="","",'SAÍDAS-BASE'!I78)</f>
        <v/>
      </c>
      <c r="K80" s="5" t="str">
        <f>IF('SAÍDAS-BASE'!J78="","",'SAÍDAS-BASE'!J78)</f>
        <v/>
      </c>
      <c r="L80" t="str">
        <f>IF(TABELA_SAIDAS[[#This Row],[UF]]="","",IFERROR(IF(VLOOKUP(TABELA_SAIDAS[[#This Row],[VALOR]],TABELA_ENTRADAS[VALOR],1,FALSE),"DEVOLUÇÃO"),"SEM ENTRADAS"))</f>
        <v/>
      </c>
    </row>
    <row r="81" spans="2:12" x14ac:dyDescent="0.3">
      <c r="B81" t="str">
        <f>IF('SAÍDAS-BASE'!A79="","",'SAÍDAS-BASE'!A79)</f>
        <v/>
      </c>
      <c r="C81" t="str">
        <f>IF('SAÍDAS-BASE'!B79="","",'SAÍDAS-BASE'!B79)</f>
        <v/>
      </c>
      <c r="D81" t="str">
        <f>IF('SAÍDAS-BASE'!C79="","",'SAÍDAS-BASE'!C79)</f>
        <v/>
      </c>
      <c r="E81" s="7" t="str">
        <f>IF('SAÍDAS-BASE'!D79="","",'SAÍDAS-BASE'!D79)</f>
        <v/>
      </c>
      <c r="F81" s="6" t="str">
        <f>IF('SAÍDAS-BASE'!E79="","",'SAÍDAS-BASE'!E79)</f>
        <v/>
      </c>
      <c r="G81" t="str">
        <f>IF('SAÍDAS-BASE'!F79="","",'SAÍDAS-BASE'!F79)</f>
        <v/>
      </c>
      <c r="H81" t="str">
        <f>IF('SAÍDAS-BASE'!G79="","",'SAÍDAS-BASE'!G79)</f>
        <v/>
      </c>
      <c r="I81" t="str">
        <f>IF('SAÍDAS-BASE'!H79="","",'SAÍDAS-BASE'!H79)</f>
        <v/>
      </c>
      <c r="J81" t="str">
        <f>IF('SAÍDAS-BASE'!I79="","",'SAÍDAS-BASE'!I79)</f>
        <v/>
      </c>
      <c r="K81" s="5" t="str">
        <f>IF('SAÍDAS-BASE'!J79="","",'SAÍDAS-BASE'!J79)</f>
        <v/>
      </c>
      <c r="L81" t="str">
        <f>IF(TABELA_SAIDAS[[#This Row],[UF]]="","",IFERROR(IF(VLOOKUP(TABELA_SAIDAS[[#This Row],[VALOR]],TABELA_ENTRADAS[VALOR],1,FALSE),"DEVOLUÇÃO"),"SEM ENTRADAS"))</f>
        <v/>
      </c>
    </row>
    <row r="82" spans="2:12" x14ac:dyDescent="0.3">
      <c r="B82" t="str">
        <f>IF('SAÍDAS-BASE'!A80="","",'SAÍDAS-BASE'!A80)</f>
        <v/>
      </c>
      <c r="C82" t="str">
        <f>IF('SAÍDAS-BASE'!B80="","",'SAÍDAS-BASE'!B80)</f>
        <v/>
      </c>
      <c r="D82" t="str">
        <f>IF('SAÍDAS-BASE'!C80="","",'SAÍDAS-BASE'!C80)</f>
        <v/>
      </c>
      <c r="E82" s="7" t="str">
        <f>IF('SAÍDAS-BASE'!D80="","",'SAÍDAS-BASE'!D80)</f>
        <v/>
      </c>
      <c r="F82" s="6" t="str">
        <f>IF('SAÍDAS-BASE'!E80="","",'SAÍDAS-BASE'!E80)</f>
        <v/>
      </c>
      <c r="G82" t="str">
        <f>IF('SAÍDAS-BASE'!F80="","",'SAÍDAS-BASE'!F80)</f>
        <v/>
      </c>
      <c r="H82" t="str">
        <f>IF('SAÍDAS-BASE'!G80="","",'SAÍDAS-BASE'!G80)</f>
        <v/>
      </c>
      <c r="I82" t="str">
        <f>IF('SAÍDAS-BASE'!H80="","",'SAÍDAS-BASE'!H80)</f>
        <v/>
      </c>
      <c r="J82" t="str">
        <f>IF('SAÍDAS-BASE'!I80="","",'SAÍDAS-BASE'!I80)</f>
        <v/>
      </c>
      <c r="K82" s="5" t="str">
        <f>IF('SAÍDAS-BASE'!J80="","",'SAÍDAS-BASE'!J80)</f>
        <v/>
      </c>
      <c r="L82" t="str">
        <f>IF(TABELA_SAIDAS[[#This Row],[UF]]="","",IFERROR(IF(VLOOKUP(TABELA_SAIDAS[[#This Row],[VALOR]],TABELA_ENTRADAS[VALOR],1,FALSE),"DEVOLUÇÃO"),"SEM ENTRADAS"))</f>
        <v/>
      </c>
    </row>
    <row r="83" spans="2:12" x14ac:dyDescent="0.3">
      <c r="B83" t="str">
        <f>IF('SAÍDAS-BASE'!A81="","",'SAÍDAS-BASE'!A81)</f>
        <v/>
      </c>
      <c r="C83" t="str">
        <f>IF('SAÍDAS-BASE'!B81="","",'SAÍDAS-BASE'!B81)</f>
        <v/>
      </c>
      <c r="D83" t="str">
        <f>IF('SAÍDAS-BASE'!C81="","",'SAÍDAS-BASE'!C81)</f>
        <v/>
      </c>
      <c r="E83" s="7" t="str">
        <f>IF('SAÍDAS-BASE'!D81="","",'SAÍDAS-BASE'!D81)</f>
        <v/>
      </c>
      <c r="F83" s="6" t="str">
        <f>IF('SAÍDAS-BASE'!E81="","",'SAÍDAS-BASE'!E81)</f>
        <v/>
      </c>
      <c r="G83" t="str">
        <f>IF('SAÍDAS-BASE'!F81="","",'SAÍDAS-BASE'!F81)</f>
        <v/>
      </c>
      <c r="H83" t="str">
        <f>IF('SAÍDAS-BASE'!G81="","",'SAÍDAS-BASE'!G81)</f>
        <v/>
      </c>
      <c r="I83" t="str">
        <f>IF('SAÍDAS-BASE'!H81="","",'SAÍDAS-BASE'!H81)</f>
        <v/>
      </c>
      <c r="J83" t="str">
        <f>IF('SAÍDAS-BASE'!I81="","",'SAÍDAS-BASE'!I81)</f>
        <v/>
      </c>
      <c r="K83" s="5" t="str">
        <f>IF('SAÍDAS-BASE'!J81="","",'SAÍDAS-BASE'!J81)</f>
        <v/>
      </c>
      <c r="L83" t="str">
        <f>IF(TABELA_SAIDAS[[#This Row],[UF]]="","",IFERROR(IF(VLOOKUP(TABELA_SAIDAS[[#This Row],[VALOR]],TABELA_ENTRADAS[VALOR],1,FALSE),"DEVOLUÇÃO"),"SEM ENTRADAS"))</f>
        <v/>
      </c>
    </row>
    <row r="84" spans="2:12" x14ac:dyDescent="0.3">
      <c r="B84" t="str">
        <f>IF('SAÍDAS-BASE'!A82="","",'SAÍDAS-BASE'!A82)</f>
        <v/>
      </c>
      <c r="C84" t="str">
        <f>IF('SAÍDAS-BASE'!B82="","",'SAÍDAS-BASE'!B82)</f>
        <v/>
      </c>
      <c r="D84" t="str">
        <f>IF('SAÍDAS-BASE'!C82="","",'SAÍDAS-BASE'!C82)</f>
        <v/>
      </c>
      <c r="E84" s="7" t="str">
        <f>IF('SAÍDAS-BASE'!D82="","",'SAÍDAS-BASE'!D82)</f>
        <v/>
      </c>
      <c r="F84" s="6" t="str">
        <f>IF('SAÍDAS-BASE'!E82="","",'SAÍDAS-BASE'!E82)</f>
        <v/>
      </c>
      <c r="G84" t="str">
        <f>IF('SAÍDAS-BASE'!F82="","",'SAÍDAS-BASE'!F82)</f>
        <v/>
      </c>
      <c r="H84" t="str">
        <f>IF('SAÍDAS-BASE'!G82="","",'SAÍDAS-BASE'!G82)</f>
        <v/>
      </c>
      <c r="I84" t="str">
        <f>IF('SAÍDAS-BASE'!H82="","",'SAÍDAS-BASE'!H82)</f>
        <v/>
      </c>
      <c r="J84" t="str">
        <f>IF('SAÍDAS-BASE'!I82="","",'SAÍDAS-BASE'!I82)</f>
        <v/>
      </c>
      <c r="K84" s="5" t="str">
        <f>IF('SAÍDAS-BASE'!J82="","",'SAÍDAS-BASE'!J82)</f>
        <v/>
      </c>
      <c r="L84" t="str">
        <f>IF(TABELA_SAIDAS[[#This Row],[UF]]="","",IFERROR(IF(VLOOKUP(TABELA_SAIDAS[[#This Row],[VALOR]],TABELA_ENTRADAS[VALOR],1,FALSE),"DEVOLUÇÃO"),"SEM ENTRADAS"))</f>
        <v/>
      </c>
    </row>
    <row r="85" spans="2:12" x14ac:dyDescent="0.3">
      <c r="B85" t="str">
        <f>IF('SAÍDAS-BASE'!A83="","",'SAÍDAS-BASE'!A83)</f>
        <v/>
      </c>
      <c r="C85" t="str">
        <f>IF('SAÍDAS-BASE'!B83="","",'SAÍDAS-BASE'!B83)</f>
        <v/>
      </c>
      <c r="D85" t="str">
        <f>IF('SAÍDAS-BASE'!C83="","",'SAÍDAS-BASE'!C83)</f>
        <v/>
      </c>
      <c r="E85" s="7" t="str">
        <f>IF('SAÍDAS-BASE'!D83="","",'SAÍDAS-BASE'!D83)</f>
        <v/>
      </c>
      <c r="F85" s="6" t="str">
        <f>IF('SAÍDAS-BASE'!E83="","",'SAÍDAS-BASE'!E83)</f>
        <v/>
      </c>
      <c r="G85" t="str">
        <f>IF('SAÍDAS-BASE'!F83="","",'SAÍDAS-BASE'!F83)</f>
        <v/>
      </c>
      <c r="H85" t="str">
        <f>IF('SAÍDAS-BASE'!G83="","",'SAÍDAS-BASE'!G83)</f>
        <v/>
      </c>
      <c r="I85" t="str">
        <f>IF('SAÍDAS-BASE'!H83="","",'SAÍDAS-BASE'!H83)</f>
        <v/>
      </c>
      <c r="J85" t="str">
        <f>IF('SAÍDAS-BASE'!I83="","",'SAÍDAS-BASE'!I83)</f>
        <v/>
      </c>
      <c r="K85" s="5" t="str">
        <f>IF('SAÍDAS-BASE'!J83="","",'SAÍDAS-BASE'!J83)</f>
        <v/>
      </c>
      <c r="L85" t="str">
        <f>IF(TABELA_SAIDAS[[#This Row],[UF]]="","",IFERROR(IF(VLOOKUP(TABELA_SAIDAS[[#This Row],[VALOR]],TABELA_ENTRADAS[VALOR],1,FALSE),"DEVOLUÇÃO"),"SEM ENTRADAS"))</f>
        <v/>
      </c>
    </row>
    <row r="86" spans="2:12" x14ac:dyDescent="0.3">
      <c r="B86" t="str">
        <f>IF('SAÍDAS-BASE'!A84="","",'SAÍDAS-BASE'!A84)</f>
        <v/>
      </c>
      <c r="C86" t="str">
        <f>IF('SAÍDAS-BASE'!B84="","",'SAÍDAS-BASE'!B84)</f>
        <v/>
      </c>
      <c r="D86" t="str">
        <f>IF('SAÍDAS-BASE'!C84="","",'SAÍDAS-BASE'!C84)</f>
        <v/>
      </c>
      <c r="E86" s="7" t="str">
        <f>IF('SAÍDAS-BASE'!D84="","",'SAÍDAS-BASE'!D84)</f>
        <v/>
      </c>
      <c r="F86" s="6" t="str">
        <f>IF('SAÍDAS-BASE'!E84="","",'SAÍDAS-BASE'!E84)</f>
        <v/>
      </c>
      <c r="G86" t="str">
        <f>IF('SAÍDAS-BASE'!F84="","",'SAÍDAS-BASE'!F84)</f>
        <v/>
      </c>
      <c r="H86" t="str">
        <f>IF('SAÍDAS-BASE'!G84="","",'SAÍDAS-BASE'!G84)</f>
        <v/>
      </c>
      <c r="I86" t="str">
        <f>IF('SAÍDAS-BASE'!H84="","",'SAÍDAS-BASE'!H84)</f>
        <v/>
      </c>
      <c r="J86" t="str">
        <f>IF('SAÍDAS-BASE'!I84="","",'SAÍDAS-BASE'!I84)</f>
        <v/>
      </c>
      <c r="K86" s="5" t="str">
        <f>IF('SAÍDAS-BASE'!J84="","",'SAÍDAS-BASE'!J84)</f>
        <v/>
      </c>
      <c r="L86" t="str">
        <f>IF(TABELA_SAIDAS[[#This Row],[UF]]="","",IFERROR(IF(VLOOKUP(TABELA_SAIDAS[[#This Row],[VALOR]],TABELA_ENTRADAS[VALOR],1,FALSE),"DEVOLUÇÃO"),"SEM ENTRADAS"))</f>
        <v/>
      </c>
    </row>
    <row r="87" spans="2:12" x14ac:dyDescent="0.3">
      <c r="B87" t="str">
        <f>IF('SAÍDAS-BASE'!A85="","",'SAÍDAS-BASE'!A85)</f>
        <v/>
      </c>
      <c r="C87" t="str">
        <f>IF('SAÍDAS-BASE'!B85="","",'SAÍDAS-BASE'!B85)</f>
        <v/>
      </c>
      <c r="D87" t="str">
        <f>IF('SAÍDAS-BASE'!C85="","",'SAÍDAS-BASE'!C85)</f>
        <v/>
      </c>
      <c r="E87" s="7" t="str">
        <f>IF('SAÍDAS-BASE'!D85="","",'SAÍDAS-BASE'!D85)</f>
        <v/>
      </c>
      <c r="F87" s="6" t="str">
        <f>IF('SAÍDAS-BASE'!E85="","",'SAÍDAS-BASE'!E85)</f>
        <v/>
      </c>
      <c r="G87" t="str">
        <f>IF('SAÍDAS-BASE'!F85="","",'SAÍDAS-BASE'!F85)</f>
        <v/>
      </c>
      <c r="H87" t="str">
        <f>IF('SAÍDAS-BASE'!G85="","",'SAÍDAS-BASE'!G85)</f>
        <v/>
      </c>
      <c r="I87" t="str">
        <f>IF('SAÍDAS-BASE'!H85="","",'SAÍDAS-BASE'!H85)</f>
        <v/>
      </c>
      <c r="J87" t="str">
        <f>IF('SAÍDAS-BASE'!I85="","",'SAÍDAS-BASE'!I85)</f>
        <v/>
      </c>
      <c r="K87" s="5" t="str">
        <f>IF('SAÍDAS-BASE'!J85="","",'SAÍDAS-BASE'!J85)</f>
        <v/>
      </c>
      <c r="L87" t="str">
        <f>IF(TABELA_SAIDAS[[#This Row],[UF]]="","",IFERROR(IF(VLOOKUP(TABELA_SAIDAS[[#This Row],[VALOR]],TABELA_ENTRADAS[VALOR],1,FALSE),"DEVOLUÇÃO"),"SEM ENTRADAS"))</f>
        <v/>
      </c>
    </row>
    <row r="88" spans="2:12" x14ac:dyDescent="0.3">
      <c r="B88" t="str">
        <f>IF('SAÍDAS-BASE'!A86="","",'SAÍDAS-BASE'!A86)</f>
        <v/>
      </c>
      <c r="C88" t="str">
        <f>IF('SAÍDAS-BASE'!B86="","",'SAÍDAS-BASE'!B86)</f>
        <v/>
      </c>
      <c r="D88" t="str">
        <f>IF('SAÍDAS-BASE'!C86="","",'SAÍDAS-BASE'!C86)</f>
        <v/>
      </c>
      <c r="E88" s="7" t="str">
        <f>IF('SAÍDAS-BASE'!D86="","",'SAÍDAS-BASE'!D86)</f>
        <v/>
      </c>
      <c r="F88" s="6" t="str">
        <f>IF('SAÍDAS-BASE'!E86="","",'SAÍDAS-BASE'!E86)</f>
        <v/>
      </c>
      <c r="G88" t="str">
        <f>IF('SAÍDAS-BASE'!F86="","",'SAÍDAS-BASE'!F86)</f>
        <v/>
      </c>
      <c r="H88" t="str">
        <f>IF('SAÍDAS-BASE'!G86="","",'SAÍDAS-BASE'!G86)</f>
        <v/>
      </c>
      <c r="I88" t="str">
        <f>IF('SAÍDAS-BASE'!H86="","",'SAÍDAS-BASE'!H86)</f>
        <v/>
      </c>
      <c r="J88" t="str">
        <f>IF('SAÍDAS-BASE'!I86="","",'SAÍDAS-BASE'!I86)</f>
        <v/>
      </c>
      <c r="K88" s="5" t="str">
        <f>IF('SAÍDAS-BASE'!J86="","",'SAÍDAS-BASE'!J86)</f>
        <v/>
      </c>
      <c r="L88" t="str">
        <f>IF(TABELA_SAIDAS[[#This Row],[UF]]="","",IFERROR(IF(VLOOKUP(TABELA_SAIDAS[[#This Row],[VALOR]],TABELA_ENTRADAS[VALOR],1,FALSE),"DEVOLUÇÃO"),"SEM ENTRADAS"))</f>
        <v/>
      </c>
    </row>
    <row r="89" spans="2:12" x14ac:dyDescent="0.3">
      <c r="B89" t="str">
        <f>IF('SAÍDAS-BASE'!A87="","",'SAÍDAS-BASE'!A87)</f>
        <v/>
      </c>
      <c r="C89" t="str">
        <f>IF('SAÍDAS-BASE'!B87="","",'SAÍDAS-BASE'!B87)</f>
        <v/>
      </c>
      <c r="D89" t="str">
        <f>IF('SAÍDAS-BASE'!C87="","",'SAÍDAS-BASE'!C87)</f>
        <v/>
      </c>
      <c r="E89" s="7" t="str">
        <f>IF('SAÍDAS-BASE'!D87="","",'SAÍDAS-BASE'!D87)</f>
        <v/>
      </c>
      <c r="F89" s="6" t="str">
        <f>IF('SAÍDAS-BASE'!E87="","",'SAÍDAS-BASE'!E87)</f>
        <v/>
      </c>
      <c r="G89" t="str">
        <f>IF('SAÍDAS-BASE'!F87="","",'SAÍDAS-BASE'!F87)</f>
        <v/>
      </c>
      <c r="H89" t="str">
        <f>IF('SAÍDAS-BASE'!G87="","",'SAÍDAS-BASE'!G87)</f>
        <v/>
      </c>
      <c r="I89" t="str">
        <f>IF('SAÍDAS-BASE'!H87="","",'SAÍDAS-BASE'!H87)</f>
        <v/>
      </c>
      <c r="J89" t="str">
        <f>IF('SAÍDAS-BASE'!I87="","",'SAÍDAS-BASE'!I87)</f>
        <v/>
      </c>
      <c r="K89" s="5" t="str">
        <f>IF('SAÍDAS-BASE'!J87="","",'SAÍDAS-BASE'!J87)</f>
        <v/>
      </c>
      <c r="L89" t="str">
        <f>IF(TABELA_SAIDAS[[#This Row],[UF]]="","",IFERROR(IF(VLOOKUP(TABELA_SAIDAS[[#This Row],[VALOR]],TABELA_ENTRADAS[VALOR],1,FALSE),"DEVOLUÇÃO"),"SEM ENTRADAS"))</f>
        <v/>
      </c>
    </row>
    <row r="90" spans="2:12" x14ac:dyDescent="0.3">
      <c r="B90" t="str">
        <f>IF('SAÍDAS-BASE'!A88="","",'SAÍDAS-BASE'!A88)</f>
        <v/>
      </c>
      <c r="C90" t="str">
        <f>IF('SAÍDAS-BASE'!B88="","",'SAÍDAS-BASE'!B88)</f>
        <v/>
      </c>
      <c r="D90" t="str">
        <f>IF('SAÍDAS-BASE'!C88="","",'SAÍDAS-BASE'!C88)</f>
        <v/>
      </c>
      <c r="E90" s="7" t="str">
        <f>IF('SAÍDAS-BASE'!D88="","",'SAÍDAS-BASE'!D88)</f>
        <v/>
      </c>
      <c r="F90" s="6" t="str">
        <f>IF('SAÍDAS-BASE'!E88="","",'SAÍDAS-BASE'!E88)</f>
        <v/>
      </c>
      <c r="G90" t="str">
        <f>IF('SAÍDAS-BASE'!F88="","",'SAÍDAS-BASE'!F88)</f>
        <v/>
      </c>
      <c r="H90" t="str">
        <f>IF('SAÍDAS-BASE'!G88="","",'SAÍDAS-BASE'!G88)</f>
        <v/>
      </c>
      <c r="I90" t="str">
        <f>IF('SAÍDAS-BASE'!H88="","",'SAÍDAS-BASE'!H88)</f>
        <v/>
      </c>
      <c r="J90" t="str">
        <f>IF('SAÍDAS-BASE'!I88="","",'SAÍDAS-BASE'!I88)</f>
        <v/>
      </c>
      <c r="K90" s="5" t="str">
        <f>IF('SAÍDAS-BASE'!J88="","",'SAÍDAS-BASE'!J88)</f>
        <v/>
      </c>
      <c r="L90" t="str">
        <f>IF(TABELA_SAIDAS[[#This Row],[UF]]="","",IFERROR(IF(VLOOKUP(TABELA_SAIDAS[[#This Row],[VALOR]],TABELA_ENTRADAS[VALOR],1,FALSE),"DEVOLUÇÃO"),"SEM ENTRADAS"))</f>
        <v/>
      </c>
    </row>
    <row r="91" spans="2:12" x14ac:dyDescent="0.3">
      <c r="B91" t="str">
        <f>IF('SAÍDAS-BASE'!A89="","",'SAÍDAS-BASE'!A89)</f>
        <v/>
      </c>
      <c r="C91" t="str">
        <f>IF('SAÍDAS-BASE'!B89="","",'SAÍDAS-BASE'!B89)</f>
        <v/>
      </c>
      <c r="D91" t="str">
        <f>IF('SAÍDAS-BASE'!C89="","",'SAÍDAS-BASE'!C89)</f>
        <v/>
      </c>
      <c r="E91" s="7" t="str">
        <f>IF('SAÍDAS-BASE'!D89="","",'SAÍDAS-BASE'!D89)</f>
        <v/>
      </c>
      <c r="F91" s="6" t="str">
        <f>IF('SAÍDAS-BASE'!E89="","",'SAÍDAS-BASE'!E89)</f>
        <v/>
      </c>
      <c r="G91" t="str">
        <f>IF('SAÍDAS-BASE'!F89="","",'SAÍDAS-BASE'!F89)</f>
        <v/>
      </c>
      <c r="H91" t="str">
        <f>IF('SAÍDAS-BASE'!G89="","",'SAÍDAS-BASE'!G89)</f>
        <v/>
      </c>
      <c r="I91" t="str">
        <f>IF('SAÍDAS-BASE'!H89="","",'SAÍDAS-BASE'!H89)</f>
        <v/>
      </c>
      <c r="J91" t="str">
        <f>IF('SAÍDAS-BASE'!I89="","",'SAÍDAS-BASE'!I89)</f>
        <v/>
      </c>
      <c r="K91" s="5" t="str">
        <f>IF('SAÍDAS-BASE'!J89="","",'SAÍDAS-BASE'!J89)</f>
        <v/>
      </c>
      <c r="L91" t="str">
        <f>IF(TABELA_SAIDAS[[#This Row],[UF]]="","",IFERROR(IF(VLOOKUP(TABELA_SAIDAS[[#This Row],[VALOR]],TABELA_ENTRADAS[VALOR],1,FALSE),"DEVOLUÇÃO"),"SEM ENTRADAS"))</f>
        <v/>
      </c>
    </row>
    <row r="92" spans="2:12" x14ac:dyDescent="0.3">
      <c r="B92" t="str">
        <f>IF('SAÍDAS-BASE'!A90="","",'SAÍDAS-BASE'!A90)</f>
        <v/>
      </c>
      <c r="C92" t="str">
        <f>IF('SAÍDAS-BASE'!B90="","",'SAÍDAS-BASE'!B90)</f>
        <v/>
      </c>
      <c r="D92" t="str">
        <f>IF('SAÍDAS-BASE'!C90="","",'SAÍDAS-BASE'!C90)</f>
        <v/>
      </c>
      <c r="E92" s="7" t="str">
        <f>IF('SAÍDAS-BASE'!D90="","",'SAÍDAS-BASE'!D90)</f>
        <v/>
      </c>
      <c r="F92" s="6" t="str">
        <f>IF('SAÍDAS-BASE'!E90="","",'SAÍDAS-BASE'!E90)</f>
        <v/>
      </c>
      <c r="G92" t="str">
        <f>IF('SAÍDAS-BASE'!F90="","",'SAÍDAS-BASE'!F90)</f>
        <v/>
      </c>
      <c r="H92" t="str">
        <f>IF('SAÍDAS-BASE'!G90="","",'SAÍDAS-BASE'!G90)</f>
        <v/>
      </c>
      <c r="I92" t="str">
        <f>IF('SAÍDAS-BASE'!H90="","",'SAÍDAS-BASE'!H90)</f>
        <v/>
      </c>
      <c r="J92" t="str">
        <f>IF('SAÍDAS-BASE'!I90="","",'SAÍDAS-BASE'!I90)</f>
        <v/>
      </c>
      <c r="K92" s="5" t="str">
        <f>IF('SAÍDAS-BASE'!J90="","",'SAÍDAS-BASE'!J90)</f>
        <v/>
      </c>
      <c r="L92" t="str">
        <f>IF(TABELA_SAIDAS[[#This Row],[UF]]="","",IFERROR(IF(VLOOKUP(TABELA_SAIDAS[[#This Row],[VALOR]],TABELA_ENTRADAS[VALOR],1,FALSE),"DEVOLUÇÃO"),"SEM ENTRADAS"))</f>
        <v/>
      </c>
    </row>
    <row r="93" spans="2:12" x14ac:dyDescent="0.3">
      <c r="B93" t="str">
        <f>IF('SAÍDAS-BASE'!A91="","",'SAÍDAS-BASE'!A91)</f>
        <v/>
      </c>
      <c r="C93" t="str">
        <f>IF('SAÍDAS-BASE'!B91="","",'SAÍDAS-BASE'!B91)</f>
        <v/>
      </c>
      <c r="D93" t="str">
        <f>IF('SAÍDAS-BASE'!C91="","",'SAÍDAS-BASE'!C91)</f>
        <v/>
      </c>
      <c r="E93" s="7" t="str">
        <f>IF('SAÍDAS-BASE'!D91="","",'SAÍDAS-BASE'!D91)</f>
        <v/>
      </c>
      <c r="F93" s="6" t="str">
        <f>IF('SAÍDAS-BASE'!E91="","",'SAÍDAS-BASE'!E91)</f>
        <v/>
      </c>
      <c r="G93" t="str">
        <f>IF('SAÍDAS-BASE'!F91="","",'SAÍDAS-BASE'!F91)</f>
        <v/>
      </c>
      <c r="H93" t="str">
        <f>IF('SAÍDAS-BASE'!G91="","",'SAÍDAS-BASE'!G91)</f>
        <v/>
      </c>
      <c r="I93" t="str">
        <f>IF('SAÍDAS-BASE'!H91="","",'SAÍDAS-BASE'!H91)</f>
        <v/>
      </c>
      <c r="J93" t="str">
        <f>IF('SAÍDAS-BASE'!I91="","",'SAÍDAS-BASE'!I91)</f>
        <v/>
      </c>
      <c r="K93" s="5" t="str">
        <f>IF('SAÍDAS-BASE'!J91="","",'SAÍDAS-BASE'!J91)</f>
        <v/>
      </c>
      <c r="L93" t="str">
        <f>IF(TABELA_SAIDAS[[#This Row],[UF]]="","",IFERROR(IF(VLOOKUP(TABELA_SAIDAS[[#This Row],[VALOR]],TABELA_ENTRADAS[VALOR],1,FALSE),"DEVOLUÇÃO"),"SEM ENTRADAS"))</f>
        <v/>
      </c>
    </row>
    <row r="94" spans="2:12" x14ac:dyDescent="0.3">
      <c r="B94" t="str">
        <f>IF('SAÍDAS-BASE'!A92="","",'SAÍDAS-BASE'!A92)</f>
        <v/>
      </c>
      <c r="C94" t="str">
        <f>IF('SAÍDAS-BASE'!B92="","",'SAÍDAS-BASE'!B92)</f>
        <v/>
      </c>
      <c r="D94" t="str">
        <f>IF('SAÍDAS-BASE'!C92="","",'SAÍDAS-BASE'!C92)</f>
        <v/>
      </c>
      <c r="E94" s="7" t="str">
        <f>IF('SAÍDAS-BASE'!D92="","",'SAÍDAS-BASE'!D92)</f>
        <v/>
      </c>
      <c r="F94" s="6" t="str">
        <f>IF('SAÍDAS-BASE'!E92="","",'SAÍDAS-BASE'!E92)</f>
        <v/>
      </c>
      <c r="G94" t="str">
        <f>IF('SAÍDAS-BASE'!F92="","",'SAÍDAS-BASE'!F92)</f>
        <v/>
      </c>
      <c r="H94" t="str">
        <f>IF('SAÍDAS-BASE'!G92="","",'SAÍDAS-BASE'!G92)</f>
        <v/>
      </c>
      <c r="I94" t="str">
        <f>IF('SAÍDAS-BASE'!H92="","",'SAÍDAS-BASE'!H92)</f>
        <v/>
      </c>
      <c r="J94" t="str">
        <f>IF('SAÍDAS-BASE'!I92="","",'SAÍDAS-BASE'!I92)</f>
        <v/>
      </c>
      <c r="K94" s="5" t="str">
        <f>IF('SAÍDAS-BASE'!J92="","",'SAÍDAS-BASE'!J92)</f>
        <v/>
      </c>
      <c r="L94" t="str">
        <f>IF(TABELA_SAIDAS[[#This Row],[UF]]="","",IFERROR(IF(VLOOKUP(TABELA_SAIDAS[[#This Row],[VALOR]],TABELA_ENTRADAS[VALOR],1,FALSE),"DEVOLUÇÃO"),"SEM ENTRADAS"))</f>
        <v/>
      </c>
    </row>
    <row r="95" spans="2:12" x14ac:dyDescent="0.3">
      <c r="B95" t="str">
        <f>IF('SAÍDAS-BASE'!A93="","",'SAÍDAS-BASE'!A93)</f>
        <v/>
      </c>
      <c r="C95" t="str">
        <f>IF('SAÍDAS-BASE'!B93="","",'SAÍDAS-BASE'!B93)</f>
        <v/>
      </c>
      <c r="D95" t="str">
        <f>IF('SAÍDAS-BASE'!C93="","",'SAÍDAS-BASE'!C93)</f>
        <v/>
      </c>
      <c r="E95" s="7" t="str">
        <f>IF('SAÍDAS-BASE'!D93="","",'SAÍDAS-BASE'!D93)</f>
        <v/>
      </c>
      <c r="F95" s="6" t="str">
        <f>IF('SAÍDAS-BASE'!E93="","",'SAÍDAS-BASE'!E93)</f>
        <v/>
      </c>
      <c r="G95" t="str">
        <f>IF('SAÍDAS-BASE'!F93="","",'SAÍDAS-BASE'!F93)</f>
        <v/>
      </c>
      <c r="H95" t="str">
        <f>IF('SAÍDAS-BASE'!G93="","",'SAÍDAS-BASE'!G93)</f>
        <v/>
      </c>
      <c r="I95" t="str">
        <f>IF('SAÍDAS-BASE'!H93="","",'SAÍDAS-BASE'!H93)</f>
        <v/>
      </c>
      <c r="J95" t="str">
        <f>IF('SAÍDAS-BASE'!I93="","",'SAÍDAS-BASE'!I93)</f>
        <v/>
      </c>
      <c r="K95" s="5" t="str">
        <f>IF('SAÍDAS-BASE'!J93="","",'SAÍDAS-BASE'!J93)</f>
        <v/>
      </c>
      <c r="L95" t="str">
        <f>IF(TABELA_SAIDAS[[#This Row],[UF]]="","",IFERROR(IF(VLOOKUP(TABELA_SAIDAS[[#This Row],[VALOR]],TABELA_ENTRADAS[VALOR],1,FALSE),"DEVOLUÇÃO"),"SEM ENTRADAS"))</f>
        <v/>
      </c>
    </row>
    <row r="96" spans="2:12" x14ac:dyDescent="0.3">
      <c r="B96" t="str">
        <f>IF('SAÍDAS-BASE'!A94="","",'SAÍDAS-BASE'!A94)</f>
        <v/>
      </c>
      <c r="C96" t="str">
        <f>IF('SAÍDAS-BASE'!B94="","",'SAÍDAS-BASE'!B94)</f>
        <v/>
      </c>
      <c r="D96" t="str">
        <f>IF('SAÍDAS-BASE'!C94="","",'SAÍDAS-BASE'!C94)</f>
        <v/>
      </c>
      <c r="E96" s="7" t="str">
        <f>IF('SAÍDAS-BASE'!D94="","",'SAÍDAS-BASE'!D94)</f>
        <v/>
      </c>
      <c r="F96" s="6" t="str">
        <f>IF('SAÍDAS-BASE'!E94="","",'SAÍDAS-BASE'!E94)</f>
        <v/>
      </c>
      <c r="G96" t="str">
        <f>IF('SAÍDAS-BASE'!F94="","",'SAÍDAS-BASE'!F94)</f>
        <v/>
      </c>
      <c r="H96" t="str">
        <f>IF('SAÍDAS-BASE'!G94="","",'SAÍDAS-BASE'!G94)</f>
        <v/>
      </c>
      <c r="I96" t="str">
        <f>IF('SAÍDAS-BASE'!H94="","",'SAÍDAS-BASE'!H94)</f>
        <v/>
      </c>
      <c r="J96" t="str">
        <f>IF('SAÍDAS-BASE'!I94="","",'SAÍDAS-BASE'!I94)</f>
        <v/>
      </c>
      <c r="K96" s="5" t="str">
        <f>IF('SAÍDAS-BASE'!J94="","",'SAÍDAS-BASE'!J94)</f>
        <v/>
      </c>
      <c r="L96" t="str">
        <f>IF(TABELA_SAIDAS[[#This Row],[UF]]="","",IFERROR(IF(VLOOKUP(TABELA_SAIDAS[[#This Row],[VALOR]],TABELA_ENTRADAS[VALOR],1,FALSE),"DEVOLUÇÃO"),"SEM ENTRADAS"))</f>
        <v/>
      </c>
    </row>
    <row r="97" spans="2:12" x14ac:dyDescent="0.3">
      <c r="B97" t="str">
        <f>IF('SAÍDAS-BASE'!A95="","",'SAÍDAS-BASE'!A95)</f>
        <v/>
      </c>
      <c r="C97" t="str">
        <f>IF('SAÍDAS-BASE'!B95="","",'SAÍDAS-BASE'!B95)</f>
        <v/>
      </c>
      <c r="D97" t="str">
        <f>IF('SAÍDAS-BASE'!C95="","",'SAÍDAS-BASE'!C95)</f>
        <v/>
      </c>
      <c r="E97" s="7" t="str">
        <f>IF('SAÍDAS-BASE'!D95="","",'SAÍDAS-BASE'!D95)</f>
        <v/>
      </c>
      <c r="F97" s="6" t="str">
        <f>IF('SAÍDAS-BASE'!E95="","",'SAÍDAS-BASE'!E95)</f>
        <v/>
      </c>
      <c r="G97" t="str">
        <f>IF('SAÍDAS-BASE'!F95="","",'SAÍDAS-BASE'!F95)</f>
        <v/>
      </c>
      <c r="H97" t="str">
        <f>IF('SAÍDAS-BASE'!G95="","",'SAÍDAS-BASE'!G95)</f>
        <v/>
      </c>
      <c r="I97" t="str">
        <f>IF('SAÍDAS-BASE'!H95="","",'SAÍDAS-BASE'!H95)</f>
        <v/>
      </c>
      <c r="J97" t="str">
        <f>IF('SAÍDAS-BASE'!I95="","",'SAÍDAS-BASE'!I95)</f>
        <v/>
      </c>
      <c r="K97" s="5" t="str">
        <f>IF('SAÍDAS-BASE'!J95="","",'SAÍDAS-BASE'!J95)</f>
        <v/>
      </c>
      <c r="L97" t="str">
        <f>IF(TABELA_SAIDAS[[#This Row],[UF]]="","",IFERROR(IF(VLOOKUP(TABELA_SAIDAS[[#This Row],[VALOR]],TABELA_ENTRADAS[VALOR],1,FALSE),"DEVOLUÇÃO"),"SEM ENTRADAS"))</f>
        <v/>
      </c>
    </row>
    <row r="98" spans="2:12" x14ac:dyDescent="0.3">
      <c r="B98" t="str">
        <f>IF('SAÍDAS-BASE'!A96="","",'SAÍDAS-BASE'!A96)</f>
        <v/>
      </c>
      <c r="C98" t="str">
        <f>IF('SAÍDAS-BASE'!B96="","",'SAÍDAS-BASE'!B96)</f>
        <v/>
      </c>
      <c r="D98" t="str">
        <f>IF('SAÍDAS-BASE'!C96="","",'SAÍDAS-BASE'!C96)</f>
        <v/>
      </c>
      <c r="E98" s="7" t="str">
        <f>IF('SAÍDAS-BASE'!D96="","",'SAÍDAS-BASE'!D96)</f>
        <v/>
      </c>
      <c r="F98" s="6" t="str">
        <f>IF('SAÍDAS-BASE'!E96="","",'SAÍDAS-BASE'!E96)</f>
        <v/>
      </c>
      <c r="G98" t="str">
        <f>IF('SAÍDAS-BASE'!F96="","",'SAÍDAS-BASE'!F96)</f>
        <v/>
      </c>
      <c r="H98" t="str">
        <f>IF('SAÍDAS-BASE'!G96="","",'SAÍDAS-BASE'!G96)</f>
        <v/>
      </c>
      <c r="I98" t="str">
        <f>IF('SAÍDAS-BASE'!H96="","",'SAÍDAS-BASE'!H96)</f>
        <v/>
      </c>
      <c r="J98" t="str">
        <f>IF('SAÍDAS-BASE'!I96="","",'SAÍDAS-BASE'!I96)</f>
        <v/>
      </c>
      <c r="K98" s="5" t="str">
        <f>IF('SAÍDAS-BASE'!J96="","",'SAÍDAS-BASE'!J96)</f>
        <v/>
      </c>
      <c r="L98" t="str">
        <f>IF(TABELA_SAIDAS[[#This Row],[UF]]="","",IFERROR(IF(VLOOKUP(TABELA_SAIDAS[[#This Row],[VALOR]],TABELA_ENTRADAS[VALOR],1,FALSE),"DEVOLUÇÃO"),"SEM ENTRADAS"))</f>
        <v/>
      </c>
    </row>
    <row r="99" spans="2:12" x14ac:dyDescent="0.3">
      <c r="B99" t="str">
        <f>IF('SAÍDAS-BASE'!A97="","",'SAÍDAS-BASE'!A97)</f>
        <v/>
      </c>
      <c r="C99" t="str">
        <f>IF('SAÍDAS-BASE'!B97="","",'SAÍDAS-BASE'!B97)</f>
        <v/>
      </c>
      <c r="D99" t="str">
        <f>IF('SAÍDAS-BASE'!C97="","",'SAÍDAS-BASE'!C97)</f>
        <v/>
      </c>
      <c r="E99" s="7" t="str">
        <f>IF('SAÍDAS-BASE'!D97="","",'SAÍDAS-BASE'!D97)</f>
        <v/>
      </c>
      <c r="F99" s="6" t="str">
        <f>IF('SAÍDAS-BASE'!E97="","",'SAÍDAS-BASE'!E97)</f>
        <v/>
      </c>
      <c r="G99" t="str">
        <f>IF('SAÍDAS-BASE'!F97="","",'SAÍDAS-BASE'!F97)</f>
        <v/>
      </c>
      <c r="H99" t="str">
        <f>IF('SAÍDAS-BASE'!G97="","",'SAÍDAS-BASE'!G97)</f>
        <v/>
      </c>
      <c r="I99" t="str">
        <f>IF('SAÍDAS-BASE'!H97="","",'SAÍDAS-BASE'!H97)</f>
        <v/>
      </c>
      <c r="J99" t="str">
        <f>IF('SAÍDAS-BASE'!I97="","",'SAÍDAS-BASE'!I97)</f>
        <v/>
      </c>
      <c r="K99" s="5" t="str">
        <f>IF('SAÍDAS-BASE'!J97="","",'SAÍDAS-BASE'!J97)</f>
        <v/>
      </c>
      <c r="L99" t="str">
        <f>IF(TABELA_SAIDAS[[#This Row],[UF]]="","",IFERROR(IF(VLOOKUP(TABELA_SAIDAS[[#This Row],[VALOR]],TABELA_ENTRADAS[VALOR],1,FALSE),"DEVOLUÇÃO"),"SEM ENTRADAS"))</f>
        <v/>
      </c>
    </row>
    <row r="100" spans="2:12" x14ac:dyDescent="0.3">
      <c r="B100" t="str">
        <f>IF('SAÍDAS-BASE'!A98="","",'SAÍDAS-BASE'!A98)</f>
        <v/>
      </c>
      <c r="C100" t="str">
        <f>IF('SAÍDAS-BASE'!B98="","",'SAÍDAS-BASE'!B98)</f>
        <v/>
      </c>
      <c r="D100" t="str">
        <f>IF('SAÍDAS-BASE'!C98="","",'SAÍDAS-BASE'!C98)</f>
        <v/>
      </c>
      <c r="E100" s="7" t="str">
        <f>IF('SAÍDAS-BASE'!D98="","",'SAÍDAS-BASE'!D98)</f>
        <v/>
      </c>
      <c r="F100" s="6" t="str">
        <f>IF('SAÍDAS-BASE'!E98="","",'SAÍDAS-BASE'!E98)</f>
        <v/>
      </c>
      <c r="G100" t="str">
        <f>IF('SAÍDAS-BASE'!F98="","",'SAÍDAS-BASE'!F98)</f>
        <v/>
      </c>
      <c r="H100" t="str">
        <f>IF('SAÍDAS-BASE'!G98="","",'SAÍDAS-BASE'!G98)</f>
        <v/>
      </c>
      <c r="I100" t="str">
        <f>IF('SAÍDAS-BASE'!H98="","",'SAÍDAS-BASE'!H98)</f>
        <v/>
      </c>
      <c r="J100" t="str">
        <f>IF('SAÍDAS-BASE'!I98="","",'SAÍDAS-BASE'!I98)</f>
        <v/>
      </c>
      <c r="K100" s="5" t="str">
        <f>IF('SAÍDAS-BASE'!J98="","",'SAÍDAS-BASE'!J98)</f>
        <v/>
      </c>
      <c r="L100" t="str">
        <f>IF(TABELA_SAIDAS[[#This Row],[UF]]="","",IFERROR(IF(VLOOKUP(TABELA_SAIDAS[[#This Row],[VALOR]],TABELA_ENTRADAS[VALOR],1,FALSE),"DEVOLUÇÃO"),"SEM ENTRADAS"))</f>
        <v/>
      </c>
    </row>
    <row r="101" spans="2:12" x14ac:dyDescent="0.3">
      <c r="B101" t="str">
        <f>IF('SAÍDAS-BASE'!A99="","",'SAÍDAS-BASE'!A99)</f>
        <v/>
      </c>
      <c r="C101" t="str">
        <f>IF('SAÍDAS-BASE'!B99="","",'SAÍDAS-BASE'!B99)</f>
        <v/>
      </c>
      <c r="D101" t="str">
        <f>IF('SAÍDAS-BASE'!C99="","",'SAÍDAS-BASE'!C99)</f>
        <v/>
      </c>
      <c r="E101" s="7" t="str">
        <f>IF('SAÍDAS-BASE'!D99="","",'SAÍDAS-BASE'!D99)</f>
        <v/>
      </c>
      <c r="F101" s="6" t="str">
        <f>IF('SAÍDAS-BASE'!E99="","",'SAÍDAS-BASE'!E99)</f>
        <v/>
      </c>
      <c r="G101" t="str">
        <f>IF('SAÍDAS-BASE'!F99="","",'SAÍDAS-BASE'!F99)</f>
        <v/>
      </c>
      <c r="H101" t="str">
        <f>IF('SAÍDAS-BASE'!G99="","",'SAÍDAS-BASE'!G99)</f>
        <v/>
      </c>
      <c r="I101" t="str">
        <f>IF('SAÍDAS-BASE'!H99="","",'SAÍDAS-BASE'!H99)</f>
        <v/>
      </c>
      <c r="J101" t="str">
        <f>IF('SAÍDAS-BASE'!I99="","",'SAÍDAS-BASE'!I99)</f>
        <v/>
      </c>
      <c r="K101" s="5" t="str">
        <f>IF('SAÍDAS-BASE'!J99="","",'SAÍDAS-BASE'!J99)</f>
        <v/>
      </c>
      <c r="L101" t="str">
        <f>IF(TABELA_SAIDAS[[#This Row],[UF]]="","",IFERROR(IF(VLOOKUP(TABELA_SAIDAS[[#This Row],[VALOR]],TABELA_ENTRADAS[VALOR],1,FALSE),"DEVOLUÇÃO"),"SEM ENTRADAS"))</f>
        <v/>
      </c>
    </row>
    <row r="102" spans="2:12" x14ac:dyDescent="0.3">
      <c r="B102" t="str">
        <f>IF('SAÍDAS-BASE'!A100="","",'SAÍDAS-BASE'!A100)</f>
        <v/>
      </c>
      <c r="C102" t="str">
        <f>IF('SAÍDAS-BASE'!B100="","",'SAÍDAS-BASE'!B100)</f>
        <v/>
      </c>
      <c r="D102" t="str">
        <f>IF('SAÍDAS-BASE'!C100="","",'SAÍDAS-BASE'!C100)</f>
        <v/>
      </c>
      <c r="E102" s="7" t="str">
        <f>IF('SAÍDAS-BASE'!D100="","",'SAÍDAS-BASE'!D100)</f>
        <v/>
      </c>
      <c r="F102" s="6" t="str">
        <f>IF('SAÍDAS-BASE'!E100="","",'SAÍDAS-BASE'!E100)</f>
        <v/>
      </c>
      <c r="G102" t="str">
        <f>IF('SAÍDAS-BASE'!F100="","",'SAÍDAS-BASE'!F100)</f>
        <v/>
      </c>
      <c r="H102" t="str">
        <f>IF('SAÍDAS-BASE'!G100="","",'SAÍDAS-BASE'!G100)</f>
        <v/>
      </c>
      <c r="I102" t="str">
        <f>IF('SAÍDAS-BASE'!H100="","",'SAÍDAS-BASE'!H100)</f>
        <v/>
      </c>
      <c r="J102" t="str">
        <f>IF('SAÍDAS-BASE'!I100="","",'SAÍDAS-BASE'!I100)</f>
        <v/>
      </c>
      <c r="K102" s="5" t="str">
        <f>IF('SAÍDAS-BASE'!J100="","",'SAÍDAS-BASE'!J100)</f>
        <v/>
      </c>
      <c r="L102" t="str">
        <f>IF(TABELA_SAIDAS[[#This Row],[UF]]="","",IFERROR(IF(VLOOKUP(TABELA_SAIDAS[[#This Row],[VALOR]],TABELA_ENTRADAS[VALOR],1,FALSE),"DEVOLUÇÃO"),"SEM ENTRADAS"))</f>
        <v/>
      </c>
    </row>
    <row r="103" spans="2:12" x14ac:dyDescent="0.3">
      <c r="B103" t="str">
        <f>IF('SAÍDAS-BASE'!A101="","",'SAÍDAS-BASE'!A101)</f>
        <v/>
      </c>
      <c r="C103" t="str">
        <f>IF('SAÍDAS-BASE'!B101="","",'SAÍDAS-BASE'!B101)</f>
        <v/>
      </c>
      <c r="D103" t="str">
        <f>IF('SAÍDAS-BASE'!C101="","",'SAÍDAS-BASE'!C101)</f>
        <v/>
      </c>
      <c r="E103" s="7" t="str">
        <f>IF('SAÍDAS-BASE'!D101="","",'SAÍDAS-BASE'!D101)</f>
        <v/>
      </c>
      <c r="F103" s="6" t="str">
        <f>IF('SAÍDAS-BASE'!E101="","",'SAÍDAS-BASE'!E101)</f>
        <v/>
      </c>
      <c r="G103" t="str">
        <f>IF('SAÍDAS-BASE'!F101="","",'SAÍDAS-BASE'!F101)</f>
        <v/>
      </c>
      <c r="H103" t="str">
        <f>IF('SAÍDAS-BASE'!G101="","",'SAÍDAS-BASE'!G101)</f>
        <v/>
      </c>
      <c r="I103" t="str">
        <f>IF('SAÍDAS-BASE'!H101="","",'SAÍDAS-BASE'!H101)</f>
        <v/>
      </c>
      <c r="J103" t="str">
        <f>IF('SAÍDAS-BASE'!I101="","",'SAÍDAS-BASE'!I101)</f>
        <v/>
      </c>
      <c r="K103" s="5" t="str">
        <f>IF('SAÍDAS-BASE'!J101="","",'SAÍDAS-BASE'!J101)</f>
        <v/>
      </c>
      <c r="L103" t="str">
        <f>IF(TABELA_SAIDAS[[#This Row],[UF]]="","",IFERROR(IF(VLOOKUP(TABELA_SAIDAS[[#This Row],[VALOR]],TABELA_ENTRADAS[VALOR],1,FALSE),"DEVOLUÇÃO"),"SEM ENTRADAS"))</f>
        <v/>
      </c>
    </row>
    <row r="104" spans="2:12" x14ac:dyDescent="0.3">
      <c r="B104" t="str">
        <f>IF('SAÍDAS-BASE'!A102="","",'SAÍDAS-BASE'!A102)</f>
        <v/>
      </c>
      <c r="C104" t="str">
        <f>IF('SAÍDAS-BASE'!B102="","",'SAÍDAS-BASE'!B102)</f>
        <v/>
      </c>
      <c r="D104" t="str">
        <f>IF('SAÍDAS-BASE'!C102="","",'SAÍDAS-BASE'!C102)</f>
        <v/>
      </c>
      <c r="E104" s="7" t="str">
        <f>IF('SAÍDAS-BASE'!D102="","",'SAÍDAS-BASE'!D102)</f>
        <v/>
      </c>
      <c r="F104" s="6" t="str">
        <f>IF('SAÍDAS-BASE'!E102="","",'SAÍDAS-BASE'!E102)</f>
        <v/>
      </c>
      <c r="G104" t="str">
        <f>IF('SAÍDAS-BASE'!F102="","",'SAÍDAS-BASE'!F102)</f>
        <v/>
      </c>
      <c r="H104" t="str">
        <f>IF('SAÍDAS-BASE'!G102="","",'SAÍDAS-BASE'!G102)</f>
        <v/>
      </c>
      <c r="I104" t="str">
        <f>IF('SAÍDAS-BASE'!H102="","",'SAÍDAS-BASE'!H102)</f>
        <v/>
      </c>
      <c r="J104" t="str">
        <f>IF('SAÍDAS-BASE'!I102="","",'SAÍDAS-BASE'!I102)</f>
        <v/>
      </c>
      <c r="K104" s="5" t="str">
        <f>IF('SAÍDAS-BASE'!J102="","",'SAÍDAS-BASE'!J102)</f>
        <v/>
      </c>
      <c r="L104" t="str">
        <f>IF(TABELA_SAIDAS[[#This Row],[UF]]="","",IFERROR(IF(VLOOKUP(TABELA_SAIDAS[[#This Row],[VALOR]],TABELA_ENTRADAS[VALOR],1,FALSE),"DEVOLUÇÃO"),"SEM ENTRADAS"))</f>
        <v/>
      </c>
    </row>
    <row r="105" spans="2:12" x14ac:dyDescent="0.3">
      <c r="B105" t="str">
        <f>IF('SAÍDAS-BASE'!A103="","",'SAÍDAS-BASE'!A103)</f>
        <v/>
      </c>
      <c r="C105" t="str">
        <f>IF('SAÍDAS-BASE'!B103="","",'SAÍDAS-BASE'!B103)</f>
        <v/>
      </c>
      <c r="D105" t="str">
        <f>IF('SAÍDAS-BASE'!C103="","",'SAÍDAS-BASE'!C103)</f>
        <v/>
      </c>
      <c r="E105" s="7" t="str">
        <f>IF('SAÍDAS-BASE'!D103="","",'SAÍDAS-BASE'!D103)</f>
        <v/>
      </c>
      <c r="F105" s="6" t="str">
        <f>IF('SAÍDAS-BASE'!E103="","",'SAÍDAS-BASE'!E103)</f>
        <v/>
      </c>
      <c r="G105" t="str">
        <f>IF('SAÍDAS-BASE'!F103="","",'SAÍDAS-BASE'!F103)</f>
        <v/>
      </c>
      <c r="H105" t="str">
        <f>IF('SAÍDAS-BASE'!G103="","",'SAÍDAS-BASE'!G103)</f>
        <v/>
      </c>
      <c r="I105" t="str">
        <f>IF('SAÍDAS-BASE'!H103="","",'SAÍDAS-BASE'!H103)</f>
        <v/>
      </c>
      <c r="J105" t="str">
        <f>IF('SAÍDAS-BASE'!I103="","",'SAÍDAS-BASE'!I103)</f>
        <v/>
      </c>
      <c r="K105" s="5" t="str">
        <f>IF('SAÍDAS-BASE'!J103="","",'SAÍDAS-BASE'!J103)</f>
        <v/>
      </c>
      <c r="L105" t="str">
        <f>IF(TABELA_SAIDAS[[#This Row],[UF]]="","",IFERROR(IF(VLOOKUP(TABELA_SAIDAS[[#This Row],[VALOR]],TABELA_ENTRADAS[VALOR],1,FALSE),"DEVOLUÇÃO"),"SEM ENTRADAS"))</f>
        <v/>
      </c>
    </row>
    <row r="106" spans="2:12" x14ac:dyDescent="0.3">
      <c r="B106" t="str">
        <f>IF('SAÍDAS-BASE'!A104="","",'SAÍDAS-BASE'!A104)</f>
        <v/>
      </c>
      <c r="C106" t="str">
        <f>IF('SAÍDAS-BASE'!B104="","",'SAÍDAS-BASE'!B104)</f>
        <v/>
      </c>
      <c r="D106" t="str">
        <f>IF('SAÍDAS-BASE'!C104="","",'SAÍDAS-BASE'!C104)</f>
        <v/>
      </c>
      <c r="E106" s="7" t="str">
        <f>IF('SAÍDAS-BASE'!D104="","",'SAÍDAS-BASE'!D104)</f>
        <v/>
      </c>
      <c r="F106" s="6" t="str">
        <f>IF('SAÍDAS-BASE'!E104="","",'SAÍDAS-BASE'!E104)</f>
        <v/>
      </c>
      <c r="G106" t="str">
        <f>IF('SAÍDAS-BASE'!F104="","",'SAÍDAS-BASE'!F104)</f>
        <v/>
      </c>
      <c r="H106" t="str">
        <f>IF('SAÍDAS-BASE'!G104="","",'SAÍDAS-BASE'!G104)</f>
        <v/>
      </c>
      <c r="I106" t="str">
        <f>IF('SAÍDAS-BASE'!H104="","",'SAÍDAS-BASE'!H104)</f>
        <v/>
      </c>
      <c r="J106" t="str">
        <f>IF('SAÍDAS-BASE'!I104="","",'SAÍDAS-BASE'!I104)</f>
        <v/>
      </c>
      <c r="K106" s="5" t="str">
        <f>IF('SAÍDAS-BASE'!J104="","",'SAÍDAS-BASE'!J104)</f>
        <v/>
      </c>
      <c r="L106" t="str">
        <f>IF(TABELA_SAIDAS[[#This Row],[UF]]="","",IFERROR(IF(VLOOKUP(TABELA_SAIDAS[[#This Row],[VALOR]],TABELA_ENTRADAS[VALOR],1,FALSE),"DEVOLUÇÃO"),"SEM ENTRADAS"))</f>
        <v/>
      </c>
    </row>
    <row r="107" spans="2:12" x14ac:dyDescent="0.3">
      <c r="B107" t="str">
        <f>IF('SAÍDAS-BASE'!A105="","",'SAÍDAS-BASE'!A105)</f>
        <v/>
      </c>
      <c r="C107" t="str">
        <f>IF('SAÍDAS-BASE'!B105="","",'SAÍDAS-BASE'!B105)</f>
        <v/>
      </c>
      <c r="D107" t="str">
        <f>IF('SAÍDAS-BASE'!C105="","",'SAÍDAS-BASE'!C105)</f>
        <v/>
      </c>
      <c r="E107" s="7" t="str">
        <f>IF('SAÍDAS-BASE'!D105="","",'SAÍDAS-BASE'!D105)</f>
        <v/>
      </c>
      <c r="F107" s="6" t="str">
        <f>IF('SAÍDAS-BASE'!E105="","",'SAÍDAS-BASE'!E105)</f>
        <v/>
      </c>
      <c r="G107" t="str">
        <f>IF('SAÍDAS-BASE'!F105="","",'SAÍDAS-BASE'!F105)</f>
        <v/>
      </c>
      <c r="H107" t="str">
        <f>IF('SAÍDAS-BASE'!G105="","",'SAÍDAS-BASE'!G105)</f>
        <v/>
      </c>
      <c r="I107" t="str">
        <f>IF('SAÍDAS-BASE'!H105="","",'SAÍDAS-BASE'!H105)</f>
        <v/>
      </c>
      <c r="J107" t="str">
        <f>IF('SAÍDAS-BASE'!I105="","",'SAÍDAS-BASE'!I105)</f>
        <v/>
      </c>
      <c r="K107" s="5" t="str">
        <f>IF('SAÍDAS-BASE'!J105="","",'SAÍDAS-BASE'!J105)</f>
        <v/>
      </c>
      <c r="L107" t="str">
        <f>IF(TABELA_SAIDAS[[#This Row],[UF]]="","",IFERROR(IF(VLOOKUP(TABELA_SAIDAS[[#This Row],[VALOR]],TABELA_ENTRADAS[VALOR],1,FALSE),"DEVOLUÇÃO"),"SEM ENTRADAS"))</f>
        <v/>
      </c>
    </row>
    <row r="108" spans="2:12" x14ac:dyDescent="0.3">
      <c r="B108" t="str">
        <f>IF('SAÍDAS-BASE'!A106="","",'SAÍDAS-BASE'!A106)</f>
        <v/>
      </c>
      <c r="C108" t="str">
        <f>IF('SAÍDAS-BASE'!B106="","",'SAÍDAS-BASE'!B106)</f>
        <v/>
      </c>
      <c r="D108" t="str">
        <f>IF('SAÍDAS-BASE'!C106="","",'SAÍDAS-BASE'!C106)</f>
        <v/>
      </c>
      <c r="E108" s="7" t="str">
        <f>IF('SAÍDAS-BASE'!D106="","",'SAÍDAS-BASE'!D106)</f>
        <v/>
      </c>
      <c r="F108" s="6" t="str">
        <f>IF('SAÍDAS-BASE'!E106="","",'SAÍDAS-BASE'!E106)</f>
        <v/>
      </c>
      <c r="G108" t="str">
        <f>IF('SAÍDAS-BASE'!F106="","",'SAÍDAS-BASE'!F106)</f>
        <v/>
      </c>
      <c r="H108" t="str">
        <f>IF('SAÍDAS-BASE'!G106="","",'SAÍDAS-BASE'!G106)</f>
        <v/>
      </c>
      <c r="I108" t="str">
        <f>IF('SAÍDAS-BASE'!H106="","",'SAÍDAS-BASE'!H106)</f>
        <v/>
      </c>
      <c r="J108" t="str">
        <f>IF('SAÍDAS-BASE'!I106="","",'SAÍDAS-BASE'!I106)</f>
        <v/>
      </c>
      <c r="K108" s="5" t="str">
        <f>IF('SAÍDAS-BASE'!J106="","",'SAÍDAS-BASE'!J106)</f>
        <v/>
      </c>
      <c r="L108" t="str">
        <f>IF(TABELA_SAIDAS[[#This Row],[UF]]="","",IFERROR(IF(VLOOKUP(TABELA_SAIDAS[[#This Row],[VALOR]],TABELA_ENTRADAS[VALOR],1,FALSE),"DEVOLUÇÃO"),"SEM ENTRADAS"))</f>
        <v/>
      </c>
    </row>
    <row r="109" spans="2:12" x14ac:dyDescent="0.3">
      <c r="B109" t="str">
        <f>IF('SAÍDAS-BASE'!A107="","",'SAÍDAS-BASE'!A107)</f>
        <v/>
      </c>
      <c r="C109" t="str">
        <f>IF('SAÍDAS-BASE'!B107="","",'SAÍDAS-BASE'!B107)</f>
        <v/>
      </c>
      <c r="D109" t="str">
        <f>IF('SAÍDAS-BASE'!C107="","",'SAÍDAS-BASE'!C107)</f>
        <v/>
      </c>
      <c r="E109" s="7" t="str">
        <f>IF('SAÍDAS-BASE'!D107="","",'SAÍDAS-BASE'!D107)</f>
        <v/>
      </c>
      <c r="F109" s="6" t="str">
        <f>IF('SAÍDAS-BASE'!E107="","",'SAÍDAS-BASE'!E107)</f>
        <v/>
      </c>
      <c r="G109" t="str">
        <f>IF('SAÍDAS-BASE'!F107="","",'SAÍDAS-BASE'!F107)</f>
        <v/>
      </c>
      <c r="H109" t="str">
        <f>IF('SAÍDAS-BASE'!G107="","",'SAÍDAS-BASE'!G107)</f>
        <v/>
      </c>
      <c r="I109" t="str">
        <f>IF('SAÍDAS-BASE'!H107="","",'SAÍDAS-BASE'!H107)</f>
        <v/>
      </c>
      <c r="J109" t="str">
        <f>IF('SAÍDAS-BASE'!I107="","",'SAÍDAS-BASE'!I107)</f>
        <v/>
      </c>
      <c r="K109" s="5" t="str">
        <f>IF('SAÍDAS-BASE'!J107="","",'SAÍDAS-BASE'!J107)</f>
        <v/>
      </c>
      <c r="L109" t="str">
        <f>IF(TABELA_SAIDAS[[#This Row],[UF]]="","",IFERROR(IF(VLOOKUP(TABELA_SAIDAS[[#This Row],[VALOR]],TABELA_ENTRADAS[VALOR],1,FALSE),"DEVOLUÇÃO"),"SEM ENTRADAS"))</f>
        <v/>
      </c>
    </row>
    <row r="110" spans="2:12" x14ac:dyDescent="0.3">
      <c r="B110" t="str">
        <f>IF('SAÍDAS-BASE'!A108="","",'SAÍDAS-BASE'!A108)</f>
        <v/>
      </c>
      <c r="C110" t="str">
        <f>IF('SAÍDAS-BASE'!B108="","",'SAÍDAS-BASE'!B108)</f>
        <v/>
      </c>
      <c r="D110" t="str">
        <f>IF('SAÍDAS-BASE'!C108="","",'SAÍDAS-BASE'!C108)</f>
        <v/>
      </c>
      <c r="E110" s="7" t="str">
        <f>IF('SAÍDAS-BASE'!D108="","",'SAÍDAS-BASE'!D108)</f>
        <v/>
      </c>
      <c r="F110" s="6" t="str">
        <f>IF('SAÍDAS-BASE'!E108="","",'SAÍDAS-BASE'!E108)</f>
        <v/>
      </c>
      <c r="G110" t="str">
        <f>IF('SAÍDAS-BASE'!F108="","",'SAÍDAS-BASE'!F108)</f>
        <v/>
      </c>
      <c r="H110" t="str">
        <f>IF('SAÍDAS-BASE'!G108="","",'SAÍDAS-BASE'!G108)</f>
        <v/>
      </c>
      <c r="I110" t="str">
        <f>IF('SAÍDAS-BASE'!H108="","",'SAÍDAS-BASE'!H108)</f>
        <v/>
      </c>
      <c r="J110" t="str">
        <f>IF('SAÍDAS-BASE'!I108="","",'SAÍDAS-BASE'!I108)</f>
        <v/>
      </c>
      <c r="K110" s="5" t="str">
        <f>IF('SAÍDAS-BASE'!J108="","",'SAÍDAS-BASE'!J108)</f>
        <v/>
      </c>
      <c r="L110" t="str">
        <f>IF(TABELA_SAIDAS[[#This Row],[UF]]="","",IFERROR(IF(VLOOKUP(TABELA_SAIDAS[[#This Row],[VALOR]],TABELA_ENTRADAS[VALOR],1,FALSE),"DEVOLUÇÃO"),"SEM ENTRADAS"))</f>
        <v/>
      </c>
    </row>
    <row r="111" spans="2:12" x14ac:dyDescent="0.3">
      <c r="B111" t="str">
        <f>IF('SAÍDAS-BASE'!A109="","",'SAÍDAS-BASE'!A109)</f>
        <v/>
      </c>
      <c r="C111" t="str">
        <f>IF('SAÍDAS-BASE'!B109="","",'SAÍDAS-BASE'!B109)</f>
        <v/>
      </c>
      <c r="D111" t="str">
        <f>IF('SAÍDAS-BASE'!C109="","",'SAÍDAS-BASE'!C109)</f>
        <v/>
      </c>
      <c r="E111" s="7" t="str">
        <f>IF('SAÍDAS-BASE'!D109="","",'SAÍDAS-BASE'!D109)</f>
        <v/>
      </c>
      <c r="F111" s="6" t="str">
        <f>IF('SAÍDAS-BASE'!E109="","",'SAÍDAS-BASE'!E109)</f>
        <v/>
      </c>
      <c r="G111" t="str">
        <f>IF('SAÍDAS-BASE'!F109="","",'SAÍDAS-BASE'!F109)</f>
        <v/>
      </c>
      <c r="H111" t="str">
        <f>IF('SAÍDAS-BASE'!G109="","",'SAÍDAS-BASE'!G109)</f>
        <v/>
      </c>
      <c r="I111" t="str">
        <f>IF('SAÍDAS-BASE'!H109="","",'SAÍDAS-BASE'!H109)</f>
        <v/>
      </c>
      <c r="J111" t="str">
        <f>IF('SAÍDAS-BASE'!I109="","",'SAÍDAS-BASE'!I109)</f>
        <v/>
      </c>
      <c r="K111" s="5" t="str">
        <f>IF('SAÍDAS-BASE'!J109="","",'SAÍDAS-BASE'!J109)</f>
        <v/>
      </c>
      <c r="L111" t="str">
        <f>IF(TABELA_SAIDAS[[#This Row],[UF]]="","",IFERROR(IF(VLOOKUP(TABELA_SAIDAS[[#This Row],[VALOR]],TABELA_ENTRADAS[VALOR],1,FALSE),"DEVOLUÇÃO"),"SEM ENTRADAS"))</f>
        <v/>
      </c>
    </row>
    <row r="112" spans="2:12" x14ac:dyDescent="0.3">
      <c r="B112" t="str">
        <f>IF('SAÍDAS-BASE'!A110="","",'SAÍDAS-BASE'!A110)</f>
        <v/>
      </c>
      <c r="C112" t="str">
        <f>IF('SAÍDAS-BASE'!B110="","",'SAÍDAS-BASE'!B110)</f>
        <v/>
      </c>
      <c r="D112" t="str">
        <f>IF('SAÍDAS-BASE'!C110="","",'SAÍDAS-BASE'!C110)</f>
        <v/>
      </c>
      <c r="E112" s="7" t="str">
        <f>IF('SAÍDAS-BASE'!D110="","",'SAÍDAS-BASE'!D110)</f>
        <v/>
      </c>
      <c r="F112" s="6" t="str">
        <f>IF('SAÍDAS-BASE'!E110="","",'SAÍDAS-BASE'!E110)</f>
        <v/>
      </c>
      <c r="G112" t="str">
        <f>IF('SAÍDAS-BASE'!F110="","",'SAÍDAS-BASE'!F110)</f>
        <v/>
      </c>
      <c r="H112" t="str">
        <f>IF('SAÍDAS-BASE'!G110="","",'SAÍDAS-BASE'!G110)</f>
        <v/>
      </c>
      <c r="I112" t="str">
        <f>IF('SAÍDAS-BASE'!H110="","",'SAÍDAS-BASE'!H110)</f>
        <v/>
      </c>
      <c r="J112" t="str">
        <f>IF('SAÍDAS-BASE'!I110="","",'SAÍDAS-BASE'!I110)</f>
        <v/>
      </c>
      <c r="K112" s="5" t="str">
        <f>IF('SAÍDAS-BASE'!J110="","",'SAÍDAS-BASE'!J110)</f>
        <v/>
      </c>
      <c r="L112" t="str">
        <f>IF(TABELA_SAIDAS[[#This Row],[UF]]="","",IFERROR(IF(VLOOKUP(TABELA_SAIDAS[[#This Row],[VALOR]],TABELA_ENTRADAS[VALOR],1,FALSE),"DEVOLUÇÃO"),"SEM ENTRADAS"))</f>
        <v/>
      </c>
    </row>
    <row r="113" spans="2:12" x14ac:dyDescent="0.3">
      <c r="B113" t="str">
        <f>IF('SAÍDAS-BASE'!A111="","",'SAÍDAS-BASE'!A111)</f>
        <v/>
      </c>
      <c r="C113" t="str">
        <f>IF('SAÍDAS-BASE'!B111="","",'SAÍDAS-BASE'!B111)</f>
        <v/>
      </c>
      <c r="D113" t="str">
        <f>IF('SAÍDAS-BASE'!C111="","",'SAÍDAS-BASE'!C111)</f>
        <v/>
      </c>
      <c r="E113" s="7" t="str">
        <f>IF('SAÍDAS-BASE'!D111="","",'SAÍDAS-BASE'!D111)</f>
        <v/>
      </c>
      <c r="F113" s="6" t="str">
        <f>IF('SAÍDAS-BASE'!E111="","",'SAÍDAS-BASE'!E111)</f>
        <v/>
      </c>
      <c r="G113" t="str">
        <f>IF('SAÍDAS-BASE'!F111="","",'SAÍDAS-BASE'!F111)</f>
        <v/>
      </c>
      <c r="H113" t="str">
        <f>IF('SAÍDAS-BASE'!G111="","",'SAÍDAS-BASE'!G111)</f>
        <v/>
      </c>
      <c r="I113" t="str">
        <f>IF('SAÍDAS-BASE'!H111="","",'SAÍDAS-BASE'!H111)</f>
        <v/>
      </c>
      <c r="J113" t="str">
        <f>IF('SAÍDAS-BASE'!I111="","",'SAÍDAS-BASE'!I111)</f>
        <v/>
      </c>
      <c r="K113" s="5" t="str">
        <f>IF('SAÍDAS-BASE'!J111="","",'SAÍDAS-BASE'!J111)</f>
        <v/>
      </c>
      <c r="L113" t="str">
        <f>IF(TABELA_SAIDAS[[#This Row],[UF]]="","",IFERROR(IF(VLOOKUP(TABELA_SAIDAS[[#This Row],[VALOR]],TABELA_ENTRADAS[VALOR],1,FALSE),"DEVOLUÇÃO"),"SEM ENTRADAS"))</f>
        <v/>
      </c>
    </row>
    <row r="114" spans="2:12" x14ac:dyDescent="0.3">
      <c r="B114" t="str">
        <f>IF('SAÍDAS-BASE'!A112="","",'SAÍDAS-BASE'!A112)</f>
        <v/>
      </c>
      <c r="C114" t="str">
        <f>IF('SAÍDAS-BASE'!B112="","",'SAÍDAS-BASE'!B112)</f>
        <v/>
      </c>
      <c r="D114" t="str">
        <f>IF('SAÍDAS-BASE'!C112="","",'SAÍDAS-BASE'!C112)</f>
        <v/>
      </c>
      <c r="E114" s="7" t="str">
        <f>IF('SAÍDAS-BASE'!D112="","",'SAÍDAS-BASE'!D112)</f>
        <v/>
      </c>
      <c r="F114" s="6" t="str">
        <f>IF('SAÍDAS-BASE'!E112="","",'SAÍDAS-BASE'!E112)</f>
        <v/>
      </c>
      <c r="G114" t="str">
        <f>IF('SAÍDAS-BASE'!F112="","",'SAÍDAS-BASE'!F112)</f>
        <v/>
      </c>
      <c r="H114" t="str">
        <f>IF('SAÍDAS-BASE'!G112="","",'SAÍDAS-BASE'!G112)</f>
        <v/>
      </c>
      <c r="I114" t="str">
        <f>IF('SAÍDAS-BASE'!H112="","",'SAÍDAS-BASE'!H112)</f>
        <v/>
      </c>
      <c r="J114" t="str">
        <f>IF('SAÍDAS-BASE'!I112="","",'SAÍDAS-BASE'!I112)</f>
        <v/>
      </c>
      <c r="K114" s="5" t="str">
        <f>IF('SAÍDAS-BASE'!J112="","",'SAÍDAS-BASE'!J112)</f>
        <v/>
      </c>
      <c r="L114" t="str">
        <f>IF(TABELA_SAIDAS[[#This Row],[UF]]="","",IFERROR(IF(VLOOKUP(TABELA_SAIDAS[[#This Row],[VALOR]],TABELA_ENTRADAS[VALOR],1,FALSE),"DEVOLUÇÃO"),"SEM ENTRADAS"))</f>
        <v/>
      </c>
    </row>
    <row r="115" spans="2:12" x14ac:dyDescent="0.3">
      <c r="B115" t="str">
        <f>IF('SAÍDAS-BASE'!A113="","",'SAÍDAS-BASE'!A113)</f>
        <v/>
      </c>
      <c r="C115" t="str">
        <f>IF('SAÍDAS-BASE'!B113="","",'SAÍDAS-BASE'!B113)</f>
        <v/>
      </c>
      <c r="D115" t="str">
        <f>IF('SAÍDAS-BASE'!C113="","",'SAÍDAS-BASE'!C113)</f>
        <v/>
      </c>
      <c r="E115" s="7" t="str">
        <f>IF('SAÍDAS-BASE'!D113="","",'SAÍDAS-BASE'!D113)</f>
        <v/>
      </c>
      <c r="F115" s="6" t="str">
        <f>IF('SAÍDAS-BASE'!E113="","",'SAÍDAS-BASE'!E113)</f>
        <v/>
      </c>
      <c r="G115" t="str">
        <f>IF('SAÍDAS-BASE'!F113="","",'SAÍDAS-BASE'!F113)</f>
        <v/>
      </c>
      <c r="H115" t="str">
        <f>IF('SAÍDAS-BASE'!G113="","",'SAÍDAS-BASE'!G113)</f>
        <v/>
      </c>
      <c r="I115" t="str">
        <f>IF('SAÍDAS-BASE'!H113="","",'SAÍDAS-BASE'!H113)</f>
        <v/>
      </c>
      <c r="J115" t="str">
        <f>IF('SAÍDAS-BASE'!I113="","",'SAÍDAS-BASE'!I113)</f>
        <v/>
      </c>
      <c r="K115" s="5" t="str">
        <f>IF('SAÍDAS-BASE'!J113="","",'SAÍDAS-BASE'!J113)</f>
        <v/>
      </c>
      <c r="L115" t="str">
        <f>IF(TABELA_SAIDAS[[#This Row],[UF]]="","",IFERROR(IF(VLOOKUP(TABELA_SAIDAS[[#This Row],[VALOR]],TABELA_ENTRADAS[VALOR],1,FALSE),"DEVOLUÇÃO"),"SEM ENTRADAS"))</f>
        <v/>
      </c>
    </row>
    <row r="116" spans="2:12" x14ac:dyDescent="0.3">
      <c r="B116" t="str">
        <f>IF('SAÍDAS-BASE'!A114="","",'SAÍDAS-BASE'!A114)</f>
        <v/>
      </c>
      <c r="C116" t="str">
        <f>IF('SAÍDAS-BASE'!B114="","",'SAÍDAS-BASE'!B114)</f>
        <v/>
      </c>
      <c r="D116" t="str">
        <f>IF('SAÍDAS-BASE'!C114="","",'SAÍDAS-BASE'!C114)</f>
        <v/>
      </c>
      <c r="E116" s="7" t="str">
        <f>IF('SAÍDAS-BASE'!D114="","",'SAÍDAS-BASE'!D114)</f>
        <v/>
      </c>
      <c r="F116" s="6" t="str">
        <f>IF('SAÍDAS-BASE'!E114="","",'SAÍDAS-BASE'!E114)</f>
        <v/>
      </c>
      <c r="G116" t="str">
        <f>IF('SAÍDAS-BASE'!F114="","",'SAÍDAS-BASE'!F114)</f>
        <v/>
      </c>
      <c r="H116" t="str">
        <f>IF('SAÍDAS-BASE'!G114="","",'SAÍDAS-BASE'!G114)</f>
        <v/>
      </c>
      <c r="I116" t="str">
        <f>IF('SAÍDAS-BASE'!H114="","",'SAÍDAS-BASE'!H114)</f>
        <v/>
      </c>
      <c r="J116" t="str">
        <f>IF('SAÍDAS-BASE'!I114="","",'SAÍDAS-BASE'!I114)</f>
        <v/>
      </c>
      <c r="K116" s="5" t="str">
        <f>IF('SAÍDAS-BASE'!J114="","",'SAÍDAS-BASE'!J114)</f>
        <v/>
      </c>
      <c r="L116" t="str">
        <f>IF(TABELA_SAIDAS[[#This Row],[UF]]="","",IFERROR(IF(VLOOKUP(TABELA_SAIDAS[[#This Row],[VALOR]],TABELA_ENTRADAS[VALOR],1,FALSE),"DEVOLUÇÃO"),"SEM ENTRADAS"))</f>
        <v/>
      </c>
    </row>
    <row r="117" spans="2:12" x14ac:dyDescent="0.3">
      <c r="B117" t="str">
        <f>IF('SAÍDAS-BASE'!A115="","",'SAÍDAS-BASE'!A115)</f>
        <v/>
      </c>
      <c r="C117" t="str">
        <f>IF('SAÍDAS-BASE'!B115="","",'SAÍDAS-BASE'!B115)</f>
        <v/>
      </c>
      <c r="D117" t="str">
        <f>IF('SAÍDAS-BASE'!C115="","",'SAÍDAS-BASE'!C115)</f>
        <v/>
      </c>
      <c r="E117" s="7" t="str">
        <f>IF('SAÍDAS-BASE'!D115="","",'SAÍDAS-BASE'!D115)</f>
        <v/>
      </c>
      <c r="F117" s="6" t="str">
        <f>IF('SAÍDAS-BASE'!E115="","",'SAÍDAS-BASE'!E115)</f>
        <v/>
      </c>
      <c r="G117" t="str">
        <f>IF('SAÍDAS-BASE'!F115="","",'SAÍDAS-BASE'!F115)</f>
        <v/>
      </c>
      <c r="H117" t="str">
        <f>IF('SAÍDAS-BASE'!G115="","",'SAÍDAS-BASE'!G115)</f>
        <v/>
      </c>
      <c r="I117" t="str">
        <f>IF('SAÍDAS-BASE'!H115="","",'SAÍDAS-BASE'!H115)</f>
        <v/>
      </c>
      <c r="J117" t="str">
        <f>IF('SAÍDAS-BASE'!I115="","",'SAÍDAS-BASE'!I115)</f>
        <v/>
      </c>
      <c r="K117" s="5" t="str">
        <f>IF('SAÍDAS-BASE'!J115="","",'SAÍDAS-BASE'!J115)</f>
        <v/>
      </c>
      <c r="L117" t="str">
        <f>IF(TABELA_SAIDAS[[#This Row],[UF]]="","",IFERROR(IF(VLOOKUP(TABELA_SAIDAS[[#This Row],[VALOR]],TABELA_ENTRADAS[VALOR],1,FALSE),"DEVOLUÇÃO"),"SEM ENTRADAS"))</f>
        <v/>
      </c>
    </row>
    <row r="118" spans="2:12" x14ac:dyDescent="0.3">
      <c r="B118" t="str">
        <f>IF('SAÍDAS-BASE'!A116="","",'SAÍDAS-BASE'!A116)</f>
        <v/>
      </c>
      <c r="C118" t="str">
        <f>IF('SAÍDAS-BASE'!B116="","",'SAÍDAS-BASE'!B116)</f>
        <v/>
      </c>
      <c r="D118" t="str">
        <f>IF('SAÍDAS-BASE'!C116="","",'SAÍDAS-BASE'!C116)</f>
        <v/>
      </c>
      <c r="E118" s="7" t="str">
        <f>IF('SAÍDAS-BASE'!D116="","",'SAÍDAS-BASE'!D116)</f>
        <v/>
      </c>
      <c r="F118" s="6" t="str">
        <f>IF('SAÍDAS-BASE'!E116="","",'SAÍDAS-BASE'!E116)</f>
        <v/>
      </c>
      <c r="G118" t="str">
        <f>IF('SAÍDAS-BASE'!F116="","",'SAÍDAS-BASE'!F116)</f>
        <v/>
      </c>
      <c r="H118" t="str">
        <f>IF('SAÍDAS-BASE'!G116="","",'SAÍDAS-BASE'!G116)</f>
        <v/>
      </c>
      <c r="I118" t="str">
        <f>IF('SAÍDAS-BASE'!H116="","",'SAÍDAS-BASE'!H116)</f>
        <v/>
      </c>
      <c r="J118" t="str">
        <f>IF('SAÍDAS-BASE'!I116="","",'SAÍDAS-BASE'!I116)</f>
        <v/>
      </c>
      <c r="K118" s="5" t="str">
        <f>IF('SAÍDAS-BASE'!J116="","",'SAÍDAS-BASE'!J116)</f>
        <v/>
      </c>
      <c r="L118" t="str">
        <f>IF(TABELA_SAIDAS[[#This Row],[UF]]="","",IFERROR(IF(VLOOKUP(TABELA_SAIDAS[[#This Row],[VALOR]],TABELA_ENTRADAS[VALOR],1,FALSE),"DEVOLUÇÃO"),"SEM ENTRADAS"))</f>
        <v/>
      </c>
    </row>
    <row r="119" spans="2:12" x14ac:dyDescent="0.3">
      <c r="B119" t="str">
        <f>IF('SAÍDAS-BASE'!A117="","",'SAÍDAS-BASE'!A117)</f>
        <v/>
      </c>
      <c r="C119" t="str">
        <f>IF('SAÍDAS-BASE'!B117="","",'SAÍDAS-BASE'!B117)</f>
        <v/>
      </c>
      <c r="D119" t="str">
        <f>IF('SAÍDAS-BASE'!C117="","",'SAÍDAS-BASE'!C117)</f>
        <v/>
      </c>
      <c r="E119" s="7" t="str">
        <f>IF('SAÍDAS-BASE'!D117="","",'SAÍDAS-BASE'!D117)</f>
        <v/>
      </c>
      <c r="F119" s="6" t="str">
        <f>IF('SAÍDAS-BASE'!E117="","",'SAÍDAS-BASE'!E117)</f>
        <v/>
      </c>
      <c r="G119" t="str">
        <f>IF('SAÍDAS-BASE'!F117="","",'SAÍDAS-BASE'!F117)</f>
        <v/>
      </c>
      <c r="H119" t="str">
        <f>IF('SAÍDAS-BASE'!G117="","",'SAÍDAS-BASE'!G117)</f>
        <v/>
      </c>
      <c r="I119" t="str">
        <f>IF('SAÍDAS-BASE'!H117="","",'SAÍDAS-BASE'!H117)</f>
        <v/>
      </c>
      <c r="J119" t="str">
        <f>IF('SAÍDAS-BASE'!I117="","",'SAÍDAS-BASE'!I117)</f>
        <v/>
      </c>
      <c r="K119" s="5" t="str">
        <f>IF('SAÍDAS-BASE'!J117="","",'SAÍDAS-BASE'!J117)</f>
        <v/>
      </c>
      <c r="L119" t="str">
        <f>IF(TABELA_SAIDAS[[#This Row],[UF]]="","",IFERROR(IF(VLOOKUP(TABELA_SAIDAS[[#This Row],[VALOR]],TABELA_ENTRADAS[VALOR],1,FALSE),"DEVOLUÇÃO"),"SEM ENTRADAS"))</f>
        <v/>
      </c>
    </row>
    <row r="120" spans="2:12" x14ac:dyDescent="0.3">
      <c r="B120" t="str">
        <f>IF('SAÍDAS-BASE'!A118="","",'SAÍDAS-BASE'!A118)</f>
        <v/>
      </c>
      <c r="C120" t="str">
        <f>IF('SAÍDAS-BASE'!B118="","",'SAÍDAS-BASE'!B118)</f>
        <v/>
      </c>
      <c r="D120" t="str">
        <f>IF('SAÍDAS-BASE'!C118="","",'SAÍDAS-BASE'!C118)</f>
        <v/>
      </c>
      <c r="E120" s="7" t="str">
        <f>IF('SAÍDAS-BASE'!D118="","",'SAÍDAS-BASE'!D118)</f>
        <v/>
      </c>
      <c r="F120" s="6" t="str">
        <f>IF('SAÍDAS-BASE'!E118="","",'SAÍDAS-BASE'!E118)</f>
        <v/>
      </c>
      <c r="G120" t="str">
        <f>IF('SAÍDAS-BASE'!F118="","",'SAÍDAS-BASE'!F118)</f>
        <v/>
      </c>
      <c r="H120" t="str">
        <f>IF('SAÍDAS-BASE'!G118="","",'SAÍDAS-BASE'!G118)</f>
        <v/>
      </c>
      <c r="I120" t="str">
        <f>IF('SAÍDAS-BASE'!H118="","",'SAÍDAS-BASE'!H118)</f>
        <v/>
      </c>
      <c r="J120" t="str">
        <f>IF('SAÍDAS-BASE'!I118="","",'SAÍDAS-BASE'!I118)</f>
        <v/>
      </c>
      <c r="K120" s="5" t="str">
        <f>IF('SAÍDAS-BASE'!J118="","",'SAÍDAS-BASE'!J118)</f>
        <v/>
      </c>
      <c r="L120" t="str">
        <f>IF(TABELA_SAIDAS[[#This Row],[UF]]="","",IFERROR(IF(VLOOKUP(TABELA_SAIDAS[[#This Row],[VALOR]],TABELA_ENTRADAS[VALOR],1,FALSE),"DEVOLUÇÃO"),"SEM ENTRADAS"))</f>
        <v/>
      </c>
    </row>
    <row r="121" spans="2:12" x14ac:dyDescent="0.3">
      <c r="B121" t="str">
        <f>IF('SAÍDAS-BASE'!A119="","",'SAÍDAS-BASE'!A119)</f>
        <v/>
      </c>
      <c r="C121" t="str">
        <f>IF('SAÍDAS-BASE'!B119="","",'SAÍDAS-BASE'!B119)</f>
        <v/>
      </c>
      <c r="D121" t="str">
        <f>IF('SAÍDAS-BASE'!C119="","",'SAÍDAS-BASE'!C119)</f>
        <v/>
      </c>
      <c r="E121" s="7" t="str">
        <f>IF('SAÍDAS-BASE'!D119="","",'SAÍDAS-BASE'!D119)</f>
        <v/>
      </c>
      <c r="F121" s="6" t="str">
        <f>IF('SAÍDAS-BASE'!E119="","",'SAÍDAS-BASE'!E119)</f>
        <v/>
      </c>
      <c r="G121" t="str">
        <f>IF('SAÍDAS-BASE'!F119="","",'SAÍDAS-BASE'!F119)</f>
        <v/>
      </c>
      <c r="H121" t="str">
        <f>IF('SAÍDAS-BASE'!G119="","",'SAÍDAS-BASE'!G119)</f>
        <v/>
      </c>
      <c r="I121" t="str">
        <f>IF('SAÍDAS-BASE'!H119="","",'SAÍDAS-BASE'!H119)</f>
        <v/>
      </c>
      <c r="J121" t="str">
        <f>IF('SAÍDAS-BASE'!I119="","",'SAÍDAS-BASE'!I119)</f>
        <v/>
      </c>
      <c r="K121" s="5" t="str">
        <f>IF('SAÍDAS-BASE'!J119="","",'SAÍDAS-BASE'!J119)</f>
        <v/>
      </c>
      <c r="L121" t="str">
        <f>IF(TABELA_SAIDAS[[#This Row],[UF]]="","",IFERROR(IF(VLOOKUP(TABELA_SAIDAS[[#This Row],[VALOR]],TABELA_ENTRADAS[VALOR],1,FALSE),"DEVOLUÇÃO"),"SEM ENTRADAS"))</f>
        <v/>
      </c>
    </row>
    <row r="122" spans="2:12" x14ac:dyDescent="0.3">
      <c r="B122" t="str">
        <f>IF('SAÍDAS-BASE'!A120="","",'SAÍDAS-BASE'!A120)</f>
        <v/>
      </c>
      <c r="C122" t="str">
        <f>IF('SAÍDAS-BASE'!B120="","",'SAÍDAS-BASE'!B120)</f>
        <v/>
      </c>
      <c r="D122" t="str">
        <f>IF('SAÍDAS-BASE'!C120="","",'SAÍDAS-BASE'!C120)</f>
        <v/>
      </c>
      <c r="E122" s="7" t="str">
        <f>IF('SAÍDAS-BASE'!D120="","",'SAÍDAS-BASE'!D120)</f>
        <v/>
      </c>
      <c r="F122" s="6" t="str">
        <f>IF('SAÍDAS-BASE'!E120="","",'SAÍDAS-BASE'!E120)</f>
        <v/>
      </c>
      <c r="G122" t="str">
        <f>IF('SAÍDAS-BASE'!F120="","",'SAÍDAS-BASE'!F120)</f>
        <v/>
      </c>
      <c r="H122" t="str">
        <f>IF('SAÍDAS-BASE'!G120="","",'SAÍDAS-BASE'!G120)</f>
        <v/>
      </c>
      <c r="I122" t="str">
        <f>IF('SAÍDAS-BASE'!H120="","",'SAÍDAS-BASE'!H120)</f>
        <v/>
      </c>
      <c r="J122" t="str">
        <f>IF('SAÍDAS-BASE'!I120="","",'SAÍDAS-BASE'!I120)</f>
        <v/>
      </c>
      <c r="K122" s="5" t="str">
        <f>IF('SAÍDAS-BASE'!J120="","",'SAÍDAS-BASE'!J120)</f>
        <v/>
      </c>
      <c r="L122" t="str">
        <f>IF(TABELA_SAIDAS[[#This Row],[UF]]="","",IFERROR(IF(VLOOKUP(TABELA_SAIDAS[[#This Row],[VALOR]],TABELA_ENTRADAS[VALOR],1,FALSE),"DEVOLUÇÃO"),"SEM ENTRADAS"))</f>
        <v/>
      </c>
    </row>
    <row r="123" spans="2:12" x14ac:dyDescent="0.3">
      <c r="B123" t="str">
        <f>IF('SAÍDAS-BASE'!A121="","",'SAÍDAS-BASE'!A121)</f>
        <v/>
      </c>
      <c r="C123" t="str">
        <f>IF('SAÍDAS-BASE'!B121="","",'SAÍDAS-BASE'!B121)</f>
        <v/>
      </c>
      <c r="D123" t="str">
        <f>IF('SAÍDAS-BASE'!C121="","",'SAÍDAS-BASE'!C121)</f>
        <v/>
      </c>
      <c r="E123" s="7" t="str">
        <f>IF('SAÍDAS-BASE'!D121="","",'SAÍDAS-BASE'!D121)</f>
        <v/>
      </c>
      <c r="F123" s="6" t="str">
        <f>IF('SAÍDAS-BASE'!E121="","",'SAÍDAS-BASE'!E121)</f>
        <v/>
      </c>
      <c r="G123" t="str">
        <f>IF('SAÍDAS-BASE'!F121="","",'SAÍDAS-BASE'!F121)</f>
        <v/>
      </c>
      <c r="H123" t="str">
        <f>IF('SAÍDAS-BASE'!G121="","",'SAÍDAS-BASE'!G121)</f>
        <v/>
      </c>
      <c r="I123" t="str">
        <f>IF('SAÍDAS-BASE'!H121="","",'SAÍDAS-BASE'!H121)</f>
        <v/>
      </c>
      <c r="J123" t="str">
        <f>IF('SAÍDAS-BASE'!I121="","",'SAÍDAS-BASE'!I121)</f>
        <v/>
      </c>
      <c r="K123" s="5" t="str">
        <f>IF('SAÍDAS-BASE'!J121="","",'SAÍDAS-BASE'!J121)</f>
        <v/>
      </c>
      <c r="L123" t="str">
        <f>IF(TABELA_SAIDAS[[#This Row],[UF]]="","",IFERROR(IF(VLOOKUP(TABELA_SAIDAS[[#This Row],[VALOR]],TABELA_ENTRADAS[VALOR],1,FALSE),"DEVOLUÇÃO"),"SEM ENTRADAS"))</f>
        <v/>
      </c>
    </row>
    <row r="124" spans="2:12" x14ac:dyDescent="0.3">
      <c r="B124" t="str">
        <f>IF('SAÍDAS-BASE'!A122="","",'SAÍDAS-BASE'!A122)</f>
        <v/>
      </c>
      <c r="C124" t="str">
        <f>IF('SAÍDAS-BASE'!B122="","",'SAÍDAS-BASE'!B122)</f>
        <v/>
      </c>
      <c r="D124" t="str">
        <f>IF('SAÍDAS-BASE'!C122="","",'SAÍDAS-BASE'!C122)</f>
        <v/>
      </c>
      <c r="E124" s="7" t="str">
        <f>IF('SAÍDAS-BASE'!D122="","",'SAÍDAS-BASE'!D122)</f>
        <v/>
      </c>
      <c r="F124" s="6" t="str">
        <f>IF('SAÍDAS-BASE'!E122="","",'SAÍDAS-BASE'!E122)</f>
        <v/>
      </c>
      <c r="G124" t="str">
        <f>IF('SAÍDAS-BASE'!F122="","",'SAÍDAS-BASE'!F122)</f>
        <v/>
      </c>
      <c r="H124" t="str">
        <f>IF('SAÍDAS-BASE'!G122="","",'SAÍDAS-BASE'!G122)</f>
        <v/>
      </c>
      <c r="I124" t="str">
        <f>IF('SAÍDAS-BASE'!H122="","",'SAÍDAS-BASE'!H122)</f>
        <v/>
      </c>
      <c r="J124" t="str">
        <f>IF('SAÍDAS-BASE'!I122="","",'SAÍDAS-BASE'!I122)</f>
        <v/>
      </c>
      <c r="K124" s="5" t="str">
        <f>IF('SAÍDAS-BASE'!J122="","",'SAÍDAS-BASE'!J122)</f>
        <v/>
      </c>
      <c r="L124" t="str">
        <f>IF(TABELA_SAIDAS[[#This Row],[UF]]="","",IFERROR(IF(VLOOKUP(TABELA_SAIDAS[[#This Row],[VALOR]],TABELA_ENTRADAS[VALOR],1,FALSE),"DEVOLUÇÃO"),"SEM ENTRADAS"))</f>
        <v/>
      </c>
    </row>
    <row r="125" spans="2:12" x14ac:dyDescent="0.3">
      <c r="B125" t="str">
        <f>IF('SAÍDAS-BASE'!A123="","",'SAÍDAS-BASE'!A123)</f>
        <v/>
      </c>
      <c r="C125" t="str">
        <f>IF('SAÍDAS-BASE'!B123="","",'SAÍDAS-BASE'!B123)</f>
        <v/>
      </c>
      <c r="D125" t="str">
        <f>IF('SAÍDAS-BASE'!C123="","",'SAÍDAS-BASE'!C123)</f>
        <v/>
      </c>
      <c r="E125" s="7" t="str">
        <f>IF('SAÍDAS-BASE'!D123="","",'SAÍDAS-BASE'!D123)</f>
        <v/>
      </c>
      <c r="F125" s="6" t="str">
        <f>IF('SAÍDAS-BASE'!E123="","",'SAÍDAS-BASE'!E123)</f>
        <v/>
      </c>
      <c r="G125" t="str">
        <f>IF('SAÍDAS-BASE'!F123="","",'SAÍDAS-BASE'!F123)</f>
        <v/>
      </c>
      <c r="H125" t="str">
        <f>IF('SAÍDAS-BASE'!G123="","",'SAÍDAS-BASE'!G123)</f>
        <v/>
      </c>
      <c r="I125" t="str">
        <f>IF('SAÍDAS-BASE'!H123="","",'SAÍDAS-BASE'!H123)</f>
        <v/>
      </c>
      <c r="J125" t="str">
        <f>IF('SAÍDAS-BASE'!I123="","",'SAÍDAS-BASE'!I123)</f>
        <v/>
      </c>
      <c r="K125" s="5" t="str">
        <f>IF('SAÍDAS-BASE'!J123="","",'SAÍDAS-BASE'!J123)</f>
        <v/>
      </c>
      <c r="L125" t="str">
        <f>IF(TABELA_SAIDAS[[#This Row],[UF]]="","",IFERROR(IF(VLOOKUP(TABELA_SAIDAS[[#This Row],[VALOR]],TABELA_ENTRADAS[VALOR],1,FALSE),"DEVOLUÇÃO"),"SEM ENTRADAS"))</f>
        <v/>
      </c>
    </row>
    <row r="126" spans="2:12" x14ac:dyDescent="0.3">
      <c r="B126" t="str">
        <f>IF('SAÍDAS-BASE'!A124="","",'SAÍDAS-BASE'!A124)</f>
        <v/>
      </c>
      <c r="C126" t="str">
        <f>IF('SAÍDAS-BASE'!B124="","",'SAÍDAS-BASE'!B124)</f>
        <v/>
      </c>
      <c r="D126" t="str">
        <f>IF('SAÍDAS-BASE'!C124="","",'SAÍDAS-BASE'!C124)</f>
        <v/>
      </c>
      <c r="E126" s="7" t="str">
        <f>IF('SAÍDAS-BASE'!D124="","",'SAÍDAS-BASE'!D124)</f>
        <v/>
      </c>
      <c r="F126" s="6" t="str">
        <f>IF('SAÍDAS-BASE'!E124="","",'SAÍDAS-BASE'!E124)</f>
        <v/>
      </c>
      <c r="G126" t="str">
        <f>IF('SAÍDAS-BASE'!F124="","",'SAÍDAS-BASE'!F124)</f>
        <v/>
      </c>
      <c r="H126" t="str">
        <f>IF('SAÍDAS-BASE'!G124="","",'SAÍDAS-BASE'!G124)</f>
        <v/>
      </c>
      <c r="I126" t="str">
        <f>IF('SAÍDAS-BASE'!H124="","",'SAÍDAS-BASE'!H124)</f>
        <v/>
      </c>
      <c r="J126" t="str">
        <f>IF('SAÍDAS-BASE'!I124="","",'SAÍDAS-BASE'!I124)</f>
        <v/>
      </c>
      <c r="K126" s="5" t="str">
        <f>IF('SAÍDAS-BASE'!J124="","",'SAÍDAS-BASE'!J124)</f>
        <v/>
      </c>
      <c r="L126" t="str">
        <f>IF(TABELA_SAIDAS[[#This Row],[UF]]="","",IFERROR(IF(VLOOKUP(TABELA_SAIDAS[[#This Row],[VALOR]],TABELA_ENTRADAS[VALOR],1,FALSE),"DEVOLUÇÃO"),"SEM ENTRADAS"))</f>
        <v/>
      </c>
    </row>
    <row r="127" spans="2:12" x14ac:dyDescent="0.3">
      <c r="B127" t="str">
        <f>IF('SAÍDAS-BASE'!A125="","",'SAÍDAS-BASE'!A125)</f>
        <v/>
      </c>
      <c r="C127" t="str">
        <f>IF('SAÍDAS-BASE'!B125="","",'SAÍDAS-BASE'!B125)</f>
        <v/>
      </c>
      <c r="D127" t="str">
        <f>IF('SAÍDAS-BASE'!C125="","",'SAÍDAS-BASE'!C125)</f>
        <v/>
      </c>
      <c r="E127" s="7" t="str">
        <f>IF('SAÍDAS-BASE'!D125="","",'SAÍDAS-BASE'!D125)</f>
        <v/>
      </c>
      <c r="F127" s="6" t="str">
        <f>IF('SAÍDAS-BASE'!E125="","",'SAÍDAS-BASE'!E125)</f>
        <v/>
      </c>
      <c r="G127" t="str">
        <f>IF('SAÍDAS-BASE'!F125="","",'SAÍDAS-BASE'!F125)</f>
        <v/>
      </c>
      <c r="H127" t="str">
        <f>IF('SAÍDAS-BASE'!G125="","",'SAÍDAS-BASE'!G125)</f>
        <v/>
      </c>
      <c r="I127" t="str">
        <f>IF('SAÍDAS-BASE'!H125="","",'SAÍDAS-BASE'!H125)</f>
        <v/>
      </c>
      <c r="J127" t="str">
        <f>IF('SAÍDAS-BASE'!I125="","",'SAÍDAS-BASE'!I125)</f>
        <v/>
      </c>
      <c r="K127" s="5" t="str">
        <f>IF('SAÍDAS-BASE'!J125="","",'SAÍDAS-BASE'!J125)</f>
        <v/>
      </c>
      <c r="L127" t="str">
        <f>IF(TABELA_SAIDAS[[#This Row],[UF]]="","",IFERROR(IF(VLOOKUP(TABELA_SAIDAS[[#This Row],[VALOR]],TABELA_ENTRADAS[VALOR],1,FALSE),"DEVOLUÇÃO"),"SEM ENTRADAS"))</f>
        <v/>
      </c>
    </row>
    <row r="128" spans="2:12" x14ac:dyDescent="0.3">
      <c r="B128" t="str">
        <f>IF('SAÍDAS-BASE'!A126="","",'SAÍDAS-BASE'!A126)</f>
        <v/>
      </c>
      <c r="C128" t="str">
        <f>IF('SAÍDAS-BASE'!B126="","",'SAÍDAS-BASE'!B126)</f>
        <v/>
      </c>
      <c r="D128" t="str">
        <f>IF('SAÍDAS-BASE'!C126="","",'SAÍDAS-BASE'!C126)</f>
        <v/>
      </c>
      <c r="E128" s="7" t="str">
        <f>IF('SAÍDAS-BASE'!D126="","",'SAÍDAS-BASE'!D126)</f>
        <v/>
      </c>
      <c r="F128" s="6" t="str">
        <f>IF('SAÍDAS-BASE'!E126="","",'SAÍDAS-BASE'!E126)</f>
        <v/>
      </c>
      <c r="G128" t="str">
        <f>IF('SAÍDAS-BASE'!F126="","",'SAÍDAS-BASE'!F126)</f>
        <v/>
      </c>
      <c r="H128" t="str">
        <f>IF('SAÍDAS-BASE'!G126="","",'SAÍDAS-BASE'!G126)</f>
        <v/>
      </c>
      <c r="I128" t="str">
        <f>IF('SAÍDAS-BASE'!H126="","",'SAÍDAS-BASE'!H126)</f>
        <v/>
      </c>
      <c r="J128" t="str">
        <f>IF('SAÍDAS-BASE'!I126="","",'SAÍDAS-BASE'!I126)</f>
        <v/>
      </c>
      <c r="K128" s="5" t="str">
        <f>IF('SAÍDAS-BASE'!J126="","",'SAÍDAS-BASE'!J126)</f>
        <v/>
      </c>
      <c r="L128" t="str">
        <f>IF(TABELA_SAIDAS[[#This Row],[UF]]="","",IFERROR(IF(VLOOKUP(TABELA_SAIDAS[[#This Row],[VALOR]],TABELA_ENTRADAS[VALOR],1,FALSE),"DEVOLUÇÃO"),"SEM ENTRADAS"))</f>
        <v/>
      </c>
    </row>
    <row r="129" spans="2:12" x14ac:dyDescent="0.3">
      <c r="B129" t="str">
        <f>IF('SAÍDAS-BASE'!A127="","",'SAÍDAS-BASE'!A127)</f>
        <v/>
      </c>
      <c r="C129" t="str">
        <f>IF('SAÍDAS-BASE'!B127="","",'SAÍDAS-BASE'!B127)</f>
        <v/>
      </c>
      <c r="D129" t="str">
        <f>IF('SAÍDAS-BASE'!C127="","",'SAÍDAS-BASE'!C127)</f>
        <v/>
      </c>
      <c r="E129" s="7" t="str">
        <f>IF('SAÍDAS-BASE'!D127="","",'SAÍDAS-BASE'!D127)</f>
        <v/>
      </c>
      <c r="F129" s="6" t="str">
        <f>IF('SAÍDAS-BASE'!E127="","",'SAÍDAS-BASE'!E127)</f>
        <v/>
      </c>
      <c r="G129" t="str">
        <f>IF('SAÍDAS-BASE'!F127="","",'SAÍDAS-BASE'!F127)</f>
        <v/>
      </c>
      <c r="H129" t="str">
        <f>IF('SAÍDAS-BASE'!G127="","",'SAÍDAS-BASE'!G127)</f>
        <v/>
      </c>
      <c r="I129" t="str">
        <f>IF('SAÍDAS-BASE'!H127="","",'SAÍDAS-BASE'!H127)</f>
        <v/>
      </c>
      <c r="J129" t="str">
        <f>IF('SAÍDAS-BASE'!I127="","",'SAÍDAS-BASE'!I127)</f>
        <v/>
      </c>
      <c r="K129" s="5" t="str">
        <f>IF('SAÍDAS-BASE'!J127="","",'SAÍDAS-BASE'!J127)</f>
        <v/>
      </c>
      <c r="L129" t="str">
        <f>IF(TABELA_SAIDAS[[#This Row],[UF]]="","",IFERROR(IF(VLOOKUP(TABELA_SAIDAS[[#This Row],[VALOR]],TABELA_ENTRADAS[VALOR],1,FALSE),"DEVOLUÇÃO"),"SEM ENTRADAS"))</f>
        <v/>
      </c>
    </row>
    <row r="130" spans="2:12" x14ac:dyDescent="0.3">
      <c r="B130" t="str">
        <f>IF('SAÍDAS-BASE'!A128="","",'SAÍDAS-BASE'!A128)</f>
        <v/>
      </c>
      <c r="C130" t="str">
        <f>IF('SAÍDAS-BASE'!B128="","",'SAÍDAS-BASE'!B128)</f>
        <v/>
      </c>
      <c r="D130" t="str">
        <f>IF('SAÍDAS-BASE'!C128="","",'SAÍDAS-BASE'!C128)</f>
        <v/>
      </c>
      <c r="E130" s="7" t="str">
        <f>IF('SAÍDAS-BASE'!D128="","",'SAÍDAS-BASE'!D128)</f>
        <v/>
      </c>
      <c r="F130" s="6" t="str">
        <f>IF('SAÍDAS-BASE'!E128="","",'SAÍDAS-BASE'!E128)</f>
        <v/>
      </c>
      <c r="G130" t="str">
        <f>IF('SAÍDAS-BASE'!F128="","",'SAÍDAS-BASE'!F128)</f>
        <v/>
      </c>
      <c r="H130" t="str">
        <f>IF('SAÍDAS-BASE'!G128="","",'SAÍDAS-BASE'!G128)</f>
        <v/>
      </c>
      <c r="I130" t="str">
        <f>IF('SAÍDAS-BASE'!H128="","",'SAÍDAS-BASE'!H128)</f>
        <v/>
      </c>
      <c r="J130" t="str">
        <f>IF('SAÍDAS-BASE'!I128="","",'SAÍDAS-BASE'!I128)</f>
        <v/>
      </c>
      <c r="K130" s="5" t="str">
        <f>IF('SAÍDAS-BASE'!J128="","",'SAÍDAS-BASE'!J128)</f>
        <v/>
      </c>
      <c r="L130" t="str">
        <f>IF(TABELA_SAIDAS[[#This Row],[UF]]="","",IFERROR(IF(VLOOKUP(TABELA_SAIDAS[[#This Row],[VALOR]],TABELA_ENTRADAS[VALOR],1,FALSE),"DEVOLUÇÃO"),"SEM ENTRADAS"))</f>
        <v/>
      </c>
    </row>
    <row r="131" spans="2:12" x14ac:dyDescent="0.3">
      <c r="B131" t="str">
        <f>IF('SAÍDAS-BASE'!A129="","",'SAÍDAS-BASE'!A129)</f>
        <v/>
      </c>
      <c r="C131" t="str">
        <f>IF('SAÍDAS-BASE'!B129="","",'SAÍDAS-BASE'!B129)</f>
        <v/>
      </c>
      <c r="D131" t="str">
        <f>IF('SAÍDAS-BASE'!C129="","",'SAÍDAS-BASE'!C129)</f>
        <v/>
      </c>
      <c r="E131" s="7" t="str">
        <f>IF('SAÍDAS-BASE'!D129="","",'SAÍDAS-BASE'!D129)</f>
        <v/>
      </c>
      <c r="F131" s="6" t="str">
        <f>IF('SAÍDAS-BASE'!E129="","",'SAÍDAS-BASE'!E129)</f>
        <v/>
      </c>
      <c r="G131" t="str">
        <f>IF('SAÍDAS-BASE'!F129="","",'SAÍDAS-BASE'!F129)</f>
        <v/>
      </c>
      <c r="H131" t="str">
        <f>IF('SAÍDAS-BASE'!G129="","",'SAÍDAS-BASE'!G129)</f>
        <v/>
      </c>
      <c r="I131" t="str">
        <f>IF('SAÍDAS-BASE'!H129="","",'SAÍDAS-BASE'!H129)</f>
        <v/>
      </c>
      <c r="J131" t="str">
        <f>IF('SAÍDAS-BASE'!I129="","",'SAÍDAS-BASE'!I129)</f>
        <v/>
      </c>
      <c r="K131" s="5" t="str">
        <f>IF('SAÍDAS-BASE'!J129="","",'SAÍDAS-BASE'!J129)</f>
        <v/>
      </c>
      <c r="L131" t="str">
        <f>IF(TABELA_SAIDAS[[#This Row],[UF]]="","",IFERROR(IF(VLOOKUP(TABELA_SAIDAS[[#This Row],[VALOR]],TABELA_ENTRADAS[VALOR],1,FALSE),"DEVOLUÇÃO"),"SEM ENTRADAS"))</f>
        <v/>
      </c>
    </row>
    <row r="132" spans="2:12" x14ac:dyDescent="0.3">
      <c r="B132" t="str">
        <f>IF('SAÍDAS-BASE'!A130="","",'SAÍDAS-BASE'!A130)</f>
        <v/>
      </c>
      <c r="C132" t="str">
        <f>IF('SAÍDAS-BASE'!B130="","",'SAÍDAS-BASE'!B130)</f>
        <v/>
      </c>
      <c r="D132" t="str">
        <f>IF('SAÍDAS-BASE'!C130="","",'SAÍDAS-BASE'!C130)</f>
        <v/>
      </c>
      <c r="E132" s="7" t="str">
        <f>IF('SAÍDAS-BASE'!D130="","",'SAÍDAS-BASE'!D130)</f>
        <v/>
      </c>
      <c r="F132" s="6" t="str">
        <f>IF('SAÍDAS-BASE'!E130="","",'SAÍDAS-BASE'!E130)</f>
        <v/>
      </c>
      <c r="G132" t="str">
        <f>IF('SAÍDAS-BASE'!F130="","",'SAÍDAS-BASE'!F130)</f>
        <v/>
      </c>
      <c r="H132" t="str">
        <f>IF('SAÍDAS-BASE'!G130="","",'SAÍDAS-BASE'!G130)</f>
        <v/>
      </c>
      <c r="I132" t="str">
        <f>IF('SAÍDAS-BASE'!H130="","",'SAÍDAS-BASE'!H130)</f>
        <v/>
      </c>
      <c r="J132" t="str">
        <f>IF('SAÍDAS-BASE'!I130="","",'SAÍDAS-BASE'!I130)</f>
        <v/>
      </c>
      <c r="K132" s="5" t="str">
        <f>IF('SAÍDAS-BASE'!J130="","",'SAÍDAS-BASE'!J130)</f>
        <v/>
      </c>
      <c r="L132" t="str">
        <f>IF(TABELA_SAIDAS[[#This Row],[UF]]="","",IFERROR(IF(VLOOKUP(TABELA_SAIDAS[[#This Row],[VALOR]],TABELA_ENTRADAS[VALOR],1,FALSE),"DEVOLUÇÃO"),"SEM ENTRADAS"))</f>
        <v/>
      </c>
    </row>
    <row r="133" spans="2:12" x14ac:dyDescent="0.3">
      <c r="B133" t="str">
        <f>IF('SAÍDAS-BASE'!A131="","",'SAÍDAS-BASE'!A131)</f>
        <v/>
      </c>
      <c r="C133" t="str">
        <f>IF('SAÍDAS-BASE'!B131="","",'SAÍDAS-BASE'!B131)</f>
        <v/>
      </c>
      <c r="D133" t="str">
        <f>IF('SAÍDAS-BASE'!C131="","",'SAÍDAS-BASE'!C131)</f>
        <v/>
      </c>
      <c r="E133" s="7" t="str">
        <f>IF('SAÍDAS-BASE'!D131="","",'SAÍDAS-BASE'!D131)</f>
        <v/>
      </c>
      <c r="F133" s="6" t="str">
        <f>IF('SAÍDAS-BASE'!E131="","",'SAÍDAS-BASE'!E131)</f>
        <v/>
      </c>
      <c r="G133" t="str">
        <f>IF('SAÍDAS-BASE'!F131="","",'SAÍDAS-BASE'!F131)</f>
        <v/>
      </c>
      <c r="H133" t="str">
        <f>IF('SAÍDAS-BASE'!G131="","",'SAÍDAS-BASE'!G131)</f>
        <v/>
      </c>
      <c r="I133" t="str">
        <f>IF('SAÍDAS-BASE'!H131="","",'SAÍDAS-BASE'!H131)</f>
        <v/>
      </c>
      <c r="J133" t="str">
        <f>IF('SAÍDAS-BASE'!I131="","",'SAÍDAS-BASE'!I131)</f>
        <v/>
      </c>
      <c r="K133" s="5" t="str">
        <f>IF('SAÍDAS-BASE'!J131="","",'SAÍDAS-BASE'!J131)</f>
        <v/>
      </c>
      <c r="L133" t="str">
        <f>IF(TABELA_SAIDAS[[#This Row],[UF]]="","",IFERROR(IF(VLOOKUP(TABELA_SAIDAS[[#This Row],[VALOR]],TABELA_ENTRADAS[VALOR],1,FALSE),"DEVOLUÇÃO"),"SEM ENTRADAS"))</f>
        <v/>
      </c>
    </row>
    <row r="134" spans="2:12" x14ac:dyDescent="0.3">
      <c r="B134" t="str">
        <f>IF('SAÍDAS-BASE'!A132="","",'SAÍDAS-BASE'!A132)</f>
        <v/>
      </c>
      <c r="C134" t="str">
        <f>IF('SAÍDAS-BASE'!B132="","",'SAÍDAS-BASE'!B132)</f>
        <v/>
      </c>
      <c r="D134" t="str">
        <f>IF('SAÍDAS-BASE'!C132="","",'SAÍDAS-BASE'!C132)</f>
        <v/>
      </c>
      <c r="E134" s="7" t="str">
        <f>IF('SAÍDAS-BASE'!D132="","",'SAÍDAS-BASE'!D132)</f>
        <v/>
      </c>
      <c r="F134" s="6" t="str">
        <f>IF('SAÍDAS-BASE'!E132="","",'SAÍDAS-BASE'!E132)</f>
        <v/>
      </c>
      <c r="G134" t="str">
        <f>IF('SAÍDAS-BASE'!F132="","",'SAÍDAS-BASE'!F132)</f>
        <v/>
      </c>
      <c r="H134" t="str">
        <f>IF('SAÍDAS-BASE'!G132="","",'SAÍDAS-BASE'!G132)</f>
        <v/>
      </c>
      <c r="I134" t="str">
        <f>IF('SAÍDAS-BASE'!H132="","",'SAÍDAS-BASE'!H132)</f>
        <v/>
      </c>
      <c r="J134" t="str">
        <f>IF('SAÍDAS-BASE'!I132="","",'SAÍDAS-BASE'!I132)</f>
        <v/>
      </c>
      <c r="K134" s="5" t="str">
        <f>IF('SAÍDAS-BASE'!J132="","",'SAÍDAS-BASE'!J132)</f>
        <v/>
      </c>
      <c r="L134" t="str">
        <f>IF(TABELA_SAIDAS[[#This Row],[UF]]="","",IFERROR(IF(VLOOKUP(TABELA_SAIDAS[[#This Row],[VALOR]],TABELA_ENTRADAS[VALOR],1,FALSE),"DEVOLUÇÃO"),"SEM ENTRADAS"))</f>
        <v/>
      </c>
    </row>
    <row r="135" spans="2:12" x14ac:dyDescent="0.3">
      <c r="B135" t="str">
        <f>IF('SAÍDAS-BASE'!A133="","",'SAÍDAS-BASE'!A133)</f>
        <v/>
      </c>
      <c r="C135" t="str">
        <f>IF('SAÍDAS-BASE'!B133="","",'SAÍDAS-BASE'!B133)</f>
        <v/>
      </c>
      <c r="D135" t="str">
        <f>IF('SAÍDAS-BASE'!C133="","",'SAÍDAS-BASE'!C133)</f>
        <v/>
      </c>
      <c r="E135" s="7" t="str">
        <f>IF('SAÍDAS-BASE'!D133="","",'SAÍDAS-BASE'!D133)</f>
        <v/>
      </c>
      <c r="F135" s="6" t="str">
        <f>IF('SAÍDAS-BASE'!E133="","",'SAÍDAS-BASE'!E133)</f>
        <v/>
      </c>
      <c r="G135" t="str">
        <f>IF('SAÍDAS-BASE'!F133="","",'SAÍDAS-BASE'!F133)</f>
        <v/>
      </c>
      <c r="H135" t="str">
        <f>IF('SAÍDAS-BASE'!G133="","",'SAÍDAS-BASE'!G133)</f>
        <v/>
      </c>
      <c r="I135" t="str">
        <f>IF('SAÍDAS-BASE'!H133="","",'SAÍDAS-BASE'!H133)</f>
        <v/>
      </c>
      <c r="J135" t="str">
        <f>IF('SAÍDAS-BASE'!I133="","",'SAÍDAS-BASE'!I133)</f>
        <v/>
      </c>
      <c r="K135" s="5" t="str">
        <f>IF('SAÍDAS-BASE'!J133="","",'SAÍDAS-BASE'!J133)</f>
        <v/>
      </c>
      <c r="L135" t="str">
        <f>IF(TABELA_SAIDAS[[#This Row],[UF]]="","",IFERROR(IF(VLOOKUP(TABELA_SAIDAS[[#This Row],[VALOR]],TABELA_ENTRADAS[VALOR],1,FALSE),"DEVOLUÇÃO"),"SEM ENTRADAS"))</f>
        <v/>
      </c>
    </row>
    <row r="136" spans="2:12" x14ac:dyDescent="0.3">
      <c r="B136" t="str">
        <f>IF('SAÍDAS-BASE'!A134="","",'SAÍDAS-BASE'!A134)</f>
        <v/>
      </c>
      <c r="C136" t="str">
        <f>IF('SAÍDAS-BASE'!B134="","",'SAÍDAS-BASE'!B134)</f>
        <v/>
      </c>
      <c r="D136" t="str">
        <f>IF('SAÍDAS-BASE'!C134="","",'SAÍDAS-BASE'!C134)</f>
        <v/>
      </c>
      <c r="E136" s="7" t="str">
        <f>IF('SAÍDAS-BASE'!D134="","",'SAÍDAS-BASE'!D134)</f>
        <v/>
      </c>
      <c r="F136" s="6" t="str">
        <f>IF('SAÍDAS-BASE'!E134="","",'SAÍDAS-BASE'!E134)</f>
        <v/>
      </c>
      <c r="G136" t="str">
        <f>IF('SAÍDAS-BASE'!F134="","",'SAÍDAS-BASE'!F134)</f>
        <v/>
      </c>
      <c r="H136" t="str">
        <f>IF('SAÍDAS-BASE'!G134="","",'SAÍDAS-BASE'!G134)</f>
        <v/>
      </c>
      <c r="I136" t="str">
        <f>IF('SAÍDAS-BASE'!H134="","",'SAÍDAS-BASE'!H134)</f>
        <v/>
      </c>
      <c r="J136" t="str">
        <f>IF('SAÍDAS-BASE'!I134="","",'SAÍDAS-BASE'!I134)</f>
        <v/>
      </c>
      <c r="K136" s="5" t="str">
        <f>IF('SAÍDAS-BASE'!J134="","",'SAÍDAS-BASE'!J134)</f>
        <v/>
      </c>
      <c r="L136" t="str">
        <f>IF(TABELA_SAIDAS[[#This Row],[UF]]="","",IFERROR(IF(VLOOKUP(TABELA_SAIDAS[[#This Row],[VALOR]],TABELA_ENTRADAS[VALOR],1,FALSE),"DEVOLUÇÃO"),"SEM ENTRADAS"))</f>
        <v/>
      </c>
    </row>
    <row r="137" spans="2:12" x14ac:dyDescent="0.3">
      <c r="B137" t="str">
        <f>IF('SAÍDAS-BASE'!A135="","",'SAÍDAS-BASE'!A135)</f>
        <v/>
      </c>
      <c r="C137" t="str">
        <f>IF('SAÍDAS-BASE'!B135="","",'SAÍDAS-BASE'!B135)</f>
        <v/>
      </c>
      <c r="D137" t="str">
        <f>IF('SAÍDAS-BASE'!C135="","",'SAÍDAS-BASE'!C135)</f>
        <v/>
      </c>
      <c r="E137" s="7" t="str">
        <f>IF('SAÍDAS-BASE'!D135="","",'SAÍDAS-BASE'!D135)</f>
        <v/>
      </c>
      <c r="F137" s="6" t="str">
        <f>IF('SAÍDAS-BASE'!E135="","",'SAÍDAS-BASE'!E135)</f>
        <v/>
      </c>
      <c r="G137" t="str">
        <f>IF('SAÍDAS-BASE'!F135="","",'SAÍDAS-BASE'!F135)</f>
        <v/>
      </c>
      <c r="H137" t="str">
        <f>IF('SAÍDAS-BASE'!G135="","",'SAÍDAS-BASE'!G135)</f>
        <v/>
      </c>
      <c r="I137" t="str">
        <f>IF('SAÍDAS-BASE'!H135="","",'SAÍDAS-BASE'!H135)</f>
        <v/>
      </c>
      <c r="J137" t="str">
        <f>IF('SAÍDAS-BASE'!I135="","",'SAÍDAS-BASE'!I135)</f>
        <v/>
      </c>
      <c r="K137" s="5" t="str">
        <f>IF('SAÍDAS-BASE'!J135="","",'SAÍDAS-BASE'!J135)</f>
        <v/>
      </c>
      <c r="L137" t="str">
        <f>IF(TABELA_SAIDAS[[#This Row],[UF]]="","",IFERROR(IF(VLOOKUP(TABELA_SAIDAS[[#This Row],[VALOR]],TABELA_ENTRADAS[VALOR],1,FALSE),"DEVOLUÇÃO"),"SEM ENTRADAS"))</f>
        <v/>
      </c>
    </row>
    <row r="138" spans="2:12" x14ac:dyDescent="0.3">
      <c r="B138" t="str">
        <f>IF('SAÍDAS-BASE'!A136="","",'SAÍDAS-BASE'!A136)</f>
        <v/>
      </c>
      <c r="C138" t="str">
        <f>IF('SAÍDAS-BASE'!B136="","",'SAÍDAS-BASE'!B136)</f>
        <v/>
      </c>
      <c r="D138" t="str">
        <f>IF('SAÍDAS-BASE'!C136="","",'SAÍDAS-BASE'!C136)</f>
        <v/>
      </c>
      <c r="E138" s="7" t="str">
        <f>IF('SAÍDAS-BASE'!D136="","",'SAÍDAS-BASE'!D136)</f>
        <v/>
      </c>
      <c r="F138" s="6" t="str">
        <f>IF('SAÍDAS-BASE'!E136="","",'SAÍDAS-BASE'!E136)</f>
        <v/>
      </c>
      <c r="G138" t="str">
        <f>IF('SAÍDAS-BASE'!F136="","",'SAÍDAS-BASE'!F136)</f>
        <v/>
      </c>
      <c r="H138" t="str">
        <f>IF('SAÍDAS-BASE'!G136="","",'SAÍDAS-BASE'!G136)</f>
        <v/>
      </c>
      <c r="I138" t="str">
        <f>IF('SAÍDAS-BASE'!H136="","",'SAÍDAS-BASE'!H136)</f>
        <v/>
      </c>
      <c r="J138" t="str">
        <f>IF('SAÍDAS-BASE'!I136="","",'SAÍDAS-BASE'!I136)</f>
        <v/>
      </c>
      <c r="K138" s="5" t="str">
        <f>IF('SAÍDAS-BASE'!J136="","",'SAÍDAS-BASE'!J136)</f>
        <v/>
      </c>
      <c r="L138" t="str">
        <f>IF(TABELA_SAIDAS[[#This Row],[UF]]="","",IFERROR(IF(VLOOKUP(TABELA_SAIDAS[[#This Row],[VALOR]],TABELA_ENTRADAS[VALOR],1,FALSE),"DEVOLUÇÃO"),"SEM ENTRADAS"))</f>
        <v/>
      </c>
    </row>
    <row r="139" spans="2:12" x14ac:dyDescent="0.3">
      <c r="B139" t="str">
        <f>IF('SAÍDAS-BASE'!A137="","",'SAÍDAS-BASE'!A137)</f>
        <v/>
      </c>
      <c r="C139" t="str">
        <f>IF('SAÍDAS-BASE'!B137="","",'SAÍDAS-BASE'!B137)</f>
        <v/>
      </c>
      <c r="D139" t="str">
        <f>IF('SAÍDAS-BASE'!C137="","",'SAÍDAS-BASE'!C137)</f>
        <v/>
      </c>
      <c r="E139" s="7" t="str">
        <f>IF('SAÍDAS-BASE'!D137="","",'SAÍDAS-BASE'!D137)</f>
        <v/>
      </c>
      <c r="F139" s="6" t="str">
        <f>IF('SAÍDAS-BASE'!E137="","",'SAÍDAS-BASE'!E137)</f>
        <v/>
      </c>
      <c r="G139" t="str">
        <f>IF('SAÍDAS-BASE'!F137="","",'SAÍDAS-BASE'!F137)</f>
        <v/>
      </c>
      <c r="H139" t="str">
        <f>IF('SAÍDAS-BASE'!G137="","",'SAÍDAS-BASE'!G137)</f>
        <v/>
      </c>
      <c r="I139" t="str">
        <f>IF('SAÍDAS-BASE'!H137="","",'SAÍDAS-BASE'!H137)</f>
        <v/>
      </c>
      <c r="J139" t="str">
        <f>IF('SAÍDAS-BASE'!I137="","",'SAÍDAS-BASE'!I137)</f>
        <v/>
      </c>
      <c r="K139" s="5" t="str">
        <f>IF('SAÍDAS-BASE'!J137="","",'SAÍDAS-BASE'!J137)</f>
        <v/>
      </c>
      <c r="L139" t="str">
        <f>IF(TABELA_SAIDAS[[#This Row],[UF]]="","",IFERROR(IF(VLOOKUP(TABELA_SAIDAS[[#This Row],[VALOR]],TABELA_ENTRADAS[VALOR],1,FALSE),"DEVOLUÇÃO"),"SEM ENTRADAS"))</f>
        <v/>
      </c>
    </row>
    <row r="140" spans="2:12" x14ac:dyDescent="0.3">
      <c r="B140" t="str">
        <f>IF('SAÍDAS-BASE'!A138="","",'SAÍDAS-BASE'!A138)</f>
        <v/>
      </c>
      <c r="C140" t="str">
        <f>IF('SAÍDAS-BASE'!B138="","",'SAÍDAS-BASE'!B138)</f>
        <v/>
      </c>
      <c r="D140" t="str">
        <f>IF('SAÍDAS-BASE'!C138="","",'SAÍDAS-BASE'!C138)</f>
        <v/>
      </c>
      <c r="E140" s="7" t="str">
        <f>IF('SAÍDAS-BASE'!D138="","",'SAÍDAS-BASE'!D138)</f>
        <v/>
      </c>
      <c r="F140" s="6" t="str">
        <f>IF('SAÍDAS-BASE'!E138="","",'SAÍDAS-BASE'!E138)</f>
        <v/>
      </c>
      <c r="G140" t="str">
        <f>IF('SAÍDAS-BASE'!F138="","",'SAÍDAS-BASE'!F138)</f>
        <v/>
      </c>
      <c r="H140" t="str">
        <f>IF('SAÍDAS-BASE'!G138="","",'SAÍDAS-BASE'!G138)</f>
        <v/>
      </c>
      <c r="I140" t="str">
        <f>IF('SAÍDAS-BASE'!H138="","",'SAÍDAS-BASE'!H138)</f>
        <v/>
      </c>
      <c r="J140" t="str">
        <f>IF('SAÍDAS-BASE'!I138="","",'SAÍDAS-BASE'!I138)</f>
        <v/>
      </c>
      <c r="K140" s="5" t="str">
        <f>IF('SAÍDAS-BASE'!J138="","",'SAÍDAS-BASE'!J138)</f>
        <v/>
      </c>
      <c r="L140" t="str">
        <f>IF(TABELA_SAIDAS[[#This Row],[UF]]="","",IFERROR(IF(VLOOKUP(TABELA_SAIDAS[[#This Row],[VALOR]],TABELA_ENTRADAS[VALOR],1,FALSE),"DEVOLUÇÃO"),"SEM ENTRADAS"))</f>
        <v/>
      </c>
    </row>
    <row r="141" spans="2:12" x14ac:dyDescent="0.3">
      <c r="B141" t="str">
        <f>IF('SAÍDAS-BASE'!A139="","",'SAÍDAS-BASE'!A139)</f>
        <v/>
      </c>
      <c r="C141" t="str">
        <f>IF('SAÍDAS-BASE'!B139="","",'SAÍDAS-BASE'!B139)</f>
        <v/>
      </c>
      <c r="D141" t="str">
        <f>IF('SAÍDAS-BASE'!C139="","",'SAÍDAS-BASE'!C139)</f>
        <v/>
      </c>
      <c r="E141" s="7" t="str">
        <f>IF('SAÍDAS-BASE'!D139="","",'SAÍDAS-BASE'!D139)</f>
        <v/>
      </c>
      <c r="F141" s="6" t="str">
        <f>IF('SAÍDAS-BASE'!E139="","",'SAÍDAS-BASE'!E139)</f>
        <v/>
      </c>
      <c r="G141" t="str">
        <f>IF('SAÍDAS-BASE'!F139="","",'SAÍDAS-BASE'!F139)</f>
        <v/>
      </c>
      <c r="H141" t="str">
        <f>IF('SAÍDAS-BASE'!G139="","",'SAÍDAS-BASE'!G139)</f>
        <v/>
      </c>
      <c r="I141" t="str">
        <f>IF('SAÍDAS-BASE'!H139="","",'SAÍDAS-BASE'!H139)</f>
        <v/>
      </c>
      <c r="J141" t="str">
        <f>IF('SAÍDAS-BASE'!I139="","",'SAÍDAS-BASE'!I139)</f>
        <v/>
      </c>
      <c r="K141" s="5" t="str">
        <f>IF('SAÍDAS-BASE'!J139="","",'SAÍDAS-BASE'!J139)</f>
        <v/>
      </c>
      <c r="L141" t="str">
        <f>IF(TABELA_SAIDAS[[#This Row],[UF]]="","",IFERROR(IF(VLOOKUP(TABELA_SAIDAS[[#This Row],[VALOR]],TABELA_ENTRADAS[VALOR],1,FALSE),"DEVOLUÇÃO"),"SEM ENTRADAS"))</f>
        <v/>
      </c>
    </row>
    <row r="142" spans="2:12" x14ac:dyDescent="0.3">
      <c r="B142" t="str">
        <f>IF('SAÍDAS-BASE'!A140="","",'SAÍDAS-BASE'!A140)</f>
        <v/>
      </c>
      <c r="C142" t="str">
        <f>IF('SAÍDAS-BASE'!B140="","",'SAÍDAS-BASE'!B140)</f>
        <v/>
      </c>
      <c r="D142" t="str">
        <f>IF('SAÍDAS-BASE'!C140="","",'SAÍDAS-BASE'!C140)</f>
        <v/>
      </c>
      <c r="E142" s="7" t="str">
        <f>IF('SAÍDAS-BASE'!D140="","",'SAÍDAS-BASE'!D140)</f>
        <v/>
      </c>
      <c r="F142" s="6" t="str">
        <f>IF('SAÍDAS-BASE'!E140="","",'SAÍDAS-BASE'!E140)</f>
        <v/>
      </c>
      <c r="G142" t="str">
        <f>IF('SAÍDAS-BASE'!F140="","",'SAÍDAS-BASE'!F140)</f>
        <v/>
      </c>
      <c r="H142" t="str">
        <f>IF('SAÍDAS-BASE'!G140="","",'SAÍDAS-BASE'!G140)</f>
        <v/>
      </c>
      <c r="I142" t="str">
        <f>IF('SAÍDAS-BASE'!H140="","",'SAÍDAS-BASE'!H140)</f>
        <v/>
      </c>
      <c r="J142" t="str">
        <f>IF('SAÍDAS-BASE'!I140="","",'SAÍDAS-BASE'!I140)</f>
        <v/>
      </c>
      <c r="K142" s="5" t="str">
        <f>IF('SAÍDAS-BASE'!J140="","",'SAÍDAS-BASE'!J140)</f>
        <v/>
      </c>
      <c r="L142" t="str">
        <f>IF(TABELA_SAIDAS[[#This Row],[UF]]="","",IFERROR(IF(VLOOKUP(TABELA_SAIDAS[[#This Row],[VALOR]],TABELA_ENTRADAS[VALOR],1,FALSE),"DEVOLUÇÃO"),"SEM ENTRADAS"))</f>
        <v/>
      </c>
    </row>
    <row r="143" spans="2:12" x14ac:dyDescent="0.3">
      <c r="B143" t="str">
        <f>IF('SAÍDAS-BASE'!A141="","",'SAÍDAS-BASE'!A141)</f>
        <v/>
      </c>
      <c r="C143" t="str">
        <f>IF('SAÍDAS-BASE'!B141="","",'SAÍDAS-BASE'!B141)</f>
        <v/>
      </c>
      <c r="D143" t="str">
        <f>IF('SAÍDAS-BASE'!C141="","",'SAÍDAS-BASE'!C141)</f>
        <v/>
      </c>
      <c r="E143" s="7" t="str">
        <f>IF('SAÍDAS-BASE'!D141="","",'SAÍDAS-BASE'!D141)</f>
        <v/>
      </c>
      <c r="F143" s="6" t="str">
        <f>IF('SAÍDAS-BASE'!E141="","",'SAÍDAS-BASE'!E141)</f>
        <v/>
      </c>
      <c r="G143" t="str">
        <f>IF('SAÍDAS-BASE'!F141="","",'SAÍDAS-BASE'!F141)</f>
        <v/>
      </c>
      <c r="H143" t="str">
        <f>IF('SAÍDAS-BASE'!G141="","",'SAÍDAS-BASE'!G141)</f>
        <v/>
      </c>
      <c r="I143" t="str">
        <f>IF('SAÍDAS-BASE'!H141="","",'SAÍDAS-BASE'!H141)</f>
        <v/>
      </c>
      <c r="J143" t="str">
        <f>IF('SAÍDAS-BASE'!I141="","",'SAÍDAS-BASE'!I141)</f>
        <v/>
      </c>
      <c r="K143" s="5" t="str">
        <f>IF('SAÍDAS-BASE'!J141="","",'SAÍDAS-BASE'!J141)</f>
        <v/>
      </c>
      <c r="L143" t="str">
        <f>IF(TABELA_SAIDAS[[#This Row],[UF]]="","",IFERROR(IF(VLOOKUP(TABELA_SAIDAS[[#This Row],[VALOR]],TABELA_ENTRADAS[VALOR],1,FALSE),"DEVOLUÇÃO"),"SEM ENTRADAS"))</f>
        <v/>
      </c>
    </row>
    <row r="144" spans="2:12" x14ac:dyDescent="0.3">
      <c r="B144" t="str">
        <f>IF('SAÍDAS-BASE'!A142="","",'SAÍDAS-BASE'!A142)</f>
        <v/>
      </c>
      <c r="C144" t="str">
        <f>IF('SAÍDAS-BASE'!B142="","",'SAÍDAS-BASE'!B142)</f>
        <v/>
      </c>
      <c r="D144" t="str">
        <f>IF('SAÍDAS-BASE'!C142="","",'SAÍDAS-BASE'!C142)</f>
        <v/>
      </c>
      <c r="E144" s="7" t="str">
        <f>IF('SAÍDAS-BASE'!D142="","",'SAÍDAS-BASE'!D142)</f>
        <v/>
      </c>
      <c r="F144" s="6" t="str">
        <f>IF('SAÍDAS-BASE'!E142="","",'SAÍDAS-BASE'!E142)</f>
        <v/>
      </c>
      <c r="G144" t="str">
        <f>IF('SAÍDAS-BASE'!F142="","",'SAÍDAS-BASE'!F142)</f>
        <v/>
      </c>
      <c r="H144" t="str">
        <f>IF('SAÍDAS-BASE'!G142="","",'SAÍDAS-BASE'!G142)</f>
        <v/>
      </c>
      <c r="I144" t="str">
        <f>IF('SAÍDAS-BASE'!H142="","",'SAÍDAS-BASE'!H142)</f>
        <v/>
      </c>
      <c r="J144" t="str">
        <f>IF('SAÍDAS-BASE'!I142="","",'SAÍDAS-BASE'!I142)</f>
        <v/>
      </c>
      <c r="K144" s="5" t="str">
        <f>IF('SAÍDAS-BASE'!J142="","",'SAÍDAS-BASE'!J142)</f>
        <v/>
      </c>
      <c r="L144" t="str">
        <f>IF(TABELA_SAIDAS[[#This Row],[UF]]="","",IFERROR(IF(VLOOKUP(TABELA_SAIDAS[[#This Row],[VALOR]],TABELA_ENTRADAS[VALOR],1,FALSE),"DEVOLUÇÃO"),"SEM ENTRADAS"))</f>
        <v/>
      </c>
    </row>
    <row r="145" spans="2:12" x14ac:dyDescent="0.3">
      <c r="B145" t="str">
        <f>IF('SAÍDAS-BASE'!A143="","",'SAÍDAS-BASE'!A143)</f>
        <v/>
      </c>
      <c r="C145" t="str">
        <f>IF('SAÍDAS-BASE'!B143="","",'SAÍDAS-BASE'!B143)</f>
        <v/>
      </c>
      <c r="D145" t="str">
        <f>IF('SAÍDAS-BASE'!C143="","",'SAÍDAS-BASE'!C143)</f>
        <v/>
      </c>
      <c r="E145" s="7" t="str">
        <f>IF('SAÍDAS-BASE'!D143="","",'SAÍDAS-BASE'!D143)</f>
        <v/>
      </c>
      <c r="F145" s="6" t="str">
        <f>IF('SAÍDAS-BASE'!E143="","",'SAÍDAS-BASE'!E143)</f>
        <v/>
      </c>
      <c r="G145" t="str">
        <f>IF('SAÍDAS-BASE'!F143="","",'SAÍDAS-BASE'!F143)</f>
        <v/>
      </c>
      <c r="H145" t="str">
        <f>IF('SAÍDAS-BASE'!G143="","",'SAÍDAS-BASE'!G143)</f>
        <v/>
      </c>
      <c r="I145" t="str">
        <f>IF('SAÍDAS-BASE'!H143="","",'SAÍDAS-BASE'!H143)</f>
        <v/>
      </c>
      <c r="J145" t="str">
        <f>IF('SAÍDAS-BASE'!I143="","",'SAÍDAS-BASE'!I143)</f>
        <v/>
      </c>
      <c r="K145" s="5" t="str">
        <f>IF('SAÍDAS-BASE'!J143="","",'SAÍDAS-BASE'!J143)</f>
        <v/>
      </c>
      <c r="L145" t="str">
        <f>IF(TABELA_SAIDAS[[#This Row],[UF]]="","",IFERROR(IF(VLOOKUP(TABELA_SAIDAS[[#This Row],[VALOR]],TABELA_ENTRADAS[VALOR],1,FALSE),"DEVOLUÇÃO"),"SEM ENTRADAS"))</f>
        <v/>
      </c>
    </row>
    <row r="146" spans="2:12" x14ac:dyDescent="0.3">
      <c r="B146" t="str">
        <f>IF('SAÍDAS-BASE'!A144="","",'SAÍDAS-BASE'!A144)</f>
        <v/>
      </c>
      <c r="C146" t="str">
        <f>IF('SAÍDAS-BASE'!B144="","",'SAÍDAS-BASE'!B144)</f>
        <v/>
      </c>
      <c r="D146" t="str">
        <f>IF('SAÍDAS-BASE'!C144="","",'SAÍDAS-BASE'!C144)</f>
        <v/>
      </c>
      <c r="E146" s="7" t="str">
        <f>IF('SAÍDAS-BASE'!D144="","",'SAÍDAS-BASE'!D144)</f>
        <v/>
      </c>
      <c r="F146" s="6" t="str">
        <f>IF('SAÍDAS-BASE'!E144="","",'SAÍDAS-BASE'!E144)</f>
        <v/>
      </c>
      <c r="G146" t="str">
        <f>IF('SAÍDAS-BASE'!F144="","",'SAÍDAS-BASE'!F144)</f>
        <v/>
      </c>
      <c r="H146" t="str">
        <f>IF('SAÍDAS-BASE'!G144="","",'SAÍDAS-BASE'!G144)</f>
        <v/>
      </c>
      <c r="I146" t="str">
        <f>IF('SAÍDAS-BASE'!H144="","",'SAÍDAS-BASE'!H144)</f>
        <v/>
      </c>
      <c r="J146" t="str">
        <f>IF('SAÍDAS-BASE'!I144="","",'SAÍDAS-BASE'!I144)</f>
        <v/>
      </c>
      <c r="K146" s="5" t="str">
        <f>IF('SAÍDAS-BASE'!J144="","",'SAÍDAS-BASE'!J144)</f>
        <v/>
      </c>
      <c r="L146" t="str">
        <f>IF(TABELA_SAIDAS[[#This Row],[UF]]="","",IFERROR(IF(VLOOKUP(TABELA_SAIDAS[[#This Row],[VALOR]],TABELA_ENTRADAS[VALOR],1,FALSE),"DEVOLUÇÃO"),"SEM ENTRADAS"))</f>
        <v/>
      </c>
    </row>
    <row r="147" spans="2:12" x14ac:dyDescent="0.3">
      <c r="B147" t="str">
        <f>IF('SAÍDAS-BASE'!A145="","",'SAÍDAS-BASE'!A145)</f>
        <v/>
      </c>
      <c r="C147" t="str">
        <f>IF('SAÍDAS-BASE'!B145="","",'SAÍDAS-BASE'!B145)</f>
        <v/>
      </c>
      <c r="D147" t="str">
        <f>IF('SAÍDAS-BASE'!C145="","",'SAÍDAS-BASE'!C145)</f>
        <v/>
      </c>
      <c r="E147" s="7" t="str">
        <f>IF('SAÍDAS-BASE'!D145="","",'SAÍDAS-BASE'!D145)</f>
        <v/>
      </c>
      <c r="F147" s="6" t="str">
        <f>IF('SAÍDAS-BASE'!E145="","",'SAÍDAS-BASE'!E145)</f>
        <v/>
      </c>
      <c r="G147" t="str">
        <f>IF('SAÍDAS-BASE'!F145="","",'SAÍDAS-BASE'!F145)</f>
        <v/>
      </c>
      <c r="H147" t="str">
        <f>IF('SAÍDAS-BASE'!G145="","",'SAÍDAS-BASE'!G145)</f>
        <v/>
      </c>
      <c r="I147" t="str">
        <f>IF('SAÍDAS-BASE'!H145="","",'SAÍDAS-BASE'!H145)</f>
        <v/>
      </c>
      <c r="J147" t="str">
        <f>IF('SAÍDAS-BASE'!I145="","",'SAÍDAS-BASE'!I145)</f>
        <v/>
      </c>
      <c r="K147" s="5" t="str">
        <f>IF('SAÍDAS-BASE'!J145="","",'SAÍDAS-BASE'!J145)</f>
        <v/>
      </c>
      <c r="L147" t="str">
        <f>IF(TABELA_SAIDAS[[#This Row],[UF]]="","",IFERROR(IF(VLOOKUP(TABELA_SAIDAS[[#This Row],[VALOR]],TABELA_ENTRADAS[VALOR],1,FALSE),"DEVOLUÇÃO"),"SEM ENTRADAS"))</f>
        <v/>
      </c>
    </row>
    <row r="148" spans="2:12" x14ac:dyDescent="0.3">
      <c r="B148" t="str">
        <f>IF('SAÍDAS-BASE'!A146="","",'SAÍDAS-BASE'!A146)</f>
        <v/>
      </c>
      <c r="C148" t="str">
        <f>IF('SAÍDAS-BASE'!B146="","",'SAÍDAS-BASE'!B146)</f>
        <v/>
      </c>
      <c r="D148" t="str">
        <f>IF('SAÍDAS-BASE'!C146="","",'SAÍDAS-BASE'!C146)</f>
        <v/>
      </c>
      <c r="E148" s="7" t="str">
        <f>IF('SAÍDAS-BASE'!D146="","",'SAÍDAS-BASE'!D146)</f>
        <v/>
      </c>
      <c r="F148" s="6" t="str">
        <f>IF('SAÍDAS-BASE'!E146="","",'SAÍDAS-BASE'!E146)</f>
        <v/>
      </c>
      <c r="G148" t="str">
        <f>IF('SAÍDAS-BASE'!F146="","",'SAÍDAS-BASE'!F146)</f>
        <v/>
      </c>
      <c r="H148" t="str">
        <f>IF('SAÍDAS-BASE'!G146="","",'SAÍDAS-BASE'!G146)</f>
        <v/>
      </c>
      <c r="I148" t="str">
        <f>IF('SAÍDAS-BASE'!H146="","",'SAÍDAS-BASE'!H146)</f>
        <v/>
      </c>
      <c r="J148" t="str">
        <f>IF('SAÍDAS-BASE'!I146="","",'SAÍDAS-BASE'!I146)</f>
        <v/>
      </c>
      <c r="K148" s="5" t="str">
        <f>IF('SAÍDAS-BASE'!J146="","",'SAÍDAS-BASE'!J146)</f>
        <v/>
      </c>
      <c r="L148" t="str">
        <f>IF(TABELA_SAIDAS[[#This Row],[UF]]="","",IFERROR(IF(VLOOKUP(TABELA_SAIDAS[[#This Row],[VALOR]],TABELA_ENTRADAS[VALOR],1,FALSE),"DEVOLUÇÃO"),"SEM ENTRADAS"))</f>
        <v/>
      </c>
    </row>
    <row r="149" spans="2:12" x14ac:dyDescent="0.3">
      <c r="B149" t="str">
        <f>IF('SAÍDAS-BASE'!A147="","",'SAÍDAS-BASE'!A147)</f>
        <v/>
      </c>
      <c r="C149" t="str">
        <f>IF('SAÍDAS-BASE'!B147="","",'SAÍDAS-BASE'!B147)</f>
        <v/>
      </c>
      <c r="D149" t="str">
        <f>IF('SAÍDAS-BASE'!C147="","",'SAÍDAS-BASE'!C147)</f>
        <v/>
      </c>
      <c r="E149" s="7" t="str">
        <f>IF('SAÍDAS-BASE'!D147="","",'SAÍDAS-BASE'!D147)</f>
        <v/>
      </c>
      <c r="F149" s="6" t="str">
        <f>IF('SAÍDAS-BASE'!E147="","",'SAÍDAS-BASE'!E147)</f>
        <v/>
      </c>
      <c r="G149" t="str">
        <f>IF('SAÍDAS-BASE'!F147="","",'SAÍDAS-BASE'!F147)</f>
        <v/>
      </c>
      <c r="H149" t="str">
        <f>IF('SAÍDAS-BASE'!G147="","",'SAÍDAS-BASE'!G147)</f>
        <v/>
      </c>
      <c r="I149" t="str">
        <f>IF('SAÍDAS-BASE'!H147="","",'SAÍDAS-BASE'!H147)</f>
        <v/>
      </c>
      <c r="J149" t="str">
        <f>IF('SAÍDAS-BASE'!I147="","",'SAÍDAS-BASE'!I147)</f>
        <v/>
      </c>
      <c r="K149" s="5" t="str">
        <f>IF('SAÍDAS-BASE'!J147="","",'SAÍDAS-BASE'!J147)</f>
        <v/>
      </c>
      <c r="L149" t="str">
        <f>IF(TABELA_SAIDAS[[#This Row],[UF]]="","",IFERROR(IF(VLOOKUP(TABELA_SAIDAS[[#This Row],[VALOR]],TABELA_ENTRADAS[VALOR],1,FALSE),"DEVOLUÇÃO"),"SEM ENTRADAS"))</f>
        <v/>
      </c>
    </row>
    <row r="150" spans="2:12" x14ac:dyDescent="0.3">
      <c r="B150" t="str">
        <f>IF('SAÍDAS-BASE'!A148="","",'SAÍDAS-BASE'!A148)</f>
        <v/>
      </c>
      <c r="C150" t="str">
        <f>IF('SAÍDAS-BASE'!B148="","",'SAÍDAS-BASE'!B148)</f>
        <v/>
      </c>
      <c r="D150" t="str">
        <f>IF('SAÍDAS-BASE'!C148="","",'SAÍDAS-BASE'!C148)</f>
        <v/>
      </c>
      <c r="E150" s="7" t="str">
        <f>IF('SAÍDAS-BASE'!D148="","",'SAÍDAS-BASE'!D148)</f>
        <v/>
      </c>
      <c r="F150" s="6" t="str">
        <f>IF('SAÍDAS-BASE'!E148="","",'SAÍDAS-BASE'!E148)</f>
        <v/>
      </c>
      <c r="G150" t="str">
        <f>IF('SAÍDAS-BASE'!F148="","",'SAÍDAS-BASE'!F148)</f>
        <v/>
      </c>
      <c r="H150" t="str">
        <f>IF('SAÍDAS-BASE'!G148="","",'SAÍDAS-BASE'!G148)</f>
        <v/>
      </c>
      <c r="I150" t="str">
        <f>IF('SAÍDAS-BASE'!H148="","",'SAÍDAS-BASE'!H148)</f>
        <v/>
      </c>
      <c r="J150" t="str">
        <f>IF('SAÍDAS-BASE'!I148="","",'SAÍDAS-BASE'!I148)</f>
        <v/>
      </c>
      <c r="K150" s="5" t="str">
        <f>IF('SAÍDAS-BASE'!J148="","",'SAÍDAS-BASE'!J148)</f>
        <v/>
      </c>
      <c r="L150" t="str">
        <f>IF(TABELA_SAIDAS[[#This Row],[UF]]="","",IFERROR(IF(VLOOKUP(TABELA_SAIDAS[[#This Row],[VALOR]],TABELA_ENTRADAS[VALOR],1,FALSE),"DEVOLUÇÃO"),"SEM ENTRADAS"))</f>
        <v/>
      </c>
    </row>
    <row r="151" spans="2:12" x14ac:dyDescent="0.3">
      <c r="B151" t="str">
        <f>IF('SAÍDAS-BASE'!A149="","",'SAÍDAS-BASE'!A149)</f>
        <v/>
      </c>
      <c r="C151" t="str">
        <f>IF('SAÍDAS-BASE'!B149="","",'SAÍDAS-BASE'!B149)</f>
        <v/>
      </c>
      <c r="D151" t="str">
        <f>IF('SAÍDAS-BASE'!C149="","",'SAÍDAS-BASE'!C149)</f>
        <v/>
      </c>
      <c r="E151" s="7" t="str">
        <f>IF('SAÍDAS-BASE'!D149="","",'SAÍDAS-BASE'!D149)</f>
        <v/>
      </c>
      <c r="F151" s="6" t="str">
        <f>IF('SAÍDAS-BASE'!E149="","",'SAÍDAS-BASE'!E149)</f>
        <v/>
      </c>
      <c r="G151" t="str">
        <f>IF('SAÍDAS-BASE'!F149="","",'SAÍDAS-BASE'!F149)</f>
        <v/>
      </c>
      <c r="H151" t="str">
        <f>IF('SAÍDAS-BASE'!G149="","",'SAÍDAS-BASE'!G149)</f>
        <v/>
      </c>
      <c r="I151" t="str">
        <f>IF('SAÍDAS-BASE'!H149="","",'SAÍDAS-BASE'!H149)</f>
        <v/>
      </c>
      <c r="J151" t="str">
        <f>IF('SAÍDAS-BASE'!I149="","",'SAÍDAS-BASE'!I149)</f>
        <v/>
      </c>
      <c r="K151" s="5" t="str">
        <f>IF('SAÍDAS-BASE'!J149="","",'SAÍDAS-BASE'!J149)</f>
        <v/>
      </c>
      <c r="L151" t="str">
        <f>IF(TABELA_SAIDAS[[#This Row],[UF]]="","",IFERROR(IF(VLOOKUP(TABELA_SAIDAS[[#This Row],[VALOR]],TABELA_ENTRADAS[VALOR],1,FALSE),"DEVOLUÇÃO"),"SEM ENTRADAS"))</f>
        <v/>
      </c>
    </row>
    <row r="152" spans="2:12" x14ac:dyDescent="0.3">
      <c r="B152" t="str">
        <f>IF('SAÍDAS-BASE'!A150="","",'SAÍDAS-BASE'!A150)</f>
        <v/>
      </c>
      <c r="C152" t="str">
        <f>IF('SAÍDAS-BASE'!B150="","",'SAÍDAS-BASE'!B150)</f>
        <v/>
      </c>
      <c r="D152" t="str">
        <f>IF('SAÍDAS-BASE'!C150="","",'SAÍDAS-BASE'!C150)</f>
        <v/>
      </c>
      <c r="E152" s="7" t="str">
        <f>IF('SAÍDAS-BASE'!D150="","",'SAÍDAS-BASE'!D150)</f>
        <v/>
      </c>
      <c r="F152" s="6" t="str">
        <f>IF('SAÍDAS-BASE'!E150="","",'SAÍDAS-BASE'!E150)</f>
        <v/>
      </c>
      <c r="G152" t="str">
        <f>IF('SAÍDAS-BASE'!F150="","",'SAÍDAS-BASE'!F150)</f>
        <v/>
      </c>
      <c r="H152" t="str">
        <f>IF('SAÍDAS-BASE'!G150="","",'SAÍDAS-BASE'!G150)</f>
        <v/>
      </c>
      <c r="I152" t="str">
        <f>IF('SAÍDAS-BASE'!H150="","",'SAÍDAS-BASE'!H150)</f>
        <v/>
      </c>
      <c r="J152" t="str">
        <f>IF('SAÍDAS-BASE'!I150="","",'SAÍDAS-BASE'!I150)</f>
        <v/>
      </c>
      <c r="K152" s="5" t="str">
        <f>IF('SAÍDAS-BASE'!J150="","",'SAÍDAS-BASE'!J150)</f>
        <v/>
      </c>
      <c r="L152" t="str">
        <f>IF(TABELA_SAIDAS[[#This Row],[UF]]="","",IFERROR(IF(VLOOKUP(TABELA_SAIDAS[[#This Row],[VALOR]],TABELA_ENTRADAS[VALOR],1,FALSE),"DEVOLUÇÃO"),"SEM ENTRADAS"))</f>
        <v/>
      </c>
    </row>
    <row r="153" spans="2:12" x14ac:dyDescent="0.3">
      <c r="B153" t="str">
        <f>IF('SAÍDAS-BASE'!A151="","",'SAÍDAS-BASE'!A151)</f>
        <v/>
      </c>
      <c r="C153" t="str">
        <f>IF('SAÍDAS-BASE'!B151="","",'SAÍDAS-BASE'!B151)</f>
        <v/>
      </c>
      <c r="D153" t="str">
        <f>IF('SAÍDAS-BASE'!C151="","",'SAÍDAS-BASE'!C151)</f>
        <v/>
      </c>
      <c r="E153" s="7" t="str">
        <f>IF('SAÍDAS-BASE'!D151="","",'SAÍDAS-BASE'!D151)</f>
        <v/>
      </c>
      <c r="F153" s="6" t="str">
        <f>IF('SAÍDAS-BASE'!E151="","",'SAÍDAS-BASE'!E151)</f>
        <v/>
      </c>
      <c r="G153" t="str">
        <f>IF('SAÍDAS-BASE'!F151="","",'SAÍDAS-BASE'!F151)</f>
        <v/>
      </c>
      <c r="H153" t="str">
        <f>IF('SAÍDAS-BASE'!G151="","",'SAÍDAS-BASE'!G151)</f>
        <v/>
      </c>
      <c r="I153" t="str">
        <f>IF('SAÍDAS-BASE'!H151="","",'SAÍDAS-BASE'!H151)</f>
        <v/>
      </c>
      <c r="J153" t="str">
        <f>IF('SAÍDAS-BASE'!I151="","",'SAÍDAS-BASE'!I151)</f>
        <v/>
      </c>
      <c r="K153" s="5" t="str">
        <f>IF('SAÍDAS-BASE'!J151="","",'SAÍDAS-BASE'!J151)</f>
        <v/>
      </c>
      <c r="L153" t="str">
        <f>IF(TABELA_SAIDAS[[#This Row],[UF]]="","",IFERROR(IF(VLOOKUP(TABELA_SAIDAS[[#This Row],[VALOR]],TABELA_ENTRADAS[VALOR],1,FALSE),"DEVOLUÇÃO"),"SEM ENTRADAS"))</f>
        <v/>
      </c>
    </row>
    <row r="154" spans="2:12" x14ac:dyDescent="0.3">
      <c r="B154" t="str">
        <f>IF('SAÍDAS-BASE'!A152="","",'SAÍDAS-BASE'!A152)</f>
        <v/>
      </c>
      <c r="C154" t="str">
        <f>IF('SAÍDAS-BASE'!B152="","",'SAÍDAS-BASE'!B152)</f>
        <v/>
      </c>
      <c r="D154" t="str">
        <f>IF('SAÍDAS-BASE'!C152="","",'SAÍDAS-BASE'!C152)</f>
        <v/>
      </c>
      <c r="E154" s="7" t="str">
        <f>IF('SAÍDAS-BASE'!D152="","",'SAÍDAS-BASE'!D152)</f>
        <v/>
      </c>
      <c r="F154" s="6" t="str">
        <f>IF('SAÍDAS-BASE'!E152="","",'SAÍDAS-BASE'!E152)</f>
        <v/>
      </c>
      <c r="G154" t="str">
        <f>IF('SAÍDAS-BASE'!F152="","",'SAÍDAS-BASE'!F152)</f>
        <v/>
      </c>
      <c r="H154" t="str">
        <f>IF('SAÍDAS-BASE'!G152="","",'SAÍDAS-BASE'!G152)</f>
        <v/>
      </c>
      <c r="I154" t="str">
        <f>IF('SAÍDAS-BASE'!H152="","",'SAÍDAS-BASE'!H152)</f>
        <v/>
      </c>
      <c r="J154" t="str">
        <f>IF('SAÍDAS-BASE'!I152="","",'SAÍDAS-BASE'!I152)</f>
        <v/>
      </c>
      <c r="K154" s="5" t="str">
        <f>IF('SAÍDAS-BASE'!J152="","",'SAÍDAS-BASE'!J152)</f>
        <v/>
      </c>
      <c r="L154" t="str">
        <f>IF(TABELA_SAIDAS[[#This Row],[UF]]="","",IFERROR(IF(VLOOKUP(TABELA_SAIDAS[[#This Row],[VALOR]],TABELA_ENTRADAS[VALOR],1,FALSE),"DEVOLUÇÃO"),"SEM ENTRADAS"))</f>
        <v/>
      </c>
    </row>
    <row r="155" spans="2:12" x14ac:dyDescent="0.3">
      <c r="B155" t="str">
        <f>IF('SAÍDAS-BASE'!A153="","",'SAÍDAS-BASE'!A153)</f>
        <v/>
      </c>
      <c r="C155" t="str">
        <f>IF('SAÍDAS-BASE'!B153="","",'SAÍDAS-BASE'!B153)</f>
        <v/>
      </c>
      <c r="D155" t="str">
        <f>IF('SAÍDAS-BASE'!C153="","",'SAÍDAS-BASE'!C153)</f>
        <v/>
      </c>
      <c r="E155" s="7" t="str">
        <f>IF('SAÍDAS-BASE'!D153="","",'SAÍDAS-BASE'!D153)</f>
        <v/>
      </c>
      <c r="F155" s="6" t="str">
        <f>IF('SAÍDAS-BASE'!E153="","",'SAÍDAS-BASE'!E153)</f>
        <v/>
      </c>
      <c r="G155" t="str">
        <f>IF('SAÍDAS-BASE'!F153="","",'SAÍDAS-BASE'!F153)</f>
        <v/>
      </c>
      <c r="H155" t="str">
        <f>IF('SAÍDAS-BASE'!G153="","",'SAÍDAS-BASE'!G153)</f>
        <v/>
      </c>
      <c r="I155" t="str">
        <f>IF('SAÍDAS-BASE'!H153="","",'SAÍDAS-BASE'!H153)</f>
        <v/>
      </c>
      <c r="J155" t="str">
        <f>IF('SAÍDAS-BASE'!I153="","",'SAÍDAS-BASE'!I153)</f>
        <v/>
      </c>
      <c r="K155" s="5" t="str">
        <f>IF('SAÍDAS-BASE'!J153="","",'SAÍDAS-BASE'!J153)</f>
        <v/>
      </c>
      <c r="L155" t="str">
        <f>IF(TABELA_SAIDAS[[#This Row],[UF]]="","",IFERROR(IF(VLOOKUP(TABELA_SAIDAS[[#This Row],[VALOR]],TABELA_ENTRADAS[VALOR],1,FALSE),"DEVOLUÇÃO"),"SEM ENTRADAS"))</f>
        <v/>
      </c>
    </row>
    <row r="156" spans="2:12" x14ac:dyDescent="0.3">
      <c r="B156" t="str">
        <f>IF('SAÍDAS-BASE'!A154="","",'SAÍDAS-BASE'!A154)</f>
        <v/>
      </c>
      <c r="C156" t="str">
        <f>IF('SAÍDAS-BASE'!B154="","",'SAÍDAS-BASE'!B154)</f>
        <v/>
      </c>
      <c r="D156" t="str">
        <f>IF('SAÍDAS-BASE'!C154="","",'SAÍDAS-BASE'!C154)</f>
        <v/>
      </c>
      <c r="E156" s="7" t="str">
        <f>IF('SAÍDAS-BASE'!D154="","",'SAÍDAS-BASE'!D154)</f>
        <v/>
      </c>
      <c r="F156" s="6" t="str">
        <f>IF('SAÍDAS-BASE'!E154="","",'SAÍDAS-BASE'!E154)</f>
        <v/>
      </c>
      <c r="G156" t="str">
        <f>IF('SAÍDAS-BASE'!F154="","",'SAÍDAS-BASE'!F154)</f>
        <v/>
      </c>
      <c r="H156" t="str">
        <f>IF('SAÍDAS-BASE'!G154="","",'SAÍDAS-BASE'!G154)</f>
        <v/>
      </c>
      <c r="I156" t="str">
        <f>IF('SAÍDAS-BASE'!H154="","",'SAÍDAS-BASE'!H154)</f>
        <v/>
      </c>
      <c r="J156" t="str">
        <f>IF('SAÍDAS-BASE'!I154="","",'SAÍDAS-BASE'!I154)</f>
        <v/>
      </c>
      <c r="K156" s="5" t="str">
        <f>IF('SAÍDAS-BASE'!J154="","",'SAÍDAS-BASE'!J154)</f>
        <v/>
      </c>
      <c r="L156" t="str">
        <f>IF(TABELA_SAIDAS[[#This Row],[UF]]="","",IFERROR(IF(VLOOKUP(TABELA_SAIDAS[[#This Row],[VALOR]],TABELA_ENTRADAS[VALOR],1,FALSE),"DEVOLUÇÃO"),"SEM ENTRADAS"))</f>
        <v/>
      </c>
    </row>
    <row r="157" spans="2:12" x14ac:dyDescent="0.3">
      <c r="B157" t="str">
        <f>IF('SAÍDAS-BASE'!A155="","",'SAÍDAS-BASE'!A155)</f>
        <v/>
      </c>
      <c r="C157" t="str">
        <f>IF('SAÍDAS-BASE'!B155="","",'SAÍDAS-BASE'!B155)</f>
        <v/>
      </c>
      <c r="D157" t="str">
        <f>IF('SAÍDAS-BASE'!C155="","",'SAÍDAS-BASE'!C155)</f>
        <v/>
      </c>
      <c r="E157" s="7" t="str">
        <f>IF('SAÍDAS-BASE'!D155="","",'SAÍDAS-BASE'!D155)</f>
        <v/>
      </c>
      <c r="F157" s="6" t="str">
        <f>IF('SAÍDAS-BASE'!E155="","",'SAÍDAS-BASE'!E155)</f>
        <v/>
      </c>
      <c r="G157" t="str">
        <f>IF('SAÍDAS-BASE'!F155="","",'SAÍDAS-BASE'!F155)</f>
        <v/>
      </c>
      <c r="H157" t="str">
        <f>IF('SAÍDAS-BASE'!G155="","",'SAÍDAS-BASE'!G155)</f>
        <v/>
      </c>
      <c r="I157" t="str">
        <f>IF('SAÍDAS-BASE'!H155="","",'SAÍDAS-BASE'!H155)</f>
        <v/>
      </c>
      <c r="J157" t="str">
        <f>IF('SAÍDAS-BASE'!I155="","",'SAÍDAS-BASE'!I155)</f>
        <v/>
      </c>
      <c r="K157" s="5" t="str">
        <f>IF('SAÍDAS-BASE'!J155="","",'SAÍDAS-BASE'!J155)</f>
        <v/>
      </c>
      <c r="L157" t="str">
        <f>IF(TABELA_SAIDAS[[#This Row],[UF]]="","",IFERROR(IF(VLOOKUP(TABELA_SAIDAS[[#This Row],[VALOR]],TABELA_ENTRADAS[VALOR],1,FALSE),"DEVOLUÇÃO"),"SEM ENTRADAS"))</f>
        <v/>
      </c>
    </row>
    <row r="158" spans="2:12" x14ac:dyDescent="0.3">
      <c r="B158" t="str">
        <f>IF('SAÍDAS-BASE'!A156="","",'SAÍDAS-BASE'!A156)</f>
        <v/>
      </c>
      <c r="C158" t="str">
        <f>IF('SAÍDAS-BASE'!B156="","",'SAÍDAS-BASE'!B156)</f>
        <v/>
      </c>
      <c r="D158" t="str">
        <f>IF('SAÍDAS-BASE'!C156="","",'SAÍDAS-BASE'!C156)</f>
        <v/>
      </c>
      <c r="E158" s="7" t="str">
        <f>IF('SAÍDAS-BASE'!D156="","",'SAÍDAS-BASE'!D156)</f>
        <v/>
      </c>
      <c r="F158" s="6" t="str">
        <f>IF('SAÍDAS-BASE'!E156="","",'SAÍDAS-BASE'!E156)</f>
        <v/>
      </c>
      <c r="G158" t="str">
        <f>IF('SAÍDAS-BASE'!F156="","",'SAÍDAS-BASE'!F156)</f>
        <v/>
      </c>
      <c r="H158" t="str">
        <f>IF('SAÍDAS-BASE'!G156="","",'SAÍDAS-BASE'!G156)</f>
        <v/>
      </c>
      <c r="I158" t="str">
        <f>IF('SAÍDAS-BASE'!H156="","",'SAÍDAS-BASE'!H156)</f>
        <v/>
      </c>
      <c r="J158" t="str">
        <f>IF('SAÍDAS-BASE'!I156="","",'SAÍDAS-BASE'!I156)</f>
        <v/>
      </c>
      <c r="K158" s="5" t="str">
        <f>IF('SAÍDAS-BASE'!J156="","",'SAÍDAS-BASE'!J156)</f>
        <v/>
      </c>
      <c r="L158" t="str">
        <f>IF(TABELA_SAIDAS[[#This Row],[UF]]="","",IFERROR(IF(VLOOKUP(TABELA_SAIDAS[[#This Row],[VALOR]],TABELA_ENTRADAS[VALOR],1,FALSE),"DEVOLUÇÃO"),"SEM ENTRADAS"))</f>
        <v/>
      </c>
    </row>
    <row r="159" spans="2:12" x14ac:dyDescent="0.3">
      <c r="B159" t="str">
        <f>IF('SAÍDAS-BASE'!A157="","",'SAÍDAS-BASE'!A157)</f>
        <v/>
      </c>
      <c r="C159" t="str">
        <f>IF('SAÍDAS-BASE'!B157="","",'SAÍDAS-BASE'!B157)</f>
        <v/>
      </c>
      <c r="D159" t="str">
        <f>IF('SAÍDAS-BASE'!C157="","",'SAÍDAS-BASE'!C157)</f>
        <v/>
      </c>
      <c r="E159" s="7" t="str">
        <f>IF('SAÍDAS-BASE'!D157="","",'SAÍDAS-BASE'!D157)</f>
        <v/>
      </c>
      <c r="F159" s="6" t="str">
        <f>IF('SAÍDAS-BASE'!E157="","",'SAÍDAS-BASE'!E157)</f>
        <v/>
      </c>
      <c r="G159" t="str">
        <f>IF('SAÍDAS-BASE'!F157="","",'SAÍDAS-BASE'!F157)</f>
        <v/>
      </c>
      <c r="H159" t="str">
        <f>IF('SAÍDAS-BASE'!G157="","",'SAÍDAS-BASE'!G157)</f>
        <v/>
      </c>
      <c r="I159" t="str">
        <f>IF('SAÍDAS-BASE'!H157="","",'SAÍDAS-BASE'!H157)</f>
        <v/>
      </c>
      <c r="J159" t="str">
        <f>IF('SAÍDAS-BASE'!I157="","",'SAÍDAS-BASE'!I157)</f>
        <v/>
      </c>
      <c r="K159" s="5" t="str">
        <f>IF('SAÍDAS-BASE'!J157="","",'SAÍDAS-BASE'!J157)</f>
        <v/>
      </c>
      <c r="L159" t="str">
        <f>IF(TABELA_SAIDAS[[#This Row],[UF]]="","",IFERROR(IF(VLOOKUP(TABELA_SAIDAS[[#This Row],[VALOR]],TABELA_ENTRADAS[VALOR],1,FALSE),"DEVOLUÇÃO"),"SEM ENTRADAS"))</f>
        <v/>
      </c>
    </row>
    <row r="160" spans="2:12" x14ac:dyDescent="0.3">
      <c r="B160" t="str">
        <f>IF('SAÍDAS-BASE'!A158="","",'SAÍDAS-BASE'!A158)</f>
        <v/>
      </c>
      <c r="C160" t="str">
        <f>IF('SAÍDAS-BASE'!B158="","",'SAÍDAS-BASE'!B158)</f>
        <v/>
      </c>
      <c r="D160" t="str">
        <f>IF('SAÍDAS-BASE'!C158="","",'SAÍDAS-BASE'!C158)</f>
        <v/>
      </c>
      <c r="E160" s="7" t="str">
        <f>IF('SAÍDAS-BASE'!D158="","",'SAÍDAS-BASE'!D158)</f>
        <v/>
      </c>
      <c r="F160" s="6" t="str">
        <f>IF('SAÍDAS-BASE'!E158="","",'SAÍDAS-BASE'!E158)</f>
        <v/>
      </c>
      <c r="G160" t="str">
        <f>IF('SAÍDAS-BASE'!F158="","",'SAÍDAS-BASE'!F158)</f>
        <v/>
      </c>
      <c r="H160" t="str">
        <f>IF('SAÍDAS-BASE'!G158="","",'SAÍDAS-BASE'!G158)</f>
        <v/>
      </c>
      <c r="I160" t="str">
        <f>IF('SAÍDAS-BASE'!H158="","",'SAÍDAS-BASE'!H158)</f>
        <v/>
      </c>
      <c r="J160" t="str">
        <f>IF('SAÍDAS-BASE'!I158="","",'SAÍDAS-BASE'!I158)</f>
        <v/>
      </c>
      <c r="K160" s="5" t="str">
        <f>IF('SAÍDAS-BASE'!J158="","",'SAÍDAS-BASE'!J158)</f>
        <v/>
      </c>
      <c r="L160" t="str">
        <f>IF(TABELA_SAIDAS[[#This Row],[UF]]="","",IFERROR(IF(VLOOKUP(TABELA_SAIDAS[[#This Row],[VALOR]],TABELA_ENTRADAS[VALOR],1,FALSE),"DEVOLUÇÃO"),"SEM ENTRADAS"))</f>
        <v/>
      </c>
    </row>
    <row r="161" spans="2:12" x14ac:dyDescent="0.3">
      <c r="B161" t="str">
        <f>IF('SAÍDAS-BASE'!A159="","",'SAÍDAS-BASE'!A159)</f>
        <v/>
      </c>
      <c r="C161" t="str">
        <f>IF('SAÍDAS-BASE'!B159="","",'SAÍDAS-BASE'!B159)</f>
        <v/>
      </c>
      <c r="D161" t="str">
        <f>IF('SAÍDAS-BASE'!C159="","",'SAÍDAS-BASE'!C159)</f>
        <v/>
      </c>
      <c r="E161" s="7" t="str">
        <f>IF('SAÍDAS-BASE'!D159="","",'SAÍDAS-BASE'!D159)</f>
        <v/>
      </c>
      <c r="F161" s="6" t="str">
        <f>IF('SAÍDAS-BASE'!E159="","",'SAÍDAS-BASE'!E159)</f>
        <v/>
      </c>
      <c r="G161" t="str">
        <f>IF('SAÍDAS-BASE'!F159="","",'SAÍDAS-BASE'!F159)</f>
        <v/>
      </c>
      <c r="H161" t="str">
        <f>IF('SAÍDAS-BASE'!G159="","",'SAÍDAS-BASE'!G159)</f>
        <v/>
      </c>
      <c r="I161" t="str">
        <f>IF('SAÍDAS-BASE'!H159="","",'SAÍDAS-BASE'!H159)</f>
        <v/>
      </c>
      <c r="J161" t="str">
        <f>IF('SAÍDAS-BASE'!I159="","",'SAÍDAS-BASE'!I159)</f>
        <v/>
      </c>
      <c r="K161" s="5" t="str">
        <f>IF('SAÍDAS-BASE'!J159="","",'SAÍDAS-BASE'!J159)</f>
        <v/>
      </c>
      <c r="L161" t="str">
        <f>IF(TABELA_SAIDAS[[#This Row],[UF]]="","",IFERROR(IF(VLOOKUP(TABELA_SAIDAS[[#This Row],[VALOR]],TABELA_ENTRADAS[VALOR],1,FALSE),"DEVOLUÇÃO"),"SEM ENTRADAS"))</f>
        <v/>
      </c>
    </row>
    <row r="162" spans="2:12" x14ac:dyDescent="0.3">
      <c r="B162" t="str">
        <f>IF('SAÍDAS-BASE'!A160="","",'SAÍDAS-BASE'!A160)</f>
        <v/>
      </c>
      <c r="C162" t="str">
        <f>IF('SAÍDAS-BASE'!B160="","",'SAÍDAS-BASE'!B160)</f>
        <v/>
      </c>
      <c r="D162" t="str">
        <f>IF('SAÍDAS-BASE'!C160="","",'SAÍDAS-BASE'!C160)</f>
        <v/>
      </c>
      <c r="E162" s="7" t="str">
        <f>IF('SAÍDAS-BASE'!D160="","",'SAÍDAS-BASE'!D160)</f>
        <v/>
      </c>
      <c r="F162" s="6" t="str">
        <f>IF('SAÍDAS-BASE'!E160="","",'SAÍDAS-BASE'!E160)</f>
        <v/>
      </c>
      <c r="G162" t="str">
        <f>IF('SAÍDAS-BASE'!F160="","",'SAÍDAS-BASE'!F160)</f>
        <v/>
      </c>
      <c r="H162" t="str">
        <f>IF('SAÍDAS-BASE'!G160="","",'SAÍDAS-BASE'!G160)</f>
        <v/>
      </c>
      <c r="I162" t="str">
        <f>IF('SAÍDAS-BASE'!H160="","",'SAÍDAS-BASE'!H160)</f>
        <v/>
      </c>
      <c r="J162" t="str">
        <f>IF('SAÍDAS-BASE'!I160="","",'SAÍDAS-BASE'!I160)</f>
        <v/>
      </c>
      <c r="K162" s="5" t="str">
        <f>IF('SAÍDAS-BASE'!J160="","",'SAÍDAS-BASE'!J160)</f>
        <v/>
      </c>
      <c r="L162" t="str">
        <f>IF(TABELA_SAIDAS[[#This Row],[UF]]="","",IFERROR(IF(VLOOKUP(TABELA_SAIDAS[[#This Row],[VALOR]],TABELA_ENTRADAS[VALOR],1,FALSE),"DEVOLUÇÃO"),"SEM ENTRADAS"))</f>
        <v/>
      </c>
    </row>
    <row r="163" spans="2:12" x14ac:dyDescent="0.3">
      <c r="B163" t="str">
        <f>IF('SAÍDAS-BASE'!A161="","",'SAÍDAS-BASE'!A161)</f>
        <v/>
      </c>
      <c r="C163" t="str">
        <f>IF('SAÍDAS-BASE'!B161="","",'SAÍDAS-BASE'!B161)</f>
        <v/>
      </c>
      <c r="D163" t="str">
        <f>IF('SAÍDAS-BASE'!C161="","",'SAÍDAS-BASE'!C161)</f>
        <v/>
      </c>
      <c r="E163" s="7" t="str">
        <f>IF('SAÍDAS-BASE'!D161="","",'SAÍDAS-BASE'!D161)</f>
        <v/>
      </c>
      <c r="F163" s="6" t="str">
        <f>IF('SAÍDAS-BASE'!E161="","",'SAÍDAS-BASE'!E161)</f>
        <v/>
      </c>
      <c r="G163" t="str">
        <f>IF('SAÍDAS-BASE'!F161="","",'SAÍDAS-BASE'!F161)</f>
        <v/>
      </c>
      <c r="H163" t="str">
        <f>IF('SAÍDAS-BASE'!G161="","",'SAÍDAS-BASE'!G161)</f>
        <v/>
      </c>
      <c r="I163" t="str">
        <f>IF('SAÍDAS-BASE'!H161="","",'SAÍDAS-BASE'!H161)</f>
        <v/>
      </c>
      <c r="J163" t="str">
        <f>IF('SAÍDAS-BASE'!I161="","",'SAÍDAS-BASE'!I161)</f>
        <v/>
      </c>
      <c r="K163" s="5" t="str">
        <f>IF('SAÍDAS-BASE'!J161="","",'SAÍDAS-BASE'!J161)</f>
        <v/>
      </c>
      <c r="L163" t="str">
        <f>IF(TABELA_SAIDAS[[#This Row],[UF]]="","",IFERROR(IF(VLOOKUP(TABELA_SAIDAS[[#This Row],[VALOR]],TABELA_ENTRADAS[VALOR],1,FALSE),"DEVOLUÇÃO"),"SEM ENTRADAS"))</f>
        <v/>
      </c>
    </row>
    <row r="164" spans="2:12" x14ac:dyDescent="0.3">
      <c r="B164" t="str">
        <f>IF('SAÍDAS-BASE'!A162="","",'SAÍDAS-BASE'!A162)</f>
        <v/>
      </c>
      <c r="C164" t="str">
        <f>IF('SAÍDAS-BASE'!B162="","",'SAÍDAS-BASE'!B162)</f>
        <v/>
      </c>
      <c r="D164" t="str">
        <f>IF('SAÍDAS-BASE'!C162="","",'SAÍDAS-BASE'!C162)</f>
        <v/>
      </c>
      <c r="E164" s="7" t="str">
        <f>IF('SAÍDAS-BASE'!D162="","",'SAÍDAS-BASE'!D162)</f>
        <v/>
      </c>
      <c r="F164" s="6" t="str">
        <f>IF('SAÍDAS-BASE'!E162="","",'SAÍDAS-BASE'!E162)</f>
        <v/>
      </c>
      <c r="G164" t="str">
        <f>IF('SAÍDAS-BASE'!F162="","",'SAÍDAS-BASE'!F162)</f>
        <v/>
      </c>
      <c r="H164" t="str">
        <f>IF('SAÍDAS-BASE'!G162="","",'SAÍDAS-BASE'!G162)</f>
        <v/>
      </c>
      <c r="I164" t="str">
        <f>IF('SAÍDAS-BASE'!H162="","",'SAÍDAS-BASE'!H162)</f>
        <v/>
      </c>
      <c r="J164" t="str">
        <f>IF('SAÍDAS-BASE'!I162="","",'SAÍDAS-BASE'!I162)</f>
        <v/>
      </c>
      <c r="K164" s="5" t="str">
        <f>IF('SAÍDAS-BASE'!J162="","",'SAÍDAS-BASE'!J162)</f>
        <v/>
      </c>
      <c r="L164" t="str">
        <f>IF(TABELA_SAIDAS[[#This Row],[UF]]="","",IFERROR(IF(VLOOKUP(TABELA_SAIDAS[[#This Row],[VALOR]],TABELA_ENTRADAS[VALOR],1,FALSE),"DEVOLUÇÃO"),"SEM ENTRADAS"))</f>
        <v/>
      </c>
    </row>
    <row r="165" spans="2:12" x14ac:dyDescent="0.3">
      <c r="B165" t="str">
        <f>IF('SAÍDAS-BASE'!A163="","",'SAÍDAS-BASE'!A163)</f>
        <v/>
      </c>
      <c r="C165" t="str">
        <f>IF('SAÍDAS-BASE'!B163="","",'SAÍDAS-BASE'!B163)</f>
        <v/>
      </c>
      <c r="D165" t="str">
        <f>IF('SAÍDAS-BASE'!C163="","",'SAÍDAS-BASE'!C163)</f>
        <v/>
      </c>
      <c r="E165" s="7" t="str">
        <f>IF('SAÍDAS-BASE'!D163="","",'SAÍDAS-BASE'!D163)</f>
        <v/>
      </c>
      <c r="F165" s="6" t="str">
        <f>IF('SAÍDAS-BASE'!E163="","",'SAÍDAS-BASE'!E163)</f>
        <v/>
      </c>
      <c r="G165" t="str">
        <f>IF('SAÍDAS-BASE'!F163="","",'SAÍDAS-BASE'!F163)</f>
        <v/>
      </c>
      <c r="H165" t="str">
        <f>IF('SAÍDAS-BASE'!G163="","",'SAÍDAS-BASE'!G163)</f>
        <v/>
      </c>
      <c r="I165" t="str">
        <f>IF('SAÍDAS-BASE'!H163="","",'SAÍDAS-BASE'!H163)</f>
        <v/>
      </c>
      <c r="J165" t="str">
        <f>IF('SAÍDAS-BASE'!I163="","",'SAÍDAS-BASE'!I163)</f>
        <v/>
      </c>
      <c r="K165" s="5" t="str">
        <f>IF('SAÍDAS-BASE'!J163="","",'SAÍDAS-BASE'!J163)</f>
        <v/>
      </c>
      <c r="L165" t="str">
        <f>IF(TABELA_SAIDAS[[#This Row],[UF]]="","",IFERROR(IF(VLOOKUP(TABELA_SAIDAS[[#This Row],[VALOR]],TABELA_ENTRADAS[VALOR],1,FALSE),"DEVOLUÇÃO"),"SEM ENTRADAS"))</f>
        <v/>
      </c>
    </row>
    <row r="166" spans="2:12" x14ac:dyDescent="0.3">
      <c r="B166" t="str">
        <f>IF('SAÍDAS-BASE'!A164="","",'SAÍDAS-BASE'!A164)</f>
        <v/>
      </c>
      <c r="C166" t="str">
        <f>IF('SAÍDAS-BASE'!B164="","",'SAÍDAS-BASE'!B164)</f>
        <v/>
      </c>
      <c r="D166" t="str">
        <f>IF('SAÍDAS-BASE'!C164="","",'SAÍDAS-BASE'!C164)</f>
        <v/>
      </c>
      <c r="E166" s="7" t="str">
        <f>IF('SAÍDAS-BASE'!D164="","",'SAÍDAS-BASE'!D164)</f>
        <v/>
      </c>
      <c r="F166" s="6" t="str">
        <f>IF('SAÍDAS-BASE'!E164="","",'SAÍDAS-BASE'!E164)</f>
        <v/>
      </c>
      <c r="G166" t="str">
        <f>IF('SAÍDAS-BASE'!F164="","",'SAÍDAS-BASE'!F164)</f>
        <v/>
      </c>
      <c r="H166" t="str">
        <f>IF('SAÍDAS-BASE'!G164="","",'SAÍDAS-BASE'!G164)</f>
        <v/>
      </c>
      <c r="I166" t="str">
        <f>IF('SAÍDAS-BASE'!H164="","",'SAÍDAS-BASE'!H164)</f>
        <v/>
      </c>
      <c r="J166" t="str">
        <f>IF('SAÍDAS-BASE'!I164="","",'SAÍDAS-BASE'!I164)</f>
        <v/>
      </c>
      <c r="K166" s="5" t="str">
        <f>IF('SAÍDAS-BASE'!J164="","",'SAÍDAS-BASE'!J164)</f>
        <v/>
      </c>
      <c r="L166" t="str">
        <f>IF(TABELA_SAIDAS[[#This Row],[UF]]="","",IFERROR(IF(VLOOKUP(TABELA_SAIDAS[[#This Row],[VALOR]],TABELA_ENTRADAS[VALOR],1,FALSE),"DEVOLUÇÃO"),"SEM ENTRADAS"))</f>
        <v/>
      </c>
    </row>
    <row r="167" spans="2:12" x14ac:dyDescent="0.3">
      <c r="B167" t="str">
        <f>IF('SAÍDAS-BASE'!A165="","",'SAÍDAS-BASE'!A165)</f>
        <v/>
      </c>
      <c r="C167" t="str">
        <f>IF('SAÍDAS-BASE'!B165="","",'SAÍDAS-BASE'!B165)</f>
        <v/>
      </c>
      <c r="D167" t="str">
        <f>IF('SAÍDAS-BASE'!C165="","",'SAÍDAS-BASE'!C165)</f>
        <v/>
      </c>
      <c r="E167" s="7" t="str">
        <f>IF('SAÍDAS-BASE'!D165="","",'SAÍDAS-BASE'!D165)</f>
        <v/>
      </c>
      <c r="F167" s="6" t="str">
        <f>IF('SAÍDAS-BASE'!E165="","",'SAÍDAS-BASE'!E165)</f>
        <v/>
      </c>
      <c r="G167" t="str">
        <f>IF('SAÍDAS-BASE'!F165="","",'SAÍDAS-BASE'!F165)</f>
        <v/>
      </c>
      <c r="H167" t="str">
        <f>IF('SAÍDAS-BASE'!G165="","",'SAÍDAS-BASE'!G165)</f>
        <v/>
      </c>
      <c r="I167" t="str">
        <f>IF('SAÍDAS-BASE'!H165="","",'SAÍDAS-BASE'!H165)</f>
        <v/>
      </c>
      <c r="J167" t="str">
        <f>IF('SAÍDAS-BASE'!I165="","",'SAÍDAS-BASE'!I165)</f>
        <v/>
      </c>
      <c r="K167" s="5" t="str">
        <f>IF('SAÍDAS-BASE'!J165="","",'SAÍDAS-BASE'!J165)</f>
        <v/>
      </c>
      <c r="L167" t="str">
        <f>IF(TABELA_SAIDAS[[#This Row],[UF]]="","",IFERROR(IF(VLOOKUP(TABELA_SAIDAS[[#This Row],[VALOR]],TABELA_ENTRADAS[VALOR],1,FALSE),"DEVOLUÇÃO"),"SEM ENTRADAS"))</f>
        <v/>
      </c>
    </row>
    <row r="168" spans="2:12" x14ac:dyDescent="0.3">
      <c r="B168" t="str">
        <f>IF('SAÍDAS-BASE'!A166="","",'SAÍDAS-BASE'!A166)</f>
        <v/>
      </c>
      <c r="C168" t="str">
        <f>IF('SAÍDAS-BASE'!B166="","",'SAÍDAS-BASE'!B166)</f>
        <v/>
      </c>
      <c r="D168" t="str">
        <f>IF('SAÍDAS-BASE'!C166="","",'SAÍDAS-BASE'!C166)</f>
        <v/>
      </c>
      <c r="E168" s="7" t="str">
        <f>IF('SAÍDAS-BASE'!D166="","",'SAÍDAS-BASE'!D166)</f>
        <v/>
      </c>
      <c r="F168" s="6" t="str">
        <f>IF('SAÍDAS-BASE'!E166="","",'SAÍDAS-BASE'!E166)</f>
        <v/>
      </c>
      <c r="G168" t="str">
        <f>IF('SAÍDAS-BASE'!F166="","",'SAÍDAS-BASE'!F166)</f>
        <v/>
      </c>
      <c r="H168" t="str">
        <f>IF('SAÍDAS-BASE'!G166="","",'SAÍDAS-BASE'!G166)</f>
        <v/>
      </c>
      <c r="I168" t="str">
        <f>IF('SAÍDAS-BASE'!H166="","",'SAÍDAS-BASE'!H166)</f>
        <v/>
      </c>
      <c r="J168" t="str">
        <f>IF('SAÍDAS-BASE'!I166="","",'SAÍDAS-BASE'!I166)</f>
        <v/>
      </c>
      <c r="K168" s="5" t="str">
        <f>IF('SAÍDAS-BASE'!J166="","",'SAÍDAS-BASE'!J166)</f>
        <v/>
      </c>
      <c r="L168" t="str">
        <f>IF(TABELA_SAIDAS[[#This Row],[UF]]="","",IFERROR(IF(VLOOKUP(TABELA_SAIDAS[[#This Row],[VALOR]],TABELA_ENTRADAS[VALOR],1,FALSE),"DEVOLUÇÃO"),"SEM ENTRADAS"))</f>
        <v/>
      </c>
    </row>
    <row r="169" spans="2:12" x14ac:dyDescent="0.3">
      <c r="B169" t="str">
        <f>IF('SAÍDAS-BASE'!A167="","",'SAÍDAS-BASE'!A167)</f>
        <v/>
      </c>
      <c r="C169" t="str">
        <f>IF('SAÍDAS-BASE'!B167="","",'SAÍDAS-BASE'!B167)</f>
        <v/>
      </c>
      <c r="D169" t="str">
        <f>IF('SAÍDAS-BASE'!C167="","",'SAÍDAS-BASE'!C167)</f>
        <v/>
      </c>
      <c r="E169" s="7" t="str">
        <f>IF('SAÍDAS-BASE'!D167="","",'SAÍDAS-BASE'!D167)</f>
        <v/>
      </c>
      <c r="F169" s="6" t="str">
        <f>IF('SAÍDAS-BASE'!E167="","",'SAÍDAS-BASE'!E167)</f>
        <v/>
      </c>
      <c r="G169" t="str">
        <f>IF('SAÍDAS-BASE'!F167="","",'SAÍDAS-BASE'!F167)</f>
        <v/>
      </c>
      <c r="H169" t="str">
        <f>IF('SAÍDAS-BASE'!G167="","",'SAÍDAS-BASE'!G167)</f>
        <v/>
      </c>
      <c r="I169" t="str">
        <f>IF('SAÍDAS-BASE'!H167="","",'SAÍDAS-BASE'!H167)</f>
        <v/>
      </c>
      <c r="J169" t="str">
        <f>IF('SAÍDAS-BASE'!I167="","",'SAÍDAS-BASE'!I167)</f>
        <v/>
      </c>
      <c r="K169" s="5" t="str">
        <f>IF('SAÍDAS-BASE'!J167="","",'SAÍDAS-BASE'!J167)</f>
        <v/>
      </c>
      <c r="L169" t="str">
        <f>IF(TABELA_SAIDAS[[#This Row],[UF]]="","",IFERROR(IF(VLOOKUP(TABELA_SAIDAS[[#This Row],[VALOR]],TABELA_ENTRADAS[VALOR],1,FALSE),"DEVOLUÇÃO"),"SEM ENTRADAS"))</f>
        <v/>
      </c>
    </row>
    <row r="170" spans="2:12" x14ac:dyDescent="0.3">
      <c r="B170" t="str">
        <f>IF('SAÍDAS-BASE'!A168="","",'SAÍDAS-BASE'!A168)</f>
        <v/>
      </c>
      <c r="C170" t="str">
        <f>IF('SAÍDAS-BASE'!B168="","",'SAÍDAS-BASE'!B168)</f>
        <v/>
      </c>
      <c r="D170" t="str">
        <f>IF('SAÍDAS-BASE'!C168="","",'SAÍDAS-BASE'!C168)</f>
        <v/>
      </c>
      <c r="E170" s="7" t="str">
        <f>IF('SAÍDAS-BASE'!D168="","",'SAÍDAS-BASE'!D168)</f>
        <v/>
      </c>
      <c r="F170" s="6" t="str">
        <f>IF('SAÍDAS-BASE'!E168="","",'SAÍDAS-BASE'!E168)</f>
        <v/>
      </c>
      <c r="G170" t="str">
        <f>IF('SAÍDAS-BASE'!F168="","",'SAÍDAS-BASE'!F168)</f>
        <v/>
      </c>
      <c r="H170" t="str">
        <f>IF('SAÍDAS-BASE'!G168="","",'SAÍDAS-BASE'!G168)</f>
        <v/>
      </c>
      <c r="I170" t="str">
        <f>IF('SAÍDAS-BASE'!H168="","",'SAÍDAS-BASE'!H168)</f>
        <v/>
      </c>
      <c r="J170" t="str">
        <f>IF('SAÍDAS-BASE'!I168="","",'SAÍDAS-BASE'!I168)</f>
        <v/>
      </c>
      <c r="K170" s="5" t="str">
        <f>IF('SAÍDAS-BASE'!J168="","",'SAÍDAS-BASE'!J168)</f>
        <v/>
      </c>
      <c r="L170" t="str">
        <f>IF(TABELA_SAIDAS[[#This Row],[UF]]="","",IFERROR(IF(VLOOKUP(TABELA_SAIDAS[[#This Row],[VALOR]],TABELA_ENTRADAS[VALOR],1,FALSE),"DEVOLUÇÃO"),"SEM ENTRADAS"))</f>
        <v/>
      </c>
    </row>
    <row r="171" spans="2:12" x14ac:dyDescent="0.3">
      <c r="B171" t="str">
        <f>IF('SAÍDAS-BASE'!A169="","",'SAÍDAS-BASE'!A169)</f>
        <v/>
      </c>
      <c r="C171" t="str">
        <f>IF('SAÍDAS-BASE'!B169="","",'SAÍDAS-BASE'!B169)</f>
        <v/>
      </c>
      <c r="D171" t="str">
        <f>IF('SAÍDAS-BASE'!C169="","",'SAÍDAS-BASE'!C169)</f>
        <v/>
      </c>
      <c r="E171" s="7" t="str">
        <f>IF('SAÍDAS-BASE'!D169="","",'SAÍDAS-BASE'!D169)</f>
        <v/>
      </c>
      <c r="F171" s="6" t="str">
        <f>IF('SAÍDAS-BASE'!E169="","",'SAÍDAS-BASE'!E169)</f>
        <v/>
      </c>
      <c r="G171" t="str">
        <f>IF('SAÍDAS-BASE'!F169="","",'SAÍDAS-BASE'!F169)</f>
        <v/>
      </c>
      <c r="H171" t="str">
        <f>IF('SAÍDAS-BASE'!G169="","",'SAÍDAS-BASE'!G169)</f>
        <v/>
      </c>
      <c r="I171" t="str">
        <f>IF('SAÍDAS-BASE'!H169="","",'SAÍDAS-BASE'!H169)</f>
        <v/>
      </c>
      <c r="J171" t="str">
        <f>IF('SAÍDAS-BASE'!I169="","",'SAÍDAS-BASE'!I169)</f>
        <v/>
      </c>
      <c r="K171" s="5" t="str">
        <f>IF('SAÍDAS-BASE'!J169="","",'SAÍDAS-BASE'!J169)</f>
        <v/>
      </c>
      <c r="L171" t="str">
        <f>IF(TABELA_SAIDAS[[#This Row],[UF]]="","",IFERROR(IF(VLOOKUP(TABELA_SAIDAS[[#This Row],[VALOR]],TABELA_ENTRADAS[VALOR],1,FALSE),"DEVOLUÇÃO"),"SEM ENTRADAS"))</f>
        <v/>
      </c>
    </row>
    <row r="172" spans="2:12" x14ac:dyDescent="0.3">
      <c r="B172" t="str">
        <f>IF('SAÍDAS-BASE'!A170="","",'SAÍDAS-BASE'!A170)</f>
        <v/>
      </c>
      <c r="C172" t="str">
        <f>IF('SAÍDAS-BASE'!B170="","",'SAÍDAS-BASE'!B170)</f>
        <v/>
      </c>
      <c r="D172" t="str">
        <f>IF('SAÍDAS-BASE'!C170="","",'SAÍDAS-BASE'!C170)</f>
        <v/>
      </c>
      <c r="E172" s="7" t="str">
        <f>IF('SAÍDAS-BASE'!D170="","",'SAÍDAS-BASE'!D170)</f>
        <v/>
      </c>
      <c r="F172" s="6" t="str">
        <f>IF('SAÍDAS-BASE'!E170="","",'SAÍDAS-BASE'!E170)</f>
        <v/>
      </c>
      <c r="G172" t="str">
        <f>IF('SAÍDAS-BASE'!F170="","",'SAÍDAS-BASE'!F170)</f>
        <v/>
      </c>
      <c r="H172" t="str">
        <f>IF('SAÍDAS-BASE'!G170="","",'SAÍDAS-BASE'!G170)</f>
        <v/>
      </c>
      <c r="I172" t="str">
        <f>IF('SAÍDAS-BASE'!H170="","",'SAÍDAS-BASE'!H170)</f>
        <v/>
      </c>
      <c r="J172" t="str">
        <f>IF('SAÍDAS-BASE'!I170="","",'SAÍDAS-BASE'!I170)</f>
        <v/>
      </c>
      <c r="K172" s="5" t="str">
        <f>IF('SAÍDAS-BASE'!J170="","",'SAÍDAS-BASE'!J170)</f>
        <v/>
      </c>
      <c r="L172" t="str">
        <f>IF(TABELA_SAIDAS[[#This Row],[UF]]="","",IFERROR(IF(VLOOKUP(TABELA_SAIDAS[[#This Row],[VALOR]],TABELA_ENTRADAS[VALOR],1,FALSE),"DEVOLUÇÃO"),"SEM ENTRADAS"))</f>
        <v/>
      </c>
    </row>
    <row r="173" spans="2:12" x14ac:dyDescent="0.3">
      <c r="B173" t="str">
        <f>IF('SAÍDAS-BASE'!A171="","",'SAÍDAS-BASE'!A171)</f>
        <v/>
      </c>
      <c r="C173" t="str">
        <f>IF('SAÍDAS-BASE'!B171="","",'SAÍDAS-BASE'!B171)</f>
        <v/>
      </c>
      <c r="D173" t="str">
        <f>IF('SAÍDAS-BASE'!C171="","",'SAÍDAS-BASE'!C171)</f>
        <v/>
      </c>
      <c r="E173" s="7" t="str">
        <f>IF('SAÍDAS-BASE'!D171="","",'SAÍDAS-BASE'!D171)</f>
        <v/>
      </c>
      <c r="F173" s="6" t="str">
        <f>IF('SAÍDAS-BASE'!E171="","",'SAÍDAS-BASE'!E171)</f>
        <v/>
      </c>
      <c r="G173" t="str">
        <f>IF('SAÍDAS-BASE'!F171="","",'SAÍDAS-BASE'!F171)</f>
        <v/>
      </c>
      <c r="H173" t="str">
        <f>IF('SAÍDAS-BASE'!G171="","",'SAÍDAS-BASE'!G171)</f>
        <v/>
      </c>
      <c r="I173" t="str">
        <f>IF('SAÍDAS-BASE'!H171="","",'SAÍDAS-BASE'!H171)</f>
        <v/>
      </c>
      <c r="J173" t="str">
        <f>IF('SAÍDAS-BASE'!I171="","",'SAÍDAS-BASE'!I171)</f>
        <v/>
      </c>
      <c r="K173" s="5" t="str">
        <f>IF('SAÍDAS-BASE'!J171="","",'SAÍDAS-BASE'!J171)</f>
        <v/>
      </c>
      <c r="L173" t="str">
        <f>IF(TABELA_SAIDAS[[#This Row],[UF]]="","",IFERROR(IF(VLOOKUP(TABELA_SAIDAS[[#This Row],[VALOR]],TABELA_ENTRADAS[VALOR],1,FALSE),"DEVOLUÇÃO"),"SEM ENTRADAS"))</f>
        <v/>
      </c>
    </row>
    <row r="174" spans="2:12" x14ac:dyDescent="0.3">
      <c r="B174" t="str">
        <f>IF('SAÍDAS-BASE'!A172="","",'SAÍDAS-BASE'!A172)</f>
        <v/>
      </c>
      <c r="C174" t="str">
        <f>IF('SAÍDAS-BASE'!B172="","",'SAÍDAS-BASE'!B172)</f>
        <v/>
      </c>
      <c r="D174" t="str">
        <f>IF('SAÍDAS-BASE'!C172="","",'SAÍDAS-BASE'!C172)</f>
        <v/>
      </c>
      <c r="E174" s="7" t="str">
        <f>IF('SAÍDAS-BASE'!D172="","",'SAÍDAS-BASE'!D172)</f>
        <v/>
      </c>
      <c r="F174" s="6" t="str">
        <f>IF('SAÍDAS-BASE'!E172="","",'SAÍDAS-BASE'!E172)</f>
        <v/>
      </c>
      <c r="G174" t="str">
        <f>IF('SAÍDAS-BASE'!F172="","",'SAÍDAS-BASE'!F172)</f>
        <v/>
      </c>
      <c r="H174" t="str">
        <f>IF('SAÍDAS-BASE'!G172="","",'SAÍDAS-BASE'!G172)</f>
        <v/>
      </c>
      <c r="I174" t="str">
        <f>IF('SAÍDAS-BASE'!H172="","",'SAÍDAS-BASE'!H172)</f>
        <v/>
      </c>
      <c r="J174" t="str">
        <f>IF('SAÍDAS-BASE'!I172="","",'SAÍDAS-BASE'!I172)</f>
        <v/>
      </c>
      <c r="K174" s="5" t="str">
        <f>IF('SAÍDAS-BASE'!J172="","",'SAÍDAS-BASE'!J172)</f>
        <v/>
      </c>
      <c r="L174" t="str">
        <f>IF(TABELA_SAIDAS[[#This Row],[UF]]="","",IFERROR(IF(VLOOKUP(TABELA_SAIDAS[[#This Row],[VALOR]],TABELA_ENTRADAS[VALOR],1,FALSE),"DEVOLUÇÃO"),"SEM ENTRADAS"))</f>
        <v/>
      </c>
    </row>
    <row r="175" spans="2:12" x14ac:dyDescent="0.3">
      <c r="B175" t="str">
        <f>IF('SAÍDAS-BASE'!A173="","",'SAÍDAS-BASE'!A173)</f>
        <v/>
      </c>
      <c r="C175" t="str">
        <f>IF('SAÍDAS-BASE'!B173="","",'SAÍDAS-BASE'!B173)</f>
        <v/>
      </c>
      <c r="D175" t="str">
        <f>IF('SAÍDAS-BASE'!C173="","",'SAÍDAS-BASE'!C173)</f>
        <v/>
      </c>
      <c r="E175" s="7" t="str">
        <f>IF('SAÍDAS-BASE'!D173="","",'SAÍDAS-BASE'!D173)</f>
        <v/>
      </c>
      <c r="F175" s="6" t="str">
        <f>IF('SAÍDAS-BASE'!E173="","",'SAÍDAS-BASE'!E173)</f>
        <v/>
      </c>
      <c r="G175" t="str">
        <f>IF('SAÍDAS-BASE'!F173="","",'SAÍDAS-BASE'!F173)</f>
        <v/>
      </c>
      <c r="H175" t="str">
        <f>IF('SAÍDAS-BASE'!G173="","",'SAÍDAS-BASE'!G173)</f>
        <v/>
      </c>
      <c r="I175" t="str">
        <f>IF('SAÍDAS-BASE'!H173="","",'SAÍDAS-BASE'!H173)</f>
        <v/>
      </c>
      <c r="J175" t="str">
        <f>IF('SAÍDAS-BASE'!I173="","",'SAÍDAS-BASE'!I173)</f>
        <v/>
      </c>
      <c r="K175" s="5" t="str">
        <f>IF('SAÍDAS-BASE'!J173="","",'SAÍDAS-BASE'!J173)</f>
        <v/>
      </c>
      <c r="L175" t="str">
        <f>IF(TABELA_SAIDAS[[#This Row],[UF]]="","",IFERROR(IF(VLOOKUP(TABELA_SAIDAS[[#This Row],[VALOR]],TABELA_ENTRADAS[VALOR],1,FALSE),"DEVOLUÇÃO"),"SEM ENTRADAS"))</f>
        <v/>
      </c>
    </row>
    <row r="176" spans="2:12" x14ac:dyDescent="0.3">
      <c r="B176" t="str">
        <f>IF('SAÍDAS-BASE'!A174="","",'SAÍDAS-BASE'!A174)</f>
        <v/>
      </c>
      <c r="C176" t="str">
        <f>IF('SAÍDAS-BASE'!B174="","",'SAÍDAS-BASE'!B174)</f>
        <v/>
      </c>
      <c r="D176" t="str">
        <f>IF('SAÍDAS-BASE'!C174="","",'SAÍDAS-BASE'!C174)</f>
        <v/>
      </c>
      <c r="E176" s="7" t="str">
        <f>IF('SAÍDAS-BASE'!D174="","",'SAÍDAS-BASE'!D174)</f>
        <v/>
      </c>
      <c r="F176" s="6" t="str">
        <f>IF('SAÍDAS-BASE'!E174="","",'SAÍDAS-BASE'!E174)</f>
        <v/>
      </c>
      <c r="G176" t="str">
        <f>IF('SAÍDAS-BASE'!F174="","",'SAÍDAS-BASE'!F174)</f>
        <v/>
      </c>
      <c r="H176" t="str">
        <f>IF('SAÍDAS-BASE'!G174="","",'SAÍDAS-BASE'!G174)</f>
        <v/>
      </c>
      <c r="I176" t="str">
        <f>IF('SAÍDAS-BASE'!H174="","",'SAÍDAS-BASE'!H174)</f>
        <v/>
      </c>
      <c r="J176" t="str">
        <f>IF('SAÍDAS-BASE'!I174="","",'SAÍDAS-BASE'!I174)</f>
        <v/>
      </c>
      <c r="K176" s="5" t="str">
        <f>IF('SAÍDAS-BASE'!J174="","",'SAÍDAS-BASE'!J174)</f>
        <v/>
      </c>
      <c r="L176" t="str">
        <f>IF(TABELA_SAIDAS[[#This Row],[UF]]="","",IFERROR(IF(VLOOKUP(TABELA_SAIDAS[[#This Row],[VALOR]],TABELA_ENTRADAS[VALOR],1,FALSE),"DEVOLUÇÃO"),"SEM ENTRADAS"))</f>
        <v/>
      </c>
    </row>
    <row r="177" spans="2:12" x14ac:dyDescent="0.3">
      <c r="B177" t="str">
        <f>IF('SAÍDAS-BASE'!A175="","",'SAÍDAS-BASE'!A175)</f>
        <v/>
      </c>
      <c r="C177" t="str">
        <f>IF('SAÍDAS-BASE'!B175="","",'SAÍDAS-BASE'!B175)</f>
        <v/>
      </c>
      <c r="D177" t="str">
        <f>IF('SAÍDAS-BASE'!C175="","",'SAÍDAS-BASE'!C175)</f>
        <v/>
      </c>
      <c r="E177" s="7" t="str">
        <f>IF('SAÍDAS-BASE'!D175="","",'SAÍDAS-BASE'!D175)</f>
        <v/>
      </c>
      <c r="F177" s="6" t="str">
        <f>IF('SAÍDAS-BASE'!E175="","",'SAÍDAS-BASE'!E175)</f>
        <v/>
      </c>
      <c r="G177" t="str">
        <f>IF('SAÍDAS-BASE'!F175="","",'SAÍDAS-BASE'!F175)</f>
        <v/>
      </c>
      <c r="H177" t="str">
        <f>IF('SAÍDAS-BASE'!G175="","",'SAÍDAS-BASE'!G175)</f>
        <v/>
      </c>
      <c r="I177" t="str">
        <f>IF('SAÍDAS-BASE'!H175="","",'SAÍDAS-BASE'!H175)</f>
        <v/>
      </c>
      <c r="J177" t="str">
        <f>IF('SAÍDAS-BASE'!I175="","",'SAÍDAS-BASE'!I175)</f>
        <v/>
      </c>
      <c r="K177" s="5" t="str">
        <f>IF('SAÍDAS-BASE'!J175="","",'SAÍDAS-BASE'!J175)</f>
        <v/>
      </c>
      <c r="L177" t="str">
        <f>IF(TABELA_SAIDAS[[#This Row],[UF]]="","",IFERROR(IF(VLOOKUP(TABELA_SAIDAS[[#This Row],[VALOR]],TABELA_ENTRADAS[VALOR],1,FALSE),"DEVOLUÇÃO"),"SEM ENTRADAS"))</f>
        <v/>
      </c>
    </row>
    <row r="178" spans="2:12" x14ac:dyDescent="0.3">
      <c r="B178" t="str">
        <f>IF('SAÍDAS-BASE'!A176="","",'SAÍDAS-BASE'!A176)</f>
        <v/>
      </c>
      <c r="C178" t="str">
        <f>IF('SAÍDAS-BASE'!B176="","",'SAÍDAS-BASE'!B176)</f>
        <v/>
      </c>
      <c r="D178" t="str">
        <f>IF('SAÍDAS-BASE'!C176="","",'SAÍDAS-BASE'!C176)</f>
        <v/>
      </c>
      <c r="E178" s="7" t="str">
        <f>IF('SAÍDAS-BASE'!D176="","",'SAÍDAS-BASE'!D176)</f>
        <v/>
      </c>
      <c r="F178" s="6" t="str">
        <f>IF('SAÍDAS-BASE'!E176="","",'SAÍDAS-BASE'!E176)</f>
        <v/>
      </c>
      <c r="G178" t="str">
        <f>IF('SAÍDAS-BASE'!F176="","",'SAÍDAS-BASE'!F176)</f>
        <v/>
      </c>
      <c r="H178" t="str">
        <f>IF('SAÍDAS-BASE'!G176="","",'SAÍDAS-BASE'!G176)</f>
        <v/>
      </c>
      <c r="I178" t="str">
        <f>IF('SAÍDAS-BASE'!H176="","",'SAÍDAS-BASE'!H176)</f>
        <v/>
      </c>
      <c r="J178" t="str">
        <f>IF('SAÍDAS-BASE'!I176="","",'SAÍDAS-BASE'!I176)</f>
        <v/>
      </c>
      <c r="K178" s="5" t="str">
        <f>IF('SAÍDAS-BASE'!J176="","",'SAÍDAS-BASE'!J176)</f>
        <v/>
      </c>
      <c r="L178" t="str">
        <f>IF(TABELA_SAIDAS[[#This Row],[UF]]="","",IFERROR(IF(VLOOKUP(TABELA_SAIDAS[[#This Row],[VALOR]],TABELA_ENTRADAS[VALOR],1,FALSE),"DEVOLUÇÃO"),"SEM ENTRADAS"))</f>
        <v/>
      </c>
    </row>
    <row r="179" spans="2:12" x14ac:dyDescent="0.3">
      <c r="B179" t="str">
        <f>IF('SAÍDAS-BASE'!A177="","",'SAÍDAS-BASE'!A177)</f>
        <v/>
      </c>
      <c r="C179" t="str">
        <f>IF('SAÍDAS-BASE'!B177="","",'SAÍDAS-BASE'!B177)</f>
        <v/>
      </c>
      <c r="D179" t="str">
        <f>IF('SAÍDAS-BASE'!C177="","",'SAÍDAS-BASE'!C177)</f>
        <v/>
      </c>
      <c r="E179" s="7" t="str">
        <f>IF('SAÍDAS-BASE'!D177="","",'SAÍDAS-BASE'!D177)</f>
        <v/>
      </c>
      <c r="F179" s="6" t="str">
        <f>IF('SAÍDAS-BASE'!E177="","",'SAÍDAS-BASE'!E177)</f>
        <v/>
      </c>
      <c r="G179" t="str">
        <f>IF('SAÍDAS-BASE'!F177="","",'SAÍDAS-BASE'!F177)</f>
        <v/>
      </c>
      <c r="H179" t="str">
        <f>IF('SAÍDAS-BASE'!G177="","",'SAÍDAS-BASE'!G177)</f>
        <v/>
      </c>
      <c r="I179" t="str">
        <f>IF('SAÍDAS-BASE'!H177="","",'SAÍDAS-BASE'!H177)</f>
        <v/>
      </c>
      <c r="J179" t="str">
        <f>IF('SAÍDAS-BASE'!I177="","",'SAÍDAS-BASE'!I177)</f>
        <v/>
      </c>
      <c r="K179" s="5" t="str">
        <f>IF('SAÍDAS-BASE'!J177="","",'SAÍDAS-BASE'!J177)</f>
        <v/>
      </c>
      <c r="L179" t="str">
        <f>IF(TABELA_SAIDAS[[#This Row],[UF]]="","",IFERROR(IF(VLOOKUP(TABELA_SAIDAS[[#This Row],[VALOR]],TABELA_ENTRADAS[VALOR],1,FALSE),"DEVOLUÇÃO"),"SEM ENTRADAS"))</f>
        <v/>
      </c>
    </row>
    <row r="180" spans="2:12" x14ac:dyDescent="0.3">
      <c r="B180" t="str">
        <f>IF('SAÍDAS-BASE'!A178="","",'SAÍDAS-BASE'!A178)</f>
        <v/>
      </c>
      <c r="C180" t="str">
        <f>IF('SAÍDAS-BASE'!B178="","",'SAÍDAS-BASE'!B178)</f>
        <v/>
      </c>
      <c r="D180" t="str">
        <f>IF('SAÍDAS-BASE'!C178="","",'SAÍDAS-BASE'!C178)</f>
        <v/>
      </c>
      <c r="E180" s="7" t="str">
        <f>IF('SAÍDAS-BASE'!D178="","",'SAÍDAS-BASE'!D178)</f>
        <v/>
      </c>
      <c r="F180" s="6" t="str">
        <f>IF('SAÍDAS-BASE'!E178="","",'SAÍDAS-BASE'!E178)</f>
        <v/>
      </c>
      <c r="G180" t="str">
        <f>IF('SAÍDAS-BASE'!F178="","",'SAÍDAS-BASE'!F178)</f>
        <v/>
      </c>
      <c r="H180" t="str">
        <f>IF('SAÍDAS-BASE'!G178="","",'SAÍDAS-BASE'!G178)</f>
        <v/>
      </c>
      <c r="I180" t="str">
        <f>IF('SAÍDAS-BASE'!H178="","",'SAÍDAS-BASE'!H178)</f>
        <v/>
      </c>
      <c r="J180" t="str">
        <f>IF('SAÍDAS-BASE'!I178="","",'SAÍDAS-BASE'!I178)</f>
        <v/>
      </c>
      <c r="K180" s="5" t="str">
        <f>IF('SAÍDAS-BASE'!J178="","",'SAÍDAS-BASE'!J178)</f>
        <v/>
      </c>
      <c r="L180" t="str">
        <f>IF(TABELA_SAIDAS[[#This Row],[UF]]="","",IFERROR(IF(VLOOKUP(TABELA_SAIDAS[[#This Row],[VALOR]],TABELA_ENTRADAS[VALOR],1,FALSE),"DEVOLUÇÃO"),"SEM ENTRADAS"))</f>
        <v/>
      </c>
    </row>
    <row r="181" spans="2:12" x14ac:dyDescent="0.3">
      <c r="B181" t="str">
        <f>IF('SAÍDAS-BASE'!A179="","",'SAÍDAS-BASE'!A179)</f>
        <v/>
      </c>
      <c r="C181" t="str">
        <f>IF('SAÍDAS-BASE'!B179="","",'SAÍDAS-BASE'!B179)</f>
        <v/>
      </c>
      <c r="D181" t="str">
        <f>IF('SAÍDAS-BASE'!C179="","",'SAÍDAS-BASE'!C179)</f>
        <v/>
      </c>
      <c r="E181" s="7" t="str">
        <f>IF('SAÍDAS-BASE'!D179="","",'SAÍDAS-BASE'!D179)</f>
        <v/>
      </c>
      <c r="F181" s="6" t="str">
        <f>IF('SAÍDAS-BASE'!E179="","",'SAÍDAS-BASE'!E179)</f>
        <v/>
      </c>
      <c r="G181" t="str">
        <f>IF('SAÍDAS-BASE'!F179="","",'SAÍDAS-BASE'!F179)</f>
        <v/>
      </c>
      <c r="H181" t="str">
        <f>IF('SAÍDAS-BASE'!G179="","",'SAÍDAS-BASE'!G179)</f>
        <v/>
      </c>
      <c r="I181" t="str">
        <f>IF('SAÍDAS-BASE'!H179="","",'SAÍDAS-BASE'!H179)</f>
        <v/>
      </c>
      <c r="J181" t="str">
        <f>IF('SAÍDAS-BASE'!I179="","",'SAÍDAS-BASE'!I179)</f>
        <v/>
      </c>
      <c r="K181" s="5" t="str">
        <f>IF('SAÍDAS-BASE'!J179="","",'SAÍDAS-BASE'!J179)</f>
        <v/>
      </c>
      <c r="L181" t="str">
        <f>IF(TABELA_SAIDAS[[#This Row],[UF]]="","",IFERROR(IF(VLOOKUP(TABELA_SAIDAS[[#This Row],[VALOR]],TABELA_ENTRADAS[VALOR],1,FALSE),"DEVOLUÇÃO"),"SEM ENTRADAS"))</f>
        <v/>
      </c>
    </row>
    <row r="182" spans="2:12" x14ac:dyDescent="0.3">
      <c r="B182" t="str">
        <f>IF('SAÍDAS-BASE'!A180="","",'SAÍDAS-BASE'!A180)</f>
        <v/>
      </c>
      <c r="C182" t="str">
        <f>IF('SAÍDAS-BASE'!B180="","",'SAÍDAS-BASE'!B180)</f>
        <v/>
      </c>
      <c r="D182" t="str">
        <f>IF('SAÍDAS-BASE'!C180="","",'SAÍDAS-BASE'!C180)</f>
        <v/>
      </c>
      <c r="E182" s="7" t="str">
        <f>IF('SAÍDAS-BASE'!D180="","",'SAÍDAS-BASE'!D180)</f>
        <v/>
      </c>
      <c r="F182" s="6" t="str">
        <f>IF('SAÍDAS-BASE'!E180="","",'SAÍDAS-BASE'!E180)</f>
        <v/>
      </c>
      <c r="G182" t="str">
        <f>IF('SAÍDAS-BASE'!F180="","",'SAÍDAS-BASE'!F180)</f>
        <v/>
      </c>
      <c r="H182" t="str">
        <f>IF('SAÍDAS-BASE'!G180="","",'SAÍDAS-BASE'!G180)</f>
        <v/>
      </c>
      <c r="I182" t="str">
        <f>IF('SAÍDAS-BASE'!H180="","",'SAÍDAS-BASE'!H180)</f>
        <v/>
      </c>
      <c r="J182" t="str">
        <f>IF('SAÍDAS-BASE'!I180="","",'SAÍDAS-BASE'!I180)</f>
        <v/>
      </c>
      <c r="K182" s="5" t="str">
        <f>IF('SAÍDAS-BASE'!J180="","",'SAÍDAS-BASE'!J180)</f>
        <v/>
      </c>
      <c r="L182" t="str">
        <f>IF(TABELA_SAIDAS[[#This Row],[UF]]="","",IFERROR(IF(VLOOKUP(TABELA_SAIDAS[[#This Row],[VALOR]],TABELA_ENTRADAS[VALOR],1,FALSE),"DEVOLUÇÃO"),"SEM ENTRADAS"))</f>
        <v/>
      </c>
    </row>
    <row r="183" spans="2:12" x14ac:dyDescent="0.3">
      <c r="B183" t="str">
        <f>IF('SAÍDAS-BASE'!A181="","",'SAÍDAS-BASE'!A181)</f>
        <v/>
      </c>
      <c r="C183" t="str">
        <f>IF('SAÍDAS-BASE'!B181="","",'SAÍDAS-BASE'!B181)</f>
        <v/>
      </c>
      <c r="D183" t="str">
        <f>IF('SAÍDAS-BASE'!C181="","",'SAÍDAS-BASE'!C181)</f>
        <v/>
      </c>
      <c r="E183" s="7" t="str">
        <f>IF('SAÍDAS-BASE'!D181="","",'SAÍDAS-BASE'!D181)</f>
        <v/>
      </c>
      <c r="F183" s="6" t="str">
        <f>IF('SAÍDAS-BASE'!E181="","",'SAÍDAS-BASE'!E181)</f>
        <v/>
      </c>
      <c r="G183" t="str">
        <f>IF('SAÍDAS-BASE'!F181="","",'SAÍDAS-BASE'!F181)</f>
        <v/>
      </c>
      <c r="H183" t="str">
        <f>IF('SAÍDAS-BASE'!G181="","",'SAÍDAS-BASE'!G181)</f>
        <v/>
      </c>
      <c r="I183" t="str">
        <f>IF('SAÍDAS-BASE'!H181="","",'SAÍDAS-BASE'!H181)</f>
        <v/>
      </c>
      <c r="J183" t="str">
        <f>IF('SAÍDAS-BASE'!I181="","",'SAÍDAS-BASE'!I181)</f>
        <v/>
      </c>
      <c r="K183" s="5" t="str">
        <f>IF('SAÍDAS-BASE'!J181="","",'SAÍDAS-BASE'!J181)</f>
        <v/>
      </c>
      <c r="L183" t="str">
        <f>IF(TABELA_SAIDAS[[#This Row],[UF]]="","",IFERROR(IF(VLOOKUP(TABELA_SAIDAS[[#This Row],[VALOR]],TABELA_ENTRADAS[VALOR],1,FALSE),"DEVOLUÇÃO"),"SEM ENTRADAS"))</f>
        <v/>
      </c>
    </row>
    <row r="184" spans="2:12" x14ac:dyDescent="0.3">
      <c r="B184" t="str">
        <f>IF('SAÍDAS-BASE'!A182="","",'SAÍDAS-BASE'!A182)</f>
        <v/>
      </c>
      <c r="C184" t="str">
        <f>IF('SAÍDAS-BASE'!B182="","",'SAÍDAS-BASE'!B182)</f>
        <v/>
      </c>
      <c r="D184" t="str">
        <f>IF('SAÍDAS-BASE'!C182="","",'SAÍDAS-BASE'!C182)</f>
        <v/>
      </c>
      <c r="E184" s="7" t="str">
        <f>IF('SAÍDAS-BASE'!D182="","",'SAÍDAS-BASE'!D182)</f>
        <v/>
      </c>
      <c r="F184" s="6" t="str">
        <f>IF('SAÍDAS-BASE'!E182="","",'SAÍDAS-BASE'!E182)</f>
        <v/>
      </c>
      <c r="G184" t="str">
        <f>IF('SAÍDAS-BASE'!F182="","",'SAÍDAS-BASE'!F182)</f>
        <v/>
      </c>
      <c r="H184" t="str">
        <f>IF('SAÍDAS-BASE'!G182="","",'SAÍDAS-BASE'!G182)</f>
        <v/>
      </c>
      <c r="I184" t="str">
        <f>IF('SAÍDAS-BASE'!H182="","",'SAÍDAS-BASE'!H182)</f>
        <v/>
      </c>
      <c r="J184" t="str">
        <f>IF('SAÍDAS-BASE'!I182="","",'SAÍDAS-BASE'!I182)</f>
        <v/>
      </c>
      <c r="K184" s="5" t="str">
        <f>IF('SAÍDAS-BASE'!J182="","",'SAÍDAS-BASE'!J182)</f>
        <v/>
      </c>
      <c r="L184" t="str">
        <f>IF(TABELA_SAIDAS[[#This Row],[UF]]="","",IFERROR(IF(VLOOKUP(TABELA_SAIDAS[[#This Row],[VALOR]],TABELA_ENTRADAS[VALOR],1,FALSE),"DEVOLUÇÃO"),"SEM ENTRADAS"))</f>
        <v/>
      </c>
    </row>
    <row r="185" spans="2:12" x14ac:dyDescent="0.3">
      <c r="B185" t="str">
        <f>IF('SAÍDAS-BASE'!A183="","",'SAÍDAS-BASE'!A183)</f>
        <v/>
      </c>
      <c r="C185" t="str">
        <f>IF('SAÍDAS-BASE'!B183="","",'SAÍDAS-BASE'!B183)</f>
        <v/>
      </c>
      <c r="D185" t="str">
        <f>IF('SAÍDAS-BASE'!C183="","",'SAÍDAS-BASE'!C183)</f>
        <v/>
      </c>
      <c r="E185" s="7" t="str">
        <f>IF('SAÍDAS-BASE'!D183="","",'SAÍDAS-BASE'!D183)</f>
        <v/>
      </c>
      <c r="F185" s="6" t="str">
        <f>IF('SAÍDAS-BASE'!E183="","",'SAÍDAS-BASE'!E183)</f>
        <v/>
      </c>
      <c r="G185" t="str">
        <f>IF('SAÍDAS-BASE'!F183="","",'SAÍDAS-BASE'!F183)</f>
        <v/>
      </c>
      <c r="H185" t="str">
        <f>IF('SAÍDAS-BASE'!G183="","",'SAÍDAS-BASE'!G183)</f>
        <v/>
      </c>
      <c r="I185" t="str">
        <f>IF('SAÍDAS-BASE'!H183="","",'SAÍDAS-BASE'!H183)</f>
        <v/>
      </c>
      <c r="J185" t="str">
        <f>IF('SAÍDAS-BASE'!I183="","",'SAÍDAS-BASE'!I183)</f>
        <v/>
      </c>
      <c r="K185" s="5" t="str">
        <f>IF('SAÍDAS-BASE'!J183="","",'SAÍDAS-BASE'!J183)</f>
        <v/>
      </c>
      <c r="L185" t="str">
        <f>IF(TABELA_SAIDAS[[#This Row],[UF]]="","",IFERROR(IF(VLOOKUP(TABELA_SAIDAS[[#This Row],[VALOR]],TABELA_ENTRADAS[VALOR],1,FALSE),"DEVOLUÇÃO"),"SEM ENTRADAS"))</f>
        <v/>
      </c>
    </row>
    <row r="186" spans="2:12" x14ac:dyDescent="0.3">
      <c r="B186" t="str">
        <f>IF('SAÍDAS-BASE'!A184="","",'SAÍDAS-BASE'!A184)</f>
        <v/>
      </c>
      <c r="C186" t="str">
        <f>IF('SAÍDAS-BASE'!B184="","",'SAÍDAS-BASE'!B184)</f>
        <v/>
      </c>
      <c r="D186" t="str">
        <f>IF('SAÍDAS-BASE'!C184="","",'SAÍDAS-BASE'!C184)</f>
        <v/>
      </c>
      <c r="E186" s="7" t="str">
        <f>IF('SAÍDAS-BASE'!D184="","",'SAÍDAS-BASE'!D184)</f>
        <v/>
      </c>
      <c r="F186" s="6" t="str">
        <f>IF('SAÍDAS-BASE'!E184="","",'SAÍDAS-BASE'!E184)</f>
        <v/>
      </c>
      <c r="G186" t="str">
        <f>IF('SAÍDAS-BASE'!F184="","",'SAÍDAS-BASE'!F184)</f>
        <v/>
      </c>
      <c r="H186" t="str">
        <f>IF('SAÍDAS-BASE'!G184="","",'SAÍDAS-BASE'!G184)</f>
        <v/>
      </c>
      <c r="I186" t="str">
        <f>IF('SAÍDAS-BASE'!H184="","",'SAÍDAS-BASE'!H184)</f>
        <v/>
      </c>
      <c r="J186" t="str">
        <f>IF('SAÍDAS-BASE'!I184="","",'SAÍDAS-BASE'!I184)</f>
        <v/>
      </c>
      <c r="K186" s="5" t="str">
        <f>IF('SAÍDAS-BASE'!J184="","",'SAÍDAS-BASE'!J184)</f>
        <v/>
      </c>
      <c r="L186" t="str">
        <f>IF(TABELA_SAIDAS[[#This Row],[UF]]="","",IFERROR(IF(VLOOKUP(TABELA_SAIDAS[[#This Row],[VALOR]],TABELA_ENTRADAS[VALOR],1,FALSE),"DEVOLUÇÃO"),"SEM ENTRADAS"))</f>
        <v/>
      </c>
    </row>
    <row r="187" spans="2:12" x14ac:dyDescent="0.3">
      <c r="B187" t="str">
        <f>IF('SAÍDAS-BASE'!A185="","",'SAÍDAS-BASE'!A185)</f>
        <v/>
      </c>
      <c r="C187" t="str">
        <f>IF('SAÍDAS-BASE'!B185="","",'SAÍDAS-BASE'!B185)</f>
        <v/>
      </c>
      <c r="D187" t="str">
        <f>IF('SAÍDAS-BASE'!C185="","",'SAÍDAS-BASE'!C185)</f>
        <v/>
      </c>
      <c r="E187" s="7" t="str">
        <f>IF('SAÍDAS-BASE'!D185="","",'SAÍDAS-BASE'!D185)</f>
        <v/>
      </c>
      <c r="F187" s="6" t="str">
        <f>IF('SAÍDAS-BASE'!E185="","",'SAÍDAS-BASE'!E185)</f>
        <v/>
      </c>
      <c r="G187" t="str">
        <f>IF('SAÍDAS-BASE'!F185="","",'SAÍDAS-BASE'!F185)</f>
        <v/>
      </c>
      <c r="H187" t="str">
        <f>IF('SAÍDAS-BASE'!G185="","",'SAÍDAS-BASE'!G185)</f>
        <v/>
      </c>
      <c r="I187" t="str">
        <f>IF('SAÍDAS-BASE'!H185="","",'SAÍDAS-BASE'!H185)</f>
        <v/>
      </c>
      <c r="J187" t="str">
        <f>IF('SAÍDAS-BASE'!I185="","",'SAÍDAS-BASE'!I185)</f>
        <v/>
      </c>
      <c r="K187" s="5" t="str">
        <f>IF('SAÍDAS-BASE'!J185="","",'SAÍDAS-BASE'!J185)</f>
        <v/>
      </c>
      <c r="L187" t="str">
        <f>IF(TABELA_SAIDAS[[#This Row],[UF]]="","",IFERROR(IF(VLOOKUP(TABELA_SAIDAS[[#This Row],[VALOR]],TABELA_ENTRADAS[VALOR],1,FALSE),"DEVOLUÇÃO"),"SEM ENTRADAS"))</f>
        <v/>
      </c>
    </row>
    <row r="188" spans="2:12" x14ac:dyDescent="0.3">
      <c r="B188" t="str">
        <f>IF('SAÍDAS-BASE'!A186="","",'SAÍDAS-BASE'!A186)</f>
        <v/>
      </c>
      <c r="C188" t="str">
        <f>IF('SAÍDAS-BASE'!B186="","",'SAÍDAS-BASE'!B186)</f>
        <v/>
      </c>
      <c r="D188" t="str">
        <f>IF('SAÍDAS-BASE'!C186="","",'SAÍDAS-BASE'!C186)</f>
        <v/>
      </c>
      <c r="E188" s="7" t="str">
        <f>IF('SAÍDAS-BASE'!D186="","",'SAÍDAS-BASE'!D186)</f>
        <v/>
      </c>
      <c r="F188" s="6" t="str">
        <f>IF('SAÍDAS-BASE'!E186="","",'SAÍDAS-BASE'!E186)</f>
        <v/>
      </c>
      <c r="G188" t="str">
        <f>IF('SAÍDAS-BASE'!F186="","",'SAÍDAS-BASE'!F186)</f>
        <v/>
      </c>
      <c r="H188" t="str">
        <f>IF('SAÍDAS-BASE'!G186="","",'SAÍDAS-BASE'!G186)</f>
        <v/>
      </c>
      <c r="I188" t="str">
        <f>IF('SAÍDAS-BASE'!H186="","",'SAÍDAS-BASE'!H186)</f>
        <v/>
      </c>
      <c r="J188" t="str">
        <f>IF('SAÍDAS-BASE'!I186="","",'SAÍDAS-BASE'!I186)</f>
        <v/>
      </c>
      <c r="K188" s="5" t="str">
        <f>IF('SAÍDAS-BASE'!J186="","",'SAÍDAS-BASE'!J186)</f>
        <v/>
      </c>
      <c r="L188" t="str">
        <f>IF(TABELA_SAIDAS[[#This Row],[UF]]="","",IFERROR(IF(VLOOKUP(TABELA_SAIDAS[[#This Row],[VALOR]],TABELA_ENTRADAS[VALOR],1,FALSE),"DEVOLUÇÃO"),"SEM ENTRADAS"))</f>
        <v/>
      </c>
    </row>
    <row r="189" spans="2:12" x14ac:dyDescent="0.3">
      <c r="B189" t="str">
        <f>IF('SAÍDAS-BASE'!A187="","",'SAÍDAS-BASE'!A187)</f>
        <v/>
      </c>
      <c r="C189" t="str">
        <f>IF('SAÍDAS-BASE'!B187="","",'SAÍDAS-BASE'!B187)</f>
        <v/>
      </c>
      <c r="D189" t="str">
        <f>IF('SAÍDAS-BASE'!C187="","",'SAÍDAS-BASE'!C187)</f>
        <v/>
      </c>
      <c r="E189" s="7" t="str">
        <f>IF('SAÍDAS-BASE'!D187="","",'SAÍDAS-BASE'!D187)</f>
        <v/>
      </c>
      <c r="F189" s="6" t="str">
        <f>IF('SAÍDAS-BASE'!E187="","",'SAÍDAS-BASE'!E187)</f>
        <v/>
      </c>
      <c r="G189" t="str">
        <f>IF('SAÍDAS-BASE'!F187="","",'SAÍDAS-BASE'!F187)</f>
        <v/>
      </c>
      <c r="H189" t="str">
        <f>IF('SAÍDAS-BASE'!G187="","",'SAÍDAS-BASE'!G187)</f>
        <v/>
      </c>
      <c r="I189" t="str">
        <f>IF('SAÍDAS-BASE'!H187="","",'SAÍDAS-BASE'!H187)</f>
        <v/>
      </c>
      <c r="J189" t="str">
        <f>IF('SAÍDAS-BASE'!I187="","",'SAÍDAS-BASE'!I187)</f>
        <v/>
      </c>
      <c r="K189" s="5" t="str">
        <f>IF('SAÍDAS-BASE'!J187="","",'SAÍDAS-BASE'!J187)</f>
        <v/>
      </c>
      <c r="L189" t="str">
        <f>IF(TABELA_SAIDAS[[#This Row],[UF]]="","",IFERROR(IF(VLOOKUP(TABELA_SAIDAS[[#This Row],[VALOR]],TABELA_ENTRADAS[VALOR],1,FALSE),"DEVOLUÇÃO"),"SEM ENTRADAS"))</f>
        <v/>
      </c>
    </row>
    <row r="190" spans="2:12" x14ac:dyDescent="0.3">
      <c r="B190" t="str">
        <f>IF('SAÍDAS-BASE'!A188="","",'SAÍDAS-BASE'!A188)</f>
        <v/>
      </c>
      <c r="C190" t="str">
        <f>IF('SAÍDAS-BASE'!B188="","",'SAÍDAS-BASE'!B188)</f>
        <v/>
      </c>
      <c r="D190" t="str">
        <f>IF('SAÍDAS-BASE'!C188="","",'SAÍDAS-BASE'!C188)</f>
        <v/>
      </c>
      <c r="E190" s="7" t="str">
        <f>IF('SAÍDAS-BASE'!D188="","",'SAÍDAS-BASE'!D188)</f>
        <v/>
      </c>
      <c r="F190" s="6" t="str">
        <f>IF('SAÍDAS-BASE'!E188="","",'SAÍDAS-BASE'!E188)</f>
        <v/>
      </c>
      <c r="G190" t="str">
        <f>IF('SAÍDAS-BASE'!F188="","",'SAÍDAS-BASE'!F188)</f>
        <v/>
      </c>
      <c r="H190" t="str">
        <f>IF('SAÍDAS-BASE'!G188="","",'SAÍDAS-BASE'!G188)</f>
        <v/>
      </c>
      <c r="I190" t="str">
        <f>IF('SAÍDAS-BASE'!H188="","",'SAÍDAS-BASE'!H188)</f>
        <v/>
      </c>
      <c r="J190" t="str">
        <f>IF('SAÍDAS-BASE'!I188="","",'SAÍDAS-BASE'!I188)</f>
        <v/>
      </c>
      <c r="K190" s="5" t="str">
        <f>IF('SAÍDAS-BASE'!J188="","",'SAÍDAS-BASE'!J188)</f>
        <v/>
      </c>
      <c r="L190" t="str">
        <f>IF(TABELA_SAIDAS[[#This Row],[UF]]="","",IFERROR(IF(VLOOKUP(TABELA_SAIDAS[[#This Row],[VALOR]],TABELA_ENTRADAS[VALOR],1,FALSE),"DEVOLUÇÃO"),"SEM ENTRADAS"))</f>
        <v/>
      </c>
    </row>
    <row r="191" spans="2:12" x14ac:dyDescent="0.3">
      <c r="B191" t="str">
        <f>IF('SAÍDAS-BASE'!A189="","",'SAÍDAS-BASE'!A189)</f>
        <v/>
      </c>
      <c r="C191" t="str">
        <f>IF('SAÍDAS-BASE'!B189="","",'SAÍDAS-BASE'!B189)</f>
        <v/>
      </c>
      <c r="D191" t="str">
        <f>IF('SAÍDAS-BASE'!C189="","",'SAÍDAS-BASE'!C189)</f>
        <v/>
      </c>
      <c r="E191" s="7" t="str">
        <f>IF('SAÍDAS-BASE'!D189="","",'SAÍDAS-BASE'!D189)</f>
        <v/>
      </c>
      <c r="F191" s="6" t="str">
        <f>IF('SAÍDAS-BASE'!E189="","",'SAÍDAS-BASE'!E189)</f>
        <v/>
      </c>
      <c r="G191" t="str">
        <f>IF('SAÍDAS-BASE'!F189="","",'SAÍDAS-BASE'!F189)</f>
        <v/>
      </c>
      <c r="H191" t="str">
        <f>IF('SAÍDAS-BASE'!G189="","",'SAÍDAS-BASE'!G189)</f>
        <v/>
      </c>
      <c r="I191" t="str">
        <f>IF('SAÍDAS-BASE'!H189="","",'SAÍDAS-BASE'!H189)</f>
        <v/>
      </c>
      <c r="J191" t="str">
        <f>IF('SAÍDAS-BASE'!I189="","",'SAÍDAS-BASE'!I189)</f>
        <v/>
      </c>
      <c r="K191" s="5" t="str">
        <f>IF('SAÍDAS-BASE'!J189="","",'SAÍDAS-BASE'!J189)</f>
        <v/>
      </c>
      <c r="L191" t="str">
        <f>IF(TABELA_SAIDAS[[#This Row],[UF]]="","",IFERROR(IF(VLOOKUP(TABELA_SAIDAS[[#This Row],[VALOR]],TABELA_ENTRADAS[VALOR],1,FALSE),"DEVOLUÇÃO"),"SEM ENTRADAS"))</f>
        <v/>
      </c>
    </row>
    <row r="192" spans="2:12" x14ac:dyDescent="0.3">
      <c r="B192" t="str">
        <f>IF('SAÍDAS-BASE'!A190="","",'SAÍDAS-BASE'!A190)</f>
        <v/>
      </c>
      <c r="C192" t="str">
        <f>IF('SAÍDAS-BASE'!B190="","",'SAÍDAS-BASE'!B190)</f>
        <v/>
      </c>
      <c r="D192" t="str">
        <f>IF('SAÍDAS-BASE'!C190="","",'SAÍDAS-BASE'!C190)</f>
        <v/>
      </c>
      <c r="E192" s="7" t="str">
        <f>IF('SAÍDAS-BASE'!D190="","",'SAÍDAS-BASE'!D190)</f>
        <v/>
      </c>
      <c r="F192" s="6" t="str">
        <f>IF('SAÍDAS-BASE'!E190="","",'SAÍDAS-BASE'!E190)</f>
        <v/>
      </c>
      <c r="G192" t="str">
        <f>IF('SAÍDAS-BASE'!F190="","",'SAÍDAS-BASE'!F190)</f>
        <v/>
      </c>
      <c r="H192" t="str">
        <f>IF('SAÍDAS-BASE'!G190="","",'SAÍDAS-BASE'!G190)</f>
        <v/>
      </c>
      <c r="I192" t="str">
        <f>IF('SAÍDAS-BASE'!H190="","",'SAÍDAS-BASE'!H190)</f>
        <v/>
      </c>
      <c r="J192" t="str">
        <f>IF('SAÍDAS-BASE'!I190="","",'SAÍDAS-BASE'!I190)</f>
        <v/>
      </c>
      <c r="K192" s="5" t="str">
        <f>IF('SAÍDAS-BASE'!J190="","",'SAÍDAS-BASE'!J190)</f>
        <v/>
      </c>
      <c r="L192" t="str">
        <f>IF(TABELA_SAIDAS[[#This Row],[UF]]="","",IFERROR(IF(VLOOKUP(TABELA_SAIDAS[[#This Row],[VALOR]],TABELA_ENTRADAS[VALOR],1,FALSE),"DEVOLUÇÃO"),"SEM ENTRADAS"))</f>
        <v/>
      </c>
    </row>
    <row r="193" spans="2:12" x14ac:dyDescent="0.3">
      <c r="B193" t="str">
        <f>IF('SAÍDAS-BASE'!A191="","",'SAÍDAS-BASE'!A191)</f>
        <v/>
      </c>
      <c r="C193" t="str">
        <f>IF('SAÍDAS-BASE'!B191="","",'SAÍDAS-BASE'!B191)</f>
        <v/>
      </c>
      <c r="D193" t="str">
        <f>IF('SAÍDAS-BASE'!C191="","",'SAÍDAS-BASE'!C191)</f>
        <v/>
      </c>
      <c r="E193" s="7" t="str">
        <f>IF('SAÍDAS-BASE'!D191="","",'SAÍDAS-BASE'!D191)</f>
        <v/>
      </c>
      <c r="F193" s="6" t="str">
        <f>IF('SAÍDAS-BASE'!E191="","",'SAÍDAS-BASE'!E191)</f>
        <v/>
      </c>
      <c r="G193" t="str">
        <f>IF('SAÍDAS-BASE'!F191="","",'SAÍDAS-BASE'!F191)</f>
        <v/>
      </c>
      <c r="H193" t="str">
        <f>IF('SAÍDAS-BASE'!G191="","",'SAÍDAS-BASE'!G191)</f>
        <v/>
      </c>
      <c r="I193" t="str">
        <f>IF('SAÍDAS-BASE'!H191="","",'SAÍDAS-BASE'!H191)</f>
        <v/>
      </c>
      <c r="J193" t="str">
        <f>IF('SAÍDAS-BASE'!I191="","",'SAÍDAS-BASE'!I191)</f>
        <v/>
      </c>
      <c r="K193" s="5" t="str">
        <f>IF('SAÍDAS-BASE'!J191="","",'SAÍDAS-BASE'!J191)</f>
        <v/>
      </c>
      <c r="L193" t="str">
        <f>IF(TABELA_SAIDAS[[#This Row],[UF]]="","",IFERROR(IF(VLOOKUP(TABELA_SAIDAS[[#This Row],[VALOR]],TABELA_ENTRADAS[VALOR],1,FALSE),"DEVOLUÇÃO"),"SEM ENTRADAS"))</f>
        <v/>
      </c>
    </row>
    <row r="194" spans="2:12" x14ac:dyDescent="0.3">
      <c r="B194" t="str">
        <f>IF('SAÍDAS-BASE'!A192="","",'SAÍDAS-BASE'!A192)</f>
        <v/>
      </c>
      <c r="C194" t="str">
        <f>IF('SAÍDAS-BASE'!B192="","",'SAÍDAS-BASE'!B192)</f>
        <v/>
      </c>
      <c r="D194" t="str">
        <f>IF('SAÍDAS-BASE'!C192="","",'SAÍDAS-BASE'!C192)</f>
        <v/>
      </c>
      <c r="E194" s="7" t="str">
        <f>IF('SAÍDAS-BASE'!D192="","",'SAÍDAS-BASE'!D192)</f>
        <v/>
      </c>
      <c r="F194" s="6" t="str">
        <f>IF('SAÍDAS-BASE'!E192="","",'SAÍDAS-BASE'!E192)</f>
        <v/>
      </c>
      <c r="G194" t="str">
        <f>IF('SAÍDAS-BASE'!F192="","",'SAÍDAS-BASE'!F192)</f>
        <v/>
      </c>
      <c r="H194" t="str">
        <f>IF('SAÍDAS-BASE'!G192="","",'SAÍDAS-BASE'!G192)</f>
        <v/>
      </c>
      <c r="I194" t="str">
        <f>IF('SAÍDAS-BASE'!H192="","",'SAÍDAS-BASE'!H192)</f>
        <v/>
      </c>
      <c r="J194" t="str">
        <f>IF('SAÍDAS-BASE'!I192="","",'SAÍDAS-BASE'!I192)</f>
        <v/>
      </c>
      <c r="K194" s="5" t="str">
        <f>IF('SAÍDAS-BASE'!J192="","",'SAÍDAS-BASE'!J192)</f>
        <v/>
      </c>
      <c r="L194" t="str">
        <f>IF(TABELA_SAIDAS[[#This Row],[UF]]="","",IFERROR(IF(VLOOKUP(TABELA_SAIDAS[[#This Row],[VALOR]],TABELA_ENTRADAS[VALOR],1,FALSE),"DEVOLUÇÃO"),"SEM ENTRADAS"))</f>
        <v/>
      </c>
    </row>
    <row r="195" spans="2:12" x14ac:dyDescent="0.3">
      <c r="B195" t="str">
        <f>IF('SAÍDAS-BASE'!A193="","",'SAÍDAS-BASE'!A193)</f>
        <v/>
      </c>
      <c r="C195" t="str">
        <f>IF('SAÍDAS-BASE'!B193="","",'SAÍDAS-BASE'!B193)</f>
        <v/>
      </c>
      <c r="D195" t="str">
        <f>IF('SAÍDAS-BASE'!C193="","",'SAÍDAS-BASE'!C193)</f>
        <v/>
      </c>
      <c r="E195" s="7" t="str">
        <f>IF('SAÍDAS-BASE'!D193="","",'SAÍDAS-BASE'!D193)</f>
        <v/>
      </c>
      <c r="F195" s="6" t="str">
        <f>IF('SAÍDAS-BASE'!E193="","",'SAÍDAS-BASE'!E193)</f>
        <v/>
      </c>
      <c r="G195" t="str">
        <f>IF('SAÍDAS-BASE'!F193="","",'SAÍDAS-BASE'!F193)</f>
        <v/>
      </c>
      <c r="H195" t="str">
        <f>IF('SAÍDAS-BASE'!G193="","",'SAÍDAS-BASE'!G193)</f>
        <v/>
      </c>
      <c r="I195" t="str">
        <f>IF('SAÍDAS-BASE'!H193="","",'SAÍDAS-BASE'!H193)</f>
        <v/>
      </c>
      <c r="J195" t="str">
        <f>IF('SAÍDAS-BASE'!I193="","",'SAÍDAS-BASE'!I193)</f>
        <v/>
      </c>
      <c r="K195" s="5" t="str">
        <f>IF('SAÍDAS-BASE'!J193="","",'SAÍDAS-BASE'!J193)</f>
        <v/>
      </c>
      <c r="L195" t="str">
        <f>IF(TABELA_SAIDAS[[#This Row],[UF]]="","",IFERROR(IF(VLOOKUP(TABELA_SAIDAS[[#This Row],[VALOR]],TABELA_ENTRADAS[VALOR],1,FALSE),"DEVOLUÇÃO"),"SEM ENTRADAS"))</f>
        <v/>
      </c>
    </row>
    <row r="196" spans="2:12" x14ac:dyDescent="0.3">
      <c r="B196" t="str">
        <f>IF('SAÍDAS-BASE'!A194="","",'SAÍDAS-BASE'!A194)</f>
        <v/>
      </c>
      <c r="C196" t="str">
        <f>IF('SAÍDAS-BASE'!B194="","",'SAÍDAS-BASE'!B194)</f>
        <v/>
      </c>
      <c r="D196" t="str">
        <f>IF('SAÍDAS-BASE'!C194="","",'SAÍDAS-BASE'!C194)</f>
        <v/>
      </c>
      <c r="E196" s="7" t="str">
        <f>IF('SAÍDAS-BASE'!D194="","",'SAÍDAS-BASE'!D194)</f>
        <v/>
      </c>
      <c r="F196" s="6" t="str">
        <f>IF('SAÍDAS-BASE'!E194="","",'SAÍDAS-BASE'!E194)</f>
        <v/>
      </c>
      <c r="G196" t="str">
        <f>IF('SAÍDAS-BASE'!F194="","",'SAÍDAS-BASE'!F194)</f>
        <v/>
      </c>
      <c r="H196" t="str">
        <f>IF('SAÍDAS-BASE'!G194="","",'SAÍDAS-BASE'!G194)</f>
        <v/>
      </c>
      <c r="I196" t="str">
        <f>IF('SAÍDAS-BASE'!H194="","",'SAÍDAS-BASE'!H194)</f>
        <v/>
      </c>
      <c r="J196" t="str">
        <f>IF('SAÍDAS-BASE'!I194="","",'SAÍDAS-BASE'!I194)</f>
        <v/>
      </c>
      <c r="K196" s="5" t="str">
        <f>IF('SAÍDAS-BASE'!J194="","",'SAÍDAS-BASE'!J194)</f>
        <v/>
      </c>
      <c r="L196" t="str">
        <f>IF(TABELA_SAIDAS[[#This Row],[UF]]="","",IFERROR(IF(VLOOKUP(TABELA_SAIDAS[[#This Row],[VALOR]],TABELA_ENTRADAS[VALOR],1,FALSE),"DEVOLUÇÃO"),"SEM ENTRADAS"))</f>
        <v/>
      </c>
    </row>
    <row r="197" spans="2:12" x14ac:dyDescent="0.3">
      <c r="B197" t="str">
        <f>IF('SAÍDAS-BASE'!A195="","",'SAÍDAS-BASE'!A195)</f>
        <v/>
      </c>
      <c r="C197" t="str">
        <f>IF('SAÍDAS-BASE'!B195="","",'SAÍDAS-BASE'!B195)</f>
        <v/>
      </c>
      <c r="D197" t="str">
        <f>IF('SAÍDAS-BASE'!C195="","",'SAÍDAS-BASE'!C195)</f>
        <v/>
      </c>
      <c r="E197" s="7" t="str">
        <f>IF('SAÍDAS-BASE'!D195="","",'SAÍDAS-BASE'!D195)</f>
        <v/>
      </c>
      <c r="F197" s="6" t="str">
        <f>IF('SAÍDAS-BASE'!E195="","",'SAÍDAS-BASE'!E195)</f>
        <v/>
      </c>
      <c r="G197" t="str">
        <f>IF('SAÍDAS-BASE'!F195="","",'SAÍDAS-BASE'!F195)</f>
        <v/>
      </c>
      <c r="H197" t="str">
        <f>IF('SAÍDAS-BASE'!G195="","",'SAÍDAS-BASE'!G195)</f>
        <v/>
      </c>
      <c r="I197" t="str">
        <f>IF('SAÍDAS-BASE'!H195="","",'SAÍDAS-BASE'!H195)</f>
        <v/>
      </c>
      <c r="J197" t="str">
        <f>IF('SAÍDAS-BASE'!I195="","",'SAÍDAS-BASE'!I195)</f>
        <v/>
      </c>
      <c r="K197" s="5" t="str">
        <f>IF('SAÍDAS-BASE'!J195="","",'SAÍDAS-BASE'!J195)</f>
        <v/>
      </c>
      <c r="L197" t="str">
        <f>IF(TABELA_SAIDAS[[#This Row],[UF]]="","",IFERROR(IF(VLOOKUP(TABELA_SAIDAS[[#This Row],[VALOR]],TABELA_ENTRADAS[VALOR],1,FALSE),"DEVOLUÇÃO"),"SEM ENTRADAS"))</f>
        <v/>
      </c>
    </row>
    <row r="198" spans="2:12" x14ac:dyDescent="0.3">
      <c r="B198" t="str">
        <f>IF('SAÍDAS-BASE'!A196="","",'SAÍDAS-BASE'!A196)</f>
        <v/>
      </c>
      <c r="C198" t="str">
        <f>IF('SAÍDAS-BASE'!B196="","",'SAÍDAS-BASE'!B196)</f>
        <v/>
      </c>
      <c r="D198" t="str">
        <f>IF('SAÍDAS-BASE'!C196="","",'SAÍDAS-BASE'!C196)</f>
        <v/>
      </c>
      <c r="E198" s="7" t="str">
        <f>IF('SAÍDAS-BASE'!D196="","",'SAÍDAS-BASE'!D196)</f>
        <v/>
      </c>
      <c r="F198" s="6" t="str">
        <f>IF('SAÍDAS-BASE'!E196="","",'SAÍDAS-BASE'!E196)</f>
        <v/>
      </c>
      <c r="G198" t="str">
        <f>IF('SAÍDAS-BASE'!F196="","",'SAÍDAS-BASE'!F196)</f>
        <v/>
      </c>
      <c r="H198" t="str">
        <f>IF('SAÍDAS-BASE'!G196="","",'SAÍDAS-BASE'!G196)</f>
        <v/>
      </c>
      <c r="I198" t="str">
        <f>IF('SAÍDAS-BASE'!H196="","",'SAÍDAS-BASE'!H196)</f>
        <v/>
      </c>
      <c r="J198" t="str">
        <f>IF('SAÍDAS-BASE'!I196="","",'SAÍDAS-BASE'!I196)</f>
        <v/>
      </c>
      <c r="K198" s="5" t="str">
        <f>IF('SAÍDAS-BASE'!J196="","",'SAÍDAS-BASE'!J196)</f>
        <v/>
      </c>
      <c r="L198" t="str">
        <f>IF(TABELA_SAIDAS[[#This Row],[UF]]="","",IFERROR(IF(VLOOKUP(TABELA_SAIDAS[[#This Row],[VALOR]],TABELA_ENTRADAS[VALOR],1,FALSE),"DEVOLUÇÃO"),"SEM ENTRADAS"))</f>
        <v/>
      </c>
    </row>
    <row r="199" spans="2:12" x14ac:dyDescent="0.3">
      <c r="B199" t="str">
        <f>IF('SAÍDAS-BASE'!A197="","",'SAÍDAS-BASE'!A197)</f>
        <v/>
      </c>
      <c r="C199" t="str">
        <f>IF('SAÍDAS-BASE'!B197="","",'SAÍDAS-BASE'!B197)</f>
        <v/>
      </c>
      <c r="D199" t="str">
        <f>IF('SAÍDAS-BASE'!C197="","",'SAÍDAS-BASE'!C197)</f>
        <v/>
      </c>
      <c r="E199" s="7" t="str">
        <f>IF('SAÍDAS-BASE'!D197="","",'SAÍDAS-BASE'!D197)</f>
        <v/>
      </c>
      <c r="F199" s="6" t="str">
        <f>IF('SAÍDAS-BASE'!E197="","",'SAÍDAS-BASE'!E197)</f>
        <v/>
      </c>
      <c r="G199" t="str">
        <f>IF('SAÍDAS-BASE'!F197="","",'SAÍDAS-BASE'!F197)</f>
        <v/>
      </c>
      <c r="H199" t="str">
        <f>IF('SAÍDAS-BASE'!G197="","",'SAÍDAS-BASE'!G197)</f>
        <v/>
      </c>
      <c r="I199" t="str">
        <f>IF('SAÍDAS-BASE'!H197="","",'SAÍDAS-BASE'!H197)</f>
        <v/>
      </c>
      <c r="J199" t="str">
        <f>IF('SAÍDAS-BASE'!I197="","",'SAÍDAS-BASE'!I197)</f>
        <v/>
      </c>
      <c r="K199" s="5" t="str">
        <f>IF('SAÍDAS-BASE'!J197="","",'SAÍDAS-BASE'!J197)</f>
        <v/>
      </c>
      <c r="L199" t="str">
        <f>IF(TABELA_SAIDAS[[#This Row],[UF]]="","",IFERROR(IF(VLOOKUP(TABELA_SAIDAS[[#This Row],[VALOR]],TABELA_ENTRADAS[VALOR],1,FALSE),"DEVOLUÇÃO"),"SEM ENTRADAS"))</f>
        <v/>
      </c>
    </row>
    <row r="200" spans="2:12" x14ac:dyDescent="0.3">
      <c r="B200" t="str">
        <f>IF('SAÍDAS-BASE'!A198="","",'SAÍDAS-BASE'!A198)</f>
        <v/>
      </c>
      <c r="C200" t="str">
        <f>IF('SAÍDAS-BASE'!B198="","",'SAÍDAS-BASE'!B198)</f>
        <v/>
      </c>
      <c r="D200" t="str">
        <f>IF('SAÍDAS-BASE'!C198="","",'SAÍDAS-BASE'!C198)</f>
        <v/>
      </c>
      <c r="E200" s="7" t="str">
        <f>IF('SAÍDAS-BASE'!D198="","",'SAÍDAS-BASE'!D198)</f>
        <v/>
      </c>
      <c r="F200" s="6" t="str">
        <f>IF('SAÍDAS-BASE'!E198="","",'SAÍDAS-BASE'!E198)</f>
        <v/>
      </c>
      <c r="G200" t="str">
        <f>IF('SAÍDAS-BASE'!F198="","",'SAÍDAS-BASE'!F198)</f>
        <v/>
      </c>
      <c r="H200" t="str">
        <f>IF('SAÍDAS-BASE'!G198="","",'SAÍDAS-BASE'!G198)</f>
        <v/>
      </c>
      <c r="I200" t="str">
        <f>IF('SAÍDAS-BASE'!H198="","",'SAÍDAS-BASE'!H198)</f>
        <v/>
      </c>
      <c r="J200" t="str">
        <f>IF('SAÍDAS-BASE'!I198="","",'SAÍDAS-BASE'!I198)</f>
        <v/>
      </c>
      <c r="K200" s="5" t="str">
        <f>IF('SAÍDAS-BASE'!J198="","",'SAÍDAS-BASE'!J198)</f>
        <v/>
      </c>
      <c r="L200" t="str">
        <f>IF(TABELA_SAIDAS[[#This Row],[UF]]="","",IFERROR(IF(VLOOKUP(TABELA_SAIDAS[[#This Row],[VALOR]],TABELA_ENTRADAS[VALOR],1,FALSE),"DEVOLUÇÃO"),"SEM ENTRADAS"))</f>
        <v/>
      </c>
    </row>
    <row r="201" spans="2:12" x14ac:dyDescent="0.3">
      <c r="B201" t="str">
        <f>IF('SAÍDAS-BASE'!A199="","",'SAÍDAS-BASE'!A199)</f>
        <v/>
      </c>
      <c r="C201" t="str">
        <f>IF('SAÍDAS-BASE'!B199="","",'SAÍDAS-BASE'!B199)</f>
        <v/>
      </c>
      <c r="D201" t="str">
        <f>IF('SAÍDAS-BASE'!C199="","",'SAÍDAS-BASE'!C199)</f>
        <v/>
      </c>
      <c r="E201" s="7" t="str">
        <f>IF('SAÍDAS-BASE'!D199="","",'SAÍDAS-BASE'!D199)</f>
        <v/>
      </c>
      <c r="F201" s="6" t="str">
        <f>IF('SAÍDAS-BASE'!E199="","",'SAÍDAS-BASE'!E199)</f>
        <v/>
      </c>
      <c r="G201" t="str">
        <f>IF('SAÍDAS-BASE'!F199="","",'SAÍDAS-BASE'!F199)</f>
        <v/>
      </c>
      <c r="H201" t="str">
        <f>IF('SAÍDAS-BASE'!G199="","",'SAÍDAS-BASE'!G199)</f>
        <v/>
      </c>
      <c r="I201" t="str">
        <f>IF('SAÍDAS-BASE'!H199="","",'SAÍDAS-BASE'!H199)</f>
        <v/>
      </c>
      <c r="J201" t="str">
        <f>IF('SAÍDAS-BASE'!I199="","",'SAÍDAS-BASE'!I199)</f>
        <v/>
      </c>
      <c r="K201" s="5" t="str">
        <f>IF('SAÍDAS-BASE'!J199="","",'SAÍDAS-BASE'!J199)</f>
        <v/>
      </c>
      <c r="L201" t="str">
        <f>IF(TABELA_SAIDAS[[#This Row],[UF]]="","",IFERROR(IF(VLOOKUP(TABELA_SAIDAS[[#This Row],[VALOR]],TABELA_ENTRADAS[VALOR],1,FALSE),"DEVOLUÇÃO"),"SEM ENTRADAS"))</f>
        <v/>
      </c>
    </row>
    <row r="202" spans="2:12" x14ac:dyDescent="0.3">
      <c r="B202" t="str">
        <f>IF('SAÍDAS-BASE'!A200="","",'SAÍDAS-BASE'!A200)</f>
        <v/>
      </c>
      <c r="C202" t="str">
        <f>IF('SAÍDAS-BASE'!B200="","",'SAÍDAS-BASE'!B200)</f>
        <v/>
      </c>
      <c r="D202" t="str">
        <f>IF('SAÍDAS-BASE'!C200="","",'SAÍDAS-BASE'!C200)</f>
        <v/>
      </c>
      <c r="E202" s="7" t="str">
        <f>IF('SAÍDAS-BASE'!D200="","",'SAÍDAS-BASE'!D200)</f>
        <v/>
      </c>
      <c r="F202" s="6" t="str">
        <f>IF('SAÍDAS-BASE'!E200="","",'SAÍDAS-BASE'!E200)</f>
        <v/>
      </c>
      <c r="G202" t="str">
        <f>IF('SAÍDAS-BASE'!F200="","",'SAÍDAS-BASE'!F200)</f>
        <v/>
      </c>
      <c r="H202" t="str">
        <f>IF('SAÍDAS-BASE'!G200="","",'SAÍDAS-BASE'!G200)</f>
        <v/>
      </c>
      <c r="I202" t="str">
        <f>IF('SAÍDAS-BASE'!H200="","",'SAÍDAS-BASE'!H200)</f>
        <v/>
      </c>
      <c r="J202" t="str">
        <f>IF('SAÍDAS-BASE'!I200="","",'SAÍDAS-BASE'!I200)</f>
        <v/>
      </c>
      <c r="K202" s="5" t="str">
        <f>IF('SAÍDAS-BASE'!J200="","",'SAÍDAS-BASE'!J200)</f>
        <v/>
      </c>
      <c r="L202" t="str">
        <f>IF(TABELA_SAIDAS[[#This Row],[UF]]="","",IFERROR(IF(VLOOKUP(TABELA_SAIDAS[[#This Row],[VALOR]],TABELA_ENTRADAS[VALOR],1,FALSE),"DEVOLUÇÃO"),"SEM ENTRADAS"))</f>
        <v/>
      </c>
    </row>
    <row r="203" spans="2:12" x14ac:dyDescent="0.3">
      <c r="B203" t="str">
        <f>IF('SAÍDAS-BASE'!A201="","",'SAÍDAS-BASE'!A201)</f>
        <v/>
      </c>
      <c r="C203" t="str">
        <f>IF('SAÍDAS-BASE'!B201="","",'SAÍDAS-BASE'!B201)</f>
        <v/>
      </c>
      <c r="D203" t="str">
        <f>IF('SAÍDAS-BASE'!C201="","",'SAÍDAS-BASE'!C201)</f>
        <v/>
      </c>
      <c r="E203" s="7" t="str">
        <f>IF('SAÍDAS-BASE'!D201="","",'SAÍDAS-BASE'!D201)</f>
        <v/>
      </c>
      <c r="F203" s="6" t="str">
        <f>IF('SAÍDAS-BASE'!E201="","",'SAÍDAS-BASE'!E201)</f>
        <v/>
      </c>
      <c r="G203" t="str">
        <f>IF('SAÍDAS-BASE'!F201="","",'SAÍDAS-BASE'!F201)</f>
        <v/>
      </c>
      <c r="H203" t="str">
        <f>IF('SAÍDAS-BASE'!G201="","",'SAÍDAS-BASE'!G201)</f>
        <v/>
      </c>
      <c r="I203" t="str">
        <f>IF('SAÍDAS-BASE'!H201="","",'SAÍDAS-BASE'!H201)</f>
        <v/>
      </c>
      <c r="J203" t="str">
        <f>IF('SAÍDAS-BASE'!I201="","",'SAÍDAS-BASE'!I201)</f>
        <v/>
      </c>
      <c r="K203" s="5" t="str">
        <f>IF('SAÍDAS-BASE'!J201="","",'SAÍDAS-BASE'!J201)</f>
        <v/>
      </c>
      <c r="L203" t="str">
        <f>IF(TABELA_SAIDAS[[#This Row],[UF]]="","",IFERROR(IF(VLOOKUP(TABELA_SAIDAS[[#This Row],[VALOR]],TABELA_ENTRADAS[VALOR],1,FALSE),"DEVOLUÇÃO"),"SEM ENTRADAS"))</f>
        <v/>
      </c>
    </row>
    <row r="204" spans="2:12" x14ac:dyDescent="0.3">
      <c r="B204" t="str">
        <f>IF('SAÍDAS-BASE'!A202="","",'SAÍDAS-BASE'!A202)</f>
        <v/>
      </c>
      <c r="C204" t="str">
        <f>IF('SAÍDAS-BASE'!B202="","",'SAÍDAS-BASE'!B202)</f>
        <v/>
      </c>
      <c r="D204" t="str">
        <f>IF('SAÍDAS-BASE'!C202="","",'SAÍDAS-BASE'!C202)</f>
        <v/>
      </c>
      <c r="E204" s="7" t="str">
        <f>IF('SAÍDAS-BASE'!D202="","",'SAÍDAS-BASE'!D202)</f>
        <v/>
      </c>
      <c r="F204" s="6" t="str">
        <f>IF('SAÍDAS-BASE'!E202="","",'SAÍDAS-BASE'!E202)</f>
        <v/>
      </c>
      <c r="G204" t="str">
        <f>IF('SAÍDAS-BASE'!F202="","",'SAÍDAS-BASE'!F202)</f>
        <v/>
      </c>
      <c r="H204" t="str">
        <f>IF('SAÍDAS-BASE'!G202="","",'SAÍDAS-BASE'!G202)</f>
        <v/>
      </c>
      <c r="I204" t="str">
        <f>IF('SAÍDAS-BASE'!H202="","",'SAÍDAS-BASE'!H202)</f>
        <v/>
      </c>
      <c r="J204" t="str">
        <f>IF('SAÍDAS-BASE'!I202="","",'SAÍDAS-BASE'!I202)</f>
        <v/>
      </c>
      <c r="K204" s="5" t="str">
        <f>IF('SAÍDAS-BASE'!J202="","",'SAÍDAS-BASE'!J202)</f>
        <v/>
      </c>
      <c r="L204" t="str">
        <f>IF(TABELA_SAIDAS[[#This Row],[UF]]="","",IFERROR(IF(VLOOKUP(TABELA_SAIDAS[[#This Row],[VALOR]],TABELA_ENTRADAS[VALOR],1,FALSE),"DEVOLUÇÃO"),"SEM ENTRADAS"))</f>
        <v/>
      </c>
    </row>
    <row r="205" spans="2:12" x14ac:dyDescent="0.3">
      <c r="B205" t="str">
        <f>IF('SAÍDAS-BASE'!A203="","",'SAÍDAS-BASE'!A203)</f>
        <v/>
      </c>
      <c r="C205" t="str">
        <f>IF('SAÍDAS-BASE'!B203="","",'SAÍDAS-BASE'!B203)</f>
        <v/>
      </c>
      <c r="D205" t="str">
        <f>IF('SAÍDAS-BASE'!C203="","",'SAÍDAS-BASE'!C203)</f>
        <v/>
      </c>
      <c r="E205" s="7" t="str">
        <f>IF('SAÍDAS-BASE'!D203="","",'SAÍDAS-BASE'!D203)</f>
        <v/>
      </c>
      <c r="F205" s="6" t="str">
        <f>IF('SAÍDAS-BASE'!E203="","",'SAÍDAS-BASE'!E203)</f>
        <v/>
      </c>
      <c r="G205" t="str">
        <f>IF('SAÍDAS-BASE'!F203="","",'SAÍDAS-BASE'!F203)</f>
        <v/>
      </c>
      <c r="H205" t="str">
        <f>IF('SAÍDAS-BASE'!G203="","",'SAÍDAS-BASE'!G203)</f>
        <v/>
      </c>
      <c r="I205" t="str">
        <f>IF('SAÍDAS-BASE'!H203="","",'SAÍDAS-BASE'!H203)</f>
        <v/>
      </c>
      <c r="J205" t="str">
        <f>IF('SAÍDAS-BASE'!I203="","",'SAÍDAS-BASE'!I203)</f>
        <v/>
      </c>
      <c r="K205" s="5" t="str">
        <f>IF('SAÍDAS-BASE'!J203="","",'SAÍDAS-BASE'!J203)</f>
        <v/>
      </c>
      <c r="L205" t="str">
        <f>IF(TABELA_SAIDAS[[#This Row],[UF]]="","",IFERROR(IF(VLOOKUP(TABELA_SAIDAS[[#This Row],[VALOR]],TABELA_ENTRADAS[VALOR],1,FALSE),"DEVOLUÇÃO"),"SEM ENTRADAS"))</f>
        <v/>
      </c>
    </row>
    <row r="206" spans="2:12" x14ac:dyDescent="0.3">
      <c r="B206" t="str">
        <f>IF('SAÍDAS-BASE'!A204="","",'SAÍDAS-BASE'!A204)</f>
        <v/>
      </c>
      <c r="C206" t="str">
        <f>IF('SAÍDAS-BASE'!B204="","",'SAÍDAS-BASE'!B204)</f>
        <v/>
      </c>
      <c r="D206" t="str">
        <f>IF('SAÍDAS-BASE'!C204="","",'SAÍDAS-BASE'!C204)</f>
        <v/>
      </c>
      <c r="E206" s="7" t="str">
        <f>IF('SAÍDAS-BASE'!D204="","",'SAÍDAS-BASE'!D204)</f>
        <v/>
      </c>
      <c r="F206" s="6" t="str">
        <f>IF('SAÍDAS-BASE'!E204="","",'SAÍDAS-BASE'!E204)</f>
        <v/>
      </c>
      <c r="G206" t="str">
        <f>IF('SAÍDAS-BASE'!F204="","",'SAÍDAS-BASE'!F204)</f>
        <v/>
      </c>
      <c r="H206" t="str">
        <f>IF('SAÍDAS-BASE'!G204="","",'SAÍDAS-BASE'!G204)</f>
        <v/>
      </c>
      <c r="I206" t="str">
        <f>IF('SAÍDAS-BASE'!H204="","",'SAÍDAS-BASE'!H204)</f>
        <v/>
      </c>
      <c r="J206" t="str">
        <f>IF('SAÍDAS-BASE'!I204="","",'SAÍDAS-BASE'!I204)</f>
        <v/>
      </c>
      <c r="K206" s="5" t="str">
        <f>IF('SAÍDAS-BASE'!J204="","",'SAÍDAS-BASE'!J204)</f>
        <v/>
      </c>
      <c r="L206" t="str">
        <f>IF(TABELA_SAIDAS[[#This Row],[UF]]="","",IFERROR(IF(VLOOKUP(TABELA_SAIDAS[[#This Row],[VALOR]],TABELA_ENTRADAS[VALOR],1,FALSE),"DEVOLUÇÃO"),"SEM ENTRADAS"))</f>
        <v/>
      </c>
    </row>
    <row r="207" spans="2:12" x14ac:dyDescent="0.3">
      <c r="B207" t="str">
        <f>IF('SAÍDAS-BASE'!A205="","",'SAÍDAS-BASE'!A205)</f>
        <v/>
      </c>
      <c r="C207" t="str">
        <f>IF('SAÍDAS-BASE'!B205="","",'SAÍDAS-BASE'!B205)</f>
        <v/>
      </c>
      <c r="D207" t="str">
        <f>IF('SAÍDAS-BASE'!C205="","",'SAÍDAS-BASE'!C205)</f>
        <v/>
      </c>
      <c r="E207" s="7" t="str">
        <f>IF('SAÍDAS-BASE'!D205="","",'SAÍDAS-BASE'!D205)</f>
        <v/>
      </c>
      <c r="F207" s="6" t="str">
        <f>IF('SAÍDAS-BASE'!E205="","",'SAÍDAS-BASE'!E205)</f>
        <v/>
      </c>
      <c r="G207" t="str">
        <f>IF('SAÍDAS-BASE'!F205="","",'SAÍDAS-BASE'!F205)</f>
        <v/>
      </c>
      <c r="H207" t="str">
        <f>IF('SAÍDAS-BASE'!G205="","",'SAÍDAS-BASE'!G205)</f>
        <v/>
      </c>
      <c r="I207" t="str">
        <f>IF('SAÍDAS-BASE'!H205="","",'SAÍDAS-BASE'!H205)</f>
        <v/>
      </c>
      <c r="J207" t="str">
        <f>IF('SAÍDAS-BASE'!I205="","",'SAÍDAS-BASE'!I205)</f>
        <v/>
      </c>
      <c r="K207" s="5" t="str">
        <f>IF('SAÍDAS-BASE'!J205="","",'SAÍDAS-BASE'!J205)</f>
        <v/>
      </c>
      <c r="L207" t="str">
        <f>IF(TABELA_SAIDAS[[#This Row],[UF]]="","",IFERROR(IF(VLOOKUP(TABELA_SAIDAS[[#This Row],[VALOR]],TABELA_ENTRADAS[VALOR],1,FALSE),"DEVOLUÇÃO"),"SEM ENTRADAS"))</f>
        <v/>
      </c>
    </row>
    <row r="208" spans="2:12" x14ac:dyDescent="0.3">
      <c r="B208" t="str">
        <f>IF('SAÍDAS-BASE'!A206="","",'SAÍDAS-BASE'!A206)</f>
        <v/>
      </c>
      <c r="C208" t="str">
        <f>IF('SAÍDAS-BASE'!B206="","",'SAÍDAS-BASE'!B206)</f>
        <v/>
      </c>
      <c r="D208" t="str">
        <f>IF('SAÍDAS-BASE'!C206="","",'SAÍDAS-BASE'!C206)</f>
        <v/>
      </c>
      <c r="E208" s="7" t="str">
        <f>IF('SAÍDAS-BASE'!D206="","",'SAÍDAS-BASE'!D206)</f>
        <v/>
      </c>
      <c r="F208" s="6" t="str">
        <f>IF('SAÍDAS-BASE'!E206="","",'SAÍDAS-BASE'!E206)</f>
        <v/>
      </c>
      <c r="G208" t="str">
        <f>IF('SAÍDAS-BASE'!F206="","",'SAÍDAS-BASE'!F206)</f>
        <v/>
      </c>
      <c r="H208" t="str">
        <f>IF('SAÍDAS-BASE'!G206="","",'SAÍDAS-BASE'!G206)</f>
        <v/>
      </c>
      <c r="I208" t="str">
        <f>IF('SAÍDAS-BASE'!H206="","",'SAÍDAS-BASE'!H206)</f>
        <v/>
      </c>
      <c r="J208" t="str">
        <f>IF('SAÍDAS-BASE'!I206="","",'SAÍDAS-BASE'!I206)</f>
        <v/>
      </c>
      <c r="K208" s="5" t="str">
        <f>IF('SAÍDAS-BASE'!J206="","",'SAÍDAS-BASE'!J206)</f>
        <v/>
      </c>
      <c r="L208" t="str">
        <f>IF(TABELA_SAIDAS[[#This Row],[UF]]="","",IFERROR(IF(VLOOKUP(TABELA_SAIDAS[[#This Row],[VALOR]],TABELA_ENTRADAS[VALOR],1,FALSE),"DEVOLUÇÃO"),"SEM ENTRADAS"))</f>
        <v/>
      </c>
    </row>
    <row r="209" spans="2:12" x14ac:dyDescent="0.3">
      <c r="B209" t="str">
        <f>IF('SAÍDAS-BASE'!A207="","",'SAÍDAS-BASE'!A207)</f>
        <v/>
      </c>
      <c r="C209" t="str">
        <f>IF('SAÍDAS-BASE'!B207="","",'SAÍDAS-BASE'!B207)</f>
        <v/>
      </c>
      <c r="D209" t="str">
        <f>IF('SAÍDAS-BASE'!C207="","",'SAÍDAS-BASE'!C207)</f>
        <v/>
      </c>
      <c r="E209" s="7" t="str">
        <f>IF('SAÍDAS-BASE'!D207="","",'SAÍDAS-BASE'!D207)</f>
        <v/>
      </c>
      <c r="F209" s="6" t="str">
        <f>IF('SAÍDAS-BASE'!E207="","",'SAÍDAS-BASE'!E207)</f>
        <v/>
      </c>
      <c r="G209" t="str">
        <f>IF('SAÍDAS-BASE'!F207="","",'SAÍDAS-BASE'!F207)</f>
        <v/>
      </c>
      <c r="H209" t="str">
        <f>IF('SAÍDAS-BASE'!G207="","",'SAÍDAS-BASE'!G207)</f>
        <v/>
      </c>
      <c r="I209" t="str">
        <f>IF('SAÍDAS-BASE'!H207="","",'SAÍDAS-BASE'!H207)</f>
        <v/>
      </c>
      <c r="J209" t="str">
        <f>IF('SAÍDAS-BASE'!I207="","",'SAÍDAS-BASE'!I207)</f>
        <v/>
      </c>
      <c r="K209" s="5" t="str">
        <f>IF('SAÍDAS-BASE'!J207="","",'SAÍDAS-BASE'!J207)</f>
        <v/>
      </c>
      <c r="L209" t="str">
        <f>IF(TABELA_SAIDAS[[#This Row],[UF]]="","",IFERROR(IF(VLOOKUP(TABELA_SAIDAS[[#This Row],[VALOR]],TABELA_ENTRADAS[VALOR],1,FALSE),"DEVOLUÇÃO"),"SEM ENTRADAS"))</f>
        <v/>
      </c>
    </row>
    <row r="210" spans="2:12" x14ac:dyDescent="0.3">
      <c r="B210" t="str">
        <f>IF('SAÍDAS-BASE'!A208="","",'SAÍDAS-BASE'!A208)</f>
        <v/>
      </c>
      <c r="C210" t="str">
        <f>IF('SAÍDAS-BASE'!B208="","",'SAÍDAS-BASE'!B208)</f>
        <v/>
      </c>
      <c r="D210" t="str">
        <f>IF('SAÍDAS-BASE'!C208="","",'SAÍDAS-BASE'!C208)</f>
        <v/>
      </c>
      <c r="E210" s="7" t="str">
        <f>IF('SAÍDAS-BASE'!D208="","",'SAÍDAS-BASE'!D208)</f>
        <v/>
      </c>
      <c r="F210" s="6" t="str">
        <f>IF('SAÍDAS-BASE'!E208="","",'SAÍDAS-BASE'!E208)</f>
        <v/>
      </c>
      <c r="G210" t="str">
        <f>IF('SAÍDAS-BASE'!F208="","",'SAÍDAS-BASE'!F208)</f>
        <v/>
      </c>
      <c r="H210" t="str">
        <f>IF('SAÍDAS-BASE'!G208="","",'SAÍDAS-BASE'!G208)</f>
        <v/>
      </c>
      <c r="I210" t="str">
        <f>IF('SAÍDAS-BASE'!H208="","",'SAÍDAS-BASE'!H208)</f>
        <v/>
      </c>
      <c r="J210" t="str">
        <f>IF('SAÍDAS-BASE'!I208="","",'SAÍDAS-BASE'!I208)</f>
        <v/>
      </c>
      <c r="K210" s="5" t="str">
        <f>IF('SAÍDAS-BASE'!J208="","",'SAÍDAS-BASE'!J208)</f>
        <v/>
      </c>
      <c r="L210" t="str">
        <f>IF(TABELA_SAIDAS[[#This Row],[UF]]="","",IFERROR(IF(VLOOKUP(TABELA_SAIDAS[[#This Row],[VALOR]],TABELA_ENTRADAS[VALOR],1,FALSE),"DEVOLUÇÃO"),"SEM ENTRADAS"))</f>
        <v/>
      </c>
    </row>
    <row r="211" spans="2:12" x14ac:dyDescent="0.3">
      <c r="B211" t="str">
        <f>IF('SAÍDAS-BASE'!A209="","",'SAÍDAS-BASE'!A209)</f>
        <v/>
      </c>
      <c r="C211" t="str">
        <f>IF('SAÍDAS-BASE'!B209="","",'SAÍDAS-BASE'!B209)</f>
        <v/>
      </c>
      <c r="D211" t="str">
        <f>IF('SAÍDAS-BASE'!C209="","",'SAÍDAS-BASE'!C209)</f>
        <v/>
      </c>
      <c r="E211" s="7" t="str">
        <f>IF('SAÍDAS-BASE'!D209="","",'SAÍDAS-BASE'!D209)</f>
        <v/>
      </c>
      <c r="F211" s="6" t="str">
        <f>IF('SAÍDAS-BASE'!E209="","",'SAÍDAS-BASE'!E209)</f>
        <v/>
      </c>
      <c r="G211" t="str">
        <f>IF('SAÍDAS-BASE'!F209="","",'SAÍDAS-BASE'!F209)</f>
        <v/>
      </c>
      <c r="H211" t="str">
        <f>IF('SAÍDAS-BASE'!G209="","",'SAÍDAS-BASE'!G209)</f>
        <v/>
      </c>
      <c r="I211" t="str">
        <f>IF('SAÍDAS-BASE'!H209="","",'SAÍDAS-BASE'!H209)</f>
        <v/>
      </c>
      <c r="J211" t="str">
        <f>IF('SAÍDAS-BASE'!I209="","",'SAÍDAS-BASE'!I209)</f>
        <v/>
      </c>
      <c r="K211" s="5" t="str">
        <f>IF('SAÍDAS-BASE'!J209="","",'SAÍDAS-BASE'!J209)</f>
        <v/>
      </c>
      <c r="L211" t="str">
        <f>IF(TABELA_SAIDAS[[#This Row],[UF]]="","",IFERROR(IF(VLOOKUP(TABELA_SAIDAS[[#This Row],[VALOR]],TABELA_ENTRADAS[VALOR],1,FALSE),"DEVOLUÇÃO"),"SEM ENTRADAS"))</f>
        <v/>
      </c>
    </row>
    <row r="212" spans="2:12" x14ac:dyDescent="0.3">
      <c r="B212" t="str">
        <f>IF('SAÍDAS-BASE'!A210="","",'SAÍDAS-BASE'!A210)</f>
        <v/>
      </c>
      <c r="C212" t="str">
        <f>IF('SAÍDAS-BASE'!B210="","",'SAÍDAS-BASE'!B210)</f>
        <v/>
      </c>
      <c r="D212" t="str">
        <f>IF('SAÍDAS-BASE'!C210="","",'SAÍDAS-BASE'!C210)</f>
        <v/>
      </c>
      <c r="E212" s="7" t="str">
        <f>IF('SAÍDAS-BASE'!D210="","",'SAÍDAS-BASE'!D210)</f>
        <v/>
      </c>
      <c r="F212" s="6" t="str">
        <f>IF('SAÍDAS-BASE'!E210="","",'SAÍDAS-BASE'!E210)</f>
        <v/>
      </c>
      <c r="G212" t="str">
        <f>IF('SAÍDAS-BASE'!F210="","",'SAÍDAS-BASE'!F210)</f>
        <v/>
      </c>
      <c r="H212" t="str">
        <f>IF('SAÍDAS-BASE'!G210="","",'SAÍDAS-BASE'!G210)</f>
        <v/>
      </c>
      <c r="I212" t="str">
        <f>IF('SAÍDAS-BASE'!H210="","",'SAÍDAS-BASE'!H210)</f>
        <v/>
      </c>
      <c r="J212" t="str">
        <f>IF('SAÍDAS-BASE'!I210="","",'SAÍDAS-BASE'!I210)</f>
        <v/>
      </c>
      <c r="K212" s="5" t="str">
        <f>IF('SAÍDAS-BASE'!J210="","",'SAÍDAS-BASE'!J210)</f>
        <v/>
      </c>
      <c r="L212" t="str">
        <f>IF(TABELA_SAIDAS[[#This Row],[UF]]="","",IFERROR(IF(VLOOKUP(TABELA_SAIDAS[[#This Row],[VALOR]],TABELA_ENTRADAS[VALOR],1,FALSE),"DEVOLUÇÃO"),"SEM ENTRADAS"))</f>
        <v/>
      </c>
    </row>
    <row r="213" spans="2:12" x14ac:dyDescent="0.3">
      <c r="B213" t="str">
        <f>IF('SAÍDAS-BASE'!A211="","",'SAÍDAS-BASE'!A211)</f>
        <v/>
      </c>
      <c r="C213" t="str">
        <f>IF('SAÍDAS-BASE'!B211="","",'SAÍDAS-BASE'!B211)</f>
        <v/>
      </c>
      <c r="D213" t="str">
        <f>IF('SAÍDAS-BASE'!C211="","",'SAÍDAS-BASE'!C211)</f>
        <v/>
      </c>
      <c r="E213" s="7" t="str">
        <f>IF('SAÍDAS-BASE'!D211="","",'SAÍDAS-BASE'!D211)</f>
        <v/>
      </c>
      <c r="F213" s="6" t="str">
        <f>IF('SAÍDAS-BASE'!E211="","",'SAÍDAS-BASE'!E211)</f>
        <v/>
      </c>
      <c r="G213" t="str">
        <f>IF('SAÍDAS-BASE'!F211="","",'SAÍDAS-BASE'!F211)</f>
        <v/>
      </c>
      <c r="H213" t="str">
        <f>IF('SAÍDAS-BASE'!G211="","",'SAÍDAS-BASE'!G211)</f>
        <v/>
      </c>
      <c r="I213" t="str">
        <f>IF('SAÍDAS-BASE'!H211="","",'SAÍDAS-BASE'!H211)</f>
        <v/>
      </c>
      <c r="J213" t="str">
        <f>IF('SAÍDAS-BASE'!I211="","",'SAÍDAS-BASE'!I211)</f>
        <v/>
      </c>
      <c r="K213" s="5" t="str">
        <f>IF('SAÍDAS-BASE'!J211="","",'SAÍDAS-BASE'!J211)</f>
        <v/>
      </c>
      <c r="L213" t="str">
        <f>IF(TABELA_SAIDAS[[#This Row],[UF]]="","",IFERROR(IF(VLOOKUP(TABELA_SAIDAS[[#This Row],[VALOR]],TABELA_ENTRADAS[VALOR],1,FALSE),"DEVOLUÇÃO"),"SEM ENTRADAS"))</f>
        <v/>
      </c>
    </row>
    <row r="214" spans="2:12" x14ac:dyDescent="0.3">
      <c r="B214" t="str">
        <f>IF('SAÍDAS-BASE'!A212="","",'SAÍDAS-BASE'!A212)</f>
        <v/>
      </c>
      <c r="C214" t="str">
        <f>IF('SAÍDAS-BASE'!B212="","",'SAÍDAS-BASE'!B212)</f>
        <v/>
      </c>
      <c r="D214" t="str">
        <f>IF('SAÍDAS-BASE'!C212="","",'SAÍDAS-BASE'!C212)</f>
        <v/>
      </c>
      <c r="E214" s="7" t="str">
        <f>IF('SAÍDAS-BASE'!D212="","",'SAÍDAS-BASE'!D212)</f>
        <v/>
      </c>
      <c r="F214" s="6" t="str">
        <f>IF('SAÍDAS-BASE'!E212="","",'SAÍDAS-BASE'!E212)</f>
        <v/>
      </c>
      <c r="G214" t="str">
        <f>IF('SAÍDAS-BASE'!F212="","",'SAÍDAS-BASE'!F212)</f>
        <v/>
      </c>
      <c r="H214" t="str">
        <f>IF('SAÍDAS-BASE'!G212="","",'SAÍDAS-BASE'!G212)</f>
        <v/>
      </c>
      <c r="I214" t="str">
        <f>IF('SAÍDAS-BASE'!H212="","",'SAÍDAS-BASE'!H212)</f>
        <v/>
      </c>
      <c r="J214" t="str">
        <f>IF('SAÍDAS-BASE'!I212="","",'SAÍDAS-BASE'!I212)</f>
        <v/>
      </c>
      <c r="K214" s="5" t="str">
        <f>IF('SAÍDAS-BASE'!J212="","",'SAÍDAS-BASE'!J212)</f>
        <v/>
      </c>
      <c r="L214" t="str">
        <f>IF(TABELA_SAIDAS[[#This Row],[UF]]="","",IFERROR(IF(VLOOKUP(TABELA_SAIDAS[[#This Row],[VALOR]],TABELA_ENTRADAS[VALOR],1,FALSE),"DEVOLUÇÃO"),"SEM ENTRADAS"))</f>
        <v/>
      </c>
    </row>
    <row r="215" spans="2:12" x14ac:dyDescent="0.3">
      <c r="B215" t="str">
        <f>IF('SAÍDAS-BASE'!A213="","",'SAÍDAS-BASE'!A213)</f>
        <v/>
      </c>
      <c r="C215" t="str">
        <f>IF('SAÍDAS-BASE'!B213="","",'SAÍDAS-BASE'!B213)</f>
        <v/>
      </c>
      <c r="D215" t="str">
        <f>IF('SAÍDAS-BASE'!C213="","",'SAÍDAS-BASE'!C213)</f>
        <v/>
      </c>
      <c r="E215" s="7" t="str">
        <f>IF('SAÍDAS-BASE'!D213="","",'SAÍDAS-BASE'!D213)</f>
        <v/>
      </c>
      <c r="F215" s="6" t="str">
        <f>IF('SAÍDAS-BASE'!E213="","",'SAÍDAS-BASE'!E213)</f>
        <v/>
      </c>
      <c r="G215" t="str">
        <f>IF('SAÍDAS-BASE'!F213="","",'SAÍDAS-BASE'!F213)</f>
        <v/>
      </c>
      <c r="H215" t="str">
        <f>IF('SAÍDAS-BASE'!G213="","",'SAÍDAS-BASE'!G213)</f>
        <v/>
      </c>
      <c r="I215" t="str">
        <f>IF('SAÍDAS-BASE'!H213="","",'SAÍDAS-BASE'!H213)</f>
        <v/>
      </c>
      <c r="J215" t="str">
        <f>IF('SAÍDAS-BASE'!I213="","",'SAÍDAS-BASE'!I213)</f>
        <v/>
      </c>
      <c r="K215" s="5" t="str">
        <f>IF('SAÍDAS-BASE'!J213="","",'SAÍDAS-BASE'!J213)</f>
        <v/>
      </c>
      <c r="L215" t="str">
        <f>IF(TABELA_SAIDAS[[#This Row],[UF]]="","",IFERROR(IF(VLOOKUP(TABELA_SAIDAS[[#This Row],[VALOR]],TABELA_ENTRADAS[VALOR],1,FALSE),"DEVOLUÇÃO"),"SEM ENTRADAS"))</f>
        <v/>
      </c>
    </row>
    <row r="216" spans="2:12" x14ac:dyDescent="0.3">
      <c r="B216" t="str">
        <f>IF('SAÍDAS-BASE'!A214="","",'SAÍDAS-BASE'!A214)</f>
        <v/>
      </c>
      <c r="C216" t="str">
        <f>IF('SAÍDAS-BASE'!B214="","",'SAÍDAS-BASE'!B214)</f>
        <v/>
      </c>
      <c r="D216" t="str">
        <f>IF('SAÍDAS-BASE'!C214="","",'SAÍDAS-BASE'!C214)</f>
        <v/>
      </c>
      <c r="E216" s="7" t="str">
        <f>IF('SAÍDAS-BASE'!D214="","",'SAÍDAS-BASE'!D214)</f>
        <v/>
      </c>
      <c r="F216" s="6" t="str">
        <f>IF('SAÍDAS-BASE'!E214="","",'SAÍDAS-BASE'!E214)</f>
        <v/>
      </c>
      <c r="G216" t="str">
        <f>IF('SAÍDAS-BASE'!F214="","",'SAÍDAS-BASE'!F214)</f>
        <v/>
      </c>
      <c r="H216" t="str">
        <f>IF('SAÍDAS-BASE'!G214="","",'SAÍDAS-BASE'!G214)</f>
        <v/>
      </c>
      <c r="I216" t="str">
        <f>IF('SAÍDAS-BASE'!H214="","",'SAÍDAS-BASE'!H214)</f>
        <v/>
      </c>
      <c r="J216" t="str">
        <f>IF('SAÍDAS-BASE'!I214="","",'SAÍDAS-BASE'!I214)</f>
        <v/>
      </c>
      <c r="K216" s="5" t="str">
        <f>IF('SAÍDAS-BASE'!J214="","",'SAÍDAS-BASE'!J214)</f>
        <v/>
      </c>
      <c r="L216" t="str">
        <f>IF(TABELA_SAIDAS[[#This Row],[UF]]="","",IFERROR(IF(VLOOKUP(TABELA_SAIDAS[[#This Row],[VALOR]],TABELA_ENTRADAS[VALOR],1,FALSE),"DEVOLUÇÃO"),"SEM ENTRADAS"))</f>
        <v/>
      </c>
    </row>
    <row r="217" spans="2:12" x14ac:dyDescent="0.3">
      <c r="B217" t="str">
        <f>IF('SAÍDAS-BASE'!A215="","",'SAÍDAS-BASE'!A215)</f>
        <v/>
      </c>
      <c r="C217" t="str">
        <f>IF('SAÍDAS-BASE'!B215="","",'SAÍDAS-BASE'!B215)</f>
        <v/>
      </c>
      <c r="D217" t="str">
        <f>IF('SAÍDAS-BASE'!C215="","",'SAÍDAS-BASE'!C215)</f>
        <v/>
      </c>
      <c r="E217" s="7" t="str">
        <f>IF('SAÍDAS-BASE'!D215="","",'SAÍDAS-BASE'!D215)</f>
        <v/>
      </c>
      <c r="F217" s="6" t="str">
        <f>IF('SAÍDAS-BASE'!E215="","",'SAÍDAS-BASE'!E215)</f>
        <v/>
      </c>
      <c r="G217" t="str">
        <f>IF('SAÍDAS-BASE'!F215="","",'SAÍDAS-BASE'!F215)</f>
        <v/>
      </c>
      <c r="H217" t="str">
        <f>IF('SAÍDAS-BASE'!G215="","",'SAÍDAS-BASE'!G215)</f>
        <v/>
      </c>
      <c r="I217" t="str">
        <f>IF('SAÍDAS-BASE'!H215="","",'SAÍDAS-BASE'!H215)</f>
        <v/>
      </c>
      <c r="J217" t="str">
        <f>IF('SAÍDAS-BASE'!I215="","",'SAÍDAS-BASE'!I215)</f>
        <v/>
      </c>
      <c r="K217" s="5" t="str">
        <f>IF('SAÍDAS-BASE'!J215="","",'SAÍDAS-BASE'!J215)</f>
        <v/>
      </c>
      <c r="L217" t="str">
        <f>IF(TABELA_SAIDAS[[#This Row],[UF]]="","",IFERROR(IF(VLOOKUP(TABELA_SAIDAS[[#This Row],[VALOR]],TABELA_ENTRADAS[VALOR],1,FALSE),"DEVOLUÇÃO"),"SEM ENTRADAS"))</f>
        <v/>
      </c>
    </row>
    <row r="218" spans="2:12" x14ac:dyDescent="0.3">
      <c r="B218" t="str">
        <f>IF('SAÍDAS-BASE'!A216="","",'SAÍDAS-BASE'!A216)</f>
        <v/>
      </c>
      <c r="C218" t="str">
        <f>IF('SAÍDAS-BASE'!B216="","",'SAÍDAS-BASE'!B216)</f>
        <v/>
      </c>
      <c r="D218" t="str">
        <f>IF('SAÍDAS-BASE'!C216="","",'SAÍDAS-BASE'!C216)</f>
        <v/>
      </c>
      <c r="E218" s="7" t="str">
        <f>IF('SAÍDAS-BASE'!D216="","",'SAÍDAS-BASE'!D216)</f>
        <v/>
      </c>
      <c r="F218" s="6" t="str">
        <f>IF('SAÍDAS-BASE'!E216="","",'SAÍDAS-BASE'!E216)</f>
        <v/>
      </c>
      <c r="G218" t="str">
        <f>IF('SAÍDAS-BASE'!F216="","",'SAÍDAS-BASE'!F216)</f>
        <v/>
      </c>
      <c r="H218" t="str">
        <f>IF('SAÍDAS-BASE'!G216="","",'SAÍDAS-BASE'!G216)</f>
        <v/>
      </c>
      <c r="I218" t="str">
        <f>IF('SAÍDAS-BASE'!H216="","",'SAÍDAS-BASE'!H216)</f>
        <v/>
      </c>
      <c r="J218" t="str">
        <f>IF('SAÍDAS-BASE'!I216="","",'SAÍDAS-BASE'!I216)</f>
        <v/>
      </c>
      <c r="K218" s="5" t="str">
        <f>IF('SAÍDAS-BASE'!J216="","",'SAÍDAS-BASE'!J216)</f>
        <v/>
      </c>
      <c r="L218" t="str">
        <f>IF(TABELA_SAIDAS[[#This Row],[UF]]="","",IFERROR(IF(VLOOKUP(TABELA_SAIDAS[[#This Row],[VALOR]],TABELA_ENTRADAS[VALOR],1,FALSE),"DEVOLUÇÃO"),"SEM ENTRADAS"))</f>
        <v/>
      </c>
    </row>
    <row r="219" spans="2:12" x14ac:dyDescent="0.3">
      <c r="B219" t="str">
        <f>IF('SAÍDAS-BASE'!A217="","",'SAÍDAS-BASE'!A217)</f>
        <v/>
      </c>
      <c r="C219" t="str">
        <f>IF('SAÍDAS-BASE'!B217="","",'SAÍDAS-BASE'!B217)</f>
        <v/>
      </c>
      <c r="D219" t="str">
        <f>IF('SAÍDAS-BASE'!C217="","",'SAÍDAS-BASE'!C217)</f>
        <v/>
      </c>
      <c r="E219" s="7" t="str">
        <f>IF('SAÍDAS-BASE'!D217="","",'SAÍDAS-BASE'!D217)</f>
        <v/>
      </c>
      <c r="F219" s="6" t="str">
        <f>IF('SAÍDAS-BASE'!E217="","",'SAÍDAS-BASE'!E217)</f>
        <v/>
      </c>
      <c r="G219" t="str">
        <f>IF('SAÍDAS-BASE'!F217="","",'SAÍDAS-BASE'!F217)</f>
        <v/>
      </c>
      <c r="H219" t="str">
        <f>IF('SAÍDAS-BASE'!G217="","",'SAÍDAS-BASE'!G217)</f>
        <v/>
      </c>
      <c r="I219" t="str">
        <f>IF('SAÍDAS-BASE'!H217="","",'SAÍDAS-BASE'!H217)</f>
        <v/>
      </c>
      <c r="J219" t="str">
        <f>IF('SAÍDAS-BASE'!I217="","",'SAÍDAS-BASE'!I217)</f>
        <v/>
      </c>
      <c r="K219" s="5" t="str">
        <f>IF('SAÍDAS-BASE'!J217="","",'SAÍDAS-BASE'!J217)</f>
        <v/>
      </c>
      <c r="L219" t="str">
        <f>IF(TABELA_SAIDAS[[#This Row],[UF]]="","",IFERROR(IF(VLOOKUP(TABELA_SAIDAS[[#This Row],[VALOR]],TABELA_ENTRADAS[VALOR],1,FALSE),"DEVOLUÇÃO"),"SEM ENTRADAS"))</f>
        <v/>
      </c>
    </row>
    <row r="220" spans="2:12" x14ac:dyDescent="0.3">
      <c r="B220" t="str">
        <f>IF('SAÍDAS-BASE'!A218="","",'SAÍDAS-BASE'!A218)</f>
        <v/>
      </c>
      <c r="C220" t="str">
        <f>IF('SAÍDAS-BASE'!B218="","",'SAÍDAS-BASE'!B218)</f>
        <v/>
      </c>
      <c r="D220" t="str">
        <f>IF('SAÍDAS-BASE'!C218="","",'SAÍDAS-BASE'!C218)</f>
        <v/>
      </c>
      <c r="E220" s="7" t="str">
        <f>IF('SAÍDAS-BASE'!D218="","",'SAÍDAS-BASE'!D218)</f>
        <v/>
      </c>
      <c r="F220" s="6" t="str">
        <f>IF('SAÍDAS-BASE'!E218="","",'SAÍDAS-BASE'!E218)</f>
        <v/>
      </c>
      <c r="G220" t="str">
        <f>IF('SAÍDAS-BASE'!F218="","",'SAÍDAS-BASE'!F218)</f>
        <v/>
      </c>
      <c r="H220" t="str">
        <f>IF('SAÍDAS-BASE'!G218="","",'SAÍDAS-BASE'!G218)</f>
        <v/>
      </c>
      <c r="I220" t="str">
        <f>IF('SAÍDAS-BASE'!H218="","",'SAÍDAS-BASE'!H218)</f>
        <v/>
      </c>
      <c r="J220" t="str">
        <f>IF('SAÍDAS-BASE'!I218="","",'SAÍDAS-BASE'!I218)</f>
        <v/>
      </c>
      <c r="K220" s="5" t="str">
        <f>IF('SAÍDAS-BASE'!J218="","",'SAÍDAS-BASE'!J218)</f>
        <v/>
      </c>
      <c r="L220" t="str">
        <f>IF(TABELA_SAIDAS[[#This Row],[UF]]="","",IFERROR(IF(VLOOKUP(TABELA_SAIDAS[[#This Row],[VALOR]],TABELA_ENTRADAS[VALOR],1,FALSE),"DEVOLUÇÃO"),"SEM ENTRADAS"))</f>
        <v/>
      </c>
    </row>
    <row r="221" spans="2:12" x14ac:dyDescent="0.3">
      <c r="B221" t="str">
        <f>IF('SAÍDAS-BASE'!A219="","",'SAÍDAS-BASE'!A219)</f>
        <v/>
      </c>
      <c r="C221" t="str">
        <f>IF('SAÍDAS-BASE'!B219="","",'SAÍDAS-BASE'!B219)</f>
        <v/>
      </c>
      <c r="D221" t="str">
        <f>IF('SAÍDAS-BASE'!C219="","",'SAÍDAS-BASE'!C219)</f>
        <v/>
      </c>
      <c r="E221" s="7" t="str">
        <f>IF('SAÍDAS-BASE'!D219="","",'SAÍDAS-BASE'!D219)</f>
        <v/>
      </c>
      <c r="F221" s="6" t="str">
        <f>IF('SAÍDAS-BASE'!E219="","",'SAÍDAS-BASE'!E219)</f>
        <v/>
      </c>
      <c r="G221" t="str">
        <f>IF('SAÍDAS-BASE'!F219="","",'SAÍDAS-BASE'!F219)</f>
        <v/>
      </c>
      <c r="H221" t="str">
        <f>IF('SAÍDAS-BASE'!G219="","",'SAÍDAS-BASE'!G219)</f>
        <v/>
      </c>
      <c r="I221" t="str">
        <f>IF('SAÍDAS-BASE'!H219="","",'SAÍDAS-BASE'!H219)</f>
        <v/>
      </c>
      <c r="J221" t="str">
        <f>IF('SAÍDAS-BASE'!I219="","",'SAÍDAS-BASE'!I219)</f>
        <v/>
      </c>
      <c r="K221" s="5" t="str">
        <f>IF('SAÍDAS-BASE'!J219="","",'SAÍDAS-BASE'!J219)</f>
        <v/>
      </c>
      <c r="L221" t="str">
        <f>IF(TABELA_SAIDAS[[#This Row],[UF]]="","",IFERROR(IF(VLOOKUP(TABELA_SAIDAS[[#This Row],[VALOR]],TABELA_ENTRADAS[VALOR],1,FALSE),"DEVOLUÇÃO"),"SEM ENTRADAS"))</f>
        <v/>
      </c>
    </row>
    <row r="222" spans="2:12" x14ac:dyDescent="0.3">
      <c r="B222" t="str">
        <f>IF('SAÍDAS-BASE'!A220="","",'SAÍDAS-BASE'!A220)</f>
        <v/>
      </c>
      <c r="C222" t="str">
        <f>IF('SAÍDAS-BASE'!B220="","",'SAÍDAS-BASE'!B220)</f>
        <v/>
      </c>
      <c r="D222" t="str">
        <f>IF('SAÍDAS-BASE'!C220="","",'SAÍDAS-BASE'!C220)</f>
        <v/>
      </c>
      <c r="E222" s="7" t="str">
        <f>IF('SAÍDAS-BASE'!D220="","",'SAÍDAS-BASE'!D220)</f>
        <v/>
      </c>
      <c r="F222" s="6" t="str">
        <f>IF('SAÍDAS-BASE'!E220="","",'SAÍDAS-BASE'!E220)</f>
        <v/>
      </c>
      <c r="G222" t="str">
        <f>IF('SAÍDAS-BASE'!F220="","",'SAÍDAS-BASE'!F220)</f>
        <v/>
      </c>
      <c r="H222" t="str">
        <f>IF('SAÍDAS-BASE'!G220="","",'SAÍDAS-BASE'!G220)</f>
        <v/>
      </c>
      <c r="I222" t="str">
        <f>IF('SAÍDAS-BASE'!H220="","",'SAÍDAS-BASE'!H220)</f>
        <v/>
      </c>
      <c r="J222" t="str">
        <f>IF('SAÍDAS-BASE'!I220="","",'SAÍDAS-BASE'!I220)</f>
        <v/>
      </c>
      <c r="K222" s="5" t="str">
        <f>IF('SAÍDAS-BASE'!J220="","",'SAÍDAS-BASE'!J220)</f>
        <v/>
      </c>
      <c r="L222" t="str">
        <f>IF(TABELA_SAIDAS[[#This Row],[UF]]="","",IFERROR(IF(VLOOKUP(TABELA_SAIDAS[[#This Row],[VALOR]],TABELA_ENTRADAS[VALOR],1,FALSE),"DEVOLUÇÃO"),"SEM ENTRADAS"))</f>
        <v/>
      </c>
    </row>
    <row r="223" spans="2:12" x14ac:dyDescent="0.3">
      <c r="B223" t="str">
        <f>IF('SAÍDAS-BASE'!A221="","",'SAÍDAS-BASE'!A221)</f>
        <v/>
      </c>
      <c r="C223" t="str">
        <f>IF('SAÍDAS-BASE'!B221="","",'SAÍDAS-BASE'!B221)</f>
        <v/>
      </c>
      <c r="D223" t="str">
        <f>IF('SAÍDAS-BASE'!C221="","",'SAÍDAS-BASE'!C221)</f>
        <v/>
      </c>
      <c r="E223" s="7" t="str">
        <f>IF('SAÍDAS-BASE'!D221="","",'SAÍDAS-BASE'!D221)</f>
        <v/>
      </c>
      <c r="F223" s="6" t="str">
        <f>IF('SAÍDAS-BASE'!E221="","",'SAÍDAS-BASE'!E221)</f>
        <v/>
      </c>
      <c r="G223" t="str">
        <f>IF('SAÍDAS-BASE'!F221="","",'SAÍDAS-BASE'!F221)</f>
        <v/>
      </c>
      <c r="H223" t="str">
        <f>IF('SAÍDAS-BASE'!G221="","",'SAÍDAS-BASE'!G221)</f>
        <v/>
      </c>
      <c r="I223" t="str">
        <f>IF('SAÍDAS-BASE'!H221="","",'SAÍDAS-BASE'!H221)</f>
        <v/>
      </c>
      <c r="J223" t="str">
        <f>IF('SAÍDAS-BASE'!I221="","",'SAÍDAS-BASE'!I221)</f>
        <v/>
      </c>
      <c r="K223" s="5" t="str">
        <f>IF('SAÍDAS-BASE'!J221="","",'SAÍDAS-BASE'!J221)</f>
        <v/>
      </c>
      <c r="L223" t="str">
        <f>IF(TABELA_SAIDAS[[#This Row],[UF]]="","",IFERROR(IF(VLOOKUP(TABELA_SAIDAS[[#This Row],[VALOR]],TABELA_ENTRADAS[VALOR],1,FALSE),"DEVOLUÇÃO"),"SEM ENTRADAS"))</f>
        <v/>
      </c>
    </row>
    <row r="224" spans="2:12" x14ac:dyDescent="0.3">
      <c r="B224" t="str">
        <f>IF('SAÍDAS-BASE'!A222="","",'SAÍDAS-BASE'!A222)</f>
        <v/>
      </c>
      <c r="C224" t="str">
        <f>IF('SAÍDAS-BASE'!B222="","",'SAÍDAS-BASE'!B222)</f>
        <v/>
      </c>
      <c r="D224" t="str">
        <f>IF('SAÍDAS-BASE'!C222="","",'SAÍDAS-BASE'!C222)</f>
        <v/>
      </c>
      <c r="E224" s="7" t="str">
        <f>IF('SAÍDAS-BASE'!D222="","",'SAÍDAS-BASE'!D222)</f>
        <v/>
      </c>
      <c r="F224" s="6" t="str">
        <f>IF('SAÍDAS-BASE'!E222="","",'SAÍDAS-BASE'!E222)</f>
        <v/>
      </c>
      <c r="G224" t="str">
        <f>IF('SAÍDAS-BASE'!F222="","",'SAÍDAS-BASE'!F222)</f>
        <v/>
      </c>
      <c r="H224" t="str">
        <f>IF('SAÍDAS-BASE'!G222="","",'SAÍDAS-BASE'!G222)</f>
        <v/>
      </c>
      <c r="I224" t="str">
        <f>IF('SAÍDAS-BASE'!H222="","",'SAÍDAS-BASE'!H222)</f>
        <v/>
      </c>
      <c r="J224" t="str">
        <f>IF('SAÍDAS-BASE'!I222="","",'SAÍDAS-BASE'!I222)</f>
        <v/>
      </c>
      <c r="K224" s="5" t="str">
        <f>IF('SAÍDAS-BASE'!J222="","",'SAÍDAS-BASE'!J222)</f>
        <v/>
      </c>
      <c r="L224" t="str">
        <f>IF(TABELA_SAIDAS[[#This Row],[UF]]="","",IFERROR(IF(VLOOKUP(TABELA_SAIDAS[[#This Row],[VALOR]],TABELA_ENTRADAS[VALOR],1,FALSE),"DEVOLUÇÃO"),"SEM ENTRADAS"))</f>
        <v/>
      </c>
    </row>
    <row r="225" spans="2:12" x14ac:dyDescent="0.3">
      <c r="B225" t="str">
        <f>IF('SAÍDAS-BASE'!A223="","",'SAÍDAS-BASE'!A223)</f>
        <v/>
      </c>
      <c r="C225" t="str">
        <f>IF('SAÍDAS-BASE'!B223="","",'SAÍDAS-BASE'!B223)</f>
        <v/>
      </c>
      <c r="D225" t="str">
        <f>IF('SAÍDAS-BASE'!C223="","",'SAÍDAS-BASE'!C223)</f>
        <v/>
      </c>
      <c r="E225" s="7" t="str">
        <f>IF('SAÍDAS-BASE'!D223="","",'SAÍDAS-BASE'!D223)</f>
        <v/>
      </c>
      <c r="F225" s="6" t="str">
        <f>IF('SAÍDAS-BASE'!E223="","",'SAÍDAS-BASE'!E223)</f>
        <v/>
      </c>
      <c r="G225" t="str">
        <f>IF('SAÍDAS-BASE'!F223="","",'SAÍDAS-BASE'!F223)</f>
        <v/>
      </c>
      <c r="H225" t="str">
        <f>IF('SAÍDAS-BASE'!G223="","",'SAÍDAS-BASE'!G223)</f>
        <v/>
      </c>
      <c r="I225" t="str">
        <f>IF('SAÍDAS-BASE'!H223="","",'SAÍDAS-BASE'!H223)</f>
        <v/>
      </c>
      <c r="J225" t="str">
        <f>IF('SAÍDAS-BASE'!I223="","",'SAÍDAS-BASE'!I223)</f>
        <v/>
      </c>
      <c r="K225" s="5" t="str">
        <f>IF('SAÍDAS-BASE'!J223="","",'SAÍDAS-BASE'!J223)</f>
        <v/>
      </c>
      <c r="L225" t="str">
        <f>IF(TABELA_SAIDAS[[#This Row],[UF]]="","",IFERROR(IF(VLOOKUP(TABELA_SAIDAS[[#This Row],[VALOR]],TABELA_ENTRADAS[VALOR],1,FALSE),"DEVOLUÇÃO"),"SEM ENTRADAS"))</f>
        <v/>
      </c>
    </row>
    <row r="226" spans="2:12" x14ac:dyDescent="0.3">
      <c r="B226" t="str">
        <f>IF('SAÍDAS-BASE'!A224="","",'SAÍDAS-BASE'!A224)</f>
        <v/>
      </c>
      <c r="C226" t="str">
        <f>IF('SAÍDAS-BASE'!B224="","",'SAÍDAS-BASE'!B224)</f>
        <v/>
      </c>
      <c r="D226" t="str">
        <f>IF('SAÍDAS-BASE'!C224="","",'SAÍDAS-BASE'!C224)</f>
        <v/>
      </c>
      <c r="E226" s="7" t="str">
        <f>IF('SAÍDAS-BASE'!D224="","",'SAÍDAS-BASE'!D224)</f>
        <v/>
      </c>
      <c r="F226" s="6" t="str">
        <f>IF('SAÍDAS-BASE'!E224="","",'SAÍDAS-BASE'!E224)</f>
        <v/>
      </c>
      <c r="G226" t="str">
        <f>IF('SAÍDAS-BASE'!F224="","",'SAÍDAS-BASE'!F224)</f>
        <v/>
      </c>
      <c r="H226" t="str">
        <f>IF('SAÍDAS-BASE'!G224="","",'SAÍDAS-BASE'!G224)</f>
        <v/>
      </c>
      <c r="I226" t="str">
        <f>IF('SAÍDAS-BASE'!H224="","",'SAÍDAS-BASE'!H224)</f>
        <v/>
      </c>
      <c r="J226" t="str">
        <f>IF('SAÍDAS-BASE'!I224="","",'SAÍDAS-BASE'!I224)</f>
        <v/>
      </c>
      <c r="K226" s="5" t="str">
        <f>IF('SAÍDAS-BASE'!J224="","",'SAÍDAS-BASE'!J224)</f>
        <v/>
      </c>
      <c r="L226" t="str">
        <f>IF(TABELA_SAIDAS[[#This Row],[UF]]="","",IFERROR(IF(VLOOKUP(TABELA_SAIDAS[[#This Row],[VALOR]],TABELA_ENTRADAS[VALOR],1,FALSE),"DEVOLUÇÃO"),"SEM ENTRADAS"))</f>
        <v/>
      </c>
    </row>
    <row r="227" spans="2:12" x14ac:dyDescent="0.3">
      <c r="B227" t="str">
        <f>IF('SAÍDAS-BASE'!A225="","",'SAÍDAS-BASE'!A225)</f>
        <v/>
      </c>
      <c r="C227" t="str">
        <f>IF('SAÍDAS-BASE'!B225="","",'SAÍDAS-BASE'!B225)</f>
        <v/>
      </c>
      <c r="D227" t="str">
        <f>IF('SAÍDAS-BASE'!C225="","",'SAÍDAS-BASE'!C225)</f>
        <v/>
      </c>
      <c r="E227" s="7" t="str">
        <f>IF('SAÍDAS-BASE'!D225="","",'SAÍDAS-BASE'!D225)</f>
        <v/>
      </c>
      <c r="F227" s="6" t="str">
        <f>IF('SAÍDAS-BASE'!E225="","",'SAÍDAS-BASE'!E225)</f>
        <v/>
      </c>
      <c r="G227" t="str">
        <f>IF('SAÍDAS-BASE'!F225="","",'SAÍDAS-BASE'!F225)</f>
        <v/>
      </c>
      <c r="H227" t="str">
        <f>IF('SAÍDAS-BASE'!G225="","",'SAÍDAS-BASE'!G225)</f>
        <v/>
      </c>
      <c r="I227" t="str">
        <f>IF('SAÍDAS-BASE'!H225="","",'SAÍDAS-BASE'!H225)</f>
        <v/>
      </c>
      <c r="J227" t="str">
        <f>IF('SAÍDAS-BASE'!I225="","",'SAÍDAS-BASE'!I225)</f>
        <v/>
      </c>
      <c r="K227" s="5" t="str">
        <f>IF('SAÍDAS-BASE'!J225="","",'SAÍDAS-BASE'!J225)</f>
        <v/>
      </c>
      <c r="L227" t="str">
        <f>IF(TABELA_SAIDAS[[#This Row],[UF]]="","",IFERROR(IF(VLOOKUP(TABELA_SAIDAS[[#This Row],[VALOR]],TABELA_ENTRADAS[VALOR],1,FALSE),"DEVOLUÇÃO"),"SEM ENTRADAS"))</f>
        <v/>
      </c>
    </row>
    <row r="228" spans="2:12" x14ac:dyDescent="0.3">
      <c r="B228" t="str">
        <f>IF('SAÍDAS-BASE'!A226="","",'SAÍDAS-BASE'!A226)</f>
        <v/>
      </c>
      <c r="C228" t="str">
        <f>IF('SAÍDAS-BASE'!B226="","",'SAÍDAS-BASE'!B226)</f>
        <v/>
      </c>
      <c r="D228" t="str">
        <f>IF('SAÍDAS-BASE'!C226="","",'SAÍDAS-BASE'!C226)</f>
        <v/>
      </c>
      <c r="E228" s="7" t="str">
        <f>IF('SAÍDAS-BASE'!D226="","",'SAÍDAS-BASE'!D226)</f>
        <v/>
      </c>
      <c r="F228" s="6" t="str">
        <f>IF('SAÍDAS-BASE'!E226="","",'SAÍDAS-BASE'!E226)</f>
        <v/>
      </c>
      <c r="G228" t="str">
        <f>IF('SAÍDAS-BASE'!F226="","",'SAÍDAS-BASE'!F226)</f>
        <v/>
      </c>
      <c r="H228" t="str">
        <f>IF('SAÍDAS-BASE'!G226="","",'SAÍDAS-BASE'!G226)</f>
        <v/>
      </c>
      <c r="I228" t="str">
        <f>IF('SAÍDAS-BASE'!H226="","",'SAÍDAS-BASE'!H226)</f>
        <v/>
      </c>
      <c r="J228" t="str">
        <f>IF('SAÍDAS-BASE'!I226="","",'SAÍDAS-BASE'!I226)</f>
        <v/>
      </c>
      <c r="K228" s="5" t="str">
        <f>IF('SAÍDAS-BASE'!J226="","",'SAÍDAS-BASE'!J226)</f>
        <v/>
      </c>
      <c r="L228" t="str">
        <f>IF(TABELA_SAIDAS[[#This Row],[UF]]="","",IFERROR(IF(VLOOKUP(TABELA_SAIDAS[[#This Row],[VALOR]],TABELA_ENTRADAS[VALOR],1,FALSE),"DEVOLUÇÃO"),"SEM ENTRADAS"))</f>
        <v/>
      </c>
    </row>
    <row r="229" spans="2:12" x14ac:dyDescent="0.3">
      <c r="B229" t="str">
        <f>IF('SAÍDAS-BASE'!A227="","",'SAÍDAS-BASE'!A227)</f>
        <v/>
      </c>
      <c r="C229" t="str">
        <f>IF('SAÍDAS-BASE'!B227="","",'SAÍDAS-BASE'!B227)</f>
        <v/>
      </c>
      <c r="D229" t="str">
        <f>IF('SAÍDAS-BASE'!C227="","",'SAÍDAS-BASE'!C227)</f>
        <v/>
      </c>
      <c r="E229" s="7" t="str">
        <f>IF('SAÍDAS-BASE'!D227="","",'SAÍDAS-BASE'!D227)</f>
        <v/>
      </c>
      <c r="F229" s="6" t="str">
        <f>IF('SAÍDAS-BASE'!E227="","",'SAÍDAS-BASE'!E227)</f>
        <v/>
      </c>
      <c r="G229" t="str">
        <f>IF('SAÍDAS-BASE'!F227="","",'SAÍDAS-BASE'!F227)</f>
        <v/>
      </c>
      <c r="H229" t="str">
        <f>IF('SAÍDAS-BASE'!G227="","",'SAÍDAS-BASE'!G227)</f>
        <v/>
      </c>
      <c r="I229" t="str">
        <f>IF('SAÍDAS-BASE'!H227="","",'SAÍDAS-BASE'!H227)</f>
        <v/>
      </c>
      <c r="J229" t="str">
        <f>IF('SAÍDAS-BASE'!I227="","",'SAÍDAS-BASE'!I227)</f>
        <v/>
      </c>
      <c r="K229" s="5" t="str">
        <f>IF('SAÍDAS-BASE'!J227="","",'SAÍDAS-BASE'!J227)</f>
        <v/>
      </c>
      <c r="L229" t="str">
        <f>IF(TABELA_SAIDAS[[#This Row],[UF]]="","",IFERROR(IF(VLOOKUP(TABELA_SAIDAS[[#This Row],[VALOR]],TABELA_ENTRADAS[VALOR],1,FALSE),"DEVOLUÇÃO"),"SEM ENTRADAS"))</f>
        <v/>
      </c>
    </row>
    <row r="230" spans="2:12" x14ac:dyDescent="0.3">
      <c r="B230" t="str">
        <f>IF('SAÍDAS-BASE'!A228="","",'SAÍDAS-BASE'!A228)</f>
        <v/>
      </c>
      <c r="C230" t="str">
        <f>IF('SAÍDAS-BASE'!B228="","",'SAÍDAS-BASE'!B228)</f>
        <v/>
      </c>
      <c r="D230" t="str">
        <f>IF('SAÍDAS-BASE'!C228="","",'SAÍDAS-BASE'!C228)</f>
        <v/>
      </c>
      <c r="E230" s="7" t="str">
        <f>IF('SAÍDAS-BASE'!D228="","",'SAÍDAS-BASE'!D228)</f>
        <v/>
      </c>
      <c r="F230" s="6" t="str">
        <f>IF('SAÍDAS-BASE'!E228="","",'SAÍDAS-BASE'!E228)</f>
        <v/>
      </c>
      <c r="G230" t="str">
        <f>IF('SAÍDAS-BASE'!F228="","",'SAÍDAS-BASE'!F228)</f>
        <v/>
      </c>
      <c r="H230" t="str">
        <f>IF('SAÍDAS-BASE'!G228="","",'SAÍDAS-BASE'!G228)</f>
        <v/>
      </c>
      <c r="I230" t="str">
        <f>IF('SAÍDAS-BASE'!H228="","",'SAÍDAS-BASE'!H228)</f>
        <v/>
      </c>
      <c r="J230" t="str">
        <f>IF('SAÍDAS-BASE'!I228="","",'SAÍDAS-BASE'!I228)</f>
        <v/>
      </c>
      <c r="K230" s="5" t="str">
        <f>IF('SAÍDAS-BASE'!J228="","",'SAÍDAS-BASE'!J228)</f>
        <v/>
      </c>
      <c r="L230" t="str">
        <f>IF(TABELA_SAIDAS[[#This Row],[UF]]="","",IFERROR(IF(VLOOKUP(TABELA_SAIDAS[[#This Row],[VALOR]],TABELA_ENTRADAS[VALOR],1,FALSE),"DEVOLUÇÃO"),"SEM ENTRADAS"))</f>
        <v/>
      </c>
    </row>
    <row r="231" spans="2:12" x14ac:dyDescent="0.3">
      <c r="B231" t="str">
        <f>IF('SAÍDAS-BASE'!A229="","",'SAÍDAS-BASE'!A229)</f>
        <v/>
      </c>
      <c r="C231" t="str">
        <f>IF('SAÍDAS-BASE'!B229="","",'SAÍDAS-BASE'!B229)</f>
        <v/>
      </c>
      <c r="D231" t="str">
        <f>IF('SAÍDAS-BASE'!C229="","",'SAÍDAS-BASE'!C229)</f>
        <v/>
      </c>
      <c r="E231" s="7" t="str">
        <f>IF('SAÍDAS-BASE'!D229="","",'SAÍDAS-BASE'!D229)</f>
        <v/>
      </c>
      <c r="F231" s="6" t="str">
        <f>IF('SAÍDAS-BASE'!E229="","",'SAÍDAS-BASE'!E229)</f>
        <v/>
      </c>
      <c r="G231" t="str">
        <f>IF('SAÍDAS-BASE'!F229="","",'SAÍDAS-BASE'!F229)</f>
        <v/>
      </c>
      <c r="H231" t="str">
        <f>IF('SAÍDAS-BASE'!G229="","",'SAÍDAS-BASE'!G229)</f>
        <v/>
      </c>
      <c r="I231" t="str">
        <f>IF('SAÍDAS-BASE'!H229="","",'SAÍDAS-BASE'!H229)</f>
        <v/>
      </c>
      <c r="J231" t="str">
        <f>IF('SAÍDAS-BASE'!I229="","",'SAÍDAS-BASE'!I229)</f>
        <v/>
      </c>
      <c r="K231" s="5" t="str">
        <f>IF('SAÍDAS-BASE'!J229="","",'SAÍDAS-BASE'!J229)</f>
        <v/>
      </c>
      <c r="L231" t="str">
        <f>IF(TABELA_SAIDAS[[#This Row],[UF]]="","",IFERROR(IF(VLOOKUP(TABELA_SAIDAS[[#This Row],[VALOR]],TABELA_ENTRADAS[VALOR],1,FALSE),"DEVOLUÇÃO"),"SEM ENTRADAS"))</f>
        <v/>
      </c>
    </row>
    <row r="232" spans="2:12" x14ac:dyDescent="0.3">
      <c r="B232" t="str">
        <f>IF('SAÍDAS-BASE'!A230="","",'SAÍDAS-BASE'!A230)</f>
        <v/>
      </c>
      <c r="C232" t="str">
        <f>IF('SAÍDAS-BASE'!B230="","",'SAÍDAS-BASE'!B230)</f>
        <v/>
      </c>
      <c r="D232" t="str">
        <f>IF('SAÍDAS-BASE'!C230="","",'SAÍDAS-BASE'!C230)</f>
        <v/>
      </c>
      <c r="E232" s="7" t="str">
        <f>IF('SAÍDAS-BASE'!D230="","",'SAÍDAS-BASE'!D230)</f>
        <v/>
      </c>
      <c r="F232" s="6" t="str">
        <f>IF('SAÍDAS-BASE'!E230="","",'SAÍDAS-BASE'!E230)</f>
        <v/>
      </c>
      <c r="G232" t="str">
        <f>IF('SAÍDAS-BASE'!F230="","",'SAÍDAS-BASE'!F230)</f>
        <v/>
      </c>
      <c r="H232" t="str">
        <f>IF('SAÍDAS-BASE'!G230="","",'SAÍDAS-BASE'!G230)</f>
        <v/>
      </c>
      <c r="I232" t="str">
        <f>IF('SAÍDAS-BASE'!H230="","",'SAÍDAS-BASE'!H230)</f>
        <v/>
      </c>
      <c r="J232" t="str">
        <f>IF('SAÍDAS-BASE'!I230="","",'SAÍDAS-BASE'!I230)</f>
        <v/>
      </c>
      <c r="K232" s="5" t="str">
        <f>IF('SAÍDAS-BASE'!J230="","",'SAÍDAS-BASE'!J230)</f>
        <v/>
      </c>
      <c r="L232" t="str">
        <f>IF(TABELA_SAIDAS[[#This Row],[UF]]="","",IFERROR(IF(VLOOKUP(TABELA_SAIDAS[[#This Row],[VALOR]],TABELA_ENTRADAS[VALOR],1,FALSE),"DEVOLUÇÃO"),"SEM ENTRADAS"))</f>
        <v/>
      </c>
    </row>
    <row r="233" spans="2:12" x14ac:dyDescent="0.3">
      <c r="B233" t="str">
        <f>IF('SAÍDAS-BASE'!A231="","",'SAÍDAS-BASE'!A231)</f>
        <v/>
      </c>
      <c r="C233" t="str">
        <f>IF('SAÍDAS-BASE'!B231="","",'SAÍDAS-BASE'!B231)</f>
        <v/>
      </c>
      <c r="D233" t="str">
        <f>IF('SAÍDAS-BASE'!C231="","",'SAÍDAS-BASE'!C231)</f>
        <v/>
      </c>
      <c r="E233" s="7" t="str">
        <f>IF('SAÍDAS-BASE'!D231="","",'SAÍDAS-BASE'!D231)</f>
        <v/>
      </c>
      <c r="F233" s="6" t="str">
        <f>IF('SAÍDAS-BASE'!E231="","",'SAÍDAS-BASE'!E231)</f>
        <v/>
      </c>
      <c r="G233" t="str">
        <f>IF('SAÍDAS-BASE'!F231="","",'SAÍDAS-BASE'!F231)</f>
        <v/>
      </c>
      <c r="H233" t="str">
        <f>IF('SAÍDAS-BASE'!G231="","",'SAÍDAS-BASE'!G231)</f>
        <v/>
      </c>
      <c r="I233" t="str">
        <f>IF('SAÍDAS-BASE'!H231="","",'SAÍDAS-BASE'!H231)</f>
        <v/>
      </c>
      <c r="J233" t="str">
        <f>IF('SAÍDAS-BASE'!I231="","",'SAÍDAS-BASE'!I231)</f>
        <v/>
      </c>
      <c r="K233" s="5" t="str">
        <f>IF('SAÍDAS-BASE'!J231="","",'SAÍDAS-BASE'!J231)</f>
        <v/>
      </c>
      <c r="L233" t="str">
        <f>IF(TABELA_SAIDAS[[#This Row],[UF]]="","",IFERROR(IF(VLOOKUP(TABELA_SAIDAS[[#This Row],[VALOR]],TABELA_ENTRADAS[VALOR],1,FALSE),"DEVOLUÇÃO"),"SEM ENTRADAS"))</f>
        <v/>
      </c>
    </row>
    <row r="234" spans="2:12" x14ac:dyDescent="0.3">
      <c r="B234" t="str">
        <f>IF('SAÍDAS-BASE'!A232="","",'SAÍDAS-BASE'!A232)</f>
        <v/>
      </c>
      <c r="C234" t="str">
        <f>IF('SAÍDAS-BASE'!B232="","",'SAÍDAS-BASE'!B232)</f>
        <v/>
      </c>
      <c r="D234" t="str">
        <f>IF('SAÍDAS-BASE'!C232="","",'SAÍDAS-BASE'!C232)</f>
        <v/>
      </c>
      <c r="E234" s="7" t="str">
        <f>IF('SAÍDAS-BASE'!D232="","",'SAÍDAS-BASE'!D232)</f>
        <v/>
      </c>
      <c r="F234" s="6" t="str">
        <f>IF('SAÍDAS-BASE'!E232="","",'SAÍDAS-BASE'!E232)</f>
        <v/>
      </c>
      <c r="G234" t="str">
        <f>IF('SAÍDAS-BASE'!F232="","",'SAÍDAS-BASE'!F232)</f>
        <v/>
      </c>
      <c r="H234" t="str">
        <f>IF('SAÍDAS-BASE'!G232="","",'SAÍDAS-BASE'!G232)</f>
        <v/>
      </c>
      <c r="I234" t="str">
        <f>IF('SAÍDAS-BASE'!H232="","",'SAÍDAS-BASE'!H232)</f>
        <v/>
      </c>
      <c r="J234" t="str">
        <f>IF('SAÍDAS-BASE'!I232="","",'SAÍDAS-BASE'!I232)</f>
        <v/>
      </c>
      <c r="K234" s="5" t="str">
        <f>IF('SAÍDAS-BASE'!J232="","",'SAÍDAS-BASE'!J232)</f>
        <v/>
      </c>
      <c r="L234" t="str">
        <f>IF(TABELA_SAIDAS[[#This Row],[UF]]="","",IFERROR(IF(VLOOKUP(TABELA_SAIDAS[[#This Row],[VALOR]],TABELA_ENTRADAS[VALOR],1,FALSE),"DEVOLUÇÃO"),"SEM ENTRADAS"))</f>
        <v/>
      </c>
    </row>
    <row r="235" spans="2:12" x14ac:dyDescent="0.3">
      <c r="B235" t="str">
        <f>IF('SAÍDAS-BASE'!A233="","",'SAÍDAS-BASE'!A233)</f>
        <v/>
      </c>
      <c r="C235" t="str">
        <f>IF('SAÍDAS-BASE'!B233="","",'SAÍDAS-BASE'!B233)</f>
        <v/>
      </c>
      <c r="D235" t="str">
        <f>IF('SAÍDAS-BASE'!C233="","",'SAÍDAS-BASE'!C233)</f>
        <v/>
      </c>
      <c r="E235" s="7" t="str">
        <f>IF('SAÍDAS-BASE'!D233="","",'SAÍDAS-BASE'!D233)</f>
        <v/>
      </c>
      <c r="F235" s="6" t="str">
        <f>IF('SAÍDAS-BASE'!E233="","",'SAÍDAS-BASE'!E233)</f>
        <v/>
      </c>
      <c r="G235" t="str">
        <f>IF('SAÍDAS-BASE'!F233="","",'SAÍDAS-BASE'!F233)</f>
        <v/>
      </c>
      <c r="H235" t="str">
        <f>IF('SAÍDAS-BASE'!G233="","",'SAÍDAS-BASE'!G233)</f>
        <v/>
      </c>
      <c r="I235" t="str">
        <f>IF('SAÍDAS-BASE'!H233="","",'SAÍDAS-BASE'!H233)</f>
        <v/>
      </c>
      <c r="J235" t="str">
        <f>IF('SAÍDAS-BASE'!I233="","",'SAÍDAS-BASE'!I233)</f>
        <v/>
      </c>
      <c r="K235" s="5" t="str">
        <f>IF('SAÍDAS-BASE'!J233="","",'SAÍDAS-BASE'!J233)</f>
        <v/>
      </c>
      <c r="L235" t="str">
        <f>IF(TABELA_SAIDAS[[#This Row],[UF]]="","",IFERROR(IF(VLOOKUP(TABELA_SAIDAS[[#This Row],[VALOR]],TABELA_ENTRADAS[VALOR],1,FALSE),"DEVOLUÇÃO"),"SEM ENTRADAS"))</f>
        <v/>
      </c>
    </row>
    <row r="236" spans="2:12" x14ac:dyDescent="0.3">
      <c r="B236" t="str">
        <f>IF('SAÍDAS-BASE'!A234="","",'SAÍDAS-BASE'!A234)</f>
        <v/>
      </c>
      <c r="C236" t="str">
        <f>IF('SAÍDAS-BASE'!B234="","",'SAÍDAS-BASE'!B234)</f>
        <v/>
      </c>
      <c r="D236" t="str">
        <f>IF('SAÍDAS-BASE'!C234="","",'SAÍDAS-BASE'!C234)</f>
        <v/>
      </c>
      <c r="E236" s="7" t="str">
        <f>IF('SAÍDAS-BASE'!D234="","",'SAÍDAS-BASE'!D234)</f>
        <v/>
      </c>
      <c r="F236" s="6" t="str">
        <f>IF('SAÍDAS-BASE'!E234="","",'SAÍDAS-BASE'!E234)</f>
        <v/>
      </c>
      <c r="G236" t="str">
        <f>IF('SAÍDAS-BASE'!F234="","",'SAÍDAS-BASE'!F234)</f>
        <v/>
      </c>
      <c r="H236" t="str">
        <f>IF('SAÍDAS-BASE'!G234="","",'SAÍDAS-BASE'!G234)</f>
        <v/>
      </c>
      <c r="I236" t="str">
        <f>IF('SAÍDAS-BASE'!H234="","",'SAÍDAS-BASE'!H234)</f>
        <v/>
      </c>
      <c r="J236" t="str">
        <f>IF('SAÍDAS-BASE'!I234="","",'SAÍDAS-BASE'!I234)</f>
        <v/>
      </c>
      <c r="K236" s="5" t="str">
        <f>IF('SAÍDAS-BASE'!J234="","",'SAÍDAS-BASE'!J234)</f>
        <v/>
      </c>
      <c r="L236" t="str">
        <f>IF(TABELA_SAIDAS[[#This Row],[UF]]="","",IFERROR(IF(VLOOKUP(TABELA_SAIDAS[[#This Row],[VALOR]],TABELA_ENTRADAS[VALOR],1,FALSE),"DEVOLUÇÃO"),"SEM ENTRADAS"))</f>
        <v/>
      </c>
    </row>
    <row r="237" spans="2:12" x14ac:dyDescent="0.3">
      <c r="B237" t="str">
        <f>IF('SAÍDAS-BASE'!A235="","",'SAÍDAS-BASE'!A235)</f>
        <v/>
      </c>
      <c r="C237" t="str">
        <f>IF('SAÍDAS-BASE'!B235="","",'SAÍDAS-BASE'!B235)</f>
        <v/>
      </c>
      <c r="D237" t="str">
        <f>IF('SAÍDAS-BASE'!C235="","",'SAÍDAS-BASE'!C235)</f>
        <v/>
      </c>
      <c r="E237" s="7" t="str">
        <f>IF('SAÍDAS-BASE'!D235="","",'SAÍDAS-BASE'!D235)</f>
        <v/>
      </c>
      <c r="F237" s="6" t="str">
        <f>IF('SAÍDAS-BASE'!E235="","",'SAÍDAS-BASE'!E235)</f>
        <v/>
      </c>
      <c r="G237" t="str">
        <f>IF('SAÍDAS-BASE'!F235="","",'SAÍDAS-BASE'!F235)</f>
        <v/>
      </c>
      <c r="H237" t="str">
        <f>IF('SAÍDAS-BASE'!G235="","",'SAÍDAS-BASE'!G235)</f>
        <v/>
      </c>
      <c r="I237" t="str">
        <f>IF('SAÍDAS-BASE'!H235="","",'SAÍDAS-BASE'!H235)</f>
        <v/>
      </c>
      <c r="J237" t="str">
        <f>IF('SAÍDAS-BASE'!I235="","",'SAÍDAS-BASE'!I235)</f>
        <v/>
      </c>
      <c r="K237" s="5" t="str">
        <f>IF('SAÍDAS-BASE'!J235="","",'SAÍDAS-BASE'!J235)</f>
        <v/>
      </c>
      <c r="L237" t="str">
        <f>IF(TABELA_SAIDAS[[#This Row],[UF]]="","",IFERROR(IF(VLOOKUP(TABELA_SAIDAS[[#This Row],[VALOR]],TABELA_ENTRADAS[VALOR],1,FALSE),"DEVOLUÇÃO"),"SEM ENTRADAS"))</f>
        <v/>
      </c>
    </row>
    <row r="238" spans="2:12" x14ac:dyDescent="0.3">
      <c r="B238" t="str">
        <f>IF('SAÍDAS-BASE'!A236="","",'SAÍDAS-BASE'!A236)</f>
        <v/>
      </c>
      <c r="C238" t="str">
        <f>IF('SAÍDAS-BASE'!B236="","",'SAÍDAS-BASE'!B236)</f>
        <v/>
      </c>
      <c r="D238" t="str">
        <f>IF('SAÍDAS-BASE'!C236="","",'SAÍDAS-BASE'!C236)</f>
        <v/>
      </c>
      <c r="E238" s="7" t="str">
        <f>IF('SAÍDAS-BASE'!D236="","",'SAÍDAS-BASE'!D236)</f>
        <v/>
      </c>
      <c r="F238" s="6" t="str">
        <f>IF('SAÍDAS-BASE'!E236="","",'SAÍDAS-BASE'!E236)</f>
        <v/>
      </c>
      <c r="G238" t="str">
        <f>IF('SAÍDAS-BASE'!F236="","",'SAÍDAS-BASE'!F236)</f>
        <v/>
      </c>
      <c r="H238" t="str">
        <f>IF('SAÍDAS-BASE'!G236="","",'SAÍDAS-BASE'!G236)</f>
        <v/>
      </c>
      <c r="I238" t="str">
        <f>IF('SAÍDAS-BASE'!H236="","",'SAÍDAS-BASE'!H236)</f>
        <v/>
      </c>
      <c r="J238" t="str">
        <f>IF('SAÍDAS-BASE'!I236="","",'SAÍDAS-BASE'!I236)</f>
        <v/>
      </c>
      <c r="K238" s="5" t="str">
        <f>IF('SAÍDAS-BASE'!J236="","",'SAÍDAS-BASE'!J236)</f>
        <v/>
      </c>
      <c r="L238" t="str">
        <f>IF(TABELA_SAIDAS[[#This Row],[UF]]="","",IFERROR(IF(VLOOKUP(TABELA_SAIDAS[[#This Row],[VALOR]],TABELA_ENTRADAS[VALOR],1,FALSE),"DEVOLUÇÃO"),"SEM ENTRADAS"))</f>
        <v/>
      </c>
    </row>
    <row r="239" spans="2:12" x14ac:dyDescent="0.3">
      <c r="B239" t="str">
        <f>IF('SAÍDAS-BASE'!A237="","",'SAÍDAS-BASE'!A237)</f>
        <v/>
      </c>
      <c r="C239" t="str">
        <f>IF('SAÍDAS-BASE'!B237="","",'SAÍDAS-BASE'!B237)</f>
        <v/>
      </c>
      <c r="D239" t="str">
        <f>IF('SAÍDAS-BASE'!C237="","",'SAÍDAS-BASE'!C237)</f>
        <v/>
      </c>
      <c r="E239" s="7" t="str">
        <f>IF('SAÍDAS-BASE'!D237="","",'SAÍDAS-BASE'!D237)</f>
        <v/>
      </c>
      <c r="F239" s="6" t="str">
        <f>IF('SAÍDAS-BASE'!E237="","",'SAÍDAS-BASE'!E237)</f>
        <v/>
      </c>
      <c r="G239" t="str">
        <f>IF('SAÍDAS-BASE'!F237="","",'SAÍDAS-BASE'!F237)</f>
        <v/>
      </c>
      <c r="H239" t="str">
        <f>IF('SAÍDAS-BASE'!G237="","",'SAÍDAS-BASE'!G237)</f>
        <v/>
      </c>
      <c r="I239" t="str">
        <f>IF('SAÍDAS-BASE'!H237="","",'SAÍDAS-BASE'!H237)</f>
        <v/>
      </c>
      <c r="J239" t="str">
        <f>IF('SAÍDAS-BASE'!I237="","",'SAÍDAS-BASE'!I237)</f>
        <v/>
      </c>
      <c r="K239" s="5" t="str">
        <f>IF('SAÍDAS-BASE'!J237="","",'SAÍDAS-BASE'!J237)</f>
        <v/>
      </c>
      <c r="L239" t="str">
        <f>IF(TABELA_SAIDAS[[#This Row],[UF]]="","",IFERROR(IF(VLOOKUP(TABELA_SAIDAS[[#This Row],[VALOR]],TABELA_ENTRADAS[VALOR],1,FALSE),"DEVOLUÇÃO"),"SEM ENTRADAS"))</f>
        <v/>
      </c>
    </row>
    <row r="240" spans="2:12" x14ac:dyDescent="0.3">
      <c r="B240" t="str">
        <f>IF('SAÍDAS-BASE'!A238="","",'SAÍDAS-BASE'!A238)</f>
        <v/>
      </c>
      <c r="C240" t="str">
        <f>IF('SAÍDAS-BASE'!B238="","",'SAÍDAS-BASE'!B238)</f>
        <v/>
      </c>
      <c r="D240" t="str">
        <f>IF('SAÍDAS-BASE'!C238="","",'SAÍDAS-BASE'!C238)</f>
        <v/>
      </c>
      <c r="E240" s="7" t="str">
        <f>IF('SAÍDAS-BASE'!D238="","",'SAÍDAS-BASE'!D238)</f>
        <v/>
      </c>
      <c r="F240" s="6" t="str">
        <f>IF('SAÍDAS-BASE'!E238="","",'SAÍDAS-BASE'!E238)</f>
        <v/>
      </c>
      <c r="G240" t="str">
        <f>IF('SAÍDAS-BASE'!F238="","",'SAÍDAS-BASE'!F238)</f>
        <v/>
      </c>
      <c r="H240" t="str">
        <f>IF('SAÍDAS-BASE'!G238="","",'SAÍDAS-BASE'!G238)</f>
        <v/>
      </c>
      <c r="I240" t="str">
        <f>IF('SAÍDAS-BASE'!H238="","",'SAÍDAS-BASE'!H238)</f>
        <v/>
      </c>
      <c r="J240" t="str">
        <f>IF('SAÍDAS-BASE'!I238="","",'SAÍDAS-BASE'!I238)</f>
        <v/>
      </c>
      <c r="K240" s="5" t="str">
        <f>IF('SAÍDAS-BASE'!J238="","",'SAÍDAS-BASE'!J238)</f>
        <v/>
      </c>
      <c r="L240" t="str">
        <f>IF(TABELA_SAIDAS[[#This Row],[UF]]="","",IFERROR(IF(VLOOKUP(TABELA_SAIDAS[[#This Row],[VALOR]],TABELA_ENTRADAS[VALOR],1,FALSE),"DEVOLUÇÃO"),"SEM ENTRADAS"))</f>
        <v/>
      </c>
    </row>
    <row r="241" spans="2:12" x14ac:dyDescent="0.3">
      <c r="B241" t="str">
        <f>IF('SAÍDAS-BASE'!A239="","",'SAÍDAS-BASE'!A239)</f>
        <v/>
      </c>
      <c r="C241" t="str">
        <f>IF('SAÍDAS-BASE'!B239="","",'SAÍDAS-BASE'!B239)</f>
        <v/>
      </c>
      <c r="D241" t="str">
        <f>IF('SAÍDAS-BASE'!C239="","",'SAÍDAS-BASE'!C239)</f>
        <v/>
      </c>
      <c r="E241" s="7" t="str">
        <f>IF('SAÍDAS-BASE'!D239="","",'SAÍDAS-BASE'!D239)</f>
        <v/>
      </c>
      <c r="F241" s="6" t="str">
        <f>IF('SAÍDAS-BASE'!E239="","",'SAÍDAS-BASE'!E239)</f>
        <v/>
      </c>
      <c r="G241" t="str">
        <f>IF('SAÍDAS-BASE'!F239="","",'SAÍDAS-BASE'!F239)</f>
        <v/>
      </c>
      <c r="H241" t="str">
        <f>IF('SAÍDAS-BASE'!G239="","",'SAÍDAS-BASE'!G239)</f>
        <v/>
      </c>
      <c r="I241" t="str">
        <f>IF('SAÍDAS-BASE'!H239="","",'SAÍDAS-BASE'!H239)</f>
        <v/>
      </c>
      <c r="J241" t="str">
        <f>IF('SAÍDAS-BASE'!I239="","",'SAÍDAS-BASE'!I239)</f>
        <v/>
      </c>
      <c r="K241" s="5" t="str">
        <f>IF('SAÍDAS-BASE'!J239="","",'SAÍDAS-BASE'!J239)</f>
        <v/>
      </c>
      <c r="L241" t="str">
        <f>IF(TABELA_SAIDAS[[#This Row],[UF]]="","",IFERROR(IF(VLOOKUP(TABELA_SAIDAS[[#This Row],[VALOR]],TABELA_ENTRADAS[VALOR],1,FALSE),"DEVOLUÇÃO"),"SEM ENTRADAS"))</f>
        <v/>
      </c>
    </row>
    <row r="242" spans="2:12" x14ac:dyDescent="0.3">
      <c r="B242" t="str">
        <f>IF('SAÍDAS-BASE'!A240="","",'SAÍDAS-BASE'!A240)</f>
        <v/>
      </c>
      <c r="C242" t="str">
        <f>IF('SAÍDAS-BASE'!B240="","",'SAÍDAS-BASE'!B240)</f>
        <v/>
      </c>
      <c r="D242" t="str">
        <f>IF('SAÍDAS-BASE'!C240="","",'SAÍDAS-BASE'!C240)</f>
        <v/>
      </c>
      <c r="E242" s="7" t="str">
        <f>IF('SAÍDAS-BASE'!D240="","",'SAÍDAS-BASE'!D240)</f>
        <v/>
      </c>
      <c r="F242" s="6" t="str">
        <f>IF('SAÍDAS-BASE'!E240="","",'SAÍDAS-BASE'!E240)</f>
        <v/>
      </c>
      <c r="G242" t="str">
        <f>IF('SAÍDAS-BASE'!F240="","",'SAÍDAS-BASE'!F240)</f>
        <v/>
      </c>
      <c r="H242" t="str">
        <f>IF('SAÍDAS-BASE'!G240="","",'SAÍDAS-BASE'!G240)</f>
        <v/>
      </c>
      <c r="I242" t="str">
        <f>IF('SAÍDAS-BASE'!H240="","",'SAÍDAS-BASE'!H240)</f>
        <v/>
      </c>
      <c r="J242" t="str">
        <f>IF('SAÍDAS-BASE'!I240="","",'SAÍDAS-BASE'!I240)</f>
        <v/>
      </c>
      <c r="K242" s="5" t="str">
        <f>IF('SAÍDAS-BASE'!J240="","",'SAÍDAS-BASE'!J240)</f>
        <v/>
      </c>
      <c r="L242" t="str">
        <f>IF(TABELA_SAIDAS[[#This Row],[UF]]="","",IFERROR(IF(VLOOKUP(TABELA_SAIDAS[[#This Row],[VALOR]],TABELA_ENTRADAS[VALOR],1,FALSE),"DEVOLUÇÃO"),"SEM ENTRADAS"))</f>
        <v/>
      </c>
    </row>
    <row r="243" spans="2:12" x14ac:dyDescent="0.3">
      <c r="B243" t="str">
        <f>IF('SAÍDAS-BASE'!A241="","",'SAÍDAS-BASE'!A241)</f>
        <v/>
      </c>
      <c r="C243" t="str">
        <f>IF('SAÍDAS-BASE'!B241="","",'SAÍDAS-BASE'!B241)</f>
        <v/>
      </c>
      <c r="D243" t="str">
        <f>IF('SAÍDAS-BASE'!C241="","",'SAÍDAS-BASE'!C241)</f>
        <v/>
      </c>
      <c r="E243" s="7" t="str">
        <f>IF('SAÍDAS-BASE'!D241="","",'SAÍDAS-BASE'!D241)</f>
        <v/>
      </c>
      <c r="F243" s="6" t="str">
        <f>IF('SAÍDAS-BASE'!E241="","",'SAÍDAS-BASE'!E241)</f>
        <v/>
      </c>
      <c r="G243" t="str">
        <f>IF('SAÍDAS-BASE'!F241="","",'SAÍDAS-BASE'!F241)</f>
        <v/>
      </c>
      <c r="H243" t="str">
        <f>IF('SAÍDAS-BASE'!G241="","",'SAÍDAS-BASE'!G241)</f>
        <v/>
      </c>
      <c r="I243" t="str">
        <f>IF('SAÍDAS-BASE'!H241="","",'SAÍDAS-BASE'!H241)</f>
        <v/>
      </c>
      <c r="J243" t="str">
        <f>IF('SAÍDAS-BASE'!I241="","",'SAÍDAS-BASE'!I241)</f>
        <v/>
      </c>
      <c r="K243" s="5" t="str">
        <f>IF('SAÍDAS-BASE'!J241="","",'SAÍDAS-BASE'!J241)</f>
        <v/>
      </c>
      <c r="L243" t="str">
        <f>IF(TABELA_SAIDAS[[#This Row],[UF]]="","",IFERROR(IF(VLOOKUP(TABELA_SAIDAS[[#This Row],[VALOR]],TABELA_ENTRADAS[VALOR],1,FALSE),"DEVOLUÇÃO"),"SEM ENTRADAS"))</f>
        <v/>
      </c>
    </row>
    <row r="244" spans="2:12" x14ac:dyDescent="0.3">
      <c r="B244" t="str">
        <f>IF('SAÍDAS-BASE'!A242="","",'SAÍDAS-BASE'!A242)</f>
        <v/>
      </c>
      <c r="C244" t="str">
        <f>IF('SAÍDAS-BASE'!B242="","",'SAÍDAS-BASE'!B242)</f>
        <v/>
      </c>
      <c r="D244" t="str">
        <f>IF('SAÍDAS-BASE'!C242="","",'SAÍDAS-BASE'!C242)</f>
        <v/>
      </c>
      <c r="E244" s="7" t="str">
        <f>IF('SAÍDAS-BASE'!D242="","",'SAÍDAS-BASE'!D242)</f>
        <v/>
      </c>
      <c r="F244" s="6" t="str">
        <f>IF('SAÍDAS-BASE'!E242="","",'SAÍDAS-BASE'!E242)</f>
        <v/>
      </c>
      <c r="G244" t="str">
        <f>IF('SAÍDAS-BASE'!F242="","",'SAÍDAS-BASE'!F242)</f>
        <v/>
      </c>
      <c r="H244" t="str">
        <f>IF('SAÍDAS-BASE'!G242="","",'SAÍDAS-BASE'!G242)</f>
        <v/>
      </c>
      <c r="I244" t="str">
        <f>IF('SAÍDAS-BASE'!H242="","",'SAÍDAS-BASE'!H242)</f>
        <v/>
      </c>
      <c r="J244" t="str">
        <f>IF('SAÍDAS-BASE'!I242="","",'SAÍDAS-BASE'!I242)</f>
        <v/>
      </c>
      <c r="K244" s="5" t="str">
        <f>IF('SAÍDAS-BASE'!J242="","",'SAÍDAS-BASE'!J242)</f>
        <v/>
      </c>
      <c r="L244" t="str">
        <f>IF(TABELA_SAIDAS[[#This Row],[UF]]="","",IFERROR(IF(VLOOKUP(TABELA_SAIDAS[[#This Row],[VALOR]],TABELA_ENTRADAS[VALOR],1,FALSE),"DEVOLUÇÃO"),"SEM ENTRADAS"))</f>
        <v/>
      </c>
    </row>
    <row r="245" spans="2:12" x14ac:dyDescent="0.3">
      <c r="B245" t="str">
        <f>IF('SAÍDAS-BASE'!A243="","",'SAÍDAS-BASE'!A243)</f>
        <v/>
      </c>
      <c r="C245" t="str">
        <f>IF('SAÍDAS-BASE'!B243="","",'SAÍDAS-BASE'!B243)</f>
        <v/>
      </c>
      <c r="D245" t="str">
        <f>IF('SAÍDAS-BASE'!C243="","",'SAÍDAS-BASE'!C243)</f>
        <v/>
      </c>
      <c r="E245" s="7" t="str">
        <f>IF('SAÍDAS-BASE'!D243="","",'SAÍDAS-BASE'!D243)</f>
        <v/>
      </c>
      <c r="F245" s="6" t="str">
        <f>IF('SAÍDAS-BASE'!E243="","",'SAÍDAS-BASE'!E243)</f>
        <v/>
      </c>
      <c r="G245" t="str">
        <f>IF('SAÍDAS-BASE'!F243="","",'SAÍDAS-BASE'!F243)</f>
        <v/>
      </c>
      <c r="H245" t="str">
        <f>IF('SAÍDAS-BASE'!G243="","",'SAÍDAS-BASE'!G243)</f>
        <v/>
      </c>
      <c r="I245" t="str">
        <f>IF('SAÍDAS-BASE'!H243="","",'SAÍDAS-BASE'!H243)</f>
        <v/>
      </c>
      <c r="J245" t="str">
        <f>IF('SAÍDAS-BASE'!I243="","",'SAÍDAS-BASE'!I243)</f>
        <v/>
      </c>
      <c r="K245" s="5" t="str">
        <f>IF('SAÍDAS-BASE'!J243="","",'SAÍDAS-BASE'!J243)</f>
        <v/>
      </c>
      <c r="L245" t="str">
        <f>IF(TABELA_SAIDAS[[#This Row],[UF]]="","",IFERROR(IF(VLOOKUP(TABELA_SAIDAS[[#This Row],[VALOR]],TABELA_ENTRADAS[VALOR],1,FALSE),"DEVOLUÇÃO"),"SEM ENTRADAS"))</f>
        <v/>
      </c>
    </row>
    <row r="246" spans="2:12" x14ac:dyDescent="0.3">
      <c r="B246" t="str">
        <f>IF('SAÍDAS-BASE'!A244="","",'SAÍDAS-BASE'!A244)</f>
        <v/>
      </c>
      <c r="C246" t="str">
        <f>IF('SAÍDAS-BASE'!B244="","",'SAÍDAS-BASE'!B244)</f>
        <v/>
      </c>
      <c r="D246" t="str">
        <f>IF('SAÍDAS-BASE'!C244="","",'SAÍDAS-BASE'!C244)</f>
        <v/>
      </c>
      <c r="E246" s="7" t="str">
        <f>IF('SAÍDAS-BASE'!D244="","",'SAÍDAS-BASE'!D244)</f>
        <v/>
      </c>
      <c r="F246" s="6" t="str">
        <f>IF('SAÍDAS-BASE'!E244="","",'SAÍDAS-BASE'!E244)</f>
        <v/>
      </c>
      <c r="G246" t="str">
        <f>IF('SAÍDAS-BASE'!F244="","",'SAÍDAS-BASE'!F244)</f>
        <v/>
      </c>
      <c r="H246" t="str">
        <f>IF('SAÍDAS-BASE'!G244="","",'SAÍDAS-BASE'!G244)</f>
        <v/>
      </c>
      <c r="I246" t="str">
        <f>IF('SAÍDAS-BASE'!H244="","",'SAÍDAS-BASE'!H244)</f>
        <v/>
      </c>
      <c r="J246" t="str">
        <f>IF('SAÍDAS-BASE'!I244="","",'SAÍDAS-BASE'!I244)</f>
        <v/>
      </c>
      <c r="K246" s="5" t="str">
        <f>IF('SAÍDAS-BASE'!J244="","",'SAÍDAS-BASE'!J244)</f>
        <v/>
      </c>
      <c r="L246" t="str">
        <f>IF(TABELA_SAIDAS[[#This Row],[UF]]="","",IFERROR(IF(VLOOKUP(TABELA_SAIDAS[[#This Row],[VALOR]],TABELA_ENTRADAS[VALOR],1,FALSE),"DEVOLUÇÃO"),"SEM ENTRADAS"))</f>
        <v/>
      </c>
    </row>
    <row r="247" spans="2:12" x14ac:dyDescent="0.3">
      <c r="B247" t="str">
        <f>IF('SAÍDAS-BASE'!A245="","",'SAÍDAS-BASE'!A245)</f>
        <v/>
      </c>
      <c r="C247" t="str">
        <f>IF('SAÍDAS-BASE'!B245="","",'SAÍDAS-BASE'!B245)</f>
        <v/>
      </c>
      <c r="D247" t="str">
        <f>IF('SAÍDAS-BASE'!C245="","",'SAÍDAS-BASE'!C245)</f>
        <v/>
      </c>
      <c r="E247" s="7" t="str">
        <f>IF('SAÍDAS-BASE'!D245="","",'SAÍDAS-BASE'!D245)</f>
        <v/>
      </c>
      <c r="F247" s="6" t="str">
        <f>IF('SAÍDAS-BASE'!E245="","",'SAÍDAS-BASE'!E245)</f>
        <v/>
      </c>
      <c r="G247" t="str">
        <f>IF('SAÍDAS-BASE'!F245="","",'SAÍDAS-BASE'!F245)</f>
        <v/>
      </c>
      <c r="H247" t="str">
        <f>IF('SAÍDAS-BASE'!G245="","",'SAÍDAS-BASE'!G245)</f>
        <v/>
      </c>
      <c r="I247" t="str">
        <f>IF('SAÍDAS-BASE'!H245="","",'SAÍDAS-BASE'!H245)</f>
        <v/>
      </c>
      <c r="J247" t="str">
        <f>IF('SAÍDAS-BASE'!I245="","",'SAÍDAS-BASE'!I245)</f>
        <v/>
      </c>
      <c r="K247" s="5" t="str">
        <f>IF('SAÍDAS-BASE'!J245="","",'SAÍDAS-BASE'!J245)</f>
        <v/>
      </c>
      <c r="L247" t="str">
        <f>IF(TABELA_SAIDAS[[#This Row],[UF]]="","",IFERROR(IF(VLOOKUP(TABELA_SAIDAS[[#This Row],[VALOR]],TABELA_ENTRADAS[VALOR],1,FALSE),"DEVOLUÇÃO"),"SEM ENTRADAS"))</f>
        <v/>
      </c>
    </row>
    <row r="248" spans="2:12" x14ac:dyDescent="0.3">
      <c r="B248" t="str">
        <f>IF('SAÍDAS-BASE'!A246="","",'SAÍDAS-BASE'!A246)</f>
        <v/>
      </c>
      <c r="C248" t="str">
        <f>IF('SAÍDAS-BASE'!B246="","",'SAÍDAS-BASE'!B246)</f>
        <v/>
      </c>
      <c r="D248" t="str">
        <f>IF('SAÍDAS-BASE'!C246="","",'SAÍDAS-BASE'!C246)</f>
        <v/>
      </c>
      <c r="E248" s="7" t="str">
        <f>IF('SAÍDAS-BASE'!D246="","",'SAÍDAS-BASE'!D246)</f>
        <v/>
      </c>
      <c r="F248" s="6" t="str">
        <f>IF('SAÍDAS-BASE'!E246="","",'SAÍDAS-BASE'!E246)</f>
        <v/>
      </c>
      <c r="G248" t="str">
        <f>IF('SAÍDAS-BASE'!F246="","",'SAÍDAS-BASE'!F246)</f>
        <v/>
      </c>
      <c r="H248" t="str">
        <f>IF('SAÍDAS-BASE'!G246="","",'SAÍDAS-BASE'!G246)</f>
        <v/>
      </c>
      <c r="I248" t="str">
        <f>IF('SAÍDAS-BASE'!H246="","",'SAÍDAS-BASE'!H246)</f>
        <v/>
      </c>
      <c r="J248" t="str">
        <f>IF('SAÍDAS-BASE'!I246="","",'SAÍDAS-BASE'!I246)</f>
        <v/>
      </c>
      <c r="K248" s="5" t="str">
        <f>IF('SAÍDAS-BASE'!J246="","",'SAÍDAS-BASE'!J246)</f>
        <v/>
      </c>
      <c r="L248" t="str">
        <f>IF(TABELA_SAIDAS[[#This Row],[UF]]="","",IFERROR(IF(VLOOKUP(TABELA_SAIDAS[[#This Row],[VALOR]],TABELA_ENTRADAS[VALOR],1,FALSE),"DEVOLUÇÃO"),"SEM ENTRADAS"))</f>
        <v/>
      </c>
    </row>
    <row r="249" spans="2:12" x14ac:dyDescent="0.3">
      <c r="B249" t="str">
        <f>IF('SAÍDAS-BASE'!A247="","",'SAÍDAS-BASE'!A247)</f>
        <v/>
      </c>
      <c r="C249" t="str">
        <f>IF('SAÍDAS-BASE'!B247="","",'SAÍDAS-BASE'!B247)</f>
        <v/>
      </c>
      <c r="D249" t="str">
        <f>IF('SAÍDAS-BASE'!C247="","",'SAÍDAS-BASE'!C247)</f>
        <v/>
      </c>
      <c r="E249" s="7" t="str">
        <f>IF('SAÍDAS-BASE'!D247="","",'SAÍDAS-BASE'!D247)</f>
        <v/>
      </c>
      <c r="F249" s="6" t="str">
        <f>IF('SAÍDAS-BASE'!E247="","",'SAÍDAS-BASE'!E247)</f>
        <v/>
      </c>
      <c r="G249" t="str">
        <f>IF('SAÍDAS-BASE'!F247="","",'SAÍDAS-BASE'!F247)</f>
        <v/>
      </c>
      <c r="H249" t="str">
        <f>IF('SAÍDAS-BASE'!G247="","",'SAÍDAS-BASE'!G247)</f>
        <v/>
      </c>
      <c r="I249" t="str">
        <f>IF('SAÍDAS-BASE'!H247="","",'SAÍDAS-BASE'!H247)</f>
        <v/>
      </c>
      <c r="J249" t="str">
        <f>IF('SAÍDAS-BASE'!I247="","",'SAÍDAS-BASE'!I247)</f>
        <v/>
      </c>
      <c r="K249" s="5" t="str">
        <f>IF('SAÍDAS-BASE'!J247="","",'SAÍDAS-BASE'!J247)</f>
        <v/>
      </c>
      <c r="L249" t="str">
        <f>IF(TABELA_SAIDAS[[#This Row],[UF]]="","",IFERROR(IF(VLOOKUP(TABELA_SAIDAS[[#This Row],[VALOR]],TABELA_ENTRADAS[VALOR],1,FALSE),"DEVOLUÇÃO"),"SEM ENTRADAS"))</f>
        <v/>
      </c>
    </row>
    <row r="250" spans="2:12" x14ac:dyDescent="0.3">
      <c r="B250" t="str">
        <f>IF('SAÍDAS-BASE'!A248="","",'SAÍDAS-BASE'!A248)</f>
        <v/>
      </c>
      <c r="C250" t="str">
        <f>IF('SAÍDAS-BASE'!B248="","",'SAÍDAS-BASE'!B248)</f>
        <v/>
      </c>
      <c r="D250" t="str">
        <f>IF('SAÍDAS-BASE'!C248="","",'SAÍDAS-BASE'!C248)</f>
        <v/>
      </c>
      <c r="E250" s="7" t="str">
        <f>IF('SAÍDAS-BASE'!D248="","",'SAÍDAS-BASE'!D248)</f>
        <v/>
      </c>
      <c r="F250" s="6" t="str">
        <f>IF('SAÍDAS-BASE'!E248="","",'SAÍDAS-BASE'!E248)</f>
        <v/>
      </c>
      <c r="G250" t="str">
        <f>IF('SAÍDAS-BASE'!F248="","",'SAÍDAS-BASE'!F248)</f>
        <v/>
      </c>
      <c r="H250" t="str">
        <f>IF('SAÍDAS-BASE'!G248="","",'SAÍDAS-BASE'!G248)</f>
        <v/>
      </c>
      <c r="I250" t="str">
        <f>IF('SAÍDAS-BASE'!H248="","",'SAÍDAS-BASE'!H248)</f>
        <v/>
      </c>
      <c r="J250" t="str">
        <f>IF('SAÍDAS-BASE'!I248="","",'SAÍDAS-BASE'!I248)</f>
        <v/>
      </c>
      <c r="K250" s="5" t="str">
        <f>IF('SAÍDAS-BASE'!J248="","",'SAÍDAS-BASE'!J248)</f>
        <v/>
      </c>
      <c r="L250" t="str">
        <f>IF(TABELA_SAIDAS[[#This Row],[UF]]="","",IFERROR(IF(VLOOKUP(TABELA_SAIDAS[[#This Row],[VALOR]],TABELA_ENTRADAS[VALOR],1,FALSE),"DEVOLUÇÃO"),"SEM ENTRADAS"))</f>
        <v/>
      </c>
    </row>
    <row r="251" spans="2:12" x14ac:dyDescent="0.3">
      <c r="B251" t="str">
        <f>IF('SAÍDAS-BASE'!A249="","",'SAÍDAS-BASE'!A249)</f>
        <v/>
      </c>
      <c r="C251" t="str">
        <f>IF('SAÍDAS-BASE'!B249="","",'SAÍDAS-BASE'!B249)</f>
        <v/>
      </c>
      <c r="D251" t="str">
        <f>IF('SAÍDAS-BASE'!C249="","",'SAÍDAS-BASE'!C249)</f>
        <v/>
      </c>
      <c r="E251" s="7" t="str">
        <f>IF('SAÍDAS-BASE'!D249="","",'SAÍDAS-BASE'!D249)</f>
        <v/>
      </c>
      <c r="F251" s="6" t="str">
        <f>IF('SAÍDAS-BASE'!E249="","",'SAÍDAS-BASE'!E249)</f>
        <v/>
      </c>
      <c r="G251" t="str">
        <f>IF('SAÍDAS-BASE'!F249="","",'SAÍDAS-BASE'!F249)</f>
        <v/>
      </c>
      <c r="H251" t="str">
        <f>IF('SAÍDAS-BASE'!G249="","",'SAÍDAS-BASE'!G249)</f>
        <v/>
      </c>
      <c r="I251" t="str">
        <f>IF('SAÍDAS-BASE'!H249="","",'SAÍDAS-BASE'!H249)</f>
        <v/>
      </c>
      <c r="J251" t="str">
        <f>IF('SAÍDAS-BASE'!I249="","",'SAÍDAS-BASE'!I249)</f>
        <v/>
      </c>
      <c r="K251" s="5" t="str">
        <f>IF('SAÍDAS-BASE'!J249="","",'SAÍDAS-BASE'!J249)</f>
        <v/>
      </c>
      <c r="L251" t="str">
        <f>IF(TABELA_SAIDAS[[#This Row],[UF]]="","",IFERROR(IF(VLOOKUP(TABELA_SAIDAS[[#This Row],[VALOR]],TABELA_ENTRADAS[VALOR],1,FALSE),"DEVOLUÇÃO"),"SEM ENTRADAS"))</f>
        <v/>
      </c>
    </row>
    <row r="252" spans="2:12" x14ac:dyDescent="0.3">
      <c r="B252" t="str">
        <f>IF('SAÍDAS-BASE'!A250="","",'SAÍDAS-BASE'!A250)</f>
        <v/>
      </c>
      <c r="C252" t="str">
        <f>IF('SAÍDAS-BASE'!B250="","",'SAÍDAS-BASE'!B250)</f>
        <v/>
      </c>
      <c r="D252" t="str">
        <f>IF('SAÍDAS-BASE'!C250="","",'SAÍDAS-BASE'!C250)</f>
        <v/>
      </c>
      <c r="E252" s="7" t="str">
        <f>IF('SAÍDAS-BASE'!D250="","",'SAÍDAS-BASE'!D250)</f>
        <v/>
      </c>
      <c r="F252" s="6" t="str">
        <f>IF('SAÍDAS-BASE'!E250="","",'SAÍDAS-BASE'!E250)</f>
        <v/>
      </c>
      <c r="G252" t="str">
        <f>IF('SAÍDAS-BASE'!F250="","",'SAÍDAS-BASE'!F250)</f>
        <v/>
      </c>
      <c r="H252" t="str">
        <f>IF('SAÍDAS-BASE'!G250="","",'SAÍDAS-BASE'!G250)</f>
        <v/>
      </c>
      <c r="I252" t="str">
        <f>IF('SAÍDAS-BASE'!H250="","",'SAÍDAS-BASE'!H250)</f>
        <v/>
      </c>
      <c r="J252" t="str">
        <f>IF('SAÍDAS-BASE'!I250="","",'SAÍDAS-BASE'!I250)</f>
        <v/>
      </c>
      <c r="K252" s="5" t="str">
        <f>IF('SAÍDAS-BASE'!J250="","",'SAÍDAS-BASE'!J250)</f>
        <v/>
      </c>
      <c r="L252" t="str">
        <f>IF(TABELA_SAIDAS[[#This Row],[UF]]="","",IFERROR(IF(VLOOKUP(TABELA_SAIDAS[[#This Row],[VALOR]],TABELA_ENTRADAS[VALOR],1,FALSE),"DEVOLUÇÃO"),"SEM ENTRADAS"))</f>
        <v/>
      </c>
    </row>
    <row r="253" spans="2:12" x14ac:dyDescent="0.3">
      <c r="B253" t="str">
        <f>IF('SAÍDAS-BASE'!A251="","",'SAÍDAS-BASE'!A251)</f>
        <v/>
      </c>
      <c r="C253" t="str">
        <f>IF('SAÍDAS-BASE'!B251="","",'SAÍDAS-BASE'!B251)</f>
        <v/>
      </c>
      <c r="D253" t="str">
        <f>IF('SAÍDAS-BASE'!C251="","",'SAÍDAS-BASE'!C251)</f>
        <v/>
      </c>
      <c r="E253" s="7" t="str">
        <f>IF('SAÍDAS-BASE'!D251="","",'SAÍDAS-BASE'!D251)</f>
        <v/>
      </c>
      <c r="F253" s="6" t="str">
        <f>IF('SAÍDAS-BASE'!E251="","",'SAÍDAS-BASE'!E251)</f>
        <v/>
      </c>
      <c r="G253" t="str">
        <f>IF('SAÍDAS-BASE'!F251="","",'SAÍDAS-BASE'!F251)</f>
        <v/>
      </c>
      <c r="H253" t="str">
        <f>IF('SAÍDAS-BASE'!G251="","",'SAÍDAS-BASE'!G251)</f>
        <v/>
      </c>
      <c r="I253" t="str">
        <f>IF('SAÍDAS-BASE'!H251="","",'SAÍDAS-BASE'!H251)</f>
        <v/>
      </c>
      <c r="J253" t="str">
        <f>IF('SAÍDAS-BASE'!I251="","",'SAÍDAS-BASE'!I251)</f>
        <v/>
      </c>
      <c r="K253" s="5" t="str">
        <f>IF('SAÍDAS-BASE'!J251="","",'SAÍDAS-BASE'!J251)</f>
        <v/>
      </c>
      <c r="L253" t="str">
        <f>IF(TABELA_SAIDAS[[#This Row],[UF]]="","",IFERROR(IF(VLOOKUP(TABELA_SAIDAS[[#This Row],[VALOR]],TABELA_ENTRADAS[VALOR],1,FALSE),"DEVOLUÇÃO"),"SEM ENTRADAS"))</f>
        <v/>
      </c>
    </row>
    <row r="254" spans="2:12" x14ac:dyDescent="0.3">
      <c r="B254" t="str">
        <f>IF('SAÍDAS-BASE'!A252="","",'SAÍDAS-BASE'!A252)</f>
        <v/>
      </c>
      <c r="C254" t="str">
        <f>IF('SAÍDAS-BASE'!B252="","",'SAÍDAS-BASE'!B252)</f>
        <v/>
      </c>
      <c r="D254" t="str">
        <f>IF('SAÍDAS-BASE'!C252="","",'SAÍDAS-BASE'!C252)</f>
        <v/>
      </c>
      <c r="E254" s="7" t="str">
        <f>IF('SAÍDAS-BASE'!D252="","",'SAÍDAS-BASE'!D252)</f>
        <v/>
      </c>
      <c r="F254" s="6" t="str">
        <f>IF('SAÍDAS-BASE'!E252="","",'SAÍDAS-BASE'!E252)</f>
        <v/>
      </c>
      <c r="G254" t="str">
        <f>IF('SAÍDAS-BASE'!F252="","",'SAÍDAS-BASE'!F252)</f>
        <v/>
      </c>
      <c r="H254" t="str">
        <f>IF('SAÍDAS-BASE'!G252="","",'SAÍDAS-BASE'!G252)</f>
        <v/>
      </c>
      <c r="I254" t="str">
        <f>IF('SAÍDAS-BASE'!H252="","",'SAÍDAS-BASE'!H252)</f>
        <v/>
      </c>
      <c r="J254" t="str">
        <f>IF('SAÍDAS-BASE'!I252="","",'SAÍDAS-BASE'!I252)</f>
        <v/>
      </c>
      <c r="K254" s="5" t="str">
        <f>IF('SAÍDAS-BASE'!J252="","",'SAÍDAS-BASE'!J252)</f>
        <v/>
      </c>
      <c r="L254" t="str">
        <f>IF(TABELA_SAIDAS[[#This Row],[UF]]="","",IFERROR(IF(VLOOKUP(TABELA_SAIDAS[[#This Row],[VALOR]],TABELA_ENTRADAS[VALOR],1,FALSE),"DEVOLUÇÃO"),"SEM ENTRADAS"))</f>
        <v/>
      </c>
    </row>
    <row r="255" spans="2:12" x14ac:dyDescent="0.3">
      <c r="B255" t="str">
        <f>IF('SAÍDAS-BASE'!A253="","",'SAÍDAS-BASE'!A253)</f>
        <v/>
      </c>
      <c r="C255" t="str">
        <f>IF('SAÍDAS-BASE'!B253="","",'SAÍDAS-BASE'!B253)</f>
        <v/>
      </c>
      <c r="D255" t="str">
        <f>IF('SAÍDAS-BASE'!C253="","",'SAÍDAS-BASE'!C253)</f>
        <v/>
      </c>
      <c r="E255" s="7" t="str">
        <f>IF('SAÍDAS-BASE'!D253="","",'SAÍDAS-BASE'!D253)</f>
        <v/>
      </c>
      <c r="F255" s="6" t="str">
        <f>IF('SAÍDAS-BASE'!E253="","",'SAÍDAS-BASE'!E253)</f>
        <v/>
      </c>
      <c r="G255" t="str">
        <f>IF('SAÍDAS-BASE'!F253="","",'SAÍDAS-BASE'!F253)</f>
        <v/>
      </c>
      <c r="H255" t="str">
        <f>IF('SAÍDAS-BASE'!G253="","",'SAÍDAS-BASE'!G253)</f>
        <v/>
      </c>
      <c r="I255" t="str">
        <f>IF('SAÍDAS-BASE'!H253="","",'SAÍDAS-BASE'!H253)</f>
        <v/>
      </c>
      <c r="J255" t="str">
        <f>IF('SAÍDAS-BASE'!I253="","",'SAÍDAS-BASE'!I253)</f>
        <v/>
      </c>
      <c r="K255" s="5" t="str">
        <f>IF('SAÍDAS-BASE'!J253="","",'SAÍDAS-BASE'!J253)</f>
        <v/>
      </c>
      <c r="L255" t="str">
        <f>IF(TABELA_SAIDAS[[#This Row],[UF]]="","",IFERROR(IF(VLOOKUP(TABELA_SAIDAS[[#This Row],[VALOR]],TABELA_ENTRADAS[VALOR],1,FALSE),"DEVOLUÇÃO"),"SEM ENTRADAS"))</f>
        <v/>
      </c>
    </row>
    <row r="256" spans="2:12" x14ac:dyDescent="0.3">
      <c r="B256" t="str">
        <f>IF('SAÍDAS-BASE'!A254="","",'SAÍDAS-BASE'!A254)</f>
        <v/>
      </c>
      <c r="C256" t="str">
        <f>IF('SAÍDAS-BASE'!B254="","",'SAÍDAS-BASE'!B254)</f>
        <v/>
      </c>
      <c r="D256" t="str">
        <f>IF('SAÍDAS-BASE'!C254="","",'SAÍDAS-BASE'!C254)</f>
        <v/>
      </c>
      <c r="E256" s="7" t="str">
        <f>IF('SAÍDAS-BASE'!D254="","",'SAÍDAS-BASE'!D254)</f>
        <v/>
      </c>
      <c r="F256" s="6" t="str">
        <f>IF('SAÍDAS-BASE'!E254="","",'SAÍDAS-BASE'!E254)</f>
        <v/>
      </c>
      <c r="G256" t="str">
        <f>IF('SAÍDAS-BASE'!F254="","",'SAÍDAS-BASE'!F254)</f>
        <v/>
      </c>
      <c r="H256" t="str">
        <f>IF('SAÍDAS-BASE'!G254="","",'SAÍDAS-BASE'!G254)</f>
        <v/>
      </c>
      <c r="I256" t="str">
        <f>IF('SAÍDAS-BASE'!H254="","",'SAÍDAS-BASE'!H254)</f>
        <v/>
      </c>
      <c r="J256" t="str">
        <f>IF('SAÍDAS-BASE'!I254="","",'SAÍDAS-BASE'!I254)</f>
        <v/>
      </c>
      <c r="K256" s="5" t="str">
        <f>IF('SAÍDAS-BASE'!J254="","",'SAÍDAS-BASE'!J254)</f>
        <v/>
      </c>
      <c r="L256" t="str">
        <f>IF(TABELA_SAIDAS[[#This Row],[UF]]="","",IFERROR(IF(VLOOKUP(TABELA_SAIDAS[[#This Row],[VALOR]],TABELA_ENTRADAS[VALOR],1,FALSE),"DEVOLUÇÃO"),"SEM ENTRADAS"))</f>
        <v/>
      </c>
    </row>
    <row r="257" spans="2:12" x14ac:dyDescent="0.3">
      <c r="B257" t="str">
        <f>IF('SAÍDAS-BASE'!A255="","",'SAÍDAS-BASE'!A255)</f>
        <v/>
      </c>
      <c r="C257" t="str">
        <f>IF('SAÍDAS-BASE'!B255="","",'SAÍDAS-BASE'!B255)</f>
        <v/>
      </c>
      <c r="D257" t="str">
        <f>IF('SAÍDAS-BASE'!C255="","",'SAÍDAS-BASE'!C255)</f>
        <v/>
      </c>
      <c r="E257" s="7" t="str">
        <f>IF('SAÍDAS-BASE'!D255="","",'SAÍDAS-BASE'!D255)</f>
        <v/>
      </c>
      <c r="F257" s="6" t="str">
        <f>IF('SAÍDAS-BASE'!E255="","",'SAÍDAS-BASE'!E255)</f>
        <v/>
      </c>
      <c r="G257" t="str">
        <f>IF('SAÍDAS-BASE'!F255="","",'SAÍDAS-BASE'!F255)</f>
        <v/>
      </c>
      <c r="H257" t="str">
        <f>IF('SAÍDAS-BASE'!G255="","",'SAÍDAS-BASE'!G255)</f>
        <v/>
      </c>
      <c r="I257" t="str">
        <f>IF('SAÍDAS-BASE'!H255="","",'SAÍDAS-BASE'!H255)</f>
        <v/>
      </c>
      <c r="J257" t="str">
        <f>IF('SAÍDAS-BASE'!I255="","",'SAÍDAS-BASE'!I255)</f>
        <v/>
      </c>
      <c r="K257" s="5" t="str">
        <f>IF('SAÍDAS-BASE'!J255="","",'SAÍDAS-BASE'!J255)</f>
        <v/>
      </c>
      <c r="L257" t="str">
        <f>IF(TABELA_SAIDAS[[#This Row],[UF]]="","",IFERROR(IF(VLOOKUP(TABELA_SAIDAS[[#This Row],[VALOR]],TABELA_ENTRADAS[VALOR],1,FALSE),"DEVOLUÇÃO"),"SEM ENTRADAS"))</f>
        <v/>
      </c>
    </row>
    <row r="258" spans="2:12" x14ac:dyDescent="0.3">
      <c r="B258" t="str">
        <f>IF('SAÍDAS-BASE'!A256="","",'SAÍDAS-BASE'!A256)</f>
        <v/>
      </c>
      <c r="C258" t="str">
        <f>IF('SAÍDAS-BASE'!B256="","",'SAÍDAS-BASE'!B256)</f>
        <v/>
      </c>
      <c r="D258" t="str">
        <f>IF('SAÍDAS-BASE'!C256="","",'SAÍDAS-BASE'!C256)</f>
        <v/>
      </c>
      <c r="E258" s="7" t="str">
        <f>IF('SAÍDAS-BASE'!D256="","",'SAÍDAS-BASE'!D256)</f>
        <v/>
      </c>
      <c r="F258" s="6" t="str">
        <f>IF('SAÍDAS-BASE'!E256="","",'SAÍDAS-BASE'!E256)</f>
        <v/>
      </c>
      <c r="G258" t="str">
        <f>IF('SAÍDAS-BASE'!F256="","",'SAÍDAS-BASE'!F256)</f>
        <v/>
      </c>
      <c r="H258" t="str">
        <f>IF('SAÍDAS-BASE'!G256="","",'SAÍDAS-BASE'!G256)</f>
        <v/>
      </c>
      <c r="I258" t="str">
        <f>IF('SAÍDAS-BASE'!H256="","",'SAÍDAS-BASE'!H256)</f>
        <v/>
      </c>
      <c r="J258" t="str">
        <f>IF('SAÍDAS-BASE'!I256="","",'SAÍDAS-BASE'!I256)</f>
        <v/>
      </c>
      <c r="K258" s="5" t="str">
        <f>IF('SAÍDAS-BASE'!J256="","",'SAÍDAS-BASE'!J256)</f>
        <v/>
      </c>
      <c r="L258" t="str">
        <f>IF(TABELA_SAIDAS[[#This Row],[UF]]="","",IFERROR(IF(VLOOKUP(TABELA_SAIDAS[[#This Row],[VALOR]],TABELA_ENTRADAS[VALOR],1,FALSE),"DEVOLUÇÃO"),"SEM ENTRADAS"))</f>
        <v/>
      </c>
    </row>
    <row r="259" spans="2:12" x14ac:dyDescent="0.3">
      <c r="B259" t="str">
        <f>IF('SAÍDAS-BASE'!A257="","",'SAÍDAS-BASE'!A257)</f>
        <v/>
      </c>
      <c r="C259" t="str">
        <f>IF('SAÍDAS-BASE'!B257="","",'SAÍDAS-BASE'!B257)</f>
        <v/>
      </c>
      <c r="D259" t="str">
        <f>IF('SAÍDAS-BASE'!C257="","",'SAÍDAS-BASE'!C257)</f>
        <v/>
      </c>
      <c r="E259" s="7" t="str">
        <f>IF('SAÍDAS-BASE'!D257="","",'SAÍDAS-BASE'!D257)</f>
        <v/>
      </c>
      <c r="F259" s="6" t="str">
        <f>IF('SAÍDAS-BASE'!E257="","",'SAÍDAS-BASE'!E257)</f>
        <v/>
      </c>
      <c r="G259" t="str">
        <f>IF('SAÍDAS-BASE'!F257="","",'SAÍDAS-BASE'!F257)</f>
        <v/>
      </c>
      <c r="H259" t="str">
        <f>IF('SAÍDAS-BASE'!G257="","",'SAÍDAS-BASE'!G257)</f>
        <v/>
      </c>
      <c r="I259" t="str">
        <f>IF('SAÍDAS-BASE'!H257="","",'SAÍDAS-BASE'!H257)</f>
        <v/>
      </c>
      <c r="J259" t="str">
        <f>IF('SAÍDAS-BASE'!I257="","",'SAÍDAS-BASE'!I257)</f>
        <v/>
      </c>
      <c r="K259" s="5" t="str">
        <f>IF('SAÍDAS-BASE'!J257="","",'SAÍDAS-BASE'!J257)</f>
        <v/>
      </c>
      <c r="L259" t="str">
        <f>IF(TABELA_SAIDAS[[#This Row],[UF]]="","",IFERROR(IF(VLOOKUP(TABELA_SAIDAS[[#This Row],[VALOR]],TABELA_ENTRADAS[VALOR],1,FALSE),"DEVOLUÇÃO"),"SEM ENTRADAS"))</f>
        <v/>
      </c>
    </row>
    <row r="260" spans="2:12" x14ac:dyDescent="0.3">
      <c r="B260" t="str">
        <f>IF('SAÍDAS-BASE'!A258="","",'SAÍDAS-BASE'!A258)</f>
        <v/>
      </c>
      <c r="C260" t="str">
        <f>IF('SAÍDAS-BASE'!B258="","",'SAÍDAS-BASE'!B258)</f>
        <v/>
      </c>
      <c r="D260" t="str">
        <f>IF('SAÍDAS-BASE'!C258="","",'SAÍDAS-BASE'!C258)</f>
        <v/>
      </c>
      <c r="E260" s="7" t="str">
        <f>IF('SAÍDAS-BASE'!D258="","",'SAÍDAS-BASE'!D258)</f>
        <v/>
      </c>
      <c r="F260" s="6" t="str">
        <f>IF('SAÍDAS-BASE'!E258="","",'SAÍDAS-BASE'!E258)</f>
        <v/>
      </c>
      <c r="G260" t="str">
        <f>IF('SAÍDAS-BASE'!F258="","",'SAÍDAS-BASE'!F258)</f>
        <v/>
      </c>
      <c r="H260" t="str">
        <f>IF('SAÍDAS-BASE'!G258="","",'SAÍDAS-BASE'!G258)</f>
        <v/>
      </c>
      <c r="I260" t="str">
        <f>IF('SAÍDAS-BASE'!H258="","",'SAÍDAS-BASE'!H258)</f>
        <v/>
      </c>
      <c r="J260" t="str">
        <f>IF('SAÍDAS-BASE'!I258="","",'SAÍDAS-BASE'!I258)</f>
        <v/>
      </c>
      <c r="K260" s="5" t="str">
        <f>IF('SAÍDAS-BASE'!J258="","",'SAÍDAS-BASE'!J258)</f>
        <v/>
      </c>
      <c r="L260" t="str">
        <f>IF(TABELA_SAIDAS[[#This Row],[UF]]="","",IFERROR(IF(VLOOKUP(TABELA_SAIDAS[[#This Row],[VALOR]],TABELA_ENTRADAS[VALOR],1,FALSE),"DEVOLUÇÃO"),"SEM ENTRADAS"))</f>
        <v/>
      </c>
    </row>
    <row r="261" spans="2:12" x14ac:dyDescent="0.3">
      <c r="B261" t="str">
        <f>IF('SAÍDAS-BASE'!A259="","",'SAÍDAS-BASE'!A259)</f>
        <v/>
      </c>
      <c r="C261" t="str">
        <f>IF('SAÍDAS-BASE'!B259="","",'SAÍDAS-BASE'!B259)</f>
        <v/>
      </c>
      <c r="D261" t="str">
        <f>IF('SAÍDAS-BASE'!C259="","",'SAÍDAS-BASE'!C259)</f>
        <v/>
      </c>
      <c r="E261" s="7" t="str">
        <f>IF('SAÍDAS-BASE'!D259="","",'SAÍDAS-BASE'!D259)</f>
        <v/>
      </c>
      <c r="F261" s="6" t="str">
        <f>IF('SAÍDAS-BASE'!E259="","",'SAÍDAS-BASE'!E259)</f>
        <v/>
      </c>
      <c r="G261" t="str">
        <f>IF('SAÍDAS-BASE'!F259="","",'SAÍDAS-BASE'!F259)</f>
        <v/>
      </c>
      <c r="H261" t="str">
        <f>IF('SAÍDAS-BASE'!G259="","",'SAÍDAS-BASE'!G259)</f>
        <v/>
      </c>
      <c r="I261" t="str">
        <f>IF('SAÍDAS-BASE'!H259="","",'SAÍDAS-BASE'!H259)</f>
        <v/>
      </c>
      <c r="J261" t="str">
        <f>IF('SAÍDAS-BASE'!I259="","",'SAÍDAS-BASE'!I259)</f>
        <v/>
      </c>
      <c r="K261" s="5" t="str">
        <f>IF('SAÍDAS-BASE'!J259="","",'SAÍDAS-BASE'!J259)</f>
        <v/>
      </c>
      <c r="L261" t="str">
        <f>IF(TABELA_SAIDAS[[#This Row],[UF]]="","",IFERROR(IF(VLOOKUP(TABELA_SAIDAS[[#This Row],[VALOR]],TABELA_ENTRADAS[VALOR],1,FALSE),"DEVOLUÇÃO"),"SEM ENTRADAS"))</f>
        <v/>
      </c>
    </row>
    <row r="262" spans="2:12" x14ac:dyDescent="0.3">
      <c r="B262" t="str">
        <f>IF('SAÍDAS-BASE'!A260="","",'SAÍDAS-BASE'!A260)</f>
        <v/>
      </c>
      <c r="C262" t="str">
        <f>IF('SAÍDAS-BASE'!B260="","",'SAÍDAS-BASE'!B260)</f>
        <v/>
      </c>
      <c r="D262" t="str">
        <f>IF('SAÍDAS-BASE'!C260="","",'SAÍDAS-BASE'!C260)</f>
        <v/>
      </c>
      <c r="E262" s="7" t="str">
        <f>IF('SAÍDAS-BASE'!D260="","",'SAÍDAS-BASE'!D260)</f>
        <v/>
      </c>
      <c r="F262" s="6" t="str">
        <f>IF('SAÍDAS-BASE'!E260="","",'SAÍDAS-BASE'!E260)</f>
        <v/>
      </c>
      <c r="G262" t="str">
        <f>IF('SAÍDAS-BASE'!F260="","",'SAÍDAS-BASE'!F260)</f>
        <v/>
      </c>
      <c r="H262" t="str">
        <f>IF('SAÍDAS-BASE'!G260="","",'SAÍDAS-BASE'!G260)</f>
        <v/>
      </c>
      <c r="I262" t="str">
        <f>IF('SAÍDAS-BASE'!H260="","",'SAÍDAS-BASE'!H260)</f>
        <v/>
      </c>
      <c r="J262" t="str">
        <f>IF('SAÍDAS-BASE'!I260="","",'SAÍDAS-BASE'!I260)</f>
        <v/>
      </c>
      <c r="K262" s="5" t="str">
        <f>IF('SAÍDAS-BASE'!J260="","",'SAÍDAS-BASE'!J260)</f>
        <v/>
      </c>
      <c r="L262" t="str">
        <f>IF(TABELA_SAIDAS[[#This Row],[UF]]="","",IFERROR(IF(VLOOKUP(TABELA_SAIDAS[[#This Row],[VALOR]],TABELA_ENTRADAS[VALOR],1,FALSE),"DEVOLUÇÃO"),"SEM ENTRADAS"))</f>
        <v/>
      </c>
    </row>
    <row r="263" spans="2:12" x14ac:dyDescent="0.3">
      <c r="B263" t="str">
        <f>IF('SAÍDAS-BASE'!A261="","",'SAÍDAS-BASE'!A261)</f>
        <v/>
      </c>
      <c r="C263" t="str">
        <f>IF('SAÍDAS-BASE'!B261="","",'SAÍDAS-BASE'!B261)</f>
        <v/>
      </c>
      <c r="D263" t="str">
        <f>IF('SAÍDAS-BASE'!C261="","",'SAÍDAS-BASE'!C261)</f>
        <v/>
      </c>
      <c r="E263" s="7" t="str">
        <f>IF('SAÍDAS-BASE'!D261="","",'SAÍDAS-BASE'!D261)</f>
        <v/>
      </c>
      <c r="F263" s="6" t="str">
        <f>IF('SAÍDAS-BASE'!E261="","",'SAÍDAS-BASE'!E261)</f>
        <v/>
      </c>
      <c r="G263" t="str">
        <f>IF('SAÍDAS-BASE'!F261="","",'SAÍDAS-BASE'!F261)</f>
        <v/>
      </c>
      <c r="H263" t="str">
        <f>IF('SAÍDAS-BASE'!G261="","",'SAÍDAS-BASE'!G261)</f>
        <v/>
      </c>
      <c r="I263" t="str">
        <f>IF('SAÍDAS-BASE'!H261="","",'SAÍDAS-BASE'!H261)</f>
        <v/>
      </c>
      <c r="J263" t="str">
        <f>IF('SAÍDAS-BASE'!I261="","",'SAÍDAS-BASE'!I261)</f>
        <v/>
      </c>
      <c r="K263" s="5" t="str">
        <f>IF('SAÍDAS-BASE'!J261="","",'SAÍDAS-BASE'!J261)</f>
        <v/>
      </c>
      <c r="L263" t="str">
        <f>IF(TABELA_SAIDAS[[#This Row],[UF]]="","",IFERROR(IF(VLOOKUP(TABELA_SAIDAS[[#This Row],[VALOR]],TABELA_ENTRADAS[VALOR],1,FALSE),"DEVOLUÇÃO"),"SEM ENTRADAS"))</f>
        <v/>
      </c>
    </row>
    <row r="264" spans="2:12" x14ac:dyDescent="0.3">
      <c r="B264" t="str">
        <f>IF('SAÍDAS-BASE'!A262="","",'SAÍDAS-BASE'!A262)</f>
        <v/>
      </c>
      <c r="C264" t="str">
        <f>IF('SAÍDAS-BASE'!B262="","",'SAÍDAS-BASE'!B262)</f>
        <v/>
      </c>
      <c r="D264" t="str">
        <f>IF('SAÍDAS-BASE'!C262="","",'SAÍDAS-BASE'!C262)</f>
        <v/>
      </c>
      <c r="E264" s="7" t="str">
        <f>IF('SAÍDAS-BASE'!D262="","",'SAÍDAS-BASE'!D262)</f>
        <v/>
      </c>
      <c r="F264" s="6" t="str">
        <f>IF('SAÍDAS-BASE'!E262="","",'SAÍDAS-BASE'!E262)</f>
        <v/>
      </c>
      <c r="G264" t="str">
        <f>IF('SAÍDAS-BASE'!F262="","",'SAÍDAS-BASE'!F262)</f>
        <v/>
      </c>
      <c r="H264" t="str">
        <f>IF('SAÍDAS-BASE'!G262="","",'SAÍDAS-BASE'!G262)</f>
        <v/>
      </c>
      <c r="I264" t="str">
        <f>IF('SAÍDAS-BASE'!H262="","",'SAÍDAS-BASE'!H262)</f>
        <v/>
      </c>
      <c r="J264" t="str">
        <f>IF('SAÍDAS-BASE'!I262="","",'SAÍDAS-BASE'!I262)</f>
        <v/>
      </c>
      <c r="K264" s="5" t="str">
        <f>IF('SAÍDAS-BASE'!J262="","",'SAÍDAS-BASE'!J262)</f>
        <v/>
      </c>
      <c r="L264" t="str">
        <f>IF(TABELA_SAIDAS[[#This Row],[UF]]="","",IFERROR(IF(VLOOKUP(TABELA_SAIDAS[[#This Row],[VALOR]],TABELA_ENTRADAS[VALOR],1,FALSE),"DEVOLUÇÃO"),"SEM ENTRADAS"))</f>
        <v/>
      </c>
    </row>
    <row r="265" spans="2:12" x14ac:dyDescent="0.3">
      <c r="B265" t="str">
        <f>IF('SAÍDAS-BASE'!A263="","",'SAÍDAS-BASE'!A263)</f>
        <v/>
      </c>
      <c r="C265" t="str">
        <f>IF('SAÍDAS-BASE'!B263="","",'SAÍDAS-BASE'!B263)</f>
        <v/>
      </c>
      <c r="D265" t="str">
        <f>IF('SAÍDAS-BASE'!C263="","",'SAÍDAS-BASE'!C263)</f>
        <v/>
      </c>
      <c r="E265" s="7" t="str">
        <f>IF('SAÍDAS-BASE'!D263="","",'SAÍDAS-BASE'!D263)</f>
        <v/>
      </c>
      <c r="F265" s="6" t="str">
        <f>IF('SAÍDAS-BASE'!E263="","",'SAÍDAS-BASE'!E263)</f>
        <v/>
      </c>
      <c r="G265" t="str">
        <f>IF('SAÍDAS-BASE'!F263="","",'SAÍDAS-BASE'!F263)</f>
        <v/>
      </c>
      <c r="H265" t="str">
        <f>IF('SAÍDAS-BASE'!G263="","",'SAÍDAS-BASE'!G263)</f>
        <v/>
      </c>
      <c r="I265" t="str">
        <f>IF('SAÍDAS-BASE'!H263="","",'SAÍDAS-BASE'!H263)</f>
        <v/>
      </c>
      <c r="J265" t="str">
        <f>IF('SAÍDAS-BASE'!I263="","",'SAÍDAS-BASE'!I263)</f>
        <v/>
      </c>
      <c r="K265" s="5" t="str">
        <f>IF('SAÍDAS-BASE'!J263="","",'SAÍDAS-BASE'!J263)</f>
        <v/>
      </c>
      <c r="L265" t="str">
        <f>IF(TABELA_SAIDAS[[#This Row],[UF]]="","",IFERROR(IF(VLOOKUP(TABELA_SAIDAS[[#This Row],[VALOR]],TABELA_ENTRADAS[VALOR],1,FALSE),"DEVOLUÇÃO"),"SEM ENTRADAS"))</f>
        <v/>
      </c>
    </row>
    <row r="266" spans="2:12" x14ac:dyDescent="0.3">
      <c r="B266" t="str">
        <f>IF('SAÍDAS-BASE'!A264="","",'SAÍDAS-BASE'!A264)</f>
        <v/>
      </c>
      <c r="C266" t="str">
        <f>IF('SAÍDAS-BASE'!B264="","",'SAÍDAS-BASE'!B264)</f>
        <v/>
      </c>
      <c r="D266" t="str">
        <f>IF('SAÍDAS-BASE'!C264="","",'SAÍDAS-BASE'!C264)</f>
        <v/>
      </c>
      <c r="E266" s="7" t="str">
        <f>IF('SAÍDAS-BASE'!D264="","",'SAÍDAS-BASE'!D264)</f>
        <v/>
      </c>
      <c r="F266" s="6" t="str">
        <f>IF('SAÍDAS-BASE'!E264="","",'SAÍDAS-BASE'!E264)</f>
        <v/>
      </c>
      <c r="G266" t="str">
        <f>IF('SAÍDAS-BASE'!F264="","",'SAÍDAS-BASE'!F264)</f>
        <v/>
      </c>
      <c r="H266" t="str">
        <f>IF('SAÍDAS-BASE'!G264="","",'SAÍDAS-BASE'!G264)</f>
        <v/>
      </c>
      <c r="I266" t="str">
        <f>IF('SAÍDAS-BASE'!H264="","",'SAÍDAS-BASE'!H264)</f>
        <v/>
      </c>
      <c r="J266" t="str">
        <f>IF('SAÍDAS-BASE'!I264="","",'SAÍDAS-BASE'!I264)</f>
        <v/>
      </c>
      <c r="K266" s="5" t="str">
        <f>IF('SAÍDAS-BASE'!J264="","",'SAÍDAS-BASE'!J264)</f>
        <v/>
      </c>
      <c r="L266" t="str">
        <f>IF(TABELA_SAIDAS[[#This Row],[UF]]="","",IFERROR(IF(VLOOKUP(TABELA_SAIDAS[[#This Row],[VALOR]],TABELA_ENTRADAS[VALOR],1,FALSE),"DEVOLUÇÃO"),"SEM ENTRADAS"))</f>
        <v/>
      </c>
    </row>
    <row r="267" spans="2:12" x14ac:dyDescent="0.3">
      <c r="B267" t="str">
        <f>IF('SAÍDAS-BASE'!A265="","",'SAÍDAS-BASE'!A265)</f>
        <v/>
      </c>
      <c r="C267" t="str">
        <f>IF('SAÍDAS-BASE'!B265="","",'SAÍDAS-BASE'!B265)</f>
        <v/>
      </c>
      <c r="D267" t="str">
        <f>IF('SAÍDAS-BASE'!C265="","",'SAÍDAS-BASE'!C265)</f>
        <v/>
      </c>
      <c r="E267" s="7" t="str">
        <f>IF('SAÍDAS-BASE'!D265="","",'SAÍDAS-BASE'!D265)</f>
        <v/>
      </c>
      <c r="F267" s="6" t="str">
        <f>IF('SAÍDAS-BASE'!E265="","",'SAÍDAS-BASE'!E265)</f>
        <v/>
      </c>
      <c r="G267" t="str">
        <f>IF('SAÍDAS-BASE'!F265="","",'SAÍDAS-BASE'!F265)</f>
        <v/>
      </c>
      <c r="H267" t="str">
        <f>IF('SAÍDAS-BASE'!G265="","",'SAÍDAS-BASE'!G265)</f>
        <v/>
      </c>
      <c r="I267" t="str">
        <f>IF('SAÍDAS-BASE'!H265="","",'SAÍDAS-BASE'!H265)</f>
        <v/>
      </c>
      <c r="J267" t="str">
        <f>IF('SAÍDAS-BASE'!I265="","",'SAÍDAS-BASE'!I265)</f>
        <v/>
      </c>
      <c r="K267" s="5" t="str">
        <f>IF('SAÍDAS-BASE'!J265="","",'SAÍDAS-BASE'!J265)</f>
        <v/>
      </c>
      <c r="L267" t="str">
        <f>IF(TABELA_SAIDAS[[#This Row],[UF]]="","",IFERROR(IF(VLOOKUP(TABELA_SAIDAS[[#This Row],[VALOR]],TABELA_ENTRADAS[VALOR],1,FALSE),"DEVOLUÇÃO"),"SEM ENTRADAS"))</f>
        <v/>
      </c>
    </row>
    <row r="268" spans="2:12" x14ac:dyDescent="0.3">
      <c r="B268" t="str">
        <f>IF('SAÍDAS-BASE'!A266="","",'SAÍDAS-BASE'!A266)</f>
        <v/>
      </c>
      <c r="C268" t="str">
        <f>IF('SAÍDAS-BASE'!B266="","",'SAÍDAS-BASE'!B266)</f>
        <v/>
      </c>
      <c r="D268" t="str">
        <f>IF('SAÍDAS-BASE'!C266="","",'SAÍDAS-BASE'!C266)</f>
        <v/>
      </c>
      <c r="E268" s="7" t="str">
        <f>IF('SAÍDAS-BASE'!D266="","",'SAÍDAS-BASE'!D266)</f>
        <v/>
      </c>
      <c r="F268" s="6" t="str">
        <f>IF('SAÍDAS-BASE'!E266="","",'SAÍDAS-BASE'!E266)</f>
        <v/>
      </c>
      <c r="G268" t="str">
        <f>IF('SAÍDAS-BASE'!F266="","",'SAÍDAS-BASE'!F266)</f>
        <v/>
      </c>
      <c r="H268" t="str">
        <f>IF('SAÍDAS-BASE'!G266="","",'SAÍDAS-BASE'!G266)</f>
        <v/>
      </c>
      <c r="I268" t="str">
        <f>IF('SAÍDAS-BASE'!H266="","",'SAÍDAS-BASE'!H266)</f>
        <v/>
      </c>
      <c r="J268" t="str">
        <f>IF('SAÍDAS-BASE'!I266="","",'SAÍDAS-BASE'!I266)</f>
        <v/>
      </c>
      <c r="K268" s="5" t="str">
        <f>IF('SAÍDAS-BASE'!J266="","",'SAÍDAS-BASE'!J266)</f>
        <v/>
      </c>
      <c r="L268" t="str">
        <f>IF(TABELA_SAIDAS[[#This Row],[UF]]="","",IFERROR(IF(VLOOKUP(TABELA_SAIDAS[[#This Row],[VALOR]],TABELA_ENTRADAS[VALOR],1,FALSE),"DEVOLUÇÃO"),"SEM ENTRADAS"))</f>
        <v/>
      </c>
    </row>
    <row r="269" spans="2:12" x14ac:dyDescent="0.3">
      <c r="B269" t="str">
        <f>IF('SAÍDAS-BASE'!A267="","",'SAÍDAS-BASE'!A267)</f>
        <v/>
      </c>
      <c r="C269" t="str">
        <f>IF('SAÍDAS-BASE'!B267="","",'SAÍDAS-BASE'!B267)</f>
        <v/>
      </c>
      <c r="D269" t="str">
        <f>IF('SAÍDAS-BASE'!C267="","",'SAÍDAS-BASE'!C267)</f>
        <v/>
      </c>
      <c r="E269" s="7" t="str">
        <f>IF('SAÍDAS-BASE'!D267="","",'SAÍDAS-BASE'!D267)</f>
        <v/>
      </c>
      <c r="F269" s="6" t="str">
        <f>IF('SAÍDAS-BASE'!E267="","",'SAÍDAS-BASE'!E267)</f>
        <v/>
      </c>
      <c r="G269" t="str">
        <f>IF('SAÍDAS-BASE'!F267="","",'SAÍDAS-BASE'!F267)</f>
        <v/>
      </c>
      <c r="H269" t="str">
        <f>IF('SAÍDAS-BASE'!G267="","",'SAÍDAS-BASE'!G267)</f>
        <v/>
      </c>
      <c r="I269" t="str">
        <f>IF('SAÍDAS-BASE'!H267="","",'SAÍDAS-BASE'!H267)</f>
        <v/>
      </c>
      <c r="J269" t="str">
        <f>IF('SAÍDAS-BASE'!I267="","",'SAÍDAS-BASE'!I267)</f>
        <v/>
      </c>
      <c r="K269" s="5" t="str">
        <f>IF('SAÍDAS-BASE'!J267="","",'SAÍDAS-BASE'!J267)</f>
        <v/>
      </c>
      <c r="L269" t="str">
        <f>IF(TABELA_SAIDAS[[#This Row],[UF]]="","",IFERROR(IF(VLOOKUP(TABELA_SAIDAS[[#This Row],[VALOR]],TABELA_ENTRADAS[VALOR],1,FALSE),"DEVOLUÇÃO"),"SEM ENTRADAS"))</f>
        <v/>
      </c>
    </row>
    <row r="270" spans="2:12" x14ac:dyDescent="0.3">
      <c r="B270" t="str">
        <f>IF('SAÍDAS-BASE'!A268="","",'SAÍDAS-BASE'!A268)</f>
        <v/>
      </c>
      <c r="C270" t="str">
        <f>IF('SAÍDAS-BASE'!B268="","",'SAÍDAS-BASE'!B268)</f>
        <v/>
      </c>
      <c r="D270" t="str">
        <f>IF('SAÍDAS-BASE'!C268="","",'SAÍDAS-BASE'!C268)</f>
        <v/>
      </c>
      <c r="E270" s="7" t="str">
        <f>IF('SAÍDAS-BASE'!D268="","",'SAÍDAS-BASE'!D268)</f>
        <v/>
      </c>
      <c r="F270" s="6" t="str">
        <f>IF('SAÍDAS-BASE'!E268="","",'SAÍDAS-BASE'!E268)</f>
        <v/>
      </c>
      <c r="G270" t="str">
        <f>IF('SAÍDAS-BASE'!F268="","",'SAÍDAS-BASE'!F268)</f>
        <v/>
      </c>
      <c r="H270" t="str">
        <f>IF('SAÍDAS-BASE'!G268="","",'SAÍDAS-BASE'!G268)</f>
        <v/>
      </c>
      <c r="I270" t="str">
        <f>IF('SAÍDAS-BASE'!H268="","",'SAÍDAS-BASE'!H268)</f>
        <v/>
      </c>
      <c r="J270" t="str">
        <f>IF('SAÍDAS-BASE'!I268="","",'SAÍDAS-BASE'!I268)</f>
        <v/>
      </c>
      <c r="K270" s="5" t="str">
        <f>IF('SAÍDAS-BASE'!J268="","",'SAÍDAS-BASE'!J268)</f>
        <v/>
      </c>
      <c r="L270" t="str">
        <f>IF(TABELA_SAIDAS[[#This Row],[UF]]="","",IFERROR(IF(VLOOKUP(TABELA_SAIDAS[[#This Row],[VALOR]],TABELA_ENTRADAS[VALOR],1,FALSE),"DEVOLUÇÃO"),"SEM ENTRADAS"))</f>
        <v/>
      </c>
    </row>
    <row r="271" spans="2:12" x14ac:dyDescent="0.3">
      <c r="B271" t="str">
        <f>IF('SAÍDAS-BASE'!A269="","",'SAÍDAS-BASE'!A269)</f>
        <v/>
      </c>
      <c r="C271" t="str">
        <f>IF('SAÍDAS-BASE'!B269="","",'SAÍDAS-BASE'!B269)</f>
        <v/>
      </c>
      <c r="D271" t="str">
        <f>IF('SAÍDAS-BASE'!C269="","",'SAÍDAS-BASE'!C269)</f>
        <v/>
      </c>
      <c r="E271" s="7" t="str">
        <f>IF('SAÍDAS-BASE'!D269="","",'SAÍDAS-BASE'!D269)</f>
        <v/>
      </c>
      <c r="F271" s="6" t="str">
        <f>IF('SAÍDAS-BASE'!E269="","",'SAÍDAS-BASE'!E269)</f>
        <v/>
      </c>
      <c r="G271" t="str">
        <f>IF('SAÍDAS-BASE'!F269="","",'SAÍDAS-BASE'!F269)</f>
        <v/>
      </c>
      <c r="H271" t="str">
        <f>IF('SAÍDAS-BASE'!G269="","",'SAÍDAS-BASE'!G269)</f>
        <v/>
      </c>
      <c r="I271" t="str">
        <f>IF('SAÍDAS-BASE'!H269="","",'SAÍDAS-BASE'!H269)</f>
        <v/>
      </c>
      <c r="J271" t="str">
        <f>IF('SAÍDAS-BASE'!I269="","",'SAÍDAS-BASE'!I269)</f>
        <v/>
      </c>
      <c r="K271" s="5" t="str">
        <f>IF('SAÍDAS-BASE'!J269="","",'SAÍDAS-BASE'!J269)</f>
        <v/>
      </c>
      <c r="L271" t="str">
        <f>IF(TABELA_SAIDAS[[#This Row],[UF]]="","",IFERROR(IF(VLOOKUP(TABELA_SAIDAS[[#This Row],[VALOR]],TABELA_ENTRADAS[VALOR],1,FALSE),"DEVOLUÇÃO"),"SEM ENTRADAS"))</f>
        <v/>
      </c>
    </row>
    <row r="272" spans="2:12" x14ac:dyDescent="0.3">
      <c r="B272" t="str">
        <f>IF('SAÍDAS-BASE'!A270="","",'SAÍDAS-BASE'!A270)</f>
        <v/>
      </c>
      <c r="C272" t="str">
        <f>IF('SAÍDAS-BASE'!B270="","",'SAÍDAS-BASE'!B270)</f>
        <v/>
      </c>
      <c r="D272" t="str">
        <f>IF('SAÍDAS-BASE'!C270="","",'SAÍDAS-BASE'!C270)</f>
        <v/>
      </c>
      <c r="E272" s="7" t="str">
        <f>IF('SAÍDAS-BASE'!D270="","",'SAÍDAS-BASE'!D270)</f>
        <v/>
      </c>
      <c r="F272" s="6" t="str">
        <f>IF('SAÍDAS-BASE'!E270="","",'SAÍDAS-BASE'!E270)</f>
        <v/>
      </c>
      <c r="G272" t="str">
        <f>IF('SAÍDAS-BASE'!F270="","",'SAÍDAS-BASE'!F270)</f>
        <v/>
      </c>
      <c r="H272" t="str">
        <f>IF('SAÍDAS-BASE'!G270="","",'SAÍDAS-BASE'!G270)</f>
        <v/>
      </c>
      <c r="I272" t="str">
        <f>IF('SAÍDAS-BASE'!H270="","",'SAÍDAS-BASE'!H270)</f>
        <v/>
      </c>
      <c r="J272" t="str">
        <f>IF('SAÍDAS-BASE'!I270="","",'SAÍDAS-BASE'!I270)</f>
        <v/>
      </c>
      <c r="K272" s="5" t="str">
        <f>IF('SAÍDAS-BASE'!J270="","",'SAÍDAS-BASE'!J270)</f>
        <v/>
      </c>
      <c r="L272" t="str">
        <f>IF(TABELA_SAIDAS[[#This Row],[UF]]="","",IFERROR(IF(VLOOKUP(TABELA_SAIDAS[[#This Row],[VALOR]],TABELA_ENTRADAS[VALOR],1,FALSE),"DEVOLUÇÃO"),"SEM ENTRADAS"))</f>
        <v/>
      </c>
    </row>
    <row r="273" spans="2:12" x14ac:dyDescent="0.3">
      <c r="B273" t="str">
        <f>IF('SAÍDAS-BASE'!A271="","",'SAÍDAS-BASE'!A271)</f>
        <v/>
      </c>
      <c r="C273" t="str">
        <f>IF('SAÍDAS-BASE'!B271="","",'SAÍDAS-BASE'!B271)</f>
        <v/>
      </c>
      <c r="D273" t="str">
        <f>IF('SAÍDAS-BASE'!C271="","",'SAÍDAS-BASE'!C271)</f>
        <v/>
      </c>
      <c r="E273" s="7" t="str">
        <f>IF('SAÍDAS-BASE'!D271="","",'SAÍDAS-BASE'!D271)</f>
        <v/>
      </c>
      <c r="F273" s="6" t="str">
        <f>IF('SAÍDAS-BASE'!E271="","",'SAÍDAS-BASE'!E271)</f>
        <v/>
      </c>
      <c r="G273" t="str">
        <f>IF('SAÍDAS-BASE'!F271="","",'SAÍDAS-BASE'!F271)</f>
        <v/>
      </c>
      <c r="H273" t="str">
        <f>IF('SAÍDAS-BASE'!G271="","",'SAÍDAS-BASE'!G271)</f>
        <v/>
      </c>
      <c r="I273" t="str">
        <f>IF('SAÍDAS-BASE'!H271="","",'SAÍDAS-BASE'!H271)</f>
        <v/>
      </c>
      <c r="J273" t="str">
        <f>IF('SAÍDAS-BASE'!I271="","",'SAÍDAS-BASE'!I271)</f>
        <v/>
      </c>
      <c r="K273" s="5" t="str">
        <f>IF('SAÍDAS-BASE'!J271="","",'SAÍDAS-BASE'!J271)</f>
        <v/>
      </c>
      <c r="L273" t="str">
        <f>IF(TABELA_SAIDAS[[#This Row],[UF]]="","",IFERROR(IF(VLOOKUP(TABELA_SAIDAS[[#This Row],[VALOR]],TABELA_ENTRADAS[VALOR],1,FALSE),"DEVOLUÇÃO"),"SEM ENTRADAS"))</f>
        <v/>
      </c>
    </row>
    <row r="274" spans="2:12" x14ac:dyDescent="0.3">
      <c r="B274" t="str">
        <f>IF('SAÍDAS-BASE'!A272="","",'SAÍDAS-BASE'!A272)</f>
        <v/>
      </c>
      <c r="C274" t="str">
        <f>IF('SAÍDAS-BASE'!B272="","",'SAÍDAS-BASE'!B272)</f>
        <v/>
      </c>
      <c r="D274" t="str">
        <f>IF('SAÍDAS-BASE'!C272="","",'SAÍDAS-BASE'!C272)</f>
        <v/>
      </c>
      <c r="E274" s="7" t="str">
        <f>IF('SAÍDAS-BASE'!D272="","",'SAÍDAS-BASE'!D272)</f>
        <v/>
      </c>
      <c r="F274" s="6" t="str">
        <f>IF('SAÍDAS-BASE'!E272="","",'SAÍDAS-BASE'!E272)</f>
        <v/>
      </c>
      <c r="G274" t="str">
        <f>IF('SAÍDAS-BASE'!F272="","",'SAÍDAS-BASE'!F272)</f>
        <v/>
      </c>
      <c r="H274" t="str">
        <f>IF('SAÍDAS-BASE'!G272="","",'SAÍDAS-BASE'!G272)</f>
        <v/>
      </c>
      <c r="I274" t="str">
        <f>IF('SAÍDAS-BASE'!H272="","",'SAÍDAS-BASE'!H272)</f>
        <v/>
      </c>
      <c r="J274" t="str">
        <f>IF('SAÍDAS-BASE'!I272="","",'SAÍDAS-BASE'!I272)</f>
        <v/>
      </c>
      <c r="K274" s="5" t="str">
        <f>IF('SAÍDAS-BASE'!J272="","",'SAÍDAS-BASE'!J272)</f>
        <v/>
      </c>
      <c r="L274" t="str">
        <f>IF(TABELA_SAIDAS[[#This Row],[UF]]="","",IFERROR(IF(VLOOKUP(TABELA_SAIDAS[[#This Row],[VALOR]],TABELA_ENTRADAS[VALOR],1,FALSE),"DEVOLUÇÃO"),"SEM ENTRADAS"))</f>
        <v/>
      </c>
    </row>
    <row r="275" spans="2:12" x14ac:dyDescent="0.3">
      <c r="B275" t="str">
        <f>IF('SAÍDAS-BASE'!A273="","",'SAÍDAS-BASE'!A273)</f>
        <v/>
      </c>
      <c r="C275" t="str">
        <f>IF('SAÍDAS-BASE'!B273="","",'SAÍDAS-BASE'!B273)</f>
        <v/>
      </c>
      <c r="D275" t="str">
        <f>IF('SAÍDAS-BASE'!C273="","",'SAÍDAS-BASE'!C273)</f>
        <v/>
      </c>
      <c r="E275" s="7" t="str">
        <f>IF('SAÍDAS-BASE'!D273="","",'SAÍDAS-BASE'!D273)</f>
        <v/>
      </c>
      <c r="F275" s="6" t="str">
        <f>IF('SAÍDAS-BASE'!E273="","",'SAÍDAS-BASE'!E273)</f>
        <v/>
      </c>
      <c r="G275" t="str">
        <f>IF('SAÍDAS-BASE'!F273="","",'SAÍDAS-BASE'!F273)</f>
        <v/>
      </c>
      <c r="H275" t="str">
        <f>IF('SAÍDAS-BASE'!G273="","",'SAÍDAS-BASE'!G273)</f>
        <v/>
      </c>
      <c r="I275" t="str">
        <f>IF('SAÍDAS-BASE'!H273="","",'SAÍDAS-BASE'!H273)</f>
        <v/>
      </c>
      <c r="J275" t="str">
        <f>IF('SAÍDAS-BASE'!I273="","",'SAÍDAS-BASE'!I273)</f>
        <v/>
      </c>
      <c r="K275" s="5" t="str">
        <f>IF('SAÍDAS-BASE'!J273="","",'SAÍDAS-BASE'!J273)</f>
        <v/>
      </c>
      <c r="L275" t="str">
        <f>IF(TABELA_SAIDAS[[#This Row],[UF]]="","",IFERROR(IF(VLOOKUP(TABELA_SAIDAS[[#This Row],[VALOR]],TABELA_ENTRADAS[VALOR],1,FALSE),"DEVOLUÇÃO"),"SEM ENTRADAS"))</f>
        <v/>
      </c>
    </row>
    <row r="276" spans="2:12" x14ac:dyDescent="0.3">
      <c r="B276" t="str">
        <f>IF('SAÍDAS-BASE'!A274="","",'SAÍDAS-BASE'!A274)</f>
        <v/>
      </c>
      <c r="C276" t="str">
        <f>IF('SAÍDAS-BASE'!B274="","",'SAÍDAS-BASE'!B274)</f>
        <v/>
      </c>
      <c r="D276" t="str">
        <f>IF('SAÍDAS-BASE'!C274="","",'SAÍDAS-BASE'!C274)</f>
        <v/>
      </c>
      <c r="E276" s="7" t="str">
        <f>IF('SAÍDAS-BASE'!D274="","",'SAÍDAS-BASE'!D274)</f>
        <v/>
      </c>
      <c r="F276" s="6" t="str">
        <f>IF('SAÍDAS-BASE'!E274="","",'SAÍDAS-BASE'!E274)</f>
        <v/>
      </c>
      <c r="G276" t="str">
        <f>IF('SAÍDAS-BASE'!F274="","",'SAÍDAS-BASE'!F274)</f>
        <v/>
      </c>
      <c r="H276" t="str">
        <f>IF('SAÍDAS-BASE'!G274="","",'SAÍDAS-BASE'!G274)</f>
        <v/>
      </c>
      <c r="I276" t="str">
        <f>IF('SAÍDAS-BASE'!H274="","",'SAÍDAS-BASE'!H274)</f>
        <v/>
      </c>
      <c r="J276" t="str">
        <f>IF('SAÍDAS-BASE'!I274="","",'SAÍDAS-BASE'!I274)</f>
        <v/>
      </c>
      <c r="K276" s="5" t="str">
        <f>IF('SAÍDAS-BASE'!J274="","",'SAÍDAS-BASE'!J274)</f>
        <v/>
      </c>
      <c r="L276" t="str">
        <f>IF(TABELA_SAIDAS[[#This Row],[UF]]="","",IFERROR(IF(VLOOKUP(TABELA_SAIDAS[[#This Row],[VALOR]],TABELA_ENTRADAS[VALOR],1,FALSE),"DEVOLUÇÃO"),"SEM ENTRADAS"))</f>
        <v/>
      </c>
    </row>
    <row r="277" spans="2:12" x14ac:dyDescent="0.3">
      <c r="B277" t="str">
        <f>IF('SAÍDAS-BASE'!A275="","",'SAÍDAS-BASE'!A275)</f>
        <v/>
      </c>
      <c r="C277" t="str">
        <f>IF('SAÍDAS-BASE'!B275="","",'SAÍDAS-BASE'!B275)</f>
        <v/>
      </c>
      <c r="D277" t="str">
        <f>IF('SAÍDAS-BASE'!C275="","",'SAÍDAS-BASE'!C275)</f>
        <v/>
      </c>
      <c r="E277" s="7" t="str">
        <f>IF('SAÍDAS-BASE'!D275="","",'SAÍDAS-BASE'!D275)</f>
        <v/>
      </c>
      <c r="F277" s="6" t="str">
        <f>IF('SAÍDAS-BASE'!E275="","",'SAÍDAS-BASE'!E275)</f>
        <v/>
      </c>
      <c r="G277" t="str">
        <f>IF('SAÍDAS-BASE'!F275="","",'SAÍDAS-BASE'!F275)</f>
        <v/>
      </c>
      <c r="H277" t="str">
        <f>IF('SAÍDAS-BASE'!G275="","",'SAÍDAS-BASE'!G275)</f>
        <v/>
      </c>
      <c r="I277" t="str">
        <f>IF('SAÍDAS-BASE'!H275="","",'SAÍDAS-BASE'!H275)</f>
        <v/>
      </c>
      <c r="J277" t="str">
        <f>IF('SAÍDAS-BASE'!I275="","",'SAÍDAS-BASE'!I275)</f>
        <v/>
      </c>
      <c r="K277" s="5" t="str">
        <f>IF('SAÍDAS-BASE'!J275="","",'SAÍDAS-BASE'!J275)</f>
        <v/>
      </c>
      <c r="L277" t="str">
        <f>IF(TABELA_SAIDAS[[#This Row],[UF]]="","",IFERROR(IF(VLOOKUP(TABELA_SAIDAS[[#This Row],[VALOR]],TABELA_ENTRADAS[VALOR],1,FALSE),"DEVOLUÇÃO"),"SEM ENTRADAS"))</f>
        <v/>
      </c>
    </row>
    <row r="278" spans="2:12" x14ac:dyDescent="0.3">
      <c r="B278" t="str">
        <f>IF('SAÍDAS-BASE'!A276="","",'SAÍDAS-BASE'!A276)</f>
        <v/>
      </c>
      <c r="C278" t="str">
        <f>IF('SAÍDAS-BASE'!B276="","",'SAÍDAS-BASE'!B276)</f>
        <v/>
      </c>
      <c r="D278" t="str">
        <f>IF('SAÍDAS-BASE'!C276="","",'SAÍDAS-BASE'!C276)</f>
        <v/>
      </c>
      <c r="E278" s="7" t="str">
        <f>IF('SAÍDAS-BASE'!D276="","",'SAÍDAS-BASE'!D276)</f>
        <v/>
      </c>
      <c r="F278" s="6" t="str">
        <f>IF('SAÍDAS-BASE'!E276="","",'SAÍDAS-BASE'!E276)</f>
        <v/>
      </c>
      <c r="G278" t="str">
        <f>IF('SAÍDAS-BASE'!F276="","",'SAÍDAS-BASE'!F276)</f>
        <v/>
      </c>
      <c r="H278" t="str">
        <f>IF('SAÍDAS-BASE'!G276="","",'SAÍDAS-BASE'!G276)</f>
        <v/>
      </c>
      <c r="I278" t="str">
        <f>IF('SAÍDAS-BASE'!H276="","",'SAÍDAS-BASE'!H276)</f>
        <v/>
      </c>
      <c r="J278" t="str">
        <f>IF('SAÍDAS-BASE'!I276="","",'SAÍDAS-BASE'!I276)</f>
        <v/>
      </c>
      <c r="K278" s="5" t="str">
        <f>IF('SAÍDAS-BASE'!J276="","",'SAÍDAS-BASE'!J276)</f>
        <v/>
      </c>
      <c r="L278" t="str">
        <f>IF(TABELA_SAIDAS[[#This Row],[UF]]="","",IFERROR(IF(VLOOKUP(TABELA_SAIDAS[[#This Row],[VALOR]],TABELA_ENTRADAS[VALOR],1,FALSE),"DEVOLUÇÃO"),"SEM ENTRADAS"))</f>
        <v/>
      </c>
    </row>
    <row r="279" spans="2:12" x14ac:dyDescent="0.3">
      <c r="B279" t="str">
        <f>IF('SAÍDAS-BASE'!A277="","",'SAÍDAS-BASE'!A277)</f>
        <v/>
      </c>
      <c r="C279" t="str">
        <f>IF('SAÍDAS-BASE'!B277="","",'SAÍDAS-BASE'!B277)</f>
        <v/>
      </c>
      <c r="D279" t="str">
        <f>IF('SAÍDAS-BASE'!C277="","",'SAÍDAS-BASE'!C277)</f>
        <v/>
      </c>
      <c r="E279" s="7" t="str">
        <f>IF('SAÍDAS-BASE'!D277="","",'SAÍDAS-BASE'!D277)</f>
        <v/>
      </c>
      <c r="F279" s="6" t="str">
        <f>IF('SAÍDAS-BASE'!E277="","",'SAÍDAS-BASE'!E277)</f>
        <v/>
      </c>
      <c r="G279" t="str">
        <f>IF('SAÍDAS-BASE'!F277="","",'SAÍDAS-BASE'!F277)</f>
        <v/>
      </c>
      <c r="H279" t="str">
        <f>IF('SAÍDAS-BASE'!G277="","",'SAÍDAS-BASE'!G277)</f>
        <v/>
      </c>
      <c r="I279" t="str">
        <f>IF('SAÍDAS-BASE'!H277="","",'SAÍDAS-BASE'!H277)</f>
        <v/>
      </c>
      <c r="J279" t="str">
        <f>IF('SAÍDAS-BASE'!I277="","",'SAÍDAS-BASE'!I277)</f>
        <v/>
      </c>
      <c r="K279" s="5" t="str">
        <f>IF('SAÍDAS-BASE'!J277="","",'SAÍDAS-BASE'!J277)</f>
        <v/>
      </c>
      <c r="L279" t="str">
        <f>IF(TABELA_SAIDAS[[#This Row],[UF]]="","",IFERROR(IF(VLOOKUP(TABELA_SAIDAS[[#This Row],[VALOR]],TABELA_ENTRADAS[VALOR],1,FALSE),"DEVOLUÇÃO"),"SEM ENTRADAS"))</f>
        <v/>
      </c>
    </row>
    <row r="280" spans="2:12" x14ac:dyDescent="0.3">
      <c r="B280" t="str">
        <f>IF('SAÍDAS-BASE'!A278="","",'SAÍDAS-BASE'!A278)</f>
        <v/>
      </c>
      <c r="C280" t="str">
        <f>IF('SAÍDAS-BASE'!B278="","",'SAÍDAS-BASE'!B278)</f>
        <v/>
      </c>
      <c r="D280" t="str">
        <f>IF('SAÍDAS-BASE'!C278="","",'SAÍDAS-BASE'!C278)</f>
        <v/>
      </c>
      <c r="E280" s="7" t="str">
        <f>IF('SAÍDAS-BASE'!D278="","",'SAÍDAS-BASE'!D278)</f>
        <v/>
      </c>
      <c r="F280" s="6" t="str">
        <f>IF('SAÍDAS-BASE'!E278="","",'SAÍDAS-BASE'!E278)</f>
        <v/>
      </c>
      <c r="G280" t="str">
        <f>IF('SAÍDAS-BASE'!F278="","",'SAÍDAS-BASE'!F278)</f>
        <v/>
      </c>
      <c r="H280" t="str">
        <f>IF('SAÍDAS-BASE'!G278="","",'SAÍDAS-BASE'!G278)</f>
        <v/>
      </c>
      <c r="I280" t="str">
        <f>IF('SAÍDAS-BASE'!H278="","",'SAÍDAS-BASE'!H278)</f>
        <v/>
      </c>
      <c r="J280" t="str">
        <f>IF('SAÍDAS-BASE'!I278="","",'SAÍDAS-BASE'!I278)</f>
        <v/>
      </c>
      <c r="K280" s="5" t="str">
        <f>IF('SAÍDAS-BASE'!J278="","",'SAÍDAS-BASE'!J278)</f>
        <v/>
      </c>
      <c r="L280" t="str">
        <f>IF(TABELA_SAIDAS[[#This Row],[UF]]="","",IFERROR(IF(VLOOKUP(TABELA_SAIDAS[[#This Row],[VALOR]],TABELA_ENTRADAS[VALOR],1,FALSE),"DEVOLUÇÃO"),"SEM ENTRADAS"))</f>
        <v/>
      </c>
    </row>
    <row r="281" spans="2:12" x14ac:dyDescent="0.3">
      <c r="B281" t="str">
        <f>IF('SAÍDAS-BASE'!A279="","",'SAÍDAS-BASE'!A279)</f>
        <v/>
      </c>
      <c r="C281" t="str">
        <f>IF('SAÍDAS-BASE'!B279="","",'SAÍDAS-BASE'!B279)</f>
        <v/>
      </c>
      <c r="D281" t="str">
        <f>IF('SAÍDAS-BASE'!C279="","",'SAÍDAS-BASE'!C279)</f>
        <v/>
      </c>
      <c r="E281" s="7" t="str">
        <f>IF('SAÍDAS-BASE'!D279="","",'SAÍDAS-BASE'!D279)</f>
        <v/>
      </c>
      <c r="F281" s="6" t="str">
        <f>IF('SAÍDAS-BASE'!E279="","",'SAÍDAS-BASE'!E279)</f>
        <v/>
      </c>
      <c r="G281" t="str">
        <f>IF('SAÍDAS-BASE'!F279="","",'SAÍDAS-BASE'!F279)</f>
        <v/>
      </c>
      <c r="H281" t="str">
        <f>IF('SAÍDAS-BASE'!G279="","",'SAÍDAS-BASE'!G279)</f>
        <v/>
      </c>
      <c r="I281" t="str">
        <f>IF('SAÍDAS-BASE'!H279="","",'SAÍDAS-BASE'!H279)</f>
        <v/>
      </c>
      <c r="J281" t="str">
        <f>IF('SAÍDAS-BASE'!I279="","",'SAÍDAS-BASE'!I279)</f>
        <v/>
      </c>
      <c r="K281" s="5" t="str">
        <f>IF('SAÍDAS-BASE'!J279="","",'SAÍDAS-BASE'!J279)</f>
        <v/>
      </c>
      <c r="L281" t="str">
        <f>IF(TABELA_SAIDAS[[#This Row],[UF]]="","",IFERROR(IF(VLOOKUP(TABELA_SAIDAS[[#This Row],[VALOR]],TABELA_ENTRADAS[VALOR],1,FALSE),"DEVOLUÇÃO"),"SEM ENTRADAS"))</f>
        <v/>
      </c>
    </row>
    <row r="282" spans="2:12" x14ac:dyDescent="0.3">
      <c r="B282" t="str">
        <f>IF('SAÍDAS-BASE'!A280="","",'SAÍDAS-BASE'!A280)</f>
        <v/>
      </c>
      <c r="C282" t="str">
        <f>IF('SAÍDAS-BASE'!B280="","",'SAÍDAS-BASE'!B280)</f>
        <v/>
      </c>
      <c r="D282" t="str">
        <f>IF('SAÍDAS-BASE'!C280="","",'SAÍDAS-BASE'!C280)</f>
        <v/>
      </c>
      <c r="E282" s="7" t="str">
        <f>IF('SAÍDAS-BASE'!D280="","",'SAÍDAS-BASE'!D280)</f>
        <v/>
      </c>
      <c r="F282" s="6" t="str">
        <f>IF('SAÍDAS-BASE'!E280="","",'SAÍDAS-BASE'!E280)</f>
        <v/>
      </c>
      <c r="G282" t="str">
        <f>IF('SAÍDAS-BASE'!F280="","",'SAÍDAS-BASE'!F280)</f>
        <v/>
      </c>
      <c r="H282" t="str">
        <f>IF('SAÍDAS-BASE'!G280="","",'SAÍDAS-BASE'!G280)</f>
        <v/>
      </c>
      <c r="I282" t="str">
        <f>IF('SAÍDAS-BASE'!H280="","",'SAÍDAS-BASE'!H280)</f>
        <v/>
      </c>
      <c r="J282" t="str">
        <f>IF('SAÍDAS-BASE'!I280="","",'SAÍDAS-BASE'!I280)</f>
        <v/>
      </c>
      <c r="K282" s="5" t="str">
        <f>IF('SAÍDAS-BASE'!J280="","",'SAÍDAS-BASE'!J280)</f>
        <v/>
      </c>
      <c r="L282" t="str">
        <f>IF(TABELA_SAIDAS[[#This Row],[UF]]="","",IFERROR(IF(VLOOKUP(TABELA_SAIDAS[[#This Row],[VALOR]],TABELA_ENTRADAS[VALOR],1,FALSE),"DEVOLUÇÃO"),"SEM ENTRADAS"))</f>
        <v/>
      </c>
    </row>
    <row r="283" spans="2:12" x14ac:dyDescent="0.3">
      <c r="B283" t="str">
        <f>IF('SAÍDAS-BASE'!A281="","",'SAÍDAS-BASE'!A281)</f>
        <v/>
      </c>
      <c r="C283" t="str">
        <f>IF('SAÍDAS-BASE'!B281="","",'SAÍDAS-BASE'!B281)</f>
        <v/>
      </c>
      <c r="D283" t="str">
        <f>IF('SAÍDAS-BASE'!C281="","",'SAÍDAS-BASE'!C281)</f>
        <v/>
      </c>
      <c r="E283" s="7" t="str">
        <f>IF('SAÍDAS-BASE'!D281="","",'SAÍDAS-BASE'!D281)</f>
        <v/>
      </c>
      <c r="F283" s="6" t="str">
        <f>IF('SAÍDAS-BASE'!E281="","",'SAÍDAS-BASE'!E281)</f>
        <v/>
      </c>
      <c r="G283" t="str">
        <f>IF('SAÍDAS-BASE'!F281="","",'SAÍDAS-BASE'!F281)</f>
        <v/>
      </c>
      <c r="H283" t="str">
        <f>IF('SAÍDAS-BASE'!G281="","",'SAÍDAS-BASE'!G281)</f>
        <v/>
      </c>
      <c r="I283" t="str">
        <f>IF('SAÍDAS-BASE'!H281="","",'SAÍDAS-BASE'!H281)</f>
        <v/>
      </c>
      <c r="J283" t="str">
        <f>IF('SAÍDAS-BASE'!I281="","",'SAÍDAS-BASE'!I281)</f>
        <v/>
      </c>
      <c r="K283" s="5" t="str">
        <f>IF('SAÍDAS-BASE'!J281="","",'SAÍDAS-BASE'!J281)</f>
        <v/>
      </c>
      <c r="L283" t="str">
        <f>IF(TABELA_SAIDAS[[#This Row],[UF]]="","",IFERROR(IF(VLOOKUP(TABELA_SAIDAS[[#This Row],[VALOR]],TABELA_ENTRADAS[VALOR],1,FALSE),"DEVOLUÇÃO"),"SEM ENTRADAS"))</f>
        <v/>
      </c>
    </row>
    <row r="284" spans="2:12" x14ac:dyDescent="0.3">
      <c r="B284" t="str">
        <f>IF('SAÍDAS-BASE'!A282="","",'SAÍDAS-BASE'!A282)</f>
        <v/>
      </c>
      <c r="C284" t="str">
        <f>IF('SAÍDAS-BASE'!B282="","",'SAÍDAS-BASE'!B282)</f>
        <v/>
      </c>
      <c r="D284" t="str">
        <f>IF('SAÍDAS-BASE'!C282="","",'SAÍDAS-BASE'!C282)</f>
        <v/>
      </c>
      <c r="E284" s="7" t="str">
        <f>IF('SAÍDAS-BASE'!D282="","",'SAÍDAS-BASE'!D282)</f>
        <v/>
      </c>
      <c r="F284" s="6" t="str">
        <f>IF('SAÍDAS-BASE'!E282="","",'SAÍDAS-BASE'!E282)</f>
        <v/>
      </c>
      <c r="G284" t="str">
        <f>IF('SAÍDAS-BASE'!F282="","",'SAÍDAS-BASE'!F282)</f>
        <v/>
      </c>
      <c r="H284" t="str">
        <f>IF('SAÍDAS-BASE'!G282="","",'SAÍDAS-BASE'!G282)</f>
        <v/>
      </c>
      <c r="I284" t="str">
        <f>IF('SAÍDAS-BASE'!H282="","",'SAÍDAS-BASE'!H282)</f>
        <v/>
      </c>
      <c r="J284" t="str">
        <f>IF('SAÍDAS-BASE'!I282="","",'SAÍDAS-BASE'!I282)</f>
        <v/>
      </c>
      <c r="K284" s="5" t="str">
        <f>IF('SAÍDAS-BASE'!J282="","",'SAÍDAS-BASE'!J282)</f>
        <v/>
      </c>
      <c r="L284" t="str">
        <f>IF(TABELA_SAIDAS[[#This Row],[UF]]="","",IFERROR(IF(VLOOKUP(TABELA_SAIDAS[[#This Row],[VALOR]],TABELA_ENTRADAS[VALOR],1,FALSE),"DEVOLUÇÃO"),"SEM ENTRADAS"))</f>
        <v/>
      </c>
    </row>
    <row r="285" spans="2:12" x14ac:dyDescent="0.3">
      <c r="B285" t="str">
        <f>IF('SAÍDAS-BASE'!A283="","",'SAÍDAS-BASE'!A283)</f>
        <v/>
      </c>
      <c r="C285" t="str">
        <f>IF('SAÍDAS-BASE'!B283="","",'SAÍDAS-BASE'!B283)</f>
        <v/>
      </c>
      <c r="D285" t="str">
        <f>IF('SAÍDAS-BASE'!C283="","",'SAÍDAS-BASE'!C283)</f>
        <v/>
      </c>
      <c r="E285" s="7" t="str">
        <f>IF('SAÍDAS-BASE'!D283="","",'SAÍDAS-BASE'!D283)</f>
        <v/>
      </c>
      <c r="F285" s="6" t="str">
        <f>IF('SAÍDAS-BASE'!E283="","",'SAÍDAS-BASE'!E283)</f>
        <v/>
      </c>
      <c r="G285" t="str">
        <f>IF('SAÍDAS-BASE'!F283="","",'SAÍDAS-BASE'!F283)</f>
        <v/>
      </c>
      <c r="H285" t="str">
        <f>IF('SAÍDAS-BASE'!G283="","",'SAÍDAS-BASE'!G283)</f>
        <v/>
      </c>
      <c r="I285" t="str">
        <f>IF('SAÍDAS-BASE'!H283="","",'SAÍDAS-BASE'!H283)</f>
        <v/>
      </c>
      <c r="J285" t="str">
        <f>IF('SAÍDAS-BASE'!I283="","",'SAÍDAS-BASE'!I283)</f>
        <v/>
      </c>
      <c r="K285" s="5" t="str">
        <f>IF('SAÍDAS-BASE'!J283="","",'SAÍDAS-BASE'!J283)</f>
        <v/>
      </c>
      <c r="L285" t="str">
        <f>IF(TABELA_SAIDAS[[#This Row],[UF]]="","",IFERROR(IF(VLOOKUP(TABELA_SAIDAS[[#This Row],[VALOR]],TABELA_ENTRADAS[VALOR],1,FALSE),"DEVOLUÇÃO"),"SEM ENTRADAS"))</f>
        <v/>
      </c>
    </row>
    <row r="286" spans="2:12" x14ac:dyDescent="0.3">
      <c r="B286" t="str">
        <f>IF('SAÍDAS-BASE'!A284="","",'SAÍDAS-BASE'!A284)</f>
        <v/>
      </c>
      <c r="C286" t="str">
        <f>IF('SAÍDAS-BASE'!B284="","",'SAÍDAS-BASE'!B284)</f>
        <v/>
      </c>
      <c r="D286" t="str">
        <f>IF('SAÍDAS-BASE'!C284="","",'SAÍDAS-BASE'!C284)</f>
        <v/>
      </c>
      <c r="E286" s="7" t="str">
        <f>IF('SAÍDAS-BASE'!D284="","",'SAÍDAS-BASE'!D284)</f>
        <v/>
      </c>
      <c r="F286" s="6" t="str">
        <f>IF('SAÍDAS-BASE'!E284="","",'SAÍDAS-BASE'!E284)</f>
        <v/>
      </c>
      <c r="G286" t="str">
        <f>IF('SAÍDAS-BASE'!F284="","",'SAÍDAS-BASE'!F284)</f>
        <v/>
      </c>
      <c r="H286" t="str">
        <f>IF('SAÍDAS-BASE'!G284="","",'SAÍDAS-BASE'!G284)</f>
        <v/>
      </c>
      <c r="I286" t="str">
        <f>IF('SAÍDAS-BASE'!H284="","",'SAÍDAS-BASE'!H284)</f>
        <v/>
      </c>
      <c r="J286" t="str">
        <f>IF('SAÍDAS-BASE'!I284="","",'SAÍDAS-BASE'!I284)</f>
        <v/>
      </c>
      <c r="K286" s="5" t="str">
        <f>IF('SAÍDAS-BASE'!J284="","",'SAÍDAS-BASE'!J284)</f>
        <v/>
      </c>
      <c r="L286" t="str">
        <f>IF(TABELA_SAIDAS[[#This Row],[UF]]="","",IFERROR(IF(VLOOKUP(TABELA_SAIDAS[[#This Row],[VALOR]],TABELA_ENTRADAS[VALOR],1,FALSE),"DEVOLUÇÃO"),"SEM ENTRADAS"))</f>
        <v/>
      </c>
    </row>
    <row r="287" spans="2:12" x14ac:dyDescent="0.3">
      <c r="B287" t="str">
        <f>IF('SAÍDAS-BASE'!A285="","",'SAÍDAS-BASE'!A285)</f>
        <v/>
      </c>
      <c r="C287" t="str">
        <f>IF('SAÍDAS-BASE'!B285="","",'SAÍDAS-BASE'!B285)</f>
        <v/>
      </c>
      <c r="D287" t="str">
        <f>IF('SAÍDAS-BASE'!C285="","",'SAÍDAS-BASE'!C285)</f>
        <v/>
      </c>
      <c r="E287" s="7" t="str">
        <f>IF('SAÍDAS-BASE'!D285="","",'SAÍDAS-BASE'!D285)</f>
        <v/>
      </c>
      <c r="F287" s="6" t="str">
        <f>IF('SAÍDAS-BASE'!E285="","",'SAÍDAS-BASE'!E285)</f>
        <v/>
      </c>
      <c r="G287" t="str">
        <f>IF('SAÍDAS-BASE'!F285="","",'SAÍDAS-BASE'!F285)</f>
        <v/>
      </c>
      <c r="H287" t="str">
        <f>IF('SAÍDAS-BASE'!G285="","",'SAÍDAS-BASE'!G285)</f>
        <v/>
      </c>
      <c r="I287" t="str">
        <f>IF('SAÍDAS-BASE'!H285="","",'SAÍDAS-BASE'!H285)</f>
        <v/>
      </c>
      <c r="J287" t="str">
        <f>IF('SAÍDAS-BASE'!I285="","",'SAÍDAS-BASE'!I285)</f>
        <v/>
      </c>
      <c r="K287" s="5" t="str">
        <f>IF('SAÍDAS-BASE'!J285="","",'SAÍDAS-BASE'!J285)</f>
        <v/>
      </c>
      <c r="L287" t="str">
        <f>IF(TABELA_SAIDAS[[#This Row],[UF]]="","",IFERROR(IF(VLOOKUP(TABELA_SAIDAS[[#This Row],[VALOR]],TABELA_ENTRADAS[VALOR],1,FALSE),"DEVOLUÇÃO"),"SEM ENTRADAS"))</f>
        <v/>
      </c>
    </row>
    <row r="288" spans="2:12" x14ac:dyDescent="0.3">
      <c r="B288" t="str">
        <f>IF('SAÍDAS-BASE'!A286="","",'SAÍDAS-BASE'!A286)</f>
        <v/>
      </c>
      <c r="C288" t="str">
        <f>IF('SAÍDAS-BASE'!B286="","",'SAÍDAS-BASE'!B286)</f>
        <v/>
      </c>
      <c r="D288" t="str">
        <f>IF('SAÍDAS-BASE'!C286="","",'SAÍDAS-BASE'!C286)</f>
        <v/>
      </c>
      <c r="E288" s="7" t="str">
        <f>IF('SAÍDAS-BASE'!D286="","",'SAÍDAS-BASE'!D286)</f>
        <v/>
      </c>
      <c r="F288" s="6" t="str">
        <f>IF('SAÍDAS-BASE'!E286="","",'SAÍDAS-BASE'!E286)</f>
        <v/>
      </c>
      <c r="G288" t="str">
        <f>IF('SAÍDAS-BASE'!F286="","",'SAÍDAS-BASE'!F286)</f>
        <v/>
      </c>
      <c r="H288" t="str">
        <f>IF('SAÍDAS-BASE'!G286="","",'SAÍDAS-BASE'!G286)</f>
        <v/>
      </c>
      <c r="I288" t="str">
        <f>IF('SAÍDAS-BASE'!H286="","",'SAÍDAS-BASE'!H286)</f>
        <v/>
      </c>
      <c r="J288" t="str">
        <f>IF('SAÍDAS-BASE'!I286="","",'SAÍDAS-BASE'!I286)</f>
        <v/>
      </c>
      <c r="K288" s="5" t="str">
        <f>IF('SAÍDAS-BASE'!J286="","",'SAÍDAS-BASE'!J286)</f>
        <v/>
      </c>
      <c r="L288" t="str">
        <f>IF(TABELA_SAIDAS[[#This Row],[UF]]="","",IFERROR(IF(VLOOKUP(TABELA_SAIDAS[[#This Row],[VALOR]],TABELA_ENTRADAS[VALOR],1,FALSE),"DEVOLUÇÃO"),"SEM ENTRADAS"))</f>
        <v/>
      </c>
    </row>
    <row r="289" spans="2:12" x14ac:dyDescent="0.3">
      <c r="B289" t="str">
        <f>IF('SAÍDAS-BASE'!A287="","",'SAÍDAS-BASE'!A287)</f>
        <v/>
      </c>
      <c r="C289" t="str">
        <f>IF('SAÍDAS-BASE'!B287="","",'SAÍDAS-BASE'!B287)</f>
        <v/>
      </c>
      <c r="D289" t="str">
        <f>IF('SAÍDAS-BASE'!C287="","",'SAÍDAS-BASE'!C287)</f>
        <v/>
      </c>
      <c r="E289" s="7" t="str">
        <f>IF('SAÍDAS-BASE'!D287="","",'SAÍDAS-BASE'!D287)</f>
        <v/>
      </c>
      <c r="F289" s="6" t="str">
        <f>IF('SAÍDAS-BASE'!E287="","",'SAÍDAS-BASE'!E287)</f>
        <v/>
      </c>
      <c r="G289" t="str">
        <f>IF('SAÍDAS-BASE'!F287="","",'SAÍDAS-BASE'!F287)</f>
        <v/>
      </c>
      <c r="H289" t="str">
        <f>IF('SAÍDAS-BASE'!G287="","",'SAÍDAS-BASE'!G287)</f>
        <v/>
      </c>
      <c r="I289" t="str">
        <f>IF('SAÍDAS-BASE'!H287="","",'SAÍDAS-BASE'!H287)</f>
        <v/>
      </c>
      <c r="J289" t="str">
        <f>IF('SAÍDAS-BASE'!I287="","",'SAÍDAS-BASE'!I287)</f>
        <v/>
      </c>
      <c r="K289" s="5" t="str">
        <f>IF('SAÍDAS-BASE'!J287="","",'SAÍDAS-BASE'!J287)</f>
        <v/>
      </c>
      <c r="L289" t="str">
        <f>IF(TABELA_SAIDAS[[#This Row],[UF]]="","",IFERROR(IF(VLOOKUP(TABELA_SAIDAS[[#This Row],[VALOR]],TABELA_ENTRADAS[VALOR],1,FALSE),"DEVOLUÇÃO"),"SEM ENTRADAS"))</f>
        <v/>
      </c>
    </row>
    <row r="290" spans="2:12" x14ac:dyDescent="0.3">
      <c r="B290" t="str">
        <f>IF('SAÍDAS-BASE'!A288="","",'SAÍDAS-BASE'!A288)</f>
        <v/>
      </c>
      <c r="C290" t="str">
        <f>IF('SAÍDAS-BASE'!B288="","",'SAÍDAS-BASE'!B288)</f>
        <v/>
      </c>
      <c r="D290" t="str">
        <f>IF('SAÍDAS-BASE'!C288="","",'SAÍDAS-BASE'!C288)</f>
        <v/>
      </c>
      <c r="E290" s="7" t="str">
        <f>IF('SAÍDAS-BASE'!D288="","",'SAÍDAS-BASE'!D288)</f>
        <v/>
      </c>
      <c r="F290" s="6" t="str">
        <f>IF('SAÍDAS-BASE'!E288="","",'SAÍDAS-BASE'!E288)</f>
        <v/>
      </c>
      <c r="G290" t="str">
        <f>IF('SAÍDAS-BASE'!F288="","",'SAÍDAS-BASE'!F288)</f>
        <v/>
      </c>
      <c r="H290" t="str">
        <f>IF('SAÍDAS-BASE'!G288="","",'SAÍDAS-BASE'!G288)</f>
        <v/>
      </c>
      <c r="I290" t="str">
        <f>IF('SAÍDAS-BASE'!H288="","",'SAÍDAS-BASE'!H288)</f>
        <v/>
      </c>
      <c r="J290" t="str">
        <f>IF('SAÍDAS-BASE'!I288="","",'SAÍDAS-BASE'!I288)</f>
        <v/>
      </c>
      <c r="K290" s="5" t="str">
        <f>IF('SAÍDAS-BASE'!J288="","",'SAÍDAS-BASE'!J288)</f>
        <v/>
      </c>
      <c r="L290" t="str">
        <f>IF(TABELA_SAIDAS[[#This Row],[UF]]="","",IFERROR(IF(VLOOKUP(TABELA_SAIDAS[[#This Row],[VALOR]],TABELA_ENTRADAS[VALOR],1,FALSE),"DEVOLUÇÃO"),"SEM ENTRADAS"))</f>
        <v/>
      </c>
    </row>
    <row r="291" spans="2:12" x14ac:dyDescent="0.3">
      <c r="B291" t="str">
        <f>IF('SAÍDAS-BASE'!A289="","",'SAÍDAS-BASE'!A289)</f>
        <v/>
      </c>
      <c r="C291" t="str">
        <f>IF('SAÍDAS-BASE'!B289="","",'SAÍDAS-BASE'!B289)</f>
        <v/>
      </c>
      <c r="D291" t="str">
        <f>IF('SAÍDAS-BASE'!C289="","",'SAÍDAS-BASE'!C289)</f>
        <v/>
      </c>
      <c r="E291" s="7" t="str">
        <f>IF('SAÍDAS-BASE'!D289="","",'SAÍDAS-BASE'!D289)</f>
        <v/>
      </c>
      <c r="F291" s="6" t="str">
        <f>IF('SAÍDAS-BASE'!E289="","",'SAÍDAS-BASE'!E289)</f>
        <v/>
      </c>
      <c r="G291" t="str">
        <f>IF('SAÍDAS-BASE'!F289="","",'SAÍDAS-BASE'!F289)</f>
        <v/>
      </c>
      <c r="H291" t="str">
        <f>IF('SAÍDAS-BASE'!G289="","",'SAÍDAS-BASE'!G289)</f>
        <v/>
      </c>
      <c r="I291" t="str">
        <f>IF('SAÍDAS-BASE'!H289="","",'SAÍDAS-BASE'!H289)</f>
        <v/>
      </c>
      <c r="J291" t="str">
        <f>IF('SAÍDAS-BASE'!I289="","",'SAÍDAS-BASE'!I289)</f>
        <v/>
      </c>
      <c r="K291" s="5" t="str">
        <f>IF('SAÍDAS-BASE'!J289="","",'SAÍDAS-BASE'!J289)</f>
        <v/>
      </c>
      <c r="L291" t="str">
        <f>IF(TABELA_SAIDAS[[#This Row],[UF]]="","",IFERROR(IF(VLOOKUP(TABELA_SAIDAS[[#This Row],[VALOR]],TABELA_ENTRADAS[VALOR],1,FALSE),"DEVOLUÇÃO"),"SEM ENTRADAS"))</f>
        <v/>
      </c>
    </row>
    <row r="292" spans="2:12" x14ac:dyDescent="0.3">
      <c r="B292" t="str">
        <f>IF('SAÍDAS-BASE'!A290="","",'SAÍDAS-BASE'!A290)</f>
        <v/>
      </c>
      <c r="C292" t="str">
        <f>IF('SAÍDAS-BASE'!B290="","",'SAÍDAS-BASE'!B290)</f>
        <v/>
      </c>
      <c r="D292" t="str">
        <f>IF('SAÍDAS-BASE'!C290="","",'SAÍDAS-BASE'!C290)</f>
        <v/>
      </c>
      <c r="E292" s="7" t="str">
        <f>IF('SAÍDAS-BASE'!D290="","",'SAÍDAS-BASE'!D290)</f>
        <v/>
      </c>
      <c r="F292" s="6" t="str">
        <f>IF('SAÍDAS-BASE'!E290="","",'SAÍDAS-BASE'!E290)</f>
        <v/>
      </c>
      <c r="G292" t="str">
        <f>IF('SAÍDAS-BASE'!F290="","",'SAÍDAS-BASE'!F290)</f>
        <v/>
      </c>
      <c r="H292" t="str">
        <f>IF('SAÍDAS-BASE'!G290="","",'SAÍDAS-BASE'!G290)</f>
        <v/>
      </c>
      <c r="I292" t="str">
        <f>IF('SAÍDAS-BASE'!H290="","",'SAÍDAS-BASE'!H290)</f>
        <v/>
      </c>
      <c r="J292" t="str">
        <f>IF('SAÍDAS-BASE'!I290="","",'SAÍDAS-BASE'!I290)</f>
        <v/>
      </c>
      <c r="K292" s="5" t="str">
        <f>IF('SAÍDAS-BASE'!J290="","",'SAÍDAS-BASE'!J290)</f>
        <v/>
      </c>
      <c r="L292" t="str">
        <f>IF(TABELA_SAIDAS[[#This Row],[UF]]="","",IFERROR(IF(VLOOKUP(TABELA_SAIDAS[[#This Row],[VALOR]],TABELA_ENTRADAS[VALOR],1,FALSE),"DEVOLUÇÃO"),"SEM ENTRADAS"))</f>
        <v/>
      </c>
    </row>
    <row r="293" spans="2:12" x14ac:dyDescent="0.3">
      <c r="B293" t="str">
        <f>IF('SAÍDAS-BASE'!A291="","",'SAÍDAS-BASE'!A291)</f>
        <v/>
      </c>
      <c r="C293" t="str">
        <f>IF('SAÍDAS-BASE'!B291="","",'SAÍDAS-BASE'!B291)</f>
        <v/>
      </c>
      <c r="D293" t="str">
        <f>IF('SAÍDAS-BASE'!C291="","",'SAÍDAS-BASE'!C291)</f>
        <v/>
      </c>
      <c r="E293" s="7" t="str">
        <f>IF('SAÍDAS-BASE'!D291="","",'SAÍDAS-BASE'!D291)</f>
        <v/>
      </c>
      <c r="F293" s="6" t="str">
        <f>IF('SAÍDAS-BASE'!E291="","",'SAÍDAS-BASE'!E291)</f>
        <v/>
      </c>
      <c r="G293" t="str">
        <f>IF('SAÍDAS-BASE'!F291="","",'SAÍDAS-BASE'!F291)</f>
        <v/>
      </c>
      <c r="H293" t="str">
        <f>IF('SAÍDAS-BASE'!G291="","",'SAÍDAS-BASE'!G291)</f>
        <v/>
      </c>
      <c r="I293" t="str">
        <f>IF('SAÍDAS-BASE'!H291="","",'SAÍDAS-BASE'!H291)</f>
        <v/>
      </c>
      <c r="J293" t="str">
        <f>IF('SAÍDAS-BASE'!I291="","",'SAÍDAS-BASE'!I291)</f>
        <v/>
      </c>
      <c r="K293" s="5" t="str">
        <f>IF('SAÍDAS-BASE'!J291="","",'SAÍDAS-BASE'!J291)</f>
        <v/>
      </c>
      <c r="L293" t="str">
        <f>IF(TABELA_SAIDAS[[#This Row],[UF]]="","",IFERROR(IF(VLOOKUP(TABELA_SAIDAS[[#This Row],[VALOR]],TABELA_ENTRADAS[VALOR],1,FALSE),"DEVOLUÇÃO"),"SEM ENTRADAS"))</f>
        <v/>
      </c>
    </row>
    <row r="294" spans="2:12" x14ac:dyDescent="0.3">
      <c r="B294" t="str">
        <f>IF('SAÍDAS-BASE'!A292="","",'SAÍDAS-BASE'!A292)</f>
        <v/>
      </c>
      <c r="C294" t="str">
        <f>IF('SAÍDAS-BASE'!B292="","",'SAÍDAS-BASE'!B292)</f>
        <v/>
      </c>
      <c r="D294" t="str">
        <f>IF('SAÍDAS-BASE'!C292="","",'SAÍDAS-BASE'!C292)</f>
        <v/>
      </c>
      <c r="E294" s="7" t="str">
        <f>IF('SAÍDAS-BASE'!D292="","",'SAÍDAS-BASE'!D292)</f>
        <v/>
      </c>
      <c r="F294" s="6" t="str">
        <f>IF('SAÍDAS-BASE'!E292="","",'SAÍDAS-BASE'!E292)</f>
        <v/>
      </c>
      <c r="G294" t="str">
        <f>IF('SAÍDAS-BASE'!F292="","",'SAÍDAS-BASE'!F292)</f>
        <v/>
      </c>
      <c r="H294" t="str">
        <f>IF('SAÍDAS-BASE'!G292="","",'SAÍDAS-BASE'!G292)</f>
        <v/>
      </c>
      <c r="I294" t="str">
        <f>IF('SAÍDAS-BASE'!H292="","",'SAÍDAS-BASE'!H292)</f>
        <v/>
      </c>
      <c r="J294" t="str">
        <f>IF('SAÍDAS-BASE'!I292="","",'SAÍDAS-BASE'!I292)</f>
        <v/>
      </c>
      <c r="K294" s="5" t="str">
        <f>IF('SAÍDAS-BASE'!J292="","",'SAÍDAS-BASE'!J292)</f>
        <v/>
      </c>
      <c r="L294" t="str">
        <f>IF(TABELA_SAIDAS[[#This Row],[UF]]="","",IFERROR(IF(VLOOKUP(TABELA_SAIDAS[[#This Row],[VALOR]],TABELA_ENTRADAS[VALOR],1,FALSE),"DEVOLUÇÃO"),"SEM ENTRADAS"))</f>
        <v/>
      </c>
    </row>
    <row r="295" spans="2:12" x14ac:dyDescent="0.3">
      <c r="B295" t="str">
        <f>IF('SAÍDAS-BASE'!A293="","",'SAÍDAS-BASE'!A293)</f>
        <v/>
      </c>
      <c r="C295" t="str">
        <f>IF('SAÍDAS-BASE'!B293="","",'SAÍDAS-BASE'!B293)</f>
        <v/>
      </c>
      <c r="D295" t="str">
        <f>IF('SAÍDAS-BASE'!C293="","",'SAÍDAS-BASE'!C293)</f>
        <v/>
      </c>
      <c r="E295" s="7" t="str">
        <f>IF('SAÍDAS-BASE'!D293="","",'SAÍDAS-BASE'!D293)</f>
        <v/>
      </c>
      <c r="F295" s="6" t="str">
        <f>IF('SAÍDAS-BASE'!E293="","",'SAÍDAS-BASE'!E293)</f>
        <v/>
      </c>
      <c r="G295" t="str">
        <f>IF('SAÍDAS-BASE'!F293="","",'SAÍDAS-BASE'!F293)</f>
        <v/>
      </c>
      <c r="H295" t="str">
        <f>IF('SAÍDAS-BASE'!G293="","",'SAÍDAS-BASE'!G293)</f>
        <v/>
      </c>
      <c r="I295" t="str">
        <f>IF('SAÍDAS-BASE'!H293="","",'SAÍDAS-BASE'!H293)</f>
        <v/>
      </c>
      <c r="J295" t="str">
        <f>IF('SAÍDAS-BASE'!I293="","",'SAÍDAS-BASE'!I293)</f>
        <v/>
      </c>
      <c r="K295" s="5" t="str">
        <f>IF('SAÍDAS-BASE'!J293="","",'SAÍDAS-BASE'!J293)</f>
        <v/>
      </c>
      <c r="L295" t="str">
        <f>IF(TABELA_SAIDAS[[#This Row],[UF]]="","",IFERROR(IF(VLOOKUP(TABELA_SAIDAS[[#This Row],[VALOR]],TABELA_ENTRADAS[VALOR],1,FALSE),"DEVOLUÇÃO"),"SEM ENTRADAS"))</f>
        <v/>
      </c>
    </row>
    <row r="296" spans="2:12" x14ac:dyDescent="0.3">
      <c r="B296" t="str">
        <f>IF('SAÍDAS-BASE'!A294="","",'SAÍDAS-BASE'!A294)</f>
        <v/>
      </c>
      <c r="C296" t="str">
        <f>IF('SAÍDAS-BASE'!B294="","",'SAÍDAS-BASE'!B294)</f>
        <v/>
      </c>
      <c r="D296" t="str">
        <f>IF('SAÍDAS-BASE'!C294="","",'SAÍDAS-BASE'!C294)</f>
        <v/>
      </c>
      <c r="E296" s="7" t="str">
        <f>IF('SAÍDAS-BASE'!D294="","",'SAÍDAS-BASE'!D294)</f>
        <v/>
      </c>
      <c r="F296" s="6" t="str">
        <f>IF('SAÍDAS-BASE'!E294="","",'SAÍDAS-BASE'!E294)</f>
        <v/>
      </c>
      <c r="G296" t="str">
        <f>IF('SAÍDAS-BASE'!F294="","",'SAÍDAS-BASE'!F294)</f>
        <v/>
      </c>
      <c r="H296" t="str">
        <f>IF('SAÍDAS-BASE'!G294="","",'SAÍDAS-BASE'!G294)</f>
        <v/>
      </c>
      <c r="I296" t="str">
        <f>IF('SAÍDAS-BASE'!H294="","",'SAÍDAS-BASE'!H294)</f>
        <v/>
      </c>
      <c r="J296" t="str">
        <f>IF('SAÍDAS-BASE'!I294="","",'SAÍDAS-BASE'!I294)</f>
        <v/>
      </c>
      <c r="K296" s="5" t="str">
        <f>IF('SAÍDAS-BASE'!J294="","",'SAÍDAS-BASE'!J294)</f>
        <v/>
      </c>
      <c r="L296" t="str">
        <f>IF(TABELA_SAIDAS[[#This Row],[UF]]="","",IFERROR(IF(VLOOKUP(TABELA_SAIDAS[[#This Row],[VALOR]],TABELA_ENTRADAS[VALOR],1,FALSE),"DEVOLUÇÃO"),"SEM ENTRADAS"))</f>
        <v/>
      </c>
    </row>
    <row r="297" spans="2:12" x14ac:dyDescent="0.3">
      <c r="B297" t="str">
        <f>IF('SAÍDAS-BASE'!A295="","",'SAÍDAS-BASE'!A295)</f>
        <v/>
      </c>
      <c r="C297" t="str">
        <f>IF('SAÍDAS-BASE'!B295="","",'SAÍDAS-BASE'!B295)</f>
        <v/>
      </c>
      <c r="D297" t="str">
        <f>IF('SAÍDAS-BASE'!C295="","",'SAÍDAS-BASE'!C295)</f>
        <v/>
      </c>
      <c r="E297" s="7" t="str">
        <f>IF('SAÍDAS-BASE'!D295="","",'SAÍDAS-BASE'!D295)</f>
        <v/>
      </c>
      <c r="F297" s="6" t="str">
        <f>IF('SAÍDAS-BASE'!E295="","",'SAÍDAS-BASE'!E295)</f>
        <v/>
      </c>
      <c r="G297" t="str">
        <f>IF('SAÍDAS-BASE'!F295="","",'SAÍDAS-BASE'!F295)</f>
        <v/>
      </c>
      <c r="H297" t="str">
        <f>IF('SAÍDAS-BASE'!G295="","",'SAÍDAS-BASE'!G295)</f>
        <v/>
      </c>
      <c r="I297" t="str">
        <f>IF('SAÍDAS-BASE'!H295="","",'SAÍDAS-BASE'!H295)</f>
        <v/>
      </c>
      <c r="J297" t="str">
        <f>IF('SAÍDAS-BASE'!I295="","",'SAÍDAS-BASE'!I295)</f>
        <v/>
      </c>
      <c r="K297" s="5" t="str">
        <f>IF('SAÍDAS-BASE'!J295="","",'SAÍDAS-BASE'!J295)</f>
        <v/>
      </c>
      <c r="L297" t="str">
        <f>IF(TABELA_SAIDAS[[#This Row],[UF]]="","",IFERROR(IF(VLOOKUP(TABELA_SAIDAS[[#This Row],[VALOR]],TABELA_ENTRADAS[VALOR],1,FALSE),"DEVOLUÇÃO"),"SEM ENTRADAS"))</f>
        <v/>
      </c>
    </row>
    <row r="298" spans="2:12" x14ac:dyDescent="0.3">
      <c r="B298" t="str">
        <f>IF('SAÍDAS-BASE'!A296="","",'SAÍDAS-BASE'!A296)</f>
        <v/>
      </c>
      <c r="C298" t="str">
        <f>IF('SAÍDAS-BASE'!B296="","",'SAÍDAS-BASE'!B296)</f>
        <v/>
      </c>
      <c r="D298" t="str">
        <f>IF('SAÍDAS-BASE'!C296="","",'SAÍDAS-BASE'!C296)</f>
        <v/>
      </c>
      <c r="E298" s="7" t="str">
        <f>IF('SAÍDAS-BASE'!D296="","",'SAÍDAS-BASE'!D296)</f>
        <v/>
      </c>
      <c r="F298" s="6" t="str">
        <f>IF('SAÍDAS-BASE'!E296="","",'SAÍDAS-BASE'!E296)</f>
        <v/>
      </c>
      <c r="G298" t="str">
        <f>IF('SAÍDAS-BASE'!F296="","",'SAÍDAS-BASE'!F296)</f>
        <v/>
      </c>
      <c r="H298" t="str">
        <f>IF('SAÍDAS-BASE'!G296="","",'SAÍDAS-BASE'!G296)</f>
        <v/>
      </c>
      <c r="I298" t="str">
        <f>IF('SAÍDAS-BASE'!H296="","",'SAÍDAS-BASE'!H296)</f>
        <v/>
      </c>
      <c r="J298" t="str">
        <f>IF('SAÍDAS-BASE'!I296="","",'SAÍDAS-BASE'!I296)</f>
        <v/>
      </c>
      <c r="K298" s="5" t="str">
        <f>IF('SAÍDAS-BASE'!J296="","",'SAÍDAS-BASE'!J296)</f>
        <v/>
      </c>
      <c r="L298" t="str">
        <f>IF(TABELA_SAIDAS[[#This Row],[UF]]="","",IFERROR(IF(VLOOKUP(TABELA_SAIDAS[[#This Row],[VALOR]],TABELA_ENTRADAS[VALOR],1,FALSE),"DEVOLUÇÃO"),"SEM ENTRADAS"))</f>
        <v/>
      </c>
    </row>
    <row r="299" spans="2:12" x14ac:dyDescent="0.3">
      <c r="B299" t="str">
        <f>IF('SAÍDAS-BASE'!A297="","",'SAÍDAS-BASE'!A297)</f>
        <v/>
      </c>
      <c r="C299" t="str">
        <f>IF('SAÍDAS-BASE'!B297="","",'SAÍDAS-BASE'!B297)</f>
        <v/>
      </c>
      <c r="D299" t="str">
        <f>IF('SAÍDAS-BASE'!C297="","",'SAÍDAS-BASE'!C297)</f>
        <v/>
      </c>
      <c r="E299" s="7" t="str">
        <f>IF('SAÍDAS-BASE'!D297="","",'SAÍDAS-BASE'!D297)</f>
        <v/>
      </c>
      <c r="F299" s="6" t="str">
        <f>IF('SAÍDAS-BASE'!E297="","",'SAÍDAS-BASE'!E297)</f>
        <v/>
      </c>
      <c r="G299" t="str">
        <f>IF('SAÍDAS-BASE'!F297="","",'SAÍDAS-BASE'!F297)</f>
        <v/>
      </c>
      <c r="H299" t="str">
        <f>IF('SAÍDAS-BASE'!G297="","",'SAÍDAS-BASE'!G297)</f>
        <v/>
      </c>
      <c r="I299" t="str">
        <f>IF('SAÍDAS-BASE'!H297="","",'SAÍDAS-BASE'!H297)</f>
        <v/>
      </c>
      <c r="J299" t="str">
        <f>IF('SAÍDAS-BASE'!I297="","",'SAÍDAS-BASE'!I297)</f>
        <v/>
      </c>
      <c r="K299" s="5" t="str">
        <f>IF('SAÍDAS-BASE'!J297="","",'SAÍDAS-BASE'!J297)</f>
        <v/>
      </c>
      <c r="L299" t="str">
        <f>IF(TABELA_SAIDAS[[#This Row],[UF]]="","",IFERROR(IF(VLOOKUP(TABELA_SAIDAS[[#This Row],[VALOR]],TABELA_ENTRADAS[VALOR],1,FALSE),"DEVOLUÇÃO"),"SEM ENTRADAS"))</f>
        <v/>
      </c>
    </row>
    <row r="300" spans="2:12" x14ac:dyDescent="0.3">
      <c r="B300" t="str">
        <f>IF('SAÍDAS-BASE'!A298="","",'SAÍDAS-BASE'!A298)</f>
        <v/>
      </c>
      <c r="C300" t="str">
        <f>IF('SAÍDAS-BASE'!B298="","",'SAÍDAS-BASE'!B298)</f>
        <v/>
      </c>
      <c r="D300" t="str">
        <f>IF('SAÍDAS-BASE'!C298="","",'SAÍDAS-BASE'!C298)</f>
        <v/>
      </c>
      <c r="E300" s="7" t="str">
        <f>IF('SAÍDAS-BASE'!D298="","",'SAÍDAS-BASE'!D298)</f>
        <v/>
      </c>
      <c r="F300" s="6" t="str">
        <f>IF('SAÍDAS-BASE'!E298="","",'SAÍDAS-BASE'!E298)</f>
        <v/>
      </c>
      <c r="G300" t="str">
        <f>IF('SAÍDAS-BASE'!F298="","",'SAÍDAS-BASE'!F298)</f>
        <v/>
      </c>
      <c r="H300" t="str">
        <f>IF('SAÍDAS-BASE'!G298="","",'SAÍDAS-BASE'!G298)</f>
        <v/>
      </c>
      <c r="I300" t="str">
        <f>IF('SAÍDAS-BASE'!H298="","",'SAÍDAS-BASE'!H298)</f>
        <v/>
      </c>
      <c r="J300" t="str">
        <f>IF('SAÍDAS-BASE'!I298="","",'SAÍDAS-BASE'!I298)</f>
        <v/>
      </c>
      <c r="K300" s="5" t="str">
        <f>IF('SAÍDAS-BASE'!J298="","",'SAÍDAS-BASE'!J298)</f>
        <v/>
      </c>
      <c r="L300" t="str">
        <f>IF(TABELA_SAIDAS[[#This Row],[UF]]="","",IFERROR(IF(VLOOKUP(TABELA_SAIDAS[[#This Row],[VALOR]],TABELA_ENTRADAS[VALOR],1,FALSE),"DEVOLUÇÃO"),"SEM ENTRADAS"))</f>
        <v/>
      </c>
    </row>
    <row r="301" spans="2:12" x14ac:dyDescent="0.3">
      <c r="B301" t="str">
        <f>IF('SAÍDAS-BASE'!A299="","",'SAÍDAS-BASE'!A299)</f>
        <v/>
      </c>
      <c r="C301" t="str">
        <f>IF('SAÍDAS-BASE'!B299="","",'SAÍDAS-BASE'!B299)</f>
        <v/>
      </c>
      <c r="D301" t="str">
        <f>IF('SAÍDAS-BASE'!C299="","",'SAÍDAS-BASE'!C299)</f>
        <v/>
      </c>
      <c r="E301" s="7" t="str">
        <f>IF('SAÍDAS-BASE'!D299="","",'SAÍDAS-BASE'!D299)</f>
        <v/>
      </c>
      <c r="F301" s="6" t="str">
        <f>IF('SAÍDAS-BASE'!E299="","",'SAÍDAS-BASE'!E299)</f>
        <v/>
      </c>
      <c r="G301" t="str">
        <f>IF('SAÍDAS-BASE'!F299="","",'SAÍDAS-BASE'!F299)</f>
        <v/>
      </c>
      <c r="H301" t="str">
        <f>IF('SAÍDAS-BASE'!G299="","",'SAÍDAS-BASE'!G299)</f>
        <v/>
      </c>
      <c r="I301" t="str">
        <f>IF('SAÍDAS-BASE'!H299="","",'SAÍDAS-BASE'!H299)</f>
        <v/>
      </c>
      <c r="J301" t="str">
        <f>IF('SAÍDAS-BASE'!I299="","",'SAÍDAS-BASE'!I299)</f>
        <v/>
      </c>
      <c r="K301" s="5" t="str">
        <f>IF('SAÍDAS-BASE'!J299="","",'SAÍDAS-BASE'!J299)</f>
        <v/>
      </c>
      <c r="L301" t="str">
        <f>IF(TABELA_SAIDAS[[#This Row],[UF]]="","",IFERROR(IF(VLOOKUP(TABELA_SAIDAS[[#This Row],[VALOR]],TABELA_ENTRADAS[VALOR],1,FALSE),"DEVOLUÇÃO"),"SEM ENTRADAS"))</f>
        <v/>
      </c>
    </row>
    <row r="302" spans="2:12" x14ac:dyDescent="0.3">
      <c r="B302" t="str">
        <f>IF('SAÍDAS-BASE'!A300="","",'SAÍDAS-BASE'!A300)</f>
        <v/>
      </c>
      <c r="C302" t="str">
        <f>IF('SAÍDAS-BASE'!B300="","",'SAÍDAS-BASE'!B300)</f>
        <v/>
      </c>
      <c r="D302" t="str">
        <f>IF('SAÍDAS-BASE'!C300="","",'SAÍDAS-BASE'!C300)</f>
        <v/>
      </c>
      <c r="E302" s="7" t="str">
        <f>IF('SAÍDAS-BASE'!D300="","",'SAÍDAS-BASE'!D300)</f>
        <v/>
      </c>
      <c r="F302" s="6" t="str">
        <f>IF('SAÍDAS-BASE'!E300="","",'SAÍDAS-BASE'!E300)</f>
        <v/>
      </c>
      <c r="G302" t="str">
        <f>IF('SAÍDAS-BASE'!F300="","",'SAÍDAS-BASE'!F300)</f>
        <v/>
      </c>
      <c r="H302" t="str">
        <f>IF('SAÍDAS-BASE'!G300="","",'SAÍDAS-BASE'!G300)</f>
        <v/>
      </c>
      <c r="I302" t="str">
        <f>IF('SAÍDAS-BASE'!H300="","",'SAÍDAS-BASE'!H300)</f>
        <v/>
      </c>
      <c r="J302" t="str">
        <f>IF('SAÍDAS-BASE'!I300="","",'SAÍDAS-BASE'!I300)</f>
        <v/>
      </c>
      <c r="K302" s="5" t="str">
        <f>IF('SAÍDAS-BASE'!J300="","",'SAÍDAS-BASE'!J300)</f>
        <v/>
      </c>
      <c r="L302" t="str">
        <f>IF(TABELA_SAIDAS[[#This Row],[UF]]="","",IFERROR(IF(VLOOKUP(TABELA_SAIDAS[[#This Row],[VALOR]],TABELA_ENTRADAS[VALOR],1,FALSE),"DEVOLUÇÃO"),"SEM ENTRADAS"))</f>
        <v/>
      </c>
    </row>
    <row r="303" spans="2:12" x14ac:dyDescent="0.3">
      <c r="B303" t="str">
        <f>IF('SAÍDAS-BASE'!A301="","",'SAÍDAS-BASE'!A301)</f>
        <v/>
      </c>
      <c r="C303" t="str">
        <f>IF('SAÍDAS-BASE'!B301="","",'SAÍDAS-BASE'!B301)</f>
        <v/>
      </c>
      <c r="D303" t="str">
        <f>IF('SAÍDAS-BASE'!C301="","",'SAÍDAS-BASE'!C301)</f>
        <v/>
      </c>
      <c r="E303" s="7" t="str">
        <f>IF('SAÍDAS-BASE'!D301="","",'SAÍDAS-BASE'!D301)</f>
        <v/>
      </c>
      <c r="F303" s="6" t="str">
        <f>IF('SAÍDAS-BASE'!E301="","",'SAÍDAS-BASE'!E301)</f>
        <v/>
      </c>
      <c r="G303" t="str">
        <f>IF('SAÍDAS-BASE'!F301="","",'SAÍDAS-BASE'!F301)</f>
        <v/>
      </c>
      <c r="H303" t="str">
        <f>IF('SAÍDAS-BASE'!G301="","",'SAÍDAS-BASE'!G301)</f>
        <v/>
      </c>
      <c r="I303" t="str">
        <f>IF('SAÍDAS-BASE'!H301="","",'SAÍDAS-BASE'!H301)</f>
        <v/>
      </c>
      <c r="J303" t="str">
        <f>IF('SAÍDAS-BASE'!I301="","",'SAÍDAS-BASE'!I301)</f>
        <v/>
      </c>
      <c r="K303" s="5" t="str">
        <f>IF('SAÍDAS-BASE'!J301="","",'SAÍDAS-BASE'!J301)</f>
        <v/>
      </c>
      <c r="L303" t="str">
        <f>IF(TABELA_SAIDAS[[#This Row],[UF]]="","",IFERROR(IF(VLOOKUP(TABELA_SAIDAS[[#This Row],[VALOR]],TABELA_ENTRADAS[VALOR],1,FALSE),"DEVOLUÇÃO"),"SEM ENTRADAS"))</f>
        <v/>
      </c>
    </row>
    <row r="304" spans="2:12" x14ac:dyDescent="0.3">
      <c r="B304" t="str">
        <f>IF('SAÍDAS-BASE'!A302="","",'SAÍDAS-BASE'!A302)</f>
        <v/>
      </c>
      <c r="C304" t="str">
        <f>IF('SAÍDAS-BASE'!B302="","",'SAÍDAS-BASE'!B302)</f>
        <v/>
      </c>
      <c r="D304" t="str">
        <f>IF('SAÍDAS-BASE'!C302="","",'SAÍDAS-BASE'!C302)</f>
        <v/>
      </c>
      <c r="E304" s="7" t="str">
        <f>IF('SAÍDAS-BASE'!D302="","",'SAÍDAS-BASE'!D302)</f>
        <v/>
      </c>
      <c r="F304" s="6" t="str">
        <f>IF('SAÍDAS-BASE'!E302="","",'SAÍDAS-BASE'!E302)</f>
        <v/>
      </c>
      <c r="G304" t="str">
        <f>IF('SAÍDAS-BASE'!F302="","",'SAÍDAS-BASE'!F302)</f>
        <v/>
      </c>
      <c r="H304" t="str">
        <f>IF('SAÍDAS-BASE'!G302="","",'SAÍDAS-BASE'!G302)</f>
        <v/>
      </c>
      <c r="I304" t="str">
        <f>IF('SAÍDAS-BASE'!H302="","",'SAÍDAS-BASE'!H302)</f>
        <v/>
      </c>
      <c r="J304" t="str">
        <f>IF('SAÍDAS-BASE'!I302="","",'SAÍDAS-BASE'!I302)</f>
        <v/>
      </c>
      <c r="K304" s="5" t="str">
        <f>IF('SAÍDAS-BASE'!J302="","",'SAÍDAS-BASE'!J302)</f>
        <v/>
      </c>
      <c r="L304" t="str">
        <f>IF(TABELA_SAIDAS[[#This Row],[UF]]="","",IFERROR(IF(VLOOKUP(TABELA_SAIDAS[[#This Row],[VALOR]],TABELA_ENTRADAS[VALOR],1,FALSE),"DEVOLUÇÃO"),"SEM ENTRADAS"))</f>
        <v/>
      </c>
    </row>
    <row r="305" spans="2:12" x14ac:dyDescent="0.3">
      <c r="B305" t="str">
        <f>IF('SAÍDAS-BASE'!A303="","",'SAÍDAS-BASE'!A303)</f>
        <v/>
      </c>
      <c r="C305" t="str">
        <f>IF('SAÍDAS-BASE'!B303="","",'SAÍDAS-BASE'!B303)</f>
        <v/>
      </c>
      <c r="D305" t="str">
        <f>IF('SAÍDAS-BASE'!C303="","",'SAÍDAS-BASE'!C303)</f>
        <v/>
      </c>
      <c r="E305" s="7" t="str">
        <f>IF('SAÍDAS-BASE'!D303="","",'SAÍDAS-BASE'!D303)</f>
        <v/>
      </c>
      <c r="F305" s="6" t="str">
        <f>IF('SAÍDAS-BASE'!E303="","",'SAÍDAS-BASE'!E303)</f>
        <v/>
      </c>
      <c r="G305" t="str">
        <f>IF('SAÍDAS-BASE'!F303="","",'SAÍDAS-BASE'!F303)</f>
        <v/>
      </c>
      <c r="H305" t="str">
        <f>IF('SAÍDAS-BASE'!G303="","",'SAÍDAS-BASE'!G303)</f>
        <v/>
      </c>
      <c r="I305" t="str">
        <f>IF('SAÍDAS-BASE'!H303="","",'SAÍDAS-BASE'!H303)</f>
        <v/>
      </c>
      <c r="J305" t="str">
        <f>IF('SAÍDAS-BASE'!I303="","",'SAÍDAS-BASE'!I303)</f>
        <v/>
      </c>
      <c r="K305" s="5" t="str">
        <f>IF('SAÍDAS-BASE'!J303="","",'SAÍDAS-BASE'!J303)</f>
        <v/>
      </c>
      <c r="L305" t="str">
        <f>IF(TABELA_SAIDAS[[#This Row],[UF]]="","",IFERROR(IF(VLOOKUP(TABELA_SAIDAS[[#This Row],[VALOR]],TABELA_ENTRADAS[VALOR],1,FALSE),"DEVOLUÇÃO"),"SEM ENTRADAS"))</f>
        <v/>
      </c>
    </row>
    <row r="306" spans="2:12" x14ac:dyDescent="0.3">
      <c r="B306" t="str">
        <f>IF('SAÍDAS-BASE'!A304="","",'SAÍDAS-BASE'!A304)</f>
        <v/>
      </c>
      <c r="C306" t="str">
        <f>IF('SAÍDAS-BASE'!B304="","",'SAÍDAS-BASE'!B304)</f>
        <v/>
      </c>
      <c r="D306" t="str">
        <f>IF('SAÍDAS-BASE'!C304="","",'SAÍDAS-BASE'!C304)</f>
        <v/>
      </c>
      <c r="E306" s="7" t="str">
        <f>IF('SAÍDAS-BASE'!D304="","",'SAÍDAS-BASE'!D304)</f>
        <v/>
      </c>
      <c r="F306" s="6" t="str">
        <f>IF('SAÍDAS-BASE'!E304="","",'SAÍDAS-BASE'!E304)</f>
        <v/>
      </c>
      <c r="G306" t="str">
        <f>IF('SAÍDAS-BASE'!F304="","",'SAÍDAS-BASE'!F304)</f>
        <v/>
      </c>
      <c r="H306" t="str">
        <f>IF('SAÍDAS-BASE'!G304="","",'SAÍDAS-BASE'!G304)</f>
        <v/>
      </c>
      <c r="I306" t="str">
        <f>IF('SAÍDAS-BASE'!H304="","",'SAÍDAS-BASE'!H304)</f>
        <v/>
      </c>
      <c r="J306" t="str">
        <f>IF('SAÍDAS-BASE'!I304="","",'SAÍDAS-BASE'!I304)</f>
        <v/>
      </c>
      <c r="K306" s="5" t="str">
        <f>IF('SAÍDAS-BASE'!J304="","",'SAÍDAS-BASE'!J304)</f>
        <v/>
      </c>
      <c r="L306" t="str">
        <f>IF(TABELA_SAIDAS[[#This Row],[UF]]="","",IFERROR(IF(VLOOKUP(TABELA_SAIDAS[[#This Row],[VALOR]],TABELA_ENTRADAS[VALOR],1,FALSE),"DEVOLUÇÃO"),"SEM ENTRADAS"))</f>
        <v/>
      </c>
    </row>
    <row r="307" spans="2:12" x14ac:dyDescent="0.3">
      <c r="B307" t="str">
        <f>IF('SAÍDAS-BASE'!A305="","",'SAÍDAS-BASE'!A305)</f>
        <v/>
      </c>
      <c r="C307" t="str">
        <f>IF('SAÍDAS-BASE'!B305="","",'SAÍDAS-BASE'!B305)</f>
        <v/>
      </c>
      <c r="D307" t="str">
        <f>IF('SAÍDAS-BASE'!C305="","",'SAÍDAS-BASE'!C305)</f>
        <v/>
      </c>
      <c r="E307" s="7" t="str">
        <f>IF('SAÍDAS-BASE'!D305="","",'SAÍDAS-BASE'!D305)</f>
        <v/>
      </c>
      <c r="F307" s="6" t="str">
        <f>IF('SAÍDAS-BASE'!E305="","",'SAÍDAS-BASE'!E305)</f>
        <v/>
      </c>
      <c r="G307" t="str">
        <f>IF('SAÍDAS-BASE'!F305="","",'SAÍDAS-BASE'!F305)</f>
        <v/>
      </c>
      <c r="H307" t="str">
        <f>IF('SAÍDAS-BASE'!G305="","",'SAÍDAS-BASE'!G305)</f>
        <v/>
      </c>
      <c r="I307" t="str">
        <f>IF('SAÍDAS-BASE'!H305="","",'SAÍDAS-BASE'!H305)</f>
        <v/>
      </c>
      <c r="J307" t="str">
        <f>IF('SAÍDAS-BASE'!I305="","",'SAÍDAS-BASE'!I305)</f>
        <v/>
      </c>
      <c r="K307" s="5" t="str">
        <f>IF('SAÍDAS-BASE'!J305="","",'SAÍDAS-BASE'!J305)</f>
        <v/>
      </c>
      <c r="L307" t="str">
        <f>IF(TABELA_SAIDAS[[#This Row],[UF]]="","",IFERROR(IF(VLOOKUP(TABELA_SAIDAS[[#This Row],[VALOR]],TABELA_ENTRADAS[VALOR],1,FALSE),"DEVOLUÇÃO"),"SEM ENTRADAS"))</f>
        <v/>
      </c>
    </row>
    <row r="308" spans="2:12" x14ac:dyDescent="0.3">
      <c r="B308" t="str">
        <f>IF('SAÍDAS-BASE'!A306="","",'SAÍDAS-BASE'!A306)</f>
        <v/>
      </c>
      <c r="C308" t="str">
        <f>IF('SAÍDAS-BASE'!B306="","",'SAÍDAS-BASE'!B306)</f>
        <v/>
      </c>
      <c r="D308" t="str">
        <f>IF('SAÍDAS-BASE'!C306="","",'SAÍDAS-BASE'!C306)</f>
        <v/>
      </c>
      <c r="E308" s="7" t="str">
        <f>IF('SAÍDAS-BASE'!D306="","",'SAÍDAS-BASE'!D306)</f>
        <v/>
      </c>
      <c r="F308" s="6" t="str">
        <f>IF('SAÍDAS-BASE'!E306="","",'SAÍDAS-BASE'!E306)</f>
        <v/>
      </c>
      <c r="G308" t="str">
        <f>IF('SAÍDAS-BASE'!F306="","",'SAÍDAS-BASE'!F306)</f>
        <v/>
      </c>
      <c r="H308" t="str">
        <f>IF('SAÍDAS-BASE'!G306="","",'SAÍDAS-BASE'!G306)</f>
        <v/>
      </c>
      <c r="I308" t="str">
        <f>IF('SAÍDAS-BASE'!H306="","",'SAÍDAS-BASE'!H306)</f>
        <v/>
      </c>
      <c r="J308" t="str">
        <f>IF('SAÍDAS-BASE'!I306="","",'SAÍDAS-BASE'!I306)</f>
        <v/>
      </c>
      <c r="K308" s="5" t="str">
        <f>IF('SAÍDAS-BASE'!J306="","",'SAÍDAS-BASE'!J306)</f>
        <v/>
      </c>
      <c r="L308" t="str">
        <f>IF(TABELA_SAIDAS[[#This Row],[UF]]="","",IFERROR(IF(VLOOKUP(TABELA_SAIDAS[[#This Row],[VALOR]],TABELA_ENTRADAS[VALOR],1,FALSE),"DEVOLUÇÃO"),"SEM ENTRADAS"))</f>
        <v/>
      </c>
    </row>
    <row r="309" spans="2:12" x14ac:dyDescent="0.3">
      <c r="B309" t="str">
        <f>IF('SAÍDAS-BASE'!A307="","",'SAÍDAS-BASE'!A307)</f>
        <v/>
      </c>
      <c r="C309" t="str">
        <f>IF('SAÍDAS-BASE'!B307="","",'SAÍDAS-BASE'!B307)</f>
        <v/>
      </c>
      <c r="D309" t="str">
        <f>IF('SAÍDAS-BASE'!C307="","",'SAÍDAS-BASE'!C307)</f>
        <v/>
      </c>
      <c r="E309" s="7" t="str">
        <f>IF('SAÍDAS-BASE'!D307="","",'SAÍDAS-BASE'!D307)</f>
        <v/>
      </c>
      <c r="F309" s="6" t="str">
        <f>IF('SAÍDAS-BASE'!E307="","",'SAÍDAS-BASE'!E307)</f>
        <v/>
      </c>
      <c r="G309" t="str">
        <f>IF('SAÍDAS-BASE'!F307="","",'SAÍDAS-BASE'!F307)</f>
        <v/>
      </c>
      <c r="H309" t="str">
        <f>IF('SAÍDAS-BASE'!G307="","",'SAÍDAS-BASE'!G307)</f>
        <v/>
      </c>
      <c r="I309" t="str">
        <f>IF('SAÍDAS-BASE'!H307="","",'SAÍDAS-BASE'!H307)</f>
        <v/>
      </c>
      <c r="J309" t="str">
        <f>IF('SAÍDAS-BASE'!I307="","",'SAÍDAS-BASE'!I307)</f>
        <v/>
      </c>
      <c r="K309" s="5" t="str">
        <f>IF('SAÍDAS-BASE'!J307="","",'SAÍDAS-BASE'!J307)</f>
        <v/>
      </c>
      <c r="L309" t="str">
        <f>IF(TABELA_SAIDAS[[#This Row],[UF]]="","",IFERROR(IF(VLOOKUP(TABELA_SAIDAS[[#This Row],[VALOR]],TABELA_ENTRADAS[VALOR],1,FALSE),"DEVOLUÇÃO"),"SEM ENTRADAS"))</f>
        <v/>
      </c>
    </row>
    <row r="310" spans="2:12" x14ac:dyDescent="0.3">
      <c r="B310" t="str">
        <f>IF('SAÍDAS-BASE'!A308="","",'SAÍDAS-BASE'!A308)</f>
        <v/>
      </c>
      <c r="C310" t="str">
        <f>IF('SAÍDAS-BASE'!B308="","",'SAÍDAS-BASE'!B308)</f>
        <v/>
      </c>
      <c r="D310" t="str">
        <f>IF('SAÍDAS-BASE'!C308="","",'SAÍDAS-BASE'!C308)</f>
        <v/>
      </c>
      <c r="E310" s="7" t="str">
        <f>IF('SAÍDAS-BASE'!D308="","",'SAÍDAS-BASE'!D308)</f>
        <v/>
      </c>
      <c r="F310" s="6" t="str">
        <f>IF('SAÍDAS-BASE'!E308="","",'SAÍDAS-BASE'!E308)</f>
        <v/>
      </c>
      <c r="G310" t="str">
        <f>IF('SAÍDAS-BASE'!F308="","",'SAÍDAS-BASE'!F308)</f>
        <v/>
      </c>
      <c r="H310" t="str">
        <f>IF('SAÍDAS-BASE'!G308="","",'SAÍDAS-BASE'!G308)</f>
        <v/>
      </c>
      <c r="I310" t="str">
        <f>IF('SAÍDAS-BASE'!H308="","",'SAÍDAS-BASE'!H308)</f>
        <v/>
      </c>
      <c r="J310" t="str">
        <f>IF('SAÍDAS-BASE'!I308="","",'SAÍDAS-BASE'!I308)</f>
        <v/>
      </c>
      <c r="K310" s="5" t="str">
        <f>IF('SAÍDAS-BASE'!J308="","",'SAÍDAS-BASE'!J308)</f>
        <v/>
      </c>
      <c r="L310" t="str">
        <f>IF(TABELA_SAIDAS[[#This Row],[UF]]="","",IFERROR(IF(VLOOKUP(TABELA_SAIDAS[[#This Row],[VALOR]],TABELA_ENTRADAS[VALOR],1,FALSE),"DEVOLUÇÃO"),"SEM ENTRADAS"))</f>
        <v/>
      </c>
    </row>
    <row r="311" spans="2:12" x14ac:dyDescent="0.3">
      <c r="B311" t="str">
        <f>IF('SAÍDAS-BASE'!A309="","",'SAÍDAS-BASE'!A309)</f>
        <v/>
      </c>
      <c r="C311" t="str">
        <f>IF('SAÍDAS-BASE'!B309="","",'SAÍDAS-BASE'!B309)</f>
        <v/>
      </c>
      <c r="D311" t="str">
        <f>IF('SAÍDAS-BASE'!C309="","",'SAÍDAS-BASE'!C309)</f>
        <v/>
      </c>
      <c r="E311" s="7" t="str">
        <f>IF('SAÍDAS-BASE'!D309="","",'SAÍDAS-BASE'!D309)</f>
        <v/>
      </c>
      <c r="F311" s="6" t="str">
        <f>IF('SAÍDAS-BASE'!E309="","",'SAÍDAS-BASE'!E309)</f>
        <v/>
      </c>
      <c r="G311" t="str">
        <f>IF('SAÍDAS-BASE'!F309="","",'SAÍDAS-BASE'!F309)</f>
        <v/>
      </c>
      <c r="H311" t="str">
        <f>IF('SAÍDAS-BASE'!G309="","",'SAÍDAS-BASE'!G309)</f>
        <v/>
      </c>
      <c r="I311" t="str">
        <f>IF('SAÍDAS-BASE'!H309="","",'SAÍDAS-BASE'!H309)</f>
        <v/>
      </c>
      <c r="J311" t="str">
        <f>IF('SAÍDAS-BASE'!I309="","",'SAÍDAS-BASE'!I309)</f>
        <v/>
      </c>
      <c r="K311" s="5" t="str">
        <f>IF('SAÍDAS-BASE'!J309="","",'SAÍDAS-BASE'!J309)</f>
        <v/>
      </c>
      <c r="L311" t="str">
        <f>IF(TABELA_SAIDAS[[#This Row],[UF]]="","",IFERROR(IF(VLOOKUP(TABELA_SAIDAS[[#This Row],[VALOR]],TABELA_ENTRADAS[VALOR],1,FALSE),"DEVOLUÇÃO"),"SEM ENTRADAS"))</f>
        <v/>
      </c>
    </row>
    <row r="312" spans="2:12" x14ac:dyDescent="0.3">
      <c r="B312" t="str">
        <f>IF('SAÍDAS-BASE'!A310="","",'SAÍDAS-BASE'!A310)</f>
        <v/>
      </c>
      <c r="C312" t="str">
        <f>IF('SAÍDAS-BASE'!B310="","",'SAÍDAS-BASE'!B310)</f>
        <v/>
      </c>
      <c r="D312" t="str">
        <f>IF('SAÍDAS-BASE'!C310="","",'SAÍDAS-BASE'!C310)</f>
        <v/>
      </c>
      <c r="E312" s="7" t="str">
        <f>IF('SAÍDAS-BASE'!D310="","",'SAÍDAS-BASE'!D310)</f>
        <v/>
      </c>
      <c r="F312" s="6" t="str">
        <f>IF('SAÍDAS-BASE'!E310="","",'SAÍDAS-BASE'!E310)</f>
        <v/>
      </c>
      <c r="G312" t="str">
        <f>IF('SAÍDAS-BASE'!F310="","",'SAÍDAS-BASE'!F310)</f>
        <v/>
      </c>
      <c r="H312" t="str">
        <f>IF('SAÍDAS-BASE'!G310="","",'SAÍDAS-BASE'!G310)</f>
        <v/>
      </c>
      <c r="I312" t="str">
        <f>IF('SAÍDAS-BASE'!H310="","",'SAÍDAS-BASE'!H310)</f>
        <v/>
      </c>
      <c r="J312" t="str">
        <f>IF('SAÍDAS-BASE'!I310="","",'SAÍDAS-BASE'!I310)</f>
        <v/>
      </c>
      <c r="K312" s="5" t="str">
        <f>IF('SAÍDAS-BASE'!J310="","",'SAÍDAS-BASE'!J310)</f>
        <v/>
      </c>
      <c r="L312" t="str">
        <f>IF(TABELA_SAIDAS[[#This Row],[UF]]="","",IFERROR(IF(VLOOKUP(TABELA_SAIDAS[[#This Row],[VALOR]],TABELA_ENTRADAS[VALOR],1,FALSE),"DEVOLUÇÃO"),"SEM ENTRADAS"))</f>
        <v/>
      </c>
    </row>
    <row r="313" spans="2:12" x14ac:dyDescent="0.3">
      <c r="B313" t="str">
        <f>IF('SAÍDAS-BASE'!A311="","",'SAÍDAS-BASE'!A311)</f>
        <v/>
      </c>
      <c r="C313" t="str">
        <f>IF('SAÍDAS-BASE'!B311="","",'SAÍDAS-BASE'!B311)</f>
        <v/>
      </c>
      <c r="D313" t="str">
        <f>IF('SAÍDAS-BASE'!C311="","",'SAÍDAS-BASE'!C311)</f>
        <v/>
      </c>
      <c r="E313" s="7" t="str">
        <f>IF('SAÍDAS-BASE'!D311="","",'SAÍDAS-BASE'!D311)</f>
        <v/>
      </c>
      <c r="F313" s="6" t="str">
        <f>IF('SAÍDAS-BASE'!E311="","",'SAÍDAS-BASE'!E311)</f>
        <v/>
      </c>
      <c r="G313" t="str">
        <f>IF('SAÍDAS-BASE'!F311="","",'SAÍDAS-BASE'!F311)</f>
        <v/>
      </c>
      <c r="H313" t="str">
        <f>IF('SAÍDAS-BASE'!G311="","",'SAÍDAS-BASE'!G311)</f>
        <v/>
      </c>
      <c r="I313" t="str">
        <f>IF('SAÍDAS-BASE'!H311="","",'SAÍDAS-BASE'!H311)</f>
        <v/>
      </c>
      <c r="J313" t="str">
        <f>IF('SAÍDAS-BASE'!I311="","",'SAÍDAS-BASE'!I311)</f>
        <v/>
      </c>
      <c r="K313" s="5" t="str">
        <f>IF('SAÍDAS-BASE'!J311="","",'SAÍDAS-BASE'!J311)</f>
        <v/>
      </c>
      <c r="L313" t="str">
        <f>IF(TABELA_SAIDAS[[#This Row],[UF]]="","",IFERROR(IF(VLOOKUP(TABELA_SAIDAS[[#This Row],[VALOR]],TABELA_ENTRADAS[VALOR],1,FALSE),"DEVOLUÇÃO"),"SEM ENTRADAS"))</f>
        <v/>
      </c>
    </row>
    <row r="314" spans="2:12" x14ac:dyDescent="0.3">
      <c r="B314" t="str">
        <f>IF('SAÍDAS-BASE'!A312="","",'SAÍDAS-BASE'!A312)</f>
        <v/>
      </c>
      <c r="C314" t="str">
        <f>IF('SAÍDAS-BASE'!B312="","",'SAÍDAS-BASE'!B312)</f>
        <v/>
      </c>
      <c r="D314" t="str">
        <f>IF('SAÍDAS-BASE'!C312="","",'SAÍDAS-BASE'!C312)</f>
        <v/>
      </c>
      <c r="E314" s="7" t="str">
        <f>IF('SAÍDAS-BASE'!D312="","",'SAÍDAS-BASE'!D312)</f>
        <v/>
      </c>
      <c r="F314" s="6" t="str">
        <f>IF('SAÍDAS-BASE'!E312="","",'SAÍDAS-BASE'!E312)</f>
        <v/>
      </c>
      <c r="G314" t="str">
        <f>IF('SAÍDAS-BASE'!F312="","",'SAÍDAS-BASE'!F312)</f>
        <v/>
      </c>
      <c r="H314" t="str">
        <f>IF('SAÍDAS-BASE'!G312="","",'SAÍDAS-BASE'!G312)</f>
        <v/>
      </c>
      <c r="I314" t="str">
        <f>IF('SAÍDAS-BASE'!H312="","",'SAÍDAS-BASE'!H312)</f>
        <v/>
      </c>
      <c r="J314" t="str">
        <f>IF('SAÍDAS-BASE'!I312="","",'SAÍDAS-BASE'!I312)</f>
        <v/>
      </c>
      <c r="K314" s="5" t="str">
        <f>IF('SAÍDAS-BASE'!J312="","",'SAÍDAS-BASE'!J312)</f>
        <v/>
      </c>
      <c r="L314" t="str">
        <f>IF(TABELA_SAIDAS[[#This Row],[UF]]="","",IFERROR(IF(VLOOKUP(TABELA_SAIDAS[[#This Row],[VALOR]],TABELA_ENTRADAS[VALOR],1,FALSE),"DEVOLUÇÃO"),"SEM ENTRADAS"))</f>
        <v/>
      </c>
    </row>
    <row r="315" spans="2:12" x14ac:dyDescent="0.3">
      <c r="B315" t="str">
        <f>IF('SAÍDAS-BASE'!A313="","",'SAÍDAS-BASE'!A313)</f>
        <v/>
      </c>
      <c r="C315" t="str">
        <f>IF('SAÍDAS-BASE'!B313="","",'SAÍDAS-BASE'!B313)</f>
        <v/>
      </c>
      <c r="D315" t="str">
        <f>IF('SAÍDAS-BASE'!C313="","",'SAÍDAS-BASE'!C313)</f>
        <v/>
      </c>
      <c r="E315" s="7" t="str">
        <f>IF('SAÍDAS-BASE'!D313="","",'SAÍDAS-BASE'!D313)</f>
        <v/>
      </c>
      <c r="F315" s="6" t="str">
        <f>IF('SAÍDAS-BASE'!E313="","",'SAÍDAS-BASE'!E313)</f>
        <v/>
      </c>
      <c r="G315" t="str">
        <f>IF('SAÍDAS-BASE'!F313="","",'SAÍDAS-BASE'!F313)</f>
        <v/>
      </c>
      <c r="H315" t="str">
        <f>IF('SAÍDAS-BASE'!G313="","",'SAÍDAS-BASE'!G313)</f>
        <v/>
      </c>
      <c r="I315" t="str">
        <f>IF('SAÍDAS-BASE'!H313="","",'SAÍDAS-BASE'!H313)</f>
        <v/>
      </c>
      <c r="J315" t="str">
        <f>IF('SAÍDAS-BASE'!I313="","",'SAÍDAS-BASE'!I313)</f>
        <v/>
      </c>
      <c r="K315" s="5" t="str">
        <f>IF('SAÍDAS-BASE'!J313="","",'SAÍDAS-BASE'!J313)</f>
        <v/>
      </c>
      <c r="L315" t="str">
        <f>IF(TABELA_SAIDAS[[#This Row],[UF]]="","",IFERROR(IF(VLOOKUP(TABELA_SAIDAS[[#This Row],[VALOR]],TABELA_ENTRADAS[VALOR],1,FALSE),"DEVOLUÇÃO"),"SEM ENTRADAS"))</f>
        <v/>
      </c>
    </row>
    <row r="316" spans="2:12" x14ac:dyDescent="0.3">
      <c r="B316" t="str">
        <f>IF('SAÍDAS-BASE'!A314="","",'SAÍDAS-BASE'!A314)</f>
        <v/>
      </c>
      <c r="C316" t="str">
        <f>IF('SAÍDAS-BASE'!B314="","",'SAÍDAS-BASE'!B314)</f>
        <v/>
      </c>
      <c r="D316" t="str">
        <f>IF('SAÍDAS-BASE'!C314="","",'SAÍDAS-BASE'!C314)</f>
        <v/>
      </c>
      <c r="E316" s="7" t="str">
        <f>IF('SAÍDAS-BASE'!D314="","",'SAÍDAS-BASE'!D314)</f>
        <v/>
      </c>
      <c r="F316" s="6" t="str">
        <f>IF('SAÍDAS-BASE'!E314="","",'SAÍDAS-BASE'!E314)</f>
        <v/>
      </c>
      <c r="G316" t="str">
        <f>IF('SAÍDAS-BASE'!F314="","",'SAÍDAS-BASE'!F314)</f>
        <v/>
      </c>
      <c r="H316" t="str">
        <f>IF('SAÍDAS-BASE'!G314="","",'SAÍDAS-BASE'!G314)</f>
        <v/>
      </c>
      <c r="I316" t="str">
        <f>IF('SAÍDAS-BASE'!H314="","",'SAÍDAS-BASE'!H314)</f>
        <v/>
      </c>
      <c r="J316" t="str">
        <f>IF('SAÍDAS-BASE'!I314="","",'SAÍDAS-BASE'!I314)</f>
        <v/>
      </c>
      <c r="K316" s="5" t="str">
        <f>IF('SAÍDAS-BASE'!J314="","",'SAÍDAS-BASE'!J314)</f>
        <v/>
      </c>
      <c r="L316" t="str">
        <f>IF(TABELA_SAIDAS[[#This Row],[UF]]="","",IFERROR(IF(VLOOKUP(TABELA_SAIDAS[[#This Row],[VALOR]],TABELA_ENTRADAS[VALOR],1,FALSE),"DEVOLUÇÃO"),"SEM ENTRADAS"))</f>
        <v/>
      </c>
    </row>
    <row r="317" spans="2:12" x14ac:dyDescent="0.3">
      <c r="B317" t="str">
        <f>IF('SAÍDAS-BASE'!A315="","",'SAÍDAS-BASE'!A315)</f>
        <v/>
      </c>
      <c r="C317" t="str">
        <f>IF('SAÍDAS-BASE'!B315="","",'SAÍDAS-BASE'!B315)</f>
        <v/>
      </c>
      <c r="D317" t="str">
        <f>IF('SAÍDAS-BASE'!C315="","",'SAÍDAS-BASE'!C315)</f>
        <v/>
      </c>
      <c r="E317" s="7" t="str">
        <f>IF('SAÍDAS-BASE'!D315="","",'SAÍDAS-BASE'!D315)</f>
        <v/>
      </c>
      <c r="F317" s="6" t="str">
        <f>IF('SAÍDAS-BASE'!E315="","",'SAÍDAS-BASE'!E315)</f>
        <v/>
      </c>
      <c r="G317" t="str">
        <f>IF('SAÍDAS-BASE'!F315="","",'SAÍDAS-BASE'!F315)</f>
        <v/>
      </c>
      <c r="H317" t="str">
        <f>IF('SAÍDAS-BASE'!G315="","",'SAÍDAS-BASE'!G315)</f>
        <v/>
      </c>
      <c r="I317" t="str">
        <f>IF('SAÍDAS-BASE'!H315="","",'SAÍDAS-BASE'!H315)</f>
        <v/>
      </c>
      <c r="J317" t="str">
        <f>IF('SAÍDAS-BASE'!I315="","",'SAÍDAS-BASE'!I315)</f>
        <v/>
      </c>
      <c r="K317" s="5" t="str">
        <f>IF('SAÍDAS-BASE'!J315="","",'SAÍDAS-BASE'!J315)</f>
        <v/>
      </c>
      <c r="L317" t="str">
        <f>IF(TABELA_SAIDAS[[#This Row],[UF]]="","",IFERROR(IF(VLOOKUP(TABELA_SAIDAS[[#This Row],[VALOR]],TABELA_ENTRADAS[VALOR],1,FALSE),"DEVOLUÇÃO"),"SEM ENTRADAS"))</f>
        <v/>
      </c>
    </row>
    <row r="318" spans="2:12" x14ac:dyDescent="0.3">
      <c r="B318" t="str">
        <f>IF('SAÍDAS-BASE'!A316="","",'SAÍDAS-BASE'!A316)</f>
        <v/>
      </c>
      <c r="C318" t="str">
        <f>IF('SAÍDAS-BASE'!B316="","",'SAÍDAS-BASE'!B316)</f>
        <v/>
      </c>
      <c r="D318" t="str">
        <f>IF('SAÍDAS-BASE'!C316="","",'SAÍDAS-BASE'!C316)</f>
        <v/>
      </c>
      <c r="E318" s="7" t="str">
        <f>IF('SAÍDAS-BASE'!D316="","",'SAÍDAS-BASE'!D316)</f>
        <v/>
      </c>
      <c r="F318" s="6" t="str">
        <f>IF('SAÍDAS-BASE'!E316="","",'SAÍDAS-BASE'!E316)</f>
        <v/>
      </c>
      <c r="G318" t="str">
        <f>IF('SAÍDAS-BASE'!F316="","",'SAÍDAS-BASE'!F316)</f>
        <v/>
      </c>
      <c r="H318" t="str">
        <f>IF('SAÍDAS-BASE'!G316="","",'SAÍDAS-BASE'!G316)</f>
        <v/>
      </c>
      <c r="I318" t="str">
        <f>IF('SAÍDAS-BASE'!H316="","",'SAÍDAS-BASE'!H316)</f>
        <v/>
      </c>
      <c r="J318" t="str">
        <f>IF('SAÍDAS-BASE'!I316="","",'SAÍDAS-BASE'!I316)</f>
        <v/>
      </c>
      <c r="K318" s="5" t="str">
        <f>IF('SAÍDAS-BASE'!J316="","",'SAÍDAS-BASE'!J316)</f>
        <v/>
      </c>
      <c r="L318" t="str">
        <f>IF(TABELA_SAIDAS[[#This Row],[UF]]="","",IFERROR(IF(VLOOKUP(TABELA_SAIDAS[[#This Row],[VALOR]],TABELA_ENTRADAS[VALOR],1,FALSE),"DEVOLUÇÃO"),"SEM ENTRADAS"))</f>
        <v/>
      </c>
    </row>
    <row r="319" spans="2:12" x14ac:dyDescent="0.3">
      <c r="B319" t="str">
        <f>IF('SAÍDAS-BASE'!A317="","",'SAÍDAS-BASE'!A317)</f>
        <v/>
      </c>
      <c r="C319" t="str">
        <f>IF('SAÍDAS-BASE'!B317="","",'SAÍDAS-BASE'!B317)</f>
        <v/>
      </c>
      <c r="D319" t="str">
        <f>IF('SAÍDAS-BASE'!C317="","",'SAÍDAS-BASE'!C317)</f>
        <v/>
      </c>
      <c r="E319" s="7" t="str">
        <f>IF('SAÍDAS-BASE'!D317="","",'SAÍDAS-BASE'!D317)</f>
        <v/>
      </c>
      <c r="F319" s="6" t="str">
        <f>IF('SAÍDAS-BASE'!E317="","",'SAÍDAS-BASE'!E317)</f>
        <v/>
      </c>
      <c r="G319" t="str">
        <f>IF('SAÍDAS-BASE'!F317="","",'SAÍDAS-BASE'!F317)</f>
        <v/>
      </c>
      <c r="H319" t="str">
        <f>IF('SAÍDAS-BASE'!G317="","",'SAÍDAS-BASE'!G317)</f>
        <v/>
      </c>
      <c r="I319" t="str">
        <f>IF('SAÍDAS-BASE'!H317="","",'SAÍDAS-BASE'!H317)</f>
        <v/>
      </c>
      <c r="J319" t="str">
        <f>IF('SAÍDAS-BASE'!I317="","",'SAÍDAS-BASE'!I317)</f>
        <v/>
      </c>
      <c r="K319" s="5" t="str">
        <f>IF('SAÍDAS-BASE'!J317="","",'SAÍDAS-BASE'!J317)</f>
        <v/>
      </c>
      <c r="L319" t="str">
        <f>IF(TABELA_SAIDAS[[#This Row],[UF]]="","",IFERROR(IF(VLOOKUP(TABELA_SAIDAS[[#This Row],[VALOR]],TABELA_ENTRADAS[VALOR],1,FALSE),"DEVOLUÇÃO"),"SEM ENTRADAS"))</f>
        <v/>
      </c>
    </row>
    <row r="320" spans="2:12" x14ac:dyDescent="0.3">
      <c r="B320" t="str">
        <f>IF('SAÍDAS-BASE'!A318="","",'SAÍDAS-BASE'!A318)</f>
        <v/>
      </c>
      <c r="C320" t="str">
        <f>IF('SAÍDAS-BASE'!B318="","",'SAÍDAS-BASE'!B318)</f>
        <v/>
      </c>
      <c r="D320" t="str">
        <f>IF('SAÍDAS-BASE'!C318="","",'SAÍDAS-BASE'!C318)</f>
        <v/>
      </c>
      <c r="E320" s="7" t="str">
        <f>IF('SAÍDAS-BASE'!D318="","",'SAÍDAS-BASE'!D318)</f>
        <v/>
      </c>
      <c r="F320" s="6" t="str">
        <f>IF('SAÍDAS-BASE'!E318="","",'SAÍDAS-BASE'!E318)</f>
        <v/>
      </c>
      <c r="G320" t="str">
        <f>IF('SAÍDAS-BASE'!F318="","",'SAÍDAS-BASE'!F318)</f>
        <v/>
      </c>
      <c r="H320" t="str">
        <f>IF('SAÍDAS-BASE'!G318="","",'SAÍDAS-BASE'!G318)</f>
        <v/>
      </c>
      <c r="I320" t="str">
        <f>IF('SAÍDAS-BASE'!H318="","",'SAÍDAS-BASE'!H318)</f>
        <v/>
      </c>
      <c r="J320" t="str">
        <f>IF('SAÍDAS-BASE'!I318="","",'SAÍDAS-BASE'!I318)</f>
        <v/>
      </c>
      <c r="K320" s="5" t="str">
        <f>IF('SAÍDAS-BASE'!J318="","",'SAÍDAS-BASE'!J318)</f>
        <v/>
      </c>
      <c r="L320" t="str">
        <f>IF(TABELA_SAIDAS[[#This Row],[UF]]="","",IFERROR(IF(VLOOKUP(TABELA_SAIDAS[[#This Row],[VALOR]],TABELA_ENTRADAS[VALOR],1,FALSE),"DEVOLUÇÃO"),"SEM ENTRADAS"))</f>
        <v/>
      </c>
    </row>
    <row r="321" spans="2:12" x14ac:dyDescent="0.3">
      <c r="B321" t="str">
        <f>IF('SAÍDAS-BASE'!A319="","",'SAÍDAS-BASE'!A319)</f>
        <v/>
      </c>
      <c r="C321" t="str">
        <f>IF('SAÍDAS-BASE'!B319="","",'SAÍDAS-BASE'!B319)</f>
        <v/>
      </c>
      <c r="D321" t="str">
        <f>IF('SAÍDAS-BASE'!C319="","",'SAÍDAS-BASE'!C319)</f>
        <v/>
      </c>
      <c r="E321" s="7" t="str">
        <f>IF('SAÍDAS-BASE'!D319="","",'SAÍDAS-BASE'!D319)</f>
        <v/>
      </c>
      <c r="F321" s="6" t="str">
        <f>IF('SAÍDAS-BASE'!E319="","",'SAÍDAS-BASE'!E319)</f>
        <v/>
      </c>
      <c r="G321" t="str">
        <f>IF('SAÍDAS-BASE'!F319="","",'SAÍDAS-BASE'!F319)</f>
        <v/>
      </c>
      <c r="H321" t="str">
        <f>IF('SAÍDAS-BASE'!G319="","",'SAÍDAS-BASE'!G319)</f>
        <v/>
      </c>
      <c r="I321" t="str">
        <f>IF('SAÍDAS-BASE'!H319="","",'SAÍDAS-BASE'!H319)</f>
        <v/>
      </c>
      <c r="J321" t="str">
        <f>IF('SAÍDAS-BASE'!I319="","",'SAÍDAS-BASE'!I319)</f>
        <v/>
      </c>
      <c r="K321" s="5" t="str">
        <f>IF('SAÍDAS-BASE'!J319="","",'SAÍDAS-BASE'!J319)</f>
        <v/>
      </c>
      <c r="L321" t="str">
        <f>IF(TABELA_SAIDAS[[#This Row],[UF]]="","",IFERROR(IF(VLOOKUP(TABELA_SAIDAS[[#This Row],[VALOR]],TABELA_ENTRADAS[VALOR],1,FALSE),"DEVOLUÇÃO"),"SEM ENTRADAS"))</f>
        <v/>
      </c>
    </row>
    <row r="322" spans="2:12" x14ac:dyDescent="0.3">
      <c r="B322" t="str">
        <f>IF('SAÍDAS-BASE'!A320="","",'SAÍDAS-BASE'!A320)</f>
        <v/>
      </c>
      <c r="C322" t="str">
        <f>IF('SAÍDAS-BASE'!B320="","",'SAÍDAS-BASE'!B320)</f>
        <v/>
      </c>
      <c r="D322" t="str">
        <f>IF('SAÍDAS-BASE'!C320="","",'SAÍDAS-BASE'!C320)</f>
        <v/>
      </c>
      <c r="E322" s="7" t="str">
        <f>IF('SAÍDAS-BASE'!D320="","",'SAÍDAS-BASE'!D320)</f>
        <v/>
      </c>
      <c r="F322" s="6" t="str">
        <f>IF('SAÍDAS-BASE'!E320="","",'SAÍDAS-BASE'!E320)</f>
        <v/>
      </c>
      <c r="G322" t="str">
        <f>IF('SAÍDAS-BASE'!F320="","",'SAÍDAS-BASE'!F320)</f>
        <v/>
      </c>
      <c r="H322" t="str">
        <f>IF('SAÍDAS-BASE'!G320="","",'SAÍDAS-BASE'!G320)</f>
        <v/>
      </c>
      <c r="I322" t="str">
        <f>IF('SAÍDAS-BASE'!H320="","",'SAÍDAS-BASE'!H320)</f>
        <v/>
      </c>
      <c r="J322" t="str">
        <f>IF('SAÍDAS-BASE'!I320="","",'SAÍDAS-BASE'!I320)</f>
        <v/>
      </c>
      <c r="K322" s="5" t="str">
        <f>IF('SAÍDAS-BASE'!J320="","",'SAÍDAS-BASE'!J320)</f>
        <v/>
      </c>
      <c r="L322" t="str">
        <f>IF(TABELA_SAIDAS[[#This Row],[UF]]="","",IFERROR(IF(VLOOKUP(TABELA_SAIDAS[[#This Row],[VALOR]],TABELA_ENTRADAS[VALOR],1,FALSE),"DEVOLUÇÃO"),"SEM ENTRADAS"))</f>
        <v/>
      </c>
    </row>
    <row r="323" spans="2:12" x14ac:dyDescent="0.3">
      <c r="B323" t="str">
        <f>IF('SAÍDAS-BASE'!A321="","",'SAÍDAS-BASE'!A321)</f>
        <v/>
      </c>
      <c r="C323" t="str">
        <f>IF('SAÍDAS-BASE'!B321="","",'SAÍDAS-BASE'!B321)</f>
        <v/>
      </c>
      <c r="D323" t="str">
        <f>IF('SAÍDAS-BASE'!C321="","",'SAÍDAS-BASE'!C321)</f>
        <v/>
      </c>
      <c r="E323" s="7" t="str">
        <f>IF('SAÍDAS-BASE'!D321="","",'SAÍDAS-BASE'!D321)</f>
        <v/>
      </c>
      <c r="F323" s="6" t="str">
        <f>IF('SAÍDAS-BASE'!E321="","",'SAÍDAS-BASE'!E321)</f>
        <v/>
      </c>
      <c r="G323" t="str">
        <f>IF('SAÍDAS-BASE'!F321="","",'SAÍDAS-BASE'!F321)</f>
        <v/>
      </c>
      <c r="H323" t="str">
        <f>IF('SAÍDAS-BASE'!G321="","",'SAÍDAS-BASE'!G321)</f>
        <v/>
      </c>
      <c r="I323" t="str">
        <f>IF('SAÍDAS-BASE'!H321="","",'SAÍDAS-BASE'!H321)</f>
        <v/>
      </c>
      <c r="J323" t="str">
        <f>IF('SAÍDAS-BASE'!I321="","",'SAÍDAS-BASE'!I321)</f>
        <v/>
      </c>
      <c r="K323" s="5" t="str">
        <f>IF('SAÍDAS-BASE'!J321="","",'SAÍDAS-BASE'!J321)</f>
        <v/>
      </c>
      <c r="L323" t="str">
        <f>IF(TABELA_SAIDAS[[#This Row],[UF]]="","",IFERROR(IF(VLOOKUP(TABELA_SAIDAS[[#This Row],[VALOR]],TABELA_ENTRADAS[VALOR],1,FALSE),"DEVOLUÇÃO"),"SEM ENTRADAS"))</f>
        <v/>
      </c>
    </row>
    <row r="324" spans="2:12" x14ac:dyDescent="0.3">
      <c r="B324" t="str">
        <f>IF('SAÍDAS-BASE'!A322="","",'SAÍDAS-BASE'!A322)</f>
        <v/>
      </c>
      <c r="C324" t="str">
        <f>IF('SAÍDAS-BASE'!B322="","",'SAÍDAS-BASE'!B322)</f>
        <v/>
      </c>
      <c r="D324" t="str">
        <f>IF('SAÍDAS-BASE'!C322="","",'SAÍDAS-BASE'!C322)</f>
        <v/>
      </c>
      <c r="E324" s="7" t="str">
        <f>IF('SAÍDAS-BASE'!D322="","",'SAÍDAS-BASE'!D322)</f>
        <v/>
      </c>
      <c r="F324" s="6" t="str">
        <f>IF('SAÍDAS-BASE'!E322="","",'SAÍDAS-BASE'!E322)</f>
        <v/>
      </c>
      <c r="G324" t="str">
        <f>IF('SAÍDAS-BASE'!F322="","",'SAÍDAS-BASE'!F322)</f>
        <v/>
      </c>
      <c r="H324" t="str">
        <f>IF('SAÍDAS-BASE'!G322="","",'SAÍDAS-BASE'!G322)</f>
        <v/>
      </c>
      <c r="I324" t="str">
        <f>IF('SAÍDAS-BASE'!H322="","",'SAÍDAS-BASE'!H322)</f>
        <v/>
      </c>
      <c r="J324" t="str">
        <f>IF('SAÍDAS-BASE'!I322="","",'SAÍDAS-BASE'!I322)</f>
        <v/>
      </c>
      <c r="K324" s="5" t="str">
        <f>IF('SAÍDAS-BASE'!J322="","",'SAÍDAS-BASE'!J322)</f>
        <v/>
      </c>
      <c r="L324" t="str">
        <f>IF(TABELA_SAIDAS[[#This Row],[UF]]="","",IFERROR(IF(VLOOKUP(TABELA_SAIDAS[[#This Row],[VALOR]],TABELA_ENTRADAS[VALOR],1,FALSE),"DEVOLUÇÃO"),"SEM ENTRADAS"))</f>
        <v/>
      </c>
    </row>
    <row r="325" spans="2:12" x14ac:dyDescent="0.3">
      <c r="B325" t="str">
        <f>IF('SAÍDAS-BASE'!A323="","",'SAÍDAS-BASE'!A323)</f>
        <v/>
      </c>
      <c r="C325" t="str">
        <f>IF('SAÍDAS-BASE'!B323="","",'SAÍDAS-BASE'!B323)</f>
        <v/>
      </c>
      <c r="D325" t="str">
        <f>IF('SAÍDAS-BASE'!C323="","",'SAÍDAS-BASE'!C323)</f>
        <v/>
      </c>
      <c r="E325" s="7" t="str">
        <f>IF('SAÍDAS-BASE'!D323="","",'SAÍDAS-BASE'!D323)</f>
        <v/>
      </c>
      <c r="F325" s="6" t="str">
        <f>IF('SAÍDAS-BASE'!E323="","",'SAÍDAS-BASE'!E323)</f>
        <v/>
      </c>
      <c r="G325" t="str">
        <f>IF('SAÍDAS-BASE'!F323="","",'SAÍDAS-BASE'!F323)</f>
        <v/>
      </c>
      <c r="H325" t="str">
        <f>IF('SAÍDAS-BASE'!G323="","",'SAÍDAS-BASE'!G323)</f>
        <v/>
      </c>
      <c r="I325" t="str">
        <f>IF('SAÍDAS-BASE'!H323="","",'SAÍDAS-BASE'!H323)</f>
        <v/>
      </c>
      <c r="J325" t="str">
        <f>IF('SAÍDAS-BASE'!I323="","",'SAÍDAS-BASE'!I323)</f>
        <v/>
      </c>
      <c r="K325" s="5" t="str">
        <f>IF('SAÍDAS-BASE'!J323="","",'SAÍDAS-BASE'!J323)</f>
        <v/>
      </c>
      <c r="L325" t="str">
        <f>IF(TABELA_SAIDAS[[#This Row],[UF]]="","",IFERROR(IF(VLOOKUP(TABELA_SAIDAS[[#This Row],[VALOR]],TABELA_ENTRADAS[VALOR],1,FALSE),"DEVOLUÇÃO"),"SEM ENTRADAS"))</f>
        <v/>
      </c>
    </row>
    <row r="326" spans="2:12" x14ac:dyDescent="0.3">
      <c r="B326" t="str">
        <f>IF('SAÍDAS-BASE'!A324="","",'SAÍDAS-BASE'!A324)</f>
        <v/>
      </c>
      <c r="C326" t="str">
        <f>IF('SAÍDAS-BASE'!B324="","",'SAÍDAS-BASE'!B324)</f>
        <v/>
      </c>
      <c r="D326" t="str">
        <f>IF('SAÍDAS-BASE'!C324="","",'SAÍDAS-BASE'!C324)</f>
        <v/>
      </c>
      <c r="E326" s="7" t="str">
        <f>IF('SAÍDAS-BASE'!D324="","",'SAÍDAS-BASE'!D324)</f>
        <v/>
      </c>
      <c r="F326" s="6" t="str">
        <f>IF('SAÍDAS-BASE'!E324="","",'SAÍDAS-BASE'!E324)</f>
        <v/>
      </c>
      <c r="G326" t="str">
        <f>IF('SAÍDAS-BASE'!F324="","",'SAÍDAS-BASE'!F324)</f>
        <v/>
      </c>
      <c r="H326" t="str">
        <f>IF('SAÍDAS-BASE'!G324="","",'SAÍDAS-BASE'!G324)</f>
        <v/>
      </c>
      <c r="I326" t="str">
        <f>IF('SAÍDAS-BASE'!H324="","",'SAÍDAS-BASE'!H324)</f>
        <v/>
      </c>
      <c r="J326" t="str">
        <f>IF('SAÍDAS-BASE'!I324="","",'SAÍDAS-BASE'!I324)</f>
        <v/>
      </c>
      <c r="K326" s="5" t="str">
        <f>IF('SAÍDAS-BASE'!J324="","",'SAÍDAS-BASE'!J324)</f>
        <v/>
      </c>
      <c r="L326" t="str">
        <f>IF(TABELA_SAIDAS[[#This Row],[UF]]="","",IFERROR(IF(VLOOKUP(TABELA_SAIDAS[[#This Row],[VALOR]],TABELA_ENTRADAS[VALOR],1,FALSE),"DEVOLUÇÃO"),"SEM ENTRADAS"))</f>
        <v/>
      </c>
    </row>
    <row r="327" spans="2:12" x14ac:dyDescent="0.3">
      <c r="B327" t="str">
        <f>IF('SAÍDAS-BASE'!A325="","",'SAÍDAS-BASE'!A325)</f>
        <v/>
      </c>
      <c r="C327" t="str">
        <f>IF('SAÍDAS-BASE'!B325="","",'SAÍDAS-BASE'!B325)</f>
        <v/>
      </c>
      <c r="D327" t="str">
        <f>IF('SAÍDAS-BASE'!C325="","",'SAÍDAS-BASE'!C325)</f>
        <v/>
      </c>
      <c r="E327" s="7" t="str">
        <f>IF('SAÍDAS-BASE'!D325="","",'SAÍDAS-BASE'!D325)</f>
        <v/>
      </c>
      <c r="F327" s="6" t="str">
        <f>IF('SAÍDAS-BASE'!E325="","",'SAÍDAS-BASE'!E325)</f>
        <v/>
      </c>
      <c r="G327" t="str">
        <f>IF('SAÍDAS-BASE'!F325="","",'SAÍDAS-BASE'!F325)</f>
        <v/>
      </c>
      <c r="H327" t="str">
        <f>IF('SAÍDAS-BASE'!G325="","",'SAÍDAS-BASE'!G325)</f>
        <v/>
      </c>
      <c r="I327" t="str">
        <f>IF('SAÍDAS-BASE'!H325="","",'SAÍDAS-BASE'!H325)</f>
        <v/>
      </c>
      <c r="J327" t="str">
        <f>IF('SAÍDAS-BASE'!I325="","",'SAÍDAS-BASE'!I325)</f>
        <v/>
      </c>
      <c r="K327" s="5" t="str">
        <f>IF('SAÍDAS-BASE'!J325="","",'SAÍDAS-BASE'!J325)</f>
        <v/>
      </c>
      <c r="L327" t="str">
        <f>IF(TABELA_SAIDAS[[#This Row],[UF]]="","",IFERROR(IF(VLOOKUP(TABELA_SAIDAS[[#This Row],[VALOR]],TABELA_ENTRADAS[VALOR],1,FALSE),"DEVOLUÇÃO"),"SEM ENTRADAS"))</f>
        <v/>
      </c>
    </row>
    <row r="328" spans="2:12" x14ac:dyDescent="0.3">
      <c r="B328" t="str">
        <f>IF('SAÍDAS-BASE'!A326="","",'SAÍDAS-BASE'!A326)</f>
        <v/>
      </c>
      <c r="C328" t="str">
        <f>IF('SAÍDAS-BASE'!B326="","",'SAÍDAS-BASE'!B326)</f>
        <v/>
      </c>
      <c r="D328" t="str">
        <f>IF('SAÍDAS-BASE'!C326="","",'SAÍDAS-BASE'!C326)</f>
        <v/>
      </c>
      <c r="E328" s="7" t="str">
        <f>IF('SAÍDAS-BASE'!D326="","",'SAÍDAS-BASE'!D326)</f>
        <v/>
      </c>
      <c r="F328" s="6" t="str">
        <f>IF('SAÍDAS-BASE'!E326="","",'SAÍDAS-BASE'!E326)</f>
        <v/>
      </c>
      <c r="G328" t="str">
        <f>IF('SAÍDAS-BASE'!F326="","",'SAÍDAS-BASE'!F326)</f>
        <v/>
      </c>
      <c r="H328" t="str">
        <f>IF('SAÍDAS-BASE'!G326="","",'SAÍDAS-BASE'!G326)</f>
        <v/>
      </c>
      <c r="I328" t="str">
        <f>IF('SAÍDAS-BASE'!H326="","",'SAÍDAS-BASE'!H326)</f>
        <v/>
      </c>
      <c r="J328" t="str">
        <f>IF('SAÍDAS-BASE'!I326="","",'SAÍDAS-BASE'!I326)</f>
        <v/>
      </c>
      <c r="K328" s="5" t="str">
        <f>IF('SAÍDAS-BASE'!J326="","",'SAÍDAS-BASE'!J326)</f>
        <v/>
      </c>
      <c r="L328" t="str">
        <f>IF(TABELA_SAIDAS[[#This Row],[UF]]="","",IFERROR(IF(VLOOKUP(TABELA_SAIDAS[[#This Row],[VALOR]],TABELA_ENTRADAS[VALOR],1,FALSE),"DEVOLUÇÃO"),"SEM ENTRADAS"))</f>
        <v/>
      </c>
    </row>
    <row r="329" spans="2:12" x14ac:dyDescent="0.3">
      <c r="B329" t="str">
        <f>IF('SAÍDAS-BASE'!A327="","",'SAÍDAS-BASE'!A327)</f>
        <v/>
      </c>
      <c r="C329" t="str">
        <f>IF('SAÍDAS-BASE'!B327="","",'SAÍDAS-BASE'!B327)</f>
        <v/>
      </c>
      <c r="D329" t="str">
        <f>IF('SAÍDAS-BASE'!C327="","",'SAÍDAS-BASE'!C327)</f>
        <v/>
      </c>
      <c r="E329" s="7" t="str">
        <f>IF('SAÍDAS-BASE'!D327="","",'SAÍDAS-BASE'!D327)</f>
        <v/>
      </c>
      <c r="F329" s="6" t="str">
        <f>IF('SAÍDAS-BASE'!E327="","",'SAÍDAS-BASE'!E327)</f>
        <v/>
      </c>
      <c r="G329" t="str">
        <f>IF('SAÍDAS-BASE'!F327="","",'SAÍDAS-BASE'!F327)</f>
        <v/>
      </c>
      <c r="H329" t="str">
        <f>IF('SAÍDAS-BASE'!G327="","",'SAÍDAS-BASE'!G327)</f>
        <v/>
      </c>
      <c r="I329" t="str">
        <f>IF('SAÍDAS-BASE'!H327="","",'SAÍDAS-BASE'!H327)</f>
        <v/>
      </c>
      <c r="J329" t="str">
        <f>IF('SAÍDAS-BASE'!I327="","",'SAÍDAS-BASE'!I327)</f>
        <v/>
      </c>
      <c r="K329" s="5" t="str">
        <f>IF('SAÍDAS-BASE'!J327="","",'SAÍDAS-BASE'!J327)</f>
        <v/>
      </c>
      <c r="L329" t="str">
        <f>IF(TABELA_SAIDAS[[#This Row],[UF]]="","",IFERROR(IF(VLOOKUP(TABELA_SAIDAS[[#This Row],[VALOR]],TABELA_ENTRADAS[VALOR],1,FALSE),"DEVOLUÇÃO"),"SEM ENTRADAS"))</f>
        <v/>
      </c>
    </row>
    <row r="330" spans="2:12" x14ac:dyDescent="0.3">
      <c r="B330" t="str">
        <f>IF('SAÍDAS-BASE'!A328="","",'SAÍDAS-BASE'!A328)</f>
        <v/>
      </c>
      <c r="C330" t="str">
        <f>IF('SAÍDAS-BASE'!B328="","",'SAÍDAS-BASE'!B328)</f>
        <v/>
      </c>
      <c r="D330" t="str">
        <f>IF('SAÍDAS-BASE'!C328="","",'SAÍDAS-BASE'!C328)</f>
        <v/>
      </c>
      <c r="E330" s="7" t="str">
        <f>IF('SAÍDAS-BASE'!D328="","",'SAÍDAS-BASE'!D328)</f>
        <v/>
      </c>
      <c r="F330" s="6" t="str">
        <f>IF('SAÍDAS-BASE'!E328="","",'SAÍDAS-BASE'!E328)</f>
        <v/>
      </c>
      <c r="G330" t="str">
        <f>IF('SAÍDAS-BASE'!F328="","",'SAÍDAS-BASE'!F328)</f>
        <v/>
      </c>
      <c r="H330" t="str">
        <f>IF('SAÍDAS-BASE'!G328="","",'SAÍDAS-BASE'!G328)</f>
        <v/>
      </c>
      <c r="I330" t="str">
        <f>IF('SAÍDAS-BASE'!H328="","",'SAÍDAS-BASE'!H328)</f>
        <v/>
      </c>
      <c r="J330" t="str">
        <f>IF('SAÍDAS-BASE'!I328="","",'SAÍDAS-BASE'!I328)</f>
        <v/>
      </c>
      <c r="K330" s="5" t="str">
        <f>IF('SAÍDAS-BASE'!J328="","",'SAÍDAS-BASE'!J328)</f>
        <v/>
      </c>
      <c r="L330" t="str">
        <f>IF(TABELA_SAIDAS[[#This Row],[UF]]="","",IFERROR(IF(VLOOKUP(TABELA_SAIDAS[[#This Row],[VALOR]],TABELA_ENTRADAS[VALOR],1,FALSE),"DEVOLUÇÃO"),"SEM ENTRADAS"))</f>
        <v/>
      </c>
    </row>
    <row r="331" spans="2:12" x14ac:dyDescent="0.3">
      <c r="B331" t="str">
        <f>IF('SAÍDAS-BASE'!A329="","",'SAÍDAS-BASE'!A329)</f>
        <v/>
      </c>
      <c r="C331" t="str">
        <f>IF('SAÍDAS-BASE'!B329="","",'SAÍDAS-BASE'!B329)</f>
        <v/>
      </c>
      <c r="D331" t="str">
        <f>IF('SAÍDAS-BASE'!C329="","",'SAÍDAS-BASE'!C329)</f>
        <v/>
      </c>
      <c r="E331" s="7" t="str">
        <f>IF('SAÍDAS-BASE'!D329="","",'SAÍDAS-BASE'!D329)</f>
        <v/>
      </c>
      <c r="F331" s="6" t="str">
        <f>IF('SAÍDAS-BASE'!E329="","",'SAÍDAS-BASE'!E329)</f>
        <v/>
      </c>
      <c r="G331" t="str">
        <f>IF('SAÍDAS-BASE'!F329="","",'SAÍDAS-BASE'!F329)</f>
        <v/>
      </c>
      <c r="H331" t="str">
        <f>IF('SAÍDAS-BASE'!G329="","",'SAÍDAS-BASE'!G329)</f>
        <v/>
      </c>
      <c r="I331" t="str">
        <f>IF('SAÍDAS-BASE'!H329="","",'SAÍDAS-BASE'!H329)</f>
        <v/>
      </c>
      <c r="J331" t="str">
        <f>IF('SAÍDAS-BASE'!I329="","",'SAÍDAS-BASE'!I329)</f>
        <v/>
      </c>
      <c r="K331" s="5" t="str">
        <f>IF('SAÍDAS-BASE'!J329="","",'SAÍDAS-BASE'!J329)</f>
        <v/>
      </c>
      <c r="L331" t="str">
        <f>IF(TABELA_SAIDAS[[#This Row],[UF]]="","",IFERROR(IF(VLOOKUP(TABELA_SAIDAS[[#This Row],[VALOR]],TABELA_ENTRADAS[VALOR],1,FALSE),"DEVOLUÇÃO"),"SEM ENTRADAS"))</f>
        <v/>
      </c>
    </row>
    <row r="332" spans="2:12" x14ac:dyDescent="0.3">
      <c r="B332" t="str">
        <f>IF('SAÍDAS-BASE'!A330="","",'SAÍDAS-BASE'!A330)</f>
        <v/>
      </c>
      <c r="C332" t="str">
        <f>IF('SAÍDAS-BASE'!B330="","",'SAÍDAS-BASE'!B330)</f>
        <v/>
      </c>
      <c r="D332" t="str">
        <f>IF('SAÍDAS-BASE'!C330="","",'SAÍDAS-BASE'!C330)</f>
        <v/>
      </c>
      <c r="E332" s="7" t="str">
        <f>IF('SAÍDAS-BASE'!D330="","",'SAÍDAS-BASE'!D330)</f>
        <v/>
      </c>
      <c r="F332" s="6" t="str">
        <f>IF('SAÍDAS-BASE'!E330="","",'SAÍDAS-BASE'!E330)</f>
        <v/>
      </c>
      <c r="G332" t="str">
        <f>IF('SAÍDAS-BASE'!F330="","",'SAÍDAS-BASE'!F330)</f>
        <v/>
      </c>
      <c r="H332" t="str">
        <f>IF('SAÍDAS-BASE'!G330="","",'SAÍDAS-BASE'!G330)</f>
        <v/>
      </c>
      <c r="I332" t="str">
        <f>IF('SAÍDAS-BASE'!H330="","",'SAÍDAS-BASE'!H330)</f>
        <v/>
      </c>
      <c r="J332" t="str">
        <f>IF('SAÍDAS-BASE'!I330="","",'SAÍDAS-BASE'!I330)</f>
        <v/>
      </c>
      <c r="K332" s="5" t="str">
        <f>IF('SAÍDAS-BASE'!J330="","",'SAÍDAS-BASE'!J330)</f>
        <v/>
      </c>
      <c r="L332" t="str">
        <f>IF(TABELA_SAIDAS[[#This Row],[UF]]="","",IFERROR(IF(VLOOKUP(TABELA_SAIDAS[[#This Row],[VALOR]],TABELA_ENTRADAS[VALOR],1,FALSE),"DEVOLUÇÃO"),"SEM ENTRADAS"))</f>
        <v/>
      </c>
    </row>
    <row r="333" spans="2:12" x14ac:dyDescent="0.3">
      <c r="B333" t="str">
        <f>IF('SAÍDAS-BASE'!A331="","",'SAÍDAS-BASE'!A331)</f>
        <v/>
      </c>
      <c r="C333" t="str">
        <f>IF('SAÍDAS-BASE'!B331="","",'SAÍDAS-BASE'!B331)</f>
        <v/>
      </c>
      <c r="D333" t="str">
        <f>IF('SAÍDAS-BASE'!C331="","",'SAÍDAS-BASE'!C331)</f>
        <v/>
      </c>
      <c r="E333" s="7" t="str">
        <f>IF('SAÍDAS-BASE'!D331="","",'SAÍDAS-BASE'!D331)</f>
        <v/>
      </c>
      <c r="F333" s="6" t="str">
        <f>IF('SAÍDAS-BASE'!E331="","",'SAÍDAS-BASE'!E331)</f>
        <v/>
      </c>
      <c r="G333" t="str">
        <f>IF('SAÍDAS-BASE'!F331="","",'SAÍDAS-BASE'!F331)</f>
        <v/>
      </c>
      <c r="H333" t="str">
        <f>IF('SAÍDAS-BASE'!G331="","",'SAÍDAS-BASE'!G331)</f>
        <v/>
      </c>
      <c r="I333" t="str">
        <f>IF('SAÍDAS-BASE'!H331="","",'SAÍDAS-BASE'!H331)</f>
        <v/>
      </c>
      <c r="J333" t="str">
        <f>IF('SAÍDAS-BASE'!I331="","",'SAÍDAS-BASE'!I331)</f>
        <v/>
      </c>
      <c r="K333" s="5" t="str">
        <f>IF('SAÍDAS-BASE'!J331="","",'SAÍDAS-BASE'!J331)</f>
        <v/>
      </c>
      <c r="L333" t="str">
        <f>IF(TABELA_SAIDAS[[#This Row],[UF]]="","",IFERROR(IF(VLOOKUP(TABELA_SAIDAS[[#This Row],[VALOR]],TABELA_ENTRADAS[VALOR],1,FALSE),"DEVOLUÇÃO"),"SEM ENTRADAS"))</f>
        <v/>
      </c>
    </row>
    <row r="334" spans="2:12" x14ac:dyDescent="0.3">
      <c r="B334" t="str">
        <f>IF('SAÍDAS-BASE'!A332="","",'SAÍDAS-BASE'!A332)</f>
        <v/>
      </c>
      <c r="C334" t="str">
        <f>IF('SAÍDAS-BASE'!B332="","",'SAÍDAS-BASE'!B332)</f>
        <v/>
      </c>
      <c r="D334" t="str">
        <f>IF('SAÍDAS-BASE'!C332="","",'SAÍDAS-BASE'!C332)</f>
        <v/>
      </c>
      <c r="E334" s="7" t="str">
        <f>IF('SAÍDAS-BASE'!D332="","",'SAÍDAS-BASE'!D332)</f>
        <v/>
      </c>
      <c r="F334" s="6" t="str">
        <f>IF('SAÍDAS-BASE'!E332="","",'SAÍDAS-BASE'!E332)</f>
        <v/>
      </c>
      <c r="G334" t="str">
        <f>IF('SAÍDAS-BASE'!F332="","",'SAÍDAS-BASE'!F332)</f>
        <v/>
      </c>
      <c r="H334" t="str">
        <f>IF('SAÍDAS-BASE'!G332="","",'SAÍDAS-BASE'!G332)</f>
        <v/>
      </c>
      <c r="I334" t="str">
        <f>IF('SAÍDAS-BASE'!H332="","",'SAÍDAS-BASE'!H332)</f>
        <v/>
      </c>
      <c r="J334" t="str">
        <f>IF('SAÍDAS-BASE'!I332="","",'SAÍDAS-BASE'!I332)</f>
        <v/>
      </c>
      <c r="K334" s="5" t="str">
        <f>IF('SAÍDAS-BASE'!J332="","",'SAÍDAS-BASE'!J332)</f>
        <v/>
      </c>
      <c r="L334" t="str">
        <f>IF(TABELA_SAIDAS[[#This Row],[UF]]="","",IFERROR(IF(VLOOKUP(TABELA_SAIDAS[[#This Row],[VALOR]],TABELA_ENTRADAS[VALOR],1,FALSE),"DEVOLUÇÃO"),"SEM ENTRADAS"))</f>
        <v/>
      </c>
    </row>
    <row r="335" spans="2:12" x14ac:dyDescent="0.3">
      <c r="B335" t="str">
        <f>IF('SAÍDAS-BASE'!A333="","",'SAÍDAS-BASE'!A333)</f>
        <v/>
      </c>
      <c r="C335" t="str">
        <f>IF('SAÍDAS-BASE'!B333="","",'SAÍDAS-BASE'!B333)</f>
        <v/>
      </c>
      <c r="D335" t="str">
        <f>IF('SAÍDAS-BASE'!C333="","",'SAÍDAS-BASE'!C333)</f>
        <v/>
      </c>
      <c r="E335" s="7" t="str">
        <f>IF('SAÍDAS-BASE'!D333="","",'SAÍDAS-BASE'!D333)</f>
        <v/>
      </c>
      <c r="F335" s="6" t="str">
        <f>IF('SAÍDAS-BASE'!E333="","",'SAÍDAS-BASE'!E333)</f>
        <v/>
      </c>
      <c r="G335" t="str">
        <f>IF('SAÍDAS-BASE'!F333="","",'SAÍDAS-BASE'!F333)</f>
        <v/>
      </c>
      <c r="H335" t="str">
        <f>IF('SAÍDAS-BASE'!G333="","",'SAÍDAS-BASE'!G333)</f>
        <v/>
      </c>
      <c r="I335" t="str">
        <f>IF('SAÍDAS-BASE'!H333="","",'SAÍDAS-BASE'!H333)</f>
        <v/>
      </c>
      <c r="J335" t="str">
        <f>IF('SAÍDAS-BASE'!I333="","",'SAÍDAS-BASE'!I333)</f>
        <v/>
      </c>
      <c r="K335" s="5" t="str">
        <f>IF('SAÍDAS-BASE'!J333="","",'SAÍDAS-BASE'!J333)</f>
        <v/>
      </c>
      <c r="L335" t="str">
        <f>IF(TABELA_SAIDAS[[#This Row],[UF]]="","",IFERROR(IF(VLOOKUP(TABELA_SAIDAS[[#This Row],[VALOR]],TABELA_ENTRADAS[VALOR],1,FALSE),"DEVOLUÇÃO"),"SEM ENTRADAS"))</f>
        <v/>
      </c>
    </row>
    <row r="336" spans="2:12" x14ac:dyDescent="0.3">
      <c r="B336" t="str">
        <f>IF('SAÍDAS-BASE'!A334="","",'SAÍDAS-BASE'!A334)</f>
        <v/>
      </c>
      <c r="C336" t="str">
        <f>IF('SAÍDAS-BASE'!B334="","",'SAÍDAS-BASE'!B334)</f>
        <v/>
      </c>
      <c r="D336" t="str">
        <f>IF('SAÍDAS-BASE'!C334="","",'SAÍDAS-BASE'!C334)</f>
        <v/>
      </c>
      <c r="E336" s="7" t="str">
        <f>IF('SAÍDAS-BASE'!D334="","",'SAÍDAS-BASE'!D334)</f>
        <v/>
      </c>
      <c r="F336" s="6" t="str">
        <f>IF('SAÍDAS-BASE'!E334="","",'SAÍDAS-BASE'!E334)</f>
        <v/>
      </c>
      <c r="G336" t="str">
        <f>IF('SAÍDAS-BASE'!F334="","",'SAÍDAS-BASE'!F334)</f>
        <v/>
      </c>
      <c r="H336" t="str">
        <f>IF('SAÍDAS-BASE'!G334="","",'SAÍDAS-BASE'!G334)</f>
        <v/>
      </c>
      <c r="I336" t="str">
        <f>IF('SAÍDAS-BASE'!H334="","",'SAÍDAS-BASE'!H334)</f>
        <v/>
      </c>
      <c r="J336" t="str">
        <f>IF('SAÍDAS-BASE'!I334="","",'SAÍDAS-BASE'!I334)</f>
        <v/>
      </c>
      <c r="K336" s="5" t="str">
        <f>IF('SAÍDAS-BASE'!J334="","",'SAÍDAS-BASE'!J334)</f>
        <v/>
      </c>
      <c r="L336" t="str">
        <f>IF(TABELA_SAIDAS[[#This Row],[UF]]="","",IFERROR(IF(VLOOKUP(TABELA_SAIDAS[[#This Row],[VALOR]],TABELA_ENTRADAS[VALOR],1,FALSE),"DEVOLUÇÃO"),"SEM ENTRADAS"))</f>
        <v/>
      </c>
    </row>
    <row r="337" spans="2:12" x14ac:dyDescent="0.3">
      <c r="B337" t="str">
        <f>IF('SAÍDAS-BASE'!A335="","",'SAÍDAS-BASE'!A335)</f>
        <v/>
      </c>
      <c r="C337" t="str">
        <f>IF('SAÍDAS-BASE'!B335="","",'SAÍDAS-BASE'!B335)</f>
        <v/>
      </c>
      <c r="D337" t="str">
        <f>IF('SAÍDAS-BASE'!C335="","",'SAÍDAS-BASE'!C335)</f>
        <v/>
      </c>
      <c r="E337" s="7" t="str">
        <f>IF('SAÍDAS-BASE'!D335="","",'SAÍDAS-BASE'!D335)</f>
        <v/>
      </c>
      <c r="F337" s="6" t="str">
        <f>IF('SAÍDAS-BASE'!E335="","",'SAÍDAS-BASE'!E335)</f>
        <v/>
      </c>
      <c r="G337" t="str">
        <f>IF('SAÍDAS-BASE'!F335="","",'SAÍDAS-BASE'!F335)</f>
        <v/>
      </c>
      <c r="H337" t="str">
        <f>IF('SAÍDAS-BASE'!G335="","",'SAÍDAS-BASE'!G335)</f>
        <v/>
      </c>
      <c r="I337" t="str">
        <f>IF('SAÍDAS-BASE'!H335="","",'SAÍDAS-BASE'!H335)</f>
        <v/>
      </c>
      <c r="J337" t="str">
        <f>IF('SAÍDAS-BASE'!I335="","",'SAÍDAS-BASE'!I335)</f>
        <v/>
      </c>
      <c r="K337" s="5" t="str">
        <f>IF('SAÍDAS-BASE'!J335="","",'SAÍDAS-BASE'!J335)</f>
        <v/>
      </c>
      <c r="L337" t="str">
        <f>IF(TABELA_SAIDAS[[#This Row],[UF]]="","",IFERROR(IF(VLOOKUP(TABELA_SAIDAS[[#This Row],[VALOR]],TABELA_ENTRADAS[VALOR],1,FALSE),"DEVOLUÇÃO"),"SEM ENTRADAS"))</f>
        <v/>
      </c>
    </row>
    <row r="338" spans="2:12" x14ac:dyDescent="0.3">
      <c r="B338" t="str">
        <f>IF('SAÍDAS-BASE'!A336="","",'SAÍDAS-BASE'!A336)</f>
        <v/>
      </c>
      <c r="C338" t="str">
        <f>IF('SAÍDAS-BASE'!B336="","",'SAÍDAS-BASE'!B336)</f>
        <v/>
      </c>
      <c r="D338" t="str">
        <f>IF('SAÍDAS-BASE'!C336="","",'SAÍDAS-BASE'!C336)</f>
        <v/>
      </c>
      <c r="E338" s="7" t="str">
        <f>IF('SAÍDAS-BASE'!D336="","",'SAÍDAS-BASE'!D336)</f>
        <v/>
      </c>
      <c r="F338" s="6" t="str">
        <f>IF('SAÍDAS-BASE'!E336="","",'SAÍDAS-BASE'!E336)</f>
        <v/>
      </c>
      <c r="G338" t="str">
        <f>IF('SAÍDAS-BASE'!F336="","",'SAÍDAS-BASE'!F336)</f>
        <v/>
      </c>
      <c r="H338" t="str">
        <f>IF('SAÍDAS-BASE'!G336="","",'SAÍDAS-BASE'!G336)</f>
        <v/>
      </c>
      <c r="I338" t="str">
        <f>IF('SAÍDAS-BASE'!H336="","",'SAÍDAS-BASE'!H336)</f>
        <v/>
      </c>
      <c r="J338" t="str">
        <f>IF('SAÍDAS-BASE'!I336="","",'SAÍDAS-BASE'!I336)</f>
        <v/>
      </c>
      <c r="K338" s="5" t="str">
        <f>IF('SAÍDAS-BASE'!J336="","",'SAÍDAS-BASE'!J336)</f>
        <v/>
      </c>
      <c r="L338" t="str">
        <f>IF(TABELA_SAIDAS[[#This Row],[UF]]="","",IFERROR(IF(VLOOKUP(TABELA_SAIDAS[[#This Row],[VALOR]],TABELA_ENTRADAS[VALOR],1,FALSE),"DEVOLUÇÃO"),"SEM ENTRADAS"))</f>
        <v/>
      </c>
    </row>
    <row r="339" spans="2:12" x14ac:dyDescent="0.3">
      <c r="B339" t="str">
        <f>IF('SAÍDAS-BASE'!A337="","",'SAÍDAS-BASE'!A337)</f>
        <v/>
      </c>
      <c r="C339" t="str">
        <f>IF('SAÍDAS-BASE'!B337="","",'SAÍDAS-BASE'!B337)</f>
        <v/>
      </c>
      <c r="D339" t="str">
        <f>IF('SAÍDAS-BASE'!C337="","",'SAÍDAS-BASE'!C337)</f>
        <v/>
      </c>
      <c r="E339" s="7" t="str">
        <f>IF('SAÍDAS-BASE'!D337="","",'SAÍDAS-BASE'!D337)</f>
        <v/>
      </c>
      <c r="F339" s="6" t="str">
        <f>IF('SAÍDAS-BASE'!E337="","",'SAÍDAS-BASE'!E337)</f>
        <v/>
      </c>
      <c r="G339" t="str">
        <f>IF('SAÍDAS-BASE'!F337="","",'SAÍDAS-BASE'!F337)</f>
        <v/>
      </c>
      <c r="H339" t="str">
        <f>IF('SAÍDAS-BASE'!G337="","",'SAÍDAS-BASE'!G337)</f>
        <v/>
      </c>
      <c r="I339" t="str">
        <f>IF('SAÍDAS-BASE'!H337="","",'SAÍDAS-BASE'!H337)</f>
        <v/>
      </c>
      <c r="J339" t="str">
        <f>IF('SAÍDAS-BASE'!I337="","",'SAÍDAS-BASE'!I337)</f>
        <v/>
      </c>
      <c r="K339" s="5" t="str">
        <f>IF('SAÍDAS-BASE'!J337="","",'SAÍDAS-BASE'!J337)</f>
        <v/>
      </c>
      <c r="L339" t="str">
        <f>IF(TABELA_SAIDAS[[#This Row],[UF]]="","",IFERROR(IF(VLOOKUP(TABELA_SAIDAS[[#This Row],[VALOR]],TABELA_ENTRADAS[VALOR],1,FALSE),"DEVOLUÇÃO"),"SEM ENTRADAS"))</f>
        <v/>
      </c>
    </row>
    <row r="340" spans="2:12" x14ac:dyDescent="0.3">
      <c r="B340" t="str">
        <f>IF('SAÍDAS-BASE'!A338="","",'SAÍDAS-BASE'!A338)</f>
        <v/>
      </c>
      <c r="C340" t="str">
        <f>IF('SAÍDAS-BASE'!B338="","",'SAÍDAS-BASE'!B338)</f>
        <v/>
      </c>
      <c r="D340" t="str">
        <f>IF('SAÍDAS-BASE'!C338="","",'SAÍDAS-BASE'!C338)</f>
        <v/>
      </c>
      <c r="E340" s="7" t="str">
        <f>IF('SAÍDAS-BASE'!D338="","",'SAÍDAS-BASE'!D338)</f>
        <v/>
      </c>
      <c r="F340" s="6" t="str">
        <f>IF('SAÍDAS-BASE'!E338="","",'SAÍDAS-BASE'!E338)</f>
        <v/>
      </c>
      <c r="G340" t="str">
        <f>IF('SAÍDAS-BASE'!F338="","",'SAÍDAS-BASE'!F338)</f>
        <v/>
      </c>
      <c r="H340" t="str">
        <f>IF('SAÍDAS-BASE'!G338="","",'SAÍDAS-BASE'!G338)</f>
        <v/>
      </c>
      <c r="I340" t="str">
        <f>IF('SAÍDAS-BASE'!H338="","",'SAÍDAS-BASE'!H338)</f>
        <v/>
      </c>
      <c r="J340" t="str">
        <f>IF('SAÍDAS-BASE'!I338="","",'SAÍDAS-BASE'!I338)</f>
        <v/>
      </c>
      <c r="K340" s="5" t="str">
        <f>IF('SAÍDAS-BASE'!J338="","",'SAÍDAS-BASE'!J338)</f>
        <v/>
      </c>
      <c r="L340" t="str">
        <f>IF(TABELA_SAIDAS[[#This Row],[UF]]="","",IFERROR(IF(VLOOKUP(TABELA_SAIDAS[[#This Row],[VALOR]],TABELA_ENTRADAS[VALOR],1,FALSE),"DEVOLUÇÃO"),"SEM ENTRADAS"))</f>
        <v/>
      </c>
    </row>
    <row r="341" spans="2:12" x14ac:dyDescent="0.3">
      <c r="B341" t="str">
        <f>IF('SAÍDAS-BASE'!A339="","",'SAÍDAS-BASE'!A339)</f>
        <v/>
      </c>
      <c r="C341" t="str">
        <f>IF('SAÍDAS-BASE'!B339="","",'SAÍDAS-BASE'!B339)</f>
        <v/>
      </c>
      <c r="D341" t="str">
        <f>IF('SAÍDAS-BASE'!C339="","",'SAÍDAS-BASE'!C339)</f>
        <v/>
      </c>
      <c r="E341" s="7" t="str">
        <f>IF('SAÍDAS-BASE'!D339="","",'SAÍDAS-BASE'!D339)</f>
        <v/>
      </c>
      <c r="F341" s="6" t="str">
        <f>IF('SAÍDAS-BASE'!E339="","",'SAÍDAS-BASE'!E339)</f>
        <v/>
      </c>
      <c r="G341" t="str">
        <f>IF('SAÍDAS-BASE'!F339="","",'SAÍDAS-BASE'!F339)</f>
        <v/>
      </c>
      <c r="H341" t="str">
        <f>IF('SAÍDAS-BASE'!G339="","",'SAÍDAS-BASE'!G339)</f>
        <v/>
      </c>
      <c r="I341" t="str">
        <f>IF('SAÍDAS-BASE'!H339="","",'SAÍDAS-BASE'!H339)</f>
        <v/>
      </c>
      <c r="J341" t="str">
        <f>IF('SAÍDAS-BASE'!I339="","",'SAÍDAS-BASE'!I339)</f>
        <v/>
      </c>
      <c r="K341" s="5" t="str">
        <f>IF('SAÍDAS-BASE'!J339="","",'SAÍDAS-BASE'!J339)</f>
        <v/>
      </c>
      <c r="L341" t="str">
        <f>IF(TABELA_SAIDAS[[#This Row],[UF]]="","",IFERROR(IF(VLOOKUP(TABELA_SAIDAS[[#This Row],[VALOR]],TABELA_ENTRADAS[VALOR],1,FALSE),"DEVOLUÇÃO"),"SEM ENTRADAS"))</f>
        <v/>
      </c>
    </row>
    <row r="342" spans="2:12" x14ac:dyDescent="0.3">
      <c r="B342" t="str">
        <f>IF('SAÍDAS-BASE'!A340="","",'SAÍDAS-BASE'!A340)</f>
        <v/>
      </c>
      <c r="C342" t="str">
        <f>IF('SAÍDAS-BASE'!B340="","",'SAÍDAS-BASE'!B340)</f>
        <v/>
      </c>
      <c r="D342" t="str">
        <f>IF('SAÍDAS-BASE'!C340="","",'SAÍDAS-BASE'!C340)</f>
        <v/>
      </c>
      <c r="E342" s="7" t="str">
        <f>IF('SAÍDAS-BASE'!D340="","",'SAÍDAS-BASE'!D340)</f>
        <v/>
      </c>
      <c r="F342" s="6" t="str">
        <f>IF('SAÍDAS-BASE'!E340="","",'SAÍDAS-BASE'!E340)</f>
        <v/>
      </c>
      <c r="G342" t="str">
        <f>IF('SAÍDAS-BASE'!F340="","",'SAÍDAS-BASE'!F340)</f>
        <v/>
      </c>
      <c r="H342" t="str">
        <f>IF('SAÍDAS-BASE'!G340="","",'SAÍDAS-BASE'!G340)</f>
        <v/>
      </c>
      <c r="I342" t="str">
        <f>IF('SAÍDAS-BASE'!H340="","",'SAÍDAS-BASE'!H340)</f>
        <v/>
      </c>
      <c r="J342" t="str">
        <f>IF('SAÍDAS-BASE'!I340="","",'SAÍDAS-BASE'!I340)</f>
        <v/>
      </c>
      <c r="K342" s="5" t="str">
        <f>IF('SAÍDAS-BASE'!J340="","",'SAÍDAS-BASE'!J340)</f>
        <v/>
      </c>
      <c r="L342" t="str">
        <f>IF(TABELA_SAIDAS[[#This Row],[UF]]="","",IFERROR(IF(VLOOKUP(TABELA_SAIDAS[[#This Row],[VALOR]],TABELA_ENTRADAS[VALOR],1,FALSE),"DEVOLUÇÃO"),"SEM ENTRADAS"))</f>
        <v/>
      </c>
    </row>
    <row r="343" spans="2:12" x14ac:dyDescent="0.3">
      <c r="B343" t="str">
        <f>IF('SAÍDAS-BASE'!A341="","",'SAÍDAS-BASE'!A341)</f>
        <v/>
      </c>
      <c r="C343" t="str">
        <f>IF('SAÍDAS-BASE'!B341="","",'SAÍDAS-BASE'!B341)</f>
        <v/>
      </c>
      <c r="D343" t="str">
        <f>IF('SAÍDAS-BASE'!C341="","",'SAÍDAS-BASE'!C341)</f>
        <v/>
      </c>
      <c r="E343" s="7" t="str">
        <f>IF('SAÍDAS-BASE'!D341="","",'SAÍDAS-BASE'!D341)</f>
        <v/>
      </c>
      <c r="F343" s="6" t="str">
        <f>IF('SAÍDAS-BASE'!E341="","",'SAÍDAS-BASE'!E341)</f>
        <v/>
      </c>
      <c r="G343" t="str">
        <f>IF('SAÍDAS-BASE'!F341="","",'SAÍDAS-BASE'!F341)</f>
        <v/>
      </c>
      <c r="H343" t="str">
        <f>IF('SAÍDAS-BASE'!G341="","",'SAÍDAS-BASE'!G341)</f>
        <v/>
      </c>
      <c r="I343" t="str">
        <f>IF('SAÍDAS-BASE'!H341="","",'SAÍDAS-BASE'!H341)</f>
        <v/>
      </c>
      <c r="J343" t="str">
        <f>IF('SAÍDAS-BASE'!I341="","",'SAÍDAS-BASE'!I341)</f>
        <v/>
      </c>
      <c r="K343" s="5" t="str">
        <f>IF('SAÍDAS-BASE'!J341="","",'SAÍDAS-BASE'!J341)</f>
        <v/>
      </c>
      <c r="L343" t="str">
        <f>IF(TABELA_SAIDAS[[#This Row],[UF]]="","",IFERROR(IF(VLOOKUP(TABELA_SAIDAS[[#This Row],[VALOR]],TABELA_ENTRADAS[VALOR],1,FALSE),"DEVOLUÇÃO"),"SEM ENTRADAS"))</f>
        <v/>
      </c>
    </row>
    <row r="344" spans="2:12" x14ac:dyDescent="0.3">
      <c r="B344" t="str">
        <f>IF('SAÍDAS-BASE'!A342="","",'SAÍDAS-BASE'!A342)</f>
        <v/>
      </c>
      <c r="C344" t="str">
        <f>IF('SAÍDAS-BASE'!B342="","",'SAÍDAS-BASE'!B342)</f>
        <v/>
      </c>
      <c r="D344" t="str">
        <f>IF('SAÍDAS-BASE'!C342="","",'SAÍDAS-BASE'!C342)</f>
        <v/>
      </c>
      <c r="E344" s="7" t="str">
        <f>IF('SAÍDAS-BASE'!D342="","",'SAÍDAS-BASE'!D342)</f>
        <v/>
      </c>
      <c r="F344" s="6" t="str">
        <f>IF('SAÍDAS-BASE'!E342="","",'SAÍDAS-BASE'!E342)</f>
        <v/>
      </c>
      <c r="G344" t="str">
        <f>IF('SAÍDAS-BASE'!F342="","",'SAÍDAS-BASE'!F342)</f>
        <v/>
      </c>
      <c r="H344" t="str">
        <f>IF('SAÍDAS-BASE'!G342="","",'SAÍDAS-BASE'!G342)</f>
        <v/>
      </c>
      <c r="I344" t="str">
        <f>IF('SAÍDAS-BASE'!H342="","",'SAÍDAS-BASE'!H342)</f>
        <v/>
      </c>
      <c r="J344" t="str">
        <f>IF('SAÍDAS-BASE'!I342="","",'SAÍDAS-BASE'!I342)</f>
        <v/>
      </c>
      <c r="K344" s="5" t="str">
        <f>IF('SAÍDAS-BASE'!J342="","",'SAÍDAS-BASE'!J342)</f>
        <v/>
      </c>
      <c r="L344" t="str">
        <f>IF(TABELA_SAIDAS[[#This Row],[UF]]="","",IFERROR(IF(VLOOKUP(TABELA_SAIDAS[[#This Row],[VALOR]],TABELA_ENTRADAS[VALOR],1,FALSE),"DEVOLUÇÃO"),"SEM ENTRADAS"))</f>
        <v/>
      </c>
    </row>
    <row r="345" spans="2:12" x14ac:dyDescent="0.3">
      <c r="B345" t="str">
        <f>IF('SAÍDAS-BASE'!A343="","",'SAÍDAS-BASE'!A343)</f>
        <v/>
      </c>
      <c r="C345" t="str">
        <f>IF('SAÍDAS-BASE'!B343="","",'SAÍDAS-BASE'!B343)</f>
        <v/>
      </c>
      <c r="D345" t="str">
        <f>IF('SAÍDAS-BASE'!C343="","",'SAÍDAS-BASE'!C343)</f>
        <v/>
      </c>
      <c r="E345" s="7" t="str">
        <f>IF('SAÍDAS-BASE'!D343="","",'SAÍDAS-BASE'!D343)</f>
        <v/>
      </c>
      <c r="F345" s="6" t="str">
        <f>IF('SAÍDAS-BASE'!E343="","",'SAÍDAS-BASE'!E343)</f>
        <v/>
      </c>
      <c r="G345" t="str">
        <f>IF('SAÍDAS-BASE'!F343="","",'SAÍDAS-BASE'!F343)</f>
        <v/>
      </c>
      <c r="H345" t="str">
        <f>IF('SAÍDAS-BASE'!G343="","",'SAÍDAS-BASE'!G343)</f>
        <v/>
      </c>
      <c r="I345" t="str">
        <f>IF('SAÍDAS-BASE'!H343="","",'SAÍDAS-BASE'!H343)</f>
        <v/>
      </c>
      <c r="J345" t="str">
        <f>IF('SAÍDAS-BASE'!I343="","",'SAÍDAS-BASE'!I343)</f>
        <v/>
      </c>
      <c r="K345" s="5" t="str">
        <f>IF('SAÍDAS-BASE'!J343="","",'SAÍDAS-BASE'!J343)</f>
        <v/>
      </c>
      <c r="L345" t="str">
        <f>IF(TABELA_SAIDAS[[#This Row],[UF]]="","",IFERROR(IF(VLOOKUP(TABELA_SAIDAS[[#This Row],[VALOR]],TABELA_ENTRADAS[VALOR],1,FALSE),"DEVOLUÇÃO"),"SEM ENTRADAS"))</f>
        <v/>
      </c>
    </row>
    <row r="346" spans="2:12" x14ac:dyDescent="0.3">
      <c r="B346" t="str">
        <f>IF('SAÍDAS-BASE'!A344="","",'SAÍDAS-BASE'!A344)</f>
        <v/>
      </c>
      <c r="C346" t="str">
        <f>IF('SAÍDAS-BASE'!B344="","",'SAÍDAS-BASE'!B344)</f>
        <v/>
      </c>
      <c r="D346" t="str">
        <f>IF('SAÍDAS-BASE'!C344="","",'SAÍDAS-BASE'!C344)</f>
        <v/>
      </c>
      <c r="E346" s="7" t="str">
        <f>IF('SAÍDAS-BASE'!D344="","",'SAÍDAS-BASE'!D344)</f>
        <v/>
      </c>
      <c r="F346" s="6" t="str">
        <f>IF('SAÍDAS-BASE'!E344="","",'SAÍDAS-BASE'!E344)</f>
        <v/>
      </c>
      <c r="G346" t="str">
        <f>IF('SAÍDAS-BASE'!F344="","",'SAÍDAS-BASE'!F344)</f>
        <v/>
      </c>
      <c r="H346" t="str">
        <f>IF('SAÍDAS-BASE'!G344="","",'SAÍDAS-BASE'!G344)</f>
        <v/>
      </c>
      <c r="I346" t="str">
        <f>IF('SAÍDAS-BASE'!H344="","",'SAÍDAS-BASE'!H344)</f>
        <v/>
      </c>
      <c r="J346" t="str">
        <f>IF('SAÍDAS-BASE'!I344="","",'SAÍDAS-BASE'!I344)</f>
        <v/>
      </c>
      <c r="K346" s="5" t="str">
        <f>IF('SAÍDAS-BASE'!J344="","",'SAÍDAS-BASE'!J344)</f>
        <v/>
      </c>
      <c r="L346" t="str">
        <f>IF(TABELA_SAIDAS[[#This Row],[UF]]="","",IFERROR(IF(VLOOKUP(TABELA_SAIDAS[[#This Row],[VALOR]],TABELA_ENTRADAS[VALOR],1,FALSE),"DEVOLUÇÃO"),"SEM ENTRADAS"))</f>
        <v/>
      </c>
    </row>
    <row r="347" spans="2:12" x14ac:dyDescent="0.3">
      <c r="B347" t="str">
        <f>IF('SAÍDAS-BASE'!A345="","",'SAÍDAS-BASE'!A345)</f>
        <v/>
      </c>
      <c r="C347" t="str">
        <f>IF('SAÍDAS-BASE'!B345="","",'SAÍDAS-BASE'!B345)</f>
        <v/>
      </c>
      <c r="D347" t="str">
        <f>IF('SAÍDAS-BASE'!C345="","",'SAÍDAS-BASE'!C345)</f>
        <v/>
      </c>
      <c r="E347" s="7" t="str">
        <f>IF('SAÍDAS-BASE'!D345="","",'SAÍDAS-BASE'!D345)</f>
        <v/>
      </c>
      <c r="F347" s="6" t="str">
        <f>IF('SAÍDAS-BASE'!E345="","",'SAÍDAS-BASE'!E345)</f>
        <v/>
      </c>
      <c r="G347" t="str">
        <f>IF('SAÍDAS-BASE'!F345="","",'SAÍDAS-BASE'!F345)</f>
        <v/>
      </c>
      <c r="H347" t="str">
        <f>IF('SAÍDAS-BASE'!G345="","",'SAÍDAS-BASE'!G345)</f>
        <v/>
      </c>
      <c r="I347" t="str">
        <f>IF('SAÍDAS-BASE'!H345="","",'SAÍDAS-BASE'!H345)</f>
        <v/>
      </c>
      <c r="J347" t="str">
        <f>IF('SAÍDAS-BASE'!I345="","",'SAÍDAS-BASE'!I345)</f>
        <v/>
      </c>
      <c r="K347" s="5" t="str">
        <f>IF('SAÍDAS-BASE'!J345="","",'SAÍDAS-BASE'!J345)</f>
        <v/>
      </c>
      <c r="L347" t="str">
        <f>IF(TABELA_SAIDAS[[#This Row],[UF]]="","",IFERROR(IF(VLOOKUP(TABELA_SAIDAS[[#This Row],[VALOR]],TABELA_ENTRADAS[VALOR],1,FALSE),"DEVOLUÇÃO"),"SEM ENTRADAS"))</f>
        <v/>
      </c>
    </row>
    <row r="348" spans="2:12" x14ac:dyDescent="0.3">
      <c r="B348" t="str">
        <f>IF('SAÍDAS-BASE'!A346="","",'SAÍDAS-BASE'!A346)</f>
        <v/>
      </c>
      <c r="C348" t="str">
        <f>IF('SAÍDAS-BASE'!B346="","",'SAÍDAS-BASE'!B346)</f>
        <v/>
      </c>
      <c r="D348" t="str">
        <f>IF('SAÍDAS-BASE'!C346="","",'SAÍDAS-BASE'!C346)</f>
        <v/>
      </c>
      <c r="E348" s="7" t="str">
        <f>IF('SAÍDAS-BASE'!D346="","",'SAÍDAS-BASE'!D346)</f>
        <v/>
      </c>
      <c r="F348" s="6" t="str">
        <f>IF('SAÍDAS-BASE'!E346="","",'SAÍDAS-BASE'!E346)</f>
        <v/>
      </c>
      <c r="G348" t="str">
        <f>IF('SAÍDAS-BASE'!F346="","",'SAÍDAS-BASE'!F346)</f>
        <v/>
      </c>
      <c r="H348" t="str">
        <f>IF('SAÍDAS-BASE'!G346="","",'SAÍDAS-BASE'!G346)</f>
        <v/>
      </c>
      <c r="I348" t="str">
        <f>IF('SAÍDAS-BASE'!H346="","",'SAÍDAS-BASE'!H346)</f>
        <v/>
      </c>
      <c r="J348" t="str">
        <f>IF('SAÍDAS-BASE'!I346="","",'SAÍDAS-BASE'!I346)</f>
        <v/>
      </c>
      <c r="K348" s="5" t="str">
        <f>IF('SAÍDAS-BASE'!J346="","",'SAÍDAS-BASE'!J346)</f>
        <v/>
      </c>
      <c r="L348" t="str">
        <f>IF(TABELA_SAIDAS[[#This Row],[UF]]="","",IFERROR(IF(VLOOKUP(TABELA_SAIDAS[[#This Row],[VALOR]],TABELA_ENTRADAS[VALOR],1,FALSE),"DEVOLUÇÃO"),"SEM ENTRADAS"))</f>
        <v/>
      </c>
    </row>
    <row r="349" spans="2:12" x14ac:dyDescent="0.3">
      <c r="B349" t="str">
        <f>IF('SAÍDAS-BASE'!A347="","",'SAÍDAS-BASE'!A347)</f>
        <v/>
      </c>
      <c r="C349" t="str">
        <f>IF('SAÍDAS-BASE'!B347="","",'SAÍDAS-BASE'!B347)</f>
        <v/>
      </c>
      <c r="D349" t="str">
        <f>IF('SAÍDAS-BASE'!C347="","",'SAÍDAS-BASE'!C347)</f>
        <v/>
      </c>
      <c r="E349" s="7" t="str">
        <f>IF('SAÍDAS-BASE'!D347="","",'SAÍDAS-BASE'!D347)</f>
        <v/>
      </c>
      <c r="F349" s="6" t="str">
        <f>IF('SAÍDAS-BASE'!E347="","",'SAÍDAS-BASE'!E347)</f>
        <v/>
      </c>
      <c r="G349" t="str">
        <f>IF('SAÍDAS-BASE'!F347="","",'SAÍDAS-BASE'!F347)</f>
        <v/>
      </c>
      <c r="H349" t="str">
        <f>IF('SAÍDAS-BASE'!G347="","",'SAÍDAS-BASE'!G347)</f>
        <v/>
      </c>
      <c r="I349" t="str">
        <f>IF('SAÍDAS-BASE'!H347="","",'SAÍDAS-BASE'!H347)</f>
        <v/>
      </c>
      <c r="J349" t="str">
        <f>IF('SAÍDAS-BASE'!I347="","",'SAÍDAS-BASE'!I347)</f>
        <v/>
      </c>
      <c r="K349" s="5" t="str">
        <f>IF('SAÍDAS-BASE'!J347="","",'SAÍDAS-BASE'!J347)</f>
        <v/>
      </c>
      <c r="L349" t="str">
        <f>IF(TABELA_SAIDAS[[#This Row],[UF]]="","",IFERROR(IF(VLOOKUP(TABELA_SAIDAS[[#This Row],[VALOR]],TABELA_ENTRADAS[VALOR],1,FALSE),"DEVOLUÇÃO"),"SEM ENTRADAS"))</f>
        <v/>
      </c>
    </row>
    <row r="350" spans="2:12" x14ac:dyDescent="0.3">
      <c r="B350" t="str">
        <f>IF('SAÍDAS-BASE'!A348="","",'SAÍDAS-BASE'!A348)</f>
        <v/>
      </c>
      <c r="C350" t="str">
        <f>IF('SAÍDAS-BASE'!B348="","",'SAÍDAS-BASE'!B348)</f>
        <v/>
      </c>
      <c r="D350" t="str">
        <f>IF('SAÍDAS-BASE'!C348="","",'SAÍDAS-BASE'!C348)</f>
        <v/>
      </c>
      <c r="E350" s="7" t="str">
        <f>IF('SAÍDAS-BASE'!D348="","",'SAÍDAS-BASE'!D348)</f>
        <v/>
      </c>
      <c r="F350" s="6" t="str">
        <f>IF('SAÍDAS-BASE'!E348="","",'SAÍDAS-BASE'!E348)</f>
        <v/>
      </c>
      <c r="G350" t="str">
        <f>IF('SAÍDAS-BASE'!F348="","",'SAÍDAS-BASE'!F348)</f>
        <v/>
      </c>
      <c r="H350" t="str">
        <f>IF('SAÍDAS-BASE'!G348="","",'SAÍDAS-BASE'!G348)</f>
        <v/>
      </c>
      <c r="I350" t="str">
        <f>IF('SAÍDAS-BASE'!H348="","",'SAÍDAS-BASE'!H348)</f>
        <v/>
      </c>
      <c r="J350" t="str">
        <f>IF('SAÍDAS-BASE'!I348="","",'SAÍDAS-BASE'!I348)</f>
        <v/>
      </c>
      <c r="K350" s="5" t="str">
        <f>IF('SAÍDAS-BASE'!J348="","",'SAÍDAS-BASE'!J348)</f>
        <v/>
      </c>
      <c r="L350" t="str">
        <f>IF(TABELA_SAIDAS[[#This Row],[UF]]="","",IFERROR(IF(VLOOKUP(TABELA_SAIDAS[[#This Row],[VALOR]],TABELA_ENTRADAS[VALOR],1,FALSE),"DEVOLUÇÃO"),"SEM ENTRADAS"))</f>
        <v/>
      </c>
    </row>
    <row r="351" spans="2:12" x14ac:dyDescent="0.3">
      <c r="B351" t="str">
        <f>IF('SAÍDAS-BASE'!A349="","",'SAÍDAS-BASE'!A349)</f>
        <v/>
      </c>
      <c r="C351" t="str">
        <f>IF('SAÍDAS-BASE'!B349="","",'SAÍDAS-BASE'!B349)</f>
        <v/>
      </c>
      <c r="D351" t="str">
        <f>IF('SAÍDAS-BASE'!C349="","",'SAÍDAS-BASE'!C349)</f>
        <v/>
      </c>
      <c r="E351" s="7" t="str">
        <f>IF('SAÍDAS-BASE'!D349="","",'SAÍDAS-BASE'!D349)</f>
        <v/>
      </c>
      <c r="F351" s="6" t="str">
        <f>IF('SAÍDAS-BASE'!E349="","",'SAÍDAS-BASE'!E349)</f>
        <v/>
      </c>
      <c r="G351" t="str">
        <f>IF('SAÍDAS-BASE'!F349="","",'SAÍDAS-BASE'!F349)</f>
        <v/>
      </c>
      <c r="H351" t="str">
        <f>IF('SAÍDAS-BASE'!G349="","",'SAÍDAS-BASE'!G349)</f>
        <v/>
      </c>
      <c r="I351" t="str">
        <f>IF('SAÍDAS-BASE'!H349="","",'SAÍDAS-BASE'!H349)</f>
        <v/>
      </c>
      <c r="J351" t="str">
        <f>IF('SAÍDAS-BASE'!I349="","",'SAÍDAS-BASE'!I349)</f>
        <v/>
      </c>
      <c r="K351" s="5" t="str">
        <f>IF('SAÍDAS-BASE'!J349="","",'SAÍDAS-BASE'!J349)</f>
        <v/>
      </c>
      <c r="L351" t="str">
        <f>IF(TABELA_SAIDAS[[#This Row],[UF]]="","",IFERROR(IF(VLOOKUP(TABELA_SAIDAS[[#This Row],[VALOR]],TABELA_ENTRADAS[VALOR],1,FALSE),"DEVOLUÇÃO"),"SEM ENTRADAS"))</f>
        <v/>
      </c>
    </row>
    <row r="352" spans="2:12" x14ac:dyDescent="0.3">
      <c r="B352" t="str">
        <f>IF('SAÍDAS-BASE'!A350="","",'SAÍDAS-BASE'!A350)</f>
        <v/>
      </c>
      <c r="C352" t="str">
        <f>IF('SAÍDAS-BASE'!B350="","",'SAÍDAS-BASE'!B350)</f>
        <v/>
      </c>
      <c r="D352" t="str">
        <f>IF('SAÍDAS-BASE'!C350="","",'SAÍDAS-BASE'!C350)</f>
        <v/>
      </c>
      <c r="E352" s="7" t="str">
        <f>IF('SAÍDAS-BASE'!D350="","",'SAÍDAS-BASE'!D350)</f>
        <v/>
      </c>
      <c r="F352" s="6" t="str">
        <f>IF('SAÍDAS-BASE'!E350="","",'SAÍDAS-BASE'!E350)</f>
        <v/>
      </c>
      <c r="G352" t="str">
        <f>IF('SAÍDAS-BASE'!F350="","",'SAÍDAS-BASE'!F350)</f>
        <v/>
      </c>
      <c r="H352" t="str">
        <f>IF('SAÍDAS-BASE'!G350="","",'SAÍDAS-BASE'!G350)</f>
        <v/>
      </c>
      <c r="I352" t="str">
        <f>IF('SAÍDAS-BASE'!H350="","",'SAÍDAS-BASE'!H350)</f>
        <v/>
      </c>
      <c r="J352" t="str">
        <f>IF('SAÍDAS-BASE'!I350="","",'SAÍDAS-BASE'!I350)</f>
        <v/>
      </c>
      <c r="K352" s="5" t="str">
        <f>IF('SAÍDAS-BASE'!J350="","",'SAÍDAS-BASE'!J350)</f>
        <v/>
      </c>
      <c r="L352" t="str">
        <f>IF(TABELA_SAIDAS[[#This Row],[UF]]="","",IFERROR(IF(VLOOKUP(TABELA_SAIDAS[[#This Row],[VALOR]],TABELA_ENTRADAS[VALOR],1,FALSE),"DEVOLUÇÃO"),"SEM ENTRADAS"))</f>
        <v/>
      </c>
    </row>
    <row r="353" spans="2:12" x14ac:dyDescent="0.3">
      <c r="B353" t="str">
        <f>IF('SAÍDAS-BASE'!A351="","",'SAÍDAS-BASE'!A351)</f>
        <v/>
      </c>
      <c r="C353" t="str">
        <f>IF('SAÍDAS-BASE'!B351="","",'SAÍDAS-BASE'!B351)</f>
        <v/>
      </c>
      <c r="D353" t="str">
        <f>IF('SAÍDAS-BASE'!C351="","",'SAÍDAS-BASE'!C351)</f>
        <v/>
      </c>
      <c r="E353" s="7" t="str">
        <f>IF('SAÍDAS-BASE'!D351="","",'SAÍDAS-BASE'!D351)</f>
        <v/>
      </c>
      <c r="F353" s="6" t="str">
        <f>IF('SAÍDAS-BASE'!E351="","",'SAÍDAS-BASE'!E351)</f>
        <v/>
      </c>
      <c r="G353" t="str">
        <f>IF('SAÍDAS-BASE'!F351="","",'SAÍDAS-BASE'!F351)</f>
        <v/>
      </c>
      <c r="H353" t="str">
        <f>IF('SAÍDAS-BASE'!G351="","",'SAÍDAS-BASE'!G351)</f>
        <v/>
      </c>
      <c r="I353" t="str">
        <f>IF('SAÍDAS-BASE'!H351="","",'SAÍDAS-BASE'!H351)</f>
        <v/>
      </c>
      <c r="J353" t="str">
        <f>IF('SAÍDAS-BASE'!I351="","",'SAÍDAS-BASE'!I351)</f>
        <v/>
      </c>
      <c r="K353" s="5" t="str">
        <f>IF('SAÍDAS-BASE'!J351="","",'SAÍDAS-BASE'!J351)</f>
        <v/>
      </c>
      <c r="L353" t="str">
        <f>IF(TABELA_SAIDAS[[#This Row],[UF]]="","",IFERROR(IF(VLOOKUP(TABELA_SAIDAS[[#This Row],[VALOR]],TABELA_ENTRADAS[VALOR],1,FALSE),"DEVOLUÇÃO"),"SEM ENTRADAS"))</f>
        <v/>
      </c>
    </row>
    <row r="354" spans="2:12" x14ac:dyDescent="0.3">
      <c r="B354" t="str">
        <f>IF('SAÍDAS-BASE'!A352="","",'SAÍDAS-BASE'!A352)</f>
        <v/>
      </c>
      <c r="C354" t="str">
        <f>IF('SAÍDAS-BASE'!B352="","",'SAÍDAS-BASE'!B352)</f>
        <v/>
      </c>
      <c r="D354" t="str">
        <f>IF('SAÍDAS-BASE'!C352="","",'SAÍDAS-BASE'!C352)</f>
        <v/>
      </c>
      <c r="E354" s="7" t="str">
        <f>IF('SAÍDAS-BASE'!D352="","",'SAÍDAS-BASE'!D352)</f>
        <v/>
      </c>
      <c r="F354" s="6" t="str">
        <f>IF('SAÍDAS-BASE'!E352="","",'SAÍDAS-BASE'!E352)</f>
        <v/>
      </c>
      <c r="G354" t="str">
        <f>IF('SAÍDAS-BASE'!F352="","",'SAÍDAS-BASE'!F352)</f>
        <v/>
      </c>
      <c r="H354" t="str">
        <f>IF('SAÍDAS-BASE'!G352="","",'SAÍDAS-BASE'!G352)</f>
        <v/>
      </c>
      <c r="I354" t="str">
        <f>IF('SAÍDAS-BASE'!H352="","",'SAÍDAS-BASE'!H352)</f>
        <v/>
      </c>
      <c r="J354" t="str">
        <f>IF('SAÍDAS-BASE'!I352="","",'SAÍDAS-BASE'!I352)</f>
        <v/>
      </c>
      <c r="K354" s="5" t="str">
        <f>IF('SAÍDAS-BASE'!J352="","",'SAÍDAS-BASE'!J352)</f>
        <v/>
      </c>
      <c r="L354" t="str">
        <f>IF(TABELA_SAIDAS[[#This Row],[UF]]="","",IFERROR(IF(VLOOKUP(TABELA_SAIDAS[[#This Row],[VALOR]],TABELA_ENTRADAS[VALOR],1,FALSE),"DEVOLUÇÃO"),"SEM ENTRADAS"))</f>
        <v/>
      </c>
    </row>
    <row r="355" spans="2:12" x14ac:dyDescent="0.3">
      <c r="B355" t="str">
        <f>IF('SAÍDAS-BASE'!A353="","",'SAÍDAS-BASE'!A353)</f>
        <v/>
      </c>
      <c r="C355" t="str">
        <f>IF('SAÍDAS-BASE'!B353="","",'SAÍDAS-BASE'!B353)</f>
        <v/>
      </c>
      <c r="D355" t="str">
        <f>IF('SAÍDAS-BASE'!C353="","",'SAÍDAS-BASE'!C353)</f>
        <v/>
      </c>
      <c r="E355" s="7" t="str">
        <f>IF('SAÍDAS-BASE'!D353="","",'SAÍDAS-BASE'!D353)</f>
        <v/>
      </c>
      <c r="F355" s="6" t="str">
        <f>IF('SAÍDAS-BASE'!E353="","",'SAÍDAS-BASE'!E353)</f>
        <v/>
      </c>
      <c r="G355" t="str">
        <f>IF('SAÍDAS-BASE'!F353="","",'SAÍDAS-BASE'!F353)</f>
        <v/>
      </c>
      <c r="H355" t="str">
        <f>IF('SAÍDAS-BASE'!G353="","",'SAÍDAS-BASE'!G353)</f>
        <v/>
      </c>
      <c r="I355" t="str">
        <f>IF('SAÍDAS-BASE'!H353="","",'SAÍDAS-BASE'!H353)</f>
        <v/>
      </c>
      <c r="J355" t="str">
        <f>IF('SAÍDAS-BASE'!I353="","",'SAÍDAS-BASE'!I353)</f>
        <v/>
      </c>
      <c r="K355" s="5" t="str">
        <f>IF('SAÍDAS-BASE'!J353="","",'SAÍDAS-BASE'!J353)</f>
        <v/>
      </c>
      <c r="L355" t="str">
        <f>IF(TABELA_SAIDAS[[#This Row],[UF]]="","",IFERROR(IF(VLOOKUP(TABELA_SAIDAS[[#This Row],[VALOR]],TABELA_ENTRADAS[VALOR],1,FALSE),"DEVOLUÇÃO"),"SEM ENTRADAS"))</f>
        <v/>
      </c>
    </row>
    <row r="356" spans="2:12" x14ac:dyDescent="0.3">
      <c r="B356" t="str">
        <f>IF('SAÍDAS-BASE'!A354="","",'SAÍDAS-BASE'!A354)</f>
        <v/>
      </c>
      <c r="C356" t="str">
        <f>IF('SAÍDAS-BASE'!B354="","",'SAÍDAS-BASE'!B354)</f>
        <v/>
      </c>
      <c r="D356" t="str">
        <f>IF('SAÍDAS-BASE'!C354="","",'SAÍDAS-BASE'!C354)</f>
        <v/>
      </c>
      <c r="E356" s="7" t="str">
        <f>IF('SAÍDAS-BASE'!D354="","",'SAÍDAS-BASE'!D354)</f>
        <v/>
      </c>
      <c r="F356" s="6" t="str">
        <f>IF('SAÍDAS-BASE'!E354="","",'SAÍDAS-BASE'!E354)</f>
        <v/>
      </c>
      <c r="G356" t="str">
        <f>IF('SAÍDAS-BASE'!F354="","",'SAÍDAS-BASE'!F354)</f>
        <v/>
      </c>
      <c r="H356" t="str">
        <f>IF('SAÍDAS-BASE'!G354="","",'SAÍDAS-BASE'!G354)</f>
        <v/>
      </c>
      <c r="I356" t="str">
        <f>IF('SAÍDAS-BASE'!H354="","",'SAÍDAS-BASE'!H354)</f>
        <v/>
      </c>
      <c r="J356" t="str">
        <f>IF('SAÍDAS-BASE'!I354="","",'SAÍDAS-BASE'!I354)</f>
        <v/>
      </c>
      <c r="K356" s="5" t="str">
        <f>IF('SAÍDAS-BASE'!J354="","",'SAÍDAS-BASE'!J354)</f>
        <v/>
      </c>
      <c r="L356" t="str">
        <f>IF(TABELA_SAIDAS[[#This Row],[UF]]="","",IFERROR(IF(VLOOKUP(TABELA_SAIDAS[[#This Row],[VALOR]],TABELA_ENTRADAS[VALOR],1,FALSE),"DEVOLUÇÃO"),"SEM ENTRADAS"))</f>
        <v/>
      </c>
    </row>
    <row r="357" spans="2:12" x14ac:dyDescent="0.3">
      <c r="B357" t="str">
        <f>IF('SAÍDAS-BASE'!A355="","",'SAÍDAS-BASE'!A355)</f>
        <v/>
      </c>
      <c r="C357" t="str">
        <f>IF('SAÍDAS-BASE'!B355="","",'SAÍDAS-BASE'!B355)</f>
        <v/>
      </c>
      <c r="D357" t="str">
        <f>IF('SAÍDAS-BASE'!C355="","",'SAÍDAS-BASE'!C355)</f>
        <v/>
      </c>
      <c r="E357" s="7" t="str">
        <f>IF('SAÍDAS-BASE'!D355="","",'SAÍDAS-BASE'!D355)</f>
        <v/>
      </c>
      <c r="F357" s="6" t="str">
        <f>IF('SAÍDAS-BASE'!E355="","",'SAÍDAS-BASE'!E355)</f>
        <v/>
      </c>
      <c r="G357" t="str">
        <f>IF('SAÍDAS-BASE'!F355="","",'SAÍDAS-BASE'!F355)</f>
        <v/>
      </c>
      <c r="H357" t="str">
        <f>IF('SAÍDAS-BASE'!G355="","",'SAÍDAS-BASE'!G355)</f>
        <v/>
      </c>
      <c r="I357" t="str">
        <f>IF('SAÍDAS-BASE'!H355="","",'SAÍDAS-BASE'!H355)</f>
        <v/>
      </c>
      <c r="J357" t="str">
        <f>IF('SAÍDAS-BASE'!I355="","",'SAÍDAS-BASE'!I355)</f>
        <v/>
      </c>
      <c r="K357" s="5" t="str">
        <f>IF('SAÍDAS-BASE'!J355="","",'SAÍDAS-BASE'!J355)</f>
        <v/>
      </c>
      <c r="L357" t="str">
        <f>IF(TABELA_SAIDAS[[#This Row],[UF]]="","",IFERROR(IF(VLOOKUP(TABELA_SAIDAS[[#This Row],[VALOR]],TABELA_ENTRADAS[VALOR],1,FALSE),"DEVOLUÇÃO"),"SEM ENTRADAS"))</f>
        <v/>
      </c>
    </row>
    <row r="358" spans="2:12" x14ac:dyDescent="0.3">
      <c r="B358" t="str">
        <f>IF('SAÍDAS-BASE'!A356="","",'SAÍDAS-BASE'!A356)</f>
        <v/>
      </c>
      <c r="C358" t="str">
        <f>IF('SAÍDAS-BASE'!B356="","",'SAÍDAS-BASE'!B356)</f>
        <v/>
      </c>
      <c r="D358" t="str">
        <f>IF('SAÍDAS-BASE'!C356="","",'SAÍDAS-BASE'!C356)</f>
        <v/>
      </c>
      <c r="E358" s="7" t="str">
        <f>IF('SAÍDAS-BASE'!D356="","",'SAÍDAS-BASE'!D356)</f>
        <v/>
      </c>
      <c r="F358" s="6" t="str">
        <f>IF('SAÍDAS-BASE'!E356="","",'SAÍDAS-BASE'!E356)</f>
        <v/>
      </c>
      <c r="G358" t="str">
        <f>IF('SAÍDAS-BASE'!F356="","",'SAÍDAS-BASE'!F356)</f>
        <v/>
      </c>
      <c r="H358" t="str">
        <f>IF('SAÍDAS-BASE'!G356="","",'SAÍDAS-BASE'!G356)</f>
        <v/>
      </c>
      <c r="I358" t="str">
        <f>IF('SAÍDAS-BASE'!H356="","",'SAÍDAS-BASE'!H356)</f>
        <v/>
      </c>
      <c r="J358" t="str">
        <f>IF('SAÍDAS-BASE'!I356="","",'SAÍDAS-BASE'!I356)</f>
        <v/>
      </c>
      <c r="K358" s="5" t="str">
        <f>IF('SAÍDAS-BASE'!J356="","",'SAÍDAS-BASE'!J356)</f>
        <v/>
      </c>
      <c r="L358" t="str">
        <f>IF(TABELA_SAIDAS[[#This Row],[UF]]="","",IFERROR(IF(VLOOKUP(TABELA_SAIDAS[[#This Row],[VALOR]],TABELA_ENTRADAS[VALOR],1,FALSE),"DEVOLUÇÃO"),"SEM ENTRADAS"))</f>
        <v/>
      </c>
    </row>
    <row r="359" spans="2:12" x14ac:dyDescent="0.3">
      <c r="B359" t="str">
        <f>IF('SAÍDAS-BASE'!A357="","",'SAÍDAS-BASE'!A357)</f>
        <v/>
      </c>
      <c r="C359" t="str">
        <f>IF('SAÍDAS-BASE'!B357="","",'SAÍDAS-BASE'!B357)</f>
        <v/>
      </c>
      <c r="D359" t="str">
        <f>IF('SAÍDAS-BASE'!C357="","",'SAÍDAS-BASE'!C357)</f>
        <v/>
      </c>
      <c r="E359" s="7" t="str">
        <f>IF('SAÍDAS-BASE'!D357="","",'SAÍDAS-BASE'!D357)</f>
        <v/>
      </c>
      <c r="F359" s="6" t="str">
        <f>IF('SAÍDAS-BASE'!E357="","",'SAÍDAS-BASE'!E357)</f>
        <v/>
      </c>
      <c r="G359" t="str">
        <f>IF('SAÍDAS-BASE'!F357="","",'SAÍDAS-BASE'!F357)</f>
        <v/>
      </c>
      <c r="H359" t="str">
        <f>IF('SAÍDAS-BASE'!G357="","",'SAÍDAS-BASE'!G357)</f>
        <v/>
      </c>
      <c r="I359" t="str">
        <f>IF('SAÍDAS-BASE'!H357="","",'SAÍDAS-BASE'!H357)</f>
        <v/>
      </c>
      <c r="J359" t="str">
        <f>IF('SAÍDAS-BASE'!I357="","",'SAÍDAS-BASE'!I357)</f>
        <v/>
      </c>
      <c r="K359" s="5" t="str">
        <f>IF('SAÍDAS-BASE'!J357="","",'SAÍDAS-BASE'!J357)</f>
        <v/>
      </c>
      <c r="L359" t="str">
        <f>IF(TABELA_SAIDAS[[#This Row],[UF]]="","",IFERROR(IF(VLOOKUP(TABELA_SAIDAS[[#This Row],[VALOR]],TABELA_ENTRADAS[VALOR],1,FALSE),"DEVOLUÇÃO"),"SEM ENTRADAS"))</f>
        <v/>
      </c>
    </row>
    <row r="360" spans="2:12" x14ac:dyDescent="0.3">
      <c r="B360" t="str">
        <f>IF('SAÍDAS-BASE'!A358="","",'SAÍDAS-BASE'!A358)</f>
        <v/>
      </c>
      <c r="C360" t="str">
        <f>IF('SAÍDAS-BASE'!B358="","",'SAÍDAS-BASE'!B358)</f>
        <v/>
      </c>
      <c r="D360" t="str">
        <f>IF('SAÍDAS-BASE'!C358="","",'SAÍDAS-BASE'!C358)</f>
        <v/>
      </c>
      <c r="E360" s="7" t="str">
        <f>IF('SAÍDAS-BASE'!D358="","",'SAÍDAS-BASE'!D358)</f>
        <v/>
      </c>
      <c r="F360" s="6" t="str">
        <f>IF('SAÍDAS-BASE'!E358="","",'SAÍDAS-BASE'!E358)</f>
        <v/>
      </c>
      <c r="G360" t="str">
        <f>IF('SAÍDAS-BASE'!F358="","",'SAÍDAS-BASE'!F358)</f>
        <v/>
      </c>
      <c r="H360" t="str">
        <f>IF('SAÍDAS-BASE'!G358="","",'SAÍDAS-BASE'!G358)</f>
        <v/>
      </c>
      <c r="I360" t="str">
        <f>IF('SAÍDAS-BASE'!H358="","",'SAÍDAS-BASE'!H358)</f>
        <v/>
      </c>
      <c r="J360" t="str">
        <f>IF('SAÍDAS-BASE'!I358="","",'SAÍDAS-BASE'!I358)</f>
        <v/>
      </c>
      <c r="K360" s="5" t="str">
        <f>IF('SAÍDAS-BASE'!J358="","",'SAÍDAS-BASE'!J358)</f>
        <v/>
      </c>
      <c r="L360" t="str">
        <f>IF(TABELA_SAIDAS[[#This Row],[UF]]="","",IFERROR(IF(VLOOKUP(TABELA_SAIDAS[[#This Row],[VALOR]],TABELA_ENTRADAS[VALOR],1,FALSE),"DEVOLUÇÃO"),"SEM ENTRADAS"))</f>
        <v/>
      </c>
    </row>
    <row r="361" spans="2:12" x14ac:dyDescent="0.3">
      <c r="B361" t="str">
        <f>IF('SAÍDAS-BASE'!A359="","",'SAÍDAS-BASE'!A359)</f>
        <v/>
      </c>
      <c r="C361" t="str">
        <f>IF('SAÍDAS-BASE'!B359="","",'SAÍDAS-BASE'!B359)</f>
        <v/>
      </c>
      <c r="D361" t="str">
        <f>IF('SAÍDAS-BASE'!C359="","",'SAÍDAS-BASE'!C359)</f>
        <v/>
      </c>
      <c r="E361" s="7" t="str">
        <f>IF('SAÍDAS-BASE'!D359="","",'SAÍDAS-BASE'!D359)</f>
        <v/>
      </c>
      <c r="F361" s="6" t="str">
        <f>IF('SAÍDAS-BASE'!E359="","",'SAÍDAS-BASE'!E359)</f>
        <v/>
      </c>
      <c r="G361" t="str">
        <f>IF('SAÍDAS-BASE'!F359="","",'SAÍDAS-BASE'!F359)</f>
        <v/>
      </c>
      <c r="H361" t="str">
        <f>IF('SAÍDAS-BASE'!G359="","",'SAÍDAS-BASE'!G359)</f>
        <v/>
      </c>
      <c r="I361" t="str">
        <f>IF('SAÍDAS-BASE'!H359="","",'SAÍDAS-BASE'!H359)</f>
        <v/>
      </c>
      <c r="J361" t="str">
        <f>IF('SAÍDAS-BASE'!I359="","",'SAÍDAS-BASE'!I359)</f>
        <v/>
      </c>
      <c r="K361" s="5" t="str">
        <f>IF('SAÍDAS-BASE'!J359="","",'SAÍDAS-BASE'!J359)</f>
        <v/>
      </c>
      <c r="L361" t="str">
        <f>IF(TABELA_SAIDAS[[#This Row],[UF]]="","",IFERROR(IF(VLOOKUP(TABELA_SAIDAS[[#This Row],[VALOR]],TABELA_ENTRADAS[VALOR],1,FALSE),"DEVOLUÇÃO"),"SEM ENTRADAS"))</f>
        <v/>
      </c>
    </row>
    <row r="362" spans="2:12" x14ac:dyDescent="0.3">
      <c r="B362" t="str">
        <f>IF('SAÍDAS-BASE'!A360="","",'SAÍDAS-BASE'!A360)</f>
        <v/>
      </c>
      <c r="C362" t="str">
        <f>IF('SAÍDAS-BASE'!B360="","",'SAÍDAS-BASE'!B360)</f>
        <v/>
      </c>
      <c r="D362" t="str">
        <f>IF('SAÍDAS-BASE'!C360="","",'SAÍDAS-BASE'!C360)</f>
        <v/>
      </c>
      <c r="E362" s="7" t="str">
        <f>IF('SAÍDAS-BASE'!D360="","",'SAÍDAS-BASE'!D360)</f>
        <v/>
      </c>
      <c r="F362" s="6" t="str">
        <f>IF('SAÍDAS-BASE'!E360="","",'SAÍDAS-BASE'!E360)</f>
        <v/>
      </c>
      <c r="G362" t="str">
        <f>IF('SAÍDAS-BASE'!F360="","",'SAÍDAS-BASE'!F360)</f>
        <v/>
      </c>
      <c r="H362" t="str">
        <f>IF('SAÍDAS-BASE'!G360="","",'SAÍDAS-BASE'!G360)</f>
        <v/>
      </c>
      <c r="I362" t="str">
        <f>IF('SAÍDAS-BASE'!H360="","",'SAÍDAS-BASE'!H360)</f>
        <v/>
      </c>
      <c r="J362" t="str">
        <f>IF('SAÍDAS-BASE'!I360="","",'SAÍDAS-BASE'!I360)</f>
        <v/>
      </c>
      <c r="K362" s="5" t="str">
        <f>IF('SAÍDAS-BASE'!J360="","",'SAÍDAS-BASE'!J360)</f>
        <v/>
      </c>
      <c r="L362" t="str">
        <f>IF(TABELA_SAIDAS[[#This Row],[UF]]="","",IFERROR(IF(VLOOKUP(TABELA_SAIDAS[[#This Row],[VALOR]],TABELA_ENTRADAS[VALOR],1,FALSE),"DEVOLUÇÃO"),"SEM ENTRADAS"))</f>
        <v/>
      </c>
    </row>
    <row r="363" spans="2:12" x14ac:dyDescent="0.3">
      <c r="B363" t="str">
        <f>IF('SAÍDAS-BASE'!A361="","",'SAÍDAS-BASE'!A361)</f>
        <v/>
      </c>
      <c r="C363" t="str">
        <f>IF('SAÍDAS-BASE'!B361="","",'SAÍDAS-BASE'!B361)</f>
        <v/>
      </c>
      <c r="D363" t="str">
        <f>IF('SAÍDAS-BASE'!C361="","",'SAÍDAS-BASE'!C361)</f>
        <v/>
      </c>
      <c r="E363" s="7" t="str">
        <f>IF('SAÍDAS-BASE'!D361="","",'SAÍDAS-BASE'!D361)</f>
        <v/>
      </c>
      <c r="F363" s="6" t="str">
        <f>IF('SAÍDAS-BASE'!E361="","",'SAÍDAS-BASE'!E361)</f>
        <v/>
      </c>
      <c r="G363" t="str">
        <f>IF('SAÍDAS-BASE'!F361="","",'SAÍDAS-BASE'!F361)</f>
        <v/>
      </c>
      <c r="H363" t="str">
        <f>IF('SAÍDAS-BASE'!G361="","",'SAÍDAS-BASE'!G361)</f>
        <v/>
      </c>
      <c r="I363" t="str">
        <f>IF('SAÍDAS-BASE'!H361="","",'SAÍDAS-BASE'!H361)</f>
        <v/>
      </c>
      <c r="J363" t="str">
        <f>IF('SAÍDAS-BASE'!I361="","",'SAÍDAS-BASE'!I361)</f>
        <v/>
      </c>
      <c r="K363" s="5" t="str">
        <f>IF('SAÍDAS-BASE'!J361="","",'SAÍDAS-BASE'!J361)</f>
        <v/>
      </c>
      <c r="L363" t="str">
        <f>IF(TABELA_SAIDAS[[#This Row],[UF]]="","",IFERROR(IF(VLOOKUP(TABELA_SAIDAS[[#This Row],[VALOR]],TABELA_ENTRADAS[VALOR],1,FALSE),"DEVOLUÇÃO"),"SEM ENTRADAS"))</f>
        <v/>
      </c>
    </row>
    <row r="364" spans="2:12" x14ac:dyDescent="0.3">
      <c r="B364" t="str">
        <f>IF('SAÍDAS-BASE'!A362="","",'SAÍDAS-BASE'!A362)</f>
        <v/>
      </c>
      <c r="C364" t="str">
        <f>IF('SAÍDAS-BASE'!B362="","",'SAÍDAS-BASE'!B362)</f>
        <v/>
      </c>
      <c r="D364" t="str">
        <f>IF('SAÍDAS-BASE'!C362="","",'SAÍDAS-BASE'!C362)</f>
        <v/>
      </c>
      <c r="E364" s="7" t="str">
        <f>IF('SAÍDAS-BASE'!D362="","",'SAÍDAS-BASE'!D362)</f>
        <v/>
      </c>
      <c r="F364" s="6" t="str">
        <f>IF('SAÍDAS-BASE'!E362="","",'SAÍDAS-BASE'!E362)</f>
        <v/>
      </c>
      <c r="G364" t="str">
        <f>IF('SAÍDAS-BASE'!F362="","",'SAÍDAS-BASE'!F362)</f>
        <v/>
      </c>
      <c r="H364" t="str">
        <f>IF('SAÍDAS-BASE'!G362="","",'SAÍDAS-BASE'!G362)</f>
        <v/>
      </c>
      <c r="I364" t="str">
        <f>IF('SAÍDAS-BASE'!H362="","",'SAÍDAS-BASE'!H362)</f>
        <v/>
      </c>
      <c r="J364" t="str">
        <f>IF('SAÍDAS-BASE'!I362="","",'SAÍDAS-BASE'!I362)</f>
        <v/>
      </c>
      <c r="K364" s="5" t="str">
        <f>IF('SAÍDAS-BASE'!J362="","",'SAÍDAS-BASE'!J362)</f>
        <v/>
      </c>
      <c r="L364" t="str">
        <f>IF(TABELA_SAIDAS[[#This Row],[UF]]="","",IFERROR(IF(VLOOKUP(TABELA_SAIDAS[[#This Row],[VALOR]],TABELA_ENTRADAS[VALOR],1,FALSE),"DEVOLUÇÃO"),"SEM ENTRADAS"))</f>
        <v/>
      </c>
    </row>
    <row r="365" spans="2:12" x14ac:dyDescent="0.3">
      <c r="B365" t="str">
        <f>IF('SAÍDAS-BASE'!A363="","",'SAÍDAS-BASE'!A363)</f>
        <v/>
      </c>
      <c r="C365" t="str">
        <f>IF('SAÍDAS-BASE'!B363="","",'SAÍDAS-BASE'!B363)</f>
        <v/>
      </c>
      <c r="D365" t="str">
        <f>IF('SAÍDAS-BASE'!C363="","",'SAÍDAS-BASE'!C363)</f>
        <v/>
      </c>
      <c r="E365" s="7" t="str">
        <f>IF('SAÍDAS-BASE'!D363="","",'SAÍDAS-BASE'!D363)</f>
        <v/>
      </c>
      <c r="F365" s="6" t="str">
        <f>IF('SAÍDAS-BASE'!E363="","",'SAÍDAS-BASE'!E363)</f>
        <v/>
      </c>
      <c r="G365" t="str">
        <f>IF('SAÍDAS-BASE'!F363="","",'SAÍDAS-BASE'!F363)</f>
        <v/>
      </c>
      <c r="H365" t="str">
        <f>IF('SAÍDAS-BASE'!G363="","",'SAÍDAS-BASE'!G363)</f>
        <v/>
      </c>
      <c r="I365" t="str">
        <f>IF('SAÍDAS-BASE'!H363="","",'SAÍDAS-BASE'!H363)</f>
        <v/>
      </c>
      <c r="J365" t="str">
        <f>IF('SAÍDAS-BASE'!I363="","",'SAÍDAS-BASE'!I363)</f>
        <v/>
      </c>
      <c r="K365" s="5" t="str">
        <f>IF('SAÍDAS-BASE'!J363="","",'SAÍDAS-BASE'!J363)</f>
        <v/>
      </c>
      <c r="L365" t="str">
        <f>IF(TABELA_SAIDAS[[#This Row],[UF]]="","",IFERROR(IF(VLOOKUP(TABELA_SAIDAS[[#This Row],[VALOR]],TABELA_ENTRADAS[VALOR],1,FALSE),"DEVOLUÇÃO"),"SEM ENTRADAS"))</f>
        <v/>
      </c>
    </row>
    <row r="366" spans="2:12" x14ac:dyDescent="0.3">
      <c r="B366" t="str">
        <f>IF('SAÍDAS-BASE'!A364="","",'SAÍDAS-BASE'!A364)</f>
        <v/>
      </c>
      <c r="C366" t="str">
        <f>IF('SAÍDAS-BASE'!B364="","",'SAÍDAS-BASE'!B364)</f>
        <v/>
      </c>
      <c r="D366" t="str">
        <f>IF('SAÍDAS-BASE'!C364="","",'SAÍDAS-BASE'!C364)</f>
        <v/>
      </c>
      <c r="E366" s="7" t="str">
        <f>IF('SAÍDAS-BASE'!D364="","",'SAÍDAS-BASE'!D364)</f>
        <v/>
      </c>
      <c r="F366" s="6" t="str">
        <f>IF('SAÍDAS-BASE'!E364="","",'SAÍDAS-BASE'!E364)</f>
        <v/>
      </c>
      <c r="G366" t="str">
        <f>IF('SAÍDAS-BASE'!F364="","",'SAÍDAS-BASE'!F364)</f>
        <v/>
      </c>
      <c r="H366" t="str">
        <f>IF('SAÍDAS-BASE'!G364="","",'SAÍDAS-BASE'!G364)</f>
        <v/>
      </c>
      <c r="I366" t="str">
        <f>IF('SAÍDAS-BASE'!H364="","",'SAÍDAS-BASE'!H364)</f>
        <v/>
      </c>
      <c r="J366" t="str">
        <f>IF('SAÍDAS-BASE'!I364="","",'SAÍDAS-BASE'!I364)</f>
        <v/>
      </c>
      <c r="K366" s="5" t="str">
        <f>IF('SAÍDAS-BASE'!J364="","",'SAÍDAS-BASE'!J364)</f>
        <v/>
      </c>
      <c r="L366" t="str">
        <f>IF(TABELA_SAIDAS[[#This Row],[UF]]="","",IFERROR(IF(VLOOKUP(TABELA_SAIDAS[[#This Row],[VALOR]],TABELA_ENTRADAS[VALOR],1,FALSE),"DEVOLUÇÃO"),"SEM ENTRADAS"))</f>
        <v/>
      </c>
    </row>
    <row r="367" spans="2:12" x14ac:dyDescent="0.3">
      <c r="B367" t="str">
        <f>IF('SAÍDAS-BASE'!A365="","",'SAÍDAS-BASE'!A365)</f>
        <v/>
      </c>
      <c r="C367" t="str">
        <f>IF('SAÍDAS-BASE'!B365="","",'SAÍDAS-BASE'!B365)</f>
        <v/>
      </c>
      <c r="D367" t="str">
        <f>IF('SAÍDAS-BASE'!C365="","",'SAÍDAS-BASE'!C365)</f>
        <v/>
      </c>
      <c r="E367" s="7" t="str">
        <f>IF('SAÍDAS-BASE'!D365="","",'SAÍDAS-BASE'!D365)</f>
        <v/>
      </c>
      <c r="F367" s="6" t="str">
        <f>IF('SAÍDAS-BASE'!E365="","",'SAÍDAS-BASE'!E365)</f>
        <v/>
      </c>
      <c r="G367" t="str">
        <f>IF('SAÍDAS-BASE'!F365="","",'SAÍDAS-BASE'!F365)</f>
        <v/>
      </c>
      <c r="H367" t="str">
        <f>IF('SAÍDAS-BASE'!G365="","",'SAÍDAS-BASE'!G365)</f>
        <v/>
      </c>
      <c r="I367" t="str">
        <f>IF('SAÍDAS-BASE'!H365="","",'SAÍDAS-BASE'!H365)</f>
        <v/>
      </c>
      <c r="J367" t="str">
        <f>IF('SAÍDAS-BASE'!I365="","",'SAÍDAS-BASE'!I365)</f>
        <v/>
      </c>
      <c r="K367" s="5" t="str">
        <f>IF('SAÍDAS-BASE'!J365="","",'SAÍDAS-BASE'!J365)</f>
        <v/>
      </c>
      <c r="L367" t="str">
        <f>IF(TABELA_SAIDAS[[#This Row],[UF]]="","",IFERROR(IF(VLOOKUP(TABELA_SAIDAS[[#This Row],[VALOR]],TABELA_ENTRADAS[VALOR],1,FALSE),"DEVOLUÇÃO"),"SEM ENTRADAS"))</f>
        <v/>
      </c>
    </row>
    <row r="368" spans="2:12" x14ac:dyDescent="0.3">
      <c r="B368" t="str">
        <f>IF('SAÍDAS-BASE'!A366="","",'SAÍDAS-BASE'!A366)</f>
        <v/>
      </c>
      <c r="C368" t="str">
        <f>IF('SAÍDAS-BASE'!B366="","",'SAÍDAS-BASE'!B366)</f>
        <v/>
      </c>
      <c r="D368" t="str">
        <f>IF('SAÍDAS-BASE'!C366="","",'SAÍDAS-BASE'!C366)</f>
        <v/>
      </c>
      <c r="E368" s="7" t="str">
        <f>IF('SAÍDAS-BASE'!D366="","",'SAÍDAS-BASE'!D366)</f>
        <v/>
      </c>
      <c r="F368" s="6" t="str">
        <f>IF('SAÍDAS-BASE'!E366="","",'SAÍDAS-BASE'!E366)</f>
        <v/>
      </c>
      <c r="G368" t="str">
        <f>IF('SAÍDAS-BASE'!F366="","",'SAÍDAS-BASE'!F366)</f>
        <v/>
      </c>
      <c r="H368" t="str">
        <f>IF('SAÍDAS-BASE'!G366="","",'SAÍDAS-BASE'!G366)</f>
        <v/>
      </c>
      <c r="I368" t="str">
        <f>IF('SAÍDAS-BASE'!H366="","",'SAÍDAS-BASE'!H366)</f>
        <v/>
      </c>
      <c r="J368" t="str">
        <f>IF('SAÍDAS-BASE'!I366="","",'SAÍDAS-BASE'!I366)</f>
        <v/>
      </c>
      <c r="K368" s="5" t="str">
        <f>IF('SAÍDAS-BASE'!J366="","",'SAÍDAS-BASE'!J366)</f>
        <v/>
      </c>
      <c r="L368" t="str">
        <f>IF(TABELA_SAIDAS[[#This Row],[UF]]="","",IFERROR(IF(VLOOKUP(TABELA_SAIDAS[[#This Row],[VALOR]],TABELA_ENTRADAS[VALOR],1,FALSE),"DEVOLUÇÃO"),"SEM ENTRADAS"))</f>
        <v/>
      </c>
    </row>
    <row r="369" spans="2:12" x14ac:dyDescent="0.3">
      <c r="B369" t="str">
        <f>IF('SAÍDAS-BASE'!A367="","",'SAÍDAS-BASE'!A367)</f>
        <v/>
      </c>
      <c r="C369" t="str">
        <f>IF('SAÍDAS-BASE'!B367="","",'SAÍDAS-BASE'!B367)</f>
        <v/>
      </c>
      <c r="D369" t="str">
        <f>IF('SAÍDAS-BASE'!C367="","",'SAÍDAS-BASE'!C367)</f>
        <v/>
      </c>
      <c r="E369" s="7" t="str">
        <f>IF('SAÍDAS-BASE'!D367="","",'SAÍDAS-BASE'!D367)</f>
        <v/>
      </c>
      <c r="F369" s="6" t="str">
        <f>IF('SAÍDAS-BASE'!E367="","",'SAÍDAS-BASE'!E367)</f>
        <v/>
      </c>
      <c r="G369" t="str">
        <f>IF('SAÍDAS-BASE'!F367="","",'SAÍDAS-BASE'!F367)</f>
        <v/>
      </c>
      <c r="H369" t="str">
        <f>IF('SAÍDAS-BASE'!G367="","",'SAÍDAS-BASE'!G367)</f>
        <v/>
      </c>
      <c r="I369" t="str">
        <f>IF('SAÍDAS-BASE'!H367="","",'SAÍDAS-BASE'!H367)</f>
        <v/>
      </c>
      <c r="J369" t="str">
        <f>IF('SAÍDAS-BASE'!I367="","",'SAÍDAS-BASE'!I367)</f>
        <v/>
      </c>
      <c r="K369" s="5" t="str">
        <f>IF('SAÍDAS-BASE'!J367="","",'SAÍDAS-BASE'!J367)</f>
        <v/>
      </c>
      <c r="L369" t="str">
        <f>IF(TABELA_SAIDAS[[#This Row],[UF]]="","",IFERROR(IF(VLOOKUP(TABELA_SAIDAS[[#This Row],[VALOR]],TABELA_ENTRADAS[VALOR],1,FALSE),"DEVOLUÇÃO"),"SEM ENTRADAS"))</f>
        <v/>
      </c>
    </row>
    <row r="370" spans="2:12" x14ac:dyDescent="0.3">
      <c r="B370" t="str">
        <f>IF('SAÍDAS-BASE'!A368="","",'SAÍDAS-BASE'!A368)</f>
        <v/>
      </c>
      <c r="C370" t="str">
        <f>IF('SAÍDAS-BASE'!B368="","",'SAÍDAS-BASE'!B368)</f>
        <v/>
      </c>
      <c r="D370" t="str">
        <f>IF('SAÍDAS-BASE'!C368="","",'SAÍDAS-BASE'!C368)</f>
        <v/>
      </c>
      <c r="E370" s="7" t="str">
        <f>IF('SAÍDAS-BASE'!D368="","",'SAÍDAS-BASE'!D368)</f>
        <v/>
      </c>
      <c r="F370" s="6" t="str">
        <f>IF('SAÍDAS-BASE'!E368="","",'SAÍDAS-BASE'!E368)</f>
        <v/>
      </c>
      <c r="G370" t="str">
        <f>IF('SAÍDAS-BASE'!F368="","",'SAÍDAS-BASE'!F368)</f>
        <v/>
      </c>
      <c r="H370" t="str">
        <f>IF('SAÍDAS-BASE'!G368="","",'SAÍDAS-BASE'!G368)</f>
        <v/>
      </c>
      <c r="I370" t="str">
        <f>IF('SAÍDAS-BASE'!H368="","",'SAÍDAS-BASE'!H368)</f>
        <v/>
      </c>
      <c r="J370" t="str">
        <f>IF('SAÍDAS-BASE'!I368="","",'SAÍDAS-BASE'!I368)</f>
        <v/>
      </c>
      <c r="K370" s="5" t="str">
        <f>IF('SAÍDAS-BASE'!J368="","",'SAÍDAS-BASE'!J368)</f>
        <v/>
      </c>
      <c r="L370" t="str">
        <f>IF(TABELA_SAIDAS[[#This Row],[UF]]="","",IFERROR(IF(VLOOKUP(TABELA_SAIDAS[[#This Row],[VALOR]],TABELA_ENTRADAS[VALOR],1,FALSE),"DEVOLUÇÃO"),"SEM ENTRADAS"))</f>
        <v/>
      </c>
    </row>
    <row r="371" spans="2:12" x14ac:dyDescent="0.3">
      <c r="B371" t="str">
        <f>IF('SAÍDAS-BASE'!A369="","",'SAÍDAS-BASE'!A369)</f>
        <v/>
      </c>
      <c r="C371" t="str">
        <f>IF('SAÍDAS-BASE'!B369="","",'SAÍDAS-BASE'!B369)</f>
        <v/>
      </c>
      <c r="D371" t="str">
        <f>IF('SAÍDAS-BASE'!C369="","",'SAÍDAS-BASE'!C369)</f>
        <v/>
      </c>
      <c r="E371" s="7" t="str">
        <f>IF('SAÍDAS-BASE'!D369="","",'SAÍDAS-BASE'!D369)</f>
        <v/>
      </c>
      <c r="F371" s="6" t="str">
        <f>IF('SAÍDAS-BASE'!E369="","",'SAÍDAS-BASE'!E369)</f>
        <v/>
      </c>
      <c r="G371" t="str">
        <f>IF('SAÍDAS-BASE'!F369="","",'SAÍDAS-BASE'!F369)</f>
        <v/>
      </c>
      <c r="H371" t="str">
        <f>IF('SAÍDAS-BASE'!G369="","",'SAÍDAS-BASE'!G369)</f>
        <v/>
      </c>
      <c r="I371" t="str">
        <f>IF('SAÍDAS-BASE'!H369="","",'SAÍDAS-BASE'!H369)</f>
        <v/>
      </c>
      <c r="J371" t="str">
        <f>IF('SAÍDAS-BASE'!I369="","",'SAÍDAS-BASE'!I369)</f>
        <v/>
      </c>
      <c r="K371" s="5" t="str">
        <f>IF('SAÍDAS-BASE'!J369="","",'SAÍDAS-BASE'!J369)</f>
        <v/>
      </c>
      <c r="L371" t="str">
        <f>IF(TABELA_SAIDAS[[#This Row],[UF]]="","",IFERROR(IF(VLOOKUP(TABELA_SAIDAS[[#This Row],[VALOR]],TABELA_ENTRADAS[VALOR],1,FALSE),"DEVOLUÇÃO"),"SEM ENTRADAS"))</f>
        <v/>
      </c>
    </row>
    <row r="372" spans="2:12" x14ac:dyDescent="0.3">
      <c r="B372" t="str">
        <f>IF('SAÍDAS-BASE'!A370="","",'SAÍDAS-BASE'!A370)</f>
        <v/>
      </c>
      <c r="C372" t="str">
        <f>IF('SAÍDAS-BASE'!B370="","",'SAÍDAS-BASE'!B370)</f>
        <v/>
      </c>
      <c r="D372" t="str">
        <f>IF('SAÍDAS-BASE'!C370="","",'SAÍDAS-BASE'!C370)</f>
        <v/>
      </c>
      <c r="E372" s="7" t="str">
        <f>IF('SAÍDAS-BASE'!D370="","",'SAÍDAS-BASE'!D370)</f>
        <v/>
      </c>
      <c r="F372" s="6" t="str">
        <f>IF('SAÍDAS-BASE'!E370="","",'SAÍDAS-BASE'!E370)</f>
        <v/>
      </c>
      <c r="G372" t="str">
        <f>IF('SAÍDAS-BASE'!F370="","",'SAÍDAS-BASE'!F370)</f>
        <v/>
      </c>
      <c r="H372" t="str">
        <f>IF('SAÍDAS-BASE'!G370="","",'SAÍDAS-BASE'!G370)</f>
        <v/>
      </c>
      <c r="I372" t="str">
        <f>IF('SAÍDAS-BASE'!H370="","",'SAÍDAS-BASE'!H370)</f>
        <v/>
      </c>
      <c r="J372" t="str">
        <f>IF('SAÍDAS-BASE'!I370="","",'SAÍDAS-BASE'!I370)</f>
        <v/>
      </c>
      <c r="K372" s="5" t="str">
        <f>IF('SAÍDAS-BASE'!J370="","",'SAÍDAS-BASE'!J370)</f>
        <v/>
      </c>
      <c r="L372" t="str">
        <f>IF(TABELA_SAIDAS[[#This Row],[UF]]="","",IFERROR(IF(VLOOKUP(TABELA_SAIDAS[[#This Row],[VALOR]],TABELA_ENTRADAS[VALOR],1,FALSE),"DEVOLUÇÃO"),"SEM ENTRADAS"))</f>
        <v/>
      </c>
    </row>
    <row r="373" spans="2:12" x14ac:dyDescent="0.3">
      <c r="B373" t="str">
        <f>IF('SAÍDAS-BASE'!A371="","",'SAÍDAS-BASE'!A371)</f>
        <v/>
      </c>
      <c r="C373" t="str">
        <f>IF('SAÍDAS-BASE'!B371="","",'SAÍDAS-BASE'!B371)</f>
        <v/>
      </c>
      <c r="D373" t="str">
        <f>IF('SAÍDAS-BASE'!C371="","",'SAÍDAS-BASE'!C371)</f>
        <v/>
      </c>
      <c r="E373" s="7" t="str">
        <f>IF('SAÍDAS-BASE'!D371="","",'SAÍDAS-BASE'!D371)</f>
        <v/>
      </c>
      <c r="F373" s="6" t="str">
        <f>IF('SAÍDAS-BASE'!E371="","",'SAÍDAS-BASE'!E371)</f>
        <v/>
      </c>
      <c r="G373" t="str">
        <f>IF('SAÍDAS-BASE'!F371="","",'SAÍDAS-BASE'!F371)</f>
        <v/>
      </c>
      <c r="H373" t="str">
        <f>IF('SAÍDAS-BASE'!G371="","",'SAÍDAS-BASE'!G371)</f>
        <v/>
      </c>
      <c r="I373" t="str">
        <f>IF('SAÍDAS-BASE'!H371="","",'SAÍDAS-BASE'!H371)</f>
        <v/>
      </c>
      <c r="J373" t="str">
        <f>IF('SAÍDAS-BASE'!I371="","",'SAÍDAS-BASE'!I371)</f>
        <v/>
      </c>
      <c r="K373" s="5" t="str">
        <f>IF('SAÍDAS-BASE'!J371="","",'SAÍDAS-BASE'!J371)</f>
        <v/>
      </c>
      <c r="L373" t="str">
        <f>IF(TABELA_SAIDAS[[#This Row],[UF]]="","",IFERROR(IF(VLOOKUP(TABELA_SAIDAS[[#This Row],[VALOR]],TABELA_ENTRADAS[VALOR],1,FALSE),"DEVOLUÇÃO"),"SEM ENTRADAS"))</f>
        <v/>
      </c>
    </row>
    <row r="374" spans="2:12" x14ac:dyDescent="0.3">
      <c r="B374" t="str">
        <f>IF('SAÍDAS-BASE'!A372="","",'SAÍDAS-BASE'!A372)</f>
        <v/>
      </c>
      <c r="C374" t="str">
        <f>IF('SAÍDAS-BASE'!B372="","",'SAÍDAS-BASE'!B372)</f>
        <v/>
      </c>
      <c r="D374" t="str">
        <f>IF('SAÍDAS-BASE'!C372="","",'SAÍDAS-BASE'!C372)</f>
        <v/>
      </c>
      <c r="E374" s="7" t="str">
        <f>IF('SAÍDAS-BASE'!D372="","",'SAÍDAS-BASE'!D372)</f>
        <v/>
      </c>
      <c r="F374" s="6" t="str">
        <f>IF('SAÍDAS-BASE'!E372="","",'SAÍDAS-BASE'!E372)</f>
        <v/>
      </c>
      <c r="G374" t="str">
        <f>IF('SAÍDAS-BASE'!F372="","",'SAÍDAS-BASE'!F372)</f>
        <v/>
      </c>
      <c r="H374" t="str">
        <f>IF('SAÍDAS-BASE'!G372="","",'SAÍDAS-BASE'!G372)</f>
        <v/>
      </c>
      <c r="I374" t="str">
        <f>IF('SAÍDAS-BASE'!H372="","",'SAÍDAS-BASE'!H372)</f>
        <v/>
      </c>
      <c r="J374" t="str">
        <f>IF('SAÍDAS-BASE'!I372="","",'SAÍDAS-BASE'!I372)</f>
        <v/>
      </c>
      <c r="K374" s="5" t="str">
        <f>IF('SAÍDAS-BASE'!J372="","",'SAÍDAS-BASE'!J372)</f>
        <v/>
      </c>
      <c r="L374" t="str">
        <f>IF(TABELA_SAIDAS[[#This Row],[UF]]="","",IFERROR(IF(VLOOKUP(TABELA_SAIDAS[[#This Row],[VALOR]],TABELA_ENTRADAS[VALOR],1,FALSE),"DEVOLUÇÃO"),"SEM ENTRADAS"))</f>
        <v/>
      </c>
    </row>
    <row r="375" spans="2:12" x14ac:dyDescent="0.3">
      <c r="B375" t="str">
        <f>IF('SAÍDAS-BASE'!A373="","",'SAÍDAS-BASE'!A373)</f>
        <v/>
      </c>
      <c r="C375" t="str">
        <f>IF('SAÍDAS-BASE'!B373="","",'SAÍDAS-BASE'!B373)</f>
        <v/>
      </c>
      <c r="D375" t="str">
        <f>IF('SAÍDAS-BASE'!C373="","",'SAÍDAS-BASE'!C373)</f>
        <v/>
      </c>
      <c r="E375" s="7" t="str">
        <f>IF('SAÍDAS-BASE'!D373="","",'SAÍDAS-BASE'!D373)</f>
        <v/>
      </c>
      <c r="F375" s="6" t="str">
        <f>IF('SAÍDAS-BASE'!E373="","",'SAÍDAS-BASE'!E373)</f>
        <v/>
      </c>
      <c r="G375" t="str">
        <f>IF('SAÍDAS-BASE'!F373="","",'SAÍDAS-BASE'!F373)</f>
        <v/>
      </c>
      <c r="H375" t="str">
        <f>IF('SAÍDAS-BASE'!G373="","",'SAÍDAS-BASE'!G373)</f>
        <v/>
      </c>
      <c r="I375" t="str">
        <f>IF('SAÍDAS-BASE'!H373="","",'SAÍDAS-BASE'!H373)</f>
        <v/>
      </c>
      <c r="J375" t="str">
        <f>IF('SAÍDAS-BASE'!I373="","",'SAÍDAS-BASE'!I373)</f>
        <v/>
      </c>
      <c r="K375" s="5" t="str">
        <f>IF('SAÍDAS-BASE'!J373="","",'SAÍDAS-BASE'!J373)</f>
        <v/>
      </c>
      <c r="L375" t="str">
        <f>IF(TABELA_SAIDAS[[#This Row],[UF]]="","",IFERROR(IF(VLOOKUP(TABELA_SAIDAS[[#This Row],[VALOR]],TABELA_ENTRADAS[VALOR],1,FALSE),"DEVOLUÇÃO"),"SEM ENTRADAS"))</f>
        <v/>
      </c>
    </row>
    <row r="376" spans="2:12" x14ac:dyDescent="0.3">
      <c r="B376" t="str">
        <f>IF('SAÍDAS-BASE'!A374="","",'SAÍDAS-BASE'!A374)</f>
        <v/>
      </c>
      <c r="C376" t="str">
        <f>IF('SAÍDAS-BASE'!B374="","",'SAÍDAS-BASE'!B374)</f>
        <v/>
      </c>
      <c r="D376" t="str">
        <f>IF('SAÍDAS-BASE'!C374="","",'SAÍDAS-BASE'!C374)</f>
        <v/>
      </c>
      <c r="E376" s="7" t="str">
        <f>IF('SAÍDAS-BASE'!D374="","",'SAÍDAS-BASE'!D374)</f>
        <v/>
      </c>
      <c r="F376" s="6" t="str">
        <f>IF('SAÍDAS-BASE'!E374="","",'SAÍDAS-BASE'!E374)</f>
        <v/>
      </c>
      <c r="G376" t="str">
        <f>IF('SAÍDAS-BASE'!F374="","",'SAÍDAS-BASE'!F374)</f>
        <v/>
      </c>
      <c r="H376" t="str">
        <f>IF('SAÍDAS-BASE'!G374="","",'SAÍDAS-BASE'!G374)</f>
        <v/>
      </c>
      <c r="I376" t="str">
        <f>IF('SAÍDAS-BASE'!H374="","",'SAÍDAS-BASE'!H374)</f>
        <v/>
      </c>
      <c r="J376" t="str">
        <f>IF('SAÍDAS-BASE'!I374="","",'SAÍDAS-BASE'!I374)</f>
        <v/>
      </c>
      <c r="K376" s="5" t="str">
        <f>IF('SAÍDAS-BASE'!J374="","",'SAÍDAS-BASE'!J374)</f>
        <v/>
      </c>
      <c r="L376" t="str">
        <f>IF(TABELA_SAIDAS[[#This Row],[UF]]="","",IFERROR(IF(VLOOKUP(TABELA_SAIDAS[[#This Row],[VALOR]],TABELA_ENTRADAS[VALOR],1,FALSE),"DEVOLUÇÃO"),"SEM ENTRADAS"))</f>
        <v/>
      </c>
    </row>
    <row r="377" spans="2:12" x14ac:dyDescent="0.3">
      <c r="B377" t="str">
        <f>IF('SAÍDAS-BASE'!A375="","",'SAÍDAS-BASE'!A375)</f>
        <v/>
      </c>
      <c r="C377" t="str">
        <f>IF('SAÍDAS-BASE'!B375="","",'SAÍDAS-BASE'!B375)</f>
        <v/>
      </c>
      <c r="D377" t="str">
        <f>IF('SAÍDAS-BASE'!C375="","",'SAÍDAS-BASE'!C375)</f>
        <v/>
      </c>
      <c r="E377" s="7" t="str">
        <f>IF('SAÍDAS-BASE'!D375="","",'SAÍDAS-BASE'!D375)</f>
        <v/>
      </c>
      <c r="F377" s="6" t="str">
        <f>IF('SAÍDAS-BASE'!E375="","",'SAÍDAS-BASE'!E375)</f>
        <v/>
      </c>
      <c r="G377" t="str">
        <f>IF('SAÍDAS-BASE'!F375="","",'SAÍDAS-BASE'!F375)</f>
        <v/>
      </c>
      <c r="H377" t="str">
        <f>IF('SAÍDAS-BASE'!G375="","",'SAÍDAS-BASE'!G375)</f>
        <v/>
      </c>
      <c r="I377" t="str">
        <f>IF('SAÍDAS-BASE'!H375="","",'SAÍDAS-BASE'!H375)</f>
        <v/>
      </c>
      <c r="J377" t="str">
        <f>IF('SAÍDAS-BASE'!I375="","",'SAÍDAS-BASE'!I375)</f>
        <v/>
      </c>
      <c r="K377" s="5" t="str">
        <f>IF('SAÍDAS-BASE'!J375="","",'SAÍDAS-BASE'!J375)</f>
        <v/>
      </c>
      <c r="L377" t="str">
        <f>IF(TABELA_SAIDAS[[#This Row],[UF]]="","",IFERROR(IF(VLOOKUP(TABELA_SAIDAS[[#This Row],[VALOR]],TABELA_ENTRADAS[VALOR],1,FALSE),"DEVOLUÇÃO"),"SEM ENTRADAS"))</f>
        <v/>
      </c>
    </row>
    <row r="378" spans="2:12" x14ac:dyDescent="0.3">
      <c r="B378" t="str">
        <f>IF('SAÍDAS-BASE'!A376="","",'SAÍDAS-BASE'!A376)</f>
        <v/>
      </c>
      <c r="C378" t="str">
        <f>IF('SAÍDAS-BASE'!B376="","",'SAÍDAS-BASE'!B376)</f>
        <v/>
      </c>
      <c r="D378" t="str">
        <f>IF('SAÍDAS-BASE'!C376="","",'SAÍDAS-BASE'!C376)</f>
        <v/>
      </c>
      <c r="E378" s="7" t="str">
        <f>IF('SAÍDAS-BASE'!D376="","",'SAÍDAS-BASE'!D376)</f>
        <v/>
      </c>
      <c r="F378" s="6" t="str">
        <f>IF('SAÍDAS-BASE'!E376="","",'SAÍDAS-BASE'!E376)</f>
        <v/>
      </c>
      <c r="G378" t="str">
        <f>IF('SAÍDAS-BASE'!F376="","",'SAÍDAS-BASE'!F376)</f>
        <v/>
      </c>
      <c r="H378" t="str">
        <f>IF('SAÍDAS-BASE'!G376="","",'SAÍDAS-BASE'!G376)</f>
        <v/>
      </c>
      <c r="I378" t="str">
        <f>IF('SAÍDAS-BASE'!H376="","",'SAÍDAS-BASE'!H376)</f>
        <v/>
      </c>
      <c r="J378" t="str">
        <f>IF('SAÍDAS-BASE'!I376="","",'SAÍDAS-BASE'!I376)</f>
        <v/>
      </c>
      <c r="K378" s="5" t="str">
        <f>IF('SAÍDAS-BASE'!J376="","",'SAÍDAS-BASE'!J376)</f>
        <v/>
      </c>
      <c r="L378" t="str">
        <f>IF(TABELA_SAIDAS[[#This Row],[UF]]="","",IFERROR(IF(VLOOKUP(TABELA_SAIDAS[[#This Row],[VALOR]],TABELA_ENTRADAS[VALOR],1,FALSE),"DEVOLUÇÃO"),"SEM ENTRADAS"))</f>
        <v/>
      </c>
    </row>
    <row r="379" spans="2:12" x14ac:dyDescent="0.3">
      <c r="B379" t="str">
        <f>IF('SAÍDAS-BASE'!A377="","",'SAÍDAS-BASE'!A377)</f>
        <v/>
      </c>
      <c r="C379" t="str">
        <f>IF('SAÍDAS-BASE'!B377="","",'SAÍDAS-BASE'!B377)</f>
        <v/>
      </c>
      <c r="D379" t="str">
        <f>IF('SAÍDAS-BASE'!C377="","",'SAÍDAS-BASE'!C377)</f>
        <v/>
      </c>
      <c r="E379" s="7" t="str">
        <f>IF('SAÍDAS-BASE'!D377="","",'SAÍDAS-BASE'!D377)</f>
        <v/>
      </c>
      <c r="F379" s="6" t="str">
        <f>IF('SAÍDAS-BASE'!E377="","",'SAÍDAS-BASE'!E377)</f>
        <v/>
      </c>
      <c r="G379" t="str">
        <f>IF('SAÍDAS-BASE'!F377="","",'SAÍDAS-BASE'!F377)</f>
        <v/>
      </c>
      <c r="H379" t="str">
        <f>IF('SAÍDAS-BASE'!G377="","",'SAÍDAS-BASE'!G377)</f>
        <v/>
      </c>
      <c r="I379" t="str">
        <f>IF('SAÍDAS-BASE'!H377="","",'SAÍDAS-BASE'!H377)</f>
        <v/>
      </c>
      <c r="J379" t="str">
        <f>IF('SAÍDAS-BASE'!I377="","",'SAÍDAS-BASE'!I377)</f>
        <v/>
      </c>
      <c r="K379" s="5" t="str">
        <f>IF('SAÍDAS-BASE'!J377="","",'SAÍDAS-BASE'!J377)</f>
        <v/>
      </c>
      <c r="L379" t="str">
        <f>IF(TABELA_SAIDAS[[#This Row],[UF]]="","",IFERROR(IF(VLOOKUP(TABELA_SAIDAS[[#This Row],[VALOR]],TABELA_ENTRADAS[VALOR],1,FALSE),"DEVOLUÇÃO"),"SEM ENTRADAS"))</f>
        <v/>
      </c>
    </row>
    <row r="380" spans="2:12" x14ac:dyDescent="0.3">
      <c r="B380" t="str">
        <f>IF('SAÍDAS-BASE'!A378="","",'SAÍDAS-BASE'!A378)</f>
        <v/>
      </c>
      <c r="C380" t="str">
        <f>IF('SAÍDAS-BASE'!B378="","",'SAÍDAS-BASE'!B378)</f>
        <v/>
      </c>
      <c r="D380" t="str">
        <f>IF('SAÍDAS-BASE'!C378="","",'SAÍDAS-BASE'!C378)</f>
        <v/>
      </c>
      <c r="E380" s="7" t="str">
        <f>IF('SAÍDAS-BASE'!D378="","",'SAÍDAS-BASE'!D378)</f>
        <v/>
      </c>
      <c r="F380" s="6" t="str">
        <f>IF('SAÍDAS-BASE'!E378="","",'SAÍDAS-BASE'!E378)</f>
        <v/>
      </c>
      <c r="G380" t="str">
        <f>IF('SAÍDAS-BASE'!F378="","",'SAÍDAS-BASE'!F378)</f>
        <v/>
      </c>
      <c r="H380" t="str">
        <f>IF('SAÍDAS-BASE'!G378="","",'SAÍDAS-BASE'!G378)</f>
        <v/>
      </c>
      <c r="I380" t="str">
        <f>IF('SAÍDAS-BASE'!H378="","",'SAÍDAS-BASE'!H378)</f>
        <v/>
      </c>
      <c r="J380" t="str">
        <f>IF('SAÍDAS-BASE'!I378="","",'SAÍDAS-BASE'!I378)</f>
        <v/>
      </c>
      <c r="K380" s="5" t="str">
        <f>IF('SAÍDAS-BASE'!J378="","",'SAÍDAS-BASE'!J378)</f>
        <v/>
      </c>
      <c r="L380" t="str">
        <f>IF(TABELA_SAIDAS[[#This Row],[UF]]="","",IFERROR(IF(VLOOKUP(TABELA_SAIDAS[[#This Row],[VALOR]],TABELA_ENTRADAS[VALOR],1,FALSE),"DEVOLUÇÃO"),"SEM ENTRADAS"))</f>
        <v/>
      </c>
    </row>
    <row r="381" spans="2:12" x14ac:dyDescent="0.3">
      <c r="B381" t="str">
        <f>IF('SAÍDAS-BASE'!A379="","",'SAÍDAS-BASE'!A379)</f>
        <v/>
      </c>
      <c r="C381" t="str">
        <f>IF('SAÍDAS-BASE'!B379="","",'SAÍDAS-BASE'!B379)</f>
        <v/>
      </c>
      <c r="D381" t="str">
        <f>IF('SAÍDAS-BASE'!C379="","",'SAÍDAS-BASE'!C379)</f>
        <v/>
      </c>
      <c r="E381" s="7" t="str">
        <f>IF('SAÍDAS-BASE'!D379="","",'SAÍDAS-BASE'!D379)</f>
        <v/>
      </c>
      <c r="F381" s="6" t="str">
        <f>IF('SAÍDAS-BASE'!E379="","",'SAÍDAS-BASE'!E379)</f>
        <v/>
      </c>
      <c r="G381" t="str">
        <f>IF('SAÍDAS-BASE'!F379="","",'SAÍDAS-BASE'!F379)</f>
        <v/>
      </c>
      <c r="H381" t="str">
        <f>IF('SAÍDAS-BASE'!G379="","",'SAÍDAS-BASE'!G379)</f>
        <v/>
      </c>
      <c r="I381" t="str">
        <f>IF('SAÍDAS-BASE'!H379="","",'SAÍDAS-BASE'!H379)</f>
        <v/>
      </c>
      <c r="J381" t="str">
        <f>IF('SAÍDAS-BASE'!I379="","",'SAÍDAS-BASE'!I379)</f>
        <v/>
      </c>
      <c r="K381" s="5" t="str">
        <f>IF('SAÍDAS-BASE'!J379="","",'SAÍDAS-BASE'!J379)</f>
        <v/>
      </c>
      <c r="L381" t="str">
        <f>IF(TABELA_SAIDAS[[#This Row],[UF]]="","",IFERROR(IF(VLOOKUP(TABELA_SAIDAS[[#This Row],[VALOR]],TABELA_ENTRADAS[VALOR],1,FALSE),"DEVOLUÇÃO"),"SEM ENTRADAS"))</f>
        <v/>
      </c>
    </row>
    <row r="382" spans="2:12" x14ac:dyDescent="0.3">
      <c r="B382" t="str">
        <f>IF('SAÍDAS-BASE'!A380="","",'SAÍDAS-BASE'!A380)</f>
        <v/>
      </c>
      <c r="C382" t="str">
        <f>IF('SAÍDAS-BASE'!B380="","",'SAÍDAS-BASE'!B380)</f>
        <v/>
      </c>
      <c r="D382" t="str">
        <f>IF('SAÍDAS-BASE'!C380="","",'SAÍDAS-BASE'!C380)</f>
        <v/>
      </c>
      <c r="E382" s="7" t="str">
        <f>IF('SAÍDAS-BASE'!D380="","",'SAÍDAS-BASE'!D380)</f>
        <v/>
      </c>
      <c r="F382" s="6" t="str">
        <f>IF('SAÍDAS-BASE'!E380="","",'SAÍDAS-BASE'!E380)</f>
        <v/>
      </c>
      <c r="G382" t="str">
        <f>IF('SAÍDAS-BASE'!F380="","",'SAÍDAS-BASE'!F380)</f>
        <v/>
      </c>
      <c r="H382" t="str">
        <f>IF('SAÍDAS-BASE'!G380="","",'SAÍDAS-BASE'!G380)</f>
        <v/>
      </c>
      <c r="I382" t="str">
        <f>IF('SAÍDAS-BASE'!H380="","",'SAÍDAS-BASE'!H380)</f>
        <v/>
      </c>
      <c r="J382" t="str">
        <f>IF('SAÍDAS-BASE'!I380="","",'SAÍDAS-BASE'!I380)</f>
        <v/>
      </c>
      <c r="K382" s="5" t="str">
        <f>IF('SAÍDAS-BASE'!J380="","",'SAÍDAS-BASE'!J380)</f>
        <v/>
      </c>
      <c r="L382" t="str">
        <f>IF(TABELA_SAIDAS[[#This Row],[UF]]="","",IFERROR(IF(VLOOKUP(TABELA_SAIDAS[[#This Row],[VALOR]],TABELA_ENTRADAS[VALOR],1,FALSE),"DEVOLUÇÃO"),"SEM ENTRADAS"))</f>
        <v/>
      </c>
    </row>
    <row r="383" spans="2:12" x14ac:dyDescent="0.3">
      <c r="B383" t="str">
        <f>IF('SAÍDAS-BASE'!A381="","",'SAÍDAS-BASE'!A381)</f>
        <v/>
      </c>
      <c r="C383" t="str">
        <f>IF('SAÍDAS-BASE'!B381="","",'SAÍDAS-BASE'!B381)</f>
        <v/>
      </c>
      <c r="D383" t="str">
        <f>IF('SAÍDAS-BASE'!C381="","",'SAÍDAS-BASE'!C381)</f>
        <v/>
      </c>
      <c r="E383" s="7" t="str">
        <f>IF('SAÍDAS-BASE'!D381="","",'SAÍDAS-BASE'!D381)</f>
        <v/>
      </c>
      <c r="F383" s="6" t="str">
        <f>IF('SAÍDAS-BASE'!E381="","",'SAÍDAS-BASE'!E381)</f>
        <v/>
      </c>
      <c r="G383" t="str">
        <f>IF('SAÍDAS-BASE'!F381="","",'SAÍDAS-BASE'!F381)</f>
        <v/>
      </c>
      <c r="H383" t="str">
        <f>IF('SAÍDAS-BASE'!G381="","",'SAÍDAS-BASE'!G381)</f>
        <v/>
      </c>
      <c r="I383" t="str">
        <f>IF('SAÍDAS-BASE'!H381="","",'SAÍDAS-BASE'!H381)</f>
        <v/>
      </c>
      <c r="J383" t="str">
        <f>IF('SAÍDAS-BASE'!I381="","",'SAÍDAS-BASE'!I381)</f>
        <v/>
      </c>
      <c r="K383" s="5" t="str">
        <f>IF('SAÍDAS-BASE'!J381="","",'SAÍDAS-BASE'!J381)</f>
        <v/>
      </c>
      <c r="L383" t="str">
        <f>IF(TABELA_SAIDAS[[#This Row],[UF]]="","",IFERROR(IF(VLOOKUP(TABELA_SAIDAS[[#This Row],[VALOR]],TABELA_ENTRADAS[VALOR],1,FALSE),"DEVOLUÇÃO"),"SEM ENTRADAS"))</f>
        <v/>
      </c>
    </row>
    <row r="384" spans="2:12" x14ac:dyDescent="0.3">
      <c r="B384" t="str">
        <f>IF('SAÍDAS-BASE'!A382="","",'SAÍDAS-BASE'!A382)</f>
        <v/>
      </c>
      <c r="C384" t="str">
        <f>IF('SAÍDAS-BASE'!B382="","",'SAÍDAS-BASE'!B382)</f>
        <v/>
      </c>
      <c r="D384" t="str">
        <f>IF('SAÍDAS-BASE'!C382="","",'SAÍDAS-BASE'!C382)</f>
        <v/>
      </c>
      <c r="E384" s="7" t="str">
        <f>IF('SAÍDAS-BASE'!D382="","",'SAÍDAS-BASE'!D382)</f>
        <v/>
      </c>
      <c r="F384" s="6" t="str">
        <f>IF('SAÍDAS-BASE'!E382="","",'SAÍDAS-BASE'!E382)</f>
        <v/>
      </c>
      <c r="G384" t="str">
        <f>IF('SAÍDAS-BASE'!F382="","",'SAÍDAS-BASE'!F382)</f>
        <v/>
      </c>
      <c r="H384" t="str">
        <f>IF('SAÍDAS-BASE'!G382="","",'SAÍDAS-BASE'!G382)</f>
        <v/>
      </c>
      <c r="I384" t="str">
        <f>IF('SAÍDAS-BASE'!H382="","",'SAÍDAS-BASE'!H382)</f>
        <v/>
      </c>
      <c r="J384" t="str">
        <f>IF('SAÍDAS-BASE'!I382="","",'SAÍDAS-BASE'!I382)</f>
        <v/>
      </c>
      <c r="K384" s="5" t="str">
        <f>IF('SAÍDAS-BASE'!J382="","",'SAÍDAS-BASE'!J382)</f>
        <v/>
      </c>
      <c r="L384" t="str">
        <f>IF(TABELA_SAIDAS[[#This Row],[UF]]="","",IFERROR(IF(VLOOKUP(TABELA_SAIDAS[[#This Row],[VALOR]],TABELA_ENTRADAS[VALOR],1,FALSE),"DEVOLUÇÃO"),"SEM ENTRADAS"))</f>
        <v/>
      </c>
    </row>
    <row r="385" spans="2:12" x14ac:dyDescent="0.3">
      <c r="B385" t="str">
        <f>IF('SAÍDAS-BASE'!A383="","",'SAÍDAS-BASE'!A383)</f>
        <v/>
      </c>
      <c r="C385" t="str">
        <f>IF('SAÍDAS-BASE'!B383="","",'SAÍDAS-BASE'!B383)</f>
        <v/>
      </c>
      <c r="D385" t="str">
        <f>IF('SAÍDAS-BASE'!C383="","",'SAÍDAS-BASE'!C383)</f>
        <v/>
      </c>
      <c r="E385" s="7" t="str">
        <f>IF('SAÍDAS-BASE'!D383="","",'SAÍDAS-BASE'!D383)</f>
        <v/>
      </c>
      <c r="F385" s="6" t="str">
        <f>IF('SAÍDAS-BASE'!E383="","",'SAÍDAS-BASE'!E383)</f>
        <v/>
      </c>
      <c r="G385" t="str">
        <f>IF('SAÍDAS-BASE'!F383="","",'SAÍDAS-BASE'!F383)</f>
        <v/>
      </c>
      <c r="H385" t="str">
        <f>IF('SAÍDAS-BASE'!G383="","",'SAÍDAS-BASE'!G383)</f>
        <v/>
      </c>
      <c r="I385" t="str">
        <f>IF('SAÍDAS-BASE'!H383="","",'SAÍDAS-BASE'!H383)</f>
        <v/>
      </c>
      <c r="J385" t="str">
        <f>IF('SAÍDAS-BASE'!I383="","",'SAÍDAS-BASE'!I383)</f>
        <v/>
      </c>
      <c r="K385" s="5" t="str">
        <f>IF('SAÍDAS-BASE'!J383="","",'SAÍDAS-BASE'!J383)</f>
        <v/>
      </c>
      <c r="L385" t="str">
        <f>IF(TABELA_SAIDAS[[#This Row],[UF]]="","",IFERROR(IF(VLOOKUP(TABELA_SAIDAS[[#This Row],[VALOR]],TABELA_ENTRADAS[VALOR],1,FALSE),"DEVOLUÇÃO"),"SEM ENTRADAS"))</f>
        <v/>
      </c>
    </row>
    <row r="386" spans="2:12" x14ac:dyDescent="0.3">
      <c r="B386" t="str">
        <f>IF('SAÍDAS-BASE'!A384="","",'SAÍDAS-BASE'!A384)</f>
        <v/>
      </c>
      <c r="C386" t="str">
        <f>IF('SAÍDAS-BASE'!B384="","",'SAÍDAS-BASE'!B384)</f>
        <v/>
      </c>
      <c r="D386" t="str">
        <f>IF('SAÍDAS-BASE'!C384="","",'SAÍDAS-BASE'!C384)</f>
        <v/>
      </c>
      <c r="E386" s="7" t="str">
        <f>IF('SAÍDAS-BASE'!D384="","",'SAÍDAS-BASE'!D384)</f>
        <v/>
      </c>
      <c r="F386" s="6" t="str">
        <f>IF('SAÍDAS-BASE'!E384="","",'SAÍDAS-BASE'!E384)</f>
        <v/>
      </c>
      <c r="G386" t="str">
        <f>IF('SAÍDAS-BASE'!F384="","",'SAÍDAS-BASE'!F384)</f>
        <v/>
      </c>
      <c r="H386" t="str">
        <f>IF('SAÍDAS-BASE'!G384="","",'SAÍDAS-BASE'!G384)</f>
        <v/>
      </c>
      <c r="I386" t="str">
        <f>IF('SAÍDAS-BASE'!H384="","",'SAÍDAS-BASE'!H384)</f>
        <v/>
      </c>
      <c r="J386" t="str">
        <f>IF('SAÍDAS-BASE'!I384="","",'SAÍDAS-BASE'!I384)</f>
        <v/>
      </c>
      <c r="K386" s="5" t="str">
        <f>IF('SAÍDAS-BASE'!J384="","",'SAÍDAS-BASE'!J384)</f>
        <v/>
      </c>
      <c r="L386" t="str">
        <f>IF(TABELA_SAIDAS[[#This Row],[UF]]="","",IFERROR(IF(VLOOKUP(TABELA_SAIDAS[[#This Row],[VALOR]],TABELA_ENTRADAS[VALOR],1,FALSE),"DEVOLUÇÃO"),"SEM ENTRADAS"))</f>
        <v/>
      </c>
    </row>
    <row r="387" spans="2:12" x14ac:dyDescent="0.3">
      <c r="B387" t="str">
        <f>IF('SAÍDAS-BASE'!A385="","",'SAÍDAS-BASE'!A385)</f>
        <v/>
      </c>
      <c r="C387" t="str">
        <f>IF('SAÍDAS-BASE'!B385="","",'SAÍDAS-BASE'!B385)</f>
        <v/>
      </c>
      <c r="D387" t="str">
        <f>IF('SAÍDAS-BASE'!C385="","",'SAÍDAS-BASE'!C385)</f>
        <v/>
      </c>
      <c r="E387" s="7" t="str">
        <f>IF('SAÍDAS-BASE'!D385="","",'SAÍDAS-BASE'!D385)</f>
        <v/>
      </c>
      <c r="F387" s="6" t="str">
        <f>IF('SAÍDAS-BASE'!E385="","",'SAÍDAS-BASE'!E385)</f>
        <v/>
      </c>
      <c r="G387" t="str">
        <f>IF('SAÍDAS-BASE'!F385="","",'SAÍDAS-BASE'!F385)</f>
        <v/>
      </c>
      <c r="H387" t="str">
        <f>IF('SAÍDAS-BASE'!G385="","",'SAÍDAS-BASE'!G385)</f>
        <v/>
      </c>
      <c r="I387" t="str">
        <f>IF('SAÍDAS-BASE'!H385="","",'SAÍDAS-BASE'!H385)</f>
        <v/>
      </c>
      <c r="J387" t="str">
        <f>IF('SAÍDAS-BASE'!I385="","",'SAÍDAS-BASE'!I385)</f>
        <v/>
      </c>
      <c r="K387" s="5" t="str">
        <f>IF('SAÍDAS-BASE'!J385="","",'SAÍDAS-BASE'!J385)</f>
        <v/>
      </c>
      <c r="L387" t="str">
        <f>IF(TABELA_SAIDAS[[#This Row],[UF]]="","",IFERROR(IF(VLOOKUP(TABELA_SAIDAS[[#This Row],[VALOR]],TABELA_ENTRADAS[VALOR],1,FALSE),"DEVOLUÇÃO"),"SEM ENTRADAS"))</f>
        <v/>
      </c>
    </row>
    <row r="388" spans="2:12" x14ac:dyDescent="0.3">
      <c r="B388" t="str">
        <f>IF('SAÍDAS-BASE'!A386="","",'SAÍDAS-BASE'!A386)</f>
        <v/>
      </c>
      <c r="C388" t="str">
        <f>IF('SAÍDAS-BASE'!B386="","",'SAÍDAS-BASE'!B386)</f>
        <v/>
      </c>
      <c r="D388" t="str">
        <f>IF('SAÍDAS-BASE'!C386="","",'SAÍDAS-BASE'!C386)</f>
        <v/>
      </c>
      <c r="E388" s="7" t="str">
        <f>IF('SAÍDAS-BASE'!D386="","",'SAÍDAS-BASE'!D386)</f>
        <v/>
      </c>
      <c r="F388" s="6" t="str">
        <f>IF('SAÍDAS-BASE'!E386="","",'SAÍDAS-BASE'!E386)</f>
        <v/>
      </c>
      <c r="G388" t="str">
        <f>IF('SAÍDAS-BASE'!F386="","",'SAÍDAS-BASE'!F386)</f>
        <v/>
      </c>
      <c r="H388" t="str">
        <f>IF('SAÍDAS-BASE'!G386="","",'SAÍDAS-BASE'!G386)</f>
        <v/>
      </c>
      <c r="I388" t="str">
        <f>IF('SAÍDAS-BASE'!H386="","",'SAÍDAS-BASE'!H386)</f>
        <v/>
      </c>
      <c r="J388" t="str">
        <f>IF('SAÍDAS-BASE'!I386="","",'SAÍDAS-BASE'!I386)</f>
        <v/>
      </c>
      <c r="K388" s="5" t="str">
        <f>IF('SAÍDAS-BASE'!J386="","",'SAÍDAS-BASE'!J386)</f>
        <v/>
      </c>
      <c r="L388" t="str">
        <f>IF(TABELA_SAIDAS[[#This Row],[UF]]="","",IFERROR(IF(VLOOKUP(TABELA_SAIDAS[[#This Row],[VALOR]],TABELA_ENTRADAS[VALOR],1,FALSE),"DEVOLUÇÃO"),"SEM ENTRADAS"))</f>
        <v/>
      </c>
    </row>
    <row r="389" spans="2:12" x14ac:dyDescent="0.3">
      <c r="B389" t="str">
        <f>IF('SAÍDAS-BASE'!A387="","",'SAÍDAS-BASE'!A387)</f>
        <v/>
      </c>
      <c r="C389" t="str">
        <f>IF('SAÍDAS-BASE'!B387="","",'SAÍDAS-BASE'!B387)</f>
        <v/>
      </c>
      <c r="D389" t="str">
        <f>IF('SAÍDAS-BASE'!C387="","",'SAÍDAS-BASE'!C387)</f>
        <v/>
      </c>
      <c r="E389" s="7" t="str">
        <f>IF('SAÍDAS-BASE'!D387="","",'SAÍDAS-BASE'!D387)</f>
        <v/>
      </c>
      <c r="F389" s="6" t="str">
        <f>IF('SAÍDAS-BASE'!E387="","",'SAÍDAS-BASE'!E387)</f>
        <v/>
      </c>
      <c r="G389" t="str">
        <f>IF('SAÍDAS-BASE'!F387="","",'SAÍDAS-BASE'!F387)</f>
        <v/>
      </c>
      <c r="H389" t="str">
        <f>IF('SAÍDAS-BASE'!G387="","",'SAÍDAS-BASE'!G387)</f>
        <v/>
      </c>
      <c r="I389" t="str">
        <f>IF('SAÍDAS-BASE'!H387="","",'SAÍDAS-BASE'!H387)</f>
        <v/>
      </c>
      <c r="J389" t="str">
        <f>IF('SAÍDAS-BASE'!I387="","",'SAÍDAS-BASE'!I387)</f>
        <v/>
      </c>
      <c r="K389" s="5" t="str">
        <f>IF('SAÍDAS-BASE'!J387="","",'SAÍDAS-BASE'!J387)</f>
        <v/>
      </c>
      <c r="L389" t="str">
        <f>IF(TABELA_SAIDAS[[#This Row],[UF]]="","",IFERROR(IF(VLOOKUP(TABELA_SAIDAS[[#This Row],[VALOR]],TABELA_ENTRADAS[VALOR],1,FALSE),"DEVOLUÇÃO"),"SEM ENTRADAS"))</f>
        <v/>
      </c>
    </row>
    <row r="390" spans="2:12" x14ac:dyDescent="0.3">
      <c r="B390" t="str">
        <f>IF('SAÍDAS-BASE'!A388="","",'SAÍDAS-BASE'!A388)</f>
        <v/>
      </c>
      <c r="C390" t="str">
        <f>IF('SAÍDAS-BASE'!B388="","",'SAÍDAS-BASE'!B388)</f>
        <v/>
      </c>
      <c r="D390" t="str">
        <f>IF('SAÍDAS-BASE'!C388="","",'SAÍDAS-BASE'!C388)</f>
        <v/>
      </c>
      <c r="E390" s="7" t="str">
        <f>IF('SAÍDAS-BASE'!D388="","",'SAÍDAS-BASE'!D388)</f>
        <v/>
      </c>
      <c r="F390" s="6" t="str">
        <f>IF('SAÍDAS-BASE'!E388="","",'SAÍDAS-BASE'!E388)</f>
        <v/>
      </c>
      <c r="G390" t="str">
        <f>IF('SAÍDAS-BASE'!F388="","",'SAÍDAS-BASE'!F388)</f>
        <v/>
      </c>
      <c r="H390" t="str">
        <f>IF('SAÍDAS-BASE'!G388="","",'SAÍDAS-BASE'!G388)</f>
        <v/>
      </c>
      <c r="I390" t="str">
        <f>IF('SAÍDAS-BASE'!H388="","",'SAÍDAS-BASE'!H388)</f>
        <v/>
      </c>
      <c r="J390" t="str">
        <f>IF('SAÍDAS-BASE'!I388="","",'SAÍDAS-BASE'!I388)</f>
        <v/>
      </c>
      <c r="K390" s="5" t="str">
        <f>IF('SAÍDAS-BASE'!J388="","",'SAÍDAS-BASE'!J388)</f>
        <v/>
      </c>
      <c r="L390" t="str">
        <f>IF(TABELA_SAIDAS[[#This Row],[UF]]="","",IFERROR(IF(VLOOKUP(TABELA_SAIDAS[[#This Row],[VALOR]],TABELA_ENTRADAS[VALOR],1,FALSE),"DEVOLUÇÃO"),"SEM ENTRADAS"))</f>
        <v/>
      </c>
    </row>
    <row r="391" spans="2:12" x14ac:dyDescent="0.3">
      <c r="B391" t="str">
        <f>IF('SAÍDAS-BASE'!A389="","",'SAÍDAS-BASE'!A389)</f>
        <v/>
      </c>
      <c r="C391" t="str">
        <f>IF('SAÍDAS-BASE'!B389="","",'SAÍDAS-BASE'!B389)</f>
        <v/>
      </c>
      <c r="D391" t="str">
        <f>IF('SAÍDAS-BASE'!C389="","",'SAÍDAS-BASE'!C389)</f>
        <v/>
      </c>
      <c r="E391" s="7" t="str">
        <f>IF('SAÍDAS-BASE'!D389="","",'SAÍDAS-BASE'!D389)</f>
        <v/>
      </c>
      <c r="F391" s="6" t="str">
        <f>IF('SAÍDAS-BASE'!E389="","",'SAÍDAS-BASE'!E389)</f>
        <v/>
      </c>
      <c r="G391" t="str">
        <f>IF('SAÍDAS-BASE'!F389="","",'SAÍDAS-BASE'!F389)</f>
        <v/>
      </c>
      <c r="H391" t="str">
        <f>IF('SAÍDAS-BASE'!G389="","",'SAÍDAS-BASE'!G389)</f>
        <v/>
      </c>
      <c r="I391" t="str">
        <f>IF('SAÍDAS-BASE'!H389="","",'SAÍDAS-BASE'!H389)</f>
        <v/>
      </c>
      <c r="J391" t="str">
        <f>IF('SAÍDAS-BASE'!I389="","",'SAÍDAS-BASE'!I389)</f>
        <v/>
      </c>
      <c r="K391" s="5" t="str">
        <f>IF('SAÍDAS-BASE'!J389="","",'SAÍDAS-BASE'!J389)</f>
        <v/>
      </c>
      <c r="L391" t="str">
        <f>IF(TABELA_SAIDAS[[#This Row],[UF]]="","",IFERROR(IF(VLOOKUP(TABELA_SAIDAS[[#This Row],[VALOR]],TABELA_ENTRADAS[VALOR],1,FALSE),"DEVOLUÇÃO"),"SEM ENTRADAS"))</f>
        <v/>
      </c>
    </row>
    <row r="392" spans="2:12" x14ac:dyDescent="0.3">
      <c r="B392" t="str">
        <f>IF('SAÍDAS-BASE'!A390="","",'SAÍDAS-BASE'!A390)</f>
        <v/>
      </c>
      <c r="C392" t="str">
        <f>IF('SAÍDAS-BASE'!B390="","",'SAÍDAS-BASE'!B390)</f>
        <v/>
      </c>
      <c r="D392" t="str">
        <f>IF('SAÍDAS-BASE'!C390="","",'SAÍDAS-BASE'!C390)</f>
        <v/>
      </c>
      <c r="E392" s="7" t="str">
        <f>IF('SAÍDAS-BASE'!D390="","",'SAÍDAS-BASE'!D390)</f>
        <v/>
      </c>
      <c r="F392" s="6" t="str">
        <f>IF('SAÍDAS-BASE'!E390="","",'SAÍDAS-BASE'!E390)</f>
        <v/>
      </c>
      <c r="G392" t="str">
        <f>IF('SAÍDAS-BASE'!F390="","",'SAÍDAS-BASE'!F390)</f>
        <v/>
      </c>
      <c r="H392" t="str">
        <f>IF('SAÍDAS-BASE'!G390="","",'SAÍDAS-BASE'!G390)</f>
        <v/>
      </c>
      <c r="I392" t="str">
        <f>IF('SAÍDAS-BASE'!H390="","",'SAÍDAS-BASE'!H390)</f>
        <v/>
      </c>
      <c r="J392" t="str">
        <f>IF('SAÍDAS-BASE'!I390="","",'SAÍDAS-BASE'!I390)</f>
        <v/>
      </c>
      <c r="K392" s="5" t="str">
        <f>IF('SAÍDAS-BASE'!J390="","",'SAÍDAS-BASE'!J390)</f>
        <v/>
      </c>
      <c r="L392" t="str">
        <f>IF(TABELA_SAIDAS[[#This Row],[UF]]="","",IFERROR(IF(VLOOKUP(TABELA_SAIDAS[[#This Row],[VALOR]],TABELA_ENTRADAS[VALOR],1,FALSE),"DEVOLUÇÃO"),"SEM ENTRADAS"))</f>
        <v/>
      </c>
    </row>
    <row r="393" spans="2:12" x14ac:dyDescent="0.3">
      <c r="B393" t="str">
        <f>IF('SAÍDAS-BASE'!A391="","",'SAÍDAS-BASE'!A391)</f>
        <v/>
      </c>
      <c r="C393" t="str">
        <f>IF('SAÍDAS-BASE'!B391="","",'SAÍDAS-BASE'!B391)</f>
        <v/>
      </c>
      <c r="D393" t="str">
        <f>IF('SAÍDAS-BASE'!C391="","",'SAÍDAS-BASE'!C391)</f>
        <v/>
      </c>
      <c r="E393" s="7" t="str">
        <f>IF('SAÍDAS-BASE'!D391="","",'SAÍDAS-BASE'!D391)</f>
        <v/>
      </c>
      <c r="F393" s="6" t="str">
        <f>IF('SAÍDAS-BASE'!E391="","",'SAÍDAS-BASE'!E391)</f>
        <v/>
      </c>
      <c r="G393" t="str">
        <f>IF('SAÍDAS-BASE'!F391="","",'SAÍDAS-BASE'!F391)</f>
        <v/>
      </c>
      <c r="H393" t="str">
        <f>IF('SAÍDAS-BASE'!G391="","",'SAÍDAS-BASE'!G391)</f>
        <v/>
      </c>
      <c r="I393" t="str">
        <f>IF('SAÍDAS-BASE'!H391="","",'SAÍDAS-BASE'!H391)</f>
        <v/>
      </c>
      <c r="J393" t="str">
        <f>IF('SAÍDAS-BASE'!I391="","",'SAÍDAS-BASE'!I391)</f>
        <v/>
      </c>
      <c r="K393" s="5" t="str">
        <f>IF('SAÍDAS-BASE'!J391="","",'SAÍDAS-BASE'!J391)</f>
        <v/>
      </c>
      <c r="L393" t="str">
        <f>IF(TABELA_SAIDAS[[#This Row],[UF]]="","",IFERROR(IF(VLOOKUP(TABELA_SAIDAS[[#This Row],[VALOR]],TABELA_ENTRADAS[VALOR],1,FALSE),"DEVOLUÇÃO"),"SEM ENTRADAS"))</f>
        <v/>
      </c>
    </row>
    <row r="394" spans="2:12" x14ac:dyDescent="0.3">
      <c r="B394" t="str">
        <f>IF('SAÍDAS-BASE'!A392="","",'SAÍDAS-BASE'!A392)</f>
        <v/>
      </c>
      <c r="C394" t="str">
        <f>IF('SAÍDAS-BASE'!B392="","",'SAÍDAS-BASE'!B392)</f>
        <v/>
      </c>
      <c r="D394" t="str">
        <f>IF('SAÍDAS-BASE'!C392="","",'SAÍDAS-BASE'!C392)</f>
        <v/>
      </c>
      <c r="E394" s="7" t="str">
        <f>IF('SAÍDAS-BASE'!D392="","",'SAÍDAS-BASE'!D392)</f>
        <v/>
      </c>
      <c r="F394" s="6" t="str">
        <f>IF('SAÍDAS-BASE'!E392="","",'SAÍDAS-BASE'!E392)</f>
        <v/>
      </c>
      <c r="G394" t="str">
        <f>IF('SAÍDAS-BASE'!F392="","",'SAÍDAS-BASE'!F392)</f>
        <v/>
      </c>
      <c r="H394" t="str">
        <f>IF('SAÍDAS-BASE'!G392="","",'SAÍDAS-BASE'!G392)</f>
        <v/>
      </c>
      <c r="I394" t="str">
        <f>IF('SAÍDAS-BASE'!H392="","",'SAÍDAS-BASE'!H392)</f>
        <v/>
      </c>
      <c r="J394" t="str">
        <f>IF('SAÍDAS-BASE'!I392="","",'SAÍDAS-BASE'!I392)</f>
        <v/>
      </c>
      <c r="K394" s="5" t="str">
        <f>IF('SAÍDAS-BASE'!J392="","",'SAÍDAS-BASE'!J392)</f>
        <v/>
      </c>
      <c r="L394" t="str">
        <f>IF(TABELA_SAIDAS[[#This Row],[UF]]="","",IFERROR(IF(VLOOKUP(TABELA_SAIDAS[[#This Row],[VALOR]],TABELA_ENTRADAS[VALOR],1,FALSE),"DEVOLUÇÃO"),"SEM ENTRADAS"))</f>
        <v/>
      </c>
    </row>
    <row r="395" spans="2:12" x14ac:dyDescent="0.3">
      <c r="B395" t="str">
        <f>IF('SAÍDAS-BASE'!A393="","",'SAÍDAS-BASE'!A393)</f>
        <v/>
      </c>
      <c r="C395" t="str">
        <f>IF('SAÍDAS-BASE'!B393="","",'SAÍDAS-BASE'!B393)</f>
        <v/>
      </c>
      <c r="D395" t="str">
        <f>IF('SAÍDAS-BASE'!C393="","",'SAÍDAS-BASE'!C393)</f>
        <v/>
      </c>
      <c r="E395" s="7" t="str">
        <f>IF('SAÍDAS-BASE'!D393="","",'SAÍDAS-BASE'!D393)</f>
        <v/>
      </c>
      <c r="F395" s="6" t="str">
        <f>IF('SAÍDAS-BASE'!E393="","",'SAÍDAS-BASE'!E393)</f>
        <v/>
      </c>
      <c r="G395" t="str">
        <f>IF('SAÍDAS-BASE'!F393="","",'SAÍDAS-BASE'!F393)</f>
        <v/>
      </c>
      <c r="H395" t="str">
        <f>IF('SAÍDAS-BASE'!G393="","",'SAÍDAS-BASE'!G393)</f>
        <v/>
      </c>
      <c r="I395" t="str">
        <f>IF('SAÍDAS-BASE'!H393="","",'SAÍDAS-BASE'!H393)</f>
        <v/>
      </c>
      <c r="J395" t="str">
        <f>IF('SAÍDAS-BASE'!I393="","",'SAÍDAS-BASE'!I393)</f>
        <v/>
      </c>
      <c r="K395" s="5" t="str">
        <f>IF('SAÍDAS-BASE'!J393="","",'SAÍDAS-BASE'!J393)</f>
        <v/>
      </c>
      <c r="L395" t="str">
        <f>IF(TABELA_SAIDAS[[#This Row],[UF]]="","",IFERROR(IF(VLOOKUP(TABELA_SAIDAS[[#This Row],[VALOR]],TABELA_ENTRADAS[VALOR],1,FALSE),"DEVOLUÇÃO"),"SEM ENTRADAS"))</f>
        <v/>
      </c>
    </row>
    <row r="396" spans="2:12" x14ac:dyDescent="0.3">
      <c r="B396" t="str">
        <f>IF('SAÍDAS-BASE'!A394="","",'SAÍDAS-BASE'!A394)</f>
        <v/>
      </c>
      <c r="C396" t="str">
        <f>IF('SAÍDAS-BASE'!B394="","",'SAÍDAS-BASE'!B394)</f>
        <v/>
      </c>
      <c r="D396" t="str">
        <f>IF('SAÍDAS-BASE'!C394="","",'SAÍDAS-BASE'!C394)</f>
        <v/>
      </c>
      <c r="E396" s="7" t="str">
        <f>IF('SAÍDAS-BASE'!D394="","",'SAÍDAS-BASE'!D394)</f>
        <v/>
      </c>
      <c r="F396" s="6" t="str">
        <f>IF('SAÍDAS-BASE'!E394="","",'SAÍDAS-BASE'!E394)</f>
        <v/>
      </c>
      <c r="G396" t="str">
        <f>IF('SAÍDAS-BASE'!F394="","",'SAÍDAS-BASE'!F394)</f>
        <v/>
      </c>
      <c r="H396" t="str">
        <f>IF('SAÍDAS-BASE'!G394="","",'SAÍDAS-BASE'!G394)</f>
        <v/>
      </c>
      <c r="I396" t="str">
        <f>IF('SAÍDAS-BASE'!H394="","",'SAÍDAS-BASE'!H394)</f>
        <v/>
      </c>
      <c r="J396" t="str">
        <f>IF('SAÍDAS-BASE'!I394="","",'SAÍDAS-BASE'!I394)</f>
        <v/>
      </c>
      <c r="K396" s="5" t="str">
        <f>IF('SAÍDAS-BASE'!J394="","",'SAÍDAS-BASE'!J394)</f>
        <v/>
      </c>
      <c r="L396" t="str">
        <f>IF(TABELA_SAIDAS[[#This Row],[UF]]="","",IFERROR(IF(VLOOKUP(TABELA_SAIDAS[[#This Row],[VALOR]],TABELA_ENTRADAS[VALOR],1,FALSE),"DEVOLUÇÃO"),"SEM ENTRADAS"))</f>
        <v/>
      </c>
    </row>
    <row r="397" spans="2:12" x14ac:dyDescent="0.3">
      <c r="B397" t="str">
        <f>IF('SAÍDAS-BASE'!A395="","",'SAÍDAS-BASE'!A395)</f>
        <v/>
      </c>
      <c r="C397" t="str">
        <f>IF('SAÍDAS-BASE'!B395="","",'SAÍDAS-BASE'!B395)</f>
        <v/>
      </c>
      <c r="D397" t="str">
        <f>IF('SAÍDAS-BASE'!C395="","",'SAÍDAS-BASE'!C395)</f>
        <v/>
      </c>
      <c r="E397" s="7" t="str">
        <f>IF('SAÍDAS-BASE'!D395="","",'SAÍDAS-BASE'!D395)</f>
        <v/>
      </c>
      <c r="F397" s="6" t="str">
        <f>IF('SAÍDAS-BASE'!E395="","",'SAÍDAS-BASE'!E395)</f>
        <v/>
      </c>
      <c r="G397" t="str">
        <f>IF('SAÍDAS-BASE'!F395="","",'SAÍDAS-BASE'!F395)</f>
        <v/>
      </c>
      <c r="H397" t="str">
        <f>IF('SAÍDAS-BASE'!G395="","",'SAÍDAS-BASE'!G395)</f>
        <v/>
      </c>
      <c r="I397" t="str">
        <f>IF('SAÍDAS-BASE'!H395="","",'SAÍDAS-BASE'!H395)</f>
        <v/>
      </c>
      <c r="J397" t="str">
        <f>IF('SAÍDAS-BASE'!I395="","",'SAÍDAS-BASE'!I395)</f>
        <v/>
      </c>
      <c r="K397" s="5" t="str">
        <f>IF('SAÍDAS-BASE'!J395="","",'SAÍDAS-BASE'!J395)</f>
        <v/>
      </c>
      <c r="L397" t="str">
        <f>IF(TABELA_SAIDAS[[#This Row],[UF]]="","",IFERROR(IF(VLOOKUP(TABELA_SAIDAS[[#This Row],[VALOR]],TABELA_ENTRADAS[VALOR],1,FALSE),"DEVOLUÇÃO"),"SEM ENTRADAS"))</f>
        <v/>
      </c>
    </row>
    <row r="398" spans="2:12" x14ac:dyDescent="0.3">
      <c r="B398" t="str">
        <f>IF('SAÍDAS-BASE'!A396="","",'SAÍDAS-BASE'!A396)</f>
        <v/>
      </c>
      <c r="C398" t="str">
        <f>IF('SAÍDAS-BASE'!B396="","",'SAÍDAS-BASE'!B396)</f>
        <v/>
      </c>
      <c r="D398" t="str">
        <f>IF('SAÍDAS-BASE'!C396="","",'SAÍDAS-BASE'!C396)</f>
        <v/>
      </c>
      <c r="E398" s="7" t="str">
        <f>IF('SAÍDAS-BASE'!D396="","",'SAÍDAS-BASE'!D396)</f>
        <v/>
      </c>
      <c r="F398" s="6" t="str">
        <f>IF('SAÍDAS-BASE'!E396="","",'SAÍDAS-BASE'!E396)</f>
        <v/>
      </c>
      <c r="G398" t="str">
        <f>IF('SAÍDAS-BASE'!F396="","",'SAÍDAS-BASE'!F396)</f>
        <v/>
      </c>
      <c r="H398" t="str">
        <f>IF('SAÍDAS-BASE'!G396="","",'SAÍDAS-BASE'!G396)</f>
        <v/>
      </c>
      <c r="I398" t="str">
        <f>IF('SAÍDAS-BASE'!H396="","",'SAÍDAS-BASE'!H396)</f>
        <v/>
      </c>
      <c r="J398" t="str">
        <f>IF('SAÍDAS-BASE'!I396="","",'SAÍDAS-BASE'!I396)</f>
        <v/>
      </c>
      <c r="K398" s="5" t="str">
        <f>IF('SAÍDAS-BASE'!J396="","",'SAÍDAS-BASE'!J396)</f>
        <v/>
      </c>
      <c r="L398" t="str">
        <f>IF(TABELA_SAIDAS[[#This Row],[UF]]="","",IFERROR(IF(VLOOKUP(TABELA_SAIDAS[[#This Row],[VALOR]],TABELA_ENTRADAS[VALOR],1,FALSE),"DEVOLUÇÃO"),"SEM ENTRADAS"))</f>
        <v/>
      </c>
    </row>
    <row r="399" spans="2:12" x14ac:dyDescent="0.3">
      <c r="B399" t="str">
        <f>IF('SAÍDAS-BASE'!A397="","",'SAÍDAS-BASE'!A397)</f>
        <v/>
      </c>
      <c r="C399" t="str">
        <f>IF('SAÍDAS-BASE'!B397="","",'SAÍDAS-BASE'!B397)</f>
        <v/>
      </c>
      <c r="D399" t="str">
        <f>IF('SAÍDAS-BASE'!C397="","",'SAÍDAS-BASE'!C397)</f>
        <v/>
      </c>
      <c r="E399" s="7" t="str">
        <f>IF('SAÍDAS-BASE'!D397="","",'SAÍDAS-BASE'!D397)</f>
        <v/>
      </c>
      <c r="F399" s="6" t="str">
        <f>IF('SAÍDAS-BASE'!E397="","",'SAÍDAS-BASE'!E397)</f>
        <v/>
      </c>
      <c r="G399" t="str">
        <f>IF('SAÍDAS-BASE'!F397="","",'SAÍDAS-BASE'!F397)</f>
        <v/>
      </c>
      <c r="H399" t="str">
        <f>IF('SAÍDAS-BASE'!G397="","",'SAÍDAS-BASE'!G397)</f>
        <v/>
      </c>
      <c r="I399" t="str">
        <f>IF('SAÍDAS-BASE'!H397="","",'SAÍDAS-BASE'!H397)</f>
        <v/>
      </c>
      <c r="J399" t="str">
        <f>IF('SAÍDAS-BASE'!I397="","",'SAÍDAS-BASE'!I397)</f>
        <v/>
      </c>
      <c r="K399" s="5" t="str">
        <f>IF('SAÍDAS-BASE'!J397="","",'SAÍDAS-BASE'!J397)</f>
        <v/>
      </c>
      <c r="L399" t="str">
        <f>IF(TABELA_SAIDAS[[#This Row],[UF]]="","",IFERROR(IF(VLOOKUP(TABELA_SAIDAS[[#This Row],[VALOR]],TABELA_ENTRADAS[VALOR],1,FALSE),"DEVOLUÇÃO"),"SEM ENTRADAS"))</f>
        <v/>
      </c>
    </row>
    <row r="400" spans="2:12" x14ac:dyDescent="0.3">
      <c r="B400" t="str">
        <f>IF('SAÍDAS-BASE'!A398="","",'SAÍDAS-BASE'!A398)</f>
        <v/>
      </c>
      <c r="C400" t="str">
        <f>IF('SAÍDAS-BASE'!B398="","",'SAÍDAS-BASE'!B398)</f>
        <v/>
      </c>
      <c r="D400" t="str">
        <f>IF('SAÍDAS-BASE'!C398="","",'SAÍDAS-BASE'!C398)</f>
        <v/>
      </c>
      <c r="E400" s="7" t="str">
        <f>IF('SAÍDAS-BASE'!D398="","",'SAÍDAS-BASE'!D398)</f>
        <v/>
      </c>
      <c r="F400" s="6" t="str">
        <f>IF('SAÍDAS-BASE'!E398="","",'SAÍDAS-BASE'!E398)</f>
        <v/>
      </c>
      <c r="G400" t="str">
        <f>IF('SAÍDAS-BASE'!F398="","",'SAÍDAS-BASE'!F398)</f>
        <v/>
      </c>
      <c r="H400" t="str">
        <f>IF('SAÍDAS-BASE'!G398="","",'SAÍDAS-BASE'!G398)</f>
        <v/>
      </c>
      <c r="I400" t="str">
        <f>IF('SAÍDAS-BASE'!H398="","",'SAÍDAS-BASE'!H398)</f>
        <v/>
      </c>
      <c r="J400" t="str">
        <f>IF('SAÍDAS-BASE'!I398="","",'SAÍDAS-BASE'!I398)</f>
        <v/>
      </c>
      <c r="K400" s="5" t="str">
        <f>IF('SAÍDAS-BASE'!J398="","",'SAÍDAS-BASE'!J398)</f>
        <v/>
      </c>
      <c r="L400" t="str">
        <f>IF(TABELA_SAIDAS[[#This Row],[UF]]="","",IFERROR(IF(VLOOKUP(TABELA_SAIDAS[[#This Row],[VALOR]],TABELA_ENTRADAS[VALOR],1,FALSE),"DEVOLUÇÃO"),"SEM ENTRADAS"))</f>
        <v/>
      </c>
    </row>
    <row r="401" spans="2:12" x14ac:dyDescent="0.3">
      <c r="B401" t="str">
        <f>IF('SAÍDAS-BASE'!A399="","",'SAÍDAS-BASE'!A399)</f>
        <v/>
      </c>
      <c r="C401" t="str">
        <f>IF('SAÍDAS-BASE'!B399="","",'SAÍDAS-BASE'!B399)</f>
        <v/>
      </c>
      <c r="D401" t="str">
        <f>IF('SAÍDAS-BASE'!C399="","",'SAÍDAS-BASE'!C399)</f>
        <v/>
      </c>
      <c r="E401" s="7" t="str">
        <f>IF('SAÍDAS-BASE'!D399="","",'SAÍDAS-BASE'!D399)</f>
        <v/>
      </c>
      <c r="F401" s="6" t="str">
        <f>IF('SAÍDAS-BASE'!E399="","",'SAÍDAS-BASE'!E399)</f>
        <v/>
      </c>
      <c r="G401" t="str">
        <f>IF('SAÍDAS-BASE'!F399="","",'SAÍDAS-BASE'!F399)</f>
        <v/>
      </c>
      <c r="H401" t="str">
        <f>IF('SAÍDAS-BASE'!G399="","",'SAÍDAS-BASE'!G399)</f>
        <v/>
      </c>
      <c r="I401" t="str">
        <f>IF('SAÍDAS-BASE'!H399="","",'SAÍDAS-BASE'!H399)</f>
        <v/>
      </c>
      <c r="J401" t="str">
        <f>IF('SAÍDAS-BASE'!I399="","",'SAÍDAS-BASE'!I399)</f>
        <v/>
      </c>
      <c r="K401" s="5" t="str">
        <f>IF('SAÍDAS-BASE'!J399="","",'SAÍDAS-BASE'!J399)</f>
        <v/>
      </c>
      <c r="L401" t="str">
        <f>IF(TABELA_SAIDAS[[#This Row],[UF]]="","",IFERROR(IF(VLOOKUP(TABELA_SAIDAS[[#This Row],[VALOR]],TABELA_ENTRADAS[VALOR],1,FALSE),"DEVOLUÇÃO"),"SEM ENTRADAS"))</f>
        <v/>
      </c>
    </row>
    <row r="402" spans="2:12" x14ac:dyDescent="0.3">
      <c r="B402" t="str">
        <f>IF('SAÍDAS-BASE'!A400="","",'SAÍDAS-BASE'!A400)</f>
        <v/>
      </c>
      <c r="C402" t="str">
        <f>IF('SAÍDAS-BASE'!B400="","",'SAÍDAS-BASE'!B400)</f>
        <v/>
      </c>
      <c r="D402" t="str">
        <f>IF('SAÍDAS-BASE'!C400="","",'SAÍDAS-BASE'!C400)</f>
        <v/>
      </c>
      <c r="E402" s="7" t="str">
        <f>IF('SAÍDAS-BASE'!D400="","",'SAÍDAS-BASE'!D400)</f>
        <v/>
      </c>
      <c r="F402" s="6" t="str">
        <f>IF('SAÍDAS-BASE'!E400="","",'SAÍDAS-BASE'!E400)</f>
        <v/>
      </c>
      <c r="G402" t="str">
        <f>IF('SAÍDAS-BASE'!F400="","",'SAÍDAS-BASE'!F400)</f>
        <v/>
      </c>
      <c r="H402" t="str">
        <f>IF('SAÍDAS-BASE'!G400="","",'SAÍDAS-BASE'!G400)</f>
        <v/>
      </c>
      <c r="I402" t="str">
        <f>IF('SAÍDAS-BASE'!H400="","",'SAÍDAS-BASE'!H400)</f>
        <v/>
      </c>
      <c r="J402" t="str">
        <f>IF('SAÍDAS-BASE'!I400="","",'SAÍDAS-BASE'!I400)</f>
        <v/>
      </c>
      <c r="K402" s="5" t="str">
        <f>IF('SAÍDAS-BASE'!J400="","",'SAÍDAS-BASE'!J400)</f>
        <v/>
      </c>
      <c r="L402" t="str">
        <f>IF(TABELA_SAIDAS[[#This Row],[UF]]="","",IFERROR(IF(VLOOKUP(TABELA_SAIDAS[[#This Row],[VALOR]],TABELA_ENTRADAS[VALOR],1,FALSE),"DEVOLUÇÃO"),"SEM ENTRADAS"))</f>
        <v/>
      </c>
    </row>
    <row r="403" spans="2:12" x14ac:dyDescent="0.3">
      <c r="B403" t="str">
        <f>IF('SAÍDAS-BASE'!A401="","",'SAÍDAS-BASE'!A401)</f>
        <v/>
      </c>
      <c r="C403" t="str">
        <f>IF('SAÍDAS-BASE'!B401="","",'SAÍDAS-BASE'!B401)</f>
        <v/>
      </c>
      <c r="D403" t="str">
        <f>IF('SAÍDAS-BASE'!C401="","",'SAÍDAS-BASE'!C401)</f>
        <v/>
      </c>
      <c r="E403" s="7" t="str">
        <f>IF('SAÍDAS-BASE'!D401="","",'SAÍDAS-BASE'!D401)</f>
        <v/>
      </c>
      <c r="F403" s="6" t="str">
        <f>IF('SAÍDAS-BASE'!E401="","",'SAÍDAS-BASE'!E401)</f>
        <v/>
      </c>
      <c r="G403" t="str">
        <f>IF('SAÍDAS-BASE'!F401="","",'SAÍDAS-BASE'!F401)</f>
        <v/>
      </c>
      <c r="H403" t="str">
        <f>IF('SAÍDAS-BASE'!G401="","",'SAÍDAS-BASE'!G401)</f>
        <v/>
      </c>
      <c r="I403" t="str">
        <f>IF('SAÍDAS-BASE'!H401="","",'SAÍDAS-BASE'!H401)</f>
        <v/>
      </c>
      <c r="J403" t="str">
        <f>IF('SAÍDAS-BASE'!I401="","",'SAÍDAS-BASE'!I401)</f>
        <v/>
      </c>
      <c r="K403" s="5" t="str">
        <f>IF('SAÍDAS-BASE'!J401="","",'SAÍDAS-BASE'!J401)</f>
        <v/>
      </c>
      <c r="L403" t="str">
        <f>IF(TABELA_SAIDAS[[#This Row],[UF]]="","",IFERROR(IF(VLOOKUP(TABELA_SAIDAS[[#This Row],[VALOR]],TABELA_ENTRADAS[VALOR],1,FALSE),"DEVOLUÇÃO"),"SEM ENTRADAS"))</f>
        <v/>
      </c>
    </row>
    <row r="404" spans="2:12" x14ac:dyDescent="0.3">
      <c r="B404" t="str">
        <f>IF('SAÍDAS-BASE'!A402="","",'SAÍDAS-BASE'!A402)</f>
        <v/>
      </c>
      <c r="C404" t="str">
        <f>IF('SAÍDAS-BASE'!B402="","",'SAÍDAS-BASE'!B402)</f>
        <v/>
      </c>
      <c r="D404" t="str">
        <f>IF('SAÍDAS-BASE'!C402="","",'SAÍDAS-BASE'!C402)</f>
        <v/>
      </c>
      <c r="E404" s="7" t="str">
        <f>IF('SAÍDAS-BASE'!D402="","",'SAÍDAS-BASE'!D402)</f>
        <v/>
      </c>
      <c r="F404" s="6" t="str">
        <f>IF('SAÍDAS-BASE'!E402="","",'SAÍDAS-BASE'!E402)</f>
        <v/>
      </c>
      <c r="G404" t="str">
        <f>IF('SAÍDAS-BASE'!F402="","",'SAÍDAS-BASE'!F402)</f>
        <v/>
      </c>
      <c r="H404" t="str">
        <f>IF('SAÍDAS-BASE'!G402="","",'SAÍDAS-BASE'!G402)</f>
        <v/>
      </c>
      <c r="I404" t="str">
        <f>IF('SAÍDAS-BASE'!H402="","",'SAÍDAS-BASE'!H402)</f>
        <v/>
      </c>
      <c r="J404" t="str">
        <f>IF('SAÍDAS-BASE'!I402="","",'SAÍDAS-BASE'!I402)</f>
        <v/>
      </c>
      <c r="K404" s="5" t="str">
        <f>IF('SAÍDAS-BASE'!J402="","",'SAÍDAS-BASE'!J402)</f>
        <v/>
      </c>
      <c r="L404" t="str">
        <f>IF(TABELA_SAIDAS[[#This Row],[UF]]="","",IFERROR(IF(VLOOKUP(TABELA_SAIDAS[[#This Row],[VALOR]],TABELA_ENTRADAS[VALOR],1,FALSE),"DEVOLUÇÃO"),"SEM ENTRADAS"))</f>
        <v/>
      </c>
    </row>
    <row r="405" spans="2:12" x14ac:dyDescent="0.3">
      <c r="B405" t="str">
        <f>IF('SAÍDAS-BASE'!A403="","",'SAÍDAS-BASE'!A403)</f>
        <v/>
      </c>
      <c r="C405" t="str">
        <f>IF('SAÍDAS-BASE'!B403="","",'SAÍDAS-BASE'!B403)</f>
        <v/>
      </c>
      <c r="D405" t="str">
        <f>IF('SAÍDAS-BASE'!C403="","",'SAÍDAS-BASE'!C403)</f>
        <v/>
      </c>
      <c r="E405" s="7" t="str">
        <f>IF('SAÍDAS-BASE'!D403="","",'SAÍDAS-BASE'!D403)</f>
        <v/>
      </c>
      <c r="F405" s="6" t="str">
        <f>IF('SAÍDAS-BASE'!E403="","",'SAÍDAS-BASE'!E403)</f>
        <v/>
      </c>
      <c r="G405" t="str">
        <f>IF('SAÍDAS-BASE'!F403="","",'SAÍDAS-BASE'!F403)</f>
        <v/>
      </c>
      <c r="H405" t="str">
        <f>IF('SAÍDAS-BASE'!G403="","",'SAÍDAS-BASE'!G403)</f>
        <v/>
      </c>
      <c r="I405" t="str">
        <f>IF('SAÍDAS-BASE'!H403="","",'SAÍDAS-BASE'!H403)</f>
        <v/>
      </c>
      <c r="J405" t="str">
        <f>IF('SAÍDAS-BASE'!I403="","",'SAÍDAS-BASE'!I403)</f>
        <v/>
      </c>
      <c r="K405" s="5" t="str">
        <f>IF('SAÍDAS-BASE'!J403="","",'SAÍDAS-BASE'!J403)</f>
        <v/>
      </c>
      <c r="L405" t="str">
        <f>IF(TABELA_SAIDAS[[#This Row],[UF]]="","",IFERROR(IF(VLOOKUP(TABELA_SAIDAS[[#This Row],[VALOR]],TABELA_ENTRADAS[VALOR],1,FALSE),"DEVOLUÇÃO"),"SEM ENTRADAS"))</f>
        <v/>
      </c>
    </row>
    <row r="406" spans="2:12" x14ac:dyDescent="0.3">
      <c r="B406" t="str">
        <f>IF('SAÍDAS-BASE'!A404="","",'SAÍDAS-BASE'!A404)</f>
        <v/>
      </c>
      <c r="C406" t="str">
        <f>IF('SAÍDAS-BASE'!B404="","",'SAÍDAS-BASE'!B404)</f>
        <v/>
      </c>
      <c r="D406" t="str">
        <f>IF('SAÍDAS-BASE'!C404="","",'SAÍDAS-BASE'!C404)</f>
        <v/>
      </c>
      <c r="E406" s="7" t="str">
        <f>IF('SAÍDAS-BASE'!D404="","",'SAÍDAS-BASE'!D404)</f>
        <v/>
      </c>
      <c r="F406" s="6" t="str">
        <f>IF('SAÍDAS-BASE'!E404="","",'SAÍDAS-BASE'!E404)</f>
        <v/>
      </c>
      <c r="G406" t="str">
        <f>IF('SAÍDAS-BASE'!F404="","",'SAÍDAS-BASE'!F404)</f>
        <v/>
      </c>
      <c r="H406" t="str">
        <f>IF('SAÍDAS-BASE'!G404="","",'SAÍDAS-BASE'!G404)</f>
        <v/>
      </c>
      <c r="I406" t="str">
        <f>IF('SAÍDAS-BASE'!H404="","",'SAÍDAS-BASE'!H404)</f>
        <v/>
      </c>
      <c r="J406" t="str">
        <f>IF('SAÍDAS-BASE'!I404="","",'SAÍDAS-BASE'!I404)</f>
        <v/>
      </c>
      <c r="K406" s="5" t="str">
        <f>IF('SAÍDAS-BASE'!J404="","",'SAÍDAS-BASE'!J404)</f>
        <v/>
      </c>
      <c r="L406" t="str">
        <f>IF(TABELA_SAIDAS[[#This Row],[UF]]="","",IFERROR(IF(VLOOKUP(TABELA_SAIDAS[[#This Row],[VALOR]],TABELA_ENTRADAS[VALOR],1,FALSE),"DEVOLUÇÃO"),"SEM ENTRADAS"))</f>
        <v/>
      </c>
    </row>
    <row r="407" spans="2:12" x14ac:dyDescent="0.3">
      <c r="B407" t="str">
        <f>IF('SAÍDAS-BASE'!A405="","",'SAÍDAS-BASE'!A405)</f>
        <v/>
      </c>
      <c r="C407" t="str">
        <f>IF('SAÍDAS-BASE'!B405="","",'SAÍDAS-BASE'!B405)</f>
        <v/>
      </c>
      <c r="D407" t="str">
        <f>IF('SAÍDAS-BASE'!C405="","",'SAÍDAS-BASE'!C405)</f>
        <v/>
      </c>
      <c r="E407" s="7" t="str">
        <f>IF('SAÍDAS-BASE'!D405="","",'SAÍDAS-BASE'!D405)</f>
        <v/>
      </c>
      <c r="F407" s="6" t="str">
        <f>IF('SAÍDAS-BASE'!E405="","",'SAÍDAS-BASE'!E405)</f>
        <v/>
      </c>
      <c r="G407" t="str">
        <f>IF('SAÍDAS-BASE'!F405="","",'SAÍDAS-BASE'!F405)</f>
        <v/>
      </c>
      <c r="H407" t="str">
        <f>IF('SAÍDAS-BASE'!G405="","",'SAÍDAS-BASE'!G405)</f>
        <v/>
      </c>
      <c r="I407" t="str">
        <f>IF('SAÍDAS-BASE'!H405="","",'SAÍDAS-BASE'!H405)</f>
        <v/>
      </c>
      <c r="J407" t="str">
        <f>IF('SAÍDAS-BASE'!I405="","",'SAÍDAS-BASE'!I405)</f>
        <v/>
      </c>
      <c r="K407" s="5" t="str">
        <f>IF('SAÍDAS-BASE'!J405="","",'SAÍDAS-BASE'!J405)</f>
        <v/>
      </c>
      <c r="L407" t="str">
        <f>IF(TABELA_SAIDAS[[#This Row],[UF]]="","",IFERROR(IF(VLOOKUP(TABELA_SAIDAS[[#This Row],[VALOR]],TABELA_ENTRADAS[VALOR],1,FALSE),"DEVOLUÇÃO"),"SEM ENTRADAS"))</f>
        <v/>
      </c>
    </row>
    <row r="408" spans="2:12" x14ac:dyDescent="0.3">
      <c r="B408" t="str">
        <f>IF('SAÍDAS-BASE'!A406="","",'SAÍDAS-BASE'!A406)</f>
        <v/>
      </c>
      <c r="C408" t="str">
        <f>IF('SAÍDAS-BASE'!B406="","",'SAÍDAS-BASE'!B406)</f>
        <v/>
      </c>
      <c r="D408" t="str">
        <f>IF('SAÍDAS-BASE'!C406="","",'SAÍDAS-BASE'!C406)</f>
        <v/>
      </c>
      <c r="E408" s="7" t="str">
        <f>IF('SAÍDAS-BASE'!D406="","",'SAÍDAS-BASE'!D406)</f>
        <v/>
      </c>
      <c r="F408" s="6" t="str">
        <f>IF('SAÍDAS-BASE'!E406="","",'SAÍDAS-BASE'!E406)</f>
        <v/>
      </c>
      <c r="G408" t="str">
        <f>IF('SAÍDAS-BASE'!F406="","",'SAÍDAS-BASE'!F406)</f>
        <v/>
      </c>
      <c r="H408" t="str">
        <f>IF('SAÍDAS-BASE'!G406="","",'SAÍDAS-BASE'!G406)</f>
        <v/>
      </c>
      <c r="I408" t="str">
        <f>IF('SAÍDAS-BASE'!H406="","",'SAÍDAS-BASE'!H406)</f>
        <v/>
      </c>
      <c r="J408" t="str">
        <f>IF('SAÍDAS-BASE'!I406="","",'SAÍDAS-BASE'!I406)</f>
        <v/>
      </c>
      <c r="K408" s="5" t="str">
        <f>IF('SAÍDAS-BASE'!J406="","",'SAÍDAS-BASE'!J406)</f>
        <v/>
      </c>
      <c r="L408" t="str">
        <f>IF(TABELA_SAIDAS[[#This Row],[UF]]="","",IFERROR(IF(VLOOKUP(TABELA_SAIDAS[[#This Row],[VALOR]],TABELA_ENTRADAS[VALOR],1,FALSE),"DEVOLUÇÃO"),"SEM ENTRADAS"))</f>
        <v/>
      </c>
    </row>
    <row r="409" spans="2:12" x14ac:dyDescent="0.3">
      <c r="B409" t="str">
        <f>IF('SAÍDAS-BASE'!A407="","",'SAÍDAS-BASE'!A407)</f>
        <v/>
      </c>
      <c r="C409" t="str">
        <f>IF('SAÍDAS-BASE'!B407="","",'SAÍDAS-BASE'!B407)</f>
        <v/>
      </c>
      <c r="D409" t="str">
        <f>IF('SAÍDAS-BASE'!C407="","",'SAÍDAS-BASE'!C407)</f>
        <v/>
      </c>
      <c r="E409" s="7" t="str">
        <f>IF('SAÍDAS-BASE'!D407="","",'SAÍDAS-BASE'!D407)</f>
        <v/>
      </c>
      <c r="F409" s="6" t="str">
        <f>IF('SAÍDAS-BASE'!E407="","",'SAÍDAS-BASE'!E407)</f>
        <v/>
      </c>
      <c r="G409" t="str">
        <f>IF('SAÍDAS-BASE'!F407="","",'SAÍDAS-BASE'!F407)</f>
        <v/>
      </c>
      <c r="H409" t="str">
        <f>IF('SAÍDAS-BASE'!G407="","",'SAÍDAS-BASE'!G407)</f>
        <v/>
      </c>
      <c r="I409" t="str">
        <f>IF('SAÍDAS-BASE'!H407="","",'SAÍDAS-BASE'!H407)</f>
        <v/>
      </c>
      <c r="J409" t="str">
        <f>IF('SAÍDAS-BASE'!I407="","",'SAÍDAS-BASE'!I407)</f>
        <v/>
      </c>
      <c r="K409" s="5" t="str">
        <f>IF('SAÍDAS-BASE'!J407="","",'SAÍDAS-BASE'!J407)</f>
        <v/>
      </c>
      <c r="L409" t="str">
        <f>IF(TABELA_SAIDAS[[#This Row],[UF]]="","",IFERROR(IF(VLOOKUP(TABELA_SAIDAS[[#This Row],[VALOR]],TABELA_ENTRADAS[VALOR],1,FALSE),"DEVOLUÇÃO"),"SEM ENTRADAS"))</f>
        <v/>
      </c>
    </row>
    <row r="410" spans="2:12" x14ac:dyDescent="0.3">
      <c r="B410" t="str">
        <f>IF('SAÍDAS-BASE'!A408="","",'SAÍDAS-BASE'!A408)</f>
        <v/>
      </c>
      <c r="C410" t="str">
        <f>IF('SAÍDAS-BASE'!B408="","",'SAÍDAS-BASE'!B408)</f>
        <v/>
      </c>
      <c r="D410" t="str">
        <f>IF('SAÍDAS-BASE'!C408="","",'SAÍDAS-BASE'!C408)</f>
        <v/>
      </c>
      <c r="E410" s="7" t="str">
        <f>IF('SAÍDAS-BASE'!D408="","",'SAÍDAS-BASE'!D408)</f>
        <v/>
      </c>
      <c r="F410" s="6" t="str">
        <f>IF('SAÍDAS-BASE'!E408="","",'SAÍDAS-BASE'!E408)</f>
        <v/>
      </c>
      <c r="G410" t="str">
        <f>IF('SAÍDAS-BASE'!F408="","",'SAÍDAS-BASE'!F408)</f>
        <v/>
      </c>
      <c r="H410" t="str">
        <f>IF('SAÍDAS-BASE'!G408="","",'SAÍDAS-BASE'!G408)</f>
        <v/>
      </c>
      <c r="I410" t="str">
        <f>IF('SAÍDAS-BASE'!H408="","",'SAÍDAS-BASE'!H408)</f>
        <v/>
      </c>
      <c r="J410" t="str">
        <f>IF('SAÍDAS-BASE'!I408="","",'SAÍDAS-BASE'!I408)</f>
        <v/>
      </c>
      <c r="K410" s="5" t="str">
        <f>IF('SAÍDAS-BASE'!J408="","",'SAÍDAS-BASE'!J408)</f>
        <v/>
      </c>
      <c r="L410" t="str">
        <f>IF(TABELA_SAIDAS[[#This Row],[UF]]="","",IFERROR(IF(VLOOKUP(TABELA_SAIDAS[[#This Row],[VALOR]],TABELA_ENTRADAS[VALOR],1,FALSE),"DEVOLUÇÃO"),"SEM ENTRADAS"))</f>
        <v/>
      </c>
    </row>
    <row r="411" spans="2:12" x14ac:dyDescent="0.3">
      <c r="B411" t="str">
        <f>IF('SAÍDAS-BASE'!A409="","",'SAÍDAS-BASE'!A409)</f>
        <v/>
      </c>
      <c r="C411" t="str">
        <f>IF('SAÍDAS-BASE'!B409="","",'SAÍDAS-BASE'!B409)</f>
        <v/>
      </c>
      <c r="D411" t="str">
        <f>IF('SAÍDAS-BASE'!C409="","",'SAÍDAS-BASE'!C409)</f>
        <v/>
      </c>
      <c r="E411" s="7" t="str">
        <f>IF('SAÍDAS-BASE'!D409="","",'SAÍDAS-BASE'!D409)</f>
        <v/>
      </c>
      <c r="F411" s="6" t="str">
        <f>IF('SAÍDAS-BASE'!E409="","",'SAÍDAS-BASE'!E409)</f>
        <v/>
      </c>
      <c r="G411" t="str">
        <f>IF('SAÍDAS-BASE'!F409="","",'SAÍDAS-BASE'!F409)</f>
        <v/>
      </c>
      <c r="H411" t="str">
        <f>IF('SAÍDAS-BASE'!G409="","",'SAÍDAS-BASE'!G409)</f>
        <v/>
      </c>
      <c r="I411" t="str">
        <f>IF('SAÍDAS-BASE'!H409="","",'SAÍDAS-BASE'!H409)</f>
        <v/>
      </c>
      <c r="J411" t="str">
        <f>IF('SAÍDAS-BASE'!I409="","",'SAÍDAS-BASE'!I409)</f>
        <v/>
      </c>
      <c r="K411" s="5" t="str">
        <f>IF('SAÍDAS-BASE'!J409="","",'SAÍDAS-BASE'!J409)</f>
        <v/>
      </c>
      <c r="L411" t="str">
        <f>IF(TABELA_SAIDAS[[#This Row],[UF]]="","",IFERROR(IF(VLOOKUP(TABELA_SAIDAS[[#This Row],[VALOR]],TABELA_ENTRADAS[VALOR],1,FALSE),"DEVOLUÇÃO"),"SEM ENTRADAS"))</f>
        <v/>
      </c>
    </row>
    <row r="412" spans="2:12" x14ac:dyDescent="0.3">
      <c r="B412" t="str">
        <f>IF('SAÍDAS-BASE'!A410="","",'SAÍDAS-BASE'!A410)</f>
        <v/>
      </c>
      <c r="C412" t="str">
        <f>IF('SAÍDAS-BASE'!B410="","",'SAÍDAS-BASE'!B410)</f>
        <v/>
      </c>
      <c r="D412" t="str">
        <f>IF('SAÍDAS-BASE'!C410="","",'SAÍDAS-BASE'!C410)</f>
        <v/>
      </c>
      <c r="E412" s="7" t="str">
        <f>IF('SAÍDAS-BASE'!D410="","",'SAÍDAS-BASE'!D410)</f>
        <v/>
      </c>
      <c r="F412" s="6" t="str">
        <f>IF('SAÍDAS-BASE'!E410="","",'SAÍDAS-BASE'!E410)</f>
        <v/>
      </c>
      <c r="G412" t="str">
        <f>IF('SAÍDAS-BASE'!F410="","",'SAÍDAS-BASE'!F410)</f>
        <v/>
      </c>
      <c r="H412" t="str">
        <f>IF('SAÍDAS-BASE'!G410="","",'SAÍDAS-BASE'!G410)</f>
        <v/>
      </c>
      <c r="I412" t="str">
        <f>IF('SAÍDAS-BASE'!H410="","",'SAÍDAS-BASE'!H410)</f>
        <v/>
      </c>
      <c r="J412" t="str">
        <f>IF('SAÍDAS-BASE'!I410="","",'SAÍDAS-BASE'!I410)</f>
        <v/>
      </c>
      <c r="K412" s="5" t="str">
        <f>IF('SAÍDAS-BASE'!J410="","",'SAÍDAS-BASE'!J410)</f>
        <v/>
      </c>
      <c r="L412" t="str">
        <f>IF(TABELA_SAIDAS[[#This Row],[UF]]="","",IFERROR(IF(VLOOKUP(TABELA_SAIDAS[[#This Row],[VALOR]],TABELA_ENTRADAS[VALOR],1,FALSE),"DEVOLUÇÃO"),"SEM ENTRADAS"))</f>
        <v/>
      </c>
    </row>
    <row r="413" spans="2:12" x14ac:dyDescent="0.3">
      <c r="B413" t="str">
        <f>IF('SAÍDAS-BASE'!A411="","",'SAÍDAS-BASE'!A411)</f>
        <v/>
      </c>
      <c r="C413" t="str">
        <f>IF('SAÍDAS-BASE'!B411="","",'SAÍDAS-BASE'!B411)</f>
        <v/>
      </c>
      <c r="D413" t="str">
        <f>IF('SAÍDAS-BASE'!C411="","",'SAÍDAS-BASE'!C411)</f>
        <v/>
      </c>
      <c r="E413" s="7" t="str">
        <f>IF('SAÍDAS-BASE'!D411="","",'SAÍDAS-BASE'!D411)</f>
        <v/>
      </c>
      <c r="F413" s="6" t="str">
        <f>IF('SAÍDAS-BASE'!E411="","",'SAÍDAS-BASE'!E411)</f>
        <v/>
      </c>
      <c r="G413" t="str">
        <f>IF('SAÍDAS-BASE'!F411="","",'SAÍDAS-BASE'!F411)</f>
        <v/>
      </c>
      <c r="H413" t="str">
        <f>IF('SAÍDAS-BASE'!G411="","",'SAÍDAS-BASE'!G411)</f>
        <v/>
      </c>
      <c r="I413" t="str">
        <f>IF('SAÍDAS-BASE'!H411="","",'SAÍDAS-BASE'!H411)</f>
        <v/>
      </c>
      <c r="J413" t="str">
        <f>IF('SAÍDAS-BASE'!I411="","",'SAÍDAS-BASE'!I411)</f>
        <v/>
      </c>
      <c r="K413" s="5" t="str">
        <f>IF('SAÍDAS-BASE'!J411="","",'SAÍDAS-BASE'!J411)</f>
        <v/>
      </c>
      <c r="L413" t="str">
        <f>IF(TABELA_SAIDAS[[#This Row],[UF]]="","",IFERROR(IF(VLOOKUP(TABELA_SAIDAS[[#This Row],[VALOR]],TABELA_ENTRADAS[VALOR],1,FALSE),"DEVOLUÇÃO"),"SEM ENTRADAS"))</f>
        <v/>
      </c>
    </row>
    <row r="414" spans="2:12" x14ac:dyDescent="0.3">
      <c r="B414" t="str">
        <f>IF('SAÍDAS-BASE'!A412="","",'SAÍDAS-BASE'!A412)</f>
        <v/>
      </c>
      <c r="C414" t="str">
        <f>IF('SAÍDAS-BASE'!B412="","",'SAÍDAS-BASE'!B412)</f>
        <v/>
      </c>
      <c r="D414" t="str">
        <f>IF('SAÍDAS-BASE'!C412="","",'SAÍDAS-BASE'!C412)</f>
        <v/>
      </c>
      <c r="E414" s="7" t="str">
        <f>IF('SAÍDAS-BASE'!D412="","",'SAÍDAS-BASE'!D412)</f>
        <v/>
      </c>
      <c r="F414" s="6" t="str">
        <f>IF('SAÍDAS-BASE'!E412="","",'SAÍDAS-BASE'!E412)</f>
        <v/>
      </c>
      <c r="G414" t="str">
        <f>IF('SAÍDAS-BASE'!F412="","",'SAÍDAS-BASE'!F412)</f>
        <v/>
      </c>
      <c r="H414" t="str">
        <f>IF('SAÍDAS-BASE'!G412="","",'SAÍDAS-BASE'!G412)</f>
        <v/>
      </c>
      <c r="I414" t="str">
        <f>IF('SAÍDAS-BASE'!H412="","",'SAÍDAS-BASE'!H412)</f>
        <v/>
      </c>
      <c r="J414" t="str">
        <f>IF('SAÍDAS-BASE'!I412="","",'SAÍDAS-BASE'!I412)</f>
        <v/>
      </c>
      <c r="K414" s="5" t="str">
        <f>IF('SAÍDAS-BASE'!J412="","",'SAÍDAS-BASE'!J412)</f>
        <v/>
      </c>
      <c r="L414" t="str">
        <f>IF(TABELA_SAIDAS[[#This Row],[UF]]="","",IFERROR(IF(VLOOKUP(TABELA_SAIDAS[[#This Row],[VALOR]],TABELA_ENTRADAS[VALOR],1,FALSE),"DEVOLUÇÃO"),"SEM ENTRADAS"))</f>
        <v/>
      </c>
    </row>
    <row r="415" spans="2:12" x14ac:dyDescent="0.3">
      <c r="B415" t="str">
        <f>IF('SAÍDAS-BASE'!A413="","",'SAÍDAS-BASE'!A413)</f>
        <v/>
      </c>
      <c r="C415" t="str">
        <f>IF('SAÍDAS-BASE'!B413="","",'SAÍDAS-BASE'!B413)</f>
        <v/>
      </c>
      <c r="D415" t="str">
        <f>IF('SAÍDAS-BASE'!C413="","",'SAÍDAS-BASE'!C413)</f>
        <v/>
      </c>
      <c r="E415" s="7" t="str">
        <f>IF('SAÍDAS-BASE'!D413="","",'SAÍDAS-BASE'!D413)</f>
        <v/>
      </c>
      <c r="F415" s="6" t="str">
        <f>IF('SAÍDAS-BASE'!E413="","",'SAÍDAS-BASE'!E413)</f>
        <v/>
      </c>
      <c r="G415" t="str">
        <f>IF('SAÍDAS-BASE'!F413="","",'SAÍDAS-BASE'!F413)</f>
        <v/>
      </c>
      <c r="H415" t="str">
        <f>IF('SAÍDAS-BASE'!G413="","",'SAÍDAS-BASE'!G413)</f>
        <v/>
      </c>
      <c r="I415" t="str">
        <f>IF('SAÍDAS-BASE'!H413="","",'SAÍDAS-BASE'!H413)</f>
        <v/>
      </c>
      <c r="J415" t="str">
        <f>IF('SAÍDAS-BASE'!I413="","",'SAÍDAS-BASE'!I413)</f>
        <v/>
      </c>
      <c r="K415" s="5" t="str">
        <f>IF('SAÍDAS-BASE'!J413="","",'SAÍDAS-BASE'!J413)</f>
        <v/>
      </c>
      <c r="L415" t="str">
        <f>IF(TABELA_SAIDAS[[#This Row],[UF]]="","",IFERROR(IF(VLOOKUP(TABELA_SAIDAS[[#This Row],[VALOR]],TABELA_ENTRADAS[VALOR],1,FALSE),"DEVOLUÇÃO"),"SEM ENTRADAS"))</f>
        <v/>
      </c>
    </row>
    <row r="416" spans="2:12" x14ac:dyDescent="0.3">
      <c r="B416" t="str">
        <f>IF('SAÍDAS-BASE'!A414="","",'SAÍDAS-BASE'!A414)</f>
        <v/>
      </c>
      <c r="C416" t="str">
        <f>IF('SAÍDAS-BASE'!B414="","",'SAÍDAS-BASE'!B414)</f>
        <v/>
      </c>
      <c r="D416" t="str">
        <f>IF('SAÍDAS-BASE'!C414="","",'SAÍDAS-BASE'!C414)</f>
        <v/>
      </c>
      <c r="E416" s="7" t="str">
        <f>IF('SAÍDAS-BASE'!D414="","",'SAÍDAS-BASE'!D414)</f>
        <v/>
      </c>
      <c r="F416" s="6" t="str">
        <f>IF('SAÍDAS-BASE'!E414="","",'SAÍDAS-BASE'!E414)</f>
        <v/>
      </c>
      <c r="G416" t="str">
        <f>IF('SAÍDAS-BASE'!F414="","",'SAÍDAS-BASE'!F414)</f>
        <v/>
      </c>
      <c r="H416" t="str">
        <f>IF('SAÍDAS-BASE'!G414="","",'SAÍDAS-BASE'!G414)</f>
        <v/>
      </c>
      <c r="I416" t="str">
        <f>IF('SAÍDAS-BASE'!H414="","",'SAÍDAS-BASE'!H414)</f>
        <v/>
      </c>
      <c r="J416" t="str">
        <f>IF('SAÍDAS-BASE'!I414="","",'SAÍDAS-BASE'!I414)</f>
        <v/>
      </c>
      <c r="K416" s="5" t="str">
        <f>IF('SAÍDAS-BASE'!J414="","",'SAÍDAS-BASE'!J414)</f>
        <v/>
      </c>
      <c r="L416" t="str">
        <f>IF(TABELA_SAIDAS[[#This Row],[UF]]="","",IFERROR(IF(VLOOKUP(TABELA_SAIDAS[[#This Row],[VALOR]],TABELA_ENTRADAS[VALOR],1,FALSE),"DEVOLUÇÃO"),"SEM ENTRADAS"))</f>
        <v/>
      </c>
    </row>
    <row r="417" spans="2:12" x14ac:dyDescent="0.3">
      <c r="B417" t="str">
        <f>IF('SAÍDAS-BASE'!A415="","",'SAÍDAS-BASE'!A415)</f>
        <v/>
      </c>
      <c r="C417" t="str">
        <f>IF('SAÍDAS-BASE'!B415="","",'SAÍDAS-BASE'!B415)</f>
        <v/>
      </c>
      <c r="D417" t="str">
        <f>IF('SAÍDAS-BASE'!C415="","",'SAÍDAS-BASE'!C415)</f>
        <v/>
      </c>
      <c r="E417" s="7" t="str">
        <f>IF('SAÍDAS-BASE'!D415="","",'SAÍDAS-BASE'!D415)</f>
        <v/>
      </c>
      <c r="F417" s="6" t="str">
        <f>IF('SAÍDAS-BASE'!E415="","",'SAÍDAS-BASE'!E415)</f>
        <v/>
      </c>
      <c r="G417" t="str">
        <f>IF('SAÍDAS-BASE'!F415="","",'SAÍDAS-BASE'!F415)</f>
        <v/>
      </c>
      <c r="H417" t="str">
        <f>IF('SAÍDAS-BASE'!G415="","",'SAÍDAS-BASE'!G415)</f>
        <v/>
      </c>
      <c r="I417" t="str">
        <f>IF('SAÍDAS-BASE'!H415="","",'SAÍDAS-BASE'!H415)</f>
        <v/>
      </c>
      <c r="J417" t="str">
        <f>IF('SAÍDAS-BASE'!I415="","",'SAÍDAS-BASE'!I415)</f>
        <v/>
      </c>
      <c r="K417" s="5" t="str">
        <f>IF('SAÍDAS-BASE'!J415="","",'SAÍDAS-BASE'!J415)</f>
        <v/>
      </c>
      <c r="L417" t="str">
        <f>IF(TABELA_SAIDAS[[#This Row],[UF]]="","",IFERROR(IF(VLOOKUP(TABELA_SAIDAS[[#This Row],[VALOR]],TABELA_ENTRADAS[VALOR],1,FALSE),"DEVOLUÇÃO"),"SEM ENTRADAS"))</f>
        <v/>
      </c>
    </row>
    <row r="418" spans="2:12" x14ac:dyDescent="0.3">
      <c r="B418" t="str">
        <f>IF('SAÍDAS-BASE'!A416="","",'SAÍDAS-BASE'!A416)</f>
        <v/>
      </c>
      <c r="C418" t="str">
        <f>IF('SAÍDAS-BASE'!B416="","",'SAÍDAS-BASE'!B416)</f>
        <v/>
      </c>
      <c r="D418" t="str">
        <f>IF('SAÍDAS-BASE'!C416="","",'SAÍDAS-BASE'!C416)</f>
        <v/>
      </c>
      <c r="E418" s="7" t="str">
        <f>IF('SAÍDAS-BASE'!D416="","",'SAÍDAS-BASE'!D416)</f>
        <v/>
      </c>
      <c r="F418" s="6" t="str">
        <f>IF('SAÍDAS-BASE'!E416="","",'SAÍDAS-BASE'!E416)</f>
        <v/>
      </c>
      <c r="G418" t="str">
        <f>IF('SAÍDAS-BASE'!F416="","",'SAÍDAS-BASE'!F416)</f>
        <v/>
      </c>
      <c r="H418" t="str">
        <f>IF('SAÍDAS-BASE'!G416="","",'SAÍDAS-BASE'!G416)</f>
        <v/>
      </c>
      <c r="I418" t="str">
        <f>IF('SAÍDAS-BASE'!H416="","",'SAÍDAS-BASE'!H416)</f>
        <v/>
      </c>
      <c r="J418" t="str">
        <f>IF('SAÍDAS-BASE'!I416="","",'SAÍDAS-BASE'!I416)</f>
        <v/>
      </c>
      <c r="K418" s="5" t="str">
        <f>IF('SAÍDAS-BASE'!J416="","",'SAÍDAS-BASE'!J416)</f>
        <v/>
      </c>
      <c r="L418" t="str">
        <f>IF(TABELA_SAIDAS[[#This Row],[UF]]="","",IFERROR(IF(VLOOKUP(TABELA_SAIDAS[[#This Row],[VALOR]],TABELA_ENTRADAS[VALOR],1,FALSE),"DEVOLUÇÃO"),"SEM ENTRADAS"))</f>
        <v/>
      </c>
    </row>
    <row r="419" spans="2:12" x14ac:dyDescent="0.3">
      <c r="B419" t="str">
        <f>IF('SAÍDAS-BASE'!A417="","",'SAÍDAS-BASE'!A417)</f>
        <v/>
      </c>
      <c r="C419" t="str">
        <f>IF('SAÍDAS-BASE'!B417="","",'SAÍDAS-BASE'!B417)</f>
        <v/>
      </c>
      <c r="D419" t="str">
        <f>IF('SAÍDAS-BASE'!C417="","",'SAÍDAS-BASE'!C417)</f>
        <v/>
      </c>
      <c r="E419" s="7" t="str">
        <f>IF('SAÍDAS-BASE'!D417="","",'SAÍDAS-BASE'!D417)</f>
        <v/>
      </c>
      <c r="F419" s="6" t="str">
        <f>IF('SAÍDAS-BASE'!E417="","",'SAÍDAS-BASE'!E417)</f>
        <v/>
      </c>
      <c r="G419" t="str">
        <f>IF('SAÍDAS-BASE'!F417="","",'SAÍDAS-BASE'!F417)</f>
        <v/>
      </c>
      <c r="H419" t="str">
        <f>IF('SAÍDAS-BASE'!G417="","",'SAÍDAS-BASE'!G417)</f>
        <v/>
      </c>
      <c r="I419" t="str">
        <f>IF('SAÍDAS-BASE'!H417="","",'SAÍDAS-BASE'!H417)</f>
        <v/>
      </c>
      <c r="J419" t="str">
        <f>IF('SAÍDAS-BASE'!I417="","",'SAÍDAS-BASE'!I417)</f>
        <v/>
      </c>
      <c r="K419" s="5" t="str">
        <f>IF('SAÍDAS-BASE'!J417="","",'SAÍDAS-BASE'!J417)</f>
        <v/>
      </c>
      <c r="L419" t="str">
        <f>IF(TABELA_SAIDAS[[#This Row],[UF]]="","",IFERROR(IF(VLOOKUP(TABELA_SAIDAS[[#This Row],[VALOR]],TABELA_ENTRADAS[VALOR],1,FALSE),"DEVOLUÇÃO"),"SEM ENTRADAS"))</f>
        <v/>
      </c>
    </row>
    <row r="420" spans="2:12" x14ac:dyDescent="0.3">
      <c r="B420" t="str">
        <f>IF('SAÍDAS-BASE'!A418="","",'SAÍDAS-BASE'!A418)</f>
        <v/>
      </c>
      <c r="C420" t="str">
        <f>IF('SAÍDAS-BASE'!B418="","",'SAÍDAS-BASE'!B418)</f>
        <v/>
      </c>
      <c r="D420" t="str">
        <f>IF('SAÍDAS-BASE'!C418="","",'SAÍDAS-BASE'!C418)</f>
        <v/>
      </c>
      <c r="E420" s="7" t="str">
        <f>IF('SAÍDAS-BASE'!D418="","",'SAÍDAS-BASE'!D418)</f>
        <v/>
      </c>
      <c r="F420" s="6" t="str">
        <f>IF('SAÍDAS-BASE'!E418="","",'SAÍDAS-BASE'!E418)</f>
        <v/>
      </c>
      <c r="G420" t="str">
        <f>IF('SAÍDAS-BASE'!F418="","",'SAÍDAS-BASE'!F418)</f>
        <v/>
      </c>
      <c r="H420" t="str">
        <f>IF('SAÍDAS-BASE'!G418="","",'SAÍDAS-BASE'!G418)</f>
        <v/>
      </c>
      <c r="I420" t="str">
        <f>IF('SAÍDAS-BASE'!H418="","",'SAÍDAS-BASE'!H418)</f>
        <v/>
      </c>
      <c r="J420" t="str">
        <f>IF('SAÍDAS-BASE'!I418="","",'SAÍDAS-BASE'!I418)</f>
        <v/>
      </c>
      <c r="K420" s="5" t="str">
        <f>IF('SAÍDAS-BASE'!J418="","",'SAÍDAS-BASE'!J418)</f>
        <v/>
      </c>
      <c r="L420" t="str">
        <f>IF(TABELA_SAIDAS[[#This Row],[UF]]="","",IFERROR(IF(VLOOKUP(TABELA_SAIDAS[[#This Row],[VALOR]],TABELA_ENTRADAS[VALOR],1,FALSE),"DEVOLUÇÃO"),"SEM ENTRADAS"))</f>
        <v/>
      </c>
    </row>
    <row r="421" spans="2:12" x14ac:dyDescent="0.3">
      <c r="B421" t="str">
        <f>IF('SAÍDAS-BASE'!A419="","",'SAÍDAS-BASE'!A419)</f>
        <v/>
      </c>
      <c r="C421" t="str">
        <f>IF('SAÍDAS-BASE'!B419="","",'SAÍDAS-BASE'!B419)</f>
        <v/>
      </c>
      <c r="D421" t="str">
        <f>IF('SAÍDAS-BASE'!C419="","",'SAÍDAS-BASE'!C419)</f>
        <v/>
      </c>
      <c r="E421" s="7" t="str">
        <f>IF('SAÍDAS-BASE'!D419="","",'SAÍDAS-BASE'!D419)</f>
        <v/>
      </c>
      <c r="F421" s="6" t="str">
        <f>IF('SAÍDAS-BASE'!E419="","",'SAÍDAS-BASE'!E419)</f>
        <v/>
      </c>
      <c r="G421" t="str">
        <f>IF('SAÍDAS-BASE'!F419="","",'SAÍDAS-BASE'!F419)</f>
        <v/>
      </c>
      <c r="H421" t="str">
        <f>IF('SAÍDAS-BASE'!G419="","",'SAÍDAS-BASE'!G419)</f>
        <v/>
      </c>
      <c r="I421" t="str">
        <f>IF('SAÍDAS-BASE'!H419="","",'SAÍDAS-BASE'!H419)</f>
        <v/>
      </c>
      <c r="J421" t="str">
        <f>IF('SAÍDAS-BASE'!I419="","",'SAÍDAS-BASE'!I419)</f>
        <v/>
      </c>
      <c r="K421" s="5" t="str">
        <f>IF('SAÍDAS-BASE'!J419="","",'SAÍDAS-BASE'!J419)</f>
        <v/>
      </c>
      <c r="L421" t="str">
        <f>IF(TABELA_SAIDAS[[#This Row],[UF]]="","",IFERROR(IF(VLOOKUP(TABELA_SAIDAS[[#This Row],[VALOR]],TABELA_ENTRADAS[VALOR],1,FALSE),"DEVOLUÇÃO"),"SEM ENTRADAS"))</f>
        <v/>
      </c>
    </row>
    <row r="422" spans="2:12" x14ac:dyDescent="0.3">
      <c r="B422" t="str">
        <f>IF('SAÍDAS-BASE'!A420="","",'SAÍDAS-BASE'!A420)</f>
        <v/>
      </c>
      <c r="C422" t="str">
        <f>IF('SAÍDAS-BASE'!B420="","",'SAÍDAS-BASE'!B420)</f>
        <v/>
      </c>
      <c r="D422" t="str">
        <f>IF('SAÍDAS-BASE'!C420="","",'SAÍDAS-BASE'!C420)</f>
        <v/>
      </c>
      <c r="E422" s="7" t="str">
        <f>IF('SAÍDAS-BASE'!D420="","",'SAÍDAS-BASE'!D420)</f>
        <v/>
      </c>
      <c r="F422" s="6" t="str">
        <f>IF('SAÍDAS-BASE'!E420="","",'SAÍDAS-BASE'!E420)</f>
        <v/>
      </c>
      <c r="G422" t="str">
        <f>IF('SAÍDAS-BASE'!F420="","",'SAÍDAS-BASE'!F420)</f>
        <v/>
      </c>
      <c r="H422" t="str">
        <f>IF('SAÍDAS-BASE'!G420="","",'SAÍDAS-BASE'!G420)</f>
        <v/>
      </c>
      <c r="I422" t="str">
        <f>IF('SAÍDAS-BASE'!H420="","",'SAÍDAS-BASE'!H420)</f>
        <v/>
      </c>
      <c r="J422" t="str">
        <f>IF('SAÍDAS-BASE'!I420="","",'SAÍDAS-BASE'!I420)</f>
        <v/>
      </c>
      <c r="K422" s="5" t="str">
        <f>IF('SAÍDAS-BASE'!J420="","",'SAÍDAS-BASE'!J420)</f>
        <v/>
      </c>
      <c r="L422" t="str">
        <f>IF(TABELA_SAIDAS[[#This Row],[UF]]="","",IFERROR(IF(VLOOKUP(TABELA_SAIDAS[[#This Row],[VALOR]],TABELA_ENTRADAS[VALOR],1,FALSE),"DEVOLUÇÃO"),"SEM ENTRADAS"))</f>
        <v/>
      </c>
    </row>
    <row r="423" spans="2:12" x14ac:dyDescent="0.3">
      <c r="B423" t="str">
        <f>IF('SAÍDAS-BASE'!A421="","",'SAÍDAS-BASE'!A421)</f>
        <v/>
      </c>
      <c r="C423" t="str">
        <f>IF('SAÍDAS-BASE'!B421="","",'SAÍDAS-BASE'!B421)</f>
        <v/>
      </c>
      <c r="D423" t="str">
        <f>IF('SAÍDAS-BASE'!C421="","",'SAÍDAS-BASE'!C421)</f>
        <v/>
      </c>
      <c r="E423" s="7" t="str">
        <f>IF('SAÍDAS-BASE'!D421="","",'SAÍDAS-BASE'!D421)</f>
        <v/>
      </c>
      <c r="F423" s="6" t="str">
        <f>IF('SAÍDAS-BASE'!E421="","",'SAÍDAS-BASE'!E421)</f>
        <v/>
      </c>
      <c r="G423" t="str">
        <f>IF('SAÍDAS-BASE'!F421="","",'SAÍDAS-BASE'!F421)</f>
        <v/>
      </c>
      <c r="H423" t="str">
        <f>IF('SAÍDAS-BASE'!G421="","",'SAÍDAS-BASE'!G421)</f>
        <v/>
      </c>
      <c r="I423" t="str">
        <f>IF('SAÍDAS-BASE'!H421="","",'SAÍDAS-BASE'!H421)</f>
        <v/>
      </c>
      <c r="J423" t="str">
        <f>IF('SAÍDAS-BASE'!I421="","",'SAÍDAS-BASE'!I421)</f>
        <v/>
      </c>
      <c r="K423" s="5" t="str">
        <f>IF('SAÍDAS-BASE'!J421="","",'SAÍDAS-BASE'!J421)</f>
        <v/>
      </c>
      <c r="L423" t="str">
        <f>IF(TABELA_SAIDAS[[#This Row],[UF]]="","",IFERROR(IF(VLOOKUP(TABELA_SAIDAS[[#This Row],[VALOR]],TABELA_ENTRADAS[VALOR],1,FALSE),"DEVOLUÇÃO"),"SEM ENTRADAS"))</f>
        <v/>
      </c>
    </row>
    <row r="424" spans="2:12" x14ac:dyDescent="0.3">
      <c r="B424" t="str">
        <f>IF('SAÍDAS-BASE'!A422="","",'SAÍDAS-BASE'!A422)</f>
        <v/>
      </c>
      <c r="C424" t="str">
        <f>IF('SAÍDAS-BASE'!B422="","",'SAÍDAS-BASE'!B422)</f>
        <v/>
      </c>
      <c r="D424" t="str">
        <f>IF('SAÍDAS-BASE'!C422="","",'SAÍDAS-BASE'!C422)</f>
        <v/>
      </c>
      <c r="E424" s="7" t="str">
        <f>IF('SAÍDAS-BASE'!D422="","",'SAÍDAS-BASE'!D422)</f>
        <v/>
      </c>
      <c r="F424" s="6" t="str">
        <f>IF('SAÍDAS-BASE'!E422="","",'SAÍDAS-BASE'!E422)</f>
        <v/>
      </c>
      <c r="G424" t="str">
        <f>IF('SAÍDAS-BASE'!F422="","",'SAÍDAS-BASE'!F422)</f>
        <v/>
      </c>
      <c r="H424" t="str">
        <f>IF('SAÍDAS-BASE'!G422="","",'SAÍDAS-BASE'!G422)</f>
        <v/>
      </c>
      <c r="I424" t="str">
        <f>IF('SAÍDAS-BASE'!H422="","",'SAÍDAS-BASE'!H422)</f>
        <v/>
      </c>
      <c r="J424" t="str">
        <f>IF('SAÍDAS-BASE'!I422="","",'SAÍDAS-BASE'!I422)</f>
        <v/>
      </c>
      <c r="K424" s="5" t="str">
        <f>IF('SAÍDAS-BASE'!J422="","",'SAÍDAS-BASE'!J422)</f>
        <v/>
      </c>
      <c r="L424" t="str">
        <f>IF(TABELA_SAIDAS[[#This Row],[UF]]="","",IFERROR(IF(VLOOKUP(TABELA_SAIDAS[[#This Row],[VALOR]],TABELA_ENTRADAS[VALOR],1,FALSE),"DEVOLUÇÃO"),"SEM ENTRADAS"))</f>
        <v/>
      </c>
    </row>
    <row r="425" spans="2:12" x14ac:dyDescent="0.3">
      <c r="B425" t="str">
        <f>IF('SAÍDAS-BASE'!A423="","",'SAÍDAS-BASE'!A423)</f>
        <v/>
      </c>
      <c r="C425" t="str">
        <f>IF('SAÍDAS-BASE'!B423="","",'SAÍDAS-BASE'!B423)</f>
        <v/>
      </c>
      <c r="D425" t="str">
        <f>IF('SAÍDAS-BASE'!C423="","",'SAÍDAS-BASE'!C423)</f>
        <v/>
      </c>
      <c r="E425" s="7" t="str">
        <f>IF('SAÍDAS-BASE'!D423="","",'SAÍDAS-BASE'!D423)</f>
        <v/>
      </c>
      <c r="F425" s="6" t="str">
        <f>IF('SAÍDAS-BASE'!E423="","",'SAÍDAS-BASE'!E423)</f>
        <v/>
      </c>
      <c r="G425" t="str">
        <f>IF('SAÍDAS-BASE'!F423="","",'SAÍDAS-BASE'!F423)</f>
        <v/>
      </c>
      <c r="H425" t="str">
        <f>IF('SAÍDAS-BASE'!G423="","",'SAÍDAS-BASE'!G423)</f>
        <v/>
      </c>
      <c r="I425" t="str">
        <f>IF('SAÍDAS-BASE'!H423="","",'SAÍDAS-BASE'!H423)</f>
        <v/>
      </c>
      <c r="J425" t="str">
        <f>IF('SAÍDAS-BASE'!I423="","",'SAÍDAS-BASE'!I423)</f>
        <v/>
      </c>
      <c r="K425" s="5" t="str">
        <f>IF('SAÍDAS-BASE'!J423="","",'SAÍDAS-BASE'!J423)</f>
        <v/>
      </c>
      <c r="L425" t="str">
        <f>IF(TABELA_SAIDAS[[#This Row],[UF]]="","",IFERROR(IF(VLOOKUP(TABELA_SAIDAS[[#This Row],[VALOR]],TABELA_ENTRADAS[VALOR],1,FALSE),"DEVOLUÇÃO"),"SEM ENTRADAS"))</f>
        <v/>
      </c>
    </row>
    <row r="426" spans="2:12" x14ac:dyDescent="0.3">
      <c r="B426" t="str">
        <f>IF('SAÍDAS-BASE'!A424="","",'SAÍDAS-BASE'!A424)</f>
        <v/>
      </c>
      <c r="C426" t="str">
        <f>IF('SAÍDAS-BASE'!B424="","",'SAÍDAS-BASE'!B424)</f>
        <v/>
      </c>
      <c r="D426" t="str">
        <f>IF('SAÍDAS-BASE'!C424="","",'SAÍDAS-BASE'!C424)</f>
        <v/>
      </c>
      <c r="E426" s="7" t="str">
        <f>IF('SAÍDAS-BASE'!D424="","",'SAÍDAS-BASE'!D424)</f>
        <v/>
      </c>
      <c r="F426" s="6" t="str">
        <f>IF('SAÍDAS-BASE'!E424="","",'SAÍDAS-BASE'!E424)</f>
        <v/>
      </c>
      <c r="G426" t="str">
        <f>IF('SAÍDAS-BASE'!F424="","",'SAÍDAS-BASE'!F424)</f>
        <v/>
      </c>
      <c r="H426" t="str">
        <f>IF('SAÍDAS-BASE'!G424="","",'SAÍDAS-BASE'!G424)</f>
        <v/>
      </c>
      <c r="I426" t="str">
        <f>IF('SAÍDAS-BASE'!H424="","",'SAÍDAS-BASE'!H424)</f>
        <v/>
      </c>
      <c r="J426" t="str">
        <f>IF('SAÍDAS-BASE'!I424="","",'SAÍDAS-BASE'!I424)</f>
        <v/>
      </c>
      <c r="K426" s="5" t="str">
        <f>IF('SAÍDAS-BASE'!J424="","",'SAÍDAS-BASE'!J424)</f>
        <v/>
      </c>
      <c r="L426" t="str">
        <f>IF(TABELA_SAIDAS[[#This Row],[UF]]="","",IFERROR(IF(VLOOKUP(TABELA_SAIDAS[[#This Row],[VALOR]],TABELA_ENTRADAS[VALOR],1,FALSE),"DEVOLUÇÃO"),"SEM ENTRADAS"))</f>
        <v/>
      </c>
    </row>
    <row r="427" spans="2:12" x14ac:dyDescent="0.3">
      <c r="B427" t="str">
        <f>IF('SAÍDAS-BASE'!A425="","",'SAÍDAS-BASE'!A425)</f>
        <v/>
      </c>
      <c r="C427" t="str">
        <f>IF('SAÍDAS-BASE'!B425="","",'SAÍDAS-BASE'!B425)</f>
        <v/>
      </c>
      <c r="D427" t="str">
        <f>IF('SAÍDAS-BASE'!C425="","",'SAÍDAS-BASE'!C425)</f>
        <v/>
      </c>
      <c r="E427" s="7" t="str">
        <f>IF('SAÍDAS-BASE'!D425="","",'SAÍDAS-BASE'!D425)</f>
        <v/>
      </c>
      <c r="F427" s="6" t="str">
        <f>IF('SAÍDAS-BASE'!E425="","",'SAÍDAS-BASE'!E425)</f>
        <v/>
      </c>
      <c r="G427" t="str">
        <f>IF('SAÍDAS-BASE'!F425="","",'SAÍDAS-BASE'!F425)</f>
        <v/>
      </c>
      <c r="H427" t="str">
        <f>IF('SAÍDAS-BASE'!G425="","",'SAÍDAS-BASE'!G425)</f>
        <v/>
      </c>
      <c r="I427" t="str">
        <f>IF('SAÍDAS-BASE'!H425="","",'SAÍDAS-BASE'!H425)</f>
        <v/>
      </c>
      <c r="J427" t="str">
        <f>IF('SAÍDAS-BASE'!I425="","",'SAÍDAS-BASE'!I425)</f>
        <v/>
      </c>
      <c r="K427" s="5" t="str">
        <f>IF('SAÍDAS-BASE'!J425="","",'SAÍDAS-BASE'!J425)</f>
        <v/>
      </c>
      <c r="L427" t="str">
        <f>IF(TABELA_SAIDAS[[#This Row],[UF]]="","",IFERROR(IF(VLOOKUP(TABELA_SAIDAS[[#This Row],[VALOR]],TABELA_ENTRADAS[VALOR],1,FALSE),"DEVOLUÇÃO"),"SEM ENTRADAS"))</f>
        <v/>
      </c>
    </row>
    <row r="428" spans="2:12" x14ac:dyDescent="0.3">
      <c r="B428" t="str">
        <f>IF('SAÍDAS-BASE'!A426="","",'SAÍDAS-BASE'!A426)</f>
        <v/>
      </c>
      <c r="C428" t="str">
        <f>IF('SAÍDAS-BASE'!B426="","",'SAÍDAS-BASE'!B426)</f>
        <v/>
      </c>
      <c r="D428" t="str">
        <f>IF('SAÍDAS-BASE'!C426="","",'SAÍDAS-BASE'!C426)</f>
        <v/>
      </c>
      <c r="E428" s="7" t="str">
        <f>IF('SAÍDAS-BASE'!D426="","",'SAÍDAS-BASE'!D426)</f>
        <v/>
      </c>
      <c r="F428" s="6" t="str">
        <f>IF('SAÍDAS-BASE'!E426="","",'SAÍDAS-BASE'!E426)</f>
        <v/>
      </c>
      <c r="G428" t="str">
        <f>IF('SAÍDAS-BASE'!F426="","",'SAÍDAS-BASE'!F426)</f>
        <v/>
      </c>
      <c r="H428" t="str">
        <f>IF('SAÍDAS-BASE'!G426="","",'SAÍDAS-BASE'!G426)</f>
        <v/>
      </c>
      <c r="I428" t="str">
        <f>IF('SAÍDAS-BASE'!H426="","",'SAÍDAS-BASE'!H426)</f>
        <v/>
      </c>
      <c r="J428" t="str">
        <f>IF('SAÍDAS-BASE'!I426="","",'SAÍDAS-BASE'!I426)</f>
        <v/>
      </c>
      <c r="K428" s="5" t="str">
        <f>IF('SAÍDAS-BASE'!J426="","",'SAÍDAS-BASE'!J426)</f>
        <v/>
      </c>
      <c r="L428" t="str">
        <f>IF(TABELA_SAIDAS[[#This Row],[UF]]="","",IFERROR(IF(VLOOKUP(TABELA_SAIDAS[[#This Row],[VALOR]],TABELA_ENTRADAS[VALOR],1,FALSE),"DEVOLUÇÃO"),"SEM ENTRADAS"))</f>
        <v/>
      </c>
    </row>
    <row r="429" spans="2:12" x14ac:dyDescent="0.3">
      <c r="B429" t="str">
        <f>IF('SAÍDAS-BASE'!A427="","",'SAÍDAS-BASE'!A427)</f>
        <v/>
      </c>
      <c r="C429" t="str">
        <f>IF('SAÍDAS-BASE'!B427="","",'SAÍDAS-BASE'!B427)</f>
        <v/>
      </c>
      <c r="D429" t="str">
        <f>IF('SAÍDAS-BASE'!C427="","",'SAÍDAS-BASE'!C427)</f>
        <v/>
      </c>
      <c r="E429" s="7" t="str">
        <f>IF('SAÍDAS-BASE'!D427="","",'SAÍDAS-BASE'!D427)</f>
        <v/>
      </c>
      <c r="F429" s="6" t="str">
        <f>IF('SAÍDAS-BASE'!E427="","",'SAÍDAS-BASE'!E427)</f>
        <v/>
      </c>
      <c r="G429" t="str">
        <f>IF('SAÍDAS-BASE'!F427="","",'SAÍDAS-BASE'!F427)</f>
        <v/>
      </c>
      <c r="H429" t="str">
        <f>IF('SAÍDAS-BASE'!G427="","",'SAÍDAS-BASE'!G427)</f>
        <v/>
      </c>
      <c r="I429" t="str">
        <f>IF('SAÍDAS-BASE'!H427="","",'SAÍDAS-BASE'!H427)</f>
        <v/>
      </c>
      <c r="J429" t="str">
        <f>IF('SAÍDAS-BASE'!I427="","",'SAÍDAS-BASE'!I427)</f>
        <v/>
      </c>
      <c r="K429" s="5" t="str">
        <f>IF('SAÍDAS-BASE'!J427="","",'SAÍDAS-BASE'!J427)</f>
        <v/>
      </c>
      <c r="L429" t="str">
        <f>IF(TABELA_SAIDAS[[#This Row],[UF]]="","",IFERROR(IF(VLOOKUP(TABELA_SAIDAS[[#This Row],[VALOR]],TABELA_ENTRADAS[VALOR],1,FALSE),"DEVOLUÇÃO"),"SEM ENTRADAS"))</f>
        <v/>
      </c>
    </row>
    <row r="430" spans="2:12" x14ac:dyDescent="0.3">
      <c r="B430" t="str">
        <f>IF('SAÍDAS-BASE'!A428="","",'SAÍDAS-BASE'!A428)</f>
        <v/>
      </c>
      <c r="C430" t="str">
        <f>IF('SAÍDAS-BASE'!B428="","",'SAÍDAS-BASE'!B428)</f>
        <v/>
      </c>
      <c r="D430" t="str">
        <f>IF('SAÍDAS-BASE'!C428="","",'SAÍDAS-BASE'!C428)</f>
        <v/>
      </c>
      <c r="E430" s="7" t="str">
        <f>IF('SAÍDAS-BASE'!D428="","",'SAÍDAS-BASE'!D428)</f>
        <v/>
      </c>
      <c r="F430" s="6" t="str">
        <f>IF('SAÍDAS-BASE'!E428="","",'SAÍDAS-BASE'!E428)</f>
        <v/>
      </c>
      <c r="G430" t="str">
        <f>IF('SAÍDAS-BASE'!F428="","",'SAÍDAS-BASE'!F428)</f>
        <v/>
      </c>
      <c r="H430" t="str">
        <f>IF('SAÍDAS-BASE'!G428="","",'SAÍDAS-BASE'!G428)</f>
        <v/>
      </c>
      <c r="I430" t="str">
        <f>IF('SAÍDAS-BASE'!H428="","",'SAÍDAS-BASE'!H428)</f>
        <v/>
      </c>
      <c r="J430" t="str">
        <f>IF('SAÍDAS-BASE'!I428="","",'SAÍDAS-BASE'!I428)</f>
        <v/>
      </c>
      <c r="K430" s="5" t="str">
        <f>IF('SAÍDAS-BASE'!J428="","",'SAÍDAS-BASE'!J428)</f>
        <v/>
      </c>
      <c r="L430" t="str">
        <f>IF(TABELA_SAIDAS[[#This Row],[UF]]="","",IFERROR(IF(VLOOKUP(TABELA_SAIDAS[[#This Row],[VALOR]],TABELA_ENTRADAS[VALOR],1,FALSE),"DEVOLUÇÃO"),"SEM ENTRADAS"))</f>
        <v/>
      </c>
    </row>
    <row r="431" spans="2:12" x14ac:dyDescent="0.3">
      <c r="B431" t="str">
        <f>IF('SAÍDAS-BASE'!A429="","",'SAÍDAS-BASE'!A429)</f>
        <v/>
      </c>
      <c r="C431" t="str">
        <f>IF('SAÍDAS-BASE'!B429="","",'SAÍDAS-BASE'!B429)</f>
        <v/>
      </c>
      <c r="D431" t="str">
        <f>IF('SAÍDAS-BASE'!C429="","",'SAÍDAS-BASE'!C429)</f>
        <v/>
      </c>
      <c r="E431" s="7" t="str">
        <f>IF('SAÍDAS-BASE'!D429="","",'SAÍDAS-BASE'!D429)</f>
        <v/>
      </c>
      <c r="F431" s="6" t="str">
        <f>IF('SAÍDAS-BASE'!E429="","",'SAÍDAS-BASE'!E429)</f>
        <v/>
      </c>
      <c r="G431" t="str">
        <f>IF('SAÍDAS-BASE'!F429="","",'SAÍDAS-BASE'!F429)</f>
        <v/>
      </c>
      <c r="H431" t="str">
        <f>IF('SAÍDAS-BASE'!G429="","",'SAÍDAS-BASE'!G429)</f>
        <v/>
      </c>
      <c r="I431" t="str">
        <f>IF('SAÍDAS-BASE'!H429="","",'SAÍDAS-BASE'!H429)</f>
        <v/>
      </c>
      <c r="J431" t="str">
        <f>IF('SAÍDAS-BASE'!I429="","",'SAÍDAS-BASE'!I429)</f>
        <v/>
      </c>
      <c r="K431" s="5" t="str">
        <f>IF('SAÍDAS-BASE'!J429="","",'SAÍDAS-BASE'!J429)</f>
        <v/>
      </c>
      <c r="L431" t="str">
        <f>IF(TABELA_SAIDAS[[#This Row],[UF]]="","",IFERROR(IF(VLOOKUP(TABELA_SAIDAS[[#This Row],[VALOR]],TABELA_ENTRADAS[VALOR],1,FALSE),"DEVOLUÇÃO"),"SEM ENTRADAS"))</f>
        <v/>
      </c>
    </row>
    <row r="432" spans="2:12" x14ac:dyDescent="0.3">
      <c r="B432" t="str">
        <f>IF('SAÍDAS-BASE'!A430="","",'SAÍDAS-BASE'!A430)</f>
        <v/>
      </c>
      <c r="C432" t="str">
        <f>IF('SAÍDAS-BASE'!B430="","",'SAÍDAS-BASE'!B430)</f>
        <v/>
      </c>
      <c r="D432" t="str">
        <f>IF('SAÍDAS-BASE'!C430="","",'SAÍDAS-BASE'!C430)</f>
        <v/>
      </c>
      <c r="E432" s="7" t="str">
        <f>IF('SAÍDAS-BASE'!D430="","",'SAÍDAS-BASE'!D430)</f>
        <v/>
      </c>
      <c r="F432" s="6" t="str">
        <f>IF('SAÍDAS-BASE'!E430="","",'SAÍDAS-BASE'!E430)</f>
        <v/>
      </c>
      <c r="G432" t="str">
        <f>IF('SAÍDAS-BASE'!F430="","",'SAÍDAS-BASE'!F430)</f>
        <v/>
      </c>
      <c r="H432" t="str">
        <f>IF('SAÍDAS-BASE'!G430="","",'SAÍDAS-BASE'!G430)</f>
        <v/>
      </c>
      <c r="I432" t="str">
        <f>IF('SAÍDAS-BASE'!H430="","",'SAÍDAS-BASE'!H430)</f>
        <v/>
      </c>
      <c r="J432" t="str">
        <f>IF('SAÍDAS-BASE'!I430="","",'SAÍDAS-BASE'!I430)</f>
        <v/>
      </c>
      <c r="K432" s="5" t="str">
        <f>IF('SAÍDAS-BASE'!J430="","",'SAÍDAS-BASE'!J430)</f>
        <v/>
      </c>
      <c r="L432" t="str">
        <f>IF(TABELA_SAIDAS[[#This Row],[UF]]="","",IFERROR(IF(VLOOKUP(TABELA_SAIDAS[[#This Row],[VALOR]],TABELA_ENTRADAS[VALOR],1,FALSE),"DEVOLUÇÃO"),"SEM ENTRADAS"))</f>
        <v/>
      </c>
    </row>
    <row r="433" spans="2:12" x14ac:dyDescent="0.3">
      <c r="B433" t="str">
        <f>IF('SAÍDAS-BASE'!A431="","",'SAÍDAS-BASE'!A431)</f>
        <v/>
      </c>
      <c r="C433" t="str">
        <f>IF('SAÍDAS-BASE'!B431="","",'SAÍDAS-BASE'!B431)</f>
        <v/>
      </c>
      <c r="D433" t="str">
        <f>IF('SAÍDAS-BASE'!C431="","",'SAÍDAS-BASE'!C431)</f>
        <v/>
      </c>
      <c r="E433" s="7" t="str">
        <f>IF('SAÍDAS-BASE'!D431="","",'SAÍDAS-BASE'!D431)</f>
        <v/>
      </c>
      <c r="F433" s="6" t="str">
        <f>IF('SAÍDAS-BASE'!E431="","",'SAÍDAS-BASE'!E431)</f>
        <v/>
      </c>
      <c r="G433" t="str">
        <f>IF('SAÍDAS-BASE'!F431="","",'SAÍDAS-BASE'!F431)</f>
        <v/>
      </c>
      <c r="H433" t="str">
        <f>IF('SAÍDAS-BASE'!G431="","",'SAÍDAS-BASE'!G431)</f>
        <v/>
      </c>
      <c r="I433" t="str">
        <f>IF('SAÍDAS-BASE'!H431="","",'SAÍDAS-BASE'!H431)</f>
        <v/>
      </c>
      <c r="J433" t="str">
        <f>IF('SAÍDAS-BASE'!I431="","",'SAÍDAS-BASE'!I431)</f>
        <v/>
      </c>
      <c r="K433" s="5" t="str">
        <f>IF('SAÍDAS-BASE'!J431="","",'SAÍDAS-BASE'!J431)</f>
        <v/>
      </c>
      <c r="L433" t="str">
        <f>IF(TABELA_SAIDAS[[#This Row],[UF]]="","",IFERROR(IF(VLOOKUP(TABELA_SAIDAS[[#This Row],[VALOR]],TABELA_ENTRADAS[VALOR],1,FALSE),"DEVOLUÇÃO"),"SEM ENTRADAS"))</f>
        <v/>
      </c>
    </row>
    <row r="434" spans="2:12" x14ac:dyDescent="0.3">
      <c r="B434" t="str">
        <f>IF('SAÍDAS-BASE'!A432="","",'SAÍDAS-BASE'!A432)</f>
        <v/>
      </c>
      <c r="C434" t="str">
        <f>IF('SAÍDAS-BASE'!B432="","",'SAÍDAS-BASE'!B432)</f>
        <v/>
      </c>
      <c r="D434" t="str">
        <f>IF('SAÍDAS-BASE'!C432="","",'SAÍDAS-BASE'!C432)</f>
        <v/>
      </c>
      <c r="E434" s="7" t="str">
        <f>IF('SAÍDAS-BASE'!D432="","",'SAÍDAS-BASE'!D432)</f>
        <v/>
      </c>
      <c r="F434" s="6" t="str">
        <f>IF('SAÍDAS-BASE'!E432="","",'SAÍDAS-BASE'!E432)</f>
        <v/>
      </c>
      <c r="G434" t="str">
        <f>IF('SAÍDAS-BASE'!F432="","",'SAÍDAS-BASE'!F432)</f>
        <v/>
      </c>
      <c r="H434" t="str">
        <f>IF('SAÍDAS-BASE'!G432="","",'SAÍDAS-BASE'!G432)</f>
        <v/>
      </c>
      <c r="I434" t="str">
        <f>IF('SAÍDAS-BASE'!H432="","",'SAÍDAS-BASE'!H432)</f>
        <v/>
      </c>
      <c r="J434" t="str">
        <f>IF('SAÍDAS-BASE'!I432="","",'SAÍDAS-BASE'!I432)</f>
        <v/>
      </c>
      <c r="K434" s="5" t="str">
        <f>IF('SAÍDAS-BASE'!J432="","",'SAÍDAS-BASE'!J432)</f>
        <v/>
      </c>
      <c r="L434" t="str">
        <f>IF(TABELA_SAIDAS[[#This Row],[UF]]="","",IFERROR(IF(VLOOKUP(TABELA_SAIDAS[[#This Row],[VALOR]],TABELA_ENTRADAS[VALOR],1,FALSE),"DEVOLUÇÃO"),"SEM ENTRADAS"))</f>
        <v/>
      </c>
    </row>
    <row r="435" spans="2:12" x14ac:dyDescent="0.3">
      <c r="B435" t="str">
        <f>IF('SAÍDAS-BASE'!A433="","",'SAÍDAS-BASE'!A433)</f>
        <v/>
      </c>
      <c r="C435" t="str">
        <f>IF('SAÍDAS-BASE'!B433="","",'SAÍDAS-BASE'!B433)</f>
        <v/>
      </c>
      <c r="D435" t="str">
        <f>IF('SAÍDAS-BASE'!C433="","",'SAÍDAS-BASE'!C433)</f>
        <v/>
      </c>
      <c r="E435" s="7" t="str">
        <f>IF('SAÍDAS-BASE'!D433="","",'SAÍDAS-BASE'!D433)</f>
        <v/>
      </c>
      <c r="F435" s="6" t="str">
        <f>IF('SAÍDAS-BASE'!E433="","",'SAÍDAS-BASE'!E433)</f>
        <v/>
      </c>
      <c r="G435" t="str">
        <f>IF('SAÍDAS-BASE'!F433="","",'SAÍDAS-BASE'!F433)</f>
        <v/>
      </c>
      <c r="H435" t="str">
        <f>IF('SAÍDAS-BASE'!G433="","",'SAÍDAS-BASE'!G433)</f>
        <v/>
      </c>
      <c r="I435" t="str">
        <f>IF('SAÍDAS-BASE'!H433="","",'SAÍDAS-BASE'!H433)</f>
        <v/>
      </c>
      <c r="J435" t="str">
        <f>IF('SAÍDAS-BASE'!I433="","",'SAÍDAS-BASE'!I433)</f>
        <v/>
      </c>
      <c r="K435" s="5" t="str">
        <f>IF('SAÍDAS-BASE'!J433="","",'SAÍDAS-BASE'!J433)</f>
        <v/>
      </c>
      <c r="L435" t="str">
        <f>IF(TABELA_SAIDAS[[#This Row],[UF]]="","",IFERROR(IF(VLOOKUP(TABELA_SAIDAS[[#This Row],[VALOR]],TABELA_ENTRADAS[VALOR],1,FALSE),"DEVOLUÇÃO"),"SEM ENTRADAS"))</f>
        <v/>
      </c>
    </row>
    <row r="436" spans="2:12" x14ac:dyDescent="0.3">
      <c r="B436" t="str">
        <f>IF('SAÍDAS-BASE'!A434="","",'SAÍDAS-BASE'!A434)</f>
        <v/>
      </c>
      <c r="C436" t="str">
        <f>IF('SAÍDAS-BASE'!B434="","",'SAÍDAS-BASE'!B434)</f>
        <v/>
      </c>
      <c r="D436" t="str">
        <f>IF('SAÍDAS-BASE'!C434="","",'SAÍDAS-BASE'!C434)</f>
        <v/>
      </c>
      <c r="E436" s="7" t="str">
        <f>IF('SAÍDAS-BASE'!D434="","",'SAÍDAS-BASE'!D434)</f>
        <v/>
      </c>
      <c r="F436" s="6" t="str">
        <f>IF('SAÍDAS-BASE'!E434="","",'SAÍDAS-BASE'!E434)</f>
        <v/>
      </c>
      <c r="G436" t="str">
        <f>IF('SAÍDAS-BASE'!F434="","",'SAÍDAS-BASE'!F434)</f>
        <v/>
      </c>
      <c r="H436" t="str">
        <f>IF('SAÍDAS-BASE'!G434="","",'SAÍDAS-BASE'!G434)</f>
        <v/>
      </c>
      <c r="I436" t="str">
        <f>IF('SAÍDAS-BASE'!H434="","",'SAÍDAS-BASE'!H434)</f>
        <v/>
      </c>
      <c r="J436" t="str">
        <f>IF('SAÍDAS-BASE'!I434="","",'SAÍDAS-BASE'!I434)</f>
        <v/>
      </c>
      <c r="K436" s="5" t="str">
        <f>IF('SAÍDAS-BASE'!J434="","",'SAÍDAS-BASE'!J434)</f>
        <v/>
      </c>
      <c r="L436" t="str">
        <f>IF(TABELA_SAIDAS[[#This Row],[UF]]="","",IFERROR(IF(VLOOKUP(TABELA_SAIDAS[[#This Row],[VALOR]],TABELA_ENTRADAS[VALOR],1,FALSE),"DEVOLUÇÃO"),"SEM ENTRADAS"))</f>
        <v/>
      </c>
    </row>
    <row r="437" spans="2:12" x14ac:dyDescent="0.3">
      <c r="B437" t="str">
        <f>IF('SAÍDAS-BASE'!A435="","",'SAÍDAS-BASE'!A435)</f>
        <v/>
      </c>
      <c r="C437" t="str">
        <f>IF('SAÍDAS-BASE'!B435="","",'SAÍDAS-BASE'!B435)</f>
        <v/>
      </c>
      <c r="D437" t="str">
        <f>IF('SAÍDAS-BASE'!C435="","",'SAÍDAS-BASE'!C435)</f>
        <v/>
      </c>
      <c r="E437" s="7" t="str">
        <f>IF('SAÍDAS-BASE'!D435="","",'SAÍDAS-BASE'!D435)</f>
        <v/>
      </c>
      <c r="F437" s="6" t="str">
        <f>IF('SAÍDAS-BASE'!E435="","",'SAÍDAS-BASE'!E435)</f>
        <v/>
      </c>
      <c r="G437" t="str">
        <f>IF('SAÍDAS-BASE'!F435="","",'SAÍDAS-BASE'!F435)</f>
        <v/>
      </c>
      <c r="H437" t="str">
        <f>IF('SAÍDAS-BASE'!G435="","",'SAÍDAS-BASE'!G435)</f>
        <v/>
      </c>
      <c r="I437" t="str">
        <f>IF('SAÍDAS-BASE'!H435="","",'SAÍDAS-BASE'!H435)</f>
        <v/>
      </c>
      <c r="J437" t="str">
        <f>IF('SAÍDAS-BASE'!I435="","",'SAÍDAS-BASE'!I435)</f>
        <v/>
      </c>
      <c r="K437" s="5" t="str">
        <f>IF('SAÍDAS-BASE'!J435="","",'SAÍDAS-BASE'!J435)</f>
        <v/>
      </c>
      <c r="L437" t="str">
        <f>IF(TABELA_SAIDAS[[#This Row],[UF]]="","",IFERROR(IF(VLOOKUP(TABELA_SAIDAS[[#This Row],[VALOR]],TABELA_ENTRADAS[VALOR],1,FALSE),"DEVOLUÇÃO"),"SEM ENTRADAS"))</f>
        <v/>
      </c>
    </row>
    <row r="438" spans="2:12" x14ac:dyDescent="0.3">
      <c r="B438" t="str">
        <f>IF('SAÍDAS-BASE'!A436="","",'SAÍDAS-BASE'!A436)</f>
        <v/>
      </c>
      <c r="C438" t="str">
        <f>IF('SAÍDAS-BASE'!B436="","",'SAÍDAS-BASE'!B436)</f>
        <v/>
      </c>
      <c r="D438" t="str">
        <f>IF('SAÍDAS-BASE'!C436="","",'SAÍDAS-BASE'!C436)</f>
        <v/>
      </c>
      <c r="E438" s="7" t="str">
        <f>IF('SAÍDAS-BASE'!D436="","",'SAÍDAS-BASE'!D436)</f>
        <v/>
      </c>
      <c r="F438" s="6" t="str">
        <f>IF('SAÍDAS-BASE'!E436="","",'SAÍDAS-BASE'!E436)</f>
        <v/>
      </c>
      <c r="G438" t="str">
        <f>IF('SAÍDAS-BASE'!F436="","",'SAÍDAS-BASE'!F436)</f>
        <v/>
      </c>
      <c r="H438" t="str">
        <f>IF('SAÍDAS-BASE'!G436="","",'SAÍDAS-BASE'!G436)</f>
        <v/>
      </c>
      <c r="I438" t="str">
        <f>IF('SAÍDAS-BASE'!H436="","",'SAÍDAS-BASE'!H436)</f>
        <v/>
      </c>
      <c r="J438" t="str">
        <f>IF('SAÍDAS-BASE'!I436="","",'SAÍDAS-BASE'!I436)</f>
        <v/>
      </c>
      <c r="K438" s="5" t="str">
        <f>IF('SAÍDAS-BASE'!J436="","",'SAÍDAS-BASE'!J436)</f>
        <v/>
      </c>
      <c r="L438" t="str">
        <f>IF(TABELA_SAIDAS[[#This Row],[UF]]="","",IFERROR(IF(VLOOKUP(TABELA_SAIDAS[[#This Row],[VALOR]],TABELA_ENTRADAS[VALOR],1,FALSE),"DEVOLUÇÃO"),"SEM ENTRADAS"))</f>
        <v/>
      </c>
    </row>
    <row r="439" spans="2:12" x14ac:dyDescent="0.3">
      <c r="B439" t="str">
        <f>IF('SAÍDAS-BASE'!A437="","",'SAÍDAS-BASE'!A437)</f>
        <v/>
      </c>
      <c r="C439" t="str">
        <f>IF('SAÍDAS-BASE'!B437="","",'SAÍDAS-BASE'!B437)</f>
        <v/>
      </c>
      <c r="D439" t="str">
        <f>IF('SAÍDAS-BASE'!C437="","",'SAÍDAS-BASE'!C437)</f>
        <v/>
      </c>
      <c r="E439" s="7" t="str">
        <f>IF('SAÍDAS-BASE'!D437="","",'SAÍDAS-BASE'!D437)</f>
        <v/>
      </c>
      <c r="F439" s="6" t="str">
        <f>IF('SAÍDAS-BASE'!E437="","",'SAÍDAS-BASE'!E437)</f>
        <v/>
      </c>
      <c r="G439" t="str">
        <f>IF('SAÍDAS-BASE'!F437="","",'SAÍDAS-BASE'!F437)</f>
        <v/>
      </c>
      <c r="H439" t="str">
        <f>IF('SAÍDAS-BASE'!G437="","",'SAÍDAS-BASE'!G437)</f>
        <v/>
      </c>
      <c r="I439" t="str">
        <f>IF('SAÍDAS-BASE'!H437="","",'SAÍDAS-BASE'!H437)</f>
        <v/>
      </c>
      <c r="J439" t="str">
        <f>IF('SAÍDAS-BASE'!I437="","",'SAÍDAS-BASE'!I437)</f>
        <v/>
      </c>
      <c r="K439" s="5" t="str">
        <f>IF('SAÍDAS-BASE'!J437="","",'SAÍDAS-BASE'!J437)</f>
        <v/>
      </c>
      <c r="L439" t="str">
        <f>IF(TABELA_SAIDAS[[#This Row],[UF]]="","",IFERROR(IF(VLOOKUP(TABELA_SAIDAS[[#This Row],[VALOR]],TABELA_ENTRADAS[VALOR],1,FALSE),"DEVOLUÇÃO"),"SEM ENTRADAS"))</f>
        <v/>
      </c>
    </row>
    <row r="440" spans="2:12" x14ac:dyDescent="0.3">
      <c r="B440" t="str">
        <f>IF('SAÍDAS-BASE'!A438="","",'SAÍDAS-BASE'!A438)</f>
        <v/>
      </c>
      <c r="C440" t="str">
        <f>IF('SAÍDAS-BASE'!B438="","",'SAÍDAS-BASE'!B438)</f>
        <v/>
      </c>
      <c r="D440" t="str">
        <f>IF('SAÍDAS-BASE'!C438="","",'SAÍDAS-BASE'!C438)</f>
        <v/>
      </c>
      <c r="E440" s="7" t="str">
        <f>IF('SAÍDAS-BASE'!D438="","",'SAÍDAS-BASE'!D438)</f>
        <v/>
      </c>
      <c r="F440" s="6" t="str">
        <f>IF('SAÍDAS-BASE'!E438="","",'SAÍDAS-BASE'!E438)</f>
        <v/>
      </c>
      <c r="G440" t="str">
        <f>IF('SAÍDAS-BASE'!F438="","",'SAÍDAS-BASE'!F438)</f>
        <v/>
      </c>
      <c r="H440" t="str">
        <f>IF('SAÍDAS-BASE'!G438="","",'SAÍDAS-BASE'!G438)</f>
        <v/>
      </c>
      <c r="I440" t="str">
        <f>IF('SAÍDAS-BASE'!H438="","",'SAÍDAS-BASE'!H438)</f>
        <v/>
      </c>
      <c r="J440" t="str">
        <f>IF('SAÍDAS-BASE'!I438="","",'SAÍDAS-BASE'!I438)</f>
        <v/>
      </c>
      <c r="K440" s="5" t="str">
        <f>IF('SAÍDAS-BASE'!J438="","",'SAÍDAS-BASE'!J438)</f>
        <v/>
      </c>
      <c r="L440" t="str">
        <f>IF(TABELA_SAIDAS[[#This Row],[UF]]="","",IFERROR(IF(VLOOKUP(TABELA_SAIDAS[[#This Row],[VALOR]],TABELA_ENTRADAS[VALOR],1,FALSE),"DEVOLUÇÃO"),"SEM ENTRADAS"))</f>
        <v/>
      </c>
    </row>
    <row r="441" spans="2:12" x14ac:dyDescent="0.3">
      <c r="B441" t="str">
        <f>IF('SAÍDAS-BASE'!A439="","",'SAÍDAS-BASE'!A439)</f>
        <v/>
      </c>
      <c r="C441" t="str">
        <f>IF('SAÍDAS-BASE'!B439="","",'SAÍDAS-BASE'!B439)</f>
        <v/>
      </c>
      <c r="D441" t="str">
        <f>IF('SAÍDAS-BASE'!C439="","",'SAÍDAS-BASE'!C439)</f>
        <v/>
      </c>
      <c r="E441" s="7" t="str">
        <f>IF('SAÍDAS-BASE'!D439="","",'SAÍDAS-BASE'!D439)</f>
        <v/>
      </c>
      <c r="F441" s="6" t="str">
        <f>IF('SAÍDAS-BASE'!E439="","",'SAÍDAS-BASE'!E439)</f>
        <v/>
      </c>
      <c r="G441" t="str">
        <f>IF('SAÍDAS-BASE'!F439="","",'SAÍDAS-BASE'!F439)</f>
        <v/>
      </c>
      <c r="H441" t="str">
        <f>IF('SAÍDAS-BASE'!G439="","",'SAÍDAS-BASE'!G439)</f>
        <v/>
      </c>
      <c r="I441" t="str">
        <f>IF('SAÍDAS-BASE'!H439="","",'SAÍDAS-BASE'!H439)</f>
        <v/>
      </c>
      <c r="J441" t="str">
        <f>IF('SAÍDAS-BASE'!I439="","",'SAÍDAS-BASE'!I439)</f>
        <v/>
      </c>
      <c r="K441" s="5" t="str">
        <f>IF('SAÍDAS-BASE'!J439="","",'SAÍDAS-BASE'!J439)</f>
        <v/>
      </c>
      <c r="L441" t="str">
        <f>IF(TABELA_SAIDAS[[#This Row],[UF]]="","",IFERROR(IF(VLOOKUP(TABELA_SAIDAS[[#This Row],[VALOR]],TABELA_ENTRADAS[VALOR],1,FALSE),"DEVOLUÇÃO"),"SEM ENTRADAS"))</f>
        <v/>
      </c>
    </row>
    <row r="442" spans="2:12" x14ac:dyDescent="0.3">
      <c r="B442" t="str">
        <f>IF('SAÍDAS-BASE'!A440="","",'SAÍDAS-BASE'!A440)</f>
        <v/>
      </c>
      <c r="C442" t="str">
        <f>IF('SAÍDAS-BASE'!B440="","",'SAÍDAS-BASE'!B440)</f>
        <v/>
      </c>
      <c r="D442" t="str">
        <f>IF('SAÍDAS-BASE'!C440="","",'SAÍDAS-BASE'!C440)</f>
        <v/>
      </c>
      <c r="E442" s="7" t="str">
        <f>IF('SAÍDAS-BASE'!D440="","",'SAÍDAS-BASE'!D440)</f>
        <v/>
      </c>
      <c r="F442" s="6" t="str">
        <f>IF('SAÍDAS-BASE'!E440="","",'SAÍDAS-BASE'!E440)</f>
        <v/>
      </c>
      <c r="G442" t="str">
        <f>IF('SAÍDAS-BASE'!F440="","",'SAÍDAS-BASE'!F440)</f>
        <v/>
      </c>
      <c r="H442" t="str">
        <f>IF('SAÍDAS-BASE'!G440="","",'SAÍDAS-BASE'!G440)</f>
        <v/>
      </c>
      <c r="I442" t="str">
        <f>IF('SAÍDAS-BASE'!H440="","",'SAÍDAS-BASE'!H440)</f>
        <v/>
      </c>
      <c r="J442" t="str">
        <f>IF('SAÍDAS-BASE'!I440="","",'SAÍDAS-BASE'!I440)</f>
        <v/>
      </c>
      <c r="K442" s="5" t="str">
        <f>IF('SAÍDAS-BASE'!J440="","",'SAÍDAS-BASE'!J440)</f>
        <v/>
      </c>
      <c r="L442" t="str">
        <f>IF(TABELA_SAIDAS[[#This Row],[UF]]="","",IFERROR(IF(VLOOKUP(TABELA_SAIDAS[[#This Row],[VALOR]],TABELA_ENTRADAS[VALOR],1,FALSE),"DEVOLUÇÃO"),"SEM ENTRADAS"))</f>
        <v/>
      </c>
    </row>
    <row r="443" spans="2:12" x14ac:dyDescent="0.3">
      <c r="B443" t="str">
        <f>IF('SAÍDAS-BASE'!A441="","",'SAÍDAS-BASE'!A441)</f>
        <v/>
      </c>
      <c r="C443" t="str">
        <f>IF('SAÍDAS-BASE'!B441="","",'SAÍDAS-BASE'!B441)</f>
        <v/>
      </c>
      <c r="D443" t="str">
        <f>IF('SAÍDAS-BASE'!C441="","",'SAÍDAS-BASE'!C441)</f>
        <v/>
      </c>
      <c r="E443" s="7" t="str">
        <f>IF('SAÍDAS-BASE'!D441="","",'SAÍDAS-BASE'!D441)</f>
        <v/>
      </c>
      <c r="F443" s="6" t="str">
        <f>IF('SAÍDAS-BASE'!E441="","",'SAÍDAS-BASE'!E441)</f>
        <v/>
      </c>
      <c r="G443" t="str">
        <f>IF('SAÍDAS-BASE'!F441="","",'SAÍDAS-BASE'!F441)</f>
        <v/>
      </c>
      <c r="H443" t="str">
        <f>IF('SAÍDAS-BASE'!G441="","",'SAÍDAS-BASE'!G441)</f>
        <v/>
      </c>
      <c r="I443" t="str">
        <f>IF('SAÍDAS-BASE'!H441="","",'SAÍDAS-BASE'!H441)</f>
        <v/>
      </c>
      <c r="J443" t="str">
        <f>IF('SAÍDAS-BASE'!I441="","",'SAÍDAS-BASE'!I441)</f>
        <v/>
      </c>
      <c r="K443" s="5" t="str">
        <f>IF('SAÍDAS-BASE'!J441="","",'SAÍDAS-BASE'!J441)</f>
        <v/>
      </c>
      <c r="L443" t="str">
        <f>IF(TABELA_SAIDAS[[#This Row],[UF]]="","",IFERROR(IF(VLOOKUP(TABELA_SAIDAS[[#This Row],[VALOR]],TABELA_ENTRADAS[VALOR],1,FALSE),"DEVOLUÇÃO"),"SEM ENTRADAS"))</f>
        <v/>
      </c>
    </row>
    <row r="444" spans="2:12" x14ac:dyDescent="0.3">
      <c r="B444" t="str">
        <f>IF('SAÍDAS-BASE'!A442="","",'SAÍDAS-BASE'!A442)</f>
        <v/>
      </c>
      <c r="C444" t="str">
        <f>IF('SAÍDAS-BASE'!B442="","",'SAÍDAS-BASE'!B442)</f>
        <v/>
      </c>
      <c r="D444" t="str">
        <f>IF('SAÍDAS-BASE'!C442="","",'SAÍDAS-BASE'!C442)</f>
        <v/>
      </c>
      <c r="E444" s="7" t="str">
        <f>IF('SAÍDAS-BASE'!D442="","",'SAÍDAS-BASE'!D442)</f>
        <v/>
      </c>
      <c r="F444" s="6" t="str">
        <f>IF('SAÍDAS-BASE'!E442="","",'SAÍDAS-BASE'!E442)</f>
        <v/>
      </c>
      <c r="G444" t="str">
        <f>IF('SAÍDAS-BASE'!F442="","",'SAÍDAS-BASE'!F442)</f>
        <v/>
      </c>
      <c r="H444" t="str">
        <f>IF('SAÍDAS-BASE'!G442="","",'SAÍDAS-BASE'!G442)</f>
        <v/>
      </c>
      <c r="I444" t="str">
        <f>IF('SAÍDAS-BASE'!H442="","",'SAÍDAS-BASE'!H442)</f>
        <v/>
      </c>
      <c r="J444" t="str">
        <f>IF('SAÍDAS-BASE'!I442="","",'SAÍDAS-BASE'!I442)</f>
        <v/>
      </c>
      <c r="K444" s="5" t="str">
        <f>IF('SAÍDAS-BASE'!J442="","",'SAÍDAS-BASE'!J442)</f>
        <v/>
      </c>
      <c r="L444" t="str">
        <f>IF(TABELA_SAIDAS[[#This Row],[UF]]="","",IFERROR(IF(VLOOKUP(TABELA_SAIDAS[[#This Row],[VALOR]],TABELA_ENTRADAS[VALOR],1,FALSE),"DEVOLUÇÃO"),"SEM ENTRADAS"))</f>
        <v/>
      </c>
    </row>
    <row r="445" spans="2:12" x14ac:dyDescent="0.3">
      <c r="B445" t="str">
        <f>IF('SAÍDAS-BASE'!A443="","",'SAÍDAS-BASE'!A443)</f>
        <v/>
      </c>
      <c r="C445" t="str">
        <f>IF('SAÍDAS-BASE'!B443="","",'SAÍDAS-BASE'!B443)</f>
        <v/>
      </c>
      <c r="D445" t="str">
        <f>IF('SAÍDAS-BASE'!C443="","",'SAÍDAS-BASE'!C443)</f>
        <v/>
      </c>
      <c r="E445" s="7" t="str">
        <f>IF('SAÍDAS-BASE'!D443="","",'SAÍDAS-BASE'!D443)</f>
        <v/>
      </c>
      <c r="F445" s="6" t="str">
        <f>IF('SAÍDAS-BASE'!E443="","",'SAÍDAS-BASE'!E443)</f>
        <v/>
      </c>
      <c r="G445" t="str">
        <f>IF('SAÍDAS-BASE'!F443="","",'SAÍDAS-BASE'!F443)</f>
        <v/>
      </c>
      <c r="H445" t="str">
        <f>IF('SAÍDAS-BASE'!G443="","",'SAÍDAS-BASE'!G443)</f>
        <v/>
      </c>
      <c r="I445" t="str">
        <f>IF('SAÍDAS-BASE'!H443="","",'SAÍDAS-BASE'!H443)</f>
        <v/>
      </c>
      <c r="J445" t="str">
        <f>IF('SAÍDAS-BASE'!I443="","",'SAÍDAS-BASE'!I443)</f>
        <v/>
      </c>
      <c r="K445" s="5" t="str">
        <f>IF('SAÍDAS-BASE'!J443="","",'SAÍDAS-BASE'!J443)</f>
        <v/>
      </c>
      <c r="L445" t="str">
        <f>IF(TABELA_SAIDAS[[#This Row],[UF]]="","",IFERROR(IF(VLOOKUP(TABELA_SAIDAS[[#This Row],[VALOR]],TABELA_ENTRADAS[VALOR],1,FALSE),"DEVOLUÇÃO"),"SEM ENTRADAS"))</f>
        <v/>
      </c>
    </row>
    <row r="446" spans="2:12" x14ac:dyDescent="0.3">
      <c r="B446" t="str">
        <f>IF('SAÍDAS-BASE'!A444="","",'SAÍDAS-BASE'!A444)</f>
        <v/>
      </c>
      <c r="C446" t="str">
        <f>IF('SAÍDAS-BASE'!B444="","",'SAÍDAS-BASE'!B444)</f>
        <v/>
      </c>
      <c r="D446" t="str">
        <f>IF('SAÍDAS-BASE'!C444="","",'SAÍDAS-BASE'!C444)</f>
        <v/>
      </c>
      <c r="E446" s="7" t="str">
        <f>IF('SAÍDAS-BASE'!D444="","",'SAÍDAS-BASE'!D444)</f>
        <v/>
      </c>
      <c r="F446" s="6" t="str">
        <f>IF('SAÍDAS-BASE'!E444="","",'SAÍDAS-BASE'!E444)</f>
        <v/>
      </c>
      <c r="G446" t="str">
        <f>IF('SAÍDAS-BASE'!F444="","",'SAÍDAS-BASE'!F444)</f>
        <v/>
      </c>
      <c r="H446" t="str">
        <f>IF('SAÍDAS-BASE'!G444="","",'SAÍDAS-BASE'!G444)</f>
        <v/>
      </c>
      <c r="I446" t="str">
        <f>IF('SAÍDAS-BASE'!H444="","",'SAÍDAS-BASE'!H444)</f>
        <v/>
      </c>
      <c r="J446" t="str">
        <f>IF('SAÍDAS-BASE'!I444="","",'SAÍDAS-BASE'!I444)</f>
        <v/>
      </c>
      <c r="K446" s="5" t="str">
        <f>IF('SAÍDAS-BASE'!J444="","",'SAÍDAS-BASE'!J444)</f>
        <v/>
      </c>
      <c r="L446" t="str">
        <f>IF(TABELA_SAIDAS[[#This Row],[UF]]="","",IFERROR(IF(VLOOKUP(TABELA_SAIDAS[[#This Row],[VALOR]],TABELA_ENTRADAS[VALOR],1,FALSE),"DEVOLUÇÃO"),"SEM ENTRADAS"))</f>
        <v/>
      </c>
    </row>
    <row r="447" spans="2:12" x14ac:dyDescent="0.3">
      <c r="B447" t="str">
        <f>IF('SAÍDAS-BASE'!A445="","",'SAÍDAS-BASE'!A445)</f>
        <v/>
      </c>
      <c r="C447" t="str">
        <f>IF('SAÍDAS-BASE'!B445="","",'SAÍDAS-BASE'!B445)</f>
        <v/>
      </c>
      <c r="D447" t="str">
        <f>IF('SAÍDAS-BASE'!C445="","",'SAÍDAS-BASE'!C445)</f>
        <v/>
      </c>
      <c r="E447" s="7" t="str">
        <f>IF('SAÍDAS-BASE'!D445="","",'SAÍDAS-BASE'!D445)</f>
        <v/>
      </c>
      <c r="F447" s="6" t="str">
        <f>IF('SAÍDAS-BASE'!E445="","",'SAÍDAS-BASE'!E445)</f>
        <v/>
      </c>
      <c r="G447" t="str">
        <f>IF('SAÍDAS-BASE'!F445="","",'SAÍDAS-BASE'!F445)</f>
        <v/>
      </c>
      <c r="H447" t="str">
        <f>IF('SAÍDAS-BASE'!G445="","",'SAÍDAS-BASE'!G445)</f>
        <v/>
      </c>
      <c r="I447" t="str">
        <f>IF('SAÍDAS-BASE'!H445="","",'SAÍDAS-BASE'!H445)</f>
        <v/>
      </c>
      <c r="J447" t="str">
        <f>IF('SAÍDAS-BASE'!I445="","",'SAÍDAS-BASE'!I445)</f>
        <v/>
      </c>
      <c r="K447" s="5" t="str">
        <f>IF('SAÍDAS-BASE'!J445="","",'SAÍDAS-BASE'!J445)</f>
        <v/>
      </c>
      <c r="L447" t="str">
        <f>IF(TABELA_SAIDAS[[#This Row],[UF]]="","",IFERROR(IF(VLOOKUP(TABELA_SAIDAS[[#This Row],[VALOR]],TABELA_ENTRADAS[VALOR],1,FALSE),"DEVOLUÇÃO"),"SEM ENTRADAS"))</f>
        <v/>
      </c>
    </row>
    <row r="448" spans="2:12" x14ac:dyDescent="0.3">
      <c r="B448" t="str">
        <f>IF('SAÍDAS-BASE'!A446="","",'SAÍDAS-BASE'!A446)</f>
        <v/>
      </c>
      <c r="C448" t="str">
        <f>IF('SAÍDAS-BASE'!B446="","",'SAÍDAS-BASE'!B446)</f>
        <v/>
      </c>
      <c r="D448" t="str">
        <f>IF('SAÍDAS-BASE'!C446="","",'SAÍDAS-BASE'!C446)</f>
        <v/>
      </c>
      <c r="E448" s="7" t="str">
        <f>IF('SAÍDAS-BASE'!D446="","",'SAÍDAS-BASE'!D446)</f>
        <v/>
      </c>
      <c r="F448" s="6" t="str">
        <f>IF('SAÍDAS-BASE'!E446="","",'SAÍDAS-BASE'!E446)</f>
        <v/>
      </c>
      <c r="G448" t="str">
        <f>IF('SAÍDAS-BASE'!F446="","",'SAÍDAS-BASE'!F446)</f>
        <v/>
      </c>
      <c r="H448" t="str">
        <f>IF('SAÍDAS-BASE'!G446="","",'SAÍDAS-BASE'!G446)</f>
        <v/>
      </c>
      <c r="I448" t="str">
        <f>IF('SAÍDAS-BASE'!H446="","",'SAÍDAS-BASE'!H446)</f>
        <v/>
      </c>
      <c r="J448" t="str">
        <f>IF('SAÍDAS-BASE'!I446="","",'SAÍDAS-BASE'!I446)</f>
        <v/>
      </c>
      <c r="K448" s="5" t="str">
        <f>IF('SAÍDAS-BASE'!J446="","",'SAÍDAS-BASE'!J446)</f>
        <v/>
      </c>
      <c r="L448" t="str">
        <f>IF(TABELA_SAIDAS[[#This Row],[UF]]="","",IFERROR(IF(VLOOKUP(TABELA_SAIDAS[[#This Row],[VALOR]],TABELA_ENTRADAS[VALOR],1,FALSE),"DEVOLUÇÃO"),"SEM ENTRADAS"))</f>
        <v/>
      </c>
    </row>
    <row r="449" spans="2:12" x14ac:dyDescent="0.3">
      <c r="B449" t="str">
        <f>IF('SAÍDAS-BASE'!A447="","",'SAÍDAS-BASE'!A447)</f>
        <v/>
      </c>
      <c r="C449" t="str">
        <f>IF('SAÍDAS-BASE'!B447="","",'SAÍDAS-BASE'!B447)</f>
        <v/>
      </c>
      <c r="D449" t="str">
        <f>IF('SAÍDAS-BASE'!C447="","",'SAÍDAS-BASE'!C447)</f>
        <v/>
      </c>
      <c r="E449" s="7" t="str">
        <f>IF('SAÍDAS-BASE'!D447="","",'SAÍDAS-BASE'!D447)</f>
        <v/>
      </c>
      <c r="F449" s="6" t="str">
        <f>IF('SAÍDAS-BASE'!E447="","",'SAÍDAS-BASE'!E447)</f>
        <v/>
      </c>
      <c r="G449" t="str">
        <f>IF('SAÍDAS-BASE'!F447="","",'SAÍDAS-BASE'!F447)</f>
        <v/>
      </c>
      <c r="H449" t="str">
        <f>IF('SAÍDAS-BASE'!G447="","",'SAÍDAS-BASE'!G447)</f>
        <v/>
      </c>
      <c r="I449" t="str">
        <f>IF('SAÍDAS-BASE'!H447="","",'SAÍDAS-BASE'!H447)</f>
        <v/>
      </c>
      <c r="J449" t="str">
        <f>IF('SAÍDAS-BASE'!I447="","",'SAÍDAS-BASE'!I447)</f>
        <v/>
      </c>
      <c r="K449" s="5" t="str">
        <f>IF('SAÍDAS-BASE'!J447="","",'SAÍDAS-BASE'!J447)</f>
        <v/>
      </c>
      <c r="L449" t="str">
        <f>IF(TABELA_SAIDAS[[#This Row],[UF]]="","",IFERROR(IF(VLOOKUP(TABELA_SAIDAS[[#This Row],[VALOR]],TABELA_ENTRADAS[VALOR],1,FALSE),"DEVOLUÇÃO"),"SEM ENTRADAS"))</f>
        <v/>
      </c>
    </row>
    <row r="450" spans="2:12" x14ac:dyDescent="0.3">
      <c r="B450" t="str">
        <f>IF('SAÍDAS-BASE'!A448="","",'SAÍDAS-BASE'!A448)</f>
        <v/>
      </c>
      <c r="C450" t="str">
        <f>IF('SAÍDAS-BASE'!B448="","",'SAÍDAS-BASE'!B448)</f>
        <v/>
      </c>
      <c r="D450" t="str">
        <f>IF('SAÍDAS-BASE'!C448="","",'SAÍDAS-BASE'!C448)</f>
        <v/>
      </c>
      <c r="E450" s="7" t="str">
        <f>IF('SAÍDAS-BASE'!D448="","",'SAÍDAS-BASE'!D448)</f>
        <v/>
      </c>
      <c r="F450" s="6" t="str">
        <f>IF('SAÍDAS-BASE'!E448="","",'SAÍDAS-BASE'!E448)</f>
        <v/>
      </c>
      <c r="G450" t="str">
        <f>IF('SAÍDAS-BASE'!F448="","",'SAÍDAS-BASE'!F448)</f>
        <v/>
      </c>
      <c r="H450" t="str">
        <f>IF('SAÍDAS-BASE'!G448="","",'SAÍDAS-BASE'!G448)</f>
        <v/>
      </c>
      <c r="I450" t="str">
        <f>IF('SAÍDAS-BASE'!H448="","",'SAÍDAS-BASE'!H448)</f>
        <v/>
      </c>
      <c r="J450" t="str">
        <f>IF('SAÍDAS-BASE'!I448="","",'SAÍDAS-BASE'!I448)</f>
        <v/>
      </c>
      <c r="K450" s="5" t="str">
        <f>IF('SAÍDAS-BASE'!J448="","",'SAÍDAS-BASE'!J448)</f>
        <v/>
      </c>
      <c r="L450" t="str">
        <f>IF(TABELA_SAIDAS[[#This Row],[UF]]="","",IFERROR(IF(VLOOKUP(TABELA_SAIDAS[[#This Row],[VALOR]],TABELA_ENTRADAS[VALOR],1,FALSE),"DEVOLUÇÃO"),"SEM ENTRADAS"))</f>
        <v/>
      </c>
    </row>
    <row r="451" spans="2:12" x14ac:dyDescent="0.3">
      <c r="B451" t="str">
        <f>IF('SAÍDAS-BASE'!A449="","",'SAÍDAS-BASE'!A449)</f>
        <v/>
      </c>
      <c r="C451" t="str">
        <f>IF('SAÍDAS-BASE'!B449="","",'SAÍDAS-BASE'!B449)</f>
        <v/>
      </c>
      <c r="D451" t="str">
        <f>IF('SAÍDAS-BASE'!C449="","",'SAÍDAS-BASE'!C449)</f>
        <v/>
      </c>
      <c r="E451" s="7" t="str">
        <f>IF('SAÍDAS-BASE'!D449="","",'SAÍDAS-BASE'!D449)</f>
        <v/>
      </c>
      <c r="F451" s="6" t="str">
        <f>IF('SAÍDAS-BASE'!E449="","",'SAÍDAS-BASE'!E449)</f>
        <v/>
      </c>
      <c r="G451" t="str">
        <f>IF('SAÍDAS-BASE'!F449="","",'SAÍDAS-BASE'!F449)</f>
        <v/>
      </c>
      <c r="H451" t="str">
        <f>IF('SAÍDAS-BASE'!G449="","",'SAÍDAS-BASE'!G449)</f>
        <v/>
      </c>
      <c r="I451" t="str">
        <f>IF('SAÍDAS-BASE'!H449="","",'SAÍDAS-BASE'!H449)</f>
        <v/>
      </c>
      <c r="J451" t="str">
        <f>IF('SAÍDAS-BASE'!I449="","",'SAÍDAS-BASE'!I449)</f>
        <v/>
      </c>
      <c r="K451" s="5" t="str">
        <f>IF('SAÍDAS-BASE'!J449="","",'SAÍDAS-BASE'!J449)</f>
        <v/>
      </c>
      <c r="L451" t="str">
        <f>IF(TABELA_SAIDAS[[#This Row],[UF]]="","",IFERROR(IF(VLOOKUP(TABELA_SAIDAS[[#This Row],[VALOR]],TABELA_ENTRADAS[VALOR],1,FALSE),"DEVOLUÇÃO"),"SEM ENTRADAS"))</f>
        <v/>
      </c>
    </row>
    <row r="452" spans="2:12" x14ac:dyDescent="0.3">
      <c r="B452" t="str">
        <f>IF('SAÍDAS-BASE'!A450="","",'SAÍDAS-BASE'!A450)</f>
        <v/>
      </c>
      <c r="C452" t="str">
        <f>IF('SAÍDAS-BASE'!B450="","",'SAÍDAS-BASE'!B450)</f>
        <v/>
      </c>
      <c r="D452" t="str">
        <f>IF('SAÍDAS-BASE'!C450="","",'SAÍDAS-BASE'!C450)</f>
        <v/>
      </c>
      <c r="E452" s="7" t="str">
        <f>IF('SAÍDAS-BASE'!D450="","",'SAÍDAS-BASE'!D450)</f>
        <v/>
      </c>
      <c r="F452" s="6" t="str">
        <f>IF('SAÍDAS-BASE'!E450="","",'SAÍDAS-BASE'!E450)</f>
        <v/>
      </c>
      <c r="G452" t="str">
        <f>IF('SAÍDAS-BASE'!F450="","",'SAÍDAS-BASE'!F450)</f>
        <v/>
      </c>
      <c r="H452" t="str">
        <f>IF('SAÍDAS-BASE'!G450="","",'SAÍDAS-BASE'!G450)</f>
        <v/>
      </c>
      <c r="I452" t="str">
        <f>IF('SAÍDAS-BASE'!H450="","",'SAÍDAS-BASE'!H450)</f>
        <v/>
      </c>
      <c r="J452" t="str">
        <f>IF('SAÍDAS-BASE'!I450="","",'SAÍDAS-BASE'!I450)</f>
        <v/>
      </c>
      <c r="K452" s="5" t="str">
        <f>IF('SAÍDAS-BASE'!J450="","",'SAÍDAS-BASE'!J450)</f>
        <v/>
      </c>
      <c r="L452" t="str">
        <f>IF(TABELA_SAIDAS[[#This Row],[UF]]="","",IFERROR(IF(VLOOKUP(TABELA_SAIDAS[[#This Row],[VALOR]],TABELA_ENTRADAS[VALOR],1,FALSE),"DEVOLUÇÃO"),"SEM ENTRADAS"))</f>
        <v/>
      </c>
    </row>
    <row r="453" spans="2:12" x14ac:dyDescent="0.3">
      <c r="B453" t="str">
        <f>IF('SAÍDAS-BASE'!A451="","",'SAÍDAS-BASE'!A451)</f>
        <v/>
      </c>
      <c r="C453" t="str">
        <f>IF('SAÍDAS-BASE'!B451="","",'SAÍDAS-BASE'!B451)</f>
        <v/>
      </c>
      <c r="D453" t="str">
        <f>IF('SAÍDAS-BASE'!C451="","",'SAÍDAS-BASE'!C451)</f>
        <v/>
      </c>
      <c r="E453" s="7" t="str">
        <f>IF('SAÍDAS-BASE'!D451="","",'SAÍDAS-BASE'!D451)</f>
        <v/>
      </c>
      <c r="F453" s="6" t="str">
        <f>IF('SAÍDAS-BASE'!E451="","",'SAÍDAS-BASE'!E451)</f>
        <v/>
      </c>
      <c r="G453" t="str">
        <f>IF('SAÍDAS-BASE'!F451="","",'SAÍDAS-BASE'!F451)</f>
        <v/>
      </c>
      <c r="H453" t="str">
        <f>IF('SAÍDAS-BASE'!G451="","",'SAÍDAS-BASE'!G451)</f>
        <v/>
      </c>
      <c r="I453" t="str">
        <f>IF('SAÍDAS-BASE'!H451="","",'SAÍDAS-BASE'!H451)</f>
        <v/>
      </c>
      <c r="J453" t="str">
        <f>IF('SAÍDAS-BASE'!I451="","",'SAÍDAS-BASE'!I451)</f>
        <v/>
      </c>
      <c r="K453" s="5" t="str">
        <f>IF('SAÍDAS-BASE'!J451="","",'SAÍDAS-BASE'!J451)</f>
        <v/>
      </c>
      <c r="L453" t="str">
        <f>IF(TABELA_SAIDAS[[#This Row],[UF]]="","",IFERROR(IF(VLOOKUP(TABELA_SAIDAS[[#This Row],[VALOR]],TABELA_ENTRADAS[VALOR],1,FALSE),"DEVOLUÇÃO"),"SEM ENTRADAS"))</f>
        <v/>
      </c>
    </row>
    <row r="454" spans="2:12" x14ac:dyDescent="0.3">
      <c r="B454" t="str">
        <f>IF('SAÍDAS-BASE'!A452="","",'SAÍDAS-BASE'!A452)</f>
        <v/>
      </c>
      <c r="C454" t="str">
        <f>IF('SAÍDAS-BASE'!B452="","",'SAÍDAS-BASE'!B452)</f>
        <v/>
      </c>
      <c r="D454" t="str">
        <f>IF('SAÍDAS-BASE'!C452="","",'SAÍDAS-BASE'!C452)</f>
        <v/>
      </c>
      <c r="E454" s="7" t="str">
        <f>IF('SAÍDAS-BASE'!D452="","",'SAÍDAS-BASE'!D452)</f>
        <v/>
      </c>
      <c r="F454" s="6" t="str">
        <f>IF('SAÍDAS-BASE'!E452="","",'SAÍDAS-BASE'!E452)</f>
        <v/>
      </c>
      <c r="G454" t="str">
        <f>IF('SAÍDAS-BASE'!F452="","",'SAÍDAS-BASE'!F452)</f>
        <v/>
      </c>
      <c r="H454" t="str">
        <f>IF('SAÍDAS-BASE'!G452="","",'SAÍDAS-BASE'!G452)</f>
        <v/>
      </c>
      <c r="I454" t="str">
        <f>IF('SAÍDAS-BASE'!H452="","",'SAÍDAS-BASE'!H452)</f>
        <v/>
      </c>
      <c r="J454" t="str">
        <f>IF('SAÍDAS-BASE'!I452="","",'SAÍDAS-BASE'!I452)</f>
        <v/>
      </c>
      <c r="K454" s="5" t="str">
        <f>IF('SAÍDAS-BASE'!J452="","",'SAÍDAS-BASE'!J452)</f>
        <v/>
      </c>
      <c r="L454" t="str">
        <f>IF(TABELA_SAIDAS[[#This Row],[UF]]="","",IFERROR(IF(VLOOKUP(TABELA_SAIDAS[[#This Row],[VALOR]],TABELA_ENTRADAS[VALOR],1,FALSE),"DEVOLUÇÃO"),"SEM ENTRADAS"))</f>
        <v/>
      </c>
    </row>
    <row r="455" spans="2:12" x14ac:dyDescent="0.3">
      <c r="B455" t="str">
        <f>IF('SAÍDAS-BASE'!A453="","",'SAÍDAS-BASE'!A453)</f>
        <v/>
      </c>
      <c r="C455" t="str">
        <f>IF('SAÍDAS-BASE'!B453="","",'SAÍDAS-BASE'!B453)</f>
        <v/>
      </c>
      <c r="D455" t="str">
        <f>IF('SAÍDAS-BASE'!C453="","",'SAÍDAS-BASE'!C453)</f>
        <v/>
      </c>
      <c r="E455" s="7" t="str">
        <f>IF('SAÍDAS-BASE'!D453="","",'SAÍDAS-BASE'!D453)</f>
        <v/>
      </c>
      <c r="F455" s="6" t="str">
        <f>IF('SAÍDAS-BASE'!E453="","",'SAÍDAS-BASE'!E453)</f>
        <v/>
      </c>
      <c r="G455" t="str">
        <f>IF('SAÍDAS-BASE'!F453="","",'SAÍDAS-BASE'!F453)</f>
        <v/>
      </c>
      <c r="H455" t="str">
        <f>IF('SAÍDAS-BASE'!G453="","",'SAÍDAS-BASE'!G453)</f>
        <v/>
      </c>
      <c r="I455" t="str">
        <f>IF('SAÍDAS-BASE'!H453="","",'SAÍDAS-BASE'!H453)</f>
        <v/>
      </c>
      <c r="J455" t="str">
        <f>IF('SAÍDAS-BASE'!I453="","",'SAÍDAS-BASE'!I453)</f>
        <v/>
      </c>
      <c r="K455" s="5" t="str">
        <f>IF('SAÍDAS-BASE'!J453="","",'SAÍDAS-BASE'!J453)</f>
        <v/>
      </c>
      <c r="L455" t="str">
        <f>IF(TABELA_SAIDAS[[#This Row],[UF]]="","",IFERROR(IF(VLOOKUP(TABELA_SAIDAS[[#This Row],[VALOR]],TABELA_ENTRADAS[VALOR],1,FALSE),"DEVOLUÇÃO"),"SEM ENTRADAS"))</f>
        <v/>
      </c>
    </row>
    <row r="456" spans="2:12" x14ac:dyDescent="0.3">
      <c r="B456" t="str">
        <f>IF('SAÍDAS-BASE'!A454="","",'SAÍDAS-BASE'!A454)</f>
        <v/>
      </c>
      <c r="C456" t="str">
        <f>IF('SAÍDAS-BASE'!B454="","",'SAÍDAS-BASE'!B454)</f>
        <v/>
      </c>
      <c r="D456" t="str">
        <f>IF('SAÍDAS-BASE'!C454="","",'SAÍDAS-BASE'!C454)</f>
        <v/>
      </c>
      <c r="E456" s="7" t="str">
        <f>IF('SAÍDAS-BASE'!D454="","",'SAÍDAS-BASE'!D454)</f>
        <v/>
      </c>
      <c r="F456" s="6" t="str">
        <f>IF('SAÍDAS-BASE'!E454="","",'SAÍDAS-BASE'!E454)</f>
        <v/>
      </c>
      <c r="G456" t="str">
        <f>IF('SAÍDAS-BASE'!F454="","",'SAÍDAS-BASE'!F454)</f>
        <v/>
      </c>
      <c r="H456" t="str">
        <f>IF('SAÍDAS-BASE'!G454="","",'SAÍDAS-BASE'!G454)</f>
        <v/>
      </c>
      <c r="I456" t="str">
        <f>IF('SAÍDAS-BASE'!H454="","",'SAÍDAS-BASE'!H454)</f>
        <v/>
      </c>
      <c r="J456" t="str">
        <f>IF('SAÍDAS-BASE'!I454="","",'SAÍDAS-BASE'!I454)</f>
        <v/>
      </c>
      <c r="K456" s="5" t="str">
        <f>IF('SAÍDAS-BASE'!J454="","",'SAÍDAS-BASE'!J454)</f>
        <v/>
      </c>
      <c r="L456" t="str">
        <f>IF(TABELA_SAIDAS[[#This Row],[UF]]="","",IFERROR(IF(VLOOKUP(TABELA_SAIDAS[[#This Row],[VALOR]],TABELA_ENTRADAS[VALOR],1,FALSE),"DEVOLUÇÃO"),"SEM ENTRADAS"))</f>
        <v/>
      </c>
    </row>
    <row r="457" spans="2:12" x14ac:dyDescent="0.3">
      <c r="B457" t="str">
        <f>IF('SAÍDAS-BASE'!A455="","",'SAÍDAS-BASE'!A455)</f>
        <v/>
      </c>
      <c r="C457" t="str">
        <f>IF('SAÍDAS-BASE'!B455="","",'SAÍDAS-BASE'!B455)</f>
        <v/>
      </c>
      <c r="D457" t="str">
        <f>IF('SAÍDAS-BASE'!C455="","",'SAÍDAS-BASE'!C455)</f>
        <v/>
      </c>
      <c r="E457" s="7" t="str">
        <f>IF('SAÍDAS-BASE'!D455="","",'SAÍDAS-BASE'!D455)</f>
        <v/>
      </c>
      <c r="F457" s="6" t="str">
        <f>IF('SAÍDAS-BASE'!E455="","",'SAÍDAS-BASE'!E455)</f>
        <v/>
      </c>
      <c r="G457" t="str">
        <f>IF('SAÍDAS-BASE'!F455="","",'SAÍDAS-BASE'!F455)</f>
        <v/>
      </c>
      <c r="H457" t="str">
        <f>IF('SAÍDAS-BASE'!G455="","",'SAÍDAS-BASE'!G455)</f>
        <v/>
      </c>
      <c r="I457" t="str">
        <f>IF('SAÍDAS-BASE'!H455="","",'SAÍDAS-BASE'!H455)</f>
        <v/>
      </c>
      <c r="J457" t="str">
        <f>IF('SAÍDAS-BASE'!I455="","",'SAÍDAS-BASE'!I455)</f>
        <v/>
      </c>
      <c r="K457" s="5" t="str">
        <f>IF('SAÍDAS-BASE'!J455="","",'SAÍDAS-BASE'!J455)</f>
        <v/>
      </c>
      <c r="L457" t="str">
        <f>IF(TABELA_SAIDAS[[#This Row],[UF]]="","",IFERROR(IF(VLOOKUP(TABELA_SAIDAS[[#This Row],[VALOR]],TABELA_ENTRADAS[VALOR],1,FALSE),"DEVOLUÇÃO"),"SEM ENTRADAS"))</f>
        <v/>
      </c>
    </row>
    <row r="458" spans="2:12" x14ac:dyDescent="0.3">
      <c r="B458" t="str">
        <f>IF('SAÍDAS-BASE'!A456="","",'SAÍDAS-BASE'!A456)</f>
        <v/>
      </c>
      <c r="C458" t="str">
        <f>IF('SAÍDAS-BASE'!B456="","",'SAÍDAS-BASE'!B456)</f>
        <v/>
      </c>
      <c r="D458" t="str">
        <f>IF('SAÍDAS-BASE'!C456="","",'SAÍDAS-BASE'!C456)</f>
        <v/>
      </c>
      <c r="E458" s="7" t="str">
        <f>IF('SAÍDAS-BASE'!D456="","",'SAÍDAS-BASE'!D456)</f>
        <v/>
      </c>
      <c r="F458" s="6" t="str">
        <f>IF('SAÍDAS-BASE'!E456="","",'SAÍDAS-BASE'!E456)</f>
        <v/>
      </c>
      <c r="G458" t="str">
        <f>IF('SAÍDAS-BASE'!F456="","",'SAÍDAS-BASE'!F456)</f>
        <v/>
      </c>
      <c r="H458" t="str">
        <f>IF('SAÍDAS-BASE'!G456="","",'SAÍDAS-BASE'!G456)</f>
        <v/>
      </c>
      <c r="I458" t="str">
        <f>IF('SAÍDAS-BASE'!H456="","",'SAÍDAS-BASE'!H456)</f>
        <v/>
      </c>
      <c r="J458" t="str">
        <f>IF('SAÍDAS-BASE'!I456="","",'SAÍDAS-BASE'!I456)</f>
        <v/>
      </c>
      <c r="K458" s="5" t="str">
        <f>IF('SAÍDAS-BASE'!J456="","",'SAÍDAS-BASE'!J456)</f>
        <v/>
      </c>
      <c r="L458" t="str">
        <f>IF(TABELA_SAIDAS[[#This Row],[UF]]="","",IFERROR(IF(VLOOKUP(TABELA_SAIDAS[[#This Row],[VALOR]],TABELA_ENTRADAS[VALOR],1,FALSE),"DEVOLUÇÃO"),"SEM ENTRADAS"))</f>
        <v/>
      </c>
    </row>
    <row r="459" spans="2:12" x14ac:dyDescent="0.3">
      <c r="B459" t="str">
        <f>IF('SAÍDAS-BASE'!A457="","",'SAÍDAS-BASE'!A457)</f>
        <v/>
      </c>
      <c r="C459" t="str">
        <f>IF('SAÍDAS-BASE'!B457="","",'SAÍDAS-BASE'!B457)</f>
        <v/>
      </c>
      <c r="D459" t="str">
        <f>IF('SAÍDAS-BASE'!C457="","",'SAÍDAS-BASE'!C457)</f>
        <v/>
      </c>
      <c r="E459" s="7" t="str">
        <f>IF('SAÍDAS-BASE'!D457="","",'SAÍDAS-BASE'!D457)</f>
        <v/>
      </c>
      <c r="F459" s="6" t="str">
        <f>IF('SAÍDAS-BASE'!E457="","",'SAÍDAS-BASE'!E457)</f>
        <v/>
      </c>
      <c r="G459" t="str">
        <f>IF('SAÍDAS-BASE'!F457="","",'SAÍDAS-BASE'!F457)</f>
        <v/>
      </c>
      <c r="H459" t="str">
        <f>IF('SAÍDAS-BASE'!G457="","",'SAÍDAS-BASE'!G457)</f>
        <v/>
      </c>
      <c r="I459" t="str">
        <f>IF('SAÍDAS-BASE'!H457="","",'SAÍDAS-BASE'!H457)</f>
        <v/>
      </c>
      <c r="J459" t="str">
        <f>IF('SAÍDAS-BASE'!I457="","",'SAÍDAS-BASE'!I457)</f>
        <v/>
      </c>
      <c r="K459" s="5" t="str">
        <f>IF('SAÍDAS-BASE'!J457="","",'SAÍDAS-BASE'!J457)</f>
        <v/>
      </c>
      <c r="L459" t="str">
        <f>IF(TABELA_SAIDAS[[#This Row],[UF]]="","",IFERROR(IF(VLOOKUP(TABELA_SAIDAS[[#This Row],[VALOR]],TABELA_ENTRADAS[VALOR],1,FALSE),"DEVOLUÇÃO"),"SEM ENTRADAS"))</f>
        <v/>
      </c>
    </row>
    <row r="460" spans="2:12" x14ac:dyDescent="0.3">
      <c r="B460" t="str">
        <f>IF('SAÍDAS-BASE'!A458="","",'SAÍDAS-BASE'!A458)</f>
        <v/>
      </c>
      <c r="C460" t="str">
        <f>IF('SAÍDAS-BASE'!B458="","",'SAÍDAS-BASE'!B458)</f>
        <v/>
      </c>
      <c r="D460" t="str">
        <f>IF('SAÍDAS-BASE'!C458="","",'SAÍDAS-BASE'!C458)</f>
        <v/>
      </c>
      <c r="E460" s="7" t="str">
        <f>IF('SAÍDAS-BASE'!D458="","",'SAÍDAS-BASE'!D458)</f>
        <v/>
      </c>
      <c r="F460" s="6" t="str">
        <f>IF('SAÍDAS-BASE'!E458="","",'SAÍDAS-BASE'!E458)</f>
        <v/>
      </c>
      <c r="G460" t="str">
        <f>IF('SAÍDAS-BASE'!F458="","",'SAÍDAS-BASE'!F458)</f>
        <v/>
      </c>
      <c r="H460" t="str">
        <f>IF('SAÍDAS-BASE'!G458="","",'SAÍDAS-BASE'!G458)</f>
        <v/>
      </c>
      <c r="I460" t="str">
        <f>IF('SAÍDAS-BASE'!H458="","",'SAÍDAS-BASE'!H458)</f>
        <v/>
      </c>
      <c r="J460" t="str">
        <f>IF('SAÍDAS-BASE'!I458="","",'SAÍDAS-BASE'!I458)</f>
        <v/>
      </c>
      <c r="K460" s="5" t="str">
        <f>IF('SAÍDAS-BASE'!J458="","",'SAÍDAS-BASE'!J458)</f>
        <v/>
      </c>
      <c r="L460" t="str">
        <f>IF(TABELA_SAIDAS[[#This Row],[UF]]="","",IFERROR(IF(VLOOKUP(TABELA_SAIDAS[[#This Row],[VALOR]],TABELA_ENTRADAS[VALOR],1,FALSE),"DEVOLUÇÃO"),"SEM ENTRADAS"))</f>
        <v/>
      </c>
    </row>
    <row r="461" spans="2:12" x14ac:dyDescent="0.3">
      <c r="B461" t="str">
        <f>IF('SAÍDAS-BASE'!A459="","",'SAÍDAS-BASE'!A459)</f>
        <v/>
      </c>
      <c r="C461" t="str">
        <f>IF('SAÍDAS-BASE'!B459="","",'SAÍDAS-BASE'!B459)</f>
        <v/>
      </c>
      <c r="D461" t="str">
        <f>IF('SAÍDAS-BASE'!C459="","",'SAÍDAS-BASE'!C459)</f>
        <v/>
      </c>
      <c r="E461" s="7" t="str">
        <f>IF('SAÍDAS-BASE'!D459="","",'SAÍDAS-BASE'!D459)</f>
        <v/>
      </c>
      <c r="F461" s="6" t="str">
        <f>IF('SAÍDAS-BASE'!E459="","",'SAÍDAS-BASE'!E459)</f>
        <v/>
      </c>
      <c r="G461" t="str">
        <f>IF('SAÍDAS-BASE'!F459="","",'SAÍDAS-BASE'!F459)</f>
        <v/>
      </c>
      <c r="H461" t="str">
        <f>IF('SAÍDAS-BASE'!G459="","",'SAÍDAS-BASE'!G459)</f>
        <v/>
      </c>
      <c r="I461" t="str">
        <f>IF('SAÍDAS-BASE'!H459="","",'SAÍDAS-BASE'!H459)</f>
        <v/>
      </c>
      <c r="J461" t="str">
        <f>IF('SAÍDAS-BASE'!I459="","",'SAÍDAS-BASE'!I459)</f>
        <v/>
      </c>
      <c r="K461" s="5" t="str">
        <f>IF('SAÍDAS-BASE'!J459="","",'SAÍDAS-BASE'!J459)</f>
        <v/>
      </c>
      <c r="L461" t="str">
        <f>IF(TABELA_SAIDAS[[#This Row],[UF]]="","",IFERROR(IF(VLOOKUP(TABELA_SAIDAS[[#This Row],[VALOR]],TABELA_ENTRADAS[VALOR],1,FALSE),"DEVOLUÇÃO"),"SEM ENTRADAS"))</f>
        <v/>
      </c>
    </row>
    <row r="462" spans="2:12" x14ac:dyDescent="0.3">
      <c r="B462" t="str">
        <f>IF('SAÍDAS-BASE'!A460="","",'SAÍDAS-BASE'!A460)</f>
        <v/>
      </c>
      <c r="C462" t="str">
        <f>IF('SAÍDAS-BASE'!B460="","",'SAÍDAS-BASE'!B460)</f>
        <v/>
      </c>
      <c r="D462" t="str">
        <f>IF('SAÍDAS-BASE'!C460="","",'SAÍDAS-BASE'!C460)</f>
        <v/>
      </c>
      <c r="E462" s="7" t="str">
        <f>IF('SAÍDAS-BASE'!D460="","",'SAÍDAS-BASE'!D460)</f>
        <v/>
      </c>
      <c r="F462" s="6" t="str">
        <f>IF('SAÍDAS-BASE'!E460="","",'SAÍDAS-BASE'!E460)</f>
        <v/>
      </c>
      <c r="G462" t="str">
        <f>IF('SAÍDAS-BASE'!F460="","",'SAÍDAS-BASE'!F460)</f>
        <v/>
      </c>
      <c r="H462" t="str">
        <f>IF('SAÍDAS-BASE'!G460="","",'SAÍDAS-BASE'!G460)</f>
        <v/>
      </c>
      <c r="I462" t="str">
        <f>IF('SAÍDAS-BASE'!H460="","",'SAÍDAS-BASE'!H460)</f>
        <v/>
      </c>
      <c r="J462" t="str">
        <f>IF('SAÍDAS-BASE'!I460="","",'SAÍDAS-BASE'!I460)</f>
        <v/>
      </c>
      <c r="K462" s="5" t="str">
        <f>IF('SAÍDAS-BASE'!J460="","",'SAÍDAS-BASE'!J460)</f>
        <v/>
      </c>
      <c r="L462" t="str">
        <f>IF(TABELA_SAIDAS[[#This Row],[UF]]="","",IFERROR(IF(VLOOKUP(TABELA_SAIDAS[[#This Row],[VALOR]],TABELA_ENTRADAS[VALOR],1,FALSE),"DEVOLUÇÃO"),"SEM ENTRADAS"))</f>
        <v/>
      </c>
    </row>
    <row r="463" spans="2:12" x14ac:dyDescent="0.3">
      <c r="B463" t="str">
        <f>IF('SAÍDAS-BASE'!A461="","",'SAÍDAS-BASE'!A461)</f>
        <v/>
      </c>
      <c r="C463" t="str">
        <f>IF('SAÍDAS-BASE'!B461="","",'SAÍDAS-BASE'!B461)</f>
        <v/>
      </c>
      <c r="D463" t="str">
        <f>IF('SAÍDAS-BASE'!C461="","",'SAÍDAS-BASE'!C461)</f>
        <v/>
      </c>
      <c r="E463" s="7" t="str">
        <f>IF('SAÍDAS-BASE'!D461="","",'SAÍDAS-BASE'!D461)</f>
        <v/>
      </c>
      <c r="F463" s="6" t="str">
        <f>IF('SAÍDAS-BASE'!E461="","",'SAÍDAS-BASE'!E461)</f>
        <v/>
      </c>
      <c r="G463" t="str">
        <f>IF('SAÍDAS-BASE'!F461="","",'SAÍDAS-BASE'!F461)</f>
        <v/>
      </c>
      <c r="H463" t="str">
        <f>IF('SAÍDAS-BASE'!G461="","",'SAÍDAS-BASE'!G461)</f>
        <v/>
      </c>
      <c r="I463" t="str">
        <f>IF('SAÍDAS-BASE'!H461="","",'SAÍDAS-BASE'!H461)</f>
        <v/>
      </c>
      <c r="J463" t="str">
        <f>IF('SAÍDAS-BASE'!I461="","",'SAÍDAS-BASE'!I461)</f>
        <v/>
      </c>
      <c r="K463" s="5" t="str">
        <f>IF('SAÍDAS-BASE'!J461="","",'SAÍDAS-BASE'!J461)</f>
        <v/>
      </c>
      <c r="L463" t="str">
        <f>IF(TABELA_SAIDAS[[#This Row],[UF]]="","",IFERROR(IF(VLOOKUP(TABELA_SAIDAS[[#This Row],[VALOR]],TABELA_ENTRADAS[VALOR],1,FALSE),"DEVOLUÇÃO"),"SEM ENTRADAS"))</f>
        <v/>
      </c>
    </row>
    <row r="464" spans="2:12" x14ac:dyDescent="0.3">
      <c r="B464" t="str">
        <f>IF('SAÍDAS-BASE'!A462="","",'SAÍDAS-BASE'!A462)</f>
        <v/>
      </c>
      <c r="C464" t="str">
        <f>IF('SAÍDAS-BASE'!B462="","",'SAÍDAS-BASE'!B462)</f>
        <v/>
      </c>
      <c r="D464" t="str">
        <f>IF('SAÍDAS-BASE'!C462="","",'SAÍDAS-BASE'!C462)</f>
        <v/>
      </c>
      <c r="E464" s="7" t="str">
        <f>IF('SAÍDAS-BASE'!D462="","",'SAÍDAS-BASE'!D462)</f>
        <v/>
      </c>
      <c r="F464" s="6" t="str">
        <f>IF('SAÍDAS-BASE'!E462="","",'SAÍDAS-BASE'!E462)</f>
        <v/>
      </c>
      <c r="G464" t="str">
        <f>IF('SAÍDAS-BASE'!F462="","",'SAÍDAS-BASE'!F462)</f>
        <v/>
      </c>
      <c r="H464" t="str">
        <f>IF('SAÍDAS-BASE'!G462="","",'SAÍDAS-BASE'!G462)</f>
        <v/>
      </c>
      <c r="I464" t="str">
        <f>IF('SAÍDAS-BASE'!H462="","",'SAÍDAS-BASE'!H462)</f>
        <v/>
      </c>
      <c r="J464" t="str">
        <f>IF('SAÍDAS-BASE'!I462="","",'SAÍDAS-BASE'!I462)</f>
        <v/>
      </c>
      <c r="K464" s="5" t="str">
        <f>IF('SAÍDAS-BASE'!J462="","",'SAÍDAS-BASE'!J462)</f>
        <v/>
      </c>
      <c r="L464" t="str">
        <f>IF(TABELA_SAIDAS[[#This Row],[UF]]="","",IFERROR(IF(VLOOKUP(TABELA_SAIDAS[[#This Row],[VALOR]],TABELA_ENTRADAS[VALOR],1,FALSE),"DEVOLUÇÃO"),"SEM ENTRADAS"))</f>
        <v/>
      </c>
    </row>
    <row r="465" spans="2:12" x14ac:dyDescent="0.3">
      <c r="B465" t="str">
        <f>IF('SAÍDAS-BASE'!A463="","",'SAÍDAS-BASE'!A463)</f>
        <v/>
      </c>
      <c r="C465" t="str">
        <f>IF('SAÍDAS-BASE'!B463="","",'SAÍDAS-BASE'!B463)</f>
        <v/>
      </c>
      <c r="D465" t="str">
        <f>IF('SAÍDAS-BASE'!C463="","",'SAÍDAS-BASE'!C463)</f>
        <v/>
      </c>
      <c r="E465" s="7" t="str">
        <f>IF('SAÍDAS-BASE'!D463="","",'SAÍDAS-BASE'!D463)</f>
        <v/>
      </c>
      <c r="F465" s="6" t="str">
        <f>IF('SAÍDAS-BASE'!E463="","",'SAÍDAS-BASE'!E463)</f>
        <v/>
      </c>
      <c r="G465" t="str">
        <f>IF('SAÍDAS-BASE'!F463="","",'SAÍDAS-BASE'!F463)</f>
        <v/>
      </c>
      <c r="H465" t="str">
        <f>IF('SAÍDAS-BASE'!G463="","",'SAÍDAS-BASE'!G463)</f>
        <v/>
      </c>
      <c r="I465" t="str">
        <f>IF('SAÍDAS-BASE'!H463="","",'SAÍDAS-BASE'!H463)</f>
        <v/>
      </c>
      <c r="J465" t="str">
        <f>IF('SAÍDAS-BASE'!I463="","",'SAÍDAS-BASE'!I463)</f>
        <v/>
      </c>
      <c r="K465" s="5" t="str">
        <f>IF('SAÍDAS-BASE'!J463="","",'SAÍDAS-BASE'!J463)</f>
        <v/>
      </c>
      <c r="L465" t="str">
        <f>IF(TABELA_SAIDAS[[#This Row],[UF]]="","",IFERROR(IF(VLOOKUP(TABELA_SAIDAS[[#This Row],[VALOR]],TABELA_ENTRADAS[VALOR],1,FALSE),"DEVOLUÇÃO"),"SEM ENTRADAS"))</f>
        <v/>
      </c>
    </row>
    <row r="466" spans="2:12" x14ac:dyDescent="0.3">
      <c r="B466" t="str">
        <f>IF('SAÍDAS-BASE'!A464="","",'SAÍDAS-BASE'!A464)</f>
        <v/>
      </c>
      <c r="C466" t="str">
        <f>IF('SAÍDAS-BASE'!B464="","",'SAÍDAS-BASE'!B464)</f>
        <v/>
      </c>
      <c r="D466" t="str">
        <f>IF('SAÍDAS-BASE'!C464="","",'SAÍDAS-BASE'!C464)</f>
        <v/>
      </c>
      <c r="E466" s="7" t="str">
        <f>IF('SAÍDAS-BASE'!D464="","",'SAÍDAS-BASE'!D464)</f>
        <v/>
      </c>
      <c r="F466" s="6" t="str">
        <f>IF('SAÍDAS-BASE'!E464="","",'SAÍDAS-BASE'!E464)</f>
        <v/>
      </c>
      <c r="G466" t="str">
        <f>IF('SAÍDAS-BASE'!F464="","",'SAÍDAS-BASE'!F464)</f>
        <v/>
      </c>
      <c r="H466" t="str">
        <f>IF('SAÍDAS-BASE'!G464="","",'SAÍDAS-BASE'!G464)</f>
        <v/>
      </c>
      <c r="I466" t="str">
        <f>IF('SAÍDAS-BASE'!H464="","",'SAÍDAS-BASE'!H464)</f>
        <v/>
      </c>
      <c r="J466" t="str">
        <f>IF('SAÍDAS-BASE'!I464="","",'SAÍDAS-BASE'!I464)</f>
        <v/>
      </c>
      <c r="K466" s="5" t="str">
        <f>IF('SAÍDAS-BASE'!J464="","",'SAÍDAS-BASE'!J464)</f>
        <v/>
      </c>
      <c r="L466" t="str">
        <f>IF(TABELA_SAIDAS[[#This Row],[UF]]="","",IFERROR(IF(VLOOKUP(TABELA_SAIDAS[[#This Row],[VALOR]],TABELA_ENTRADAS[VALOR],1,FALSE),"DEVOLUÇÃO"),"SEM ENTRADAS"))</f>
        <v/>
      </c>
    </row>
    <row r="467" spans="2:12" x14ac:dyDescent="0.3">
      <c r="B467" t="str">
        <f>IF('SAÍDAS-BASE'!A465="","",'SAÍDAS-BASE'!A465)</f>
        <v/>
      </c>
      <c r="C467" t="str">
        <f>IF('SAÍDAS-BASE'!B465="","",'SAÍDAS-BASE'!B465)</f>
        <v/>
      </c>
      <c r="D467" t="str">
        <f>IF('SAÍDAS-BASE'!C465="","",'SAÍDAS-BASE'!C465)</f>
        <v/>
      </c>
      <c r="E467" s="7" t="str">
        <f>IF('SAÍDAS-BASE'!D465="","",'SAÍDAS-BASE'!D465)</f>
        <v/>
      </c>
      <c r="F467" s="6" t="str">
        <f>IF('SAÍDAS-BASE'!E465="","",'SAÍDAS-BASE'!E465)</f>
        <v/>
      </c>
      <c r="G467" t="str">
        <f>IF('SAÍDAS-BASE'!F465="","",'SAÍDAS-BASE'!F465)</f>
        <v/>
      </c>
      <c r="H467" t="str">
        <f>IF('SAÍDAS-BASE'!G465="","",'SAÍDAS-BASE'!G465)</f>
        <v/>
      </c>
      <c r="I467" t="str">
        <f>IF('SAÍDAS-BASE'!H465="","",'SAÍDAS-BASE'!H465)</f>
        <v/>
      </c>
      <c r="J467" t="str">
        <f>IF('SAÍDAS-BASE'!I465="","",'SAÍDAS-BASE'!I465)</f>
        <v/>
      </c>
      <c r="K467" s="5" t="str">
        <f>IF('SAÍDAS-BASE'!J465="","",'SAÍDAS-BASE'!J465)</f>
        <v/>
      </c>
      <c r="L467" t="str">
        <f>IF(TABELA_SAIDAS[[#This Row],[UF]]="","",IFERROR(IF(VLOOKUP(TABELA_SAIDAS[[#This Row],[VALOR]],TABELA_ENTRADAS[VALOR],1,FALSE),"DEVOLUÇÃO"),"SEM ENTRADAS"))</f>
        <v/>
      </c>
    </row>
    <row r="468" spans="2:12" x14ac:dyDescent="0.3">
      <c r="B468" t="str">
        <f>IF('SAÍDAS-BASE'!A466="","",'SAÍDAS-BASE'!A466)</f>
        <v/>
      </c>
      <c r="C468" t="str">
        <f>IF('SAÍDAS-BASE'!B466="","",'SAÍDAS-BASE'!B466)</f>
        <v/>
      </c>
      <c r="D468" t="str">
        <f>IF('SAÍDAS-BASE'!C466="","",'SAÍDAS-BASE'!C466)</f>
        <v/>
      </c>
      <c r="E468" s="7" t="str">
        <f>IF('SAÍDAS-BASE'!D466="","",'SAÍDAS-BASE'!D466)</f>
        <v/>
      </c>
      <c r="F468" s="6" t="str">
        <f>IF('SAÍDAS-BASE'!E466="","",'SAÍDAS-BASE'!E466)</f>
        <v/>
      </c>
      <c r="G468" t="str">
        <f>IF('SAÍDAS-BASE'!F466="","",'SAÍDAS-BASE'!F466)</f>
        <v/>
      </c>
      <c r="H468" t="str">
        <f>IF('SAÍDAS-BASE'!G466="","",'SAÍDAS-BASE'!G466)</f>
        <v/>
      </c>
      <c r="I468" t="str">
        <f>IF('SAÍDAS-BASE'!H466="","",'SAÍDAS-BASE'!H466)</f>
        <v/>
      </c>
      <c r="J468" t="str">
        <f>IF('SAÍDAS-BASE'!I466="","",'SAÍDAS-BASE'!I466)</f>
        <v/>
      </c>
      <c r="K468" s="5" t="str">
        <f>IF('SAÍDAS-BASE'!J466="","",'SAÍDAS-BASE'!J466)</f>
        <v/>
      </c>
      <c r="L468" t="str">
        <f>IF(TABELA_SAIDAS[[#This Row],[UF]]="","",IFERROR(IF(VLOOKUP(TABELA_SAIDAS[[#This Row],[VALOR]],TABELA_ENTRADAS[VALOR],1,FALSE),"DEVOLUÇÃO"),"SEM ENTRADAS"))</f>
        <v/>
      </c>
    </row>
    <row r="469" spans="2:12" x14ac:dyDescent="0.3">
      <c r="B469" t="str">
        <f>IF('SAÍDAS-BASE'!A467="","",'SAÍDAS-BASE'!A467)</f>
        <v/>
      </c>
      <c r="C469" t="str">
        <f>IF('SAÍDAS-BASE'!B467="","",'SAÍDAS-BASE'!B467)</f>
        <v/>
      </c>
      <c r="D469" t="str">
        <f>IF('SAÍDAS-BASE'!C467="","",'SAÍDAS-BASE'!C467)</f>
        <v/>
      </c>
      <c r="E469" s="7" t="str">
        <f>IF('SAÍDAS-BASE'!D467="","",'SAÍDAS-BASE'!D467)</f>
        <v/>
      </c>
      <c r="F469" s="6" t="str">
        <f>IF('SAÍDAS-BASE'!E467="","",'SAÍDAS-BASE'!E467)</f>
        <v/>
      </c>
      <c r="G469" t="str">
        <f>IF('SAÍDAS-BASE'!F467="","",'SAÍDAS-BASE'!F467)</f>
        <v/>
      </c>
      <c r="H469" t="str">
        <f>IF('SAÍDAS-BASE'!G467="","",'SAÍDAS-BASE'!G467)</f>
        <v/>
      </c>
      <c r="I469" t="str">
        <f>IF('SAÍDAS-BASE'!H467="","",'SAÍDAS-BASE'!H467)</f>
        <v/>
      </c>
      <c r="J469" t="str">
        <f>IF('SAÍDAS-BASE'!I467="","",'SAÍDAS-BASE'!I467)</f>
        <v/>
      </c>
      <c r="K469" s="5" t="str">
        <f>IF('SAÍDAS-BASE'!J467="","",'SAÍDAS-BASE'!J467)</f>
        <v/>
      </c>
      <c r="L469" t="str">
        <f>IF(TABELA_SAIDAS[[#This Row],[UF]]="","",IFERROR(IF(VLOOKUP(TABELA_SAIDAS[[#This Row],[VALOR]],TABELA_ENTRADAS[VALOR],1,FALSE),"DEVOLUÇÃO"),"SEM ENTRADAS"))</f>
        <v/>
      </c>
    </row>
    <row r="470" spans="2:12" x14ac:dyDescent="0.3">
      <c r="B470" t="str">
        <f>IF('SAÍDAS-BASE'!A468="","",'SAÍDAS-BASE'!A468)</f>
        <v/>
      </c>
      <c r="C470" t="str">
        <f>IF('SAÍDAS-BASE'!B468="","",'SAÍDAS-BASE'!B468)</f>
        <v/>
      </c>
      <c r="D470" t="str">
        <f>IF('SAÍDAS-BASE'!C468="","",'SAÍDAS-BASE'!C468)</f>
        <v/>
      </c>
      <c r="E470" s="7" t="str">
        <f>IF('SAÍDAS-BASE'!D468="","",'SAÍDAS-BASE'!D468)</f>
        <v/>
      </c>
      <c r="F470" s="6" t="str">
        <f>IF('SAÍDAS-BASE'!E468="","",'SAÍDAS-BASE'!E468)</f>
        <v/>
      </c>
      <c r="G470" t="str">
        <f>IF('SAÍDAS-BASE'!F468="","",'SAÍDAS-BASE'!F468)</f>
        <v/>
      </c>
      <c r="H470" t="str">
        <f>IF('SAÍDAS-BASE'!G468="","",'SAÍDAS-BASE'!G468)</f>
        <v/>
      </c>
      <c r="I470" t="str">
        <f>IF('SAÍDAS-BASE'!H468="","",'SAÍDAS-BASE'!H468)</f>
        <v/>
      </c>
      <c r="J470" t="str">
        <f>IF('SAÍDAS-BASE'!I468="","",'SAÍDAS-BASE'!I468)</f>
        <v/>
      </c>
      <c r="K470" s="5" t="str">
        <f>IF('SAÍDAS-BASE'!J468="","",'SAÍDAS-BASE'!J468)</f>
        <v/>
      </c>
      <c r="L470" t="str">
        <f>IF(TABELA_SAIDAS[[#This Row],[UF]]="","",IFERROR(IF(VLOOKUP(TABELA_SAIDAS[[#This Row],[VALOR]],TABELA_ENTRADAS[VALOR],1,FALSE),"DEVOLUÇÃO"),"SEM ENTRADAS"))</f>
        <v/>
      </c>
    </row>
    <row r="471" spans="2:12" x14ac:dyDescent="0.3">
      <c r="B471" t="str">
        <f>IF('SAÍDAS-BASE'!A469="","",'SAÍDAS-BASE'!A469)</f>
        <v/>
      </c>
      <c r="C471" t="str">
        <f>IF('SAÍDAS-BASE'!B469="","",'SAÍDAS-BASE'!B469)</f>
        <v/>
      </c>
      <c r="D471" t="str">
        <f>IF('SAÍDAS-BASE'!C469="","",'SAÍDAS-BASE'!C469)</f>
        <v/>
      </c>
      <c r="E471" s="7" t="str">
        <f>IF('SAÍDAS-BASE'!D469="","",'SAÍDAS-BASE'!D469)</f>
        <v/>
      </c>
      <c r="F471" s="6" t="str">
        <f>IF('SAÍDAS-BASE'!E469="","",'SAÍDAS-BASE'!E469)</f>
        <v/>
      </c>
      <c r="G471" t="str">
        <f>IF('SAÍDAS-BASE'!F469="","",'SAÍDAS-BASE'!F469)</f>
        <v/>
      </c>
      <c r="H471" t="str">
        <f>IF('SAÍDAS-BASE'!G469="","",'SAÍDAS-BASE'!G469)</f>
        <v/>
      </c>
      <c r="I471" t="str">
        <f>IF('SAÍDAS-BASE'!H469="","",'SAÍDAS-BASE'!H469)</f>
        <v/>
      </c>
      <c r="J471" t="str">
        <f>IF('SAÍDAS-BASE'!I469="","",'SAÍDAS-BASE'!I469)</f>
        <v/>
      </c>
      <c r="K471" s="5" t="str">
        <f>IF('SAÍDAS-BASE'!J469="","",'SAÍDAS-BASE'!J469)</f>
        <v/>
      </c>
      <c r="L471" t="str">
        <f>IF(TABELA_SAIDAS[[#This Row],[UF]]="","",IFERROR(IF(VLOOKUP(TABELA_SAIDAS[[#This Row],[VALOR]],TABELA_ENTRADAS[VALOR],1,FALSE),"DEVOLUÇÃO"),"SEM ENTRADAS"))</f>
        <v/>
      </c>
    </row>
    <row r="472" spans="2:12" x14ac:dyDescent="0.3">
      <c r="B472" t="str">
        <f>IF('SAÍDAS-BASE'!A470="","",'SAÍDAS-BASE'!A470)</f>
        <v/>
      </c>
      <c r="C472" t="str">
        <f>IF('SAÍDAS-BASE'!B470="","",'SAÍDAS-BASE'!B470)</f>
        <v/>
      </c>
      <c r="D472" t="str">
        <f>IF('SAÍDAS-BASE'!C470="","",'SAÍDAS-BASE'!C470)</f>
        <v/>
      </c>
      <c r="E472" s="7" t="str">
        <f>IF('SAÍDAS-BASE'!D470="","",'SAÍDAS-BASE'!D470)</f>
        <v/>
      </c>
      <c r="F472" s="6" t="str">
        <f>IF('SAÍDAS-BASE'!E470="","",'SAÍDAS-BASE'!E470)</f>
        <v/>
      </c>
      <c r="G472" t="str">
        <f>IF('SAÍDAS-BASE'!F470="","",'SAÍDAS-BASE'!F470)</f>
        <v/>
      </c>
      <c r="H472" t="str">
        <f>IF('SAÍDAS-BASE'!G470="","",'SAÍDAS-BASE'!G470)</f>
        <v/>
      </c>
      <c r="I472" t="str">
        <f>IF('SAÍDAS-BASE'!H470="","",'SAÍDAS-BASE'!H470)</f>
        <v/>
      </c>
      <c r="J472" t="str">
        <f>IF('SAÍDAS-BASE'!I470="","",'SAÍDAS-BASE'!I470)</f>
        <v/>
      </c>
      <c r="K472" s="5" t="str">
        <f>IF('SAÍDAS-BASE'!J470="","",'SAÍDAS-BASE'!J470)</f>
        <v/>
      </c>
      <c r="L472" t="str">
        <f>IF(TABELA_SAIDAS[[#This Row],[UF]]="","",IFERROR(IF(VLOOKUP(TABELA_SAIDAS[[#This Row],[VALOR]],TABELA_ENTRADAS[VALOR],1,FALSE),"DEVOLUÇÃO"),"SEM ENTRADAS"))</f>
        <v/>
      </c>
    </row>
    <row r="473" spans="2:12" x14ac:dyDescent="0.3">
      <c r="B473" t="str">
        <f>IF('SAÍDAS-BASE'!A471="","",'SAÍDAS-BASE'!A471)</f>
        <v/>
      </c>
      <c r="C473" t="str">
        <f>IF('SAÍDAS-BASE'!B471="","",'SAÍDAS-BASE'!B471)</f>
        <v/>
      </c>
      <c r="D473" t="str">
        <f>IF('SAÍDAS-BASE'!C471="","",'SAÍDAS-BASE'!C471)</f>
        <v/>
      </c>
      <c r="E473" s="7" t="str">
        <f>IF('SAÍDAS-BASE'!D471="","",'SAÍDAS-BASE'!D471)</f>
        <v/>
      </c>
      <c r="F473" s="6" t="str">
        <f>IF('SAÍDAS-BASE'!E471="","",'SAÍDAS-BASE'!E471)</f>
        <v/>
      </c>
      <c r="G473" t="str">
        <f>IF('SAÍDAS-BASE'!F471="","",'SAÍDAS-BASE'!F471)</f>
        <v/>
      </c>
      <c r="H473" t="str">
        <f>IF('SAÍDAS-BASE'!G471="","",'SAÍDAS-BASE'!G471)</f>
        <v/>
      </c>
      <c r="I473" t="str">
        <f>IF('SAÍDAS-BASE'!H471="","",'SAÍDAS-BASE'!H471)</f>
        <v/>
      </c>
      <c r="J473" t="str">
        <f>IF('SAÍDAS-BASE'!I471="","",'SAÍDAS-BASE'!I471)</f>
        <v/>
      </c>
      <c r="K473" s="5" t="str">
        <f>IF('SAÍDAS-BASE'!J471="","",'SAÍDAS-BASE'!J471)</f>
        <v/>
      </c>
      <c r="L473" t="str">
        <f>IF(TABELA_SAIDAS[[#This Row],[UF]]="","",IFERROR(IF(VLOOKUP(TABELA_SAIDAS[[#This Row],[VALOR]],TABELA_ENTRADAS[VALOR],1,FALSE),"DEVOLUÇÃO"),"SEM ENTRADAS"))</f>
        <v/>
      </c>
    </row>
    <row r="474" spans="2:12" x14ac:dyDescent="0.3">
      <c r="B474" t="str">
        <f>IF('SAÍDAS-BASE'!A472="","",'SAÍDAS-BASE'!A472)</f>
        <v/>
      </c>
      <c r="C474" t="str">
        <f>IF('SAÍDAS-BASE'!B472="","",'SAÍDAS-BASE'!B472)</f>
        <v/>
      </c>
      <c r="D474" t="str">
        <f>IF('SAÍDAS-BASE'!C472="","",'SAÍDAS-BASE'!C472)</f>
        <v/>
      </c>
      <c r="E474" s="7" t="str">
        <f>IF('SAÍDAS-BASE'!D472="","",'SAÍDAS-BASE'!D472)</f>
        <v/>
      </c>
      <c r="F474" s="6" t="str">
        <f>IF('SAÍDAS-BASE'!E472="","",'SAÍDAS-BASE'!E472)</f>
        <v/>
      </c>
      <c r="G474" t="str">
        <f>IF('SAÍDAS-BASE'!F472="","",'SAÍDAS-BASE'!F472)</f>
        <v/>
      </c>
      <c r="H474" t="str">
        <f>IF('SAÍDAS-BASE'!G472="","",'SAÍDAS-BASE'!G472)</f>
        <v/>
      </c>
      <c r="I474" t="str">
        <f>IF('SAÍDAS-BASE'!H472="","",'SAÍDAS-BASE'!H472)</f>
        <v/>
      </c>
      <c r="J474" t="str">
        <f>IF('SAÍDAS-BASE'!I472="","",'SAÍDAS-BASE'!I472)</f>
        <v/>
      </c>
      <c r="K474" s="5" t="str">
        <f>IF('SAÍDAS-BASE'!J472="","",'SAÍDAS-BASE'!J472)</f>
        <v/>
      </c>
      <c r="L474" t="str">
        <f>IF(TABELA_SAIDAS[[#This Row],[UF]]="","",IFERROR(IF(VLOOKUP(TABELA_SAIDAS[[#This Row],[VALOR]],TABELA_ENTRADAS[VALOR],1,FALSE),"DEVOLUÇÃO"),"SEM ENTRADAS"))</f>
        <v/>
      </c>
    </row>
    <row r="475" spans="2:12" x14ac:dyDescent="0.3">
      <c r="B475" t="str">
        <f>IF('SAÍDAS-BASE'!A473="","",'SAÍDAS-BASE'!A473)</f>
        <v/>
      </c>
      <c r="C475" t="str">
        <f>IF('SAÍDAS-BASE'!B473="","",'SAÍDAS-BASE'!B473)</f>
        <v/>
      </c>
      <c r="D475" t="str">
        <f>IF('SAÍDAS-BASE'!C473="","",'SAÍDAS-BASE'!C473)</f>
        <v/>
      </c>
      <c r="E475" s="7" t="str">
        <f>IF('SAÍDAS-BASE'!D473="","",'SAÍDAS-BASE'!D473)</f>
        <v/>
      </c>
      <c r="F475" s="6" t="str">
        <f>IF('SAÍDAS-BASE'!E473="","",'SAÍDAS-BASE'!E473)</f>
        <v/>
      </c>
      <c r="G475" t="str">
        <f>IF('SAÍDAS-BASE'!F473="","",'SAÍDAS-BASE'!F473)</f>
        <v/>
      </c>
      <c r="H475" t="str">
        <f>IF('SAÍDAS-BASE'!G473="","",'SAÍDAS-BASE'!G473)</f>
        <v/>
      </c>
      <c r="I475" t="str">
        <f>IF('SAÍDAS-BASE'!H473="","",'SAÍDAS-BASE'!H473)</f>
        <v/>
      </c>
      <c r="J475" t="str">
        <f>IF('SAÍDAS-BASE'!I473="","",'SAÍDAS-BASE'!I473)</f>
        <v/>
      </c>
      <c r="K475" s="5" t="str">
        <f>IF('SAÍDAS-BASE'!J473="","",'SAÍDAS-BASE'!J473)</f>
        <v/>
      </c>
      <c r="L475" t="str">
        <f>IF(TABELA_SAIDAS[[#This Row],[UF]]="","",IFERROR(IF(VLOOKUP(TABELA_SAIDAS[[#This Row],[VALOR]],TABELA_ENTRADAS[VALOR],1,FALSE),"DEVOLUÇÃO"),"SEM ENTRADAS"))</f>
        <v/>
      </c>
    </row>
    <row r="476" spans="2:12" x14ac:dyDescent="0.3">
      <c r="B476" t="str">
        <f>IF('SAÍDAS-BASE'!A474="","",'SAÍDAS-BASE'!A474)</f>
        <v/>
      </c>
      <c r="C476" t="str">
        <f>IF('SAÍDAS-BASE'!B474="","",'SAÍDAS-BASE'!B474)</f>
        <v/>
      </c>
      <c r="D476" t="str">
        <f>IF('SAÍDAS-BASE'!C474="","",'SAÍDAS-BASE'!C474)</f>
        <v/>
      </c>
      <c r="E476" s="7" t="str">
        <f>IF('SAÍDAS-BASE'!D474="","",'SAÍDAS-BASE'!D474)</f>
        <v/>
      </c>
      <c r="F476" s="6" t="str">
        <f>IF('SAÍDAS-BASE'!E474="","",'SAÍDAS-BASE'!E474)</f>
        <v/>
      </c>
      <c r="G476" t="str">
        <f>IF('SAÍDAS-BASE'!F474="","",'SAÍDAS-BASE'!F474)</f>
        <v/>
      </c>
      <c r="H476" t="str">
        <f>IF('SAÍDAS-BASE'!G474="","",'SAÍDAS-BASE'!G474)</f>
        <v/>
      </c>
      <c r="I476" t="str">
        <f>IF('SAÍDAS-BASE'!H474="","",'SAÍDAS-BASE'!H474)</f>
        <v/>
      </c>
      <c r="J476" t="str">
        <f>IF('SAÍDAS-BASE'!I474="","",'SAÍDAS-BASE'!I474)</f>
        <v/>
      </c>
      <c r="K476" s="5" t="str">
        <f>IF('SAÍDAS-BASE'!J474="","",'SAÍDAS-BASE'!J474)</f>
        <v/>
      </c>
      <c r="L476" t="str">
        <f>IF(TABELA_SAIDAS[[#This Row],[UF]]="","",IFERROR(IF(VLOOKUP(TABELA_SAIDAS[[#This Row],[VALOR]],TABELA_ENTRADAS[VALOR],1,FALSE),"DEVOLUÇÃO"),"SEM ENTRADAS"))</f>
        <v/>
      </c>
    </row>
    <row r="477" spans="2:12" x14ac:dyDescent="0.3">
      <c r="B477" t="str">
        <f>IF('SAÍDAS-BASE'!A475="","",'SAÍDAS-BASE'!A475)</f>
        <v/>
      </c>
      <c r="C477" t="str">
        <f>IF('SAÍDAS-BASE'!B475="","",'SAÍDAS-BASE'!B475)</f>
        <v/>
      </c>
      <c r="D477" t="str">
        <f>IF('SAÍDAS-BASE'!C475="","",'SAÍDAS-BASE'!C475)</f>
        <v/>
      </c>
      <c r="E477" s="7" t="str">
        <f>IF('SAÍDAS-BASE'!D475="","",'SAÍDAS-BASE'!D475)</f>
        <v/>
      </c>
      <c r="F477" s="6" t="str">
        <f>IF('SAÍDAS-BASE'!E475="","",'SAÍDAS-BASE'!E475)</f>
        <v/>
      </c>
      <c r="G477" t="str">
        <f>IF('SAÍDAS-BASE'!F475="","",'SAÍDAS-BASE'!F475)</f>
        <v/>
      </c>
      <c r="H477" t="str">
        <f>IF('SAÍDAS-BASE'!G475="","",'SAÍDAS-BASE'!G475)</f>
        <v/>
      </c>
      <c r="I477" t="str">
        <f>IF('SAÍDAS-BASE'!H475="","",'SAÍDAS-BASE'!H475)</f>
        <v/>
      </c>
      <c r="J477" t="str">
        <f>IF('SAÍDAS-BASE'!I475="","",'SAÍDAS-BASE'!I475)</f>
        <v/>
      </c>
      <c r="K477" s="5" t="str">
        <f>IF('SAÍDAS-BASE'!J475="","",'SAÍDAS-BASE'!J475)</f>
        <v/>
      </c>
      <c r="L477" t="str">
        <f>IF(TABELA_SAIDAS[[#This Row],[UF]]="","",IFERROR(IF(VLOOKUP(TABELA_SAIDAS[[#This Row],[VALOR]],TABELA_ENTRADAS[VALOR],1,FALSE),"DEVOLUÇÃO"),"SEM ENTRADAS"))</f>
        <v/>
      </c>
    </row>
    <row r="478" spans="2:12" x14ac:dyDescent="0.3">
      <c r="B478" t="str">
        <f>IF('SAÍDAS-BASE'!A476="","",'SAÍDAS-BASE'!A476)</f>
        <v/>
      </c>
      <c r="C478" t="str">
        <f>IF('SAÍDAS-BASE'!B476="","",'SAÍDAS-BASE'!B476)</f>
        <v/>
      </c>
      <c r="D478" t="str">
        <f>IF('SAÍDAS-BASE'!C476="","",'SAÍDAS-BASE'!C476)</f>
        <v/>
      </c>
      <c r="E478" s="7" t="str">
        <f>IF('SAÍDAS-BASE'!D476="","",'SAÍDAS-BASE'!D476)</f>
        <v/>
      </c>
      <c r="F478" s="6" t="str">
        <f>IF('SAÍDAS-BASE'!E476="","",'SAÍDAS-BASE'!E476)</f>
        <v/>
      </c>
      <c r="G478" t="str">
        <f>IF('SAÍDAS-BASE'!F476="","",'SAÍDAS-BASE'!F476)</f>
        <v/>
      </c>
      <c r="H478" t="str">
        <f>IF('SAÍDAS-BASE'!G476="","",'SAÍDAS-BASE'!G476)</f>
        <v/>
      </c>
      <c r="I478" t="str">
        <f>IF('SAÍDAS-BASE'!H476="","",'SAÍDAS-BASE'!H476)</f>
        <v/>
      </c>
      <c r="J478" t="str">
        <f>IF('SAÍDAS-BASE'!I476="","",'SAÍDAS-BASE'!I476)</f>
        <v/>
      </c>
      <c r="K478" s="5" t="str">
        <f>IF('SAÍDAS-BASE'!J476="","",'SAÍDAS-BASE'!J476)</f>
        <v/>
      </c>
      <c r="L478" t="str">
        <f>IF(TABELA_SAIDAS[[#This Row],[UF]]="","",IFERROR(IF(VLOOKUP(TABELA_SAIDAS[[#This Row],[VALOR]],TABELA_ENTRADAS[VALOR],1,FALSE),"DEVOLUÇÃO"),"SEM ENTRADAS"))</f>
        <v/>
      </c>
    </row>
    <row r="479" spans="2:12" x14ac:dyDescent="0.3">
      <c r="B479" t="str">
        <f>IF('SAÍDAS-BASE'!A477="","",'SAÍDAS-BASE'!A477)</f>
        <v/>
      </c>
      <c r="C479" t="str">
        <f>IF('SAÍDAS-BASE'!B477="","",'SAÍDAS-BASE'!B477)</f>
        <v/>
      </c>
      <c r="D479" t="str">
        <f>IF('SAÍDAS-BASE'!C477="","",'SAÍDAS-BASE'!C477)</f>
        <v/>
      </c>
      <c r="E479" s="7" t="str">
        <f>IF('SAÍDAS-BASE'!D477="","",'SAÍDAS-BASE'!D477)</f>
        <v/>
      </c>
      <c r="F479" s="6" t="str">
        <f>IF('SAÍDAS-BASE'!E477="","",'SAÍDAS-BASE'!E477)</f>
        <v/>
      </c>
      <c r="G479" t="str">
        <f>IF('SAÍDAS-BASE'!F477="","",'SAÍDAS-BASE'!F477)</f>
        <v/>
      </c>
      <c r="H479" t="str">
        <f>IF('SAÍDAS-BASE'!G477="","",'SAÍDAS-BASE'!G477)</f>
        <v/>
      </c>
      <c r="I479" t="str">
        <f>IF('SAÍDAS-BASE'!H477="","",'SAÍDAS-BASE'!H477)</f>
        <v/>
      </c>
      <c r="J479" t="str">
        <f>IF('SAÍDAS-BASE'!I477="","",'SAÍDAS-BASE'!I477)</f>
        <v/>
      </c>
      <c r="K479" s="5" t="str">
        <f>IF('SAÍDAS-BASE'!J477="","",'SAÍDAS-BASE'!J477)</f>
        <v/>
      </c>
      <c r="L479" t="str">
        <f>IF(TABELA_SAIDAS[[#This Row],[UF]]="","",IFERROR(IF(VLOOKUP(TABELA_SAIDAS[[#This Row],[VALOR]],TABELA_ENTRADAS[VALOR],1,FALSE),"DEVOLUÇÃO"),"SEM ENTRADAS"))</f>
        <v/>
      </c>
    </row>
    <row r="480" spans="2:12" x14ac:dyDescent="0.3">
      <c r="B480" t="str">
        <f>IF('SAÍDAS-BASE'!A478="","",'SAÍDAS-BASE'!A478)</f>
        <v/>
      </c>
      <c r="C480" t="str">
        <f>IF('SAÍDAS-BASE'!B478="","",'SAÍDAS-BASE'!B478)</f>
        <v/>
      </c>
      <c r="D480" t="str">
        <f>IF('SAÍDAS-BASE'!C478="","",'SAÍDAS-BASE'!C478)</f>
        <v/>
      </c>
      <c r="E480" s="7" t="str">
        <f>IF('SAÍDAS-BASE'!D478="","",'SAÍDAS-BASE'!D478)</f>
        <v/>
      </c>
      <c r="F480" s="6" t="str">
        <f>IF('SAÍDAS-BASE'!E478="","",'SAÍDAS-BASE'!E478)</f>
        <v/>
      </c>
      <c r="G480" t="str">
        <f>IF('SAÍDAS-BASE'!F478="","",'SAÍDAS-BASE'!F478)</f>
        <v/>
      </c>
      <c r="H480" t="str">
        <f>IF('SAÍDAS-BASE'!G478="","",'SAÍDAS-BASE'!G478)</f>
        <v/>
      </c>
      <c r="I480" t="str">
        <f>IF('SAÍDAS-BASE'!H478="","",'SAÍDAS-BASE'!H478)</f>
        <v/>
      </c>
      <c r="J480" t="str">
        <f>IF('SAÍDAS-BASE'!I478="","",'SAÍDAS-BASE'!I478)</f>
        <v/>
      </c>
      <c r="K480" s="5" t="str">
        <f>IF('SAÍDAS-BASE'!J478="","",'SAÍDAS-BASE'!J478)</f>
        <v/>
      </c>
      <c r="L480" t="str">
        <f>IF(TABELA_SAIDAS[[#This Row],[UF]]="","",IFERROR(IF(VLOOKUP(TABELA_SAIDAS[[#This Row],[VALOR]],TABELA_ENTRADAS[VALOR],1,FALSE),"DEVOLUÇÃO"),"SEM ENTRADAS"))</f>
        <v/>
      </c>
    </row>
    <row r="481" spans="2:12" x14ac:dyDescent="0.3">
      <c r="B481" t="str">
        <f>IF('SAÍDAS-BASE'!A479="","",'SAÍDAS-BASE'!A479)</f>
        <v/>
      </c>
      <c r="C481" t="str">
        <f>IF('SAÍDAS-BASE'!B479="","",'SAÍDAS-BASE'!B479)</f>
        <v/>
      </c>
      <c r="D481" t="str">
        <f>IF('SAÍDAS-BASE'!C479="","",'SAÍDAS-BASE'!C479)</f>
        <v/>
      </c>
      <c r="E481" s="7" t="str">
        <f>IF('SAÍDAS-BASE'!D479="","",'SAÍDAS-BASE'!D479)</f>
        <v/>
      </c>
      <c r="F481" s="6" t="str">
        <f>IF('SAÍDAS-BASE'!E479="","",'SAÍDAS-BASE'!E479)</f>
        <v/>
      </c>
      <c r="G481" t="str">
        <f>IF('SAÍDAS-BASE'!F479="","",'SAÍDAS-BASE'!F479)</f>
        <v/>
      </c>
      <c r="H481" t="str">
        <f>IF('SAÍDAS-BASE'!G479="","",'SAÍDAS-BASE'!G479)</f>
        <v/>
      </c>
      <c r="I481" t="str">
        <f>IF('SAÍDAS-BASE'!H479="","",'SAÍDAS-BASE'!H479)</f>
        <v/>
      </c>
      <c r="J481" t="str">
        <f>IF('SAÍDAS-BASE'!I479="","",'SAÍDAS-BASE'!I479)</f>
        <v/>
      </c>
      <c r="K481" s="5" t="str">
        <f>IF('SAÍDAS-BASE'!J479="","",'SAÍDAS-BASE'!J479)</f>
        <v/>
      </c>
      <c r="L481" t="str">
        <f>IF(TABELA_SAIDAS[[#This Row],[UF]]="","",IFERROR(IF(VLOOKUP(TABELA_SAIDAS[[#This Row],[VALOR]],TABELA_ENTRADAS[VALOR],1,FALSE),"DEVOLUÇÃO"),"SEM ENTRADAS"))</f>
        <v/>
      </c>
    </row>
    <row r="482" spans="2:12" x14ac:dyDescent="0.3">
      <c r="B482" t="str">
        <f>IF('SAÍDAS-BASE'!A480="","",'SAÍDAS-BASE'!A480)</f>
        <v/>
      </c>
      <c r="C482" t="str">
        <f>IF('SAÍDAS-BASE'!B480="","",'SAÍDAS-BASE'!B480)</f>
        <v/>
      </c>
      <c r="D482" t="str">
        <f>IF('SAÍDAS-BASE'!C480="","",'SAÍDAS-BASE'!C480)</f>
        <v/>
      </c>
      <c r="E482" s="7" t="str">
        <f>IF('SAÍDAS-BASE'!D480="","",'SAÍDAS-BASE'!D480)</f>
        <v/>
      </c>
      <c r="F482" s="6" t="str">
        <f>IF('SAÍDAS-BASE'!E480="","",'SAÍDAS-BASE'!E480)</f>
        <v/>
      </c>
      <c r="G482" t="str">
        <f>IF('SAÍDAS-BASE'!F480="","",'SAÍDAS-BASE'!F480)</f>
        <v/>
      </c>
      <c r="H482" t="str">
        <f>IF('SAÍDAS-BASE'!G480="","",'SAÍDAS-BASE'!G480)</f>
        <v/>
      </c>
      <c r="I482" t="str">
        <f>IF('SAÍDAS-BASE'!H480="","",'SAÍDAS-BASE'!H480)</f>
        <v/>
      </c>
      <c r="J482" t="str">
        <f>IF('SAÍDAS-BASE'!I480="","",'SAÍDAS-BASE'!I480)</f>
        <v/>
      </c>
      <c r="K482" s="5" t="str">
        <f>IF('SAÍDAS-BASE'!J480="","",'SAÍDAS-BASE'!J480)</f>
        <v/>
      </c>
      <c r="L482" t="str">
        <f>IF(TABELA_SAIDAS[[#This Row],[UF]]="","",IFERROR(IF(VLOOKUP(TABELA_SAIDAS[[#This Row],[VALOR]],TABELA_ENTRADAS[VALOR],1,FALSE),"DEVOLUÇÃO"),"SEM ENTRADAS"))</f>
        <v/>
      </c>
    </row>
    <row r="483" spans="2:12" x14ac:dyDescent="0.3">
      <c r="B483" t="str">
        <f>IF('SAÍDAS-BASE'!A481="","",'SAÍDAS-BASE'!A481)</f>
        <v/>
      </c>
      <c r="C483" t="str">
        <f>IF('SAÍDAS-BASE'!B481="","",'SAÍDAS-BASE'!B481)</f>
        <v/>
      </c>
      <c r="D483" t="str">
        <f>IF('SAÍDAS-BASE'!C481="","",'SAÍDAS-BASE'!C481)</f>
        <v/>
      </c>
      <c r="E483" s="7" t="str">
        <f>IF('SAÍDAS-BASE'!D481="","",'SAÍDAS-BASE'!D481)</f>
        <v/>
      </c>
      <c r="F483" s="6" t="str">
        <f>IF('SAÍDAS-BASE'!E481="","",'SAÍDAS-BASE'!E481)</f>
        <v/>
      </c>
      <c r="G483" t="str">
        <f>IF('SAÍDAS-BASE'!F481="","",'SAÍDAS-BASE'!F481)</f>
        <v/>
      </c>
      <c r="H483" t="str">
        <f>IF('SAÍDAS-BASE'!G481="","",'SAÍDAS-BASE'!G481)</f>
        <v/>
      </c>
      <c r="I483" t="str">
        <f>IF('SAÍDAS-BASE'!H481="","",'SAÍDAS-BASE'!H481)</f>
        <v/>
      </c>
      <c r="J483" t="str">
        <f>IF('SAÍDAS-BASE'!I481="","",'SAÍDAS-BASE'!I481)</f>
        <v/>
      </c>
      <c r="K483" s="5" t="str">
        <f>IF('SAÍDAS-BASE'!J481="","",'SAÍDAS-BASE'!J481)</f>
        <v/>
      </c>
      <c r="L483" t="str">
        <f>IF(TABELA_SAIDAS[[#This Row],[UF]]="","",IFERROR(IF(VLOOKUP(TABELA_SAIDAS[[#This Row],[VALOR]],TABELA_ENTRADAS[VALOR],1,FALSE),"DEVOLUÇÃO"),"SEM ENTRADAS"))</f>
        <v/>
      </c>
    </row>
    <row r="484" spans="2:12" x14ac:dyDescent="0.3">
      <c r="B484" t="str">
        <f>IF('SAÍDAS-BASE'!A482="","",'SAÍDAS-BASE'!A482)</f>
        <v/>
      </c>
      <c r="C484" t="str">
        <f>IF('SAÍDAS-BASE'!B482="","",'SAÍDAS-BASE'!B482)</f>
        <v/>
      </c>
      <c r="D484" t="str">
        <f>IF('SAÍDAS-BASE'!C482="","",'SAÍDAS-BASE'!C482)</f>
        <v/>
      </c>
      <c r="E484" s="7" t="str">
        <f>IF('SAÍDAS-BASE'!D482="","",'SAÍDAS-BASE'!D482)</f>
        <v/>
      </c>
      <c r="F484" s="6" t="str">
        <f>IF('SAÍDAS-BASE'!E482="","",'SAÍDAS-BASE'!E482)</f>
        <v/>
      </c>
      <c r="G484" t="str">
        <f>IF('SAÍDAS-BASE'!F482="","",'SAÍDAS-BASE'!F482)</f>
        <v/>
      </c>
      <c r="H484" t="str">
        <f>IF('SAÍDAS-BASE'!G482="","",'SAÍDAS-BASE'!G482)</f>
        <v/>
      </c>
      <c r="I484" t="str">
        <f>IF('SAÍDAS-BASE'!H482="","",'SAÍDAS-BASE'!H482)</f>
        <v/>
      </c>
      <c r="J484" t="str">
        <f>IF('SAÍDAS-BASE'!I482="","",'SAÍDAS-BASE'!I482)</f>
        <v/>
      </c>
      <c r="K484" s="5" t="str">
        <f>IF('SAÍDAS-BASE'!J482="","",'SAÍDAS-BASE'!J482)</f>
        <v/>
      </c>
      <c r="L484" t="str">
        <f>IF(TABELA_SAIDAS[[#This Row],[UF]]="","",IFERROR(IF(VLOOKUP(TABELA_SAIDAS[[#This Row],[VALOR]],TABELA_ENTRADAS[VALOR],1,FALSE),"DEVOLUÇÃO"),"SEM ENTRADAS"))</f>
        <v/>
      </c>
    </row>
    <row r="485" spans="2:12" x14ac:dyDescent="0.3">
      <c r="B485" t="str">
        <f>IF('SAÍDAS-BASE'!A483="","",'SAÍDAS-BASE'!A483)</f>
        <v/>
      </c>
      <c r="C485" t="str">
        <f>IF('SAÍDAS-BASE'!B483="","",'SAÍDAS-BASE'!B483)</f>
        <v/>
      </c>
      <c r="D485" t="str">
        <f>IF('SAÍDAS-BASE'!C483="","",'SAÍDAS-BASE'!C483)</f>
        <v/>
      </c>
      <c r="E485" s="7" t="str">
        <f>IF('SAÍDAS-BASE'!D483="","",'SAÍDAS-BASE'!D483)</f>
        <v/>
      </c>
      <c r="F485" s="6" t="str">
        <f>IF('SAÍDAS-BASE'!E483="","",'SAÍDAS-BASE'!E483)</f>
        <v/>
      </c>
      <c r="G485" t="str">
        <f>IF('SAÍDAS-BASE'!F483="","",'SAÍDAS-BASE'!F483)</f>
        <v/>
      </c>
      <c r="H485" t="str">
        <f>IF('SAÍDAS-BASE'!G483="","",'SAÍDAS-BASE'!G483)</f>
        <v/>
      </c>
      <c r="I485" t="str">
        <f>IF('SAÍDAS-BASE'!H483="","",'SAÍDAS-BASE'!H483)</f>
        <v/>
      </c>
      <c r="J485" t="str">
        <f>IF('SAÍDAS-BASE'!I483="","",'SAÍDAS-BASE'!I483)</f>
        <v/>
      </c>
      <c r="K485" s="5" t="str">
        <f>IF('SAÍDAS-BASE'!J483="","",'SAÍDAS-BASE'!J483)</f>
        <v/>
      </c>
      <c r="L485" t="str">
        <f>IF(TABELA_SAIDAS[[#This Row],[UF]]="","",IFERROR(IF(VLOOKUP(TABELA_SAIDAS[[#This Row],[VALOR]],TABELA_ENTRADAS[VALOR],1,FALSE),"DEVOLUÇÃO"),"SEM ENTRADAS"))</f>
        <v/>
      </c>
    </row>
    <row r="486" spans="2:12" x14ac:dyDescent="0.3">
      <c r="B486" t="str">
        <f>IF('SAÍDAS-BASE'!A484="","",'SAÍDAS-BASE'!A484)</f>
        <v/>
      </c>
      <c r="C486" t="str">
        <f>IF('SAÍDAS-BASE'!B484="","",'SAÍDAS-BASE'!B484)</f>
        <v/>
      </c>
      <c r="D486" t="str">
        <f>IF('SAÍDAS-BASE'!C484="","",'SAÍDAS-BASE'!C484)</f>
        <v/>
      </c>
      <c r="E486" s="7" t="str">
        <f>IF('SAÍDAS-BASE'!D484="","",'SAÍDAS-BASE'!D484)</f>
        <v/>
      </c>
      <c r="F486" s="6" t="str">
        <f>IF('SAÍDAS-BASE'!E484="","",'SAÍDAS-BASE'!E484)</f>
        <v/>
      </c>
      <c r="G486" t="str">
        <f>IF('SAÍDAS-BASE'!F484="","",'SAÍDAS-BASE'!F484)</f>
        <v/>
      </c>
      <c r="H486" t="str">
        <f>IF('SAÍDAS-BASE'!G484="","",'SAÍDAS-BASE'!G484)</f>
        <v/>
      </c>
      <c r="I486" t="str">
        <f>IF('SAÍDAS-BASE'!H484="","",'SAÍDAS-BASE'!H484)</f>
        <v/>
      </c>
      <c r="J486" t="str">
        <f>IF('SAÍDAS-BASE'!I484="","",'SAÍDAS-BASE'!I484)</f>
        <v/>
      </c>
      <c r="K486" s="5" t="str">
        <f>IF('SAÍDAS-BASE'!J484="","",'SAÍDAS-BASE'!J484)</f>
        <v/>
      </c>
      <c r="L486" t="str">
        <f>IF(TABELA_SAIDAS[[#This Row],[UF]]="","",IFERROR(IF(VLOOKUP(TABELA_SAIDAS[[#This Row],[VALOR]],TABELA_ENTRADAS[VALOR],1,FALSE),"DEVOLUÇÃO"),"SEM ENTRADAS"))</f>
        <v/>
      </c>
    </row>
    <row r="487" spans="2:12" x14ac:dyDescent="0.3">
      <c r="B487" t="str">
        <f>IF('SAÍDAS-BASE'!A485="","",'SAÍDAS-BASE'!A485)</f>
        <v/>
      </c>
      <c r="C487" t="str">
        <f>IF('SAÍDAS-BASE'!B485="","",'SAÍDAS-BASE'!B485)</f>
        <v/>
      </c>
      <c r="D487" t="str">
        <f>IF('SAÍDAS-BASE'!C485="","",'SAÍDAS-BASE'!C485)</f>
        <v/>
      </c>
      <c r="E487" s="7" t="str">
        <f>IF('SAÍDAS-BASE'!D485="","",'SAÍDAS-BASE'!D485)</f>
        <v/>
      </c>
      <c r="F487" s="6" t="str">
        <f>IF('SAÍDAS-BASE'!E485="","",'SAÍDAS-BASE'!E485)</f>
        <v/>
      </c>
      <c r="G487" t="str">
        <f>IF('SAÍDAS-BASE'!F485="","",'SAÍDAS-BASE'!F485)</f>
        <v/>
      </c>
      <c r="H487" t="str">
        <f>IF('SAÍDAS-BASE'!G485="","",'SAÍDAS-BASE'!G485)</f>
        <v/>
      </c>
      <c r="I487" t="str">
        <f>IF('SAÍDAS-BASE'!H485="","",'SAÍDAS-BASE'!H485)</f>
        <v/>
      </c>
      <c r="J487" t="str">
        <f>IF('SAÍDAS-BASE'!I485="","",'SAÍDAS-BASE'!I485)</f>
        <v/>
      </c>
      <c r="K487" s="5" t="str">
        <f>IF('SAÍDAS-BASE'!J485="","",'SAÍDAS-BASE'!J485)</f>
        <v/>
      </c>
      <c r="L487" t="str">
        <f>IF(TABELA_SAIDAS[[#This Row],[UF]]="","",IFERROR(IF(VLOOKUP(TABELA_SAIDAS[[#This Row],[VALOR]],TABELA_ENTRADAS[VALOR],1,FALSE),"DEVOLUÇÃO"),"SEM ENTRADAS"))</f>
        <v/>
      </c>
    </row>
    <row r="488" spans="2:12" x14ac:dyDescent="0.3">
      <c r="B488" t="str">
        <f>IF('SAÍDAS-BASE'!A486="","",'SAÍDAS-BASE'!A486)</f>
        <v/>
      </c>
      <c r="C488" t="str">
        <f>IF('SAÍDAS-BASE'!B486="","",'SAÍDAS-BASE'!B486)</f>
        <v/>
      </c>
      <c r="D488" t="str">
        <f>IF('SAÍDAS-BASE'!C486="","",'SAÍDAS-BASE'!C486)</f>
        <v/>
      </c>
      <c r="E488" s="7" t="str">
        <f>IF('SAÍDAS-BASE'!D486="","",'SAÍDAS-BASE'!D486)</f>
        <v/>
      </c>
      <c r="F488" s="6" t="str">
        <f>IF('SAÍDAS-BASE'!E486="","",'SAÍDAS-BASE'!E486)</f>
        <v/>
      </c>
      <c r="G488" t="str">
        <f>IF('SAÍDAS-BASE'!F486="","",'SAÍDAS-BASE'!F486)</f>
        <v/>
      </c>
      <c r="H488" t="str">
        <f>IF('SAÍDAS-BASE'!G486="","",'SAÍDAS-BASE'!G486)</f>
        <v/>
      </c>
      <c r="I488" t="str">
        <f>IF('SAÍDAS-BASE'!H486="","",'SAÍDAS-BASE'!H486)</f>
        <v/>
      </c>
      <c r="J488" t="str">
        <f>IF('SAÍDAS-BASE'!I486="","",'SAÍDAS-BASE'!I486)</f>
        <v/>
      </c>
      <c r="K488" s="5" t="str">
        <f>IF('SAÍDAS-BASE'!J486="","",'SAÍDAS-BASE'!J486)</f>
        <v/>
      </c>
      <c r="L488" t="str">
        <f>IF(TABELA_SAIDAS[[#This Row],[UF]]="","",IFERROR(IF(VLOOKUP(TABELA_SAIDAS[[#This Row],[VALOR]],TABELA_ENTRADAS[VALOR],1,FALSE),"DEVOLUÇÃO"),"SEM ENTRADAS"))</f>
        <v/>
      </c>
    </row>
    <row r="489" spans="2:12" x14ac:dyDescent="0.3">
      <c r="B489" t="str">
        <f>IF('SAÍDAS-BASE'!A487="","",'SAÍDAS-BASE'!A487)</f>
        <v/>
      </c>
      <c r="C489" t="str">
        <f>IF('SAÍDAS-BASE'!B487="","",'SAÍDAS-BASE'!B487)</f>
        <v/>
      </c>
      <c r="D489" t="str">
        <f>IF('SAÍDAS-BASE'!C487="","",'SAÍDAS-BASE'!C487)</f>
        <v/>
      </c>
      <c r="E489" s="7" t="str">
        <f>IF('SAÍDAS-BASE'!D487="","",'SAÍDAS-BASE'!D487)</f>
        <v/>
      </c>
      <c r="F489" s="6" t="str">
        <f>IF('SAÍDAS-BASE'!E487="","",'SAÍDAS-BASE'!E487)</f>
        <v/>
      </c>
      <c r="G489" t="str">
        <f>IF('SAÍDAS-BASE'!F487="","",'SAÍDAS-BASE'!F487)</f>
        <v/>
      </c>
      <c r="H489" t="str">
        <f>IF('SAÍDAS-BASE'!G487="","",'SAÍDAS-BASE'!G487)</f>
        <v/>
      </c>
      <c r="I489" t="str">
        <f>IF('SAÍDAS-BASE'!H487="","",'SAÍDAS-BASE'!H487)</f>
        <v/>
      </c>
      <c r="J489" t="str">
        <f>IF('SAÍDAS-BASE'!I487="","",'SAÍDAS-BASE'!I487)</f>
        <v/>
      </c>
      <c r="K489" s="5" t="str">
        <f>IF('SAÍDAS-BASE'!J487="","",'SAÍDAS-BASE'!J487)</f>
        <v/>
      </c>
      <c r="L489" t="str">
        <f>IF(TABELA_SAIDAS[[#This Row],[UF]]="","",IFERROR(IF(VLOOKUP(TABELA_SAIDAS[[#This Row],[VALOR]],TABELA_ENTRADAS[VALOR],1,FALSE),"DEVOLUÇÃO"),"SEM ENTRADAS"))</f>
        <v/>
      </c>
    </row>
    <row r="490" spans="2:12" x14ac:dyDescent="0.3">
      <c r="B490" t="str">
        <f>IF('SAÍDAS-BASE'!A488="","",'SAÍDAS-BASE'!A488)</f>
        <v/>
      </c>
      <c r="C490" t="str">
        <f>IF('SAÍDAS-BASE'!B488="","",'SAÍDAS-BASE'!B488)</f>
        <v/>
      </c>
      <c r="D490" t="str">
        <f>IF('SAÍDAS-BASE'!C488="","",'SAÍDAS-BASE'!C488)</f>
        <v/>
      </c>
      <c r="E490" s="7" t="str">
        <f>IF('SAÍDAS-BASE'!D488="","",'SAÍDAS-BASE'!D488)</f>
        <v/>
      </c>
      <c r="F490" s="6" t="str">
        <f>IF('SAÍDAS-BASE'!E488="","",'SAÍDAS-BASE'!E488)</f>
        <v/>
      </c>
      <c r="G490" t="str">
        <f>IF('SAÍDAS-BASE'!F488="","",'SAÍDAS-BASE'!F488)</f>
        <v/>
      </c>
      <c r="H490" t="str">
        <f>IF('SAÍDAS-BASE'!G488="","",'SAÍDAS-BASE'!G488)</f>
        <v/>
      </c>
      <c r="I490" t="str">
        <f>IF('SAÍDAS-BASE'!H488="","",'SAÍDAS-BASE'!H488)</f>
        <v/>
      </c>
      <c r="J490" t="str">
        <f>IF('SAÍDAS-BASE'!I488="","",'SAÍDAS-BASE'!I488)</f>
        <v/>
      </c>
      <c r="K490" s="5" t="str">
        <f>IF('SAÍDAS-BASE'!J488="","",'SAÍDAS-BASE'!J488)</f>
        <v/>
      </c>
      <c r="L490" t="str">
        <f>IF(TABELA_SAIDAS[[#This Row],[UF]]="","",IFERROR(IF(VLOOKUP(TABELA_SAIDAS[[#This Row],[VALOR]],TABELA_ENTRADAS[VALOR],1,FALSE),"DEVOLUÇÃO"),"SEM ENTRADAS"))</f>
        <v/>
      </c>
    </row>
    <row r="491" spans="2:12" x14ac:dyDescent="0.3">
      <c r="B491" t="str">
        <f>IF('SAÍDAS-BASE'!A489="","",'SAÍDAS-BASE'!A489)</f>
        <v/>
      </c>
      <c r="C491" t="str">
        <f>IF('SAÍDAS-BASE'!B489="","",'SAÍDAS-BASE'!B489)</f>
        <v/>
      </c>
      <c r="D491" t="str">
        <f>IF('SAÍDAS-BASE'!C489="","",'SAÍDAS-BASE'!C489)</f>
        <v/>
      </c>
      <c r="E491" s="7" t="str">
        <f>IF('SAÍDAS-BASE'!D489="","",'SAÍDAS-BASE'!D489)</f>
        <v/>
      </c>
      <c r="F491" s="6" t="str">
        <f>IF('SAÍDAS-BASE'!E489="","",'SAÍDAS-BASE'!E489)</f>
        <v/>
      </c>
      <c r="G491" t="str">
        <f>IF('SAÍDAS-BASE'!F489="","",'SAÍDAS-BASE'!F489)</f>
        <v/>
      </c>
      <c r="H491" t="str">
        <f>IF('SAÍDAS-BASE'!G489="","",'SAÍDAS-BASE'!G489)</f>
        <v/>
      </c>
      <c r="I491" t="str">
        <f>IF('SAÍDAS-BASE'!H489="","",'SAÍDAS-BASE'!H489)</f>
        <v/>
      </c>
      <c r="J491" t="str">
        <f>IF('SAÍDAS-BASE'!I489="","",'SAÍDAS-BASE'!I489)</f>
        <v/>
      </c>
      <c r="K491" s="5" t="str">
        <f>IF('SAÍDAS-BASE'!J489="","",'SAÍDAS-BASE'!J489)</f>
        <v/>
      </c>
      <c r="L491" t="str">
        <f>IF(TABELA_SAIDAS[[#This Row],[UF]]="","",IFERROR(IF(VLOOKUP(TABELA_SAIDAS[[#This Row],[VALOR]],TABELA_ENTRADAS[VALOR],1,FALSE),"DEVOLUÇÃO"),"SEM ENTRADAS"))</f>
        <v/>
      </c>
    </row>
    <row r="492" spans="2:12" x14ac:dyDescent="0.3">
      <c r="B492" t="str">
        <f>IF('SAÍDAS-BASE'!A490="","",'SAÍDAS-BASE'!A490)</f>
        <v/>
      </c>
      <c r="C492" t="str">
        <f>IF('SAÍDAS-BASE'!B490="","",'SAÍDAS-BASE'!B490)</f>
        <v/>
      </c>
      <c r="D492" t="str">
        <f>IF('SAÍDAS-BASE'!C490="","",'SAÍDAS-BASE'!C490)</f>
        <v/>
      </c>
      <c r="E492" s="7" t="str">
        <f>IF('SAÍDAS-BASE'!D490="","",'SAÍDAS-BASE'!D490)</f>
        <v/>
      </c>
      <c r="F492" s="6" t="str">
        <f>IF('SAÍDAS-BASE'!E490="","",'SAÍDAS-BASE'!E490)</f>
        <v/>
      </c>
      <c r="G492" t="str">
        <f>IF('SAÍDAS-BASE'!F490="","",'SAÍDAS-BASE'!F490)</f>
        <v/>
      </c>
      <c r="H492" t="str">
        <f>IF('SAÍDAS-BASE'!G490="","",'SAÍDAS-BASE'!G490)</f>
        <v/>
      </c>
      <c r="I492" t="str">
        <f>IF('SAÍDAS-BASE'!H490="","",'SAÍDAS-BASE'!H490)</f>
        <v/>
      </c>
      <c r="J492" t="str">
        <f>IF('SAÍDAS-BASE'!I490="","",'SAÍDAS-BASE'!I490)</f>
        <v/>
      </c>
      <c r="K492" s="5" t="str">
        <f>IF('SAÍDAS-BASE'!J490="","",'SAÍDAS-BASE'!J490)</f>
        <v/>
      </c>
      <c r="L492" t="str">
        <f>IF(TABELA_SAIDAS[[#This Row],[UF]]="","",IFERROR(IF(VLOOKUP(TABELA_SAIDAS[[#This Row],[VALOR]],TABELA_ENTRADAS[VALOR],1,FALSE),"DEVOLUÇÃO"),"SEM ENTRADAS"))</f>
        <v/>
      </c>
    </row>
    <row r="493" spans="2:12" x14ac:dyDescent="0.3">
      <c r="B493" t="str">
        <f>IF('SAÍDAS-BASE'!A491="","",'SAÍDAS-BASE'!A491)</f>
        <v/>
      </c>
      <c r="C493" t="str">
        <f>IF('SAÍDAS-BASE'!B491="","",'SAÍDAS-BASE'!B491)</f>
        <v/>
      </c>
      <c r="D493" t="str">
        <f>IF('SAÍDAS-BASE'!C491="","",'SAÍDAS-BASE'!C491)</f>
        <v/>
      </c>
      <c r="E493" s="7" t="str">
        <f>IF('SAÍDAS-BASE'!D491="","",'SAÍDAS-BASE'!D491)</f>
        <v/>
      </c>
      <c r="F493" s="6" t="str">
        <f>IF('SAÍDAS-BASE'!E491="","",'SAÍDAS-BASE'!E491)</f>
        <v/>
      </c>
      <c r="G493" t="str">
        <f>IF('SAÍDAS-BASE'!F491="","",'SAÍDAS-BASE'!F491)</f>
        <v/>
      </c>
      <c r="H493" t="str">
        <f>IF('SAÍDAS-BASE'!G491="","",'SAÍDAS-BASE'!G491)</f>
        <v/>
      </c>
      <c r="I493" t="str">
        <f>IF('SAÍDAS-BASE'!H491="","",'SAÍDAS-BASE'!H491)</f>
        <v/>
      </c>
      <c r="J493" t="str">
        <f>IF('SAÍDAS-BASE'!I491="","",'SAÍDAS-BASE'!I491)</f>
        <v/>
      </c>
      <c r="K493" s="5" t="str">
        <f>IF('SAÍDAS-BASE'!J491="","",'SAÍDAS-BASE'!J491)</f>
        <v/>
      </c>
      <c r="L493" t="str">
        <f>IF(TABELA_SAIDAS[[#This Row],[UF]]="","",IFERROR(IF(VLOOKUP(TABELA_SAIDAS[[#This Row],[VALOR]],TABELA_ENTRADAS[VALOR],1,FALSE),"DEVOLUÇÃO"),"SEM ENTRADAS"))</f>
        <v/>
      </c>
    </row>
    <row r="494" spans="2:12" x14ac:dyDescent="0.3">
      <c r="B494" t="str">
        <f>IF('SAÍDAS-BASE'!A492="","",'SAÍDAS-BASE'!A492)</f>
        <v/>
      </c>
      <c r="C494" t="str">
        <f>IF('SAÍDAS-BASE'!B492="","",'SAÍDAS-BASE'!B492)</f>
        <v/>
      </c>
      <c r="D494" t="str">
        <f>IF('SAÍDAS-BASE'!C492="","",'SAÍDAS-BASE'!C492)</f>
        <v/>
      </c>
      <c r="E494" s="7" t="str">
        <f>IF('SAÍDAS-BASE'!D492="","",'SAÍDAS-BASE'!D492)</f>
        <v/>
      </c>
      <c r="F494" s="6" t="str">
        <f>IF('SAÍDAS-BASE'!E492="","",'SAÍDAS-BASE'!E492)</f>
        <v/>
      </c>
      <c r="G494" t="str">
        <f>IF('SAÍDAS-BASE'!F492="","",'SAÍDAS-BASE'!F492)</f>
        <v/>
      </c>
      <c r="H494" t="str">
        <f>IF('SAÍDAS-BASE'!G492="","",'SAÍDAS-BASE'!G492)</f>
        <v/>
      </c>
      <c r="I494" t="str">
        <f>IF('SAÍDAS-BASE'!H492="","",'SAÍDAS-BASE'!H492)</f>
        <v/>
      </c>
      <c r="J494" t="str">
        <f>IF('SAÍDAS-BASE'!I492="","",'SAÍDAS-BASE'!I492)</f>
        <v/>
      </c>
      <c r="K494" s="5" t="str">
        <f>IF('SAÍDAS-BASE'!J492="","",'SAÍDAS-BASE'!J492)</f>
        <v/>
      </c>
      <c r="L494" t="str">
        <f>IF(TABELA_SAIDAS[[#This Row],[UF]]="","",IFERROR(IF(VLOOKUP(TABELA_SAIDAS[[#This Row],[VALOR]],TABELA_ENTRADAS[VALOR],1,FALSE),"DEVOLUÇÃO"),"SEM ENTRADAS"))</f>
        <v/>
      </c>
    </row>
    <row r="495" spans="2:12" x14ac:dyDescent="0.3">
      <c r="B495" t="str">
        <f>IF('SAÍDAS-BASE'!A493="","",'SAÍDAS-BASE'!A493)</f>
        <v/>
      </c>
      <c r="C495" t="str">
        <f>IF('SAÍDAS-BASE'!B493="","",'SAÍDAS-BASE'!B493)</f>
        <v/>
      </c>
      <c r="D495" t="str">
        <f>IF('SAÍDAS-BASE'!C493="","",'SAÍDAS-BASE'!C493)</f>
        <v/>
      </c>
      <c r="E495" s="7" t="str">
        <f>IF('SAÍDAS-BASE'!D493="","",'SAÍDAS-BASE'!D493)</f>
        <v/>
      </c>
      <c r="F495" s="6" t="str">
        <f>IF('SAÍDAS-BASE'!E493="","",'SAÍDAS-BASE'!E493)</f>
        <v/>
      </c>
      <c r="G495" t="str">
        <f>IF('SAÍDAS-BASE'!F493="","",'SAÍDAS-BASE'!F493)</f>
        <v/>
      </c>
      <c r="H495" t="str">
        <f>IF('SAÍDAS-BASE'!G493="","",'SAÍDAS-BASE'!G493)</f>
        <v/>
      </c>
      <c r="I495" t="str">
        <f>IF('SAÍDAS-BASE'!H493="","",'SAÍDAS-BASE'!H493)</f>
        <v/>
      </c>
      <c r="J495" t="str">
        <f>IF('SAÍDAS-BASE'!I493="","",'SAÍDAS-BASE'!I493)</f>
        <v/>
      </c>
      <c r="K495" s="5" t="str">
        <f>IF('SAÍDAS-BASE'!J493="","",'SAÍDAS-BASE'!J493)</f>
        <v/>
      </c>
      <c r="L495" t="str">
        <f>IF(TABELA_SAIDAS[[#This Row],[UF]]="","",IFERROR(IF(VLOOKUP(TABELA_SAIDAS[[#This Row],[VALOR]],TABELA_ENTRADAS[VALOR],1,FALSE),"DEVOLUÇÃO"),"SEM ENTRADAS"))</f>
        <v/>
      </c>
    </row>
    <row r="496" spans="2:12" x14ac:dyDescent="0.3">
      <c r="B496" t="str">
        <f>IF('SAÍDAS-BASE'!A494="","",'SAÍDAS-BASE'!A494)</f>
        <v/>
      </c>
      <c r="C496" t="str">
        <f>IF('SAÍDAS-BASE'!B494="","",'SAÍDAS-BASE'!B494)</f>
        <v/>
      </c>
      <c r="D496" t="str">
        <f>IF('SAÍDAS-BASE'!C494="","",'SAÍDAS-BASE'!C494)</f>
        <v/>
      </c>
      <c r="E496" s="7" t="str">
        <f>IF('SAÍDAS-BASE'!D494="","",'SAÍDAS-BASE'!D494)</f>
        <v/>
      </c>
      <c r="F496" s="6" t="str">
        <f>IF('SAÍDAS-BASE'!E494="","",'SAÍDAS-BASE'!E494)</f>
        <v/>
      </c>
      <c r="G496" t="str">
        <f>IF('SAÍDAS-BASE'!F494="","",'SAÍDAS-BASE'!F494)</f>
        <v/>
      </c>
      <c r="H496" t="str">
        <f>IF('SAÍDAS-BASE'!G494="","",'SAÍDAS-BASE'!G494)</f>
        <v/>
      </c>
      <c r="I496" t="str">
        <f>IF('SAÍDAS-BASE'!H494="","",'SAÍDAS-BASE'!H494)</f>
        <v/>
      </c>
      <c r="J496" t="str">
        <f>IF('SAÍDAS-BASE'!I494="","",'SAÍDAS-BASE'!I494)</f>
        <v/>
      </c>
      <c r="K496" s="5" t="str">
        <f>IF('SAÍDAS-BASE'!J494="","",'SAÍDAS-BASE'!J494)</f>
        <v/>
      </c>
      <c r="L496" t="str">
        <f>IF(TABELA_SAIDAS[[#This Row],[UF]]="","",IFERROR(IF(VLOOKUP(TABELA_SAIDAS[[#This Row],[VALOR]],TABELA_ENTRADAS[VALOR],1,FALSE),"DEVOLUÇÃO"),"SEM ENTRADAS"))</f>
        <v/>
      </c>
    </row>
    <row r="497" spans="2:12" x14ac:dyDescent="0.3">
      <c r="B497" t="str">
        <f>IF('SAÍDAS-BASE'!A495="","",'SAÍDAS-BASE'!A495)</f>
        <v/>
      </c>
      <c r="C497" t="str">
        <f>IF('SAÍDAS-BASE'!B495="","",'SAÍDAS-BASE'!B495)</f>
        <v/>
      </c>
      <c r="D497" t="str">
        <f>IF('SAÍDAS-BASE'!C495="","",'SAÍDAS-BASE'!C495)</f>
        <v/>
      </c>
      <c r="E497" s="7" t="str">
        <f>IF('SAÍDAS-BASE'!D495="","",'SAÍDAS-BASE'!D495)</f>
        <v/>
      </c>
      <c r="F497" s="6" t="str">
        <f>IF('SAÍDAS-BASE'!E495="","",'SAÍDAS-BASE'!E495)</f>
        <v/>
      </c>
      <c r="G497" t="str">
        <f>IF('SAÍDAS-BASE'!F495="","",'SAÍDAS-BASE'!F495)</f>
        <v/>
      </c>
      <c r="H497" t="str">
        <f>IF('SAÍDAS-BASE'!G495="","",'SAÍDAS-BASE'!G495)</f>
        <v/>
      </c>
      <c r="I497" t="str">
        <f>IF('SAÍDAS-BASE'!H495="","",'SAÍDAS-BASE'!H495)</f>
        <v/>
      </c>
      <c r="J497" t="str">
        <f>IF('SAÍDAS-BASE'!I495="","",'SAÍDAS-BASE'!I495)</f>
        <v/>
      </c>
      <c r="K497" s="5" t="str">
        <f>IF('SAÍDAS-BASE'!J495="","",'SAÍDAS-BASE'!J495)</f>
        <v/>
      </c>
      <c r="L497" t="str">
        <f>IF(TABELA_SAIDAS[[#This Row],[UF]]="","",IFERROR(IF(VLOOKUP(TABELA_SAIDAS[[#This Row],[VALOR]],TABELA_ENTRADAS[VALOR],1,FALSE),"DEVOLUÇÃO"),"SEM ENTRADAS"))</f>
        <v/>
      </c>
    </row>
    <row r="498" spans="2:12" x14ac:dyDescent="0.3">
      <c r="B498" t="str">
        <f>IF('SAÍDAS-BASE'!A496="","",'SAÍDAS-BASE'!A496)</f>
        <v/>
      </c>
      <c r="C498" t="str">
        <f>IF('SAÍDAS-BASE'!B496="","",'SAÍDAS-BASE'!B496)</f>
        <v/>
      </c>
      <c r="D498" t="str">
        <f>IF('SAÍDAS-BASE'!C496="","",'SAÍDAS-BASE'!C496)</f>
        <v/>
      </c>
      <c r="E498" s="7" t="str">
        <f>IF('SAÍDAS-BASE'!D496="","",'SAÍDAS-BASE'!D496)</f>
        <v/>
      </c>
      <c r="F498" s="6" t="str">
        <f>IF('SAÍDAS-BASE'!E496="","",'SAÍDAS-BASE'!E496)</f>
        <v/>
      </c>
      <c r="G498" t="str">
        <f>IF('SAÍDAS-BASE'!F496="","",'SAÍDAS-BASE'!F496)</f>
        <v/>
      </c>
      <c r="H498" t="str">
        <f>IF('SAÍDAS-BASE'!G496="","",'SAÍDAS-BASE'!G496)</f>
        <v/>
      </c>
      <c r="I498" t="str">
        <f>IF('SAÍDAS-BASE'!H496="","",'SAÍDAS-BASE'!H496)</f>
        <v/>
      </c>
      <c r="J498" t="str">
        <f>IF('SAÍDAS-BASE'!I496="","",'SAÍDAS-BASE'!I496)</f>
        <v/>
      </c>
      <c r="K498" s="5" t="str">
        <f>IF('SAÍDAS-BASE'!J496="","",'SAÍDAS-BASE'!J496)</f>
        <v/>
      </c>
      <c r="L498" t="str">
        <f>IF(TABELA_SAIDAS[[#This Row],[UF]]="","",IFERROR(IF(VLOOKUP(TABELA_SAIDAS[[#This Row],[VALOR]],TABELA_ENTRADAS[VALOR],1,FALSE),"DEVOLUÇÃO"),"SEM ENTRADAS"))</f>
        <v/>
      </c>
    </row>
    <row r="499" spans="2:12" x14ac:dyDescent="0.3">
      <c r="B499" t="str">
        <f>IF('SAÍDAS-BASE'!A497="","",'SAÍDAS-BASE'!A497)</f>
        <v/>
      </c>
      <c r="C499" t="str">
        <f>IF('SAÍDAS-BASE'!B497="","",'SAÍDAS-BASE'!B497)</f>
        <v/>
      </c>
      <c r="D499" t="str">
        <f>IF('SAÍDAS-BASE'!C497="","",'SAÍDAS-BASE'!C497)</f>
        <v/>
      </c>
      <c r="E499" s="7" t="str">
        <f>IF('SAÍDAS-BASE'!D497="","",'SAÍDAS-BASE'!D497)</f>
        <v/>
      </c>
      <c r="F499" s="6" t="str">
        <f>IF('SAÍDAS-BASE'!E497="","",'SAÍDAS-BASE'!E497)</f>
        <v/>
      </c>
      <c r="G499" t="str">
        <f>IF('SAÍDAS-BASE'!F497="","",'SAÍDAS-BASE'!F497)</f>
        <v/>
      </c>
      <c r="H499" t="str">
        <f>IF('SAÍDAS-BASE'!G497="","",'SAÍDAS-BASE'!G497)</f>
        <v/>
      </c>
      <c r="I499" t="str">
        <f>IF('SAÍDAS-BASE'!H497="","",'SAÍDAS-BASE'!H497)</f>
        <v/>
      </c>
      <c r="J499" t="str">
        <f>IF('SAÍDAS-BASE'!I497="","",'SAÍDAS-BASE'!I497)</f>
        <v/>
      </c>
      <c r="K499" s="5" t="str">
        <f>IF('SAÍDAS-BASE'!J497="","",'SAÍDAS-BASE'!J497)</f>
        <v/>
      </c>
      <c r="L499" t="str">
        <f>IF(TABELA_SAIDAS[[#This Row],[UF]]="","",IFERROR(IF(VLOOKUP(TABELA_SAIDAS[[#This Row],[VALOR]],TABELA_ENTRADAS[VALOR],1,FALSE),"DEVOLUÇÃO"),"SEM ENTRADAS"))</f>
        <v/>
      </c>
    </row>
    <row r="500" spans="2:12" x14ac:dyDescent="0.3">
      <c r="B500" t="str">
        <f>IF('SAÍDAS-BASE'!A498="","",'SAÍDAS-BASE'!A498)</f>
        <v/>
      </c>
      <c r="C500" t="str">
        <f>IF('SAÍDAS-BASE'!B498="","",'SAÍDAS-BASE'!B498)</f>
        <v/>
      </c>
      <c r="D500" t="str">
        <f>IF('SAÍDAS-BASE'!C498="","",'SAÍDAS-BASE'!C498)</f>
        <v/>
      </c>
      <c r="E500" s="7" t="str">
        <f>IF('SAÍDAS-BASE'!D498="","",'SAÍDAS-BASE'!D498)</f>
        <v/>
      </c>
      <c r="F500" s="6" t="str">
        <f>IF('SAÍDAS-BASE'!E498="","",'SAÍDAS-BASE'!E498)</f>
        <v/>
      </c>
      <c r="G500" t="str">
        <f>IF('SAÍDAS-BASE'!F498="","",'SAÍDAS-BASE'!F498)</f>
        <v/>
      </c>
      <c r="H500" t="str">
        <f>IF('SAÍDAS-BASE'!G498="","",'SAÍDAS-BASE'!G498)</f>
        <v/>
      </c>
      <c r="I500" t="str">
        <f>IF('SAÍDAS-BASE'!H498="","",'SAÍDAS-BASE'!H498)</f>
        <v/>
      </c>
      <c r="J500" t="str">
        <f>IF('SAÍDAS-BASE'!I498="","",'SAÍDAS-BASE'!I498)</f>
        <v/>
      </c>
      <c r="K500" s="5" t="str">
        <f>IF('SAÍDAS-BASE'!J498="","",'SAÍDAS-BASE'!J498)</f>
        <v/>
      </c>
      <c r="L500" t="str">
        <f>IF(TABELA_SAIDAS[[#This Row],[UF]]="","",IFERROR(IF(VLOOKUP(TABELA_SAIDAS[[#This Row],[VALOR]],TABELA_ENTRADAS[VALOR],1,FALSE),"DEVOLUÇÃO"),"SEM ENTRADAS"))</f>
        <v/>
      </c>
    </row>
    <row r="501" spans="2:12" x14ac:dyDescent="0.3">
      <c r="B501" t="str">
        <f>IF('SAÍDAS-BASE'!A499="","",'SAÍDAS-BASE'!A499)</f>
        <v/>
      </c>
      <c r="C501" t="str">
        <f>IF('SAÍDAS-BASE'!B499="","",'SAÍDAS-BASE'!B499)</f>
        <v/>
      </c>
      <c r="D501" t="str">
        <f>IF('SAÍDAS-BASE'!C499="","",'SAÍDAS-BASE'!C499)</f>
        <v/>
      </c>
      <c r="E501" s="7" t="str">
        <f>IF('SAÍDAS-BASE'!D499="","",'SAÍDAS-BASE'!D499)</f>
        <v/>
      </c>
      <c r="F501" s="6" t="str">
        <f>IF('SAÍDAS-BASE'!E499="","",'SAÍDAS-BASE'!E499)</f>
        <v/>
      </c>
      <c r="G501" t="str">
        <f>IF('SAÍDAS-BASE'!F499="","",'SAÍDAS-BASE'!F499)</f>
        <v/>
      </c>
      <c r="H501" t="str">
        <f>IF('SAÍDAS-BASE'!G499="","",'SAÍDAS-BASE'!G499)</f>
        <v/>
      </c>
      <c r="I501" t="str">
        <f>IF('SAÍDAS-BASE'!H499="","",'SAÍDAS-BASE'!H499)</f>
        <v/>
      </c>
      <c r="J501" t="str">
        <f>IF('SAÍDAS-BASE'!I499="","",'SAÍDAS-BASE'!I499)</f>
        <v/>
      </c>
      <c r="K501" s="5" t="str">
        <f>IF('SAÍDAS-BASE'!J499="","",'SAÍDAS-BASE'!J499)</f>
        <v/>
      </c>
      <c r="L501" t="str">
        <f>IF(TABELA_SAIDAS[[#This Row],[UF]]="","",IFERROR(IF(VLOOKUP(TABELA_SAIDAS[[#This Row],[VALOR]],TABELA_ENTRADAS[VALOR],1,FALSE),"DEVOLUÇÃO"),"SEM ENTRADAS"))</f>
        <v/>
      </c>
    </row>
    <row r="502" spans="2:12" x14ac:dyDescent="0.3">
      <c r="B502" t="str">
        <f>IF('SAÍDAS-BASE'!A500="","",'SAÍDAS-BASE'!A500)</f>
        <v/>
      </c>
      <c r="C502" t="str">
        <f>IF('SAÍDAS-BASE'!B500="","",'SAÍDAS-BASE'!B500)</f>
        <v/>
      </c>
      <c r="D502" t="str">
        <f>IF('SAÍDAS-BASE'!C500="","",'SAÍDAS-BASE'!C500)</f>
        <v/>
      </c>
      <c r="E502" s="7" t="str">
        <f>IF('SAÍDAS-BASE'!D500="","",'SAÍDAS-BASE'!D500)</f>
        <v/>
      </c>
      <c r="F502" s="6" t="str">
        <f>IF('SAÍDAS-BASE'!E500="","",'SAÍDAS-BASE'!E500)</f>
        <v/>
      </c>
      <c r="G502" t="str">
        <f>IF('SAÍDAS-BASE'!F500="","",'SAÍDAS-BASE'!F500)</f>
        <v/>
      </c>
      <c r="H502" t="str">
        <f>IF('SAÍDAS-BASE'!G500="","",'SAÍDAS-BASE'!G500)</f>
        <v/>
      </c>
      <c r="I502" t="str">
        <f>IF('SAÍDAS-BASE'!H500="","",'SAÍDAS-BASE'!H500)</f>
        <v/>
      </c>
      <c r="J502" t="str">
        <f>IF('SAÍDAS-BASE'!I500="","",'SAÍDAS-BASE'!I500)</f>
        <v/>
      </c>
      <c r="K502" s="5" t="str">
        <f>IF('SAÍDAS-BASE'!J500="","",'SAÍDAS-BASE'!J500)</f>
        <v/>
      </c>
      <c r="L502" t="str">
        <f>IF(TABELA_SAIDAS[[#This Row],[UF]]="","",IFERROR(IF(VLOOKUP(TABELA_SAIDAS[[#This Row],[VALOR]],TABELA_ENTRADAS[VALOR],1,FALSE),"DEVOLUÇÃO"),"SEM ENTRADAS"))</f>
        <v/>
      </c>
    </row>
    <row r="503" spans="2:12" x14ac:dyDescent="0.3">
      <c r="B503" t="str">
        <f>IF('SAÍDAS-BASE'!A501="","",'SAÍDAS-BASE'!A501)</f>
        <v/>
      </c>
      <c r="C503" t="str">
        <f>IF('SAÍDAS-BASE'!B501="","",'SAÍDAS-BASE'!B501)</f>
        <v/>
      </c>
      <c r="D503" t="str">
        <f>IF('SAÍDAS-BASE'!C501="","",'SAÍDAS-BASE'!C501)</f>
        <v/>
      </c>
      <c r="E503" s="7" t="str">
        <f>IF('SAÍDAS-BASE'!D501="","",'SAÍDAS-BASE'!D501)</f>
        <v/>
      </c>
      <c r="F503" s="6" t="str">
        <f>IF('SAÍDAS-BASE'!E501="","",'SAÍDAS-BASE'!E501)</f>
        <v/>
      </c>
      <c r="G503" t="str">
        <f>IF('SAÍDAS-BASE'!F501="","",'SAÍDAS-BASE'!F501)</f>
        <v/>
      </c>
      <c r="H503" t="str">
        <f>IF('SAÍDAS-BASE'!G501="","",'SAÍDAS-BASE'!G501)</f>
        <v/>
      </c>
      <c r="I503" t="str">
        <f>IF('SAÍDAS-BASE'!H501="","",'SAÍDAS-BASE'!H501)</f>
        <v/>
      </c>
      <c r="J503" t="str">
        <f>IF('SAÍDAS-BASE'!I501="","",'SAÍDAS-BASE'!I501)</f>
        <v/>
      </c>
      <c r="K503" s="5" t="str">
        <f>IF('SAÍDAS-BASE'!J501="","",'SAÍDAS-BASE'!J501)</f>
        <v/>
      </c>
      <c r="L503" t="str">
        <f>IF(TABELA_SAIDAS[[#This Row],[UF]]="","",IFERROR(IF(VLOOKUP(TABELA_SAIDAS[[#This Row],[VALOR]],TABELA_ENTRADAS[VALOR],1,FALSE),"DEVOLUÇÃO"),"SEM ENTRADAS"))</f>
        <v/>
      </c>
    </row>
    <row r="504" spans="2:12" x14ac:dyDescent="0.3">
      <c r="B504" t="str">
        <f>IF('SAÍDAS-BASE'!A502="","",'SAÍDAS-BASE'!A502)</f>
        <v/>
      </c>
      <c r="C504" t="str">
        <f>IF('SAÍDAS-BASE'!B502="","",'SAÍDAS-BASE'!B502)</f>
        <v/>
      </c>
      <c r="D504" t="str">
        <f>IF('SAÍDAS-BASE'!C502="","",'SAÍDAS-BASE'!C502)</f>
        <v/>
      </c>
      <c r="E504" s="7" t="str">
        <f>IF('SAÍDAS-BASE'!D502="","",'SAÍDAS-BASE'!D502)</f>
        <v/>
      </c>
      <c r="F504" s="6" t="str">
        <f>IF('SAÍDAS-BASE'!E502="","",'SAÍDAS-BASE'!E502)</f>
        <v/>
      </c>
      <c r="G504" t="str">
        <f>IF('SAÍDAS-BASE'!F502="","",'SAÍDAS-BASE'!F502)</f>
        <v/>
      </c>
      <c r="H504" t="str">
        <f>IF('SAÍDAS-BASE'!G502="","",'SAÍDAS-BASE'!G502)</f>
        <v/>
      </c>
      <c r="I504" t="str">
        <f>IF('SAÍDAS-BASE'!H502="","",'SAÍDAS-BASE'!H502)</f>
        <v/>
      </c>
      <c r="J504" t="str">
        <f>IF('SAÍDAS-BASE'!I502="","",'SAÍDAS-BASE'!I502)</f>
        <v/>
      </c>
      <c r="K504" s="5" t="str">
        <f>IF('SAÍDAS-BASE'!J502="","",'SAÍDAS-BASE'!J502)</f>
        <v/>
      </c>
      <c r="L504" t="str">
        <f>IF(TABELA_SAIDAS[[#This Row],[UF]]="","",IFERROR(IF(VLOOKUP(TABELA_SAIDAS[[#This Row],[VALOR]],TABELA_ENTRADAS[VALOR],1,FALSE),"DEVOLUÇÃO"),"SEM ENTRADAS"))</f>
        <v/>
      </c>
    </row>
    <row r="505" spans="2:12" x14ac:dyDescent="0.3">
      <c r="B505" t="str">
        <f>IF('SAÍDAS-BASE'!A503="","",'SAÍDAS-BASE'!A503)</f>
        <v/>
      </c>
      <c r="C505" t="str">
        <f>IF('SAÍDAS-BASE'!B503="","",'SAÍDAS-BASE'!B503)</f>
        <v/>
      </c>
      <c r="D505" t="str">
        <f>IF('SAÍDAS-BASE'!C503="","",'SAÍDAS-BASE'!C503)</f>
        <v/>
      </c>
      <c r="E505" s="7" t="str">
        <f>IF('SAÍDAS-BASE'!D503="","",'SAÍDAS-BASE'!D503)</f>
        <v/>
      </c>
      <c r="F505" s="6" t="str">
        <f>IF('SAÍDAS-BASE'!E503="","",'SAÍDAS-BASE'!E503)</f>
        <v/>
      </c>
      <c r="G505" t="str">
        <f>IF('SAÍDAS-BASE'!F503="","",'SAÍDAS-BASE'!F503)</f>
        <v/>
      </c>
      <c r="H505" t="str">
        <f>IF('SAÍDAS-BASE'!G503="","",'SAÍDAS-BASE'!G503)</f>
        <v/>
      </c>
      <c r="I505" t="str">
        <f>IF('SAÍDAS-BASE'!H503="","",'SAÍDAS-BASE'!H503)</f>
        <v/>
      </c>
      <c r="J505" t="str">
        <f>IF('SAÍDAS-BASE'!I503="","",'SAÍDAS-BASE'!I503)</f>
        <v/>
      </c>
      <c r="K505" s="5" t="str">
        <f>IF('SAÍDAS-BASE'!J503="","",'SAÍDAS-BASE'!J503)</f>
        <v/>
      </c>
      <c r="L505" t="str">
        <f>IF(TABELA_SAIDAS[[#This Row],[UF]]="","",IFERROR(IF(VLOOKUP(TABELA_SAIDAS[[#This Row],[VALOR]],TABELA_ENTRADAS[VALOR],1,FALSE),"DEVOLUÇÃO"),"SEM ENTRADAS"))</f>
        <v/>
      </c>
    </row>
    <row r="506" spans="2:12" x14ac:dyDescent="0.3">
      <c r="B506" t="str">
        <f>IF('SAÍDAS-BASE'!A504="","",'SAÍDAS-BASE'!A504)</f>
        <v/>
      </c>
      <c r="C506" t="str">
        <f>IF('SAÍDAS-BASE'!B504="","",'SAÍDAS-BASE'!B504)</f>
        <v/>
      </c>
      <c r="D506" t="str">
        <f>IF('SAÍDAS-BASE'!C504="","",'SAÍDAS-BASE'!C504)</f>
        <v/>
      </c>
      <c r="E506" s="7" t="str">
        <f>IF('SAÍDAS-BASE'!D504="","",'SAÍDAS-BASE'!D504)</f>
        <v/>
      </c>
      <c r="F506" s="6" t="str">
        <f>IF('SAÍDAS-BASE'!E504="","",'SAÍDAS-BASE'!E504)</f>
        <v/>
      </c>
      <c r="G506" t="str">
        <f>IF('SAÍDAS-BASE'!F504="","",'SAÍDAS-BASE'!F504)</f>
        <v/>
      </c>
      <c r="H506" t="str">
        <f>IF('SAÍDAS-BASE'!G504="","",'SAÍDAS-BASE'!G504)</f>
        <v/>
      </c>
      <c r="I506" t="str">
        <f>IF('SAÍDAS-BASE'!H504="","",'SAÍDAS-BASE'!H504)</f>
        <v/>
      </c>
      <c r="J506" t="str">
        <f>IF('SAÍDAS-BASE'!I504="","",'SAÍDAS-BASE'!I504)</f>
        <v/>
      </c>
      <c r="K506" s="5" t="str">
        <f>IF('SAÍDAS-BASE'!J504="","",'SAÍDAS-BASE'!J504)</f>
        <v/>
      </c>
      <c r="L506" t="str">
        <f>IF(TABELA_SAIDAS[[#This Row],[UF]]="","",IFERROR(IF(VLOOKUP(TABELA_SAIDAS[[#This Row],[VALOR]],TABELA_ENTRADAS[VALOR],1,FALSE),"DEVOLUÇÃO"),"SEM ENTRADAS"))</f>
        <v/>
      </c>
    </row>
    <row r="507" spans="2:12" x14ac:dyDescent="0.3">
      <c r="B507" t="str">
        <f>IF('SAÍDAS-BASE'!A505="","",'SAÍDAS-BASE'!A505)</f>
        <v/>
      </c>
      <c r="C507" t="str">
        <f>IF('SAÍDAS-BASE'!B505="","",'SAÍDAS-BASE'!B505)</f>
        <v/>
      </c>
      <c r="D507" t="str">
        <f>IF('SAÍDAS-BASE'!C505="","",'SAÍDAS-BASE'!C505)</f>
        <v/>
      </c>
      <c r="E507" s="7" t="str">
        <f>IF('SAÍDAS-BASE'!D505="","",'SAÍDAS-BASE'!D505)</f>
        <v/>
      </c>
      <c r="F507" s="6" t="str">
        <f>IF('SAÍDAS-BASE'!E505="","",'SAÍDAS-BASE'!E505)</f>
        <v/>
      </c>
      <c r="G507" t="str">
        <f>IF('SAÍDAS-BASE'!F505="","",'SAÍDAS-BASE'!F505)</f>
        <v/>
      </c>
      <c r="H507" t="str">
        <f>IF('SAÍDAS-BASE'!G505="","",'SAÍDAS-BASE'!G505)</f>
        <v/>
      </c>
      <c r="I507" t="str">
        <f>IF('SAÍDAS-BASE'!H505="","",'SAÍDAS-BASE'!H505)</f>
        <v/>
      </c>
      <c r="J507" t="str">
        <f>IF('SAÍDAS-BASE'!I505="","",'SAÍDAS-BASE'!I505)</f>
        <v/>
      </c>
      <c r="K507" s="5" t="str">
        <f>IF('SAÍDAS-BASE'!J505="","",'SAÍDAS-BASE'!J505)</f>
        <v/>
      </c>
      <c r="L507" t="str">
        <f>IF(TABELA_SAIDAS[[#This Row],[UF]]="","",IFERROR(IF(VLOOKUP(TABELA_SAIDAS[[#This Row],[VALOR]],TABELA_ENTRADAS[VALOR],1,FALSE),"DEVOLUÇÃO"),"SEM ENTRADAS"))</f>
        <v/>
      </c>
    </row>
    <row r="508" spans="2:12" x14ac:dyDescent="0.3">
      <c r="B508" t="str">
        <f>IF('SAÍDAS-BASE'!A506="","",'SAÍDAS-BASE'!A506)</f>
        <v/>
      </c>
      <c r="C508" t="str">
        <f>IF('SAÍDAS-BASE'!B506="","",'SAÍDAS-BASE'!B506)</f>
        <v/>
      </c>
      <c r="D508" t="str">
        <f>IF('SAÍDAS-BASE'!C506="","",'SAÍDAS-BASE'!C506)</f>
        <v/>
      </c>
      <c r="E508" s="7" t="str">
        <f>IF('SAÍDAS-BASE'!D506="","",'SAÍDAS-BASE'!D506)</f>
        <v/>
      </c>
      <c r="F508" s="6" t="str">
        <f>IF('SAÍDAS-BASE'!E506="","",'SAÍDAS-BASE'!E506)</f>
        <v/>
      </c>
      <c r="G508" t="str">
        <f>IF('SAÍDAS-BASE'!F506="","",'SAÍDAS-BASE'!F506)</f>
        <v/>
      </c>
      <c r="H508" t="str">
        <f>IF('SAÍDAS-BASE'!G506="","",'SAÍDAS-BASE'!G506)</f>
        <v/>
      </c>
      <c r="I508" t="str">
        <f>IF('SAÍDAS-BASE'!H506="","",'SAÍDAS-BASE'!H506)</f>
        <v/>
      </c>
      <c r="J508" t="str">
        <f>IF('SAÍDAS-BASE'!I506="","",'SAÍDAS-BASE'!I506)</f>
        <v/>
      </c>
      <c r="K508" s="5" t="str">
        <f>IF('SAÍDAS-BASE'!J506="","",'SAÍDAS-BASE'!J506)</f>
        <v/>
      </c>
      <c r="L508" t="str">
        <f>IF(TABELA_SAIDAS[[#This Row],[UF]]="","",IFERROR(IF(VLOOKUP(TABELA_SAIDAS[[#This Row],[VALOR]],TABELA_ENTRADAS[VALOR],1,FALSE),"DEVOLUÇÃO"),"SEM ENTRADAS"))</f>
        <v/>
      </c>
    </row>
    <row r="509" spans="2:12" x14ac:dyDescent="0.3">
      <c r="B509" t="str">
        <f>IF('SAÍDAS-BASE'!A507="","",'SAÍDAS-BASE'!A507)</f>
        <v/>
      </c>
      <c r="C509" t="str">
        <f>IF('SAÍDAS-BASE'!B507="","",'SAÍDAS-BASE'!B507)</f>
        <v/>
      </c>
      <c r="D509" t="str">
        <f>IF('SAÍDAS-BASE'!C507="","",'SAÍDAS-BASE'!C507)</f>
        <v/>
      </c>
      <c r="E509" s="7" t="str">
        <f>IF('SAÍDAS-BASE'!D507="","",'SAÍDAS-BASE'!D507)</f>
        <v/>
      </c>
      <c r="F509" s="6" t="str">
        <f>IF('SAÍDAS-BASE'!E507="","",'SAÍDAS-BASE'!E507)</f>
        <v/>
      </c>
      <c r="G509" t="str">
        <f>IF('SAÍDAS-BASE'!F507="","",'SAÍDAS-BASE'!F507)</f>
        <v/>
      </c>
      <c r="H509" t="str">
        <f>IF('SAÍDAS-BASE'!G507="","",'SAÍDAS-BASE'!G507)</f>
        <v/>
      </c>
      <c r="I509" t="str">
        <f>IF('SAÍDAS-BASE'!H507="","",'SAÍDAS-BASE'!H507)</f>
        <v/>
      </c>
      <c r="J509" t="str">
        <f>IF('SAÍDAS-BASE'!I507="","",'SAÍDAS-BASE'!I507)</f>
        <v/>
      </c>
      <c r="K509" s="5" t="str">
        <f>IF('SAÍDAS-BASE'!J507="","",'SAÍDAS-BASE'!J507)</f>
        <v/>
      </c>
      <c r="L509" t="str">
        <f>IF(TABELA_SAIDAS[[#This Row],[UF]]="","",IFERROR(IF(VLOOKUP(TABELA_SAIDAS[[#This Row],[VALOR]],TABELA_ENTRADAS[VALOR],1,FALSE),"DEVOLUÇÃO"),"SEM ENTRADAS"))</f>
        <v/>
      </c>
    </row>
    <row r="510" spans="2:12" x14ac:dyDescent="0.3">
      <c r="B510" t="str">
        <f>IF('SAÍDAS-BASE'!A508="","",'SAÍDAS-BASE'!A508)</f>
        <v/>
      </c>
      <c r="C510" t="str">
        <f>IF('SAÍDAS-BASE'!B508="","",'SAÍDAS-BASE'!B508)</f>
        <v/>
      </c>
      <c r="D510" t="str">
        <f>IF('SAÍDAS-BASE'!C508="","",'SAÍDAS-BASE'!C508)</f>
        <v/>
      </c>
      <c r="E510" s="7" t="str">
        <f>IF('SAÍDAS-BASE'!D508="","",'SAÍDAS-BASE'!D508)</f>
        <v/>
      </c>
      <c r="F510" s="6" t="str">
        <f>IF('SAÍDAS-BASE'!E508="","",'SAÍDAS-BASE'!E508)</f>
        <v/>
      </c>
      <c r="G510" t="str">
        <f>IF('SAÍDAS-BASE'!F508="","",'SAÍDAS-BASE'!F508)</f>
        <v/>
      </c>
      <c r="H510" t="str">
        <f>IF('SAÍDAS-BASE'!G508="","",'SAÍDAS-BASE'!G508)</f>
        <v/>
      </c>
      <c r="I510" t="str">
        <f>IF('SAÍDAS-BASE'!H508="","",'SAÍDAS-BASE'!H508)</f>
        <v/>
      </c>
      <c r="J510" t="str">
        <f>IF('SAÍDAS-BASE'!I508="","",'SAÍDAS-BASE'!I508)</f>
        <v/>
      </c>
      <c r="K510" s="5" t="str">
        <f>IF('SAÍDAS-BASE'!J508="","",'SAÍDAS-BASE'!J508)</f>
        <v/>
      </c>
      <c r="L510" t="str">
        <f>IF(TABELA_SAIDAS[[#This Row],[UF]]="","",IFERROR(IF(VLOOKUP(TABELA_SAIDAS[[#This Row],[VALOR]],TABELA_ENTRADAS[VALOR],1,FALSE),"DEVOLUÇÃO"),"SEM ENTRADAS"))</f>
        <v/>
      </c>
    </row>
    <row r="511" spans="2:12" x14ac:dyDescent="0.3">
      <c r="B511" t="str">
        <f>IF('SAÍDAS-BASE'!A509="","",'SAÍDAS-BASE'!A509)</f>
        <v/>
      </c>
      <c r="C511" t="str">
        <f>IF('SAÍDAS-BASE'!B509="","",'SAÍDAS-BASE'!B509)</f>
        <v/>
      </c>
      <c r="D511" t="str">
        <f>IF('SAÍDAS-BASE'!C509="","",'SAÍDAS-BASE'!C509)</f>
        <v/>
      </c>
      <c r="E511" s="7" t="str">
        <f>IF('SAÍDAS-BASE'!D509="","",'SAÍDAS-BASE'!D509)</f>
        <v/>
      </c>
      <c r="F511" s="6" t="str">
        <f>IF('SAÍDAS-BASE'!E509="","",'SAÍDAS-BASE'!E509)</f>
        <v/>
      </c>
      <c r="G511" t="str">
        <f>IF('SAÍDAS-BASE'!F509="","",'SAÍDAS-BASE'!F509)</f>
        <v/>
      </c>
      <c r="H511" t="str">
        <f>IF('SAÍDAS-BASE'!G509="","",'SAÍDAS-BASE'!G509)</f>
        <v/>
      </c>
      <c r="I511" t="str">
        <f>IF('SAÍDAS-BASE'!H509="","",'SAÍDAS-BASE'!H509)</f>
        <v/>
      </c>
      <c r="J511" t="str">
        <f>IF('SAÍDAS-BASE'!I509="","",'SAÍDAS-BASE'!I509)</f>
        <v/>
      </c>
      <c r="K511" s="5" t="str">
        <f>IF('SAÍDAS-BASE'!J509="","",'SAÍDAS-BASE'!J509)</f>
        <v/>
      </c>
      <c r="L511" t="str">
        <f>IF(TABELA_SAIDAS[[#This Row],[UF]]="","",IFERROR(IF(VLOOKUP(TABELA_SAIDAS[[#This Row],[VALOR]],TABELA_ENTRADAS[VALOR],1,FALSE),"DEVOLUÇÃO"),"SEM ENTRADAS"))</f>
        <v/>
      </c>
    </row>
    <row r="512" spans="2:12" x14ac:dyDescent="0.3">
      <c r="B512" t="str">
        <f>IF('SAÍDAS-BASE'!A510="","",'SAÍDAS-BASE'!A510)</f>
        <v/>
      </c>
      <c r="C512" t="str">
        <f>IF('SAÍDAS-BASE'!B510="","",'SAÍDAS-BASE'!B510)</f>
        <v/>
      </c>
      <c r="D512" t="str">
        <f>IF('SAÍDAS-BASE'!C510="","",'SAÍDAS-BASE'!C510)</f>
        <v/>
      </c>
      <c r="E512" s="7" t="str">
        <f>IF('SAÍDAS-BASE'!D510="","",'SAÍDAS-BASE'!D510)</f>
        <v/>
      </c>
      <c r="F512" s="6" t="str">
        <f>IF('SAÍDAS-BASE'!E510="","",'SAÍDAS-BASE'!E510)</f>
        <v/>
      </c>
      <c r="G512" t="str">
        <f>IF('SAÍDAS-BASE'!F510="","",'SAÍDAS-BASE'!F510)</f>
        <v/>
      </c>
      <c r="H512" t="str">
        <f>IF('SAÍDAS-BASE'!G510="","",'SAÍDAS-BASE'!G510)</f>
        <v/>
      </c>
      <c r="I512" t="str">
        <f>IF('SAÍDAS-BASE'!H510="","",'SAÍDAS-BASE'!H510)</f>
        <v/>
      </c>
      <c r="J512" t="str">
        <f>IF('SAÍDAS-BASE'!I510="","",'SAÍDAS-BASE'!I510)</f>
        <v/>
      </c>
      <c r="K512" s="5" t="str">
        <f>IF('SAÍDAS-BASE'!J510="","",'SAÍDAS-BASE'!J510)</f>
        <v/>
      </c>
      <c r="L512" t="str">
        <f>IF(TABELA_SAIDAS[[#This Row],[UF]]="","",IFERROR(IF(VLOOKUP(TABELA_SAIDAS[[#This Row],[VALOR]],TABELA_ENTRADAS[VALOR],1,FALSE),"DEVOLUÇÃO"),"SEM ENTRADAS"))</f>
        <v/>
      </c>
    </row>
    <row r="513" spans="2:12" x14ac:dyDescent="0.3">
      <c r="B513" t="str">
        <f>IF('SAÍDAS-BASE'!A511="","",'SAÍDAS-BASE'!A511)</f>
        <v/>
      </c>
      <c r="C513" t="str">
        <f>IF('SAÍDAS-BASE'!B511="","",'SAÍDAS-BASE'!B511)</f>
        <v/>
      </c>
      <c r="D513" t="str">
        <f>IF('SAÍDAS-BASE'!C511="","",'SAÍDAS-BASE'!C511)</f>
        <v/>
      </c>
      <c r="E513" s="7" t="str">
        <f>IF('SAÍDAS-BASE'!D511="","",'SAÍDAS-BASE'!D511)</f>
        <v/>
      </c>
      <c r="F513" s="6" t="str">
        <f>IF('SAÍDAS-BASE'!E511="","",'SAÍDAS-BASE'!E511)</f>
        <v/>
      </c>
      <c r="G513" t="str">
        <f>IF('SAÍDAS-BASE'!F511="","",'SAÍDAS-BASE'!F511)</f>
        <v/>
      </c>
      <c r="H513" t="str">
        <f>IF('SAÍDAS-BASE'!G511="","",'SAÍDAS-BASE'!G511)</f>
        <v/>
      </c>
      <c r="I513" t="str">
        <f>IF('SAÍDAS-BASE'!H511="","",'SAÍDAS-BASE'!H511)</f>
        <v/>
      </c>
      <c r="J513" t="str">
        <f>IF('SAÍDAS-BASE'!I511="","",'SAÍDAS-BASE'!I511)</f>
        <v/>
      </c>
      <c r="K513" s="5" t="str">
        <f>IF('SAÍDAS-BASE'!J511="","",'SAÍDAS-BASE'!J511)</f>
        <v/>
      </c>
      <c r="L513" t="str">
        <f>IF(TABELA_SAIDAS[[#This Row],[UF]]="","",IFERROR(IF(VLOOKUP(TABELA_SAIDAS[[#This Row],[VALOR]],TABELA_ENTRADAS[VALOR],1,FALSE),"DEVOLUÇÃO"),"SEM ENTRADAS"))</f>
        <v/>
      </c>
    </row>
    <row r="514" spans="2:12" x14ac:dyDescent="0.3">
      <c r="B514" t="str">
        <f>IF('SAÍDAS-BASE'!A512="","",'SAÍDAS-BASE'!A512)</f>
        <v/>
      </c>
      <c r="C514" t="str">
        <f>IF('SAÍDAS-BASE'!B512="","",'SAÍDAS-BASE'!B512)</f>
        <v/>
      </c>
      <c r="D514" t="str">
        <f>IF('SAÍDAS-BASE'!C512="","",'SAÍDAS-BASE'!C512)</f>
        <v/>
      </c>
      <c r="E514" s="7" t="str">
        <f>IF('SAÍDAS-BASE'!D512="","",'SAÍDAS-BASE'!D512)</f>
        <v/>
      </c>
      <c r="F514" s="6" t="str">
        <f>IF('SAÍDAS-BASE'!E512="","",'SAÍDAS-BASE'!E512)</f>
        <v/>
      </c>
      <c r="G514" t="str">
        <f>IF('SAÍDAS-BASE'!F512="","",'SAÍDAS-BASE'!F512)</f>
        <v/>
      </c>
      <c r="H514" t="str">
        <f>IF('SAÍDAS-BASE'!G512="","",'SAÍDAS-BASE'!G512)</f>
        <v/>
      </c>
      <c r="I514" t="str">
        <f>IF('SAÍDAS-BASE'!H512="","",'SAÍDAS-BASE'!H512)</f>
        <v/>
      </c>
      <c r="J514" t="str">
        <f>IF('SAÍDAS-BASE'!I512="","",'SAÍDAS-BASE'!I512)</f>
        <v/>
      </c>
      <c r="K514" s="5" t="str">
        <f>IF('SAÍDAS-BASE'!J512="","",'SAÍDAS-BASE'!J512)</f>
        <v/>
      </c>
      <c r="L514" t="str">
        <f>IF(TABELA_SAIDAS[[#This Row],[UF]]="","",IFERROR(IF(VLOOKUP(TABELA_SAIDAS[[#This Row],[VALOR]],TABELA_ENTRADAS[VALOR],1,FALSE),"DEVOLUÇÃO"),"SEM ENTRADAS"))</f>
        <v/>
      </c>
    </row>
    <row r="515" spans="2:12" x14ac:dyDescent="0.3">
      <c r="B515" t="str">
        <f>IF('SAÍDAS-BASE'!A513="","",'SAÍDAS-BASE'!A513)</f>
        <v/>
      </c>
      <c r="C515" t="str">
        <f>IF('SAÍDAS-BASE'!B513="","",'SAÍDAS-BASE'!B513)</f>
        <v/>
      </c>
      <c r="D515" t="str">
        <f>IF('SAÍDAS-BASE'!C513="","",'SAÍDAS-BASE'!C513)</f>
        <v/>
      </c>
      <c r="E515" s="7" t="str">
        <f>IF('SAÍDAS-BASE'!D513="","",'SAÍDAS-BASE'!D513)</f>
        <v/>
      </c>
      <c r="F515" s="6" t="str">
        <f>IF('SAÍDAS-BASE'!E513="","",'SAÍDAS-BASE'!E513)</f>
        <v/>
      </c>
      <c r="G515" t="str">
        <f>IF('SAÍDAS-BASE'!F513="","",'SAÍDAS-BASE'!F513)</f>
        <v/>
      </c>
      <c r="H515" t="str">
        <f>IF('SAÍDAS-BASE'!G513="","",'SAÍDAS-BASE'!G513)</f>
        <v/>
      </c>
      <c r="I515" t="str">
        <f>IF('SAÍDAS-BASE'!H513="","",'SAÍDAS-BASE'!H513)</f>
        <v/>
      </c>
      <c r="J515" t="str">
        <f>IF('SAÍDAS-BASE'!I513="","",'SAÍDAS-BASE'!I513)</f>
        <v/>
      </c>
      <c r="K515" s="5" t="str">
        <f>IF('SAÍDAS-BASE'!J513="","",'SAÍDAS-BASE'!J513)</f>
        <v/>
      </c>
      <c r="L515" t="str">
        <f>IF(TABELA_SAIDAS[[#This Row],[UF]]="","",IFERROR(IF(VLOOKUP(TABELA_SAIDAS[[#This Row],[VALOR]],TABELA_ENTRADAS[VALOR],1,FALSE),"DEVOLUÇÃO"),"SEM ENTRADAS"))</f>
        <v/>
      </c>
    </row>
    <row r="516" spans="2:12" x14ac:dyDescent="0.3">
      <c r="B516" t="str">
        <f>IF('SAÍDAS-BASE'!A514="","",'SAÍDAS-BASE'!A514)</f>
        <v/>
      </c>
      <c r="C516" t="str">
        <f>IF('SAÍDAS-BASE'!B514="","",'SAÍDAS-BASE'!B514)</f>
        <v/>
      </c>
      <c r="D516" t="str">
        <f>IF('SAÍDAS-BASE'!C514="","",'SAÍDAS-BASE'!C514)</f>
        <v/>
      </c>
      <c r="E516" s="7" t="str">
        <f>IF('SAÍDAS-BASE'!D514="","",'SAÍDAS-BASE'!D514)</f>
        <v/>
      </c>
      <c r="F516" s="6" t="str">
        <f>IF('SAÍDAS-BASE'!E514="","",'SAÍDAS-BASE'!E514)</f>
        <v/>
      </c>
      <c r="G516" t="str">
        <f>IF('SAÍDAS-BASE'!F514="","",'SAÍDAS-BASE'!F514)</f>
        <v/>
      </c>
      <c r="H516" t="str">
        <f>IF('SAÍDAS-BASE'!G514="","",'SAÍDAS-BASE'!G514)</f>
        <v/>
      </c>
      <c r="I516" t="str">
        <f>IF('SAÍDAS-BASE'!H514="","",'SAÍDAS-BASE'!H514)</f>
        <v/>
      </c>
      <c r="J516" t="str">
        <f>IF('SAÍDAS-BASE'!I514="","",'SAÍDAS-BASE'!I514)</f>
        <v/>
      </c>
      <c r="K516" s="5" t="str">
        <f>IF('SAÍDAS-BASE'!J514="","",'SAÍDAS-BASE'!J514)</f>
        <v/>
      </c>
      <c r="L516" t="str">
        <f>IF(TABELA_SAIDAS[[#This Row],[UF]]="","",IFERROR(IF(VLOOKUP(TABELA_SAIDAS[[#This Row],[VALOR]],TABELA_ENTRADAS[VALOR],1,FALSE),"DEVOLUÇÃO"),"SEM ENTRADAS"))</f>
        <v/>
      </c>
    </row>
    <row r="517" spans="2:12" x14ac:dyDescent="0.3">
      <c r="B517" t="str">
        <f>IF('SAÍDAS-BASE'!A515="","",'SAÍDAS-BASE'!A515)</f>
        <v/>
      </c>
      <c r="C517" t="str">
        <f>IF('SAÍDAS-BASE'!B515="","",'SAÍDAS-BASE'!B515)</f>
        <v/>
      </c>
      <c r="D517" t="str">
        <f>IF('SAÍDAS-BASE'!C515="","",'SAÍDAS-BASE'!C515)</f>
        <v/>
      </c>
      <c r="E517" s="7" t="str">
        <f>IF('SAÍDAS-BASE'!D515="","",'SAÍDAS-BASE'!D515)</f>
        <v/>
      </c>
      <c r="F517" s="6" t="str">
        <f>IF('SAÍDAS-BASE'!E515="","",'SAÍDAS-BASE'!E515)</f>
        <v/>
      </c>
      <c r="G517" t="str">
        <f>IF('SAÍDAS-BASE'!F515="","",'SAÍDAS-BASE'!F515)</f>
        <v/>
      </c>
      <c r="H517" t="str">
        <f>IF('SAÍDAS-BASE'!G515="","",'SAÍDAS-BASE'!G515)</f>
        <v/>
      </c>
      <c r="I517" t="str">
        <f>IF('SAÍDAS-BASE'!H515="","",'SAÍDAS-BASE'!H515)</f>
        <v/>
      </c>
      <c r="J517" t="str">
        <f>IF('SAÍDAS-BASE'!I515="","",'SAÍDAS-BASE'!I515)</f>
        <v/>
      </c>
      <c r="K517" s="5" t="str">
        <f>IF('SAÍDAS-BASE'!J515="","",'SAÍDAS-BASE'!J515)</f>
        <v/>
      </c>
      <c r="L517" t="str">
        <f>IF(TABELA_SAIDAS[[#This Row],[UF]]="","",IFERROR(IF(VLOOKUP(TABELA_SAIDAS[[#This Row],[VALOR]],TABELA_ENTRADAS[VALOR],1,FALSE),"DEVOLUÇÃO"),"SEM ENTRADAS"))</f>
        <v/>
      </c>
    </row>
    <row r="518" spans="2:12" x14ac:dyDescent="0.3">
      <c r="B518" t="str">
        <f>IF('SAÍDAS-BASE'!A516="","",'SAÍDAS-BASE'!A516)</f>
        <v/>
      </c>
      <c r="C518" t="str">
        <f>IF('SAÍDAS-BASE'!B516="","",'SAÍDAS-BASE'!B516)</f>
        <v/>
      </c>
      <c r="D518" t="str">
        <f>IF('SAÍDAS-BASE'!C516="","",'SAÍDAS-BASE'!C516)</f>
        <v/>
      </c>
      <c r="E518" s="7" t="str">
        <f>IF('SAÍDAS-BASE'!D516="","",'SAÍDAS-BASE'!D516)</f>
        <v/>
      </c>
      <c r="F518" s="6" t="str">
        <f>IF('SAÍDAS-BASE'!E516="","",'SAÍDAS-BASE'!E516)</f>
        <v/>
      </c>
      <c r="G518" t="str">
        <f>IF('SAÍDAS-BASE'!F516="","",'SAÍDAS-BASE'!F516)</f>
        <v/>
      </c>
      <c r="H518" t="str">
        <f>IF('SAÍDAS-BASE'!G516="","",'SAÍDAS-BASE'!G516)</f>
        <v/>
      </c>
      <c r="I518" t="str">
        <f>IF('SAÍDAS-BASE'!H516="","",'SAÍDAS-BASE'!H516)</f>
        <v/>
      </c>
      <c r="J518" t="str">
        <f>IF('SAÍDAS-BASE'!I516="","",'SAÍDAS-BASE'!I516)</f>
        <v/>
      </c>
      <c r="K518" s="5" t="str">
        <f>IF('SAÍDAS-BASE'!J516="","",'SAÍDAS-BASE'!J516)</f>
        <v/>
      </c>
      <c r="L518" t="str">
        <f>IF(TABELA_SAIDAS[[#This Row],[UF]]="","",IFERROR(IF(VLOOKUP(TABELA_SAIDAS[[#This Row],[VALOR]],TABELA_ENTRADAS[VALOR],1,FALSE),"DEVOLUÇÃO"),"SEM ENTRADAS"))</f>
        <v/>
      </c>
    </row>
    <row r="519" spans="2:12" x14ac:dyDescent="0.3">
      <c r="B519" t="str">
        <f>IF('SAÍDAS-BASE'!A517="","",'SAÍDAS-BASE'!A517)</f>
        <v/>
      </c>
      <c r="C519" t="str">
        <f>IF('SAÍDAS-BASE'!B517="","",'SAÍDAS-BASE'!B517)</f>
        <v/>
      </c>
      <c r="D519" t="str">
        <f>IF('SAÍDAS-BASE'!C517="","",'SAÍDAS-BASE'!C517)</f>
        <v/>
      </c>
      <c r="E519" s="7" t="str">
        <f>IF('SAÍDAS-BASE'!D517="","",'SAÍDAS-BASE'!D517)</f>
        <v/>
      </c>
      <c r="F519" s="6" t="str">
        <f>IF('SAÍDAS-BASE'!E517="","",'SAÍDAS-BASE'!E517)</f>
        <v/>
      </c>
      <c r="G519" t="str">
        <f>IF('SAÍDAS-BASE'!F517="","",'SAÍDAS-BASE'!F517)</f>
        <v/>
      </c>
      <c r="H519" t="str">
        <f>IF('SAÍDAS-BASE'!G517="","",'SAÍDAS-BASE'!G517)</f>
        <v/>
      </c>
      <c r="I519" t="str">
        <f>IF('SAÍDAS-BASE'!H517="","",'SAÍDAS-BASE'!H517)</f>
        <v/>
      </c>
      <c r="J519" t="str">
        <f>IF('SAÍDAS-BASE'!I517="","",'SAÍDAS-BASE'!I517)</f>
        <v/>
      </c>
      <c r="K519" s="5" t="str">
        <f>IF('SAÍDAS-BASE'!J517="","",'SAÍDAS-BASE'!J517)</f>
        <v/>
      </c>
      <c r="L519" t="str">
        <f>IF(TABELA_SAIDAS[[#This Row],[UF]]="","",IFERROR(IF(VLOOKUP(TABELA_SAIDAS[[#This Row],[VALOR]],TABELA_ENTRADAS[VALOR],1,FALSE),"DEVOLUÇÃO"),"SEM ENTRADAS"))</f>
        <v/>
      </c>
    </row>
    <row r="520" spans="2:12" x14ac:dyDescent="0.3">
      <c r="B520" t="str">
        <f>IF('SAÍDAS-BASE'!A518="","",'SAÍDAS-BASE'!A518)</f>
        <v/>
      </c>
      <c r="C520" t="str">
        <f>IF('SAÍDAS-BASE'!B518="","",'SAÍDAS-BASE'!B518)</f>
        <v/>
      </c>
      <c r="D520" t="str">
        <f>IF('SAÍDAS-BASE'!C518="","",'SAÍDAS-BASE'!C518)</f>
        <v/>
      </c>
      <c r="E520" s="7" t="str">
        <f>IF('SAÍDAS-BASE'!D518="","",'SAÍDAS-BASE'!D518)</f>
        <v/>
      </c>
      <c r="F520" s="6" t="str">
        <f>IF('SAÍDAS-BASE'!E518="","",'SAÍDAS-BASE'!E518)</f>
        <v/>
      </c>
      <c r="G520" t="str">
        <f>IF('SAÍDAS-BASE'!F518="","",'SAÍDAS-BASE'!F518)</f>
        <v/>
      </c>
      <c r="H520" t="str">
        <f>IF('SAÍDAS-BASE'!G518="","",'SAÍDAS-BASE'!G518)</f>
        <v/>
      </c>
      <c r="I520" t="str">
        <f>IF('SAÍDAS-BASE'!H518="","",'SAÍDAS-BASE'!H518)</f>
        <v/>
      </c>
      <c r="J520" t="str">
        <f>IF('SAÍDAS-BASE'!I518="","",'SAÍDAS-BASE'!I518)</f>
        <v/>
      </c>
      <c r="K520" s="5" t="str">
        <f>IF('SAÍDAS-BASE'!J518="","",'SAÍDAS-BASE'!J518)</f>
        <v/>
      </c>
      <c r="L520" t="str">
        <f>IF(TABELA_SAIDAS[[#This Row],[UF]]="","",IFERROR(IF(VLOOKUP(TABELA_SAIDAS[[#This Row],[VALOR]],TABELA_ENTRADAS[VALOR],1,FALSE),"DEVOLUÇÃO"),"SEM ENTRADAS"))</f>
        <v/>
      </c>
    </row>
    <row r="521" spans="2:12" x14ac:dyDescent="0.3">
      <c r="B521" t="str">
        <f>IF('SAÍDAS-BASE'!A519="","",'SAÍDAS-BASE'!A519)</f>
        <v/>
      </c>
      <c r="C521" t="str">
        <f>IF('SAÍDAS-BASE'!B519="","",'SAÍDAS-BASE'!B519)</f>
        <v/>
      </c>
      <c r="D521" t="str">
        <f>IF('SAÍDAS-BASE'!C519="","",'SAÍDAS-BASE'!C519)</f>
        <v/>
      </c>
      <c r="E521" s="7" t="str">
        <f>IF('SAÍDAS-BASE'!D519="","",'SAÍDAS-BASE'!D519)</f>
        <v/>
      </c>
      <c r="F521" s="6" t="str">
        <f>IF('SAÍDAS-BASE'!E519="","",'SAÍDAS-BASE'!E519)</f>
        <v/>
      </c>
      <c r="G521" t="str">
        <f>IF('SAÍDAS-BASE'!F519="","",'SAÍDAS-BASE'!F519)</f>
        <v/>
      </c>
      <c r="H521" t="str">
        <f>IF('SAÍDAS-BASE'!G519="","",'SAÍDAS-BASE'!G519)</f>
        <v/>
      </c>
      <c r="I521" t="str">
        <f>IF('SAÍDAS-BASE'!H519="","",'SAÍDAS-BASE'!H519)</f>
        <v/>
      </c>
      <c r="J521" t="str">
        <f>IF('SAÍDAS-BASE'!I519="","",'SAÍDAS-BASE'!I519)</f>
        <v/>
      </c>
      <c r="K521" s="5" t="str">
        <f>IF('SAÍDAS-BASE'!J519="","",'SAÍDAS-BASE'!J519)</f>
        <v/>
      </c>
      <c r="L521" t="str">
        <f>IF(TABELA_SAIDAS[[#This Row],[UF]]="","",IFERROR(IF(VLOOKUP(TABELA_SAIDAS[[#This Row],[VALOR]],TABELA_ENTRADAS[VALOR],1,FALSE),"DEVOLUÇÃO"),"SEM ENTRADAS"))</f>
        <v/>
      </c>
    </row>
    <row r="522" spans="2:12" x14ac:dyDescent="0.3">
      <c r="B522" t="str">
        <f>IF('SAÍDAS-BASE'!A520="","",'SAÍDAS-BASE'!A520)</f>
        <v/>
      </c>
      <c r="C522" t="str">
        <f>IF('SAÍDAS-BASE'!B520="","",'SAÍDAS-BASE'!B520)</f>
        <v/>
      </c>
      <c r="D522" t="str">
        <f>IF('SAÍDAS-BASE'!C520="","",'SAÍDAS-BASE'!C520)</f>
        <v/>
      </c>
      <c r="E522" s="7" t="str">
        <f>IF('SAÍDAS-BASE'!D520="","",'SAÍDAS-BASE'!D520)</f>
        <v/>
      </c>
      <c r="F522" s="6" t="str">
        <f>IF('SAÍDAS-BASE'!E520="","",'SAÍDAS-BASE'!E520)</f>
        <v/>
      </c>
      <c r="G522" t="str">
        <f>IF('SAÍDAS-BASE'!F520="","",'SAÍDAS-BASE'!F520)</f>
        <v/>
      </c>
      <c r="H522" t="str">
        <f>IF('SAÍDAS-BASE'!G520="","",'SAÍDAS-BASE'!G520)</f>
        <v/>
      </c>
      <c r="I522" t="str">
        <f>IF('SAÍDAS-BASE'!H520="","",'SAÍDAS-BASE'!H520)</f>
        <v/>
      </c>
      <c r="J522" t="str">
        <f>IF('SAÍDAS-BASE'!I520="","",'SAÍDAS-BASE'!I520)</f>
        <v/>
      </c>
      <c r="K522" s="5" t="str">
        <f>IF('SAÍDAS-BASE'!J520="","",'SAÍDAS-BASE'!J520)</f>
        <v/>
      </c>
      <c r="L522" t="str">
        <f>IF(TABELA_SAIDAS[[#This Row],[UF]]="","",IFERROR(IF(VLOOKUP(TABELA_SAIDAS[[#This Row],[VALOR]],TABELA_ENTRADAS[VALOR],1,FALSE),"DEVOLUÇÃO"),"SEM ENTRADAS"))</f>
        <v/>
      </c>
    </row>
    <row r="523" spans="2:12" x14ac:dyDescent="0.3">
      <c r="B523" t="str">
        <f>IF('SAÍDAS-BASE'!A521="","",'SAÍDAS-BASE'!A521)</f>
        <v/>
      </c>
      <c r="C523" t="str">
        <f>IF('SAÍDAS-BASE'!B521="","",'SAÍDAS-BASE'!B521)</f>
        <v/>
      </c>
      <c r="D523" t="str">
        <f>IF('SAÍDAS-BASE'!C521="","",'SAÍDAS-BASE'!C521)</f>
        <v/>
      </c>
      <c r="E523" s="7" t="str">
        <f>IF('SAÍDAS-BASE'!D521="","",'SAÍDAS-BASE'!D521)</f>
        <v/>
      </c>
      <c r="F523" s="6" t="str">
        <f>IF('SAÍDAS-BASE'!E521="","",'SAÍDAS-BASE'!E521)</f>
        <v/>
      </c>
      <c r="G523" t="str">
        <f>IF('SAÍDAS-BASE'!F521="","",'SAÍDAS-BASE'!F521)</f>
        <v/>
      </c>
      <c r="H523" t="str">
        <f>IF('SAÍDAS-BASE'!G521="","",'SAÍDAS-BASE'!G521)</f>
        <v/>
      </c>
      <c r="I523" t="str">
        <f>IF('SAÍDAS-BASE'!H521="","",'SAÍDAS-BASE'!H521)</f>
        <v/>
      </c>
      <c r="J523" t="str">
        <f>IF('SAÍDAS-BASE'!I521="","",'SAÍDAS-BASE'!I521)</f>
        <v/>
      </c>
      <c r="K523" s="5" t="str">
        <f>IF('SAÍDAS-BASE'!J521="","",'SAÍDAS-BASE'!J521)</f>
        <v/>
      </c>
      <c r="L523" t="str">
        <f>IF(TABELA_SAIDAS[[#This Row],[UF]]="","",IFERROR(IF(VLOOKUP(TABELA_SAIDAS[[#This Row],[VALOR]],TABELA_ENTRADAS[VALOR],1,FALSE),"DEVOLUÇÃO"),"SEM ENTRADAS"))</f>
        <v/>
      </c>
    </row>
    <row r="524" spans="2:12" x14ac:dyDescent="0.3">
      <c r="B524" t="str">
        <f>IF('SAÍDAS-BASE'!A522="","",'SAÍDAS-BASE'!A522)</f>
        <v/>
      </c>
      <c r="C524" t="str">
        <f>IF('SAÍDAS-BASE'!B522="","",'SAÍDAS-BASE'!B522)</f>
        <v/>
      </c>
      <c r="D524" t="str">
        <f>IF('SAÍDAS-BASE'!C522="","",'SAÍDAS-BASE'!C522)</f>
        <v/>
      </c>
      <c r="E524" s="7" t="str">
        <f>IF('SAÍDAS-BASE'!D522="","",'SAÍDAS-BASE'!D522)</f>
        <v/>
      </c>
      <c r="F524" s="6" t="str">
        <f>IF('SAÍDAS-BASE'!E522="","",'SAÍDAS-BASE'!E522)</f>
        <v/>
      </c>
      <c r="G524" t="str">
        <f>IF('SAÍDAS-BASE'!F522="","",'SAÍDAS-BASE'!F522)</f>
        <v/>
      </c>
      <c r="H524" t="str">
        <f>IF('SAÍDAS-BASE'!G522="","",'SAÍDAS-BASE'!G522)</f>
        <v/>
      </c>
      <c r="I524" t="str">
        <f>IF('SAÍDAS-BASE'!H522="","",'SAÍDAS-BASE'!H522)</f>
        <v/>
      </c>
      <c r="J524" t="str">
        <f>IF('SAÍDAS-BASE'!I522="","",'SAÍDAS-BASE'!I522)</f>
        <v/>
      </c>
      <c r="K524" s="5" t="str">
        <f>IF('SAÍDAS-BASE'!J522="","",'SAÍDAS-BASE'!J522)</f>
        <v/>
      </c>
      <c r="L524" t="str">
        <f>IF(TABELA_SAIDAS[[#This Row],[UF]]="","",IFERROR(IF(VLOOKUP(TABELA_SAIDAS[[#This Row],[VALOR]],TABELA_ENTRADAS[VALOR],1,FALSE),"DEVOLUÇÃO"),"SEM ENTRADAS"))</f>
        <v/>
      </c>
    </row>
    <row r="525" spans="2:12" x14ac:dyDescent="0.3">
      <c r="B525" t="str">
        <f>IF('SAÍDAS-BASE'!A523="","",'SAÍDAS-BASE'!A523)</f>
        <v/>
      </c>
      <c r="C525" t="str">
        <f>IF('SAÍDAS-BASE'!B523="","",'SAÍDAS-BASE'!B523)</f>
        <v/>
      </c>
      <c r="D525" t="str">
        <f>IF('SAÍDAS-BASE'!C523="","",'SAÍDAS-BASE'!C523)</f>
        <v/>
      </c>
      <c r="E525" s="7" t="str">
        <f>IF('SAÍDAS-BASE'!D523="","",'SAÍDAS-BASE'!D523)</f>
        <v/>
      </c>
      <c r="F525" s="6" t="str">
        <f>IF('SAÍDAS-BASE'!E523="","",'SAÍDAS-BASE'!E523)</f>
        <v/>
      </c>
      <c r="G525" t="str">
        <f>IF('SAÍDAS-BASE'!F523="","",'SAÍDAS-BASE'!F523)</f>
        <v/>
      </c>
      <c r="H525" t="str">
        <f>IF('SAÍDAS-BASE'!G523="","",'SAÍDAS-BASE'!G523)</f>
        <v/>
      </c>
      <c r="I525" t="str">
        <f>IF('SAÍDAS-BASE'!H523="","",'SAÍDAS-BASE'!H523)</f>
        <v/>
      </c>
      <c r="J525" t="str">
        <f>IF('SAÍDAS-BASE'!I523="","",'SAÍDAS-BASE'!I523)</f>
        <v/>
      </c>
      <c r="K525" s="5" t="str">
        <f>IF('SAÍDAS-BASE'!J523="","",'SAÍDAS-BASE'!J523)</f>
        <v/>
      </c>
      <c r="L525" t="str">
        <f>IF(TABELA_SAIDAS[[#This Row],[UF]]="","",IFERROR(IF(VLOOKUP(TABELA_SAIDAS[[#This Row],[VALOR]],TABELA_ENTRADAS[VALOR],1,FALSE),"DEVOLUÇÃO"),"SEM ENTRADAS"))</f>
        <v/>
      </c>
    </row>
    <row r="526" spans="2:12" x14ac:dyDescent="0.3">
      <c r="B526" t="str">
        <f>IF('SAÍDAS-BASE'!A524="","",'SAÍDAS-BASE'!A524)</f>
        <v/>
      </c>
      <c r="C526" t="str">
        <f>IF('SAÍDAS-BASE'!B524="","",'SAÍDAS-BASE'!B524)</f>
        <v/>
      </c>
      <c r="D526" t="str">
        <f>IF('SAÍDAS-BASE'!C524="","",'SAÍDAS-BASE'!C524)</f>
        <v/>
      </c>
      <c r="E526" s="7" t="str">
        <f>IF('SAÍDAS-BASE'!D524="","",'SAÍDAS-BASE'!D524)</f>
        <v/>
      </c>
      <c r="F526" s="6" t="str">
        <f>IF('SAÍDAS-BASE'!E524="","",'SAÍDAS-BASE'!E524)</f>
        <v/>
      </c>
      <c r="G526" t="str">
        <f>IF('SAÍDAS-BASE'!F524="","",'SAÍDAS-BASE'!F524)</f>
        <v/>
      </c>
      <c r="H526" t="str">
        <f>IF('SAÍDAS-BASE'!G524="","",'SAÍDAS-BASE'!G524)</f>
        <v/>
      </c>
      <c r="I526" t="str">
        <f>IF('SAÍDAS-BASE'!H524="","",'SAÍDAS-BASE'!H524)</f>
        <v/>
      </c>
      <c r="J526" t="str">
        <f>IF('SAÍDAS-BASE'!I524="","",'SAÍDAS-BASE'!I524)</f>
        <v/>
      </c>
      <c r="K526" s="5" t="str">
        <f>IF('SAÍDAS-BASE'!J524="","",'SAÍDAS-BASE'!J524)</f>
        <v/>
      </c>
      <c r="L526" t="str">
        <f>IF(TABELA_SAIDAS[[#This Row],[UF]]="","",IFERROR(IF(VLOOKUP(TABELA_SAIDAS[[#This Row],[VALOR]],TABELA_ENTRADAS[VALOR],1,FALSE),"DEVOLUÇÃO"),"SEM ENTRADAS"))</f>
        <v/>
      </c>
    </row>
    <row r="527" spans="2:12" x14ac:dyDescent="0.3">
      <c r="B527" t="str">
        <f>IF('SAÍDAS-BASE'!A525="","",'SAÍDAS-BASE'!A525)</f>
        <v/>
      </c>
      <c r="C527" t="str">
        <f>IF('SAÍDAS-BASE'!B525="","",'SAÍDAS-BASE'!B525)</f>
        <v/>
      </c>
      <c r="D527" t="str">
        <f>IF('SAÍDAS-BASE'!C525="","",'SAÍDAS-BASE'!C525)</f>
        <v/>
      </c>
      <c r="E527" s="7" t="str">
        <f>IF('SAÍDAS-BASE'!D525="","",'SAÍDAS-BASE'!D525)</f>
        <v/>
      </c>
      <c r="F527" s="6" t="str">
        <f>IF('SAÍDAS-BASE'!E525="","",'SAÍDAS-BASE'!E525)</f>
        <v/>
      </c>
      <c r="G527" t="str">
        <f>IF('SAÍDAS-BASE'!F525="","",'SAÍDAS-BASE'!F525)</f>
        <v/>
      </c>
      <c r="H527" t="str">
        <f>IF('SAÍDAS-BASE'!G525="","",'SAÍDAS-BASE'!G525)</f>
        <v/>
      </c>
      <c r="I527" t="str">
        <f>IF('SAÍDAS-BASE'!H525="","",'SAÍDAS-BASE'!H525)</f>
        <v/>
      </c>
      <c r="J527" t="str">
        <f>IF('SAÍDAS-BASE'!I525="","",'SAÍDAS-BASE'!I525)</f>
        <v/>
      </c>
      <c r="K527" s="5" t="str">
        <f>IF('SAÍDAS-BASE'!J525="","",'SAÍDAS-BASE'!J525)</f>
        <v/>
      </c>
      <c r="L527" t="str">
        <f>IF(TABELA_SAIDAS[[#This Row],[UF]]="","",IFERROR(IF(VLOOKUP(TABELA_SAIDAS[[#This Row],[VALOR]],TABELA_ENTRADAS[VALOR],1,FALSE),"DEVOLUÇÃO"),"SEM ENTRADAS"))</f>
        <v/>
      </c>
    </row>
    <row r="528" spans="2:12" x14ac:dyDescent="0.3">
      <c r="B528" t="str">
        <f>IF('SAÍDAS-BASE'!A526="","",'SAÍDAS-BASE'!A526)</f>
        <v/>
      </c>
      <c r="C528" t="str">
        <f>IF('SAÍDAS-BASE'!B526="","",'SAÍDAS-BASE'!B526)</f>
        <v/>
      </c>
      <c r="D528" t="str">
        <f>IF('SAÍDAS-BASE'!C526="","",'SAÍDAS-BASE'!C526)</f>
        <v/>
      </c>
      <c r="E528" s="7" t="str">
        <f>IF('SAÍDAS-BASE'!D526="","",'SAÍDAS-BASE'!D526)</f>
        <v/>
      </c>
      <c r="F528" s="6" t="str">
        <f>IF('SAÍDAS-BASE'!E526="","",'SAÍDAS-BASE'!E526)</f>
        <v/>
      </c>
      <c r="G528" t="str">
        <f>IF('SAÍDAS-BASE'!F526="","",'SAÍDAS-BASE'!F526)</f>
        <v/>
      </c>
      <c r="H528" t="str">
        <f>IF('SAÍDAS-BASE'!G526="","",'SAÍDAS-BASE'!G526)</f>
        <v/>
      </c>
      <c r="I528" t="str">
        <f>IF('SAÍDAS-BASE'!H526="","",'SAÍDAS-BASE'!H526)</f>
        <v/>
      </c>
      <c r="J528" t="str">
        <f>IF('SAÍDAS-BASE'!I526="","",'SAÍDAS-BASE'!I526)</f>
        <v/>
      </c>
      <c r="K528" s="5" t="str">
        <f>IF('SAÍDAS-BASE'!J526="","",'SAÍDAS-BASE'!J526)</f>
        <v/>
      </c>
      <c r="L528" t="str">
        <f>IF(TABELA_SAIDAS[[#This Row],[UF]]="","",IFERROR(IF(VLOOKUP(TABELA_SAIDAS[[#This Row],[VALOR]],TABELA_ENTRADAS[VALOR],1,FALSE),"DEVOLUÇÃO"),"SEM ENTRADAS"))</f>
        <v/>
      </c>
    </row>
    <row r="529" spans="2:12" x14ac:dyDescent="0.3">
      <c r="B529" t="str">
        <f>IF('SAÍDAS-BASE'!A527="","",'SAÍDAS-BASE'!A527)</f>
        <v/>
      </c>
      <c r="C529" t="str">
        <f>IF('SAÍDAS-BASE'!B527="","",'SAÍDAS-BASE'!B527)</f>
        <v/>
      </c>
      <c r="D529" t="str">
        <f>IF('SAÍDAS-BASE'!C527="","",'SAÍDAS-BASE'!C527)</f>
        <v/>
      </c>
      <c r="E529" s="7" t="str">
        <f>IF('SAÍDAS-BASE'!D527="","",'SAÍDAS-BASE'!D527)</f>
        <v/>
      </c>
      <c r="F529" s="6" t="str">
        <f>IF('SAÍDAS-BASE'!E527="","",'SAÍDAS-BASE'!E527)</f>
        <v/>
      </c>
      <c r="G529" t="str">
        <f>IF('SAÍDAS-BASE'!F527="","",'SAÍDAS-BASE'!F527)</f>
        <v/>
      </c>
      <c r="H529" t="str">
        <f>IF('SAÍDAS-BASE'!G527="","",'SAÍDAS-BASE'!G527)</f>
        <v/>
      </c>
      <c r="I529" t="str">
        <f>IF('SAÍDAS-BASE'!H527="","",'SAÍDAS-BASE'!H527)</f>
        <v/>
      </c>
      <c r="J529" t="str">
        <f>IF('SAÍDAS-BASE'!I527="","",'SAÍDAS-BASE'!I527)</f>
        <v/>
      </c>
      <c r="K529" s="5" t="str">
        <f>IF('SAÍDAS-BASE'!J527="","",'SAÍDAS-BASE'!J527)</f>
        <v/>
      </c>
      <c r="L529" t="str">
        <f>IF(TABELA_SAIDAS[[#This Row],[UF]]="","",IFERROR(IF(VLOOKUP(TABELA_SAIDAS[[#This Row],[VALOR]],TABELA_ENTRADAS[VALOR],1,FALSE),"DEVOLUÇÃO"),"SEM ENTRADAS"))</f>
        <v/>
      </c>
    </row>
    <row r="530" spans="2:12" x14ac:dyDescent="0.3">
      <c r="B530" t="str">
        <f>IF('SAÍDAS-BASE'!A528="","",'SAÍDAS-BASE'!A528)</f>
        <v/>
      </c>
      <c r="C530" t="str">
        <f>IF('SAÍDAS-BASE'!B528="","",'SAÍDAS-BASE'!B528)</f>
        <v/>
      </c>
      <c r="D530" t="str">
        <f>IF('SAÍDAS-BASE'!C528="","",'SAÍDAS-BASE'!C528)</f>
        <v/>
      </c>
      <c r="E530" s="7" t="str">
        <f>IF('SAÍDAS-BASE'!D528="","",'SAÍDAS-BASE'!D528)</f>
        <v/>
      </c>
      <c r="F530" s="6" t="str">
        <f>IF('SAÍDAS-BASE'!E528="","",'SAÍDAS-BASE'!E528)</f>
        <v/>
      </c>
      <c r="G530" t="str">
        <f>IF('SAÍDAS-BASE'!F528="","",'SAÍDAS-BASE'!F528)</f>
        <v/>
      </c>
      <c r="H530" t="str">
        <f>IF('SAÍDAS-BASE'!G528="","",'SAÍDAS-BASE'!G528)</f>
        <v/>
      </c>
      <c r="I530" t="str">
        <f>IF('SAÍDAS-BASE'!H528="","",'SAÍDAS-BASE'!H528)</f>
        <v/>
      </c>
      <c r="J530" t="str">
        <f>IF('SAÍDAS-BASE'!I528="","",'SAÍDAS-BASE'!I528)</f>
        <v/>
      </c>
      <c r="K530" s="5" t="str">
        <f>IF('SAÍDAS-BASE'!J528="","",'SAÍDAS-BASE'!J528)</f>
        <v/>
      </c>
      <c r="L530" t="str">
        <f>IF(TABELA_SAIDAS[[#This Row],[UF]]="","",IFERROR(IF(VLOOKUP(TABELA_SAIDAS[[#This Row],[VALOR]],TABELA_ENTRADAS[VALOR],1,FALSE),"DEVOLUÇÃO"),"SEM ENTRADAS"))</f>
        <v/>
      </c>
    </row>
    <row r="531" spans="2:12" x14ac:dyDescent="0.3">
      <c r="B531" t="str">
        <f>IF('SAÍDAS-BASE'!A529="","",'SAÍDAS-BASE'!A529)</f>
        <v/>
      </c>
      <c r="C531" t="str">
        <f>IF('SAÍDAS-BASE'!B529="","",'SAÍDAS-BASE'!B529)</f>
        <v/>
      </c>
      <c r="D531" t="str">
        <f>IF('SAÍDAS-BASE'!C529="","",'SAÍDAS-BASE'!C529)</f>
        <v/>
      </c>
      <c r="E531" s="7" t="str">
        <f>IF('SAÍDAS-BASE'!D529="","",'SAÍDAS-BASE'!D529)</f>
        <v/>
      </c>
      <c r="F531" s="6" t="str">
        <f>IF('SAÍDAS-BASE'!E529="","",'SAÍDAS-BASE'!E529)</f>
        <v/>
      </c>
      <c r="G531" t="str">
        <f>IF('SAÍDAS-BASE'!F529="","",'SAÍDAS-BASE'!F529)</f>
        <v/>
      </c>
      <c r="H531" t="str">
        <f>IF('SAÍDAS-BASE'!G529="","",'SAÍDAS-BASE'!G529)</f>
        <v/>
      </c>
      <c r="I531" t="str">
        <f>IF('SAÍDAS-BASE'!H529="","",'SAÍDAS-BASE'!H529)</f>
        <v/>
      </c>
      <c r="J531" t="str">
        <f>IF('SAÍDAS-BASE'!I529="","",'SAÍDAS-BASE'!I529)</f>
        <v/>
      </c>
      <c r="K531" s="5" t="str">
        <f>IF('SAÍDAS-BASE'!J529="","",'SAÍDAS-BASE'!J529)</f>
        <v/>
      </c>
      <c r="L531" t="str">
        <f>IF(TABELA_SAIDAS[[#This Row],[UF]]="","",IFERROR(IF(VLOOKUP(TABELA_SAIDAS[[#This Row],[VALOR]],TABELA_ENTRADAS[VALOR],1,FALSE),"DEVOLUÇÃO"),"SEM ENTRADAS"))</f>
        <v/>
      </c>
    </row>
    <row r="532" spans="2:12" x14ac:dyDescent="0.3">
      <c r="B532" t="str">
        <f>IF('SAÍDAS-BASE'!A530="","",'SAÍDAS-BASE'!A530)</f>
        <v/>
      </c>
      <c r="C532" t="str">
        <f>IF('SAÍDAS-BASE'!B530="","",'SAÍDAS-BASE'!B530)</f>
        <v/>
      </c>
      <c r="D532" t="str">
        <f>IF('SAÍDAS-BASE'!C530="","",'SAÍDAS-BASE'!C530)</f>
        <v/>
      </c>
      <c r="E532" s="7" t="str">
        <f>IF('SAÍDAS-BASE'!D530="","",'SAÍDAS-BASE'!D530)</f>
        <v/>
      </c>
      <c r="F532" s="6" t="str">
        <f>IF('SAÍDAS-BASE'!E530="","",'SAÍDAS-BASE'!E530)</f>
        <v/>
      </c>
      <c r="G532" t="str">
        <f>IF('SAÍDAS-BASE'!F530="","",'SAÍDAS-BASE'!F530)</f>
        <v/>
      </c>
      <c r="H532" t="str">
        <f>IF('SAÍDAS-BASE'!G530="","",'SAÍDAS-BASE'!G530)</f>
        <v/>
      </c>
      <c r="I532" t="str">
        <f>IF('SAÍDAS-BASE'!H530="","",'SAÍDAS-BASE'!H530)</f>
        <v/>
      </c>
      <c r="J532" t="str">
        <f>IF('SAÍDAS-BASE'!I530="","",'SAÍDAS-BASE'!I530)</f>
        <v/>
      </c>
      <c r="K532" s="5" t="str">
        <f>IF('SAÍDAS-BASE'!J530="","",'SAÍDAS-BASE'!J530)</f>
        <v/>
      </c>
      <c r="L532" t="str">
        <f>IF(TABELA_SAIDAS[[#This Row],[UF]]="","",IFERROR(IF(VLOOKUP(TABELA_SAIDAS[[#This Row],[VALOR]],TABELA_ENTRADAS[VALOR],1,FALSE),"DEVOLUÇÃO"),"SEM ENTRADAS"))</f>
        <v/>
      </c>
    </row>
    <row r="533" spans="2:12" x14ac:dyDescent="0.3">
      <c r="B533" t="str">
        <f>IF('SAÍDAS-BASE'!A531="","",'SAÍDAS-BASE'!A531)</f>
        <v/>
      </c>
      <c r="C533" t="str">
        <f>IF('SAÍDAS-BASE'!B531="","",'SAÍDAS-BASE'!B531)</f>
        <v/>
      </c>
      <c r="D533" t="str">
        <f>IF('SAÍDAS-BASE'!C531="","",'SAÍDAS-BASE'!C531)</f>
        <v/>
      </c>
      <c r="E533" s="7" t="str">
        <f>IF('SAÍDAS-BASE'!D531="","",'SAÍDAS-BASE'!D531)</f>
        <v/>
      </c>
      <c r="F533" s="6" t="str">
        <f>IF('SAÍDAS-BASE'!E531="","",'SAÍDAS-BASE'!E531)</f>
        <v/>
      </c>
      <c r="G533" t="str">
        <f>IF('SAÍDAS-BASE'!F531="","",'SAÍDAS-BASE'!F531)</f>
        <v/>
      </c>
      <c r="H533" t="str">
        <f>IF('SAÍDAS-BASE'!G531="","",'SAÍDAS-BASE'!G531)</f>
        <v/>
      </c>
      <c r="I533" t="str">
        <f>IF('SAÍDAS-BASE'!H531="","",'SAÍDAS-BASE'!H531)</f>
        <v/>
      </c>
      <c r="J533" t="str">
        <f>IF('SAÍDAS-BASE'!I531="","",'SAÍDAS-BASE'!I531)</f>
        <v/>
      </c>
      <c r="K533" s="5" t="str">
        <f>IF('SAÍDAS-BASE'!J531="","",'SAÍDAS-BASE'!J531)</f>
        <v/>
      </c>
      <c r="L533" t="str">
        <f>IF(TABELA_SAIDAS[[#This Row],[UF]]="","",IFERROR(IF(VLOOKUP(TABELA_SAIDAS[[#This Row],[VALOR]],TABELA_ENTRADAS[VALOR],1,FALSE),"DEVOLUÇÃO"),"SEM ENTRADAS"))</f>
        <v/>
      </c>
    </row>
    <row r="534" spans="2:12" x14ac:dyDescent="0.3">
      <c r="B534" t="str">
        <f>IF('SAÍDAS-BASE'!A532="","",'SAÍDAS-BASE'!A532)</f>
        <v/>
      </c>
      <c r="C534" t="str">
        <f>IF('SAÍDAS-BASE'!B532="","",'SAÍDAS-BASE'!B532)</f>
        <v/>
      </c>
      <c r="D534" t="str">
        <f>IF('SAÍDAS-BASE'!C532="","",'SAÍDAS-BASE'!C532)</f>
        <v/>
      </c>
      <c r="E534" s="7" t="str">
        <f>IF('SAÍDAS-BASE'!D532="","",'SAÍDAS-BASE'!D532)</f>
        <v/>
      </c>
      <c r="F534" s="6" t="str">
        <f>IF('SAÍDAS-BASE'!E532="","",'SAÍDAS-BASE'!E532)</f>
        <v/>
      </c>
      <c r="G534" t="str">
        <f>IF('SAÍDAS-BASE'!F532="","",'SAÍDAS-BASE'!F532)</f>
        <v/>
      </c>
      <c r="H534" t="str">
        <f>IF('SAÍDAS-BASE'!G532="","",'SAÍDAS-BASE'!G532)</f>
        <v/>
      </c>
      <c r="I534" t="str">
        <f>IF('SAÍDAS-BASE'!H532="","",'SAÍDAS-BASE'!H532)</f>
        <v/>
      </c>
      <c r="J534" t="str">
        <f>IF('SAÍDAS-BASE'!I532="","",'SAÍDAS-BASE'!I532)</f>
        <v/>
      </c>
      <c r="K534" s="5" t="str">
        <f>IF('SAÍDAS-BASE'!J532="","",'SAÍDAS-BASE'!J532)</f>
        <v/>
      </c>
      <c r="L534" t="str">
        <f>IF(TABELA_SAIDAS[[#This Row],[UF]]="","",IFERROR(IF(VLOOKUP(TABELA_SAIDAS[[#This Row],[VALOR]],TABELA_ENTRADAS[VALOR],1,FALSE),"DEVOLUÇÃO"),"SEM ENTRADAS"))</f>
        <v/>
      </c>
    </row>
    <row r="535" spans="2:12" x14ac:dyDescent="0.3">
      <c r="B535" t="str">
        <f>IF('SAÍDAS-BASE'!A533="","",'SAÍDAS-BASE'!A533)</f>
        <v/>
      </c>
      <c r="C535" t="str">
        <f>IF('SAÍDAS-BASE'!B533="","",'SAÍDAS-BASE'!B533)</f>
        <v/>
      </c>
      <c r="D535" t="str">
        <f>IF('SAÍDAS-BASE'!C533="","",'SAÍDAS-BASE'!C533)</f>
        <v/>
      </c>
      <c r="E535" s="7" t="str">
        <f>IF('SAÍDAS-BASE'!D533="","",'SAÍDAS-BASE'!D533)</f>
        <v/>
      </c>
      <c r="F535" s="6" t="str">
        <f>IF('SAÍDAS-BASE'!E533="","",'SAÍDAS-BASE'!E533)</f>
        <v/>
      </c>
      <c r="G535" t="str">
        <f>IF('SAÍDAS-BASE'!F533="","",'SAÍDAS-BASE'!F533)</f>
        <v/>
      </c>
      <c r="H535" t="str">
        <f>IF('SAÍDAS-BASE'!G533="","",'SAÍDAS-BASE'!G533)</f>
        <v/>
      </c>
      <c r="I535" t="str">
        <f>IF('SAÍDAS-BASE'!H533="","",'SAÍDAS-BASE'!H533)</f>
        <v/>
      </c>
      <c r="J535" t="str">
        <f>IF('SAÍDAS-BASE'!I533="","",'SAÍDAS-BASE'!I533)</f>
        <v/>
      </c>
      <c r="K535" s="5" t="str">
        <f>IF('SAÍDAS-BASE'!J533="","",'SAÍDAS-BASE'!J533)</f>
        <v/>
      </c>
      <c r="L535" t="str">
        <f>IF(TABELA_SAIDAS[[#This Row],[UF]]="","",IFERROR(IF(VLOOKUP(TABELA_SAIDAS[[#This Row],[VALOR]],TABELA_ENTRADAS[VALOR],1,FALSE),"DEVOLUÇÃO"),"SEM ENTRADAS"))</f>
        <v/>
      </c>
    </row>
    <row r="536" spans="2:12" x14ac:dyDescent="0.3">
      <c r="B536" t="str">
        <f>IF('SAÍDAS-BASE'!A534="","",'SAÍDAS-BASE'!A534)</f>
        <v/>
      </c>
      <c r="C536" t="str">
        <f>IF('SAÍDAS-BASE'!B534="","",'SAÍDAS-BASE'!B534)</f>
        <v/>
      </c>
      <c r="D536" t="str">
        <f>IF('SAÍDAS-BASE'!C534="","",'SAÍDAS-BASE'!C534)</f>
        <v/>
      </c>
      <c r="E536" s="7" t="str">
        <f>IF('SAÍDAS-BASE'!D534="","",'SAÍDAS-BASE'!D534)</f>
        <v/>
      </c>
      <c r="F536" s="6" t="str">
        <f>IF('SAÍDAS-BASE'!E534="","",'SAÍDAS-BASE'!E534)</f>
        <v/>
      </c>
      <c r="G536" t="str">
        <f>IF('SAÍDAS-BASE'!F534="","",'SAÍDAS-BASE'!F534)</f>
        <v/>
      </c>
      <c r="H536" t="str">
        <f>IF('SAÍDAS-BASE'!G534="","",'SAÍDAS-BASE'!G534)</f>
        <v/>
      </c>
      <c r="I536" t="str">
        <f>IF('SAÍDAS-BASE'!H534="","",'SAÍDAS-BASE'!H534)</f>
        <v/>
      </c>
      <c r="J536" t="str">
        <f>IF('SAÍDAS-BASE'!I534="","",'SAÍDAS-BASE'!I534)</f>
        <v/>
      </c>
      <c r="K536" s="5" t="str">
        <f>IF('SAÍDAS-BASE'!J534="","",'SAÍDAS-BASE'!J534)</f>
        <v/>
      </c>
      <c r="L536" t="str">
        <f>IF(TABELA_SAIDAS[[#This Row],[UF]]="","",IFERROR(IF(VLOOKUP(TABELA_SAIDAS[[#This Row],[VALOR]],TABELA_ENTRADAS[VALOR],1,FALSE),"DEVOLUÇÃO"),"SEM ENTRADAS"))</f>
        <v/>
      </c>
    </row>
    <row r="537" spans="2:12" x14ac:dyDescent="0.3">
      <c r="B537" t="str">
        <f>IF('SAÍDAS-BASE'!A535="","",'SAÍDAS-BASE'!A535)</f>
        <v/>
      </c>
      <c r="C537" t="str">
        <f>IF('SAÍDAS-BASE'!B535="","",'SAÍDAS-BASE'!B535)</f>
        <v/>
      </c>
      <c r="D537" t="str">
        <f>IF('SAÍDAS-BASE'!C535="","",'SAÍDAS-BASE'!C535)</f>
        <v/>
      </c>
      <c r="E537" s="7" t="str">
        <f>IF('SAÍDAS-BASE'!D535="","",'SAÍDAS-BASE'!D535)</f>
        <v/>
      </c>
      <c r="F537" s="6" t="str">
        <f>IF('SAÍDAS-BASE'!E535="","",'SAÍDAS-BASE'!E535)</f>
        <v/>
      </c>
      <c r="G537" t="str">
        <f>IF('SAÍDAS-BASE'!F535="","",'SAÍDAS-BASE'!F535)</f>
        <v/>
      </c>
      <c r="H537" t="str">
        <f>IF('SAÍDAS-BASE'!G535="","",'SAÍDAS-BASE'!G535)</f>
        <v/>
      </c>
      <c r="I537" t="str">
        <f>IF('SAÍDAS-BASE'!H535="","",'SAÍDAS-BASE'!H535)</f>
        <v/>
      </c>
      <c r="J537" t="str">
        <f>IF('SAÍDAS-BASE'!I535="","",'SAÍDAS-BASE'!I535)</f>
        <v/>
      </c>
      <c r="K537" s="5" t="str">
        <f>IF('SAÍDAS-BASE'!J535="","",'SAÍDAS-BASE'!J535)</f>
        <v/>
      </c>
      <c r="L537" t="str">
        <f>IF(TABELA_SAIDAS[[#This Row],[UF]]="","",IFERROR(IF(VLOOKUP(TABELA_SAIDAS[[#This Row],[VALOR]],TABELA_ENTRADAS[VALOR],1,FALSE),"DEVOLUÇÃO"),"SEM ENTRADAS"))</f>
        <v/>
      </c>
    </row>
    <row r="538" spans="2:12" x14ac:dyDescent="0.3">
      <c r="B538" t="str">
        <f>IF('SAÍDAS-BASE'!A536="","",'SAÍDAS-BASE'!A536)</f>
        <v/>
      </c>
      <c r="C538" t="str">
        <f>IF('SAÍDAS-BASE'!B536="","",'SAÍDAS-BASE'!B536)</f>
        <v/>
      </c>
      <c r="D538" t="str">
        <f>IF('SAÍDAS-BASE'!C536="","",'SAÍDAS-BASE'!C536)</f>
        <v/>
      </c>
      <c r="E538" s="7" t="str">
        <f>IF('SAÍDAS-BASE'!D536="","",'SAÍDAS-BASE'!D536)</f>
        <v/>
      </c>
      <c r="F538" s="6" t="str">
        <f>IF('SAÍDAS-BASE'!E536="","",'SAÍDAS-BASE'!E536)</f>
        <v/>
      </c>
      <c r="G538" t="str">
        <f>IF('SAÍDAS-BASE'!F536="","",'SAÍDAS-BASE'!F536)</f>
        <v/>
      </c>
      <c r="H538" t="str">
        <f>IF('SAÍDAS-BASE'!G536="","",'SAÍDAS-BASE'!G536)</f>
        <v/>
      </c>
      <c r="I538" t="str">
        <f>IF('SAÍDAS-BASE'!H536="","",'SAÍDAS-BASE'!H536)</f>
        <v/>
      </c>
      <c r="J538" t="str">
        <f>IF('SAÍDAS-BASE'!I536="","",'SAÍDAS-BASE'!I536)</f>
        <v/>
      </c>
      <c r="K538" s="5" t="str">
        <f>IF('SAÍDAS-BASE'!J536="","",'SAÍDAS-BASE'!J536)</f>
        <v/>
      </c>
      <c r="L538" t="str">
        <f>IF(TABELA_SAIDAS[[#This Row],[UF]]="","",IFERROR(IF(VLOOKUP(TABELA_SAIDAS[[#This Row],[VALOR]],TABELA_ENTRADAS[VALOR],1,FALSE),"DEVOLUÇÃO"),"SEM ENTRADAS"))</f>
        <v/>
      </c>
    </row>
    <row r="539" spans="2:12" x14ac:dyDescent="0.3">
      <c r="B539" t="str">
        <f>IF('SAÍDAS-BASE'!A537="","",'SAÍDAS-BASE'!A537)</f>
        <v/>
      </c>
      <c r="C539" t="str">
        <f>IF('SAÍDAS-BASE'!B537="","",'SAÍDAS-BASE'!B537)</f>
        <v/>
      </c>
      <c r="D539" t="str">
        <f>IF('SAÍDAS-BASE'!C537="","",'SAÍDAS-BASE'!C537)</f>
        <v/>
      </c>
      <c r="E539" s="7" t="str">
        <f>IF('SAÍDAS-BASE'!D537="","",'SAÍDAS-BASE'!D537)</f>
        <v/>
      </c>
      <c r="F539" s="6" t="str">
        <f>IF('SAÍDAS-BASE'!E537="","",'SAÍDAS-BASE'!E537)</f>
        <v/>
      </c>
      <c r="G539" t="str">
        <f>IF('SAÍDAS-BASE'!F537="","",'SAÍDAS-BASE'!F537)</f>
        <v/>
      </c>
      <c r="H539" t="str">
        <f>IF('SAÍDAS-BASE'!G537="","",'SAÍDAS-BASE'!G537)</f>
        <v/>
      </c>
      <c r="I539" t="str">
        <f>IF('SAÍDAS-BASE'!H537="","",'SAÍDAS-BASE'!H537)</f>
        <v/>
      </c>
      <c r="J539" t="str">
        <f>IF('SAÍDAS-BASE'!I537="","",'SAÍDAS-BASE'!I537)</f>
        <v/>
      </c>
      <c r="K539" s="5" t="str">
        <f>IF('SAÍDAS-BASE'!J537="","",'SAÍDAS-BASE'!J537)</f>
        <v/>
      </c>
      <c r="L539" t="str">
        <f>IF(TABELA_SAIDAS[[#This Row],[UF]]="","",IFERROR(IF(VLOOKUP(TABELA_SAIDAS[[#This Row],[VALOR]],TABELA_ENTRADAS[VALOR],1,FALSE),"DEVOLUÇÃO"),"SEM ENTRADAS"))</f>
        <v/>
      </c>
    </row>
    <row r="540" spans="2:12" x14ac:dyDescent="0.3">
      <c r="B540" t="str">
        <f>IF('SAÍDAS-BASE'!A538="","",'SAÍDAS-BASE'!A538)</f>
        <v/>
      </c>
      <c r="C540" t="str">
        <f>IF('SAÍDAS-BASE'!B538="","",'SAÍDAS-BASE'!B538)</f>
        <v/>
      </c>
      <c r="D540" t="str">
        <f>IF('SAÍDAS-BASE'!C538="","",'SAÍDAS-BASE'!C538)</f>
        <v/>
      </c>
      <c r="E540" s="7" t="str">
        <f>IF('SAÍDAS-BASE'!D538="","",'SAÍDAS-BASE'!D538)</f>
        <v/>
      </c>
      <c r="F540" s="6" t="str">
        <f>IF('SAÍDAS-BASE'!E538="","",'SAÍDAS-BASE'!E538)</f>
        <v/>
      </c>
      <c r="G540" t="str">
        <f>IF('SAÍDAS-BASE'!F538="","",'SAÍDAS-BASE'!F538)</f>
        <v/>
      </c>
      <c r="H540" t="str">
        <f>IF('SAÍDAS-BASE'!G538="","",'SAÍDAS-BASE'!G538)</f>
        <v/>
      </c>
      <c r="I540" t="str">
        <f>IF('SAÍDAS-BASE'!H538="","",'SAÍDAS-BASE'!H538)</f>
        <v/>
      </c>
      <c r="J540" t="str">
        <f>IF('SAÍDAS-BASE'!I538="","",'SAÍDAS-BASE'!I538)</f>
        <v/>
      </c>
      <c r="K540" s="5" t="str">
        <f>IF('SAÍDAS-BASE'!J538="","",'SAÍDAS-BASE'!J538)</f>
        <v/>
      </c>
      <c r="L540" t="str">
        <f>IF(TABELA_SAIDAS[[#This Row],[UF]]="","",IFERROR(IF(VLOOKUP(TABELA_SAIDAS[[#This Row],[VALOR]],TABELA_ENTRADAS[VALOR],1,FALSE),"DEVOLUÇÃO"),"SEM ENTRADAS"))</f>
        <v/>
      </c>
    </row>
    <row r="541" spans="2:12" x14ac:dyDescent="0.3">
      <c r="B541" t="str">
        <f>IF('SAÍDAS-BASE'!A539="","",'SAÍDAS-BASE'!A539)</f>
        <v/>
      </c>
      <c r="C541" t="str">
        <f>IF('SAÍDAS-BASE'!B539="","",'SAÍDAS-BASE'!B539)</f>
        <v/>
      </c>
      <c r="D541" t="str">
        <f>IF('SAÍDAS-BASE'!C539="","",'SAÍDAS-BASE'!C539)</f>
        <v/>
      </c>
      <c r="E541" s="7" t="str">
        <f>IF('SAÍDAS-BASE'!D539="","",'SAÍDAS-BASE'!D539)</f>
        <v/>
      </c>
      <c r="F541" s="6" t="str">
        <f>IF('SAÍDAS-BASE'!E539="","",'SAÍDAS-BASE'!E539)</f>
        <v/>
      </c>
      <c r="G541" t="str">
        <f>IF('SAÍDAS-BASE'!F539="","",'SAÍDAS-BASE'!F539)</f>
        <v/>
      </c>
      <c r="H541" t="str">
        <f>IF('SAÍDAS-BASE'!G539="","",'SAÍDAS-BASE'!G539)</f>
        <v/>
      </c>
      <c r="I541" t="str">
        <f>IF('SAÍDAS-BASE'!H539="","",'SAÍDAS-BASE'!H539)</f>
        <v/>
      </c>
      <c r="J541" t="str">
        <f>IF('SAÍDAS-BASE'!I539="","",'SAÍDAS-BASE'!I539)</f>
        <v/>
      </c>
      <c r="K541" s="5" t="str">
        <f>IF('SAÍDAS-BASE'!J539="","",'SAÍDAS-BASE'!J539)</f>
        <v/>
      </c>
      <c r="L541" t="str">
        <f>IF(TABELA_SAIDAS[[#This Row],[UF]]="","",IFERROR(IF(VLOOKUP(TABELA_SAIDAS[[#This Row],[VALOR]],TABELA_ENTRADAS[VALOR],1,FALSE),"DEVOLUÇÃO"),"SEM ENTRADAS"))</f>
        <v/>
      </c>
    </row>
    <row r="542" spans="2:12" x14ac:dyDescent="0.3">
      <c r="B542" t="str">
        <f>IF('SAÍDAS-BASE'!A540="","",'SAÍDAS-BASE'!A540)</f>
        <v/>
      </c>
      <c r="C542" t="str">
        <f>IF('SAÍDAS-BASE'!B540="","",'SAÍDAS-BASE'!B540)</f>
        <v/>
      </c>
      <c r="D542" t="str">
        <f>IF('SAÍDAS-BASE'!C540="","",'SAÍDAS-BASE'!C540)</f>
        <v/>
      </c>
      <c r="E542" s="7" t="str">
        <f>IF('SAÍDAS-BASE'!D540="","",'SAÍDAS-BASE'!D540)</f>
        <v/>
      </c>
      <c r="F542" s="6" t="str">
        <f>IF('SAÍDAS-BASE'!E540="","",'SAÍDAS-BASE'!E540)</f>
        <v/>
      </c>
      <c r="G542" t="str">
        <f>IF('SAÍDAS-BASE'!F540="","",'SAÍDAS-BASE'!F540)</f>
        <v/>
      </c>
      <c r="H542" t="str">
        <f>IF('SAÍDAS-BASE'!G540="","",'SAÍDAS-BASE'!G540)</f>
        <v/>
      </c>
      <c r="I542" t="str">
        <f>IF('SAÍDAS-BASE'!H540="","",'SAÍDAS-BASE'!H540)</f>
        <v/>
      </c>
      <c r="J542" t="str">
        <f>IF('SAÍDAS-BASE'!I540="","",'SAÍDAS-BASE'!I540)</f>
        <v/>
      </c>
      <c r="K542" s="5" t="str">
        <f>IF('SAÍDAS-BASE'!J540="","",'SAÍDAS-BASE'!J540)</f>
        <v/>
      </c>
      <c r="L542" t="str">
        <f>IF(TABELA_SAIDAS[[#This Row],[UF]]="","",IFERROR(IF(VLOOKUP(TABELA_SAIDAS[[#This Row],[VALOR]],TABELA_ENTRADAS[VALOR],1,FALSE),"DEVOLUÇÃO"),"SEM ENTRADAS"))</f>
        <v/>
      </c>
    </row>
    <row r="543" spans="2:12" x14ac:dyDescent="0.3">
      <c r="B543" t="str">
        <f>IF('SAÍDAS-BASE'!A541="","",'SAÍDAS-BASE'!A541)</f>
        <v/>
      </c>
      <c r="C543" t="str">
        <f>IF('SAÍDAS-BASE'!B541="","",'SAÍDAS-BASE'!B541)</f>
        <v/>
      </c>
      <c r="D543" t="str">
        <f>IF('SAÍDAS-BASE'!C541="","",'SAÍDAS-BASE'!C541)</f>
        <v/>
      </c>
      <c r="E543" s="7" t="str">
        <f>IF('SAÍDAS-BASE'!D541="","",'SAÍDAS-BASE'!D541)</f>
        <v/>
      </c>
      <c r="F543" s="6" t="str">
        <f>IF('SAÍDAS-BASE'!E541="","",'SAÍDAS-BASE'!E541)</f>
        <v/>
      </c>
      <c r="G543" t="str">
        <f>IF('SAÍDAS-BASE'!F541="","",'SAÍDAS-BASE'!F541)</f>
        <v/>
      </c>
      <c r="H543" t="str">
        <f>IF('SAÍDAS-BASE'!G541="","",'SAÍDAS-BASE'!G541)</f>
        <v/>
      </c>
      <c r="I543" t="str">
        <f>IF('SAÍDAS-BASE'!H541="","",'SAÍDAS-BASE'!H541)</f>
        <v/>
      </c>
      <c r="J543" t="str">
        <f>IF('SAÍDAS-BASE'!I541="","",'SAÍDAS-BASE'!I541)</f>
        <v/>
      </c>
      <c r="K543" s="5" t="str">
        <f>IF('SAÍDAS-BASE'!J541="","",'SAÍDAS-BASE'!J541)</f>
        <v/>
      </c>
      <c r="L543" t="str">
        <f>IF(TABELA_SAIDAS[[#This Row],[UF]]="","",IFERROR(IF(VLOOKUP(TABELA_SAIDAS[[#This Row],[VALOR]],TABELA_ENTRADAS[VALOR],1,FALSE),"DEVOLUÇÃO"),"SEM ENTRADAS"))</f>
        <v/>
      </c>
    </row>
    <row r="544" spans="2:12" x14ac:dyDescent="0.3">
      <c r="B544" t="str">
        <f>IF('SAÍDAS-BASE'!A542="","",'SAÍDAS-BASE'!A542)</f>
        <v/>
      </c>
      <c r="C544" t="str">
        <f>IF('SAÍDAS-BASE'!B542="","",'SAÍDAS-BASE'!B542)</f>
        <v/>
      </c>
      <c r="D544" t="str">
        <f>IF('SAÍDAS-BASE'!C542="","",'SAÍDAS-BASE'!C542)</f>
        <v/>
      </c>
      <c r="E544" s="7" t="str">
        <f>IF('SAÍDAS-BASE'!D542="","",'SAÍDAS-BASE'!D542)</f>
        <v/>
      </c>
      <c r="F544" s="6" t="str">
        <f>IF('SAÍDAS-BASE'!E542="","",'SAÍDAS-BASE'!E542)</f>
        <v/>
      </c>
      <c r="G544" t="str">
        <f>IF('SAÍDAS-BASE'!F542="","",'SAÍDAS-BASE'!F542)</f>
        <v/>
      </c>
      <c r="H544" t="str">
        <f>IF('SAÍDAS-BASE'!G542="","",'SAÍDAS-BASE'!G542)</f>
        <v/>
      </c>
      <c r="I544" t="str">
        <f>IF('SAÍDAS-BASE'!H542="","",'SAÍDAS-BASE'!H542)</f>
        <v/>
      </c>
      <c r="J544" t="str">
        <f>IF('SAÍDAS-BASE'!I542="","",'SAÍDAS-BASE'!I542)</f>
        <v/>
      </c>
      <c r="K544" s="5" t="str">
        <f>IF('SAÍDAS-BASE'!J542="","",'SAÍDAS-BASE'!J542)</f>
        <v/>
      </c>
      <c r="L544" t="str">
        <f>IF(TABELA_SAIDAS[[#This Row],[UF]]="","",IFERROR(IF(VLOOKUP(TABELA_SAIDAS[[#This Row],[VALOR]],TABELA_ENTRADAS[VALOR],1,FALSE),"DEVOLUÇÃO"),"SEM ENTRADAS"))</f>
        <v/>
      </c>
    </row>
    <row r="545" spans="2:12" x14ac:dyDescent="0.3">
      <c r="B545" t="str">
        <f>IF('SAÍDAS-BASE'!A543="","",'SAÍDAS-BASE'!A543)</f>
        <v/>
      </c>
      <c r="C545" t="str">
        <f>IF('SAÍDAS-BASE'!B543="","",'SAÍDAS-BASE'!B543)</f>
        <v/>
      </c>
      <c r="D545" t="str">
        <f>IF('SAÍDAS-BASE'!C543="","",'SAÍDAS-BASE'!C543)</f>
        <v/>
      </c>
      <c r="E545" s="7" t="str">
        <f>IF('SAÍDAS-BASE'!D543="","",'SAÍDAS-BASE'!D543)</f>
        <v/>
      </c>
      <c r="F545" s="6" t="str">
        <f>IF('SAÍDAS-BASE'!E543="","",'SAÍDAS-BASE'!E543)</f>
        <v/>
      </c>
      <c r="G545" t="str">
        <f>IF('SAÍDAS-BASE'!F543="","",'SAÍDAS-BASE'!F543)</f>
        <v/>
      </c>
      <c r="H545" t="str">
        <f>IF('SAÍDAS-BASE'!G543="","",'SAÍDAS-BASE'!G543)</f>
        <v/>
      </c>
      <c r="I545" t="str">
        <f>IF('SAÍDAS-BASE'!H543="","",'SAÍDAS-BASE'!H543)</f>
        <v/>
      </c>
      <c r="J545" t="str">
        <f>IF('SAÍDAS-BASE'!I543="","",'SAÍDAS-BASE'!I543)</f>
        <v/>
      </c>
      <c r="K545" s="5" t="str">
        <f>IF('SAÍDAS-BASE'!J543="","",'SAÍDAS-BASE'!J543)</f>
        <v/>
      </c>
      <c r="L545" t="str">
        <f>IF(TABELA_SAIDAS[[#This Row],[UF]]="","",IFERROR(IF(VLOOKUP(TABELA_SAIDAS[[#This Row],[VALOR]],TABELA_ENTRADAS[VALOR],1,FALSE),"DEVOLUÇÃO"),"SEM ENTRADAS"))</f>
        <v/>
      </c>
    </row>
    <row r="546" spans="2:12" x14ac:dyDescent="0.3">
      <c r="B546" t="str">
        <f>IF('SAÍDAS-BASE'!A544="","",'SAÍDAS-BASE'!A544)</f>
        <v/>
      </c>
      <c r="C546" t="str">
        <f>IF('SAÍDAS-BASE'!B544="","",'SAÍDAS-BASE'!B544)</f>
        <v/>
      </c>
      <c r="D546" t="str">
        <f>IF('SAÍDAS-BASE'!C544="","",'SAÍDAS-BASE'!C544)</f>
        <v/>
      </c>
      <c r="E546" s="7" t="str">
        <f>IF('SAÍDAS-BASE'!D544="","",'SAÍDAS-BASE'!D544)</f>
        <v/>
      </c>
      <c r="F546" s="6" t="str">
        <f>IF('SAÍDAS-BASE'!E544="","",'SAÍDAS-BASE'!E544)</f>
        <v/>
      </c>
      <c r="G546" t="str">
        <f>IF('SAÍDAS-BASE'!F544="","",'SAÍDAS-BASE'!F544)</f>
        <v/>
      </c>
      <c r="H546" t="str">
        <f>IF('SAÍDAS-BASE'!G544="","",'SAÍDAS-BASE'!G544)</f>
        <v/>
      </c>
      <c r="I546" t="str">
        <f>IF('SAÍDAS-BASE'!H544="","",'SAÍDAS-BASE'!H544)</f>
        <v/>
      </c>
      <c r="J546" t="str">
        <f>IF('SAÍDAS-BASE'!I544="","",'SAÍDAS-BASE'!I544)</f>
        <v/>
      </c>
      <c r="K546" s="5" t="str">
        <f>IF('SAÍDAS-BASE'!J544="","",'SAÍDAS-BASE'!J544)</f>
        <v/>
      </c>
      <c r="L546" t="str">
        <f>IF(TABELA_SAIDAS[[#This Row],[UF]]="","",IFERROR(IF(VLOOKUP(TABELA_SAIDAS[[#This Row],[VALOR]],TABELA_ENTRADAS[VALOR],1,FALSE),"DEVOLUÇÃO"),"SEM ENTRADAS"))</f>
        <v/>
      </c>
    </row>
    <row r="547" spans="2:12" x14ac:dyDescent="0.3">
      <c r="B547" t="str">
        <f>IF('SAÍDAS-BASE'!A545="","",'SAÍDAS-BASE'!A545)</f>
        <v/>
      </c>
      <c r="C547" t="str">
        <f>IF('SAÍDAS-BASE'!B545="","",'SAÍDAS-BASE'!B545)</f>
        <v/>
      </c>
      <c r="D547" t="str">
        <f>IF('SAÍDAS-BASE'!C545="","",'SAÍDAS-BASE'!C545)</f>
        <v/>
      </c>
      <c r="E547" s="7" t="str">
        <f>IF('SAÍDAS-BASE'!D545="","",'SAÍDAS-BASE'!D545)</f>
        <v/>
      </c>
      <c r="F547" s="6" t="str">
        <f>IF('SAÍDAS-BASE'!E545="","",'SAÍDAS-BASE'!E545)</f>
        <v/>
      </c>
      <c r="G547" t="str">
        <f>IF('SAÍDAS-BASE'!F545="","",'SAÍDAS-BASE'!F545)</f>
        <v/>
      </c>
      <c r="H547" t="str">
        <f>IF('SAÍDAS-BASE'!G545="","",'SAÍDAS-BASE'!G545)</f>
        <v/>
      </c>
      <c r="I547" t="str">
        <f>IF('SAÍDAS-BASE'!H545="","",'SAÍDAS-BASE'!H545)</f>
        <v/>
      </c>
      <c r="J547" t="str">
        <f>IF('SAÍDAS-BASE'!I545="","",'SAÍDAS-BASE'!I545)</f>
        <v/>
      </c>
      <c r="K547" s="5" t="str">
        <f>IF('SAÍDAS-BASE'!J545="","",'SAÍDAS-BASE'!J545)</f>
        <v/>
      </c>
      <c r="L547" t="str">
        <f>IF(TABELA_SAIDAS[[#This Row],[UF]]="","",IFERROR(IF(VLOOKUP(TABELA_SAIDAS[[#This Row],[VALOR]],TABELA_ENTRADAS[VALOR],1,FALSE),"DEVOLUÇÃO"),"SEM ENTRADAS"))</f>
        <v/>
      </c>
    </row>
    <row r="548" spans="2:12" x14ac:dyDescent="0.3">
      <c r="B548" t="str">
        <f>IF('SAÍDAS-BASE'!A546="","",'SAÍDAS-BASE'!A546)</f>
        <v/>
      </c>
      <c r="C548" t="str">
        <f>IF('SAÍDAS-BASE'!B546="","",'SAÍDAS-BASE'!B546)</f>
        <v/>
      </c>
      <c r="D548" t="str">
        <f>IF('SAÍDAS-BASE'!C546="","",'SAÍDAS-BASE'!C546)</f>
        <v/>
      </c>
      <c r="E548" s="7" t="str">
        <f>IF('SAÍDAS-BASE'!D546="","",'SAÍDAS-BASE'!D546)</f>
        <v/>
      </c>
      <c r="F548" s="6" t="str">
        <f>IF('SAÍDAS-BASE'!E546="","",'SAÍDAS-BASE'!E546)</f>
        <v/>
      </c>
      <c r="G548" t="str">
        <f>IF('SAÍDAS-BASE'!F546="","",'SAÍDAS-BASE'!F546)</f>
        <v/>
      </c>
      <c r="H548" t="str">
        <f>IF('SAÍDAS-BASE'!G546="","",'SAÍDAS-BASE'!G546)</f>
        <v/>
      </c>
      <c r="I548" t="str">
        <f>IF('SAÍDAS-BASE'!H546="","",'SAÍDAS-BASE'!H546)</f>
        <v/>
      </c>
      <c r="J548" t="str">
        <f>IF('SAÍDAS-BASE'!I546="","",'SAÍDAS-BASE'!I546)</f>
        <v/>
      </c>
      <c r="K548" s="5" t="str">
        <f>IF('SAÍDAS-BASE'!J546="","",'SAÍDAS-BASE'!J546)</f>
        <v/>
      </c>
      <c r="L548" t="str">
        <f>IF(TABELA_SAIDAS[[#This Row],[UF]]="","",IFERROR(IF(VLOOKUP(TABELA_SAIDAS[[#This Row],[VALOR]],TABELA_ENTRADAS[VALOR],1,FALSE),"DEVOLUÇÃO"),"SEM ENTRADAS"))</f>
        <v/>
      </c>
    </row>
    <row r="549" spans="2:12" x14ac:dyDescent="0.3">
      <c r="B549" t="str">
        <f>IF('SAÍDAS-BASE'!A547="","",'SAÍDAS-BASE'!A547)</f>
        <v/>
      </c>
      <c r="C549" t="str">
        <f>IF('SAÍDAS-BASE'!B547="","",'SAÍDAS-BASE'!B547)</f>
        <v/>
      </c>
      <c r="D549" t="str">
        <f>IF('SAÍDAS-BASE'!C547="","",'SAÍDAS-BASE'!C547)</f>
        <v/>
      </c>
      <c r="E549" s="7" t="str">
        <f>IF('SAÍDAS-BASE'!D547="","",'SAÍDAS-BASE'!D547)</f>
        <v/>
      </c>
      <c r="F549" s="6" t="str">
        <f>IF('SAÍDAS-BASE'!E547="","",'SAÍDAS-BASE'!E547)</f>
        <v/>
      </c>
      <c r="G549" t="str">
        <f>IF('SAÍDAS-BASE'!F547="","",'SAÍDAS-BASE'!F547)</f>
        <v/>
      </c>
      <c r="H549" t="str">
        <f>IF('SAÍDAS-BASE'!G547="","",'SAÍDAS-BASE'!G547)</f>
        <v/>
      </c>
      <c r="I549" t="str">
        <f>IF('SAÍDAS-BASE'!H547="","",'SAÍDAS-BASE'!H547)</f>
        <v/>
      </c>
      <c r="J549" t="str">
        <f>IF('SAÍDAS-BASE'!I547="","",'SAÍDAS-BASE'!I547)</f>
        <v/>
      </c>
      <c r="K549" s="5" t="str">
        <f>IF('SAÍDAS-BASE'!J547="","",'SAÍDAS-BASE'!J547)</f>
        <v/>
      </c>
      <c r="L549" t="str">
        <f>IF(TABELA_SAIDAS[[#This Row],[UF]]="","",IFERROR(IF(VLOOKUP(TABELA_SAIDAS[[#This Row],[VALOR]],TABELA_ENTRADAS[VALOR],1,FALSE),"DEVOLUÇÃO"),"SEM ENTRADAS"))</f>
        <v/>
      </c>
    </row>
    <row r="550" spans="2:12" x14ac:dyDescent="0.3">
      <c r="B550" t="str">
        <f>IF('SAÍDAS-BASE'!A548="","",'SAÍDAS-BASE'!A548)</f>
        <v/>
      </c>
      <c r="C550" t="str">
        <f>IF('SAÍDAS-BASE'!B548="","",'SAÍDAS-BASE'!B548)</f>
        <v/>
      </c>
      <c r="D550" t="str">
        <f>IF('SAÍDAS-BASE'!C548="","",'SAÍDAS-BASE'!C548)</f>
        <v/>
      </c>
      <c r="E550" s="7" t="str">
        <f>IF('SAÍDAS-BASE'!D548="","",'SAÍDAS-BASE'!D548)</f>
        <v/>
      </c>
      <c r="F550" s="6" t="str">
        <f>IF('SAÍDAS-BASE'!E548="","",'SAÍDAS-BASE'!E548)</f>
        <v/>
      </c>
      <c r="G550" t="str">
        <f>IF('SAÍDAS-BASE'!F548="","",'SAÍDAS-BASE'!F548)</f>
        <v/>
      </c>
      <c r="H550" t="str">
        <f>IF('SAÍDAS-BASE'!G548="","",'SAÍDAS-BASE'!G548)</f>
        <v/>
      </c>
      <c r="I550" t="str">
        <f>IF('SAÍDAS-BASE'!H548="","",'SAÍDAS-BASE'!H548)</f>
        <v/>
      </c>
      <c r="J550" t="str">
        <f>IF('SAÍDAS-BASE'!I548="","",'SAÍDAS-BASE'!I548)</f>
        <v/>
      </c>
      <c r="K550" s="5" t="str">
        <f>IF('SAÍDAS-BASE'!J548="","",'SAÍDAS-BASE'!J548)</f>
        <v/>
      </c>
      <c r="L550" t="str">
        <f>IF(TABELA_SAIDAS[[#This Row],[UF]]="","",IFERROR(IF(VLOOKUP(TABELA_SAIDAS[[#This Row],[VALOR]],TABELA_ENTRADAS[VALOR],1,FALSE),"DEVOLUÇÃO"),"SEM ENTRADAS"))</f>
        <v/>
      </c>
    </row>
    <row r="551" spans="2:12" x14ac:dyDescent="0.3">
      <c r="B551" t="str">
        <f>IF('SAÍDAS-BASE'!A549="","",'SAÍDAS-BASE'!A549)</f>
        <v/>
      </c>
      <c r="C551" t="str">
        <f>IF('SAÍDAS-BASE'!B549="","",'SAÍDAS-BASE'!B549)</f>
        <v/>
      </c>
      <c r="D551" t="str">
        <f>IF('SAÍDAS-BASE'!C549="","",'SAÍDAS-BASE'!C549)</f>
        <v/>
      </c>
      <c r="E551" s="7" t="str">
        <f>IF('SAÍDAS-BASE'!D549="","",'SAÍDAS-BASE'!D549)</f>
        <v/>
      </c>
      <c r="F551" s="6" t="str">
        <f>IF('SAÍDAS-BASE'!E549="","",'SAÍDAS-BASE'!E549)</f>
        <v/>
      </c>
      <c r="G551" t="str">
        <f>IF('SAÍDAS-BASE'!F549="","",'SAÍDAS-BASE'!F549)</f>
        <v/>
      </c>
      <c r="H551" t="str">
        <f>IF('SAÍDAS-BASE'!G549="","",'SAÍDAS-BASE'!G549)</f>
        <v/>
      </c>
      <c r="I551" t="str">
        <f>IF('SAÍDAS-BASE'!H549="","",'SAÍDAS-BASE'!H549)</f>
        <v/>
      </c>
      <c r="J551" t="str">
        <f>IF('SAÍDAS-BASE'!I549="","",'SAÍDAS-BASE'!I549)</f>
        <v/>
      </c>
      <c r="K551" s="5" t="str">
        <f>IF('SAÍDAS-BASE'!J549="","",'SAÍDAS-BASE'!J549)</f>
        <v/>
      </c>
      <c r="L551" t="str">
        <f>IF(TABELA_SAIDAS[[#This Row],[UF]]="","",IFERROR(IF(VLOOKUP(TABELA_SAIDAS[[#This Row],[VALOR]],TABELA_ENTRADAS[VALOR],1,FALSE),"DEVOLUÇÃO"),"SEM ENTRADAS"))</f>
        <v/>
      </c>
    </row>
    <row r="552" spans="2:12" x14ac:dyDescent="0.3">
      <c r="B552" t="str">
        <f>IF('SAÍDAS-BASE'!A550="","",'SAÍDAS-BASE'!A550)</f>
        <v/>
      </c>
      <c r="C552" t="str">
        <f>IF('SAÍDAS-BASE'!B550="","",'SAÍDAS-BASE'!B550)</f>
        <v/>
      </c>
      <c r="D552" t="str">
        <f>IF('SAÍDAS-BASE'!C550="","",'SAÍDAS-BASE'!C550)</f>
        <v/>
      </c>
      <c r="E552" s="7" t="str">
        <f>IF('SAÍDAS-BASE'!D550="","",'SAÍDAS-BASE'!D550)</f>
        <v/>
      </c>
      <c r="F552" s="6" t="str">
        <f>IF('SAÍDAS-BASE'!E550="","",'SAÍDAS-BASE'!E550)</f>
        <v/>
      </c>
      <c r="G552" t="str">
        <f>IF('SAÍDAS-BASE'!F550="","",'SAÍDAS-BASE'!F550)</f>
        <v/>
      </c>
      <c r="H552" t="str">
        <f>IF('SAÍDAS-BASE'!G550="","",'SAÍDAS-BASE'!G550)</f>
        <v/>
      </c>
      <c r="I552" t="str">
        <f>IF('SAÍDAS-BASE'!H550="","",'SAÍDAS-BASE'!H550)</f>
        <v/>
      </c>
      <c r="J552" t="str">
        <f>IF('SAÍDAS-BASE'!I550="","",'SAÍDAS-BASE'!I550)</f>
        <v/>
      </c>
      <c r="K552" s="5" t="str">
        <f>IF('SAÍDAS-BASE'!J550="","",'SAÍDAS-BASE'!J550)</f>
        <v/>
      </c>
      <c r="L552" t="str">
        <f>IF(TABELA_SAIDAS[[#This Row],[UF]]="","",IFERROR(IF(VLOOKUP(TABELA_SAIDAS[[#This Row],[VALOR]],TABELA_ENTRADAS[VALOR],1,FALSE),"DEVOLUÇÃO"),"SEM ENTRADAS"))</f>
        <v/>
      </c>
    </row>
    <row r="553" spans="2:12" x14ac:dyDescent="0.3">
      <c r="B553" t="str">
        <f>IF('SAÍDAS-BASE'!A551="","",'SAÍDAS-BASE'!A551)</f>
        <v/>
      </c>
      <c r="C553" t="str">
        <f>IF('SAÍDAS-BASE'!B551="","",'SAÍDAS-BASE'!B551)</f>
        <v/>
      </c>
      <c r="D553" t="str">
        <f>IF('SAÍDAS-BASE'!C551="","",'SAÍDAS-BASE'!C551)</f>
        <v/>
      </c>
      <c r="E553" s="7" t="str">
        <f>IF('SAÍDAS-BASE'!D551="","",'SAÍDAS-BASE'!D551)</f>
        <v/>
      </c>
      <c r="F553" s="6" t="str">
        <f>IF('SAÍDAS-BASE'!E551="","",'SAÍDAS-BASE'!E551)</f>
        <v/>
      </c>
      <c r="G553" t="str">
        <f>IF('SAÍDAS-BASE'!F551="","",'SAÍDAS-BASE'!F551)</f>
        <v/>
      </c>
      <c r="H553" t="str">
        <f>IF('SAÍDAS-BASE'!G551="","",'SAÍDAS-BASE'!G551)</f>
        <v/>
      </c>
      <c r="I553" t="str">
        <f>IF('SAÍDAS-BASE'!H551="","",'SAÍDAS-BASE'!H551)</f>
        <v/>
      </c>
      <c r="J553" t="str">
        <f>IF('SAÍDAS-BASE'!I551="","",'SAÍDAS-BASE'!I551)</f>
        <v/>
      </c>
      <c r="K553" s="5" t="str">
        <f>IF('SAÍDAS-BASE'!J551="","",'SAÍDAS-BASE'!J551)</f>
        <v/>
      </c>
      <c r="L553" t="str">
        <f>IF(TABELA_SAIDAS[[#This Row],[UF]]="","",IFERROR(IF(VLOOKUP(TABELA_SAIDAS[[#This Row],[VALOR]],TABELA_ENTRADAS[VALOR],1,FALSE),"DEVOLUÇÃO"),"SEM ENTRADAS"))</f>
        <v/>
      </c>
    </row>
    <row r="554" spans="2:12" x14ac:dyDescent="0.3">
      <c r="B554" t="str">
        <f>IF('SAÍDAS-BASE'!A552="","",'SAÍDAS-BASE'!A552)</f>
        <v/>
      </c>
      <c r="C554" t="str">
        <f>IF('SAÍDAS-BASE'!B552="","",'SAÍDAS-BASE'!B552)</f>
        <v/>
      </c>
      <c r="D554" t="str">
        <f>IF('SAÍDAS-BASE'!C552="","",'SAÍDAS-BASE'!C552)</f>
        <v/>
      </c>
      <c r="E554" s="7" t="str">
        <f>IF('SAÍDAS-BASE'!D552="","",'SAÍDAS-BASE'!D552)</f>
        <v/>
      </c>
      <c r="F554" s="6" t="str">
        <f>IF('SAÍDAS-BASE'!E552="","",'SAÍDAS-BASE'!E552)</f>
        <v/>
      </c>
      <c r="G554" t="str">
        <f>IF('SAÍDAS-BASE'!F552="","",'SAÍDAS-BASE'!F552)</f>
        <v/>
      </c>
      <c r="H554" t="str">
        <f>IF('SAÍDAS-BASE'!G552="","",'SAÍDAS-BASE'!G552)</f>
        <v/>
      </c>
      <c r="I554" t="str">
        <f>IF('SAÍDAS-BASE'!H552="","",'SAÍDAS-BASE'!H552)</f>
        <v/>
      </c>
      <c r="J554" t="str">
        <f>IF('SAÍDAS-BASE'!I552="","",'SAÍDAS-BASE'!I552)</f>
        <v/>
      </c>
      <c r="K554" s="5" t="str">
        <f>IF('SAÍDAS-BASE'!J552="","",'SAÍDAS-BASE'!J552)</f>
        <v/>
      </c>
      <c r="L554" t="str">
        <f>IF(TABELA_SAIDAS[[#This Row],[UF]]="","",IFERROR(IF(VLOOKUP(TABELA_SAIDAS[[#This Row],[VALOR]],TABELA_ENTRADAS[VALOR],1,FALSE),"DEVOLUÇÃO"),"SEM ENTRADAS"))</f>
        <v/>
      </c>
    </row>
    <row r="555" spans="2:12" x14ac:dyDescent="0.3">
      <c r="B555" t="str">
        <f>IF('SAÍDAS-BASE'!A553="","",'SAÍDAS-BASE'!A553)</f>
        <v/>
      </c>
      <c r="C555" t="str">
        <f>IF('SAÍDAS-BASE'!B553="","",'SAÍDAS-BASE'!B553)</f>
        <v/>
      </c>
      <c r="D555" t="str">
        <f>IF('SAÍDAS-BASE'!C553="","",'SAÍDAS-BASE'!C553)</f>
        <v/>
      </c>
      <c r="E555" s="7" t="str">
        <f>IF('SAÍDAS-BASE'!D553="","",'SAÍDAS-BASE'!D553)</f>
        <v/>
      </c>
      <c r="F555" s="6" t="str">
        <f>IF('SAÍDAS-BASE'!E553="","",'SAÍDAS-BASE'!E553)</f>
        <v/>
      </c>
      <c r="G555" t="str">
        <f>IF('SAÍDAS-BASE'!F553="","",'SAÍDAS-BASE'!F553)</f>
        <v/>
      </c>
      <c r="H555" t="str">
        <f>IF('SAÍDAS-BASE'!G553="","",'SAÍDAS-BASE'!G553)</f>
        <v/>
      </c>
      <c r="I555" t="str">
        <f>IF('SAÍDAS-BASE'!H553="","",'SAÍDAS-BASE'!H553)</f>
        <v/>
      </c>
      <c r="J555" t="str">
        <f>IF('SAÍDAS-BASE'!I553="","",'SAÍDAS-BASE'!I553)</f>
        <v/>
      </c>
      <c r="K555" s="5" t="str">
        <f>IF('SAÍDAS-BASE'!J553="","",'SAÍDAS-BASE'!J553)</f>
        <v/>
      </c>
      <c r="L555" t="str">
        <f>IF(TABELA_SAIDAS[[#This Row],[UF]]="","",IFERROR(IF(VLOOKUP(TABELA_SAIDAS[[#This Row],[VALOR]],TABELA_ENTRADAS[VALOR],1,FALSE),"DEVOLUÇÃO"),"SEM ENTRADAS"))</f>
        <v/>
      </c>
    </row>
    <row r="556" spans="2:12" x14ac:dyDescent="0.3">
      <c r="B556" t="str">
        <f>IF('SAÍDAS-BASE'!A554="","",'SAÍDAS-BASE'!A554)</f>
        <v/>
      </c>
      <c r="C556" t="str">
        <f>IF('SAÍDAS-BASE'!B554="","",'SAÍDAS-BASE'!B554)</f>
        <v/>
      </c>
      <c r="D556" t="str">
        <f>IF('SAÍDAS-BASE'!C554="","",'SAÍDAS-BASE'!C554)</f>
        <v/>
      </c>
      <c r="E556" s="7" t="str">
        <f>IF('SAÍDAS-BASE'!D554="","",'SAÍDAS-BASE'!D554)</f>
        <v/>
      </c>
      <c r="F556" s="6" t="str">
        <f>IF('SAÍDAS-BASE'!E554="","",'SAÍDAS-BASE'!E554)</f>
        <v/>
      </c>
      <c r="G556" t="str">
        <f>IF('SAÍDAS-BASE'!F554="","",'SAÍDAS-BASE'!F554)</f>
        <v/>
      </c>
      <c r="H556" t="str">
        <f>IF('SAÍDAS-BASE'!G554="","",'SAÍDAS-BASE'!G554)</f>
        <v/>
      </c>
      <c r="I556" t="str">
        <f>IF('SAÍDAS-BASE'!H554="","",'SAÍDAS-BASE'!H554)</f>
        <v/>
      </c>
      <c r="J556" t="str">
        <f>IF('SAÍDAS-BASE'!I554="","",'SAÍDAS-BASE'!I554)</f>
        <v/>
      </c>
      <c r="K556" s="5" t="str">
        <f>IF('SAÍDAS-BASE'!J554="","",'SAÍDAS-BASE'!J554)</f>
        <v/>
      </c>
      <c r="L556" t="str">
        <f>IF(TABELA_SAIDAS[[#This Row],[UF]]="","",IFERROR(IF(VLOOKUP(TABELA_SAIDAS[[#This Row],[VALOR]],TABELA_ENTRADAS[VALOR],1,FALSE),"DEVOLUÇÃO"),"SEM ENTRADAS"))</f>
        <v/>
      </c>
    </row>
    <row r="557" spans="2:12" x14ac:dyDescent="0.3">
      <c r="B557" t="str">
        <f>IF('SAÍDAS-BASE'!A555="","",'SAÍDAS-BASE'!A555)</f>
        <v/>
      </c>
      <c r="C557" t="str">
        <f>IF('SAÍDAS-BASE'!B555="","",'SAÍDAS-BASE'!B555)</f>
        <v/>
      </c>
      <c r="D557" t="str">
        <f>IF('SAÍDAS-BASE'!C555="","",'SAÍDAS-BASE'!C555)</f>
        <v/>
      </c>
      <c r="E557" s="7" t="str">
        <f>IF('SAÍDAS-BASE'!D555="","",'SAÍDAS-BASE'!D555)</f>
        <v/>
      </c>
      <c r="F557" s="6" t="str">
        <f>IF('SAÍDAS-BASE'!E555="","",'SAÍDAS-BASE'!E555)</f>
        <v/>
      </c>
      <c r="G557" t="str">
        <f>IF('SAÍDAS-BASE'!F555="","",'SAÍDAS-BASE'!F555)</f>
        <v/>
      </c>
      <c r="H557" t="str">
        <f>IF('SAÍDAS-BASE'!G555="","",'SAÍDAS-BASE'!G555)</f>
        <v/>
      </c>
      <c r="I557" t="str">
        <f>IF('SAÍDAS-BASE'!H555="","",'SAÍDAS-BASE'!H555)</f>
        <v/>
      </c>
      <c r="J557" t="str">
        <f>IF('SAÍDAS-BASE'!I555="","",'SAÍDAS-BASE'!I555)</f>
        <v/>
      </c>
      <c r="K557" s="5" t="str">
        <f>IF('SAÍDAS-BASE'!J555="","",'SAÍDAS-BASE'!J555)</f>
        <v/>
      </c>
      <c r="L557" t="str">
        <f>IF(TABELA_SAIDAS[[#This Row],[UF]]="","",IFERROR(IF(VLOOKUP(TABELA_SAIDAS[[#This Row],[VALOR]],TABELA_ENTRADAS[VALOR],1,FALSE),"DEVOLUÇÃO"),"SEM ENTRADAS"))</f>
        <v/>
      </c>
    </row>
    <row r="558" spans="2:12" x14ac:dyDescent="0.3">
      <c r="B558" t="str">
        <f>IF('SAÍDAS-BASE'!A556="","",'SAÍDAS-BASE'!A556)</f>
        <v/>
      </c>
      <c r="C558" t="str">
        <f>IF('SAÍDAS-BASE'!B556="","",'SAÍDAS-BASE'!B556)</f>
        <v/>
      </c>
      <c r="D558" t="str">
        <f>IF('SAÍDAS-BASE'!C556="","",'SAÍDAS-BASE'!C556)</f>
        <v/>
      </c>
      <c r="E558" s="7" t="str">
        <f>IF('SAÍDAS-BASE'!D556="","",'SAÍDAS-BASE'!D556)</f>
        <v/>
      </c>
      <c r="F558" s="6" t="str">
        <f>IF('SAÍDAS-BASE'!E556="","",'SAÍDAS-BASE'!E556)</f>
        <v/>
      </c>
      <c r="G558" t="str">
        <f>IF('SAÍDAS-BASE'!F556="","",'SAÍDAS-BASE'!F556)</f>
        <v/>
      </c>
      <c r="H558" t="str">
        <f>IF('SAÍDAS-BASE'!G556="","",'SAÍDAS-BASE'!G556)</f>
        <v/>
      </c>
      <c r="I558" t="str">
        <f>IF('SAÍDAS-BASE'!H556="","",'SAÍDAS-BASE'!H556)</f>
        <v/>
      </c>
      <c r="J558" t="str">
        <f>IF('SAÍDAS-BASE'!I556="","",'SAÍDAS-BASE'!I556)</f>
        <v/>
      </c>
      <c r="K558" s="5" t="str">
        <f>IF('SAÍDAS-BASE'!J556="","",'SAÍDAS-BASE'!J556)</f>
        <v/>
      </c>
      <c r="L558" t="str">
        <f>IF(TABELA_SAIDAS[[#This Row],[UF]]="","",IFERROR(IF(VLOOKUP(TABELA_SAIDAS[[#This Row],[VALOR]],TABELA_ENTRADAS[VALOR],1,FALSE),"DEVOLUÇÃO"),"SEM ENTRADAS"))</f>
        <v/>
      </c>
    </row>
    <row r="559" spans="2:12" x14ac:dyDescent="0.3">
      <c r="B559" t="str">
        <f>IF('SAÍDAS-BASE'!A557="","",'SAÍDAS-BASE'!A557)</f>
        <v/>
      </c>
      <c r="C559" t="str">
        <f>IF('SAÍDAS-BASE'!B557="","",'SAÍDAS-BASE'!B557)</f>
        <v/>
      </c>
      <c r="D559" t="str">
        <f>IF('SAÍDAS-BASE'!C557="","",'SAÍDAS-BASE'!C557)</f>
        <v/>
      </c>
      <c r="E559" s="7" t="str">
        <f>IF('SAÍDAS-BASE'!D557="","",'SAÍDAS-BASE'!D557)</f>
        <v/>
      </c>
      <c r="F559" s="6" t="str">
        <f>IF('SAÍDAS-BASE'!E557="","",'SAÍDAS-BASE'!E557)</f>
        <v/>
      </c>
      <c r="G559" t="str">
        <f>IF('SAÍDAS-BASE'!F557="","",'SAÍDAS-BASE'!F557)</f>
        <v/>
      </c>
      <c r="H559" t="str">
        <f>IF('SAÍDAS-BASE'!G557="","",'SAÍDAS-BASE'!G557)</f>
        <v/>
      </c>
      <c r="I559" t="str">
        <f>IF('SAÍDAS-BASE'!H557="","",'SAÍDAS-BASE'!H557)</f>
        <v/>
      </c>
      <c r="J559" t="str">
        <f>IF('SAÍDAS-BASE'!I557="","",'SAÍDAS-BASE'!I557)</f>
        <v/>
      </c>
      <c r="K559" s="5" t="str">
        <f>IF('SAÍDAS-BASE'!J557="","",'SAÍDAS-BASE'!J557)</f>
        <v/>
      </c>
      <c r="L559" t="str">
        <f>IF(TABELA_SAIDAS[[#This Row],[UF]]="","",IFERROR(IF(VLOOKUP(TABELA_SAIDAS[[#This Row],[VALOR]],TABELA_ENTRADAS[VALOR],1,FALSE),"DEVOLUÇÃO"),"SEM ENTRADAS"))</f>
        <v/>
      </c>
    </row>
    <row r="560" spans="2:12" x14ac:dyDescent="0.3">
      <c r="B560" t="str">
        <f>IF('SAÍDAS-BASE'!A558="","",'SAÍDAS-BASE'!A558)</f>
        <v/>
      </c>
      <c r="C560" t="str">
        <f>IF('SAÍDAS-BASE'!B558="","",'SAÍDAS-BASE'!B558)</f>
        <v/>
      </c>
      <c r="D560" t="str">
        <f>IF('SAÍDAS-BASE'!C558="","",'SAÍDAS-BASE'!C558)</f>
        <v/>
      </c>
      <c r="E560" s="7" t="str">
        <f>IF('SAÍDAS-BASE'!D558="","",'SAÍDAS-BASE'!D558)</f>
        <v/>
      </c>
      <c r="F560" s="6" t="str">
        <f>IF('SAÍDAS-BASE'!E558="","",'SAÍDAS-BASE'!E558)</f>
        <v/>
      </c>
      <c r="G560" t="str">
        <f>IF('SAÍDAS-BASE'!F558="","",'SAÍDAS-BASE'!F558)</f>
        <v/>
      </c>
      <c r="H560" t="str">
        <f>IF('SAÍDAS-BASE'!G558="","",'SAÍDAS-BASE'!G558)</f>
        <v/>
      </c>
      <c r="I560" t="str">
        <f>IF('SAÍDAS-BASE'!H558="","",'SAÍDAS-BASE'!H558)</f>
        <v/>
      </c>
      <c r="J560" t="str">
        <f>IF('SAÍDAS-BASE'!I558="","",'SAÍDAS-BASE'!I558)</f>
        <v/>
      </c>
      <c r="K560" s="5" t="str">
        <f>IF('SAÍDAS-BASE'!J558="","",'SAÍDAS-BASE'!J558)</f>
        <v/>
      </c>
      <c r="L560" t="str">
        <f>IF(TABELA_SAIDAS[[#This Row],[UF]]="","",IFERROR(IF(VLOOKUP(TABELA_SAIDAS[[#This Row],[VALOR]],TABELA_ENTRADAS[VALOR],1,FALSE),"DEVOLUÇÃO"),"SEM ENTRADAS"))</f>
        <v/>
      </c>
    </row>
    <row r="561" spans="2:12" x14ac:dyDescent="0.3">
      <c r="B561" t="str">
        <f>IF('SAÍDAS-BASE'!A559="","",'SAÍDAS-BASE'!A559)</f>
        <v/>
      </c>
      <c r="C561" t="str">
        <f>IF('SAÍDAS-BASE'!B559="","",'SAÍDAS-BASE'!B559)</f>
        <v/>
      </c>
      <c r="D561" t="str">
        <f>IF('SAÍDAS-BASE'!C559="","",'SAÍDAS-BASE'!C559)</f>
        <v/>
      </c>
      <c r="E561" s="7" t="str">
        <f>IF('SAÍDAS-BASE'!D559="","",'SAÍDAS-BASE'!D559)</f>
        <v/>
      </c>
      <c r="F561" s="6" t="str">
        <f>IF('SAÍDAS-BASE'!E559="","",'SAÍDAS-BASE'!E559)</f>
        <v/>
      </c>
      <c r="G561" t="str">
        <f>IF('SAÍDAS-BASE'!F559="","",'SAÍDAS-BASE'!F559)</f>
        <v/>
      </c>
      <c r="H561" t="str">
        <f>IF('SAÍDAS-BASE'!G559="","",'SAÍDAS-BASE'!G559)</f>
        <v/>
      </c>
      <c r="I561" t="str">
        <f>IF('SAÍDAS-BASE'!H559="","",'SAÍDAS-BASE'!H559)</f>
        <v/>
      </c>
      <c r="J561" t="str">
        <f>IF('SAÍDAS-BASE'!I559="","",'SAÍDAS-BASE'!I559)</f>
        <v/>
      </c>
      <c r="K561" s="5" t="str">
        <f>IF('SAÍDAS-BASE'!J559="","",'SAÍDAS-BASE'!J559)</f>
        <v/>
      </c>
      <c r="L561" t="str">
        <f>IF(TABELA_SAIDAS[[#This Row],[UF]]="","",IFERROR(IF(VLOOKUP(TABELA_SAIDAS[[#This Row],[VALOR]],TABELA_ENTRADAS[VALOR],1,FALSE),"DEVOLUÇÃO"),"SEM ENTRADAS"))</f>
        <v/>
      </c>
    </row>
    <row r="562" spans="2:12" x14ac:dyDescent="0.3">
      <c r="B562" t="str">
        <f>IF('SAÍDAS-BASE'!A560="","",'SAÍDAS-BASE'!A560)</f>
        <v/>
      </c>
      <c r="C562" t="str">
        <f>IF('SAÍDAS-BASE'!B560="","",'SAÍDAS-BASE'!B560)</f>
        <v/>
      </c>
      <c r="D562" t="str">
        <f>IF('SAÍDAS-BASE'!C560="","",'SAÍDAS-BASE'!C560)</f>
        <v/>
      </c>
      <c r="E562" s="7" t="str">
        <f>IF('SAÍDAS-BASE'!D560="","",'SAÍDAS-BASE'!D560)</f>
        <v/>
      </c>
      <c r="F562" s="6" t="str">
        <f>IF('SAÍDAS-BASE'!E560="","",'SAÍDAS-BASE'!E560)</f>
        <v/>
      </c>
      <c r="G562" t="str">
        <f>IF('SAÍDAS-BASE'!F560="","",'SAÍDAS-BASE'!F560)</f>
        <v/>
      </c>
      <c r="H562" t="str">
        <f>IF('SAÍDAS-BASE'!G560="","",'SAÍDAS-BASE'!G560)</f>
        <v/>
      </c>
      <c r="I562" t="str">
        <f>IF('SAÍDAS-BASE'!H560="","",'SAÍDAS-BASE'!H560)</f>
        <v/>
      </c>
      <c r="J562" t="str">
        <f>IF('SAÍDAS-BASE'!I560="","",'SAÍDAS-BASE'!I560)</f>
        <v/>
      </c>
      <c r="K562" s="5" t="str">
        <f>IF('SAÍDAS-BASE'!J560="","",'SAÍDAS-BASE'!J560)</f>
        <v/>
      </c>
      <c r="L562" t="str">
        <f>IF(TABELA_SAIDAS[[#This Row],[UF]]="","",IFERROR(IF(VLOOKUP(TABELA_SAIDAS[[#This Row],[VALOR]],TABELA_ENTRADAS[VALOR],1,FALSE),"DEVOLUÇÃO"),"SEM ENTRADAS"))</f>
        <v/>
      </c>
    </row>
    <row r="563" spans="2:12" x14ac:dyDescent="0.3">
      <c r="B563" t="str">
        <f>IF('SAÍDAS-BASE'!A561="","",'SAÍDAS-BASE'!A561)</f>
        <v/>
      </c>
      <c r="C563" t="str">
        <f>IF('SAÍDAS-BASE'!B561="","",'SAÍDAS-BASE'!B561)</f>
        <v/>
      </c>
      <c r="D563" t="str">
        <f>IF('SAÍDAS-BASE'!C561="","",'SAÍDAS-BASE'!C561)</f>
        <v/>
      </c>
      <c r="E563" s="7" t="str">
        <f>IF('SAÍDAS-BASE'!D561="","",'SAÍDAS-BASE'!D561)</f>
        <v/>
      </c>
      <c r="F563" s="6" t="str">
        <f>IF('SAÍDAS-BASE'!E561="","",'SAÍDAS-BASE'!E561)</f>
        <v/>
      </c>
      <c r="G563" t="str">
        <f>IF('SAÍDAS-BASE'!F561="","",'SAÍDAS-BASE'!F561)</f>
        <v/>
      </c>
      <c r="H563" t="str">
        <f>IF('SAÍDAS-BASE'!G561="","",'SAÍDAS-BASE'!G561)</f>
        <v/>
      </c>
      <c r="I563" t="str">
        <f>IF('SAÍDAS-BASE'!H561="","",'SAÍDAS-BASE'!H561)</f>
        <v/>
      </c>
      <c r="J563" t="str">
        <f>IF('SAÍDAS-BASE'!I561="","",'SAÍDAS-BASE'!I561)</f>
        <v/>
      </c>
      <c r="K563" s="5" t="str">
        <f>IF('SAÍDAS-BASE'!J561="","",'SAÍDAS-BASE'!J561)</f>
        <v/>
      </c>
      <c r="L563" t="str">
        <f>IF(TABELA_SAIDAS[[#This Row],[UF]]="","",IFERROR(IF(VLOOKUP(TABELA_SAIDAS[[#This Row],[VALOR]],TABELA_ENTRADAS[VALOR],1,FALSE),"DEVOLUÇÃO"),"SEM ENTRADAS"))</f>
        <v/>
      </c>
    </row>
    <row r="564" spans="2:12" x14ac:dyDescent="0.3">
      <c r="B564" t="str">
        <f>IF('SAÍDAS-BASE'!A562="","",'SAÍDAS-BASE'!A562)</f>
        <v/>
      </c>
      <c r="C564" t="str">
        <f>IF('SAÍDAS-BASE'!B562="","",'SAÍDAS-BASE'!B562)</f>
        <v/>
      </c>
      <c r="D564" t="str">
        <f>IF('SAÍDAS-BASE'!C562="","",'SAÍDAS-BASE'!C562)</f>
        <v/>
      </c>
      <c r="E564" s="7" t="str">
        <f>IF('SAÍDAS-BASE'!D562="","",'SAÍDAS-BASE'!D562)</f>
        <v/>
      </c>
      <c r="F564" s="6" t="str">
        <f>IF('SAÍDAS-BASE'!E562="","",'SAÍDAS-BASE'!E562)</f>
        <v/>
      </c>
      <c r="G564" t="str">
        <f>IF('SAÍDAS-BASE'!F562="","",'SAÍDAS-BASE'!F562)</f>
        <v/>
      </c>
      <c r="H564" t="str">
        <f>IF('SAÍDAS-BASE'!G562="","",'SAÍDAS-BASE'!G562)</f>
        <v/>
      </c>
      <c r="I564" t="str">
        <f>IF('SAÍDAS-BASE'!H562="","",'SAÍDAS-BASE'!H562)</f>
        <v/>
      </c>
      <c r="J564" t="str">
        <f>IF('SAÍDAS-BASE'!I562="","",'SAÍDAS-BASE'!I562)</f>
        <v/>
      </c>
      <c r="K564" s="5" t="str">
        <f>IF('SAÍDAS-BASE'!J562="","",'SAÍDAS-BASE'!J562)</f>
        <v/>
      </c>
      <c r="L564" t="str">
        <f>IF(TABELA_SAIDAS[[#This Row],[UF]]="","",IFERROR(IF(VLOOKUP(TABELA_SAIDAS[[#This Row],[VALOR]],TABELA_ENTRADAS[VALOR],1,FALSE),"DEVOLUÇÃO"),"SEM ENTRADAS"))</f>
        <v/>
      </c>
    </row>
    <row r="565" spans="2:12" x14ac:dyDescent="0.3">
      <c r="B565" t="str">
        <f>IF('SAÍDAS-BASE'!A563="","",'SAÍDAS-BASE'!A563)</f>
        <v/>
      </c>
      <c r="C565" t="str">
        <f>IF('SAÍDAS-BASE'!B563="","",'SAÍDAS-BASE'!B563)</f>
        <v/>
      </c>
      <c r="D565" t="str">
        <f>IF('SAÍDAS-BASE'!C563="","",'SAÍDAS-BASE'!C563)</f>
        <v/>
      </c>
      <c r="E565" s="7" t="str">
        <f>IF('SAÍDAS-BASE'!D563="","",'SAÍDAS-BASE'!D563)</f>
        <v/>
      </c>
      <c r="F565" s="6" t="str">
        <f>IF('SAÍDAS-BASE'!E563="","",'SAÍDAS-BASE'!E563)</f>
        <v/>
      </c>
      <c r="G565" t="str">
        <f>IF('SAÍDAS-BASE'!F563="","",'SAÍDAS-BASE'!F563)</f>
        <v/>
      </c>
      <c r="H565" t="str">
        <f>IF('SAÍDAS-BASE'!G563="","",'SAÍDAS-BASE'!G563)</f>
        <v/>
      </c>
      <c r="I565" t="str">
        <f>IF('SAÍDAS-BASE'!H563="","",'SAÍDAS-BASE'!H563)</f>
        <v/>
      </c>
      <c r="J565" t="str">
        <f>IF('SAÍDAS-BASE'!I563="","",'SAÍDAS-BASE'!I563)</f>
        <v/>
      </c>
      <c r="K565" s="5" t="str">
        <f>IF('SAÍDAS-BASE'!J563="","",'SAÍDAS-BASE'!J563)</f>
        <v/>
      </c>
      <c r="L565" t="str">
        <f>IF(TABELA_SAIDAS[[#This Row],[UF]]="","",IFERROR(IF(VLOOKUP(TABELA_SAIDAS[[#This Row],[VALOR]],TABELA_ENTRADAS[VALOR],1,FALSE),"DEVOLUÇÃO"),"SEM ENTRADAS"))</f>
        <v/>
      </c>
    </row>
    <row r="566" spans="2:12" x14ac:dyDescent="0.3">
      <c r="B566" t="str">
        <f>IF('SAÍDAS-BASE'!A564="","",'SAÍDAS-BASE'!A564)</f>
        <v/>
      </c>
      <c r="C566" t="str">
        <f>IF('SAÍDAS-BASE'!B564="","",'SAÍDAS-BASE'!B564)</f>
        <v/>
      </c>
      <c r="D566" t="str">
        <f>IF('SAÍDAS-BASE'!C564="","",'SAÍDAS-BASE'!C564)</f>
        <v/>
      </c>
      <c r="E566" s="7" t="str">
        <f>IF('SAÍDAS-BASE'!D564="","",'SAÍDAS-BASE'!D564)</f>
        <v/>
      </c>
      <c r="F566" s="6" t="str">
        <f>IF('SAÍDAS-BASE'!E564="","",'SAÍDAS-BASE'!E564)</f>
        <v/>
      </c>
      <c r="G566" t="str">
        <f>IF('SAÍDAS-BASE'!F564="","",'SAÍDAS-BASE'!F564)</f>
        <v/>
      </c>
      <c r="H566" t="str">
        <f>IF('SAÍDAS-BASE'!G564="","",'SAÍDAS-BASE'!G564)</f>
        <v/>
      </c>
      <c r="I566" t="str">
        <f>IF('SAÍDAS-BASE'!H564="","",'SAÍDAS-BASE'!H564)</f>
        <v/>
      </c>
      <c r="J566" t="str">
        <f>IF('SAÍDAS-BASE'!I564="","",'SAÍDAS-BASE'!I564)</f>
        <v/>
      </c>
      <c r="K566" s="5" t="str">
        <f>IF('SAÍDAS-BASE'!J564="","",'SAÍDAS-BASE'!J564)</f>
        <v/>
      </c>
      <c r="L566" t="str">
        <f>IF(TABELA_SAIDAS[[#This Row],[UF]]="","",IFERROR(IF(VLOOKUP(TABELA_SAIDAS[[#This Row],[VALOR]],TABELA_ENTRADAS[VALOR],1,FALSE),"DEVOLUÇÃO"),"SEM ENTRADAS"))</f>
        <v/>
      </c>
    </row>
    <row r="567" spans="2:12" x14ac:dyDescent="0.3">
      <c r="B567" t="str">
        <f>IF('SAÍDAS-BASE'!A565="","",'SAÍDAS-BASE'!A565)</f>
        <v/>
      </c>
      <c r="C567" t="str">
        <f>IF('SAÍDAS-BASE'!B565="","",'SAÍDAS-BASE'!B565)</f>
        <v/>
      </c>
      <c r="D567" t="str">
        <f>IF('SAÍDAS-BASE'!C565="","",'SAÍDAS-BASE'!C565)</f>
        <v/>
      </c>
      <c r="E567" s="7" t="str">
        <f>IF('SAÍDAS-BASE'!D565="","",'SAÍDAS-BASE'!D565)</f>
        <v/>
      </c>
      <c r="F567" s="6" t="str">
        <f>IF('SAÍDAS-BASE'!E565="","",'SAÍDAS-BASE'!E565)</f>
        <v/>
      </c>
      <c r="G567" t="str">
        <f>IF('SAÍDAS-BASE'!F565="","",'SAÍDAS-BASE'!F565)</f>
        <v/>
      </c>
      <c r="H567" t="str">
        <f>IF('SAÍDAS-BASE'!G565="","",'SAÍDAS-BASE'!G565)</f>
        <v/>
      </c>
      <c r="I567" t="str">
        <f>IF('SAÍDAS-BASE'!H565="","",'SAÍDAS-BASE'!H565)</f>
        <v/>
      </c>
      <c r="J567" t="str">
        <f>IF('SAÍDAS-BASE'!I565="","",'SAÍDAS-BASE'!I565)</f>
        <v/>
      </c>
      <c r="K567" s="5" t="str">
        <f>IF('SAÍDAS-BASE'!J565="","",'SAÍDAS-BASE'!J565)</f>
        <v/>
      </c>
      <c r="L567" t="str">
        <f>IF(TABELA_SAIDAS[[#This Row],[UF]]="","",IFERROR(IF(VLOOKUP(TABELA_SAIDAS[[#This Row],[VALOR]],TABELA_ENTRADAS[VALOR],1,FALSE),"DEVOLUÇÃO"),"SEM ENTRADAS"))</f>
        <v/>
      </c>
    </row>
    <row r="568" spans="2:12" x14ac:dyDescent="0.3">
      <c r="B568" t="str">
        <f>IF('SAÍDAS-BASE'!A566="","",'SAÍDAS-BASE'!A566)</f>
        <v/>
      </c>
      <c r="C568" t="str">
        <f>IF('SAÍDAS-BASE'!B566="","",'SAÍDAS-BASE'!B566)</f>
        <v/>
      </c>
      <c r="D568" t="str">
        <f>IF('SAÍDAS-BASE'!C566="","",'SAÍDAS-BASE'!C566)</f>
        <v/>
      </c>
      <c r="E568" s="7" t="str">
        <f>IF('SAÍDAS-BASE'!D566="","",'SAÍDAS-BASE'!D566)</f>
        <v/>
      </c>
      <c r="F568" s="6" t="str">
        <f>IF('SAÍDAS-BASE'!E566="","",'SAÍDAS-BASE'!E566)</f>
        <v/>
      </c>
      <c r="G568" t="str">
        <f>IF('SAÍDAS-BASE'!F566="","",'SAÍDAS-BASE'!F566)</f>
        <v/>
      </c>
      <c r="H568" t="str">
        <f>IF('SAÍDAS-BASE'!G566="","",'SAÍDAS-BASE'!G566)</f>
        <v/>
      </c>
      <c r="I568" t="str">
        <f>IF('SAÍDAS-BASE'!H566="","",'SAÍDAS-BASE'!H566)</f>
        <v/>
      </c>
      <c r="J568" t="str">
        <f>IF('SAÍDAS-BASE'!I566="","",'SAÍDAS-BASE'!I566)</f>
        <v/>
      </c>
      <c r="K568" s="5" t="str">
        <f>IF('SAÍDAS-BASE'!J566="","",'SAÍDAS-BASE'!J566)</f>
        <v/>
      </c>
      <c r="L568" t="str">
        <f>IF(TABELA_SAIDAS[[#This Row],[UF]]="","",IFERROR(IF(VLOOKUP(TABELA_SAIDAS[[#This Row],[VALOR]],TABELA_ENTRADAS[VALOR],1,FALSE),"DEVOLUÇÃO"),"SEM ENTRADAS"))</f>
        <v/>
      </c>
    </row>
    <row r="569" spans="2:12" x14ac:dyDescent="0.3">
      <c r="B569" t="str">
        <f>IF('SAÍDAS-BASE'!A567="","",'SAÍDAS-BASE'!A567)</f>
        <v/>
      </c>
      <c r="C569" t="str">
        <f>IF('SAÍDAS-BASE'!B567="","",'SAÍDAS-BASE'!B567)</f>
        <v/>
      </c>
      <c r="D569" t="str">
        <f>IF('SAÍDAS-BASE'!C567="","",'SAÍDAS-BASE'!C567)</f>
        <v/>
      </c>
      <c r="E569" s="7" t="str">
        <f>IF('SAÍDAS-BASE'!D567="","",'SAÍDAS-BASE'!D567)</f>
        <v/>
      </c>
      <c r="F569" s="6" t="str">
        <f>IF('SAÍDAS-BASE'!E567="","",'SAÍDAS-BASE'!E567)</f>
        <v/>
      </c>
      <c r="G569" t="str">
        <f>IF('SAÍDAS-BASE'!F567="","",'SAÍDAS-BASE'!F567)</f>
        <v/>
      </c>
      <c r="H569" t="str">
        <f>IF('SAÍDAS-BASE'!G567="","",'SAÍDAS-BASE'!G567)</f>
        <v/>
      </c>
      <c r="I569" t="str">
        <f>IF('SAÍDAS-BASE'!H567="","",'SAÍDAS-BASE'!H567)</f>
        <v/>
      </c>
      <c r="J569" t="str">
        <f>IF('SAÍDAS-BASE'!I567="","",'SAÍDAS-BASE'!I567)</f>
        <v/>
      </c>
      <c r="K569" s="5" t="str">
        <f>IF('SAÍDAS-BASE'!J567="","",'SAÍDAS-BASE'!J567)</f>
        <v/>
      </c>
      <c r="L569" t="str">
        <f>IF(TABELA_SAIDAS[[#This Row],[UF]]="","",IFERROR(IF(VLOOKUP(TABELA_SAIDAS[[#This Row],[VALOR]],TABELA_ENTRADAS[VALOR],1,FALSE),"DEVOLUÇÃO"),"SEM ENTRADAS"))</f>
        <v/>
      </c>
    </row>
    <row r="570" spans="2:12" x14ac:dyDescent="0.3">
      <c r="B570" t="str">
        <f>IF('SAÍDAS-BASE'!A568="","",'SAÍDAS-BASE'!A568)</f>
        <v/>
      </c>
      <c r="C570" t="str">
        <f>IF('SAÍDAS-BASE'!B568="","",'SAÍDAS-BASE'!B568)</f>
        <v/>
      </c>
      <c r="D570" t="str">
        <f>IF('SAÍDAS-BASE'!C568="","",'SAÍDAS-BASE'!C568)</f>
        <v/>
      </c>
      <c r="E570" s="7" t="str">
        <f>IF('SAÍDAS-BASE'!D568="","",'SAÍDAS-BASE'!D568)</f>
        <v/>
      </c>
      <c r="F570" s="6" t="str">
        <f>IF('SAÍDAS-BASE'!E568="","",'SAÍDAS-BASE'!E568)</f>
        <v/>
      </c>
      <c r="G570" t="str">
        <f>IF('SAÍDAS-BASE'!F568="","",'SAÍDAS-BASE'!F568)</f>
        <v/>
      </c>
      <c r="H570" t="str">
        <f>IF('SAÍDAS-BASE'!G568="","",'SAÍDAS-BASE'!G568)</f>
        <v/>
      </c>
      <c r="I570" t="str">
        <f>IF('SAÍDAS-BASE'!H568="","",'SAÍDAS-BASE'!H568)</f>
        <v/>
      </c>
      <c r="J570" t="str">
        <f>IF('SAÍDAS-BASE'!I568="","",'SAÍDAS-BASE'!I568)</f>
        <v/>
      </c>
      <c r="K570" s="5" t="str">
        <f>IF('SAÍDAS-BASE'!J568="","",'SAÍDAS-BASE'!J568)</f>
        <v/>
      </c>
      <c r="L570" t="str">
        <f>IF(TABELA_SAIDAS[[#This Row],[UF]]="","",IFERROR(IF(VLOOKUP(TABELA_SAIDAS[[#This Row],[VALOR]],TABELA_ENTRADAS[VALOR],1,FALSE),"DEVOLUÇÃO"),"SEM ENTRADAS"))</f>
        <v/>
      </c>
    </row>
    <row r="571" spans="2:12" x14ac:dyDescent="0.3">
      <c r="B571" t="str">
        <f>IF('SAÍDAS-BASE'!A569="","",'SAÍDAS-BASE'!A569)</f>
        <v/>
      </c>
      <c r="C571" t="str">
        <f>IF('SAÍDAS-BASE'!B569="","",'SAÍDAS-BASE'!B569)</f>
        <v/>
      </c>
      <c r="D571" t="str">
        <f>IF('SAÍDAS-BASE'!C569="","",'SAÍDAS-BASE'!C569)</f>
        <v/>
      </c>
      <c r="E571" s="7" t="str">
        <f>IF('SAÍDAS-BASE'!D569="","",'SAÍDAS-BASE'!D569)</f>
        <v/>
      </c>
      <c r="F571" s="6" t="str">
        <f>IF('SAÍDAS-BASE'!E569="","",'SAÍDAS-BASE'!E569)</f>
        <v/>
      </c>
      <c r="G571" t="str">
        <f>IF('SAÍDAS-BASE'!F569="","",'SAÍDAS-BASE'!F569)</f>
        <v/>
      </c>
      <c r="H571" t="str">
        <f>IF('SAÍDAS-BASE'!G569="","",'SAÍDAS-BASE'!G569)</f>
        <v/>
      </c>
      <c r="I571" t="str">
        <f>IF('SAÍDAS-BASE'!H569="","",'SAÍDAS-BASE'!H569)</f>
        <v/>
      </c>
      <c r="J571" t="str">
        <f>IF('SAÍDAS-BASE'!I569="","",'SAÍDAS-BASE'!I569)</f>
        <v/>
      </c>
      <c r="K571" s="5" t="str">
        <f>IF('SAÍDAS-BASE'!J569="","",'SAÍDAS-BASE'!J569)</f>
        <v/>
      </c>
      <c r="L571" t="str">
        <f>IF(TABELA_SAIDAS[[#This Row],[UF]]="","",IFERROR(IF(VLOOKUP(TABELA_SAIDAS[[#This Row],[VALOR]],TABELA_ENTRADAS[VALOR],1,FALSE),"DEVOLUÇÃO"),"SEM ENTRADAS"))</f>
        <v/>
      </c>
    </row>
    <row r="572" spans="2:12" x14ac:dyDescent="0.3">
      <c r="B572" t="str">
        <f>IF('SAÍDAS-BASE'!A570="","",'SAÍDAS-BASE'!A570)</f>
        <v/>
      </c>
      <c r="C572" t="str">
        <f>IF('SAÍDAS-BASE'!B570="","",'SAÍDAS-BASE'!B570)</f>
        <v/>
      </c>
      <c r="D572" t="str">
        <f>IF('SAÍDAS-BASE'!C570="","",'SAÍDAS-BASE'!C570)</f>
        <v/>
      </c>
      <c r="E572" s="7" t="str">
        <f>IF('SAÍDAS-BASE'!D570="","",'SAÍDAS-BASE'!D570)</f>
        <v/>
      </c>
      <c r="F572" s="6" t="str">
        <f>IF('SAÍDAS-BASE'!E570="","",'SAÍDAS-BASE'!E570)</f>
        <v/>
      </c>
      <c r="G572" t="str">
        <f>IF('SAÍDAS-BASE'!F570="","",'SAÍDAS-BASE'!F570)</f>
        <v/>
      </c>
      <c r="H572" t="str">
        <f>IF('SAÍDAS-BASE'!G570="","",'SAÍDAS-BASE'!G570)</f>
        <v/>
      </c>
      <c r="I572" t="str">
        <f>IF('SAÍDAS-BASE'!H570="","",'SAÍDAS-BASE'!H570)</f>
        <v/>
      </c>
      <c r="J572" t="str">
        <f>IF('SAÍDAS-BASE'!I570="","",'SAÍDAS-BASE'!I570)</f>
        <v/>
      </c>
      <c r="K572" s="5" t="str">
        <f>IF('SAÍDAS-BASE'!J570="","",'SAÍDAS-BASE'!J570)</f>
        <v/>
      </c>
      <c r="L572" t="str">
        <f>IF(TABELA_SAIDAS[[#This Row],[UF]]="","",IFERROR(IF(VLOOKUP(TABELA_SAIDAS[[#This Row],[VALOR]],TABELA_ENTRADAS[VALOR],1,FALSE),"DEVOLUÇÃO"),"SEM ENTRADAS"))</f>
        <v/>
      </c>
    </row>
    <row r="573" spans="2:12" x14ac:dyDescent="0.3">
      <c r="B573" t="str">
        <f>IF('SAÍDAS-BASE'!A571="","",'SAÍDAS-BASE'!A571)</f>
        <v/>
      </c>
      <c r="C573" t="str">
        <f>IF('SAÍDAS-BASE'!B571="","",'SAÍDAS-BASE'!B571)</f>
        <v/>
      </c>
      <c r="D573" t="str">
        <f>IF('SAÍDAS-BASE'!C571="","",'SAÍDAS-BASE'!C571)</f>
        <v/>
      </c>
      <c r="E573" s="7" t="str">
        <f>IF('SAÍDAS-BASE'!D571="","",'SAÍDAS-BASE'!D571)</f>
        <v/>
      </c>
      <c r="F573" s="6" t="str">
        <f>IF('SAÍDAS-BASE'!E571="","",'SAÍDAS-BASE'!E571)</f>
        <v/>
      </c>
      <c r="G573" t="str">
        <f>IF('SAÍDAS-BASE'!F571="","",'SAÍDAS-BASE'!F571)</f>
        <v/>
      </c>
      <c r="H573" t="str">
        <f>IF('SAÍDAS-BASE'!G571="","",'SAÍDAS-BASE'!G571)</f>
        <v/>
      </c>
      <c r="I573" t="str">
        <f>IF('SAÍDAS-BASE'!H571="","",'SAÍDAS-BASE'!H571)</f>
        <v/>
      </c>
      <c r="J573" t="str">
        <f>IF('SAÍDAS-BASE'!I571="","",'SAÍDAS-BASE'!I571)</f>
        <v/>
      </c>
      <c r="K573" s="5" t="str">
        <f>IF('SAÍDAS-BASE'!J571="","",'SAÍDAS-BASE'!J571)</f>
        <v/>
      </c>
      <c r="L573" t="str">
        <f>IF(TABELA_SAIDAS[[#This Row],[UF]]="","",IFERROR(IF(VLOOKUP(TABELA_SAIDAS[[#This Row],[VALOR]],TABELA_ENTRADAS[VALOR],1,FALSE),"DEVOLUÇÃO"),"SEM ENTRADAS"))</f>
        <v/>
      </c>
    </row>
    <row r="574" spans="2:12" x14ac:dyDescent="0.3">
      <c r="B574" t="str">
        <f>IF('SAÍDAS-BASE'!A572="","",'SAÍDAS-BASE'!A572)</f>
        <v/>
      </c>
      <c r="C574" t="str">
        <f>IF('SAÍDAS-BASE'!B572="","",'SAÍDAS-BASE'!B572)</f>
        <v/>
      </c>
      <c r="D574" t="str">
        <f>IF('SAÍDAS-BASE'!C572="","",'SAÍDAS-BASE'!C572)</f>
        <v/>
      </c>
      <c r="E574" s="7" t="str">
        <f>IF('SAÍDAS-BASE'!D572="","",'SAÍDAS-BASE'!D572)</f>
        <v/>
      </c>
      <c r="F574" s="6" t="str">
        <f>IF('SAÍDAS-BASE'!E572="","",'SAÍDAS-BASE'!E572)</f>
        <v/>
      </c>
      <c r="G574" t="str">
        <f>IF('SAÍDAS-BASE'!F572="","",'SAÍDAS-BASE'!F572)</f>
        <v/>
      </c>
      <c r="H574" t="str">
        <f>IF('SAÍDAS-BASE'!G572="","",'SAÍDAS-BASE'!G572)</f>
        <v/>
      </c>
      <c r="I574" t="str">
        <f>IF('SAÍDAS-BASE'!H572="","",'SAÍDAS-BASE'!H572)</f>
        <v/>
      </c>
      <c r="J574" t="str">
        <f>IF('SAÍDAS-BASE'!I572="","",'SAÍDAS-BASE'!I572)</f>
        <v/>
      </c>
      <c r="K574" s="5" t="str">
        <f>IF('SAÍDAS-BASE'!J572="","",'SAÍDAS-BASE'!J572)</f>
        <v/>
      </c>
      <c r="L574" t="str">
        <f>IF(TABELA_SAIDAS[[#This Row],[UF]]="","",IFERROR(IF(VLOOKUP(TABELA_SAIDAS[[#This Row],[VALOR]],TABELA_ENTRADAS[VALOR],1,FALSE),"DEVOLUÇÃO"),"SEM ENTRADAS"))</f>
        <v/>
      </c>
    </row>
    <row r="575" spans="2:12" x14ac:dyDescent="0.3">
      <c r="B575" t="str">
        <f>IF('SAÍDAS-BASE'!A573="","",'SAÍDAS-BASE'!A573)</f>
        <v/>
      </c>
      <c r="C575" t="str">
        <f>IF('SAÍDAS-BASE'!B573="","",'SAÍDAS-BASE'!B573)</f>
        <v/>
      </c>
      <c r="D575" t="str">
        <f>IF('SAÍDAS-BASE'!C573="","",'SAÍDAS-BASE'!C573)</f>
        <v/>
      </c>
      <c r="E575" s="7" t="str">
        <f>IF('SAÍDAS-BASE'!D573="","",'SAÍDAS-BASE'!D573)</f>
        <v/>
      </c>
      <c r="F575" s="6" t="str">
        <f>IF('SAÍDAS-BASE'!E573="","",'SAÍDAS-BASE'!E573)</f>
        <v/>
      </c>
      <c r="G575" t="str">
        <f>IF('SAÍDAS-BASE'!F573="","",'SAÍDAS-BASE'!F573)</f>
        <v/>
      </c>
      <c r="H575" t="str">
        <f>IF('SAÍDAS-BASE'!G573="","",'SAÍDAS-BASE'!G573)</f>
        <v/>
      </c>
      <c r="I575" t="str">
        <f>IF('SAÍDAS-BASE'!H573="","",'SAÍDAS-BASE'!H573)</f>
        <v/>
      </c>
      <c r="J575" t="str">
        <f>IF('SAÍDAS-BASE'!I573="","",'SAÍDAS-BASE'!I573)</f>
        <v/>
      </c>
      <c r="K575" s="5" t="str">
        <f>IF('SAÍDAS-BASE'!J573="","",'SAÍDAS-BASE'!J573)</f>
        <v/>
      </c>
      <c r="L575" t="str">
        <f>IF(TABELA_SAIDAS[[#This Row],[UF]]="","",IFERROR(IF(VLOOKUP(TABELA_SAIDAS[[#This Row],[VALOR]],TABELA_ENTRADAS[VALOR],1,FALSE),"DEVOLUÇÃO"),"SEM ENTRADAS"))</f>
        <v/>
      </c>
    </row>
    <row r="576" spans="2:12" x14ac:dyDescent="0.3">
      <c r="B576" t="str">
        <f>IF('SAÍDAS-BASE'!A574="","",'SAÍDAS-BASE'!A574)</f>
        <v/>
      </c>
      <c r="C576" t="str">
        <f>IF('SAÍDAS-BASE'!B574="","",'SAÍDAS-BASE'!B574)</f>
        <v/>
      </c>
      <c r="D576" t="str">
        <f>IF('SAÍDAS-BASE'!C574="","",'SAÍDAS-BASE'!C574)</f>
        <v/>
      </c>
      <c r="E576" s="7" t="str">
        <f>IF('SAÍDAS-BASE'!D574="","",'SAÍDAS-BASE'!D574)</f>
        <v/>
      </c>
      <c r="F576" s="6" t="str">
        <f>IF('SAÍDAS-BASE'!E574="","",'SAÍDAS-BASE'!E574)</f>
        <v/>
      </c>
      <c r="G576" t="str">
        <f>IF('SAÍDAS-BASE'!F574="","",'SAÍDAS-BASE'!F574)</f>
        <v/>
      </c>
      <c r="H576" t="str">
        <f>IF('SAÍDAS-BASE'!G574="","",'SAÍDAS-BASE'!G574)</f>
        <v/>
      </c>
      <c r="I576" t="str">
        <f>IF('SAÍDAS-BASE'!H574="","",'SAÍDAS-BASE'!H574)</f>
        <v/>
      </c>
      <c r="J576" t="str">
        <f>IF('SAÍDAS-BASE'!I574="","",'SAÍDAS-BASE'!I574)</f>
        <v/>
      </c>
      <c r="K576" s="5" t="str">
        <f>IF('SAÍDAS-BASE'!J574="","",'SAÍDAS-BASE'!J574)</f>
        <v/>
      </c>
      <c r="L576" t="str">
        <f>IF(TABELA_SAIDAS[[#This Row],[UF]]="","",IFERROR(IF(VLOOKUP(TABELA_SAIDAS[[#This Row],[VALOR]],TABELA_ENTRADAS[VALOR],1,FALSE),"DEVOLUÇÃO"),"SEM ENTRADAS"))</f>
        <v/>
      </c>
    </row>
    <row r="577" spans="2:12" x14ac:dyDescent="0.3">
      <c r="B577" t="str">
        <f>IF('SAÍDAS-BASE'!A575="","",'SAÍDAS-BASE'!A575)</f>
        <v/>
      </c>
      <c r="C577" t="str">
        <f>IF('SAÍDAS-BASE'!B575="","",'SAÍDAS-BASE'!B575)</f>
        <v/>
      </c>
      <c r="D577" t="str">
        <f>IF('SAÍDAS-BASE'!C575="","",'SAÍDAS-BASE'!C575)</f>
        <v/>
      </c>
      <c r="E577" s="7" t="str">
        <f>IF('SAÍDAS-BASE'!D575="","",'SAÍDAS-BASE'!D575)</f>
        <v/>
      </c>
      <c r="F577" s="6" t="str">
        <f>IF('SAÍDAS-BASE'!E575="","",'SAÍDAS-BASE'!E575)</f>
        <v/>
      </c>
      <c r="G577" t="str">
        <f>IF('SAÍDAS-BASE'!F575="","",'SAÍDAS-BASE'!F575)</f>
        <v/>
      </c>
      <c r="H577" t="str">
        <f>IF('SAÍDAS-BASE'!G575="","",'SAÍDAS-BASE'!G575)</f>
        <v/>
      </c>
      <c r="I577" t="str">
        <f>IF('SAÍDAS-BASE'!H575="","",'SAÍDAS-BASE'!H575)</f>
        <v/>
      </c>
      <c r="J577" t="str">
        <f>IF('SAÍDAS-BASE'!I575="","",'SAÍDAS-BASE'!I575)</f>
        <v/>
      </c>
      <c r="K577" s="5" t="str">
        <f>IF('SAÍDAS-BASE'!J575="","",'SAÍDAS-BASE'!J575)</f>
        <v/>
      </c>
      <c r="L577" t="str">
        <f>IF(TABELA_SAIDAS[[#This Row],[UF]]="","",IFERROR(IF(VLOOKUP(TABELA_SAIDAS[[#This Row],[VALOR]],TABELA_ENTRADAS[VALOR],1,FALSE),"DEVOLUÇÃO"),"SEM ENTRADAS"))</f>
        <v/>
      </c>
    </row>
    <row r="578" spans="2:12" x14ac:dyDescent="0.3">
      <c r="B578" t="str">
        <f>IF('SAÍDAS-BASE'!A576="","",'SAÍDAS-BASE'!A576)</f>
        <v/>
      </c>
      <c r="C578" t="str">
        <f>IF('SAÍDAS-BASE'!B576="","",'SAÍDAS-BASE'!B576)</f>
        <v/>
      </c>
      <c r="D578" t="str">
        <f>IF('SAÍDAS-BASE'!C576="","",'SAÍDAS-BASE'!C576)</f>
        <v/>
      </c>
      <c r="E578" s="7" t="str">
        <f>IF('SAÍDAS-BASE'!D576="","",'SAÍDAS-BASE'!D576)</f>
        <v/>
      </c>
      <c r="F578" s="6" t="str">
        <f>IF('SAÍDAS-BASE'!E576="","",'SAÍDAS-BASE'!E576)</f>
        <v/>
      </c>
      <c r="G578" t="str">
        <f>IF('SAÍDAS-BASE'!F576="","",'SAÍDAS-BASE'!F576)</f>
        <v/>
      </c>
      <c r="H578" t="str">
        <f>IF('SAÍDAS-BASE'!G576="","",'SAÍDAS-BASE'!G576)</f>
        <v/>
      </c>
      <c r="I578" t="str">
        <f>IF('SAÍDAS-BASE'!H576="","",'SAÍDAS-BASE'!H576)</f>
        <v/>
      </c>
      <c r="J578" t="str">
        <f>IF('SAÍDAS-BASE'!I576="","",'SAÍDAS-BASE'!I576)</f>
        <v/>
      </c>
      <c r="K578" s="5" t="str">
        <f>IF('SAÍDAS-BASE'!J576="","",'SAÍDAS-BASE'!J576)</f>
        <v/>
      </c>
      <c r="L578" t="str">
        <f>IF(TABELA_SAIDAS[[#This Row],[UF]]="","",IFERROR(IF(VLOOKUP(TABELA_SAIDAS[[#This Row],[VALOR]],TABELA_ENTRADAS[VALOR],1,FALSE),"DEVOLUÇÃO"),"SEM ENTRADAS"))</f>
        <v/>
      </c>
    </row>
    <row r="579" spans="2:12" x14ac:dyDescent="0.3">
      <c r="B579" t="str">
        <f>IF('SAÍDAS-BASE'!A577="","",'SAÍDAS-BASE'!A577)</f>
        <v/>
      </c>
      <c r="C579" t="str">
        <f>IF('SAÍDAS-BASE'!B577="","",'SAÍDAS-BASE'!B577)</f>
        <v/>
      </c>
      <c r="D579" t="str">
        <f>IF('SAÍDAS-BASE'!C577="","",'SAÍDAS-BASE'!C577)</f>
        <v/>
      </c>
      <c r="E579" s="7" t="str">
        <f>IF('SAÍDAS-BASE'!D577="","",'SAÍDAS-BASE'!D577)</f>
        <v/>
      </c>
      <c r="F579" s="6" t="str">
        <f>IF('SAÍDAS-BASE'!E577="","",'SAÍDAS-BASE'!E577)</f>
        <v/>
      </c>
      <c r="G579" t="str">
        <f>IF('SAÍDAS-BASE'!F577="","",'SAÍDAS-BASE'!F577)</f>
        <v/>
      </c>
      <c r="H579" t="str">
        <f>IF('SAÍDAS-BASE'!G577="","",'SAÍDAS-BASE'!G577)</f>
        <v/>
      </c>
      <c r="I579" t="str">
        <f>IF('SAÍDAS-BASE'!H577="","",'SAÍDAS-BASE'!H577)</f>
        <v/>
      </c>
      <c r="J579" t="str">
        <f>IF('SAÍDAS-BASE'!I577="","",'SAÍDAS-BASE'!I577)</f>
        <v/>
      </c>
      <c r="K579" s="5" t="str">
        <f>IF('SAÍDAS-BASE'!J577="","",'SAÍDAS-BASE'!J577)</f>
        <v/>
      </c>
      <c r="L579" t="str">
        <f>IF(TABELA_SAIDAS[[#This Row],[UF]]="","",IFERROR(IF(VLOOKUP(TABELA_SAIDAS[[#This Row],[VALOR]],TABELA_ENTRADAS[VALOR],1,FALSE),"DEVOLUÇÃO"),"SEM ENTRADAS"))</f>
        <v/>
      </c>
    </row>
    <row r="580" spans="2:12" x14ac:dyDescent="0.3">
      <c r="B580" t="str">
        <f>IF('SAÍDAS-BASE'!A578="","",'SAÍDAS-BASE'!A578)</f>
        <v/>
      </c>
      <c r="C580" t="str">
        <f>IF('SAÍDAS-BASE'!B578="","",'SAÍDAS-BASE'!B578)</f>
        <v/>
      </c>
      <c r="D580" t="str">
        <f>IF('SAÍDAS-BASE'!C578="","",'SAÍDAS-BASE'!C578)</f>
        <v/>
      </c>
      <c r="E580" s="7" t="str">
        <f>IF('SAÍDAS-BASE'!D578="","",'SAÍDAS-BASE'!D578)</f>
        <v/>
      </c>
      <c r="F580" s="6" t="str">
        <f>IF('SAÍDAS-BASE'!E578="","",'SAÍDAS-BASE'!E578)</f>
        <v/>
      </c>
      <c r="G580" t="str">
        <f>IF('SAÍDAS-BASE'!F578="","",'SAÍDAS-BASE'!F578)</f>
        <v/>
      </c>
      <c r="H580" t="str">
        <f>IF('SAÍDAS-BASE'!G578="","",'SAÍDAS-BASE'!G578)</f>
        <v/>
      </c>
      <c r="I580" t="str">
        <f>IF('SAÍDAS-BASE'!H578="","",'SAÍDAS-BASE'!H578)</f>
        <v/>
      </c>
      <c r="J580" t="str">
        <f>IF('SAÍDAS-BASE'!I578="","",'SAÍDAS-BASE'!I578)</f>
        <v/>
      </c>
      <c r="K580" s="5" t="str">
        <f>IF('SAÍDAS-BASE'!J578="","",'SAÍDAS-BASE'!J578)</f>
        <v/>
      </c>
      <c r="L580" t="str">
        <f>IF(TABELA_SAIDAS[[#This Row],[UF]]="","",IFERROR(IF(VLOOKUP(TABELA_SAIDAS[[#This Row],[VALOR]],TABELA_ENTRADAS[VALOR],1,FALSE),"DEVOLUÇÃO"),"SEM ENTRADAS"))</f>
        <v/>
      </c>
    </row>
    <row r="581" spans="2:12" x14ac:dyDescent="0.3">
      <c r="B581" t="str">
        <f>IF('SAÍDAS-BASE'!A579="","",'SAÍDAS-BASE'!A579)</f>
        <v/>
      </c>
      <c r="C581" t="str">
        <f>IF('SAÍDAS-BASE'!B579="","",'SAÍDAS-BASE'!B579)</f>
        <v/>
      </c>
      <c r="D581" t="str">
        <f>IF('SAÍDAS-BASE'!C579="","",'SAÍDAS-BASE'!C579)</f>
        <v/>
      </c>
      <c r="E581" s="7" t="str">
        <f>IF('SAÍDAS-BASE'!D579="","",'SAÍDAS-BASE'!D579)</f>
        <v/>
      </c>
      <c r="F581" s="6" t="str">
        <f>IF('SAÍDAS-BASE'!E579="","",'SAÍDAS-BASE'!E579)</f>
        <v/>
      </c>
      <c r="G581" t="str">
        <f>IF('SAÍDAS-BASE'!F579="","",'SAÍDAS-BASE'!F579)</f>
        <v/>
      </c>
      <c r="H581" t="str">
        <f>IF('SAÍDAS-BASE'!G579="","",'SAÍDAS-BASE'!G579)</f>
        <v/>
      </c>
      <c r="I581" t="str">
        <f>IF('SAÍDAS-BASE'!H579="","",'SAÍDAS-BASE'!H579)</f>
        <v/>
      </c>
      <c r="J581" t="str">
        <f>IF('SAÍDAS-BASE'!I579="","",'SAÍDAS-BASE'!I579)</f>
        <v/>
      </c>
      <c r="K581" s="5" t="str">
        <f>IF('SAÍDAS-BASE'!J579="","",'SAÍDAS-BASE'!J579)</f>
        <v/>
      </c>
      <c r="L581" t="str">
        <f>IF(TABELA_SAIDAS[[#This Row],[UF]]="","",IFERROR(IF(VLOOKUP(TABELA_SAIDAS[[#This Row],[VALOR]],TABELA_ENTRADAS[VALOR],1,FALSE),"DEVOLUÇÃO"),"SEM ENTRADAS"))</f>
        <v/>
      </c>
    </row>
    <row r="582" spans="2:12" x14ac:dyDescent="0.3">
      <c r="B582" t="str">
        <f>IF('SAÍDAS-BASE'!A580="","",'SAÍDAS-BASE'!A580)</f>
        <v/>
      </c>
      <c r="C582" t="str">
        <f>IF('SAÍDAS-BASE'!B580="","",'SAÍDAS-BASE'!B580)</f>
        <v/>
      </c>
      <c r="D582" t="str">
        <f>IF('SAÍDAS-BASE'!C580="","",'SAÍDAS-BASE'!C580)</f>
        <v/>
      </c>
      <c r="E582" s="7" t="str">
        <f>IF('SAÍDAS-BASE'!D580="","",'SAÍDAS-BASE'!D580)</f>
        <v/>
      </c>
      <c r="F582" s="6" t="str">
        <f>IF('SAÍDAS-BASE'!E580="","",'SAÍDAS-BASE'!E580)</f>
        <v/>
      </c>
      <c r="G582" t="str">
        <f>IF('SAÍDAS-BASE'!F580="","",'SAÍDAS-BASE'!F580)</f>
        <v/>
      </c>
      <c r="H582" t="str">
        <f>IF('SAÍDAS-BASE'!G580="","",'SAÍDAS-BASE'!G580)</f>
        <v/>
      </c>
      <c r="I582" t="str">
        <f>IF('SAÍDAS-BASE'!H580="","",'SAÍDAS-BASE'!H580)</f>
        <v/>
      </c>
      <c r="J582" t="str">
        <f>IF('SAÍDAS-BASE'!I580="","",'SAÍDAS-BASE'!I580)</f>
        <v/>
      </c>
      <c r="K582" s="5" t="str">
        <f>IF('SAÍDAS-BASE'!J580="","",'SAÍDAS-BASE'!J580)</f>
        <v/>
      </c>
      <c r="L582" t="str">
        <f>IF(TABELA_SAIDAS[[#This Row],[UF]]="","",IFERROR(IF(VLOOKUP(TABELA_SAIDAS[[#This Row],[VALOR]],TABELA_ENTRADAS[VALOR],1,FALSE),"DEVOLUÇÃO"),"SEM ENTRADAS"))</f>
        <v/>
      </c>
    </row>
    <row r="583" spans="2:12" x14ac:dyDescent="0.3">
      <c r="B583" t="str">
        <f>IF('SAÍDAS-BASE'!A581="","",'SAÍDAS-BASE'!A581)</f>
        <v/>
      </c>
      <c r="C583" t="str">
        <f>IF('SAÍDAS-BASE'!B581="","",'SAÍDAS-BASE'!B581)</f>
        <v/>
      </c>
      <c r="D583" t="str">
        <f>IF('SAÍDAS-BASE'!C581="","",'SAÍDAS-BASE'!C581)</f>
        <v/>
      </c>
      <c r="E583" s="7" t="str">
        <f>IF('SAÍDAS-BASE'!D581="","",'SAÍDAS-BASE'!D581)</f>
        <v/>
      </c>
      <c r="F583" s="6" t="str">
        <f>IF('SAÍDAS-BASE'!E581="","",'SAÍDAS-BASE'!E581)</f>
        <v/>
      </c>
      <c r="G583" t="str">
        <f>IF('SAÍDAS-BASE'!F581="","",'SAÍDAS-BASE'!F581)</f>
        <v/>
      </c>
      <c r="H583" t="str">
        <f>IF('SAÍDAS-BASE'!G581="","",'SAÍDAS-BASE'!G581)</f>
        <v/>
      </c>
      <c r="I583" t="str">
        <f>IF('SAÍDAS-BASE'!H581="","",'SAÍDAS-BASE'!H581)</f>
        <v/>
      </c>
      <c r="J583" t="str">
        <f>IF('SAÍDAS-BASE'!I581="","",'SAÍDAS-BASE'!I581)</f>
        <v/>
      </c>
      <c r="K583" s="5" t="str">
        <f>IF('SAÍDAS-BASE'!J581="","",'SAÍDAS-BASE'!J581)</f>
        <v/>
      </c>
      <c r="L583" t="str">
        <f>IF(TABELA_SAIDAS[[#This Row],[UF]]="","",IFERROR(IF(VLOOKUP(TABELA_SAIDAS[[#This Row],[VALOR]],TABELA_ENTRADAS[VALOR],1,FALSE),"DEVOLUÇÃO"),"SEM ENTRADAS"))</f>
        <v/>
      </c>
    </row>
    <row r="584" spans="2:12" x14ac:dyDescent="0.3">
      <c r="B584" t="str">
        <f>IF('SAÍDAS-BASE'!A582="","",'SAÍDAS-BASE'!A582)</f>
        <v/>
      </c>
      <c r="C584" t="str">
        <f>IF('SAÍDAS-BASE'!B582="","",'SAÍDAS-BASE'!B582)</f>
        <v/>
      </c>
      <c r="D584" t="str">
        <f>IF('SAÍDAS-BASE'!C582="","",'SAÍDAS-BASE'!C582)</f>
        <v/>
      </c>
      <c r="E584" s="7" t="str">
        <f>IF('SAÍDAS-BASE'!D582="","",'SAÍDAS-BASE'!D582)</f>
        <v/>
      </c>
      <c r="F584" s="6" t="str">
        <f>IF('SAÍDAS-BASE'!E582="","",'SAÍDAS-BASE'!E582)</f>
        <v/>
      </c>
      <c r="G584" t="str">
        <f>IF('SAÍDAS-BASE'!F582="","",'SAÍDAS-BASE'!F582)</f>
        <v/>
      </c>
      <c r="H584" t="str">
        <f>IF('SAÍDAS-BASE'!G582="","",'SAÍDAS-BASE'!G582)</f>
        <v/>
      </c>
      <c r="I584" t="str">
        <f>IF('SAÍDAS-BASE'!H582="","",'SAÍDAS-BASE'!H582)</f>
        <v/>
      </c>
      <c r="J584" t="str">
        <f>IF('SAÍDAS-BASE'!I582="","",'SAÍDAS-BASE'!I582)</f>
        <v/>
      </c>
      <c r="K584" s="5" t="str">
        <f>IF('SAÍDAS-BASE'!J582="","",'SAÍDAS-BASE'!J582)</f>
        <v/>
      </c>
      <c r="L584" t="str">
        <f>IF(TABELA_SAIDAS[[#This Row],[UF]]="","",IFERROR(IF(VLOOKUP(TABELA_SAIDAS[[#This Row],[VALOR]],TABELA_ENTRADAS[VALOR],1,FALSE),"DEVOLUÇÃO"),"SEM ENTRADAS"))</f>
        <v/>
      </c>
    </row>
    <row r="585" spans="2:12" x14ac:dyDescent="0.3">
      <c r="B585" t="str">
        <f>IF('SAÍDAS-BASE'!A583="","",'SAÍDAS-BASE'!A583)</f>
        <v/>
      </c>
      <c r="C585" t="str">
        <f>IF('SAÍDAS-BASE'!B583="","",'SAÍDAS-BASE'!B583)</f>
        <v/>
      </c>
      <c r="D585" t="str">
        <f>IF('SAÍDAS-BASE'!C583="","",'SAÍDAS-BASE'!C583)</f>
        <v/>
      </c>
      <c r="E585" s="7" t="str">
        <f>IF('SAÍDAS-BASE'!D583="","",'SAÍDAS-BASE'!D583)</f>
        <v/>
      </c>
      <c r="F585" s="6" t="str">
        <f>IF('SAÍDAS-BASE'!E583="","",'SAÍDAS-BASE'!E583)</f>
        <v/>
      </c>
      <c r="G585" t="str">
        <f>IF('SAÍDAS-BASE'!F583="","",'SAÍDAS-BASE'!F583)</f>
        <v/>
      </c>
      <c r="H585" t="str">
        <f>IF('SAÍDAS-BASE'!G583="","",'SAÍDAS-BASE'!G583)</f>
        <v/>
      </c>
      <c r="I585" t="str">
        <f>IF('SAÍDAS-BASE'!H583="","",'SAÍDAS-BASE'!H583)</f>
        <v/>
      </c>
      <c r="J585" t="str">
        <f>IF('SAÍDAS-BASE'!I583="","",'SAÍDAS-BASE'!I583)</f>
        <v/>
      </c>
      <c r="K585" s="5" t="str">
        <f>IF('SAÍDAS-BASE'!J583="","",'SAÍDAS-BASE'!J583)</f>
        <v/>
      </c>
      <c r="L585" t="str">
        <f>IF(TABELA_SAIDAS[[#This Row],[UF]]="","",IFERROR(IF(VLOOKUP(TABELA_SAIDAS[[#This Row],[VALOR]],TABELA_ENTRADAS[VALOR],1,FALSE),"DEVOLUÇÃO"),"SEM ENTRADAS"))</f>
        <v/>
      </c>
    </row>
    <row r="586" spans="2:12" x14ac:dyDescent="0.3">
      <c r="B586" t="str">
        <f>IF('SAÍDAS-BASE'!A584="","",'SAÍDAS-BASE'!A584)</f>
        <v/>
      </c>
      <c r="C586" t="str">
        <f>IF('SAÍDAS-BASE'!B584="","",'SAÍDAS-BASE'!B584)</f>
        <v/>
      </c>
      <c r="D586" t="str">
        <f>IF('SAÍDAS-BASE'!C584="","",'SAÍDAS-BASE'!C584)</f>
        <v/>
      </c>
      <c r="E586" s="7" t="str">
        <f>IF('SAÍDAS-BASE'!D584="","",'SAÍDAS-BASE'!D584)</f>
        <v/>
      </c>
      <c r="F586" s="6" t="str">
        <f>IF('SAÍDAS-BASE'!E584="","",'SAÍDAS-BASE'!E584)</f>
        <v/>
      </c>
      <c r="G586" t="str">
        <f>IF('SAÍDAS-BASE'!F584="","",'SAÍDAS-BASE'!F584)</f>
        <v/>
      </c>
      <c r="H586" t="str">
        <f>IF('SAÍDAS-BASE'!G584="","",'SAÍDAS-BASE'!G584)</f>
        <v/>
      </c>
      <c r="I586" t="str">
        <f>IF('SAÍDAS-BASE'!H584="","",'SAÍDAS-BASE'!H584)</f>
        <v/>
      </c>
      <c r="J586" t="str">
        <f>IF('SAÍDAS-BASE'!I584="","",'SAÍDAS-BASE'!I584)</f>
        <v/>
      </c>
      <c r="K586" s="5" t="str">
        <f>IF('SAÍDAS-BASE'!J584="","",'SAÍDAS-BASE'!J584)</f>
        <v/>
      </c>
      <c r="L586" t="str">
        <f>IF(TABELA_SAIDAS[[#This Row],[UF]]="","",IFERROR(IF(VLOOKUP(TABELA_SAIDAS[[#This Row],[VALOR]],TABELA_ENTRADAS[VALOR],1,FALSE),"DEVOLUÇÃO"),"SEM ENTRADAS"))</f>
        <v/>
      </c>
    </row>
    <row r="587" spans="2:12" x14ac:dyDescent="0.3">
      <c r="B587" t="str">
        <f>IF('SAÍDAS-BASE'!A585="","",'SAÍDAS-BASE'!A585)</f>
        <v/>
      </c>
      <c r="C587" t="str">
        <f>IF('SAÍDAS-BASE'!B585="","",'SAÍDAS-BASE'!B585)</f>
        <v/>
      </c>
      <c r="D587" t="str">
        <f>IF('SAÍDAS-BASE'!C585="","",'SAÍDAS-BASE'!C585)</f>
        <v/>
      </c>
      <c r="E587" s="7" t="str">
        <f>IF('SAÍDAS-BASE'!D585="","",'SAÍDAS-BASE'!D585)</f>
        <v/>
      </c>
      <c r="F587" s="6" t="str">
        <f>IF('SAÍDAS-BASE'!E585="","",'SAÍDAS-BASE'!E585)</f>
        <v/>
      </c>
      <c r="G587" t="str">
        <f>IF('SAÍDAS-BASE'!F585="","",'SAÍDAS-BASE'!F585)</f>
        <v/>
      </c>
      <c r="H587" t="str">
        <f>IF('SAÍDAS-BASE'!G585="","",'SAÍDAS-BASE'!G585)</f>
        <v/>
      </c>
      <c r="I587" t="str">
        <f>IF('SAÍDAS-BASE'!H585="","",'SAÍDAS-BASE'!H585)</f>
        <v/>
      </c>
      <c r="J587" t="str">
        <f>IF('SAÍDAS-BASE'!I585="","",'SAÍDAS-BASE'!I585)</f>
        <v/>
      </c>
      <c r="K587" s="5" t="str">
        <f>IF('SAÍDAS-BASE'!J585="","",'SAÍDAS-BASE'!J585)</f>
        <v/>
      </c>
      <c r="L587" t="str">
        <f>IF(TABELA_SAIDAS[[#This Row],[UF]]="","",IFERROR(IF(VLOOKUP(TABELA_SAIDAS[[#This Row],[VALOR]],TABELA_ENTRADAS[VALOR],1,FALSE),"DEVOLUÇÃO"),"SEM ENTRADAS"))</f>
        <v/>
      </c>
    </row>
    <row r="588" spans="2:12" x14ac:dyDescent="0.3">
      <c r="B588" t="str">
        <f>IF('SAÍDAS-BASE'!A586="","",'SAÍDAS-BASE'!A586)</f>
        <v/>
      </c>
      <c r="C588" t="str">
        <f>IF('SAÍDAS-BASE'!B586="","",'SAÍDAS-BASE'!B586)</f>
        <v/>
      </c>
      <c r="D588" t="str">
        <f>IF('SAÍDAS-BASE'!C586="","",'SAÍDAS-BASE'!C586)</f>
        <v/>
      </c>
      <c r="E588" s="7" t="str">
        <f>IF('SAÍDAS-BASE'!D586="","",'SAÍDAS-BASE'!D586)</f>
        <v/>
      </c>
      <c r="F588" s="6" t="str">
        <f>IF('SAÍDAS-BASE'!E586="","",'SAÍDAS-BASE'!E586)</f>
        <v/>
      </c>
      <c r="G588" t="str">
        <f>IF('SAÍDAS-BASE'!F586="","",'SAÍDAS-BASE'!F586)</f>
        <v/>
      </c>
      <c r="H588" t="str">
        <f>IF('SAÍDAS-BASE'!G586="","",'SAÍDAS-BASE'!G586)</f>
        <v/>
      </c>
      <c r="I588" t="str">
        <f>IF('SAÍDAS-BASE'!H586="","",'SAÍDAS-BASE'!H586)</f>
        <v/>
      </c>
      <c r="J588" t="str">
        <f>IF('SAÍDAS-BASE'!I586="","",'SAÍDAS-BASE'!I586)</f>
        <v/>
      </c>
      <c r="K588" s="5" t="str">
        <f>IF('SAÍDAS-BASE'!J586="","",'SAÍDAS-BASE'!J586)</f>
        <v/>
      </c>
      <c r="L588" t="str">
        <f>IF(TABELA_SAIDAS[[#This Row],[UF]]="","",IFERROR(IF(VLOOKUP(TABELA_SAIDAS[[#This Row],[VALOR]],TABELA_ENTRADAS[VALOR],1,FALSE),"DEVOLUÇÃO"),"SEM ENTRADAS"))</f>
        <v/>
      </c>
    </row>
    <row r="589" spans="2:12" x14ac:dyDescent="0.3">
      <c r="B589" t="str">
        <f>IF('SAÍDAS-BASE'!A587="","",'SAÍDAS-BASE'!A587)</f>
        <v/>
      </c>
      <c r="C589" t="str">
        <f>IF('SAÍDAS-BASE'!B587="","",'SAÍDAS-BASE'!B587)</f>
        <v/>
      </c>
      <c r="D589" t="str">
        <f>IF('SAÍDAS-BASE'!C587="","",'SAÍDAS-BASE'!C587)</f>
        <v/>
      </c>
      <c r="E589" s="7" t="str">
        <f>IF('SAÍDAS-BASE'!D587="","",'SAÍDAS-BASE'!D587)</f>
        <v/>
      </c>
      <c r="F589" s="6" t="str">
        <f>IF('SAÍDAS-BASE'!E587="","",'SAÍDAS-BASE'!E587)</f>
        <v/>
      </c>
      <c r="G589" t="str">
        <f>IF('SAÍDAS-BASE'!F587="","",'SAÍDAS-BASE'!F587)</f>
        <v/>
      </c>
      <c r="H589" t="str">
        <f>IF('SAÍDAS-BASE'!G587="","",'SAÍDAS-BASE'!G587)</f>
        <v/>
      </c>
      <c r="I589" t="str">
        <f>IF('SAÍDAS-BASE'!H587="","",'SAÍDAS-BASE'!H587)</f>
        <v/>
      </c>
      <c r="J589" t="str">
        <f>IF('SAÍDAS-BASE'!I587="","",'SAÍDAS-BASE'!I587)</f>
        <v/>
      </c>
      <c r="K589" s="5" t="str">
        <f>IF('SAÍDAS-BASE'!J587="","",'SAÍDAS-BASE'!J587)</f>
        <v/>
      </c>
      <c r="L589" t="str">
        <f>IF(TABELA_SAIDAS[[#This Row],[UF]]="","",IFERROR(IF(VLOOKUP(TABELA_SAIDAS[[#This Row],[VALOR]],TABELA_ENTRADAS[VALOR],1,FALSE),"DEVOLUÇÃO"),"SEM ENTRADAS"))</f>
        <v/>
      </c>
    </row>
    <row r="590" spans="2:12" x14ac:dyDescent="0.3">
      <c r="B590" t="str">
        <f>IF('SAÍDAS-BASE'!A588="","",'SAÍDAS-BASE'!A588)</f>
        <v/>
      </c>
      <c r="C590" t="str">
        <f>IF('SAÍDAS-BASE'!B588="","",'SAÍDAS-BASE'!B588)</f>
        <v/>
      </c>
      <c r="D590" t="str">
        <f>IF('SAÍDAS-BASE'!C588="","",'SAÍDAS-BASE'!C588)</f>
        <v/>
      </c>
      <c r="E590" s="7" t="str">
        <f>IF('SAÍDAS-BASE'!D588="","",'SAÍDAS-BASE'!D588)</f>
        <v/>
      </c>
      <c r="F590" s="6" t="str">
        <f>IF('SAÍDAS-BASE'!E588="","",'SAÍDAS-BASE'!E588)</f>
        <v/>
      </c>
      <c r="G590" t="str">
        <f>IF('SAÍDAS-BASE'!F588="","",'SAÍDAS-BASE'!F588)</f>
        <v/>
      </c>
      <c r="H590" t="str">
        <f>IF('SAÍDAS-BASE'!G588="","",'SAÍDAS-BASE'!G588)</f>
        <v/>
      </c>
      <c r="I590" t="str">
        <f>IF('SAÍDAS-BASE'!H588="","",'SAÍDAS-BASE'!H588)</f>
        <v/>
      </c>
      <c r="J590" t="str">
        <f>IF('SAÍDAS-BASE'!I588="","",'SAÍDAS-BASE'!I588)</f>
        <v/>
      </c>
      <c r="K590" s="5" t="str">
        <f>IF('SAÍDAS-BASE'!J588="","",'SAÍDAS-BASE'!J588)</f>
        <v/>
      </c>
      <c r="L590" t="str">
        <f>IF(TABELA_SAIDAS[[#This Row],[UF]]="","",IFERROR(IF(VLOOKUP(TABELA_SAIDAS[[#This Row],[VALOR]],TABELA_ENTRADAS[VALOR],1,FALSE),"DEVOLUÇÃO"),"SEM ENTRADAS"))</f>
        <v/>
      </c>
    </row>
    <row r="591" spans="2:12" x14ac:dyDescent="0.3">
      <c r="B591" t="str">
        <f>IF('SAÍDAS-BASE'!A589="","",'SAÍDAS-BASE'!A589)</f>
        <v/>
      </c>
      <c r="C591" t="str">
        <f>IF('SAÍDAS-BASE'!B589="","",'SAÍDAS-BASE'!B589)</f>
        <v/>
      </c>
      <c r="D591" t="str">
        <f>IF('SAÍDAS-BASE'!C589="","",'SAÍDAS-BASE'!C589)</f>
        <v/>
      </c>
      <c r="E591" s="7" t="str">
        <f>IF('SAÍDAS-BASE'!D589="","",'SAÍDAS-BASE'!D589)</f>
        <v/>
      </c>
      <c r="F591" s="6" t="str">
        <f>IF('SAÍDAS-BASE'!E589="","",'SAÍDAS-BASE'!E589)</f>
        <v/>
      </c>
      <c r="G591" t="str">
        <f>IF('SAÍDAS-BASE'!F589="","",'SAÍDAS-BASE'!F589)</f>
        <v/>
      </c>
      <c r="H591" t="str">
        <f>IF('SAÍDAS-BASE'!G589="","",'SAÍDAS-BASE'!G589)</f>
        <v/>
      </c>
      <c r="I591" t="str">
        <f>IF('SAÍDAS-BASE'!H589="","",'SAÍDAS-BASE'!H589)</f>
        <v/>
      </c>
      <c r="J591" t="str">
        <f>IF('SAÍDAS-BASE'!I589="","",'SAÍDAS-BASE'!I589)</f>
        <v/>
      </c>
      <c r="K591" s="5" t="str">
        <f>IF('SAÍDAS-BASE'!J589="","",'SAÍDAS-BASE'!J589)</f>
        <v/>
      </c>
      <c r="L591" t="str">
        <f>IF(TABELA_SAIDAS[[#This Row],[UF]]="","",IFERROR(IF(VLOOKUP(TABELA_SAIDAS[[#This Row],[VALOR]],TABELA_ENTRADAS[VALOR],1,FALSE),"DEVOLUÇÃO"),"SEM ENTRADAS"))</f>
        <v/>
      </c>
    </row>
    <row r="592" spans="2:12" x14ac:dyDescent="0.3">
      <c r="B592" t="str">
        <f>IF('SAÍDAS-BASE'!A590="","",'SAÍDAS-BASE'!A590)</f>
        <v/>
      </c>
      <c r="C592" t="str">
        <f>IF('SAÍDAS-BASE'!B590="","",'SAÍDAS-BASE'!B590)</f>
        <v/>
      </c>
      <c r="D592" t="str">
        <f>IF('SAÍDAS-BASE'!C590="","",'SAÍDAS-BASE'!C590)</f>
        <v/>
      </c>
      <c r="E592" s="7" t="str">
        <f>IF('SAÍDAS-BASE'!D590="","",'SAÍDAS-BASE'!D590)</f>
        <v/>
      </c>
      <c r="F592" s="6" t="str">
        <f>IF('SAÍDAS-BASE'!E590="","",'SAÍDAS-BASE'!E590)</f>
        <v/>
      </c>
      <c r="G592" t="str">
        <f>IF('SAÍDAS-BASE'!F590="","",'SAÍDAS-BASE'!F590)</f>
        <v/>
      </c>
      <c r="H592" t="str">
        <f>IF('SAÍDAS-BASE'!G590="","",'SAÍDAS-BASE'!G590)</f>
        <v/>
      </c>
      <c r="I592" t="str">
        <f>IF('SAÍDAS-BASE'!H590="","",'SAÍDAS-BASE'!H590)</f>
        <v/>
      </c>
      <c r="J592" t="str">
        <f>IF('SAÍDAS-BASE'!I590="","",'SAÍDAS-BASE'!I590)</f>
        <v/>
      </c>
      <c r="K592" s="5" t="str">
        <f>IF('SAÍDAS-BASE'!J590="","",'SAÍDAS-BASE'!J590)</f>
        <v/>
      </c>
      <c r="L592" t="str">
        <f>IF(TABELA_SAIDAS[[#This Row],[UF]]="","",IFERROR(IF(VLOOKUP(TABELA_SAIDAS[[#This Row],[VALOR]],TABELA_ENTRADAS[VALOR],1,FALSE),"DEVOLUÇÃO"),"SEM ENTRADAS"))</f>
        <v/>
      </c>
    </row>
    <row r="593" spans="2:12" x14ac:dyDescent="0.3">
      <c r="B593" t="str">
        <f>IF('SAÍDAS-BASE'!A591="","",'SAÍDAS-BASE'!A591)</f>
        <v/>
      </c>
      <c r="C593" t="str">
        <f>IF('SAÍDAS-BASE'!B591="","",'SAÍDAS-BASE'!B591)</f>
        <v/>
      </c>
      <c r="D593" t="str">
        <f>IF('SAÍDAS-BASE'!C591="","",'SAÍDAS-BASE'!C591)</f>
        <v/>
      </c>
      <c r="E593" s="7" t="str">
        <f>IF('SAÍDAS-BASE'!D591="","",'SAÍDAS-BASE'!D591)</f>
        <v/>
      </c>
      <c r="F593" s="6" t="str">
        <f>IF('SAÍDAS-BASE'!E591="","",'SAÍDAS-BASE'!E591)</f>
        <v/>
      </c>
      <c r="G593" t="str">
        <f>IF('SAÍDAS-BASE'!F591="","",'SAÍDAS-BASE'!F591)</f>
        <v/>
      </c>
      <c r="H593" t="str">
        <f>IF('SAÍDAS-BASE'!G591="","",'SAÍDAS-BASE'!G591)</f>
        <v/>
      </c>
      <c r="I593" t="str">
        <f>IF('SAÍDAS-BASE'!H591="","",'SAÍDAS-BASE'!H591)</f>
        <v/>
      </c>
      <c r="J593" t="str">
        <f>IF('SAÍDAS-BASE'!I591="","",'SAÍDAS-BASE'!I591)</f>
        <v/>
      </c>
      <c r="K593" s="5" t="str">
        <f>IF('SAÍDAS-BASE'!J591="","",'SAÍDAS-BASE'!J591)</f>
        <v/>
      </c>
      <c r="L593" t="str">
        <f>IF(TABELA_SAIDAS[[#This Row],[UF]]="","",IFERROR(IF(VLOOKUP(TABELA_SAIDAS[[#This Row],[VALOR]],TABELA_ENTRADAS[VALOR],1,FALSE),"DEVOLUÇÃO"),"SEM ENTRADAS"))</f>
        <v/>
      </c>
    </row>
    <row r="594" spans="2:12" x14ac:dyDescent="0.3">
      <c r="B594" t="str">
        <f>IF('SAÍDAS-BASE'!A592="","",'SAÍDAS-BASE'!A592)</f>
        <v/>
      </c>
      <c r="C594" t="str">
        <f>IF('SAÍDAS-BASE'!B592="","",'SAÍDAS-BASE'!B592)</f>
        <v/>
      </c>
      <c r="D594" t="str">
        <f>IF('SAÍDAS-BASE'!C592="","",'SAÍDAS-BASE'!C592)</f>
        <v/>
      </c>
      <c r="E594" s="7" t="str">
        <f>IF('SAÍDAS-BASE'!D592="","",'SAÍDAS-BASE'!D592)</f>
        <v/>
      </c>
      <c r="F594" s="6" t="str">
        <f>IF('SAÍDAS-BASE'!E592="","",'SAÍDAS-BASE'!E592)</f>
        <v/>
      </c>
      <c r="G594" t="str">
        <f>IF('SAÍDAS-BASE'!F592="","",'SAÍDAS-BASE'!F592)</f>
        <v/>
      </c>
      <c r="H594" t="str">
        <f>IF('SAÍDAS-BASE'!G592="","",'SAÍDAS-BASE'!G592)</f>
        <v/>
      </c>
      <c r="I594" t="str">
        <f>IF('SAÍDAS-BASE'!H592="","",'SAÍDAS-BASE'!H592)</f>
        <v/>
      </c>
      <c r="J594" t="str">
        <f>IF('SAÍDAS-BASE'!I592="","",'SAÍDAS-BASE'!I592)</f>
        <v/>
      </c>
      <c r="K594" s="5" t="str">
        <f>IF('SAÍDAS-BASE'!J592="","",'SAÍDAS-BASE'!J592)</f>
        <v/>
      </c>
      <c r="L594" t="str">
        <f>IF(TABELA_SAIDAS[[#This Row],[UF]]="","",IFERROR(IF(VLOOKUP(TABELA_SAIDAS[[#This Row],[VALOR]],TABELA_ENTRADAS[VALOR],1,FALSE),"DEVOLUÇÃO"),"SEM ENTRADAS"))</f>
        <v/>
      </c>
    </row>
    <row r="595" spans="2:12" x14ac:dyDescent="0.3">
      <c r="B595" t="str">
        <f>IF('SAÍDAS-BASE'!A593="","",'SAÍDAS-BASE'!A593)</f>
        <v/>
      </c>
      <c r="C595" t="str">
        <f>IF('SAÍDAS-BASE'!B593="","",'SAÍDAS-BASE'!B593)</f>
        <v/>
      </c>
      <c r="D595" t="str">
        <f>IF('SAÍDAS-BASE'!C593="","",'SAÍDAS-BASE'!C593)</f>
        <v/>
      </c>
      <c r="E595" s="7" t="str">
        <f>IF('SAÍDAS-BASE'!D593="","",'SAÍDAS-BASE'!D593)</f>
        <v/>
      </c>
      <c r="F595" s="6" t="str">
        <f>IF('SAÍDAS-BASE'!E593="","",'SAÍDAS-BASE'!E593)</f>
        <v/>
      </c>
      <c r="G595" t="str">
        <f>IF('SAÍDAS-BASE'!F593="","",'SAÍDAS-BASE'!F593)</f>
        <v/>
      </c>
      <c r="H595" t="str">
        <f>IF('SAÍDAS-BASE'!G593="","",'SAÍDAS-BASE'!G593)</f>
        <v/>
      </c>
      <c r="I595" t="str">
        <f>IF('SAÍDAS-BASE'!H593="","",'SAÍDAS-BASE'!H593)</f>
        <v/>
      </c>
      <c r="J595" t="str">
        <f>IF('SAÍDAS-BASE'!I593="","",'SAÍDAS-BASE'!I593)</f>
        <v/>
      </c>
      <c r="K595" s="5" t="str">
        <f>IF('SAÍDAS-BASE'!J593="","",'SAÍDAS-BASE'!J593)</f>
        <v/>
      </c>
      <c r="L595" t="str">
        <f>IF(TABELA_SAIDAS[[#This Row],[UF]]="","",IFERROR(IF(VLOOKUP(TABELA_SAIDAS[[#This Row],[VALOR]],TABELA_ENTRADAS[VALOR],1,FALSE),"DEVOLUÇÃO"),"SEM ENTRADAS"))</f>
        <v/>
      </c>
    </row>
    <row r="596" spans="2:12" x14ac:dyDescent="0.3">
      <c r="B596" t="str">
        <f>IF('SAÍDAS-BASE'!A594="","",'SAÍDAS-BASE'!A594)</f>
        <v/>
      </c>
      <c r="C596" t="str">
        <f>IF('SAÍDAS-BASE'!B594="","",'SAÍDAS-BASE'!B594)</f>
        <v/>
      </c>
      <c r="D596" t="str">
        <f>IF('SAÍDAS-BASE'!C594="","",'SAÍDAS-BASE'!C594)</f>
        <v/>
      </c>
      <c r="E596" s="7" t="str">
        <f>IF('SAÍDAS-BASE'!D594="","",'SAÍDAS-BASE'!D594)</f>
        <v/>
      </c>
      <c r="F596" s="6" t="str">
        <f>IF('SAÍDAS-BASE'!E594="","",'SAÍDAS-BASE'!E594)</f>
        <v/>
      </c>
      <c r="G596" t="str">
        <f>IF('SAÍDAS-BASE'!F594="","",'SAÍDAS-BASE'!F594)</f>
        <v/>
      </c>
      <c r="H596" t="str">
        <f>IF('SAÍDAS-BASE'!G594="","",'SAÍDAS-BASE'!G594)</f>
        <v/>
      </c>
      <c r="I596" t="str">
        <f>IF('SAÍDAS-BASE'!H594="","",'SAÍDAS-BASE'!H594)</f>
        <v/>
      </c>
      <c r="J596" t="str">
        <f>IF('SAÍDAS-BASE'!I594="","",'SAÍDAS-BASE'!I594)</f>
        <v/>
      </c>
      <c r="K596" s="5" t="str">
        <f>IF('SAÍDAS-BASE'!J594="","",'SAÍDAS-BASE'!J594)</f>
        <v/>
      </c>
      <c r="L596" t="str">
        <f>IF(TABELA_SAIDAS[[#This Row],[UF]]="","",IFERROR(IF(VLOOKUP(TABELA_SAIDAS[[#This Row],[VALOR]],TABELA_ENTRADAS[VALOR],1,FALSE),"DEVOLUÇÃO"),"SEM ENTRADAS"))</f>
        <v/>
      </c>
    </row>
    <row r="597" spans="2:12" x14ac:dyDescent="0.3">
      <c r="B597" t="str">
        <f>IF('SAÍDAS-BASE'!A595="","",'SAÍDAS-BASE'!A595)</f>
        <v/>
      </c>
      <c r="C597" t="str">
        <f>IF('SAÍDAS-BASE'!B595="","",'SAÍDAS-BASE'!B595)</f>
        <v/>
      </c>
      <c r="D597" t="str">
        <f>IF('SAÍDAS-BASE'!C595="","",'SAÍDAS-BASE'!C595)</f>
        <v/>
      </c>
      <c r="E597" s="7" t="str">
        <f>IF('SAÍDAS-BASE'!D595="","",'SAÍDAS-BASE'!D595)</f>
        <v/>
      </c>
      <c r="F597" s="6" t="str">
        <f>IF('SAÍDAS-BASE'!E595="","",'SAÍDAS-BASE'!E595)</f>
        <v/>
      </c>
      <c r="G597" t="str">
        <f>IF('SAÍDAS-BASE'!F595="","",'SAÍDAS-BASE'!F595)</f>
        <v/>
      </c>
      <c r="H597" t="str">
        <f>IF('SAÍDAS-BASE'!G595="","",'SAÍDAS-BASE'!G595)</f>
        <v/>
      </c>
      <c r="I597" t="str">
        <f>IF('SAÍDAS-BASE'!H595="","",'SAÍDAS-BASE'!H595)</f>
        <v/>
      </c>
      <c r="J597" t="str">
        <f>IF('SAÍDAS-BASE'!I595="","",'SAÍDAS-BASE'!I595)</f>
        <v/>
      </c>
      <c r="K597" s="5" t="str">
        <f>IF('SAÍDAS-BASE'!J595="","",'SAÍDAS-BASE'!J595)</f>
        <v/>
      </c>
      <c r="L597" t="str">
        <f>IF(TABELA_SAIDAS[[#This Row],[UF]]="","",IFERROR(IF(VLOOKUP(TABELA_SAIDAS[[#This Row],[VALOR]],TABELA_ENTRADAS[VALOR],1,FALSE),"DEVOLUÇÃO"),"SEM ENTRADAS"))</f>
        <v/>
      </c>
    </row>
    <row r="598" spans="2:12" x14ac:dyDescent="0.3">
      <c r="B598" t="str">
        <f>IF('SAÍDAS-BASE'!A596="","",'SAÍDAS-BASE'!A596)</f>
        <v/>
      </c>
      <c r="C598" t="str">
        <f>IF('SAÍDAS-BASE'!B596="","",'SAÍDAS-BASE'!B596)</f>
        <v/>
      </c>
      <c r="D598" t="str">
        <f>IF('SAÍDAS-BASE'!C596="","",'SAÍDAS-BASE'!C596)</f>
        <v/>
      </c>
      <c r="E598" s="7" t="str">
        <f>IF('SAÍDAS-BASE'!D596="","",'SAÍDAS-BASE'!D596)</f>
        <v/>
      </c>
      <c r="F598" s="6" t="str">
        <f>IF('SAÍDAS-BASE'!E596="","",'SAÍDAS-BASE'!E596)</f>
        <v/>
      </c>
      <c r="G598" t="str">
        <f>IF('SAÍDAS-BASE'!F596="","",'SAÍDAS-BASE'!F596)</f>
        <v/>
      </c>
      <c r="H598" t="str">
        <f>IF('SAÍDAS-BASE'!G596="","",'SAÍDAS-BASE'!G596)</f>
        <v/>
      </c>
      <c r="I598" t="str">
        <f>IF('SAÍDAS-BASE'!H596="","",'SAÍDAS-BASE'!H596)</f>
        <v/>
      </c>
      <c r="J598" t="str">
        <f>IF('SAÍDAS-BASE'!I596="","",'SAÍDAS-BASE'!I596)</f>
        <v/>
      </c>
      <c r="K598" s="5" t="str">
        <f>IF('SAÍDAS-BASE'!J596="","",'SAÍDAS-BASE'!J596)</f>
        <v/>
      </c>
      <c r="L598" t="str">
        <f>IF(TABELA_SAIDAS[[#This Row],[UF]]="","",IFERROR(IF(VLOOKUP(TABELA_SAIDAS[[#This Row],[VALOR]],TABELA_ENTRADAS[VALOR],1,FALSE),"DEVOLUÇÃO"),"SEM ENTRADAS"))</f>
        <v/>
      </c>
    </row>
    <row r="599" spans="2:12" x14ac:dyDescent="0.3">
      <c r="B599" t="str">
        <f>IF('SAÍDAS-BASE'!A597="","",'SAÍDAS-BASE'!A597)</f>
        <v/>
      </c>
      <c r="C599" t="str">
        <f>IF('SAÍDAS-BASE'!B597="","",'SAÍDAS-BASE'!B597)</f>
        <v/>
      </c>
      <c r="D599" t="str">
        <f>IF('SAÍDAS-BASE'!C597="","",'SAÍDAS-BASE'!C597)</f>
        <v/>
      </c>
      <c r="E599" s="7" t="str">
        <f>IF('SAÍDAS-BASE'!D597="","",'SAÍDAS-BASE'!D597)</f>
        <v/>
      </c>
      <c r="F599" s="6" t="str">
        <f>IF('SAÍDAS-BASE'!E597="","",'SAÍDAS-BASE'!E597)</f>
        <v/>
      </c>
      <c r="G599" t="str">
        <f>IF('SAÍDAS-BASE'!F597="","",'SAÍDAS-BASE'!F597)</f>
        <v/>
      </c>
      <c r="H599" t="str">
        <f>IF('SAÍDAS-BASE'!G597="","",'SAÍDAS-BASE'!G597)</f>
        <v/>
      </c>
      <c r="I599" t="str">
        <f>IF('SAÍDAS-BASE'!H597="","",'SAÍDAS-BASE'!H597)</f>
        <v/>
      </c>
      <c r="J599" t="str">
        <f>IF('SAÍDAS-BASE'!I597="","",'SAÍDAS-BASE'!I597)</f>
        <v/>
      </c>
      <c r="K599" s="5" t="str">
        <f>IF('SAÍDAS-BASE'!J597="","",'SAÍDAS-BASE'!J597)</f>
        <v/>
      </c>
      <c r="L599" t="str">
        <f>IF(TABELA_SAIDAS[[#This Row],[UF]]="","",IFERROR(IF(VLOOKUP(TABELA_SAIDAS[[#This Row],[VALOR]],TABELA_ENTRADAS[VALOR],1,FALSE),"DEVOLUÇÃO"),"SEM ENTRADAS"))</f>
        <v/>
      </c>
    </row>
    <row r="600" spans="2:12" x14ac:dyDescent="0.3">
      <c r="B600" t="str">
        <f>IF('SAÍDAS-BASE'!A598="","",'SAÍDAS-BASE'!A598)</f>
        <v/>
      </c>
      <c r="C600" t="str">
        <f>IF('SAÍDAS-BASE'!B598="","",'SAÍDAS-BASE'!B598)</f>
        <v/>
      </c>
      <c r="D600" t="str">
        <f>IF('SAÍDAS-BASE'!C598="","",'SAÍDAS-BASE'!C598)</f>
        <v/>
      </c>
      <c r="E600" s="7" t="str">
        <f>IF('SAÍDAS-BASE'!D598="","",'SAÍDAS-BASE'!D598)</f>
        <v/>
      </c>
      <c r="F600" s="6" t="str">
        <f>IF('SAÍDAS-BASE'!E598="","",'SAÍDAS-BASE'!E598)</f>
        <v/>
      </c>
      <c r="G600" t="str">
        <f>IF('SAÍDAS-BASE'!F598="","",'SAÍDAS-BASE'!F598)</f>
        <v/>
      </c>
      <c r="H600" t="str">
        <f>IF('SAÍDAS-BASE'!G598="","",'SAÍDAS-BASE'!G598)</f>
        <v/>
      </c>
      <c r="I600" t="str">
        <f>IF('SAÍDAS-BASE'!H598="","",'SAÍDAS-BASE'!H598)</f>
        <v/>
      </c>
      <c r="J600" t="str">
        <f>IF('SAÍDAS-BASE'!I598="","",'SAÍDAS-BASE'!I598)</f>
        <v/>
      </c>
      <c r="K600" s="5" t="str">
        <f>IF('SAÍDAS-BASE'!J598="","",'SAÍDAS-BASE'!J598)</f>
        <v/>
      </c>
      <c r="L600" t="str">
        <f>IF(TABELA_SAIDAS[[#This Row],[UF]]="","",IFERROR(IF(VLOOKUP(TABELA_SAIDAS[[#This Row],[VALOR]],TABELA_ENTRADAS[VALOR],1,FALSE),"DEVOLUÇÃO"),"SEM ENTRADAS"))</f>
        <v/>
      </c>
    </row>
    <row r="601" spans="2:12" x14ac:dyDescent="0.3">
      <c r="B601" t="str">
        <f>IF('SAÍDAS-BASE'!A599="","",'SAÍDAS-BASE'!A599)</f>
        <v/>
      </c>
      <c r="C601" t="str">
        <f>IF('SAÍDAS-BASE'!B599="","",'SAÍDAS-BASE'!B599)</f>
        <v/>
      </c>
      <c r="D601" t="str">
        <f>IF('SAÍDAS-BASE'!C599="","",'SAÍDAS-BASE'!C599)</f>
        <v/>
      </c>
      <c r="E601" s="7" t="str">
        <f>IF('SAÍDAS-BASE'!D599="","",'SAÍDAS-BASE'!D599)</f>
        <v/>
      </c>
      <c r="F601" s="6" t="str">
        <f>IF('SAÍDAS-BASE'!E599="","",'SAÍDAS-BASE'!E599)</f>
        <v/>
      </c>
      <c r="G601" t="str">
        <f>IF('SAÍDAS-BASE'!F599="","",'SAÍDAS-BASE'!F599)</f>
        <v/>
      </c>
      <c r="H601" t="str">
        <f>IF('SAÍDAS-BASE'!G599="","",'SAÍDAS-BASE'!G599)</f>
        <v/>
      </c>
      <c r="I601" t="str">
        <f>IF('SAÍDAS-BASE'!H599="","",'SAÍDAS-BASE'!H599)</f>
        <v/>
      </c>
      <c r="J601" t="str">
        <f>IF('SAÍDAS-BASE'!I599="","",'SAÍDAS-BASE'!I599)</f>
        <v/>
      </c>
      <c r="K601" s="5" t="str">
        <f>IF('SAÍDAS-BASE'!J599="","",'SAÍDAS-BASE'!J599)</f>
        <v/>
      </c>
      <c r="L601" t="str">
        <f>IF(TABELA_SAIDAS[[#This Row],[UF]]="","",IFERROR(IF(VLOOKUP(TABELA_SAIDAS[[#This Row],[VALOR]],TABELA_ENTRADAS[VALOR],1,FALSE),"DEVOLUÇÃO"),"SEM ENTRADAS"))</f>
        <v/>
      </c>
    </row>
    <row r="602" spans="2:12" x14ac:dyDescent="0.3">
      <c r="B602" t="str">
        <f>IF('SAÍDAS-BASE'!A600="","",'SAÍDAS-BASE'!A600)</f>
        <v/>
      </c>
      <c r="C602" t="str">
        <f>IF('SAÍDAS-BASE'!B600="","",'SAÍDAS-BASE'!B600)</f>
        <v/>
      </c>
      <c r="D602" t="str">
        <f>IF('SAÍDAS-BASE'!C600="","",'SAÍDAS-BASE'!C600)</f>
        <v/>
      </c>
      <c r="E602" s="7" t="str">
        <f>IF('SAÍDAS-BASE'!D600="","",'SAÍDAS-BASE'!D600)</f>
        <v/>
      </c>
      <c r="F602" s="6" t="str">
        <f>IF('SAÍDAS-BASE'!E600="","",'SAÍDAS-BASE'!E600)</f>
        <v/>
      </c>
      <c r="G602" t="str">
        <f>IF('SAÍDAS-BASE'!F600="","",'SAÍDAS-BASE'!F600)</f>
        <v/>
      </c>
      <c r="H602" t="str">
        <f>IF('SAÍDAS-BASE'!G600="","",'SAÍDAS-BASE'!G600)</f>
        <v/>
      </c>
      <c r="I602" t="str">
        <f>IF('SAÍDAS-BASE'!H600="","",'SAÍDAS-BASE'!H600)</f>
        <v/>
      </c>
      <c r="J602" t="str">
        <f>IF('SAÍDAS-BASE'!I600="","",'SAÍDAS-BASE'!I600)</f>
        <v/>
      </c>
      <c r="K602" s="5" t="str">
        <f>IF('SAÍDAS-BASE'!J600="","",'SAÍDAS-BASE'!J600)</f>
        <v/>
      </c>
      <c r="L602" t="str">
        <f>IF(TABELA_SAIDAS[[#This Row],[UF]]="","",IFERROR(IF(VLOOKUP(TABELA_SAIDAS[[#This Row],[VALOR]],TABELA_ENTRADAS[VALOR],1,FALSE),"DEVOLUÇÃO"),"SEM ENTRADAS"))</f>
        <v/>
      </c>
    </row>
    <row r="603" spans="2:12" x14ac:dyDescent="0.3">
      <c r="B603" t="str">
        <f>IF('SAÍDAS-BASE'!A601="","",'SAÍDAS-BASE'!A601)</f>
        <v/>
      </c>
      <c r="C603" t="str">
        <f>IF('SAÍDAS-BASE'!B601="","",'SAÍDAS-BASE'!B601)</f>
        <v/>
      </c>
      <c r="D603" t="str">
        <f>IF('SAÍDAS-BASE'!C601="","",'SAÍDAS-BASE'!C601)</f>
        <v/>
      </c>
      <c r="E603" s="7" t="str">
        <f>IF('SAÍDAS-BASE'!D601="","",'SAÍDAS-BASE'!D601)</f>
        <v/>
      </c>
      <c r="F603" s="6" t="str">
        <f>IF('SAÍDAS-BASE'!E601="","",'SAÍDAS-BASE'!E601)</f>
        <v/>
      </c>
      <c r="G603" t="str">
        <f>IF('SAÍDAS-BASE'!F601="","",'SAÍDAS-BASE'!F601)</f>
        <v/>
      </c>
      <c r="H603" t="str">
        <f>IF('SAÍDAS-BASE'!G601="","",'SAÍDAS-BASE'!G601)</f>
        <v/>
      </c>
      <c r="I603" t="str">
        <f>IF('SAÍDAS-BASE'!H601="","",'SAÍDAS-BASE'!H601)</f>
        <v/>
      </c>
      <c r="J603" t="str">
        <f>IF('SAÍDAS-BASE'!I601="","",'SAÍDAS-BASE'!I601)</f>
        <v/>
      </c>
      <c r="K603" s="5" t="str">
        <f>IF('SAÍDAS-BASE'!J601="","",'SAÍDAS-BASE'!J601)</f>
        <v/>
      </c>
      <c r="L603" t="str">
        <f>IF(TABELA_SAIDAS[[#This Row],[UF]]="","",IFERROR(IF(VLOOKUP(TABELA_SAIDAS[[#This Row],[VALOR]],TABELA_ENTRADAS[VALOR],1,FALSE),"DEVOLUÇÃO"),"SEM ENTRADAS"))</f>
        <v/>
      </c>
    </row>
    <row r="604" spans="2:12" x14ac:dyDescent="0.3">
      <c r="B604" t="str">
        <f>IF('SAÍDAS-BASE'!A602="","",'SAÍDAS-BASE'!A602)</f>
        <v/>
      </c>
      <c r="C604" t="str">
        <f>IF('SAÍDAS-BASE'!B602="","",'SAÍDAS-BASE'!B602)</f>
        <v/>
      </c>
      <c r="D604" t="str">
        <f>IF('SAÍDAS-BASE'!C602="","",'SAÍDAS-BASE'!C602)</f>
        <v/>
      </c>
      <c r="E604" s="7" t="str">
        <f>IF('SAÍDAS-BASE'!D602="","",'SAÍDAS-BASE'!D602)</f>
        <v/>
      </c>
      <c r="F604" s="6" t="str">
        <f>IF('SAÍDAS-BASE'!E602="","",'SAÍDAS-BASE'!E602)</f>
        <v/>
      </c>
      <c r="G604" t="str">
        <f>IF('SAÍDAS-BASE'!F602="","",'SAÍDAS-BASE'!F602)</f>
        <v/>
      </c>
      <c r="H604" t="str">
        <f>IF('SAÍDAS-BASE'!G602="","",'SAÍDAS-BASE'!G602)</f>
        <v/>
      </c>
      <c r="I604" t="str">
        <f>IF('SAÍDAS-BASE'!H602="","",'SAÍDAS-BASE'!H602)</f>
        <v/>
      </c>
      <c r="J604" t="str">
        <f>IF('SAÍDAS-BASE'!I602="","",'SAÍDAS-BASE'!I602)</f>
        <v/>
      </c>
      <c r="K604" s="5" t="str">
        <f>IF('SAÍDAS-BASE'!J602="","",'SAÍDAS-BASE'!J602)</f>
        <v/>
      </c>
      <c r="L604" t="str">
        <f>IF(TABELA_SAIDAS[[#This Row],[UF]]="","",IFERROR(IF(VLOOKUP(TABELA_SAIDAS[[#This Row],[VALOR]],TABELA_ENTRADAS[VALOR],1,FALSE),"DEVOLUÇÃO"),"SEM ENTRADAS"))</f>
        <v/>
      </c>
    </row>
    <row r="605" spans="2:12" x14ac:dyDescent="0.3">
      <c r="B605" t="str">
        <f>IF('SAÍDAS-BASE'!A603="","",'SAÍDAS-BASE'!A603)</f>
        <v/>
      </c>
      <c r="C605" t="str">
        <f>IF('SAÍDAS-BASE'!B603="","",'SAÍDAS-BASE'!B603)</f>
        <v/>
      </c>
      <c r="D605" t="str">
        <f>IF('SAÍDAS-BASE'!C603="","",'SAÍDAS-BASE'!C603)</f>
        <v/>
      </c>
      <c r="E605" s="7" t="str">
        <f>IF('SAÍDAS-BASE'!D603="","",'SAÍDAS-BASE'!D603)</f>
        <v/>
      </c>
      <c r="F605" s="6" t="str">
        <f>IF('SAÍDAS-BASE'!E603="","",'SAÍDAS-BASE'!E603)</f>
        <v/>
      </c>
      <c r="G605" t="str">
        <f>IF('SAÍDAS-BASE'!F603="","",'SAÍDAS-BASE'!F603)</f>
        <v/>
      </c>
      <c r="H605" t="str">
        <f>IF('SAÍDAS-BASE'!G603="","",'SAÍDAS-BASE'!G603)</f>
        <v/>
      </c>
      <c r="I605" t="str">
        <f>IF('SAÍDAS-BASE'!H603="","",'SAÍDAS-BASE'!H603)</f>
        <v/>
      </c>
      <c r="J605" t="str">
        <f>IF('SAÍDAS-BASE'!I603="","",'SAÍDAS-BASE'!I603)</f>
        <v/>
      </c>
      <c r="K605" s="5" t="str">
        <f>IF('SAÍDAS-BASE'!J603="","",'SAÍDAS-BASE'!J603)</f>
        <v/>
      </c>
      <c r="L605" t="str">
        <f>IF(TABELA_SAIDAS[[#This Row],[UF]]="","",IFERROR(IF(VLOOKUP(TABELA_SAIDAS[[#This Row],[VALOR]],TABELA_ENTRADAS[VALOR],1,FALSE),"DEVOLUÇÃO"),"SEM ENTRADAS"))</f>
        <v/>
      </c>
    </row>
    <row r="606" spans="2:12" x14ac:dyDescent="0.3">
      <c r="B606" t="str">
        <f>IF('SAÍDAS-BASE'!A604="","",'SAÍDAS-BASE'!A604)</f>
        <v/>
      </c>
      <c r="C606" t="str">
        <f>IF('SAÍDAS-BASE'!B604="","",'SAÍDAS-BASE'!B604)</f>
        <v/>
      </c>
      <c r="D606" t="str">
        <f>IF('SAÍDAS-BASE'!C604="","",'SAÍDAS-BASE'!C604)</f>
        <v/>
      </c>
      <c r="E606" s="7" t="str">
        <f>IF('SAÍDAS-BASE'!D604="","",'SAÍDAS-BASE'!D604)</f>
        <v/>
      </c>
      <c r="F606" s="6" t="str">
        <f>IF('SAÍDAS-BASE'!E604="","",'SAÍDAS-BASE'!E604)</f>
        <v/>
      </c>
      <c r="G606" t="str">
        <f>IF('SAÍDAS-BASE'!F604="","",'SAÍDAS-BASE'!F604)</f>
        <v/>
      </c>
      <c r="H606" t="str">
        <f>IF('SAÍDAS-BASE'!G604="","",'SAÍDAS-BASE'!G604)</f>
        <v/>
      </c>
      <c r="I606" t="str">
        <f>IF('SAÍDAS-BASE'!H604="","",'SAÍDAS-BASE'!H604)</f>
        <v/>
      </c>
      <c r="J606" t="str">
        <f>IF('SAÍDAS-BASE'!I604="","",'SAÍDAS-BASE'!I604)</f>
        <v/>
      </c>
      <c r="K606" s="5" t="str">
        <f>IF('SAÍDAS-BASE'!J604="","",'SAÍDAS-BASE'!J604)</f>
        <v/>
      </c>
      <c r="L606" t="str">
        <f>IF(TABELA_SAIDAS[[#This Row],[UF]]="","",IFERROR(IF(VLOOKUP(TABELA_SAIDAS[[#This Row],[VALOR]],TABELA_ENTRADAS[VALOR],1,FALSE),"DEVOLUÇÃO"),"SEM ENTRADAS"))</f>
        <v/>
      </c>
    </row>
    <row r="607" spans="2:12" x14ac:dyDescent="0.3">
      <c r="B607" t="str">
        <f>IF('SAÍDAS-BASE'!A605="","",'SAÍDAS-BASE'!A605)</f>
        <v/>
      </c>
      <c r="C607" t="str">
        <f>IF('SAÍDAS-BASE'!B605="","",'SAÍDAS-BASE'!B605)</f>
        <v/>
      </c>
      <c r="D607" t="str">
        <f>IF('SAÍDAS-BASE'!C605="","",'SAÍDAS-BASE'!C605)</f>
        <v/>
      </c>
      <c r="E607" s="7" t="str">
        <f>IF('SAÍDAS-BASE'!D605="","",'SAÍDAS-BASE'!D605)</f>
        <v/>
      </c>
      <c r="F607" s="6" t="str">
        <f>IF('SAÍDAS-BASE'!E605="","",'SAÍDAS-BASE'!E605)</f>
        <v/>
      </c>
      <c r="G607" t="str">
        <f>IF('SAÍDAS-BASE'!F605="","",'SAÍDAS-BASE'!F605)</f>
        <v/>
      </c>
      <c r="H607" t="str">
        <f>IF('SAÍDAS-BASE'!G605="","",'SAÍDAS-BASE'!G605)</f>
        <v/>
      </c>
      <c r="I607" t="str">
        <f>IF('SAÍDAS-BASE'!H605="","",'SAÍDAS-BASE'!H605)</f>
        <v/>
      </c>
      <c r="J607" t="str">
        <f>IF('SAÍDAS-BASE'!I605="","",'SAÍDAS-BASE'!I605)</f>
        <v/>
      </c>
      <c r="K607" s="5" t="str">
        <f>IF('SAÍDAS-BASE'!J605="","",'SAÍDAS-BASE'!J605)</f>
        <v/>
      </c>
      <c r="L607" t="str">
        <f>IF(TABELA_SAIDAS[[#This Row],[UF]]="","",IFERROR(IF(VLOOKUP(TABELA_SAIDAS[[#This Row],[VALOR]],TABELA_ENTRADAS[VALOR],1,FALSE),"DEVOLUÇÃO"),"SEM ENTRADAS"))</f>
        <v/>
      </c>
    </row>
    <row r="608" spans="2:12" x14ac:dyDescent="0.3">
      <c r="B608" t="str">
        <f>IF('SAÍDAS-BASE'!A606="","",'SAÍDAS-BASE'!A606)</f>
        <v/>
      </c>
      <c r="C608" t="str">
        <f>IF('SAÍDAS-BASE'!B606="","",'SAÍDAS-BASE'!B606)</f>
        <v/>
      </c>
      <c r="D608" t="str">
        <f>IF('SAÍDAS-BASE'!C606="","",'SAÍDAS-BASE'!C606)</f>
        <v/>
      </c>
      <c r="E608" s="7" t="str">
        <f>IF('SAÍDAS-BASE'!D606="","",'SAÍDAS-BASE'!D606)</f>
        <v/>
      </c>
      <c r="F608" s="6" t="str">
        <f>IF('SAÍDAS-BASE'!E606="","",'SAÍDAS-BASE'!E606)</f>
        <v/>
      </c>
      <c r="G608" t="str">
        <f>IF('SAÍDAS-BASE'!F606="","",'SAÍDAS-BASE'!F606)</f>
        <v/>
      </c>
      <c r="H608" t="str">
        <f>IF('SAÍDAS-BASE'!G606="","",'SAÍDAS-BASE'!G606)</f>
        <v/>
      </c>
      <c r="I608" t="str">
        <f>IF('SAÍDAS-BASE'!H606="","",'SAÍDAS-BASE'!H606)</f>
        <v/>
      </c>
      <c r="J608" t="str">
        <f>IF('SAÍDAS-BASE'!I606="","",'SAÍDAS-BASE'!I606)</f>
        <v/>
      </c>
      <c r="K608" s="5" t="str">
        <f>IF('SAÍDAS-BASE'!J606="","",'SAÍDAS-BASE'!J606)</f>
        <v/>
      </c>
      <c r="L608" t="str">
        <f>IF(TABELA_SAIDAS[[#This Row],[UF]]="","",IFERROR(IF(VLOOKUP(TABELA_SAIDAS[[#This Row],[VALOR]],TABELA_ENTRADAS[VALOR],1,FALSE),"DEVOLUÇÃO"),"SEM ENTRADAS"))</f>
        <v/>
      </c>
    </row>
    <row r="609" spans="2:12" x14ac:dyDescent="0.3">
      <c r="B609" t="str">
        <f>IF('SAÍDAS-BASE'!A607="","",'SAÍDAS-BASE'!A607)</f>
        <v/>
      </c>
      <c r="C609" t="str">
        <f>IF('SAÍDAS-BASE'!B607="","",'SAÍDAS-BASE'!B607)</f>
        <v/>
      </c>
      <c r="D609" t="str">
        <f>IF('SAÍDAS-BASE'!C607="","",'SAÍDAS-BASE'!C607)</f>
        <v/>
      </c>
      <c r="E609" s="7" t="str">
        <f>IF('SAÍDAS-BASE'!D607="","",'SAÍDAS-BASE'!D607)</f>
        <v/>
      </c>
      <c r="F609" s="6" t="str">
        <f>IF('SAÍDAS-BASE'!E607="","",'SAÍDAS-BASE'!E607)</f>
        <v/>
      </c>
      <c r="G609" t="str">
        <f>IF('SAÍDAS-BASE'!F607="","",'SAÍDAS-BASE'!F607)</f>
        <v/>
      </c>
      <c r="H609" t="str">
        <f>IF('SAÍDAS-BASE'!G607="","",'SAÍDAS-BASE'!G607)</f>
        <v/>
      </c>
      <c r="I609" t="str">
        <f>IF('SAÍDAS-BASE'!H607="","",'SAÍDAS-BASE'!H607)</f>
        <v/>
      </c>
      <c r="J609" t="str">
        <f>IF('SAÍDAS-BASE'!I607="","",'SAÍDAS-BASE'!I607)</f>
        <v/>
      </c>
      <c r="K609" s="5" t="str">
        <f>IF('SAÍDAS-BASE'!J607="","",'SAÍDAS-BASE'!J607)</f>
        <v/>
      </c>
      <c r="L609" t="str">
        <f>IF(TABELA_SAIDAS[[#This Row],[UF]]="","",IFERROR(IF(VLOOKUP(TABELA_SAIDAS[[#This Row],[VALOR]],TABELA_ENTRADAS[VALOR],1,FALSE),"DEVOLUÇÃO"),"SEM ENTRADAS"))</f>
        <v/>
      </c>
    </row>
    <row r="610" spans="2:12" x14ac:dyDescent="0.3">
      <c r="B610" t="str">
        <f>IF('SAÍDAS-BASE'!A608="","",'SAÍDAS-BASE'!A608)</f>
        <v/>
      </c>
      <c r="C610" t="str">
        <f>IF('SAÍDAS-BASE'!B608="","",'SAÍDAS-BASE'!B608)</f>
        <v/>
      </c>
      <c r="D610" t="str">
        <f>IF('SAÍDAS-BASE'!C608="","",'SAÍDAS-BASE'!C608)</f>
        <v/>
      </c>
      <c r="E610" s="7" t="str">
        <f>IF('SAÍDAS-BASE'!D608="","",'SAÍDAS-BASE'!D608)</f>
        <v/>
      </c>
      <c r="F610" s="6" t="str">
        <f>IF('SAÍDAS-BASE'!E608="","",'SAÍDAS-BASE'!E608)</f>
        <v/>
      </c>
      <c r="G610" t="str">
        <f>IF('SAÍDAS-BASE'!F608="","",'SAÍDAS-BASE'!F608)</f>
        <v/>
      </c>
      <c r="H610" t="str">
        <f>IF('SAÍDAS-BASE'!G608="","",'SAÍDAS-BASE'!G608)</f>
        <v/>
      </c>
      <c r="I610" t="str">
        <f>IF('SAÍDAS-BASE'!H608="","",'SAÍDAS-BASE'!H608)</f>
        <v/>
      </c>
      <c r="J610" t="str">
        <f>IF('SAÍDAS-BASE'!I608="","",'SAÍDAS-BASE'!I608)</f>
        <v/>
      </c>
      <c r="K610" s="5" t="str">
        <f>IF('SAÍDAS-BASE'!J608="","",'SAÍDAS-BASE'!J608)</f>
        <v/>
      </c>
      <c r="L610" t="str">
        <f>IF(TABELA_SAIDAS[[#This Row],[UF]]="","",IFERROR(IF(VLOOKUP(TABELA_SAIDAS[[#This Row],[VALOR]],TABELA_ENTRADAS[VALOR],1,FALSE),"DEVOLUÇÃO"),"SEM ENTRADAS"))</f>
        <v/>
      </c>
    </row>
    <row r="611" spans="2:12" x14ac:dyDescent="0.3">
      <c r="B611" t="str">
        <f>IF('SAÍDAS-BASE'!A609="","",'SAÍDAS-BASE'!A609)</f>
        <v/>
      </c>
      <c r="C611" t="str">
        <f>IF('SAÍDAS-BASE'!B609="","",'SAÍDAS-BASE'!B609)</f>
        <v/>
      </c>
      <c r="D611" t="str">
        <f>IF('SAÍDAS-BASE'!C609="","",'SAÍDAS-BASE'!C609)</f>
        <v/>
      </c>
      <c r="E611" s="7" t="str">
        <f>IF('SAÍDAS-BASE'!D609="","",'SAÍDAS-BASE'!D609)</f>
        <v/>
      </c>
      <c r="F611" s="6" t="str">
        <f>IF('SAÍDAS-BASE'!E609="","",'SAÍDAS-BASE'!E609)</f>
        <v/>
      </c>
      <c r="G611" t="str">
        <f>IF('SAÍDAS-BASE'!F609="","",'SAÍDAS-BASE'!F609)</f>
        <v/>
      </c>
      <c r="H611" t="str">
        <f>IF('SAÍDAS-BASE'!G609="","",'SAÍDAS-BASE'!G609)</f>
        <v/>
      </c>
      <c r="I611" t="str">
        <f>IF('SAÍDAS-BASE'!H609="","",'SAÍDAS-BASE'!H609)</f>
        <v/>
      </c>
      <c r="J611" t="str">
        <f>IF('SAÍDAS-BASE'!I609="","",'SAÍDAS-BASE'!I609)</f>
        <v/>
      </c>
      <c r="K611" s="5" t="str">
        <f>IF('SAÍDAS-BASE'!J609="","",'SAÍDAS-BASE'!J609)</f>
        <v/>
      </c>
      <c r="L611" t="str">
        <f>IF(TABELA_SAIDAS[[#This Row],[UF]]="","",IFERROR(IF(VLOOKUP(TABELA_SAIDAS[[#This Row],[VALOR]],TABELA_ENTRADAS[VALOR],1,FALSE),"DEVOLUÇÃO"),"SEM ENTRADAS"))</f>
        <v/>
      </c>
    </row>
    <row r="612" spans="2:12" x14ac:dyDescent="0.3">
      <c r="B612" t="str">
        <f>IF('SAÍDAS-BASE'!A610="","",'SAÍDAS-BASE'!A610)</f>
        <v/>
      </c>
      <c r="C612" t="str">
        <f>IF('SAÍDAS-BASE'!B610="","",'SAÍDAS-BASE'!B610)</f>
        <v/>
      </c>
      <c r="D612" t="str">
        <f>IF('SAÍDAS-BASE'!C610="","",'SAÍDAS-BASE'!C610)</f>
        <v/>
      </c>
      <c r="E612" s="7" t="str">
        <f>IF('SAÍDAS-BASE'!D610="","",'SAÍDAS-BASE'!D610)</f>
        <v/>
      </c>
      <c r="F612" s="6" t="str">
        <f>IF('SAÍDAS-BASE'!E610="","",'SAÍDAS-BASE'!E610)</f>
        <v/>
      </c>
      <c r="G612" t="str">
        <f>IF('SAÍDAS-BASE'!F610="","",'SAÍDAS-BASE'!F610)</f>
        <v/>
      </c>
      <c r="H612" t="str">
        <f>IF('SAÍDAS-BASE'!G610="","",'SAÍDAS-BASE'!G610)</f>
        <v/>
      </c>
      <c r="I612" t="str">
        <f>IF('SAÍDAS-BASE'!H610="","",'SAÍDAS-BASE'!H610)</f>
        <v/>
      </c>
      <c r="J612" t="str">
        <f>IF('SAÍDAS-BASE'!I610="","",'SAÍDAS-BASE'!I610)</f>
        <v/>
      </c>
      <c r="K612" s="5" t="str">
        <f>IF('SAÍDAS-BASE'!J610="","",'SAÍDAS-BASE'!J610)</f>
        <v/>
      </c>
      <c r="L612" t="str">
        <f>IF(TABELA_SAIDAS[[#This Row],[UF]]="","",IFERROR(IF(VLOOKUP(TABELA_SAIDAS[[#This Row],[VALOR]],TABELA_ENTRADAS[VALOR],1,FALSE),"DEVOLUÇÃO"),"SEM ENTRADAS"))</f>
        <v/>
      </c>
    </row>
    <row r="613" spans="2:12" x14ac:dyDescent="0.3">
      <c r="B613" t="str">
        <f>IF('SAÍDAS-BASE'!A611="","",'SAÍDAS-BASE'!A611)</f>
        <v/>
      </c>
      <c r="C613" t="str">
        <f>IF('SAÍDAS-BASE'!B611="","",'SAÍDAS-BASE'!B611)</f>
        <v/>
      </c>
      <c r="D613" t="str">
        <f>IF('SAÍDAS-BASE'!C611="","",'SAÍDAS-BASE'!C611)</f>
        <v/>
      </c>
      <c r="E613" s="7" t="str">
        <f>IF('SAÍDAS-BASE'!D611="","",'SAÍDAS-BASE'!D611)</f>
        <v/>
      </c>
      <c r="F613" s="6" t="str">
        <f>IF('SAÍDAS-BASE'!E611="","",'SAÍDAS-BASE'!E611)</f>
        <v/>
      </c>
      <c r="G613" t="str">
        <f>IF('SAÍDAS-BASE'!F611="","",'SAÍDAS-BASE'!F611)</f>
        <v/>
      </c>
      <c r="H613" t="str">
        <f>IF('SAÍDAS-BASE'!G611="","",'SAÍDAS-BASE'!G611)</f>
        <v/>
      </c>
      <c r="I613" t="str">
        <f>IF('SAÍDAS-BASE'!H611="","",'SAÍDAS-BASE'!H611)</f>
        <v/>
      </c>
      <c r="J613" t="str">
        <f>IF('SAÍDAS-BASE'!I611="","",'SAÍDAS-BASE'!I611)</f>
        <v/>
      </c>
      <c r="K613" s="5" t="str">
        <f>IF('SAÍDAS-BASE'!J611="","",'SAÍDAS-BASE'!J611)</f>
        <v/>
      </c>
      <c r="L613" t="str">
        <f>IF(TABELA_SAIDAS[[#This Row],[UF]]="","",IFERROR(IF(VLOOKUP(TABELA_SAIDAS[[#This Row],[VALOR]],TABELA_ENTRADAS[VALOR],1,FALSE),"DEVOLUÇÃO"),"SEM ENTRADAS"))</f>
        <v/>
      </c>
    </row>
    <row r="614" spans="2:12" x14ac:dyDescent="0.3">
      <c r="B614" t="str">
        <f>IF('SAÍDAS-BASE'!A612="","",'SAÍDAS-BASE'!A612)</f>
        <v/>
      </c>
      <c r="C614" t="str">
        <f>IF('SAÍDAS-BASE'!B612="","",'SAÍDAS-BASE'!B612)</f>
        <v/>
      </c>
      <c r="D614" t="str">
        <f>IF('SAÍDAS-BASE'!C612="","",'SAÍDAS-BASE'!C612)</f>
        <v/>
      </c>
      <c r="E614" s="7" t="str">
        <f>IF('SAÍDAS-BASE'!D612="","",'SAÍDAS-BASE'!D612)</f>
        <v/>
      </c>
      <c r="F614" s="6" t="str">
        <f>IF('SAÍDAS-BASE'!E612="","",'SAÍDAS-BASE'!E612)</f>
        <v/>
      </c>
      <c r="G614" t="str">
        <f>IF('SAÍDAS-BASE'!F612="","",'SAÍDAS-BASE'!F612)</f>
        <v/>
      </c>
      <c r="H614" t="str">
        <f>IF('SAÍDAS-BASE'!G612="","",'SAÍDAS-BASE'!G612)</f>
        <v/>
      </c>
      <c r="I614" t="str">
        <f>IF('SAÍDAS-BASE'!H612="","",'SAÍDAS-BASE'!H612)</f>
        <v/>
      </c>
      <c r="J614" t="str">
        <f>IF('SAÍDAS-BASE'!I612="","",'SAÍDAS-BASE'!I612)</f>
        <v/>
      </c>
      <c r="K614" s="5" t="str">
        <f>IF('SAÍDAS-BASE'!J612="","",'SAÍDAS-BASE'!J612)</f>
        <v/>
      </c>
      <c r="L614" t="str">
        <f>IF(TABELA_SAIDAS[[#This Row],[UF]]="","",IFERROR(IF(VLOOKUP(TABELA_SAIDAS[[#This Row],[VALOR]],TABELA_ENTRADAS[VALOR],1,FALSE),"DEVOLUÇÃO"),"SEM ENTRADAS"))</f>
        <v/>
      </c>
    </row>
    <row r="615" spans="2:12" x14ac:dyDescent="0.3">
      <c r="B615" t="str">
        <f>IF('SAÍDAS-BASE'!A613="","",'SAÍDAS-BASE'!A613)</f>
        <v/>
      </c>
      <c r="C615" t="str">
        <f>IF('SAÍDAS-BASE'!B613="","",'SAÍDAS-BASE'!B613)</f>
        <v/>
      </c>
      <c r="D615" t="str">
        <f>IF('SAÍDAS-BASE'!C613="","",'SAÍDAS-BASE'!C613)</f>
        <v/>
      </c>
      <c r="E615" s="7" t="str">
        <f>IF('SAÍDAS-BASE'!D613="","",'SAÍDAS-BASE'!D613)</f>
        <v/>
      </c>
      <c r="F615" s="6" t="str">
        <f>IF('SAÍDAS-BASE'!E613="","",'SAÍDAS-BASE'!E613)</f>
        <v/>
      </c>
      <c r="G615" t="str">
        <f>IF('SAÍDAS-BASE'!F613="","",'SAÍDAS-BASE'!F613)</f>
        <v/>
      </c>
      <c r="H615" t="str">
        <f>IF('SAÍDAS-BASE'!G613="","",'SAÍDAS-BASE'!G613)</f>
        <v/>
      </c>
      <c r="I615" t="str">
        <f>IF('SAÍDAS-BASE'!H613="","",'SAÍDAS-BASE'!H613)</f>
        <v/>
      </c>
      <c r="J615" t="str">
        <f>IF('SAÍDAS-BASE'!I613="","",'SAÍDAS-BASE'!I613)</f>
        <v/>
      </c>
      <c r="K615" s="5" t="str">
        <f>IF('SAÍDAS-BASE'!J613="","",'SAÍDAS-BASE'!J613)</f>
        <v/>
      </c>
      <c r="L615" t="str">
        <f>IF(TABELA_SAIDAS[[#This Row],[UF]]="","",IFERROR(IF(VLOOKUP(TABELA_SAIDAS[[#This Row],[VALOR]],TABELA_ENTRADAS[VALOR],1,FALSE),"DEVOLUÇÃO"),"SEM ENTRADAS"))</f>
        <v/>
      </c>
    </row>
    <row r="616" spans="2:12" x14ac:dyDescent="0.3">
      <c r="B616" t="str">
        <f>IF('SAÍDAS-BASE'!A614="","",'SAÍDAS-BASE'!A614)</f>
        <v/>
      </c>
      <c r="C616" t="str">
        <f>IF('SAÍDAS-BASE'!B614="","",'SAÍDAS-BASE'!B614)</f>
        <v/>
      </c>
      <c r="D616" t="str">
        <f>IF('SAÍDAS-BASE'!C614="","",'SAÍDAS-BASE'!C614)</f>
        <v/>
      </c>
      <c r="E616" s="7" t="str">
        <f>IF('SAÍDAS-BASE'!D614="","",'SAÍDAS-BASE'!D614)</f>
        <v/>
      </c>
      <c r="F616" s="6" t="str">
        <f>IF('SAÍDAS-BASE'!E614="","",'SAÍDAS-BASE'!E614)</f>
        <v/>
      </c>
      <c r="G616" t="str">
        <f>IF('SAÍDAS-BASE'!F614="","",'SAÍDAS-BASE'!F614)</f>
        <v/>
      </c>
      <c r="H616" t="str">
        <f>IF('SAÍDAS-BASE'!G614="","",'SAÍDAS-BASE'!G614)</f>
        <v/>
      </c>
      <c r="I616" t="str">
        <f>IF('SAÍDAS-BASE'!H614="","",'SAÍDAS-BASE'!H614)</f>
        <v/>
      </c>
      <c r="J616" t="str">
        <f>IF('SAÍDAS-BASE'!I614="","",'SAÍDAS-BASE'!I614)</f>
        <v/>
      </c>
      <c r="K616" s="5" t="str">
        <f>IF('SAÍDAS-BASE'!J614="","",'SAÍDAS-BASE'!J614)</f>
        <v/>
      </c>
      <c r="L616" t="str">
        <f>IF(TABELA_SAIDAS[[#This Row],[UF]]="","",IFERROR(IF(VLOOKUP(TABELA_SAIDAS[[#This Row],[VALOR]],TABELA_ENTRADAS[VALOR],1,FALSE),"DEVOLUÇÃO"),"SEM ENTRADAS"))</f>
        <v/>
      </c>
    </row>
    <row r="617" spans="2:12" x14ac:dyDescent="0.3">
      <c r="B617" t="str">
        <f>IF('SAÍDAS-BASE'!A615="","",'SAÍDAS-BASE'!A615)</f>
        <v/>
      </c>
      <c r="C617" t="str">
        <f>IF('SAÍDAS-BASE'!B615="","",'SAÍDAS-BASE'!B615)</f>
        <v/>
      </c>
      <c r="D617" t="str">
        <f>IF('SAÍDAS-BASE'!C615="","",'SAÍDAS-BASE'!C615)</f>
        <v/>
      </c>
      <c r="E617" s="7" t="str">
        <f>IF('SAÍDAS-BASE'!D615="","",'SAÍDAS-BASE'!D615)</f>
        <v/>
      </c>
      <c r="F617" s="6" t="str">
        <f>IF('SAÍDAS-BASE'!E615="","",'SAÍDAS-BASE'!E615)</f>
        <v/>
      </c>
      <c r="G617" t="str">
        <f>IF('SAÍDAS-BASE'!F615="","",'SAÍDAS-BASE'!F615)</f>
        <v/>
      </c>
      <c r="H617" t="str">
        <f>IF('SAÍDAS-BASE'!G615="","",'SAÍDAS-BASE'!G615)</f>
        <v/>
      </c>
      <c r="I617" t="str">
        <f>IF('SAÍDAS-BASE'!H615="","",'SAÍDAS-BASE'!H615)</f>
        <v/>
      </c>
      <c r="J617" t="str">
        <f>IF('SAÍDAS-BASE'!I615="","",'SAÍDAS-BASE'!I615)</f>
        <v/>
      </c>
      <c r="K617" s="5" t="str">
        <f>IF('SAÍDAS-BASE'!J615="","",'SAÍDAS-BASE'!J615)</f>
        <v/>
      </c>
      <c r="L617" t="str">
        <f>IF(TABELA_SAIDAS[[#This Row],[UF]]="","",IFERROR(IF(VLOOKUP(TABELA_SAIDAS[[#This Row],[VALOR]],TABELA_ENTRADAS[VALOR],1,FALSE),"DEVOLUÇÃO"),"SEM ENTRADAS"))</f>
        <v/>
      </c>
    </row>
    <row r="618" spans="2:12" x14ac:dyDescent="0.3">
      <c r="B618" t="str">
        <f>IF('SAÍDAS-BASE'!A616="","",'SAÍDAS-BASE'!A616)</f>
        <v/>
      </c>
      <c r="C618" t="str">
        <f>IF('SAÍDAS-BASE'!B616="","",'SAÍDAS-BASE'!B616)</f>
        <v/>
      </c>
      <c r="D618" t="str">
        <f>IF('SAÍDAS-BASE'!C616="","",'SAÍDAS-BASE'!C616)</f>
        <v/>
      </c>
      <c r="E618" s="7" t="str">
        <f>IF('SAÍDAS-BASE'!D616="","",'SAÍDAS-BASE'!D616)</f>
        <v/>
      </c>
      <c r="F618" s="6" t="str">
        <f>IF('SAÍDAS-BASE'!E616="","",'SAÍDAS-BASE'!E616)</f>
        <v/>
      </c>
      <c r="G618" t="str">
        <f>IF('SAÍDAS-BASE'!F616="","",'SAÍDAS-BASE'!F616)</f>
        <v/>
      </c>
      <c r="H618" t="str">
        <f>IF('SAÍDAS-BASE'!G616="","",'SAÍDAS-BASE'!G616)</f>
        <v/>
      </c>
      <c r="I618" t="str">
        <f>IF('SAÍDAS-BASE'!H616="","",'SAÍDAS-BASE'!H616)</f>
        <v/>
      </c>
      <c r="J618" t="str">
        <f>IF('SAÍDAS-BASE'!I616="","",'SAÍDAS-BASE'!I616)</f>
        <v/>
      </c>
      <c r="K618" s="5" t="str">
        <f>IF('SAÍDAS-BASE'!J616="","",'SAÍDAS-BASE'!J616)</f>
        <v/>
      </c>
      <c r="L618" t="str">
        <f>IF(TABELA_SAIDAS[[#This Row],[UF]]="","",IFERROR(IF(VLOOKUP(TABELA_SAIDAS[[#This Row],[VALOR]],TABELA_ENTRADAS[VALOR],1,FALSE),"DEVOLUÇÃO"),"SEM ENTRADAS"))</f>
        <v/>
      </c>
    </row>
    <row r="619" spans="2:12" x14ac:dyDescent="0.3">
      <c r="B619" t="str">
        <f>IF('SAÍDAS-BASE'!A617="","",'SAÍDAS-BASE'!A617)</f>
        <v/>
      </c>
      <c r="C619" t="str">
        <f>IF('SAÍDAS-BASE'!B617="","",'SAÍDAS-BASE'!B617)</f>
        <v/>
      </c>
      <c r="D619" t="str">
        <f>IF('SAÍDAS-BASE'!C617="","",'SAÍDAS-BASE'!C617)</f>
        <v/>
      </c>
      <c r="E619" s="7" t="str">
        <f>IF('SAÍDAS-BASE'!D617="","",'SAÍDAS-BASE'!D617)</f>
        <v/>
      </c>
      <c r="F619" s="6" t="str">
        <f>IF('SAÍDAS-BASE'!E617="","",'SAÍDAS-BASE'!E617)</f>
        <v/>
      </c>
      <c r="G619" t="str">
        <f>IF('SAÍDAS-BASE'!F617="","",'SAÍDAS-BASE'!F617)</f>
        <v/>
      </c>
      <c r="H619" t="str">
        <f>IF('SAÍDAS-BASE'!G617="","",'SAÍDAS-BASE'!G617)</f>
        <v/>
      </c>
      <c r="I619" t="str">
        <f>IF('SAÍDAS-BASE'!H617="","",'SAÍDAS-BASE'!H617)</f>
        <v/>
      </c>
      <c r="J619" t="str">
        <f>IF('SAÍDAS-BASE'!I617="","",'SAÍDAS-BASE'!I617)</f>
        <v/>
      </c>
      <c r="K619" s="5" t="str">
        <f>IF('SAÍDAS-BASE'!J617="","",'SAÍDAS-BASE'!J617)</f>
        <v/>
      </c>
      <c r="L619" t="str">
        <f>IF(TABELA_SAIDAS[[#This Row],[UF]]="","",IFERROR(IF(VLOOKUP(TABELA_SAIDAS[[#This Row],[VALOR]],TABELA_ENTRADAS[VALOR],1,FALSE),"DEVOLUÇÃO"),"SEM ENTRADAS"))</f>
        <v/>
      </c>
    </row>
    <row r="620" spans="2:12" x14ac:dyDescent="0.3">
      <c r="B620" t="str">
        <f>IF('SAÍDAS-BASE'!A618="","",'SAÍDAS-BASE'!A618)</f>
        <v/>
      </c>
      <c r="C620" t="str">
        <f>IF('SAÍDAS-BASE'!B618="","",'SAÍDAS-BASE'!B618)</f>
        <v/>
      </c>
      <c r="D620" t="str">
        <f>IF('SAÍDAS-BASE'!C618="","",'SAÍDAS-BASE'!C618)</f>
        <v/>
      </c>
      <c r="E620" s="7" t="str">
        <f>IF('SAÍDAS-BASE'!D618="","",'SAÍDAS-BASE'!D618)</f>
        <v/>
      </c>
      <c r="F620" s="6" t="str">
        <f>IF('SAÍDAS-BASE'!E618="","",'SAÍDAS-BASE'!E618)</f>
        <v/>
      </c>
      <c r="G620" t="str">
        <f>IF('SAÍDAS-BASE'!F618="","",'SAÍDAS-BASE'!F618)</f>
        <v/>
      </c>
      <c r="H620" t="str">
        <f>IF('SAÍDAS-BASE'!G618="","",'SAÍDAS-BASE'!G618)</f>
        <v/>
      </c>
      <c r="I620" t="str">
        <f>IF('SAÍDAS-BASE'!H618="","",'SAÍDAS-BASE'!H618)</f>
        <v/>
      </c>
      <c r="J620" t="str">
        <f>IF('SAÍDAS-BASE'!I618="","",'SAÍDAS-BASE'!I618)</f>
        <v/>
      </c>
      <c r="K620" s="5" t="str">
        <f>IF('SAÍDAS-BASE'!J618="","",'SAÍDAS-BASE'!J618)</f>
        <v/>
      </c>
      <c r="L620" t="str">
        <f>IF(TABELA_SAIDAS[[#This Row],[UF]]="","",IFERROR(IF(VLOOKUP(TABELA_SAIDAS[[#This Row],[VALOR]],TABELA_ENTRADAS[VALOR],1,FALSE),"DEVOLUÇÃO"),"SEM ENTRADAS"))</f>
        <v/>
      </c>
    </row>
    <row r="621" spans="2:12" x14ac:dyDescent="0.3">
      <c r="B621" t="str">
        <f>IF('SAÍDAS-BASE'!A619="","",'SAÍDAS-BASE'!A619)</f>
        <v/>
      </c>
      <c r="C621" t="str">
        <f>IF('SAÍDAS-BASE'!B619="","",'SAÍDAS-BASE'!B619)</f>
        <v/>
      </c>
      <c r="D621" t="str">
        <f>IF('SAÍDAS-BASE'!C619="","",'SAÍDAS-BASE'!C619)</f>
        <v/>
      </c>
      <c r="E621" s="7" t="str">
        <f>IF('SAÍDAS-BASE'!D619="","",'SAÍDAS-BASE'!D619)</f>
        <v/>
      </c>
      <c r="F621" s="6" t="str">
        <f>IF('SAÍDAS-BASE'!E619="","",'SAÍDAS-BASE'!E619)</f>
        <v/>
      </c>
      <c r="G621" t="str">
        <f>IF('SAÍDAS-BASE'!F619="","",'SAÍDAS-BASE'!F619)</f>
        <v/>
      </c>
      <c r="H621" t="str">
        <f>IF('SAÍDAS-BASE'!G619="","",'SAÍDAS-BASE'!G619)</f>
        <v/>
      </c>
      <c r="I621" t="str">
        <f>IF('SAÍDAS-BASE'!H619="","",'SAÍDAS-BASE'!H619)</f>
        <v/>
      </c>
      <c r="J621" t="str">
        <f>IF('SAÍDAS-BASE'!I619="","",'SAÍDAS-BASE'!I619)</f>
        <v/>
      </c>
      <c r="K621" s="5" t="str">
        <f>IF('SAÍDAS-BASE'!J619="","",'SAÍDAS-BASE'!J619)</f>
        <v/>
      </c>
      <c r="L621" t="str">
        <f>IF(TABELA_SAIDAS[[#This Row],[UF]]="","",IFERROR(IF(VLOOKUP(TABELA_SAIDAS[[#This Row],[VALOR]],TABELA_ENTRADAS[VALOR],1,FALSE),"DEVOLUÇÃO"),"SEM ENTRADAS"))</f>
        <v/>
      </c>
    </row>
    <row r="622" spans="2:12" x14ac:dyDescent="0.3">
      <c r="B622" t="str">
        <f>IF('SAÍDAS-BASE'!A620="","",'SAÍDAS-BASE'!A620)</f>
        <v/>
      </c>
      <c r="C622" t="str">
        <f>IF('SAÍDAS-BASE'!B620="","",'SAÍDAS-BASE'!B620)</f>
        <v/>
      </c>
      <c r="D622" t="str">
        <f>IF('SAÍDAS-BASE'!C620="","",'SAÍDAS-BASE'!C620)</f>
        <v/>
      </c>
      <c r="E622" s="7" t="str">
        <f>IF('SAÍDAS-BASE'!D620="","",'SAÍDAS-BASE'!D620)</f>
        <v/>
      </c>
      <c r="F622" s="6" t="str">
        <f>IF('SAÍDAS-BASE'!E620="","",'SAÍDAS-BASE'!E620)</f>
        <v/>
      </c>
      <c r="G622" t="str">
        <f>IF('SAÍDAS-BASE'!F620="","",'SAÍDAS-BASE'!F620)</f>
        <v/>
      </c>
      <c r="H622" t="str">
        <f>IF('SAÍDAS-BASE'!G620="","",'SAÍDAS-BASE'!G620)</f>
        <v/>
      </c>
      <c r="I622" t="str">
        <f>IF('SAÍDAS-BASE'!H620="","",'SAÍDAS-BASE'!H620)</f>
        <v/>
      </c>
      <c r="J622" t="str">
        <f>IF('SAÍDAS-BASE'!I620="","",'SAÍDAS-BASE'!I620)</f>
        <v/>
      </c>
      <c r="K622" s="5" t="str">
        <f>IF('SAÍDAS-BASE'!J620="","",'SAÍDAS-BASE'!J620)</f>
        <v/>
      </c>
      <c r="L622" t="str">
        <f>IF(TABELA_SAIDAS[[#This Row],[UF]]="","",IFERROR(IF(VLOOKUP(TABELA_SAIDAS[[#This Row],[VALOR]],TABELA_ENTRADAS[VALOR],1,FALSE),"DEVOLUÇÃO"),"SEM ENTRADAS"))</f>
        <v/>
      </c>
    </row>
    <row r="623" spans="2:12" x14ac:dyDescent="0.3">
      <c r="B623" t="str">
        <f>IF('SAÍDAS-BASE'!A621="","",'SAÍDAS-BASE'!A621)</f>
        <v/>
      </c>
      <c r="C623" t="str">
        <f>IF('SAÍDAS-BASE'!B621="","",'SAÍDAS-BASE'!B621)</f>
        <v/>
      </c>
      <c r="D623" t="str">
        <f>IF('SAÍDAS-BASE'!C621="","",'SAÍDAS-BASE'!C621)</f>
        <v/>
      </c>
      <c r="E623" s="7" t="str">
        <f>IF('SAÍDAS-BASE'!D621="","",'SAÍDAS-BASE'!D621)</f>
        <v/>
      </c>
      <c r="F623" s="6" t="str">
        <f>IF('SAÍDAS-BASE'!E621="","",'SAÍDAS-BASE'!E621)</f>
        <v/>
      </c>
      <c r="G623" t="str">
        <f>IF('SAÍDAS-BASE'!F621="","",'SAÍDAS-BASE'!F621)</f>
        <v/>
      </c>
      <c r="H623" t="str">
        <f>IF('SAÍDAS-BASE'!G621="","",'SAÍDAS-BASE'!G621)</f>
        <v/>
      </c>
      <c r="I623" t="str">
        <f>IF('SAÍDAS-BASE'!H621="","",'SAÍDAS-BASE'!H621)</f>
        <v/>
      </c>
      <c r="J623" t="str">
        <f>IF('SAÍDAS-BASE'!I621="","",'SAÍDAS-BASE'!I621)</f>
        <v/>
      </c>
      <c r="K623" s="5" t="str">
        <f>IF('SAÍDAS-BASE'!J621="","",'SAÍDAS-BASE'!J621)</f>
        <v/>
      </c>
      <c r="L623" t="str">
        <f>IF(TABELA_SAIDAS[[#This Row],[UF]]="","",IFERROR(IF(VLOOKUP(TABELA_SAIDAS[[#This Row],[VALOR]],TABELA_ENTRADAS[VALOR],1,FALSE),"DEVOLUÇÃO"),"SEM ENTRADAS"))</f>
        <v/>
      </c>
    </row>
    <row r="624" spans="2:12" x14ac:dyDescent="0.3">
      <c r="B624" t="str">
        <f>IF('SAÍDAS-BASE'!A622="","",'SAÍDAS-BASE'!A622)</f>
        <v/>
      </c>
      <c r="C624" t="str">
        <f>IF('SAÍDAS-BASE'!B622="","",'SAÍDAS-BASE'!B622)</f>
        <v/>
      </c>
      <c r="D624" t="str">
        <f>IF('SAÍDAS-BASE'!C622="","",'SAÍDAS-BASE'!C622)</f>
        <v/>
      </c>
      <c r="E624" s="7" t="str">
        <f>IF('SAÍDAS-BASE'!D622="","",'SAÍDAS-BASE'!D622)</f>
        <v/>
      </c>
      <c r="F624" s="6" t="str">
        <f>IF('SAÍDAS-BASE'!E622="","",'SAÍDAS-BASE'!E622)</f>
        <v/>
      </c>
      <c r="G624" t="str">
        <f>IF('SAÍDAS-BASE'!F622="","",'SAÍDAS-BASE'!F622)</f>
        <v/>
      </c>
      <c r="H624" t="str">
        <f>IF('SAÍDAS-BASE'!G622="","",'SAÍDAS-BASE'!G622)</f>
        <v/>
      </c>
      <c r="I624" t="str">
        <f>IF('SAÍDAS-BASE'!H622="","",'SAÍDAS-BASE'!H622)</f>
        <v/>
      </c>
      <c r="J624" t="str">
        <f>IF('SAÍDAS-BASE'!I622="","",'SAÍDAS-BASE'!I622)</f>
        <v/>
      </c>
      <c r="K624" s="5" t="str">
        <f>IF('SAÍDAS-BASE'!J622="","",'SAÍDAS-BASE'!J622)</f>
        <v/>
      </c>
      <c r="L624" t="str">
        <f>IF(TABELA_SAIDAS[[#This Row],[UF]]="","",IFERROR(IF(VLOOKUP(TABELA_SAIDAS[[#This Row],[VALOR]],TABELA_ENTRADAS[VALOR],1,FALSE),"DEVOLUÇÃO"),"SEM ENTRADAS"))</f>
        <v/>
      </c>
    </row>
    <row r="625" spans="2:12" x14ac:dyDescent="0.3">
      <c r="B625" t="str">
        <f>IF('SAÍDAS-BASE'!A623="","",'SAÍDAS-BASE'!A623)</f>
        <v/>
      </c>
      <c r="C625" t="str">
        <f>IF('SAÍDAS-BASE'!B623="","",'SAÍDAS-BASE'!B623)</f>
        <v/>
      </c>
      <c r="D625" t="str">
        <f>IF('SAÍDAS-BASE'!C623="","",'SAÍDAS-BASE'!C623)</f>
        <v/>
      </c>
      <c r="E625" s="7" t="str">
        <f>IF('SAÍDAS-BASE'!D623="","",'SAÍDAS-BASE'!D623)</f>
        <v/>
      </c>
      <c r="F625" s="6" t="str">
        <f>IF('SAÍDAS-BASE'!E623="","",'SAÍDAS-BASE'!E623)</f>
        <v/>
      </c>
      <c r="G625" t="str">
        <f>IF('SAÍDAS-BASE'!F623="","",'SAÍDAS-BASE'!F623)</f>
        <v/>
      </c>
      <c r="H625" t="str">
        <f>IF('SAÍDAS-BASE'!G623="","",'SAÍDAS-BASE'!G623)</f>
        <v/>
      </c>
      <c r="I625" t="str">
        <f>IF('SAÍDAS-BASE'!H623="","",'SAÍDAS-BASE'!H623)</f>
        <v/>
      </c>
      <c r="J625" t="str">
        <f>IF('SAÍDAS-BASE'!I623="","",'SAÍDAS-BASE'!I623)</f>
        <v/>
      </c>
      <c r="K625" s="5" t="str">
        <f>IF('SAÍDAS-BASE'!J623="","",'SAÍDAS-BASE'!J623)</f>
        <v/>
      </c>
      <c r="L625" t="str">
        <f>IF(TABELA_SAIDAS[[#This Row],[UF]]="","",IFERROR(IF(VLOOKUP(TABELA_SAIDAS[[#This Row],[VALOR]],TABELA_ENTRADAS[VALOR],1,FALSE),"DEVOLUÇÃO"),"SEM ENTRADAS"))</f>
        <v/>
      </c>
    </row>
    <row r="626" spans="2:12" x14ac:dyDescent="0.3">
      <c r="B626" t="str">
        <f>IF('SAÍDAS-BASE'!A624="","",'SAÍDAS-BASE'!A624)</f>
        <v/>
      </c>
      <c r="C626" t="str">
        <f>IF('SAÍDAS-BASE'!B624="","",'SAÍDAS-BASE'!B624)</f>
        <v/>
      </c>
      <c r="D626" t="str">
        <f>IF('SAÍDAS-BASE'!C624="","",'SAÍDAS-BASE'!C624)</f>
        <v/>
      </c>
      <c r="E626" s="7" t="str">
        <f>IF('SAÍDAS-BASE'!D624="","",'SAÍDAS-BASE'!D624)</f>
        <v/>
      </c>
      <c r="F626" s="6" t="str">
        <f>IF('SAÍDAS-BASE'!E624="","",'SAÍDAS-BASE'!E624)</f>
        <v/>
      </c>
      <c r="G626" t="str">
        <f>IF('SAÍDAS-BASE'!F624="","",'SAÍDAS-BASE'!F624)</f>
        <v/>
      </c>
      <c r="H626" t="str">
        <f>IF('SAÍDAS-BASE'!G624="","",'SAÍDAS-BASE'!G624)</f>
        <v/>
      </c>
      <c r="I626" t="str">
        <f>IF('SAÍDAS-BASE'!H624="","",'SAÍDAS-BASE'!H624)</f>
        <v/>
      </c>
      <c r="J626" t="str">
        <f>IF('SAÍDAS-BASE'!I624="","",'SAÍDAS-BASE'!I624)</f>
        <v/>
      </c>
      <c r="K626" s="5" t="str">
        <f>IF('SAÍDAS-BASE'!J624="","",'SAÍDAS-BASE'!J624)</f>
        <v/>
      </c>
      <c r="L626" t="str">
        <f>IF(TABELA_SAIDAS[[#This Row],[UF]]="","",IFERROR(IF(VLOOKUP(TABELA_SAIDAS[[#This Row],[VALOR]],TABELA_ENTRADAS[VALOR],1,FALSE),"DEVOLUÇÃO"),"SEM ENTRADAS"))</f>
        <v/>
      </c>
    </row>
    <row r="627" spans="2:12" x14ac:dyDescent="0.3">
      <c r="B627" t="str">
        <f>IF('SAÍDAS-BASE'!A625="","",'SAÍDAS-BASE'!A625)</f>
        <v/>
      </c>
      <c r="C627" t="str">
        <f>IF('SAÍDAS-BASE'!B625="","",'SAÍDAS-BASE'!B625)</f>
        <v/>
      </c>
      <c r="D627" t="str">
        <f>IF('SAÍDAS-BASE'!C625="","",'SAÍDAS-BASE'!C625)</f>
        <v/>
      </c>
      <c r="E627" s="7" t="str">
        <f>IF('SAÍDAS-BASE'!D625="","",'SAÍDAS-BASE'!D625)</f>
        <v/>
      </c>
      <c r="F627" s="6" t="str">
        <f>IF('SAÍDAS-BASE'!E625="","",'SAÍDAS-BASE'!E625)</f>
        <v/>
      </c>
      <c r="G627" t="str">
        <f>IF('SAÍDAS-BASE'!F625="","",'SAÍDAS-BASE'!F625)</f>
        <v/>
      </c>
      <c r="H627" t="str">
        <f>IF('SAÍDAS-BASE'!G625="","",'SAÍDAS-BASE'!G625)</f>
        <v/>
      </c>
      <c r="I627" t="str">
        <f>IF('SAÍDAS-BASE'!H625="","",'SAÍDAS-BASE'!H625)</f>
        <v/>
      </c>
      <c r="J627" t="str">
        <f>IF('SAÍDAS-BASE'!I625="","",'SAÍDAS-BASE'!I625)</f>
        <v/>
      </c>
      <c r="K627" s="5" t="str">
        <f>IF('SAÍDAS-BASE'!J625="","",'SAÍDAS-BASE'!J625)</f>
        <v/>
      </c>
      <c r="L627" t="str">
        <f>IF(TABELA_SAIDAS[[#This Row],[UF]]="","",IFERROR(IF(VLOOKUP(TABELA_SAIDAS[[#This Row],[VALOR]],TABELA_ENTRADAS[VALOR],1,FALSE),"DEVOLUÇÃO"),"SEM ENTRADAS"))</f>
        <v/>
      </c>
    </row>
    <row r="628" spans="2:12" x14ac:dyDescent="0.3">
      <c r="B628" t="str">
        <f>IF('SAÍDAS-BASE'!A626="","",'SAÍDAS-BASE'!A626)</f>
        <v/>
      </c>
      <c r="C628" t="str">
        <f>IF('SAÍDAS-BASE'!B626="","",'SAÍDAS-BASE'!B626)</f>
        <v/>
      </c>
      <c r="D628" t="str">
        <f>IF('SAÍDAS-BASE'!C626="","",'SAÍDAS-BASE'!C626)</f>
        <v/>
      </c>
      <c r="E628" s="7" t="str">
        <f>IF('SAÍDAS-BASE'!D626="","",'SAÍDAS-BASE'!D626)</f>
        <v/>
      </c>
      <c r="F628" s="6" t="str">
        <f>IF('SAÍDAS-BASE'!E626="","",'SAÍDAS-BASE'!E626)</f>
        <v/>
      </c>
      <c r="G628" t="str">
        <f>IF('SAÍDAS-BASE'!F626="","",'SAÍDAS-BASE'!F626)</f>
        <v/>
      </c>
      <c r="H628" t="str">
        <f>IF('SAÍDAS-BASE'!G626="","",'SAÍDAS-BASE'!G626)</f>
        <v/>
      </c>
      <c r="I628" t="str">
        <f>IF('SAÍDAS-BASE'!H626="","",'SAÍDAS-BASE'!H626)</f>
        <v/>
      </c>
      <c r="J628" t="str">
        <f>IF('SAÍDAS-BASE'!I626="","",'SAÍDAS-BASE'!I626)</f>
        <v/>
      </c>
      <c r="K628" s="5" t="str">
        <f>IF('SAÍDAS-BASE'!J626="","",'SAÍDAS-BASE'!J626)</f>
        <v/>
      </c>
      <c r="L628" t="str">
        <f>IF(TABELA_SAIDAS[[#This Row],[UF]]="","",IFERROR(IF(VLOOKUP(TABELA_SAIDAS[[#This Row],[VALOR]],TABELA_ENTRADAS[VALOR],1,FALSE),"DEVOLUÇÃO"),"SEM ENTRADAS"))</f>
        <v/>
      </c>
    </row>
    <row r="629" spans="2:12" x14ac:dyDescent="0.3">
      <c r="B629" t="str">
        <f>IF('SAÍDAS-BASE'!A627="","",'SAÍDAS-BASE'!A627)</f>
        <v/>
      </c>
      <c r="C629" t="str">
        <f>IF('SAÍDAS-BASE'!B627="","",'SAÍDAS-BASE'!B627)</f>
        <v/>
      </c>
      <c r="D629" t="str">
        <f>IF('SAÍDAS-BASE'!C627="","",'SAÍDAS-BASE'!C627)</f>
        <v/>
      </c>
      <c r="E629" s="7" t="str">
        <f>IF('SAÍDAS-BASE'!D627="","",'SAÍDAS-BASE'!D627)</f>
        <v/>
      </c>
      <c r="F629" s="6" t="str">
        <f>IF('SAÍDAS-BASE'!E627="","",'SAÍDAS-BASE'!E627)</f>
        <v/>
      </c>
      <c r="G629" t="str">
        <f>IF('SAÍDAS-BASE'!F627="","",'SAÍDAS-BASE'!F627)</f>
        <v/>
      </c>
      <c r="H629" t="str">
        <f>IF('SAÍDAS-BASE'!G627="","",'SAÍDAS-BASE'!G627)</f>
        <v/>
      </c>
      <c r="I629" t="str">
        <f>IF('SAÍDAS-BASE'!H627="","",'SAÍDAS-BASE'!H627)</f>
        <v/>
      </c>
      <c r="J629" t="str">
        <f>IF('SAÍDAS-BASE'!I627="","",'SAÍDAS-BASE'!I627)</f>
        <v/>
      </c>
      <c r="K629" s="5" t="str">
        <f>IF('SAÍDAS-BASE'!J627="","",'SAÍDAS-BASE'!J627)</f>
        <v/>
      </c>
      <c r="L629" t="str">
        <f>IF(TABELA_SAIDAS[[#This Row],[UF]]="","",IFERROR(IF(VLOOKUP(TABELA_SAIDAS[[#This Row],[VALOR]],TABELA_ENTRADAS[VALOR],1,FALSE),"DEVOLUÇÃO"),"SEM ENTRADAS"))</f>
        <v/>
      </c>
    </row>
    <row r="630" spans="2:12" x14ac:dyDescent="0.3">
      <c r="B630" t="str">
        <f>IF('SAÍDAS-BASE'!A628="","",'SAÍDAS-BASE'!A628)</f>
        <v/>
      </c>
      <c r="C630" t="str">
        <f>IF('SAÍDAS-BASE'!B628="","",'SAÍDAS-BASE'!B628)</f>
        <v/>
      </c>
      <c r="D630" t="str">
        <f>IF('SAÍDAS-BASE'!C628="","",'SAÍDAS-BASE'!C628)</f>
        <v/>
      </c>
      <c r="E630" s="7" t="str">
        <f>IF('SAÍDAS-BASE'!D628="","",'SAÍDAS-BASE'!D628)</f>
        <v/>
      </c>
      <c r="F630" s="6" t="str">
        <f>IF('SAÍDAS-BASE'!E628="","",'SAÍDAS-BASE'!E628)</f>
        <v/>
      </c>
      <c r="G630" t="str">
        <f>IF('SAÍDAS-BASE'!F628="","",'SAÍDAS-BASE'!F628)</f>
        <v/>
      </c>
      <c r="H630" t="str">
        <f>IF('SAÍDAS-BASE'!G628="","",'SAÍDAS-BASE'!G628)</f>
        <v/>
      </c>
      <c r="I630" t="str">
        <f>IF('SAÍDAS-BASE'!H628="","",'SAÍDAS-BASE'!H628)</f>
        <v/>
      </c>
      <c r="J630" t="str">
        <f>IF('SAÍDAS-BASE'!I628="","",'SAÍDAS-BASE'!I628)</f>
        <v/>
      </c>
      <c r="K630" s="5" t="str">
        <f>IF('SAÍDAS-BASE'!J628="","",'SAÍDAS-BASE'!J628)</f>
        <v/>
      </c>
      <c r="L630" t="str">
        <f>IF(TABELA_SAIDAS[[#This Row],[UF]]="","",IFERROR(IF(VLOOKUP(TABELA_SAIDAS[[#This Row],[VALOR]],TABELA_ENTRADAS[VALOR],1,FALSE),"DEVOLUÇÃO"),"SEM ENTRADAS"))</f>
        <v/>
      </c>
    </row>
    <row r="631" spans="2:12" x14ac:dyDescent="0.3">
      <c r="B631" t="str">
        <f>IF('SAÍDAS-BASE'!A629="","",'SAÍDAS-BASE'!A629)</f>
        <v/>
      </c>
      <c r="C631" t="str">
        <f>IF('SAÍDAS-BASE'!B629="","",'SAÍDAS-BASE'!B629)</f>
        <v/>
      </c>
      <c r="D631" t="str">
        <f>IF('SAÍDAS-BASE'!C629="","",'SAÍDAS-BASE'!C629)</f>
        <v/>
      </c>
      <c r="E631" s="7" t="str">
        <f>IF('SAÍDAS-BASE'!D629="","",'SAÍDAS-BASE'!D629)</f>
        <v/>
      </c>
      <c r="F631" s="6" t="str">
        <f>IF('SAÍDAS-BASE'!E629="","",'SAÍDAS-BASE'!E629)</f>
        <v/>
      </c>
      <c r="G631" t="str">
        <f>IF('SAÍDAS-BASE'!F629="","",'SAÍDAS-BASE'!F629)</f>
        <v/>
      </c>
      <c r="H631" t="str">
        <f>IF('SAÍDAS-BASE'!G629="","",'SAÍDAS-BASE'!G629)</f>
        <v/>
      </c>
      <c r="I631" t="str">
        <f>IF('SAÍDAS-BASE'!H629="","",'SAÍDAS-BASE'!H629)</f>
        <v/>
      </c>
      <c r="J631" t="str">
        <f>IF('SAÍDAS-BASE'!I629="","",'SAÍDAS-BASE'!I629)</f>
        <v/>
      </c>
      <c r="K631" s="5" t="str">
        <f>IF('SAÍDAS-BASE'!J629="","",'SAÍDAS-BASE'!J629)</f>
        <v/>
      </c>
      <c r="L631" t="str">
        <f>IF(TABELA_SAIDAS[[#This Row],[UF]]="","",IFERROR(IF(VLOOKUP(TABELA_SAIDAS[[#This Row],[VALOR]],TABELA_ENTRADAS[VALOR],1,FALSE),"DEVOLUÇÃO"),"SEM ENTRADAS"))</f>
        <v/>
      </c>
    </row>
    <row r="632" spans="2:12" x14ac:dyDescent="0.3">
      <c r="B632" t="str">
        <f>IF('SAÍDAS-BASE'!A630="","",'SAÍDAS-BASE'!A630)</f>
        <v/>
      </c>
      <c r="C632" t="str">
        <f>IF('SAÍDAS-BASE'!B630="","",'SAÍDAS-BASE'!B630)</f>
        <v/>
      </c>
      <c r="D632" t="str">
        <f>IF('SAÍDAS-BASE'!C630="","",'SAÍDAS-BASE'!C630)</f>
        <v/>
      </c>
      <c r="E632" s="7" t="str">
        <f>IF('SAÍDAS-BASE'!D630="","",'SAÍDAS-BASE'!D630)</f>
        <v/>
      </c>
      <c r="F632" s="6" t="str">
        <f>IF('SAÍDAS-BASE'!E630="","",'SAÍDAS-BASE'!E630)</f>
        <v/>
      </c>
      <c r="G632" t="str">
        <f>IF('SAÍDAS-BASE'!F630="","",'SAÍDAS-BASE'!F630)</f>
        <v/>
      </c>
      <c r="H632" t="str">
        <f>IF('SAÍDAS-BASE'!G630="","",'SAÍDAS-BASE'!G630)</f>
        <v/>
      </c>
      <c r="I632" t="str">
        <f>IF('SAÍDAS-BASE'!H630="","",'SAÍDAS-BASE'!H630)</f>
        <v/>
      </c>
      <c r="J632" t="str">
        <f>IF('SAÍDAS-BASE'!I630="","",'SAÍDAS-BASE'!I630)</f>
        <v/>
      </c>
      <c r="K632" s="5" t="str">
        <f>IF('SAÍDAS-BASE'!J630="","",'SAÍDAS-BASE'!J630)</f>
        <v/>
      </c>
      <c r="L632" t="str">
        <f>IF(TABELA_SAIDAS[[#This Row],[UF]]="","",IFERROR(IF(VLOOKUP(TABELA_SAIDAS[[#This Row],[VALOR]],TABELA_ENTRADAS[VALOR],1,FALSE),"DEVOLUÇÃO"),"SEM ENTRADAS"))</f>
        <v/>
      </c>
    </row>
    <row r="633" spans="2:12" x14ac:dyDescent="0.3">
      <c r="B633" t="str">
        <f>IF('SAÍDAS-BASE'!A631="","",'SAÍDAS-BASE'!A631)</f>
        <v/>
      </c>
      <c r="C633" t="str">
        <f>IF('SAÍDAS-BASE'!B631="","",'SAÍDAS-BASE'!B631)</f>
        <v/>
      </c>
      <c r="D633" t="str">
        <f>IF('SAÍDAS-BASE'!C631="","",'SAÍDAS-BASE'!C631)</f>
        <v/>
      </c>
      <c r="E633" s="7" t="str">
        <f>IF('SAÍDAS-BASE'!D631="","",'SAÍDAS-BASE'!D631)</f>
        <v/>
      </c>
      <c r="F633" s="6" t="str">
        <f>IF('SAÍDAS-BASE'!E631="","",'SAÍDAS-BASE'!E631)</f>
        <v/>
      </c>
      <c r="G633" t="str">
        <f>IF('SAÍDAS-BASE'!F631="","",'SAÍDAS-BASE'!F631)</f>
        <v/>
      </c>
      <c r="H633" t="str">
        <f>IF('SAÍDAS-BASE'!G631="","",'SAÍDAS-BASE'!G631)</f>
        <v/>
      </c>
      <c r="I633" t="str">
        <f>IF('SAÍDAS-BASE'!H631="","",'SAÍDAS-BASE'!H631)</f>
        <v/>
      </c>
      <c r="J633" t="str">
        <f>IF('SAÍDAS-BASE'!I631="","",'SAÍDAS-BASE'!I631)</f>
        <v/>
      </c>
      <c r="K633" s="5" t="str">
        <f>IF('SAÍDAS-BASE'!J631="","",'SAÍDAS-BASE'!J631)</f>
        <v/>
      </c>
      <c r="L633" t="str">
        <f>IF(TABELA_SAIDAS[[#This Row],[UF]]="","",IFERROR(IF(VLOOKUP(TABELA_SAIDAS[[#This Row],[VALOR]],TABELA_ENTRADAS[VALOR],1,FALSE),"DEVOLUÇÃO"),"SEM ENTRADAS"))</f>
        <v/>
      </c>
    </row>
    <row r="634" spans="2:12" x14ac:dyDescent="0.3">
      <c r="B634" t="str">
        <f>IF('SAÍDAS-BASE'!A632="","",'SAÍDAS-BASE'!A632)</f>
        <v/>
      </c>
      <c r="C634" t="str">
        <f>IF('SAÍDAS-BASE'!B632="","",'SAÍDAS-BASE'!B632)</f>
        <v/>
      </c>
      <c r="D634" t="str">
        <f>IF('SAÍDAS-BASE'!C632="","",'SAÍDAS-BASE'!C632)</f>
        <v/>
      </c>
      <c r="E634" s="7" t="str">
        <f>IF('SAÍDAS-BASE'!D632="","",'SAÍDAS-BASE'!D632)</f>
        <v/>
      </c>
      <c r="F634" s="6" t="str">
        <f>IF('SAÍDAS-BASE'!E632="","",'SAÍDAS-BASE'!E632)</f>
        <v/>
      </c>
      <c r="G634" t="str">
        <f>IF('SAÍDAS-BASE'!F632="","",'SAÍDAS-BASE'!F632)</f>
        <v/>
      </c>
      <c r="H634" t="str">
        <f>IF('SAÍDAS-BASE'!G632="","",'SAÍDAS-BASE'!G632)</f>
        <v/>
      </c>
      <c r="I634" t="str">
        <f>IF('SAÍDAS-BASE'!H632="","",'SAÍDAS-BASE'!H632)</f>
        <v/>
      </c>
      <c r="J634" t="str">
        <f>IF('SAÍDAS-BASE'!I632="","",'SAÍDAS-BASE'!I632)</f>
        <v/>
      </c>
      <c r="K634" s="5" t="str">
        <f>IF('SAÍDAS-BASE'!J632="","",'SAÍDAS-BASE'!J632)</f>
        <v/>
      </c>
      <c r="L634" t="str">
        <f>IF(TABELA_SAIDAS[[#This Row],[UF]]="","",IFERROR(IF(VLOOKUP(TABELA_SAIDAS[[#This Row],[VALOR]],TABELA_ENTRADAS[VALOR],1,FALSE),"DEVOLUÇÃO"),"SEM ENTRADAS"))</f>
        <v/>
      </c>
    </row>
    <row r="635" spans="2:12" x14ac:dyDescent="0.3">
      <c r="B635" t="str">
        <f>IF('SAÍDAS-BASE'!A633="","",'SAÍDAS-BASE'!A633)</f>
        <v/>
      </c>
      <c r="C635" t="str">
        <f>IF('SAÍDAS-BASE'!B633="","",'SAÍDAS-BASE'!B633)</f>
        <v/>
      </c>
      <c r="D635" t="str">
        <f>IF('SAÍDAS-BASE'!C633="","",'SAÍDAS-BASE'!C633)</f>
        <v/>
      </c>
      <c r="E635" s="7" t="str">
        <f>IF('SAÍDAS-BASE'!D633="","",'SAÍDAS-BASE'!D633)</f>
        <v/>
      </c>
      <c r="F635" s="6" t="str">
        <f>IF('SAÍDAS-BASE'!E633="","",'SAÍDAS-BASE'!E633)</f>
        <v/>
      </c>
      <c r="G635" t="str">
        <f>IF('SAÍDAS-BASE'!F633="","",'SAÍDAS-BASE'!F633)</f>
        <v/>
      </c>
      <c r="H635" t="str">
        <f>IF('SAÍDAS-BASE'!G633="","",'SAÍDAS-BASE'!G633)</f>
        <v/>
      </c>
      <c r="I635" t="str">
        <f>IF('SAÍDAS-BASE'!H633="","",'SAÍDAS-BASE'!H633)</f>
        <v/>
      </c>
      <c r="J635" t="str">
        <f>IF('SAÍDAS-BASE'!I633="","",'SAÍDAS-BASE'!I633)</f>
        <v/>
      </c>
      <c r="K635" s="5" t="str">
        <f>IF('SAÍDAS-BASE'!J633="","",'SAÍDAS-BASE'!J633)</f>
        <v/>
      </c>
      <c r="L635" t="str">
        <f>IF(TABELA_SAIDAS[[#This Row],[UF]]="","",IFERROR(IF(VLOOKUP(TABELA_SAIDAS[[#This Row],[VALOR]],TABELA_ENTRADAS[VALOR],1,FALSE),"DEVOLUÇÃO"),"SEM ENTRADAS"))</f>
        <v/>
      </c>
    </row>
    <row r="636" spans="2:12" x14ac:dyDescent="0.3">
      <c r="B636" t="str">
        <f>IF('SAÍDAS-BASE'!A634="","",'SAÍDAS-BASE'!A634)</f>
        <v/>
      </c>
      <c r="C636" t="str">
        <f>IF('SAÍDAS-BASE'!B634="","",'SAÍDAS-BASE'!B634)</f>
        <v/>
      </c>
      <c r="D636" t="str">
        <f>IF('SAÍDAS-BASE'!C634="","",'SAÍDAS-BASE'!C634)</f>
        <v/>
      </c>
      <c r="E636" s="7" t="str">
        <f>IF('SAÍDAS-BASE'!D634="","",'SAÍDAS-BASE'!D634)</f>
        <v/>
      </c>
      <c r="F636" s="6" t="str">
        <f>IF('SAÍDAS-BASE'!E634="","",'SAÍDAS-BASE'!E634)</f>
        <v/>
      </c>
      <c r="G636" t="str">
        <f>IF('SAÍDAS-BASE'!F634="","",'SAÍDAS-BASE'!F634)</f>
        <v/>
      </c>
      <c r="H636" t="str">
        <f>IF('SAÍDAS-BASE'!G634="","",'SAÍDAS-BASE'!G634)</f>
        <v/>
      </c>
      <c r="I636" t="str">
        <f>IF('SAÍDAS-BASE'!H634="","",'SAÍDAS-BASE'!H634)</f>
        <v/>
      </c>
      <c r="J636" t="str">
        <f>IF('SAÍDAS-BASE'!I634="","",'SAÍDAS-BASE'!I634)</f>
        <v/>
      </c>
      <c r="K636" s="5" t="str">
        <f>IF('SAÍDAS-BASE'!J634="","",'SAÍDAS-BASE'!J634)</f>
        <v/>
      </c>
      <c r="L636" t="str">
        <f>IF(TABELA_SAIDAS[[#This Row],[UF]]="","",IFERROR(IF(VLOOKUP(TABELA_SAIDAS[[#This Row],[VALOR]],TABELA_ENTRADAS[VALOR],1,FALSE),"DEVOLUÇÃO"),"SEM ENTRADAS"))</f>
        <v/>
      </c>
    </row>
    <row r="637" spans="2:12" x14ac:dyDescent="0.3">
      <c r="B637" t="str">
        <f>IF('SAÍDAS-BASE'!A635="","",'SAÍDAS-BASE'!A635)</f>
        <v/>
      </c>
      <c r="C637" t="str">
        <f>IF('SAÍDAS-BASE'!B635="","",'SAÍDAS-BASE'!B635)</f>
        <v/>
      </c>
      <c r="D637" t="str">
        <f>IF('SAÍDAS-BASE'!C635="","",'SAÍDAS-BASE'!C635)</f>
        <v/>
      </c>
      <c r="E637" s="7" t="str">
        <f>IF('SAÍDAS-BASE'!D635="","",'SAÍDAS-BASE'!D635)</f>
        <v/>
      </c>
      <c r="F637" s="6" t="str">
        <f>IF('SAÍDAS-BASE'!E635="","",'SAÍDAS-BASE'!E635)</f>
        <v/>
      </c>
      <c r="G637" t="str">
        <f>IF('SAÍDAS-BASE'!F635="","",'SAÍDAS-BASE'!F635)</f>
        <v/>
      </c>
      <c r="H637" t="str">
        <f>IF('SAÍDAS-BASE'!G635="","",'SAÍDAS-BASE'!G635)</f>
        <v/>
      </c>
      <c r="I637" t="str">
        <f>IF('SAÍDAS-BASE'!H635="","",'SAÍDAS-BASE'!H635)</f>
        <v/>
      </c>
      <c r="J637" t="str">
        <f>IF('SAÍDAS-BASE'!I635="","",'SAÍDAS-BASE'!I635)</f>
        <v/>
      </c>
      <c r="K637" s="5" t="str">
        <f>IF('SAÍDAS-BASE'!J635="","",'SAÍDAS-BASE'!J635)</f>
        <v/>
      </c>
      <c r="L637" t="str">
        <f>IF(TABELA_SAIDAS[[#This Row],[UF]]="","",IFERROR(IF(VLOOKUP(TABELA_SAIDAS[[#This Row],[VALOR]],TABELA_ENTRADAS[VALOR],1,FALSE),"DEVOLUÇÃO"),"SEM ENTRADAS"))</f>
        <v/>
      </c>
    </row>
    <row r="638" spans="2:12" x14ac:dyDescent="0.3">
      <c r="B638" t="str">
        <f>IF('SAÍDAS-BASE'!A636="","",'SAÍDAS-BASE'!A636)</f>
        <v/>
      </c>
      <c r="C638" t="str">
        <f>IF('SAÍDAS-BASE'!B636="","",'SAÍDAS-BASE'!B636)</f>
        <v/>
      </c>
      <c r="D638" t="str">
        <f>IF('SAÍDAS-BASE'!C636="","",'SAÍDAS-BASE'!C636)</f>
        <v/>
      </c>
      <c r="E638" s="7" t="str">
        <f>IF('SAÍDAS-BASE'!D636="","",'SAÍDAS-BASE'!D636)</f>
        <v/>
      </c>
      <c r="F638" s="6" t="str">
        <f>IF('SAÍDAS-BASE'!E636="","",'SAÍDAS-BASE'!E636)</f>
        <v/>
      </c>
      <c r="G638" t="str">
        <f>IF('SAÍDAS-BASE'!F636="","",'SAÍDAS-BASE'!F636)</f>
        <v/>
      </c>
      <c r="H638" t="str">
        <f>IF('SAÍDAS-BASE'!G636="","",'SAÍDAS-BASE'!G636)</f>
        <v/>
      </c>
      <c r="I638" t="str">
        <f>IF('SAÍDAS-BASE'!H636="","",'SAÍDAS-BASE'!H636)</f>
        <v/>
      </c>
      <c r="J638" t="str">
        <f>IF('SAÍDAS-BASE'!I636="","",'SAÍDAS-BASE'!I636)</f>
        <v/>
      </c>
      <c r="K638" s="5" t="str">
        <f>IF('SAÍDAS-BASE'!J636="","",'SAÍDAS-BASE'!J636)</f>
        <v/>
      </c>
      <c r="L638" t="str">
        <f>IF(TABELA_SAIDAS[[#This Row],[UF]]="","",IFERROR(IF(VLOOKUP(TABELA_SAIDAS[[#This Row],[VALOR]],TABELA_ENTRADAS[VALOR],1,FALSE),"DEVOLUÇÃO"),"SEM ENTRADAS"))</f>
        <v/>
      </c>
    </row>
    <row r="639" spans="2:12" x14ac:dyDescent="0.3">
      <c r="B639" t="str">
        <f>IF('SAÍDAS-BASE'!A637="","",'SAÍDAS-BASE'!A637)</f>
        <v/>
      </c>
      <c r="C639" t="str">
        <f>IF('SAÍDAS-BASE'!B637="","",'SAÍDAS-BASE'!B637)</f>
        <v/>
      </c>
      <c r="D639" t="str">
        <f>IF('SAÍDAS-BASE'!C637="","",'SAÍDAS-BASE'!C637)</f>
        <v/>
      </c>
      <c r="E639" s="7" t="str">
        <f>IF('SAÍDAS-BASE'!D637="","",'SAÍDAS-BASE'!D637)</f>
        <v/>
      </c>
      <c r="F639" s="6" t="str">
        <f>IF('SAÍDAS-BASE'!E637="","",'SAÍDAS-BASE'!E637)</f>
        <v/>
      </c>
      <c r="G639" t="str">
        <f>IF('SAÍDAS-BASE'!F637="","",'SAÍDAS-BASE'!F637)</f>
        <v/>
      </c>
      <c r="H639" t="str">
        <f>IF('SAÍDAS-BASE'!G637="","",'SAÍDAS-BASE'!G637)</f>
        <v/>
      </c>
      <c r="I639" t="str">
        <f>IF('SAÍDAS-BASE'!H637="","",'SAÍDAS-BASE'!H637)</f>
        <v/>
      </c>
      <c r="J639" t="str">
        <f>IF('SAÍDAS-BASE'!I637="","",'SAÍDAS-BASE'!I637)</f>
        <v/>
      </c>
      <c r="K639" s="5" t="str">
        <f>IF('SAÍDAS-BASE'!J637="","",'SAÍDAS-BASE'!J637)</f>
        <v/>
      </c>
      <c r="L639" t="str">
        <f>IF(TABELA_SAIDAS[[#This Row],[UF]]="","",IFERROR(IF(VLOOKUP(TABELA_SAIDAS[[#This Row],[VALOR]],TABELA_ENTRADAS[VALOR],1,FALSE),"DEVOLUÇÃO"),"SEM ENTRADAS"))</f>
        <v/>
      </c>
    </row>
    <row r="640" spans="2:12" x14ac:dyDescent="0.3">
      <c r="B640" t="str">
        <f>IF('SAÍDAS-BASE'!A638="","",'SAÍDAS-BASE'!A638)</f>
        <v/>
      </c>
      <c r="C640" t="str">
        <f>IF('SAÍDAS-BASE'!B638="","",'SAÍDAS-BASE'!B638)</f>
        <v/>
      </c>
      <c r="D640" t="str">
        <f>IF('SAÍDAS-BASE'!C638="","",'SAÍDAS-BASE'!C638)</f>
        <v/>
      </c>
      <c r="E640" s="7" t="str">
        <f>IF('SAÍDAS-BASE'!D638="","",'SAÍDAS-BASE'!D638)</f>
        <v/>
      </c>
      <c r="F640" s="6" t="str">
        <f>IF('SAÍDAS-BASE'!E638="","",'SAÍDAS-BASE'!E638)</f>
        <v/>
      </c>
      <c r="G640" t="str">
        <f>IF('SAÍDAS-BASE'!F638="","",'SAÍDAS-BASE'!F638)</f>
        <v/>
      </c>
      <c r="H640" t="str">
        <f>IF('SAÍDAS-BASE'!G638="","",'SAÍDAS-BASE'!G638)</f>
        <v/>
      </c>
      <c r="I640" t="str">
        <f>IF('SAÍDAS-BASE'!H638="","",'SAÍDAS-BASE'!H638)</f>
        <v/>
      </c>
      <c r="J640" t="str">
        <f>IF('SAÍDAS-BASE'!I638="","",'SAÍDAS-BASE'!I638)</f>
        <v/>
      </c>
      <c r="K640" s="5" t="str">
        <f>IF('SAÍDAS-BASE'!J638="","",'SAÍDAS-BASE'!J638)</f>
        <v/>
      </c>
      <c r="L640" t="str">
        <f>IF(TABELA_SAIDAS[[#This Row],[UF]]="","",IFERROR(IF(VLOOKUP(TABELA_SAIDAS[[#This Row],[VALOR]],TABELA_ENTRADAS[VALOR],1,FALSE),"DEVOLUÇÃO"),"SEM ENTRADAS"))</f>
        <v/>
      </c>
    </row>
    <row r="641" spans="2:12" x14ac:dyDescent="0.3">
      <c r="B641" t="str">
        <f>IF('SAÍDAS-BASE'!A639="","",'SAÍDAS-BASE'!A639)</f>
        <v/>
      </c>
      <c r="C641" t="str">
        <f>IF('SAÍDAS-BASE'!B639="","",'SAÍDAS-BASE'!B639)</f>
        <v/>
      </c>
      <c r="D641" t="str">
        <f>IF('SAÍDAS-BASE'!C639="","",'SAÍDAS-BASE'!C639)</f>
        <v/>
      </c>
      <c r="E641" s="7" t="str">
        <f>IF('SAÍDAS-BASE'!D639="","",'SAÍDAS-BASE'!D639)</f>
        <v/>
      </c>
      <c r="F641" s="6" t="str">
        <f>IF('SAÍDAS-BASE'!E639="","",'SAÍDAS-BASE'!E639)</f>
        <v/>
      </c>
      <c r="G641" t="str">
        <f>IF('SAÍDAS-BASE'!F639="","",'SAÍDAS-BASE'!F639)</f>
        <v/>
      </c>
      <c r="H641" t="str">
        <f>IF('SAÍDAS-BASE'!G639="","",'SAÍDAS-BASE'!G639)</f>
        <v/>
      </c>
      <c r="I641" t="str">
        <f>IF('SAÍDAS-BASE'!H639="","",'SAÍDAS-BASE'!H639)</f>
        <v/>
      </c>
      <c r="J641" t="str">
        <f>IF('SAÍDAS-BASE'!I639="","",'SAÍDAS-BASE'!I639)</f>
        <v/>
      </c>
      <c r="K641" s="5" t="str">
        <f>IF('SAÍDAS-BASE'!J639="","",'SAÍDAS-BASE'!J639)</f>
        <v/>
      </c>
      <c r="L641" t="str">
        <f>IF(TABELA_SAIDAS[[#This Row],[UF]]="","",IFERROR(IF(VLOOKUP(TABELA_SAIDAS[[#This Row],[VALOR]],TABELA_ENTRADAS[VALOR],1,FALSE),"DEVOLUÇÃO"),"SEM ENTRADAS"))</f>
        <v/>
      </c>
    </row>
    <row r="642" spans="2:12" x14ac:dyDescent="0.3">
      <c r="B642" t="str">
        <f>IF('SAÍDAS-BASE'!A640="","",'SAÍDAS-BASE'!A640)</f>
        <v/>
      </c>
      <c r="C642" t="str">
        <f>IF('SAÍDAS-BASE'!B640="","",'SAÍDAS-BASE'!B640)</f>
        <v/>
      </c>
      <c r="D642" t="str">
        <f>IF('SAÍDAS-BASE'!C640="","",'SAÍDAS-BASE'!C640)</f>
        <v/>
      </c>
      <c r="E642" s="7" t="str">
        <f>IF('SAÍDAS-BASE'!D640="","",'SAÍDAS-BASE'!D640)</f>
        <v/>
      </c>
      <c r="F642" s="6" t="str">
        <f>IF('SAÍDAS-BASE'!E640="","",'SAÍDAS-BASE'!E640)</f>
        <v/>
      </c>
      <c r="G642" t="str">
        <f>IF('SAÍDAS-BASE'!F640="","",'SAÍDAS-BASE'!F640)</f>
        <v/>
      </c>
      <c r="H642" t="str">
        <f>IF('SAÍDAS-BASE'!G640="","",'SAÍDAS-BASE'!G640)</f>
        <v/>
      </c>
      <c r="I642" t="str">
        <f>IF('SAÍDAS-BASE'!H640="","",'SAÍDAS-BASE'!H640)</f>
        <v/>
      </c>
      <c r="J642" t="str">
        <f>IF('SAÍDAS-BASE'!I640="","",'SAÍDAS-BASE'!I640)</f>
        <v/>
      </c>
      <c r="K642" s="5" t="str">
        <f>IF('SAÍDAS-BASE'!J640="","",'SAÍDAS-BASE'!J640)</f>
        <v/>
      </c>
      <c r="L642" t="str">
        <f>IF(TABELA_SAIDAS[[#This Row],[UF]]="","",IFERROR(IF(VLOOKUP(TABELA_SAIDAS[[#This Row],[VALOR]],TABELA_ENTRADAS[VALOR],1,FALSE),"DEVOLUÇÃO"),"SEM ENTRADAS"))</f>
        <v/>
      </c>
    </row>
    <row r="643" spans="2:12" x14ac:dyDescent="0.3">
      <c r="B643" t="str">
        <f>IF('SAÍDAS-BASE'!A641="","",'SAÍDAS-BASE'!A641)</f>
        <v/>
      </c>
      <c r="C643" t="str">
        <f>IF('SAÍDAS-BASE'!B641="","",'SAÍDAS-BASE'!B641)</f>
        <v/>
      </c>
      <c r="D643" t="str">
        <f>IF('SAÍDAS-BASE'!C641="","",'SAÍDAS-BASE'!C641)</f>
        <v/>
      </c>
      <c r="E643" s="7" t="str">
        <f>IF('SAÍDAS-BASE'!D641="","",'SAÍDAS-BASE'!D641)</f>
        <v/>
      </c>
      <c r="F643" s="6" t="str">
        <f>IF('SAÍDAS-BASE'!E641="","",'SAÍDAS-BASE'!E641)</f>
        <v/>
      </c>
      <c r="G643" t="str">
        <f>IF('SAÍDAS-BASE'!F641="","",'SAÍDAS-BASE'!F641)</f>
        <v/>
      </c>
      <c r="H643" t="str">
        <f>IF('SAÍDAS-BASE'!G641="","",'SAÍDAS-BASE'!G641)</f>
        <v/>
      </c>
      <c r="I643" t="str">
        <f>IF('SAÍDAS-BASE'!H641="","",'SAÍDAS-BASE'!H641)</f>
        <v/>
      </c>
      <c r="J643" t="str">
        <f>IF('SAÍDAS-BASE'!I641="","",'SAÍDAS-BASE'!I641)</f>
        <v/>
      </c>
      <c r="K643" s="5" t="str">
        <f>IF('SAÍDAS-BASE'!J641="","",'SAÍDAS-BASE'!J641)</f>
        <v/>
      </c>
      <c r="L643" t="str">
        <f>IF(TABELA_SAIDAS[[#This Row],[UF]]="","",IFERROR(IF(VLOOKUP(TABELA_SAIDAS[[#This Row],[VALOR]],TABELA_ENTRADAS[VALOR],1,FALSE),"DEVOLUÇÃO"),"SEM ENTRADAS"))</f>
        <v/>
      </c>
    </row>
    <row r="644" spans="2:12" x14ac:dyDescent="0.3">
      <c r="B644" t="str">
        <f>IF('SAÍDAS-BASE'!A642="","",'SAÍDAS-BASE'!A642)</f>
        <v/>
      </c>
      <c r="C644" t="str">
        <f>IF('SAÍDAS-BASE'!B642="","",'SAÍDAS-BASE'!B642)</f>
        <v/>
      </c>
      <c r="D644" t="str">
        <f>IF('SAÍDAS-BASE'!C642="","",'SAÍDAS-BASE'!C642)</f>
        <v/>
      </c>
      <c r="E644" s="7" t="str">
        <f>IF('SAÍDAS-BASE'!D642="","",'SAÍDAS-BASE'!D642)</f>
        <v/>
      </c>
      <c r="F644" s="6" t="str">
        <f>IF('SAÍDAS-BASE'!E642="","",'SAÍDAS-BASE'!E642)</f>
        <v/>
      </c>
      <c r="G644" t="str">
        <f>IF('SAÍDAS-BASE'!F642="","",'SAÍDAS-BASE'!F642)</f>
        <v/>
      </c>
      <c r="H644" t="str">
        <f>IF('SAÍDAS-BASE'!G642="","",'SAÍDAS-BASE'!G642)</f>
        <v/>
      </c>
      <c r="I644" t="str">
        <f>IF('SAÍDAS-BASE'!H642="","",'SAÍDAS-BASE'!H642)</f>
        <v/>
      </c>
      <c r="J644" t="str">
        <f>IF('SAÍDAS-BASE'!I642="","",'SAÍDAS-BASE'!I642)</f>
        <v/>
      </c>
      <c r="K644" s="5" t="str">
        <f>IF('SAÍDAS-BASE'!J642="","",'SAÍDAS-BASE'!J642)</f>
        <v/>
      </c>
      <c r="L644" t="str">
        <f>IF(TABELA_SAIDAS[[#This Row],[UF]]="","",IFERROR(IF(VLOOKUP(TABELA_SAIDAS[[#This Row],[VALOR]],TABELA_ENTRADAS[VALOR],1,FALSE),"DEVOLUÇÃO"),"SEM ENTRADAS"))</f>
        <v/>
      </c>
    </row>
    <row r="645" spans="2:12" x14ac:dyDescent="0.3">
      <c r="B645" t="str">
        <f>IF('SAÍDAS-BASE'!A643="","",'SAÍDAS-BASE'!A643)</f>
        <v/>
      </c>
      <c r="C645" t="str">
        <f>IF('SAÍDAS-BASE'!B643="","",'SAÍDAS-BASE'!B643)</f>
        <v/>
      </c>
      <c r="D645" t="str">
        <f>IF('SAÍDAS-BASE'!C643="","",'SAÍDAS-BASE'!C643)</f>
        <v/>
      </c>
      <c r="E645" s="7" t="str">
        <f>IF('SAÍDAS-BASE'!D643="","",'SAÍDAS-BASE'!D643)</f>
        <v/>
      </c>
      <c r="F645" s="6" t="str">
        <f>IF('SAÍDAS-BASE'!E643="","",'SAÍDAS-BASE'!E643)</f>
        <v/>
      </c>
      <c r="G645" t="str">
        <f>IF('SAÍDAS-BASE'!F643="","",'SAÍDAS-BASE'!F643)</f>
        <v/>
      </c>
      <c r="H645" t="str">
        <f>IF('SAÍDAS-BASE'!G643="","",'SAÍDAS-BASE'!G643)</f>
        <v/>
      </c>
      <c r="I645" t="str">
        <f>IF('SAÍDAS-BASE'!H643="","",'SAÍDAS-BASE'!H643)</f>
        <v/>
      </c>
      <c r="J645" t="str">
        <f>IF('SAÍDAS-BASE'!I643="","",'SAÍDAS-BASE'!I643)</f>
        <v/>
      </c>
      <c r="K645" s="5" t="str">
        <f>IF('SAÍDAS-BASE'!J643="","",'SAÍDAS-BASE'!J643)</f>
        <v/>
      </c>
      <c r="L645" t="str">
        <f>IF(TABELA_SAIDAS[[#This Row],[UF]]="","",IFERROR(IF(VLOOKUP(TABELA_SAIDAS[[#This Row],[VALOR]],TABELA_ENTRADAS[VALOR],1,FALSE),"DEVOLUÇÃO"),"SEM ENTRADAS"))</f>
        <v/>
      </c>
    </row>
    <row r="646" spans="2:12" x14ac:dyDescent="0.3">
      <c r="B646" t="str">
        <f>IF('SAÍDAS-BASE'!A644="","",'SAÍDAS-BASE'!A644)</f>
        <v/>
      </c>
      <c r="C646" t="str">
        <f>IF('SAÍDAS-BASE'!B644="","",'SAÍDAS-BASE'!B644)</f>
        <v/>
      </c>
      <c r="D646" t="str">
        <f>IF('SAÍDAS-BASE'!C644="","",'SAÍDAS-BASE'!C644)</f>
        <v/>
      </c>
      <c r="E646" s="7" t="str">
        <f>IF('SAÍDAS-BASE'!D644="","",'SAÍDAS-BASE'!D644)</f>
        <v/>
      </c>
      <c r="F646" s="6" t="str">
        <f>IF('SAÍDAS-BASE'!E644="","",'SAÍDAS-BASE'!E644)</f>
        <v/>
      </c>
      <c r="G646" t="str">
        <f>IF('SAÍDAS-BASE'!F644="","",'SAÍDAS-BASE'!F644)</f>
        <v/>
      </c>
      <c r="H646" t="str">
        <f>IF('SAÍDAS-BASE'!G644="","",'SAÍDAS-BASE'!G644)</f>
        <v/>
      </c>
      <c r="I646" t="str">
        <f>IF('SAÍDAS-BASE'!H644="","",'SAÍDAS-BASE'!H644)</f>
        <v/>
      </c>
      <c r="J646" t="str">
        <f>IF('SAÍDAS-BASE'!I644="","",'SAÍDAS-BASE'!I644)</f>
        <v/>
      </c>
      <c r="K646" s="5" t="str">
        <f>IF('SAÍDAS-BASE'!J644="","",'SAÍDAS-BASE'!J644)</f>
        <v/>
      </c>
      <c r="L646" t="str">
        <f>IF(TABELA_SAIDAS[[#This Row],[UF]]="","",IFERROR(IF(VLOOKUP(TABELA_SAIDAS[[#This Row],[VALOR]],TABELA_ENTRADAS[VALOR],1,FALSE),"DEVOLUÇÃO"),"SEM ENTRADAS"))</f>
        <v/>
      </c>
    </row>
    <row r="647" spans="2:12" x14ac:dyDescent="0.3">
      <c r="B647" t="str">
        <f>IF('SAÍDAS-BASE'!A645="","",'SAÍDAS-BASE'!A645)</f>
        <v/>
      </c>
      <c r="C647" t="str">
        <f>IF('SAÍDAS-BASE'!B645="","",'SAÍDAS-BASE'!B645)</f>
        <v/>
      </c>
      <c r="D647" t="str">
        <f>IF('SAÍDAS-BASE'!C645="","",'SAÍDAS-BASE'!C645)</f>
        <v/>
      </c>
      <c r="E647" s="7" t="str">
        <f>IF('SAÍDAS-BASE'!D645="","",'SAÍDAS-BASE'!D645)</f>
        <v/>
      </c>
      <c r="F647" s="6" t="str">
        <f>IF('SAÍDAS-BASE'!E645="","",'SAÍDAS-BASE'!E645)</f>
        <v/>
      </c>
      <c r="G647" t="str">
        <f>IF('SAÍDAS-BASE'!F645="","",'SAÍDAS-BASE'!F645)</f>
        <v/>
      </c>
      <c r="H647" t="str">
        <f>IF('SAÍDAS-BASE'!G645="","",'SAÍDAS-BASE'!G645)</f>
        <v/>
      </c>
      <c r="I647" t="str">
        <f>IF('SAÍDAS-BASE'!H645="","",'SAÍDAS-BASE'!H645)</f>
        <v/>
      </c>
      <c r="J647" t="str">
        <f>IF('SAÍDAS-BASE'!I645="","",'SAÍDAS-BASE'!I645)</f>
        <v/>
      </c>
      <c r="K647" s="5" t="str">
        <f>IF('SAÍDAS-BASE'!J645="","",'SAÍDAS-BASE'!J645)</f>
        <v/>
      </c>
      <c r="L647" t="str">
        <f>IF(TABELA_SAIDAS[[#This Row],[UF]]="","",IFERROR(IF(VLOOKUP(TABELA_SAIDAS[[#This Row],[VALOR]],TABELA_ENTRADAS[VALOR],1,FALSE),"DEVOLUÇÃO"),"SEM ENTRADAS"))</f>
        <v/>
      </c>
    </row>
    <row r="648" spans="2:12" x14ac:dyDescent="0.3">
      <c r="B648" t="str">
        <f>IF('SAÍDAS-BASE'!A646="","",'SAÍDAS-BASE'!A646)</f>
        <v/>
      </c>
      <c r="C648" t="str">
        <f>IF('SAÍDAS-BASE'!B646="","",'SAÍDAS-BASE'!B646)</f>
        <v/>
      </c>
      <c r="D648" t="str">
        <f>IF('SAÍDAS-BASE'!C646="","",'SAÍDAS-BASE'!C646)</f>
        <v/>
      </c>
      <c r="E648" s="7" t="str">
        <f>IF('SAÍDAS-BASE'!D646="","",'SAÍDAS-BASE'!D646)</f>
        <v/>
      </c>
      <c r="F648" s="6" t="str">
        <f>IF('SAÍDAS-BASE'!E646="","",'SAÍDAS-BASE'!E646)</f>
        <v/>
      </c>
      <c r="G648" t="str">
        <f>IF('SAÍDAS-BASE'!F646="","",'SAÍDAS-BASE'!F646)</f>
        <v/>
      </c>
      <c r="H648" t="str">
        <f>IF('SAÍDAS-BASE'!G646="","",'SAÍDAS-BASE'!G646)</f>
        <v/>
      </c>
      <c r="I648" t="str">
        <f>IF('SAÍDAS-BASE'!H646="","",'SAÍDAS-BASE'!H646)</f>
        <v/>
      </c>
      <c r="J648" t="str">
        <f>IF('SAÍDAS-BASE'!I646="","",'SAÍDAS-BASE'!I646)</f>
        <v/>
      </c>
      <c r="K648" s="5" t="str">
        <f>IF('SAÍDAS-BASE'!J646="","",'SAÍDAS-BASE'!J646)</f>
        <v/>
      </c>
      <c r="L648" t="str">
        <f>IF(TABELA_SAIDAS[[#This Row],[UF]]="","",IFERROR(IF(VLOOKUP(TABELA_SAIDAS[[#This Row],[VALOR]],TABELA_ENTRADAS[VALOR],1,FALSE),"DEVOLUÇÃO"),"SEM ENTRADAS"))</f>
        <v/>
      </c>
    </row>
    <row r="649" spans="2:12" x14ac:dyDescent="0.3">
      <c r="B649" t="str">
        <f>IF('SAÍDAS-BASE'!A647="","",'SAÍDAS-BASE'!A647)</f>
        <v/>
      </c>
      <c r="C649" t="str">
        <f>IF('SAÍDAS-BASE'!B647="","",'SAÍDAS-BASE'!B647)</f>
        <v/>
      </c>
      <c r="D649" t="str">
        <f>IF('SAÍDAS-BASE'!C647="","",'SAÍDAS-BASE'!C647)</f>
        <v/>
      </c>
      <c r="E649" s="7" t="str">
        <f>IF('SAÍDAS-BASE'!D647="","",'SAÍDAS-BASE'!D647)</f>
        <v/>
      </c>
      <c r="F649" s="6" t="str">
        <f>IF('SAÍDAS-BASE'!E647="","",'SAÍDAS-BASE'!E647)</f>
        <v/>
      </c>
      <c r="G649" t="str">
        <f>IF('SAÍDAS-BASE'!F647="","",'SAÍDAS-BASE'!F647)</f>
        <v/>
      </c>
      <c r="H649" t="str">
        <f>IF('SAÍDAS-BASE'!G647="","",'SAÍDAS-BASE'!G647)</f>
        <v/>
      </c>
      <c r="I649" t="str">
        <f>IF('SAÍDAS-BASE'!H647="","",'SAÍDAS-BASE'!H647)</f>
        <v/>
      </c>
      <c r="J649" t="str">
        <f>IF('SAÍDAS-BASE'!I647="","",'SAÍDAS-BASE'!I647)</f>
        <v/>
      </c>
      <c r="K649" s="5" t="str">
        <f>IF('SAÍDAS-BASE'!J647="","",'SAÍDAS-BASE'!J647)</f>
        <v/>
      </c>
      <c r="L649" t="str">
        <f>IF(TABELA_SAIDAS[[#This Row],[UF]]="","",IFERROR(IF(VLOOKUP(TABELA_SAIDAS[[#This Row],[VALOR]],TABELA_ENTRADAS[VALOR],1,FALSE),"DEVOLUÇÃO"),"SEM ENTRADAS"))</f>
        <v/>
      </c>
    </row>
    <row r="650" spans="2:12" x14ac:dyDescent="0.3">
      <c r="B650" t="str">
        <f>IF('SAÍDAS-BASE'!A648="","",'SAÍDAS-BASE'!A648)</f>
        <v/>
      </c>
      <c r="C650" t="str">
        <f>IF('SAÍDAS-BASE'!B648="","",'SAÍDAS-BASE'!B648)</f>
        <v/>
      </c>
      <c r="D650" t="str">
        <f>IF('SAÍDAS-BASE'!C648="","",'SAÍDAS-BASE'!C648)</f>
        <v/>
      </c>
      <c r="E650" s="7" t="str">
        <f>IF('SAÍDAS-BASE'!D648="","",'SAÍDAS-BASE'!D648)</f>
        <v/>
      </c>
      <c r="F650" s="6" t="str">
        <f>IF('SAÍDAS-BASE'!E648="","",'SAÍDAS-BASE'!E648)</f>
        <v/>
      </c>
      <c r="G650" t="str">
        <f>IF('SAÍDAS-BASE'!F648="","",'SAÍDAS-BASE'!F648)</f>
        <v/>
      </c>
      <c r="H650" t="str">
        <f>IF('SAÍDAS-BASE'!G648="","",'SAÍDAS-BASE'!G648)</f>
        <v/>
      </c>
      <c r="I650" t="str">
        <f>IF('SAÍDAS-BASE'!H648="","",'SAÍDAS-BASE'!H648)</f>
        <v/>
      </c>
      <c r="J650" t="str">
        <f>IF('SAÍDAS-BASE'!I648="","",'SAÍDAS-BASE'!I648)</f>
        <v/>
      </c>
      <c r="K650" s="5" t="str">
        <f>IF('SAÍDAS-BASE'!J648="","",'SAÍDAS-BASE'!J648)</f>
        <v/>
      </c>
      <c r="L650" t="str">
        <f>IF(TABELA_SAIDAS[[#This Row],[UF]]="","",IFERROR(IF(VLOOKUP(TABELA_SAIDAS[[#This Row],[VALOR]],TABELA_ENTRADAS[VALOR],1,FALSE),"DEVOLUÇÃO"),"SEM ENTRADAS"))</f>
        <v/>
      </c>
    </row>
    <row r="651" spans="2:12" x14ac:dyDescent="0.3">
      <c r="B651" t="str">
        <f>IF('SAÍDAS-BASE'!A649="","",'SAÍDAS-BASE'!A649)</f>
        <v/>
      </c>
      <c r="C651" t="str">
        <f>IF('SAÍDAS-BASE'!B649="","",'SAÍDAS-BASE'!B649)</f>
        <v/>
      </c>
      <c r="D651" t="str">
        <f>IF('SAÍDAS-BASE'!C649="","",'SAÍDAS-BASE'!C649)</f>
        <v/>
      </c>
      <c r="E651" s="7" t="str">
        <f>IF('SAÍDAS-BASE'!D649="","",'SAÍDAS-BASE'!D649)</f>
        <v/>
      </c>
      <c r="F651" s="6" t="str">
        <f>IF('SAÍDAS-BASE'!E649="","",'SAÍDAS-BASE'!E649)</f>
        <v/>
      </c>
      <c r="G651" t="str">
        <f>IF('SAÍDAS-BASE'!F649="","",'SAÍDAS-BASE'!F649)</f>
        <v/>
      </c>
      <c r="H651" t="str">
        <f>IF('SAÍDAS-BASE'!G649="","",'SAÍDAS-BASE'!G649)</f>
        <v/>
      </c>
      <c r="I651" t="str">
        <f>IF('SAÍDAS-BASE'!H649="","",'SAÍDAS-BASE'!H649)</f>
        <v/>
      </c>
      <c r="J651" t="str">
        <f>IF('SAÍDAS-BASE'!I649="","",'SAÍDAS-BASE'!I649)</f>
        <v/>
      </c>
      <c r="K651" s="5" t="str">
        <f>IF('SAÍDAS-BASE'!J649="","",'SAÍDAS-BASE'!J649)</f>
        <v/>
      </c>
      <c r="L651" t="str">
        <f>IF(TABELA_SAIDAS[[#This Row],[UF]]="","",IFERROR(IF(VLOOKUP(TABELA_SAIDAS[[#This Row],[VALOR]],TABELA_ENTRADAS[VALOR],1,FALSE),"DEVOLUÇÃO"),"SEM ENTRADAS"))</f>
        <v/>
      </c>
    </row>
    <row r="652" spans="2:12" x14ac:dyDescent="0.3">
      <c r="B652" t="str">
        <f>IF('SAÍDAS-BASE'!A650="","",'SAÍDAS-BASE'!A650)</f>
        <v/>
      </c>
      <c r="C652" t="str">
        <f>IF('SAÍDAS-BASE'!B650="","",'SAÍDAS-BASE'!B650)</f>
        <v/>
      </c>
      <c r="D652" t="str">
        <f>IF('SAÍDAS-BASE'!C650="","",'SAÍDAS-BASE'!C650)</f>
        <v/>
      </c>
      <c r="E652" s="7" t="str">
        <f>IF('SAÍDAS-BASE'!D650="","",'SAÍDAS-BASE'!D650)</f>
        <v/>
      </c>
      <c r="F652" s="6" t="str">
        <f>IF('SAÍDAS-BASE'!E650="","",'SAÍDAS-BASE'!E650)</f>
        <v/>
      </c>
      <c r="G652" t="str">
        <f>IF('SAÍDAS-BASE'!F650="","",'SAÍDAS-BASE'!F650)</f>
        <v/>
      </c>
      <c r="H652" t="str">
        <f>IF('SAÍDAS-BASE'!G650="","",'SAÍDAS-BASE'!G650)</f>
        <v/>
      </c>
      <c r="I652" t="str">
        <f>IF('SAÍDAS-BASE'!H650="","",'SAÍDAS-BASE'!H650)</f>
        <v/>
      </c>
      <c r="J652" t="str">
        <f>IF('SAÍDAS-BASE'!I650="","",'SAÍDAS-BASE'!I650)</f>
        <v/>
      </c>
      <c r="K652" s="5" t="str">
        <f>IF('SAÍDAS-BASE'!J650="","",'SAÍDAS-BASE'!J650)</f>
        <v/>
      </c>
      <c r="L652" t="str">
        <f>IF(TABELA_SAIDAS[[#This Row],[UF]]="","",IFERROR(IF(VLOOKUP(TABELA_SAIDAS[[#This Row],[VALOR]],TABELA_ENTRADAS[VALOR],1,FALSE),"DEVOLUÇÃO"),"SEM ENTRADAS"))</f>
        <v/>
      </c>
    </row>
    <row r="653" spans="2:12" x14ac:dyDescent="0.3">
      <c r="B653" t="str">
        <f>IF('SAÍDAS-BASE'!A651="","",'SAÍDAS-BASE'!A651)</f>
        <v/>
      </c>
      <c r="C653" t="str">
        <f>IF('SAÍDAS-BASE'!B651="","",'SAÍDAS-BASE'!B651)</f>
        <v/>
      </c>
      <c r="D653" t="str">
        <f>IF('SAÍDAS-BASE'!C651="","",'SAÍDAS-BASE'!C651)</f>
        <v/>
      </c>
      <c r="E653" s="7" t="str">
        <f>IF('SAÍDAS-BASE'!D651="","",'SAÍDAS-BASE'!D651)</f>
        <v/>
      </c>
      <c r="F653" s="6" t="str">
        <f>IF('SAÍDAS-BASE'!E651="","",'SAÍDAS-BASE'!E651)</f>
        <v/>
      </c>
      <c r="G653" t="str">
        <f>IF('SAÍDAS-BASE'!F651="","",'SAÍDAS-BASE'!F651)</f>
        <v/>
      </c>
      <c r="H653" t="str">
        <f>IF('SAÍDAS-BASE'!G651="","",'SAÍDAS-BASE'!G651)</f>
        <v/>
      </c>
      <c r="I653" t="str">
        <f>IF('SAÍDAS-BASE'!H651="","",'SAÍDAS-BASE'!H651)</f>
        <v/>
      </c>
      <c r="J653" t="str">
        <f>IF('SAÍDAS-BASE'!I651="","",'SAÍDAS-BASE'!I651)</f>
        <v/>
      </c>
      <c r="K653" s="5" t="str">
        <f>IF('SAÍDAS-BASE'!J651="","",'SAÍDAS-BASE'!J651)</f>
        <v/>
      </c>
      <c r="L653" t="str">
        <f>IF(TABELA_SAIDAS[[#This Row],[UF]]="","",IFERROR(IF(VLOOKUP(TABELA_SAIDAS[[#This Row],[VALOR]],TABELA_ENTRADAS[VALOR],1,FALSE),"DEVOLUÇÃO"),"SEM ENTRADAS"))</f>
        <v/>
      </c>
    </row>
    <row r="654" spans="2:12" x14ac:dyDescent="0.3">
      <c r="B654" t="str">
        <f>IF('SAÍDAS-BASE'!A652="","",'SAÍDAS-BASE'!A652)</f>
        <v/>
      </c>
      <c r="C654" t="str">
        <f>IF('SAÍDAS-BASE'!B652="","",'SAÍDAS-BASE'!B652)</f>
        <v/>
      </c>
      <c r="D654" t="str">
        <f>IF('SAÍDAS-BASE'!C652="","",'SAÍDAS-BASE'!C652)</f>
        <v/>
      </c>
      <c r="E654" s="7" t="str">
        <f>IF('SAÍDAS-BASE'!D652="","",'SAÍDAS-BASE'!D652)</f>
        <v/>
      </c>
      <c r="F654" s="6" t="str">
        <f>IF('SAÍDAS-BASE'!E652="","",'SAÍDAS-BASE'!E652)</f>
        <v/>
      </c>
      <c r="G654" t="str">
        <f>IF('SAÍDAS-BASE'!F652="","",'SAÍDAS-BASE'!F652)</f>
        <v/>
      </c>
      <c r="H654" t="str">
        <f>IF('SAÍDAS-BASE'!G652="","",'SAÍDAS-BASE'!G652)</f>
        <v/>
      </c>
      <c r="I654" t="str">
        <f>IF('SAÍDAS-BASE'!H652="","",'SAÍDAS-BASE'!H652)</f>
        <v/>
      </c>
      <c r="J654" t="str">
        <f>IF('SAÍDAS-BASE'!I652="","",'SAÍDAS-BASE'!I652)</f>
        <v/>
      </c>
      <c r="K654" s="5" t="str">
        <f>IF('SAÍDAS-BASE'!J652="","",'SAÍDAS-BASE'!J652)</f>
        <v/>
      </c>
      <c r="L654" t="str">
        <f>IF(TABELA_SAIDAS[[#This Row],[UF]]="","",IFERROR(IF(VLOOKUP(TABELA_SAIDAS[[#This Row],[VALOR]],TABELA_ENTRADAS[VALOR],1,FALSE),"DEVOLUÇÃO"),"SEM ENTRADAS"))</f>
        <v/>
      </c>
    </row>
    <row r="655" spans="2:12" x14ac:dyDescent="0.3">
      <c r="B655" t="str">
        <f>IF('SAÍDAS-BASE'!A653="","",'SAÍDAS-BASE'!A653)</f>
        <v/>
      </c>
      <c r="C655" t="str">
        <f>IF('SAÍDAS-BASE'!B653="","",'SAÍDAS-BASE'!B653)</f>
        <v/>
      </c>
      <c r="D655" t="str">
        <f>IF('SAÍDAS-BASE'!C653="","",'SAÍDAS-BASE'!C653)</f>
        <v/>
      </c>
      <c r="E655" s="7" t="str">
        <f>IF('SAÍDAS-BASE'!D653="","",'SAÍDAS-BASE'!D653)</f>
        <v/>
      </c>
      <c r="F655" s="6" t="str">
        <f>IF('SAÍDAS-BASE'!E653="","",'SAÍDAS-BASE'!E653)</f>
        <v/>
      </c>
      <c r="G655" t="str">
        <f>IF('SAÍDAS-BASE'!F653="","",'SAÍDAS-BASE'!F653)</f>
        <v/>
      </c>
      <c r="H655" t="str">
        <f>IF('SAÍDAS-BASE'!G653="","",'SAÍDAS-BASE'!G653)</f>
        <v/>
      </c>
      <c r="I655" t="str">
        <f>IF('SAÍDAS-BASE'!H653="","",'SAÍDAS-BASE'!H653)</f>
        <v/>
      </c>
      <c r="J655" t="str">
        <f>IF('SAÍDAS-BASE'!I653="","",'SAÍDAS-BASE'!I653)</f>
        <v/>
      </c>
      <c r="K655" s="5" t="str">
        <f>IF('SAÍDAS-BASE'!J653="","",'SAÍDAS-BASE'!J653)</f>
        <v/>
      </c>
      <c r="L655" t="str">
        <f>IF(TABELA_SAIDAS[[#This Row],[UF]]="","",IFERROR(IF(VLOOKUP(TABELA_SAIDAS[[#This Row],[VALOR]],TABELA_ENTRADAS[VALOR],1,FALSE),"DEVOLUÇÃO"),"SEM ENTRADAS"))</f>
        <v/>
      </c>
    </row>
    <row r="656" spans="2:12" x14ac:dyDescent="0.3">
      <c r="B656" t="str">
        <f>IF('SAÍDAS-BASE'!A654="","",'SAÍDAS-BASE'!A654)</f>
        <v/>
      </c>
      <c r="C656" t="str">
        <f>IF('SAÍDAS-BASE'!B654="","",'SAÍDAS-BASE'!B654)</f>
        <v/>
      </c>
      <c r="D656" t="str">
        <f>IF('SAÍDAS-BASE'!C654="","",'SAÍDAS-BASE'!C654)</f>
        <v/>
      </c>
      <c r="E656" s="7" t="str">
        <f>IF('SAÍDAS-BASE'!D654="","",'SAÍDAS-BASE'!D654)</f>
        <v/>
      </c>
      <c r="F656" s="6" t="str">
        <f>IF('SAÍDAS-BASE'!E654="","",'SAÍDAS-BASE'!E654)</f>
        <v/>
      </c>
      <c r="G656" t="str">
        <f>IF('SAÍDAS-BASE'!F654="","",'SAÍDAS-BASE'!F654)</f>
        <v/>
      </c>
      <c r="H656" t="str">
        <f>IF('SAÍDAS-BASE'!G654="","",'SAÍDAS-BASE'!G654)</f>
        <v/>
      </c>
      <c r="I656" t="str">
        <f>IF('SAÍDAS-BASE'!H654="","",'SAÍDAS-BASE'!H654)</f>
        <v/>
      </c>
      <c r="J656" t="str">
        <f>IF('SAÍDAS-BASE'!I654="","",'SAÍDAS-BASE'!I654)</f>
        <v/>
      </c>
      <c r="K656" s="5" t="str">
        <f>IF('SAÍDAS-BASE'!J654="","",'SAÍDAS-BASE'!J654)</f>
        <v/>
      </c>
      <c r="L656" t="str">
        <f>IF(TABELA_SAIDAS[[#This Row],[UF]]="","",IFERROR(IF(VLOOKUP(TABELA_SAIDAS[[#This Row],[VALOR]],TABELA_ENTRADAS[VALOR],1,FALSE),"DEVOLUÇÃO"),"SEM ENTRADAS"))</f>
        <v/>
      </c>
    </row>
    <row r="657" spans="2:12" x14ac:dyDescent="0.3">
      <c r="B657" t="str">
        <f>IF('SAÍDAS-BASE'!A655="","",'SAÍDAS-BASE'!A655)</f>
        <v/>
      </c>
      <c r="C657" t="str">
        <f>IF('SAÍDAS-BASE'!B655="","",'SAÍDAS-BASE'!B655)</f>
        <v/>
      </c>
      <c r="D657" t="str">
        <f>IF('SAÍDAS-BASE'!C655="","",'SAÍDAS-BASE'!C655)</f>
        <v/>
      </c>
      <c r="E657" s="7" t="str">
        <f>IF('SAÍDAS-BASE'!D655="","",'SAÍDAS-BASE'!D655)</f>
        <v/>
      </c>
      <c r="F657" s="6" t="str">
        <f>IF('SAÍDAS-BASE'!E655="","",'SAÍDAS-BASE'!E655)</f>
        <v/>
      </c>
      <c r="G657" t="str">
        <f>IF('SAÍDAS-BASE'!F655="","",'SAÍDAS-BASE'!F655)</f>
        <v/>
      </c>
      <c r="H657" t="str">
        <f>IF('SAÍDAS-BASE'!G655="","",'SAÍDAS-BASE'!G655)</f>
        <v/>
      </c>
      <c r="I657" t="str">
        <f>IF('SAÍDAS-BASE'!H655="","",'SAÍDAS-BASE'!H655)</f>
        <v/>
      </c>
      <c r="J657" t="str">
        <f>IF('SAÍDAS-BASE'!I655="","",'SAÍDAS-BASE'!I655)</f>
        <v/>
      </c>
      <c r="K657" s="5" t="str">
        <f>IF('SAÍDAS-BASE'!J655="","",'SAÍDAS-BASE'!J655)</f>
        <v/>
      </c>
      <c r="L657" t="str">
        <f>IF(TABELA_SAIDAS[[#This Row],[UF]]="","",IFERROR(IF(VLOOKUP(TABELA_SAIDAS[[#This Row],[VALOR]],TABELA_ENTRADAS[VALOR],1,FALSE),"DEVOLUÇÃO"),"SEM ENTRADAS"))</f>
        <v/>
      </c>
    </row>
    <row r="658" spans="2:12" x14ac:dyDescent="0.3">
      <c r="B658" t="str">
        <f>IF('SAÍDAS-BASE'!A656="","",'SAÍDAS-BASE'!A656)</f>
        <v/>
      </c>
      <c r="C658" t="str">
        <f>IF('SAÍDAS-BASE'!B656="","",'SAÍDAS-BASE'!B656)</f>
        <v/>
      </c>
      <c r="D658" t="str">
        <f>IF('SAÍDAS-BASE'!C656="","",'SAÍDAS-BASE'!C656)</f>
        <v/>
      </c>
      <c r="E658" s="7" t="str">
        <f>IF('SAÍDAS-BASE'!D656="","",'SAÍDAS-BASE'!D656)</f>
        <v/>
      </c>
      <c r="F658" s="6" t="str">
        <f>IF('SAÍDAS-BASE'!E656="","",'SAÍDAS-BASE'!E656)</f>
        <v/>
      </c>
      <c r="G658" t="str">
        <f>IF('SAÍDAS-BASE'!F656="","",'SAÍDAS-BASE'!F656)</f>
        <v/>
      </c>
      <c r="H658" t="str">
        <f>IF('SAÍDAS-BASE'!G656="","",'SAÍDAS-BASE'!G656)</f>
        <v/>
      </c>
      <c r="I658" t="str">
        <f>IF('SAÍDAS-BASE'!H656="","",'SAÍDAS-BASE'!H656)</f>
        <v/>
      </c>
      <c r="J658" t="str">
        <f>IF('SAÍDAS-BASE'!I656="","",'SAÍDAS-BASE'!I656)</f>
        <v/>
      </c>
      <c r="K658" s="5" t="str">
        <f>IF('SAÍDAS-BASE'!J656="","",'SAÍDAS-BASE'!J656)</f>
        <v/>
      </c>
      <c r="L658" t="str">
        <f>IF(TABELA_SAIDAS[[#This Row],[UF]]="","",IFERROR(IF(VLOOKUP(TABELA_SAIDAS[[#This Row],[VALOR]],TABELA_ENTRADAS[VALOR],1,FALSE),"DEVOLUÇÃO"),"SEM ENTRADAS"))</f>
        <v/>
      </c>
    </row>
    <row r="659" spans="2:12" x14ac:dyDescent="0.3">
      <c r="B659" t="str">
        <f>IF('SAÍDAS-BASE'!A657="","",'SAÍDAS-BASE'!A657)</f>
        <v/>
      </c>
      <c r="C659" t="str">
        <f>IF('SAÍDAS-BASE'!B657="","",'SAÍDAS-BASE'!B657)</f>
        <v/>
      </c>
      <c r="D659" t="str">
        <f>IF('SAÍDAS-BASE'!C657="","",'SAÍDAS-BASE'!C657)</f>
        <v/>
      </c>
      <c r="E659" s="7" t="str">
        <f>IF('SAÍDAS-BASE'!D657="","",'SAÍDAS-BASE'!D657)</f>
        <v/>
      </c>
      <c r="F659" s="6" t="str">
        <f>IF('SAÍDAS-BASE'!E657="","",'SAÍDAS-BASE'!E657)</f>
        <v/>
      </c>
      <c r="G659" t="str">
        <f>IF('SAÍDAS-BASE'!F657="","",'SAÍDAS-BASE'!F657)</f>
        <v/>
      </c>
      <c r="H659" t="str">
        <f>IF('SAÍDAS-BASE'!G657="","",'SAÍDAS-BASE'!G657)</f>
        <v/>
      </c>
      <c r="I659" t="str">
        <f>IF('SAÍDAS-BASE'!H657="","",'SAÍDAS-BASE'!H657)</f>
        <v/>
      </c>
      <c r="J659" t="str">
        <f>IF('SAÍDAS-BASE'!I657="","",'SAÍDAS-BASE'!I657)</f>
        <v/>
      </c>
      <c r="K659" s="5" t="str">
        <f>IF('SAÍDAS-BASE'!J657="","",'SAÍDAS-BASE'!J657)</f>
        <v/>
      </c>
      <c r="L659" t="str">
        <f>IF(TABELA_SAIDAS[[#This Row],[UF]]="","",IFERROR(IF(VLOOKUP(TABELA_SAIDAS[[#This Row],[VALOR]],TABELA_ENTRADAS[VALOR],1,FALSE),"DEVOLUÇÃO"),"SEM ENTRADAS"))</f>
        <v/>
      </c>
    </row>
    <row r="660" spans="2:12" x14ac:dyDescent="0.3">
      <c r="B660" t="str">
        <f>IF('SAÍDAS-BASE'!A658="","",'SAÍDAS-BASE'!A658)</f>
        <v/>
      </c>
      <c r="C660" t="str">
        <f>IF('SAÍDAS-BASE'!B658="","",'SAÍDAS-BASE'!B658)</f>
        <v/>
      </c>
      <c r="D660" t="str">
        <f>IF('SAÍDAS-BASE'!C658="","",'SAÍDAS-BASE'!C658)</f>
        <v/>
      </c>
      <c r="E660" s="7" t="str">
        <f>IF('SAÍDAS-BASE'!D658="","",'SAÍDAS-BASE'!D658)</f>
        <v/>
      </c>
      <c r="F660" s="6" t="str">
        <f>IF('SAÍDAS-BASE'!E658="","",'SAÍDAS-BASE'!E658)</f>
        <v/>
      </c>
      <c r="G660" t="str">
        <f>IF('SAÍDAS-BASE'!F658="","",'SAÍDAS-BASE'!F658)</f>
        <v/>
      </c>
      <c r="H660" t="str">
        <f>IF('SAÍDAS-BASE'!G658="","",'SAÍDAS-BASE'!G658)</f>
        <v/>
      </c>
      <c r="I660" t="str">
        <f>IF('SAÍDAS-BASE'!H658="","",'SAÍDAS-BASE'!H658)</f>
        <v/>
      </c>
      <c r="J660" t="str">
        <f>IF('SAÍDAS-BASE'!I658="","",'SAÍDAS-BASE'!I658)</f>
        <v/>
      </c>
      <c r="K660" s="5" t="str">
        <f>IF('SAÍDAS-BASE'!J658="","",'SAÍDAS-BASE'!J658)</f>
        <v/>
      </c>
      <c r="L660" t="str">
        <f>IF(TABELA_SAIDAS[[#This Row],[UF]]="","",IFERROR(IF(VLOOKUP(TABELA_SAIDAS[[#This Row],[VALOR]],TABELA_ENTRADAS[VALOR],1,FALSE),"DEVOLUÇÃO"),"SEM ENTRADAS"))</f>
        <v/>
      </c>
    </row>
    <row r="661" spans="2:12" x14ac:dyDescent="0.3">
      <c r="B661" t="str">
        <f>IF('SAÍDAS-BASE'!A659="","",'SAÍDAS-BASE'!A659)</f>
        <v/>
      </c>
      <c r="C661" t="str">
        <f>IF('SAÍDAS-BASE'!B659="","",'SAÍDAS-BASE'!B659)</f>
        <v/>
      </c>
      <c r="D661" t="str">
        <f>IF('SAÍDAS-BASE'!C659="","",'SAÍDAS-BASE'!C659)</f>
        <v/>
      </c>
      <c r="E661" s="7" t="str">
        <f>IF('SAÍDAS-BASE'!D659="","",'SAÍDAS-BASE'!D659)</f>
        <v/>
      </c>
      <c r="F661" s="6" t="str">
        <f>IF('SAÍDAS-BASE'!E659="","",'SAÍDAS-BASE'!E659)</f>
        <v/>
      </c>
      <c r="G661" t="str">
        <f>IF('SAÍDAS-BASE'!F659="","",'SAÍDAS-BASE'!F659)</f>
        <v/>
      </c>
      <c r="H661" t="str">
        <f>IF('SAÍDAS-BASE'!G659="","",'SAÍDAS-BASE'!G659)</f>
        <v/>
      </c>
      <c r="I661" t="str">
        <f>IF('SAÍDAS-BASE'!H659="","",'SAÍDAS-BASE'!H659)</f>
        <v/>
      </c>
      <c r="J661" t="str">
        <f>IF('SAÍDAS-BASE'!I659="","",'SAÍDAS-BASE'!I659)</f>
        <v/>
      </c>
      <c r="K661" s="5" t="str">
        <f>IF('SAÍDAS-BASE'!J659="","",'SAÍDAS-BASE'!J659)</f>
        <v/>
      </c>
      <c r="L661" t="str">
        <f>IF(TABELA_SAIDAS[[#This Row],[UF]]="","",IFERROR(IF(VLOOKUP(TABELA_SAIDAS[[#This Row],[VALOR]],TABELA_ENTRADAS[VALOR],1,FALSE),"DEVOLUÇÃO"),"SEM ENTRADAS"))</f>
        <v/>
      </c>
    </row>
    <row r="662" spans="2:12" x14ac:dyDescent="0.3">
      <c r="B662" t="str">
        <f>IF('SAÍDAS-BASE'!A660="","",'SAÍDAS-BASE'!A660)</f>
        <v/>
      </c>
      <c r="C662" t="str">
        <f>IF('SAÍDAS-BASE'!B660="","",'SAÍDAS-BASE'!B660)</f>
        <v/>
      </c>
      <c r="D662" t="str">
        <f>IF('SAÍDAS-BASE'!C660="","",'SAÍDAS-BASE'!C660)</f>
        <v/>
      </c>
      <c r="E662" s="7" t="str">
        <f>IF('SAÍDAS-BASE'!D660="","",'SAÍDAS-BASE'!D660)</f>
        <v/>
      </c>
      <c r="F662" s="6" t="str">
        <f>IF('SAÍDAS-BASE'!E660="","",'SAÍDAS-BASE'!E660)</f>
        <v/>
      </c>
      <c r="G662" t="str">
        <f>IF('SAÍDAS-BASE'!F660="","",'SAÍDAS-BASE'!F660)</f>
        <v/>
      </c>
      <c r="H662" t="str">
        <f>IF('SAÍDAS-BASE'!G660="","",'SAÍDAS-BASE'!G660)</f>
        <v/>
      </c>
      <c r="I662" t="str">
        <f>IF('SAÍDAS-BASE'!H660="","",'SAÍDAS-BASE'!H660)</f>
        <v/>
      </c>
      <c r="J662" t="str">
        <f>IF('SAÍDAS-BASE'!I660="","",'SAÍDAS-BASE'!I660)</f>
        <v/>
      </c>
      <c r="K662" s="5" t="str">
        <f>IF('SAÍDAS-BASE'!J660="","",'SAÍDAS-BASE'!J660)</f>
        <v/>
      </c>
      <c r="L662" t="str">
        <f>IF(TABELA_SAIDAS[[#This Row],[UF]]="","",IFERROR(IF(VLOOKUP(TABELA_SAIDAS[[#This Row],[VALOR]],TABELA_ENTRADAS[VALOR],1,FALSE),"DEVOLUÇÃO"),"SEM ENTRADAS"))</f>
        <v/>
      </c>
    </row>
    <row r="663" spans="2:12" x14ac:dyDescent="0.3">
      <c r="B663" t="str">
        <f>IF('SAÍDAS-BASE'!A661="","",'SAÍDAS-BASE'!A661)</f>
        <v/>
      </c>
      <c r="C663" t="str">
        <f>IF('SAÍDAS-BASE'!B661="","",'SAÍDAS-BASE'!B661)</f>
        <v/>
      </c>
      <c r="D663" t="str">
        <f>IF('SAÍDAS-BASE'!C661="","",'SAÍDAS-BASE'!C661)</f>
        <v/>
      </c>
      <c r="E663" s="7" t="str">
        <f>IF('SAÍDAS-BASE'!D661="","",'SAÍDAS-BASE'!D661)</f>
        <v/>
      </c>
      <c r="F663" s="6" t="str">
        <f>IF('SAÍDAS-BASE'!E661="","",'SAÍDAS-BASE'!E661)</f>
        <v/>
      </c>
      <c r="G663" t="str">
        <f>IF('SAÍDAS-BASE'!F661="","",'SAÍDAS-BASE'!F661)</f>
        <v/>
      </c>
      <c r="H663" t="str">
        <f>IF('SAÍDAS-BASE'!G661="","",'SAÍDAS-BASE'!G661)</f>
        <v/>
      </c>
      <c r="I663" t="str">
        <f>IF('SAÍDAS-BASE'!H661="","",'SAÍDAS-BASE'!H661)</f>
        <v/>
      </c>
      <c r="J663" t="str">
        <f>IF('SAÍDAS-BASE'!I661="","",'SAÍDAS-BASE'!I661)</f>
        <v/>
      </c>
      <c r="K663" s="5" t="str">
        <f>IF('SAÍDAS-BASE'!J661="","",'SAÍDAS-BASE'!J661)</f>
        <v/>
      </c>
      <c r="L663" t="str">
        <f>IF(TABELA_SAIDAS[[#This Row],[UF]]="","",IFERROR(IF(VLOOKUP(TABELA_SAIDAS[[#This Row],[VALOR]],TABELA_ENTRADAS[VALOR],1,FALSE),"DEVOLUÇÃO"),"SEM ENTRADAS"))</f>
        <v/>
      </c>
    </row>
    <row r="664" spans="2:12" x14ac:dyDescent="0.3">
      <c r="B664" t="str">
        <f>IF('SAÍDAS-BASE'!A662="","",'SAÍDAS-BASE'!A662)</f>
        <v/>
      </c>
      <c r="C664" t="str">
        <f>IF('SAÍDAS-BASE'!B662="","",'SAÍDAS-BASE'!B662)</f>
        <v/>
      </c>
      <c r="D664" t="str">
        <f>IF('SAÍDAS-BASE'!C662="","",'SAÍDAS-BASE'!C662)</f>
        <v/>
      </c>
      <c r="E664" s="7" t="str">
        <f>IF('SAÍDAS-BASE'!D662="","",'SAÍDAS-BASE'!D662)</f>
        <v/>
      </c>
      <c r="F664" s="6" t="str">
        <f>IF('SAÍDAS-BASE'!E662="","",'SAÍDAS-BASE'!E662)</f>
        <v/>
      </c>
      <c r="G664" t="str">
        <f>IF('SAÍDAS-BASE'!F662="","",'SAÍDAS-BASE'!F662)</f>
        <v/>
      </c>
      <c r="H664" t="str">
        <f>IF('SAÍDAS-BASE'!G662="","",'SAÍDAS-BASE'!G662)</f>
        <v/>
      </c>
      <c r="I664" t="str">
        <f>IF('SAÍDAS-BASE'!H662="","",'SAÍDAS-BASE'!H662)</f>
        <v/>
      </c>
      <c r="J664" t="str">
        <f>IF('SAÍDAS-BASE'!I662="","",'SAÍDAS-BASE'!I662)</f>
        <v/>
      </c>
      <c r="K664" s="5" t="str">
        <f>IF('SAÍDAS-BASE'!J662="","",'SAÍDAS-BASE'!J662)</f>
        <v/>
      </c>
      <c r="L664" t="str">
        <f>IF(TABELA_SAIDAS[[#This Row],[UF]]="","",IFERROR(IF(VLOOKUP(TABELA_SAIDAS[[#This Row],[VALOR]],TABELA_ENTRADAS[VALOR],1,FALSE),"DEVOLUÇÃO"),"SEM ENTRADAS"))</f>
        <v/>
      </c>
    </row>
    <row r="665" spans="2:12" x14ac:dyDescent="0.3">
      <c r="B665" t="str">
        <f>IF('SAÍDAS-BASE'!A663="","",'SAÍDAS-BASE'!A663)</f>
        <v/>
      </c>
      <c r="C665" t="str">
        <f>IF('SAÍDAS-BASE'!B663="","",'SAÍDAS-BASE'!B663)</f>
        <v/>
      </c>
      <c r="D665" t="str">
        <f>IF('SAÍDAS-BASE'!C663="","",'SAÍDAS-BASE'!C663)</f>
        <v/>
      </c>
      <c r="E665" s="7" t="str">
        <f>IF('SAÍDAS-BASE'!D663="","",'SAÍDAS-BASE'!D663)</f>
        <v/>
      </c>
      <c r="F665" s="6" t="str">
        <f>IF('SAÍDAS-BASE'!E663="","",'SAÍDAS-BASE'!E663)</f>
        <v/>
      </c>
      <c r="G665" t="str">
        <f>IF('SAÍDAS-BASE'!F663="","",'SAÍDAS-BASE'!F663)</f>
        <v/>
      </c>
      <c r="H665" t="str">
        <f>IF('SAÍDAS-BASE'!G663="","",'SAÍDAS-BASE'!G663)</f>
        <v/>
      </c>
      <c r="I665" t="str">
        <f>IF('SAÍDAS-BASE'!H663="","",'SAÍDAS-BASE'!H663)</f>
        <v/>
      </c>
      <c r="J665" t="str">
        <f>IF('SAÍDAS-BASE'!I663="","",'SAÍDAS-BASE'!I663)</f>
        <v/>
      </c>
      <c r="K665" s="5" t="str">
        <f>IF('SAÍDAS-BASE'!J663="","",'SAÍDAS-BASE'!J663)</f>
        <v/>
      </c>
      <c r="L665" t="str">
        <f>IF(TABELA_SAIDAS[[#This Row],[UF]]="","",IFERROR(IF(VLOOKUP(TABELA_SAIDAS[[#This Row],[VALOR]],TABELA_ENTRADAS[VALOR],1,FALSE),"DEVOLUÇÃO"),"SEM ENTRADAS"))</f>
        <v/>
      </c>
    </row>
    <row r="666" spans="2:12" x14ac:dyDescent="0.3">
      <c r="B666" t="str">
        <f>IF('SAÍDAS-BASE'!A664="","",'SAÍDAS-BASE'!A664)</f>
        <v/>
      </c>
      <c r="C666" t="str">
        <f>IF('SAÍDAS-BASE'!B664="","",'SAÍDAS-BASE'!B664)</f>
        <v/>
      </c>
      <c r="D666" t="str">
        <f>IF('SAÍDAS-BASE'!C664="","",'SAÍDAS-BASE'!C664)</f>
        <v/>
      </c>
      <c r="E666" s="7" t="str">
        <f>IF('SAÍDAS-BASE'!D664="","",'SAÍDAS-BASE'!D664)</f>
        <v/>
      </c>
      <c r="F666" s="6" t="str">
        <f>IF('SAÍDAS-BASE'!E664="","",'SAÍDAS-BASE'!E664)</f>
        <v/>
      </c>
      <c r="G666" t="str">
        <f>IF('SAÍDAS-BASE'!F664="","",'SAÍDAS-BASE'!F664)</f>
        <v/>
      </c>
      <c r="H666" t="str">
        <f>IF('SAÍDAS-BASE'!G664="","",'SAÍDAS-BASE'!G664)</f>
        <v/>
      </c>
      <c r="I666" t="str">
        <f>IF('SAÍDAS-BASE'!H664="","",'SAÍDAS-BASE'!H664)</f>
        <v/>
      </c>
      <c r="J666" t="str">
        <f>IF('SAÍDAS-BASE'!I664="","",'SAÍDAS-BASE'!I664)</f>
        <v/>
      </c>
      <c r="K666" s="5" t="str">
        <f>IF('SAÍDAS-BASE'!J664="","",'SAÍDAS-BASE'!J664)</f>
        <v/>
      </c>
      <c r="L666" t="str">
        <f>IF(TABELA_SAIDAS[[#This Row],[UF]]="","",IFERROR(IF(VLOOKUP(TABELA_SAIDAS[[#This Row],[VALOR]],TABELA_ENTRADAS[VALOR],1,FALSE),"DEVOLUÇÃO"),"SEM ENTRADAS"))</f>
        <v/>
      </c>
    </row>
    <row r="667" spans="2:12" x14ac:dyDescent="0.3">
      <c r="B667" t="str">
        <f>IF('SAÍDAS-BASE'!A665="","",'SAÍDAS-BASE'!A665)</f>
        <v/>
      </c>
      <c r="C667" t="str">
        <f>IF('SAÍDAS-BASE'!B665="","",'SAÍDAS-BASE'!B665)</f>
        <v/>
      </c>
      <c r="D667" t="str">
        <f>IF('SAÍDAS-BASE'!C665="","",'SAÍDAS-BASE'!C665)</f>
        <v/>
      </c>
      <c r="E667" s="7" t="str">
        <f>IF('SAÍDAS-BASE'!D665="","",'SAÍDAS-BASE'!D665)</f>
        <v/>
      </c>
      <c r="F667" s="6" t="str">
        <f>IF('SAÍDAS-BASE'!E665="","",'SAÍDAS-BASE'!E665)</f>
        <v/>
      </c>
      <c r="G667" t="str">
        <f>IF('SAÍDAS-BASE'!F665="","",'SAÍDAS-BASE'!F665)</f>
        <v/>
      </c>
      <c r="H667" t="str">
        <f>IF('SAÍDAS-BASE'!G665="","",'SAÍDAS-BASE'!G665)</f>
        <v/>
      </c>
      <c r="I667" t="str">
        <f>IF('SAÍDAS-BASE'!H665="","",'SAÍDAS-BASE'!H665)</f>
        <v/>
      </c>
      <c r="J667" t="str">
        <f>IF('SAÍDAS-BASE'!I665="","",'SAÍDAS-BASE'!I665)</f>
        <v/>
      </c>
      <c r="K667" s="5" t="str">
        <f>IF('SAÍDAS-BASE'!J665="","",'SAÍDAS-BASE'!J665)</f>
        <v/>
      </c>
      <c r="L667" t="str">
        <f>IF(TABELA_SAIDAS[[#This Row],[UF]]="","",IFERROR(IF(VLOOKUP(TABELA_SAIDAS[[#This Row],[VALOR]],TABELA_ENTRADAS[VALOR],1,FALSE),"DEVOLUÇÃO"),"SEM ENTRADAS"))</f>
        <v/>
      </c>
    </row>
    <row r="668" spans="2:12" x14ac:dyDescent="0.3">
      <c r="B668" t="str">
        <f>IF('SAÍDAS-BASE'!A666="","",'SAÍDAS-BASE'!A666)</f>
        <v/>
      </c>
      <c r="C668" t="str">
        <f>IF('SAÍDAS-BASE'!B666="","",'SAÍDAS-BASE'!B666)</f>
        <v/>
      </c>
      <c r="D668" t="str">
        <f>IF('SAÍDAS-BASE'!C666="","",'SAÍDAS-BASE'!C666)</f>
        <v/>
      </c>
      <c r="E668" s="7" t="str">
        <f>IF('SAÍDAS-BASE'!D666="","",'SAÍDAS-BASE'!D666)</f>
        <v/>
      </c>
      <c r="F668" s="6" t="str">
        <f>IF('SAÍDAS-BASE'!E666="","",'SAÍDAS-BASE'!E666)</f>
        <v/>
      </c>
      <c r="G668" t="str">
        <f>IF('SAÍDAS-BASE'!F666="","",'SAÍDAS-BASE'!F666)</f>
        <v/>
      </c>
      <c r="H668" t="str">
        <f>IF('SAÍDAS-BASE'!G666="","",'SAÍDAS-BASE'!G666)</f>
        <v/>
      </c>
      <c r="I668" t="str">
        <f>IF('SAÍDAS-BASE'!H666="","",'SAÍDAS-BASE'!H666)</f>
        <v/>
      </c>
      <c r="J668" t="str">
        <f>IF('SAÍDAS-BASE'!I666="","",'SAÍDAS-BASE'!I666)</f>
        <v/>
      </c>
      <c r="K668" s="5" t="str">
        <f>IF('SAÍDAS-BASE'!J666="","",'SAÍDAS-BASE'!J666)</f>
        <v/>
      </c>
      <c r="L668" t="str">
        <f>IF(TABELA_SAIDAS[[#This Row],[UF]]="","",IFERROR(IF(VLOOKUP(TABELA_SAIDAS[[#This Row],[VALOR]],TABELA_ENTRADAS[VALOR],1,FALSE),"DEVOLUÇÃO"),"SEM ENTRADAS"))</f>
        <v/>
      </c>
    </row>
    <row r="669" spans="2:12" x14ac:dyDescent="0.3">
      <c r="B669" t="str">
        <f>IF('SAÍDAS-BASE'!A667="","",'SAÍDAS-BASE'!A667)</f>
        <v/>
      </c>
      <c r="C669" t="str">
        <f>IF('SAÍDAS-BASE'!B667="","",'SAÍDAS-BASE'!B667)</f>
        <v/>
      </c>
      <c r="D669" t="str">
        <f>IF('SAÍDAS-BASE'!C667="","",'SAÍDAS-BASE'!C667)</f>
        <v/>
      </c>
      <c r="E669" s="7" t="str">
        <f>IF('SAÍDAS-BASE'!D667="","",'SAÍDAS-BASE'!D667)</f>
        <v/>
      </c>
      <c r="F669" s="6" t="str">
        <f>IF('SAÍDAS-BASE'!E667="","",'SAÍDAS-BASE'!E667)</f>
        <v/>
      </c>
      <c r="G669" t="str">
        <f>IF('SAÍDAS-BASE'!F667="","",'SAÍDAS-BASE'!F667)</f>
        <v/>
      </c>
      <c r="H669" t="str">
        <f>IF('SAÍDAS-BASE'!G667="","",'SAÍDAS-BASE'!G667)</f>
        <v/>
      </c>
      <c r="I669" t="str">
        <f>IF('SAÍDAS-BASE'!H667="","",'SAÍDAS-BASE'!H667)</f>
        <v/>
      </c>
      <c r="J669" t="str">
        <f>IF('SAÍDAS-BASE'!I667="","",'SAÍDAS-BASE'!I667)</f>
        <v/>
      </c>
      <c r="K669" s="5" t="str">
        <f>IF('SAÍDAS-BASE'!J667="","",'SAÍDAS-BASE'!J667)</f>
        <v/>
      </c>
      <c r="L669" t="str">
        <f>IF(TABELA_SAIDAS[[#This Row],[UF]]="","",IFERROR(IF(VLOOKUP(TABELA_SAIDAS[[#This Row],[VALOR]],TABELA_ENTRADAS[VALOR],1,FALSE),"DEVOLUÇÃO"),"SEM ENTRADAS"))</f>
        <v/>
      </c>
    </row>
    <row r="670" spans="2:12" x14ac:dyDescent="0.3">
      <c r="B670" t="str">
        <f>IF('SAÍDAS-BASE'!A668="","",'SAÍDAS-BASE'!A668)</f>
        <v/>
      </c>
      <c r="C670" t="str">
        <f>IF('SAÍDAS-BASE'!B668="","",'SAÍDAS-BASE'!B668)</f>
        <v/>
      </c>
      <c r="D670" t="str">
        <f>IF('SAÍDAS-BASE'!C668="","",'SAÍDAS-BASE'!C668)</f>
        <v/>
      </c>
      <c r="E670" s="7" t="str">
        <f>IF('SAÍDAS-BASE'!D668="","",'SAÍDAS-BASE'!D668)</f>
        <v/>
      </c>
      <c r="F670" s="6" t="str">
        <f>IF('SAÍDAS-BASE'!E668="","",'SAÍDAS-BASE'!E668)</f>
        <v/>
      </c>
      <c r="G670" t="str">
        <f>IF('SAÍDAS-BASE'!F668="","",'SAÍDAS-BASE'!F668)</f>
        <v/>
      </c>
      <c r="H670" t="str">
        <f>IF('SAÍDAS-BASE'!G668="","",'SAÍDAS-BASE'!G668)</f>
        <v/>
      </c>
      <c r="I670" t="str">
        <f>IF('SAÍDAS-BASE'!H668="","",'SAÍDAS-BASE'!H668)</f>
        <v/>
      </c>
      <c r="J670" t="str">
        <f>IF('SAÍDAS-BASE'!I668="","",'SAÍDAS-BASE'!I668)</f>
        <v/>
      </c>
      <c r="K670" s="5" t="str">
        <f>IF('SAÍDAS-BASE'!J668="","",'SAÍDAS-BASE'!J668)</f>
        <v/>
      </c>
      <c r="L670" t="str">
        <f>IF(TABELA_SAIDAS[[#This Row],[UF]]="","",IFERROR(IF(VLOOKUP(TABELA_SAIDAS[[#This Row],[VALOR]],TABELA_ENTRADAS[VALOR],1,FALSE),"DEVOLUÇÃO"),"SEM ENTRADAS"))</f>
        <v/>
      </c>
    </row>
    <row r="671" spans="2:12" x14ac:dyDescent="0.3">
      <c r="B671" t="str">
        <f>IF('SAÍDAS-BASE'!A669="","",'SAÍDAS-BASE'!A669)</f>
        <v/>
      </c>
      <c r="C671" t="str">
        <f>IF('SAÍDAS-BASE'!B669="","",'SAÍDAS-BASE'!B669)</f>
        <v/>
      </c>
      <c r="D671" t="str">
        <f>IF('SAÍDAS-BASE'!C669="","",'SAÍDAS-BASE'!C669)</f>
        <v/>
      </c>
      <c r="E671" s="7" t="str">
        <f>IF('SAÍDAS-BASE'!D669="","",'SAÍDAS-BASE'!D669)</f>
        <v/>
      </c>
      <c r="F671" s="6" t="str">
        <f>IF('SAÍDAS-BASE'!E669="","",'SAÍDAS-BASE'!E669)</f>
        <v/>
      </c>
      <c r="G671" t="str">
        <f>IF('SAÍDAS-BASE'!F669="","",'SAÍDAS-BASE'!F669)</f>
        <v/>
      </c>
      <c r="H671" t="str">
        <f>IF('SAÍDAS-BASE'!G669="","",'SAÍDAS-BASE'!G669)</f>
        <v/>
      </c>
      <c r="I671" t="str">
        <f>IF('SAÍDAS-BASE'!H669="","",'SAÍDAS-BASE'!H669)</f>
        <v/>
      </c>
      <c r="J671" t="str">
        <f>IF('SAÍDAS-BASE'!I669="","",'SAÍDAS-BASE'!I669)</f>
        <v/>
      </c>
      <c r="K671" s="5" t="str">
        <f>IF('SAÍDAS-BASE'!J669="","",'SAÍDAS-BASE'!J669)</f>
        <v/>
      </c>
      <c r="L671" t="str">
        <f>IF(TABELA_SAIDAS[[#This Row],[UF]]="","",IFERROR(IF(VLOOKUP(TABELA_SAIDAS[[#This Row],[VALOR]],TABELA_ENTRADAS[VALOR],1,FALSE),"DEVOLUÇÃO"),"SEM ENTRADAS"))</f>
        <v/>
      </c>
    </row>
    <row r="672" spans="2:12" x14ac:dyDescent="0.3">
      <c r="B672" t="str">
        <f>IF('SAÍDAS-BASE'!A670="","",'SAÍDAS-BASE'!A670)</f>
        <v/>
      </c>
      <c r="C672" t="str">
        <f>IF('SAÍDAS-BASE'!B670="","",'SAÍDAS-BASE'!B670)</f>
        <v/>
      </c>
      <c r="D672" t="str">
        <f>IF('SAÍDAS-BASE'!C670="","",'SAÍDAS-BASE'!C670)</f>
        <v/>
      </c>
      <c r="E672" s="7" t="str">
        <f>IF('SAÍDAS-BASE'!D670="","",'SAÍDAS-BASE'!D670)</f>
        <v/>
      </c>
      <c r="F672" s="6" t="str">
        <f>IF('SAÍDAS-BASE'!E670="","",'SAÍDAS-BASE'!E670)</f>
        <v/>
      </c>
      <c r="G672" t="str">
        <f>IF('SAÍDAS-BASE'!F670="","",'SAÍDAS-BASE'!F670)</f>
        <v/>
      </c>
      <c r="H672" t="str">
        <f>IF('SAÍDAS-BASE'!G670="","",'SAÍDAS-BASE'!G670)</f>
        <v/>
      </c>
      <c r="I672" t="str">
        <f>IF('SAÍDAS-BASE'!H670="","",'SAÍDAS-BASE'!H670)</f>
        <v/>
      </c>
      <c r="J672" t="str">
        <f>IF('SAÍDAS-BASE'!I670="","",'SAÍDAS-BASE'!I670)</f>
        <v/>
      </c>
      <c r="K672" s="5" t="str">
        <f>IF('SAÍDAS-BASE'!J670="","",'SAÍDAS-BASE'!J670)</f>
        <v/>
      </c>
      <c r="L672" t="str">
        <f>IF(TABELA_SAIDAS[[#This Row],[UF]]="","",IFERROR(IF(VLOOKUP(TABELA_SAIDAS[[#This Row],[VALOR]],TABELA_ENTRADAS[VALOR],1,FALSE),"DEVOLUÇÃO"),"SEM ENTRADAS"))</f>
        <v/>
      </c>
    </row>
    <row r="673" spans="2:12" x14ac:dyDescent="0.3">
      <c r="B673" t="str">
        <f>IF('SAÍDAS-BASE'!A671="","",'SAÍDAS-BASE'!A671)</f>
        <v/>
      </c>
      <c r="C673" t="str">
        <f>IF('SAÍDAS-BASE'!B671="","",'SAÍDAS-BASE'!B671)</f>
        <v/>
      </c>
      <c r="D673" t="str">
        <f>IF('SAÍDAS-BASE'!C671="","",'SAÍDAS-BASE'!C671)</f>
        <v/>
      </c>
      <c r="E673" s="7" t="str">
        <f>IF('SAÍDAS-BASE'!D671="","",'SAÍDAS-BASE'!D671)</f>
        <v/>
      </c>
      <c r="F673" s="6" t="str">
        <f>IF('SAÍDAS-BASE'!E671="","",'SAÍDAS-BASE'!E671)</f>
        <v/>
      </c>
      <c r="G673" t="str">
        <f>IF('SAÍDAS-BASE'!F671="","",'SAÍDAS-BASE'!F671)</f>
        <v/>
      </c>
      <c r="H673" t="str">
        <f>IF('SAÍDAS-BASE'!G671="","",'SAÍDAS-BASE'!G671)</f>
        <v/>
      </c>
      <c r="I673" t="str">
        <f>IF('SAÍDAS-BASE'!H671="","",'SAÍDAS-BASE'!H671)</f>
        <v/>
      </c>
      <c r="J673" t="str">
        <f>IF('SAÍDAS-BASE'!I671="","",'SAÍDAS-BASE'!I671)</f>
        <v/>
      </c>
      <c r="K673" s="5" t="str">
        <f>IF('SAÍDAS-BASE'!J671="","",'SAÍDAS-BASE'!J671)</f>
        <v/>
      </c>
      <c r="L673" t="str">
        <f>IF(TABELA_SAIDAS[[#This Row],[UF]]="","",IFERROR(IF(VLOOKUP(TABELA_SAIDAS[[#This Row],[VALOR]],TABELA_ENTRADAS[VALOR],1,FALSE),"DEVOLUÇÃO"),"SEM ENTRADAS"))</f>
        <v/>
      </c>
    </row>
    <row r="674" spans="2:12" x14ac:dyDescent="0.3">
      <c r="B674" t="str">
        <f>IF('SAÍDAS-BASE'!A672="","",'SAÍDAS-BASE'!A672)</f>
        <v/>
      </c>
      <c r="C674" t="str">
        <f>IF('SAÍDAS-BASE'!B672="","",'SAÍDAS-BASE'!B672)</f>
        <v/>
      </c>
      <c r="D674" t="str">
        <f>IF('SAÍDAS-BASE'!C672="","",'SAÍDAS-BASE'!C672)</f>
        <v/>
      </c>
      <c r="E674" s="7" t="str">
        <f>IF('SAÍDAS-BASE'!D672="","",'SAÍDAS-BASE'!D672)</f>
        <v/>
      </c>
      <c r="F674" s="6" t="str">
        <f>IF('SAÍDAS-BASE'!E672="","",'SAÍDAS-BASE'!E672)</f>
        <v/>
      </c>
      <c r="G674" t="str">
        <f>IF('SAÍDAS-BASE'!F672="","",'SAÍDAS-BASE'!F672)</f>
        <v/>
      </c>
      <c r="H674" t="str">
        <f>IF('SAÍDAS-BASE'!G672="","",'SAÍDAS-BASE'!G672)</f>
        <v/>
      </c>
      <c r="I674" t="str">
        <f>IF('SAÍDAS-BASE'!H672="","",'SAÍDAS-BASE'!H672)</f>
        <v/>
      </c>
      <c r="J674" t="str">
        <f>IF('SAÍDAS-BASE'!I672="","",'SAÍDAS-BASE'!I672)</f>
        <v/>
      </c>
      <c r="K674" s="5" t="str">
        <f>IF('SAÍDAS-BASE'!J672="","",'SAÍDAS-BASE'!J672)</f>
        <v/>
      </c>
      <c r="L674" t="str">
        <f>IF(TABELA_SAIDAS[[#This Row],[UF]]="","",IFERROR(IF(VLOOKUP(TABELA_SAIDAS[[#This Row],[VALOR]],TABELA_ENTRADAS[VALOR],1,FALSE),"DEVOLUÇÃO"),"SEM ENTRADAS"))</f>
        <v/>
      </c>
    </row>
    <row r="675" spans="2:12" x14ac:dyDescent="0.3">
      <c r="B675" t="str">
        <f>IF('SAÍDAS-BASE'!A673="","",'SAÍDAS-BASE'!A673)</f>
        <v/>
      </c>
      <c r="C675" t="str">
        <f>IF('SAÍDAS-BASE'!B673="","",'SAÍDAS-BASE'!B673)</f>
        <v/>
      </c>
      <c r="D675" t="str">
        <f>IF('SAÍDAS-BASE'!C673="","",'SAÍDAS-BASE'!C673)</f>
        <v/>
      </c>
      <c r="E675" s="7" t="str">
        <f>IF('SAÍDAS-BASE'!D673="","",'SAÍDAS-BASE'!D673)</f>
        <v/>
      </c>
      <c r="F675" s="6" t="str">
        <f>IF('SAÍDAS-BASE'!E673="","",'SAÍDAS-BASE'!E673)</f>
        <v/>
      </c>
      <c r="G675" t="str">
        <f>IF('SAÍDAS-BASE'!F673="","",'SAÍDAS-BASE'!F673)</f>
        <v/>
      </c>
      <c r="H675" t="str">
        <f>IF('SAÍDAS-BASE'!G673="","",'SAÍDAS-BASE'!G673)</f>
        <v/>
      </c>
      <c r="I675" t="str">
        <f>IF('SAÍDAS-BASE'!H673="","",'SAÍDAS-BASE'!H673)</f>
        <v/>
      </c>
      <c r="J675" t="str">
        <f>IF('SAÍDAS-BASE'!I673="","",'SAÍDAS-BASE'!I673)</f>
        <v/>
      </c>
      <c r="K675" s="5" t="str">
        <f>IF('SAÍDAS-BASE'!J673="","",'SAÍDAS-BASE'!J673)</f>
        <v/>
      </c>
      <c r="L675" t="str">
        <f>IF(TABELA_SAIDAS[[#This Row],[UF]]="","",IFERROR(IF(VLOOKUP(TABELA_SAIDAS[[#This Row],[VALOR]],TABELA_ENTRADAS[VALOR],1,FALSE),"DEVOLUÇÃO"),"SEM ENTRADAS"))</f>
        <v/>
      </c>
    </row>
    <row r="676" spans="2:12" x14ac:dyDescent="0.3">
      <c r="B676" t="str">
        <f>IF('SAÍDAS-BASE'!A674="","",'SAÍDAS-BASE'!A674)</f>
        <v/>
      </c>
      <c r="C676" t="str">
        <f>IF('SAÍDAS-BASE'!B674="","",'SAÍDAS-BASE'!B674)</f>
        <v/>
      </c>
      <c r="D676" t="str">
        <f>IF('SAÍDAS-BASE'!C674="","",'SAÍDAS-BASE'!C674)</f>
        <v/>
      </c>
      <c r="E676" s="7" t="str">
        <f>IF('SAÍDAS-BASE'!D674="","",'SAÍDAS-BASE'!D674)</f>
        <v/>
      </c>
      <c r="F676" s="6" t="str">
        <f>IF('SAÍDAS-BASE'!E674="","",'SAÍDAS-BASE'!E674)</f>
        <v/>
      </c>
      <c r="G676" t="str">
        <f>IF('SAÍDAS-BASE'!F674="","",'SAÍDAS-BASE'!F674)</f>
        <v/>
      </c>
      <c r="H676" t="str">
        <f>IF('SAÍDAS-BASE'!G674="","",'SAÍDAS-BASE'!G674)</f>
        <v/>
      </c>
      <c r="I676" t="str">
        <f>IF('SAÍDAS-BASE'!H674="","",'SAÍDAS-BASE'!H674)</f>
        <v/>
      </c>
      <c r="J676" t="str">
        <f>IF('SAÍDAS-BASE'!I674="","",'SAÍDAS-BASE'!I674)</f>
        <v/>
      </c>
      <c r="K676" s="5" t="str">
        <f>IF('SAÍDAS-BASE'!J674="","",'SAÍDAS-BASE'!J674)</f>
        <v/>
      </c>
      <c r="L676" t="str">
        <f>IF(TABELA_SAIDAS[[#This Row],[UF]]="","",IFERROR(IF(VLOOKUP(TABELA_SAIDAS[[#This Row],[VALOR]],TABELA_ENTRADAS[VALOR],1,FALSE),"DEVOLUÇÃO"),"SEM ENTRADAS"))</f>
        <v/>
      </c>
    </row>
    <row r="677" spans="2:12" x14ac:dyDescent="0.3">
      <c r="B677" t="str">
        <f>IF('SAÍDAS-BASE'!A675="","",'SAÍDAS-BASE'!A675)</f>
        <v/>
      </c>
      <c r="C677" t="str">
        <f>IF('SAÍDAS-BASE'!B675="","",'SAÍDAS-BASE'!B675)</f>
        <v/>
      </c>
      <c r="D677" t="str">
        <f>IF('SAÍDAS-BASE'!C675="","",'SAÍDAS-BASE'!C675)</f>
        <v/>
      </c>
      <c r="E677" s="7" t="str">
        <f>IF('SAÍDAS-BASE'!D675="","",'SAÍDAS-BASE'!D675)</f>
        <v/>
      </c>
      <c r="F677" s="6" t="str">
        <f>IF('SAÍDAS-BASE'!E675="","",'SAÍDAS-BASE'!E675)</f>
        <v/>
      </c>
      <c r="G677" t="str">
        <f>IF('SAÍDAS-BASE'!F675="","",'SAÍDAS-BASE'!F675)</f>
        <v/>
      </c>
      <c r="H677" t="str">
        <f>IF('SAÍDAS-BASE'!G675="","",'SAÍDAS-BASE'!G675)</f>
        <v/>
      </c>
      <c r="I677" t="str">
        <f>IF('SAÍDAS-BASE'!H675="","",'SAÍDAS-BASE'!H675)</f>
        <v/>
      </c>
      <c r="J677" t="str">
        <f>IF('SAÍDAS-BASE'!I675="","",'SAÍDAS-BASE'!I675)</f>
        <v/>
      </c>
      <c r="K677" s="5" t="str">
        <f>IF('SAÍDAS-BASE'!J675="","",'SAÍDAS-BASE'!J675)</f>
        <v/>
      </c>
      <c r="L677" t="str">
        <f>IF(TABELA_SAIDAS[[#This Row],[UF]]="","",IFERROR(IF(VLOOKUP(TABELA_SAIDAS[[#This Row],[VALOR]],TABELA_ENTRADAS[VALOR],1,FALSE),"DEVOLUÇÃO"),"SEM ENTRADAS"))</f>
        <v/>
      </c>
    </row>
    <row r="678" spans="2:12" x14ac:dyDescent="0.3">
      <c r="B678" t="str">
        <f>IF('SAÍDAS-BASE'!A676="","",'SAÍDAS-BASE'!A676)</f>
        <v/>
      </c>
      <c r="C678" t="str">
        <f>IF('SAÍDAS-BASE'!B676="","",'SAÍDAS-BASE'!B676)</f>
        <v/>
      </c>
      <c r="D678" t="str">
        <f>IF('SAÍDAS-BASE'!C676="","",'SAÍDAS-BASE'!C676)</f>
        <v/>
      </c>
      <c r="E678" s="7" t="str">
        <f>IF('SAÍDAS-BASE'!D676="","",'SAÍDAS-BASE'!D676)</f>
        <v/>
      </c>
      <c r="F678" s="6" t="str">
        <f>IF('SAÍDAS-BASE'!E676="","",'SAÍDAS-BASE'!E676)</f>
        <v/>
      </c>
      <c r="G678" t="str">
        <f>IF('SAÍDAS-BASE'!F676="","",'SAÍDAS-BASE'!F676)</f>
        <v/>
      </c>
      <c r="H678" t="str">
        <f>IF('SAÍDAS-BASE'!G676="","",'SAÍDAS-BASE'!G676)</f>
        <v/>
      </c>
      <c r="I678" t="str">
        <f>IF('SAÍDAS-BASE'!H676="","",'SAÍDAS-BASE'!H676)</f>
        <v/>
      </c>
      <c r="J678" t="str">
        <f>IF('SAÍDAS-BASE'!I676="","",'SAÍDAS-BASE'!I676)</f>
        <v/>
      </c>
      <c r="K678" s="5" t="str">
        <f>IF('SAÍDAS-BASE'!J676="","",'SAÍDAS-BASE'!J676)</f>
        <v/>
      </c>
      <c r="L678" t="str">
        <f>IF(TABELA_SAIDAS[[#This Row],[UF]]="","",IFERROR(IF(VLOOKUP(TABELA_SAIDAS[[#This Row],[VALOR]],TABELA_ENTRADAS[VALOR],1,FALSE),"DEVOLUÇÃO"),"SEM ENTRADAS"))</f>
        <v/>
      </c>
    </row>
    <row r="679" spans="2:12" x14ac:dyDescent="0.3">
      <c r="B679" t="str">
        <f>IF('SAÍDAS-BASE'!A677="","",'SAÍDAS-BASE'!A677)</f>
        <v/>
      </c>
      <c r="C679" t="str">
        <f>IF('SAÍDAS-BASE'!B677="","",'SAÍDAS-BASE'!B677)</f>
        <v/>
      </c>
      <c r="D679" t="str">
        <f>IF('SAÍDAS-BASE'!C677="","",'SAÍDAS-BASE'!C677)</f>
        <v/>
      </c>
      <c r="E679" s="7" t="str">
        <f>IF('SAÍDAS-BASE'!D677="","",'SAÍDAS-BASE'!D677)</f>
        <v/>
      </c>
      <c r="F679" s="6" t="str">
        <f>IF('SAÍDAS-BASE'!E677="","",'SAÍDAS-BASE'!E677)</f>
        <v/>
      </c>
      <c r="G679" t="str">
        <f>IF('SAÍDAS-BASE'!F677="","",'SAÍDAS-BASE'!F677)</f>
        <v/>
      </c>
      <c r="H679" t="str">
        <f>IF('SAÍDAS-BASE'!G677="","",'SAÍDAS-BASE'!G677)</f>
        <v/>
      </c>
      <c r="I679" t="str">
        <f>IF('SAÍDAS-BASE'!H677="","",'SAÍDAS-BASE'!H677)</f>
        <v/>
      </c>
      <c r="J679" t="str">
        <f>IF('SAÍDAS-BASE'!I677="","",'SAÍDAS-BASE'!I677)</f>
        <v/>
      </c>
      <c r="K679" s="5" t="str">
        <f>IF('SAÍDAS-BASE'!J677="","",'SAÍDAS-BASE'!J677)</f>
        <v/>
      </c>
      <c r="L679" t="str">
        <f>IF(TABELA_SAIDAS[[#This Row],[UF]]="","",IFERROR(IF(VLOOKUP(TABELA_SAIDAS[[#This Row],[VALOR]],TABELA_ENTRADAS[VALOR],1,FALSE),"DEVOLUÇÃO"),"SEM ENTRADAS"))</f>
        <v/>
      </c>
    </row>
    <row r="680" spans="2:12" x14ac:dyDescent="0.3">
      <c r="B680" t="str">
        <f>IF('SAÍDAS-BASE'!A678="","",'SAÍDAS-BASE'!A678)</f>
        <v/>
      </c>
      <c r="C680" t="str">
        <f>IF('SAÍDAS-BASE'!B678="","",'SAÍDAS-BASE'!B678)</f>
        <v/>
      </c>
      <c r="D680" t="str">
        <f>IF('SAÍDAS-BASE'!C678="","",'SAÍDAS-BASE'!C678)</f>
        <v/>
      </c>
      <c r="E680" s="7" t="str">
        <f>IF('SAÍDAS-BASE'!D678="","",'SAÍDAS-BASE'!D678)</f>
        <v/>
      </c>
      <c r="F680" s="6" t="str">
        <f>IF('SAÍDAS-BASE'!E678="","",'SAÍDAS-BASE'!E678)</f>
        <v/>
      </c>
      <c r="G680" t="str">
        <f>IF('SAÍDAS-BASE'!F678="","",'SAÍDAS-BASE'!F678)</f>
        <v/>
      </c>
      <c r="H680" t="str">
        <f>IF('SAÍDAS-BASE'!G678="","",'SAÍDAS-BASE'!G678)</f>
        <v/>
      </c>
      <c r="I680" t="str">
        <f>IF('SAÍDAS-BASE'!H678="","",'SAÍDAS-BASE'!H678)</f>
        <v/>
      </c>
      <c r="J680" t="str">
        <f>IF('SAÍDAS-BASE'!I678="","",'SAÍDAS-BASE'!I678)</f>
        <v/>
      </c>
      <c r="K680" s="5" t="str">
        <f>IF('SAÍDAS-BASE'!J678="","",'SAÍDAS-BASE'!J678)</f>
        <v/>
      </c>
      <c r="L680" t="str">
        <f>IF(TABELA_SAIDAS[[#This Row],[UF]]="","",IFERROR(IF(VLOOKUP(TABELA_SAIDAS[[#This Row],[VALOR]],TABELA_ENTRADAS[VALOR],1,FALSE),"DEVOLUÇÃO"),"SEM ENTRADAS"))</f>
        <v/>
      </c>
    </row>
    <row r="681" spans="2:12" x14ac:dyDescent="0.3">
      <c r="B681" t="str">
        <f>IF('SAÍDAS-BASE'!A679="","",'SAÍDAS-BASE'!A679)</f>
        <v/>
      </c>
      <c r="C681" t="str">
        <f>IF('SAÍDAS-BASE'!B679="","",'SAÍDAS-BASE'!B679)</f>
        <v/>
      </c>
      <c r="D681" t="str">
        <f>IF('SAÍDAS-BASE'!C679="","",'SAÍDAS-BASE'!C679)</f>
        <v/>
      </c>
      <c r="E681" s="7" t="str">
        <f>IF('SAÍDAS-BASE'!D679="","",'SAÍDAS-BASE'!D679)</f>
        <v/>
      </c>
      <c r="F681" s="6" t="str">
        <f>IF('SAÍDAS-BASE'!E679="","",'SAÍDAS-BASE'!E679)</f>
        <v/>
      </c>
      <c r="G681" t="str">
        <f>IF('SAÍDAS-BASE'!F679="","",'SAÍDAS-BASE'!F679)</f>
        <v/>
      </c>
      <c r="H681" t="str">
        <f>IF('SAÍDAS-BASE'!G679="","",'SAÍDAS-BASE'!G679)</f>
        <v/>
      </c>
      <c r="I681" t="str">
        <f>IF('SAÍDAS-BASE'!H679="","",'SAÍDAS-BASE'!H679)</f>
        <v/>
      </c>
      <c r="J681" t="str">
        <f>IF('SAÍDAS-BASE'!I679="","",'SAÍDAS-BASE'!I679)</f>
        <v/>
      </c>
      <c r="K681" s="5" t="str">
        <f>IF('SAÍDAS-BASE'!J679="","",'SAÍDAS-BASE'!J679)</f>
        <v/>
      </c>
      <c r="L681" t="str">
        <f>IF(TABELA_SAIDAS[[#This Row],[UF]]="","",IFERROR(IF(VLOOKUP(TABELA_SAIDAS[[#This Row],[VALOR]],TABELA_ENTRADAS[VALOR],1,FALSE),"DEVOLUÇÃO"),"SEM ENTRADAS"))</f>
        <v/>
      </c>
    </row>
    <row r="682" spans="2:12" x14ac:dyDescent="0.3">
      <c r="B682" t="str">
        <f>IF('SAÍDAS-BASE'!A680="","",'SAÍDAS-BASE'!A680)</f>
        <v/>
      </c>
      <c r="C682" t="str">
        <f>IF('SAÍDAS-BASE'!B680="","",'SAÍDAS-BASE'!B680)</f>
        <v/>
      </c>
      <c r="D682" t="str">
        <f>IF('SAÍDAS-BASE'!C680="","",'SAÍDAS-BASE'!C680)</f>
        <v/>
      </c>
      <c r="E682" s="7" t="str">
        <f>IF('SAÍDAS-BASE'!D680="","",'SAÍDAS-BASE'!D680)</f>
        <v/>
      </c>
      <c r="F682" s="6" t="str">
        <f>IF('SAÍDAS-BASE'!E680="","",'SAÍDAS-BASE'!E680)</f>
        <v/>
      </c>
      <c r="G682" t="str">
        <f>IF('SAÍDAS-BASE'!F680="","",'SAÍDAS-BASE'!F680)</f>
        <v/>
      </c>
      <c r="H682" t="str">
        <f>IF('SAÍDAS-BASE'!G680="","",'SAÍDAS-BASE'!G680)</f>
        <v/>
      </c>
      <c r="I682" t="str">
        <f>IF('SAÍDAS-BASE'!H680="","",'SAÍDAS-BASE'!H680)</f>
        <v/>
      </c>
      <c r="J682" t="str">
        <f>IF('SAÍDAS-BASE'!I680="","",'SAÍDAS-BASE'!I680)</f>
        <v/>
      </c>
      <c r="K682" s="5" t="str">
        <f>IF('SAÍDAS-BASE'!J680="","",'SAÍDAS-BASE'!J680)</f>
        <v/>
      </c>
      <c r="L682" t="str">
        <f>IF(TABELA_SAIDAS[[#This Row],[UF]]="","",IFERROR(IF(VLOOKUP(TABELA_SAIDAS[[#This Row],[VALOR]],TABELA_ENTRADAS[VALOR],1,FALSE),"DEVOLUÇÃO"),"SEM ENTRADAS"))</f>
        <v/>
      </c>
    </row>
    <row r="683" spans="2:12" x14ac:dyDescent="0.3">
      <c r="B683" t="str">
        <f>IF('SAÍDAS-BASE'!A681="","",'SAÍDAS-BASE'!A681)</f>
        <v/>
      </c>
      <c r="C683" t="str">
        <f>IF('SAÍDAS-BASE'!B681="","",'SAÍDAS-BASE'!B681)</f>
        <v/>
      </c>
      <c r="D683" t="str">
        <f>IF('SAÍDAS-BASE'!C681="","",'SAÍDAS-BASE'!C681)</f>
        <v/>
      </c>
      <c r="E683" s="7" t="str">
        <f>IF('SAÍDAS-BASE'!D681="","",'SAÍDAS-BASE'!D681)</f>
        <v/>
      </c>
      <c r="F683" s="6" t="str">
        <f>IF('SAÍDAS-BASE'!E681="","",'SAÍDAS-BASE'!E681)</f>
        <v/>
      </c>
      <c r="G683" t="str">
        <f>IF('SAÍDAS-BASE'!F681="","",'SAÍDAS-BASE'!F681)</f>
        <v/>
      </c>
      <c r="H683" t="str">
        <f>IF('SAÍDAS-BASE'!G681="","",'SAÍDAS-BASE'!G681)</f>
        <v/>
      </c>
      <c r="I683" t="str">
        <f>IF('SAÍDAS-BASE'!H681="","",'SAÍDAS-BASE'!H681)</f>
        <v/>
      </c>
      <c r="J683" t="str">
        <f>IF('SAÍDAS-BASE'!I681="","",'SAÍDAS-BASE'!I681)</f>
        <v/>
      </c>
      <c r="K683" s="5" t="str">
        <f>IF('SAÍDAS-BASE'!J681="","",'SAÍDAS-BASE'!J681)</f>
        <v/>
      </c>
      <c r="L683" t="str">
        <f>IF(TABELA_SAIDAS[[#This Row],[UF]]="","",IFERROR(IF(VLOOKUP(TABELA_SAIDAS[[#This Row],[VALOR]],TABELA_ENTRADAS[VALOR],1,FALSE),"DEVOLUÇÃO"),"SEM ENTRADAS"))</f>
        <v/>
      </c>
    </row>
    <row r="684" spans="2:12" x14ac:dyDescent="0.3">
      <c r="B684" t="str">
        <f>IF('SAÍDAS-BASE'!A682="","",'SAÍDAS-BASE'!A682)</f>
        <v/>
      </c>
      <c r="C684" t="str">
        <f>IF('SAÍDAS-BASE'!B682="","",'SAÍDAS-BASE'!B682)</f>
        <v/>
      </c>
      <c r="D684" t="str">
        <f>IF('SAÍDAS-BASE'!C682="","",'SAÍDAS-BASE'!C682)</f>
        <v/>
      </c>
      <c r="E684" s="7" t="str">
        <f>IF('SAÍDAS-BASE'!D682="","",'SAÍDAS-BASE'!D682)</f>
        <v/>
      </c>
      <c r="F684" s="6" t="str">
        <f>IF('SAÍDAS-BASE'!E682="","",'SAÍDAS-BASE'!E682)</f>
        <v/>
      </c>
      <c r="G684" t="str">
        <f>IF('SAÍDAS-BASE'!F682="","",'SAÍDAS-BASE'!F682)</f>
        <v/>
      </c>
      <c r="H684" t="str">
        <f>IF('SAÍDAS-BASE'!G682="","",'SAÍDAS-BASE'!G682)</f>
        <v/>
      </c>
      <c r="I684" t="str">
        <f>IF('SAÍDAS-BASE'!H682="","",'SAÍDAS-BASE'!H682)</f>
        <v/>
      </c>
      <c r="J684" t="str">
        <f>IF('SAÍDAS-BASE'!I682="","",'SAÍDAS-BASE'!I682)</f>
        <v/>
      </c>
      <c r="K684" s="5" t="str">
        <f>IF('SAÍDAS-BASE'!J682="","",'SAÍDAS-BASE'!J682)</f>
        <v/>
      </c>
      <c r="L684" t="str">
        <f>IF(TABELA_SAIDAS[[#This Row],[UF]]="","",IFERROR(IF(VLOOKUP(TABELA_SAIDAS[[#This Row],[VALOR]],TABELA_ENTRADAS[VALOR],1,FALSE),"DEVOLUÇÃO"),"SEM ENTRADAS"))</f>
        <v/>
      </c>
    </row>
    <row r="685" spans="2:12" x14ac:dyDescent="0.3">
      <c r="B685" t="str">
        <f>IF('SAÍDAS-BASE'!A683="","",'SAÍDAS-BASE'!A683)</f>
        <v/>
      </c>
      <c r="C685" t="str">
        <f>IF('SAÍDAS-BASE'!B683="","",'SAÍDAS-BASE'!B683)</f>
        <v/>
      </c>
      <c r="D685" t="str">
        <f>IF('SAÍDAS-BASE'!C683="","",'SAÍDAS-BASE'!C683)</f>
        <v/>
      </c>
      <c r="E685" s="7" t="str">
        <f>IF('SAÍDAS-BASE'!D683="","",'SAÍDAS-BASE'!D683)</f>
        <v/>
      </c>
      <c r="F685" s="6" t="str">
        <f>IF('SAÍDAS-BASE'!E683="","",'SAÍDAS-BASE'!E683)</f>
        <v/>
      </c>
      <c r="G685" t="str">
        <f>IF('SAÍDAS-BASE'!F683="","",'SAÍDAS-BASE'!F683)</f>
        <v/>
      </c>
      <c r="H685" t="str">
        <f>IF('SAÍDAS-BASE'!G683="","",'SAÍDAS-BASE'!G683)</f>
        <v/>
      </c>
      <c r="I685" t="str">
        <f>IF('SAÍDAS-BASE'!H683="","",'SAÍDAS-BASE'!H683)</f>
        <v/>
      </c>
      <c r="J685" t="str">
        <f>IF('SAÍDAS-BASE'!I683="","",'SAÍDAS-BASE'!I683)</f>
        <v/>
      </c>
      <c r="K685" s="5" t="str">
        <f>IF('SAÍDAS-BASE'!J683="","",'SAÍDAS-BASE'!J683)</f>
        <v/>
      </c>
      <c r="L685" t="str">
        <f>IF(TABELA_SAIDAS[[#This Row],[UF]]="","",IFERROR(IF(VLOOKUP(TABELA_SAIDAS[[#This Row],[VALOR]],TABELA_ENTRADAS[VALOR],1,FALSE),"DEVOLUÇÃO"),"SEM ENTRADAS"))</f>
        <v/>
      </c>
    </row>
    <row r="686" spans="2:12" x14ac:dyDescent="0.3">
      <c r="B686" t="str">
        <f>IF('SAÍDAS-BASE'!A684="","",'SAÍDAS-BASE'!A684)</f>
        <v/>
      </c>
      <c r="C686" t="str">
        <f>IF('SAÍDAS-BASE'!B684="","",'SAÍDAS-BASE'!B684)</f>
        <v/>
      </c>
      <c r="D686" t="str">
        <f>IF('SAÍDAS-BASE'!C684="","",'SAÍDAS-BASE'!C684)</f>
        <v/>
      </c>
      <c r="E686" s="7" t="str">
        <f>IF('SAÍDAS-BASE'!D684="","",'SAÍDAS-BASE'!D684)</f>
        <v/>
      </c>
      <c r="F686" s="6" t="str">
        <f>IF('SAÍDAS-BASE'!E684="","",'SAÍDAS-BASE'!E684)</f>
        <v/>
      </c>
      <c r="G686" t="str">
        <f>IF('SAÍDAS-BASE'!F684="","",'SAÍDAS-BASE'!F684)</f>
        <v/>
      </c>
      <c r="H686" t="str">
        <f>IF('SAÍDAS-BASE'!G684="","",'SAÍDAS-BASE'!G684)</f>
        <v/>
      </c>
      <c r="I686" t="str">
        <f>IF('SAÍDAS-BASE'!H684="","",'SAÍDAS-BASE'!H684)</f>
        <v/>
      </c>
      <c r="J686" t="str">
        <f>IF('SAÍDAS-BASE'!I684="","",'SAÍDAS-BASE'!I684)</f>
        <v/>
      </c>
      <c r="K686" s="5" t="str">
        <f>IF('SAÍDAS-BASE'!J684="","",'SAÍDAS-BASE'!J684)</f>
        <v/>
      </c>
      <c r="L686" t="str">
        <f>IF(TABELA_SAIDAS[[#This Row],[UF]]="","",IFERROR(IF(VLOOKUP(TABELA_SAIDAS[[#This Row],[VALOR]],TABELA_ENTRADAS[VALOR],1,FALSE),"DEVOLUÇÃO"),"SEM ENTRADAS"))</f>
        <v/>
      </c>
    </row>
    <row r="687" spans="2:12" x14ac:dyDescent="0.3">
      <c r="B687" t="str">
        <f>IF('SAÍDAS-BASE'!A685="","",'SAÍDAS-BASE'!A685)</f>
        <v/>
      </c>
      <c r="C687" t="str">
        <f>IF('SAÍDAS-BASE'!B685="","",'SAÍDAS-BASE'!B685)</f>
        <v/>
      </c>
      <c r="D687" t="str">
        <f>IF('SAÍDAS-BASE'!C685="","",'SAÍDAS-BASE'!C685)</f>
        <v/>
      </c>
      <c r="E687" s="7" t="str">
        <f>IF('SAÍDAS-BASE'!D685="","",'SAÍDAS-BASE'!D685)</f>
        <v/>
      </c>
      <c r="F687" s="6" t="str">
        <f>IF('SAÍDAS-BASE'!E685="","",'SAÍDAS-BASE'!E685)</f>
        <v/>
      </c>
      <c r="G687" t="str">
        <f>IF('SAÍDAS-BASE'!F685="","",'SAÍDAS-BASE'!F685)</f>
        <v/>
      </c>
      <c r="H687" t="str">
        <f>IF('SAÍDAS-BASE'!G685="","",'SAÍDAS-BASE'!G685)</f>
        <v/>
      </c>
      <c r="I687" t="str">
        <f>IF('SAÍDAS-BASE'!H685="","",'SAÍDAS-BASE'!H685)</f>
        <v/>
      </c>
      <c r="J687" t="str">
        <f>IF('SAÍDAS-BASE'!I685="","",'SAÍDAS-BASE'!I685)</f>
        <v/>
      </c>
      <c r="K687" s="5" t="str">
        <f>IF('SAÍDAS-BASE'!J685="","",'SAÍDAS-BASE'!J685)</f>
        <v/>
      </c>
      <c r="L687" t="str">
        <f>IF(TABELA_SAIDAS[[#This Row],[UF]]="","",IFERROR(IF(VLOOKUP(TABELA_SAIDAS[[#This Row],[VALOR]],TABELA_ENTRADAS[VALOR],1,FALSE),"DEVOLUÇÃO"),"SEM ENTRADAS"))</f>
        <v/>
      </c>
    </row>
    <row r="688" spans="2:12" x14ac:dyDescent="0.3">
      <c r="B688" t="str">
        <f>IF('SAÍDAS-BASE'!A686="","",'SAÍDAS-BASE'!A686)</f>
        <v/>
      </c>
      <c r="C688" t="str">
        <f>IF('SAÍDAS-BASE'!B686="","",'SAÍDAS-BASE'!B686)</f>
        <v/>
      </c>
      <c r="D688" t="str">
        <f>IF('SAÍDAS-BASE'!C686="","",'SAÍDAS-BASE'!C686)</f>
        <v/>
      </c>
      <c r="E688" s="7" t="str">
        <f>IF('SAÍDAS-BASE'!D686="","",'SAÍDAS-BASE'!D686)</f>
        <v/>
      </c>
      <c r="F688" s="6" t="str">
        <f>IF('SAÍDAS-BASE'!E686="","",'SAÍDAS-BASE'!E686)</f>
        <v/>
      </c>
      <c r="G688" t="str">
        <f>IF('SAÍDAS-BASE'!F686="","",'SAÍDAS-BASE'!F686)</f>
        <v/>
      </c>
      <c r="H688" t="str">
        <f>IF('SAÍDAS-BASE'!G686="","",'SAÍDAS-BASE'!G686)</f>
        <v/>
      </c>
      <c r="I688" t="str">
        <f>IF('SAÍDAS-BASE'!H686="","",'SAÍDAS-BASE'!H686)</f>
        <v/>
      </c>
      <c r="J688" t="str">
        <f>IF('SAÍDAS-BASE'!I686="","",'SAÍDAS-BASE'!I686)</f>
        <v/>
      </c>
      <c r="K688" s="5" t="str">
        <f>IF('SAÍDAS-BASE'!J686="","",'SAÍDAS-BASE'!J686)</f>
        <v/>
      </c>
      <c r="L688" t="str">
        <f>IF(TABELA_SAIDAS[[#This Row],[UF]]="","",IFERROR(IF(VLOOKUP(TABELA_SAIDAS[[#This Row],[VALOR]],TABELA_ENTRADAS[VALOR],1,FALSE),"DEVOLUÇÃO"),"SEM ENTRADAS"))</f>
        <v/>
      </c>
    </row>
    <row r="689" spans="2:12" x14ac:dyDescent="0.3">
      <c r="B689" t="str">
        <f>IF('SAÍDAS-BASE'!A687="","",'SAÍDAS-BASE'!A687)</f>
        <v/>
      </c>
      <c r="C689" t="str">
        <f>IF('SAÍDAS-BASE'!B687="","",'SAÍDAS-BASE'!B687)</f>
        <v/>
      </c>
      <c r="D689" t="str">
        <f>IF('SAÍDAS-BASE'!C687="","",'SAÍDAS-BASE'!C687)</f>
        <v/>
      </c>
      <c r="E689" s="7" t="str">
        <f>IF('SAÍDAS-BASE'!D687="","",'SAÍDAS-BASE'!D687)</f>
        <v/>
      </c>
      <c r="F689" s="6" t="str">
        <f>IF('SAÍDAS-BASE'!E687="","",'SAÍDAS-BASE'!E687)</f>
        <v/>
      </c>
      <c r="G689" t="str">
        <f>IF('SAÍDAS-BASE'!F687="","",'SAÍDAS-BASE'!F687)</f>
        <v/>
      </c>
      <c r="H689" t="str">
        <f>IF('SAÍDAS-BASE'!G687="","",'SAÍDAS-BASE'!G687)</f>
        <v/>
      </c>
      <c r="I689" t="str">
        <f>IF('SAÍDAS-BASE'!H687="","",'SAÍDAS-BASE'!H687)</f>
        <v/>
      </c>
      <c r="J689" t="str">
        <f>IF('SAÍDAS-BASE'!I687="","",'SAÍDAS-BASE'!I687)</f>
        <v/>
      </c>
      <c r="K689" s="5" t="str">
        <f>IF('SAÍDAS-BASE'!J687="","",'SAÍDAS-BASE'!J687)</f>
        <v/>
      </c>
      <c r="L689" t="str">
        <f>IF(TABELA_SAIDAS[[#This Row],[UF]]="","",IFERROR(IF(VLOOKUP(TABELA_SAIDAS[[#This Row],[VALOR]],TABELA_ENTRADAS[VALOR],1,FALSE),"DEVOLUÇÃO"),"SEM ENTRADAS"))</f>
        <v/>
      </c>
    </row>
    <row r="690" spans="2:12" x14ac:dyDescent="0.3">
      <c r="B690" t="str">
        <f>IF('SAÍDAS-BASE'!A688="","",'SAÍDAS-BASE'!A688)</f>
        <v/>
      </c>
      <c r="C690" t="str">
        <f>IF('SAÍDAS-BASE'!B688="","",'SAÍDAS-BASE'!B688)</f>
        <v/>
      </c>
      <c r="D690" t="str">
        <f>IF('SAÍDAS-BASE'!C688="","",'SAÍDAS-BASE'!C688)</f>
        <v/>
      </c>
      <c r="E690" s="7" t="str">
        <f>IF('SAÍDAS-BASE'!D688="","",'SAÍDAS-BASE'!D688)</f>
        <v/>
      </c>
      <c r="F690" s="6" t="str">
        <f>IF('SAÍDAS-BASE'!E688="","",'SAÍDAS-BASE'!E688)</f>
        <v/>
      </c>
      <c r="G690" t="str">
        <f>IF('SAÍDAS-BASE'!F688="","",'SAÍDAS-BASE'!F688)</f>
        <v/>
      </c>
      <c r="H690" t="str">
        <f>IF('SAÍDAS-BASE'!G688="","",'SAÍDAS-BASE'!G688)</f>
        <v/>
      </c>
      <c r="I690" t="str">
        <f>IF('SAÍDAS-BASE'!H688="","",'SAÍDAS-BASE'!H688)</f>
        <v/>
      </c>
      <c r="J690" t="str">
        <f>IF('SAÍDAS-BASE'!I688="","",'SAÍDAS-BASE'!I688)</f>
        <v/>
      </c>
      <c r="K690" s="5" t="str">
        <f>IF('SAÍDAS-BASE'!J688="","",'SAÍDAS-BASE'!J688)</f>
        <v/>
      </c>
      <c r="L690" t="str">
        <f>IF(TABELA_SAIDAS[[#This Row],[UF]]="","",IFERROR(IF(VLOOKUP(TABELA_SAIDAS[[#This Row],[VALOR]],TABELA_ENTRADAS[VALOR],1,FALSE),"DEVOLUÇÃO"),"SEM ENTRADAS"))</f>
        <v/>
      </c>
    </row>
    <row r="691" spans="2:12" x14ac:dyDescent="0.3">
      <c r="B691" t="str">
        <f>IF('SAÍDAS-BASE'!A689="","",'SAÍDAS-BASE'!A689)</f>
        <v/>
      </c>
      <c r="C691" t="str">
        <f>IF('SAÍDAS-BASE'!B689="","",'SAÍDAS-BASE'!B689)</f>
        <v/>
      </c>
      <c r="D691" t="str">
        <f>IF('SAÍDAS-BASE'!C689="","",'SAÍDAS-BASE'!C689)</f>
        <v/>
      </c>
      <c r="E691" s="7" t="str">
        <f>IF('SAÍDAS-BASE'!D689="","",'SAÍDAS-BASE'!D689)</f>
        <v/>
      </c>
      <c r="F691" s="6" t="str">
        <f>IF('SAÍDAS-BASE'!E689="","",'SAÍDAS-BASE'!E689)</f>
        <v/>
      </c>
      <c r="G691" t="str">
        <f>IF('SAÍDAS-BASE'!F689="","",'SAÍDAS-BASE'!F689)</f>
        <v/>
      </c>
      <c r="H691" t="str">
        <f>IF('SAÍDAS-BASE'!G689="","",'SAÍDAS-BASE'!G689)</f>
        <v/>
      </c>
      <c r="I691" t="str">
        <f>IF('SAÍDAS-BASE'!H689="","",'SAÍDAS-BASE'!H689)</f>
        <v/>
      </c>
      <c r="J691" t="str">
        <f>IF('SAÍDAS-BASE'!I689="","",'SAÍDAS-BASE'!I689)</f>
        <v/>
      </c>
      <c r="K691" s="5" t="str">
        <f>IF('SAÍDAS-BASE'!J689="","",'SAÍDAS-BASE'!J689)</f>
        <v/>
      </c>
      <c r="L691" t="str">
        <f>IF(TABELA_SAIDAS[[#This Row],[UF]]="","",IFERROR(IF(VLOOKUP(TABELA_SAIDAS[[#This Row],[VALOR]],TABELA_ENTRADAS[VALOR],1,FALSE),"DEVOLUÇÃO"),"SEM ENTRADAS"))</f>
        <v/>
      </c>
    </row>
    <row r="692" spans="2:12" x14ac:dyDescent="0.3">
      <c r="B692" t="str">
        <f>IF('SAÍDAS-BASE'!A690="","",'SAÍDAS-BASE'!A690)</f>
        <v/>
      </c>
      <c r="C692" t="str">
        <f>IF('SAÍDAS-BASE'!B690="","",'SAÍDAS-BASE'!B690)</f>
        <v/>
      </c>
      <c r="D692" t="str">
        <f>IF('SAÍDAS-BASE'!C690="","",'SAÍDAS-BASE'!C690)</f>
        <v/>
      </c>
      <c r="E692" s="7" t="str">
        <f>IF('SAÍDAS-BASE'!D690="","",'SAÍDAS-BASE'!D690)</f>
        <v/>
      </c>
      <c r="F692" s="6" t="str">
        <f>IF('SAÍDAS-BASE'!E690="","",'SAÍDAS-BASE'!E690)</f>
        <v/>
      </c>
      <c r="G692" t="str">
        <f>IF('SAÍDAS-BASE'!F690="","",'SAÍDAS-BASE'!F690)</f>
        <v/>
      </c>
      <c r="H692" t="str">
        <f>IF('SAÍDAS-BASE'!G690="","",'SAÍDAS-BASE'!G690)</f>
        <v/>
      </c>
      <c r="I692" t="str">
        <f>IF('SAÍDAS-BASE'!H690="","",'SAÍDAS-BASE'!H690)</f>
        <v/>
      </c>
      <c r="J692" t="str">
        <f>IF('SAÍDAS-BASE'!I690="","",'SAÍDAS-BASE'!I690)</f>
        <v/>
      </c>
      <c r="K692" s="5" t="str">
        <f>IF('SAÍDAS-BASE'!J690="","",'SAÍDAS-BASE'!J690)</f>
        <v/>
      </c>
      <c r="L692" t="str">
        <f>IF(TABELA_SAIDAS[[#This Row],[UF]]="","",IFERROR(IF(VLOOKUP(TABELA_SAIDAS[[#This Row],[VALOR]],TABELA_ENTRADAS[VALOR],1,FALSE),"DEVOLUÇÃO"),"SEM ENTRADAS"))</f>
        <v/>
      </c>
    </row>
    <row r="693" spans="2:12" x14ac:dyDescent="0.3">
      <c r="B693" t="str">
        <f>IF('SAÍDAS-BASE'!A691="","",'SAÍDAS-BASE'!A691)</f>
        <v/>
      </c>
      <c r="C693" t="str">
        <f>IF('SAÍDAS-BASE'!B691="","",'SAÍDAS-BASE'!B691)</f>
        <v/>
      </c>
      <c r="D693" t="str">
        <f>IF('SAÍDAS-BASE'!C691="","",'SAÍDAS-BASE'!C691)</f>
        <v/>
      </c>
      <c r="E693" s="7" t="str">
        <f>IF('SAÍDAS-BASE'!D691="","",'SAÍDAS-BASE'!D691)</f>
        <v/>
      </c>
      <c r="F693" s="6" t="str">
        <f>IF('SAÍDAS-BASE'!E691="","",'SAÍDAS-BASE'!E691)</f>
        <v/>
      </c>
      <c r="G693" t="str">
        <f>IF('SAÍDAS-BASE'!F691="","",'SAÍDAS-BASE'!F691)</f>
        <v/>
      </c>
      <c r="H693" t="str">
        <f>IF('SAÍDAS-BASE'!G691="","",'SAÍDAS-BASE'!G691)</f>
        <v/>
      </c>
      <c r="I693" t="str">
        <f>IF('SAÍDAS-BASE'!H691="","",'SAÍDAS-BASE'!H691)</f>
        <v/>
      </c>
      <c r="J693" t="str">
        <f>IF('SAÍDAS-BASE'!I691="","",'SAÍDAS-BASE'!I691)</f>
        <v/>
      </c>
      <c r="K693" s="5" t="str">
        <f>IF('SAÍDAS-BASE'!J691="","",'SAÍDAS-BASE'!J691)</f>
        <v/>
      </c>
      <c r="L693" t="str">
        <f>IF(TABELA_SAIDAS[[#This Row],[UF]]="","",IFERROR(IF(VLOOKUP(TABELA_SAIDAS[[#This Row],[VALOR]],TABELA_ENTRADAS[VALOR],1,FALSE),"DEVOLUÇÃO"),"SEM ENTRADAS"))</f>
        <v/>
      </c>
    </row>
    <row r="694" spans="2:12" x14ac:dyDescent="0.3">
      <c r="B694" t="str">
        <f>IF('SAÍDAS-BASE'!A692="","",'SAÍDAS-BASE'!A692)</f>
        <v/>
      </c>
      <c r="C694" t="str">
        <f>IF('SAÍDAS-BASE'!B692="","",'SAÍDAS-BASE'!B692)</f>
        <v/>
      </c>
      <c r="D694" t="str">
        <f>IF('SAÍDAS-BASE'!C692="","",'SAÍDAS-BASE'!C692)</f>
        <v/>
      </c>
      <c r="E694" s="7" t="str">
        <f>IF('SAÍDAS-BASE'!D692="","",'SAÍDAS-BASE'!D692)</f>
        <v/>
      </c>
      <c r="F694" s="6" t="str">
        <f>IF('SAÍDAS-BASE'!E692="","",'SAÍDAS-BASE'!E692)</f>
        <v/>
      </c>
      <c r="G694" t="str">
        <f>IF('SAÍDAS-BASE'!F692="","",'SAÍDAS-BASE'!F692)</f>
        <v/>
      </c>
      <c r="H694" t="str">
        <f>IF('SAÍDAS-BASE'!G692="","",'SAÍDAS-BASE'!G692)</f>
        <v/>
      </c>
      <c r="I694" t="str">
        <f>IF('SAÍDAS-BASE'!H692="","",'SAÍDAS-BASE'!H692)</f>
        <v/>
      </c>
      <c r="J694" t="str">
        <f>IF('SAÍDAS-BASE'!I692="","",'SAÍDAS-BASE'!I692)</f>
        <v/>
      </c>
      <c r="K694" s="5" t="str">
        <f>IF('SAÍDAS-BASE'!J692="","",'SAÍDAS-BASE'!J692)</f>
        <v/>
      </c>
      <c r="L694" t="str">
        <f>IF(TABELA_SAIDAS[[#This Row],[UF]]="","",IFERROR(IF(VLOOKUP(TABELA_SAIDAS[[#This Row],[VALOR]],TABELA_ENTRADAS[VALOR],1,FALSE),"DEVOLUÇÃO"),"SEM ENTRADAS"))</f>
        <v/>
      </c>
    </row>
    <row r="695" spans="2:12" x14ac:dyDescent="0.3">
      <c r="B695" t="str">
        <f>IF('SAÍDAS-BASE'!A693="","",'SAÍDAS-BASE'!A693)</f>
        <v/>
      </c>
      <c r="C695" t="str">
        <f>IF('SAÍDAS-BASE'!B693="","",'SAÍDAS-BASE'!B693)</f>
        <v/>
      </c>
      <c r="D695" t="str">
        <f>IF('SAÍDAS-BASE'!C693="","",'SAÍDAS-BASE'!C693)</f>
        <v/>
      </c>
      <c r="E695" s="7" t="str">
        <f>IF('SAÍDAS-BASE'!D693="","",'SAÍDAS-BASE'!D693)</f>
        <v/>
      </c>
      <c r="F695" s="6" t="str">
        <f>IF('SAÍDAS-BASE'!E693="","",'SAÍDAS-BASE'!E693)</f>
        <v/>
      </c>
      <c r="G695" t="str">
        <f>IF('SAÍDAS-BASE'!F693="","",'SAÍDAS-BASE'!F693)</f>
        <v/>
      </c>
      <c r="H695" t="str">
        <f>IF('SAÍDAS-BASE'!G693="","",'SAÍDAS-BASE'!G693)</f>
        <v/>
      </c>
      <c r="I695" t="str">
        <f>IF('SAÍDAS-BASE'!H693="","",'SAÍDAS-BASE'!H693)</f>
        <v/>
      </c>
      <c r="J695" t="str">
        <f>IF('SAÍDAS-BASE'!I693="","",'SAÍDAS-BASE'!I693)</f>
        <v/>
      </c>
      <c r="K695" s="5" t="str">
        <f>IF('SAÍDAS-BASE'!J693="","",'SAÍDAS-BASE'!J693)</f>
        <v/>
      </c>
      <c r="L695" t="str">
        <f>IF(TABELA_SAIDAS[[#This Row],[UF]]="","",IFERROR(IF(VLOOKUP(TABELA_SAIDAS[[#This Row],[VALOR]],TABELA_ENTRADAS[VALOR],1,FALSE),"DEVOLUÇÃO"),"SEM ENTRADAS"))</f>
        <v/>
      </c>
    </row>
    <row r="696" spans="2:12" x14ac:dyDescent="0.3">
      <c r="B696" t="str">
        <f>IF('SAÍDAS-BASE'!A694="","",'SAÍDAS-BASE'!A694)</f>
        <v/>
      </c>
      <c r="C696" t="str">
        <f>IF('SAÍDAS-BASE'!B694="","",'SAÍDAS-BASE'!B694)</f>
        <v/>
      </c>
      <c r="D696" t="str">
        <f>IF('SAÍDAS-BASE'!C694="","",'SAÍDAS-BASE'!C694)</f>
        <v/>
      </c>
      <c r="E696" s="7" t="str">
        <f>IF('SAÍDAS-BASE'!D694="","",'SAÍDAS-BASE'!D694)</f>
        <v/>
      </c>
      <c r="F696" s="6" t="str">
        <f>IF('SAÍDAS-BASE'!E694="","",'SAÍDAS-BASE'!E694)</f>
        <v/>
      </c>
      <c r="G696" t="str">
        <f>IF('SAÍDAS-BASE'!F694="","",'SAÍDAS-BASE'!F694)</f>
        <v/>
      </c>
      <c r="H696" t="str">
        <f>IF('SAÍDAS-BASE'!G694="","",'SAÍDAS-BASE'!G694)</f>
        <v/>
      </c>
      <c r="I696" t="str">
        <f>IF('SAÍDAS-BASE'!H694="","",'SAÍDAS-BASE'!H694)</f>
        <v/>
      </c>
      <c r="J696" t="str">
        <f>IF('SAÍDAS-BASE'!I694="","",'SAÍDAS-BASE'!I694)</f>
        <v/>
      </c>
      <c r="K696" s="5" t="str">
        <f>IF('SAÍDAS-BASE'!J694="","",'SAÍDAS-BASE'!J694)</f>
        <v/>
      </c>
      <c r="L696" t="str">
        <f>IF(TABELA_SAIDAS[[#This Row],[UF]]="","",IFERROR(IF(VLOOKUP(TABELA_SAIDAS[[#This Row],[VALOR]],TABELA_ENTRADAS[VALOR],1,FALSE),"DEVOLUÇÃO"),"SEM ENTRADAS"))</f>
        <v/>
      </c>
    </row>
    <row r="697" spans="2:12" x14ac:dyDescent="0.3">
      <c r="B697" t="str">
        <f>IF('SAÍDAS-BASE'!A695="","",'SAÍDAS-BASE'!A695)</f>
        <v/>
      </c>
      <c r="C697" t="str">
        <f>IF('SAÍDAS-BASE'!B695="","",'SAÍDAS-BASE'!B695)</f>
        <v/>
      </c>
      <c r="D697" t="str">
        <f>IF('SAÍDAS-BASE'!C695="","",'SAÍDAS-BASE'!C695)</f>
        <v/>
      </c>
      <c r="E697" s="7" t="str">
        <f>IF('SAÍDAS-BASE'!D695="","",'SAÍDAS-BASE'!D695)</f>
        <v/>
      </c>
      <c r="F697" s="6" t="str">
        <f>IF('SAÍDAS-BASE'!E695="","",'SAÍDAS-BASE'!E695)</f>
        <v/>
      </c>
      <c r="G697" t="str">
        <f>IF('SAÍDAS-BASE'!F695="","",'SAÍDAS-BASE'!F695)</f>
        <v/>
      </c>
      <c r="H697" t="str">
        <f>IF('SAÍDAS-BASE'!G695="","",'SAÍDAS-BASE'!G695)</f>
        <v/>
      </c>
      <c r="I697" t="str">
        <f>IF('SAÍDAS-BASE'!H695="","",'SAÍDAS-BASE'!H695)</f>
        <v/>
      </c>
      <c r="J697" t="str">
        <f>IF('SAÍDAS-BASE'!I695="","",'SAÍDAS-BASE'!I695)</f>
        <v/>
      </c>
      <c r="K697" s="5" t="str">
        <f>IF('SAÍDAS-BASE'!J695="","",'SAÍDAS-BASE'!J695)</f>
        <v/>
      </c>
      <c r="L697" t="str">
        <f>IF(TABELA_SAIDAS[[#This Row],[UF]]="","",IFERROR(IF(VLOOKUP(TABELA_SAIDAS[[#This Row],[VALOR]],TABELA_ENTRADAS[VALOR],1,FALSE),"DEVOLUÇÃO"),"SEM ENTRADAS"))</f>
        <v/>
      </c>
    </row>
    <row r="698" spans="2:12" x14ac:dyDescent="0.3">
      <c r="B698" t="str">
        <f>IF('SAÍDAS-BASE'!A696="","",'SAÍDAS-BASE'!A696)</f>
        <v/>
      </c>
      <c r="C698" t="str">
        <f>IF('SAÍDAS-BASE'!B696="","",'SAÍDAS-BASE'!B696)</f>
        <v/>
      </c>
      <c r="D698" t="str">
        <f>IF('SAÍDAS-BASE'!C696="","",'SAÍDAS-BASE'!C696)</f>
        <v/>
      </c>
      <c r="E698" s="7" t="str">
        <f>IF('SAÍDAS-BASE'!D696="","",'SAÍDAS-BASE'!D696)</f>
        <v/>
      </c>
      <c r="F698" s="6" t="str">
        <f>IF('SAÍDAS-BASE'!E696="","",'SAÍDAS-BASE'!E696)</f>
        <v/>
      </c>
      <c r="G698" t="str">
        <f>IF('SAÍDAS-BASE'!F696="","",'SAÍDAS-BASE'!F696)</f>
        <v/>
      </c>
      <c r="H698" t="str">
        <f>IF('SAÍDAS-BASE'!G696="","",'SAÍDAS-BASE'!G696)</f>
        <v/>
      </c>
      <c r="I698" t="str">
        <f>IF('SAÍDAS-BASE'!H696="","",'SAÍDAS-BASE'!H696)</f>
        <v/>
      </c>
      <c r="J698" t="str">
        <f>IF('SAÍDAS-BASE'!I696="","",'SAÍDAS-BASE'!I696)</f>
        <v/>
      </c>
      <c r="K698" s="5" t="str">
        <f>IF('SAÍDAS-BASE'!J696="","",'SAÍDAS-BASE'!J696)</f>
        <v/>
      </c>
      <c r="L698" t="str">
        <f>IF(TABELA_SAIDAS[[#This Row],[UF]]="","",IFERROR(IF(VLOOKUP(TABELA_SAIDAS[[#This Row],[VALOR]],TABELA_ENTRADAS[VALOR],1,FALSE),"DEVOLUÇÃO"),"SEM ENTRADAS"))</f>
        <v/>
      </c>
    </row>
    <row r="699" spans="2:12" x14ac:dyDescent="0.3">
      <c r="B699" t="str">
        <f>IF('SAÍDAS-BASE'!A697="","",'SAÍDAS-BASE'!A697)</f>
        <v/>
      </c>
      <c r="C699" t="str">
        <f>IF('SAÍDAS-BASE'!B697="","",'SAÍDAS-BASE'!B697)</f>
        <v/>
      </c>
      <c r="D699" t="str">
        <f>IF('SAÍDAS-BASE'!C697="","",'SAÍDAS-BASE'!C697)</f>
        <v/>
      </c>
      <c r="E699" s="7" t="str">
        <f>IF('SAÍDAS-BASE'!D697="","",'SAÍDAS-BASE'!D697)</f>
        <v/>
      </c>
      <c r="F699" s="6" t="str">
        <f>IF('SAÍDAS-BASE'!E697="","",'SAÍDAS-BASE'!E697)</f>
        <v/>
      </c>
      <c r="G699" t="str">
        <f>IF('SAÍDAS-BASE'!F697="","",'SAÍDAS-BASE'!F697)</f>
        <v/>
      </c>
      <c r="H699" t="str">
        <f>IF('SAÍDAS-BASE'!G697="","",'SAÍDAS-BASE'!G697)</f>
        <v/>
      </c>
      <c r="I699" t="str">
        <f>IF('SAÍDAS-BASE'!H697="","",'SAÍDAS-BASE'!H697)</f>
        <v/>
      </c>
      <c r="J699" t="str">
        <f>IF('SAÍDAS-BASE'!I697="","",'SAÍDAS-BASE'!I697)</f>
        <v/>
      </c>
      <c r="K699" s="5" t="str">
        <f>IF('SAÍDAS-BASE'!J697="","",'SAÍDAS-BASE'!J697)</f>
        <v/>
      </c>
      <c r="L699" t="str">
        <f>IF(TABELA_SAIDAS[[#This Row],[UF]]="","",IFERROR(IF(VLOOKUP(TABELA_SAIDAS[[#This Row],[VALOR]],TABELA_ENTRADAS[VALOR],1,FALSE),"DEVOLUÇÃO"),"SEM ENTRADAS"))</f>
        <v/>
      </c>
    </row>
    <row r="700" spans="2:12" x14ac:dyDescent="0.3">
      <c r="B700" t="str">
        <f>IF('SAÍDAS-BASE'!A698="","",'SAÍDAS-BASE'!A698)</f>
        <v/>
      </c>
      <c r="C700" t="str">
        <f>IF('SAÍDAS-BASE'!B698="","",'SAÍDAS-BASE'!B698)</f>
        <v/>
      </c>
      <c r="D700" t="str">
        <f>IF('SAÍDAS-BASE'!C698="","",'SAÍDAS-BASE'!C698)</f>
        <v/>
      </c>
      <c r="E700" s="7" t="str">
        <f>IF('SAÍDAS-BASE'!D698="","",'SAÍDAS-BASE'!D698)</f>
        <v/>
      </c>
      <c r="F700" s="6" t="str">
        <f>IF('SAÍDAS-BASE'!E698="","",'SAÍDAS-BASE'!E698)</f>
        <v/>
      </c>
      <c r="G700" t="str">
        <f>IF('SAÍDAS-BASE'!F698="","",'SAÍDAS-BASE'!F698)</f>
        <v/>
      </c>
      <c r="H700" t="str">
        <f>IF('SAÍDAS-BASE'!G698="","",'SAÍDAS-BASE'!G698)</f>
        <v/>
      </c>
      <c r="I700" t="str">
        <f>IF('SAÍDAS-BASE'!H698="","",'SAÍDAS-BASE'!H698)</f>
        <v/>
      </c>
      <c r="J700" t="str">
        <f>IF('SAÍDAS-BASE'!I698="","",'SAÍDAS-BASE'!I698)</f>
        <v/>
      </c>
      <c r="K700" s="5" t="str">
        <f>IF('SAÍDAS-BASE'!J698="","",'SAÍDAS-BASE'!J698)</f>
        <v/>
      </c>
      <c r="L700" t="str">
        <f>IF(TABELA_SAIDAS[[#This Row],[UF]]="","",IFERROR(IF(VLOOKUP(TABELA_SAIDAS[[#This Row],[VALOR]],TABELA_ENTRADAS[VALOR],1,FALSE),"DEVOLUÇÃO"),"SEM ENTRADAS"))</f>
        <v/>
      </c>
    </row>
    <row r="701" spans="2:12" x14ac:dyDescent="0.3">
      <c r="B701" t="str">
        <f>IF('SAÍDAS-BASE'!A699="","",'SAÍDAS-BASE'!A699)</f>
        <v/>
      </c>
      <c r="C701" t="str">
        <f>IF('SAÍDAS-BASE'!B699="","",'SAÍDAS-BASE'!B699)</f>
        <v/>
      </c>
      <c r="D701" t="str">
        <f>IF('SAÍDAS-BASE'!C699="","",'SAÍDAS-BASE'!C699)</f>
        <v/>
      </c>
      <c r="E701" s="7" t="str">
        <f>IF('SAÍDAS-BASE'!D699="","",'SAÍDAS-BASE'!D699)</f>
        <v/>
      </c>
      <c r="F701" s="6" t="str">
        <f>IF('SAÍDAS-BASE'!E699="","",'SAÍDAS-BASE'!E699)</f>
        <v/>
      </c>
      <c r="G701" t="str">
        <f>IF('SAÍDAS-BASE'!F699="","",'SAÍDAS-BASE'!F699)</f>
        <v/>
      </c>
      <c r="H701" t="str">
        <f>IF('SAÍDAS-BASE'!G699="","",'SAÍDAS-BASE'!G699)</f>
        <v/>
      </c>
      <c r="I701" t="str">
        <f>IF('SAÍDAS-BASE'!H699="","",'SAÍDAS-BASE'!H699)</f>
        <v/>
      </c>
      <c r="J701" t="str">
        <f>IF('SAÍDAS-BASE'!I699="","",'SAÍDAS-BASE'!I699)</f>
        <v/>
      </c>
      <c r="K701" s="5" t="str">
        <f>IF('SAÍDAS-BASE'!J699="","",'SAÍDAS-BASE'!J699)</f>
        <v/>
      </c>
      <c r="L701" t="str">
        <f>IF(TABELA_SAIDAS[[#This Row],[UF]]="","",IFERROR(IF(VLOOKUP(TABELA_SAIDAS[[#This Row],[VALOR]],TABELA_ENTRADAS[VALOR],1,FALSE),"DEVOLUÇÃO"),"SEM ENTRADAS"))</f>
        <v/>
      </c>
    </row>
    <row r="702" spans="2:12" x14ac:dyDescent="0.3">
      <c r="B702" t="str">
        <f>IF('SAÍDAS-BASE'!A700="","",'SAÍDAS-BASE'!A700)</f>
        <v/>
      </c>
      <c r="C702" t="str">
        <f>IF('SAÍDAS-BASE'!B700="","",'SAÍDAS-BASE'!B700)</f>
        <v/>
      </c>
      <c r="D702" t="str">
        <f>IF('SAÍDAS-BASE'!C700="","",'SAÍDAS-BASE'!C700)</f>
        <v/>
      </c>
      <c r="E702" s="7" t="str">
        <f>IF('SAÍDAS-BASE'!D700="","",'SAÍDAS-BASE'!D700)</f>
        <v/>
      </c>
      <c r="F702" s="6" t="str">
        <f>IF('SAÍDAS-BASE'!E700="","",'SAÍDAS-BASE'!E700)</f>
        <v/>
      </c>
      <c r="G702" t="str">
        <f>IF('SAÍDAS-BASE'!F700="","",'SAÍDAS-BASE'!F700)</f>
        <v/>
      </c>
      <c r="H702" t="str">
        <f>IF('SAÍDAS-BASE'!G700="","",'SAÍDAS-BASE'!G700)</f>
        <v/>
      </c>
      <c r="I702" t="str">
        <f>IF('SAÍDAS-BASE'!H700="","",'SAÍDAS-BASE'!H700)</f>
        <v/>
      </c>
      <c r="J702" t="str">
        <f>IF('SAÍDAS-BASE'!I700="","",'SAÍDAS-BASE'!I700)</f>
        <v/>
      </c>
      <c r="K702" s="5" t="str">
        <f>IF('SAÍDAS-BASE'!J700="","",'SAÍDAS-BASE'!J700)</f>
        <v/>
      </c>
      <c r="L702" t="str">
        <f>IF(TABELA_SAIDAS[[#This Row],[UF]]="","",IFERROR(IF(VLOOKUP(TABELA_SAIDAS[[#This Row],[VALOR]],TABELA_ENTRADAS[VALOR],1,FALSE),"DEVOLUÇÃO"),"SEM ENTRADAS"))</f>
        <v/>
      </c>
    </row>
    <row r="703" spans="2:12" x14ac:dyDescent="0.3">
      <c r="B703" t="str">
        <f>IF('SAÍDAS-BASE'!A701="","",'SAÍDAS-BASE'!A701)</f>
        <v/>
      </c>
      <c r="C703" t="str">
        <f>IF('SAÍDAS-BASE'!B701="","",'SAÍDAS-BASE'!B701)</f>
        <v/>
      </c>
      <c r="D703" t="str">
        <f>IF('SAÍDAS-BASE'!C701="","",'SAÍDAS-BASE'!C701)</f>
        <v/>
      </c>
      <c r="E703" s="7" t="str">
        <f>IF('SAÍDAS-BASE'!D701="","",'SAÍDAS-BASE'!D701)</f>
        <v/>
      </c>
      <c r="F703" s="6" t="str">
        <f>IF('SAÍDAS-BASE'!E701="","",'SAÍDAS-BASE'!E701)</f>
        <v/>
      </c>
      <c r="G703" t="str">
        <f>IF('SAÍDAS-BASE'!F701="","",'SAÍDAS-BASE'!F701)</f>
        <v/>
      </c>
      <c r="H703" t="str">
        <f>IF('SAÍDAS-BASE'!G701="","",'SAÍDAS-BASE'!G701)</f>
        <v/>
      </c>
      <c r="I703" t="str">
        <f>IF('SAÍDAS-BASE'!H701="","",'SAÍDAS-BASE'!H701)</f>
        <v/>
      </c>
      <c r="J703" t="str">
        <f>IF('SAÍDAS-BASE'!I701="","",'SAÍDAS-BASE'!I701)</f>
        <v/>
      </c>
      <c r="K703" s="5" t="str">
        <f>IF('SAÍDAS-BASE'!J701="","",'SAÍDAS-BASE'!J701)</f>
        <v/>
      </c>
      <c r="L703" t="str">
        <f>IF(TABELA_SAIDAS[[#This Row],[UF]]="","",IFERROR(IF(VLOOKUP(TABELA_SAIDAS[[#This Row],[VALOR]],TABELA_ENTRADAS[VALOR],1,FALSE),"DEVOLUÇÃO"),"SEM ENTRADAS"))</f>
        <v/>
      </c>
    </row>
    <row r="704" spans="2:12" x14ac:dyDescent="0.3">
      <c r="B704" t="str">
        <f>IF('SAÍDAS-BASE'!A702="","",'SAÍDAS-BASE'!A702)</f>
        <v/>
      </c>
      <c r="C704" t="str">
        <f>IF('SAÍDAS-BASE'!B702="","",'SAÍDAS-BASE'!B702)</f>
        <v/>
      </c>
      <c r="D704" t="str">
        <f>IF('SAÍDAS-BASE'!C702="","",'SAÍDAS-BASE'!C702)</f>
        <v/>
      </c>
      <c r="E704" s="7" t="str">
        <f>IF('SAÍDAS-BASE'!D702="","",'SAÍDAS-BASE'!D702)</f>
        <v/>
      </c>
      <c r="F704" s="6" t="str">
        <f>IF('SAÍDAS-BASE'!E702="","",'SAÍDAS-BASE'!E702)</f>
        <v/>
      </c>
      <c r="G704" t="str">
        <f>IF('SAÍDAS-BASE'!F702="","",'SAÍDAS-BASE'!F702)</f>
        <v/>
      </c>
      <c r="H704" t="str">
        <f>IF('SAÍDAS-BASE'!G702="","",'SAÍDAS-BASE'!G702)</f>
        <v/>
      </c>
      <c r="I704" t="str">
        <f>IF('SAÍDAS-BASE'!H702="","",'SAÍDAS-BASE'!H702)</f>
        <v/>
      </c>
      <c r="J704" t="str">
        <f>IF('SAÍDAS-BASE'!I702="","",'SAÍDAS-BASE'!I702)</f>
        <v/>
      </c>
      <c r="K704" s="5" t="str">
        <f>IF('SAÍDAS-BASE'!J702="","",'SAÍDAS-BASE'!J702)</f>
        <v/>
      </c>
      <c r="L704" t="str">
        <f>IF(TABELA_SAIDAS[[#This Row],[UF]]="","",IFERROR(IF(VLOOKUP(TABELA_SAIDAS[[#This Row],[VALOR]],TABELA_ENTRADAS[VALOR],1,FALSE),"DEVOLUÇÃO"),"SEM ENTRADAS"))</f>
        <v/>
      </c>
    </row>
    <row r="705" spans="2:12" x14ac:dyDescent="0.3">
      <c r="B705" t="str">
        <f>IF('SAÍDAS-BASE'!A703="","",'SAÍDAS-BASE'!A703)</f>
        <v/>
      </c>
      <c r="C705" t="str">
        <f>IF('SAÍDAS-BASE'!B703="","",'SAÍDAS-BASE'!B703)</f>
        <v/>
      </c>
      <c r="D705" t="str">
        <f>IF('SAÍDAS-BASE'!C703="","",'SAÍDAS-BASE'!C703)</f>
        <v/>
      </c>
      <c r="E705" s="7" t="str">
        <f>IF('SAÍDAS-BASE'!D703="","",'SAÍDAS-BASE'!D703)</f>
        <v/>
      </c>
      <c r="F705" s="6" t="str">
        <f>IF('SAÍDAS-BASE'!E703="","",'SAÍDAS-BASE'!E703)</f>
        <v/>
      </c>
      <c r="G705" t="str">
        <f>IF('SAÍDAS-BASE'!F703="","",'SAÍDAS-BASE'!F703)</f>
        <v/>
      </c>
      <c r="H705" t="str">
        <f>IF('SAÍDAS-BASE'!G703="","",'SAÍDAS-BASE'!G703)</f>
        <v/>
      </c>
      <c r="I705" t="str">
        <f>IF('SAÍDAS-BASE'!H703="","",'SAÍDAS-BASE'!H703)</f>
        <v/>
      </c>
      <c r="J705" t="str">
        <f>IF('SAÍDAS-BASE'!I703="","",'SAÍDAS-BASE'!I703)</f>
        <v/>
      </c>
      <c r="K705" s="5" t="str">
        <f>IF('SAÍDAS-BASE'!J703="","",'SAÍDAS-BASE'!J703)</f>
        <v/>
      </c>
      <c r="L705" t="str">
        <f>IF(TABELA_SAIDAS[[#This Row],[UF]]="","",IFERROR(IF(VLOOKUP(TABELA_SAIDAS[[#This Row],[VALOR]],TABELA_ENTRADAS[VALOR],1,FALSE),"DEVOLUÇÃO"),"SEM ENTRADAS"))</f>
        <v/>
      </c>
    </row>
    <row r="706" spans="2:12" x14ac:dyDescent="0.3">
      <c r="B706" t="str">
        <f>IF('SAÍDAS-BASE'!A704="","",'SAÍDAS-BASE'!A704)</f>
        <v/>
      </c>
      <c r="C706" t="str">
        <f>IF('SAÍDAS-BASE'!B704="","",'SAÍDAS-BASE'!B704)</f>
        <v/>
      </c>
      <c r="D706" t="str">
        <f>IF('SAÍDAS-BASE'!C704="","",'SAÍDAS-BASE'!C704)</f>
        <v/>
      </c>
      <c r="E706" s="7" t="str">
        <f>IF('SAÍDAS-BASE'!D704="","",'SAÍDAS-BASE'!D704)</f>
        <v/>
      </c>
      <c r="F706" s="6" t="str">
        <f>IF('SAÍDAS-BASE'!E704="","",'SAÍDAS-BASE'!E704)</f>
        <v/>
      </c>
      <c r="G706" t="str">
        <f>IF('SAÍDAS-BASE'!F704="","",'SAÍDAS-BASE'!F704)</f>
        <v/>
      </c>
      <c r="H706" t="str">
        <f>IF('SAÍDAS-BASE'!G704="","",'SAÍDAS-BASE'!G704)</f>
        <v/>
      </c>
      <c r="I706" t="str">
        <f>IF('SAÍDAS-BASE'!H704="","",'SAÍDAS-BASE'!H704)</f>
        <v/>
      </c>
      <c r="J706" t="str">
        <f>IF('SAÍDAS-BASE'!I704="","",'SAÍDAS-BASE'!I704)</f>
        <v/>
      </c>
      <c r="K706" s="5" t="str">
        <f>IF('SAÍDAS-BASE'!J704="","",'SAÍDAS-BASE'!J704)</f>
        <v/>
      </c>
      <c r="L706" t="str">
        <f>IF(TABELA_SAIDAS[[#This Row],[UF]]="","",IFERROR(IF(VLOOKUP(TABELA_SAIDAS[[#This Row],[VALOR]],TABELA_ENTRADAS[VALOR],1,FALSE),"DEVOLUÇÃO"),"SEM ENTRADAS"))</f>
        <v/>
      </c>
    </row>
    <row r="707" spans="2:12" x14ac:dyDescent="0.3">
      <c r="B707" t="str">
        <f>IF('SAÍDAS-BASE'!A705="","",'SAÍDAS-BASE'!A705)</f>
        <v/>
      </c>
      <c r="C707" t="str">
        <f>IF('SAÍDAS-BASE'!B705="","",'SAÍDAS-BASE'!B705)</f>
        <v/>
      </c>
      <c r="D707" t="str">
        <f>IF('SAÍDAS-BASE'!C705="","",'SAÍDAS-BASE'!C705)</f>
        <v/>
      </c>
      <c r="E707" s="7" t="str">
        <f>IF('SAÍDAS-BASE'!D705="","",'SAÍDAS-BASE'!D705)</f>
        <v/>
      </c>
      <c r="F707" s="6" t="str">
        <f>IF('SAÍDAS-BASE'!E705="","",'SAÍDAS-BASE'!E705)</f>
        <v/>
      </c>
      <c r="G707" t="str">
        <f>IF('SAÍDAS-BASE'!F705="","",'SAÍDAS-BASE'!F705)</f>
        <v/>
      </c>
      <c r="H707" t="str">
        <f>IF('SAÍDAS-BASE'!G705="","",'SAÍDAS-BASE'!G705)</f>
        <v/>
      </c>
      <c r="I707" t="str">
        <f>IF('SAÍDAS-BASE'!H705="","",'SAÍDAS-BASE'!H705)</f>
        <v/>
      </c>
      <c r="J707" t="str">
        <f>IF('SAÍDAS-BASE'!I705="","",'SAÍDAS-BASE'!I705)</f>
        <v/>
      </c>
      <c r="K707" s="5" t="str">
        <f>IF('SAÍDAS-BASE'!J705="","",'SAÍDAS-BASE'!J705)</f>
        <v/>
      </c>
      <c r="L707" t="str">
        <f>IF(TABELA_SAIDAS[[#This Row],[UF]]="","",IFERROR(IF(VLOOKUP(TABELA_SAIDAS[[#This Row],[VALOR]],TABELA_ENTRADAS[VALOR],1,FALSE),"DEVOLUÇÃO"),"SEM ENTRADAS"))</f>
        <v/>
      </c>
    </row>
    <row r="708" spans="2:12" x14ac:dyDescent="0.3">
      <c r="B708" t="str">
        <f>IF('SAÍDAS-BASE'!A706="","",'SAÍDAS-BASE'!A706)</f>
        <v/>
      </c>
      <c r="C708" t="str">
        <f>IF('SAÍDAS-BASE'!B706="","",'SAÍDAS-BASE'!B706)</f>
        <v/>
      </c>
      <c r="D708" t="str">
        <f>IF('SAÍDAS-BASE'!C706="","",'SAÍDAS-BASE'!C706)</f>
        <v/>
      </c>
      <c r="E708" s="7" t="str">
        <f>IF('SAÍDAS-BASE'!D706="","",'SAÍDAS-BASE'!D706)</f>
        <v/>
      </c>
      <c r="F708" s="6" t="str">
        <f>IF('SAÍDAS-BASE'!E706="","",'SAÍDAS-BASE'!E706)</f>
        <v/>
      </c>
      <c r="G708" t="str">
        <f>IF('SAÍDAS-BASE'!F706="","",'SAÍDAS-BASE'!F706)</f>
        <v/>
      </c>
      <c r="H708" t="str">
        <f>IF('SAÍDAS-BASE'!G706="","",'SAÍDAS-BASE'!G706)</f>
        <v/>
      </c>
      <c r="I708" t="str">
        <f>IF('SAÍDAS-BASE'!H706="","",'SAÍDAS-BASE'!H706)</f>
        <v/>
      </c>
      <c r="J708" t="str">
        <f>IF('SAÍDAS-BASE'!I706="","",'SAÍDAS-BASE'!I706)</f>
        <v/>
      </c>
      <c r="K708" s="5" t="str">
        <f>IF('SAÍDAS-BASE'!J706="","",'SAÍDAS-BASE'!J706)</f>
        <v/>
      </c>
      <c r="L708" t="str">
        <f>IF(TABELA_SAIDAS[[#This Row],[UF]]="","",IFERROR(IF(VLOOKUP(TABELA_SAIDAS[[#This Row],[VALOR]],TABELA_ENTRADAS[VALOR],1,FALSE),"DEVOLUÇÃO"),"SEM ENTRADAS"))</f>
        <v/>
      </c>
    </row>
    <row r="709" spans="2:12" x14ac:dyDescent="0.3">
      <c r="B709" t="str">
        <f>IF('SAÍDAS-BASE'!A707="","",'SAÍDAS-BASE'!A707)</f>
        <v/>
      </c>
      <c r="C709" t="str">
        <f>IF('SAÍDAS-BASE'!B707="","",'SAÍDAS-BASE'!B707)</f>
        <v/>
      </c>
      <c r="D709" t="str">
        <f>IF('SAÍDAS-BASE'!C707="","",'SAÍDAS-BASE'!C707)</f>
        <v/>
      </c>
      <c r="E709" s="7" t="str">
        <f>IF('SAÍDAS-BASE'!D707="","",'SAÍDAS-BASE'!D707)</f>
        <v/>
      </c>
      <c r="F709" s="6" t="str">
        <f>IF('SAÍDAS-BASE'!E707="","",'SAÍDAS-BASE'!E707)</f>
        <v/>
      </c>
      <c r="G709" t="str">
        <f>IF('SAÍDAS-BASE'!F707="","",'SAÍDAS-BASE'!F707)</f>
        <v/>
      </c>
      <c r="H709" t="str">
        <f>IF('SAÍDAS-BASE'!G707="","",'SAÍDAS-BASE'!G707)</f>
        <v/>
      </c>
      <c r="I709" t="str">
        <f>IF('SAÍDAS-BASE'!H707="","",'SAÍDAS-BASE'!H707)</f>
        <v/>
      </c>
      <c r="J709" t="str">
        <f>IF('SAÍDAS-BASE'!I707="","",'SAÍDAS-BASE'!I707)</f>
        <v/>
      </c>
      <c r="K709" s="5" t="str">
        <f>IF('SAÍDAS-BASE'!J707="","",'SAÍDAS-BASE'!J707)</f>
        <v/>
      </c>
      <c r="L709" t="str">
        <f>IF(TABELA_SAIDAS[[#This Row],[UF]]="","",IFERROR(IF(VLOOKUP(TABELA_SAIDAS[[#This Row],[VALOR]],TABELA_ENTRADAS[VALOR],1,FALSE),"DEVOLUÇÃO"),"SEM ENTRADAS"))</f>
        <v/>
      </c>
    </row>
    <row r="710" spans="2:12" x14ac:dyDescent="0.3">
      <c r="B710" t="str">
        <f>IF('SAÍDAS-BASE'!A708="","",'SAÍDAS-BASE'!A708)</f>
        <v/>
      </c>
      <c r="C710" t="str">
        <f>IF('SAÍDAS-BASE'!B708="","",'SAÍDAS-BASE'!B708)</f>
        <v/>
      </c>
      <c r="D710" t="str">
        <f>IF('SAÍDAS-BASE'!C708="","",'SAÍDAS-BASE'!C708)</f>
        <v/>
      </c>
      <c r="E710" s="7" t="str">
        <f>IF('SAÍDAS-BASE'!D708="","",'SAÍDAS-BASE'!D708)</f>
        <v/>
      </c>
      <c r="F710" s="6" t="str">
        <f>IF('SAÍDAS-BASE'!E708="","",'SAÍDAS-BASE'!E708)</f>
        <v/>
      </c>
      <c r="G710" t="str">
        <f>IF('SAÍDAS-BASE'!F708="","",'SAÍDAS-BASE'!F708)</f>
        <v/>
      </c>
      <c r="H710" t="str">
        <f>IF('SAÍDAS-BASE'!G708="","",'SAÍDAS-BASE'!G708)</f>
        <v/>
      </c>
      <c r="I710" t="str">
        <f>IF('SAÍDAS-BASE'!H708="","",'SAÍDAS-BASE'!H708)</f>
        <v/>
      </c>
      <c r="J710" t="str">
        <f>IF('SAÍDAS-BASE'!I708="","",'SAÍDAS-BASE'!I708)</f>
        <v/>
      </c>
      <c r="K710" s="5" t="str">
        <f>IF('SAÍDAS-BASE'!J708="","",'SAÍDAS-BASE'!J708)</f>
        <v/>
      </c>
      <c r="L710" t="str">
        <f>IF(TABELA_SAIDAS[[#This Row],[UF]]="","",IFERROR(IF(VLOOKUP(TABELA_SAIDAS[[#This Row],[VALOR]],TABELA_ENTRADAS[VALOR],1,FALSE),"DEVOLUÇÃO"),"SEM ENTRADAS"))</f>
        <v/>
      </c>
    </row>
    <row r="711" spans="2:12" x14ac:dyDescent="0.3">
      <c r="B711" t="str">
        <f>IF('SAÍDAS-BASE'!A709="","",'SAÍDAS-BASE'!A709)</f>
        <v/>
      </c>
      <c r="C711" t="str">
        <f>IF('SAÍDAS-BASE'!B709="","",'SAÍDAS-BASE'!B709)</f>
        <v/>
      </c>
      <c r="D711" t="str">
        <f>IF('SAÍDAS-BASE'!C709="","",'SAÍDAS-BASE'!C709)</f>
        <v/>
      </c>
      <c r="E711" s="7" t="str">
        <f>IF('SAÍDAS-BASE'!D709="","",'SAÍDAS-BASE'!D709)</f>
        <v/>
      </c>
      <c r="F711" s="6" t="str">
        <f>IF('SAÍDAS-BASE'!E709="","",'SAÍDAS-BASE'!E709)</f>
        <v/>
      </c>
      <c r="G711" t="str">
        <f>IF('SAÍDAS-BASE'!F709="","",'SAÍDAS-BASE'!F709)</f>
        <v/>
      </c>
      <c r="H711" t="str">
        <f>IF('SAÍDAS-BASE'!G709="","",'SAÍDAS-BASE'!G709)</f>
        <v/>
      </c>
      <c r="I711" t="str">
        <f>IF('SAÍDAS-BASE'!H709="","",'SAÍDAS-BASE'!H709)</f>
        <v/>
      </c>
      <c r="J711" t="str">
        <f>IF('SAÍDAS-BASE'!I709="","",'SAÍDAS-BASE'!I709)</f>
        <v/>
      </c>
      <c r="K711" s="5" t="str">
        <f>IF('SAÍDAS-BASE'!J709="","",'SAÍDAS-BASE'!J709)</f>
        <v/>
      </c>
      <c r="L711" t="str">
        <f>IF(TABELA_SAIDAS[[#This Row],[UF]]="","",IFERROR(IF(VLOOKUP(TABELA_SAIDAS[[#This Row],[VALOR]],TABELA_ENTRADAS[VALOR],1,FALSE),"DEVOLUÇÃO"),"SEM ENTRADAS"))</f>
        <v/>
      </c>
    </row>
    <row r="712" spans="2:12" x14ac:dyDescent="0.3">
      <c r="B712" t="str">
        <f>IF('SAÍDAS-BASE'!A710="","",'SAÍDAS-BASE'!A710)</f>
        <v/>
      </c>
      <c r="C712" t="str">
        <f>IF('SAÍDAS-BASE'!B710="","",'SAÍDAS-BASE'!B710)</f>
        <v/>
      </c>
      <c r="D712" t="str">
        <f>IF('SAÍDAS-BASE'!C710="","",'SAÍDAS-BASE'!C710)</f>
        <v/>
      </c>
      <c r="E712" s="7" t="str">
        <f>IF('SAÍDAS-BASE'!D710="","",'SAÍDAS-BASE'!D710)</f>
        <v/>
      </c>
      <c r="F712" s="6" t="str">
        <f>IF('SAÍDAS-BASE'!E710="","",'SAÍDAS-BASE'!E710)</f>
        <v/>
      </c>
      <c r="G712" t="str">
        <f>IF('SAÍDAS-BASE'!F710="","",'SAÍDAS-BASE'!F710)</f>
        <v/>
      </c>
      <c r="H712" t="str">
        <f>IF('SAÍDAS-BASE'!G710="","",'SAÍDAS-BASE'!G710)</f>
        <v/>
      </c>
      <c r="I712" t="str">
        <f>IF('SAÍDAS-BASE'!H710="","",'SAÍDAS-BASE'!H710)</f>
        <v/>
      </c>
      <c r="J712" t="str">
        <f>IF('SAÍDAS-BASE'!I710="","",'SAÍDAS-BASE'!I710)</f>
        <v/>
      </c>
      <c r="K712" s="5" t="str">
        <f>IF('SAÍDAS-BASE'!J710="","",'SAÍDAS-BASE'!J710)</f>
        <v/>
      </c>
      <c r="L712" t="str">
        <f>IF(TABELA_SAIDAS[[#This Row],[UF]]="","",IFERROR(IF(VLOOKUP(TABELA_SAIDAS[[#This Row],[VALOR]],TABELA_ENTRADAS[VALOR],1,FALSE),"DEVOLUÇÃO"),"SEM ENTRADAS"))</f>
        <v/>
      </c>
    </row>
    <row r="713" spans="2:12" x14ac:dyDescent="0.3">
      <c r="B713" t="str">
        <f>IF('SAÍDAS-BASE'!A711="","",'SAÍDAS-BASE'!A711)</f>
        <v/>
      </c>
      <c r="C713" t="str">
        <f>IF('SAÍDAS-BASE'!B711="","",'SAÍDAS-BASE'!B711)</f>
        <v/>
      </c>
      <c r="D713" t="str">
        <f>IF('SAÍDAS-BASE'!C711="","",'SAÍDAS-BASE'!C711)</f>
        <v/>
      </c>
      <c r="E713" s="7" t="str">
        <f>IF('SAÍDAS-BASE'!D711="","",'SAÍDAS-BASE'!D711)</f>
        <v/>
      </c>
      <c r="F713" s="6" t="str">
        <f>IF('SAÍDAS-BASE'!E711="","",'SAÍDAS-BASE'!E711)</f>
        <v/>
      </c>
      <c r="G713" t="str">
        <f>IF('SAÍDAS-BASE'!F711="","",'SAÍDAS-BASE'!F711)</f>
        <v/>
      </c>
      <c r="H713" t="str">
        <f>IF('SAÍDAS-BASE'!G711="","",'SAÍDAS-BASE'!G711)</f>
        <v/>
      </c>
      <c r="I713" t="str">
        <f>IF('SAÍDAS-BASE'!H711="","",'SAÍDAS-BASE'!H711)</f>
        <v/>
      </c>
      <c r="J713" t="str">
        <f>IF('SAÍDAS-BASE'!I711="","",'SAÍDAS-BASE'!I711)</f>
        <v/>
      </c>
      <c r="K713" s="5" t="str">
        <f>IF('SAÍDAS-BASE'!J711="","",'SAÍDAS-BASE'!J711)</f>
        <v/>
      </c>
      <c r="L713" t="str">
        <f>IF(TABELA_SAIDAS[[#This Row],[UF]]="","",IFERROR(IF(VLOOKUP(TABELA_SAIDAS[[#This Row],[VALOR]],TABELA_ENTRADAS[VALOR],1,FALSE),"DEVOLUÇÃO"),"SEM ENTRADAS"))</f>
        <v/>
      </c>
    </row>
    <row r="714" spans="2:12" x14ac:dyDescent="0.3">
      <c r="B714" t="str">
        <f>IF('SAÍDAS-BASE'!A712="","",'SAÍDAS-BASE'!A712)</f>
        <v/>
      </c>
      <c r="C714" t="str">
        <f>IF('SAÍDAS-BASE'!B712="","",'SAÍDAS-BASE'!B712)</f>
        <v/>
      </c>
      <c r="D714" t="str">
        <f>IF('SAÍDAS-BASE'!C712="","",'SAÍDAS-BASE'!C712)</f>
        <v/>
      </c>
      <c r="E714" s="7" t="str">
        <f>IF('SAÍDAS-BASE'!D712="","",'SAÍDAS-BASE'!D712)</f>
        <v/>
      </c>
      <c r="F714" s="6" t="str">
        <f>IF('SAÍDAS-BASE'!E712="","",'SAÍDAS-BASE'!E712)</f>
        <v/>
      </c>
      <c r="G714" t="str">
        <f>IF('SAÍDAS-BASE'!F712="","",'SAÍDAS-BASE'!F712)</f>
        <v/>
      </c>
      <c r="H714" t="str">
        <f>IF('SAÍDAS-BASE'!G712="","",'SAÍDAS-BASE'!G712)</f>
        <v/>
      </c>
      <c r="I714" t="str">
        <f>IF('SAÍDAS-BASE'!H712="","",'SAÍDAS-BASE'!H712)</f>
        <v/>
      </c>
      <c r="J714" t="str">
        <f>IF('SAÍDAS-BASE'!I712="","",'SAÍDAS-BASE'!I712)</f>
        <v/>
      </c>
      <c r="K714" s="5" t="str">
        <f>IF('SAÍDAS-BASE'!J712="","",'SAÍDAS-BASE'!J712)</f>
        <v/>
      </c>
      <c r="L714" t="str">
        <f>IF(TABELA_SAIDAS[[#This Row],[UF]]="","",IFERROR(IF(VLOOKUP(TABELA_SAIDAS[[#This Row],[VALOR]],TABELA_ENTRADAS[VALOR],1,FALSE),"DEVOLUÇÃO"),"SEM ENTRADAS"))</f>
        <v/>
      </c>
    </row>
    <row r="715" spans="2:12" x14ac:dyDescent="0.3">
      <c r="B715" t="str">
        <f>IF('SAÍDAS-BASE'!A713="","",'SAÍDAS-BASE'!A713)</f>
        <v/>
      </c>
      <c r="C715" t="str">
        <f>IF('SAÍDAS-BASE'!B713="","",'SAÍDAS-BASE'!B713)</f>
        <v/>
      </c>
      <c r="D715" t="str">
        <f>IF('SAÍDAS-BASE'!C713="","",'SAÍDAS-BASE'!C713)</f>
        <v/>
      </c>
      <c r="E715" s="7" t="str">
        <f>IF('SAÍDAS-BASE'!D713="","",'SAÍDAS-BASE'!D713)</f>
        <v/>
      </c>
      <c r="F715" s="6" t="str">
        <f>IF('SAÍDAS-BASE'!E713="","",'SAÍDAS-BASE'!E713)</f>
        <v/>
      </c>
      <c r="G715" t="str">
        <f>IF('SAÍDAS-BASE'!F713="","",'SAÍDAS-BASE'!F713)</f>
        <v/>
      </c>
      <c r="H715" t="str">
        <f>IF('SAÍDAS-BASE'!G713="","",'SAÍDAS-BASE'!G713)</f>
        <v/>
      </c>
      <c r="I715" t="str">
        <f>IF('SAÍDAS-BASE'!H713="","",'SAÍDAS-BASE'!H713)</f>
        <v/>
      </c>
      <c r="J715" t="str">
        <f>IF('SAÍDAS-BASE'!I713="","",'SAÍDAS-BASE'!I713)</f>
        <v/>
      </c>
      <c r="K715" s="5" t="str">
        <f>IF('SAÍDAS-BASE'!J713="","",'SAÍDAS-BASE'!J713)</f>
        <v/>
      </c>
      <c r="L715" t="str">
        <f>IF(TABELA_SAIDAS[[#This Row],[UF]]="","",IFERROR(IF(VLOOKUP(TABELA_SAIDAS[[#This Row],[VALOR]],TABELA_ENTRADAS[VALOR],1,FALSE),"DEVOLUÇÃO"),"SEM ENTRADAS"))</f>
        <v/>
      </c>
    </row>
    <row r="716" spans="2:12" x14ac:dyDescent="0.3">
      <c r="B716" t="str">
        <f>IF('SAÍDAS-BASE'!A714="","",'SAÍDAS-BASE'!A714)</f>
        <v/>
      </c>
      <c r="C716" t="str">
        <f>IF('SAÍDAS-BASE'!B714="","",'SAÍDAS-BASE'!B714)</f>
        <v/>
      </c>
      <c r="D716" t="str">
        <f>IF('SAÍDAS-BASE'!C714="","",'SAÍDAS-BASE'!C714)</f>
        <v/>
      </c>
      <c r="E716" s="7" t="str">
        <f>IF('SAÍDAS-BASE'!D714="","",'SAÍDAS-BASE'!D714)</f>
        <v/>
      </c>
      <c r="F716" s="6" t="str">
        <f>IF('SAÍDAS-BASE'!E714="","",'SAÍDAS-BASE'!E714)</f>
        <v/>
      </c>
      <c r="G716" t="str">
        <f>IF('SAÍDAS-BASE'!F714="","",'SAÍDAS-BASE'!F714)</f>
        <v/>
      </c>
      <c r="H716" t="str">
        <f>IF('SAÍDAS-BASE'!G714="","",'SAÍDAS-BASE'!G714)</f>
        <v/>
      </c>
      <c r="I716" t="str">
        <f>IF('SAÍDAS-BASE'!H714="","",'SAÍDAS-BASE'!H714)</f>
        <v/>
      </c>
      <c r="J716" t="str">
        <f>IF('SAÍDAS-BASE'!I714="","",'SAÍDAS-BASE'!I714)</f>
        <v/>
      </c>
      <c r="K716" s="5" t="str">
        <f>IF('SAÍDAS-BASE'!J714="","",'SAÍDAS-BASE'!J714)</f>
        <v/>
      </c>
      <c r="L716" t="str">
        <f>IF(TABELA_SAIDAS[[#This Row],[UF]]="","",IFERROR(IF(VLOOKUP(TABELA_SAIDAS[[#This Row],[VALOR]],TABELA_ENTRADAS[VALOR],1,FALSE),"DEVOLUÇÃO"),"SEM ENTRADAS"))</f>
        <v/>
      </c>
    </row>
    <row r="717" spans="2:12" x14ac:dyDescent="0.3">
      <c r="B717" t="str">
        <f>IF('SAÍDAS-BASE'!A715="","",'SAÍDAS-BASE'!A715)</f>
        <v/>
      </c>
      <c r="C717" t="str">
        <f>IF('SAÍDAS-BASE'!B715="","",'SAÍDAS-BASE'!B715)</f>
        <v/>
      </c>
      <c r="D717" t="str">
        <f>IF('SAÍDAS-BASE'!C715="","",'SAÍDAS-BASE'!C715)</f>
        <v/>
      </c>
      <c r="E717" s="7" t="str">
        <f>IF('SAÍDAS-BASE'!D715="","",'SAÍDAS-BASE'!D715)</f>
        <v/>
      </c>
      <c r="F717" s="6" t="str">
        <f>IF('SAÍDAS-BASE'!E715="","",'SAÍDAS-BASE'!E715)</f>
        <v/>
      </c>
      <c r="G717" t="str">
        <f>IF('SAÍDAS-BASE'!F715="","",'SAÍDAS-BASE'!F715)</f>
        <v/>
      </c>
      <c r="H717" t="str">
        <f>IF('SAÍDAS-BASE'!G715="","",'SAÍDAS-BASE'!G715)</f>
        <v/>
      </c>
      <c r="I717" t="str">
        <f>IF('SAÍDAS-BASE'!H715="","",'SAÍDAS-BASE'!H715)</f>
        <v/>
      </c>
      <c r="J717" t="str">
        <f>IF('SAÍDAS-BASE'!I715="","",'SAÍDAS-BASE'!I715)</f>
        <v/>
      </c>
      <c r="K717" s="5" t="str">
        <f>IF('SAÍDAS-BASE'!J715="","",'SAÍDAS-BASE'!J715)</f>
        <v/>
      </c>
      <c r="L717" t="str">
        <f>IF(TABELA_SAIDAS[[#This Row],[UF]]="","",IFERROR(IF(VLOOKUP(TABELA_SAIDAS[[#This Row],[VALOR]],TABELA_ENTRADAS[VALOR],1,FALSE),"DEVOLUÇÃO"),"SEM ENTRADAS"))</f>
        <v/>
      </c>
    </row>
    <row r="718" spans="2:12" x14ac:dyDescent="0.3">
      <c r="B718" t="str">
        <f>IF('SAÍDAS-BASE'!A716="","",'SAÍDAS-BASE'!A716)</f>
        <v/>
      </c>
      <c r="C718" t="str">
        <f>IF('SAÍDAS-BASE'!B716="","",'SAÍDAS-BASE'!B716)</f>
        <v/>
      </c>
      <c r="D718" t="str">
        <f>IF('SAÍDAS-BASE'!C716="","",'SAÍDAS-BASE'!C716)</f>
        <v/>
      </c>
      <c r="E718" s="7" t="str">
        <f>IF('SAÍDAS-BASE'!D716="","",'SAÍDAS-BASE'!D716)</f>
        <v/>
      </c>
      <c r="F718" s="6" t="str">
        <f>IF('SAÍDAS-BASE'!E716="","",'SAÍDAS-BASE'!E716)</f>
        <v/>
      </c>
      <c r="G718" t="str">
        <f>IF('SAÍDAS-BASE'!F716="","",'SAÍDAS-BASE'!F716)</f>
        <v/>
      </c>
      <c r="H718" t="str">
        <f>IF('SAÍDAS-BASE'!G716="","",'SAÍDAS-BASE'!G716)</f>
        <v/>
      </c>
      <c r="I718" t="str">
        <f>IF('SAÍDAS-BASE'!H716="","",'SAÍDAS-BASE'!H716)</f>
        <v/>
      </c>
      <c r="J718" t="str">
        <f>IF('SAÍDAS-BASE'!I716="","",'SAÍDAS-BASE'!I716)</f>
        <v/>
      </c>
      <c r="K718" s="5" t="str">
        <f>IF('SAÍDAS-BASE'!J716="","",'SAÍDAS-BASE'!J716)</f>
        <v/>
      </c>
      <c r="L718" t="str">
        <f>IF(TABELA_SAIDAS[[#This Row],[UF]]="","",IFERROR(IF(VLOOKUP(TABELA_SAIDAS[[#This Row],[VALOR]],TABELA_ENTRADAS[VALOR],1,FALSE),"DEVOLUÇÃO"),"SEM ENTRADAS"))</f>
        <v/>
      </c>
    </row>
    <row r="719" spans="2:12" x14ac:dyDescent="0.3">
      <c r="B719" t="str">
        <f>IF('SAÍDAS-BASE'!A717="","",'SAÍDAS-BASE'!A717)</f>
        <v/>
      </c>
      <c r="C719" t="str">
        <f>IF('SAÍDAS-BASE'!B717="","",'SAÍDAS-BASE'!B717)</f>
        <v/>
      </c>
      <c r="D719" t="str">
        <f>IF('SAÍDAS-BASE'!C717="","",'SAÍDAS-BASE'!C717)</f>
        <v/>
      </c>
      <c r="E719" s="7" t="str">
        <f>IF('SAÍDAS-BASE'!D717="","",'SAÍDAS-BASE'!D717)</f>
        <v/>
      </c>
      <c r="F719" s="6" t="str">
        <f>IF('SAÍDAS-BASE'!E717="","",'SAÍDAS-BASE'!E717)</f>
        <v/>
      </c>
      <c r="G719" t="str">
        <f>IF('SAÍDAS-BASE'!F717="","",'SAÍDAS-BASE'!F717)</f>
        <v/>
      </c>
      <c r="H719" t="str">
        <f>IF('SAÍDAS-BASE'!G717="","",'SAÍDAS-BASE'!G717)</f>
        <v/>
      </c>
      <c r="I719" t="str">
        <f>IF('SAÍDAS-BASE'!H717="","",'SAÍDAS-BASE'!H717)</f>
        <v/>
      </c>
      <c r="J719" t="str">
        <f>IF('SAÍDAS-BASE'!I717="","",'SAÍDAS-BASE'!I717)</f>
        <v/>
      </c>
      <c r="K719" s="5" t="str">
        <f>IF('SAÍDAS-BASE'!J717="","",'SAÍDAS-BASE'!J717)</f>
        <v/>
      </c>
      <c r="L719" t="str">
        <f>IF(TABELA_SAIDAS[[#This Row],[UF]]="","",IFERROR(IF(VLOOKUP(TABELA_SAIDAS[[#This Row],[VALOR]],TABELA_ENTRADAS[VALOR],1,FALSE),"DEVOLUÇÃO"),"SEM ENTRADAS"))</f>
        <v/>
      </c>
    </row>
    <row r="720" spans="2:12" x14ac:dyDescent="0.3">
      <c r="B720" t="str">
        <f>IF('SAÍDAS-BASE'!A718="","",'SAÍDAS-BASE'!A718)</f>
        <v/>
      </c>
      <c r="C720" t="str">
        <f>IF('SAÍDAS-BASE'!B718="","",'SAÍDAS-BASE'!B718)</f>
        <v/>
      </c>
      <c r="D720" t="str">
        <f>IF('SAÍDAS-BASE'!C718="","",'SAÍDAS-BASE'!C718)</f>
        <v/>
      </c>
      <c r="E720" s="7" t="str">
        <f>IF('SAÍDAS-BASE'!D718="","",'SAÍDAS-BASE'!D718)</f>
        <v/>
      </c>
      <c r="F720" s="6" t="str">
        <f>IF('SAÍDAS-BASE'!E718="","",'SAÍDAS-BASE'!E718)</f>
        <v/>
      </c>
      <c r="G720" t="str">
        <f>IF('SAÍDAS-BASE'!F718="","",'SAÍDAS-BASE'!F718)</f>
        <v/>
      </c>
      <c r="H720" t="str">
        <f>IF('SAÍDAS-BASE'!G718="","",'SAÍDAS-BASE'!G718)</f>
        <v/>
      </c>
      <c r="I720" t="str">
        <f>IF('SAÍDAS-BASE'!H718="","",'SAÍDAS-BASE'!H718)</f>
        <v/>
      </c>
      <c r="J720" t="str">
        <f>IF('SAÍDAS-BASE'!I718="","",'SAÍDAS-BASE'!I718)</f>
        <v/>
      </c>
      <c r="K720" s="5" t="str">
        <f>IF('SAÍDAS-BASE'!J718="","",'SAÍDAS-BASE'!J718)</f>
        <v/>
      </c>
      <c r="L720" t="str">
        <f>IF(TABELA_SAIDAS[[#This Row],[UF]]="","",IFERROR(IF(VLOOKUP(TABELA_SAIDAS[[#This Row],[VALOR]],TABELA_ENTRADAS[VALOR],1,FALSE),"DEVOLUÇÃO"),"SEM ENTRADAS"))</f>
        <v/>
      </c>
    </row>
    <row r="721" spans="2:12" x14ac:dyDescent="0.3">
      <c r="B721" t="str">
        <f>IF('SAÍDAS-BASE'!A719="","",'SAÍDAS-BASE'!A719)</f>
        <v/>
      </c>
      <c r="C721" t="str">
        <f>IF('SAÍDAS-BASE'!B719="","",'SAÍDAS-BASE'!B719)</f>
        <v/>
      </c>
      <c r="D721" t="str">
        <f>IF('SAÍDAS-BASE'!C719="","",'SAÍDAS-BASE'!C719)</f>
        <v/>
      </c>
      <c r="E721" s="7" t="str">
        <f>IF('SAÍDAS-BASE'!D719="","",'SAÍDAS-BASE'!D719)</f>
        <v/>
      </c>
      <c r="F721" s="6" t="str">
        <f>IF('SAÍDAS-BASE'!E719="","",'SAÍDAS-BASE'!E719)</f>
        <v/>
      </c>
      <c r="G721" t="str">
        <f>IF('SAÍDAS-BASE'!F719="","",'SAÍDAS-BASE'!F719)</f>
        <v/>
      </c>
      <c r="H721" t="str">
        <f>IF('SAÍDAS-BASE'!G719="","",'SAÍDAS-BASE'!G719)</f>
        <v/>
      </c>
      <c r="I721" t="str">
        <f>IF('SAÍDAS-BASE'!H719="","",'SAÍDAS-BASE'!H719)</f>
        <v/>
      </c>
      <c r="J721" t="str">
        <f>IF('SAÍDAS-BASE'!I719="","",'SAÍDAS-BASE'!I719)</f>
        <v/>
      </c>
      <c r="K721" s="5" t="str">
        <f>IF('SAÍDAS-BASE'!J719="","",'SAÍDAS-BASE'!J719)</f>
        <v/>
      </c>
      <c r="L721" t="str">
        <f>IF(TABELA_SAIDAS[[#This Row],[UF]]="","",IFERROR(IF(VLOOKUP(TABELA_SAIDAS[[#This Row],[VALOR]],TABELA_ENTRADAS[VALOR],1,FALSE),"DEVOLUÇÃO"),"SEM ENTRADAS"))</f>
        <v/>
      </c>
    </row>
    <row r="722" spans="2:12" x14ac:dyDescent="0.3">
      <c r="B722" t="str">
        <f>IF('SAÍDAS-BASE'!A720="","",'SAÍDAS-BASE'!A720)</f>
        <v/>
      </c>
      <c r="C722" t="str">
        <f>IF('SAÍDAS-BASE'!B720="","",'SAÍDAS-BASE'!B720)</f>
        <v/>
      </c>
      <c r="D722" t="str">
        <f>IF('SAÍDAS-BASE'!C720="","",'SAÍDAS-BASE'!C720)</f>
        <v/>
      </c>
      <c r="E722" s="7" t="str">
        <f>IF('SAÍDAS-BASE'!D720="","",'SAÍDAS-BASE'!D720)</f>
        <v/>
      </c>
      <c r="F722" s="6" t="str">
        <f>IF('SAÍDAS-BASE'!E720="","",'SAÍDAS-BASE'!E720)</f>
        <v/>
      </c>
      <c r="G722" t="str">
        <f>IF('SAÍDAS-BASE'!F720="","",'SAÍDAS-BASE'!F720)</f>
        <v/>
      </c>
      <c r="H722" t="str">
        <f>IF('SAÍDAS-BASE'!G720="","",'SAÍDAS-BASE'!G720)</f>
        <v/>
      </c>
      <c r="I722" t="str">
        <f>IF('SAÍDAS-BASE'!H720="","",'SAÍDAS-BASE'!H720)</f>
        <v/>
      </c>
      <c r="J722" t="str">
        <f>IF('SAÍDAS-BASE'!I720="","",'SAÍDAS-BASE'!I720)</f>
        <v/>
      </c>
      <c r="K722" s="5" t="str">
        <f>IF('SAÍDAS-BASE'!J720="","",'SAÍDAS-BASE'!J720)</f>
        <v/>
      </c>
      <c r="L722" t="str">
        <f>IF(TABELA_SAIDAS[[#This Row],[UF]]="","",IFERROR(IF(VLOOKUP(TABELA_SAIDAS[[#This Row],[VALOR]],TABELA_ENTRADAS[VALOR],1,FALSE),"DEVOLUÇÃO"),"SEM ENTRADAS"))</f>
        <v/>
      </c>
    </row>
    <row r="723" spans="2:12" x14ac:dyDescent="0.3">
      <c r="B723" t="str">
        <f>IF('SAÍDAS-BASE'!A721="","",'SAÍDAS-BASE'!A721)</f>
        <v/>
      </c>
      <c r="C723" t="str">
        <f>IF('SAÍDAS-BASE'!B721="","",'SAÍDAS-BASE'!B721)</f>
        <v/>
      </c>
      <c r="D723" t="str">
        <f>IF('SAÍDAS-BASE'!C721="","",'SAÍDAS-BASE'!C721)</f>
        <v/>
      </c>
      <c r="E723" s="7" t="str">
        <f>IF('SAÍDAS-BASE'!D721="","",'SAÍDAS-BASE'!D721)</f>
        <v/>
      </c>
      <c r="F723" s="6" t="str">
        <f>IF('SAÍDAS-BASE'!E721="","",'SAÍDAS-BASE'!E721)</f>
        <v/>
      </c>
      <c r="G723" t="str">
        <f>IF('SAÍDAS-BASE'!F721="","",'SAÍDAS-BASE'!F721)</f>
        <v/>
      </c>
      <c r="H723" t="str">
        <f>IF('SAÍDAS-BASE'!G721="","",'SAÍDAS-BASE'!G721)</f>
        <v/>
      </c>
      <c r="I723" t="str">
        <f>IF('SAÍDAS-BASE'!H721="","",'SAÍDAS-BASE'!H721)</f>
        <v/>
      </c>
      <c r="J723" t="str">
        <f>IF('SAÍDAS-BASE'!I721="","",'SAÍDAS-BASE'!I721)</f>
        <v/>
      </c>
      <c r="K723" s="5" t="str">
        <f>IF('SAÍDAS-BASE'!J721="","",'SAÍDAS-BASE'!J721)</f>
        <v/>
      </c>
      <c r="L723" t="str">
        <f>IF(TABELA_SAIDAS[[#This Row],[UF]]="","",IFERROR(IF(VLOOKUP(TABELA_SAIDAS[[#This Row],[VALOR]],TABELA_ENTRADAS[VALOR],1,FALSE),"DEVOLUÇÃO"),"SEM ENTRADAS"))</f>
        <v/>
      </c>
    </row>
    <row r="724" spans="2:12" x14ac:dyDescent="0.3">
      <c r="B724" t="str">
        <f>IF('SAÍDAS-BASE'!A722="","",'SAÍDAS-BASE'!A722)</f>
        <v/>
      </c>
      <c r="C724" t="str">
        <f>IF('SAÍDAS-BASE'!B722="","",'SAÍDAS-BASE'!B722)</f>
        <v/>
      </c>
      <c r="D724" t="str">
        <f>IF('SAÍDAS-BASE'!C722="","",'SAÍDAS-BASE'!C722)</f>
        <v/>
      </c>
      <c r="E724" s="7" t="str">
        <f>IF('SAÍDAS-BASE'!D722="","",'SAÍDAS-BASE'!D722)</f>
        <v/>
      </c>
      <c r="F724" s="6" t="str">
        <f>IF('SAÍDAS-BASE'!E722="","",'SAÍDAS-BASE'!E722)</f>
        <v/>
      </c>
      <c r="G724" t="str">
        <f>IF('SAÍDAS-BASE'!F722="","",'SAÍDAS-BASE'!F722)</f>
        <v/>
      </c>
      <c r="H724" t="str">
        <f>IF('SAÍDAS-BASE'!G722="","",'SAÍDAS-BASE'!G722)</f>
        <v/>
      </c>
      <c r="I724" t="str">
        <f>IF('SAÍDAS-BASE'!H722="","",'SAÍDAS-BASE'!H722)</f>
        <v/>
      </c>
      <c r="J724" t="str">
        <f>IF('SAÍDAS-BASE'!I722="","",'SAÍDAS-BASE'!I722)</f>
        <v/>
      </c>
      <c r="K724" s="5" t="str">
        <f>IF('SAÍDAS-BASE'!J722="","",'SAÍDAS-BASE'!J722)</f>
        <v/>
      </c>
      <c r="L724" t="str">
        <f>IF(TABELA_SAIDAS[[#This Row],[UF]]="","",IFERROR(IF(VLOOKUP(TABELA_SAIDAS[[#This Row],[VALOR]],TABELA_ENTRADAS[VALOR],1,FALSE),"DEVOLUÇÃO"),"SEM ENTRADAS"))</f>
        <v/>
      </c>
    </row>
    <row r="725" spans="2:12" x14ac:dyDescent="0.3">
      <c r="B725" t="str">
        <f>IF('SAÍDAS-BASE'!A723="","",'SAÍDAS-BASE'!A723)</f>
        <v/>
      </c>
      <c r="C725" t="str">
        <f>IF('SAÍDAS-BASE'!B723="","",'SAÍDAS-BASE'!B723)</f>
        <v/>
      </c>
      <c r="D725" t="str">
        <f>IF('SAÍDAS-BASE'!C723="","",'SAÍDAS-BASE'!C723)</f>
        <v/>
      </c>
      <c r="E725" s="7" t="str">
        <f>IF('SAÍDAS-BASE'!D723="","",'SAÍDAS-BASE'!D723)</f>
        <v/>
      </c>
      <c r="F725" s="6" t="str">
        <f>IF('SAÍDAS-BASE'!E723="","",'SAÍDAS-BASE'!E723)</f>
        <v/>
      </c>
      <c r="G725" t="str">
        <f>IF('SAÍDAS-BASE'!F723="","",'SAÍDAS-BASE'!F723)</f>
        <v/>
      </c>
      <c r="H725" t="str">
        <f>IF('SAÍDAS-BASE'!G723="","",'SAÍDAS-BASE'!G723)</f>
        <v/>
      </c>
      <c r="I725" t="str">
        <f>IF('SAÍDAS-BASE'!H723="","",'SAÍDAS-BASE'!H723)</f>
        <v/>
      </c>
      <c r="J725" t="str">
        <f>IF('SAÍDAS-BASE'!I723="","",'SAÍDAS-BASE'!I723)</f>
        <v/>
      </c>
      <c r="K725" s="5" t="str">
        <f>IF('SAÍDAS-BASE'!J723="","",'SAÍDAS-BASE'!J723)</f>
        <v/>
      </c>
      <c r="L725" t="str">
        <f>IF(TABELA_SAIDAS[[#This Row],[UF]]="","",IFERROR(IF(VLOOKUP(TABELA_SAIDAS[[#This Row],[VALOR]],TABELA_ENTRADAS[VALOR],1,FALSE),"DEVOLUÇÃO"),"SEM ENTRADAS"))</f>
        <v/>
      </c>
    </row>
    <row r="726" spans="2:12" x14ac:dyDescent="0.3">
      <c r="B726" t="str">
        <f>IF('SAÍDAS-BASE'!A724="","",'SAÍDAS-BASE'!A724)</f>
        <v/>
      </c>
      <c r="C726" t="str">
        <f>IF('SAÍDAS-BASE'!B724="","",'SAÍDAS-BASE'!B724)</f>
        <v/>
      </c>
      <c r="D726" t="str">
        <f>IF('SAÍDAS-BASE'!C724="","",'SAÍDAS-BASE'!C724)</f>
        <v/>
      </c>
      <c r="E726" s="7" t="str">
        <f>IF('SAÍDAS-BASE'!D724="","",'SAÍDAS-BASE'!D724)</f>
        <v/>
      </c>
      <c r="F726" s="6" t="str">
        <f>IF('SAÍDAS-BASE'!E724="","",'SAÍDAS-BASE'!E724)</f>
        <v/>
      </c>
      <c r="G726" t="str">
        <f>IF('SAÍDAS-BASE'!F724="","",'SAÍDAS-BASE'!F724)</f>
        <v/>
      </c>
      <c r="H726" t="str">
        <f>IF('SAÍDAS-BASE'!G724="","",'SAÍDAS-BASE'!G724)</f>
        <v/>
      </c>
      <c r="I726" t="str">
        <f>IF('SAÍDAS-BASE'!H724="","",'SAÍDAS-BASE'!H724)</f>
        <v/>
      </c>
      <c r="J726" t="str">
        <f>IF('SAÍDAS-BASE'!I724="","",'SAÍDAS-BASE'!I724)</f>
        <v/>
      </c>
      <c r="K726" s="5" t="str">
        <f>IF('SAÍDAS-BASE'!J724="","",'SAÍDAS-BASE'!J724)</f>
        <v/>
      </c>
      <c r="L726" t="str">
        <f>IF(TABELA_SAIDAS[[#This Row],[UF]]="","",IFERROR(IF(VLOOKUP(TABELA_SAIDAS[[#This Row],[VALOR]],TABELA_ENTRADAS[VALOR],1,FALSE),"DEVOLUÇÃO"),"SEM ENTRADAS"))</f>
        <v/>
      </c>
    </row>
    <row r="727" spans="2:12" x14ac:dyDescent="0.3">
      <c r="B727" t="str">
        <f>IF('SAÍDAS-BASE'!A725="","",'SAÍDAS-BASE'!A725)</f>
        <v/>
      </c>
      <c r="C727" t="str">
        <f>IF('SAÍDAS-BASE'!B725="","",'SAÍDAS-BASE'!B725)</f>
        <v/>
      </c>
      <c r="D727" t="str">
        <f>IF('SAÍDAS-BASE'!C725="","",'SAÍDAS-BASE'!C725)</f>
        <v/>
      </c>
      <c r="E727" s="7" t="str">
        <f>IF('SAÍDAS-BASE'!D725="","",'SAÍDAS-BASE'!D725)</f>
        <v/>
      </c>
      <c r="F727" s="6" t="str">
        <f>IF('SAÍDAS-BASE'!E725="","",'SAÍDAS-BASE'!E725)</f>
        <v/>
      </c>
      <c r="G727" t="str">
        <f>IF('SAÍDAS-BASE'!F725="","",'SAÍDAS-BASE'!F725)</f>
        <v/>
      </c>
      <c r="H727" t="str">
        <f>IF('SAÍDAS-BASE'!G725="","",'SAÍDAS-BASE'!G725)</f>
        <v/>
      </c>
      <c r="I727" t="str">
        <f>IF('SAÍDAS-BASE'!H725="","",'SAÍDAS-BASE'!H725)</f>
        <v/>
      </c>
      <c r="J727" t="str">
        <f>IF('SAÍDAS-BASE'!I725="","",'SAÍDAS-BASE'!I725)</f>
        <v/>
      </c>
      <c r="K727" s="5" t="str">
        <f>IF('SAÍDAS-BASE'!J725="","",'SAÍDAS-BASE'!J725)</f>
        <v/>
      </c>
      <c r="L727" t="str">
        <f>IF(TABELA_SAIDAS[[#This Row],[UF]]="","",IFERROR(IF(VLOOKUP(TABELA_SAIDAS[[#This Row],[VALOR]],TABELA_ENTRADAS[VALOR],1,FALSE),"DEVOLUÇÃO"),"SEM ENTRADAS"))</f>
        <v/>
      </c>
    </row>
    <row r="728" spans="2:12" x14ac:dyDescent="0.3">
      <c r="B728" t="str">
        <f>IF('SAÍDAS-BASE'!A726="","",'SAÍDAS-BASE'!A726)</f>
        <v/>
      </c>
      <c r="C728" t="str">
        <f>IF('SAÍDAS-BASE'!B726="","",'SAÍDAS-BASE'!B726)</f>
        <v/>
      </c>
      <c r="D728" t="str">
        <f>IF('SAÍDAS-BASE'!C726="","",'SAÍDAS-BASE'!C726)</f>
        <v/>
      </c>
      <c r="E728" s="7" t="str">
        <f>IF('SAÍDAS-BASE'!D726="","",'SAÍDAS-BASE'!D726)</f>
        <v/>
      </c>
      <c r="F728" s="6" t="str">
        <f>IF('SAÍDAS-BASE'!E726="","",'SAÍDAS-BASE'!E726)</f>
        <v/>
      </c>
      <c r="G728" t="str">
        <f>IF('SAÍDAS-BASE'!F726="","",'SAÍDAS-BASE'!F726)</f>
        <v/>
      </c>
      <c r="H728" t="str">
        <f>IF('SAÍDAS-BASE'!G726="","",'SAÍDAS-BASE'!G726)</f>
        <v/>
      </c>
      <c r="I728" t="str">
        <f>IF('SAÍDAS-BASE'!H726="","",'SAÍDAS-BASE'!H726)</f>
        <v/>
      </c>
      <c r="J728" t="str">
        <f>IF('SAÍDAS-BASE'!I726="","",'SAÍDAS-BASE'!I726)</f>
        <v/>
      </c>
      <c r="K728" s="5" t="str">
        <f>IF('SAÍDAS-BASE'!J726="","",'SAÍDAS-BASE'!J726)</f>
        <v/>
      </c>
      <c r="L728" t="str">
        <f>IF(TABELA_SAIDAS[[#This Row],[UF]]="","",IFERROR(IF(VLOOKUP(TABELA_SAIDAS[[#This Row],[VALOR]],TABELA_ENTRADAS[VALOR],1,FALSE),"DEVOLUÇÃO"),"SEM ENTRADAS"))</f>
        <v/>
      </c>
    </row>
    <row r="729" spans="2:12" x14ac:dyDescent="0.3">
      <c r="B729" t="str">
        <f>IF('SAÍDAS-BASE'!A727="","",'SAÍDAS-BASE'!A727)</f>
        <v/>
      </c>
      <c r="C729" t="str">
        <f>IF('SAÍDAS-BASE'!B727="","",'SAÍDAS-BASE'!B727)</f>
        <v/>
      </c>
      <c r="D729" t="str">
        <f>IF('SAÍDAS-BASE'!C727="","",'SAÍDAS-BASE'!C727)</f>
        <v/>
      </c>
      <c r="E729" s="7" t="str">
        <f>IF('SAÍDAS-BASE'!D727="","",'SAÍDAS-BASE'!D727)</f>
        <v/>
      </c>
      <c r="F729" s="6" t="str">
        <f>IF('SAÍDAS-BASE'!E727="","",'SAÍDAS-BASE'!E727)</f>
        <v/>
      </c>
      <c r="G729" t="str">
        <f>IF('SAÍDAS-BASE'!F727="","",'SAÍDAS-BASE'!F727)</f>
        <v/>
      </c>
      <c r="H729" t="str">
        <f>IF('SAÍDAS-BASE'!G727="","",'SAÍDAS-BASE'!G727)</f>
        <v/>
      </c>
      <c r="I729" t="str">
        <f>IF('SAÍDAS-BASE'!H727="","",'SAÍDAS-BASE'!H727)</f>
        <v/>
      </c>
      <c r="J729" t="str">
        <f>IF('SAÍDAS-BASE'!I727="","",'SAÍDAS-BASE'!I727)</f>
        <v/>
      </c>
      <c r="K729" s="5" t="str">
        <f>IF('SAÍDAS-BASE'!J727="","",'SAÍDAS-BASE'!J727)</f>
        <v/>
      </c>
      <c r="L729" t="str">
        <f>IF(TABELA_SAIDAS[[#This Row],[UF]]="","",IFERROR(IF(VLOOKUP(TABELA_SAIDAS[[#This Row],[VALOR]],TABELA_ENTRADAS[VALOR],1,FALSE),"DEVOLUÇÃO"),"SEM ENTRADAS"))</f>
        <v/>
      </c>
    </row>
    <row r="730" spans="2:12" x14ac:dyDescent="0.3">
      <c r="B730" t="str">
        <f>IF('SAÍDAS-BASE'!A728="","",'SAÍDAS-BASE'!A728)</f>
        <v/>
      </c>
      <c r="C730" t="str">
        <f>IF('SAÍDAS-BASE'!B728="","",'SAÍDAS-BASE'!B728)</f>
        <v/>
      </c>
      <c r="D730" t="str">
        <f>IF('SAÍDAS-BASE'!C728="","",'SAÍDAS-BASE'!C728)</f>
        <v/>
      </c>
      <c r="E730" s="7" t="str">
        <f>IF('SAÍDAS-BASE'!D728="","",'SAÍDAS-BASE'!D728)</f>
        <v/>
      </c>
      <c r="F730" s="6" t="str">
        <f>IF('SAÍDAS-BASE'!E728="","",'SAÍDAS-BASE'!E728)</f>
        <v/>
      </c>
      <c r="G730" t="str">
        <f>IF('SAÍDAS-BASE'!F728="","",'SAÍDAS-BASE'!F728)</f>
        <v/>
      </c>
      <c r="H730" t="str">
        <f>IF('SAÍDAS-BASE'!G728="","",'SAÍDAS-BASE'!G728)</f>
        <v/>
      </c>
      <c r="I730" t="str">
        <f>IF('SAÍDAS-BASE'!H728="","",'SAÍDAS-BASE'!H728)</f>
        <v/>
      </c>
      <c r="J730" t="str">
        <f>IF('SAÍDAS-BASE'!I728="","",'SAÍDAS-BASE'!I728)</f>
        <v/>
      </c>
      <c r="K730" s="5" t="str">
        <f>IF('SAÍDAS-BASE'!J728="","",'SAÍDAS-BASE'!J728)</f>
        <v/>
      </c>
      <c r="L730" t="str">
        <f>IF(TABELA_SAIDAS[[#This Row],[UF]]="","",IFERROR(IF(VLOOKUP(TABELA_SAIDAS[[#This Row],[VALOR]],TABELA_ENTRADAS[VALOR],1,FALSE),"DEVOLUÇÃO"),"SEM ENTRADAS"))</f>
        <v/>
      </c>
    </row>
    <row r="731" spans="2:12" x14ac:dyDescent="0.3">
      <c r="B731" t="str">
        <f>IF('SAÍDAS-BASE'!A729="","",'SAÍDAS-BASE'!A729)</f>
        <v/>
      </c>
      <c r="C731" t="str">
        <f>IF('SAÍDAS-BASE'!B729="","",'SAÍDAS-BASE'!B729)</f>
        <v/>
      </c>
      <c r="D731" t="str">
        <f>IF('SAÍDAS-BASE'!C729="","",'SAÍDAS-BASE'!C729)</f>
        <v/>
      </c>
      <c r="E731" s="7" t="str">
        <f>IF('SAÍDAS-BASE'!D729="","",'SAÍDAS-BASE'!D729)</f>
        <v/>
      </c>
      <c r="F731" s="6" t="str">
        <f>IF('SAÍDAS-BASE'!E729="","",'SAÍDAS-BASE'!E729)</f>
        <v/>
      </c>
      <c r="G731" t="str">
        <f>IF('SAÍDAS-BASE'!F729="","",'SAÍDAS-BASE'!F729)</f>
        <v/>
      </c>
      <c r="H731" t="str">
        <f>IF('SAÍDAS-BASE'!G729="","",'SAÍDAS-BASE'!G729)</f>
        <v/>
      </c>
      <c r="I731" t="str">
        <f>IF('SAÍDAS-BASE'!H729="","",'SAÍDAS-BASE'!H729)</f>
        <v/>
      </c>
      <c r="J731" t="str">
        <f>IF('SAÍDAS-BASE'!I729="","",'SAÍDAS-BASE'!I729)</f>
        <v/>
      </c>
      <c r="K731" s="5" t="str">
        <f>IF('SAÍDAS-BASE'!J729="","",'SAÍDAS-BASE'!J729)</f>
        <v/>
      </c>
      <c r="L731" t="str">
        <f>IF(TABELA_SAIDAS[[#This Row],[UF]]="","",IFERROR(IF(VLOOKUP(TABELA_SAIDAS[[#This Row],[VALOR]],TABELA_ENTRADAS[VALOR],1,FALSE),"DEVOLUÇÃO"),"SEM ENTRADAS"))</f>
        <v/>
      </c>
    </row>
    <row r="732" spans="2:12" x14ac:dyDescent="0.3">
      <c r="B732" t="str">
        <f>IF('SAÍDAS-BASE'!A730="","",'SAÍDAS-BASE'!A730)</f>
        <v/>
      </c>
      <c r="C732" t="str">
        <f>IF('SAÍDAS-BASE'!B730="","",'SAÍDAS-BASE'!B730)</f>
        <v/>
      </c>
      <c r="D732" t="str">
        <f>IF('SAÍDAS-BASE'!C730="","",'SAÍDAS-BASE'!C730)</f>
        <v/>
      </c>
      <c r="E732" s="7" t="str">
        <f>IF('SAÍDAS-BASE'!D730="","",'SAÍDAS-BASE'!D730)</f>
        <v/>
      </c>
      <c r="F732" s="6" t="str">
        <f>IF('SAÍDAS-BASE'!E730="","",'SAÍDAS-BASE'!E730)</f>
        <v/>
      </c>
      <c r="G732" t="str">
        <f>IF('SAÍDAS-BASE'!F730="","",'SAÍDAS-BASE'!F730)</f>
        <v/>
      </c>
      <c r="H732" t="str">
        <f>IF('SAÍDAS-BASE'!G730="","",'SAÍDAS-BASE'!G730)</f>
        <v/>
      </c>
      <c r="I732" t="str">
        <f>IF('SAÍDAS-BASE'!H730="","",'SAÍDAS-BASE'!H730)</f>
        <v/>
      </c>
      <c r="J732" t="str">
        <f>IF('SAÍDAS-BASE'!I730="","",'SAÍDAS-BASE'!I730)</f>
        <v/>
      </c>
      <c r="K732" s="5" t="str">
        <f>IF('SAÍDAS-BASE'!J730="","",'SAÍDAS-BASE'!J730)</f>
        <v/>
      </c>
      <c r="L732" t="str">
        <f>IF(TABELA_SAIDAS[[#This Row],[UF]]="","",IFERROR(IF(VLOOKUP(TABELA_SAIDAS[[#This Row],[VALOR]],TABELA_ENTRADAS[VALOR],1,FALSE),"DEVOLUÇÃO"),"SEM ENTRADAS"))</f>
        <v/>
      </c>
    </row>
    <row r="733" spans="2:12" x14ac:dyDescent="0.3">
      <c r="B733" t="str">
        <f>IF('SAÍDAS-BASE'!A731="","",'SAÍDAS-BASE'!A731)</f>
        <v/>
      </c>
      <c r="C733" t="str">
        <f>IF('SAÍDAS-BASE'!B731="","",'SAÍDAS-BASE'!B731)</f>
        <v/>
      </c>
      <c r="D733" t="str">
        <f>IF('SAÍDAS-BASE'!C731="","",'SAÍDAS-BASE'!C731)</f>
        <v/>
      </c>
      <c r="E733" s="7" t="str">
        <f>IF('SAÍDAS-BASE'!D731="","",'SAÍDAS-BASE'!D731)</f>
        <v/>
      </c>
      <c r="F733" s="6" t="str">
        <f>IF('SAÍDAS-BASE'!E731="","",'SAÍDAS-BASE'!E731)</f>
        <v/>
      </c>
      <c r="G733" t="str">
        <f>IF('SAÍDAS-BASE'!F731="","",'SAÍDAS-BASE'!F731)</f>
        <v/>
      </c>
      <c r="H733" t="str">
        <f>IF('SAÍDAS-BASE'!G731="","",'SAÍDAS-BASE'!G731)</f>
        <v/>
      </c>
      <c r="I733" t="str">
        <f>IF('SAÍDAS-BASE'!H731="","",'SAÍDAS-BASE'!H731)</f>
        <v/>
      </c>
      <c r="J733" t="str">
        <f>IF('SAÍDAS-BASE'!I731="","",'SAÍDAS-BASE'!I731)</f>
        <v/>
      </c>
      <c r="K733" s="5" t="str">
        <f>IF('SAÍDAS-BASE'!J731="","",'SAÍDAS-BASE'!J731)</f>
        <v/>
      </c>
      <c r="L733" t="str">
        <f>IF(TABELA_SAIDAS[[#This Row],[UF]]="","",IFERROR(IF(VLOOKUP(TABELA_SAIDAS[[#This Row],[VALOR]],TABELA_ENTRADAS[VALOR],1,FALSE),"DEVOLUÇÃO"),"SEM ENTRADAS"))</f>
        <v/>
      </c>
    </row>
    <row r="734" spans="2:12" x14ac:dyDescent="0.3">
      <c r="B734" t="str">
        <f>IF('SAÍDAS-BASE'!A732="","",'SAÍDAS-BASE'!A732)</f>
        <v/>
      </c>
      <c r="C734" t="str">
        <f>IF('SAÍDAS-BASE'!B732="","",'SAÍDAS-BASE'!B732)</f>
        <v/>
      </c>
      <c r="D734" t="str">
        <f>IF('SAÍDAS-BASE'!C732="","",'SAÍDAS-BASE'!C732)</f>
        <v/>
      </c>
      <c r="E734" s="7" t="str">
        <f>IF('SAÍDAS-BASE'!D732="","",'SAÍDAS-BASE'!D732)</f>
        <v/>
      </c>
      <c r="F734" s="6" t="str">
        <f>IF('SAÍDAS-BASE'!E732="","",'SAÍDAS-BASE'!E732)</f>
        <v/>
      </c>
      <c r="G734" t="str">
        <f>IF('SAÍDAS-BASE'!F732="","",'SAÍDAS-BASE'!F732)</f>
        <v/>
      </c>
      <c r="H734" t="str">
        <f>IF('SAÍDAS-BASE'!G732="","",'SAÍDAS-BASE'!G732)</f>
        <v/>
      </c>
      <c r="I734" t="str">
        <f>IF('SAÍDAS-BASE'!H732="","",'SAÍDAS-BASE'!H732)</f>
        <v/>
      </c>
      <c r="J734" t="str">
        <f>IF('SAÍDAS-BASE'!I732="","",'SAÍDAS-BASE'!I732)</f>
        <v/>
      </c>
      <c r="K734" s="5" t="str">
        <f>IF('SAÍDAS-BASE'!J732="","",'SAÍDAS-BASE'!J732)</f>
        <v/>
      </c>
      <c r="L734" t="str">
        <f>IF(TABELA_SAIDAS[[#This Row],[UF]]="","",IFERROR(IF(VLOOKUP(TABELA_SAIDAS[[#This Row],[VALOR]],TABELA_ENTRADAS[VALOR],1,FALSE),"DEVOLUÇÃO"),"SEM ENTRADAS"))</f>
        <v/>
      </c>
    </row>
    <row r="735" spans="2:12" x14ac:dyDescent="0.3">
      <c r="B735" t="str">
        <f>IF('SAÍDAS-BASE'!A733="","",'SAÍDAS-BASE'!A733)</f>
        <v/>
      </c>
      <c r="C735" t="str">
        <f>IF('SAÍDAS-BASE'!B733="","",'SAÍDAS-BASE'!B733)</f>
        <v/>
      </c>
      <c r="D735" t="str">
        <f>IF('SAÍDAS-BASE'!C733="","",'SAÍDAS-BASE'!C733)</f>
        <v/>
      </c>
      <c r="E735" s="7" t="str">
        <f>IF('SAÍDAS-BASE'!D733="","",'SAÍDAS-BASE'!D733)</f>
        <v/>
      </c>
      <c r="F735" s="6" t="str">
        <f>IF('SAÍDAS-BASE'!E733="","",'SAÍDAS-BASE'!E733)</f>
        <v/>
      </c>
      <c r="G735" t="str">
        <f>IF('SAÍDAS-BASE'!F733="","",'SAÍDAS-BASE'!F733)</f>
        <v/>
      </c>
      <c r="H735" t="str">
        <f>IF('SAÍDAS-BASE'!G733="","",'SAÍDAS-BASE'!G733)</f>
        <v/>
      </c>
      <c r="I735" t="str">
        <f>IF('SAÍDAS-BASE'!H733="","",'SAÍDAS-BASE'!H733)</f>
        <v/>
      </c>
      <c r="J735" t="str">
        <f>IF('SAÍDAS-BASE'!I733="","",'SAÍDAS-BASE'!I733)</f>
        <v/>
      </c>
      <c r="K735" s="5" t="str">
        <f>IF('SAÍDAS-BASE'!J733="","",'SAÍDAS-BASE'!J733)</f>
        <v/>
      </c>
      <c r="L735" t="str">
        <f>IF(TABELA_SAIDAS[[#This Row],[UF]]="","",IFERROR(IF(VLOOKUP(TABELA_SAIDAS[[#This Row],[VALOR]],TABELA_ENTRADAS[VALOR],1,FALSE),"DEVOLUÇÃO"),"SEM ENTRADAS"))</f>
        <v/>
      </c>
    </row>
    <row r="736" spans="2:12" x14ac:dyDescent="0.3">
      <c r="B736" t="str">
        <f>IF('SAÍDAS-BASE'!A734="","",'SAÍDAS-BASE'!A734)</f>
        <v/>
      </c>
      <c r="C736" t="str">
        <f>IF('SAÍDAS-BASE'!B734="","",'SAÍDAS-BASE'!B734)</f>
        <v/>
      </c>
      <c r="D736" t="str">
        <f>IF('SAÍDAS-BASE'!C734="","",'SAÍDAS-BASE'!C734)</f>
        <v/>
      </c>
      <c r="E736" s="7" t="str">
        <f>IF('SAÍDAS-BASE'!D734="","",'SAÍDAS-BASE'!D734)</f>
        <v/>
      </c>
      <c r="F736" s="6" t="str">
        <f>IF('SAÍDAS-BASE'!E734="","",'SAÍDAS-BASE'!E734)</f>
        <v/>
      </c>
      <c r="G736" t="str">
        <f>IF('SAÍDAS-BASE'!F734="","",'SAÍDAS-BASE'!F734)</f>
        <v/>
      </c>
      <c r="H736" t="str">
        <f>IF('SAÍDAS-BASE'!G734="","",'SAÍDAS-BASE'!G734)</f>
        <v/>
      </c>
      <c r="I736" t="str">
        <f>IF('SAÍDAS-BASE'!H734="","",'SAÍDAS-BASE'!H734)</f>
        <v/>
      </c>
      <c r="J736" t="str">
        <f>IF('SAÍDAS-BASE'!I734="","",'SAÍDAS-BASE'!I734)</f>
        <v/>
      </c>
      <c r="K736" s="5" t="str">
        <f>IF('SAÍDAS-BASE'!J734="","",'SAÍDAS-BASE'!J734)</f>
        <v/>
      </c>
      <c r="L736" t="str">
        <f>IF(TABELA_SAIDAS[[#This Row],[UF]]="","",IFERROR(IF(VLOOKUP(TABELA_SAIDAS[[#This Row],[VALOR]],TABELA_ENTRADAS[VALOR],1,FALSE),"DEVOLUÇÃO"),"SEM ENTRADAS"))</f>
        <v/>
      </c>
    </row>
    <row r="737" spans="2:12" x14ac:dyDescent="0.3">
      <c r="B737" t="str">
        <f>IF('SAÍDAS-BASE'!A735="","",'SAÍDAS-BASE'!A735)</f>
        <v/>
      </c>
      <c r="C737" t="str">
        <f>IF('SAÍDAS-BASE'!B735="","",'SAÍDAS-BASE'!B735)</f>
        <v/>
      </c>
      <c r="D737" t="str">
        <f>IF('SAÍDAS-BASE'!C735="","",'SAÍDAS-BASE'!C735)</f>
        <v/>
      </c>
      <c r="E737" s="7" t="str">
        <f>IF('SAÍDAS-BASE'!D735="","",'SAÍDAS-BASE'!D735)</f>
        <v/>
      </c>
      <c r="F737" s="6" t="str">
        <f>IF('SAÍDAS-BASE'!E735="","",'SAÍDAS-BASE'!E735)</f>
        <v/>
      </c>
      <c r="G737" t="str">
        <f>IF('SAÍDAS-BASE'!F735="","",'SAÍDAS-BASE'!F735)</f>
        <v/>
      </c>
      <c r="H737" t="str">
        <f>IF('SAÍDAS-BASE'!G735="","",'SAÍDAS-BASE'!G735)</f>
        <v/>
      </c>
      <c r="I737" t="str">
        <f>IF('SAÍDAS-BASE'!H735="","",'SAÍDAS-BASE'!H735)</f>
        <v/>
      </c>
      <c r="J737" t="str">
        <f>IF('SAÍDAS-BASE'!I735="","",'SAÍDAS-BASE'!I735)</f>
        <v/>
      </c>
      <c r="K737" s="5" t="str">
        <f>IF('SAÍDAS-BASE'!J735="","",'SAÍDAS-BASE'!J735)</f>
        <v/>
      </c>
      <c r="L737" t="str">
        <f>IF(TABELA_SAIDAS[[#This Row],[UF]]="","",IFERROR(IF(VLOOKUP(TABELA_SAIDAS[[#This Row],[VALOR]],TABELA_ENTRADAS[VALOR],1,FALSE),"DEVOLUÇÃO"),"SEM ENTRADAS"))</f>
        <v/>
      </c>
    </row>
    <row r="738" spans="2:12" x14ac:dyDescent="0.3">
      <c r="B738" t="str">
        <f>IF('SAÍDAS-BASE'!A736="","",'SAÍDAS-BASE'!A736)</f>
        <v/>
      </c>
      <c r="C738" t="str">
        <f>IF('SAÍDAS-BASE'!B736="","",'SAÍDAS-BASE'!B736)</f>
        <v/>
      </c>
      <c r="D738" t="str">
        <f>IF('SAÍDAS-BASE'!C736="","",'SAÍDAS-BASE'!C736)</f>
        <v/>
      </c>
      <c r="E738" s="7" t="str">
        <f>IF('SAÍDAS-BASE'!D736="","",'SAÍDAS-BASE'!D736)</f>
        <v/>
      </c>
      <c r="F738" s="6" t="str">
        <f>IF('SAÍDAS-BASE'!E736="","",'SAÍDAS-BASE'!E736)</f>
        <v/>
      </c>
      <c r="G738" t="str">
        <f>IF('SAÍDAS-BASE'!F736="","",'SAÍDAS-BASE'!F736)</f>
        <v/>
      </c>
      <c r="H738" t="str">
        <f>IF('SAÍDAS-BASE'!G736="","",'SAÍDAS-BASE'!G736)</f>
        <v/>
      </c>
      <c r="I738" t="str">
        <f>IF('SAÍDAS-BASE'!H736="","",'SAÍDAS-BASE'!H736)</f>
        <v/>
      </c>
      <c r="J738" t="str">
        <f>IF('SAÍDAS-BASE'!I736="","",'SAÍDAS-BASE'!I736)</f>
        <v/>
      </c>
      <c r="K738" s="5" t="str">
        <f>IF('SAÍDAS-BASE'!J736="","",'SAÍDAS-BASE'!J736)</f>
        <v/>
      </c>
      <c r="L738" t="str">
        <f>IF(TABELA_SAIDAS[[#This Row],[UF]]="","",IFERROR(IF(VLOOKUP(TABELA_SAIDAS[[#This Row],[VALOR]],TABELA_ENTRADAS[VALOR],1,FALSE),"DEVOLUÇÃO"),"SEM ENTRADAS"))</f>
        <v/>
      </c>
    </row>
    <row r="739" spans="2:12" x14ac:dyDescent="0.3">
      <c r="B739" t="str">
        <f>IF('SAÍDAS-BASE'!A737="","",'SAÍDAS-BASE'!A737)</f>
        <v/>
      </c>
      <c r="C739" t="str">
        <f>IF('SAÍDAS-BASE'!B737="","",'SAÍDAS-BASE'!B737)</f>
        <v/>
      </c>
      <c r="D739" t="str">
        <f>IF('SAÍDAS-BASE'!C737="","",'SAÍDAS-BASE'!C737)</f>
        <v/>
      </c>
      <c r="E739" s="7" t="str">
        <f>IF('SAÍDAS-BASE'!D737="","",'SAÍDAS-BASE'!D737)</f>
        <v/>
      </c>
      <c r="F739" s="6" t="str">
        <f>IF('SAÍDAS-BASE'!E737="","",'SAÍDAS-BASE'!E737)</f>
        <v/>
      </c>
      <c r="G739" t="str">
        <f>IF('SAÍDAS-BASE'!F737="","",'SAÍDAS-BASE'!F737)</f>
        <v/>
      </c>
      <c r="H739" t="str">
        <f>IF('SAÍDAS-BASE'!G737="","",'SAÍDAS-BASE'!G737)</f>
        <v/>
      </c>
      <c r="I739" t="str">
        <f>IF('SAÍDAS-BASE'!H737="","",'SAÍDAS-BASE'!H737)</f>
        <v/>
      </c>
      <c r="J739" t="str">
        <f>IF('SAÍDAS-BASE'!I737="","",'SAÍDAS-BASE'!I737)</f>
        <v/>
      </c>
      <c r="K739" s="5" t="str">
        <f>IF('SAÍDAS-BASE'!J737="","",'SAÍDAS-BASE'!J737)</f>
        <v/>
      </c>
      <c r="L739" t="str">
        <f>IF(TABELA_SAIDAS[[#This Row],[UF]]="","",IFERROR(IF(VLOOKUP(TABELA_SAIDAS[[#This Row],[VALOR]],TABELA_ENTRADAS[VALOR],1,FALSE),"DEVOLUÇÃO"),"SEM ENTRADAS"))</f>
        <v/>
      </c>
    </row>
    <row r="740" spans="2:12" x14ac:dyDescent="0.3">
      <c r="B740" t="str">
        <f>IF('SAÍDAS-BASE'!A738="","",'SAÍDAS-BASE'!A738)</f>
        <v/>
      </c>
      <c r="C740" t="str">
        <f>IF('SAÍDAS-BASE'!B738="","",'SAÍDAS-BASE'!B738)</f>
        <v/>
      </c>
      <c r="D740" t="str">
        <f>IF('SAÍDAS-BASE'!C738="","",'SAÍDAS-BASE'!C738)</f>
        <v/>
      </c>
      <c r="E740" s="7" t="str">
        <f>IF('SAÍDAS-BASE'!D738="","",'SAÍDAS-BASE'!D738)</f>
        <v/>
      </c>
      <c r="F740" s="6" t="str">
        <f>IF('SAÍDAS-BASE'!E738="","",'SAÍDAS-BASE'!E738)</f>
        <v/>
      </c>
      <c r="G740" t="str">
        <f>IF('SAÍDAS-BASE'!F738="","",'SAÍDAS-BASE'!F738)</f>
        <v/>
      </c>
      <c r="H740" t="str">
        <f>IF('SAÍDAS-BASE'!G738="","",'SAÍDAS-BASE'!G738)</f>
        <v/>
      </c>
      <c r="I740" t="str">
        <f>IF('SAÍDAS-BASE'!H738="","",'SAÍDAS-BASE'!H738)</f>
        <v/>
      </c>
      <c r="J740" t="str">
        <f>IF('SAÍDAS-BASE'!I738="","",'SAÍDAS-BASE'!I738)</f>
        <v/>
      </c>
      <c r="K740" s="5" t="str">
        <f>IF('SAÍDAS-BASE'!J738="","",'SAÍDAS-BASE'!J738)</f>
        <v/>
      </c>
      <c r="L740" t="str">
        <f>IF(TABELA_SAIDAS[[#This Row],[UF]]="","",IFERROR(IF(VLOOKUP(TABELA_SAIDAS[[#This Row],[VALOR]],TABELA_ENTRADAS[VALOR],1,FALSE),"DEVOLUÇÃO"),"SEM ENTRADAS"))</f>
        <v/>
      </c>
    </row>
    <row r="741" spans="2:12" x14ac:dyDescent="0.3">
      <c r="B741" t="str">
        <f>IF('SAÍDAS-BASE'!A739="","",'SAÍDAS-BASE'!A739)</f>
        <v/>
      </c>
      <c r="C741" t="str">
        <f>IF('SAÍDAS-BASE'!B739="","",'SAÍDAS-BASE'!B739)</f>
        <v/>
      </c>
      <c r="D741" t="str">
        <f>IF('SAÍDAS-BASE'!C739="","",'SAÍDAS-BASE'!C739)</f>
        <v/>
      </c>
      <c r="E741" s="7" t="str">
        <f>IF('SAÍDAS-BASE'!D739="","",'SAÍDAS-BASE'!D739)</f>
        <v/>
      </c>
      <c r="F741" s="6" t="str">
        <f>IF('SAÍDAS-BASE'!E739="","",'SAÍDAS-BASE'!E739)</f>
        <v/>
      </c>
      <c r="G741" t="str">
        <f>IF('SAÍDAS-BASE'!F739="","",'SAÍDAS-BASE'!F739)</f>
        <v/>
      </c>
      <c r="H741" t="str">
        <f>IF('SAÍDAS-BASE'!G739="","",'SAÍDAS-BASE'!G739)</f>
        <v/>
      </c>
      <c r="I741" t="str">
        <f>IF('SAÍDAS-BASE'!H739="","",'SAÍDAS-BASE'!H739)</f>
        <v/>
      </c>
      <c r="J741" t="str">
        <f>IF('SAÍDAS-BASE'!I739="","",'SAÍDAS-BASE'!I739)</f>
        <v/>
      </c>
      <c r="K741" s="5" t="str">
        <f>IF('SAÍDAS-BASE'!J739="","",'SAÍDAS-BASE'!J739)</f>
        <v/>
      </c>
      <c r="L741" t="str">
        <f>IF(TABELA_SAIDAS[[#This Row],[UF]]="","",IFERROR(IF(VLOOKUP(TABELA_SAIDAS[[#This Row],[VALOR]],TABELA_ENTRADAS[VALOR],1,FALSE),"DEVOLUÇÃO"),"SEM ENTRADAS"))</f>
        <v/>
      </c>
    </row>
    <row r="742" spans="2:12" x14ac:dyDescent="0.3">
      <c r="B742" t="str">
        <f>IF('SAÍDAS-BASE'!A740="","",'SAÍDAS-BASE'!A740)</f>
        <v/>
      </c>
      <c r="C742" t="str">
        <f>IF('SAÍDAS-BASE'!B740="","",'SAÍDAS-BASE'!B740)</f>
        <v/>
      </c>
      <c r="D742" t="str">
        <f>IF('SAÍDAS-BASE'!C740="","",'SAÍDAS-BASE'!C740)</f>
        <v/>
      </c>
      <c r="E742" s="7" t="str">
        <f>IF('SAÍDAS-BASE'!D740="","",'SAÍDAS-BASE'!D740)</f>
        <v/>
      </c>
      <c r="F742" s="6" t="str">
        <f>IF('SAÍDAS-BASE'!E740="","",'SAÍDAS-BASE'!E740)</f>
        <v/>
      </c>
      <c r="G742" t="str">
        <f>IF('SAÍDAS-BASE'!F740="","",'SAÍDAS-BASE'!F740)</f>
        <v/>
      </c>
      <c r="H742" t="str">
        <f>IF('SAÍDAS-BASE'!G740="","",'SAÍDAS-BASE'!G740)</f>
        <v/>
      </c>
      <c r="I742" t="str">
        <f>IF('SAÍDAS-BASE'!H740="","",'SAÍDAS-BASE'!H740)</f>
        <v/>
      </c>
      <c r="J742" t="str">
        <f>IF('SAÍDAS-BASE'!I740="","",'SAÍDAS-BASE'!I740)</f>
        <v/>
      </c>
      <c r="K742" s="5" t="str">
        <f>IF('SAÍDAS-BASE'!J740="","",'SAÍDAS-BASE'!J740)</f>
        <v/>
      </c>
      <c r="L742" t="str">
        <f>IF(TABELA_SAIDAS[[#This Row],[UF]]="","",IFERROR(IF(VLOOKUP(TABELA_SAIDAS[[#This Row],[VALOR]],TABELA_ENTRADAS[VALOR],1,FALSE),"DEVOLUÇÃO"),"SEM ENTRADAS"))</f>
        <v/>
      </c>
    </row>
    <row r="743" spans="2:12" x14ac:dyDescent="0.3">
      <c r="B743" t="str">
        <f>IF('SAÍDAS-BASE'!A741="","",'SAÍDAS-BASE'!A741)</f>
        <v/>
      </c>
      <c r="C743" t="str">
        <f>IF('SAÍDAS-BASE'!B741="","",'SAÍDAS-BASE'!B741)</f>
        <v/>
      </c>
      <c r="D743" t="str">
        <f>IF('SAÍDAS-BASE'!C741="","",'SAÍDAS-BASE'!C741)</f>
        <v/>
      </c>
      <c r="E743" s="7" t="str">
        <f>IF('SAÍDAS-BASE'!D741="","",'SAÍDAS-BASE'!D741)</f>
        <v/>
      </c>
      <c r="F743" s="6" t="str">
        <f>IF('SAÍDAS-BASE'!E741="","",'SAÍDAS-BASE'!E741)</f>
        <v/>
      </c>
      <c r="G743" t="str">
        <f>IF('SAÍDAS-BASE'!F741="","",'SAÍDAS-BASE'!F741)</f>
        <v/>
      </c>
      <c r="H743" t="str">
        <f>IF('SAÍDAS-BASE'!G741="","",'SAÍDAS-BASE'!G741)</f>
        <v/>
      </c>
      <c r="I743" t="str">
        <f>IF('SAÍDAS-BASE'!H741="","",'SAÍDAS-BASE'!H741)</f>
        <v/>
      </c>
      <c r="J743" t="str">
        <f>IF('SAÍDAS-BASE'!I741="","",'SAÍDAS-BASE'!I741)</f>
        <v/>
      </c>
      <c r="K743" s="5" t="str">
        <f>IF('SAÍDAS-BASE'!J741="","",'SAÍDAS-BASE'!J741)</f>
        <v/>
      </c>
      <c r="L743" t="str">
        <f>IF(TABELA_SAIDAS[[#This Row],[UF]]="","",IFERROR(IF(VLOOKUP(TABELA_SAIDAS[[#This Row],[VALOR]],TABELA_ENTRADAS[VALOR],1,FALSE),"DEVOLUÇÃO"),"SEM ENTRADAS"))</f>
        <v/>
      </c>
    </row>
    <row r="744" spans="2:12" x14ac:dyDescent="0.3">
      <c r="B744" t="str">
        <f>IF('SAÍDAS-BASE'!A742="","",'SAÍDAS-BASE'!A742)</f>
        <v/>
      </c>
      <c r="C744" t="str">
        <f>IF('SAÍDAS-BASE'!B742="","",'SAÍDAS-BASE'!B742)</f>
        <v/>
      </c>
      <c r="D744" t="str">
        <f>IF('SAÍDAS-BASE'!C742="","",'SAÍDAS-BASE'!C742)</f>
        <v/>
      </c>
      <c r="E744" s="7" t="str">
        <f>IF('SAÍDAS-BASE'!D742="","",'SAÍDAS-BASE'!D742)</f>
        <v/>
      </c>
      <c r="F744" s="6" t="str">
        <f>IF('SAÍDAS-BASE'!E742="","",'SAÍDAS-BASE'!E742)</f>
        <v/>
      </c>
      <c r="G744" t="str">
        <f>IF('SAÍDAS-BASE'!F742="","",'SAÍDAS-BASE'!F742)</f>
        <v/>
      </c>
      <c r="H744" t="str">
        <f>IF('SAÍDAS-BASE'!G742="","",'SAÍDAS-BASE'!G742)</f>
        <v/>
      </c>
      <c r="I744" t="str">
        <f>IF('SAÍDAS-BASE'!H742="","",'SAÍDAS-BASE'!H742)</f>
        <v/>
      </c>
      <c r="J744" t="str">
        <f>IF('SAÍDAS-BASE'!I742="","",'SAÍDAS-BASE'!I742)</f>
        <v/>
      </c>
      <c r="K744" s="5" t="str">
        <f>IF('SAÍDAS-BASE'!J742="","",'SAÍDAS-BASE'!J742)</f>
        <v/>
      </c>
      <c r="L744" t="str">
        <f>IF(TABELA_SAIDAS[[#This Row],[UF]]="","",IFERROR(IF(VLOOKUP(TABELA_SAIDAS[[#This Row],[VALOR]],TABELA_ENTRADAS[VALOR],1,FALSE),"DEVOLUÇÃO"),"SEM ENTRADAS"))</f>
        <v/>
      </c>
    </row>
    <row r="745" spans="2:12" x14ac:dyDescent="0.3">
      <c r="B745" t="str">
        <f>IF('SAÍDAS-BASE'!A743="","",'SAÍDAS-BASE'!A743)</f>
        <v/>
      </c>
      <c r="C745" t="str">
        <f>IF('SAÍDAS-BASE'!B743="","",'SAÍDAS-BASE'!B743)</f>
        <v/>
      </c>
      <c r="D745" t="str">
        <f>IF('SAÍDAS-BASE'!C743="","",'SAÍDAS-BASE'!C743)</f>
        <v/>
      </c>
      <c r="E745" s="7" t="str">
        <f>IF('SAÍDAS-BASE'!D743="","",'SAÍDAS-BASE'!D743)</f>
        <v/>
      </c>
      <c r="F745" s="6" t="str">
        <f>IF('SAÍDAS-BASE'!E743="","",'SAÍDAS-BASE'!E743)</f>
        <v/>
      </c>
      <c r="G745" t="str">
        <f>IF('SAÍDAS-BASE'!F743="","",'SAÍDAS-BASE'!F743)</f>
        <v/>
      </c>
      <c r="H745" t="str">
        <f>IF('SAÍDAS-BASE'!G743="","",'SAÍDAS-BASE'!G743)</f>
        <v/>
      </c>
      <c r="I745" t="str">
        <f>IF('SAÍDAS-BASE'!H743="","",'SAÍDAS-BASE'!H743)</f>
        <v/>
      </c>
      <c r="J745" t="str">
        <f>IF('SAÍDAS-BASE'!I743="","",'SAÍDAS-BASE'!I743)</f>
        <v/>
      </c>
      <c r="K745" s="5" t="str">
        <f>IF('SAÍDAS-BASE'!J743="","",'SAÍDAS-BASE'!J743)</f>
        <v/>
      </c>
      <c r="L745" t="str">
        <f>IF(TABELA_SAIDAS[[#This Row],[UF]]="","",IFERROR(IF(VLOOKUP(TABELA_SAIDAS[[#This Row],[VALOR]],TABELA_ENTRADAS[VALOR],1,FALSE),"DEVOLUÇÃO"),"SEM ENTRADAS"))</f>
        <v/>
      </c>
    </row>
    <row r="746" spans="2:12" x14ac:dyDescent="0.3">
      <c r="B746" t="str">
        <f>IF('SAÍDAS-BASE'!A744="","",'SAÍDAS-BASE'!A744)</f>
        <v/>
      </c>
      <c r="C746" t="str">
        <f>IF('SAÍDAS-BASE'!B744="","",'SAÍDAS-BASE'!B744)</f>
        <v/>
      </c>
      <c r="D746" t="str">
        <f>IF('SAÍDAS-BASE'!C744="","",'SAÍDAS-BASE'!C744)</f>
        <v/>
      </c>
      <c r="E746" s="7" t="str">
        <f>IF('SAÍDAS-BASE'!D744="","",'SAÍDAS-BASE'!D744)</f>
        <v/>
      </c>
      <c r="F746" s="6" t="str">
        <f>IF('SAÍDAS-BASE'!E744="","",'SAÍDAS-BASE'!E744)</f>
        <v/>
      </c>
      <c r="G746" t="str">
        <f>IF('SAÍDAS-BASE'!F744="","",'SAÍDAS-BASE'!F744)</f>
        <v/>
      </c>
      <c r="H746" t="str">
        <f>IF('SAÍDAS-BASE'!G744="","",'SAÍDAS-BASE'!G744)</f>
        <v/>
      </c>
      <c r="I746" t="str">
        <f>IF('SAÍDAS-BASE'!H744="","",'SAÍDAS-BASE'!H744)</f>
        <v/>
      </c>
      <c r="J746" t="str">
        <f>IF('SAÍDAS-BASE'!I744="","",'SAÍDAS-BASE'!I744)</f>
        <v/>
      </c>
      <c r="K746" s="5" t="str">
        <f>IF('SAÍDAS-BASE'!J744="","",'SAÍDAS-BASE'!J744)</f>
        <v/>
      </c>
      <c r="L746" t="str">
        <f>IF(TABELA_SAIDAS[[#This Row],[UF]]="","",IFERROR(IF(VLOOKUP(TABELA_SAIDAS[[#This Row],[VALOR]],TABELA_ENTRADAS[VALOR],1,FALSE),"DEVOLUÇÃO"),"SEM ENTRADAS"))</f>
        <v/>
      </c>
    </row>
    <row r="747" spans="2:12" x14ac:dyDescent="0.3">
      <c r="B747" t="str">
        <f>IF('SAÍDAS-BASE'!A745="","",'SAÍDAS-BASE'!A745)</f>
        <v/>
      </c>
      <c r="C747" t="str">
        <f>IF('SAÍDAS-BASE'!B745="","",'SAÍDAS-BASE'!B745)</f>
        <v/>
      </c>
      <c r="D747" t="str">
        <f>IF('SAÍDAS-BASE'!C745="","",'SAÍDAS-BASE'!C745)</f>
        <v/>
      </c>
      <c r="E747" s="7" t="str">
        <f>IF('SAÍDAS-BASE'!D745="","",'SAÍDAS-BASE'!D745)</f>
        <v/>
      </c>
      <c r="F747" s="6" t="str">
        <f>IF('SAÍDAS-BASE'!E745="","",'SAÍDAS-BASE'!E745)</f>
        <v/>
      </c>
      <c r="G747" t="str">
        <f>IF('SAÍDAS-BASE'!F745="","",'SAÍDAS-BASE'!F745)</f>
        <v/>
      </c>
      <c r="H747" t="str">
        <f>IF('SAÍDAS-BASE'!G745="","",'SAÍDAS-BASE'!G745)</f>
        <v/>
      </c>
      <c r="I747" t="str">
        <f>IF('SAÍDAS-BASE'!H745="","",'SAÍDAS-BASE'!H745)</f>
        <v/>
      </c>
      <c r="J747" t="str">
        <f>IF('SAÍDAS-BASE'!I745="","",'SAÍDAS-BASE'!I745)</f>
        <v/>
      </c>
      <c r="K747" s="5" t="str">
        <f>IF('SAÍDAS-BASE'!J745="","",'SAÍDAS-BASE'!J745)</f>
        <v/>
      </c>
      <c r="L747" t="str">
        <f>IF(TABELA_SAIDAS[[#This Row],[UF]]="","",IFERROR(IF(VLOOKUP(TABELA_SAIDAS[[#This Row],[VALOR]],TABELA_ENTRADAS[VALOR],1,FALSE),"DEVOLUÇÃO"),"SEM ENTRADAS"))</f>
        <v/>
      </c>
    </row>
    <row r="748" spans="2:12" x14ac:dyDescent="0.3">
      <c r="B748" t="str">
        <f>IF('SAÍDAS-BASE'!A746="","",'SAÍDAS-BASE'!A746)</f>
        <v/>
      </c>
      <c r="C748" t="str">
        <f>IF('SAÍDAS-BASE'!B746="","",'SAÍDAS-BASE'!B746)</f>
        <v/>
      </c>
      <c r="D748" t="str">
        <f>IF('SAÍDAS-BASE'!C746="","",'SAÍDAS-BASE'!C746)</f>
        <v/>
      </c>
      <c r="E748" s="7" t="str">
        <f>IF('SAÍDAS-BASE'!D746="","",'SAÍDAS-BASE'!D746)</f>
        <v/>
      </c>
      <c r="F748" s="6" t="str">
        <f>IF('SAÍDAS-BASE'!E746="","",'SAÍDAS-BASE'!E746)</f>
        <v/>
      </c>
      <c r="G748" t="str">
        <f>IF('SAÍDAS-BASE'!F746="","",'SAÍDAS-BASE'!F746)</f>
        <v/>
      </c>
      <c r="H748" t="str">
        <f>IF('SAÍDAS-BASE'!G746="","",'SAÍDAS-BASE'!G746)</f>
        <v/>
      </c>
      <c r="I748" t="str">
        <f>IF('SAÍDAS-BASE'!H746="","",'SAÍDAS-BASE'!H746)</f>
        <v/>
      </c>
      <c r="J748" t="str">
        <f>IF('SAÍDAS-BASE'!I746="","",'SAÍDAS-BASE'!I746)</f>
        <v/>
      </c>
      <c r="K748" s="5" t="str">
        <f>IF('SAÍDAS-BASE'!J746="","",'SAÍDAS-BASE'!J746)</f>
        <v/>
      </c>
      <c r="L748" t="str">
        <f>IF(TABELA_SAIDAS[[#This Row],[UF]]="","",IFERROR(IF(VLOOKUP(TABELA_SAIDAS[[#This Row],[VALOR]],TABELA_ENTRADAS[VALOR],1,FALSE),"DEVOLUÇÃO"),"SEM ENTRADAS"))</f>
        <v/>
      </c>
    </row>
    <row r="749" spans="2:12" x14ac:dyDescent="0.3">
      <c r="B749" t="str">
        <f>IF('SAÍDAS-BASE'!A747="","",'SAÍDAS-BASE'!A747)</f>
        <v/>
      </c>
      <c r="C749" t="str">
        <f>IF('SAÍDAS-BASE'!B747="","",'SAÍDAS-BASE'!B747)</f>
        <v/>
      </c>
      <c r="D749" t="str">
        <f>IF('SAÍDAS-BASE'!C747="","",'SAÍDAS-BASE'!C747)</f>
        <v/>
      </c>
      <c r="E749" s="7" t="str">
        <f>IF('SAÍDAS-BASE'!D747="","",'SAÍDAS-BASE'!D747)</f>
        <v/>
      </c>
      <c r="F749" s="6" t="str">
        <f>IF('SAÍDAS-BASE'!E747="","",'SAÍDAS-BASE'!E747)</f>
        <v/>
      </c>
      <c r="G749" t="str">
        <f>IF('SAÍDAS-BASE'!F747="","",'SAÍDAS-BASE'!F747)</f>
        <v/>
      </c>
      <c r="H749" t="str">
        <f>IF('SAÍDAS-BASE'!G747="","",'SAÍDAS-BASE'!G747)</f>
        <v/>
      </c>
      <c r="I749" t="str">
        <f>IF('SAÍDAS-BASE'!H747="","",'SAÍDAS-BASE'!H747)</f>
        <v/>
      </c>
      <c r="J749" t="str">
        <f>IF('SAÍDAS-BASE'!I747="","",'SAÍDAS-BASE'!I747)</f>
        <v/>
      </c>
      <c r="K749" s="5" t="str">
        <f>IF('SAÍDAS-BASE'!J747="","",'SAÍDAS-BASE'!J747)</f>
        <v/>
      </c>
      <c r="L749" t="str">
        <f>IF(TABELA_SAIDAS[[#This Row],[UF]]="","",IFERROR(IF(VLOOKUP(TABELA_SAIDAS[[#This Row],[VALOR]],TABELA_ENTRADAS[VALOR],1,FALSE),"DEVOLUÇÃO"),"SEM ENTRADAS"))</f>
        <v/>
      </c>
    </row>
    <row r="750" spans="2:12" x14ac:dyDescent="0.3">
      <c r="B750" t="str">
        <f>IF('SAÍDAS-BASE'!A748="","",'SAÍDAS-BASE'!A748)</f>
        <v/>
      </c>
      <c r="C750" t="str">
        <f>IF('SAÍDAS-BASE'!B748="","",'SAÍDAS-BASE'!B748)</f>
        <v/>
      </c>
      <c r="D750" t="str">
        <f>IF('SAÍDAS-BASE'!C748="","",'SAÍDAS-BASE'!C748)</f>
        <v/>
      </c>
      <c r="E750" s="7" t="str">
        <f>IF('SAÍDAS-BASE'!D748="","",'SAÍDAS-BASE'!D748)</f>
        <v/>
      </c>
      <c r="F750" s="6" t="str">
        <f>IF('SAÍDAS-BASE'!E748="","",'SAÍDAS-BASE'!E748)</f>
        <v/>
      </c>
      <c r="G750" t="str">
        <f>IF('SAÍDAS-BASE'!F748="","",'SAÍDAS-BASE'!F748)</f>
        <v/>
      </c>
      <c r="H750" t="str">
        <f>IF('SAÍDAS-BASE'!G748="","",'SAÍDAS-BASE'!G748)</f>
        <v/>
      </c>
      <c r="I750" t="str">
        <f>IF('SAÍDAS-BASE'!H748="","",'SAÍDAS-BASE'!H748)</f>
        <v/>
      </c>
      <c r="J750" t="str">
        <f>IF('SAÍDAS-BASE'!I748="","",'SAÍDAS-BASE'!I748)</f>
        <v/>
      </c>
      <c r="K750" s="5" t="str">
        <f>IF('SAÍDAS-BASE'!J748="","",'SAÍDAS-BASE'!J748)</f>
        <v/>
      </c>
      <c r="L750" t="str">
        <f>IF(TABELA_SAIDAS[[#This Row],[UF]]="","",IFERROR(IF(VLOOKUP(TABELA_SAIDAS[[#This Row],[VALOR]],TABELA_ENTRADAS[VALOR],1,FALSE),"DEVOLUÇÃO"),"SEM ENTRADAS"))</f>
        <v/>
      </c>
    </row>
    <row r="751" spans="2:12" x14ac:dyDescent="0.3">
      <c r="B751" t="str">
        <f>IF('SAÍDAS-BASE'!A749="","",'SAÍDAS-BASE'!A749)</f>
        <v/>
      </c>
      <c r="C751" t="str">
        <f>IF('SAÍDAS-BASE'!B749="","",'SAÍDAS-BASE'!B749)</f>
        <v/>
      </c>
      <c r="D751" t="str">
        <f>IF('SAÍDAS-BASE'!C749="","",'SAÍDAS-BASE'!C749)</f>
        <v/>
      </c>
      <c r="E751" s="7" t="str">
        <f>IF('SAÍDAS-BASE'!D749="","",'SAÍDAS-BASE'!D749)</f>
        <v/>
      </c>
      <c r="F751" s="6" t="str">
        <f>IF('SAÍDAS-BASE'!E749="","",'SAÍDAS-BASE'!E749)</f>
        <v/>
      </c>
      <c r="G751" t="str">
        <f>IF('SAÍDAS-BASE'!F749="","",'SAÍDAS-BASE'!F749)</f>
        <v/>
      </c>
      <c r="H751" t="str">
        <f>IF('SAÍDAS-BASE'!G749="","",'SAÍDAS-BASE'!G749)</f>
        <v/>
      </c>
      <c r="I751" t="str">
        <f>IF('SAÍDAS-BASE'!H749="","",'SAÍDAS-BASE'!H749)</f>
        <v/>
      </c>
      <c r="J751" t="str">
        <f>IF('SAÍDAS-BASE'!I749="","",'SAÍDAS-BASE'!I749)</f>
        <v/>
      </c>
      <c r="K751" s="5" t="str">
        <f>IF('SAÍDAS-BASE'!J749="","",'SAÍDAS-BASE'!J749)</f>
        <v/>
      </c>
      <c r="L751" t="str">
        <f>IF(TABELA_SAIDAS[[#This Row],[UF]]="","",IFERROR(IF(VLOOKUP(TABELA_SAIDAS[[#This Row],[VALOR]],TABELA_ENTRADAS[VALOR],1,FALSE),"DEVOLUÇÃO"),"SEM ENTRADAS"))</f>
        <v/>
      </c>
    </row>
    <row r="752" spans="2:12" x14ac:dyDescent="0.3">
      <c r="B752" t="str">
        <f>IF('SAÍDAS-BASE'!A750="","",'SAÍDAS-BASE'!A750)</f>
        <v/>
      </c>
      <c r="C752" t="str">
        <f>IF('SAÍDAS-BASE'!B750="","",'SAÍDAS-BASE'!B750)</f>
        <v/>
      </c>
      <c r="D752" t="str">
        <f>IF('SAÍDAS-BASE'!C750="","",'SAÍDAS-BASE'!C750)</f>
        <v/>
      </c>
      <c r="E752" s="7" t="str">
        <f>IF('SAÍDAS-BASE'!D750="","",'SAÍDAS-BASE'!D750)</f>
        <v/>
      </c>
      <c r="F752" s="6" t="str">
        <f>IF('SAÍDAS-BASE'!E750="","",'SAÍDAS-BASE'!E750)</f>
        <v/>
      </c>
      <c r="G752" t="str">
        <f>IF('SAÍDAS-BASE'!F750="","",'SAÍDAS-BASE'!F750)</f>
        <v/>
      </c>
      <c r="H752" t="str">
        <f>IF('SAÍDAS-BASE'!G750="","",'SAÍDAS-BASE'!G750)</f>
        <v/>
      </c>
      <c r="I752" t="str">
        <f>IF('SAÍDAS-BASE'!H750="","",'SAÍDAS-BASE'!H750)</f>
        <v/>
      </c>
      <c r="J752" t="str">
        <f>IF('SAÍDAS-BASE'!I750="","",'SAÍDAS-BASE'!I750)</f>
        <v/>
      </c>
      <c r="K752" s="5" t="str">
        <f>IF('SAÍDAS-BASE'!J750="","",'SAÍDAS-BASE'!J750)</f>
        <v/>
      </c>
      <c r="L752" t="str">
        <f>IF(TABELA_SAIDAS[[#This Row],[UF]]="","",IFERROR(IF(VLOOKUP(TABELA_SAIDAS[[#This Row],[VALOR]],TABELA_ENTRADAS[VALOR],1,FALSE),"DEVOLUÇÃO"),"SEM ENTRADAS"))</f>
        <v/>
      </c>
    </row>
    <row r="753" spans="2:12" x14ac:dyDescent="0.3">
      <c r="B753" t="str">
        <f>IF('SAÍDAS-BASE'!A751="","",'SAÍDAS-BASE'!A751)</f>
        <v/>
      </c>
      <c r="C753" t="str">
        <f>IF('SAÍDAS-BASE'!B751="","",'SAÍDAS-BASE'!B751)</f>
        <v/>
      </c>
      <c r="D753" t="str">
        <f>IF('SAÍDAS-BASE'!C751="","",'SAÍDAS-BASE'!C751)</f>
        <v/>
      </c>
      <c r="E753" s="7" t="str">
        <f>IF('SAÍDAS-BASE'!D751="","",'SAÍDAS-BASE'!D751)</f>
        <v/>
      </c>
      <c r="F753" s="6" t="str">
        <f>IF('SAÍDAS-BASE'!E751="","",'SAÍDAS-BASE'!E751)</f>
        <v/>
      </c>
      <c r="G753" t="str">
        <f>IF('SAÍDAS-BASE'!F751="","",'SAÍDAS-BASE'!F751)</f>
        <v/>
      </c>
      <c r="H753" t="str">
        <f>IF('SAÍDAS-BASE'!G751="","",'SAÍDAS-BASE'!G751)</f>
        <v/>
      </c>
      <c r="I753" t="str">
        <f>IF('SAÍDAS-BASE'!H751="","",'SAÍDAS-BASE'!H751)</f>
        <v/>
      </c>
      <c r="J753" t="str">
        <f>IF('SAÍDAS-BASE'!I751="","",'SAÍDAS-BASE'!I751)</f>
        <v/>
      </c>
      <c r="K753" s="5" t="str">
        <f>IF('SAÍDAS-BASE'!J751="","",'SAÍDAS-BASE'!J751)</f>
        <v/>
      </c>
      <c r="L753" t="str">
        <f>IF(TABELA_SAIDAS[[#This Row],[UF]]="","",IFERROR(IF(VLOOKUP(TABELA_SAIDAS[[#This Row],[VALOR]],TABELA_ENTRADAS[VALOR],1,FALSE),"DEVOLUÇÃO"),"SEM ENTRADAS"))</f>
        <v/>
      </c>
    </row>
    <row r="754" spans="2:12" x14ac:dyDescent="0.3">
      <c r="B754" t="str">
        <f>IF('SAÍDAS-BASE'!A752="","",'SAÍDAS-BASE'!A752)</f>
        <v/>
      </c>
      <c r="C754" t="str">
        <f>IF('SAÍDAS-BASE'!B752="","",'SAÍDAS-BASE'!B752)</f>
        <v/>
      </c>
      <c r="D754" t="str">
        <f>IF('SAÍDAS-BASE'!C752="","",'SAÍDAS-BASE'!C752)</f>
        <v/>
      </c>
      <c r="E754" s="7" t="str">
        <f>IF('SAÍDAS-BASE'!D752="","",'SAÍDAS-BASE'!D752)</f>
        <v/>
      </c>
      <c r="F754" s="6" t="str">
        <f>IF('SAÍDAS-BASE'!E752="","",'SAÍDAS-BASE'!E752)</f>
        <v/>
      </c>
      <c r="G754" t="str">
        <f>IF('SAÍDAS-BASE'!F752="","",'SAÍDAS-BASE'!F752)</f>
        <v/>
      </c>
      <c r="H754" t="str">
        <f>IF('SAÍDAS-BASE'!G752="","",'SAÍDAS-BASE'!G752)</f>
        <v/>
      </c>
      <c r="I754" t="str">
        <f>IF('SAÍDAS-BASE'!H752="","",'SAÍDAS-BASE'!H752)</f>
        <v/>
      </c>
      <c r="J754" t="str">
        <f>IF('SAÍDAS-BASE'!I752="","",'SAÍDAS-BASE'!I752)</f>
        <v/>
      </c>
      <c r="K754" s="5" t="str">
        <f>IF('SAÍDAS-BASE'!J752="","",'SAÍDAS-BASE'!J752)</f>
        <v/>
      </c>
      <c r="L754" t="str">
        <f>IF(TABELA_SAIDAS[[#This Row],[UF]]="","",IFERROR(IF(VLOOKUP(TABELA_SAIDAS[[#This Row],[VALOR]],TABELA_ENTRADAS[VALOR],1,FALSE),"DEVOLUÇÃO"),"SEM ENTRADAS"))</f>
        <v/>
      </c>
    </row>
    <row r="755" spans="2:12" x14ac:dyDescent="0.3">
      <c r="B755" t="str">
        <f>IF('SAÍDAS-BASE'!A753="","",'SAÍDAS-BASE'!A753)</f>
        <v/>
      </c>
      <c r="C755" t="str">
        <f>IF('SAÍDAS-BASE'!B753="","",'SAÍDAS-BASE'!B753)</f>
        <v/>
      </c>
      <c r="D755" t="str">
        <f>IF('SAÍDAS-BASE'!C753="","",'SAÍDAS-BASE'!C753)</f>
        <v/>
      </c>
      <c r="E755" s="7" t="str">
        <f>IF('SAÍDAS-BASE'!D753="","",'SAÍDAS-BASE'!D753)</f>
        <v/>
      </c>
      <c r="F755" s="6" t="str">
        <f>IF('SAÍDAS-BASE'!E753="","",'SAÍDAS-BASE'!E753)</f>
        <v/>
      </c>
      <c r="G755" t="str">
        <f>IF('SAÍDAS-BASE'!F753="","",'SAÍDAS-BASE'!F753)</f>
        <v/>
      </c>
      <c r="H755" t="str">
        <f>IF('SAÍDAS-BASE'!G753="","",'SAÍDAS-BASE'!G753)</f>
        <v/>
      </c>
      <c r="I755" t="str">
        <f>IF('SAÍDAS-BASE'!H753="","",'SAÍDAS-BASE'!H753)</f>
        <v/>
      </c>
      <c r="J755" t="str">
        <f>IF('SAÍDAS-BASE'!I753="","",'SAÍDAS-BASE'!I753)</f>
        <v/>
      </c>
      <c r="K755" s="5" t="str">
        <f>IF('SAÍDAS-BASE'!J753="","",'SAÍDAS-BASE'!J753)</f>
        <v/>
      </c>
      <c r="L755" t="str">
        <f>IF(TABELA_SAIDAS[[#This Row],[UF]]="","",IFERROR(IF(VLOOKUP(TABELA_SAIDAS[[#This Row],[VALOR]],TABELA_ENTRADAS[VALOR],1,FALSE),"DEVOLUÇÃO"),"SEM ENTRADAS"))</f>
        <v/>
      </c>
    </row>
    <row r="756" spans="2:12" x14ac:dyDescent="0.3">
      <c r="B756" t="str">
        <f>IF('SAÍDAS-BASE'!A754="","",'SAÍDAS-BASE'!A754)</f>
        <v/>
      </c>
      <c r="C756" t="str">
        <f>IF('SAÍDAS-BASE'!B754="","",'SAÍDAS-BASE'!B754)</f>
        <v/>
      </c>
      <c r="D756" t="str">
        <f>IF('SAÍDAS-BASE'!C754="","",'SAÍDAS-BASE'!C754)</f>
        <v/>
      </c>
      <c r="E756" s="7" t="str">
        <f>IF('SAÍDAS-BASE'!D754="","",'SAÍDAS-BASE'!D754)</f>
        <v/>
      </c>
      <c r="F756" s="6" t="str">
        <f>IF('SAÍDAS-BASE'!E754="","",'SAÍDAS-BASE'!E754)</f>
        <v/>
      </c>
      <c r="G756" t="str">
        <f>IF('SAÍDAS-BASE'!F754="","",'SAÍDAS-BASE'!F754)</f>
        <v/>
      </c>
      <c r="H756" t="str">
        <f>IF('SAÍDAS-BASE'!G754="","",'SAÍDAS-BASE'!G754)</f>
        <v/>
      </c>
      <c r="I756" t="str">
        <f>IF('SAÍDAS-BASE'!H754="","",'SAÍDAS-BASE'!H754)</f>
        <v/>
      </c>
      <c r="J756" t="str">
        <f>IF('SAÍDAS-BASE'!I754="","",'SAÍDAS-BASE'!I754)</f>
        <v/>
      </c>
      <c r="K756" s="5" t="str">
        <f>IF('SAÍDAS-BASE'!J754="","",'SAÍDAS-BASE'!J754)</f>
        <v/>
      </c>
      <c r="L756" t="str">
        <f>IF(TABELA_SAIDAS[[#This Row],[UF]]="","",IFERROR(IF(VLOOKUP(TABELA_SAIDAS[[#This Row],[VALOR]],TABELA_ENTRADAS[VALOR],1,FALSE),"DEVOLUÇÃO"),"SEM ENTRADAS"))</f>
        <v/>
      </c>
    </row>
    <row r="757" spans="2:12" x14ac:dyDescent="0.3">
      <c r="B757" t="str">
        <f>IF('SAÍDAS-BASE'!A755="","",'SAÍDAS-BASE'!A755)</f>
        <v/>
      </c>
      <c r="C757" t="str">
        <f>IF('SAÍDAS-BASE'!B755="","",'SAÍDAS-BASE'!B755)</f>
        <v/>
      </c>
      <c r="D757" t="str">
        <f>IF('SAÍDAS-BASE'!C755="","",'SAÍDAS-BASE'!C755)</f>
        <v/>
      </c>
      <c r="E757" s="7" t="str">
        <f>IF('SAÍDAS-BASE'!D755="","",'SAÍDAS-BASE'!D755)</f>
        <v/>
      </c>
      <c r="F757" s="6" t="str">
        <f>IF('SAÍDAS-BASE'!E755="","",'SAÍDAS-BASE'!E755)</f>
        <v/>
      </c>
      <c r="G757" t="str">
        <f>IF('SAÍDAS-BASE'!F755="","",'SAÍDAS-BASE'!F755)</f>
        <v/>
      </c>
      <c r="H757" t="str">
        <f>IF('SAÍDAS-BASE'!G755="","",'SAÍDAS-BASE'!G755)</f>
        <v/>
      </c>
      <c r="I757" t="str">
        <f>IF('SAÍDAS-BASE'!H755="","",'SAÍDAS-BASE'!H755)</f>
        <v/>
      </c>
      <c r="J757" t="str">
        <f>IF('SAÍDAS-BASE'!I755="","",'SAÍDAS-BASE'!I755)</f>
        <v/>
      </c>
      <c r="K757" s="5" t="str">
        <f>IF('SAÍDAS-BASE'!J755="","",'SAÍDAS-BASE'!J755)</f>
        <v/>
      </c>
      <c r="L757" t="str">
        <f>IF(TABELA_SAIDAS[[#This Row],[UF]]="","",IFERROR(IF(VLOOKUP(TABELA_SAIDAS[[#This Row],[VALOR]],TABELA_ENTRADAS[VALOR],1,FALSE),"DEVOLUÇÃO"),"SEM ENTRADAS"))</f>
        <v/>
      </c>
    </row>
    <row r="758" spans="2:12" x14ac:dyDescent="0.3">
      <c r="B758" t="str">
        <f>IF('SAÍDAS-BASE'!A756="","",'SAÍDAS-BASE'!A756)</f>
        <v/>
      </c>
      <c r="C758" t="str">
        <f>IF('SAÍDAS-BASE'!B756="","",'SAÍDAS-BASE'!B756)</f>
        <v/>
      </c>
      <c r="D758" t="str">
        <f>IF('SAÍDAS-BASE'!C756="","",'SAÍDAS-BASE'!C756)</f>
        <v/>
      </c>
      <c r="E758" s="7" t="str">
        <f>IF('SAÍDAS-BASE'!D756="","",'SAÍDAS-BASE'!D756)</f>
        <v/>
      </c>
      <c r="F758" s="6" t="str">
        <f>IF('SAÍDAS-BASE'!E756="","",'SAÍDAS-BASE'!E756)</f>
        <v/>
      </c>
      <c r="G758" t="str">
        <f>IF('SAÍDAS-BASE'!F756="","",'SAÍDAS-BASE'!F756)</f>
        <v/>
      </c>
      <c r="H758" t="str">
        <f>IF('SAÍDAS-BASE'!G756="","",'SAÍDAS-BASE'!G756)</f>
        <v/>
      </c>
      <c r="I758" t="str">
        <f>IF('SAÍDAS-BASE'!H756="","",'SAÍDAS-BASE'!H756)</f>
        <v/>
      </c>
      <c r="J758" t="str">
        <f>IF('SAÍDAS-BASE'!I756="","",'SAÍDAS-BASE'!I756)</f>
        <v/>
      </c>
      <c r="K758" s="5" t="str">
        <f>IF('SAÍDAS-BASE'!J756="","",'SAÍDAS-BASE'!J756)</f>
        <v/>
      </c>
      <c r="L758" t="str">
        <f>IF(TABELA_SAIDAS[[#This Row],[UF]]="","",IFERROR(IF(VLOOKUP(TABELA_SAIDAS[[#This Row],[VALOR]],TABELA_ENTRADAS[VALOR],1,FALSE),"DEVOLUÇÃO"),"SEM ENTRADAS"))</f>
        <v/>
      </c>
    </row>
    <row r="759" spans="2:12" x14ac:dyDescent="0.3">
      <c r="B759" t="str">
        <f>IF('SAÍDAS-BASE'!A757="","",'SAÍDAS-BASE'!A757)</f>
        <v/>
      </c>
      <c r="C759" t="str">
        <f>IF('SAÍDAS-BASE'!B757="","",'SAÍDAS-BASE'!B757)</f>
        <v/>
      </c>
      <c r="D759" t="str">
        <f>IF('SAÍDAS-BASE'!C757="","",'SAÍDAS-BASE'!C757)</f>
        <v/>
      </c>
      <c r="E759" s="7" t="str">
        <f>IF('SAÍDAS-BASE'!D757="","",'SAÍDAS-BASE'!D757)</f>
        <v/>
      </c>
      <c r="F759" s="6" t="str">
        <f>IF('SAÍDAS-BASE'!E757="","",'SAÍDAS-BASE'!E757)</f>
        <v/>
      </c>
      <c r="G759" t="str">
        <f>IF('SAÍDAS-BASE'!F757="","",'SAÍDAS-BASE'!F757)</f>
        <v/>
      </c>
      <c r="H759" t="str">
        <f>IF('SAÍDAS-BASE'!G757="","",'SAÍDAS-BASE'!G757)</f>
        <v/>
      </c>
      <c r="I759" t="str">
        <f>IF('SAÍDAS-BASE'!H757="","",'SAÍDAS-BASE'!H757)</f>
        <v/>
      </c>
      <c r="J759" t="str">
        <f>IF('SAÍDAS-BASE'!I757="","",'SAÍDAS-BASE'!I757)</f>
        <v/>
      </c>
      <c r="K759" s="5" t="str">
        <f>IF('SAÍDAS-BASE'!J757="","",'SAÍDAS-BASE'!J757)</f>
        <v/>
      </c>
      <c r="L759" t="str">
        <f>IF(TABELA_SAIDAS[[#This Row],[UF]]="","",IFERROR(IF(VLOOKUP(TABELA_SAIDAS[[#This Row],[VALOR]],TABELA_ENTRADAS[VALOR],1,FALSE),"DEVOLUÇÃO"),"SEM ENTRADAS"))</f>
        <v/>
      </c>
    </row>
    <row r="760" spans="2:12" x14ac:dyDescent="0.3">
      <c r="B760" t="str">
        <f>IF('SAÍDAS-BASE'!A758="","",'SAÍDAS-BASE'!A758)</f>
        <v/>
      </c>
      <c r="C760" t="str">
        <f>IF('SAÍDAS-BASE'!B758="","",'SAÍDAS-BASE'!B758)</f>
        <v/>
      </c>
      <c r="D760" t="str">
        <f>IF('SAÍDAS-BASE'!C758="","",'SAÍDAS-BASE'!C758)</f>
        <v/>
      </c>
      <c r="E760" s="7" t="str">
        <f>IF('SAÍDAS-BASE'!D758="","",'SAÍDAS-BASE'!D758)</f>
        <v/>
      </c>
      <c r="F760" s="6" t="str">
        <f>IF('SAÍDAS-BASE'!E758="","",'SAÍDAS-BASE'!E758)</f>
        <v/>
      </c>
      <c r="G760" t="str">
        <f>IF('SAÍDAS-BASE'!F758="","",'SAÍDAS-BASE'!F758)</f>
        <v/>
      </c>
      <c r="H760" t="str">
        <f>IF('SAÍDAS-BASE'!G758="","",'SAÍDAS-BASE'!G758)</f>
        <v/>
      </c>
      <c r="I760" t="str">
        <f>IF('SAÍDAS-BASE'!H758="","",'SAÍDAS-BASE'!H758)</f>
        <v/>
      </c>
      <c r="J760" t="str">
        <f>IF('SAÍDAS-BASE'!I758="","",'SAÍDAS-BASE'!I758)</f>
        <v/>
      </c>
      <c r="K760" s="5" t="str">
        <f>IF('SAÍDAS-BASE'!J758="","",'SAÍDAS-BASE'!J758)</f>
        <v/>
      </c>
      <c r="L760" t="str">
        <f>IF(TABELA_SAIDAS[[#This Row],[UF]]="","",IFERROR(IF(VLOOKUP(TABELA_SAIDAS[[#This Row],[VALOR]],TABELA_ENTRADAS[VALOR],1,FALSE),"DEVOLUÇÃO"),"SEM ENTRADAS"))</f>
        <v/>
      </c>
    </row>
    <row r="761" spans="2:12" x14ac:dyDescent="0.3">
      <c r="B761" t="str">
        <f>IF('SAÍDAS-BASE'!A759="","",'SAÍDAS-BASE'!A759)</f>
        <v/>
      </c>
      <c r="C761" t="str">
        <f>IF('SAÍDAS-BASE'!B759="","",'SAÍDAS-BASE'!B759)</f>
        <v/>
      </c>
      <c r="D761" t="str">
        <f>IF('SAÍDAS-BASE'!C759="","",'SAÍDAS-BASE'!C759)</f>
        <v/>
      </c>
      <c r="E761" s="7" t="str">
        <f>IF('SAÍDAS-BASE'!D759="","",'SAÍDAS-BASE'!D759)</f>
        <v/>
      </c>
      <c r="F761" s="6" t="str">
        <f>IF('SAÍDAS-BASE'!E759="","",'SAÍDAS-BASE'!E759)</f>
        <v/>
      </c>
      <c r="G761" t="str">
        <f>IF('SAÍDAS-BASE'!F759="","",'SAÍDAS-BASE'!F759)</f>
        <v/>
      </c>
      <c r="H761" t="str">
        <f>IF('SAÍDAS-BASE'!G759="","",'SAÍDAS-BASE'!G759)</f>
        <v/>
      </c>
      <c r="I761" t="str">
        <f>IF('SAÍDAS-BASE'!H759="","",'SAÍDAS-BASE'!H759)</f>
        <v/>
      </c>
      <c r="J761" t="str">
        <f>IF('SAÍDAS-BASE'!I759="","",'SAÍDAS-BASE'!I759)</f>
        <v/>
      </c>
      <c r="K761" s="5" t="str">
        <f>IF('SAÍDAS-BASE'!J759="","",'SAÍDAS-BASE'!J759)</f>
        <v/>
      </c>
      <c r="L761" t="str">
        <f>IF(TABELA_SAIDAS[[#This Row],[UF]]="","",IFERROR(IF(VLOOKUP(TABELA_SAIDAS[[#This Row],[VALOR]],TABELA_ENTRADAS[VALOR],1,FALSE),"DEVOLUÇÃO"),"SEM ENTRADAS"))</f>
        <v/>
      </c>
    </row>
    <row r="762" spans="2:12" x14ac:dyDescent="0.3">
      <c r="B762" t="str">
        <f>IF('SAÍDAS-BASE'!A760="","",'SAÍDAS-BASE'!A760)</f>
        <v/>
      </c>
      <c r="C762" t="str">
        <f>IF('SAÍDAS-BASE'!B760="","",'SAÍDAS-BASE'!B760)</f>
        <v/>
      </c>
      <c r="D762" t="str">
        <f>IF('SAÍDAS-BASE'!C760="","",'SAÍDAS-BASE'!C760)</f>
        <v/>
      </c>
      <c r="E762" s="7" t="str">
        <f>IF('SAÍDAS-BASE'!D760="","",'SAÍDAS-BASE'!D760)</f>
        <v/>
      </c>
      <c r="F762" s="6" t="str">
        <f>IF('SAÍDAS-BASE'!E760="","",'SAÍDAS-BASE'!E760)</f>
        <v/>
      </c>
      <c r="G762" t="str">
        <f>IF('SAÍDAS-BASE'!F760="","",'SAÍDAS-BASE'!F760)</f>
        <v/>
      </c>
      <c r="H762" t="str">
        <f>IF('SAÍDAS-BASE'!G760="","",'SAÍDAS-BASE'!G760)</f>
        <v/>
      </c>
      <c r="I762" t="str">
        <f>IF('SAÍDAS-BASE'!H760="","",'SAÍDAS-BASE'!H760)</f>
        <v/>
      </c>
      <c r="J762" t="str">
        <f>IF('SAÍDAS-BASE'!I760="","",'SAÍDAS-BASE'!I760)</f>
        <v/>
      </c>
      <c r="K762" s="5" t="str">
        <f>IF('SAÍDAS-BASE'!J760="","",'SAÍDAS-BASE'!J760)</f>
        <v/>
      </c>
      <c r="L762" t="str">
        <f>IF(TABELA_SAIDAS[[#This Row],[UF]]="","",IFERROR(IF(VLOOKUP(TABELA_SAIDAS[[#This Row],[VALOR]],TABELA_ENTRADAS[VALOR],1,FALSE),"DEVOLUÇÃO"),"SEM ENTRADAS"))</f>
        <v/>
      </c>
    </row>
    <row r="763" spans="2:12" x14ac:dyDescent="0.3">
      <c r="B763" t="str">
        <f>IF('SAÍDAS-BASE'!A761="","",'SAÍDAS-BASE'!A761)</f>
        <v/>
      </c>
      <c r="C763" t="str">
        <f>IF('SAÍDAS-BASE'!B761="","",'SAÍDAS-BASE'!B761)</f>
        <v/>
      </c>
      <c r="D763" t="str">
        <f>IF('SAÍDAS-BASE'!C761="","",'SAÍDAS-BASE'!C761)</f>
        <v/>
      </c>
      <c r="E763" s="7" t="str">
        <f>IF('SAÍDAS-BASE'!D761="","",'SAÍDAS-BASE'!D761)</f>
        <v/>
      </c>
      <c r="F763" s="6" t="str">
        <f>IF('SAÍDAS-BASE'!E761="","",'SAÍDAS-BASE'!E761)</f>
        <v/>
      </c>
      <c r="G763" t="str">
        <f>IF('SAÍDAS-BASE'!F761="","",'SAÍDAS-BASE'!F761)</f>
        <v/>
      </c>
      <c r="H763" t="str">
        <f>IF('SAÍDAS-BASE'!G761="","",'SAÍDAS-BASE'!G761)</f>
        <v/>
      </c>
      <c r="I763" t="str">
        <f>IF('SAÍDAS-BASE'!H761="","",'SAÍDAS-BASE'!H761)</f>
        <v/>
      </c>
      <c r="J763" t="str">
        <f>IF('SAÍDAS-BASE'!I761="","",'SAÍDAS-BASE'!I761)</f>
        <v/>
      </c>
      <c r="K763" s="5" t="str">
        <f>IF('SAÍDAS-BASE'!J761="","",'SAÍDAS-BASE'!J761)</f>
        <v/>
      </c>
      <c r="L763" t="str">
        <f>IF(TABELA_SAIDAS[[#This Row],[UF]]="","",IFERROR(IF(VLOOKUP(TABELA_SAIDAS[[#This Row],[VALOR]],TABELA_ENTRADAS[VALOR],1,FALSE),"DEVOLUÇÃO"),"SEM ENTRADAS"))</f>
        <v/>
      </c>
    </row>
    <row r="764" spans="2:12" x14ac:dyDescent="0.3">
      <c r="B764" t="str">
        <f>IF('SAÍDAS-BASE'!A762="","",'SAÍDAS-BASE'!A762)</f>
        <v/>
      </c>
      <c r="C764" t="str">
        <f>IF('SAÍDAS-BASE'!B762="","",'SAÍDAS-BASE'!B762)</f>
        <v/>
      </c>
      <c r="D764" t="str">
        <f>IF('SAÍDAS-BASE'!C762="","",'SAÍDAS-BASE'!C762)</f>
        <v/>
      </c>
      <c r="E764" s="7" t="str">
        <f>IF('SAÍDAS-BASE'!D762="","",'SAÍDAS-BASE'!D762)</f>
        <v/>
      </c>
      <c r="F764" s="6" t="str">
        <f>IF('SAÍDAS-BASE'!E762="","",'SAÍDAS-BASE'!E762)</f>
        <v/>
      </c>
      <c r="G764" t="str">
        <f>IF('SAÍDAS-BASE'!F762="","",'SAÍDAS-BASE'!F762)</f>
        <v/>
      </c>
      <c r="H764" t="str">
        <f>IF('SAÍDAS-BASE'!G762="","",'SAÍDAS-BASE'!G762)</f>
        <v/>
      </c>
      <c r="I764" t="str">
        <f>IF('SAÍDAS-BASE'!H762="","",'SAÍDAS-BASE'!H762)</f>
        <v/>
      </c>
      <c r="J764" t="str">
        <f>IF('SAÍDAS-BASE'!I762="","",'SAÍDAS-BASE'!I762)</f>
        <v/>
      </c>
      <c r="K764" s="5" t="str">
        <f>IF('SAÍDAS-BASE'!J762="","",'SAÍDAS-BASE'!J762)</f>
        <v/>
      </c>
      <c r="L764" t="str">
        <f>IF(TABELA_SAIDAS[[#This Row],[UF]]="","",IFERROR(IF(VLOOKUP(TABELA_SAIDAS[[#This Row],[VALOR]],TABELA_ENTRADAS[VALOR],1,FALSE),"DEVOLUÇÃO"),"SEM ENTRADAS"))</f>
        <v/>
      </c>
    </row>
    <row r="765" spans="2:12" x14ac:dyDescent="0.3">
      <c r="B765" t="str">
        <f>IF('SAÍDAS-BASE'!A763="","",'SAÍDAS-BASE'!A763)</f>
        <v/>
      </c>
      <c r="C765" t="str">
        <f>IF('SAÍDAS-BASE'!B763="","",'SAÍDAS-BASE'!B763)</f>
        <v/>
      </c>
      <c r="D765" t="str">
        <f>IF('SAÍDAS-BASE'!C763="","",'SAÍDAS-BASE'!C763)</f>
        <v/>
      </c>
      <c r="E765" s="7" t="str">
        <f>IF('SAÍDAS-BASE'!D763="","",'SAÍDAS-BASE'!D763)</f>
        <v/>
      </c>
      <c r="F765" s="6" t="str">
        <f>IF('SAÍDAS-BASE'!E763="","",'SAÍDAS-BASE'!E763)</f>
        <v/>
      </c>
      <c r="G765" t="str">
        <f>IF('SAÍDAS-BASE'!F763="","",'SAÍDAS-BASE'!F763)</f>
        <v/>
      </c>
      <c r="H765" t="str">
        <f>IF('SAÍDAS-BASE'!G763="","",'SAÍDAS-BASE'!G763)</f>
        <v/>
      </c>
      <c r="I765" t="str">
        <f>IF('SAÍDAS-BASE'!H763="","",'SAÍDAS-BASE'!H763)</f>
        <v/>
      </c>
      <c r="J765" t="str">
        <f>IF('SAÍDAS-BASE'!I763="","",'SAÍDAS-BASE'!I763)</f>
        <v/>
      </c>
      <c r="K765" s="5" t="str">
        <f>IF('SAÍDAS-BASE'!J763="","",'SAÍDAS-BASE'!J763)</f>
        <v/>
      </c>
      <c r="L765" t="str">
        <f>IF(TABELA_SAIDAS[[#This Row],[UF]]="","",IFERROR(IF(VLOOKUP(TABELA_SAIDAS[[#This Row],[VALOR]],TABELA_ENTRADAS[VALOR],1,FALSE),"DEVOLUÇÃO"),"SEM ENTRADAS"))</f>
        <v/>
      </c>
    </row>
    <row r="766" spans="2:12" x14ac:dyDescent="0.3">
      <c r="B766" t="str">
        <f>IF('SAÍDAS-BASE'!A764="","",'SAÍDAS-BASE'!A764)</f>
        <v/>
      </c>
      <c r="C766" t="str">
        <f>IF('SAÍDAS-BASE'!B764="","",'SAÍDAS-BASE'!B764)</f>
        <v/>
      </c>
      <c r="D766" t="str">
        <f>IF('SAÍDAS-BASE'!C764="","",'SAÍDAS-BASE'!C764)</f>
        <v/>
      </c>
      <c r="E766" s="7" t="str">
        <f>IF('SAÍDAS-BASE'!D764="","",'SAÍDAS-BASE'!D764)</f>
        <v/>
      </c>
      <c r="F766" s="6" t="str">
        <f>IF('SAÍDAS-BASE'!E764="","",'SAÍDAS-BASE'!E764)</f>
        <v/>
      </c>
      <c r="G766" t="str">
        <f>IF('SAÍDAS-BASE'!F764="","",'SAÍDAS-BASE'!F764)</f>
        <v/>
      </c>
      <c r="H766" t="str">
        <f>IF('SAÍDAS-BASE'!G764="","",'SAÍDAS-BASE'!G764)</f>
        <v/>
      </c>
      <c r="I766" t="str">
        <f>IF('SAÍDAS-BASE'!H764="","",'SAÍDAS-BASE'!H764)</f>
        <v/>
      </c>
      <c r="J766" t="str">
        <f>IF('SAÍDAS-BASE'!I764="","",'SAÍDAS-BASE'!I764)</f>
        <v/>
      </c>
      <c r="K766" s="5" t="str">
        <f>IF('SAÍDAS-BASE'!J764="","",'SAÍDAS-BASE'!J764)</f>
        <v/>
      </c>
      <c r="L766" t="str">
        <f>IF(TABELA_SAIDAS[[#This Row],[UF]]="","",IFERROR(IF(VLOOKUP(TABELA_SAIDAS[[#This Row],[VALOR]],TABELA_ENTRADAS[VALOR],1,FALSE),"DEVOLUÇÃO"),"SEM ENTRADAS"))</f>
        <v/>
      </c>
    </row>
    <row r="767" spans="2:12" x14ac:dyDescent="0.3">
      <c r="B767" t="str">
        <f>IF('SAÍDAS-BASE'!A765="","",'SAÍDAS-BASE'!A765)</f>
        <v/>
      </c>
      <c r="C767" t="str">
        <f>IF('SAÍDAS-BASE'!B765="","",'SAÍDAS-BASE'!B765)</f>
        <v/>
      </c>
      <c r="D767" t="str">
        <f>IF('SAÍDAS-BASE'!C765="","",'SAÍDAS-BASE'!C765)</f>
        <v/>
      </c>
      <c r="E767" s="7" t="str">
        <f>IF('SAÍDAS-BASE'!D765="","",'SAÍDAS-BASE'!D765)</f>
        <v/>
      </c>
      <c r="F767" s="6" t="str">
        <f>IF('SAÍDAS-BASE'!E765="","",'SAÍDAS-BASE'!E765)</f>
        <v/>
      </c>
      <c r="G767" t="str">
        <f>IF('SAÍDAS-BASE'!F765="","",'SAÍDAS-BASE'!F765)</f>
        <v/>
      </c>
      <c r="H767" t="str">
        <f>IF('SAÍDAS-BASE'!G765="","",'SAÍDAS-BASE'!G765)</f>
        <v/>
      </c>
      <c r="I767" t="str">
        <f>IF('SAÍDAS-BASE'!H765="","",'SAÍDAS-BASE'!H765)</f>
        <v/>
      </c>
      <c r="J767" t="str">
        <f>IF('SAÍDAS-BASE'!I765="","",'SAÍDAS-BASE'!I765)</f>
        <v/>
      </c>
      <c r="K767" s="5" t="str">
        <f>IF('SAÍDAS-BASE'!J765="","",'SAÍDAS-BASE'!J765)</f>
        <v/>
      </c>
      <c r="L767" t="str">
        <f>IF(TABELA_SAIDAS[[#This Row],[UF]]="","",IFERROR(IF(VLOOKUP(TABELA_SAIDAS[[#This Row],[VALOR]],TABELA_ENTRADAS[VALOR],1,FALSE),"DEVOLUÇÃO"),"SEM ENTRADAS"))</f>
        <v/>
      </c>
    </row>
    <row r="768" spans="2:12" x14ac:dyDescent="0.3">
      <c r="B768" t="str">
        <f>IF('SAÍDAS-BASE'!A766="","",'SAÍDAS-BASE'!A766)</f>
        <v/>
      </c>
      <c r="C768" t="str">
        <f>IF('SAÍDAS-BASE'!B766="","",'SAÍDAS-BASE'!B766)</f>
        <v/>
      </c>
      <c r="D768" t="str">
        <f>IF('SAÍDAS-BASE'!C766="","",'SAÍDAS-BASE'!C766)</f>
        <v/>
      </c>
      <c r="E768" s="7" t="str">
        <f>IF('SAÍDAS-BASE'!D766="","",'SAÍDAS-BASE'!D766)</f>
        <v/>
      </c>
      <c r="F768" s="6" t="str">
        <f>IF('SAÍDAS-BASE'!E766="","",'SAÍDAS-BASE'!E766)</f>
        <v/>
      </c>
      <c r="G768" t="str">
        <f>IF('SAÍDAS-BASE'!F766="","",'SAÍDAS-BASE'!F766)</f>
        <v/>
      </c>
      <c r="H768" t="str">
        <f>IF('SAÍDAS-BASE'!G766="","",'SAÍDAS-BASE'!G766)</f>
        <v/>
      </c>
      <c r="I768" t="str">
        <f>IF('SAÍDAS-BASE'!H766="","",'SAÍDAS-BASE'!H766)</f>
        <v/>
      </c>
      <c r="J768" t="str">
        <f>IF('SAÍDAS-BASE'!I766="","",'SAÍDAS-BASE'!I766)</f>
        <v/>
      </c>
      <c r="K768" s="5" t="str">
        <f>IF('SAÍDAS-BASE'!J766="","",'SAÍDAS-BASE'!J766)</f>
        <v/>
      </c>
      <c r="L768" t="str">
        <f>IF(TABELA_SAIDAS[[#This Row],[UF]]="","",IFERROR(IF(VLOOKUP(TABELA_SAIDAS[[#This Row],[VALOR]],TABELA_ENTRADAS[VALOR],1,FALSE),"DEVOLUÇÃO"),"SEM ENTRADAS"))</f>
        <v/>
      </c>
    </row>
    <row r="769" spans="2:12" x14ac:dyDescent="0.3">
      <c r="B769" t="str">
        <f>IF('SAÍDAS-BASE'!A767="","",'SAÍDAS-BASE'!A767)</f>
        <v/>
      </c>
      <c r="C769" t="str">
        <f>IF('SAÍDAS-BASE'!B767="","",'SAÍDAS-BASE'!B767)</f>
        <v/>
      </c>
      <c r="D769" t="str">
        <f>IF('SAÍDAS-BASE'!C767="","",'SAÍDAS-BASE'!C767)</f>
        <v/>
      </c>
      <c r="E769" s="7" t="str">
        <f>IF('SAÍDAS-BASE'!D767="","",'SAÍDAS-BASE'!D767)</f>
        <v/>
      </c>
      <c r="F769" s="6" t="str">
        <f>IF('SAÍDAS-BASE'!E767="","",'SAÍDAS-BASE'!E767)</f>
        <v/>
      </c>
      <c r="G769" t="str">
        <f>IF('SAÍDAS-BASE'!F767="","",'SAÍDAS-BASE'!F767)</f>
        <v/>
      </c>
      <c r="H769" t="str">
        <f>IF('SAÍDAS-BASE'!G767="","",'SAÍDAS-BASE'!G767)</f>
        <v/>
      </c>
      <c r="I769" t="str">
        <f>IF('SAÍDAS-BASE'!H767="","",'SAÍDAS-BASE'!H767)</f>
        <v/>
      </c>
      <c r="J769" t="str">
        <f>IF('SAÍDAS-BASE'!I767="","",'SAÍDAS-BASE'!I767)</f>
        <v/>
      </c>
      <c r="K769" s="5" t="str">
        <f>IF('SAÍDAS-BASE'!J767="","",'SAÍDAS-BASE'!J767)</f>
        <v/>
      </c>
      <c r="L769" t="str">
        <f>IF(TABELA_SAIDAS[[#This Row],[UF]]="","",IFERROR(IF(VLOOKUP(TABELA_SAIDAS[[#This Row],[VALOR]],TABELA_ENTRADAS[VALOR],1,FALSE),"DEVOLUÇÃO"),"SEM ENTRADAS"))</f>
        <v/>
      </c>
    </row>
    <row r="770" spans="2:12" x14ac:dyDescent="0.3">
      <c r="B770" t="str">
        <f>IF('SAÍDAS-BASE'!A768="","",'SAÍDAS-BASE'!A768)</f>
        <v/>
      </c>
      <c r="C770" t="str">
        <f>IF('SAÍDAS-BASE'!B768="","",'SAÍDAS-BASE'!B768)</f>
        <v/>
      </c>
      <c r="D770" t="str">
        <f>IF('SAÍDAS-BASE'!C768="","",'SAÍDAS-BASE'!C768)</f>
        <v/>
      </c>
      <c r="E770" s="7" t="str">
        <f>IF('SAÍDAS-BASE'!D768="","",'SAÍDAS-BASE'!D768)</f>
        <v/>
      </c>
      <c r="F770" s="6" t="str">
        <f>IF('SAÍDAS-BASE'!E768="","",'SAÍDAS-BASE'!E768)</f>
        <v/>
      </c>
      <c r="G770" t="str">
        <f>IF('SAÍDAS-BASE'!F768="","",'SAÍDAS-BASE'!F768)</f>
        <v/>
      </c>
      <c r="H770" t="str">
        <f>IF('SAÍDAS-BASE'!G768="","",'SAÍDAS-BASE'!G768)</f>
        <v/>
      </c>
      <c r="I770" t="str">
        <f>IF('SAÍDAS-BASE'!H768="","",'SAÍDAS-BASE'!H768)</f>
        <v/>
      </c>
      <c r="J770" t="str">
        <f>IF('SAÍDAS-BASE'!I768="","",'SAÍDAS-BASE'!I768)</f>
        <v/>
      </c>
      <c r="K770" s="5" t="str">
        <f>IF('SAÍDAS-BASE'!J768="","",'SAÍDAS-BASE'!J768)</f>
        <v/>
      </c>
      <c r="L770" t="str">
        <f>IF(TABELA_SAIDAS[[#This Row],[UF]]="","",IFERROR(IF(VLOOKUP(TABELA_SAIDAS[[#This Row],[VALOR]],TABELA_ENTRADAS[VALOR],1,FALSE),"DEVOLUÇÃO"),"SEM ENTRADAS"))</f>
        <v/>
      </c>
    </row>
    <row r="771" spans="2:12" x14ac:dyDescent="0.3">
      <c r="B771" t="str">
        <f>IF('SAÍDAS-BASE'!A769="","",'SAÍDAS-BASE'!A769)</f>
        <v/>
      </c>
      <c r="C771" t="str">
        <f>IF('SAÍDAS-BASE'!B769="","",'SAÍDAS-BASE'!B769)</f>
        <v/>
      </c>
      <c r="D771" t="str">
        <f>IF('SAÍDAS-BASE'!C769="","",'SAÍDAS-BASE'!C769)</f>
        <v/>
      </c>
      <c r="E771" s="7" t="str">
        <f>IF('SAÍDAS-BASE'!D769="","",'SAÍDAS-BASE'!D769)</f>
        <v/>
      </c>
      <c r="F771" s="6" t="str">
        <f>IF('SAÍDAS-BASE'!E769="","",'SAÍDAS-BASE'!E769)</f>
        <v/>
      </c>
      <c r="G771" t="str">
        <f>IF('SAÍDAS-BASE'!F769="","",'SAÍDAS-BASE'!F769)</f>
        <v/>
      </c>
      <c r="H771" t="str">
        <f>IF('SAÍDAS-BASE'!G769="","",'SAÍDAS-BASE'!G769)</f>
        <v/>
      </c>
      <c r="I771" t="str">
        <f>IF('SAÍDAS-BASE'!H769="","",'SAÍDAS-BASE'!H769)</f>
        <v/>
      </c>
      <c r="J771" t="str">
        <f>IF('SAÍDAS-BASE'!I769="","",'SAÍDAS-BASE'!I769)</f>
        <v/>
      </c>
      <c r="K771" s="5" t="str">
        <f>IF('SAÍDAS-BASE'!J769="","",'SAÍDAS-BASE'!J769)</f>
        <v/>
      </c>
      <c r="L771" t="str">
        <f>IF(TABELA_SAIDAS[[#This Row],[UF]]="","",IFERROR(IF(VLOOKUP(TABELA_SAIDAS[[#This Row],[VALOR]],TABELA_ENTRADAS[VALOR],1,FALSE),"DEVOLUÇÃO"),"SEM ENTRADAS"))</f>
        <v/>
      </c>
    </row>
    <row r="772" spans="2:12" x14ac:dyDescent="0.3">
      <c r="B772" t="str">
        <f>IF('SAÍDAS-BASE'!A770="","",'SAÍDAS-BASE'!A770)</f>
        <v/>
      </c>
      <c r="C772" t="str">
        <f>IF('SAÍDAS-BASE'!B770="","",'SAÍDAS-BASE'!B770)</f>
        <v/>
      </c>
      <c r="D772" t="str">
        <f>IF('SAÍDAS-BASE'!C770="","",'SAÍDAS-BASE'!C770)</f>
        <v/>
      </c>
      <c r="E772" s="7" t="str">
        <f>IF('SAÍDAS-BASE'!D770="","",'SAÍDAS-BASE'!D770)</f>
        <v/>
      </c>
      <c r="F772" s="6" t="str">
        <f>IF('SAÍDAS-BASE'!E770="","",'SAÍDAS-BASE'!E770)</f>
        <v/>
      </c>
      <c r="G772" t="str">
        <f>IF('SAÍDAS-BASE'!F770="","",'SAÍDAS-BASE'!F770)</f>
        <v/>
      </c>
      <c r="H772" t="str">
        <f>IF('SAÍDAS-BASE'!G770="","",'SAÍDAS-BASE'!G770)</f>
        <v/>
      </c>
      <c r="I772" t="str">
        <f>IF('SAÍDAS-BASE'!H770="","",'SAÍDAS-BASE'!H770)</f>
        <v/>
      </c>
      <c r="J772" t="str">
        <f>IF('SAÍDAS-BASE'!I770="","",'SAÍDAS-BASE'!I770)</f>
        <v/>
      </c>
      <c r="K772" s="5" t="str">
        <f>IF('SAÍDAS-BASE'!J770="","",'SAÍDAS-BASE'!J770)</f>
        <v/>
      </c>
      <c r="L772" t="str">
        <f>IF(TABELA_SAIDAS[[#This Row],[UF]]="","",IFERROR(IF(VLOOKUP(TABELA_SAIDAS[[#This Row],[VALOR]],TABELA_ENTRADAS[VALOR],1,FALSE),"DEVOLUÇÃO"),"SEM ENTRADAS"))</f>
        <v/>
      </c>
    </row>
    <row r="773" spans="2:12" x14ac:dyDescent="0.3">
      <c r="B773" t="str">
        <f>IF('SAÍDAS-BASE'!A771="","",'SAÍDAS-BASE'!A771)</f>
        <v/>
      </c>
      <c r="C773" t="str">
        <f>IF('SAÍDAS-BASE'!B771="","",'SAÍDAS-BASE'!B771)</f>
        <v/>
      </c>
      <c r="D773" t="str">
        <f>IF('SAÍDAS-BASE'!C771="","",'SAÍDAS-BASE'!C771)</f>
        <v/>
      </c>
      <c r="E773" s="7" t="str">
        <f>IF('SAÍDAS-BASE'!D771="","",'SAÍDAS-BASE'!D771)</f>
        <v/>
      </c>
      <c r="F773" s="6" t="str">
        <f>IF('SAÍDAS-BASE'!E771="","",'SAÍDAS-BASE'!E771)</f>
        <v/>
      </c>
      <c r="G773" t="str">
        <f>IF('SAÍDAS-BASE'!F771="","",'SAÍDAS-BASE'!F771)</f>
        <v/>
      </c>
      <c r="H773" t="str">
        <f>IF('SAÍDAS-BASE'!G771="","",'SAÍDAS-BASE'!G771)</f>
        <v/>
      </c>
      <c r="I773" t="str">
        <f>IF('SAÍDAS-BASE'!H771="","",'SAÍDAS-BASE'!H771)</f>
        <v/>
      </c>
      <c r="J773" t="str">
        <f>IF('SAÍDAS-BASE'!I771="","",'SAÍDAS-BASE'!I771)</f>
        <v/>
      </c>
      <c r="K773" s="5" t="str">
        <f>IF('SAÍDAS-BASE'!J771="","",'SAÍDAS-BASE'!J771)</f>
        <v/>
      </c>
      <c r="L773" t="str">
        <f>IF(TABELA_SAIDAS[[#This Row],[UF]]="","",IFERROR(IF(VLOOKUP(TABELA_SAIDAS[[#This Row],[VALOR]],TABELA_ENTRADAS[VALOR],1,FALSE),"DEVOLUÇÃO"),"SEM ENTRADAS"))</f>
        <v/>
      </c>
    </row>
    <row r="774" spans="2:12" x14ac:dyDescent="0.3">
      <c r="B774" t="str">
        <f>IF('SAÍDAS-BASE'!A772="","",'SAÍDAS-BASE'!A772)</f>
        <v/>
      </c>
      <c r="C774" t="str">
        <f>IF('SAÍDAS-BASE'!B772="","",'SAÍDAS-BASE'!B772)</f>
        <v/>
      </c>
      <c r="D774" t="str">
        <f>IF('SAÍDAS-BASE'!C772="","",'SAÍDAS-BASE'!C772)</f>
        <v/>
      </c>
      <c r="E774" s="7" t="str">
        <f>IF('SAÍDAS-BASE'!D772="","",'SAÍDAS-BASE'!D772)</f>
        <v/>
      </c>
      <c r="F774" s="6" t="str">
        <f>IF('SAÍDAS-BASE'!E772="","",'SAÍDAS-BASE'!E772)</f>
        <v/>
      </c>
      <c r="G774" t="str">
        <f>IF('SAÍDAS-BASE'!F772="","",'SAÍDAS-BASE'!F772)</f>
        <v/>
      </c>
      <c r="H774" t="str">
        <f>IF('SAÍDAS-BASE'!G772="","",'SAÍDAS-BASE'!G772)</f>
        <v/>
      </c>
      <c r="I774" t="str">
        <f>IF('SAÍDAS-BASE'!H772="","",'SAÍDAS-BASE'!H772)</f>
        <v/>
      </c>
      <c r="J774" t="str">
        <f>IF('SAÍDAS-BASE'!I772="","",'SAÍDAS-BASE'!I772)</f>
        <v/>
      </c>
      <c r="K774" s="5" t="str">
        <f>IF('SAÍDAS-BASE'!J772="","",'SAÍDAS-BASE'!J772)</f>
        <v/>
      </c>
      <c r="L774" t="str">
        <f>IF(TABELA_SAIDAS[[#This Row],[UF]]="","",IFERROR(IF(VLOOKUP(TABELA_SAIDAS[[#This Row],[VALOR]],TABELA_ENTRADAS[VALOR],1,FALSE),"DEVOLUÇÃO"),"SEM ENTRADAS"))</f>
        <v/>
      </c>
    </row>
    <row r="775" spans="2:12" x14ac:dyDescent="0.3">
      <c r="B775" t="str">
        <f>IF('SAÍDAS-BASE'!A773="","",'SAÍDAS-BASE'!A773)</f>
        <v/>
      </c>
      <c r="C775" t="str">
        <f>IF('SAÍDAS-BASE'!B773="","",'SAÍDAS-BASE'!B773)</f>
        <v/>
      </c>
      <c r="D775" t="str">
        <f>IF('SAÍDAS-BASE'!C773="","",'SAÍDAS-BASE'!C773)</f>
        <v/>
      </c>
      <c r="E775" s="7" t="str">
        <f>IF('SAÍDAS-BASE'!D773="","",'SAÍDAS-BASE'!D773)</f>
        <v/>
      </c>
      <c r="F775" s="6" t="str">
        <f>IF('SAÍDAS-BASE'!E773="","",'SAÍDAS-BASE'!E773)</f>
        <v/>
      </c>
      <c r="G775" t="str">
        <f>IF('SAÍDAS-BASE'!F773="","",'SAÍDAS-BASE'!F773)</f>
        <v/>
      </c>
      <c r="H775" t="str">
        <f>IF('SAÍDAS-BASE'!G773="","",'SAÍDAS-BASE'!G773)</f>
        <v/>
      </c>
      <c r="I775" t="str">
        <f>IF('SAÍDAS-BASE'!H773="","",'SAÍDAS-BASE'!H773)</f>
        <v/>
      </c>
      <c r="J775" t="str">
        <f>IF('SAÍDAS-BASE'!I773="","",'SAÍDAS-BASE'!I773)</f>
        <v/>
      </c>
      <c r="K775" s="5" t="str">
        <f>IF('SAÍDAS-BASE'!J773="","",'SAÍDAS-BASE'!J773)</f>
        <v/>
      </c>
      <c r="L775" t="str">
        <f>IF(TABELA_SAIDAS[[#This Row],[UF]]="","",IFERROR(IF(VLOOKUP(TABELA_SAIDAS[[#This Row],[VALOR]],TABELA_ENTRADAS[VALOR],1,FALSE),"DEVOLUÇÃO"),"SEM ENTRADAS"))</f>
        <v/>
      </c>
    </row>
    <row r="776" spans="2:12" x14ac:dyDescent="0.3">
      <c r="B776" t="str">
        <f>IF('SAÍDAS-BASE'!A774="","",'SAÍDAS-BASE'!A774)</f>
        <v/>
      </c>
      <c r="C776" t="str">
        <f>IF('SAÍDAS-BASE'!B774="","",'SAÍDAS-BASE'!B774)</f>
        <v/>
      </c>
      <c r="D776" t="str">
        <f>IF('SAÍDAS-BASE'!C774="","",'SAÍDAS-BASE'!C774)</f>
        <v/>
      </c>
      <c r="E776" s="7" t="str">
        <f>IF('SAÍDAS-BASE'!D774="","",'SAÍDAS-BASE'!D774)</f>
        <v/>
      </c>
      <c r="F776" s="6" t="str">
        <f>IF('SAÍDAS-BASE'!E774="","",'SAÍDAS-BASE'!E774)</f>
        <v/>
      </c>
      <c r="G776" t="str">
        <f>IF('SAÍDAS-BASE'!F774="","",'SAÍDAS-BASE'!F774)</f>
        <v/>
      </c>
      <c r="H776" t="str">
        <f>IF('SAÍDAS-BASE'!G774="","",'SAÍDAS-BASE'!G774)</f>
        <v/>
      </c>
      <c r="I776" t="str">
        <f>IF('SAÍDAS-BASE'!H774="","",'SAÍDAS-BASE'!H774)</f>
        <v/>
      </c>
      <c r="J776" t="str">
        <f>IF('SAÍDAS-BASE'!I774="","",'SAÍDAS-BASE'!I774)</f>
        <v/>
      </c>
      <c r="K776" s="5" t="str">
        <f>IF('SAÍDAS-BASE'!J774="","",'SAÍDAS-BASE'!J774)</f>
        <v/>
      </c>
      <c r="L776" t="str">
        <f>IF(TABELA_SAIDAS[[#This Row],[UF]]="","",IFERROR(IF(VLOOKUP(TABELA_SAIDAS[[#This Row],[VALOR]],TABELA_ENTRADAS[VALOR],1,FALSE),"DEVOLUÇÃO"),"SEM ENTRADAS"))</f>
        <v/>
      </c>
    </row>
    <row r="777" spans="2:12" x14ac:dyDescent="0.3">
      <c r="B777" t="str">
        <f>IF('SAÍDAS-BASE'!A775="","",'SAÍDAS-BASE'!A775)</f>
        <v/>
      </c>
      <c r="C777" t="str">
        <f>IF('SAÍDAS-BASE'!B775="","",'SAÍDAS-BASE'!B775)</f>
        <v/>
      </c>
      <c r="D777" t="str">
        <f>IF('SAÍDAS-BASE'!C775="","",'SAÍDAS-BASE'!C775)</f>
        <v/>
      </c>
      <c r="E777" s="7" t="str">
        <f>IF('SAÍDAS-BASE'!D775="","",'SAÍDAS-BASE'!D775)</f>
        <v/>
      </c>
      <c r="F777" s="6" t="str">
        <f>IF('SAÍDAS-BASE'!E775="","",'SAÍDAS-BASE'!E775)</f>
        <v/>
      </c>
      <c r="G777" t="str">
        <f>IF('SAÍDAS-BASE'!F775="","",'SAÍDAS-BASE'!F775)</f>
        <v/>
      </c>
      <c r="H777" t="str">
        <f>IF('SAÍDAS-BASE'!G775="","",'SAÍDAS-BASE'!G775)</f>
        <v/>
      </c>
      <c r="I777" t="str">
        <f>IF('SAÍDAS-BASE'!H775="","",'SAÍDAS-BASE'!H775)</f>
        <v/>
      </c>
      <c r="J777" t="str">
        <f>IF('SAÍDAS-BASE'!I775="","",'SAÍDAS-BASE'!I775)</f>
        <v/>
      </c>
      <c r="K777" s="5" t="str">
        <f>IF('SAÍDAS-BASE'!J775="","",'SAÍDAS-BASE'!J775)</f>
        <v/>
      </c>
      <c r="L777" t="str">
        <f>IF(TABELA_SAIDAS[[#This Row],[UF]]="","",IFERROR(IF(VLOOKUP(TABELA_SAIDAS[[#This Row],[VALOR]],TABELA_ENTRADAS[VALOR],1,FALSE),"DEVOLUÇÃO"),"SEM ENTRADAS"))</f>
        <v/>
      </c>
    </row>
    <row r="778" spans="2:12" x14ac:dyDescent="0.3">
      <c r="B778" t="str">
        <f>IF('SAÍDAS-BASE'!A776="","",'SAÍDAS-BASE'!A776)</f>
        <v/>
      </c>
      <c r="C778" t="str">
        <f>IF('SAÍDAS-BASE'!B776="","",'SAÍDAS-BASE'!B776)</f>
        <v/>
      </c>
      <c r="D778" t="str">
        <f>IF('SAÍDAS-BASE'!C776="","",'SAÍDAS-BASE'!C776)</f>
        <v/>
      </c>
      <c r="E778" s="7" t="str">
        <f>IF('SAÍDAS-BASE'!D776="","",'SAÍDAS-BASE'!D776)</f>
        <v/>
      </c>
      <c r="F778" s="6" t="str">
        <f>IF('SAÍDAS-BASE'!E776="","",'SAÍDAS-BASE'!E776)</f>
        <v/>
      </c>
      <c r="G778" t="str">
        <f>IF('SAÍDAS-BASE'!F776="","",'SAÍDAS-BASE'!F776)</f>
        <v/>
      </c>
      <c r="H778" t="str">
        <f>IF('SAÍDAS-BASE'!G776="","",'SAÍDAS-BASE'!G776)</f>
        <v/>
      </c>
      <c r="I778" t="str">
        <f>IF('SAÍDAS-BASE'!H776="","",'SAÍDAS-BASE'!H776)</f>
        <v/>
      </c>
      <c r="J778" t="str">
        <f>IF('SAÍDAS-BASE'!I776="","",'SAÍDAS-BASE'!I776)</f>
        <v/>
      </c>
      <c r="K778" s="5" t="str">
        <f>IF('SAÍDAS-BASE'!J776="","",'SAÍDAS-BASE'!J776)</f>
        <v/>
      </c>
      <c r="L778" t="str">
        <f>IF(TABELA_SAIDAS[[#This Row],[UF]]="","",IFERROR(IF(VLOOKUP(TABELA_SAIDAS[[#This Row],[VALOR]],TABELA_ENTRADAS[VALOR],1,FALSE),"DEVOLUÇÃO"),"SEM ENTRADAS"))</f>
        <v/>
      </c>
    </row>
    <row r="779" spans="2:12" x14ac:dyDescent="0.3">
      <c r="B779" t="str">
        <f>IF('SAÍDAS-BASE'!A777="","",'SAÍDAS-BASE'!A777)</f>
        <v/>
      </c>
      <c r="C779" t="str">
        <f>IF('SAÍDAS-BASE'!B777="","",'SAÍDAS-BASE'!B777)</f>
        <v/>
      </c>
      <c r="D779" t="str">
        <f>IF('SAÍDAS-BASE'!C777="","",'SAÍDAS-BASE'!C777)</f>
        <v/>
      </c>
      <c r="E779" s="7" t="str">
        <f>IF('SAÍDAS-BASE'!D777="","",'SAÍDAS-BASE'!D777)</f>
        <v/>
      </c>
      <c r="F779" s="6" t="str">
        <f>IF('SAÍDAS-BASE'!E777="","",'SAÍDAS-BASE'!E777)</f>
        <v/>
      </c>
      <c r="G779" t="str">
        <f>IF('SAÍDAS-BASE'!F777="","",'SAÍDAS-BASE'!F777)</f>
        <v/>
      </c>
      <c r="H779" t="str">
        <f>IF('SAÍDAS-BASE'!G777="","",'SAÍDAS-BASE'!G777)</f>
        <v/>
      </c>
      <c r="I779" t="str">
        <f>IF('SAÍDAS-BASE'!H777="","",'SAÍDAS-BASE'!H777)</f>
        <v/>
      </c>
      <c r="J779" t="str">
        <f>IF('SAÍDAS-BASE'!I777="","",'SAÍDAS-BASE'!I777)</f>
        <v/>
      </c>
      <c r="K779" s="5" t="str">
        <f>IF('SAÍDAS-BASE'!J777="","",'SAÍDAS-BASE'!J777)</f>
        <v/>
      </c>
      <c r="L779" t="str">
        <f>IF(TABELA_SAIDAS[[#This Row],[UF]]="","",IFERROR(IF(VLOOKUP(TABELA_SAIDAS[[#This Row],[VALOR]],TABELA_ENTRADAS[VALOR],1,FALSE),"DEVOLUÇÃO"),"SEM ENTRADAS"))</f>
        <v/>
      </c>
    </row>
    <row r="780" spans="2:12" x14ac:dyDescent="0.3">
      <c r="B780" t="str">
        <f>IF('SAÍDAS-BASE'!A778="","",'SAÍDAS-BASE'!A778)</f>
        <v/>
      </c>
      <c r="C780" t="str">
        <f>IF('SAÍDAS-BASE'!B778="","",'SAÍDAS-BASE'!B778)</f>
        <v/>
      </c>
      <c r="D780" t="str">
        <f>IF('SAÍDAS-BASE'!C778="","",'SAÍDAS-BASE'!C778)</f>
        <v/>
      </c>
      <c r="E780" s="7" t="str">
        <f>IF('SAÍDAS-BASE'!D778="","",'SAÍDAS-BASE'!D778)</f>
        <v/>
      </c>
      <c r="F780" s="6" t="str">
        <f>IF('SAÍDAS-BASE'!E778="","",'SAÍDAS-BASE'!E778)</f>
        <v/>
      </c>
      <c r="G780" t="str">
        <f>IF('SAÍDAS-BASE'!F778="","",'SAÍDAS-BASE'!F778)</f>
        <v/>
      </c>
      <c r="H780" t="str">
        <f>IF('SAÍDAS-BASE'!G778="","",'SAÍDAS-BASE'!G778)</f>
        <v/>
      </c>
      <c r="I780" t="str">
        <f>IF('SAÍDAS-BASE'!H778="","",'SAÍDAS-BASE'!H778)</f>
        <v/>
      </c>
      <c r="J780" t="str">
        <f>IF('SAÍDAS-BASE'!I778="","",'SAÍDAS-BASE'!I778)</f>
        <v/>
      </c>
      <c r="K780" s="5" t="str">
        <f>IF('SAÍDAS-BASE'!J778="","",'SAÍDAS-BASE'!J778)</f>
        <v/>
      </c>
      <c r="L780" t="str">
        <f>IF(TABELA_SAIDAS[[#This Row],[UF]]="","",IFERROR(IF(VLOOKUP(TABELA_SAIDAS[[#This Row],[VALOR]],TABELA_ENTRADAS[VALOR],1,FALSE),"DEVOLUÇÃO"),"SEM ENTRADAS"))</f>
        <v/>
      </c>
    </row>
    <row r="781" spans="2:12" x14ac:dyDescent="0.3">
      <c r="B781" t="str">
        <f>IF('SAÍDAS-BASE'!A779="","",'SAÍDAS-BASE'!A779)</f>
        <v/>
      </c>
      <c r="C781" t="str">
        <f>IF('SAÍDAS-BASE'!B779="","",'SAÍDAS-BASE'!B779)</f>
        <v/>
      </c>
      <c r="D781" t="str">
        <f>IF('SAÍDAS-BASE'!C779="","",'SAÍDAS-BASE'!C779)</f>
        <v/>
      </c>
      <c r="E781" s="7" t="str">
        <f>IF('SAÍDAS-BASE'!D779="","",'SAÍDAS-BASE'!D779)</f>
        <v/>
      </c>
      <c r="F781" s="6" t="str">
        <f>IF('SAÍDAS-BASE'!E779="","",'SAÍDAS-BASE'!E779)</f>
        <v/>
      </c>
      <c r="G781" t="str">
        <f>IF('SAÍDAS-BASE'!F779="","",'SAÍDAS-BASE'!F779)</f>
        <v/>
      </c>
      <c r="H781" t="str">
        <f>IF('SAÍDAS-BASE'!G779="","",'SAÍDAS-BASE'!G779)</f>
        <v/>
      </c>
      <c r="I781" t="str">
        <f>IF('SAÍDAS-BASE'!H779="","",'SAÍDAS-BASE'!H779)</f>
        <v/>
      </c>
      <c r="J781" t="str">
        <f>IF('SAÍDAS-BASE'!I779="","",'SAÍDAS-BASE'!I779)</f>
        <v/>
      </c>
      <c r="K781" s="5" t="str">
        <f>IF('SAÍDAS-BASE'!J779="","",'SAÍDAS-BASE'!J779)</f>
        <v/>
      </c>
      <c r="L781" t="str">
        <f>IF(TABELA_SAIDAS[[#This Row],[UF]]="","",IFERROR(IF(VLOOKUP(TABELA_SAIDAS[[#This Row],[VALOR]],TABELA_ENTRADAS[VALOR],1,FALSE),"DEVOLUÇÃO"),"SEM ENTRADAS"))</f>
        <v/>
      </c>
    </row>
    <row r="782" spans="2:12" x14ac:dyDescent="0.3">
      <c r="B782" t="str">
        <f>IF('SAÍDAS-BASE'!A780="","",'SAÍDAS-BASE'!A780)</f>
        <v/>
      </c>
      <c r="C782" t="str">
        <f>IF('SAÍDAS-BASE'!B780="","",'SAÍDAS-BASE'!B780)</f>
        <v/>
      </c>
      <c r="D782" t="str">
        <f>IF('SAÍDAS-BASE'!C780="","",'SAÍDAS-BASE'!C780)</f>
        <v/>
      </c>
      <c r="E782" s="7" t="str">
        <f>IF('SAÍDAS-BASE'!D780="","",'SAÍDAS-BASE'!D780)</f>
        <v/>
      </c>
      <c r="F782" s="6" t="str">
        <f>IF('SAÍDAS-BASE'!E780="","",'SAÍDAS-BASE'!E780)</f>
        <v/>
      </c>
      <c r="G782" t="str">
        <f>IF('SAÍDAS-BASE'!F780="","",'SAÍDAS-BASE'!F780)</f>
        <v/>
      </c>
      <c r="H782" t="str">
        <f>IF('SAÍDAS-BASE'!G780="","",'SAÍDAS-BASE'!G780)</f>
        <v/>
      </c>
      <c r="I782" t="str">
        <f>IF('SAÍDAS-BASE'!H780="","",'SAÍDAS-BASE'!H780)</f>
        <v/>
      </c>
      <c r="J782" t="str">
        <f>IF('SAÍDAS-BASE'!I780="","",'SAÍDAS-BASE'!I780)</f>
        <v/>
      </c>
      <c r="K782" s="5" t="str">
        <f>IF('SAÍDAS-BASE'!J780="","",'SAÍDAS-BASE'!J780)</f>
        <v/>
      </c>
      <c r="L782" t="str">
        <f>IF(TABELA_SAIDAS[[#This Row],[UF]]="","",IFERROR(IF(VLOOKUP(TABELA_SAIDAS[[#This Row],[VALOR]],TABELA_ENTRADAS[VALOR],1,FALSE),"DEVOLUÇÃO"),"SEM ENTRADAS"))</f>
        <v/>
      </c>
    </row>
    <row r="783" spans="2:12" x14ac:dyDescent="0.3">
      <c r="B783" t="str">
        <f>IF('SAÍDAS-BASE'!A781="","",'SAÍDAS-BASE'!A781)</f>
        <v/>
      </c>
      <c r="C783" t="str">
        <f>IF('SAÍDAS-BASE'!B781="","",'SAÍDAS-BASE'!B781)</f>
        <v/>
      </c>
      <c r="D783" t="str">
        <f>IF('SAÍDAS-BASE'!C781="","",'SAÍDAS-BASE'!C781)</f>
        <v/>
      </c>
      <c r="E783" s="7" t="str">
        <f>IF('SAÍDAS-BASE'!D781="","",'SAÍDAS-BASE'!D781)</f>
        <v/>
      </c>
      <c r="F783" s="6" t="str">
        <f>IF('SAÍDAS-BASE'!E781="","",'SAÍDAS-BASE'!E781)</f>
        <v/>
      </c>
      <c r="G783" t="str">
        <f>IF('SAÍDAS-BASE'!F781="","",'SAÍDAS-BASE'!F781)</f>
        <v/>
      </c>
      <c r="H783" t="str">
        <f>IF('SAÍDAS-BASE'!G781="","",'SAÍDAS-BASE'!G781)</f>
        <v/>
      </c>
      <c r="I783" t="str">
        <f>IF('SAÍDAS-BASE'!H781="","",'SAÍDAS-BASE'!H781)</f>
        <v/>
      </c>
      <c r="J783" t="str">
        <f>IF('SAÍDAS-BASE'!I781="","",'SAÍDAS-BASE'!I781)</f>
        <v/>
      </c>
      <c r="K783" s="5" t="str">
        <f>IF('SAÍDAS-BASE'!J781="","",'SAÍDAS-BASE'!J781)</f>
        <v/>
      </c>
      <c r="L783" t="str">
        <f>IF(TABELA_SAIDAS[[#This Row],[UF]]="","",IFERROR(IF(VLOOKUP(TABELA_SAIDAS[[#This Row],[VALOR]],TABELA_ENTRADAS[VALOR],1,FALSE),"DEVOLUÇÃO"),"SEM ENTRADAS"))</f>
        <v/>
      </c>
    </row>
    <row r="784" spans="2:12" x14ac:dyDescent="0.3">
      <c r="B784" t="str">
        <f>IF('SAÍDAS-BASE'!A782="","",'SAÍDAS-BASE'!A782)</f>
        <v/>
      </c>
      <c r="C784" t="str">
        <f>IF('SAÍDAS-BASE'!B782="","",'SAÍDAS-BASE'!B782)</f>
        <v/>
      </c>
      <c r="D784" t="str">
        <f>IF('SAÍDAS-BASE'!C782="","",'SAÍDAS-BASE'!C782)</f>
        <v/>
      </c>
      <c r="E784" s="7" t="str">
        <f>IF('SAÍDAS-BASE'!D782="","",'SAÍDAS-BASE'!D782)</f>
        <v/>
      </c>
      <c r="F784" s="6" t="str">
        <f>IF('SAÍDAS-BASE'!E782="","",'SAÍDAS-BASE'!E782)</f>
        <v/>
      </c>
      <c r="G784" t="str">
        <f>IF('SAÍDAS-BASE'!F782="","",'SAÍDAS-BASE'!F782)</f>
        <v/>
      </c>
      <c r="H784" t="str">
        <f>IF('SAÍDAS-BASE'!G782="","",'SAÍDAS-BASE'!G782)</f>
        <v/>
      </c>
      <c r="I784" t="str">
        <f>IF('SAÍDAS-BASE'!H782="","",'SAÍDAS-BASE'!H782)</f>
        <v/>
      </c>
      <c r="J784" t="str">
        <f>IF('SAÍDAS-BASE'!I782="","",'SAÍDAS-BASE'!I782)</f>
        <v/>
      </c>
      <c r="K784" s="5" t="str">
        <f>IF('SAÍDAS-BASE'!J782="","",'SAÍDAS-BASE'!J782)</f>
        <v/>
      </c>
      <c r="L784" t="str">
        <f>IF(TABELA_SAIDAS[[#This Row],[UF]]="","",IFERROR(IF(VLOOKUP(TABELA_SAIDAS[[#This Row],[VALOR]],TABELA_ENTRADAS[VALOR],1,FALSE),"DEVOLUÇÃO"),"SEM ENTRADAS"))</f>
        <v/>
      </c>
    </row>
    <row r="785" spans="2:12" x14ac:dyDescent="0.3">
      <c r="B785" t="str">
        <f>IF('SAÍDAS-BASE'!A783="","",'SAÍDAS-BASE'!A783)</f>
        <v/>
      </c>
      <c r="C785" t="str">
        <f>IF('SAÍDAS-BASE'!B783="","",'SAÍDAS-BASE'!B783)</f>
        <v/>
      </c>
      <c r="D785" t="str">
        <f>IF('SAÍDAS-BASE'!C783="","",'SAÍDAS-BASE'!C783)</f>
        <v/>
      </c>
      <c r="E785" s="7" t="str">
        <f>IF('SAÍDAS-BASE'!D783="","",'SAÍDAS-BASE'!D783)</f>
        <v/>
      </c>
      <c r="F785" s="6" t="str">
        <f>IF('SAÍDAS-BASE'!E783="","",'SAÍDAS-BASE'!E783)</f>
        <v/>
      </c>
      <c r="G785" t="str">
        <f>IF('SAÍDAS-BASE'!F783="","",'SAÍDAS-BASE'!F783)</f>
        <v/>
      </c>
      <c r="H785" t="str">
        <f>IF('SAÍDAS-BASE'!G783="","",'SAÍDAS-BASE'!G783)</f>
        <v/>
      </c>
      <c r="I785" t="str">
        <f>IF('SAÍDAS-BASE'!H783="","",'SAÍDAS-BASE'!H783)</f>
        <v/>
      </c>
      <c r="J785" t="str">
        <f>IF('SAÍDAS-BASE'!I783="","",'SAÍDAS-BASE'!I783)</f>
        <v/>
      </c>
      <c r="K785" s="5" t="str">
        <f>IF('SAÍDAS-BASE'!J783="","",'SAÍDAS-BASE'!J783)</f>
        <v/>
      </c>
      <c r="L785" t="str">
        <f>IF(TABELA_SAIDAS[[#This Row],[UF]]="","",IFERROR(IF(VLOOKUP(TABELA_SAIDAS[[#This Row],[VALOR]],TABELA_ENTRADAS[VALOR],1,FALSE),"DEVOLUÇÃO"),"SEM ENTRADAS"))</f>
        <v/>
      </c>
    </row>
    <row r="786" spans="2:12" x14ac:dyDescent="0.3">
      <c r="B786" t="str">
        <f>IF('SAÍDAS-BASE'!A784="","",'SAÍDAS-BASE'!A784)</f>
        <v/>
      </c>
      <c r="C786" t="str">
        <f>IF('SAÍDAS-BASE'!B784="","",'SAÍDAS-BASE'!B784)</f>
        <v/>
      </c>
      <c r="D786" t="str">
        <f>IF('SAÍDAS-BASE'!C784="","",'SAÍDAS-BASE'!C784)</f>
        <v/>
      </c>
      <c r="E786" s="7" t="str">
        <f>IF('SAÍDAS-BASE'!D784="","",'SAÍDAS-BASE'!D784)</f>
        <v/>
      </c>
      <c r="F786" s="6" t="str">
        <f>IF('SAÍDAS-BASE'!E784="","",'SAÍDAS-BASE'!E784)</f>
        <v/>
      </c>
      <c r="G786" t="str">
        <f>IF('SAÍDAS-BASE'!F784="","",'SAÍDAS-BASE'!F784)</f>
        <v/>
      </c>
      <c r="H786" t="str">
        <f>IF('SAÍDAS-BASE'!G784="","",'SAÍDAS-BASE'!G784)</f>
        <v/>
      </c>
      <c r="I786" t="str">
        <f>IF('SAÍDAS-BASE'!H784="","",'SAÍDAS-BASE'!H784)</f>
        <v/>
      </c>
      <c r="J786" t="str">
        <f>IF('SAÍDAS-BASE'!I784="","",'SAÍDAS-BASE'!I784)</f>
        <v/>
      </c>
      <c r="K786" s="5" t="str">
        <f>IF('SAÍDAS-BASE'!J784="","",'SAÍDAS-BASE'!J784)</f>
        <v/>
      </c>
      <c r="L786" t="str">
        <f>IF(TABELA_SAIDAS[[#This Row],[UF]]="","",IFERROR(IF(VLOOKUP(TABELA_SAIDAS[[#This Row],[VALOR]],TABELA_ENTRADAS[VALOR],1,FALSE),"DEVOLUÇÃO"),"SEM ENTRADAS"))</f>
        <v/>
      </c>
    </row>
    <row r="787" spans="2:12" x14ac:dyDescent="0.3">
      <c r="B787" t="str">
        <f>IF('SAÍDAS-BASE'!A785="","",'SAÍDAS-BASE'!A785)</f>
        <v/>
      </c>
      <c r="C787" t="str">
        <f>IF('SAÍDAS-BASE'!B785="","",'SAÍDAS-BASE'!B785)</f>
        <v/>
      </c>
      <c r="D787" t="str">
        <f>IF('SAÍDAS-BASE'!C785="","",'SAÍDAS-BASE'!C785)</f>
        <v/>
      </c>
      <c r="E787" s="7" t="str">
        <f>IF('SAÍDAS-BASE'!D785="","",'SAÍDAS-BASE'!D785)</f>
        <v/>
      </c>
      <c r="F787" s="6" t="str">
        <f>IF('SAÍDAS-BASE'!E785="","",'SAÍDAS-BASE'!E785)</f>
        <v/>
      </c>
      <c r="G787" t="str">
        <f>IF('SAÍDAS-BASE'!F785="","",'SAÍDAS-BASE'!F785)</f>
        <v/>
      </c>
      <c r="H787" t="str">
        <f>IF('SAÍDAS-BASE'!G785="","",'SAÍDAS-BASE'!G785)</f>
        <v/>
      </c>
      <c r="I787" t="str">
        <f>IF('SAÍDAS-BASE'!H785="","",'SAÍDAS-BASE'!H785)</f>
        <v/>
      </c>
      <c r="J787" t="str">
        <f>IF('SAÍDAS-BASE'!I785="","",'SAÍDAS-BASE'!I785)</f>
        <v/>
      </c>
      <c r="K787" s="5" t="str">
        <f>IF('SAÍDAS-BASE'!J785="","",'SAÍDAS-BASE'!J785)</f>
        <v/>
      </c>
      <c r="L787" t="str">
        <f>IF(TABELA_SAIDAS[[#This Row],[UF]]="","",IFERROR(IF(VLOOKUP(TABELA_SAIDAS[[#This Row],[VALOR]],TABELA_ENTRADAS[VALOR],1,FALSE),"DEVOLUÇÃO"),"SEM ENTRADAS"))</f>
        <v/>
      </c>
    </row>
    <row r="788" spans="2:12" x14ac:dyDescent="0.3">
      <c r="B788" t="str">
        <f>IF('SAÍDAS-BASE'!A786="","",'SAÍDAS-BASE'!A786)</f>
        <v/>
      </c>
      <c r="C788" t="str">
        <f>IF('SAÍDAS-BASE'!B786="","",'SAÍDAS-BASE'!B786)</f>
        <v/>
      </c>
      <c r="D788" t="str">
        <f>IF('SAÍDAS-BASE'!C786="","",'SAÍDAS-BASE'!C786)</f>
        <v/>
      </c>
      <c r="E788" s="7" t="str">
        <f>IF('SAÍDAS-BASE'!D786="","",'SAÍDAS-BASE'!D786)</f>
        <v/>
      </c>
      <c r="F788" s="6" t="str">
        <f>IF('SAÍDAS-BASE'!E786="","",'SAÍDAS-BASE'!E786)</f>
        <v/>
      </c>
      <c r="G788" t="str">
        <f>IF('SAÍDAS-BASE'!F786="","",'SAÍDAS-BASE'!F786)</f>
        <v/>
      </c>
      <c r="H788" t="str">
        <f>IF('SAÍDAS-BASE'!G786="","",'SAÍDAS-BASE'!G786)</f>
        <v/>
      </c>
      <c r="I788" t="str">
        <f>IF('SAÍDAS-BASE'!H786="","",'SAÍDAS-BASE'!H786)</f>
        <v/>
      </c>
      <c r="J788" t="str">
        <f>IF('SAÍDAS-BASE'!I786="","",'SAÍDAS-BASE'!I786)</f>
        <v/>
      </c>
      <c r="K788" s="5" t="str">
        <f>IF('SAÍDAS-BASE'!J786="","",'SAÍDAS-BASE'!J786)</f>
        <v/>
      </c>
      <c r="L788" t="str">
        <f>IF(TABELA_SAIDAS[[#This Row],[UF]]="","",IFERROR(IF(VLOOKUP(TABELA_SAIDAS[[#This Row],[VALOR]],TABELA_ENTRADAS[VALOR],1,FALSE),"DEVOLUÇÃO"),"SEM ENTRADAS"))</f>
        <v/>
      </c>
    </row>
    <row r="789" spans="2:12" x14ac:dyDescent="0.3">
      <c r="B789" t="str">
        <f>IF('SAÍDAS-BASE'!A787="","",'SAÍDAS-BASE'!A787)</f>
        <v/>
      </c>
      <c r="C789" t="str">
        <f>IF('SAÍDAS-BASE'!B787="","",'SAÍDAS-BASE'!B787)</f>
        <v/>
      </c>
      <c r="D789" t="str">
        <f>IF('SAÍDAS-BASE'!C787="","",'SAÍDAS-BASE'!C787)</f>
        <v/>
      </c>
      <c r="E789" s="7" t="str">
        <f>IF('SAÍDAS-BASE'!D787="","",'SAÍDAS-BASE'!D787)</f>
        <v/>
      </c>
      <c r="F789" s="6" t="str">
        <f>IF('SAÍDAS-BASE'!E787="","",'SAÍDAS-BASE'!E787)</f>
        <v/>
      </c>
      <c r="G789" t="str">
        <f>IF('SAÍDAS-BASE'!F787="","",'SAÍDAS-BASE'!F787)</f>
        <v/>
      </c>
      <c r="H789" t="str">
        <f>IF('SAÍDAS-BASE'!G787="","",'SAÍDAS-BASE'!G787)</f>
        <v/>
      </c>
      <c r="I789" t="str">
        <f>IF('SAÍDAS-BASE'!H787="","",'SAÍDAS-BASE'!H787)</f>
        <v/>
      </c>
      <c r="J789" t="str">
        <f>IF('SAÍDAS-BASE'!I787="","",'SAÍDAS-BASE'!I787)</f>
        <v/>
      </c>
      <c r="K789" s="5" t="str">
        <f>IF('SAÍDAS-BASE'!J787="","",'SAÍDAS-BASE'!J787)</f>
        <v/>
      </c>
      <c r="L789" t="str">
        <f>IF(TABELA_SAIDAS[[#This Row],[UF]]="","",IFERROR(IF(VLOOKUP(TABELA_SAIDAS[[#This Row],[VALOR]],TABELA_ENTRADAS[VALOR],1,FALSE),"DEVOLUÇÃO"),"SEM ENTRADAS"))</f>
        <v/>
      </c>
    </row>
    <row r="790" spans="2:12" x14ac:dyDescent="0.3">
      <c r="B790" t="str">
        <f>IF('SAÍDAS-BASE'!A788="","",'SAÍDAS-BASE'!A788)</f>
        <v/>
      </c>
      <c r="C790" t="str">
        <f>IF('SAÍDAS-BASE'!B788="","",'SAÍDAS-BASE'!B788)</f>
        <v/>
      </c>
      <c r="D790" t="str">
        <f>IF('SAÍDAS-BASE'!C788="","",'SAÍDAS-BASE'!C788)</f>
        <v/>
      </c>
      <c r="E790" s="7" t="str">
        <f>IF('SAÍDAS-BASE'!D788="","",'SAÍDAS-BASE'!D788)</f>
        <v/>
      </c>
      <c r="F790" s="6" t="str">
        <f>IF('SAÍDAS-BASE'!E788="","",'SAÍDAS-BASE'!E788)</f>
        <v/>
      </c>
      <c r="G790" t="str">
        <f>IF('SAÍDAS-BASE'!F788="","",'SAÍDAS-BASE'!F788)</f>
        <v/>
      </c>
      <c r="H790" t="str">
        <f>IF('SAÍDAS-BASE'!G788="","",'SAÍDAS-BASE'!G788)</f>
        <v/>
      </c>
      <c r="I790" t="str">
        <f>IF('SAÍDAS-BASE'!H788="","",'SAÍDAS-BASE'!H788)</f>
        <v/>
      </c>
      <c r="J790" t="str">
        <f>IF('SAÍDAS-BASE'!I788="","",'SAÍDAS-BASE'!I788)</f>
        <v/>
      </c>
      <c r="K790" s="5" t="str">
        <f>IF('SAÍDAS-BASE'!J788="","",'SAÍDAS-BASE'!J788)</f>
        <v/>
      </c>
      <c r="L790" t="str">
        <f>IF(TABELA_SAIDAS[[#This Row],[UF]]="","",IFERROR(IF(VLOOKUP(TABELA_SAIDAS[[#This Row],[VALOR]],TABELA_ENTRADAS[VALOR],1,FALSE),"DEVOLUÇÃO"),"SEM ENTRADAS"))</f>
        <v/>
      </c>
    </row>
    <row r="791" spans="2:12" x14ac:dyDescent="0.3">
      <c r="B791" t="str">
        <f>IF('SAÍDAS-BASE'!A789="","",'SAÍDAS-BASE'!A789)</f>
        <v/>
      </c>
      <c r="C791" t="str">
        <f>IF('SAÍDAS-BASE'!B789="","",'SAÍDAS-BASE'!B789)</f>
        <v/>
      </c>
      <c r="D791" t="str">
        <f>IF('SAÍDAS-BASE'!C789="","",'SAÍDAS-BASE'!C789)</f>
        <v/>
      </c>
      <c r="E791" s="7" t="str">
        <f>IF('SAÍDAS-BASE'!D789="","",'SAÍDAS-BASE'!D789)</f>
        <v/>
      </c>
      <c r="F791" s="6" t="str">
        <f>IF('SAÍDAS-BASE'!E789="","",'SAÍDAS-BASE'!E789)</f>
        <v/>
      </c>
      <c r="G791" t="str">
        <f>IF('SAÍDAS-BASE'!F789="","",'SAÍDAS-BASE'!F789)</f>
        <v/>
      </c>
      <c r="H791" t="str">
        <f>IF('SAÍDAS-BASE'!G789="","",'SAÍDAS-BASE'!G789)</f>
        <v/>
      </c>
      <c r="I791" t="str">
        <f>IF('SAÍDAS-BASE'!H789="","",'SAÍDAS-BASE'!H789)</f>
        <v/>
      </c>
      <c r="J791" t="str">
        <f>IF('SAÍDAS-BASE'!I789="","",'SAÍDAS-BASE'!I789)</f>
        <v/>
      </c>
      <c r="K791" s="5" t="str">
        <f>IF('SAÍDAS-BASE'!J789="","",'SAÍDAS-BASE'!J789)</f>
        <v/>
      </c>
      <c r="L791" t="str">
        <f>IF(TABELA_SAIDAS[[#This Row],[UF]]="","",IFERROR(IF(VLOOKUP(TABELA_SAIDAS[[#This Row],[VALOR]],TABELA_ENTRADAS[VALOR],1,FALSE),"DEVOLUÇÃO"),"SEM ENTRADAS"))</f>
        <v/>
      </c>
    </row>
    <row r="792" spans="2:12" x14ac:dyDescent="0.3">
      <c r="B792" t="str">
        <f>IF('SAÍDAS-BASE'!A790="","",'SAÍDAS-BASE'!A790)</f>
        <v/>
      </c>
      <c r="C792" t="str">
        <f>IF('SAÍDAS-BASE'!B790="","",'SAÍDAS-BASE'!B790)</f>
        <v/>
      </c>
      <c r="D792" t="str">
        <f>IF('SAÍDAS-BASE'!C790="","",'SAÍDAS-BASE'!C790)</f>
        <v/>
      </c>
      <c r="E792" s="7" t="str">
        <f>IF('SAÍDAS-BASE'!D790="","",'SAÍDAS-BASE'!D790)</f>
        <v/>
      </c>
      <c r="F792" s="6" t="str">
        <f>IF('SAÍDAS-BASE'!E790="","",'SAÍDAS-BASE'!E790)</f>
        <v/>
      </c>
      <c r="G792" t="str">
        <f>IF('SAÍDAS-BASE'!F790="","",'SAÍDAS-BASE'!F790)</f>
        <v/>
      </c>
      <c r="H792" t="str">
        <f>IF('SAÍDAS-BASE'!G790="","",'SAÍDAS-BASE'!G790)</f>
        <v/>
      </c>
      <c r="I792" t="str">
        <f>IF('SAÍDAS-BASE'!H790="","",'SAÍDAS-BASE'!H790)</f>
        <v/>
      </c>
      <c r="J792" t="str">
        <f>IF('SAÍDAS-BASE'!I790="","",'SAÍDAS-BASE'!I790)</f>
        <v/>
      </c>
      <c r="K792" s="5" t="str">
        <f>IF('SAÍDAS-BASE'!J790="","",'SAÍDAS-BASE'!J790)</f>
        <v/>
      </c>
      <c r="L792" t="str">
        <f>IF(TABELA_SAIDAS[[#This Row],[UF]]="","",IFERROR(IF(VLOOKUP(TABELA_SAIDAS[[#This Row],[VALOR]],TABELA_ENTRADAS[VALOR],1,FALSE),"DEVOLUÇÃO"),"SEM ENTRADAS"))</f>
        <v/>
      </c>
    </row>
    <row r="793" spans="2:12" x14ac:dyDescent="0.3">
      <c r="B793" t="str">
        <f>IF('SAÍDAS-BASE'!A791="","",'SAÍDAS-BASE'!A791)</f>
        <v/>
      </c>
      <c r="C793" t="str">
        <f>IF('SAÍDAS-BASE'!B791="","",'SAÍDAS-BASE'!B791)</f>
        <v/>
      </c>
      <c r="D793" t="str">
        <f>IF('SAÍDAS-BASE'!C791="","",'SAÍDAS-BASE'!C791)</f>
        <v/>
      </c>
      <c r="E793" s="7" t="str">
        <f>IF('SAÍDAS-BASE'!D791="","",'SAÍDAS-BASE'!D791)</f>
        <v/>
      </c>
      <c r="F793" s="6" t="str">
        <f>IF('SAÍDAS-BASE'!E791="","",'SAÍDAS-BASE'!E791)</f>
        <v/>
      </c>
      <c r="G793" t="str">
        <f>IF('SAÍDAS-BASE'!F791="","",'SAÍDAS-BASE'!F791)</f>
        <v/>
      </c>
      <c r="H793" t="str">
        <f>IF('SAÍDAS-BASE'!G791="","",'SAÍDAS-BASE'!G791)</f>
        <v/>
      </c>
      <c r="I793" t="str">
        <f>IF('SAÍDAS-BASE'!H791="","",'SAÍDAS-BASE'!H791)</f>
        <v/>
      </c>
      <c r="J793" t="str">
        <f>IF('SAÍDAS-BASE'!I791="","",'SAÍDAS-BASE'!I791)</f>
        <v/>
      </c>
      <c r="K793" s="5" t="str">
        <f>IF('SAÍDAS-BASE'!J791="","",'SAÍDAS-BASE'!J791)</f>
        <v/>
      </c>
      <c r="L793" t="str">
        <f>IF(TABELA_SAIDAS[[#This Row],[UF]]="","",IFERROR(IF(VLOOKUP(TABELA_SAIDAS[[#This Row],[VALOR]],TABELA_ENTRADAS[VALOR],1,FALSE),"DEVOLUÇÃO"),"SEM ENTRADAS"))</f>
        <v/>
      </c>
    </row>
    <row r="794" spans="2:12" x14ac:dyDescent="0.3">
      <c r="B794" t="str">
        <f>IF('SAÍDAS-BASE'!A792="","",'SAÍDAS-BASE'!A792)</f>
        <v/>
      </c>
      <c r="C794" t="str">
        <f>IF('SAÍDAS-BASE'!B792="","",'SAÍDAS-BASE'!B792)</f>
        <v/>
      </c>
      <c r="D794" t="str">
        <f>IF('SAÍDAS-BASE'!C792="","",'SAÍDAS-BASE'!C792)</f>
        <v/>
      </c>
      <c r="E794" s="7" t="str">
        <f>IF('SAÍDAS-BASE'!D792="","",'SAÍDAS-BASE'!D792)</f>
        <v/>
      </c>
      <c r="F794" s="6" t="str">
        <f>IF('SAÍDAS-BASE'!E792="","",'SAÍDAS-BASE'!E792)</f>
        <v/>
      </c>
      <c r="G794" t="str">
        <f>IF('SAÍDAS-BASE'!F792="","",'SAÍDAS-BASE'!F792)</f>
        <v/>
      </c>
      <c r="H794" t="str">
        <f>IF('SAÍDAS-BASE'!G792="","",'SAÍDAS-BASE'!G792)</f>
        <v/>
      </c>
      <c r="I794" t="str">
        <f>IF('SAÍDAS-BASE'!H792="","",'SAÍDAS-BASE'!H792)</f>
        <v/>
      </c>
      <c r="J794" t="str">
        <f>IF('SAÍDAS-BASE'!I792="","",'SAÍDAS-BASE'!I792)</f>
        <v/>
      </c>
      <c r="K794" s="5" t="str">
        <f>IF('SAÍDAS-BASE'!J792="","",'SAÍDAS-BASE'!J792)</f>
        <v/>
      </c>
      <c r="L794" t="str">
        <f>IF(TABELA_SAIDAS[[#This Row],[UF]]="","",IFERROR(IF(VLOOKUP(TABELA_SAIDAS[[#This Row],[VALOR]],TABELA_ENTRADAS[VALOR],1,FALSE),"DEVOLUÇÃO"),"SEM ENTRADAS"))</f>
        <v/>
      </c>
    </row>
    <row r="795" spans="2:12" x14ac:dyDescent="0.3">
      <c r="B795" t="str">
        <f>IF('SAÍDAS-BASE'!A793="","",'SAÍDAS-BASE'!A793)</f>
        <v/>
      </c>
      <c r="C795" t="str">
        <f>IF('SAÍDAS-BASE'!B793="","",'SAÍDAS-BASE'!B793)</f>
        <v/>
      </c>
      <c r="D795" t="str">
        <f>IF('SAÍDAS-BASE'!C793="","",'SAÍDAS-BASE'!C793)</f>
        <v/>
      </c>
      <c r="E795" s="7" t="str">
        <f>IF('SAÍDAS-BASE'!D793="","",'SAÍDAS-BASE'!D793)</f>
        <v/>
      </c>
      <c r="F795" s="6" t="str">
        <f>IF('SAÍDAS-BASE'!E793="","",'SAÍDAS-BASE'!E793)</f>
        <v/>
      </c>
      <c r="G795" t="str">
        <f>IF('SAÍDAS-BASE'!F793="","",'SAÍDAS-BASE'!F793)</f>
        <v/>
      </c>
      <c r="H795" t="str">
        <f>IF('SAÍDAS-BASE'!G793="","",'SAÍDAS-BASE'!G793)</f>
        <v/>
      </c>
      <c r="I795" t="str">
        <f>IF('SAÍDAS-BASE'!H793="","",'SAÍDAS-BASE'!H793)</f>
        <v/>
      </c>
      <c r="J795" t="str">
        <f>IF('SAÍDAS-BASE'!I793="","",'SAÍDAS-BASE'!I793)</f>
        <v/>
      </c>
      <c r="K795" s="5" t="str">
        <f>IF('SAÍDAS-BASE'!J793="","",'SAÍDAS-BASE'!J793)</f>
        <v/>
      </c>
      <c r="L795" t="str">
        <f>IF(TABELA_SAIDAS[[#This Row],[UF]]="","",IFERROR(IF(VLOOKUP(TABELA_SAIDAS[[#This Row],[VALOR]],TABELA_ENTRADAS[VALOR],1,FALSE),"DEVOLUÇÃO"),"SEM ENTRADAS"))</f>
        <v/>
      </c>
    </row>
    <row r="796" spans="2:12" x14ac:dyDescent="0.3">
      <c r="B796" t="str">
        <f>IF('SAÍDAS-BASE'!A794="","",'SAÍDAS-BASE'!A794)</f>
        <v/>
      </c>
      <c r="C796" t="str">
        <f>IF('SAÍDAS-BASE'!B794="","",'SAÍDAS-BASE'!B794)</f>
        <v/>
      </c>
      <c r="D796" t="str">
        <f>IF('SAÍDAS-BASE'!C794="","",'SAÍDAS-BASE'!C794)</f>
        <v/>
      </c>
      <c r="E796" s="7" t="str">
        <f>IF('SAÍDAS-BASE'!D794="","",'SAÍDAS-BASE'!D794)</f>
        <v/>
      </c>
      <c r="F796" s="6" t="str">
        <f>IF('SAÍDAS-BASE'!E794="","",'SAÍDAS-BASE'!E794)</f>
        <v/>
      </c>
      <c r="G796" t="str">
        <f>IF('SAÍDAS-BASE'!F794="","",'SAÍDAS-BASE'!F794)</f>
        <v/>
      </c>
      <c r="H796" t="str">
        <f>IF('SAÍDAS-BASE'!G794="","",'SAÍDAS-BASE'!G794)</f>
        <v/>
      </c>
      <c r="I796" t="str">
        <f>IF('SAÍDAS-BASE'!H794="","",'SAÍDAS-BASE'!H794)</f>
        <v/>
      </c>
      <c r="J796" t="str">
        <f>IF('SAÍDAS-BASE'!I794="","",'SAÍDAS-BASE'!I794)</f>
        <v/>
      </c>
      <c r="K796" s="5" t="str">
        <f>IF('SAÍDAS-BASE'!J794="","",'SAÍDAS-BASE'!J794)</f>
        <v/>
      </c>
      <c r="L796" t="str">
        <f>IF(TABELA_SAIDAS[[#This Row],[UF]]="","",IFERROR(IF(VLOOKUP(TABELA_SAIDAS[[#This Row],[VALOR]],TABELA_ENTRADAS[VALOR],1,FALSE),"DEVOLUÇÃO"),"SEM ENTRADAS"))</f>
        <v/>
      </c>
    </row>
    <row r="797" spans="2:12" x14ac:dyDescent="0.3">
      <c r="B797" t="str">
        <f>IF('SAÍDAS-BASE'!A795="","",'SAÍDAS-BASE'!A795)</f>
        <v/>
      </c>
      <c r="C797" t="str">
        <f>IF('SAÍDAS-BASE'!B795="","",'SAÍDAS-BASE'!B795)</f>
        <v/>
      </c>
      <c r="D797" t="str">
        <f>IF('SAÍDAS-BASE'!C795="","",'SAÍDAS-BASE'!C795)</f>
        <v/>
      </c>
      <c r="E797" s="7" t="str">
        <f>IF('SAÍDAS-BASE'!D795="","",'SAÍDAS-BASE'!D795)</f>
        <v/>
      </c>
      <c r="F797" s="6" t="str">
        <f>IF('SAÍDAS-BASE'!E795="","",'SAÍDAS-BASE'!E795)</f>
        <v/>
      </c>
      <c r="G797" t="str">
        <f>IF('SAÍDAS-BASE'!F795="","",'SAÍDAS-BASE'!F795)</f>
        <v/>
      </c>
      <c r="H797" t="str">
        <f>IF('SAÍDAS-BASE'!G795="","",'SAÍDAS-BASE'!G795)</f>
        <v/>
      </c>
      <c r="I797" t="str">
        <f>IF('SAÍDAS-BASE'!H795="","",'SAÍDAS-BASE'!H795)</f>
        <v/>
      </c>
      <c r="J797" t="str">
        <f>IF('SAÍDAS-BASE'!I795="","",'SAÍDAS-BASE'!I795)</f>
        <v/>
      </c>
      <c r="K797" s="5" t="str">
        <f>IF('SAÍDAS-BASE'!J795="","",'SAÍDAS-BASE'!J795)</f>
        <v/>
      </c>
      <c r="L797" t="str">
        <f>IF(TABELA_SAIDAS[[#This Row],[UF]]="","",IFERROR(IF(VLOOKUP(TABELA_SAIDAS[[#This Row],[VALOR]],TABELA_ENTRADAS[VALOR],1,FALSE),"DEVOLUÇÃO"),"SEM ENTRADAS"))</f>
        <v/>
      </c>
    </row>
    <row r="798" spans="2:12" x14ac:dyDescent="0.3">
      <c r="B798" t="str">
        <f>IF('SAÍDAS-BASE'!A796="","",'SAÍDAS-BASE'!A796)</f>
        <v/>
      </c>
      <c r="C798" t="str">
        <f>IF('SAÍDAS-BASE'!B796="","",'SAÍDAS-BASE'!B796)</f>
        <v/>
      </c>
      <c r="D798" t="str">
        <f>IF('SAÍDAS-BASE'!C796="","",'SAÍDAS-BASE'!C796)</f>
        <v/>
      </c>
      <c r="E798" s="7" t="str">
        <f>IF('SAÍDAS-BASE'!D796="","",'SAÍDAS-BASE'!D796)</f>
        <v/>
      </c>
      <c r="F798" s="6" t="str">
        <f>IF('SAÍDAS-BASE'!E796="","",'SAÍDAS-BASE'!E796)</f>
        <v/>
      </c>
      <c r="G798" t="str">
        <f>IF('SAÍDAS-BASE'!F796="","",'SAÍDAS-BASE'!F796)</f>
        <v/>
      </c>
      <c r="H798" t="str">
        <f>IF('SAÍDAS-BASE'!G796="","",'SAÍDAS-BASE'!G796)</f>
        <v/>
      </c>
      <c r="I798" t="str">
        <f>IF('SAÍDAS-BASE'!H796="","",'SAÍDAS-BASE'!H796)</f>
        <v/>
      </c>
      <c r="J798" t="str">
        <f>IF('SAÍDAS-BASE'!I796="","",'SAÍDAS-BASE'!I796)</f>
        <v/>
      </c>
      <c r="K798" s="5" t="str">
        <f>IF('SAÍDAS-BASE'!J796="","",'SAÍDAS-BASE'!J796)</f>
        <v/>
      </c>
      <c r="L798" t="str">
        <f>IF(TABELA_SAIDAS[[#This Row],[UF]]="","",IFERROR(IF(VLOOKUP(TABELA_SAIDAS[[#This Row],[VALOR]],TABELA_ENTRADAS[VALOR],1,FALSE),"DEVOLUÇÃO"),"SEM ENTRADAS"))</f>
        <v/>
      </c>
    </row>
    <row r="799" spans="2:12" x14ac:dyDescent="0.3">
      <c r="B799" t="str">
        <f>IF('SAÍDAS-BASE'!A797="","",'SAÍDAS-BASE'!A797)</f>
        <v/>
      </c>
      <c r="C799" t="str">
        <f>IF('SAÍDAS-BASE'!B797="","",'SAÍDAS-BASE'!B797)</f>
        <v/>
      </c>
      <c r="D799" t="str">
        <f>IF('SAÍDAS-BASE'!C797="","",'SAÍDAS-BASE'!C797)</f>
        <v/>
      </c>
      <c r="E799" s="7" t="str">
        <f>IF('SAÍDAS-BASE'!D797="","",'SAÍDAS-BASE'!D797)</f>
        <v/>
      </c>
      <c r="F799" s="6" t="str">
        <f>IF('SAÍDAS-BASE'!E797="","",'SAÍDAS-BASE'!E797)</f>
        <v/>
      </c>
      <c r="G799" t="str">
        <f>IF('SAÍDAS-BASE'!F797="","",'SAÍDAS-BASE'!F797)</f>
        <v/>
      </c>
      <c r="H799" t="str">
        <f>IF('SAÍDAS-BASE'!G797="","",'SAÍDAS-BASE'!G797)</f>
        <v/>
      </c>
      <c r="I799" t="str">
        <f>IF('SAÍDAS-BASE'!H797="","",'SAÍDAS-BASE'!H797)</f>
        <v/>
      </c>
      <c r="J799" t="str">
        <f>IF('SAÍDAS-BASE'!I797="","",'SAÍDAS-BASE'!I797)</f>
        <v/>
      </c>
      <c r="K799" s="5" t="str">
        <f>IF('SAÍDAS-BASE'!J797="","",'SAÍDAS-BASE'!J797)</f>
        <v/>
      </c>
      <c r="L799" t="str">
        <f>IF(TABELA_SAIDAS[[#This Row],[UF]]="","",IFERROR(IF(VLOOKUP(TABELA_SAIDAS[[#This Row],[VALOR]],TABELA_ENTRADAS[VALOR],1,FALSE),"DEVOLUÇÃO"),"SEM ENTRADAS"))</f>
        <v/>
      </c>
    </row>
    <row r="800" spans="2:12" x14ac:dyDescent="0.3">
      <c r="B800" t="str">
        <f>IF('SAÍDAS-BASE'!A798="","",'SAÍDAS-BASE'!A798)</f>
        <v/>
      </c>
      <c r="C800" t="str">
        <f>IF('SAÍDAS-BASE'!B798="","",'SAÍDAS-BASE'!B798)</f>
        <v/>
      </c>
      <c r="D800" t="str">
        <f>IF('SAÍDAS-BASE'!C798="","",'SAÍDAS-BASE'!C798)</f>
        <v/>
      </c>
      <c r="E800" s="7" t="str">
        <f>IF('SAÍDAS-BASE'!D798="","",'SAÍDAS-BASE'!D798)</f>
        <v/>
      </c>
      <c r="F800" s="6" t="str">
        <f>IF('SAÍDAS-BASE'!E798="","",'SAÍDAS-BASE'!E798)</f>
        <v/>
      </c>
      <c r="G800" t="str">
        <f>IF('SAÍDAS-BASE'!F798="","",'SAÍDAS-BASE'!F798)</f>
        <v/>
      </c>
      <c r="H800" t="str">
        <f>IF('SAÍDAS-BASE'!G798="","",'SAÍDAS-BASE'!G798)</f>
        <v/>
      </c>
      <c r="I800" t="str">
        <f>IF('SAÍDAS-BASE'!H798="","",'SAÍDAS-BASE'!H798)</f>
        <v/>
      </c>
      <c r="J800" t="str">
        <f>IF('SAÍDAS-BASE'!I798="","",'SAÍDAS-BASE'!I798)</f>
        <v/>
      </c>
      <c r="K800" s="5" t="str">
        <f>IF('SAÍDAS-BASE'!J798="","",'SAÍDAS-BASE'!J798)</f>
        <v/>
      </c>
      <c r="L800" t="str">
        <f>IF(TABELA_SAIDAS[[#This Row],[UF]]="","",IFERROR(IF(VLOOKUP(TABELA_SAIDAS[[#This Row],[VALOR]],TABELA_ENTRADAS[VALOR],1,FALSE),"DEVOLUÇÃO"),"SEM ENTRADAS"))</f>
        <v/>
      </c>
    </row>
    <row r="801" spans="2:12" x14ac:dyDescent="0.3">
      <c r="B801" t="str">
        <f>IF('SAÍDAS-BASE'!A799="","",'SAÍDAS-BASE'!A799)</f>
        <v/>
      </c>
      <c r="C801" t="str">
        <f>IF('SAÍDAS-BASE'!B799="","",'SAÍDAS-BASE'!B799)</f>
        <v/>
      </c>
      <c r="D801" t="str">
        <f>IF('SAÍDAS-BASE'!C799="","",'SAÍDAS-BASE'!C799)</f>
        <v/>
      </c>
      <c r="E801" s="7" t="str">
        <f>IF('SAÍDAS-BASE'!D799="","",'SAÍDAS-BASE'!D799)</f>
        <v/>
      </c>
      <c r="F801" s="6" t="str">
        <f>IF('SAÍDAS-BASE'!E799="","",'SAÍDAS-BASE'!E799)</f>
        <v/>
      </c>
      <c r="G801" t="str">
        <f>IF('SAÍDAS-BASE'!F799="","",'SAÍDAS-BASE'!F799)</f>
        <v/>
      </c>
      <c r="H801" t="str">
        <f>IF('SAÍDAS-BASE'!G799="","",'SAÍDAS-BASE'!G799)</f>
        <v/>
      </c>
      <c r="I801" t="str">
        <f>IF('SAÍDAS-BASE'!H799="","",'SAÍDAS-BASE'!H799)</f>
        <v/>
      </c>
      <c r="J801" t="str">
        <f>IF('SAÍDAS-BASE'!I799="","",'SAÍDAS-BASE'!I799)</f>
        <v/>
      </c>
      <c r="K801" s="5" t="str">
        <f>IF('SAÍDAS-BASE'!J799="","",'SAÍDAS-BASE'!J799)</f>
        <v/>
      </c>
      <c r="L801" t="str">
        <f>IF(TABELA_SAIDAS[[#This Row],[UF]]="","",IFERROR(IF(VLOOKUP(TABELA_SAIDAS[[#This Row],[VALOR]],TABELA_ENTRADAS[VALOR],1,FALSE),"DEVOLUÇÃO"),"SEM ENTRADAS"))</f>
        <v/>
      </c>
    </row>
    <row r="802" spans="2:12" x14ac:dyDescent="0.3">
      <c r="B802" t="str">
        <f>IF('SAÍDAS-BASE'!A800="","",'SAÍDAS-BASE'!A800)</f>
        <v/>
      </c>
      <c r="C802" t="str">
        <f>IF('SAÍDAS-BASE'!B800="","",'SAÍDAS-BASE'!B800)</f>
        <v/>
      </c>
      <c r="D802" t="str">
        <f>IF('SAÍDAS-BASE'!C800="","",'SAÍDAS-BASE'!C800)</f>
        <v/>
      </c>
      <c r="E802" s="7" t="str">
        <f>IF('SAÍDAS-BASE'!D800="","",'SAÍDAS-BASE'!D800)</f>
        <v/>
      </c>
      <c r="F802" s="6" t="str">
        <f>IF('SAÍDAS-BASE'!E800="","",'SAÍDAS-BASE'!E800)</f>
        <v/>
      </c>
      <c r="G802" t="str">
        <f>IF('SAÍDAS-BASE'!F800="","",'SAÍDAS-BASE'!F800)</f>
        <v/>
      </c>
      <c r="H802" t="str">
        <f>IF('SAÍDAS-BASE'!G800="","",'SAÍDAS-BASE'!G800)</f>
        <v/>
      </c>
      <c r="I802" t="str">
        <f>IF('SAÍDAS-BASE'!H800="","",'SAÍDAS-BASE'!H800)</f>
        <v/>
      </c>
      <c r="J802" t="str">
        <f>IF('SAÍDAS-BASE'!I800="","",'SAÍDAS-BASE'!I800)</f>
        <v/>
      </c>
      <c r="K802" s="5" t="str">
        <f>IF('SAÍDAS-BASE'!J800="","",'SAÍDAS-BASE'!J800)</f>
        <v/>
      </c>
      <c r="L802" t="str">
        <f>IF(TABELA_SAIDAS[[#This Row],[UF]]="","",IFERROR(IF(VLOOKUP(TABELA_SAIDAS[[#This Row],[VALOR]],TABELA_ENTRADAS[VALOR],1,FALSE),"DEVOLUÇÃO"),"SEM ENTRADAS"))</f>
        <v/>
      </c>
    </row>
    <row r="803" spans="2:12" x14ac:dyDescent="0.3">
      <c r="B803" t="str">
        <f>IF('SAÍDAS-BASE'!A801="","",'SAÍDAS-BASE'!A801)</f>
        <v/>
      </c>
      <c r="C803" t="str">
        <f>IF('SAÍDAS-BASE'!B801="","",'SAÍDAS-BASE'!B801)</f>
        <v/>
      </c>
      <c r="D803" t="str">
        <f>IF('SAÍDAS-BASE'!C801="","",'SAÍDAS-BASE'!C801)</f>
        <v/>
      </c>
      <c r="E803" s="7" t="str">
        <f>IF('SAÍDAS-BASE'!D801="","",'SAÍDAS-BASE'!D801)</f>
        <v/>
      </c>
      <c r="F803" s="6" t="str">
        <f>IF('SAÍDAS-BASE'!E801="","",'SAÍDAS-BASE'!E801)</f>
        <v/>
      </c>
      <c r="G803" t="str">
        <f>IF('SAÍDAS-BASE'!F801="","",'SAÍDAS-BASE'!F801)</f>
        <v/>
      </c>
      <c r="H803" t="str">
        <f>IF('SAÍDAS-BASE'!G801="","",'SAÍDAS-BASE'!G801)</f>
        <v/>
      </c>
      <c r="I803" t="str">
        <f>IF('SAÍDAS-BASE'!H801="","",'SAÍDAS-BASE'!H801)</f>
        <v/>
      </c>
      <c r="J803" t="str">
        <f>IF('SAÍDAS-BASE'!I801="","",'SAÍDAS-BASE'!I801)</f>
        <v/>
      </c>
      <c r="K803" s="5" t="str">
        <f>IF('SAÍDAS-BASE'!J801="","",'SAÍDAS-BASE'!J801)</f>
        <v/>
      </c>
      <c r="L803" t="str">
        <f>IF(TABELA_SAIDAS[[#This Row],[UF]]="","",IFERROR(IF(VLOOKUP(TABELA_SAIDAS[[#This Row],[VALOR]],TABELA_ENTRADAS[VALOR],1,FALSE),"DEVOLUÇÃO"),"SEM ENTRADAS"))</f>
        <v/>
      </c>
    </row>
    <row r="804" spans="2:12" x14ac:dyDescent="0.3">
      <c r="B804" t="str">
        <f>IF('SAÍDAS-BASE'!A802="","",'SAÍDAS-BASE'!A802)</f>
        <v/>
      </c>
      <c r="C804" t="str">
        <f>IF('SAÍDAS-BASE'!B802="","",'SAÍDAS-BASE'!B802)</f>
        <v/>
      </c>
      <c r="D804" t="str">
        <f>IF('SAÍDAS-BASE'!C802="","",'SAÍDAS-BASE'!C802)</f>
        <v/>
      </c>
      <c r="E804" s="7" t="str">
        <f>IF('SAÍDAS-BASE'!D802="","",'SAÍDAS-BASE'!D802)</f>
        <v/>
      </c>
      <c r="F804" s="6" t="str">
        <f>IF('SAÍDAS-BASE'!E802="","",'SAÍDAS-BASE'!E802)</f>
        <v/>
      </c>
      <c r="G804" t="str">
        <f>IF('SAÍDAS-BASE'!F802="","",'SAÍDAS-BASE'!F802)</f>
        <v/>
      </c>
      <c r="H804" t="str">
        <f>IF('SAÍDAS-BASE'!G802="","",'SAÍDAS-BASE'!G802)</f>
        <v/>
      </c>
      <c r="I804" t="str">
        <f>IF('SAÍDAS-BASE'!H802="","",'SAÍDAS-BASE'!H802)</f>
        <v/>
      </c>
      <c r="J804" t="str">
        <f>IF('SAÍDAS-BASE'!I802="","",'SAÍDAS-BASE'!I802)</f>
        <v/>
      </c>
      <c r="K804" s="5" t="str">
        <f>IF('SAÍDAS-BASE'!J802="","",'SAÍDAS-BASE'!J802)</f>
        <v/>
      </c>
      <c r="L804" t="str">
        <f>IF(TABELA_SAIDAS[[#This Row],[UF]]="","",IFERROR(IF(VLOOKUP(TABELA_SAIDAS[[#This Row],[VALOR]],TABELA_ENTRADAS[VALOR],1,FALSE),"DEVOLUÇÃO"),"SEM ENTRADAS"))</f>
        <v/>
      </c>
    </row>
    <row r="805" spans="2:12" x14ac:dyDescent="0.3">
      <c r="B805" t="str">
        <f>IF('SAÍDAS-BASE'!A803="","",'SAÍDAS-BASE'!A803)</f>
        <v/>
      </c>
      <c r="C805" t="str">
        <f>IF('SAÍDAS-BASE'!B803="","",'SAÍDAS-BASE'!B803)</f>
        <v/>
      </c>
      <c r="D805" t="str">
        <f>IF('SAÍDAS-BASE'!C803="","",'SAÍDAS-BASE'!C803)</f>
        <v/>
      </c>
      <c r="E805" s="7" t="str">
        <f>IF('SAÍDAS-BASE'!D803="","",'SAÍDAS-BASE'!D803)</f>
        <v/>
      </c>
      <c r="F805" s="6" t="str">
        <f>IF('SAÍDAS-BASE'!E803="","",'SAÍDAS-BASE'!E803)</f>
        <v/>
      </c>
      <c r="G805" t="str">
        <f>IF('SAÍDAS-BASE'!F803="","",'SAÍDAS-BASE'!F803)</f>
        <v/>
      </c>
      <c r="H805" t="str">
        <f>IF('SAÍDAS-BASE'!G803="","",'SAÍDAS-BASE'!G803)</f>
        <v/>
      </c>
      <c r="I805" t="str">
        <f>IF('SAÍDAS-BASE'!H803="","",'SAÍDAS-BASE'!H803)</f>
        <v/>
      </c>
      <c r="J805" t="str">
        <f>IF('SAÍDAS-BASE'!I803="","",'SAÍDAS-BASE'!I803)</f>
        <v/>
      </c>
      <c r="K805" s="5" t="str">
        <f>IF('SAÍDAS-BASE'!J803="","",'SAÍDAS-BASE'!J803)</f>
        <v/>
      </c>
      <c r="L805" t="str">
        <f>IF(TABELA_SAIDAS[[#This Row],[UF]]="","",IFERROR(IF(VLOOKUP(TABELA_SAIDAS[[#This Row],[VALOR]],TABELA_ENTRADAS[VALOR],1,FALSE),"DEVOLUÇÃO"),"SEM ENTRADAS"))</f>
        <v/>
      </c>
    </row>
    <row r="806" spans="2:12" x14ac:dyDescent="0.3">
      <c r="B806" t="str">
        <f>IF('SAÍDAS-BASE'!A804="","",'SAÍDAS-BASE'!A804)</f>
        <v/>
      </c>
      <c r="C806" t="str">
        <f>IF('SAÍDAS-BASE'!B804="","",'SAÍDAS-BASE'!B804)</f>
        <v/>
      </c>
      <c r="D806" t="str">
        <f>IF('SAÍDAS-BASE'!C804="","",'SAÍDAS-BASE'!C804)</f>
        <v/>
      </c>
      <c r="E806" s="7" t="str">
        <f>IF('SAÍDAS-BASE'!D804="","",'SAÍDAS-BASE'!D804)</f>
        <v/>
      </c>
      <c r="F806" s="6" t="str">
        <f>IF('SAÍDAS-BASE'!E804="","",'SAÍDAS-BASE'!E804)</f>
        <v/>
      </c>
      <c r="G806" t="str">
        <f>IF('SAÍDAS-BASE'!F804="","",'SAÍDAS-BASE'!F804)</f>
        <v/>
      </c>
      <c r="H806" t="str">
        <f>IF('SAÍDAS-BASE'!G804="","",'SAÍDAS-BASE'!G804)</f>
        <v/>
      </c>
      <c r="I806" t="str">
        <f>IF('SAÍDAS-BASE'!H804="","",'SAÍDAS-BASE'!H804)</f>
        <v/>
      </c>
      <c r="J806" t="str">
        <f>IF('SAÍDAS-BASE'!I804="","",'SAÍDAS-BASE'!I804)</f>
        <v/>
      </c>
      <c r="K806" s="5" t="str">
        <f>IF('SAÍDAS-BASE'!J804="","",'SAÍDAS-BASE'!J804)</f>
        <v/>
      </c>
      <c r="L806" t="str">
        <f>IF(TABELA_SAIDAS[[#This Row],[UF]]="","",IFERROR(IF(VLOOKUP(TABELA_SAIDAS[[#This Row],[VALOR]],TABELA_ENTRADAS[VALOR],1,FALSE),"DEVOLUÇÃO"),"SEM ENTRADAS"))</f>
        <v/>
      </c>
    </row>
    <row r="807" spans="2:12" x14ac:dyDescent="0.3">
      <c r="B807" t="str">
        <f>IF('SAÍDAS-BASE'!A805="","",'SAÍDAS-BASE'!A805)</f>
        <v/>
      </c>
      <c r="C807" t="str">
        <f>IF('SAÍDAS-BASE'!B805="","",'SAÍDAS-BASE'!B805)</f>
        <v/>
      </c>
      <c r="D807" t="str">
        <f>IF('SAÍDAS-BASE'!C805="","",'SAÍDAS-BASE'!C805)</f>
        <v/>
      </c>
      <c r="E807" s="7" t="str">
        <f>IF('SAÍDAS-BASE'!D805="","",'SAÍDAS-BASE'!D805)</f>
        <v/>
      </c>
      <c r="F807" s="6" t="str">
        <f>IF('SAÍDAS-BASE'!E805="","",'SAÍDAS-BASE'!E805)</f>
        <v/>
      </c>
      <c r="G807" t="str">
        <f>IF('SAÍDAS-BASE'!F805="","",'SAÍDAS-BASE'!F805)</f>
        <v/>
      </c>
      <c r="H807" t="str">
        <f>IF('SAÍDAS-BASE'!G805="","",'SAÍDAS-BASE'!G805)</f>
        <v/>
      </c>
      <c r="I807" t="str">
        <f>IF('SAÍDAS-BASE'!H805="","",'SAÍDAS-BASE'!H805)</f>
        <v/>
      </c>
      <c r="J807" t="str">
        <f>IF('SAÍDAS-BASE'!I805="","",'SAÍDAS-BASE'!I805)</f>
        <v/>
      </c>
      <c r="K807" s="5" t="str">
        <f>IF('SAÍDAS-BASE'!J805="","",'SAÍDAS-BASE'!J805)</f>
        <v/>
      </c>
      <c r="L807" t="str">
        <f>IF(TABELA_SAIDAS[[#This Row],[UF]]="","",IFERROR(IF(VLOOKUP(TABELA_SAIDAS[[#This Row],[VALOR]],TABELA_ENTRADAS[VALOR],1,FALSE),"DEVOLUÇÃO"),"SEM ENTRADAS"))</f>
        <v/>
      </c>
    </row>
    <row r="808" spans="2:12" x14ac:dyDescent="0.3">
      <c r="B808" t="str">
        <f>IF('SAÍDAS-BASE'!A806="","",'SAÍDAS-BASE'!A806)</f>
        <v/>
      </c>
      <c r="C808" t="str">
        <f>IF('SAÍDAS-BASE'!B806="","",'SAÍDAS-BASE'!B806)</f>
        <v/>
      </c>
      <c r="D808" t="str">
        <f>IF('SAÍDAS-BASE'!C806="","",'SAÍDAS-BASE'!C806)</f>
        <v/>
      </c>
      <c r="E808" s="7" t="str">
        <f>IF('SAÍDAS-BASE'!D806="","",'SAÍDAS-BASE'!D806)</f>
        <v/>
      </c>
      <c r="F808" s="6" t="str">
        <f>IF('SAÍDAS-BASE'!E806="","",'SAÍDAS-BASE'!E806)</f>
        <v/>
      </c>
      <c r="G808" t="str">
        <f>IF('SAÍDAS-BASE'!F806="","",'SAÍDAS-BASE'!F806)</f>
        <v/>
      </c>
      <c r="H808" t="str">
        <f>IF('SAÍDAS-BASE'!G806="","",'SAÍDAS-BASE'!G806)</f>
        <v/>
      </c>
      <c r="I808" t="str">
        <f>IF('SAÍDAS-BASE'!H806="","",'SAÍDAS-BASE'!H806)</f>
        <v/>
      </c>
      <c r="J808" t="str">
        <f>IF('SAÍDAS-BASE'!I806="","",'SAÍDAS-BASE'!I806)</f>
        <v/>
      </c>
      <c r="K808" s="5" t="str">
        <f>IF('SAÍDAS-BASE'!J806="","",'SAÍDAS-BASE'!J806)</f>
        <v/>
      </c>
      <c r="L808" t="str">
        <f>IF(TABELA_SAIDAS[[#This Row],[UF]]="","",IFERROR(IF(VLOOKUP(TABELA_SAIDAS[[#This Row],[VALOR]],TABELA_ENTRADAS[VALOR],1,FALSE),"DEVOLUÇÃO"),"SEM ENTRADAS"))</f>
        <v/>
      </c>
    </row>
    <row r="809" spans="2:12" x14ac:dyDescent="0.3">
      <c r="B809" t="str">
        <f>IF('SAÍDAS-BASE'!A807="","",'SAÍDAS-BASE'!A807)</f>
        <v/>
      </c>
      <c r="C809" t="str">
        <f>IF('SAÍDAS-BASE'!B807="","",'SAÍDAS-BASE'!B807)</f>
        <v/>
      </c>
      <c r="D809" t="str">
        <f>IF('SAÍDAS-BASE'!C807="","",'SAÍDAS-BASE'!C807)</f>
        <v/>
      </c>
      <c r="E809" s="7" t="str">
        <f>IF('SAÍDAS-BASE'!D807="","",'SAÍDAS-BASE'!D807)</f>
        <v/>
      </c>
      <c r="F809" s="6" t="str">
        <f>IF('SAÍDAS-BASE'!E807="","",'SAÍDAS-BASE'!E807)</f>
        <v/>
      </c>
      <c r="G809" t="str">
        <f>IF('SAÍDAS-BASE'!F807="","",'SAÍDAS-BASE'!F807)</f>
        <v/>
      </c>
      <c r="H809" t="str">
        <f>IF('SAÍDAS-BASE'!G807="","",'SAÍDAS-BASE'!G807)</f>
        <v/>
      </c>
      <c r="I809" t="str">
        <f>IF('SAÍDAS-BASE'!H807="","",'SAÍDAS-BASE'!H807)</f>
        <v/>
      </c>
      <c r="J809" t="str">
        <f>IF('SAÍDAS-BASE'!I807="","",'SAÍDAS-BASE'!I807)</f>
        <v/>
      </c>
      <c r="K809" s="5" t="str">
        <f>IF('SAÍDAS-BASE'!J807="","",'SAÍDAS-BASE'!J807)</f>
        <v/>
      </c>
      <c r="L809" t="str">
        <f>IF(TABELA_SAIDAS[[#This Row],[UF]]="","",IFERROR(IF(VLOOKUP(TABELA_SAIDAS[[#This Row],[VALOR]],TABELA_ENTRADAS[VALOR],1,FALSE),"DEVOLUÇÃO"),"SEM ENTRADAS"))</f>
        <v/>
      </c>
    </row>
    <row r="810" spans="2:12" x14ac:dyDescent="0.3">
      <c r="B810" t="str">
        <f>IF('SAÍDAS-BASE'!A808="","",'SAÍDAS-BASE'!A808)</f>
        <v/>
      </c>
      <c r="C810" t="str">
        <f>IF('SAÍDAS-BASE'!B808="","",'SAÍDAS-BASE'!B808)</f>
        <v/>
      </c>
      <c r="D810" t="str">
        <f>IF('SAÍDAS-BASE'!C808="","",'SAÍDAS-BASE'!C808)</f>
        <v/>
      </c>
      <c r="E810" s="7" t="str">
        <f>IF('SAÍDAS-BASE'!D808="","",'SAÍDAS-BASE'!D808)</f>
        <v/>
      </c>
      <c r="F810" s="6" t="str">
        <f>IF('SAÍDAS-BASE'!E808="","",'SAÍDAS-BASE'!E808)</f>
        <v/>
      </c>
      <c r="G810" t="str">
        <f>IF('SAÍDAS-BASE'!F808="","",'SAÍDAS-BASE'!F808)</f>
        <v/>
      </c>
      <c r="H810" t="str">
        <f>IF('SAÍDAS-BASE'!G808="","",'SAÍDAS-BASE'!G808)</f>
        <v/>
      </c>
      <c r="I810" t="str">
        <f>IF('SAÍDAS-BASE'!H808="","",'SAÍDAS-BASE'!H808)</f>
        <v/>
      </c>
      <c r="J810" t="str">
        <f>IF('SAÍDAS-BASE'!I808="","",'SAÍDAS-BASE'!I808)</f>
        <v/>
      </c>
      <c r="K810" s="5" t="str">
        <f>IF('SAÍDAS-BASE'!J808="","",'SAÍDAS-BASE'!J808)</f>
        <v/>
      </c>
      <c r="L810" t="str">
        <f>IF(TABELA_SAIDAS[[#This Row],[UF]]="","",IFERROR(IF(VLOOKUP(TABELA_SAIDAS[[#This Row],[VALOR]],TABELA_ENTRADAS[VALOR],1,FALSE),"DEVOLUÇÃO"),"SEM ENTRADAS"))</f>
        <v/>
      </c>
    </row>
    <row r="811" spans="2:12" x14ac:dyDescent="0.3">
      <c r="B811" t="str">
        <f>IF('SAÍDAS-BASE'!A809="","",'SAÍDAS-BASE'!A809)</f>
        <v/>
      </c>
      <c r="C811" t="str">
        <f>IF('SAÍDAS-BASE'!B809="","",'SAÍDAS-BASE'!B809)</f>
        <v/>
      </c>
      <c r="D811" t="str">
        <f>IF('SAÍDAS-BASE'!C809="","",'SAÍDAS-BASE'!C809)</f>
        <v/>
      </c>
      <c r="E811" s="7" t="str">
        <f>IF('SAÍDAS-BASE'!D809="","",'SAÍDAS-BASE'!D809)</f>
        <v/>
      </c>
      <c r="F811" s="6" t="str">
        <f>IF('SAÍDAS-BASE'!E809="","",'SAÍDAS-BASE'!E809)</f>
        <v/>
      </c>
      <c r="G811" t="str">
        <f>IF('SAÍDAS-BASE'!F809="","",'SAÍDAS-BASE'!F809)</f>
        <v/>
      </c>
      <c r="H811" t="str">
        <f>IF('SAÍDAS-BASE'!G809="","",'SAÍDAS-BASE'!G809)</f>
        <v/>
      </c>
      <c r="I811" t="str">
        <f>IF('SAÍDAS-BASE'!H809="","",'SAÍDAS-BASE'!H809)</f>
        <v/>
      </c>
      <c r="J811" t="str">
        <f>IF('SAÍDAS-BASE'!I809="","",'SAÍDAS-BASE'!I809)</f>
        <v/>
      </c>
      <c r="K811" s="5" t="str">
        <f>IF('SAÍDAS-BASE'!J809="","",'SAÍDAS-BASE'!J809)</f>
        <v/>
      </c>
      <c r="L811" t="str">
        <f>IF(TABELA_SAIDAS[[#This Row],[UF]]="","",IFERROR(IF(VLOOKUP(TABELA_SAIDAS[[#This Row],[VALOR]],TABELA_ENTRADAS[VALOR],1,FALSE),"DEVOLUÇÃO"),"SEM ENTRADAS"))</f>
        <v/>
      </c>
    </row>
    <row r="812" spans="2:12" x14ac:dyDescent="0.3">
      <c r="B812" t="str">
        <f>IF('SAÍDAS-BASE'!A810="","",'SAÍDAS-BASE'!A810)</f>
        <v/>
      </c>
      <c r="C812" t="str">
        <f>IF('SAÍDAS-BASE'!B810="","",'SAÍDAS-BASE'!B810)</f>
        <v/>
      </c>
      <c r="D812" t="str">
        <f>IF('SAÍDAS-BASE'!C810="","",'SAÍDAS-BASE'!C810)</f>
        <v/>
      </c>
      <c r="E812" s="7" t="str">
        <f>IF('SAÍDAS-BASE'!D810="","",'SAÍDAS-BASE'!D810)</f>
        <v/>
      </c>
      <c r="F812" s="6" t="str">
        <f>IF('SAÍDAS-BASE'!E810="","",'SAÍDAS-BASE'!E810)</f>
        <v/>
      </c>
      <c r="G812" t="str">
        <f>IF('SAÍDAS-BASE'!F810="","",'SAÍDAS-BASE'!F810)</f>
        <v/>
      </c>
      <c r="H812" t="str">
        <f>IF('SAÍDAS-BASE'!G810="","",'SAÍDAS-BASE'!G810)</f>
        <v/>
      </c>
      <c r="I812" t="str">
        <f>IF('SAÍDAS-BASE'!H810="","",'SAÍDAS-BASE'!H810)</f>
        <v/>
      </c>
      <c r="J812" t="str">
        <f>IF('SAÍDAS-BASE'!I810="","",'SAÍDAS-BASE'!I810)</f>
        <v/>
      </c>
      <c r="K812" s="5" t="str">
        <f>IF('SAÍDAS-BASE'!J810="","",'SAÍDAS-BASE'!J810)</f>
        <v/>
      </c>
      <c r="L812" t="str">
        <f>IF(TABELA_SAIDAS[[#This Row],[UF]]="","",IFERROR(IF(VLOOKUP(TABELA_SAIDAS[[#This Row],[VALOR]],TABELA_ENTRADAS[VALOR],1,FALSE),"DEVOLUÇÃO"),"SEM ENTRADAS"))</f>
        <v/>
      </c>
    </row>
    <row r="813" spans="2:12" x14ac:dyDescent="0.3">
      <c r="B813" t="str">
        <f>IF('SAÍDAS-BASE'!A811="","",'SAÍDAS-BASE'!A811)</f>
        <v/>
      </c>
      <c r="C813" t="str">
        <f>IF('SAÍDAS-BASE'!B811="","",'SAÍDAS-BASE'!B811)</f>
        <v/>
      </c>
      <c r="D813" t="str">
        <f>IF('SAÍDAS-BASE'!C811="","",'SAÍDAS-BASE'!C811)</f>
        <v/>
      </c>
      <c r="E813" s="7" t="str">
        <f>IF('SAÍDAS-BASE'!D811="","",'SAÍDAS-BASE'!D811)</f>
        <v/>
      </c>
      <c r="F813" s="6" t="str">
        <f>IF('SAÍDAS-BASE'!E811="","",'SAÍDAS-BASE'!E811)</f>
        <v/>
      </c>
      <c r="G813" t="str">
        <f>IF('SAÍDAS-BASE'!F811="","",'SAÍDAS-BASE'!F811)</f>
        <v/>
      </c>
      <c r="H813" t="str">
        <f>IF('SAÍDAS-BASE'!G811="","",'SAÍDAS-BASE'!G811)</f>
        <v/>
      </c>
      <c r="I813" t="str">
        <f>IF('SAÍDAS-BASE'!H811="","",'SAÍDAS-BASE'!H811)</f>
        <v/>
      </c>
      <c r="J813" t="str">
        <f>IF('SAÍDAS-BASE'!I811="","",'SAÍDAS-BASE'!I811)</f>
        <v/>
      </c>
      <c r="K813" s="5" t="str">
        <f>IF('SAÍDAS-BASE'!J811="","",'SAÍDAS-BASE'!J811)</f>
        <v/>
      </c>
      <c r="L813" t="str">
        <f>IF(TABELA_SAIDAS[[#This Row],[UF]]="","",IFERROR(IF(VLOOKUP(TABELA_SAIDAS[[#This Row],[VALOR]],TABELA_ENTRADAS[VALOR],1,FALSE),"DEVOLUÇÃO"),"SEM ENTRADAS"))</f>
        <v/>
      </c>
    </row>
    <row r="814" spans="2:12" x14ac:dyDescent="0.3">
      <c r="B814" t="str">
        <f>IF('SAÍDAS-BASE'!A812="","",'SAÍDAS-BASE'!A812)</f>
        <v/>
      </c>
      <c r="C814" t="str">
        <f>IF('SAÍDAS-BASE'!B812="","",'SAÍDAS-BASE'!B812)</f>
        <v/>
      </c>
      <c r="D814" t="str">
        <f>IF('SAÍDAS-BASE'!C812="","",'SAÍDAS-BASE'!C812)</f>
        <v/>
      </c>
      <c r="E814" s="7" t="str">
        <f>IF('SAÍDAS-BASE'!D812="","",'SAÍDAS-BASE'!D812)</f>
        <v/>
      </c>
      <c r="F814" s="6" t="str">
        <f>IF('SAÍDAS-BASE'!E812="","",'SAÍDAS-BASE'!E812)</f>
        <v/>
      </c>
      <c r="G814" t="str">
        <f>IF('SAÍDAS-BASE'!F812="","",'SAÍDAS-BASE'!F812)</f>
        <v/>
      </c>
      <c r="H814" t="str">
        <f>IF('SAÍDAS-BASE'!G812="","",'SAÍDAS-BASE'!G812)</f>
        <v/>
      </c>
      <c r="I814" t="str">
        <f>IF('SAÍDAS-BASE'!H812="","",'SAÍDAS-BASE'!H812)</f>
        <v/>
      </c>
      <c r="J814" t="str">
        <f>IF('SAÍDAS-BASE'!I812="","",'SAÍDAS-BASE'!I812)</f>
        <v/>
      </c>
      <c r="K814" s="5" t="str">
        <f>IF('SAÍDAS-BASE'!J812="","",'SAÍDAS-BASE'!J812)</f>
        <v/>
      </c>
      <c r="L814" t="str">
        <f>IF(TABELA_SAIDAS[[#This Row],[UF]]="","",IFERROR(IF(VLOOKUP(TABELA_SAIDAS[[#This Row],[VALOR]],TABELA_ENTRADAS[VALOR],1,FALSE),"DEVOLUÇÃO"),"SEM ENTRADAS"))</f>
        <v/>
      </c>
    </row>
    <row r="815" spans="2:12" x14ac:dyDescent="0.3">
      <c r="B815" t="str">
        <f>IF('SAÍDAS-BASE'!A813="","",'SAÍDAS-BASE'!A813)</f>
        <v/>
      </c>
      <c r="C815" t="str">
        <f>IF('SAÍDAS-BASE'!B813="","",'SAÍDAS-BASE'!B813)</f>
        <v/>
      </c>
      <c r="D815" t="str">
        <f>IF('SAÍDAS-BASE'!C813="","",'SAÍDAS-BASE'!C813)</f>
        <v/>
      </c>
      <c r="E815" s="7" t="str">
        <f>IF('SAÍDAS-BASE'!D813="","",'SAÍDAS-BASE'!D813)</f>
        <v/>
      </c>
      <c r="F815" s="6" t="str">
        <f>IF('SAÍDAS-BASE'!E813="","",'SAÍDAS-BASE'!E813)</f>
        <v/>
      </c>
      <c r="G815" t="str">
        <f>IF('SAÍDAS-BASE'!F813="","",'SAÍDAS-BASE'!F813)</f>
        <v/>
      </c>
      <c r="H815" t="str">
        <f>IF('SAÍDAS-BASE'!G813="","",'SAÍDAS-BASE'!G813)</f>
        <v/>
      </c>
      <c r="I815" t="str">
        <f>IF('SAÍDAS-BASE'!H813="","",'SAÍDAS-BASE'!H813)</f>
        <v/>
      </c>
      <c r="J815" t="str">
        <f>IF('SAÍDAS-BASE'!I813="","",'SAÍDAS-BASE'!I813)</f>
        <v/>
      </c>
      <c r="K815" s="5" t="str">
        <f>IF('SAÍDAS-BASE'!J813="","",'SAÍDAS-BASE'!J813)</f>
        <v/>
      </c>
      <c r="L815" t="str">
        <f>IF(TABELA_SAIDAS[[#This Row],[UF]]="","",IFERROR(IF(VLOOKUP(TABELA_SAIDAS[[#This Row],[VALOR]],TABELA_ENTRADAS[VALOR],1,FALSE),"DEVOLUÇÃO"),"SEM ENTRADAS"))</f>
        <v/>
      </c>
    </row>
    <row r="816" spans="2:12" x14ac:dyDescent="0.3">
      <c r="B816" t="str">
        <f>IF('SAÍDAS-BASE'!A814="","",'SAÍDAS-BASE'!A814)</f>
        <v/>
      </c>
      <c r="C816" t="str">
        <f>IF('SAÍDAS-BASE'!B814="","",'SAÍDAS-BASE'!B814)</f>
        <v/>
      </c>
      <c r="D816" t="str">
        <f>IF('SAÍDAS-BASE'!C814="","",'SAÍDAS-BASE'!C814)</f>
        <v/>
      </c>
      <c r="E816" s="7" t="str">
        <f>IF('SAÍDAS-BASE'!D814="","",'SAÍDAS-BASE'!D814)</f>
        <v/>
      </c>
      <c r="F816" s="6" t="str">
        <f>IF('SAÍDAS-BASE'!E814="","",'SAÍDAS-BASE'!E814)</f>
        <v/>
      </c>
      <c r="G816" t="str">
        <f>IF('SAÍDAS-BASE'!F814="","",'SAÍDAS-BASE'!F814)</f>
        <v/>
      </c>
      <c r="H816" t="str">
        <f>IF('SAÍDAS-BASE'!G814="","",'SAÍDAS-BASE'!G814)</f>
        <v/>
      </c>
      <c r="I816" t="str">
        <f>IF('SAÍDAS-BASE'!H814="","",'SAÍDAS-BASE'!H814)</f>
        <v/>
      </c>
      <c r="J816" t="str">
        <f>IF('SAÍDAS-BASE'!I814="","",'SAÍDAS-BASE'!I814)</f>
        <v/>
      </c>
      <c r="K816" s="5" t="str">
        <f>IF('SAÍDAS-BASE'!J814="","",'SAÍDAS-BASE'!J814)</f>
        <v/>
      </c>
      <c r="L816" t="str">
        <f>IF(TABELA_SAIDAS[[#This Row],[UF]]="","",IFERROR(IF(VLOOKUP(TABELA_SAIDAS[[#This Row],[VALOR]],TABELA_ENTRADAS[VALOR],1,FALSE),"DEVOLUÇÃO"),"SEM ENTRADAS"))</f>
        <v/>
      </c>
    </row>
    <row r="817" spans="2:12" x14ac:dyDescent="0.3">
      <c r="B817" t="str">
        <f>IF('SAÍDAS-BASE'!A815="","",'SAÍDAS-BASE'!A815)</f>
        <v/>
      </c>
      <c r="C817" t="str">
        <f>IF('SAÍDAS-BASE'!B815="","",'SAÍDAS-BASE'!B815)</f>
        <v/>
      </c>
      <c r="D817" t="str">
        <f>IF('SAÍDAS-BASE'!C815="","",'SAÍDAS-BASE'!C815)</f>
        <v/>
      </c>
      <c r="E817" s="7" t="str">
        <f>IF('SAÍDAS-BASE'!D815="","",'SAÍDAS-BASE'!D815)</f>
        <v/>
      </c>
      <c r="F817" s="6" t="str">
        <f>IF('SAÍDAS-BASE'!E815="","",'SAÍDAS-BASE'!E815)</f>
        <v/>
      </c>
      <c r="G817" t="str">
        <f>IF('SAÍDAS-BASE'!F815="","",'SAÍDAS-BASE'!F815)</f>
        <v/>
      </c>
      <c r="H817" t="str">
        <f>IF('SAÍDAS-BASE'!G815="","",'SAÍDAS-BASE'!G815)</f>
        <v/>
      </c>
      <c r="I817" t="str">
        <f>IF('SAÍDAS-BASE'!H815="","",'SAÍDAS-BASE'!H815)</f>
        <v/>
      </c>
      <c r="J817" t="str">
        <f>IF('SAÍDAS-BASE'!I815="","",'SAÍDAS-BASE'!I815)</f>
        <v/>
      </c>
      <c r="K817" s="5" t="str">
        <f>IF('SAÍDAS-BASE'!J815="","",'SAÍDAS-BASE'!J815)</f>
        <v/>
      </c>
      <c r="L817" t="str">
        <f>IF(TABELA_SAIDAS[[#This Row],[UF]]="","",IFERROR(IF(VLOOKUP(TABELA_SAIDAS[[#This Row],[VALOR]],TABELA_ENTRADAS[VALOR],1,FALSE),"DEVOLUÇÃO"),"SEM ENTRADAS"))</f>
        <v/>
      </c>
    </row>
    <row r="818" spans="2:12" x14ac:dyDescent="0.3">
      <c r="B818" t="str">
        <f>IF('SAÍDAS-BASE'!A816="","",'SAÍDAS-BASE'!A816)</f>
        <v/>
      </c>
      <c r="C818" t="str">
        <f>IF('SAÍDAS-BASE'!B816="","",'SAÍDAS-BASE'!B816)</f>
        <v/>
      </c>
      <c r="D818" t="str">
        <f>IF('SAÍDAS-BASE'!C816="","",'SAÍDAS-BASE'!C816)</f>
        <v/>
      </c>
      <c r="E818" s="7" t="str">
        <f>IF('SAÍDAS-BASE'!D816="","",'SAÍDAS-BASE'!D816)</f>
        <v/>
      </c>
      <c r="F818" s="6" t="str">
        <f>IF('SAÍDAS-BASE'!E816="","",'SAÍDAS-BASE'!E816)</f>
        <v/>
      </c>
      <c r="G818" t="str">
        <f>IF('SAÍDAS-BASE'!F816="","",'SAÍDAS-BASE'!F816)</f>
        <v/>
      </c>
      <c r="H818" t="str">
        <f>IF('SAÍDAS-BASE'!G816="","",'SAÍDAS-BASE'!G816)</f>
        <v/>
      </c>
      <c r="I818" t="str">
        <f>IF('SAÍDAS-BASE'!H816="","",'SAÍDAS-BASE'!H816)</f>
        <v/>
      </c>
      <c r="J818" t="str">
        <f>IF('SAÍDAS-BASE'!I816="","",'SAÍDAS-BASE'!I816)</f>
        <v/>
      </c>
      <c r="K818" s="5" t="str">
        <f>IF('SAÍDAS-BASE'!J816="","",'SAÍDAS-BASE'!J816)</f>
        <v/>
      </c>
      <c r="L818" t="str">
        <f>IF(TABELA_SAIDAS[[#This Row],[UF]]="","",IFERROR(IF(VLOOKUP(TABELA_SAIDAS[[#This Row],[VALOR]],TABELA_ENTRADAS[VALOR],1,FALSE),"DEVOLUÇÃO"),"SEM ENTRADAS"))</f>
        <v/>
      </c>
    </row>
    <row r="819" spans="2:12" x14ac:dyDescent="0.3">
      <c r="B819" t="str">
        <f>IF('SAÍDAS-BASE'!A817="","",'SAÍDAS-BASE'!A817)</f>
        <v/>
      </c>
      <c r="C819" t="str">
        <f>IF('SAÍDAS-BASE'!B817="","",'SAÍDAS-BASE'!B817)</f>
        <v/>
      </c>
      <c r="D819" t="str">
        <f>IF('SAÍDAS-BASE'!C817="","",'SAÍDAS-BASE'!C817)</f>
        <v/>
      </c>
      <c r="E819" s="7" t="str">
        <f>IF('SAÍDAS-BASE'!D817="","",'SAÍDAS-BASE'!D817)</f>
        <v/>
      </c>
      <c r="F819" s="6" t="str">
        <f>IF('SAÍDAS-BASE'!E817="","",'SAÍDAS-BASE'!E817)</f>
        <v/>
      </c>
      <c r="G819" t="str">
        <f>IF('SAÍDAS-BASE'!F817="","",'SAÍDAS-BASE'!F817)</f>
        <v/>
      </c>
      <c r="H819" t="str">
        <f>IF('SAÍDAS-BASE'!G817="","",'SAÍDAS-BASE'!G817)</f>
        <v/>
      </c>
      <c r="I819" t="str">
        <f>IF('SAÍDAS-BASE'!H817="","",'SAÍDAS-BASE'!H817)</f>
        <v/>
      </c>
      <c r="J819" t="str">
        <f>IF('SAÍDAS-BASE'!I817="","",'SAÍDAS-BASE'!I817)</f>
        <v/>
      </c>
      <c r="K819" s="5" t="str">
        <f>IF('SAÍDAS-BASE'!J817="","",'SAÍDAS-BASE'!J817)</f>
        <v/>
      </c>
      <c r="L819" t="str">
        <f>IF(TABELA_SAIDAS[[#This Row],[UF]]="","",IFERROR(IF(VLOOKUP(TABELA_SAIDAS[[#This Row],[VALOR]],TABELA_ENTRADAS[VALOR],1,FALSE),"DEVOLUÇÃO"),"SEM ENTRADAS"))</f>
        <v/>
      </c>
    </row>
    <row r="820" spans="2:12" x14ac:dyDescent="0.3">
      <c r="B820" t="str">
        <f>IF('SAÍDAS-BASE'!A818="","",'SAÍDAS-BASE'!A818)</f>
        <v/>
      </c>
      <c r="C820" t="str">
        <f>IF('SAÍDAS-BASE'!B818="","",'SAÍDAS-BASE'!B818)</f>
        <v/>
      </c>
      <c r="D820" t="str">
        <f>IF('SAÍDAS-BASE'!C818="","",'SAÍDAS-BASE'!C818)</f>
        <v/>
      </c>
      <c r="E820" s="7" t="str">
        <f>IF('SAÍDAS-BASE'!D818="","",'SAÍDAS-BASE'!D818)</f>
        <v/>
      </c>
      <c r="F820" s="6" t="str">
        <f>IF('SAÍDAS-BASE'!E818="","",'SAÍDAS-BASE'!E818)</f>
        <v/>
      </c>
      <c r="G820" t="str">
        <f>IF('SAÍDAS-BASE'!F818="","",'SAÍDAS-BASE'!F818)</f>
        <v/>
      </c>
      <c r="H820" t="str">
        <f>IF('SAÍDAS-BASE'!G818="","",'SAÍDAS-BASE'!G818)</f>
        <v/>
      </c>
      <c r="I820" t="str">
        <f>IF('SAÍDAS-BASE'!H818="","",'SAÍDAS-BASE'!H818)</f>
        <v/>
      </c>
      <c r="J820" t="str">
        <f>IF('SAÍDAS-BASE'!I818="","",'SAÍDAS-BASE'!I818)</f>
        <v/>
      </c>
      <c r="K820" s="5" t="str">
        <f>IF('SAÍDAS-BASE'!J818="","",'SAÍDAS-BASE'!J818)</f>
        <v/>
      </c>
      <c r="L820" t="str">
        <f>IF(TABELA_SAIDAS[[#This Row],[UF]]="","",IFERROR(IF(VLOOKUP(TABELA_SAIDAS[[#This Row],[VALOR]],TABELA_ENTRADAS[VALOR],1,FALSE),"DEVOLUÇÃO"),"SEM ENTRADAS"))</f>
        <v/>
      </c>
    </row>
    <row r="821" spans="2:12" x14ac:dyDescent="0.3">
      <c r="B821" t="str">
        <f>IF('SAÍDAS-BASE'!A819="","",'SAÍDAS-BASE'!A819)</f>
        <v/>
      </c>
      <c r="C821" t="str">
        <f>IF('SAÍDAS-BASE'!B819="","",'SAÍDAS-BASE'!B819)</f>
        <v/>
      </c>
      <c r="D821" t="str">
        <f>IF('SAÍDAS-BASE'!C819="","",'SAÍDAS-BASE'!C819)</f>
        <v/>
      </c>
      <c r="E821" s="7" t="str">
        <f>IF('SAÍDAS-BASE'!D819="","",'SAÍDAS-BASE'!D819)</f>
        <v/>
      </c>
      <c r="F821" s="6" t="str">
        <f>IF('SAÍDAS-BASE'!E819="","",'SAÍDAS-BASE'!E819)</f>
        <v/>
      </c>
      <c r="G821" t="str">
        <f>IF('SAÍDAS-BASE'!F819="","",'SAÍDAS-BASE'!F819)</f>
        <v/>
      </c>
      <c r="H821" t="str">
        <f>IF('SAÍDAS-BASE'!G819="","",'SAÍDAS-BASE'!G819)</f>
        <v/>
      </c>
      <c r="I821" t="str">
        <f>IF('SAÍDAS-BASE'!H819="","",'SAÍDAS-BASE'!H819)</f>
        <v/>
      </c>
      <c r="J821" t="str">
        <f>IF('SAÍDAS-BASE'!I819="","",'SAÍDAS-BASE'!I819)</f>
        <v/>
      </c>
      <c r="K821" s="5" t="str">
        <f>IF('SAÍDAS-BASE'!J819="","",'SAÍDAS-BASE'!J819)</f>
        <v/>
      </c>
      <c r="L821" t="str">
        <f>IF(TABELA_SAIDAS[[#This Row],[UF]]="","",IFERROR(IF(VLOOKUP(TABELA_SAIDAS[[#This Row],[VALOR]],TABELA_ENTRADAS[VALOR],1,FALSE),"DEVOLUÇÃO"),"SEM ENTRADAS"))</f>
        <v/>
      </c>
    </row>
    <row r="822" spans="2:12" x14ac:dyDescent="0.3">
      <c r="B822" t="str">
        <f>IF('SAÍDAS-BASE'!A820="","",'SAÍDAS-BASE'!A820)</f>
        <v/>
      </c>
      <c r="C822" t="str">
        <f>IF('SAÍDAS-BASE'!B820="","",'SAÍDAS-BASE'!B820)</f>
        <v/>
      </c>
      <c r="D822" t="str">
        <f>IF('SAÍDAS-BASE'!C820="","",'SAÍDAS-BASE'!C820)</f>
        <v/>
      </c>
      <c r="E822" s="7" t="str">
        <f>IF('SAÍDAS-BASE'!D820="","",'SAÍDAS-BASE'!D820)</f>
        <v/>
      </c>
      <c r="F822" s="6" t="str">
        <f>IF('SAÍDAS-BASE'!E820="","",'SAÍDAS-BASE'!E820)</f>
        <v/>
      </c>
      <c r="G822" t="str">
        <f>IF('SAÍDAS-BASE'!F820="","",'SAÍDAS-BASE'!F820)</f>
        <v/>
      </c>
      <c r="H822" t="str">
        <f>IF('SAÍDAS-BASE'!G820="","",'SAÍDAS-BASE'!G820)</f>
        <v/>
      </c>
      <c r="I822" t="str">
        <f>IF('SAÍDAS-BASE'!H820="","",'SAÍDAS-BASE'!H820)</f>
        <v/>
      </c>
      <c r="J822" t="str">
        <f>IF('SAÍDAS-BASE'!I820="","",'SAÍDAS-BASE'!I820)</f>
        <v/>
      </c>
      <c r="K822" s="5" t="str">
        <f>IF('SAÍDAS-BASE'!J820="","",'SAÍDAS-BASE'!J820)</f>
        <v/>
      </c>
      <c r="L822" t="str">
        <f>IF(TABELA_SAIDAS[[#This Row],[UF]]="","",IFERROR(IF(VLOOKUP(TABELA_SAIDAS[[#This Row],[VALOR]],TABELA_ENTRADAS[VALOR],1,FALSE),"DEVOLUÇÃO"),"SEM ENTRADAS"))</f>
        <v/>
      </c>
    </row>
    <row r="823" spans="2:12" x14ac:dyDescent="0.3">
      <c r="B823" t="str">
        <f>IF('SAÍDAS-BASE'!A821="","",'SAÍDAS-BASE'!A821)</f>
        <v/>
      </c>
      <c r="C823" t="str">
        <f>IF('SAÍDAS-BASE'!B821="","",'SAÍDAS-BASE'!B821)</f>
        <v/>
      </c>
      <c r="D823" t="str">
        <f>IF('SAÍDAS-BASE'!C821="","",'SAÍDAS-BASE'!C821)</f>
        <v/>
      </c>
      <c r="E823" s="7" t="str">
        <f>IF('SAÍDAS-BASE'!D821="","",'SAÍDAS-BASE'!D821)</f>
        <v/>
      </c>
      <c r="F823" s="6" t="str">
        <f>IF('SAÍDAS-BASE'!E821="","",'SAÍDAS-BASE'!E821)</f>
        <v/>
      </c>
      <c r="G823" t="str">
        <f>IF('SAÍDAS-BASE'!F821="","",'SAÍDAS-BASE'!F821)</f>
        <v/>
      </c>
      <c r="H823" t="str">
        <f>IF('SAÍDAS-BASE'!G821="","",'SAÍDAS-BASE'!G821)</f>
        <v/>
      </c>
      <c r="I823" t="str">
        <f>IF('SAÍDAS-BASE'!H821="","",'SAÍDAS-BASE'!H821)</f>
        <v/>
      </c>
      <c r="J823" t="str">
        <f>IF('SAÍDAS-BASE'!I821="","",'SAÍDAS-BASE'!I821)</f>
        <v/>
      </c>
      <c r="K823" s="5" t="str">
        <f>IF('SAÍDAS-BASE'!J821="","",'SAÍDAS-BASE'!J821)</f>
        <v/>
      </c>
      <c r="L823" t="str">
        <f>IF(TABELA_SAIDAS[[#This Row],[UF]]="","",IFERROR(IF(VLOOKUP(TABELA_SAIDAS[[#This Row],[VALOR]],TABELA_ENTRADAS[VALOR],1,FALSE),"DEVOLUÇÃO"),"SEM ENTRADAS"))</f>
        <v/>
      </c>
    </row>
    <row r="824" spans="2:12" x14ac:dyDescent="0.3">
      <c r="B824" t="str">
        <f>IF('SAÍDAS-BASE'!A822="","",'SAÍDAS-BASE'!A822)</f>
        <v/>
      </c>
      <c r="C824" t="str">
        <f>IF('SAÍDAS-BASE'!B822="","",'SAÍDAS-BASE'!B822)</f>
        <v/>
      </c>
      <c r="D824" t="str">
        <f>IF('SAÍDAS-BASE'!C822="","",'SAÍDAS-BASE'!C822)</f>
        <v/>
      </c>
      <c r="E824" s="7" t="str">
        <f>IF('SAÍDAS-BASE'!D822="","",'SAÍDAS-BASE'!D822)</f>
        <v/>
      </c>
      <c r="F824" s="6" t="str">
        <f>IF('SAÍDAS-BASE'!E822="","",'SAÍDAS-BASE'!E822)</f>
        <v/>
      </c>
      <c r="G824" t="str">
        <f>IF('SAÍDAS-BASE'!F822="","",'SAÍDAS-BASE'!F822)</f>
        <v/>
      </c>
      <c r="H824" t="str">
        <f>IF('SAÍDAS-BASE'!G822="","",'SAÍDAS-BASE'!G822)</f>
        <v/>
      </c>
      <c r="I824" t="str">
        <f>IF('SAÍDAS-BASE'!H822="","",'SAÍDAS-BASE'!H822)</f>
        <v/>
      </c>
      <c r="J824" t="str">
        <f>IF('SAÍDAS-BASE'!I822="","",'SAÍDAS-BASE'!I822)</f>
        <v/>
      </c>
      <c r="K824" s="5" t="str">
        <f>IF('SAÍDAS-BASE'!J822="","",'SAÍDAS-BASE'!J822)</f>
        <v/>
      </c>
      <c r="L824" t="str">
        <f>IF(TABELA_SAIDAS[[#This Row],[UF]]="","",IFERROR(IF(VLOOKUP(TABELA_SAIDAS[[#This Row],[VALOR]],TABELA_ENTRADAS[VALOR],1,FALSE),"DEVOLUÇÃO"),"SEM ENTRADAS"))</f>
        <v/>
      </c>
    </row>
    <row r="825" spans="2:12" x14ac:dyDescent="0.3">
      <c r="B825" t="str">
        <f>IF('SAÍDAS-BASE'!A823="","",'SAÍDAS-BASE'!A823)</f>
        <v/>
      </c>
      <c r="C825" t="str">
        <f>IF('SAÍDAS-BASE'!B823="","",'SAÍDAS-BASE'!B823)</f>
        <v/>
      </c>
      <c r="D825" t="str">
        <f>IF('SAÍDAS-BASE'!C823="","",'SAÍDAS-BASE'!C823)</f>
        <v/>
      </c>
      <c r="E825" s="7" t="str">
        <f>IF('SAÍDAS-BASE'!D823="","",'SAÍDAS-BASE'!D823)</f>
        <v/>
      </c>
      <c r="F825" s="6" t="str">
        <f>IF('SAÍDAS-BASE'!E823="","",'SAÍDAS-BASE'!E823)</f>
        <v/>
      </c>
      <c r="G825" t="str">
        <f>IF('SAÍDAS-BASE'!F823="","",'SAÍDAS-BASE'!F823)</f>
        <v/>
      </c>
      <c r="H825" t="str">
        <f>IF('SAÍDAS-BASE'!G823="","",'SAÍDAS-BASE'!G823)</f>
        <v/>
      </c>
      <c r="I825" t="str">
        <f>IF('SAÍDAS-BASE'!H823="","",'SAÍDAS-BASE'!H823)</f>
        <v/>
      </c>
      <c r="J825" t="str">
        <f>IF('SAÍDAS-BASE'!I823="","",'SAÍDAS-BASE'!I823)</f>
        <v/>
      </c>
      <c r="K825" s="5" t="str">
        <f>IF('SAÍDAS-BASE'!J823="","",'SAÍDAS-BASE'!J823)</f>
        <v/>
      </c>
      <c r="L825" t="str">
        <f>IF(TABELA_SAIDAS[[#This Row],[UF]]="","",IFERROR(IF(VLOOKUP(TABELA_SAIDAS[[#This Row],[VALOR]],TABELA_ENTRADAS[VALOR],1,FALSE),"DEVOLUÇÃO"),"SEM ENTRADAS"))</f>
        <v/>
      </c>
    </row>
    <row r="826" spans="2:12" x14ac:dyDescent="0.3">
      <c r="B826" t="str">
        <f>IF('SAÍDAS-BASE'!A824="","",'SAÍDAS-BASE'!A824)</f>
        <v/>
      </c>
      <c r="C826" t="str">
        <f>IF('SAÍDAS-BASE'!B824="","",'SAÍDAS-BASE'!B824)</f>
        <v/>
      </c>
      <c r="D826" t="str">
        <f>IF('SAÍDAS-BASE'!C824="","",'SAÍDAS-BASE'!C824)</f>
        <v/>
      </c>
      <c r="E826" s="7" t="str">
        <f>IF('SAÍDAS-BASE'!D824="","",'SAÍDAS-BASE'!D824)</f>
        <v/>
      </c>
      <c r="F826" s="6" t="str">
        <f>IF('SAÍDAS-BASE'!E824="","",'SAÍDAS-BASE'!E824)</f>
        <v/>
      </c>
      <c r="G826" t="str">
        <f>IF('SAÍDAS-BASE'!F824="","",'SAÍDAS-BASE'!F824)</f>
        <v/>
      </c>
      <c r="H826" t="str">
        <f>IF('SAÍDAS-BASE'!G824="","",'SAÍDAS-BASE'!G824)</f>
        <v/>
      </c>
      <c r="I826" t="str">
        <f>IF('SAÍDAS-BASE'!H824="","",'SAÍDAS-BASE'!H824)</f>
        <v/>
      </c>
      <c r="J826" t="str">
        <f>IF('SAÍDAS-BASE'!I824="","",'SAÍDAS-BASE'!I824)</f>
        <v/>
      </c>
      <c r="K826" s="5" t="str">
        <f>IF('SAÍDAS-BASE'!J824="","",'SAÍDAS-BASE'!J824)</f>
        <v/>
      </c>
      <c r="L826" t="str">
        <f>IF(TABELA_SAIDAS[[#This Row],[UF]]="","",IFERROR(IF(VLOOKUP(TABELA_SAIDAS[[#This Row],[VALOR]],TABELA_ENTRADAS[VALOR],1,FALSE),"DEVOLUÇÃO"),"SEM ENTRADAS"))</f>
        <v/>
      </c>
    </row>
    <row r="827" spans="2:12" x14ac:dyDescent="0.3">
      <c r="B827" t="str">
        <f>IF('SAÍDAS-BASE'!A825="","",'SAÍDAS-BASE'!A825)</f>
        <v/>
      </c>
      <c r="C827" t="str">
        <f>IF('SAÍDAS-BASE'!B825="","",'SAÍDAS-BASE'!B825)</f>
        <v/>
      </c>
      <c r="D827" t="str">
        <f>IF('SAÍDAS-BASE'!C825="","",'SAÍDAS-BASE'!C825)</f>
        <v/>
      </c>
      <c r="E827" s="7" t="str">
        <f>IF('SAÍDAS-BASE'!D825="","",'SAÍDAS-BASE'!D825)</f>
        <v/>
      </c>
      <c r="F827" s="6" t="str">
        <f>IF('SAÍDAS-BASE'!E825="","",'SAÍDAS-BASE'!E825)</f>
        <v/>
      </c>
      <c r="G827" t="str">
        <f>IF('SAÍDAS-BASE'!F825="","",'SAÍDAS-BASE'!F825)</f>
        <v/>
      </c>
      <c r="H827" t="str">
        <f>IF('SAÍDAS-BASE'!G825="","",'SAÍDAS-BASE'!G825)</f>
        <v/>
      </c>
      <c r="I827" t="str">
        <f>IF('SAÍDAS-BASE'!H825="","",'SAÍDAS-BASE'!H825)</f>
        <v/>
      </c>
      <c r="J827" t="str">
        <f>IF('SAÍDAS-BASE'!I825="","",'SAÍDAS-BASE'!I825)</f>
        <v/>
      </c>
      <c r="K827" s="5" t="str">
        <f>IF('SAÍDAS-BASE'!J825="","",'SAÍDAS-BASE'!J825)</f>
        <v/>
      </c>
      <c r="L827" t="str">
        <f>IF(TABELA_SAIDAS[[#This Row],[UF]]="","",IFERROR(IF(VLOOKUP(TABELA_SAIDAS[[#This Row],[VALOR]],TABELA_ENTRADAS[VALOR],1,FALSE),"DEVOLUÇÃO"),"SEM ENTRADAS"))</f>
        <v/>
      </c>
    </row>
    <row r="828" spans="2:12" x14ac:dyDescent="0.3">
      <c r="B828" t="str">
        <f>IF('SAÍDAS-BASE'!A826="","",'SAÍDAS-BASE'!A826)</f>
        <v/>
      </c>
      <c r="C828" t="str">
        <f>IF('SAÍDAS-BASE'!B826="","",'SAÍDAS-BASE'!B826)</f>
        <v/>
      </c>
      <c r="D828" t="str">
        <f>IF('SAÍDAS-BASE'!C826="","",'SAÍDAS-BASE'!C826)</f>
        <v/>
      </c>
      <c r="E828" s="7" t="str">
        <f>IF('SAÍDAS-BASE'!D826="","",'SAÍDAS-BASE'!D826)</f>
        <v/>
      </c>
      <c r="F828" s="6" t="str">
        <f>IF('SAÍDAS-BASE'!E826="","",'SAÍDAS-BASE'!E826)</f>
        <v/>
      </c>
      <c r="G828" t="str">
        <f>IF('SAÍDAS-BASE'!F826="","",'SAÍDAS-BASE'!F826)</f>
        <v/>
      </c>
      <c r="H828" t="str">
        <f>IF('SAÍDAS-BASE'!G826="","",'SAÍDAS-BASE'!G826)</f>
        <v/>
      </c>
      <c r="I828" t="str">
        <f>IF('SAÍDAS-BASE'!H826="","",'SAÍDAS-BASE'!H826)</f>
        <v/>
      </c>
      <c r="J828" t="str">
        <f>IF('SAÍDAS-BASE'!I826="","",'SAÍDAS-BASE'!I826)</f>
        <v/>
      </c>
      <c r="K828" s="5" t="str">
        <f>IF('SAÍDAS-BASE'!J826="","",'SAÍDAS-BASE'!J826)</f>
        <v/>
      </c>
      <c r="L828" t="str">
        <f>IF(TABELA_SAIDAS[[#This Row],[UF]]="","",IFERROR(IF(VLOOKUP(TABELA_SAIDAS[[#This Row],[VALOR]],TABELA_ENTRADAS[VALOR],1,FALSE),"DEVOLUÇÃO"),"SEM ENTRADAS"))</f>
        <v/>
      </c>
    </row>
    <row r="829" spans="2:12" x14ac:dyDescent="0.3">
      <c r="B829" t="str">
        <f>IF('SAÍDAS-BASE'!A827="","",'SAÍDAS-BASE'!A827)</f>
        <v/>
      </c>
      <c r="C829" t="str">
        <f>IF('SAÍDAS-BASE'!B827="","",'SAÍDAS-BASE'!B827)</f>
        <v/>
      </c>
      <c r="D829" t="str">
        <f>IF('SAÍDAS-BASE'!C827="","",'SAÍDAS-BASE'!C827)</f>
        <v/>
      </c>
      <c r="E829" s="7" t="str">
        <f>IF('SAÍDAS-BASE'!D827="","",'SAÍDAS-BASE'!D827)</f>
        <v/>
      </c>
      <c r="F829" s="6" t="str">
        <f>IF('SAÍDAS-BASE'!E827="","",'SAÍDAS-BASE'!E827)</f>
        <v/>
      </c>
      <c r="G829" t="str">
        <f>IF('SAÍDAS-BASE'!F827="","",'SAÍDAS-BASE'!F827)</f>
        <v/>
      </c>
      <c r="H829" t="str">
        <f>IF('SAÍDAS-BASE'!G827="","",'SAÍDAS-BASE'!G827)</f>
        <v/>
      </c>
      <c r="I829" t="str">
        <f>IF('SAÍDAS-BASE'!H827="","",'SAÍDAS-BASE'!H827)</f>
        <v/>
      </c>
      <c r="J829" t="str">
        <f>IF('SAÍDAS-BASE'!I827="","",'SAÍDAS-BASE'!I827)</f>
        <v/>
      </c>
      <c r="K829" s="5" t="str">
        <f>IF('SAÍDAS-BASE'!J827="","",'SAÍDAS-BASE'!J827)</f>
        <v/>
      </c>
      <c r="L829" t="str">
        <f>IF(TABELA_SAIDAS[[#This Row],[UF]]="","",IFERROR(IF(VLOOKUP(TABELA_SAIDAS[[#This Row],[VALOR]],TABELA_ENTRADAS[VALOR],1,FALSE),"DEVOLUÇÃO"),"SEM ENTRADAS"))</f>
        <v/>
      </c>
    </row>
    <row r="830" spans="2:12" x14ac:dyDescent="0.3">
      <c r="B830" t="str">
        <f>IF('SAÍDAS-BASE'!A828="","",'SAÍDAS-BASE'!A828)</f>
        <v/>
      </c>
      <c r="C830" t="str">
        <f>IF('SAÍDAS-BASE'!B828="","",'SAÍDAS-BASE'!B828)</f>
        <v/>
      </c>
      <c r="D830" t="str">
        <f>IF('SAÍDAS-BASE'!C828="","",'SAÍDAS-BASE'!C828)</f>
        <v/>
      </c>
      <c r="E830" s="7" t="str">
        <f>IF('SAÍDAS-BASE'!D828="","",'SAÍDAS-BASE'!D828)</f>
        <v/>
      </c>
      <c r="F830" s="6" t="str">
        <f>IF('SAÍDAS-BASE'!E828="","",'SAÍDAS-BASE'!E828)</f>
        <v/>
      </c>
      <c r="G830" t="str">
        <f>IF('SAÍDAS-BASE'!F828="","",'SAÍDAS-BASE'!F828)</f>
        <v/>
      </c>
      <c r="H830" t="str">
        <f>IF('SAÍDAS-BASE'!G828="","",'SAÍDAS-BASE'!G828)</f>
        <v/>
      </c>
      <c r="I830" t="str">
        <f>IF('SAÍDAS-BASE'!H828="","",'SAÍDAS-BASE'!H828)</f>
        <v/>
      </c>
      <c r="J830" t="str">
        <f>IF('SAÍDAS-BASE'!I828="","",'SAÍDAS-BASE'!I828)</f>
        <v/>
      </c>
      <c r="K830" s="5" t="str">
        <f>IF('SAÍDAS-BASE'!J828="","",'SAÍDAS-BASE'!J828)</f>
        <v/>
      </c>
      <c r="L830" t="str">
        <f>IF(TABELA_SAIDAS[[#This Row],[UF]]="","",IFERROR(IF(VLOOKUP(TABELA_SAIDAS[[#This Row],[VALOR]],TABELA_ENTRADAS[VALOR],1,FALSE),"DEVOLUÇÃO"),"SEM ENTRADAS"))</f>
        <v/>
      </c>
    </row>
    <row r="831" spans="2:12" x14ac:dyDescent="0.3">
      <c r="B831" t="str">
        <f>IF('SAÍDAS-BASE'!A829="","",'SAÍDAS-BASE'!A829)</f>
        <v/>
      </c>
      <c r="C831" t="str">
        <f>IF('SAÍDAS-BASE'!B829="","",'SAÍDAS-BASE'!B829)</f>
        <v/>
      </c>
      <c r="D831" t="str">
        <f>IF('SAÍDAS-BASE'!C829="","",'SAÍDAS-BASE'!C829)</f>
        <v/>
      </c>
      <c r="E831" s="7" t="str">
        <f>IF('SAÍDAS-BASE'!D829="","",'SAÍDAS-BASE'!D829)</f>
        <v/>
      </c>
      <c r="F831" s="6" t="str">
        <f>IF('SAÍDAS-BASE'!E829="","",'SAÍDAS-BASE'!E829)</f>
        <v/>
      </c>
      <c r="G831" t="str">
        <f>IF('SAÍDAS-BASE'!F829="","",'SAÍDAS-BASE'!F829)</f>
        <v/>
      </c>
      <c r="H831" t="str">
        <f>IF('SAÍDAS-BASE'!G829="","",'SAÍDAS-BASE'!G829)</f>
        <v/>
      </c>
      <c r="I831" t="str">
        <f>IF('SAÍDAS-BASE'!H829="","",'SAÍDAS-BASE'!H829)</f>
        <v/>
      </c>
      <c r="J831" t="str">
        <f>IF('SAÍDAS-BASE'!I829="","",'SAÍDAS-BASE'!I829)</f>
        <v/>
      </c>
      <c r="K831" s="5" t="str">
        <f>IF('SAÍDAS-BASE'!J829="","",'SAÍDAS-BASE'!J829)</f>
        <v/>
      </c>
      <c r="L831" t="str">
        <f>IF(TABELA_SAIDAS[[#This Row],[UF]]="","",IFERROR(IF(VLOOKUP(TABELA_SAIDAS[[#This Row],[VALOR]],TABELA_ENTRADAS[VALOR],1,FALSE),"DEVOLUÇÃO"),"SEM ENTRADAS"))</f>
        <v/>
      </c>
    </row>
    <row r="832" spans="2:12" x14ac:dyDescent="0.3">
      <c r="B832" t="str">
        <f>IF('SAÍDAS-BASE'!A830="","",'SAÍDAS-BASE'!A830)</f>
        <v/>
      </c>
      <c r="C832" t="str">
        <f>IF('SAÍDAS-BASE'!B830="","",'SAÍDAS-BASE'!B830)</f>
        <v/>
      </c>
      <c r="D832" t="str">
        <f>IF('SAÍDAS-BASE'!C830="","",'SAÍDAS-BASE'!C830)</f>
        <v/>
      </c>
      <c r="E832" s="7" t="str">
        <f>IF('SAÍDAS-BASE'!D830="","",'SAÍDAS-BASE'!D830)</f>
        <v/>
      </c>
      <c r="F832" s="6" t="str">
        <f>IF('SAÍDAS-BASE'!E830="","",'SAÍDAS-BASE'!E830)</f>
        <v/>
      </c>
      <c r="G832" t="str">
        <f>IF('SAÍDAS-BASE'!F830="","",'SAÍDAS-BASE'!F830)</f>
        <v/>
      </c>
      <c r="H832" t="str">
        <f>IF('SAÍDAS-BASE'!G830="","",'SAÍDAS-BASE'!G830)</f>
        <v/>
      </c>
      <c r="I832" t="str">
        <f>IF('SAÍDAS-BASE'!H830="","",'SAÍDAS-BASE'!H830)</f>
        <v/>
      </c>
      <c r="J832" t="str">
        <f>IF('SAÍDAS-BASE'!I830="","",'SAÍDAS-BASE'!I830)</f>
        <v/>
      </c>
      <c r="K832" s="5" t="str">
        <f>IF('SAÍDAS-BASE'!J830="","",'SAÍDAS-BASE'!J830)</f>
        <v/>
      </c>
      <c r="L832" t="str">
        <f>IF(TABELA_SAIDAS[[#This Row],[UF]]="","",IFERROR(IF(VLOOKUP(TABELA_SAIDAS[[#This Row],[VALOR]],TABELA_ENTRADAS[VALOR],1,FALSE),"DEVOLUÇÃO"),"SEM ENTRADAS"))</f>
        <v/>
      </c>
    </row>
    <row r="833" spans="2:12" x14ac:dyDescent="0.3">
      <c r="B833" t="str">
        <f>IF('SAÍDAS-BASE'!A831="","",'SAÍDAS-BASE'!A831)</f>
        <v/>
      </c>
      <c r="C833" t="str">
        <f>IF('SAÍDAS-BASE'!B831="","",'SAÍDAS-BASE'!B831)</f>
        <v/>
      </c>
      <c r="D833" t="str">
        <f>IF('SAÍDAS-BASE'!C831="","",'SAÍDAS-BASE'!C831)</f>
        <v/>
      </c>
      <c r="E833" s="7" t="str">
        <f>IF('SAÍDAS-BASE'!D831="","",'SAÍDAS-BASE'!D831)</f>
        <v/>
      </c>
      <c r="F833" s="6" t="str">
        <f>IF('SAÍDAS-BASE'!E831="","",'SAÍDAS-BASE'!E831)</f>
        <v/>
      </c>
      <c r="G833" t="str">
        <f>IF('SAÍDAS-BASE'!F831="","",'SAÍDAS-BASE'!F831)</f>
        <v/>
      </c>
      <c r="H833" t="str">
        <f>IF('SAÍDAS-BASE'!G831="","",'SAÍDAS-BASE'!G831)</f>
        <v/>
      </c>
      <c r="I833" t="str">
        <f>IF('SAÍDAS-BASE'!H831="","",'SAÍDAS-BASE'!H831)</f>
        <v/>
      </c>
      <c r="J833" t="str">
        <f>IF('SAÍDAS-BASE'!I831="","",'SAÍDAS-BASE'!I831)</f>
        <v/>
      </c>
      <c r="K833" s="5" t="str">
        <f>IF('SAÍDAS-BASE'!J831="","",'SAÍDAS-BASE'!J831)</f>
        <v/>
      </c>
      <c r="L833" t="str">
        <f>IF(TABELA_SAIDAS[[#This Row],[UF]]="","",IFERROR(IF(VLOOKUP(TABELA_SAIDAS[[#This Row],[VALOR]],TABELA_ENTRADAS[VALOR],1,FALSE),"DEVOLUÇÃO"),"SEM ENTRADAS"))</f>
        <v/>
      </c>
    </row>
    <row r="834" spans="2:12" x14ac:dyDescent="0.3">
      <c r="B834" t="str">
        <f>IF('SAÍDAS-BASE'!A832="","",'SAÍDAS-BASE'!A832)</f>
        <v/>
      </c>
      <c r="C834" t="str">
        <f>IF('SAÍDAS-BASE'!B832="","",'SAÍDAS-BASE'!B832)</f>
        <v/>
      </c>
      <c r="D834" t="str">
        <f>IF('SAÍDAS-BASE'!C832="","",'SAÍDAS-BASE'!C832)</f>
        <v/>
      </c>
      <c r="E834" s="7" t="str">
        <f>IF('SAÍDAS-BASE'!D832="","",'SAÍDAS-BASE'!D832)</f>
        <v/>
      </c>
      <c r="F834" s="6" t="str">
        <f>IF('SAÍDAS-BASE'!E832="","",'SAÍDAS-BASE'!E832)</f>
        <v/>
      </c>
      <c r="G834" t="str">
        <f>IF('SAÍDAS-BASE'!F832="","",'SAÍDAS-BASE'!F832)</f>
        <v/>
      </c>
      <c r="H834" t="str">
        <f>IF('SAÍDAS-BASE'!G832="","",'SAÍDAS-BASE'!G832)</f>
        <v/>
      </c>
      <c r="I834" t="str">
        <f>IF('SAÍDAS-BASE'!H832="","",'SAÍDAS-BASE'!H832)</f>
        <v/>
      </c>
      <c r="J834" t="str">
        <f>IF('SAÍDAS-BASE'!I832="","",'SAÍDAS-BASE'!I832)</f>
        <v/>
      </c>
      <c r="K834" s="5" t="str">
        <f>IF('SAÍDAS-BASE'!J832="","",'SAÍDAS-BASE'!J832)</f>
        <v/>
      </c>
      <c r="L834" t="str">
        <f>IF(TABELA_SAIDAS[[#This Row],[UF]]="","",IFERROR(IF(VLOOKUP(TABELA_SAIDAS[[#This Row],[VALOR]],TABELA_ENTRADAS[VALOR],1,FALSE),"DEVOLUÇÃO"),"SEM ENTRADAS"))</f>
        <v/>
      </c>
    </row>
    <row r="835" spans="2:12" x14ac:dyDescent="0.3">
      <c r="B835" t="str">
        <f>IF('SAÍDAS-BASE'!A833="","",'SAÍDAS-BASE'!A833)</f>
        <v/>
      </c>
      <c r="C835" t="str">
        <f>IF('SAÍDAS-BASE'!B833="","",'SAÍDAS-BASE'!B833)</f>
        <v/>
      </c>
      <c r="D835" t="str">
        <f>IF('SAÍDAS-BASE'!C833="","",'SAÍDAS-BASE'!C833)</f>
        <v/>
      </c>
      <c r="E835" s="7" t="str">
        <f>IF('SAÍDAS-BASE'!D833="","",'SAÍDAS-BASE'!D833)</f>
        <v/>
      </c>
      <c r="F835" s="6" t="str">
        <f>IF('SAÍDAS-BASE'!E833="","",'SAÍDAS-BASE'!E833)</f>
        <v/>
      </c>
      <c r="G835" t="str">
        <f>IF('SAÍDAS-BASE'!F833="","",'SAÍDAS-BASE'!F833)</f>
        <v/>
      </c>
      <c r="H835" t="str">
        <f>IF('SAÍDAS-BASE'!G833="","",'SAÍDAS-BASE'!G833)</f>
        <v/>
      </c>
      <c r="I835" t="str">
        <f>IF('SAÍDAS-BASE'!H833="","",'SAÍDAS-BASE'!H833)</f>
        <v/>
      </c>
      <c r="J835" t="str">
        <f>IF('SAÍDAS-BASE'!I833="","",'SAÍDAS-BASE'!I833)</f>
        <v/>
      </c>
      <c r="K835" s="5" t="str">
        <f>IF('SAÍDAS-BASE'!J833="","",'SAÍDAS-BASE'!J833)</f>
        <v/>
      </c>
      <c r="L835" t="str">
        <f>IF(TABELA_SAIDAS[[#This Row],[UF]]="","",IFERROR(IF(VLOOKUP(TABELA_SAIDAS[[#This Row],[VALOR]],TABELA_ENTRADAS[VALOR],1,FALSE),"DEVOLUÇÃO"),"SEM ENTRADAS"))</f>
        <v/>
      </c>
    </row>
    <row r="836" spans="2:12" x14ac:dyDescent="0.3">
      <c r="B836" t="str">
        <f>IF('SAÍDAS-BASE'!A834="","",'SAÍDAS-BASE'!A834)</f>
        <v/>
      </c>
      <c r="C836" t="str">
        <f>IF('SAÍDAS-BASE'!B834="","",'SAÍDAS-BASE'!B834)</f>
        <v/>
      </c>
      <c r="D836" t="str">
        <f>IF('SAÍDAS-BASE'!C834="","",'SAÍDAS-BASE'!C834)</f>
        <v/>
      </c>
      <c r="E836" s="7" t="str">
        <f>IF('SAÍDAS-BASE'!D834="","",'SAÍDAS-BASE'!D834)</f>
        <v/>
      </c>
      <c r="F836" s="6" t="str">
        <f>IF('SAÍDAS-BASE'!E834="","",'SAÍDAS-BASE'!E834)</f>
        <v/>
      </c>
      <c r="G836" t="str">
        <f>IF('SAÍDAS-BASE'!F834="","",'SAÍDAS-BASE'!F834)</f>
        <v/>
      </c>
      <c r="H836" t="str">
        <f>IF('SAÍDAS-BASE'!G834="","",'SAÍDAS-BASE'!G834)</f>
        <v/>
      </c>
      <c r="I836" t="str">
        <f>IF('SAÍDAS-BASE'!H834="","",'SAÍDAS-BASE'!H834)</f>
        <v/>
      </c>
      <c r="J836" t="str">
        <f>IF('SAÍDAS-BASE'!I834="","",'SAÍDAS-BASE'!I834)</f>
        <v/>
      </c>
      <c r="K836" s="5" t="str">
        <f>IF('SAÍDAS-BASE'!J834="","",'SAÍDAS-BASE'!J834)</f>
        <v/>
      </c>
      <c r="L836" t="str">
        <f>IF(TABELA_SAIDAS[[#This Row],[UF]]="","",IFERROR(IF(VLOOKUP(TABELA_SAIDAS[[#This Row],[VALOR]],TABELA_ENTRADAS[VALOR],1,FALSE),"DEVOLUÇÃO"),"SEM ENTRADAS"))</f>
        <v/>
      </c>
    </row>
    <row r="837" spans="2:12" x14ac:dyDescent="0.3">
      <c r="B837" t="str">
        <f>IF('SAÍDAS-BASE'!A835="","",'SAÍDAS-BASE'!A835)</f>
        <v/>
      </c>
      <c r="C837" t="str">
        <f>IF('SAÍDAS-BASE'!B835="","",'SAÍDAS-BASE'!B835)</f>
        <v/>
      </c>
      <c r="D837" t="str">
        <f>IF('SAÍDAS-BASE'!C835="","",'SAÍDAS-BASE'!C835)</f>
        <v/>
      </c>
      <c r="E837" s="7" t="str">
        <f>IF('SAÍDAS-BASE'!D835="","",'SAÍDAS-BASE'!D835)</f>
        <v/>
      </c>
      <c r="F837" s="6" t="str">
        <f>IF('SAÍDAS-BASE'!E835="","",'SAÍDAS-BASE'!E835)</f>
        <v/>
      </c>
      <c r="G837" t="str">
        <f>IF('SAÍDAS-BASE'!F835="","",'SAÍDAS-BASE'!F835)</f>
        <v/>
      </c>
      <c r="H837" t="str">
        <f>IF('SAÍDAS-BASE'!G835="","",'SAÍDAS-BASE'!G835)</f>
        <v/>
      </c>
      <c r="I837" t="str">
        <f>IF('SAÍDAS-BASE'!H835="","",'SAÍDAS-BASE'!H835)</f>
        <v/>
      </c>
      <c r="J837" t="str">
        <f>IF('SAÍDAS-BASE'!I835="","",'SAÍDAS-BASE'!I835)</f>
        <v/>
      </c>
      <c r="K837" s="5" t="str">
        <f>IF('SAÍDAS-BASE'!J835="","",'SAÍDAS-BASE'!J835)</f>
        <v/>
      </c>
      <c r="L837" t="str">
        <f>IF(TABELA_SAIDAS[[#This Row],[UF]]="","",IFERROR(IF(VLOOKUP(TABELA_SAIDAS[[#This Row],[VALOR]],TABELA_ENTRADAS[VALOR],1,FALSE),"DEVOLUÇÃO"),"SEM ENTRADAS"))</f>
        <v/>
      </c>
    </row>
    <row r="838" spans="2:12" x14ac:dyDescent="0.3">
      <c r="B838" t="str">
        <f>IF('SAÍDAS-BASE'!A836="","",'SAÍDAS-BASE'!A836)</f>
        <v/>
      </c>
      <c r="C838" t="str">
        <f>IF('SAÍDAS-BASE'!B836="","",'SAÍDAS-BASE'!B836)</f>
        <v/>
      </c>
      <c r="D838" t="str">
        <f>IF('SAÍDAS-BASE'!C836="","",'SAÍDAS-BASE'!C836)</f>
        <v/>
      </c>
      <c r="E838" s="7" t="str">
        <f>IF('SAÍDAS-BASE'!D836="","",'SAÍDAS-BASE'!D836)</f>
        <v/>
      </c>
      <c r="F838" s="6" t="str">
        <f>IF('SAÍDAS-BASE'!E836="","",'SAÍDAS-BASE'!E836)</f>
        <v/>
      </c>
      <c r="G838" t="str">
        <f>IF('SAÍDAS-BASE'!F836="","",'SAÍDAS-BASE'!F836)</f>
        <v/>
      </c>
      <c r="H838" t="str">
        <f>IF('SAÍDAS-BASE'!G836="","",'SAÍDAS-BASE'!G836)</f>
        <v/>
      </c>
      <c r="I838" t="str">
        <f>IF('SAÍDAS-BASE'!H836="","",'SAÍDAS-BASE'!H836)</f>
        <v/>
      </c>
      <c r="J838" t="str">
        <f>IF('SAÍDAS-BASE'!I836="","",'SAÍDAS-BASE'!I836)</f>
        <v/>
      </c>
      <c r="K838" s="5" t="str">
        <f>IF('SAÍDAS-BASE'!J836="","",'SAÍDAS-BASE'!J836)</f>
        <v/>
      </c>
      <c r="L838" t="str">
        <f>IF(TABELA_SAIDAS[[#This Row],[UF]]="","",IFERROR(IF(VLOOKUP(TABELA_SAIDAS[[#This Row],[VALOR]],TABELA_ENTRADAS[VALOR],1,FALSE),"DEVOLUÇÃO"),"SEM ENTRADAS"))</f>
        <v/>
      </c>
    </row>
    <row r="839" spans="2:12" x14ac:dyDescent="0.3">
      <c r="B839" t="str">
        <f>IF('SAÍDAS-BASE'!A837="","",'SAÍDAS-BASE'!A837)</f>
        <v/>
      </c>
      <c r="C839" t="str">
        <f>IF('SAÍDAS-BASE'!B837="","",'SAÍDAS-BASE'!B837)</f>
        <v/>
      </c>
      <c r="D839" t="str">
        <f>IF('SAÍDAS-BASE'!C837="","",'SAÍDAS-BASE'!C837)</f>
        <v/>
      </c>
      <c r="E839" s="7" t="str">
        <f>IF('SAÍDAS-BASE'!D837="","",'SAÍDAS-BASE'!D837)</f>
        <v/>
      </c>
      <c r="F839" s="6" t="str">
        <f>IF('SAÍDAS-BASE'!E837="","",'SAÍDAS-BASE'!E837)</f>
        <v/>
      </c>
      <c r="G839" t="str">
        <f>IF('SAÍDAS-BASE'!F837="","",'SAÍDAS-BASE'!F837)</f>
        <v/>
      </c>
      <c r="H839" t="str">
        <f>IF('SAÍDAS-BASE'!G837="","",'SAÍDAS-BASE'!G837)</f>
        <v/>
      </c>
      <c r="I839" t="str">
        <f>IF('SAÍDAS-BASE'!H837="","",'SAÍDAS-BASE'!H837)</f>
        <v/>
      </c>
      <c r="J839" t="str">
        <f>IF('SAÍDAS-BASE'!I837="","",'SAÍDAS-BASE'!I837)</f>
        <v/>
      </c>
      <c r="K839" s="5" t="str">
        <f>IF('SAÍDAS-BASE'!J837="","",'SAÍDAS-BASE'!J837)</f>
        <v/>
      </c>
      <c r="L839" t="str">
        <f>IF(TABELA_SAIDAS[[#This Row],[UF]]="","",IFERROR(IF(VLOOKUP(TABELA_SAIDAS[[#This Row],[VALOR]],TABELA_ENTRADAS[VALOR],1,FALSE),"DEVOLUÇÃO"),"SEM ENTRADAS"))</f>
        <v/>
      </c>
    </row>
    <row r="840" spans="2:12" x14ac:dyDescent="0.3">
      <c r="B840" t="str">
        <f>IF('SAÍDAS-BASE'!A838="","",'SAÍDAS-BASE'!A838)</f>
        <v/>
      </c>
      <c r="C840" t="str">
        <f>IF('SAÍDAS-BASE'!B838="","",'SAÍDAS-BASE'!B838)</f>
        <v/>
      </c>
      <c r="D840" t="str">
        <f>IF('SAÍDAS-BASE'!C838="","",'SAÍDAS-BASE'!C838)</f>
        <v/>
      </c>
      <c r="E840" s="7" t="str">
        <f>IF('SAÍDAS-BASE'!D838="","",'SAÍDAS-BASE'!D838)</f>
        <v/>
      </c>
      <c r="F840" s="6" t="str">
        <f>IF('SAÍDAS-BASE'!E838="","",'SAÍDAS-BASE'!E838)</f>
        <v/>
      </c>
      <c r="G840" t="str">
        <f>IF('SAÍDAS-BASE'!F838="","",'SAÍDAS-BASE'!F838)</f>
        <v/>
      </c>
      <c r="H840" t="str">
        <f>IF('SAÍDAS-BASE'!G838="","",'SAÍDAS-BASE'!G838)</f>
        <v/>
      </c>
      <c r="I840" t="str">
        <f>IF('SAÍDAS-BASE'!H838="","",'SAÍDAS-BASE'!H838)</f>
        <v/>
      </c>
      <c r="J840" t="str">
        <f>IF('SAÍDAS-BASE'!I838="","",'SAÍDAS-BASE'!I838)</f>
        <v/>
      </c>
      <c r="K840" s="5" t="str">
        <f>IF('SAÍDAS-BASE'!J838="","",'SAÍDAS-BASE'!J838)</f>
        <v/>
      </c>
      <c r="L840" t="str">
        <f>IF(TABELA_SAIDAS[[#This Row],[UF]]="","",IFERROR(IF(VLOOKUP(TABELA_SAIDAS[[#This Row],[VALOR]],TABELA_ENTRADAS[VALOR],1,FALSE),"DEVOLUÇÃO"),"SEM ENTRADAS"))</f>
        <v/>
      </c>
    </row>
    <row r="841" spans="2:12" x14ac:dyDescent="0.3">
      <c r="B841" t="str">
        <f>IF('SAÍDAS-BASE'!A839="","",'SAÍDAS-BASE'!A839)</f>
        <v/>
      </c>
      <c r="C841" t="str">
        <f>IF('SAÍDAS-BASE'!B839="","",'SAÍDAS-BASE'!B839)</f>
        <v/>
      </c>
      <c r="D841" t="str">
        <f>IF('SAÍDAS-BASE'!C839="","",'SAÍDAS-BASE'!C839)</f>
        <v/>
      </c>
      <c r="E841" s="7" t="str">
        <f>IF('SAÍDAS-BASE'!D839="","",'SAÍDAS-BASE'!D839)</f>
        <v/>
      </c>
      <c r="F841" s="6" t="str">
        <f>IF('SAÍDAS-BASE'!E839="","",'SAÍDAS-BASE'!E839)</f>
        <v/>
      </c>
      <c r="G841" t="str">
        <f>IF('SAÍDAS-BASE'!F839="","",'SAÍDAS-BASE'!F839)</f>
        <v/>
      </c>
      <c r="H841" t="str">
        <f>IF('SAÍDAS-BASE'!G839="","",'SAÍDAS-BASE'!G839)</f>
        <v/>
      </c>
      <c r="I841" t="str">
        <f>IF('SAÍDAS-BASE'!H839="","",'SAÍDAS-BASE'!H839)</f>
        <v/>
      </c>
      <c r="J841" t="str">
        <f>IF('SAÍDAS-BASE'!I839="","",'SAÍDAS-BASE'!I839)</f>
        <v/>
      </c>
      <c r="K841" s="5" t="str">
        <f>IF('SAÍDAS-BASE'!J839="","",'SAÍDAS-BASE'!J839)</f>
        <v/>
      </c>
      <c r="L841" t="str">
        <f>IF(TABELA_SAIDAS[[#This Row],[UF]]="","",IFERROR(IF(VLOOKUP(TABELA_SAIDAS[[#This Row],[VALOR]],TABELA_ENTRADAS[VALOR],1,FALSE),"DEVOLUÇÃO"),"SEM ENTRADAS"))</f>
        <v/>
      </c>
    </row>
    <row r="842" spans="2:12" x14ac:dyDescent="0.3">
      <c r="B842" t="str">
        <f>IF('SAÍDAS-BASE'!A840="","",'SAÍDAS-BASE'!A840)</f>
        <v/>
      </c>
      <c r="C842" t="str">
        <f>IF('SAÍDAS-BASE'!B840="","",'SAÍDAS-BASE'!B840)</f>
        <v/>
      </c>
      <c r="D842" t="str">
        <f>IF('SAÍDAS-BASE'!C840="","",'SAÍDAS-BASE'!C840)</f>
        <v/>
      </c>
      <c r="E842" s="7" t="str">
        <f>IF('SAÍDAS-BASE'!D840="","",'SAÍDAS-BASE'!D840)</f>
        <v/>
      </c>
      <c r="F842" s="6" t="str">
        <f>IF('SAÍDAS-BASE'!E840="","",'SAÍDAS-BASE'!E840)</f>
        <v/>
      </c>
      <c r="G842" t="str">
        <f>IF('SAÍDAS-BASE'!F840="","",'SAÍDAS-BASE'!F840)</f>
        <v/>
      </c>
      <c r="H842" t="str">
        <f>IF('SAÍDAS-BASE'!G840="","",'SAÍDAS-BASE'!G840)</f>
        <v/>
      </c>
      <c r="I842" t="str">
        <f>IF('SAÍDAS-BASE'!H840="","",'SAÍDAS-BASE'!H840)</f>
        <v/>
      </c>
      <c r="J842" t="str">
        <f>IF('SAÍDAS-BASE'!I840="","",'SAÍDAS-BASE'!I840)</f>
        <v/>
      </c>
      <c r="K842" s="5" t="str">
        <f>IF('SAÍDAS-BASE'!J840="","",'SAÍDAS-BASE'!J840)</f>
        <v/>
      </c>
      <c r="L842" t="str">
        <f>IF(TABELA_SAIDAS[[#This Row],[UF]]="","",IFERROR(IF(VLOOKUP(TABELA_SAIDAS[[#This Row],[VALOR]],TABELA_ENTRADAS[VALOR],1,FALSE),"DEVOLUÇÃO"),"SEM ENTRADAS"))</f>
        <v/>
      </c>
    </row>
    <row r="843" spans="2:12" x14ac:dyDescent="0.3">
      <c r="B843" t="str">
        <f>IF('SAÍDAS-BASE'!A841="","",'SAÍDAS-BASE'!A841)</f>
        <v/>
      </c>
      <c r="C843" t="str">
        <f>IF('SAÍDAS-BASE'!B841="","",'SAÍDAS-BASE'!B841)</f>
        <v/>
      </c>
      <c r="D843" t="str">
        <f>IF('SAÍDAS-BASE'!C841="","",'SAÍDAS-BASE'!C841)</f>
        <v/>
      </c>
      <c r="E843" s="7" t="str">
        <f>IF('SAÍDAS-BASE'!D841="","",'SAÍDAS-BASE'!D841)</f>
        <v/>
      </c>
      <c r="F843" s="6" t="str">
        <f>IF('SAÍDAS-BASE'!E841="","",'SAÍDAS-BASE'!E841)</f>
        <v/>
      </c>
      <c r="G843" t="str">
        <f>IF('SAÍDAS-BASE'!F841="","",'SAÍDAS-BASE'!F841)</f>
        <v/>
      </c>
      <c r="H843" t="str">
        <f>IF('SAÍDAS-BASE'!G841="","",'SAÍDAS-BASE'!G841)</f>
        <v/>
      </c>
      <c r="I843" t="str">
        <f>IF('SAÍDAS-BASE'!H841="","",'SAÍDAS-BASE'!H841)</f>
        <v/>
      </c>
      <c r="J843" t="str">
        <f>IF('SAÍDAS-BASE'!I841="","",'SAÍDAS-BASE'!I841)</f>
        <v/>
      </c>
      <c r="K843" s="5" t="str">
        <f>IF('SAÍDAS-BASE'!J841="","",'SAÍDAS-BASE'!J841)</f>
        <v/>
      </c>
      <c r="L843" t="str">
        <f>IF(TABELA_SAIDAS[[#This Row],[UF]]="","",IFERROR(IF(VLOOKUP(TABELA_SAIDAS[[#This Row],[VALOR]],TABELA_ENTRADAS[VALOR],1,FALSE),"DEVOLUÇÃO"),"SEM ENTRADAS"))</f>
        <v/>
      </c>
    </row>
    <row r="844" spans="2:12" x14ac:dyDescent="0.3">
      <c r="B844" t="str">
        <f>IF('SAÍDAS-BASE'!A842="","",'SAÍDAS-BASE'!A842)</f>
        <v/>
      </c>
      <c r="C844" t="str">
        <f>IF('SAÍDAS-BASE'!B842="","",'SAÍDAS-BASE'!B842)</f>
        <v/>
      </c>
      <c r="D844" t="str">
        <f>IF('SAÍDAS-BASE'!C842="","",'SAÍDAS-BASE'!C842)</f>
        <v/>
      </c>
      <c r="E844" s="7" t="str">
        <f>IF('SAÍDAS-BASE'!D842="","",'SAÍDAS-BASE'!D842)</f>
        <v/>
      </c>
      <c r="F844" s="6" t="str">
        <f>IF('SAÍDAS-BASE'!E842="","",'SAÍDAS-BASE'!E842)</f>
        <v/>
      </c>
      <c r="G844" t="str">
        <f>IF('SAÍDAS-BASE'!F842="","",'SAÍDAS-BASE'!F842)</f>
        <v/>
      </c>
      <c r="H844" t="str">
        <f>IF('SAÍDAS-BASE'!G842="","",'SAÍDAS-BASE'!G842)</f>
        <v/>
      </c>
      <c r="I844" t="str">
        <f>IF('SAÍDAS-BASE'!H842="","",'SAÍDAS-BASE'!H842)</f>
        <v/>
      </c>
      <c r="J844" t="str">
        <f>IF('SAÍDAS-BASE'!I842="","",'SAÍDAS-BASE'!I842)</f>
        <v/>
      </c>
      <c r="K844" s="5" t="str">
        <f>IF('SAÍDAS-BASE'!J842="","",'SAÍDAS-BASE'!J842)</f>
        <v/>
      </c>
      <c r="L844" t="str">
        <f>IF(TABELA_SAIDAS[[#This Row],[UF]]="","",IFERROR(IF(VLOOKUP(TABELA_SAIDAS[[#This Row],[VALOR]],TABELA_ENTRADAS[VALOR],1,FALSE),"DEVOLUÇÃO"),"SEM ENTRADAS"))</f>
        <v/>
      </c>
    </row>
    <row r="845" spans="2:12" x14ac:dyDescent="0.3">
      <c r="B845" t="str">
        <f>IF('SAÍDAS-BASE'!A843="","",'SAÍDAS-BASE'!A843)</f>
        <v/>
      </c>
      <c r="C845" t="str">
        <f>IF('SAÍDAS-BASE'!B843="","",'SAÍDAS-BASE'!B843)</f>
        <v/>
      </c>
      <c r="D845" t="str">
        <f>IF('SAÍDAS-BASE'!C843="","",'SAÍDAS-BASE'!C843)</f>
        <v/>
      </c>
      <c r="E845" s="7" t="str">
        <f>IF('SAÍDAS-BASE'!D843="","",'SAÍDAS-BASE'!D843)</f>
        <v/>
      </c>
      <c r="F845" s="6" t="str">
        <f>IF('SAÍDAS-BASE'!E843="","",'SAÍDAS-BASE'!E843)</f>
        <v/>
      </c>
      <c r="G845" t="str">
        <f>IF('SAÍDAS-BASE'!F843="","",'SAÍDAS-BASE'!F843)</f>
        <v/>
      </c>
      <c r="H845" t="str">
        <f>IF('SAÍDAS-BASE'!G843="","",'SAÍDAS-BASE'!G843)</f>
        <v/>
      </c>
      <c r="I845" t="str">
        <f>IF('SAÍDAS-BASE'!H843="","",'SAÍDAS-BASE'!H843)</f>
        <v/>
      </c>
      <c r="J845" t="str">
        <f>IF('SAÍDAS-BASE'!I843="","",'SAÍDAS-BASE'!I843)</f>
        <v/>
      </c>
      <c r="K845" s="5" t="str">
        <f>IF('SAÍDAS-BASE'!J843="","",'SAÍDAS-BASE'!J843)</f>
        <v/>
      </c>
      <c r="L845" t="str">
        <f>IF(TABELA_SAIDAS[[#This Row],[UF]]="","",IFERROR(IF(VLOOKUP(TABELA_SAIDAS[[#This Row],[VALOR]],TABELA_ENTRADAS[VALOR],1,FALSE),"DEVOLUÇÃO"),"SEM ENTRADAS"))</f>
        <v/>
      </c>
    </row>
    <row r="846" spans="2:12" x14ac:dyDescent="0.3">
      <c r="B846" t="str">
        <f>IF('SAÍDAS-BASE'!A844="","",'SAÍDAS-BASE'!A844)</f>
        <v/>
      </c>
      <c r="C846" t="str">
        <f>IF('SAÍDAS-BASE'!B844="","",'SAÍDAS-BASE'!B844)</f>
        <v/>
      </c>
      <c r="D846" t="str">
        <f>IF('SAÍDAS-BASE'!C844="","",'SAÍDAS-BASE'!C844)</f>
        <v/>
      </c>
      <c r="E846" s="7" t="str">
        <f>IF('SAÍDAS-BASE'!D844="","",'SAÍDAS-BASE'!D844)</f>
        <v/>
      </c>
      <c r="F846" s="6" t="str">
        <f>IF('SAÍDAS-BASE'!E844="","",'SAÍDAS-BASE'!E844)</f>
        <v/>
      </c>
      <c r="G846" t="str">
        <f>IF('SAÍDAS-BASE'!F844="","",'SAÍDAS-BASE'!F844)</f>
        <v/>
      </c>
      <c r="H846" t="str">
        <f>IF('SAÍDAS-BASE'!G844="","",'SAÍDAS-BASE'!G844)</f>
        <v/>
      </c>
      <c r="I846" t="str">
        <f>IF('SAÍDAS-BASE'!H844="","",'SAÍDAS-BASE'!H844)</f>
        <v/>
      </c>
      <c r="J846" t="str">
        <f>IF('SAÍDAS-BASE'!I844="","",'SAÍDAS-BASE'!I844)</f>
        <v/>
      </c>
      <c r="K846" s="5" t="str">
        <f>IF('SAÍDAS-BASE'!J844="","",'SAÍDAS-BASE'!J844)</f>
        <v/>
      </c>
      <c r="L846" t="str">
        <f>IF(TABELA_SAIDAS[[#This Row],[UF]]="","",IFERROR(IF(VLOOKUP(TABELA_SAIDAS[[#This Row],[VALOR]],TABELA_ENTRADAS[VALOR],1,FALSE),"DEVOLUÇÃO"),"SEM ENTRADAS"))</f>
        <v/>
      </c>
    </row>
    <row r="847" spans="2:12" x14ac:dyDescent="0.3">
      <c r="B847" t="str">
        <f>IF('SAÍDAS-BASE'!A845="","",'SAÍDAS-BASE'!A845)</f>
        <v/>
      </c>
      <c r="C847" t="str">
        <f>IF('SAÍDAS-BASE'!B845="","",'SAÍDAS-BASE'!B845)</f>
        <v/>
      </c>
      <c r="D847" t="str">
        <f>IF('SAÍDAS-BASE'!C845="","",'SAÍDAS-BASE'!C845)</f>
        <v/>
      </c>
      <c r="E847" s="7" t="str">
        <f>IF('SAÍDAS-BASE'!D845="","",'SAÍDAS-BASE'!D845)</f>
        <v/>
      </c>
      <c r="F847" s="6" t="str">
        <f>IF('SAÍDAS-BASE'!E845="","",'SAÍDAS-BASE'!E845)</f>
        <v/>
      </c>
      <c r="G847" t="str">
        <f>IF('SAÍDAS-BASE'!F845="","",'SAÍDAS-BASE'!F845)</f>
        <v/>
      </c>
      <c r="H847" t="str">
        <f>IF('SAÍDAS-BASE'!G845="","",'SAÍDAS-BASE'!G845)</f>
        <v/>
      </c>
      <c r="I847" t="str">
        <f>IF('SAÍDAS-BASE'!H845="","",'SAÍDAS-BASE'!H845)</f>
        <v/>
      </c>
      <c r="J847" t="str">
        <f>IF('SAÍDAS-BASE'!I845="","",'SAÍDAS-BASE'!I845)</f>
        <v/>
      </c>
      <c r="K847" s="5" t="str">
        <f>IF('SAÍDAS-BASE'!J845="","",'SAÍDAS-BASE'!J845)</f>
        <v/>
      </c>
      <c r="L847" t="str">
        <f>IF(TABELA_SAIDAS[[#This Row],[UF]]="","",IFERROR(IF(VLOOKUP(TABELA_SAIDAS[[#This Row],[VALOR]],TABELA_ENTRADAS[VALOR],1,FALSE),"DEVOLUÇÃO"),"SEM ENTRADAS"))</f>
        <v/>
      </c>
    </row>
    <row r="848" spans="2:12" x14ac:dyDescent="0.3">
      <c r="B848" t="str">
        <f>IF('SAÍDAS-BASE'!A846="","",'SAÍDAS-BASE'!A846)</f>
        <v/>
      </c>
      <c r="C848" t="str">
        <f>IF('SAÍDAS-BASE'!B846="","",'SAÍDAS-BASE'!B846)</f>
        <v/>
      </c>
      <c r="D848" t="str">
        <f>IF('SAÍDAS-BASE'!C846="","",'SAÍDAS-BASE'!C846)</f>
        <v/>
      </c>
      <c r="E848" s="7" t="str">
        <f>IF('SAÍDAS-BASE'!D846="","",'SAÍDAS-BASE'!D846)</f>
        <v/>
      </c>
      <c r="F848" s="6" t="str">
        <f>IF('SAÍDAS-BASE'!E846="","",'SAÍDAS-BASE'!E846)</f>
        <v/>
      </c>
      <c r="G848" t="str">
        <f>IF('SAÍDAS-BASE'!F846="","",'SAÍDAS-BASE'!F846)</f>
        <v/>
      </c>
      <c r="H848" t="str">
        <f>IF('SAÍDAS-BASE'!G846="","",'SAÍDAS-BASE'!G846)</f>
        <v/>
      </c>
      <c r="I848" t="str">
        <f>IF('SAÍDAS-BASE'!H846="","",'SAÍDAS-BASE'!H846)</f>
        <v/>
      </c>
      <c r="J848" t="str">
        <f>IF('SAÍDAS-BASE'!I846="","",'SAÍDAS-BASE'!I846)</f>
        <v/>
      </c>
      <c r="K848" s="5" t="str">
        <f>IF('SAÍDAS-BASE'!J846="","",'SAÍDAS-BASE'!J846)</f>
        <v/>
      </c>
      <c r="L848" t="str">
        <f>IF(TABELA_SAIDAS[[#This Row],[UF]]="","",IFERROR(IF(VLOOKUP(TABELA_SAIDAS[[#This Row],[VALOR]],TABELA_ENTRADAS[VALOR],1,FALSE),"DEVOLUÇÃO"),"SEM ENTRADAS"))</f>
        <v/>
      </c>
    </row>
    <row r="849" spans="2:12" x14ac:dyDescent="0.3">
      <c r="B849" t="str">
        <f>IF('SAÍDAS-BASE'!A847="","",'SAÍDAS-BASE'!A847)</f>
        <v/>
      </c>
      <c r="C849" t="str">
        <f>IF('SAÍDAS-BASE'!B847="","",'SAÍDAS-BASE'!B847)</f>
        <v/>
      </c>
      <c r="D849" t="str">
        <f>IF('SAÍDAS-BASE'!C847="","",'SAÍDAS-BASE'!C847)</f>
        <v/>
      </c>
      <c r="E849" s="7" t="str">
        <f>IF('SAÍDAS-BASE'!D847="","",'SAÍDAS-BASE'!D847)</f>
        <v/>
      </c>
      <c r="F849" s="6" t="str">
        <f>IF('SAÍDAS-BASE'!E847="","",'SAÍDAS-BASE'!E847)</f>
        <v/>
      </c>
      <c r="G849" t="str">
        <f>IF('SAÍDAS-BASE'!F847="","",'SAÍDAS-BASE'!F847)</f>
        <v/>
      </c>
      <c r="H849" t="str">
        <f>IF('SAÍDAS-BASE'!G847="","",'SAÍDAS-BASE'!G847)</f>
        <v/>
      </c>
      <c r="I849" t="str">
        <f>IF('SAÍDAS-BASE'!H847="","",'SAÍDAS-BASE'!H847)</f>
        <v/>
      </c>
      <c r="J849" t="str">
        <f>IF('SAÍDAS-BASE'!I847="","",'SAÍDAS-BASE'!I847)</f>
        <v/>
      </c>
      <c r="K849" s="5" t="str">
        <f>IF('SAÍDAS-BASE'!J847="","",'SAÍDAS-BASE'!J847)</f>
        <v/>
      </c>
      <c r="L849" t="str">
        <f>IF(TABELA_SAIDAS[[#This Row],[UF]]="","",IFERROR(IF(VLOOKUP(TABELA_SAIDAS[[#This Row],[VALOR]],TABELA_ENTRADAS[VALOR],1,FALSE),"DEVOLUÇÃO"),"SEM ENTRADAS"))</f>
        <v/>
      </c>
    </row>
    <row r="850" spans="2:12" x14ac:dyDescent="0.3">
      <c r="B850" t="str">
        <f>IF('SAÍDAS-BASE'!A848="","",'SAÍDAS-BASE'!A848)</f>
        <v/>
      </c>
      <c r="C850" t="str">
        <f>IF('SAÍDAS-BASE'!B848="","",'SAÍDAS-BASE'!B848)</f>
        <v/>
      </c>
      <c r="D850" t="str">
        <f>IF('SAÍDAS-BASE'!C848="","",'SAÍDAS-BASE'!C848)</f>
        <v/>
      </c>
      <c r="E850" s="7" t="str">
        <f>IF('SAÍDAS-BASE'!D848="","",'SAÍDAS-BASE'!D848)</f>
        <v/>
      </c>
      <c r="F850" s="6" t="str">
        <f>IF('SAÍDAS-BASE'!E848="","",'SAÍDAS-BASE'!E848)</f>
        <v/>
      </c>
      <c r="G850" t="str">
        <f>IF('SAÍDAS-BASE'!F848="","",'SAÍDAS-BASE'!F848)</f>
        <v/>
      </c>
      <c r="H850" t="str">
        <f>IF('SAÍDAS-BASE'!G848="","",'SAÍDAS-BASE'!G848)</f>
        <v/>
      </c>
      <c r="I850" t="str">
        <f>IF('SAÍDAS-BASE'!H848="","",'SAÍDAS-BASE'!H848)</f>
        <v/>
      </c>
      <c r="J850" t="str">
        <f>IF('SAÍDAS-BASE'!I848="","",'SAÍDAS-BASE'!I848)</f>
        <v/>
      </c>
      <c r="K850" s="5" t="str">
        <f>IF('SAÍDAS-BASE'!J848="","",'SAÍDAS-BASE'!J848)</f>
        <v/>
      </c>
      <c r="L850" t="str">
        <f>IF(TABELA_SAIDAS[[#This Row],[UF]]="","",IFERROR(IF(VLOOKUP(TABELA_SAIDAS[[#This Row],[VALOR]],TABELA_ENTRADAS[VALOR],1,FALSE),"DEVOLUÇÃO"),"SEM ENTRADAS"))</f>
        <v/>
      </c>
    </row>
    <row r="851" spans="2:12" x14ac:dyDescent="0.3">
      <c r="B851" t="str">
        <f>IF('SAÍDAS-BASE'!A849="","",'SAÍDAS-BASE'!A849)</f>
        <v/>
      </c>
      <c r="C851" t="str">
        <f>IF('SAÍDAS-BASE'!B849="","",'SAÍDAS-BASE'!B849)</f>
        <v/>
      </c>
      <c r="D851" t="str">
        <f>IF('SAÍDAS-BASE'!C849="","",'SAÍDAS-BASE'!C849)</f>
        <v/>
      </c>
      <c r="E851" s="7" t="str">
        <f>IF('SAÍDAS-BASE'!D849="","",'SAÍDAS-BASE'!D849)</f>
        <v/>
      </c>
      <c r="F851" s="6" t="str">
        <f>IF('SAÍDAS-BASE'!E849="","",'SAÍDAS-BASE'!E849)</f>
        <v/>
      </c>
      <c r="G851" t="str">
        <f>IF('SAÍDAS-BASE'!F849="","",'SAÍDAS-BASE'!F849)</f>
        <v/>
      </c>
      <c r="H851" t="str">
        <f>IF('SAÍDAS-BASE'!G849="","",'SAÍDAS-BASE'!G849)</f>
        <v/>
      </c>
      <c r="I851" t="str">
        <f>IF('SAÍDAS-BASE'!H849="","",'SAÍDAS-BASE'!H849)</f>
        <v/>
      </c>
      <c r="J851" t="str">
        <f>IF('SAÍDAS-BASE'!I849="","",'SAÍDAS-BASE'!I849)</f>
        <v/>
      </c>
      <c r="K851" s="5" t="str">
        <f>IF('SAÍDAS-BASE'!J849="","",'SAÍDAS-BASE'!J849)</f>
        <v/>
      </c>
      <c r="L851" t="str">
        <f>IF(TABELA_SAIDAS[[#This Row],[UF]]="","",IFERROR(IF(VLOOKUP(TABELA_SAIDAS[[#This Row],[VALOR]],TABELA_ENTRADAS[VALOR],1,FALSE),"DEVOLUÇÃO"),"SEM ENTRADAS"))</f>
        <v/>
      </c>
    </row>
    <row r="852" spans="2:12" x14ac:dyDescent="0.3">
      <c r="B852" t="str">
        <f>IF('SAÍDAS-BASE'!A850="","",'SAÍDAS-BASE'!A850)</f>
        <v/>
      </c>
      <c r="C852" t="str">
        <f>IF('SAÍDAS-BASE'!B850="","",'SAÍDAS-BASE'!B850)</f>
        <v/>
      </c>
      <c r="D852" t="str">
        <f>IF('SAÍDAS-BASE'!C850="","",'SAÍDAS-BASE'!C850)</f>
        <v/>
      </c>
      <c r="E852" s="7" t="str">
        <f>IF('SAÍDAS-BASE'!D850="","",'SAÍDAS-BASE'!D850)</f>
        <v/>
      </c>
      <c r="F852" s="6" t="str">
        <f>IF('SAÍDAS-BASE'!E850="","",'SAÍDAS-BASE'!E850)</f>
        <v/>
      </c>
      <c r="G852" t="str">
        <f>IF('SAÍDAS-BASE'!F850="","",'SAÍDAS-BASE'!F850)</f>
        <v/>
      </c>
      <c r="H852" t="str">
        <f>IF('SAÍDAS-BASE'!G850="","",'SAÍDAS-BASE'!G850)</f>
        <v/>
      </c>
      <c r="I852" t="str">
        <f>IF('SAÍDAS-BASE'!H850="","",'SAÍDAS-BASE'!H850)</f>
        <v/>
      </c>
      <c r="J852" t="str">
        <f>IF('SAÍDAS-BASE'!I850="","",'SAÍDAS-BASE'!I850)</f>
        <v/>
      </c>
      <c r="K852" s="5" t="str">
        <f>IF('SAÍDAS-BASE'!J850="","",'SAÍDAS-BASE'!J850)</f>
        <v/>
      </c>
      <c r="L852" t="str">
        <f>IF(TABELA_SAIDAS[[#This Row],[UF]]="","",IFERROR(IF(VLOOKUP(TABELA_SAIDAS[[#This Row],[VALOR]],TABELA_ENTRADAS[VALOR],1,FALSE),"DEVOLUÇÃO"),"SEM ENTRADAS"))</f>
        <v/>
      </c>
    </row>
    <row r="853" spans="2:12" x14ac:dyDescent="0.3">
      <c r="B853" t="str">
        <f>IF('SAÍDAS-BASE'!A851="","",'SAÍDAS-BASE'!A851)</f>
        <v/>
      </c>
      <c r="C853" t="str">
        <f>IF('SAÍDAS-BASE'!B851="","",'SAÍDAS-BASE'!B851)</f>
        <v/>
      </c>
      <c r="D853" t="str">
        <f>IF('SAÍDAS-BASE'!C851="","",'SAÍDAS-BASE'!C851)</f>
        <v/>
      </c>
      <c r="E853" s="7" t="str">
        <f>IF('SAÍDAS-BASE'!D851="","",'SAÍDAS-BASE'!D851)</f>
        <v/>
      </c>
      <c r="F853" s="6" t="str">
        <f>IF('SAÍDAS-BASE'!E851="","",'SAÍDAS-BASE'!E851)</f>
        <v/>
      </c>
      <c r="G853" t="str">
        <f>IF('SAÍDAS-BASE'!F851="","",'SAÍDAS-BASE'!F851)</f>
        <v/>
      </c>
      <c r="H853" t="str">
        <f>IF('SAÍDAS-BASE'!G851="","",'SAÍDAS-BASE'!G851)</f>
        <v/>
      </c>
      <c r="I853" t="str">
        <f>IF('SAÍDAS-BASE'!H851="","",'SAÍDAS-BASE'!H851)</f>
        <v/>
      </c>
      <c r="J853" t="str">
        <f>IF('SAÍDAS-BASE'!I851="","",'SAÍDAS-BASE'!I851)</f>
        <v/>
      </c>
      <c r="K853" s="5" t="str">
        <f>IF('SAÍDAS-BASE'!J851="","",'SAÍDAS-BASE'!J851)</f>
        <v/>
      </c>
      <c r="L853" t="str">
        <f>IF(TABELA_SAIDAS[[#This Row],[UF]]="","",IFERROR(IF(VLOOKUP(TABELA_SAIDAS[[#This Row],[VALOR]],TABELA_ENTRADAS[VALOR],1,FALSE),"DEVOLUÇÃO"),"SEM ENTRADAS"))</f>
        <v/>
      </c>
    </row>
    <row r="854" spans="2:12" x14ac:dyDescent="0.3">
      <c r="B854" t="str">
        <f>IF('SAÍDAS-BASE'!A852="","",'SAÍDAS-BASE'!A852)</f>
        <v/>
      </c>
      <c r="C854" t="str">
        <f>IF('SAÍDAS-BASE'!B852="","",'SAÍDAS-BASE'!B852)</f>
        <v/>
      </c>
      <c r="D854" t="str">
        <f>IF('SAÍDAS-BASE'!C852="","",'SAÍDAS-BASE'!C852)</f>
        <v/>
      </c>
      <c r="E854" s="7" t="str">
        <f>IF('SAÍDAS-BASE'!D852="","",'SAÍDAS-BASE'!D852)</f>
        <v/>
      </c>
      <c r="F854" s="6" t="str">
        <f>IF('SAÍDAS-BASE'!E852="","",'SAÍDAS-BASE'!E852)</f>
        <v/>
      </c>
      <c r="G854" t="str">
        <f>IF('SAÍDAS-BASE'!F852="","",'SAÍDAS-BASE'!F852)</f>
        <v/>
      </c>
      <c r="H854" t="str">
        <f>IF('SAÍDAS-BASE'!G852="","",'SAÍDAS-BASE'!G852)</f>
        <v/>
      </c>
      <c r="I854" t="str">
        <f>IF('SAÍDAS-BASE'!H852="","",'SAÍDAS-BASE'!H852)</f>
        <v/>
      </c>
      <c r="J854" t="str">
        <f>IF('SAÍDAS-BASE'!I852="","",'SAÍDAS-BASE'!I852)</f>
        <v/>
      </c>
      <c r="K854" s="5" t="str">
        <f>IF('SAÍDAS-BASE'!J852="","",'SAÍDAS-BASE'!J852)</f>
        <v/>
      </c>
      <c r="L854" t="str">
        <f>IF(TABELA_SAIDAS[[#This Row],[UF]]="","",IFERROR(IF(VLOOKUP(TABELA_SAIDAS[[#This Row],[VALOR]],TABELA_ENTRADAS[VALOR],1,FALSE),"DEVOLUÇÃO"),"SEM ENTRADAS"))</f>
        <v/>
      </c>
    </row>
    <row r="855" spans="2:12" x14ac:dyDescent="0.3">
      <c r="B855" t="str">
        <f>IF('SAÍDAS-BASE'!A853="","",'SAÍDAS-BASE'!A853)</f>
        <v/>
      </c>
      <c r="C855" t="str">
        <f>IF('SAÍDAS-BASE'!B853="","",'SAÍDAS-BASE'!B853)</f>
        <v/>
      </c>
      <c r="D855" t="str">
        <f>IF('SAÍDAS-BASE'!C853="","",'SAÍDAS-BASE'!C853)</f>
        <v/>
      </c>
      <c r="E855" s="7" t="str">
        <f>IF('SAÍDAS-BASE'!D853="","",'SAÍDAS-BASE'!D853)</f>
        <v/>
      </c>
      <c r="F855" s="6" t="str">
        <f>IF('SAÍDAS-BASE'!E853="","",'SAÍDAS-BASE'!E853)</f>
        <v/>
      </c>
      <c r="G855" t="str">
        <f>IF('SAÍDAS-BASE'!F853="","",'SAÍDAS-BASE'!F853)</f>
        <v/>
      </c>
      <c r="H855" t="str">
        <f>IF('SAÍDAS-BASE'!G853="","",'SAÍDAS-BASE'!G853)</f>
        <v/>
      </c>
      <c r="I855" t="str">
        <f>IF('SAÍDAS-BASE'!H853="","",'SAÍDAS-BASE'!H853)</f>
        <v/>
      </c>
      <c r="J855" t="str">
        <f>IF('SAÍDAS-BASE'!I853="","",'SAÍDAS-BASE'!I853)</f>
        <v/>
      </c>
      <c r="K855" s="5" t="str">
        <f>IF('SAÍDAS-BASE'!J853="","",'SAÍDAS-BASE'!J853)</f>
        <v/>
      </c>
      <c r="L855" t="str">
        <f>IF(TABELA_SAIDAS[[#This Row],[UF]]="","",IFERROR(IF(VLOOKUP(TABELA_SAIDAS[[#This Row],[VALOR]],TABELA_ENTRADAS[VALOR],1,FALSE),"DEVOLUÇÃO"),"SEM ENTRADAS"))</f>
        <v/>
      </c>
    </row>
    <row r="856" spans="2:12" x14ac:dyDescent="0.3">
      <c r="B856" t="str">
        <f>IF('SAÍDAS-BASE'!A854="","",'SAÍDAS-BASE'!A854)</f>
        <v/>
      </c>
      <c r="C856" t="str">
        <f>IF('SAÍDAS-BASE'!B854="","",'SAÍDAS-BASE'!B854)</f>
        <v/>
      </c>
      <c r="D856" t="str">
        <f>IF('SAÍDAS-BASE'!C854="","",'SAÍDAS-BASE'!C854)</f>
        <v/>
      </c>
      <c r="E856" s="7" t="str">
        <f>IF('SAÍDAS-BASE'!D854="","",'SAÍDAS-BASE'!D854)</f>
        <v/>
      </c>
      <c r="F856" s="6" t="str">
        <f>IF('SAÍDAS-BASE'!E854="","",'SAÍDAS-BASE'!E854)</f>
        <v/>
      </c>
      <c r="G856" t="str">
        <f>IF('SAÍDAS-BASE'!F854="","",'SAÍDAS-BASE'!F854)</f>
        <v/>
      </c>
      <c r="H856" t="str">
        <f>IF('SAÍDAS-BASE'!G854="","",'SAÍDAS-BASE'!G854)</f>
        <v/>
      </c>
      <c r="I856" t="str">
        <f>IF('SAÍDAS-BASE'!H854="","",'SAÍDAS-BASE'!H854)</f>
        <v/>
      </c>
      <c r="J856" t="str">
        <f>IF('SAÍDAS-BASE'!I854="","",'SAÍDAS-BASE'!I854)</f>
        <v/>
      </c>
      <c r="K856" s="5" t="str">
        <f>IF('SAÍDAS-BASE'!J854="","",'SAÍDAS-BASE'!J854)</f>
        <v/>
      </c>
      <c r="L856" t="str">
        <f>IF(TABELA_SAIDAS[[#This Row],[UF]]="","",IFERROR(IF(VLOOKUP(TABELA_SAIDAS[[#This Row],[VALOR]],TABELA_ENTRADAS[VALOR],1,FALSE),"DEVOLUÇÃO"),"SEM ENTRADAS"))</f>
        <v/>
      </c>
    </row>
    <row r="857" spans="2:12" x14ac:dyDescent="0.3">
      <c r="B857" t="str">
        <f>IF('SAÍDAS-BASE'!A855="","",'SAÍDAS-BASE'!A855)</f>
        <v/>
      </c>
      <c r="C857" t="str">
        <f>IF('SAÍDAS-BASE'!B855="","",'SAÍDAS-BASE'!B855)</f>
        <v/>
      </c>
      <c r="D857" t="str">
        <f>IF('SAÍDAS-BASE'!C855="","",'SAÍDAS-BASE'!C855)</f>
        <v/>
      </c>
      <c r="E857" s="7" t="str">
        <f>IF('SAÍDAS-BASE'!D855="","",'SAÍDAS-BASE'!D855)</f>
        <v/>
      </c>
      <c r="F857" s="6" t="str">
        <f>IF('SAÍDAS-BASE'!E855="","",'SAÍDAS-BASE'!E855)</f>
        <v/>
      </c>
      <c r="G857" t="str">
        <f>IF('SAÍDAS-BASE'!F855="","",'SAÍDAS-BASE'!F855)</f>
        <v/>
      </c>
      <c r="H857" t="str">
        <f>IF('SAÍDAS-BASE'!G855="","",'SAÍDAS-BASE'!G855)</f>
        <v/>
      </c>
      <c r="I857" t="str">
        <f>IF('SAÍDAS-BASE'!H855="","",'SAÍDAS-BASE'!H855)</f>
        <v/>
      </c>
      <c r="J857" t="str">
        <f>IF('SAÍDAS-BASE'!I855="","",'SAÍDAS-BASE'!I855)</f>
        <v/>
      </c>
      <c r="K857" s="5" t="str">
        <f>IF('SAÍDAS-BASE'!J855="","",'SAÍDAS-BASE'!J855)</f>
        <v/>
      </c>
      <c r="L857" t="str">
        <f>IF(TABELA_SAIDAS[[#This Row],[UF]]="","",IFERROR(IF(VLOOKUP(TABELA_SAIDAS[[#This Row],[VALOR]],TABELA_ENTRADAS[VALOR],1,FALSE),"DEVOLUÇÃO"),"SEM ENTRADAS"))</f>
        <v/>
      </c>
    </row>
    <row r="858" spans="2:12" x14ac:dyDescent="0.3">
      <c r="B858" t="str">
        <f>IF('SAÍDAS-BASE'!A856="","",'SAÍDAS-BASE'!A856)</f>
        <v/>
      </c>
      <c r="C858" t="str">
        <f>IF('SAÍDAS-BASE'!B856="","",'SAÍDAS-BASE'!B856)</f>
        <v/>
      </c>
      <c r="D858" t="str">
        <f>IF('SAÍDAS-BASE'!C856="","",'SAÍDAS-BASE'!C856)</f>
        <v/>
      </c>
      <c r="E858" s="7" t="str">
        <f>IF('SAÍDAS-BASE'!D856="","",'SAÍDAS-BASE'!D856)</f>
        <v/>
      </c>
      <c r="F858" s="6" t="str">
        <f>IF('SAÍDAS-BASE'!E856="","",'SAÍDAS-BASE'!E856)</f>
        <v/>
      </c>
      <c r="G858" t="str">
        <f>IF('SAÍDAS-BASE'!F856="","",'SAÍDAS-BASE'!F856)</f>
        <v/>
      </c>
      <c r="H858" t="str">
        <f>IF('SAÍDAS-BASE'!G856="","",'SAÍDAS-BASE'!G856)</f>
        <v/>
      </c>
      <c r="I858" t="str">
        <f>IF('SAÍDAS-BASE'!H856="","",'SAÍDAS-BASE'!H856)</f>
        <v/>
      </c>
      <c r="J858" t="str">
        <f>IF('SAÍDAS-BASE'!I856="","",'SAÍDAS-BASE'!I856)</f>
        <v/>
      </c>
      <c r="K858" s="5" t="str">
        <f>IF('SAÍDAS-BASE'!J856="","",'SAÍDAS-BASE'!J856)</f>
        <v/>
      </c>
      <c r="L858" t="str">
        <f>IF(TABELA_SAIDAS[[#This Row],[UF]]="","",IFERROR(IF(VLOOKUP(TABELA_SAIDAS[[#This Row],[VALOR]],TABELA_ENTRADAS[VALOR],1,FALSE),"DEVOLUÇÃO"),"SEM ENTRADAS"))</f>
        <v/>
      </c>
    </row>
    <row r="859" spans="2:12" x14ac:dyDescent="0.3">
      <c r="B859" t="str">
        <f>IF('SAÍDAS-BASE'!A857="","",'SAÍDAS-BASE'!A857)</f>
        <v/>
      </c>
      <c r="C859" t="str">
        <f>IF('SAÍDAS-BASE'!B857="","",'SAÍDAS-BASE'!B857)</f>
        <v/>
      </c>
      <c r="D859" t="str">
        <f>IF('SAÍDAS-BASE'!C857="","",'SAÍDAS-BASE'!C857)</f>
        <v/>
      </c>
      <c r="E859" s="7" t="str">
        <f>IF('SAÍDAS-BASE'!D857="","",'SAÍDAS-BASE'!D857)</f>
        <v/>
      </c>
      <c r="F859" s="6" t="str">
        <f>IF('SAÍDAS-BASE'!E857="","",'SAÍDAS-BASE'!E857)</f>
        <v/>
      </c>
      <c r="G859" t="str">
        <f>IF('SAÍDAS-BASE'!F857="","",'SAÍDAS-BASE'!F857)</f>
        <v/>
      </c>
      <c r="H859" t="str">
        <f>IF('SAÍDAS-BASE'!G857="","",'SAÍDAS-BASE'!G857)</f>
        <v/>
      </c>
      <c r="I859" t="str">
        <f>IF('SAÍDAS-BASE'!H857="","",'SAÍDAS-BASE'!H857)</f>
        <v/>
      </c>
      <c r="J859" t="str">
        <f>IF('SAÍDAS-BASE'!I857="","",'SAÍDAS-BASE'!I857)</f>
        <v/>
      </c>
      <c r="K859" s="5" t="str">
        <f>IF('SAÍDAS-BASE'!J857="","",'SAÍDAS-BASE'!J857)</f>
        <v/>
      </c>
      <c r="L859" t="str">
        <f>IF(TABELA_SAIDAS[[#This Row],[UF]]="","",IFERROR(IF(VLOOKUP(TABELA_SAIDAS[[#This Row],[VALOR]],TABELA_ENTRADAS[VALOR],1,FALSE),"DEVOLUÇÃO"),"SEM ENTRADAS"))</f>
        <v/>
      </c>
    </row>
    <row r="860" spans="2:12" x14ac:dyDescent="0.3">
      <c r="B860" t="str">
        <f>IF('SAÍDAS-BASE'!A858="","",'SAÍDAS-BASE'!A858)</f>
        <v/>
      </c>
      <c r="C860" t="str">
        <f>IF('SAÍDAS-BASE'!B858="","",'SAÍDAS-BASE'!B858)</f>
        <v/>
      </c>
      <c r="D860" t="str">
        <f>IF('SAÍDAS-BASE'!C858="","",'SAÍDAS-BASE'!C858)</f>
        <v/>
      </c>
      <c r="E860" s="7" t="str">
        <f>IF('SAÍDAS-BASE'!D858="","",'SAÍDAS-BASE'!D858)</f>
        <v/>
      </c>
      <c r="F860" s="6" t="str">
        <f>IF('SAÍDAS-BASE'!E858="","",'SAÍDAS-BASE'!E858)</f>
        <v/>
      </c>
      <c r="G860" t="str">
        <f>IF('SAÍDAS-BASE'!F858="","",'SAÍDAS-BASE'!F858)</f>
        <v/>
      </c>
      <c r="H860" t="str">
        <f>IF('SAÍDAS-BASE'!G858="","",'SAÍDAS-BASE'!G858)</f>
        <v/>
      </c>
      <c r="I860" t="str">
        <f>IF('SAÍDAS-BASE'!H858="","",'SAÍDAS-BASE'!H858)</f>
        <v/>
      </c>
      <c r="J860" t="str">
        <f>IF('SAÍDAS-BASE'!I858="","",'SAÍDAS-BASE'!I858)</f>
        <v/>
      </c>
      <c r="K860" s="5" t="str">
        <f>IF('SAÍDAS-BASE'!J858="","",'SAÍDAS-BASE'!J858)</f>
        <v/>
      </c>
      <c r="L860" t="str">
        <f>IF(TABELA_SAIDAS[[#This Row],[UF]]="","",IFERROR(IF(VLOOKUP(TABELA_SAIDAS[[#This Row],[VALOR]],TABELA_ENTRADAS[VALOR],1,FALSE),"DEVOLUÇÃO"),"SEM ENTRADAS"))</f>
        <v/>
      </c>
    </row>
    <row r="861" spans="2:12" x14ac:dyDescent="0.3">
      <c r="B861" t="str">
        <f>IF('SAÍDAS-BASE'!A859="","",'SAÍDAS-BASE'!A859)</f>
        <v/>
      </c>
      <c r="C861" t="str">
        <f>IF('SAÍDAS-BASE'!B859="","",'SAÍDAS-BASE'!B859)</f>
        <v/>
      </c>
      <c r="D861" t="str">
        <f>IF('SAÍDAS-BASE'!C859="","",'SAÍDAS-BASE'!C859)</f>
        <v/>
      </c>
      <c r="E861" s="7" t="str">
        <f>IF('SAÍDAS-BASE'!D859="","",'SAÍDAS-BASE'!D859)</f>
        <v/>
      </c>
      <c r="F861" s="6" t="str">
        <f>IF('SAÍDAS-BASE'!E859="","",'SAÍDAS-BASE'!E859)</f>
        <v/>
      </c>
      <c r="G861" t="str">
        <f>IF('SAÍDAS-BASE'!F859="","",'SAÍDAS-BASE'!F859)</f>
        <v/>
      </c>
      <c r="H861" t="str">
        <f>IF('SAÍDAS-BASE'!G859="","",'SAÍDAS-BASE'!G859)</f>
        <v/>
      </c>
      <c r="I861" t="str">
        <f>IF('SAÍDAS-BASE'!H859="","",'SAÍDAS-BASE'!H859)</f>
        <v/>
      </c>
      <c r="J861" t="str">
        <f>IF('SAÍDAS-BASE'!I859="","",'SAÍDAS-BASE'!I859)</f>
        <v/>
      </c>
      <c r="K861" s="5" t="str">
        <f>IF('SAÍDAS-BASE'!J859="","",'SAÍDAS-BASE'!J859)</f>
        <v/>
      </c>
      <c r="L861" t="str">
        <f>IF(TABELA_SAIDAS[[#This Row],[UF]]="","",IFERROR(IF(VLOOKUP(TABELA_SAIDAS[[#This Row],[VALOR]],TABELA_ENTRADAS[VALOR],1,FALSE),"DEVOLUÇÃO"),"SEM ENTRADAS"))</f>
        <v/>
      </c>
    </row>
    <row r="862" spans="2:12" x14ac:dyDescent="0.3">
      <c r="B862" t="str">
        <f>IF('SAÍDAS-BASE'!A860="","",'SAÍDAS-BASE'!A860)</f>
        <v/>
      </c>
      <c r="C862" t="str">
        <f>IF('SAÍDAS-BASE'!B860="","",'SAÍDAS-BASE'!B860)</f>
        <v/>
      </c>
      <c r="D862" t="str">
        <f>IF('SAÍDAS-BASE'!C860="","",'SAÍDAS-BASE'!C860)</f>
        <v/>
      </c>
      <c r="E862" s="7" t="str">
        <f>IF('SAÍDAS-BASE'!D860="","",'SAÍDAS-BASE'!D860)</f>
        <v/>
      </c>
      <c r="F862" s="6" t="str">
        <f>IF('SAÍDAS-BASE'!E860="","",'SAÍDAS-BASE'!E860)</f>
        <v/>
      </c>
      <c r="G862" t="str">
        <f>IF('SAÍDAS-BASE'!F860="","",'SAÍDAS-BASE'!F860)</f>
        <v/>
      </c>
      <c r="H862" t="str">
        <f>IF('SAÍDAS-BASE'!G860="","",'SAÍDAS-BASE'!G860)</f>
        <v/>
      </c>
      <c r="I862" t="str">
        <f>IF('SAÍDAS-BASE'!H860="","",'SAÍDAS-BASE'!H860)</f>
        <v/>
      </c>
      <c r="J862" t="str">
        <f>IF('SAÍDAS-BASE'!I860="","",'SAÍDAS-BASE'!I860)</f>
        <v/>
      </c>
      <c r="K862" s="5" t="str">
        <f>IF('SAÍDAS-BASE'!J860="","",'SAÍDAS-BASE'!J860)</f>
        <v/>
      </c>
      <c r="L862" t="str">
        <f>IF(TABELA_SAIDAS[[#This Row],[UF]]="","",IFERROR(IF(VLOOKUP(TABELA_SAIDAS[[#This Row],[VALOR]],TABELA_ENTRADAS[VALOR],1,FALSE),"DEVOLUÇÃO"),"SEM ENTRADAS"))</f>
        <v/>
      </c>
    </row>
    <row r="863" spans="2:12" x14ac:dyDescent="0.3">
      <c r="B863" t="str">
        <f>IF('SAÍDAS-BASE'!A861="","",'SAÍDAS-BASE'!A861)</f>
        <v/>
      </c>
      <c r="C863" t="str">
        <f>IF('SAÍDAS-BASE'!B861="","",'SAÍDAS-BASE'!B861)</f>
        <v/>
      </c>
      <c r="D863" t="str">
        <f>IF('SAÍDAS-BASE'!C861="","",'SAÍDAS-BASE'!C861)</f>
        <v/>
      </c>
      <c r="E863" s="7" t="str">
        <f>IF('SAÍDAS-BASE'!D861="","",'SAÍDAS-BASE'!D861)</f>
        <v/>
      </c>
      <c r="F863" s="6" t="str">
        <f>IF('SAÍDAS-BASE'!E861="","",'SAÍDAS-BASE'!E861)</f>
        <v/>
      </c>
      <c r="G863" t="str">
        <f>IF('SAÍDAS-BASE'!F861="","",'SAÍDAS-BASE'!F861)</f>
        <v/>
      </c>
      <c r="H863" t="str">
        <f>IF('SAÍDAS-BASE'!G861="","",'SAÍDAS-BASE'!G861)</f>
        <v/>
      </c>
      <c r="I863" t="str">
        <f>IF('SAÍDAS-BASE'!H861="","",'SAÍDAS-BASE'!H861)</f>
        <v/>
      </c>
      <c r="J863" t="str">
        <f>IF('SAÍDAS-BASE'!I861="","",'SAÍDAS-BASE'!I861)</f>
        <v/>
      </c>
      <c r="K863" s="5" t="str">
        <f>IF('SAÍDAS-BASE'!J861="","",'SAÍDAS-BASE'!J861)</f>
        <v/>
      </c>
      <c r="L863" t="str">
        <f>IF(TABELA_SAIDAS[[#This Row],[UF]]="","",IFERROR(IF(VLOOKUP(TABELA_SAIDAS[[#This Row],[VALOR]],TABELA_ENTRADAS[VALOR],1,FALSE),"DEVOLUÇÃO"),"SEM ENTRADAS"))</f>
        <v/>
      </c>
    </row>
    <row r="864" spans="2:12" x14ac:dyDescent="0.3">
      <c r="B864" t="str">
        <f>IF('SAÍDAS-BASE'!A862="","",'SAÍDAS-BASE'!A862)</f>
        <v/>
      </c>
      <c r="C864" t="str">
        <f>IF('SAÍDAS-BASE'!B862="","",'SAÍDAS-BASE'!B862)</f>
        <v/>
      </c>
      <c r="D864" t="str">
        <f>IF('SAÍDAS-BASE'!C862="","",'SAÍDAS-BASE'!C862)</f>
        <v/>
      </c>
      <c r="E864" s="7" t="str">
        <f>IF('SAÍDAS-BASE'!D862="","",'SAÍDAS-BASE'!D862)</f>
        <v/>
      </c>
      <c r="F864" s="6" t="str">
        <f>IF('SAÍDAS-BASE'!E862="","",'SAÍDAS-BASE'!E862)</f>
        <v/>
      </c>
      <c r="G864" t="str">
        <f>IF('SAÍDAS-BASE'!F862="","",'SAÍDAS-BASE'!F862)</f>
        <v/>
      </c>
      <c r="H864" t="str">
        <f>IF('SAÍDAS-BASE'!G862="","",'SAÍDAS-BASE'!G862)</f>
        <v/>
      </c>
      <c r="I864" t="str">
        <f>IF('SAÍDAS-BASE'!H862="","",'SAÍDAS-BASE'!H862)</f>
        <v/>
      </c>
      <c r="J864" t="str">
        <f>IF('SAÍDAS-BASE'!I862="","",'SAÍDAS-BASE'!I862)</f>
        <v/>
      </c>
      <c r="K864" s="5" t="str">
        <f>IF('SAÍDAS-BASE'!J862="","",'SAÍDAS-BASE'!J862)</f>
        <v/>
      </c>
      <c r="L864" t="str">
        <f>IF(TABELA_SAIDAS[[#This Row],[UF]]="","",IFERROR(IF(VLOOKUP(TABELA_SAIDAS[[#This Row],[VALOR]],TABELA_ENTRADAS[VALOR],1,FALSE),"DEVOLUÇÃO"),"SEM ENTRADAS"))</f>
        <v/>
      </c>
    </row>
    <row r="865" spans="2:12" x14ac:dyDescent="0.3">
      <c r="B865" t="str">
        <f>IF('SAÍDAS-BASE'!A863="","",'SAÍDAS-BASE'!A863)</f>
        <v/>
      </c>
      <c r="C865" t="str">
        <f>IF('SAÍDAS-BASE'!B863="","",'SAÍDAS-BASE'!B863)</f>
        <v/>
      </c>
      <c r="D865" t="str">
        <f>IF('SAÍDAS-BASE'!C863="","",'SAÍDAS-BASE'!C863)</f>
        <v/>
      </c>
      <c r="E865" s="7" t="str">
        <f>IF('SAÍDAS-BASE'!D863="","",'SAÍDAS-BASE'!D863)</f>
        <v/>
      </c>
      <c r="F865" s="6" t="str">
        <f>IF('SAÍDAS-BASE'!E863="","",'SAÍDAS-BASE'!E863)</f>
        <v/>
      </c>
      <c r="G865" t="str">
        <f>IF('SAÍDAS-BASE'!F863="","",'SAÍDAS-BASE'!F863)</f>
        <v/>
      </c>
      <c r="H865" t="str">
        <f>IF('SAÍDAS-BASE'!G863="","",'SAÍDAS-BASE'!G863)</f>
        <v/>
      </c>
      <c r="I865" t="str">
        <f>IF('SAÍDAS-BASE'!H863="","",'SAÍDAS-BASE'!H863)</f>
        <v/>
      </c>
      <c r="J865" t="str">
        <f>IF('SAÍDAS-BASE'!I863="","",'SAÍDAS-BASE'!I863)</f>
        <v/>
      </c>
      <c r="K865" s="5" t="str">
        <f>IF('SAÍDAS-BASE'!J863="","",'SAÍDAS-BASE'!J863)</f>
        <v/>
      </c>
      <c r="L865" t="str">
        <f>IF(TABELA_SAIDAS[[#This Row],[UF]]="","",IFERROR(IF(VLOOKUP(TABELA_SAIDAS[[#This Row],[VALOR]],TABELA_ENTRADAS[VALOR],1,FALSE),"DEVOLUÇÃO"),"SEM ENTRADAS"))</f>
        <v/>
      </c>
    </row>
    <row r="866" spans="2:12" x14ac:dyDescent="0.3">
      <c r="B866" t="str">
        <f>IF('SAÍDAS-BASE'!A864="","",'SAÍDAS-BASE'!A864)</f>
        <v/>
      </c>
      <c r="C866" t="str">
        <f>IF('SAÍDAS-BASE'!B864="","",'SAÍDAS-BASE'!B864)</f>
        <v/>
      </c>
      <c r="D866" t="str">
        <f>IF('SAÍDAS-BASE'!C864="","",'SAÍDAS-BASE'!C864)</f>
        <v/>
      </c>
      <c r="E866" s="7" t="str">
        <f>IF('SAÍDAS-BASE'!D864="","",'SAÍDAS-BASE'!D864)</f>
        <v/>
      </c>
      <c r="F866" s="6" t="str">
        <f>IF('SAÍDAS-BASE'!E864="","",'SAÍDAS-BASE'!E864)</f>
        <v/>
      </c>
      <c r="G866" t="str">
        <f>IF('SAÍDAS-BASE'!F864="","",'SAÍDAS-BASE'!F864)</f>
        <v/>
      </c>
      <c r="H866" t="str">
        <f>IF('SAÍDAS-BASE'!G864="","",'SAÍDAS-BASE'!G864)</f>
        <v/>
      </c>
      <c r="I866" t="str">
        <f>IF('SAÍDAS-BASE'!H864="","",'SAÍDAS-BASE'!H864)</f>
        <v/>
      </c>
      <c r="J866" t="str">
        <f>IF('SAÍDAS-BASE'!I864="","",'SAÍDAS-BASE'!I864)</f>
        <v/>
      </c>
      <c r="K866" s="5" t="str">
        <f>IF('SAÍDAS-BASE'!J864="","",'SAÍDAS-BASE'!J864)</f>
        <v/>
      </c>
      <c r="L866" t="str">
        <f>IF(TABELA_SAIDAS[[#This Row],[UF]]="","",IFERROR(IF(VLOOKUP(TABELA_SAIDAS[[#This Row],[VALOR]],TABELA_ENTRADAS[VALOR],1,FALSE),"DEVOLUÇÃO"),"SEM ENTRADAS"))</f>
        <v/>
      </c>
    </row>
    <row r="867" spans="2:12" x14ac:dyDescent="0.3">
      <c r="B867" t="str">
        <f>IF('SAÍDAS-BASE'!A865="","",'SAÍDAS-BASE'!A865)</f>
        <v/>
      </c>
      <c r="C867" t="str">
        <f>IF('SAÍDAS-BASE'!B865="","",'SAÍDAS-BASE'!B865)</f>
        <v/>
      </c>
      <c r="D867" t="str">
        <f>IF('SAÍDAS-BASE'!C865="","",'SAÍDAS-BASE'!C865)</f>
        <v/>
      </c>
      <c r="E867" s="7" t="str">
        <f>IF('SAÍDAS-BASE'!D865="","",'SAÍDAS-BASE'!D865)</f>
        <v/>
      </c>
      <c r="F867" s="6" t="str">
        <f>IF('SAÍDAS-BASE'!E865="","",'SAÍDAS-BASE'!E865)</f>
        <v/>
      </c>
      <c r="G867" t="str">
        <f>IF('SAÍDAS-BASE'!F865="","",'SAÍDAS-BASE'!F865)</f>
        <v/>
      </c>
      <c r="H867" t="str">
        <f>IF('SAÍDAS-BASE'!G865="","",'SAÍDAS-BASE'!G865)</f>
        <v/>
      </c>
      <c r="I867" t="str">
        <f>IF('SAÍDAS-BASE'!H865="","",'SAÍDAS-BASE'!H865)</f>
        <v/>
      </c>
      <c r="J867" t="str">
        <f>IF('SAÍDAS-BASE'!I865="","",'SAÍDAS-BASE'!I865)</f>
        <v/>
      </c>
      <c r="K867" s="5" t="str">
        <f>IF('SAÍDAS-BASE'!J865="","",'SAÍDAS-BASE'!J865)</f>
        <v/>
      </c>
      <c r="L867" t="str">
        <f>IF(TABELA_SAIDAS[[#This Row],[UF]]="","",IFERROR(IF(VLOOKUP(TABELA_SAIDAS[[#This Row],[VALOR]],TABELA_ENTRADAS[VALOR],1,FALSE),"DEVOLUÇÃO"),"SEM ENTRADAS"))</f>
        <v/>
      </c>
    </row>
    <row r="868" spans="2:12" x14ac:dyDescent="0.3">
      <c r="B868" t="str">
        <f>IF('SAÍDAS-BASE'!A866="","",'SAÍDAS-BASE'!A866)</f>
        <v/>
      </c>
      <c r="C868" t="str">
        <f>IF('SAÍDAS-BASE'!B866="","",'SAÍDAS-BASE'!B866)</f>
        <v/>
      </c>
      <c r="D868" t="str">
        <f>IF('SAÍDAS-BASE'!C866="","",'SAÍDAS-BASE'!C866)</f>
        <v/>
      </c>
      <c r="E868" s="7" t="str">
        <f>IF('SAÍDAS-BASE'!D866="","",'SAÍDAS-BASE'!D866)</f>
        <v/>
      </c>
      <c r="F868" s="6" t="str">
        <f>IF('SAÍDAS-BASE'!E866="","",'SAÍDAS-BASE'!E866)</f>
        <v/>
      </c>
      <c r="G868" t="str">
        <f>IF('SAÍDAS-BASE'!F866="","",'SAÍDAS-BASE'!F866)</f>
        <v/>
      </c>
      <c r="H868" t="str">
        <f>IF('SAÍDAS-BASE'!G866="","",'SAÍDAS-BASE'!G866)</f>
        <v/>
      </c>
      <c r="I868" t="str">
        <f>IF('SAÍDAS-BASE'!H866="","",'SAÍDAS-BASE'!H866)</f>
        <v/>
      </c>
      <c r="J868" t="str">
        <f>IF('SAÍDAS-BASE'!I866="","",'SAÍDAS-BASE'!I866)</f>
        <v/>
      </c>
      <c r="K868" s="5" t="str">
        <f>IF('SAÍDAS-BASE'!J866="","",'SAÍDAS-BASE'!J866)</f>
        <v/>
      </c>
      <c r="L868" t="str">
        <f>IF(TABELA_SAIDAS[[#This Row],[UF]]="","",IFERROR(IF(VLOOKUP(TABELA_SAIDAS[[#This Row],[VALOR]],TABELA_ENTRADAS[VALOR],1,FALSE),"DEVOLUÇÃO"),"SEM ENTRADAS"))</f>
        <v/>
      </c>
    </row>
    <row r="869" spans="2:12" x14ac:dyDescent="0.3">
      <c r="B869" t="str">
        <f>IF('SAÍDAS-BASE'!A867="","",'SAÍDAS-BASE'!A867)</f>
        <v/>
      </c>
      <c r="C869" t="str">
        <f>IF('SAÍDAS-BASE'!B867="","",'SAÍDAS-BASE'!B867)</f>
        <v/>
      </c>
      <c r="D869" t="str">
        <f>IF('SAÍDAS-BASE'!C867="","",'SAÍDAS-BASE'!C867)</f>
        <v/>
      </c>
      <c r="E869" s="7" t="str">
        <f>IF('SAÍDAS-BASE'!D867="","",'SAÍDAS-BASE'!D867)</f>
        <v/>
      </c>
      <c r="F869" s="6" t="str">
        <f>IF('SAÍDAS-BASE'!E867="","",'SAÍDAS-BASE'!E867)</f>
        <v/>
      </c>
      <c r="G869" t="str">
        <f>IF('SAÍDAS-BASE'!F867="","",'SAÍDAS-BASE'!F867)</f>
        <v/>
      </c>
      <c r="H869" t="str">
        <f>IF('SAÍDAS-BASE'!G867="","",'SAÍDAS-BASE'!G867)</f>
        <v/>
      </c>
      <c r="I869" t="str">
        <f>IF('SAÍDAS-BASE'!H867="","",'SAÍDAS-BASE'!H867)</f>
        <v/>
      </c>
      <c r="J869" t="str">
        <f>IF('SAÍDAS-BASE'!I867="","",'SAÍDAS-BASE'!I867)</f>
        <v/>
      </c>
      <c r="K869" s="5" t="str">
        <f>IF('SAÍDAS-BASE'!J867="","",'SAÍDAS-BASE'!J867)</f>
        <v/>
      </c>
      <c r="L869" t="str">
        <f>IF(TABELA_SAIDAS[[#This Row],[UF]]="","",IFERROR(IF(VLOOKUP(TABELA_SAIDAS[[#This Row],[VALOR]],TABELA_ENTRADAS[VALOR],1,FALSE),"DEVOLUÇÃO"),"SEM ENTRADAS"))</f>
        <v/>
      </c>
    </row>
    <row r="870" spans="2:12" x14ac:dyDescent="0.3">
      <c r="B870" t="str">
        <f>IF('SAÍDAS-BASE'!A868="","",'SAÍDAS-BASE'!A868)</f>
        <v/>
      </c>
      <c r="C870" t="str">
        <f>IF('SAÍDAS-BASE'!B868="","",'SAÍDAS-BASE'!B868)</f>
        <v/>
      </c>
      <c r="D870" t="str">
        <f>IF('SAÍDAS-BASE'!C868="","",'SAÍDAS-BASE'!C868)</f>
        <v/>
      </c>
      <c r="E870" s="7" t="str">
        <f>IF('SAÍDAS-BASE'!D868="","",'SAÍDAS-BASE'!D868)</f>
        <v/>
      </c>
      <c r="F870" s="6" t="str">
        <f>IF('SAÍDAS-BASE'!E868="","",'SAÍDAS-BASE'!E868)</f>
        <v/>
      </c>
      <c r="G870" t="str">
        <f>IF('SAÍDAS-BASE'!F868="","",'SAÍDAS-BASE'!F868)</f>
        <v/>
      </c>
      <c r="H870" t="str">
        <f>IF('SAÍDAS-BASE'!G868="","",'SAÍDAS-BASE'!G868)</f>
        <v/>
      </c>
      <c r="I870" t="str">
        <f>IF('SAÍDAS-BASE'!H868="","",'SAÍDAS-BASE'!H868)</f>
        <v/>
      </c>
      <c r="J870" t="str">
        <f>IF('SAÍDAS-BASE'!I868="","",'SAÍDAS-BASE'!I868)</f>
        <v/>
      </c>
      <c r="K870" s="5" t="str">
        <f>IF('SAÍDAS-BASE'!J868="","",'SAÍDAS-BASE'!J868)</f>
        <v/>
      </c>
      <c r="L870" t="str">
        <f>IF(TABELA_SAIDAS[[#This Row],[UF]]="","",IFERROR(IF(VLOOKUP(TABELA_SAIDAS[[#This Row],[VALOR]],TABELA_ENTRADAS[VALOR],1,FALSE),"DEVOLUÇÃO"),"SEM ENTRADAS"))</f>
        <v/>
      </c>
    </row>
    <row r="871" spans="2:12" x14ac:dyDescent="0.3">
      <c r="B871" t="str">
        <f>IF('SAÍDAS-BASE'!A869="","",'SAÍDAS-BASE'!A869)</f>
        <v/>
      </c>
      <c r="C871" t="str">
        <f>IF('SAÍDAS-BASE'!B869="","",'SAÍDAS-BASE'!B869)</f>
        <v/>
      </c>
      <c r="D871" t="str">
        <f>IF('SAÍDAS-BASE'!C869="","",'SAÍDAS-BASE'!C869)</f>
        <v/>
      </c>
      <c r="E871" s="7" t="str">
        <f>IF('SAÍDAS-BASE'!D869="","",'SAÍDAS-BASE'!D869)</f>
        <v/>
      </c>
      <c r="F871" s="6" t="str">
        <f>IF('SAÍDAS-BASE'!E869="","",'SAÍDAS-BASE'!E869)</f>
        <v/>
      </c>
      <c r="G871" t="str">
        <f>IF('SAÍDAS-BASE'!F869="","",'SAÍDAS-BASE'!F869)</f>
        <v/>
      </c>
      <c r="H871" t="str">
        <f>IF('SAÍDAS-BASE'!G869="","",'SAÍDAS-BASE'!G869)</f>
        <v/>
      </c>
      <c r="I871" t="str">
        <f>IF('SAÍDAS-BASE'!H869="","",'SAÍDAS-BASE'!H869)</f>
        <v/>
      </c>
      <c r="J871" t="str">
        <f>IF('SAÍDAS-BASE'!I869="","",'SAÍDAS-BASE'!I869)</f>
        <v/>
      </c>
      <c r="K871" s="5" t="str">
        <f>IF('SAÍDAS-BASE'!J869="","",'SAÍDAS-BASE'!J869)</f>
        <v/>
      </c>
      <c r="L871" t="str">
        <f>IF(TABELA_SAIDAS[[#This Row],[UF]]="","",IFERROR(IF(VLOOKUP(TABELA_SAIDAS[[#This Row],[VALOR]],TABELA_ENTRADAS[VALOR],1,FALSE),"DEVOLUÇÃO"),"SEM ENTRADAS"))</f>
        <v/>
      </c>
    </row>
    <row r="872" spans="2:12" x14ac:dyDescent="0.3">
      <c r="B872" t="str">
        <f>IF('SAÍDAS-BASE'!A870="","",'SAÍDAS-BASE'!A870)</f>
        <v/>
      </c>
      <c r="C872" t="str">
        <f>IF('SAÍDAS-BASE'!B870="","",'SAÍDAS-BASE'!B870)</f>
        <v/>
      </c>
      <c r="D872" t="str">
        <f>IF('SAÍDAS-BASE'!C870="","",'SAÍDAS-BASE'!C870)</f>
        <v/>
      </c>
      <c r="E872" s="7" t="str">
        <f>IF('SAÍDAS-BASE'!D870="","",'SAÍDAS-BASE'!D870)</f>
        <v/>
      </c>
      <c r="F872" s="6" t="str">
        <f>IF('SAÍDAS-BASE'!E870="","",'SAÍDAS-BASE'!E870)</f>
        <v/>
      </c>
      <c r="G872" t="str">
        <f>IF('SAÍDAS-BASE'!F870="","",'SAÍDAS-BASE'!F870)</f>
        <v/>
      </c>
      <c r="H872" t="str">
        <f>IF('SAÍDAS-BASE'!G870="","",'SAÍDAS-BASE'!G870)</f>
        <v/>
      </c>
      <c r="I872" t="str">
        <f>IF('SAÍDAS-BASE'!H870="","",'SAÍDAS-BASE'!H870)</f>
        <v/>
      </c>
      <c r="J872" t="str">
        <f>IF('SAÍDAS-BASE'!I870="","",'SAÍDAS-BASE'!I870)</f>
        <v/>
      </c>
      <c r="K872" s="5" t="str">
        <f>IF('SAÍDAS-BASE'!J870="","",'SAÍDAS-BASE'!J870)</f>
        <v/>
      </c>
      <c r="L872" t="str">
        <f>IF(TABELA_SAIDAS[[#This Row],[UF]]="","",IFERROR(IF(VLOOKUP(TABELA_SAIDAS[[#This Row],[VALOR]],TABELA_ENTRADAS[VALOR],1,FALSE),"DEVOLUÇÃO"),"SEM ENTRADAS"))</f>
        <v/>
      </c>
    </row>
    <row r="873" spans="2:12" x14ac:dyDescent="0.3">
      <c r="B873" t="str">
        <f>IF('SAÍDAS-BASE'!A871="","",'SAÍDAS-BASE'!A871)</f>
        <v/>
      </c>
      <c r="C873" t="str">
        <f>IF('SAÍDAS-BASE'!B871="","",'SAÍDAS-BASE'!B871)</f>
        <v/>
      </c>
      <c r="D873" t="str">
        <f>IF('SAÍDAS-BASE'!C871="","",'SAÍDAS-BASE'!C871)</f>
        <v/>
      </c>
      <c r="E873" s="7" t="str">
        <f>IF('SAÍDAS-BASE'!D871="","",'SAÍDAS-BASE'!D871)</f>
        <v/>
      </c>
      <c r="F873" s="6" t="str">
        <f>IF('SAÍDAS-BASE'!E871="","",'SAÍDAS-BASE'!E871)</f>
        <v/>
      </c>
      <c r="G873" t="str">
        <f>IF('SAÍDAS-BASE'!F871="","",'SAÍDAS-BASE'!F871)</f>
        <v/>
      </c>
      <c r="H873" t="str">
        <f>IF('SAÍDAS-BASE'!G871="","",'SAÍDAS-BASE'!G871)</f>
        <v/>
      </c>
      <c r="I873" t="str">
        <f>IF('SAÍDAS-BASE'!H871="","",'SAÍDAS-BASE'!H871)</f>
        <v/>
      </c>
      <c r="J873" t="str">
        <f>IF('SAÍDAS-BASE'!I871="","",'SAÍDAS-BASE'!I871)</f>
        <v/>
      </c>
      <c r="K873" s="5" t="str">
        <f>IF('SAÍDAS-BASE'!J871="","",'SAÍDAS-BASE'!J871)</f>
        <v/>
      </c>
      <c r="L873" t="str">
        <f>IF(TABELA_SAIDAS[[#This Row],[UF]]="","",IFERROR(IF(VLOOKUP(TABELA_SAIDAS[[#This Row],[VALOR]],TABELA_ENTRADAS[VALOR],1,FALSE),"DEVOLUÇÃO"),"SEM ENTRADAS"))</f>
        <v/>
      </c>
    </row>
    <row r="874" spans="2:12" x14ac:dyDescent="0.3">
      <c r="B874" t="str">
        <f>IF('SAÍDAS-BASE'!A872="","",'SAÍDAS-BASE'!A872)</f>
        <v/>
      </c>
      <c r="C874" t="str">
        <f>IF('SAÍDAS-BASE'!B872="","",'SAÍDAS-BASE'!B872)</f>
        <v/>
      </c>
      <c r="D874" t="str">
        <f>IF('SAÍDAS-BASE'!C872="","",'SAÍDAS-BASE'!C872)</f>
        <v/>
      </c>
      <c r="E874" s="7" t="str">
        <f>IF('SAÍDAS-BASE'!D872="","",'SAÍDAS-BASE'!D872)</f>
        <v/>
      </c>
      <c r="F874" s="6" t="str">
        <f>IF('SAÍDAS-BASE'!E872="","",'SAÍDAS-BASE'!E872)</f>
        <v/>
      </c>
      <c r="G874" t="str">
        <f>IF('SAÍDAS-BASE'!F872="","",'SAÍDAS-BASE'!F872)</f>
        <v/>
      </c>
      <c r="H874" t="str">
        <f>IF('SAÍDAS-BASE'!G872="","",'SAÍDAS-BASE'!G872)</f>
        <v/>
      </c>
      <c r="I874" t="str">
        <f>IF('SAÍDAS-BASE'!H872="","",'SAÍDAS-BASE'!H872)</f>
        <v/>
      </c>
      <c r="J874" t="str">
        <f>IF('SAÍDAS-BASE'!I872="","",'SAÍDAS-BASE'!I872)</f>
        <v/>
      </c>
      <c r="K874" s="5" t="str">
        <f>IF('SAÍDAS-BASE'!J872="","",'SAÍDAS-BASE'!J872)</f>
        <v/>
      </c>
      <c r="L874" t="str">
        <f>IF(TABELA_SAIDAS[[#This Row],[UF]]="","",IFERROR(IF(VLOOKUP(TABELA_SAIDAS[[#This Row],[VALOR]],TABELA_ENTRADAS[VALOR],1,FALSE),"DEVOLUÇÃO"),"SEM ENTRADAS"))</f>
        <v/>
      </c>
    </row>
    <row r="875" spans="2:12" x14ac:dyDescent="0.3">
      <c r="B875" t="str">
        <f>IF('SAÍDAS-BASE'!A873="","",'SAÍDAS-BASE'!A873)</f>
        <v/>
      </c>
      <c r="C875" t="str">
        <f>IF('SAÍDAS-BASE'!B873="","",'SAÍDAS-BASE'!B873)</f>
        <v/>
      </c>
      <c r="D875" t="str">
        <f>IF('SAÍDAS-BASE'!C873="","",'SAÍDAS-BASE'!C873)</f>
        <v/>
      </c>
      <c r="E875" s="7" t="str">
        <f>IF('SAÍDAS-BASE'!D873="","",'SAÍDAS-BASE'!D873)</f>
        <v/>
      </c>
      <c r="F875" s="6" t="str">
        <f>IF('SAÍDAS-BASE'!E873="","",'SAÍDAS-BASE'!E873)</f>
        <v/>
      </c>
      <c r="G875" t="str">
        <f>IF('SAÍDAS-BASE'!F873="","",'SAÍDAS-BASE'!F873)</f>
        <v/>
      </c>
      <c r="H875" t="str">
        <f>IF('SAÍDAS-BASE'!G873="","",'SAÍDAS-BASE'!G873)</f>
        <v/>
      </c>
      <c r="I875" t="str">
        <f>IF('SAÍDAS-BASE'!H873="","",'SAÍDAS-BASE'!H873)</f>
        <v/>
      </c>
      <c r="J875" t="str">
        <f>IF('SAÍDAS-BASE'!I873="","",'SAÍDAS-BASE'!I873)</f>
        <v/>
      </c>
      <c r="K875" s="5" t="str">
        <f>IF('SAÍDAS-BASE'!J873="","",'SAÍDAS-BASE'!J873)</f>
        <v/>
      </c>
      <c r="L875" t="str">
        <f>IF(TABELA_SAIDAS[[#This Row],[UF]]="","",IFERROR(IF(VLOOKUP(TABELA_SAIDAS[[#This Row],[VALOR]],TABELA_ENTRADAS[VALOR],1,FALSE),"DEVOLUÇÃO"),"SEM ENTRADAS"))</f>
        <v/>
      </c>
    </row>
    <row r="876" spans="2:12" x14ac:dyDescent="0.3">
      <c r="B876" t="str">
        <f>IF('SAÍDAS-BASE'!A874="","",'SAÍDAS-BASE'!A874)</f>
        <v/>
      </c>
      <c r="C876" t="str">
        <f>IF('SAÍDAS-BASE'!B874="","",'SAÍDAS-BASE'!B874)</f>
        <v/>
      </c>
      <c r="D876" t="str">
        <f>IF('SAÍDAS-BASE'!C874="","",'SAÍDAS-BASE'!C874)</f>
        <v/>
      </c>
      <c r="E876" s="7" t="str">
        <f>IF('SAÍDAS-BASE'!D874="","",'SAÍDAS-BASE'!D874)</f>
        <v/>
      </c>
      <c r="F876" s="6" t="str">
        <f>IF('SAÍDAS-BASE'!E874="","",'SAÍDAS-BASE'!E874)</f>
        <v/>
      </c>
      <c r="G876" t="str">
        <f>IF('SAÍDAS-BASE'!F874="","",'SAÍDAS-BASE'!F874)</f>
        <v/>
      </c>
      <c r="H876" t="str">
        <f>IF('SAÍDAS-BASE'!G874="","",'SAÍDAS-BASE'!G874)</f>
        <v/>
      </c>
      <c r="I876" t="str">
        <f>IF('SAÍDAS-BASE'!H874="","",'SAÍDAS-BASE'!H874)</f>
        <v/>
      </c>
      <c r="J876" t="str">
        <f>IF('SAÍDAS-BASE'!I874="","",'SAÍDAS-BASE'!I874)</f>
        <v/>
      </c>
      <c r="K876" s="5" t="str">
        <f>IF('SAÍDAS-BASE'!J874="","",'SAÍDAS-BASE'!J874)</f>
        <v/>
      </c>
      <c r="L876" t="str">
        <f>IF(TABELA_SAIDAS[[#This Row],[UF]]="","",IFERROR(IF(VLOOKUP(TABELA_SAIDAS[[#This Row],[VALOR]],TABELA_ENTRADAS[VALOR],1,FALSE),"DEVOLUÇÃO"),"SEM ENTRADAS"))</f>
        <v/>
      </c>
    </row>
    <row r="877" spans="2:12" x14ac:dyDescent="0.3">
      <c r="B877" t="str">
        <f>IF('SAÍDAS-BASE'!A875="","",'SAÍDAS-BASE'!A875)</f>
        <v/>
      </c>
      <c r="C877" t="str">
        <f>IF('SAÍDAS-BASE'!B875="","",'SAÍDAS-BASE'!B875)</f>
        <v/>
      </c>
      <c r="D877" t="str">
        <f>IF('SAÍDAS-BASE'!C875="","",'SAÍDAS-BASE'!C875)</f>
        <v/>
      </c>
      <c r="E877" s="7" t="str">
        <f>IF('SAÍDAS-BASE'!D875="","",'SAÍDAS-BASE'!D875)</f>
        <v/>
      </c>
      <c r="F877" s="6" t="str">
        <f>IF('SAÍDAS-BASE'!E875="","",'SAÍDAS-BASE'!E875)</f>
        <v/>
      </c>
      <c r="G877" t="str">
        <f>IF('SAÍDAS-BASE'!F875="","",'SAÍDAS-BASE'!F875)</f>
        <v/>
      </c>
      <c r="H877" t="str">
        <f>IF('SAÍDAS-BASE'!G875="","",'SAÍDAS-BASE'!G875)</f>
        <v/>
      </c>
      <c r="I877" t="str">
        <f>IF('SAÍDAS-BASE'!H875="","",'SAÍDAS-BASE'!H875)</f>
        <v/>
      </c>
      <c r="J877" t="str">
        <f>IF('SAÍDAS-BASE'!I875="","",'SAÍDAS-BASE'!I875)</f>
        <v/>
      </c>
      <c r="K877" s="5" t="str">
        <f>IF('SAÍDAS-BASE'!J875="","",'SAÍDAS-BASE'!J875)</f>
        <v/>
      </c>
      <c r="L877" t="str">
        <f>IF(TABELA_SAIDAS[[#This Row],[UF]]="","",IFERROR(IF(VLOOKUP(TABELA_SAIDAS[[#This Row],[VALOR]],TABELA_ENTRADAS[VALOR],1,FALSE),"DEVOLUÇÃO"),"SEM ENTRADAS"))</f>
        <v/>
      </c>
    </row>
    <row r="878" spans="2:12" x14ac:dyDescent="0.3">
      <c r="B878" t="str">
        <f>IF('SAÍDAS-BASE'!A876="","",'SAÍDAS-BASE'!A876)</f>
        <v/>
      </c>
      <c r="C878" t="str">
        <f>IF('SAÍDAS-BASE'!B876="","",'SAÍDAS-BASE'!B876)</f>
        <v/>
      </c>
      <c r="D878" t="str">
        <f>IF('SAÍDAS-BASE'!C876="","",'SAÍDAS-BASE'!C876)</f>
        <v/>
      </c>
      <c r="E878" s="7" t="str">
        <f>IF('SAÍDAS-BASE'!D876="","",'SAÍDAS-BASE'!D876)</f>
        <v/>
      </c>
      <c r="F878" s="6" t="str">
        <f>IF('SAÍDAS-BASE'!E876="","",'SAÍDAS-BASE'!E876)</f>
        <v/>
      </c>
      <c r="G878" t="str">
        <f>IF('SAÍDAS-BASE'!F876="","",'SAÍDAS-BASE'!F876)</f>
        <v/>
      </c>
      <c r="H878" t="str">
        <f>IF('SAÍDAS-BASE'!G876="","",'SAÍDAS-BASE'!G876)</f>
        <v/>
      </c>
      <c r="I878" t="str">
        <f>IF('SAÍDAS-BASE'!H876="","",'SAÍDAS-BASE'!H876)</f>
        <v/>
      </c>
      <c r="J878" t="str">
        <f>IF('SAÍDAS-BASE'!I876="","",'SAÍDAS-BASE'!I876)</f>
        <v/>
      </c>
      <c r="K878" s="5" t="str">
        <f>IF('SAÍDAS-BASE'!J876="","",'SAÍDAS-BASE'!J876)</f>
        <v/>
      </c>
      <c r="L878" t="str">
        <f>IF(TABELA_SAIDAS[[#This Row],[UF]]="","",IFERROR(IF(VLOOKUP(TABELA_SAIDAS[[#This Row],[VALOR]],TABELA_ENTRADAS[VALOR],1,FALSE),"DEVOLUÇÃO"),"SEM ENTRADAS"))</f>
        <v/>
      </c>
    </row>
    <row r="879" spans="2:12" x14ac:dyDescent="0.3">
      <c r="B879" t="str">
        <f>IF('SAÍDAS-BASE'!A877="","",'SAÍDAS-BASE'!A877)</f>
        <v/>
      </c>
      <c r="C879" t="str">
        <f>IF('SAÍDAS-BASE'!B877="","",'SAÍDAS-BASE'!B877)</f>
        <v/>
      </c>
      <c r="D879" t="str">
        <f>IF('SAÍDAS-BASE'!C877="","",'SAÍDAS-BASE'!C877)</f>
        <v/>
      </c>
      <c r="E879" s="7" t="str">
        <f>IF('SAÍDAS-BASE'!D877="","",'SAÍDAS-BASE'!D877)</f>
        <v/>
      </c>
      <c r="F879" s="6" t="str">
        <f>IF('SAÍDAS-BASE'!E877="","",'SAÍDAS-BASE'!E877)</f>
        <v/>
      </c>
      <c r="G879" t="str">
        <f>IF('SAÍDAS-BASE'!F877="","",'SAÍDAS-BASE'!F877)</f>
        <v/>
      </c>
      <c r="H879" t="str">
        <f>IF('SAÍDAS-BASE'!G877="","",'SAÍDAS-BASE'!G877)</f>
        <v/>
      </c>
      <c r="I879" t="str">
        <f>IF('SAÍDAS-BASE'!H877="","",'SAÍDAS-BASE'!H877)</f>
        <v/>
      </c>
      <c r="J879" t="str">
        <f>IF('SAÍDAS-BASE'!I877="","",'SAÍDAS-BASE'!I877)</f>
        <v/>
      </c>
      <c r="K879" s="5" t="str">
        <f>IF('SAÍDAS-BASE'!J877="","",'SAÍDAS-BASE'!J877)</f>
        <v/>
      </c>
      <c r="L879" t="str">
        <f>IF(TABELA_SAIDAS[[#This Row],[UF]]="","",IFERROR(IF(VLOOKUP(TABELA_SAIDAS[[#This Row],[VALOR]],TABELA_ENTRADAS[VALOR],1,FALSE),"DEVOLUÇÃO"),"SEM ENTRADAS"))</f>
        <v/>
      </c>
    </row>
    <row r="880" spans="2:12" x14ac:dyDescent="0.3">
      <c r="B880" t="str">
        <f>IF('SAÍDAS-BASE'!A878="","",'SAÍDAS-BASE'!A878)</f>
        <v/>
      </c>
      <c r="C880" t="str">
        <f>IF('SAÍDAS-BASE'!B878="","",'SAÍDAS-BASE'!B878)</f>
        <v/>
      </c>
      <c r="D880" t="str">
        <f>IF('SAÍDAS-BASE'!C878="","",'SAÍDAS-BASE'!C878)</f>
        <v/>
      </c>
      <c r="E880" s="7" t="str">
        <f>IF('SAÍDAS-BASE'!D878="","",'SAÍDAS-BASE'!D878)</f>
        <v/>
      </c>
      <c r="F880" s="6" t="str">
        <f>IF('SAÍDAS-BASE'!E878="","",'SAÍDAS-BASE'!E878)</f>
        <v/>
      </c>
      <c r="G880" t="str">
        <f>IF('SAÍDAS-BASE'!F878="","",'SAÍDAS-BASE'!F878)</f>
        <v/>
      </c>
      <c r="H880" t="str">
        <f>IF('SAÍDAS-BASE'!G878="","",'SAÍDAS-BASE'!G878)</f>
        <v/>
      </c>
      <c r="I880" t="str">
        <f>IF('SAÍDAS-BASE'!H878="","",'SAÍDAS-BASE'!H878)</f>
        <v/>
      </c>
      <c r="J880" t="str">
        <f>IF('SAÍDAS-BASE'!I878="","",'SAÍDAS-BASE'!I878)</f>
        <v/>
      </c>
      <c r="K880" s="5" t="str">
        <f>IF('SAÍDAS-BASE'!J878="","",'SAÍDAS-BASE'!J878)</f>
        <v/>
      </c>
      <c r="L880" t="str">
        <f>IF(TABELA_SAIDAS[[#This Row],[UF]]="","",IFERROR(IF(VLOOKUP(TABELA_SAIDAS[[#This Row],[VALOR]],TABELA_ENTRADAS[VALOR],1,FALSE),"DEVOLUÇÃO"),"SEM ENTRADAS"))</f>
        <v/>
      </c>
    </row>
    <row r="881" spans="2:12" x14ac:dyDescent="0.3">
      <c r="B881" t="str">
        <f>IF('SAÍDAS-BASE'!A879="","",'SAÍDAS-BASE'!A879)</f>
        <v/>
      </c>
      <c r="C881" t="str">
        <f>IF('SAÍDAS-BASE'!B879="","",'SAÍDAS-BASE'!B879)</f>
        <v/>
      </c>
      <c r="D881" t="str">
        <f>IF('SAÍDAS-BASE'!C879="","",'SAÍDAS-BASE'!C879)</f>
        <v/>
      </c>
      <c r="E881" s="7" t="str">
        <f>IF('SAÍDAS-BASE'!D879="","",'SAÍDAS-BASE'!D879)</f>
        <v/>
      </c>
      <c r="F881" s="6" t="str">
        <f>IF('SAÍDAS-BASE'!E879="","",'SAÍDAS-BASE'!E879)</f>
        <v/>
      </c>
      <c r="G881" t="str">
        <f>IF('SAÍDAS-BASE'!F879="","",'SAÍDAS-BASE'!F879)</f>
        <v/>
      </c>
      <c r="H881" t="str">
        <f>IF('SAÍDAS-BASE'!G879="","",'SAÍDAS-BASE'!G879)</f>
        <v/>
      </c>
      <c r="I881" t="str">
        <f>IF('SAÍDAS-BASE'!H879="","",'SAÍDAS-BASE'!H879)</f>
        <v/>
      </c>
      <c r="J881" t="str">
        <f>IF('SAÍDAS-BASE'!I879="","",'SAÍDAS-BASE'!I879)</f>
        <v/>
      </c>
      <c r="K881" s="5" t="str">
        <f>IF('SAÍDAS-BASE'!J879="","",'SAÍDAS-BASE'!J879)</f>
        <v/>
      </c>
      <c r="L881" t="str">
        <f>IF(TABELA_SAIDAS[[#This Row],[UF]]="","",IFERROR(IF(VLOOKUP(TABELA_SAIDAS[[#This Row],[VALOR]],TABELA_ENTRADAS[VALOR],1,FALSE),"DEVOLUÇÃO"),"SEM ENTRADAS"))</f>
        <v/>
      </c>
    </row>
    <row r="882" spans="2:12" x14ac:dyDescent="0.3">
      <c r="B882" t="str">
        <f>IF('SAÍDAS-BASE'!A880="","",'SAÍDAS-BASE'!A880)</f>
        <v/>
      </c>
      <c r="C882" t="str">
        <f>IF('SAÍDAS-BASE'!B880="","",'SAÍDAS-BASE'!B880)</f>
        <v/>
      </c>
      <c r="D882" t="str">
        <f>IF('SAÍDAS-BASE'!C880="","",'SAÍDAS-BASE'!C880)</f>
        <v/>
      </c>
      <c r="E882" s="7" t="str">
        <f>IF('SAÍDAS-BASE'!D880="","",'SAÍDAS-BASE'!D880)</f>
        <v/>
      </c>
      <c r="F882" s="6" t="str">
        <f>IF('SAÍDAS-BASE'!E880="","",'SAÍDAS-BASE'!E880)</f>
        <v/>
      </c>
      <c r="G882" t="str">
        <f>IF('SAÍDAS-BASE'!F880="","",'SAÍDAS-BASE'!F880)</f>
        <v/>
      </c>
      <c r="H882" t="str">
        <f>IF('SAÍDAS-BASE'!G880="","",'SAÍDAS-BASE'!G880)</f>
        <v/>
      </c>
      <c r="I882" t="str">
        <f>IF('SAÍDAS-BASE'!H880="","",'SAÍDAS-BASE'!H880)</f>
        <v/>
      </c>
      <c r="J882" t="str">
        <f>IF('SAÍDAS-BASE'!I880="","",'SAÍDAS-BASE'!I880)</f>
        <v/>
      </c>
      <c r="K882" s="5" t="str">
        <f>IF('SAÍDAS-BASE'!J880="","",'SAÍDAS-BASE'!J880)</f>
        <v/>
      </c>
      <c r="L882" t="str">
        <f>IF(TABELA_SAIDAS[[#This Row],[UF]]="","",IFERROR(IF(VLOOKUP(TABELA_SAIDAS[[#This Row],[VALOR]],TABELA_ENTRADAS[VALOR],1,FALSE),"DEVOLUÇÃO"),"SEM ENTRADAS"))</f>
        <v/>
      </c>
    </row>
    <row r="883" spans="2:12" x14ac:dyDescent="0.3">
      <c r="B883" t="str">
        <f>IF('SAÍDAS-BASE'!A881="","",'SAÍDAS-BASE'!A881)</f>
        <v/>
      </c>
      <c r="C883" t="str">
        <f>IF('SAÍDAS-BASE'!B881="","",'SAÍDAS-BASE'!B881)</f>
        <v/>
      </c>
      <c r="D883" t="str">
        <f>IF('SAÍDAS-BASE'!C881="","",'SAÍDAS-BASE'!C881)</f>
        <v/>
      </c>
      <c r="E883" s="7" t="str">
        <f>IF('SAÍDAS-BASE'!D881="","",'SAÍDAS-BASE'!D881)</f>
        <v/>
      </c>
      <c r="F883" s="6" t="str">
        <f>IF('SAÍDAS-BASE'!E881="","",'SAÍDAS-BASE'!E881)</f>
        <v/>
      </c>
      <c r="G883" t="str">
        <f>IF('SAÍDAS-BASE'!F881="","",'SAÍDAS-BASE'!F881)</f>
        <v/>
      </c>
      <c r="H883" t="str">
        <f>IF('SAÍDAS-BASE'!G881="","",'SAÍDAS-BASE'!G881)</f>
        <v/>
      </c>
      <c r="I883" t="str">
        <f>IF('SAÍDAS-BASE'!H881="","",'SAÍDAS-BASE'!H881)</f>
        <v/>
      </c>
      <c r="J883" t="str">
        <f>IF('SAÍDAS-BASE'!I881="","",'SAÍDAS-BASE'!I881)</f>
        <v/>
      </c>
      <c r="K883" s="5" t="str">
        <f>IF('SAÍDAS-BASE'!J881="","",'SAÍDAS-BASE'!J881)</f>
        <v/>
      </c>
      <c r="L883" t="str">
        <f>IF(TABELA_SAIDAS[[#This Row],[UF]]="","",IFERROR(IF(VLOOKUP(TABELA_SAIDAS[[#This Row],[VALOR]],TABELA_ENTRADAS[VALOR],1,FALSE),"DEVOLUÇÃO"),"SEM ENTRADAS"))</f>
        <v/>
      </c>
    </row>
    <row r="884" spans="2:12" x14ac:dyDescent="0.3">
      <c r="B884" t="str">
        <f>IF('SAÍDAS-BASE'!A882="","",'SAÍDAS-BASE'!A882)</f>
        <v/>
      </c>
      <c r="C884" t="str">
        <f>IF('SAÍDAS-BASE'!B882="","",'SAÍDAS-BASE'!B882)</f>
        <v/>
      </c>
      <c r="D884" t="str">
        <f>IF('SAÍDAS-BASE'!C882="","",'SAÍDAS-BASE'!C882)</f>
        <v/>
      </c>
      <c r="E884" s="7" t="str">
        <f>IF('SAÍDAS-BASE'!D882="","",'SAÍDAS-BASE'!D882)</f>
        <v/>
      </c>
      <c r="F884" s="6" t="str">
        <f>IF('SAÍDAS-BASE'!E882="","",'SAÍDAS-BASE'!E882)</f>
        <v/>
      </c>
      <c r="G884" t="str">
        <f>IF('SAÍDAS-BASE'!F882="","",'SAÍDAS-BASE'!F882)</f>
        <v/>
      </c>
      <c r="H884" t="str">
        <f>IF('SAÍDAS-BASE'!G882="","",'SAÍDAS-BASE'!G882)</f>
        <v/>
      </c>
      <c r="I884" t="str">
        <f>IF('SAÍDAS-BASE'!H882="","",'SAÍDAS-BASE'!H882)</f>
        <v/>
      </c>
      <c r="J884" t="str">
        <f>IF('SAÍDAS-BASE'!I882="","",'SAÍDAS-BASE'!I882)</f>
        <v/>
      </c>
      <c r="K884" s="5" t="str">
        <f>IF('SAÍDAS-BASE'!J882="","",'SAÍDAS-BASE'!J882)</f>
        <v/>
      </c>
      <c r="L884" t="str">
        <f>IF(TABELA_SAIDAS[[#This Row],[UF]]="","",IFERROR(IF(VLOOKUP(TABELA_SAIDAS[[#This Row],[VALOR]],TABELA_ENTRADAS[VALOR],1,FALSE),"DEVOLUÇÃO"),"SEM ENTRADAS"))</f>
        <v/>
      </c>
    </row>
    <row r="885" spans="2:12" x14ac:dyDescent="0.3">
      <c r="B885" t="str">
        <f>IF('SAÍDAS-BASE'!A883="","",'SAÍDAS-BASE'!A883)</f>
        <v/>
      </c>
      <c r="C885" t="str">
        <f>IF('SAÍDAS-BASE'!B883="","",'SAÍDAS-BASE'!B883)</f>
        <v/>
      </c>
      <c r="D885" t="str">
        <f>IF('SAÍDAS-BASE'!C883="","",'SAÍDAS-BASE'!C883)</f>
        <v/>
      </c>
      <c r="E885" s="7" t="str">
        <f>IF('SAÍDAS-BASE'!D883="","",'SAÍDAS-BASE'!D883)</f>
        <v/>
      </c>
      <c r="F885" s="6" t="str">
        <f>IF('SAÍDAS-BASE'!E883="","",'SAÍDAS-BASE'!E883)</f>
        <v/>
      </c>
      <c r="G885" t="str">
        <f>IF('SAÍDAS-BASE'!F883="","",'SAÍDAS-BASE'!F883)</f>
        <v/>
      </c>
      <c r="H885" t="str">
        <f>IF('SAÍDAS-BASE'!G883="","",'SAÍDAS-BASE'!G883)</f>
        <v/>
      </c>
      <c r="I885" t="str">
        <f>IF('SAÍDAS-BASE'!H883="","",'SAÍDAS-BASE'!H883)</f>
        <v/>
      </c>
      <c r="J885" t="str">
        <f>IF('SAÍDAS-BASE'!I883="","",'SAÍDAS-BASE'!I883)</f>
        <v/>
      </c>
      <c r="K885" s="5" t="str">
        <f>IF('SAÍDAS-BASE'!J883="","",'SAÍDAS-BASE'!J883)</f>
        <v/>
      </c>
      <c r="L885" t="str">
        <f>IF(TABELA_SAIDAS[[#This Row],[UF]]="","",IFERROR(IF(VLOOKUP(TABELA_SAIDAS[[#This Row],[VALOR]],TABELA_ENTRADAS[VALOR],1,FALSE),"DEVOLUÇÃO"),"SEM ENTRADAS"))</f>
        <v/>
      </c>
    </row>
    <row r="886" spans="2:12" x14ac:dyDescent="0.3">
      <c r="B886" t="str">
        <f>IF('SAÍDAS-BASE'!A884="","",'SAÍDAS-BASE'!A884)</f>
        <v/>
      </c>
      <c r="C886" t="str">
        <f>IF('SAÍDAS-BASE'!B884="","",'SAÍDAS-BASE'!B884)</f>
        <v/>
      </c>
      <c r="D886" t="str">
        <f>IF('SAÍDAS-BASE'!C884="","",'SAÍDAS-BASE'!C884)</f>
        <v/>
      </c>
      <c r="E886" s="7" t="str">
        <f>IF('SAÍDAS-BASE'!D884="","",'SAÍDAS-BASE'!D884)</f>
        <v/>
      </c>
      <c r="F886" s="6" t="str">
        <f>IF('SAÍDAS-BASE'!E884="","",'SAÍDAS-BASE'!E884)</f>
        <v/>
      </c>
      <c r="G886" t="str">
        <f>IF('SAÍDAS-BASE'!F884="","",'SAÍDAS-BASE'!F884)</f>
        <v/>
      </c>
      <c r="H886" t="str">
        <f>IF('SAÍDAS-BASE'!G884="","",'SAÍDAS-BASE'!G884)</f>
        <v/>
      </c>
      <c r="I886" t="str">
        <f>IF('SAÍDAS-BASE'!H884="","",'SAÍDAS-BASE'!H884)</f>
        <v/>
      </c>
      <c r="J886" t="str">
        <f>IF('SAÍDAS-BASE'!I884="","",'SAÍDAS-BASE'!I884)</f>
        <v/>
      </c>
      <c r="K886" s="5" t="str">
        <f>IF('SAÍDAS-BASE'!J884="","",'SAÍDAS-BASE'!J884)</f>
        <v/>
      </c>
      <c r="L886" t="str">
        <f>IF(TABELA_SAIDAS[[#This Row],[UF]]="","",IFERROR(IF(VLOOKUP(TABELA_SAIDAS[[#This Row],[VALOR]],TABELA_ENTRADAS[VALOR],1,FALSE),"DEVOLUÇÃO"),"SEM ENTRADAS"))</f>
        <v/>
      </c>
    </row>
    <row r="887" spans="2:12" x14ac:dyDescent="0.3">
      <c r="B887" t="str">
        <f>IF('SAÍDAS-BASE'!A885="","",'SAÍDAS-BASE'!A885)</f>
        <v/>
      </c>
      <c r="C887" t="str">
        <f>IF('SAÍDAS-BASE'!B885="","",'SAÍDAS-BASE'!B885)</f>
        <v/>
      </c>
      <c r="D887" t="str">
        <f>IF('SAÍDAS-BASE'!C885="","",'SAÍDAS-BASE'!C885)</f>
        <v/>
      </c>
      <c r="E887" s="7" t="str">
        <f>IF('SAÍDAS-BASE'!D885="","",'SAÍDAS-BASE'!D885)</f>
        <v/>
      </c>
      <c r="F887" s="6" t="str">
        <f>IF('SAÍDAS-BASE'!E885="","",'SAÍDAS-BASE'!E885)</f>
        <v/>
      </c>
      <c r="G887" t="str">
        <f>IF('SAÍDAS-BASE'!F885="","",'SAÍDAS-BASE'!F885)</f>
        <v/>
      </c>
      <c r="H887" t="str">
        <f>IF('SAÍDAS-BASE'!G885="","",'SAÍDAS-BASE'!G885)</f>
        <v/>
      </c>
      <c r="I887" t="str">
        <f>IF('SAÍDAS-BASE'!H885="","",'SAÍDAS-BASE'!H885)</f>
        <v/>
      </c>
      <c r="J887" t="str">
        <f>IF('SAÍDAS-BASE'!I885="","",'SAÍDAS-BASE'!I885)</f>
        <v/>
      </c>
      <c r="K887" s="5" t="str">
        <f>IF('SAÍDAS-BASE'!J885="","",'SAÍDAS-BASE'!J885)</f>
        <v/>
      </c>
      <c r="L887" t="str">
        <f>IF(TABELA_SAIDAS[[#This Row],[UF]]="","",IFERROR(IF(VLOOKUP(TABELA_SAIDAS[[#This Row],[VALOR]],TABELA_ENTRADAS[VALOR],1,FALSE),"DEVOLUÇÃO"),"SEM ENTRADAS"))</f>
        <v/>
      </c>
    </row>
    <row r="888" spans="2:12" x14ac:dyDescent="0.3">
      <c r="B888" t="str">
        <f>IF('SAÍDAS-BASE'!A886="","",'SAÍDAS-BASE'!A886)</f>
        <v/>
      </c>
      <c r="C888" t="str">
        <f>IF('SAÍDAS-BASE'!B886="","",'SAÍDAS-BASE'!B886)</f>
        <v/>
      </c>
      <c r="D888" t="str">
        <f>IF('SAÍDAS-BASE'!C886="","",'SAÍDAS-BASE'!C886)</f>
        <v/>
      </c>
      <c r="E888" s="7" t="str">
        <f>IF('SAÍDAS-BASE'!D886="","",'SAÍDAS-BASE'!D886)</f>
        <v/>
      </c>
      <c r="F888" s="6" t="str">
        <f>IF('SAÍDAS-BASE'!E886="","",'SAÍDAS-BASE'!E886)</f>
        <v/>
      </c>
      <c r="G888" t="str">
        <f>IF('SAÍDAS-BASE'!F886="","",'SAÍDAS-BASE'!F886)</f>
        <v/>
      </c>
      <c r="H888" t="str">
        <f>IF('SAÍDAS-BASE'!G886="","",'SAÍDAS-BASE'!G886)</f>
        <v/>
      </c>
      <c r="I888" t="str">
        <f>IF('SAÍDAS-BASE'!H886="","",'SAÍDAS-BASE'!H886)</f>
        <v/>
      </c>
      <c r="J888" t="str">
        <f>IF('SAÍDAS-BASE'!I886="","",'SAÍDAS-BASE'!I886)</f>
        <v/>
      </c>
      <c r="K888" s="5" t="str">
        <f>IF('SAÍDAS-BASE'!J886="","",'SAÍDAS-BASE'!J886)</f>
        <v/>
      </c>
      <c r="L888" t="str">
        <f>IF(TABELA_SAIDAS[[#This Row],[UF]]="","",IFERROR(IF(VLOOKUP(TABELA_SAIDAS[[#This Row],[VALOR]],TABELA_ENTRADAS[VALOR],1,FALSE),"DEVOLUÇÃO"),"SEM ENTRADAS"))</f>
        <v/>
      </c>
    </row>
    <row r="889" spans="2:12" x14ac:dyDescent="0.3">
      <c r="B889" t="str">
        <f>IF('SAÍDAS-BASE'!A887="","",'SAÍDAS-BASE'!A887)</f>
        <v/>
      </c>
      <c r="C889" t="str">
        <f>IF('SAÍDAS-BASE'!B887="","",'SAÍDAS-BASE'!B887)</f>
        <v/>
      </c>
      <c r="D889" t="str">
        <f>IF('SAÍDAS-BASE'!C887="","",'SAÍDAS-BASE'!C887)</f>
        <v/>
      </c>
      <c r="E889" s="7" t="str">
        <f>IF('SAÍDAS-BASE'!D887="","",'SAÍDAS-BASE'!D887)</f>
        <v/>
      </c>
      <c r="F889" s="6" t="str">
        <f>IF('SAÍDAS-BASE'!E887="","",'SAÍDAS-BASE'!E887)</f>
        <v/>
      </c>
      <c r="G889" t="str">
        <f>IF('SAÍDAS-BASE'!F887="","",'SAÍDAS-BASE'!F887)</f>
        <v/>
      </c>
      <c r="H889" t="str">
        <f>IF('SAÍDAS-BASE'!G887="","",'SAÍDAS-BASE'!G887)</f>
        <v/>
      </c>
      <c r="I889" t="str">
        <f>IF('SAÍDAS-BASE'!H887="","",'SAÍDAS-BASE'!H887)</f>
        <v/>
      </c>
      <c r="J889" t="str">
        <f>IF('SAÍDAS-BASE'!I887="","",'SAÍDAS-BASE'!I887)</f>
        <v/>
      </c>
      <c r="K889" s="5" t="str">
        <f>IF('SAÍDAS-BASE'!J887="","",'SAÍDAS-BASE'!J887)</f>
        <v/>
      </c>
      <c r="L889" t="str">
        <f>IF(TABELA_SAIDAS[[#This Row],[UF]]="","",IFERROR(IF(VLOOKUP(TABELA_SAIDAS[[#This Row],[VALOR]],TABELA_ENTRADAS[VALOR],1,FALSE),"DEVOLUÇÃO"),"SEM ENTRADAS"))</f>
        <v/>
      </c>
    </row>
    <row r="890" spans="2:12" x14ac:dyDescent="0.3">
      <c r="B890" t="str">
        <f>IF('SAÍDAS-BASE'!A888="","",'SAÍDAS-BASE'!A888)</f>
        <v/>
      </c>
      <c r="C890" t="str">
        <f>IF('SAÍDAS-BASE'!B888="","",'SAÍDAS-BASE'!B888)</f>
        <v/>
      </c>
      <c r="D890" t="str">
        <f>IF('SAÍDAS-BASE'!C888="","",'SAÍDAS-BASE'!C888)</f>
        <v/>
      </c>
      <c r="E890" s="7" t="str">
        <f>IF('SAÍDAS-BASE'!D888="","",'SAÍDAS-BASE'!D888)</f>
        <v/>
      </c>
      <c r="F890" s="6" t="str">
        <f>IF('SAÍDAS-BASE'!E888="","",'SAÍDAS-BASE'!E888)</f>
        <v/>
      </c>
      <c r="G890" t="str">
        <f>IF('SAÍDAS-BASE'!F888="","",'SAÍDAS-BASE'!F888)</f>
        <v/>
      </c>
      <c r="H890" t="str">
        <f>IF('SAÍDAS-BASE'!G888="","",'SAÍDAS-BASE'!G888)</f>
        <v/>
      </c>
      <c r="I890" t="str">
        <f>IF('SAÍDAS-BASE'!H888="","",'SAÍDAS-BASE'!H888)</f>
        <v/>
      </c>
      <c r="J890" t="str">
        <f>IF('SAÍDAS-BASE'!I888="","",'SAÍDAS-BASE'!I888)</f>
        <v/>
      </c>
      <c r="K890" s="5" t="str">
        <f>IF('SAÍDAS-BASE'!J888="","",'SAÍDAS-BASE'!J888)</f>
        <v/>
      </c>
      <c r="L890" t="str">
        <f>IF(TABELA_SAIDAS[[#This Row],[UF]]="","",IFERROR(IF(VLOOKUP(TABELA_SAIDAS[[#This Row],[VALOR]],TABELA_ENTRADAS[VALOR],1,FALSE),"DEVOLUÇÃO"),"SEM ENTRADAS"))</f>
        <v/>
      </c>
    </row>
    <row r="891" spans="2:12" x14ac:dyDescent="0.3">
      <c r="B891" t="str">
        <f>IF('SAÍDAS-BASE'!A889="","",'SAÍDAS-BASE'!A889)</f>
        <v/>
      </c>
      <c r="C891" t="str">
        <f>IF('SAÍDAS-BASE'!B889="","",'SAÍDAS-BASE'!B889)</f>
        <v/>
      </c>
      <c r="D891" t="str">
        <f>IF('SAÍDAS-BASE'!C889="","",'SAÍDAS-BASE'!C889)</f>
        <v/>
      </c>
      <c r="E891" s="7" t="str">
        <f>IF('SAÍDAS-BASE'!D889="","",'SAÍDAS-BASE'!D889)</f>
        <v/>
      </c>
      <c r="F891" s="6" t="str">
        <f>IF('SAÍDAS-BASE'!E889="","",'SAÍDAS-BASE'!E889)</f>
        <v/>
      </c>
      <c r="G891" t="str">
        <f>IF('SAÍDAS-BASE'!F889="","",'SAÍDAS-BASE'!F889)</f>
        <v/>
      </c>
      <c r="H891" t="str">
        <f>IF('SAÍDAS-BASE'!G889="","",'SAÍDAS-BASE'!G889)</f>
        <v/>
      </c>
      <c r="I891" t="str">
        <f>IF('SAÍDAS-BASE'!H889="","",'SAÍDAS-BASE'!H889)</f>
        <v/>
      </c>
      <c r="J891" t="str">
        <f>IF('SAÍDAS-BASE'!I889="","",'SAÍDAS-BASE'!I889)</f>
        <v/>
      </c>
      <c r="K891" s="5" t="str">
        <f>IF('SAÍDAS-BASE'!J889="","",'SAÍDAS-BASE'!J889)</f>
        <v/>
      </c>
      <c r="L891" t="str">
        <f>IF(TABELA_SAIDAS[[#This Row],[UF]]="","",IFERROR(IF(VLOOKUP(TABELA_SAIDAS[[#This Row],[VALOR]],TABELA_ENTRADAS[VALOR],1,FALSE),"DEVOLUÇÃO"),"SEM ENTRADAS"))</f>
        <v/>
      </c>
    </row>
    <row r="892" spans="2:12" x14ac:dyDescent="0.3">
      <c r="B892" t="str">
        <f>IF('SAÍDAS-BASE'!A890="","",'SAÍDAS-BASE'!A890)</f>
        <v/>
      </c>
      <c r="C892" t="str">
        <f>IF('SAÍDAS-BASE'!B890="","",'SAÍDAS-BASE'!B890)</f>
        <v/>
      </c>
      <c r="D892" t="str">
        <f>IF('SAÍDAS-BASE'!C890="","",'SAÍDAS-BASE'!C890)</f>
        <v/>
      </c>
      <c r="E892" s="7" t="str">
        <f>IF('SAÍDAS-BASE'!D890="","",'SAÍDAS-BASE'!D890)</f>
        <v/>
      </c>
      <c r="F892" s="6" t="str">
        <f>IF('SAÍDAS-BASE'!E890="","",'SAÍDAS-BASE'!E890)</f>
        <v/>
      </c>
      <c r="G892" t="str">
        <f>IF('SAÍDAS-BASE'!F890="","",'SAÍDAS-BASE'!F890)</f>
        <v/>
      </c>
      <c r="H892" t="str">
        <f>IF('SAÍDAS-BASE'!G890="","",'SAÍDAS-BASE'!G890)</f>
        <v/>
      </c>
      <c r="I892" t="str">
        <f>IF('SAÍDAS-BASE'!H890="","",'SAÍDAS-BASE'!H890)</f>
        <v/>
      </c>
      <c r="J892" t="str">
        <f>IF('SAÍDAS-BASE'!I890="","",'SAÍDAS-BASE'!I890)</f>
        <v/>
      </c>
      <c r="K892" s="5" t="str">
        <f>IF('SAÍDAS-BASE'!J890="","",'SAÍDAS-BASE'!J890)</f>
        <v/>
      </c>
      <c r="L892" t="str">
        <f>IF(TABELA_SAIDAS[[#This Row],[UF]]="","",IFERROR(IF(VLOOKUP(TABELA_SAIDAS[[#This Row],[VALOR]],TABELA_ENTRADAS[VALOR],1,FALSE),"DEVOLUÇÃO"),"SEM ENTRADAS"))</f>
        <v/>
      </c>
    </row>
    <row r="893" spans="2:12" x14ac:dyDescent="0.3">
      <c r="B893" t="str">
        <f>IF('SAÍDAS-BASE'!A891="","",'SAÍDAS-BASE'!A891)</f>
        <v/>
      </c>
      <c r="C893" t="str">
        <f>IF('SAÍDAS-BASE'!B891="","",'SAÍDAS-BASE'!B891)</f>
        <v/>
      </c>
      <c r="D893" t="str">
        <f>IF('SAÍDAS-BASE'!C891="","",'SAÍDAS-BASE'!C891)</f>
        <v/>
      </c>
      <c r="E893" s="7" t="str">
        <f>IF('SAÍDAS-BASE'!D891="","",'SAÍDAS-BASE'!D891)</f>
        <v/>
      </c>
      <c r="F893" s="6" t="str">
        <f>IF('SAÍDAS-BASE'!E891="","",'SAÍDAS-BASE'!E891)</f>
        <v/>
      </c>
      <c r="G893" t="str">
        <f>IF('SAÍDAS-BASE'!F891="","",'SAÍDAS-BASE'!F891)</f>
        <v/>
      </c>
      <c r="H893" t="str">
        <f>IF('SAÍDAS-BASE'!G891="","",'SAÍDAS-BASE'!G891)</f>
        <v/>
      </c>
      <c r="I893" t="str">
        <f>IF('SAÍDAS-BASE'!H891="","",'SAÍDAS-BASE'!H891)</f>
        <v/>
      </c>
      <c r="J893" t="str">
        <f>IF('SAÍDAS-BASE'!I891="","",'SAÍDAS-BASE'!I891)</f>
        <v/>
      </c>
      <c r="K893" s="5" t="str">
        <f>IF('SAÍDAS-BASE'!J891="","",'SAÍDAS-BASE'!J891)</f>
        <v/>
      </c>
      <c r="L893" t="str">
        <f>IF(TABELA_SAIDAS[[#This Row],[UF]]="","",IFERROR(IF(VLOOKUP(TABELA_SAIDAS[[#This Row],[VALOR]],TABELA_ENTRADAS[VALOR],1,FALSE),"DEVOLUÇÃO"),"SEM ENTRADAS"))</f>
        <v/>
      </c>
    </row>
    <row r="894" spans="2:12" x14ac:dyDescent="0.3">
      <c r="B894" t="str">
        <f>IF('SAÍDAS-BASE'!A892="","",'SAÍDAS-BASE'!A892)</f>
        <v/>
      </c>
      <c r="C894" t="str">
        <f>IF('SAÍDAS-BASE'!B892="","",'SAÍDAS-BASE'!B892)</f>
        <v/>
      </c>
      <c r="D894" t="str">
        <f>IF('SAÍDAS-BASE'!C892="","",'SAÍDAS-BASE'!C892)</f>
        <v/>
      </c>
      <c r="E894" s="7" t="str">
        <f>IF('SAÍDAS-BASE'!D892="","",'SAÍDAS-BASE'!D892)</f>
        <v/>
      </c>
      <c r="F894" s="6" t="str">
        <f>IF('SAÍDAS-BASE'!E892="","",'SAÍDAS-BASE'!E892)</f>
        <v/>
      </c>
      <c r="G894" t="str">
        <f>IF('SAÍDAS-BASE'!F892="","",'SAÍDAS-BASE'!F892)</f>
        <v/>
      </c>
      <c r="H894" t="str">
        <f>IF('SAÍDAS-BASE'!G892="","",'SAÍDAS-BASE'!G892)</f>
        <v/>
      </c>
      <c r="I894" t="str">
        <f>IF('SAÍDAS-BASE'!H892="","",'SAÍDAS-BASE'!H892)</f>
        <v/>
      </c>
      <c r="J894" t="str">
        <f>IF('SAÍDAS-BASE'!I892="","",'SAÍDAS-BASE'!I892)</f>
        <v/>
      </c>
      <c r="K894" s="5" t="str">
        <f>IF('SAÍDAS-BASE'!J892="","",'SAÍDAS-BASE'!J892)</f>
        <v/>
      </c>
      <c r="L894" t="str">
        <f>IF(TABELA_SAIDAS[[#This Row],[UF]]="","",IFERROR(IF(VLOOKUP(TABELA_SAIDAS[[#This Row],[VALOR]],TABELA_ENTRADAS[VALOR],1,FALSE),"DEVOLUÇÃO"),"SEM ENTRADAS"))</f>
        <v/>
      </c>
    </row>
    <row r="895" spans="2:12" x14ac:dyDescent="0.3">
      <c r="B895" t="str">
        <f>IF('SAÍDAS-BASE'!A893="","",'SAÍDAS-BASE'!A893)</f>
        <v/>
      </c>
      <c r="C895" t="str">
        <f>IF('SAÍDAS-BASE'!B893="","",'SAÍDAS-BASE'!B893)</f>
        <v/>
      </c>
      <c r="D895" t="str">
        <f>IF('SAÍDAS-BASE'!C893="","",'SAÍDAS-BASE'!C893)</f>
        <v/>
      </c>
      <c r="E895" s="7" t="str">
        <f>IF('SAÍDAS-BASE'!D893="","",'SAÍDAS-BASE'!D893)</f>
        <v/>
      </c>
      <c r="F895" s="6" t="str">
        <f>IF('SAÍDAS-BASE'!E893="","",'SAÍDAS-BASE'!E893)</f>
        <v/>
      </c>
      <c r="G895" t="str">
        <f>IF('SAÍDAS-BASE'!F893="","",'SAÍDAS-BASE'!F893)</f>
        <v/>
      </c>
      <c r="H895" t="str">
        <f>IF('SAÍDAS-BASE'!G893="","",'SAÍDAS-BASE'!G893)</f>
        <v/>
      </c>
      <c r="I895" t="str">
        <f>IF('SAÍDAS-BASE'!H893="","",'SAÍDAS-BASE'!H893)</f>
        <v/>
      </c>
      <c r="J895" t="str">
        <f>IF('SAÍDAS-BASE'!I893="","",'SAÍDAS-BASE'!I893)</f>
        <v/>
      </c>
      <c r="K895" s="5" t="str">
        <f>IF('SAÍDAS-BASE'!J893="","",'SAÍDAS-BASE'!J893)</f>
        <v/>
      </c>
      <c r="L895" t="str">
        <f>IF(TABELA_SAIDAS[[#This Row],[UF]]="","",IFERROR(IF(VLOOKUP(TABELA_SAIDAS[[#This Row],[VALOR]],TABELA_ENTRADAS[VALOR],1,FALSE),"DEVOLUÇÃO"),"SEM ENTRADAS"))</f>
        <v/>
      </c>
    </row>
    <row r="896" spans="2:12" x14ac:dyDescent="0.3">
      <c r="B896" t="str">
        <f>IF('SAÍDAS-BASE'!A894="","",'SAÍDAS-BASE'!A894)</f>
        <v/>
      </c>
      <c r="C896" t="str">
        <f>IF('SAÍDAS-BASE'!B894="","",'SAÍDAS-BASE'!B894)</f>
        <v/>
      </c>
      <c r="D896" t="str">
        <f>IF('SAÍDAS-BASE'!C894="","",'SAÍDAS-BASE'!C894)</f>
        <v/>
      </c>
      <c r="E896" s="7" t="str">
        <f>IF('SAÍDAS-BASE'!D894="","",'SAÍDAS-BASE'!D894)</f>
        <v/>
      </c>
      <c r="F896" s="6" t="str">
        <f>IF('SAÍDAS-BASE'!E894="","",'SAÍDAS-BASE'!E894)</f>
        <v/>
      </c>
      <c r="G896" t="str">
        <f>IF('SAÍDAS-BASE'!F894="","",'SAÍDAS-BASE'!F894)</f>
        <v/>
      </c>
      <c r="H896" t="str">
        <f>IF('SAÍDAS-BASE'!G894="","",'SAÍDAS-BASE'!G894)</f>
        <v/>
      </c>
      <c r="I896" t="str">
        <f>IF('SAÍDAS-BASE'!H894="","",'SAÍDAS-BASE'!H894)</f>
        <v/>
      </c>
      <c r="J896" t="str">
        <f>IF('SAÍDAS-BASE'!I894="","",'SAÍDAS-BASE'!I894)</f>
        <v/>
      </c>
      <c r="K896" s="5" t="str">
        <f>IF('SAÍDAS-BASE'!J894="","",'SAÍDAS-BASE'!J894)</f>
        <v/>
      </c>
      <c r="L896" t="str">
        <f>IF(TABELA_SAIDAS[[#This Row],[UF]]="","",IFERROR(IF(VLOOKUP(TABELA_SAIDAS[[#This Row],[VALOR]],TABELA_ENTRADAS[VALOR],1,FALSE),"DEVOLUÇÃO"),"SEM ENTRADAS"))</f>
        <v/>
      </c>
    </row>
    <row r="897" spans="2:12" x14ac:dyDescent="0.3">
      <c r="B897" t="str">
        <f>IF('SAÍDAS-BASE'!A895="","",'SAÍDAS-BASE'!A895)</f>
        <v/>
      </c>
      <c r="C897" t="str">
        <f>IF('SAÍDAS-BASE'!B895="","",'SAÍDAS-BASE'!B895)</f>
        <v/>
      </c>
      <c r="D897" t="str">
        <f>IF('SAÍDAS-BASE'!C895="","",'SAÍDAS-BASE'!C895)</f>
        <v/>
      </c>
      <c r="E897" s="7" t="str">
        <f>IF('SAÍDAS-BASE'!D895="","",'SAÍDAS-BASE'!D895)</f>
        <v/>
      </c>
      <c r="F897" s="6" t="str">
        <f>IF('SAÍDAS-BASE'!E895="","",'SAÍDAS-BASE'!E895)</f>
        <v/>
      </c>
      <c r="G897" t="str">
        <f>IF('SAÍDAS-BASE'!F895="","",'SAÍDAS-BASE'!F895)</f>
        <v/>
      </c>
      <c r="H897" t="str">
        <f>IF('SAÍDAS-BASE'!G895="","",'SAÍDAS-BASE'!G895)</f>
        <v/>
      </c>
      <c r="I897" t="str">
        <f>IF('SAÍDAS-BASE'!H895="","",'SAÍDAS-BASE'!H895)</f>
        <v/>
      </c>
      <c r="J897" t="str">
        <f>IF('SAÍDAS-BASE'!I895="","",'SAÍDAS-BASE'!I895)</f>
        <v/>
      </c>
      <c r="K897" s="5" t="str">
        <f>IF('SAÍDAS-BASE'!J895="","",'SAÍDAS-BASE'!J895)</f>
        <v/>
      </c>
      <c r="L897" t="str">
        <f>IF(TABELA_SAIDAS[[#This Row],[UF]]="","",IFERROR(IF(VLOOKUP(TABELA_SAIDAS[[#This Row],[VALOR]],TABELA_ENTRADAS[VALOR],1,FALSE),"DEVOLUÇÃO"),"SEM ENTRADAS"))</f>
        <v/>
      </c>
    </row>
    <row r="898" spans="2:12" x14ac:dyDescent="0.3">
      <c r="B898" t="str">
        <f>IF('SAÍDAS-BASE'!A896="","",'SAÍDAS-BASE'!A896)</f>
        <v/>
      </c>
      <c r="C898" t="str">
        <f>IF('SAÍDAS-BASE'!B896="","",'SAÍDAS-BASE'!B896)</f>
        <v/>
      </c>
      <c r="D898" t="str">
        <f>IF('SAÍDAS-BASE'!C896="","",'SAÍDAS-BASE'!C896)</f>
        <v/>
      </c>
      <c r="E898" s="7" t="str">
        <f>IF('SAÍDAS-BASE'!D896="","",'SAÍDAS-BASE'!D896)</f>
        <v/>
      </c>
      <c r="F898" s="6" t="str">
        <f>IF('SAÍDAS-BASE'!E896="","",'SAÍDAS-BASE'!E896)</f>
        <v/>
      </c>
      <c r="G898" t="str">
        <f>IF('SAÍDAS-BASE'!F896="","",'SAÍDAS-BASE'!F896)</f>
        <v/>
      </c>
      <c r="H898" t="str">
        <f>IF('SAÍDAS-BASE'!G896="","",'SAÍDAS-BASE'!G896)</f>
        <v/>
      </c>
      <c r="I898" t="str">
        <f>IF('SAÍDAS-BASE'!H896="","",'SAÍDAS-BASE'!H896)</f>
        <v/>
      </c>
      <c r="J898" t="str">
        <f>IF('SAÍDAS-BASE'!I896="","",'SAÍDAS-BASE'!I896)</f>
        <v/>
      </c>
      <c r="K898" s="5" t="str">
        <f>IF('SAÍDAS-BASE'!J896="","",'SAÍDAS-BASE'!J896)</f>
        <v/>
      </c>
      <c r="L898" t="str">
        <f>IF(TABELA_SAIDAS[[#This Row],[UF]]="","",IFERROR(IF(VLOOKUP(TABELA_SAIDAS[[#This Row],[VALOR]],TABELA_ENTRADAS[VALOR],1,FALSE),"DEVOLUÇÃO"),"SEM ENTRADAS"))</f>
        <v/>
      </c>
    </row>
    <row r="899" spans="2:12" x14ac:dyDescent="0.3">
      <c r="B899" t="str">
        <f>IF('SAÍDAS-BASE'!A897="","",'SAÍDAS-BASE'!A897)</f>
        <v/>
      </c>
      <c r="C899" t="str">
        <f>IF('SAÍDAS-BASE'!B897="","",'SAÍDAS-BASE'!B897)</f>
        <v/>
      </c>
      <c r="D899" t="str">
        <f>IF('SAÍDAS-BASE'!C897="","",'SAÍDAS-BASE'!C897)</f>
        <v/>
      </c>
      <c r="E899" s="7" t="str">
        <f>IF('SAÍDAS-BASE'!D897="","",'SAÍDAS-BASE'!D897)</f>
        <v/>
      </c>
      <c r="F899" s="6" t="str">
        <f>IF('SAÍDAS-BASE'!E897="","",'SAÍDAS-BASE'!E897)</f>
        <v/>
      </c>
      <c r="G899" t="str">
        <f>IF('SAÍDAS-BASE'!F897="","",'SAÍDAS-BASE'!F897)</f>
        <v/>
      </c>
      <c r="H899" t="str">
        <f>IF('SAÍDAS-BASE'!G897="","",'SAÍDAS-BASE'!G897)</f>
        <v/>
      </c>
      <c r="I899" t="str">
        <f>IF('SAÍDAS-BASE'!H897="","",'SAÍDAS-BASE'!H897)</f>
        <v/>
      </c>
      <c r="J899" t="str">
        <f>IF('SAÍDAS-BASE'!I897="","",'SAÍDAS-BASE'!I897)</f>
        <v/>
      </c>
      <c r="K899" s="5" t="str">
        <f>IF('SAÍDAS-BASE'!J897="","",'SAÍDAS-BASE'!J897)</f>
        <v/>
      </c>
      <c r="L899" t="str">
        <f>IF(TABELA_SAIDAS[[#This Row],[UF]]="","",IFERROR(IF(VLOOKUP(TABELA_SAIDAS[[#This Row],[VALOR]],TABELA_ENTRADAS[VALOR],1,FALSE),"DEVOLUÇÃO"),"SEM ENTRADAS"))</f>
        <v/>
      </c>
    </row>
    <row r="900" spans="2:12" x14ac:dyDescent="0.3">
      <c r="B900" t="str">
        <f>IF('SAÍDAS-BASE'!A898="","",'SAÍDAS-BASE'!A898)</f>
        <v/>
      </c>
      <c r="C900" t="str">
        <f>IF('SAÍDAS-BASE'!B898="","",'SAÍDAS-BASE'!B898)</f>
        <v/>
      </c>
      <c r="D900" t="str">
        <f>IF('SAÍDAS-BASE'!C898="","",'SAÍDAS-BASE'!C898)</f>
        <v/>
      </c>
      <c r="E900" s="7" t="str">
        <f>IF('SAÍDAS-BASE'!D898="","",'SAÍDAS-BASE'!D898)</f>
        <v/>
      </c>
      <c r="F900" s="6" t="str">
        <f>IF('SAÍDAS-BASE'!E898="","",'SAÍDAS-BASE'!E898)</f>
        <v/>
      </c>
      <c r="G900" t="str">
        <f>IF('SAÍDAS-BASE'!F898="","",'SAÍDAS-BASE'!F898)</f>
        <v/>
      </c>
      <c r="H900" t="str">
        <f>IF('SAÍDAS-BASE'!G898="","",'SAÍDAS-BASE'!G898)</f>
        <v/>
      </c>
      <c r="I900" t="str">
        <f>IF('SAÍDAS-BASE'!H898="","",'SAÍDAS-BASE'!H898)</f>
        <v/>
      </c>
      <c r="J900" t="str">
        <f>IF('SAÍDAS-BASE'!I898="","",'SAÍDAS-BASE'!I898)</f>
        <v/>
      </c>
      <c r="K900" s="5" t="str">
        <f>IF('SAÍDAS-BASE'!J898="","",'SAÍDAS-BASE'!J898)</f>
        <v/>
      </c>
      <c r="L900" t="str">
        <f>IF(TABELA_SAIDAS[[#This Row],[UF]]="","",IFERROR(IF(VLOOKUP(TABELA_SAIDAS[[#This Row],[VALOR]],TABELA_ENTRADAS[VALOR],1,FALSE),"DEVOLUÇÃO"),"SEM ENTRADAS"))</f>
        <v/>
      </c>
    </row>
    <row r="901" spans="2:12" x14ac:dyDescent="0.3">
      <c r="B901" t="str">
        <f>IF('SAÍDAS-BASE'!A899="","",'SAÍDAS-BASE'!A899)</f>
        <v/>
      </c>
      <c r="C901" t="str">
        <f>IF('SAÍDAS-BASE'!B899="","",'SAÍDAS-BASE'!B899)</f>
        <v/>
      </c>
      <c r="D901" t="str">
        <f>IF('SAÍDAS-BASE'!C899="","",'SAÍDAS-BASE'!C899)</f>
        <v/>
      </c>
      <c r="E901" s="7" t="str">
        <f>IF('SAÍDAS-BASE'!D899="","",'SAÍDAS-BASE'!D899)</f>
        <v/>
      </c>
      <c r="F901" s="6" t="str">
        <f>IF('SAÍDAS-BASE'!E899="","",'SAÍDAS-BASE'!E899)</f>
        <v/>
      </c>
      <c r="G901" t="str">
        <f>IF('SAÍDAS-BASE'!F899="","",'SAÍDAS-BASE'!F899)</f>
        <v/>
      </c>
      <c r="H901" t="str">
        <f>IF('SAÍDAS-BASE'!G899="","",'SAÍDAS-BASE'!G899)</f>
        <v/>
      </c>
      <c r="I901" t="str">
        <f>IF('SAÍDAS-BASE'!H899="","",'SAÍDAS-BASE'!H899)</f>
        <v/>
      </c>
      <c r="J901" t="str">
        <f>IF('SAÍDAS-BASE'!I899="","",'SAÍDAS-BASE'!I899)</f>
        <v/>
      </c>
      <c r="K901" s="5" t="str">
        <f>IF('SAÍDAS-BASE'!J899="","",'SAÍDAS-BASE'!J899)</f>
        <v/>
      </c>
      <c r="L901" t="str">
        <f>IF(TABELA_SAIDAS[[#This Row],[UF]]="","",IFERROR(IF(VLOOKUP(TABELA_SAIDAS[[#This Row],[VALOR]],TABELA_ENTRADAS[VALOR],1,FALSE),"DEVOLUÇÃO"),"SEM ENTRADAS"))</f>
        <v/>
      </c>
    </row>
    <row r="902" spans="2:12" x14ac:dyDescent="0.3">
      <c r="B902" t="str">
        <f>IF('SAÍDAS-BASE'!A900="","",'SAÍDAS-BASE'!A900)</f>
        <v/>
      </c>
      <c r="C902" t="str">
        <f>IF('SAÍDAS-BASE'!B900="","",'SAÍDAS-BASE'!B900)</f>
        <v/>
      </c>
      <c r="D902" t="str">
        <f>IF('SAÍDAS-BASE'!C900="","",'SAÍDAS-BASE'!C900)</f>
        <v/>
      </c>
      <c r="E902" s="7" t="str">
        <f>IF('SAÍDAS-BASE'!D900="","",'SAÍDAS-BASE'!D900)</f>
        <v/>
      </c>
      <c r="F902" s="6" t="str">
        <f>IF('SAÍDAS-BASE'!E900="","",'SAÍDAS-BASE'!E900)</f>
        <v/>
      </c>
      <c r="G902" t="str">
        <f>IF('SAÍDAS-BASE'!F900="","",'SAÍDAS-BASE'!F900)</f>
        <v/>
      </c>
      <c r="H902" t="str">
        <f>IF('SAÍDAS-BASE'!G900="","",'SAÍDAS-BASE'!G900)</f>
        <v/>
      </c>
      <c r="I902" t="str">
        <f>IF('SAÍDAS-BASE'!H900="","",'SAÍDAS-BASE'!H900)</f>
        <v/>
      </c>
      <c r="J902" t="str">
        <f>IF('SAÍDAS-BASE'!I900="","",'SAÍDAS-BASE'!I900)</f>
        <v/>
      </c>
      <c r="K902" s="5" t="str">
        <f>IF('SAÍDAS-BASE'!J900="","",'SAÍDAS-BASE'!J900)</f>
        <v/>
      </c>
      <c r="L902" t="str">
        <f>IF(TABELA_SAIDAS[[#This Row],[UF]]="","",IFERROR(IF(VLOOKUP(TABELA_SAIDAS[[#This Row],[VALOR]],TABELA_ENTRADAS[VALOR],1,FALSE),"DEVOLUÇÃO"),"SEM ENTRADAS"))</f>
        <v/>
      </c>
    </row>
    <row r="903" spans="2:12" x14ac:dyDescent="0.3">
      <c r="B903" t="str">
        <f>IF('SAÍDAS-BASE'!A901="","",'SAÍDAS-BASE'!A901)</f>
        <v/>
      </c>
      <c r="C903" t="str">
        <f>IF('SAÍDAS-BASE'!B901="","",'SAÍDAS-BASE'!B901)</f>
        <v/>
      </c>
      <c r="D903" t="str">
        <f>IF('SAÍDAS-BASE'!C901="","",'SAÍDAS-BASE'!C901)</f>
        <v/>
      </c>
      <c r="E903" s="7" t="str">
        <f>IF('SAÍDAS-BASE'!D901="","",'SAÍDAS-BASE'!D901)</f>
        <v/>
      </c>
      <c r="F903" s="6" t="str">
        <f>IF('SAÍDAS-BASE'!E901="","",'SAÍDAS-BASE'!E901)</f>
        <v/>
      </c>
      <c r="G903" t="str">
        <f>IF('SAÍDAS-BASE'!F901="","",'SAÍDAS-BASE'!F901)</f>
        <v/>
      </c>
      <c r="H903" t="str">
        <f>IF('SAÍDAS-BASE'!G901="","",'SAÍDAS-BASE'!G901)</f>
        <v/>
      </c>
      <c r="I903" t="str">
        <f>IF('SAÍDAS-BASE'!H901="","",'SAÍDAS-BASE'!H901)</f>
        <v/>
      </c>
      <c r="J903" t="str">
        <f>IF('SAÍDAS-BASE'!I901="","",'SAÍDAS-BASE'!I901)</f>
        <v/>
      </c>
      <c r="K903" s="5" t="str">
        <f>IF('SAÍDAS-BASE'!J901="","",'SAÍDAS-BASE'!J901)</f>
        <v/>
      </c>
      <c r="L903" t="str">
        <f>IF(TABELA_SAIDAS[[#This Row],[UF]]="","",IFERROR(IF(VLOOKUP(TABELA_SAIDAS[[#This Row],[VALOR]],TABELA_ENTRADAS[VALOR],1,FALSE),"DEVOLUÇÃO"),"SEM ENTRADAS"))</f>
        <v/>
      </c>
    </row>
    <row r="904" spans="2:12" x14ac:dyDescent="0.3">
      <c r="B904" t="str">
        <f>IF('SAÍDAS-BASE'!A902="","",'SAÍDAS-BASE'!A902)</f>
        <v/>
      </c>
      <c r="C904" t="str">
        <f>IF('SAÍDAS-BASE'!B902="","",'SAÍDAS-BASE'!B902)</f>
        <v/>
      </c>
      <c r="D904" t="str">
        <f>IF('SAÍDAS-BASE'!C902="","",'SAÍDAS-BASE'!C902)</f>
        <v/>
      </c>
      <c r="E904" s="7" t="str">
        <f>IF('SAÍDAS-BASE'!D902="","",'SAÍDAS-BASE'!D902)</f>
        <v/>
      </c>
      <c r="F904" s="6" t="str">
        <f>IF('SAÍDAS-BASE'!E902="","",'SAÍDAS-BASE'!E902)</f>
        <v/>
      </c>
      <c r="G904" t="str">
        <f>IF('SAÍDAS-BASE'!F902="","",'SAÍDAS-BASE'!F902)</f>
        <v/>
      </c>
      <c r="H904" t="str">
        <f>IF('SAÍDAS-BASE'!G902="","",'SAÍDAS-BASE'!G902)</f>
        <v/>
      </c>
      <c r="I904" t="str">
        <f>IF('SAÍDAS-BASE'!H902="","",'SAÍDAS-BASE'!H902)</f>
        <v/>
      </c>
      <c r="J904" t="str">
        <f>IF('SAÍDAS-BASE'!I902="","",'SAÍDAS-BASE'!I902)</f>
        <v/>
      </c>
      <c r="K904" s="5" t="str">
        <f>IF('SAÍDAS-BASE'!J902="","",'SAÍDAS-BASE'!J902)</f>
        <v/>
      </c>
      <c r="L904" t="str">
        <f>IF(TABELA_SAIDAS[[#This Row],[UF]]="","",IFERROR(IF(VLOOKUP(TABELA_SAIDAS[[#This Row],[VALOR]],TABELA_ENTRADAS[VALOR],1,FALSE),"DEVOLUÇÃO"),"SEM ENTRADAS"))</f>
        <v/>
      </c>
    </row>
    <row r="905" spans="2:12" x14ac:dyDescent="0.3">
      <c r="B905" t="str">
        <f>IF('SAÍDAS-BASE'!A903="","",'SAÍDAS-BASE'!A903)</f>
        <v/>
      </c>
      <c r="C905" t="str">
        <f>IF('SAÍDAS-BASE'!B903="","",'SAÍDAS-BASE'!B903)</f>
        <v/>
      </c>
      <c r="D905" t="str">
        <f>IF('SAÍDAS-BASE'!C903="","",'SAÍDAS-BASE'!C903)</f>
        <v/>
      </c>
      <c r="E905" s="7" t="str">
        <f>IF('SAÍDAS-BASE'!D903="","",'SAÍDAS-BASE'!D903)</f>
        <v/>
      </c>
      <c r="F905" s="6" t="str">
        <f>IF('SAÍDAS-BASE'!E903="","",'SAÍDAS-BASE'!E903)</f>
        <v/>
      </c>
      <c r="G905" t="str">
        <f>IF('SAÍDAS-BASE'!F903="","",'SAÍDAS-BASE'!F903)</f>
        <v/>
      </c>
      <c r="H905" t="str">
        <f>IF('SAÍDAS-BASE'!G903="","",'SAÍDAS-BASE'!G903)</f>
        <v/>
      </c>
      <c r="I905" t="str">
        <f>IF('SAÍDAS-BASE'!H903="","",'SAÍDAS-BASE'!H903)</f>
        <v/>
      </c>
      <c r="J905" t="str">
        <f>IF('SAÍDAS-BASE'!I903="","",'SAÍDAS-BASE'!I903)</f>
        <v/>
      </c>
      <c r="K905" s="5" t="str">
        <f>IF('SAÍDAS-BASE'!J903="","",'SAÍDAS-BASE'!J903)</f>
        <v/>
      </c>
      <c r="L905" t="str">
        <f>IF(TABELA_SAIDAS[[#This Row],[UF]]="","",IFERROR(IF(VLOOKUP(TABELA_SAIDAS[[#This Row],[VALOR]],TABELA_ENTRADAS[VALOR],1,FALSE),"DEVOLUÇÃO"),"SEM ENTRADAS"))</f>
        <v/>
      </c>
    </row>
    <row r="906" spans="2:12" x14ac:dyDescent="0.3">
      <c r="B906" t="str">
        <f>IF('SAÍDAS-BASE'!A904="","",'SAÍDAS-BASE'!A904)</f>
        <v/>
      </c>
      <c r="C906" t="str">
        <f>IF('SAÍDAS-BASE'!B904="","",'SAÍDAS-BASE'!B904)</f>
        <v/>
      </c>
      <c r="D906" t="str">
        <f>IF('SAÍDAS-BASE'!C904="","",'SAÍDAS-BASE'!C904)</f>
        <v/>
      </c>
      <c r="E906" s="7" t="str">
        <f>IF('SAÍDAS-BASE'!D904="","",'SAÍDAS-BASE'!D904)</f>
        <v/>
      </c>
      <c r="F906" s="6" t="str">
        <f>IF('SAÍDAS-BASE'!E904="","",'SAÍDAS-BASE'!E904)</f>
        <v/>
      </c>
      <c r="G906" t="str">
        <f>IF('SAÍDAS-BASE'!F904="","",'SAÍDAS-BASE'!F904)</f>
        <v/>
      </c>
      <c r="H906" t="str">
        <f>IF('SAÍDAS-BASE'!G904="","",'SAÍDAS-BASE'!G904)</f>
        <v/>
      </c>
      <c r="I906" t="str">
        <f>IF('SAÍDAS-BASE'!H904="","",'SAÍDAS-BASE'!H904)</f>
        <v/>
      </c>
      <c r="J906" t="str">
        <f>IF('SAÍDAS-BASE'!I904="","",'SAÍDAS-BASE'!I904)</f>
        <v/>
      </c>
      <c r="K906" s="5" t="str">
        <f>IF('SAÍDAS-BASE'!J904="","",'SAÍDAS-BASE'!J904)</f>
        <v/>
      </c>
      <c r="L906" t="str">
        <f>IF(TABELA_SAIDAS[[#This Row],[UF]]="","",IFERROR(IF(VLOOKUP(TABELA_SAIDAS[[#This Row],[VALOR]],TABELA_ENTRADAS[VALOR],1,FALSE),"DEVOLUÇÃO"),"SEM ENTRADAS"))</f>
        <v/>
      </c>
    </row>
    <row r="907" spans="2:12" x14ac:dyDescent="0.3">
      <c r="B907" t="str">
        <f>IF('SAÍDAS-BASE'!A905="","",'SAÍDAS-BASE'!A905)</f>
        <v/>
      </c>
      <c r="C907" t="str">
        <f>IF('SAÍDAS-BASE'!B905="","",'SAÍDAS-BASE'!B905)</f>
        <v/>
      </c>
      <c r="D907" t="str">
        <f>IF('SAÍDAS-BASE'!C905="","",'SAÍDAS-BASE'!C905)</f>
        <v/>
      </c>
      <c r="E907" s="7" t="str">
        <f>IF('SAÍDAS-BASE'!D905="","",'SAÍDAS-BASE'!D905)</f>
        <v/>
      </c>
      <c r="F907" s="6" t="str">
        <f>IF('SAÍDAS-BASE'!E905="","",'SAÍDAS-BASE'!E905)</f>
        <v/>
      </c>
      <c r="G907" t="str">
        <f>IF('SAÍDAS-BASE'!F905="","",'SAÍDAS-BASE'!F905)</f>
        <v/>
      </c>
      <c r="H907" t="str">
        <f>IF('SAÍDAS-BASE'!G905="","",'SAÍDAS-BASE'!G905)</f>
        <v/>
      </c>
      <c r="I907" t="str">
        <f>IF('SAÍDAS-BASE'!H905="","",'SAÍDAS-BASE'!H905)</f>
        <v/>
      </c>
      <c r="J907" t="str">
        <f>IF('SAÍDAS-BASE'!I905="","",'SAÍDAS-BASE'!I905)</f>
        <v/>
      </c>
      <c r="K907" s="5" t="str">
        <f>IF('SAÍDAS-BASE'!J905="","",'SAÍDAS-BASE'!J905)</f>
        <v/>
      </c>
      <c r="L907" t="str">
        <f>IF(TABELA_SAIDAS[[#This Row],[UF]]="","",IFERROR(IF(VLOOKUP(TABELA_SAIDAS[[#This Row],[VALOR]],TABELA_ENTRADAS[VALOR],1,FALSE),"DEVOLUÇÃO"),"SEM ENTRADAS"))</f>
        <v/>
      </c>
    </row>
    <row r="908" spans="2:12" x14ac:dyDescent="0.3">
      <c r="B908" t="str">
        <f>IF('SAÍDAS-BASE'!A906="","",'SAÍDAS-BASE'!A906)</f>
        <v/>
      </c>
      <c r="C908" t="str">
        <f>IF('SAÍDAS-BASE'!B906="","",'SAÍDAS-BASE'!B906)</f>
        <v/>
      </c>
      <c r="D908" t="str">
        <f>IF('SAÍDAS-BASE'!C906="","",'SAÍDAS-BASE'!C906)</f>
        <v/>
      </c>
      <c r="E908" s="7" t="str">
        <f>IF('SAÍDAS-BASE'!D906="","",'SAÍDAS-BASE'!D906)</f>
        <v/>
      </c>
      <c r="F908" s="6" t="str">
        <f>IF('SAÍDAS-BASE'!E906="","",'SAÍDAS-BASE'!E906)</f>
        <v/>
      </c>
      <c r="G908" t="str">
        <f>IF('SAÍDAS-BASE'!F906="","",'SAÍDAS-BASE'!F906)</f>
        <v/>
      </c>
      <c r="H908" t="str">
        <f>IF('SAÍDAS-BASE'!G906="","",'SAÍDAS-BASE'!G906)</f>
        <v/>
      </c>
      <c r="I908" t="str">
        <f>IF('SAÍDAS-BASE'!H906="","",'SAÍDAS-BASE'!H906)</f>
        <v/>
      </c>
      <c r="J908" t="str">
        <f>IF('SAÍDAS-BASE'!I906="","",'SAÍDAS-BASE'!I906)</f>
        <v/>
      </c>
      <c r="K908" s="5" t="str">
        <f>IF('SAÍDAS-BASE'!J906="","",'SAÍDAS-BASE'!J906)</f>
        <v/>
      </c>
      <c r="L908" t="str">
        <f>IF(TABELA_SAIDAS[[#This Row],[UF]]="","",IFERROR(IF(VLOOKUP(TABELA_SAIDAS[[#This Row],[VALOR]],TABELA_ENTRADAS[VALOR],1,FALSE),"DEVOLUÇÃO"),"SEM ENTRADAS"))</f>
        <v/>
      </c>
    </row>
    <row r="909" spans="2:12" x14ac:dyDescent="0.3">
      <c r="B909" t="str">
        <f>IF('SAÍDAS-BASE'!A907="","",'SAÍDAS-BASE'!A907)</f>
        <v/>
      </c>
      <c r="C909" t="str">
        <f>IF('SAÍDAS-BASE'!B907="","",'SAÍDAS-BASE'!B907)</f>
        <v/>
      </c>
      <c r="D909" t="str">
        <f>IF('SAÍDAS-BASE'!C907="","",'SAÍDAS-BASE'!C907)</f>
        <v/>
      </c>
      <c r="E909" s="7" t="str">
        <f>IF('SAÍDAS-BASE'!D907="","",'SAÍDAS-BASE'!D907)</f>
        <v/>
      </c>
      <c r="F909" s="6" t="str">
        <f>IF('SAÍDAS-BASE'!E907="","",'SAÍDAS-BASE'!E907)</f>
        <v/>
      </c>
      <c r="G909" t="str">
        <f>IF('SAÍDAS-BASE'!F907="","",'SAÍDAS-BASE'!F907)</f>
        <v/>
      </c>
      <c r="H909" t="str">
        <f>IF('SAÍDAS-BASE'!G907="","",'SAÍDAS-BASE'!G907)</f>
        <v/>
      </c>
      <c r="I909" t="str">
        <f>IF('SAÍDAS-BASE'!H907="","",'SAÍDAS-BASE'!H907)</f>
        <v/>
      </c>
      <c r="J909" t="str">
        <f>IF('SAÍDAS-BASE'!I907="","",'SAÍDAS-BASE'!I907)</f>
        <v/>
      </c>
      <c r="K909" s="5" t="str">
        <f>IF('SAÍDAS-BASE'!J907="","",'SAÍDAS-BASE'!J907)</f>
        <v/>
      </c>
      <c r="L909" t="str">
        <f>IF(TABELA_SAIDAS[[#This Row],[UF]]="","",IFERROR(IF(VLOOKUP(TABELA_SAIDAS[[#This Row],[VALOR]],TABELA_ENTRADAS[VALOR],1,FALSE),"DEVOLUÇÃO"),"SEM ENTRADAS"))</f>
        <v/>
      </c>
    </row>
    <row r="910" spans="2:12" x14ac:dyDescent="0.3">
      <c r="B910" t="str">
        <f>IF('SAÍDAS-BASE'!A908="","",'SAÍDAS-BASE'!A908)</f>
        <v/>
      </c>
      <c r="C910" t="str">
        <f>IF('SAÍDAS-BASE'!B908="","",'SAÍDAS-BASE'!B908)</f>
        <v/>
      </c>
      <c r="D910" t="str">
        <f>IF('SAÍDAS-BASE'!C908="","",'SAÍDAS-BASE'!C908)</f>
        <v/>
      </c>
      <c r="E910" s="7" t="str">
        <f>IF('SAÍDAS-BASE'!D908="","",'SAÍDAS-BASE'!D908)</f>
        <v/>
      </c>
      <c r="F910" s="6" t="str">
        <f>IF('SAÍDAS-BASE'!E908="","",'SAÍDAS-BASE'!E908)</f>
        <v/>
      </c>
      <c r="G910" t="str">
        <f>IF('SAÍDAS-BASE'!F908="","",'SAÍDAS-BASE'!F908)</f>
        <v/>
      </c>
      <c r="H910" t="str">
        <f>IF('SAÍDAS-BASE'!G908="","",'SAÍDAS-BASE'!G908)</f>
        <v/>
      </c>
      <c r="I910" t="str">
        <f>IF('SAÍDAS-BASE'!H908="","",'SAÍDAS-BASE'!H908)</f>
        <v/>
      </c>
      <c r="J910" t="str">
        <f>IF('SAÍDAS-BASE'!I908="","",'SAÍDAS-BASE'!I908)</f>
        <v/>
      </c>
      <c r="K910" s="5" t="str">
        <f>IF('SAÍDAS-BASE'!J908="","",'SAÍDAS-BASE'!J908)</f>
        <v/>
      </c>
      <c r="L910" t="str">
        <f>IF(TABELA_SAIDAS[[#This Row],[UF]]="","",IFERROR(IF(VLOOKUP(TABELA_SAIDAS[[#This Row],[VALOR]],TABELA_ENTRADAS[VALOR],1,FALSE),"DEVOLUÇÃO"),"SEM ENTRADAS"))</f>
        <v/>
      </c>
    </row>
    <row r="911" spans="2:12" x14ac:dyDescent="0.3">
      <c r="B911" t="str">
        <f>IF('SAÍDAS-BASE'!A909="","",'SAÍDAS-BASE'!A909)</f>
        <v/>
      </c>
      <c r="C911" t="str">
        <f>IF('SAÍDAS-BASE'!B909="","",'SAÍDAS-BASE'!B909)</f>
        <v/>
      </c>
      <c r="D911" t="str">
        <f>IF('SAÍDAS-BASE'!C909="","",'SAÍDAS-BASE'!C909)</f>
        <v/>
      </c>
      <c r="E911" s="7" t="str">
        <f>IF('SAÍDAS-BASE'!D909="","",'SAÍDAS-BASE'!D909)</f>
        <v/>
      </c>
      <c r="F911" s="6" t="str">
        <f>IF('SAÍDAS-BASE'!E909="","",'SAÍDAS-BASE'!E909)</f>
        <v/>
      </c>
      <c r="G911" t="str">
        <f>IF('SAÍDAS-BASE'!F909="","",'SAÍDAS-BASE'!F909)</f>
        <v/>
      </c>
      <c r="H911" t="str">
        <f>IF('SAÍDAS-BASE'!G909="","",'SAÍDAS-BASE'!G909)</f>
        <v/>
      </c>
      <c r="I911" t="str">
        <f>IF('SAÍDAS-BASE'!H909="","",'SAÍDAS-BASE'!H909)</f>
        <v/>
      </c>
      <c r="J911" t="str">
        <f>IF('SAÍDAS-BASE'!I909="","",'SAÍDAS-BASE'!I909)</f>
        <v/>
      </c>
      <c r="K911" s="5" t="str">
        <f>IF('SAÍDAS-BASE'!J909="","",'SAÍDAS-BASE'!J909)</f>
        <v/>
      </c>
      <c r="L911" t="str">
        <f>IF(TABELA_SAIDAS[[#This Row],[UF]]="","",IFERROR(IF(VLOOKUP(TABELA_SAIDAS[[#This Row],[VALOR]],TABELA_ENTRADAS[VALOR],1,FALSE),"DEVOLUÇÃO"),"SEM ENTRADAS"))</f>
        <v/>
      </c>
    </row>
    <row r="912" spans="2:12" x14ac:dyDescent="0.3">
      <c r="B912" t="str">
        <f>IF('SAÍDAS-BASE'!A910="","",'SAÍDAS-BASE'!A910)</f>
        <v/>
      </c>
      <c r="C912" t="str">
        <f>IF('SAÍDAS-BASE'!B910="","",'SAÍDAS-BASE'!B910)</f>
        <v/>
      </c>
      <c r="D912" t="str">
        <f>IF('SAÍDAS-BASE'!C910="","",'SAÍDAS-BASE'!C910)</f>
        <v/>
      </c>
      <c r="E912" s="7" t="str">
        <f>IF('SAÍDAS-BASE'!D910="","",'SAÍDAS-BASE'!D910)</f>
        <v/>
      </c>
      <c r="F912" s="6" t="str">
        <f>IF('SAÍDAS-BASE'!E910="","",'SAÍDAS-BASE'!E910)</f>
        <v/>
      </c>
      <c r="G912" t="str">
        <f>IF('SAÍDAS-BASE'!F910="","",'SAÍDAS-BASE'!F910)</f>
        <v/>
      </c>
      <c r="H912" t="str">
        <f>IF('SAÍDAS-BASE'!G910="","",'SAÍDAS-BASE'!G910)</f>
        <v/>
      </c>
      <c r="I912" t="str">
        <f>IF('SAÍDAS-BASE'!H910="","",'SAÍDAS-BASE'!H910)</f>
        <v/>
      </c>
      <c r="J912" t="str">
        <f>IF('SAÍDAS-BASE'!I910="","",'SAÍDAS-BASE'!I910)</f>
        <v/>
      </c>
      <c r="K912" s="5" t="str">
        <f>IF('SAÍDAS-BASE'!J910="","",'SAÍDAS-BASE'!J910)</f>
        <v/>
      </c>
      <c r="L912" t="str">
        <f>IF(TABELA_SAIDAS[[#This Row],[UF]]="","",IFERROR(IF(VLOOKUP(TABELA_SAIDAS[[#This Row],[VALOR]],TABELA_ENTRADAS[VALOR],1,FALSE),"DEVOLUÇÃO"),"SEM ENTRADAS"))</f>
        <v/>
      </c>
    </row>
    <row r="913" spans="2:12" x14ac:dyDescent="0.3">
      <c r="B913" t="str">
        <f>IF('SAÍDAS-BASE'!A911="","",'SAÍDAS-BASE'!A911)</f>
        <v/>
      </c>
      <c r="C913" t="str">
        <f>IF('SAÍDAS-BASE'!B911="","",'SAÍDAS-BASE'!B911)</f>
        <v/>
      </c>
      <c r="D913" t="str">
        <f>IF('SAÍDAS-BASE'!C911="","",'SAÍDAS-BASE'!C911)</f>
        <v/>
      </c>
      <c r="E913" s="7" t="str">
        <f>IF('SAÍDAS-BASE'!D911="","",'SAÍDAS-BASE'!D911)</f>
        <v/>
      </c>
      <c r="F913" s="6" t="str">
        <f>IF('SAÍDAS-BASE'!E911="","",'SAÍDAS-BASE'!E911)</f>
        <v/>
      </c>
      <c r="G913" t="str">
        <f>IF('SAÍDAS-BASE'!F911="","",'SAÍDAS-BASE'!F911)</f>
        <v/>
      </c>
      <c r="H913" t="str">
        <f>IF('SAÍDAS-BASE'!G911="","",'SAÍDAS-BASE'!G911)</f>
        <v/>
      </c>
      <c r="I913" t="str">
        <f>IF('SAÍDAS-BASE'!H911="","",'SAÍDAS-BASE'!H911)</f>
        <v/>
      </c>
      <c r="J913" t="str">
        <f>IF('SAÍDAS-BASE'!I911="","",'SAÍDAS-BASE'!I911)</f>
        <v/>
      </c>
      <c r="K913" s="5" t="str">
        <f>IF('SAÍDAS-BASE'!J911="","",'SAÍDAS-BASE'!J911)</f>
        <v/>
      </c>
      <c r="L913" t="str">
        <f>IF(TABELA_SAIDAS[[#This Row],[UF]]="","",IFERROR(IF(VLOOKUP(TABELA_SAIDAS[[#This Row],[VALOR]],TABELA_ENTRADAS[VALOR],1,FALSE),"DEVOLUÇÃO"),"SEM ENTRADAS"))</f>
        <v/>
      </c>
    </row>
    <row r="914" spans="2:12" x14ac:dyDescent="0.3">
      <c r="B914" t="str">
        <f>IF('SAÍDAS-BASE'!A912="","",'SAÍDAS-BASE'!A912)</f>
        <v/>
      </c>
      <c r="C914" t="str">
        <f>IF('SAÍDAS-BASE'!B912="","",'SAÍDAS-BASE'!B912)</f>
        <v/>
      </c>
      <c r="D914" t="str">
        <f>IF('SAÍDAS-BASE'!C912="","",'SAÍDAS-BASE'!C912)</f>
        <v/>
      </c>
      <c r="E914" s="7" t="str">
        <f>IF('SAÍDAS-BASE'!D912="","",'SAÍDAS-BASE'!D912)</f>
        <v/>
      </c>
      <c r="F914" s="6" t="str">
        <f>IF('SAÍDAS-BASE'!E912="","",'SAÍDAS-BASE'!E912)</f>
        <v/>
      </c>
      <c r="G914" t="str">
        <f>IF('SAÍDAS-BASE'!F912="","",'SAÍDAS-BASE'!F912)</f>
        <v/>
      </c>
      <c r="H914" t="str">
        <f>IF('SAÍDAS-BASE'!G912="","",'SAÍDAS-BASE'!G912)</f>
        <v/>
      </c>
      <c r="I914" t="str">
        <f>IF('SAÍDAS-BASE'!H912="","",'SAÍDAS-BASE'!H912)</f>
        <v/>
      </c>
      <c r="J914" t="str">
        <f>IF('SAÍDAS-BASE'!I912="","",'SAÍDAS-BASE'!I912)</f>
        <v/>
      </c>
      <c r="K914" s="5" t="str">
        <f>IF('SAÍDAS-BASE'!J912="","",'SAÍDAS-BASE'!J912)</f>
        <v/>
      </c>
      <c r="L914" t="str">
        <f>IF(TABELA_SAIDAS[[#This Row],[UF]]="","",IFERROR(IF(VLOOKUP(TABELA_SAIDAS[[#This Row],[VALOR]],TABELA_ENTRADAS[VALOR],1,FALSE),"DEVOLUÇÃO"),"SEM ENTRADAS"))</f>
        <v/>
      </c>
    </row>
    <row r="915" spans="2:12" x14ac:dyDescent="0.3">
      <c r="B915" t="str">
        <f>IF('SAÍDAS-BASE'!A913="","",'SAÍDAS-BASE'!A913)</f>
        <v/>
      </c>
      <c r="C915" t="str">
        <f>IF('SAÍDAS-BASE'!B913="","",'SAÍDAS-BASE'!B913)</f>
        <v/>
      </c>
      <c r="D915" t="str">
        <f>IF('SAÍDAS-BASE'!C913="","",'SAÍDAS-BASE'!C913)</f>
        <v/>
      </c>
      <c r="E915" s="7" t="str">
        <f>IF('SAÍDAS-BASE'!D913="","",'SAÍDAS-BASE'!D913)</f>
        <v/>
      </c>
      <c r="F915" s="6" t="str">
        <f>IF('SAÍDAS-BASE'!E913="","",'SAÍDAS-BASE'!E913)</f>
        <v/>
      </c>
      <c r="G915" t="str">
        <f>IF('SAÍDAS-BASE'!F913="","",'SAÍDAS-BASE'!F913)</f>
        <v/>
      </c>
      <c r="H915" t="str">
        <f>IF('SAÍDAS-BASE'!G913="","",'SAÍDAS-BASE'!G913)</f>
        <v/>
      </c>
      <c r="I915" t="str">
        <f>IF('SAÍDAS-BASE'!H913="","",'SAÍDAS-BASE'!H913)</f>
        <v/>
      </c>
      <c r="J915" t="str">
        <f>IF('SAÍDAS-BASE'!I913="","",'SAÍDAS-BASE'!I913)</f>
        <v/>
      </c>
      <c r="K915" s="5" t="str">
        <f>IF('SAÍDAS-BASE'!J913="","",'SAÍDAS-BASE'!J913)</f>
        <v/>
      </c>
      <c r="L915" t="str">
        <f>IF(TABELA_SAIDAS[[#This Row],[UF]]="","",IFERROR(IF(VLOOKUP(TABELA_SAIDAS[[#This Row],[VALOR]],TABELA_ENTRADAS[VALOR],1,FALSE),"DEVOLUÇÃO"),"SEM ENTRADAS"))</f>
        <v/>
      </c>
    </row>
    <row r="916" spans="2:12" x14ac:dyDescent="0.3">
      <c r="B916" t="str">
        <f>IF('SAÍDAS-BASE'!A914="","",'SAÍDAS-BASE'!A914)</f>
        <v/>
      </c>
      <c r="C916" t="str">
        <f>IF('SAÍDAS-BASE'!B914="","",'SAÍDAS-BASE'!B914)</f>
        <v/>
      </c>
      <c r="D916" t="str">
        <f>IF('SAÍDAS-BASE'!C914="","",'SAÍDAS-BASE'!C914)</f>
        <v/>
      </c>
      <c r="E916" s="7" t="str">
        <f>IF('SAÍDAS-BASE'!D914="","",'SAÍDAS-BASE'!D914)</f>
        <v/>
      </c>
      <c r="F916" s="6" t="str">
        <f>IF('SAÍDAS-BASE'!E914="","",'SAÍDAS-BASE'!E914)</f>
        <v/>
      </c>
      <c r="G916" t="str">
        <f>IF('SAÍDAS-BASE'!F914="","",'SAÍDAS-BASE'!F914)</f>
        <v/>
      </c>
      <c r="H916" t="str">
        <f>IF('SAÍDAS-BASE'!G914="","",'SAÍDAS-BASE'!G914)</f>
        <v/>
      </c>
      <c r="I916" t="str">
        <f>IF('SAÍDAS-BASE'!H914="","",'SAÍDAS-BASE'!H914)</f>
        <v/>
      </c>
      <c r="J916" t="str">
        <f>IF('SAÍDAS-BASE'!I914="","",'SAÍDAS-BASE'!I914)</f>
        <v/>
      </c>
      <c r="K916" s="5" t="str">
        <f>IF('SAÍDAS-BASE'!J914="","",'SAÍDAS-BASE'!J914)</f>
        <v/>
      </c>
      <c r="L916" t="str">
        <f>IF(TABELA_SAIDAS[[#This Row],[UF]]="","",IFERROR(IF(VLOOKUP(TABELA_SAIDAS[[#This Row],[VALOR]],TABELA_ENTRADAS[VALOR],1,FALSE),"DEVOLUÇÃO"),"SEM ENTRADAS"))</f>
        <v/>
      </c>
    </row>
    <row r="917" spans="2:12" x14ac:dyDescent="0.3">
      <c r="B917" t="str">
        <f>IF('SAÍDAS-BASE'!A915="","",'SAÍDAS-BASE'!A915)</f>
        <v/>
      </c>
      <c r="C917" t="str">
        <f>IF('SAÍDAS-BASE'!B915="","",'SAÍDAS-BASE'!B915)</f>
        <v/>
      </c>
      <c r="D917" t="str">
        <f>IF('SAÍDAS-BASE'!C915="","",'SAÍDAS-BASE'!C915)</f>
        <v/>
      </c>
      <c r="E917" s="7" t="str">
        <f>IF('SAÍDAS-BASE'!D915="","",'SAÍDAS-BASE'!D915)</f>
        <v/>
      </c>
      <c r="F917" s="6" t="str">
        <f>IF('SAÍDAS-BASE'!E915="","",'SAÍDAS-BASE'!E915)</f>
        <v/>
      </c>
      <c r="G917" t="str">
        <f>IF('SAÍDAS-BASE'!F915="","",'SAÍDAS-BASE'!F915)</f>
        <v/>
      </c>
      <c r="H917" t="str">
        <f>IF('SAÍDAS-BASE'!G915="","",'SAÍDAS-BASE'!G915)</f>
        <v/>
      </c>
      <c r="I917" t="str">
        <f>IF('SAÍDAS-BASE'!H915="","",'SAÍDAS-BASE'!H915)</f>
        <v/>
      </c>
      <c r="J917" t="str">
        <f>IF('SAÍDAS-BASE'!I915="","",'SAÍDAS-BASE'!I915)</f>
        <v/>
      </c>
      <c r="K917" s="5" t="str">
        <f>IF('SAÍDAS-BASE'!J915="","",'SAÍDAS-BASE'!J915)</f>
        <v/>
      </c>
      <c r="L917" t="str">
        <f>IF(TABELA_SAIDAS[[#This Row],[UF]]="","",IFERROR(IF(VLOOKUP(TABELA_SAIDAS[[#This Row],[VALOR]],TABELA_ENTRADAS[VALOR],1,FALSE),"DEVOLUÇÃO"),"SEM ENTRADAS"))</f>
        <v/>
      </c>
    </row>
    <row r="918" spans="2:12" x14ac:dyDescent="0.3">
      <c r="B918" t="str">
        <f>IF('SAÍDAS-BASE'!A916="","",'SAÍDAS-BASE'!A916)</f>
        <v/>
      </c>
      <c r="C918" t="str">
        <f>IF('SAÍDAS-BASE'!B916="","",'SAÍDAS-BASE'!B916)</f>
        <v/>
      </c>
      <c r="D918" t="str">
        <f>IF('SAÍDAS-BASE'!C916="","",'SAÍDAS-BASE'!C916)</f>
        <v/>
      </c>
      <c r="E918" s="7" t="str">
        <f>IF('SAÍDAS-BASE'!D916="","",'SAÍDAS-BASE'!D916)</f>
        <v/>
      </c>
      <c r="F918" s="6" t="str">
        <f>IF('SAÍDAS-BASE'!E916="","",'SAÍDAS-BASE'!E916)</f>
        <v/>
      </c>
      <c r="G918" t="str">
        <f>IF('SAÍDAS-BASE'!F916="","",'SAÍDAS-BASE'!F916)</f>
        <v/>
      </c>
      <c r="H918" t="str">
        <f>IF('SAÍDAS-BASE'!G916="","",'SAÍDAS-BASE'!G916)</f>
        <v/>
      </c>
      <c r="I918" t="str">
        <f>IF('SAÍDAS-BASE'!H916="","",'SAÍDAS-BASE'!H916)</f>
        <v/>
      </c>
      <c r="J918" t="str">
        <f>IF('SAÍDAS-BASE'!I916="","",'SAÍDAS-BASE'!I916)</f>
        <v/>
      </c>
      <c r="K918" s="5" t="str">
        <f>IF('SAÍDAS-BASE'!J916="","",'SAÍDAS-BASE'!J916)</f>
        <v/>
      </c>
      <c r="L918" t="str">
        <f>IF(TABELA_SAIDAS[[#This Row],[UF]]="","",IFERROR(IF(VLOOKUP(TABELA_SAIDAS[[#This Row],[VALOR]],TABELA_ENTRADAS[VALOR],1,FALSE),"DEVOLUÇÃO"),"SEM ENTRADAS"))</f>
        <v/>
      </c>
    </row>
    <row r="919" spans="2:12" x14ac:dyDescent="0.3">
      <c r="B919" t="str">
        <f>IF('SAÍDAS-BASE'!A917="","",'SAÍDAS-BASE'!A917)</f>
        <v/>
      </c>
      <c r="C919" t="str">
        <f>IF('SAÍDAS-BASE'!B917="","",'SAÍDAS-BASE'!B917)</f>
        <v/>
      </c>
      <c r="D919" t="str">
        <f>IF('SAÍDAS-BASE'!C917="","",'SAÍDAS-BASE'!C917)</f>
        <v/>
      </c>
      <c r="E919" s="7" t="str">
        <f>IF('SAÍDAS-BASE'!D917="","",'SAÍDAS-BASE'!D917)</f>
        <v/>
      </c>
      <c r="F919" s="6" t="str">
        <f>IF('SAÍDAS-BASE'!E917="","",'SAÍDAS-BASE'!E917)</f>
        <v/>
      </c>
      <c r="G919" t="str">
        <f>IF('SAÍDAS-BASE'!F917="","",'SAÍDAS-BASE'!F917)</f>
        <v/>
      </c>
      <c r="H919" t="str">
        <f>IF('SAÍDAS-BASE'!G917="","",'SAÍDAS-BASE'!G917)</f>
        <v/>
      </c>
      <c r="I919" t="str">
        <f>IF('SAÍDAS-BASE'!H917="","",'SAÍDAS-BASE'!H917)</f>
        <v/>
      </c>
      <c r="J919" t="str">
        <f>IF('SAÍDAS-BASE'!I917="","",'SAÍDAS-BASE'!I917)</f>
        <v/>
      </c>
      <c r="K919" s="5" t="str">
        <f>IF('SAÍDAS-BASE'!J917="","",'SAÍDAS-BASE'!J917)</f>
        <v/>
      </c>
      <c r="L919" t="str">
        <f>IF(TABELA_SAIDAS[[#This Row],[UF]]="","",IFERROR(IF(VLOOKUP(TABELA_SAIDAS[[#This Row],[VALOR]],TABELA_ENTRADAS[VALOR],1,FALSE),"DEVOLUÇÃO"),"SEM ENTRADAS"))</f>
        <v/>
      </c>
    </row>
    <row r="920" spans="2:12" x14ac:dyDescent="0.3">
      <c r="B920" t="str">
        <f>IF('SAÍDAS-BASE'!A918="","",'SAÍDAS-BASE'!A918)</f>
        <v/>
      </c>
      <c r="C920" t="str">
        <f>IF('SAÍDAS-BASE'!B918="","",'SAÍDAS-BASE'!B918)</f>
        <v/>
      </c>
      <c r="D920" t="str">
        <f>IF('SAÍDAS-BASE'!C918="","",'SAÍDAS-BASE'!C918)</f>
        <v/>
      </c>
      <c r="E920" s="7" t="str">
        <f>IF('SAÍDAS-BASE'!D918="","",'SAÍDAS-BASE'!D918)</f>
        <v/>
      </c>
      <c r="F920" s="6" t="str">
        <f>IF('SAÍDAS-BASE'!E918="","",'SAÍDAS-BASE'!E918)</f>
        <v/>
      </c>
      <c r="G920" t="str">
        <f>IF('SAÍDAS-BASE'!F918="","",'SAÍDAS-BASE'!F918)</f>
        <v/>
      </c>
      <c r="H920" t="str">
        <f>IF('SAÍDAS-BASE'!G918="","",'SAÍDAS-BASE'!G918)</f>
        <v/>
      </c>
      <c r="I920" t="str">
        <f>IF('SAÍDAS-BASE'!H918="","",'SAÍDAS-BASE'!H918)</f>
        <v/>
      </c>
      <c r="J920" t="str">
        <f>IF('SAÍDAS-BASE'!I918="","",'SAÍDAS-BASE'!I918)</f>
        <v/>
      </c>
      <c r="K920" s="5" t="str">
        <f>IF('SAÍDAS-BASE'!J918="","",'SAÍDAS-BASE'!J918)</f>
        <v/>
      </c>
      <c r="L920" t="str">
        <f>IF(TABELA_SAIDAS[[#This Row],[UF]]="","",IFERROR(IF(VLOOKUP(TABELA_SAIDAS[[#This Row],[VALOR]],TABELA_ENTRADAS[VALOR],1,FALSE),"DEVOLUÇÃO"),"SEM ENTRADAS"))</f>
        <v/>
      </c>
    </row>
    <row r="921" spans="2:12" x14ac:dyDescent="0.3">
      <c r="B921" t="str">
        <f>IF('SAÍDAS-BASE'!A919="","",'SAÍDAS-BASE'!A919)</f>
        <v/>
      </c>
      <c r="C921" t="str">
        <f>IF('SAÍDAS-BASE'!B919="","",'SAÍDAS-BASE'!B919)</f>
        <v/>
      </c>
      <c r="D921" t="str">
        <f>IF('SAÍDAS-BASE'!C919="","",'SAÍDAS-BASE'!C919)</f>
        <v/>
      </c>
      <c r="E921" s="7" t="str">
        <f>IF('SAÍDAS-BASE'!D919="","",'SAÍDAS-BASE'!D919)</f>
        <v/>
      </c>
      <c r="F921" s="6" t="str">
        <f>IF('SAÍDAS-BASE'!E919="","",'SAÍDAS-BASE'!E919)</f>
        <v/>
      </c>
      <c r="G921" t="str">
        <f>IF('SAÍDAS-BASE'!F919="","",'SAÍDAS-BASE'!F919)</f>
        <v/>
      </c>
      <c r="H921" t="str">
        <f>IF('SAÍDAS-BASE'!G919="","",'SAÍDAS-BASE'!G919)</f>
        <v/>
      </c>
      <c r="I921" t="str">
        <f>IF('SAÍDAS-BASE'!H919="","",'SAÍDAS-BASE'!H919)</f>
        <v/>
      </c>
      <c r="J921" t="str">
        <f>IF('SAÍDAS-BASE'!I919="","",'SAÍDAS-BASE'!I919)</f>
        <v/>
      </c>
      <c r="K921" s="5" t="str">
        <f>IF('SAÍDAS-BASE'!J919="","",'SAÍDAS-BASE'!J919)</f>
        <v/>
      </c>
      <c r="L921" t="str">
        <f>IF(TABELA_SAIDAS[[#This Row],[UF]]="","",IFERROR(IF(VLOOKUP(TABELA_SAIDAS[[#This Row],[VALOR]],TABELA_ENTRADAS[VALOR],1,FALSE),"DEVOLUÇÃO"),"SEM ENTRADAS"))</f>
        <v/>
      </c>
    </row>
    <row r="922" spans="2:12" x14ac:dyDescent="0.3">
      <c r="B922" t="str">
        <f>IF('SAÍDAS-BASE'!A920="","",'SAÍDAS-BASE'!A920)</f>
        <v/>
      </c>
      <c r="C922" t="str">
        <f>IF('SAÍDAS-BASE'!B920="","",'SAÍDAS-BASE'!B920)</f>
        <v/>
      </c>
      <c r="D922" t="str">
        <f>IF('SAÍDAS-BASE'!C920="","",'SAÍDAS-BASE'!C920)</f>
        <v/>
      </c>
      <c r="E922" s="7" t="str">
        <f>IF('SAÍDAS-BASE'!D920="","",'SAÍDAS-BASE'!D920)</f>
        <v/>
      </c>
      <c r="F922" s="6" t="str">
        <f>IF('SAÍDAS-BASE'!E920="","",'SAÍDAS-BASE'!E920)</f>
        <v/>
      </c>
      <c r="G922" t="str">
        <f>IF('SAÍDAS-BASE'!F920="","",'SAÍDAS-BASE'!F920)</f>
        <v/>
      </c>
      <c r="H922" t="str">
        <f>IF('SAÍDAS-BASE'!G920="","",'SAÍDAS-BASE'!G920)</f>
        <v/>
      </c>
      <c r="I922" t="str">
        <f>IF('SAÍDAS-BASE'!H920="","",'SAÍDAS-BASE'!H920)</f>
        <v/>
      </c>
      <c r="J922" t="str">
        <f>IF('SAÍDAS-BASE'!I920="","",'SAÍDAS-BASE'!I920)</f>
        <v/>
      </c>
      <c r="K922" s="5" t="str">
        <f>IF('SAÍDAS-BASE'!J920="","",'SAÍDAS-BASE'!J920)</f>
        <v/>
      </c>
      <c r="L922" t="str">
        <f>IF(TABELA_SAIDAS[[#This Row],[UF]]="","",IFERROR(IF(VLOOKUP(TABELA_SAIDAS[[#This Row],[VALOR]],TABELA_ENTRADAS[VALOR],1,FALSE),"DEVOLUÇÃO"),"SEM ENTRADAS"))</f>
        <v/>
      </c>
    </row>
    <row r="923" spans="2:12" x14ac:dyDescent="0.3">
      <c r="B923" t="str">
        <f>IF('SAÍDAS-BASE'!A921="","",'SAÍDAS-BASE'!A921)</f>
        <v/>
      </c>
      <c r="C923" t="str">
        <f>IF('SAÍDAS-BASE'!B921="","",'SAÍDAS-BASE'!B921)</f>
        <v/>
      </c>
      <c r="D923" t="str">
        <f>IF('SAÍDAS-BASE'!C921="","",'SAÍDAS-BASE'!C921)</f>
        <v/>
      </c>
      <c r="E923" s="7" t="str">
        <f>IF('SAÍDAS-BASE'!D921="","",'SAÍDAS-BASE'!D921)</f>
        <v/>
      </c>
      <c r="F923" s="6" t="str">
        <f>IF('SAÍDAS-BASE'!E921="","",'SAÍDAS-BASE'!E921)</f>
        <v/>
      </c>
      <c r="G923" t="str">
        <f>IF('SAÍDAS-BASE'!F921="","",'SAÍDAS-BASE'!F921)</f>
        <v/>
      </c>
      <c r="H923" t="str">
        <f>IF('SAÍDAS-BASE'!G921="","",'SAÍDAS-BASE'!G921)</f>
        <v/>
      </c>
      <c r="I923" t="str">
        <f>IF('SAÍDAS-BASE'!H921="","",'SAÍDAS-BASE'!H921)</f>
        <v/>
      </c>
      <c r="J923" t="str">
        <f>IF('SAÍDAS-BASE'!I921="","",'SAÍDAS-BASE'!I921)</f>
        <v/>
      </c>
      <c r="K923" s="5" t="str">
        <f>IF('SAÍDAS-BASE'!J921="","",'SAÍDAS-BASE'!J921)</f>
        <v/>
      </c>
      <c r="L923" t="str">
        <f>IF(TABELA_SAIDAS[[#This Row],[UF]]="","",IFERROR(IF(VLOOKUP(TABELA_SAIDAS[[#This Row],[VALOR]],TABELA_ENTRADAS[VALOR],1,FALSE),"DEVOLUÇÃO"),"SEM ENTRADAS"))</f>
        <v/>
      </c>
    </row>
    <row r="924" spans="2:12" x14ac:dyDescent="0.3">
      <c r="B924" t="str">
        <f>IF('SAÍDAS-BASE'!A922="","",'SAÍDAS-BASE'!A922)</f>
        <v/>
      </c>
      <c r="C924" t="str">
        <f>IF('SAÍDAS-BASE'!B922="","",'SAÍDAS-BASE'!B922)</f>
        <v/>
      </c>
      <c r="D924" t="str">
        <f>IF('SAÍDAS-BASE'!C922="","",'SAÍDAS-BASE'!C922)</f>
        <v/>
      </c>
      <c r="E924" s="7" t="str">
        <f>IF('SAÍDAS-BASE'!D922="","",'SAÍDAS-BASE'!D922)</f>
        <v/>
      </c>
      <c r="F924" s="6" t="str">
        <f>IF('SAÍDAS-BASE'!E922="","",'SAÍDAS-BASE'!E922)</f>
        <v/>
      </c>
      <c r="G924" t="str">
        <f>IF('SAÍDAS-BASE'!F922="","",'SAÍDAS-BASE'!F922)</f>
        <v/>
      </c>
      <c r="H924" t="str">
        <f>IF('SAÍDAS-BASE'!G922="","",'SAÍDAS-BASE'!G922)</f>
        <v/>
      </c>
      <c r="I924" t="str">
        <f>IF('SAÍDAS-BASE'!H922="","",'SAÍDAS-BASE'!H922)</f>
        <v/>
      </c>
      <c r="J924" t="str">
        <f>IF('SAÍDAS-BASE'!I922="","",'SAÍDAS-BASE'!I922)</f>
        <v/>
      </c>
      <c r="K924" s="5" t="str">
        <f>IF('SAÍDAS-BASE'!J922="","",'SAÍDAS-BASE'!J922)</f>
        <v/>
      </c>
      <c r="L924" t="str">
        <f>IF(TABELA_SAIDAS[[#This Row],[UF]]="","",IFERROR(IF(VLOOKUP(TABELA_SAIDAS[[#This Row],[VALOR]],TABELA_ENTRADAS[VALOR],1,FALSE),"DEVOLUÇÃO"),"SEM ENTRADAS"))</f>
        <v/>
      </c>
    </row>
    <row r="925" spans="2:12" x14ac:dyDescent="0.3">
      <c r="B925" t="str">
        <f>IF('SAÍDAS-BASE'!A923="","",'SAÍDAS-BASE'!A923)</f>
        <v/>
      </c>
      <c r="C925" t="str">
        <f>IF('SAÍDAS-BASE'!B923="","",'SAÍDAS-BASE'!B923)</f>
        <v/>
      </c>
      <c r="D925" t="str">
        <f>IF('SAÍDAS-BASE'!C923="","",'SAÍDAS-BASE'!C923)</f>
        <v/>
      </c>
      <c r="E925" s="7" t="str">
        <f>IF('SAÍDAS-BASE'!D923="","",'SAÍDAS-BASE'!D923)</f>
        <v/>
      </c>
      <c r="F925" s="6" t="str">
        <f>IF('SAÍDAS-BASE'!E923="","",'SAÍDAS-BASE'!E923)</f>
        <v/>
      </c>
      <c r="G925" t="str">
        <f>IF('SAÍDAS-BASE'!F923="","",'SAÍDAS-BASE'!F923)</f>
        <v/>
      </c>
      <c r="H925" t="str">
        <f>IF('SAÍDAS-BASE'!G923="","",'SAÍDAS-BASE'!G923)</f>
        <v/>
      </c>
      <c r="I925" t="str">
        <f>IF('SAÍDAS-BASE'!H923="","",'SAÍDAS-BASE'!H923)</f>
        <v/>
      </c>
      <c r="J925" t="str">
        <f>IF('SAÍDAS-BASE'!I923="","",'SAÍDAS-BASE'!I923)</f>
        <v/>
      </c>
      <c r="K925" s="5" t="str">
        <f>IF('SAÍDAS-BASE'!J923="","",'SAÍDAS-BASE'!J923)</f>
        <v/>
      </c>
      <c r="L925" t="str">
        <f>IF(TABELA_SAIDAS[[#This Row],[UF]]="","",IFERROR(IF(VLOOKUP(TABELA_SAIDAS[[#This Row],[VALOR]],TABELA_ENTRADAS[VALOR],1,FALSE),"DEVOLUÇÃO"),"SEM ENTRADAS"))</f>
        <v/>
      </c>
    </row>
    <row r="926" spans="2:12" x14ac:dyDescent="0.3">
      <c r="B926" t="str">
        <f>IF('SAÍDAS-BASE'!A924="","",'SAÍDAS-BASE'!A924)</f>
        <v/>
      </c>
      <c r="C926" t="str">
        <f>IF('SAÍDAS-BASE'!B924="","",'SAÍDAS-BASE'!B924)</f>
        <v/>
      </c>
      <c r="D926" t="str">
        <f>IF('SAÍDAS-BASE'!C924="","",'SAÍDAS-BASE'!C924)</f>
        <v/>
      </c>
      <c r="E926" s="7" t="str">
        <f>IF('SAÍDAS-BASE'!D924="","",'SAÍDAS-BASE'!D924)</f>
        <v/>
      </c>
      <c r="F926" s="6" t="str">
        <f>IF('SAÍDAS-BASE'!E924="","",'SAÍDAS-BASE'!E924)</f>
        <v/>
      </c>
      <c r="G926" t="str">
        <f>IF('SAÍDAS-BASE'!F924="","",'SAÍDAS-BASE'!F924)</f>
        <v/>
      </c>
      <c r="H926" t="str">
        <f>IF('SAÍDAS-BASE'!G924="","",'SAÍDAS-BASE'!G924)</f>
        <v/>
      </c>
      <c r="I926" t="str">
        <f>IF('SAÍDAS-BASE'!H924="","",'SAÍDAS-BASE'!H924)</f>
        <v/>
      </c>
      <c r="J926" t="str">
        <f>IF('SAÍDAS-BASE'!I924="","",'SAÍDAS-BASE'!I924)</f>
        <v/>
      </c>
      <c r="K926" s="5" t="str">
        <f>IF('SAÍDAS-BASE'!J924="","",'SAÍDAS-BASE'!J924)</f>
        <v/>
      </c>
      <c r="L926" t="str">
        <f>IF(TABELA_SAIDAS[[#This Row],[UF]]="","",IFERROR(IF(VLOOKUP(TABELA_SAIDAS[[#This Row],[VALOR]],TABELA_ENTRADAS[VALOR],1,FALSE),"DEVOLUÇÃO"),"SEM ENTRADAS"))</f>
        <v/>
      </c>
    </row>
    <row r="927" spans="2:12" x14ac:dyDescent="0.3">
      <c r="B927" t="str">
        <f>IF('SAÍDAS-BASE'!A925="","",'SAÍDAS-BASE'!A925)</f>
        <v/>
      </c>
      <c r="C927" t="str">
        <f>IF('SAÍDAS-BASE'!B925="","",'SAÍDAS-BASE'!B925)</f>
        <v/>
      </c>
      <c r="D927" t="str">
        <f>IF('SAÍDAS-BASE'!C925="","",'SAÍDAS-BASE'!C925)</f>
        <v/>
      </c>
      <c r="E927" s="7" t="str">
        <f>IF('SAÍDAS-BASE'!D925="","",'SAÍDAS-BASE'!D925)</f>
        <v/>
      </c>
      <c r="F927" s="6" t="str">
        <f>IF('SAÍDAS-BASE'!E925="","",'SAÍDAS-BASE'!E925)</f>
        <v/>
      </c>
      <c r="G927" t="str">
        <f>IF('SAÍDAS-BASE'!F925="","",'SAÍDAS-BASE'!F925)</f>
        <v/>
      </c>
      <c r="H927" t="str">
        <f>IF('SAÍDAS-BASE'!G925="","",'SAÍDAS-BASE'!G925)</f>
        <v/>
      </c>
      <c r="I927" t="str">
        <f>IF('SAÍDAS-BASE'!H925="","",'SAÍDAS-BASE'!H925)</f>
        <v/>
      </c>
      <c r="J927" t="str">
        <f>IF('SAÍDAS-BASE'!I925="","",'SAÍDAS-BASE'!I925)</f>
        <v/>
      </c>
      <c r="K927" s="5" t="str">
        <f>IF('SAÍDAS-BASE'!J925="","",'SAÍDAS-BASE'!J925)</f>
        <v/>
      </c>
      <c r="L927" t="str">
        <f>IF(TABELA_SAIDAS[[#This Row],[UF]]="","",IFERROR(IF(VLOOKUP(TABELA_SAIDAS[[#This Row],[VALOR]],TABELA_ENTRADAS[VALOR],1,FALSE),"DEVOLUÇÃO"),"SEM ENTRADAS"))</f>
        <v/>
      </c>
    </row>
    <row r="928" spans="2:12" x14ac:dyDescent="0.3">
      <c r="B928" t="str">
        <f>IF('SAÍDAS-BASE'!A926="","",'SAÍDAS-BASE'!A926)</f>
        <v/>
      </c>
      <c r="C928" t="str">
        <f>IF('SAÍDAS-BASE'!B926="","",'SAÍDAS-BASE'!B926)</f>
        <v/>
      </c>
      <c r="D928" t="str">
        <f>IF('SAÍDAS-BASE'!C926="","",'SAÍDAS-BASE'!C926)</f>
        <v/>
      </c>
      <c r="E928" s="7" t="str">
        <f>IF('SAÍDAS-BASE'!D926="","",'SAÍDAS-BASE'!D926)</f>
        <v/>
      </c>
      <c r="F928" s="6" t="str">
        <f>IF('SAÍDAS-BASE'!E926="","",'SAÍDAS-BASE'!E926)</f>
        <v/>
      </c>
      <c r="G928" t="str">
        <f>IF('SAÍDAS-BASE'!F926="","",'SAÍDAS-BASE'!F926)</f>
        <v/>
      </c>
      <c r="H928" t="str">
        <f>IF('SAÍDAS-BASE'!G926="","",'SAÍDAS-BASE'!G926)</f>
        <v/>
      </c>
      <c r="I928" t="str">
        <f>IF('SAÍDAS-BASE'!H926="","",'SAÍDAS-BASE'!H926)</f>
        <v/>
      </c>
      <c r="J928" t="str">
        <f>IF('SAÍDAS-BASE'!I926="","",'SAÍDAS-BASE'!I926)</f>
        <v/>
      </c>
      <c r="K928" s="5" t="str">
        <f>IF('SAÍDAS-BASE'!J926="","",'SAÍDAS-BASE'!J926)</f>
        <v/>
      </c>
      <c r="L928" t="str">
        <f>IF(TABELA_SAIDAS[[#This Row],[UF]]="","",IFERROR(IF(VLOOKUP(TABELA_SAIDAS[[#This Row],[VALOR]],TABELA_ENTRADAS[VALOR],1,FALSE),"DEVOLUÇÃO"),"SEM ENTRADAS"))</f>
        <v/>
      </c>
    </row>
    <row r="929" spans="2:12" x14ac:dyDescent="0.3">
      <c r="B929" t="str">
        <f>IF('SAÍDAS-BASE'!A927="","",'SAÍDAS-BASE'!A927)</f>
        <v/>
      </c>
      <c r="C929" t="str">
        <f>IF('SAÍDAS-BASE'!B927="","",'SAÍDAS-BASE'!B927)</f>
        <v/>
      </c>
      <c r="D929" t="str">
        <f>IF('SAÍDAS-BASE'!C927="","",'SAÍDAS-BASE'!C927)</f>
        <v/>
      </c>
      <c r="E929" s="7" t="str">
        <f>IF('SAÍDAS-BASE'!D927="","",'SAÍDAS-BASE'!D927)</f>
        <v/>
      </c>
      <c r="F929" s="6" t="str">
        <f>IF('SAÍDAS-BASE'!E927="","",'SAÍDAS-BASE'!E927)</f>
        <v/>
      </c>
      <c r="G929" t="str">
        <f>IF('SAÍDAS-BASE'!F927="","",'SAÍDAS-BASE'!F927)</f>
        <v/>
      </c>
      <c r="H929" t="str">
        <f>IF('SAÍDAS-BASE'!G927="","",'SAÍDAS-BASE'!G927)</f>
        <v/>
      </c>
      <c r="I929" t="str">
        <f>IF('SAÍDAS-BASE'!H927="","",'SAÍDAS-BASE'!H927)</f>
        <v/>
      </c>
      <c r="J929" t="str">
        <f>IF('SAÍDAS-BASE'!I927="","",'SAÍDAS-BASE'!I927)</f>
        <v/>
      </c>
      <c r="K929" s="5" t="str">
        <f>IF('SAÍDAS-BASE'!J927="","",'SAÍDAS-BASE'!J927)</f>
        <v/>
      </c>
      <c r="L929" t="str">
        <f>IF(TABELA_SAIDAS[[#This Row],[UF]]="","",IFERROR(IF(VLOOKUP(TABELA_SAIDAS[[#This Row],[VALOR]],TABELA_ENTRADAS[VALOR],1,FALSE),"DEVOLUÇÃO"),"SEM ENTRADAS"))</f>
        <v/>
      </c>
    </row>
    <row r="930" spans="2:12" x14ac:dyDescent="0.3">
      <c r="B930" t="str">
        <f>IF('SAÍDAS-BASE'!A928="","",'SAÍDAS-BASE'!A928)</f>
        <v/>
      </c>
      <c r="C930" t="str">
        <f>IF('SAÍDAS-BASE'!B928="","",'SAÍDAS-BASE'!B928)</f>
        <v/>
      </c>
      <c r="D930" t="str">
        <f>IF('SAÍDAS-BASE'!C928="","",'SAÍDAS-BASE'!C928)</f>
        <v/>
      </c>
      <c r="E930" s="7" t="str">
        <f>IF('SAÍDAS-BASE'!D928="","",'SAÍDAS-BASE'!D928)</f>
        <v/>
      </c>
      <c r="F930" s="6" t="str">
        <f>IF('SAÍDAS-BASE'!E928="","",'SAÍDAS-BASE'!E928)</f>
        <v/>
      </c>
      <c r="G930" t="str">
        <f>IF('SAÍDAS-BASE'!F928="","",'SAÍDAS-BASE'!F928)</f>
        <v/>
      </c>
      <c r="H930" t="str">
        <f>IF('SAÍDAS-BASE'!G928="","",'SAÍDAS-BASE'!G928)</f>
        <v/>
      </c>
      <c r="I930" t="str">
        <f>IF('SAÍDAS-BASE'!H928="","",'SAÍDAS-BASE'!H928)</f>
        <v/>
      </c>
      <c r="J930" t="str">
        <f>IF('SAÍDAS-BASE'!I928="","",'SAÍDAS-BASE'!I928)</f>
        <v/>
      </c>
      <c r="K930" s="5" t="str">
        <f>IF('SAÍDAS-BASE'!J928="","",'SAÍDAS-BASE'!J928)</f>
        <v/>
      </c>
      <c r="L930" t="str">
        <f>IF(TABELA_SAIDAS[[#This Row],[UF]]="","",IFERROR(IF(VLOOKUP(TABELA_SAIDAS[[#This Row],[VALOR]],TABELA_ENTRADAS[VALOR],1,FALSE),"DEVOLUÇÃO"),"SEM ENTRADAS"))</f>
        <v/>
      </c>
    </row>
    <row r="931" spans="2:12" x14ac:dyDescent="0.3">
      <c r="B931" t="str">
        <f>IF('SAÍDAS-BASE'!A929="","",'SAÍDAS-BASE'!A929)</f>
        <v/>
      </c>
      <c r="C931" t="str">
        <f>IF('SAÍDAS-BASE'!B929="","",'SAÍDAS-BASE'!B929)</f>
        <v/>
      </c>
      <c r="D931" t="str">
        <f>IF('SAÍDAS-BASE'!C929="","",'SAÍDAS-BASE'!C929)</f>
        <v/>
      </c>
      <c r="E931" s="7" t="str">
        <f>IF('SAÍDAS-BASE'!D929="","",'SAÍDAS-BASE'!D929)</f>
        <v/>
      </c>
      <c r="F931" s="6" t="str">
        <f>IF('SAÍDAS-BASE'!E929="","",'SAÍDAS-BASE'!E929)</f>
        <v/>
      </c>
      <c r="G931" t="str">
        <f>IF('SAÍDAS-BASE'!F929="","",'SAÍDAS-BASE'!F929)</f>
        <v/>
      </c>
      <c r="H931" t="str">
        <f>IF('SAÍDAS-BASE'!G929="","",'SAÍDAS-BASE'!G929)</f>
        <v/>
      </c>
      <c r="I931" t="str">
        <f>IF('SAÍDAS-BASE'!H929="","",'SAÍDAS-BASE'!H929)</f>
        <v/>
      </c>
      <c r="J931" t="str">
        <f>IF('SAÍDAS-BASE'!I929="","",'SAÍDAS-BASE'!I929)</f>
        <v/>
      </c>
      <c r="K931" s="5" t="str">
        <f>IF('SAÍDAS-BASE'!J929="","",'SAÍDAS-BASE'!J929)</f>
        <v/>
      </c>
      <c r="L931" t="str">
        <f>IF(TABELA_SAIDAS[[#This Row],[UF]]="","",IFERROR(IF(VLOOKUP(TABELA_SAIDAS[[#This Row],[VALOR]],TABELA_ENTRADAS[VALOR],1,FALSE),"DEVOLUÇÃO"),"SEM ENTRADAS"))</f>
        <v/>
      </c>
    </row>
    <row r="932" spans="2:12" x14ac:dyDescent="0.3">
      <c r="B932" t="str">
        <f>IF('SAÍDAS-BASE'!A930="","",'SAÍDAS-BASE'!A930)</f>
        <v/>
      </c>
      <c r="C932" t="str">
        <f>IF('SAÍDAS-BASE'!B930="","",'SAÍDAS-BASE'!B930)</f>
        <v/>
      </c>
      <c r="D932" t="str">
        <f>IF('SAÍDAS-BASE'!C930="","",'SAÍDAS-BASE'!C930)</f>
        <v/>
      </c>
      <c r="E932" s="7" t="str">
        <f>IF('SAÍDAS-BASE'!D930="","",'SAÍDAS-BASE'!D930)</f>
        <v/>
      </c>
      <c r="F932" s="6" t="str">
        <f>IF('SAÍDAS-BASE'!E930="","",'SAÍDAS-BASE'!E930)</f>
        <v/>
      </c>
      <c r="G932" t="str">
        <f>IF('SAÍDAS-BASE'!F930="","",'SAÍDAS-BASE'!F930)</f>
        <v/>
      </c>
      <c r="H932" t="str">
        <f>IF('SAÍDAS-BASE'!G930="","",'SAÍDAS-BASE'!G930)</f>
        <v/>
      </c>
      <c r="I932" t="str">
        <f>IF('SAÍDAS-BASE'!H930="","",'SAÍDAS-BASE'!H930)</f>
        <v/>
      </c>
      <c r="J932" t="str">
        <f>IF('SAÍDAS-BASE'!I930="","",'SAÍDAS-BASE'!I930)</f>
        <v/>
      </c>
      <c r="K932" s="5" t="str">
        <f>IF('SAÍDAS-BASE'!J930="","",'SAÍDAS-BASE'!J930)</f>
        <v/>
      </c>
      <c r="L932" t="str">
        <f>IF(TABELA_SAIDAS[[#This Row],[UF]]="","",IFERROR(IF(VLOOKUP(TABELA_SAIDAS[[#This Row],[VALOR]],TABELA_ENTRADAS[VALOR],1,FALSE),"DEVOLUÇÃO"),"SEM ENTRADAS"))</f>
        <v/>
      </c>
    </row>
    <row r="933" spans="2:12" x14ac:dyDescent="0.3">
      <c r="B933" t="str">
        <f>IF('SAÍDAS-BASE'!A931="","",'SAÍDAS-BASE'!A931)</f>
        <v/>
      </c>
      <c r="C933" t="str">
        <f>IF('SAÍDAS-BASE'!B931="","",'SAÍDAS-BASE'!B931)</f>
        <v/>
      </c>
      <c r="D933" t="str">
        <f>IF('SAÍDAS-BASE'!C931="","",'SAÍDAS-BASE'!C931)</f>
        <v/>
      </c>
      <c r="E933" s="7" t="str">
        <f>IF('SAÍDAS-BASE'!D931="","",'SAÍDAS-BASE'!D931)</f>
        <v/>
      </c>
      <c r="F933" s="6" t="str">
        <f>IF('SAÍDAS-BASE'!E931="","",'SAÍDAS-BASE'!E931)</f>
        <v/>
      </c>
      <c r="G933" t="str">
        <f>IF('SAÍDAS-BASE'!F931="","",'SAÍDAS-BASE'!F931)</f>
        <v/>
      </c>
      <c r="H933" t="str">
        <f>IF('SAÍDAS-BASE'!G931="","",'SAÍDAS-BASE'!G931)</f>
        <v/>
      </c>
      <c r="I933" t="str">
        <f>IF('SAÍDAS-BASE'!H931="","",'SAÍDAS-BASE'!H931)</f>
        <v/>
      </c>
      <c r="J933" t="str">
        <f>IF('SAÍDAS-BASE'!I931="","",'SAÍDAS-BASE'!I931)</f>
        <v/>
      </c>
      <c r="K933" s="5" t="str">
        <f>IF('SAÍDAS-BASE'!J931="","",'SAÍDAS-BASE'!J931)</f>
        <v/>
      </c>
      <c r="L933" t="str">
        <f>IF(TABELA_SAIDAS[[#This Row],[UF]]="","",IFERROR(IF(VLOOKUP(TABELA_SAIDAS[[#This Row],[VALOR]],TABELA_ENTRADAS[VALOR],1,FALSE),"DEVOLUÇÃO"),"SEM ENTRADAS"))</f>
        <v/>
      </c>
    </row>
    <row r="934" spans="2:12" x14ac:dyDescent="0.3">
      <c r="B934" t="str">
        <f>IF('SAÍDAS-BASE'!A932="","",'SAÍDAS-BASE'!A932)</f>
        <v/>
      </c>
      <c r="C934" t="str">
        <f>IF('SAÍDAS-BASE'!B932="","",'SAÍDAS-BASE'!B932)</f>
        <v/>
      </c>
      <c r="D934" t="str">
        <f>IF('SAÍDAS-BASE'!C932="","",'SAÍDAS-BASE'!C932)</f>
        <v/>
      </c>
      <c r="E934" s="7" t="str">
        <f>IF('SAÍDAS-BASE'!D932="","",'SAÍDAS-BASE'!D932)</f>
        <v/>
      </c>
      <c r="F934" s="6" t="str">
        <f>IF('SAÍDAS-BASE'!E932="","",'SAÍDAS-BASE'!E932)</f>
        <v/>
      </c>
      <c r="G934" t="str">
        <f>IF('SAÍDAS-BASE'!F932="","",'SAÍDAS-BASE'!F932)</f>
        <v/>
      </c>
      <c r="H934" t="str">
        <f>IF('SAÍDAS-BASE'!G932="","",'SAÍDAS-BASE'!G932)</f>
        <v/>
      </c>
      <c r="I934" t="str">
        <f>IF('SAÍDAS-BASE'!H932="","",'SAÍDAS-BASE'!H932)</f>
        <v/>
      </c>
      <c r="J934" t="str">
        <f>IF('SAÍDAS-BASE'!I932="","",'SAÍDAS-BASE'!I932)</f>
        <v/>
      </c>
      <c r="K934" s="5" t="str">
        <f>IF('SAÍDAS-BASE'!J932="","",'SAÍDAS-BASE'!J932)</f>
        <v/>
      </c>
      <c r="L934" t="str">
        <f>IF(TABELA_SAIDAS[[#This Row],[UF]]="","",IFERROR(IF(VLOOKUP(TABELA_SAIDAS[[#This Row],[VALOR]],TABELA_ENTRADAS[VALOR],1,FALSE),"DEVOLUÇÃO"),"SEM ENTRADAS"))</f>
        <v/>
      </c>
    </row>
    <row r="935" spans="2:12" x14ac:dyDescent="0.3">
      <c r="B935" t="str">
        <f>IF('SAÍDAS-BASE'!A933="","",'SAÍDAS-BASE'!A933)</f>
        <v/>
      </c>
      <c r="C935" t="str">
        <f>IF('SAÍDAS-BASE'!B933="","",'SAÍDAS-BASE'!B933)</f>
        <v/>
      </c>
      <c r="D935" t="str">
        <f>IF('SAÍDAS-BASE'!C933="","",'SAÍDAS-BASE'!C933)</f>
        <v/>
      </c>
      <c r="E935" s="7" t="str">
        <f>IF('SAÍDAS-BASE'!D933="","",'SAÍDAS-BASE'!D933)</f>
        <v/>
      </c>
      <c r="F935" s="6" t="str">
        <f>IF('SAÍDAS-BASE'!E933="","",'SAÍDAS-BASE'!E933)</f>
        <v/>
      </c>
      <c r="G935" t="str">
        <f>IF('SAÍDAS-BASE'!F933="","",'SAÍDAS-BASE'!F933)</f>
        <v/>
      </c>
      <c r="H935" t="str">
        <f>IF('SAÍDAS-BASE'!G933="","",'SAÍDAS-BASE'!G933)</f>
        <v/>
      </c>
      <c r="I935" t="str">
        <f>IF('SAÍDAS-BASE'!H933="","",'SAÍDAS-BASE'!H933)</f>
        <v/>
      </c>
      <c r="J935" t="str">
        <f>IF('SAÍDAS-BASE'!I933="","",'SAÍDAS-BASE'!I933)</f>
        <v/>
      </c>
      <c r="K935" s="5" t="str">
        <f>IF('SAÍDAS-BASE'!J933="","",'SAÍDAS-BASE'!J933)</f>
        <v/>
      </c>
      <c r="L935" t="str">
        <f>IF(TABELA_SAIDAS[[#This Row],[UF]]="","",IFERROR(IF(VLOOKUP(TABELA_SAIDAS[[#This Row],[VALOR]],TABELA_ENTRADAS[VALOR],1,FALSE),"DEVOLUÇÃO"),"SEM ENTRADAS"))</f>
        <v/>
      </c>
    </row>
    <row r="936" spans="2:12" x14ac:dyDescent="0.3">
      <c r="B936" t="str">
        <f>IF('SAÍDAS-BASE'!A934="","",'SAÍDAS-BASE'!A934)</f>
        <v/>
      </c>
      <c r="C936" t="str">
        <f>IF('SAÍDAS-BASE'!B934="","",'SAÍDAS-BASE'!B934)</f>
        <v/>
      </c>
      <c r="D936" t="str">
        <f>IF('SAÍDAS-BASE'!C934="","",'SAÍDAS-BASE'!C934)</f>
        <v/>
      </c>
      <c r="E936" s="7" t="str">
        <f>IF('SAÍDAS-BASE'!D934="","",'SAÍDAS-BASE'!D934)</f>
        <v/>
      </c>
      <c r="F936" s="6" t="str">
        <f>IF('SAÍDAS-BASE'!E934="","",'SAÍDAS-BASE'!E934)</f>
        <v/>
      </c>
      <c r="G936" t="str">
        <f>IF('SAÍDAS-BASE'!F934="","",'SAÍDAS-BASE'!F934)</f>
        <v/>
      </c>
      <c r="H936" t="str">
        <f>IF('SAÍDAS-BASE'!G934="","",'SAÍDAS-BASE'!G934)</f>
        <v/>
      </c>
      <c r="I936" t="str">
        <f>IF('SAÍDAS-BASE'!H934="","",'SAÍDAS-BASE'!H934)</f>
        <v/>
      </c>
      <c r="J936" t="str">
        <f>IF('SAÍDAS-BASE'!I934="","",'SAÍDAS-BASE'!I934)</f>
        <v/>
      </c>
      <c r="K936" s="5" t="str">
        <f>IF('SAÍDAS-BASE'!J934="","",'SAÍDAS-BASE'!J934)</f>
        <v/>
      </c>
      <c r="L936" t="str">
        <f>IF(TABELA_SAIDAS[[#This Row],[UF]]="","",IFERROR(IF(VLOOKUP(TABELA_SAIDAS[[#This Row],[VALOR]],TABELA_ENTRADAS[VALOR],1,FALSE),"DEVOLUÇÃO"),"SEM ENTRADAS"))</f>
        <v/>
      </c>
    </row>
    <row r="937" spans="2:12" x14ac:dyDescent="0.3">
      <c r="B937" t="str">
        <f>IF('SAÍDAS-BASE'!A935="","",'SAÍDAS-BASE'!A935)</f>
        <v/>
      </c>
      <c r="C937" t="str">
        <f>IF('SAÍDAS-BASE'!B935="","",'SAÍDAS-BASE'!B935)</f>
        <v/>
      </c>
      <c r="D937" t="str">
        <f>IF('SAÍDAS-BASE'!C935="","",'SAÍDAS-BASE'!C935)</f>
        <v/>
      </c>
      <c r="E937" s="7" t="str">
        <f>IF('SAÍDAS-BASE'!D935="","",'SAÍDAS-BASE'!D935)</f>
        <v/>
      </c>
      <c r="F937" s="6" t="str">
        <f>IF('SAÍDAS-BASE'!E935="","",'SAÍDAS-BASE'!E935)</f>
        <v/>
      </c>
      <c r="G937" t="str">
        <f>IF('SAÍDAS-BASE'!F935="","",'SAÍDAS-BASE'!F935)</f>
        <v/>
      </c>
      <c r="H937" t="str">
        <f>IF('SAÍDAS-BASE'!G935="","",'SAÍDAS-BASE'!G935)</f>
        <v/>
      </c>
      <c r="I937" t="str">
        <f>IF('SAÍDAS-BASE'!H935="","",'SAÍDAS-BASE'!H935)</f>
        <v/>
      </c>
      <c r="J937" t="str">
        <f>IF('SAÍDAS-BASE'!I935="","",'SAÍDAS-BASE'!I935)</f>
        <v/>
      </c>
      <c r="K937" s="5" t="str">
        <f>IF('SAÍDAS-BASE'!J935="","",'SAÍDAS-BASE'!J935)</f>
        <v/>
      </c>
      <c r="L937" t="str">
        <f>IF(TABELA_SAIDAS[[#This Row],[UF]]="","",IFERROR(IF(VLOOKUP(TABELA_SAIDAS[[#This Row],[VALOR]],TABELA_ENTRADAS[VALOR],1,FALSE),"DEVOLUÇÃO"),"SEM ENTRADAS"))</f>
        <v/>
      </c>
    </row>
    <row r="938" spans="2:12" x14ac:dyDescent="0.3">
      <c r="B938" t="str">
        <f>IF('SAÍDAS-BASE'!A936="","",'SAÍDAS-BASE'!A936)</f>
        <v/>
      </c>
      <c r="C938" t="str">
        <f>IF('SAÍDAS-BASE'!B936="","",'SAÍDAS-BASE'!B936)</f>
        <v/>
      </c>
      <c r="D938" t="str">
        <f>IF('SAÍDAS-BASE'!C936="","",'SAÍDAS-BASE'!C936)</f>
        <v/>
      </c>
      <c r="E938" s="7" t="str">
        <f>IF('SAÍDAS-BASE'!D936="","",'SAÍDAS-BASE'!D936)</f>
        <v/>
      </c>
      <c r="F938" s="6" t="str">
        <f>IF('SAÍDAS-BASE'!E936="","",'SAÍDAS-BASE'!E936)</f>
        <v/>
      </c>
      <c r="G938" t="str">
        <f>IF('SAÍDAS-BASE'!F936="","",'SAÍDAS-BASE'!F936)</f>
        <v/>
      </c>
      <c r="H938" t="str">
        <f>IF('SAÍDAS-BASE'!G936="","",'SAÍDAS-BASE'!G936)</f>
        <v/>
      </c>
      <c r="I938" t="str">
        <f>IF('SAÍDAS-BASE'!H936="","",'SAÍDAS-BASE'!H936)</f>
        <v/>
      </c>
      <c r="J938" t="str">
        <f>IF('SAÍDAS-BASE'!I936="","",'SAÍDAS-BASE'!I936)</f>
        <v/>
      </c>
      <c r="K938" s="5" t="str">
        <f>IF('SAÍDAS-BASE'!J936="","",'SAÍDAS-BASE'!J936)</f>
        <v/>
      </c>
      <c r="L938" t="str">
        <f>IF(TABELA_SAIDAS[[#This Row],[UF]]="","",IFERROR(IF(VLOOKUP(TABELA_SAIDAS[[#This Row],[VALOR]],TABELA_ENTRADAS[VALOR],1,FALSE),"DEVOLUÇÃO"),"SEM ENTRADAS"))</f>
        <v/>
      </c>
    </row>
    <row r="939" spans="2:12" x14ac:dyDescent="0.3">
      <c r="B939" t="str">
        <f>IF('SAÍDAS-BASE'!A937="","",'SAÍDAS-BASE'!A937)</f>
        <v/>
      </c>
      <c r="C939" t="str">
        <f>IF('SAÍDAS-BASE'!B937="","",'SAÍDAS-BASE'!B937)</f>
        <v/>
      </c>
      <c r="D939" t="str">
        <f>IF('SAÍDAS-BASE'!C937="","",'SAÍDAS-BASE'!C937)</f>
        <v/>
      </c>
      <c r="E939" s="7" t="str">
        <f>IF('SAÍDAS-BASE'!D937="","",'SAÍDAS-BASE'!D937)</f>
        <v/>
      </c>
      <c r="F939" s="6" t="str">
        <f>IF('SAÍDAS-BASE'!E937="","",'SAÍDAS-BASE'!E937)</f>
        <v/>
      </c>
      <c r="G939" t="str">
        <f>IF('SAÍDAS-BASE'!F937="","",'SAÍDAS-BASE'!F937)</f>
        <v/>
      </c>
      <c r="H939" t="str">
        <f>IF('SAÍDAS-BASE'!G937="","",'SAÍDAS-BASE'!G937)</f>
        <v/>
      </c>
      <c r="I939" t="str">
        <f>IF('SAÍDAS-BASE'!H937="","",'SAÍDAS-BASE'!H937)</f>
        <v/>
      </c>
      <c r="J939" t="str">
        <f>IF('SAÍDAS-BASE'!I937="","",'SAÍDAS-BASE'!I937)</f>
        <v/>
      </c>
      <c r="K939" s="5" t="str">
        <f>IF('SAÍDAS-BASE'!J937="","",'SAÍDAS-BASE'!J937)</f>
        <v/>
      </c>
      <c r="L939" t="str">
        <f>IF(TABELA_SAIDAS[[#This Row],[UF]]="","",IFERROR(IF(VLOOKUP(TABELA_SAIDAS[[#This Row],[VALOR]],TABELA_ENTRADAS[VALOR],1,FALSE),"DEVOLUÇÃO"),"SEM ENTRADAS"))</f>
        <v/>
      </c>
    </row>
    <row r="940" spans="2:12" x14ac:dyDescent="0.3">
      <c r="B940" t="str">
        <f>IF('SAÍDAS-BASE'!A938="","",'SAÍDAS-BASE'!A938)</f>
        <v/>
      </c>
      <c r="C940" t="str">
        <f>IF('SAÍDAS-BASE'!B938="","",'SAÍDAS-BASE'!B938)</f>
        <v/>
      </c>
      <c r="D940" t="str">
        <f>IF('SAÍDAS-BASE'!C938="","",'SAÍDAS-BASE'!C938)</f>
        <v/>
      </c>
      <c r="E940" s="7" t="str">
        <f>IF('SAÍDAS-BASE'!D938="","",'SAÍDAS-BASE'!D938)</f>
        <v/>
      </c>
      <c r="F940" s="6" t="str">
        <f>IF('SAÍDAS-BASE'!E938="","",'SAÍDAS-BASE'!E938)</f>
        <v/>
      </c>
      <c r="G940" t="str">
        <f>IF('SAÍDAS-BASE'!F938="","",'SAÍDAS-BASE'!F938)</f>
        <v/>
      </c>
      <c r="H940" t="str">
        <f>IF('SAÍDAS-BASE'!G938="","",'SAÍDAS-BASE'!G938)</f>
        <v/>
      </c>
      <c r="I940" t="str">
        <f>IF('SAÍDAS-BASE'!H938="","",'SAÍDAS-BASE'!H938)</f>
        <v/>
      </c>
      <c r="J940" t="str">
        <f>IF('SAÍDAS-BASE'!I938="","",'SAÍDAS-BASE'!I938)</f>
        <v/>
      </c>
      <c r="K940" s="5" t="str">
        <f>IF('SAÍDAS-BASE'!J938="","",'SAÍDAS-BASE'!J938)</f>
        <v/>
      </c>
      <c r="L940" t="str">
        <f>IF(TABELA_SAIDAS[[#This Row],[UF]]="","",IFERROR(IF(VLOOKUP(TABELA_SAIDAS[[#This Row],[VALOR]],TABELA_ENTRADAS[VALOR],1,FALSE),"DEVOLUÇÃO"),"SEM ENTRADAS"))</f>
        <v/>
      </c>
    </row>
    <row r="941" spans="2:12" x14ac:dyDescent="0.3">
      <c r="B941" t="str">
        <f>IF('SAÍDAS-BASE'!A939="","",'SAÍDAS-BASE'!A939)</f>
        <v/>
      </c>
      <c r="C941" t="str">
        <f>IF('SAÍDAS-BASE'!B939="","",'SAÍDAS-BASE'!B939)</f>
        <v/>
      </c>
      <c r="D941" t="str">
        <f>IF('SAÍDAS-BASE'!C939="","",'SAÍDAS-BASE'!C939)</f>
        <v/>
      </c>
      <c r="E941" s="7" t="str">
        <f>IF('SAÍDAS-BASE'!D939="","",'SAÍDAS-BASE'!D939)</f>
        <v/>
      </c>
      <c r="F941" s="6" t="str">
        <f>IF('SAÍDAS-BASE'!E939="","",'SAÍDAS-BASE'!E939)</f>
        <v/>
      </c>
      <c r="G941" t="str">
        <f>IF('SAÍDAS-BASE'!F939="","",'SAÍDAS-BASE'!F939)</f>
        <v/>
      </c>
      <c r="H941" t="str">
        <f>IF('SAÍDAS-BASE'!G939="","",'SAÍDAS-BASE'!G939)</f>
        <v/>
      </c>
      <c r="I941" t="str">
        <f>IF('SAÍDAS-BASE'!H939="","",'SAÍDAS-BASE'!H939)</f>
        <v/>
      </c>
      <c r="J941" t="str">
        <f>IF('SAÍDAS-BASE'!I939="","",'SAÍDAS-BASE'!I939)</f>
        <v/>
      </c>
      <c r="K941" s="5" t="str">
        <f>IF('SAÍDAS-BASE'!J939="","",'SAÍDAS-BASE'!J939)</f>
        <v/>
      </c>
      <c r="L941" t="str">
        <f>IF(TABELA_SAIDAS[[#This Row],[UF]]="","",IFERROR(IF(VLOOKUP(TABELA_SAIDAS[[#This Row],[VALOR]],TABELA_ENTRADAS[VALOR],1,FALSE),"DEVOLUÇÃO"),"SEM ENTRADAS"))</f>
        <v/>
      </c>
    </row>
    <row r="942" spans="2:12" x14ac:dyDescent="0.3">
      <c r="B942" t="str">
        <f>IF('SAÍDAS-BASE'!A940="","",'SAÍDAS-BASE'!A940)</f>
        <v/>
      </c>
      <c r="C942" t="str">
        <f>IF('SAÍDAS-BASE'!B940="","",'SAÍDAS-BASE'!B940)</f>
        <v/>
      </c>
      <c r="D942" t="str">
        <f>IF('SAÍDAS-BASE'!C940="","",'SAÍDAS-BASE'!C940)</f>
        <v/>
      </c>
      <c r="E942" s="7" t="str">
        <f>IF('SAÍDAS-BASE'!D940="","",'SAÍDAS-BASE'!D940)</f>
        <v/>
      </c>
      <c r="F942" s="6" t="str">
        <f>IF('SAÍDAS-BASE'!E940="","",'SAÍDAS-BASE'!E940)</f>
        <v/>
      </c>
      <c r="G942" t="str">
        <f>IF('SAÍDAS-BASE'!F940="","",'SAÍDAS-BASE'!F940)</f>
        <v/>
      </c>
      <c r="H942" t="str">
        <f>IF('SAÍDAS-BASE'!G940="","",'SAÍDAS-BASE'!G940)</f>
        <v/>
      </c>
      <c r="I942" t="str">
        <f>IF('SAÍDAS-BASE'!H940="","",'SAÍDAS-BASE'!H940)</f>
        <v/>
      </c>
      <c r="J942" t="str">
        <f>IF('SAÍDAS-BASE'!I940="","",'SAÍDAS-BASE'!I940)</f>
        <v/>
      </c>
      <c r="K942" s="5" t="str">
        <f>IF('SAÍDAS-BASE'!J940="","",'SAÍDAS-BASE'!J940)</f>
        <v/>
      </c>
      <c r="L942" t="str">
        <f>IF(TABELA_SAIDAS[[#This Row],[UF]]="","",IFERROR(IF(VLOOKUP(TABELA_SAIDAS[[#This Row],[VALOR]],TABELA_ENTRADAS[VALOR],1,FALSE),"DEVOLUÇÃO"),"SEM ENTRADAS"))</f>
        <v/>
      </c>
    </row>
    <row r="943" spans="2:12" x14ac:dyDescent="0.3">
      <c r="B943" t="str">
        <f>IF('SAÍDAS-BASE'!A941="","",'SAÍDAS-BASE'!A941)</f>
        <v/>
      </c>
      <c r="C943" t="str">
        <f>IF('SAÍDAS-BASE'!B941="","",'SAÍDAS-BASE'!B941)</f>
        <v/>
      </c>
      <c r="D943" t="str">
        <f>IF('SAÍDAS-BASE'!C941="","",'SAÍDAS-BASE'!C941)</f>
        <v/>
      </c>
      <c r="E943" s="7" t="str">
        <f>IF('SAÍDAS-BASE'!D941="","",'SAÍDAS-BASE'!D941)</f>
        <v/>
      </c>
      <c r="F943" s="6" t="str">
        <f>IF('SAÍDAS-BASE'!E941="","",'SAÍDAS-BASE'!E941)</f>
        <v/>
      </c>
      <c r="G943" t="str">
        <f>IF('SAÍDAS-BASE'!F941="","",'SAÍDAS-BASE'!F941)</f>
        <v/>
      </c>
      <c r="H943" t="str">
        <f>IF('SAÍDAS-BASE'!G941="","",'SAÍDAS-BASE'!G941)</f>
        <v/>
      </c>
      <c r="I943" t="str">
        <f>IF('SAÍDAS-BASE'!H941="","",'SAÍDAS-BASE'!H941)</f>
        <v/>
      </c>
      <c r="J943" t="str">
        <f>IF('SAÍDAS-BASE'!I941="","",'SAÍDAS-BASE'!I941)</f>
        <v/>
      </c>
      <c r="K943" s="5" t="str">
        <f>IF('SAÍDAS-BASE'!J941="","",'SAÍDAS-BASE'!J941)</f>
        <v/>
      </c>
      <c r="L943" t="str">
        <f>IF(TABELA_SAIDAS[[#This Row],[UF]]="","",IFERROR(IF(VLOOKUP(TABELA_SAIDAS[[#This Row],[VALOR]],TABELA_ENTRADAS[VALOR],1,FALSE),"DEVOLUÇÃO"),"SEM ENTRADAS"))</f>
        <v/>
      </c>
    </row>
    <row r="944" spans="2:12" x14ac:dyDescent="0.3">
      <c r="B944" t="str">
        <f>IF('SAÍDAS-BASE'!A942="","",'SAÍDAS-BASE'!A942)</f>
        <v/>
      </c>
      <c r="C944" t="str">
        <f>IF('SAÍDAS-BASE'!B942="","",'SAÍDAS-BASE'!B942)</f>
        <v/>
      </c>
      <c r="D944" t="str">
        <f>IF('SAÍDAS-BASE'!C942="","",'SAÍDAS-BASE'!C942)</f>
        <v/>
      </c>
      <c r="E944" s="7" t="str">
        <f>IF('SAÍDAS-BASE'!D942="","",'SAÍDAS-BASE'!D942)</f>
        <v/>
      </c>
      <c r="F944" s="6" t="str">
        <f>IF('SAÍDAS-BASE'!E942="","",'SAÍDAS-BASE'!E942)</f>
        <v/>
      </c>
      <c r="G944" t="str">
        <f>IF('SAÍDAS-BASE'!F942="","",'SAÍDAS-BASE'!F942)</f>
        <v/>
      </c>
      <c r="H944" t="str">
        <f>IF('SAÍDAS-BASE'!G942="","",'SAÍDAS-BASE'!G942)</f>
        <v/>
      </c>
      <c r="I944" t="str">
        <f>IF('SAÍDAS-BASE'!H942="","",'SAÍDAS-BASE'!H942)</f>
        <v/>
      </c>
      <c r="J944" t="str">
        <f>IF('SAÍDAS-BASE'!I942="","",'SAÍDAS-BASE'!I942)</f>
        <v/>
      </c>
      <c r="K944" s="5" t="str">
        <f>IF('SAÍDAS-BASE'!J942="","",'SAÍDAS-BASE'!J942)</f>
        <v/>
      </c>
      <c r="L944" t="str">
        <f>IF(TABELA_SAIDAS[[#This Row],[UF]]="","",IFERROR(IF(VLOOKUP(TABELA_SAIDAS[[#This Row],[VALOR]],TABELA_ENTRADAS[VALOR],1,FALSE),"DEVOLUÇÃO"),"SEM ENTRADAS"))</f>
        <v/>
      </c>
    </row>
    <row r="945" spans="2:12" x14ac:dyDescent="0.3">
      <c r="B945" t="str">
        <f>IF('SAÍDAS-BASE'!A943="","",'SAÍDAS-BASE'!A943)</f>
        <v/>
      </c>
      <c r="C945" t="str">
        <f>IF('SAÍDAS-BASE'!B943="","",'SAÍDAS-BASE'!B943)</f>
        <v/>
      </c>
      <c r="D945" t="str">
        <f>IF('SAÍDAS-BASE'!C943="","",'SAÍDAS-BASE'!C943)</f>
        <v/>
      </c>
      <c r="E945" s="7" t="str">
        <f>IF('SAÍDAS-BASE'!D943="","",'SAÍDAS-BASE'!D943)</f>
        <v/>
      </c>
      <c r="F945" s="6" t="str">
        <f>IF('SAÍDAS-BASE'!E943="","",'SAÍDAS-BASE'!E943)</f>
        <v/>
      </c>
      <c r="G945" t="str">
        <f>IF('SAÍDAS-BASE'!F943="","",'SAÍDAS-BASE'!F943)</f>
        <v/>
      </c>
      <c r="H945" t="str">
        <f>IF('SAÍDAS-BASE'!G943="","",'SAÍDAS-BASE'!G943)</f>
        <v/>
      </c>
      <c r="I945" t="str">
        <f>IF('SAÍDAS-BASE'!H943="","",'SAÍDAS-BASE'!H943)</f>
        <v/>
      </c>
      <c r="J945" t="str">
        <f>IF('SAÍDAS-BASE'!I943="","",'SAÍDAS-BASE'!I943)</f>
        <v/>
      </c>
      <c r="K945" s="5" t="str">
        <f>IF('SAÍDAS-BASE'!J943="","",'SAÍDAS-BASE'!J943)</f>
        <v/>
      </c>
      <c r="L945" t="str">
        <f>IF(TABELA_SAIDAS[[#This Row],[UF]]="","",IFERROR(IF(VLOOKUP(TABELA_SAIDAS[[#This Row],[VALOR]],TABELA_ENTRADAS[VALOR],1,FALSE),"DEVOLUÇÃO"),"SEM ENTRADAS"))</f>
        <v/>
      </c>
    </row>
    <row r="946" spans="2:12" x14ac:dyDescent="0.3">
      <c r="B946" t="str">
        <f>IF('SAÍDAS-BASE'!A944="","",'SAÍDAS-BASE'!A944)</f>
        <v/>
      </c>
      <c r="C946" t="str">
        <f>IF('SAÍDAS-BASE'!B944="","",'SAÍDAS-BASE'!B944)</f>
        <v/>
      </c>
      <c r="D946" t="str">
        <f>IF('SAÍDAS-BASE'!C944="","",'SAÍDAS-BASE'!C944)</f>
        <v/>
      </c>
      <c r="E946" s="7" t="str">
        <f>IF('SAÍDAS-BASE'!D944="","",'SAÍDAS-BASE'!D944)</f>
        <v/>
      </c>
      <c r="F946" s="6" t="str">
        <f>IF('SAÍDAS-BASE'!E944="","",'SAÍDAS-BASE'!E944)</f>
        <v/>
      </c>
      <c r="G946" t="str">
        <f>IF('SAÍDAS-BASE'!F944="","",'SAÍDAS-BASE'!F944)</f>
        <v/>
      </c>
      <c r="H946" t="str">
        <f>IF('SAÍDAS-BASE'!G944="","",'SAÍDAS-BASE'!G944)</f>
        <v/>
      </c>
      <c r="I946" t="str">
        <f>IF('SAÍDAS-BASE'!H944="","",'SAÍDAS-BASE'!H944)</f>
        <v/>
      </c>
      <c r="J946" t="str">
        <f>IF('SAÍDAS-BASE'!I944="","",'SAÍDAS-BASE'!I944)</f>
        <v/>
      </c>
      <c r="K946" s="5" t="str">
        <f>IF('SAÍDAS-BASE'!J944="","",'SAÍDAS-BASE'!J944)</f>
        <v/>
      </c>
      <c r="L946" t="str">
        <f>IF(TABELA_SAIDAS[[#This Row],[UF]]="","",IFERROR(IF(VLOOKUP(TABELA_SAIDAS[[#This Row],[VALOR]],TABELA_ENTRADAS[VALOR],1,FALSE),"DEVOLUÇÃO"),"SEM ENTRADAS"))</f>
        <v/>
      </c>
    </row>
    <row r="947" spans="2:12" x14ac:dyDescent="0.3">
      <c r="B947" t="str">
        <f>IF('SAÍDAS-BASE'!A945="","",'SAÍDAS-BASE'!A945)</f>
        <v/>
      </c>
      <c r="C947" t="str">
        <f>IF('SAÍDAS-BASE'!B945="","",'SAÍDAS-BASE'!B945)</f>
        <v/>
      </c>
      <c r="D947" t="str">
        <f>IF('SAÍDAS-BASE'!C945="","",'SAÍDAS-BASE'!C945)</f>
        <v/>
      </c>
      <c r="E947" s="7" t="str">
        <f>IF('SAÍDAS-BASE'!D945="","",'SAÍDAS-BASE'!D945)</f>
        <v/>
      </c>
      <c r="F947" s="6" t="str">
        <f>IF('SAÍDAS-BASE'!E945="","",'SAÍDAS-BASE'!E945)</f>
        <v/>
      </c>
      <c r="G947" t="str">
        <f>IF('SAÍDAS-BASE'!F945="","",'SAÍDAS-BASE'!F945)</f>
        <v/>
      </c>
      <c r="H947" t="str">
        <f>IF('SAÍDAS-BASE'!G945="","",'SAÍDAS-BASE'!G945)</f>
        <v/>
      </c>
      <c r="I947" t="str">
        <f>IF('SAÍDAS-BASE'!H945="","",'SAÍDAS-BASE'!H945)</f>
        <v/>
      </c>
      <c r="J947" t="str">
        <f>IF('SAÍDAS-BASE'!I945="","",'SAÍDAS-BASE'!I945)</f>
        <v/>
      </c>
      <c r="K947" s="5" t="str">
        <f>IF('SAÍDAS-BASE'!J945="","",'SAÍDAS-BASE'!J945)</f>
        <v/>
      </c>
      <c r="L947" t="str">
        <f>IF(TABELA_SAIDAS[[#This Row],[UF]]="","",IFERROR(IF(VLOOKUP(TABELA_SAIDAS[[#This Row],[VALOR]],TABELA_ENTRADAS[VALOR],1,FALSE),"DEVOLUÇÃO"),"SEM ENTRADAS"))</f>
        <v/>
      </c>
    </row>
    <row r="948" spans="2:12" x14ac:dyDescent="0.3">
      <c r="B948" t="str">
        <f>IF('SAÍDAS-BASE'!A946="","",'SAÍDAS-BASE'!A946)</f>
        <v/>
      </c>
      <c r="C948" t="str">
        <f>IF('SAÍDAS-BASE'!B946="","",'SAÍDAS-BASE'!B946)</f>
        <v/>
      </c>
      <c r="D948" t="str">
        <f>IF('SAÍDAS-BASE'!C946="","",'SAÍDAS-BASE'!C946)</f>
        <v/>
      </c>
      <c r="E948" s="7" t="str">
        <f>IF('SAÍDAS-BASE'!D946="","",'SAÍDAS-BASE'!D946)</f>
        <v/>
      </c>
      <c r="F948" s="6" t="str">
        <f>IF('SAÍDAS-BASE'!E946="","",'SAÍDAS-BASE'!E946)</f>
        <v/>
      </c>
      <c r="G948" t="str">
        <f>IF('SAÍDAS-BASE'!F946="","",'SAÍDAS-BASE'!F946)</f>
        <v/>
      </c>
      <c r="H948" t="str">
        <f>IF('SAÍDAS-BASE'!G946="","",'SAÍDAS-BASE'!G946)</f>
        <v/>
      </c>
      <c r="I948" t="str">
        <f>IF('SAÍDAS-BASE'!H946="","",'SAÍDAS-BASE'!H946)</f>
        <v/>
      </c>
      <c r="J948" t="str">
        <f>IF('SAÍDAS-BASE'!I946="","",'SAÍDAS-BASE'!I946)</f>
        <v/>
      </c>
      <c r="K948" s="5" t="str">
        <f>IF('SAÍDAS-BASE'!J946="","",'SAÍDAS-BASE'!J946)</f>
        <v/>
      </c>
      <c r="L948" t="str">
        <f>IF(TABELA_SAIDAS[[#This Row],[UF]]="","",IFERROR(IF(VLOOKUP(TABELA_SAIDAS[[#This Row],[VALOR]],TABELA_ENTRADAS[VALOR],1,FALSE),"DEVOLUÇÃO"),"SEM ENTRADAS"))</f>
        <v/>
      </c>
    </row>
    <row r="949" spans="2:12" x14ac:dyDescent="0.3">
      <c r="B949" t="str">
        <f>IF('SAÍDAS-BASE'!A947="","",'SAÍDAS-BASE'!A947)</f>
        <v/>
      </c>
      <c r="C949" t="str">
        <f>IF('SAÍDAS-BASE'!B947="","",'SAÍDAS-BASE'!B947)</f>
        <v/>
      </c>
      <c r="D949" t="str">
        <f>IF('SAÍDAS-BASE'!C947="","",'SAÍDAS-BASE'!C947)</f>
        <v/>
      </c>
      <c r="E949" s="7" t="str">
        <f>IF('SAÍDAS-BASE'!D947="","",'SAÍDAS-BASE'!D947)</f>
        <v/>
      </c>
      <c r="F949" s="6" t="str">
        <f>IF('SAÍDAS-BASE'!E947="","",'SAÍDAS-BASE'!E947)</f>
        <v/>
      </c>
      <c r="G949" t="str">
        <f>IF('SAÍDAS-BASE'!F947="","",'SAÍDAS-BASE'!F947)</f>
        <v/>
      </c>
      <c r="H949" t="str">
        <f>IF('SAÍDAS-BASE'!G947="","",'SAÍDAS-BASE'!G947)</f>
        <v/>
      </c>
      <c r="I949" t="str">
        <f>IF('SAÍDAS-BASE'!H947="","",'SAÍDAS-BASE'!H947)</f>
        <v/>
      </c>
      <c r="J949" t="str">
        <f>IF('SAÍDAS-BASE'!I947="","",'SAÍDAS-BASE'!I947)</f>
        <v/>
      </c>
      <c r="K949" s="5" t="str">
        <f>IF('SAÍDAS-BASE'!J947="","",'SAÍDAS-BASE'!J947)</f>
        <v/>
      </c>
      <c r="L949" t="str">
        <f>IF(TABELA_SAIDAS[[#This Row],[UF]]="","",IFERROR(IF(VLOOKUP(TABELA_SAIDAS[[#This Row],[VALOR]],TABELA_ENTRADAS[VALOR],1,FALSE),"DEVOLUÇÃO"),"SEM ENTRADAS"))</f>
        <v/>
      </c>
    </row>
    <row r="950" spans="2:12" x14ac:dyDescent="0.3">
      <c r="B950" t="str">
        <f>IF('SAÍDAS-BASE'!A948="","",'SAÍDAS-BASE'!A948)</f>
        <v/>
      </c>
      <c r="C950" t="str">
        <f>IF('SAÍDAS-BASE'!B948="","",'SAÍDAS-BASE'!B948)</f>
        <v/>
      </c>
      <c r="D950" t="str">
        <f>IF('SAÍDAS-BASE'!C948="","",'SAÍDAS-BASE'!C948)</f>
        <v/>
      </c>
      <c r="E950" s="7" t="str">
        <f>IF('SAÍDAS-BASE'!D948="","",'SAÍDAS-BASE'!D948)</f>
        <v/>
      </c>
      <c r="F950" s="6" t="str">
        <f>IF('SAÍDAS-BASE'!E948="","",'SAÍDAS-BASE'!E948)</f>
        <v/>
      </c>
      <c r="G950" t="str">
        <f>IF('SAÍDAS-BASE'!F948="","",'SAÍDAS-BASE'!F948)</f>
        <v/>
      </c>
      <c r="H950" t="str">
        <f>IF('SAÍDAS-BASE'!G948="","",'SAÍDAS-BASE'!G948)</f>
        <v/>
      </c>
      <c r="I950" t="str">
        <f>IF('SAÍDAS-BASE'!H948="","",'SAÍDAS-BASE'!H948)</f>
        <v/>
      </c>
      <c r="J950" t="str">
        <f>IF('SAÍDAS-BASE'!I948="","",'SAÍDAS-BASE'!I948)</f>
        <v/>
      </c>
      <c r="K950" s="5" t="str">
        <f>IF('SAÍDAS-BASE'!J948="","",'SAÍDAS-BASE'!J948)</f>
        <v/>
      </c>
      <c r="L950" t="str">
        <f>IF(TABELA_SAIDAS[[#This Row],[UF]]="","",IFERROR(IF(VLOOKUP(TABELA_SAIDAS[[#This Row],[VALOR]],TABELA_ENTRADAS[VALOR],1,FALSE),"DEVOLUÇÃO"),"SEM ENTRADAS"))</f>
        <v/>
      </c>
    </row>
    <row r="951" spans="2:12" x14ac:dyDescent="0.3">
      <c r="B951" t="str">
        <f>IF('SAÍDAS-BASE'!A949="","",'SAÍDAS-BASE'!A949)</f>
        <v/>
      </c>
      <c r="C951" t="str">
        <f>IF('SAÍDAS-BASE'!B949="","",'SAÍDAS-BASE'!B949)</f>
        <v/>
      </c>
      <c r="D951" t="str">
        <f>IF('SAÍDAS-BASE'!C949="","",'SAÍDAS-BASE'!C949)</f>
        <v/>
      </c>
      <c r="E951" s="7" t="str">
        <f>IF('SAÍDAS-BASE'!D949="","",'SAÍDAS-BASE'!D949)</f>
        <v/>
      </c>
      <c r="F951" s="6" t="str">
        <f>IF('SAÍDAS-BASE'!E949="","",'SAÍDAS-BASE'!E949)</f>
        <v/>
      </c>
      <c r="G951" t="str">
        <f>IF('SAÍDAS-BASE'!F949="","",'SAÍDAS-BASE'!F949)</f>
        <v/>
      </c>
      <c r="H951" t="str">
        <f>IF('SAÍDAS-BASE'!G949="","",'SAÍDAS-BASE'!G949)</f>
        <v/>
      </c>
      <c r="I951" t="str">
        <f>IF('SAÍDAS-BASE'!H949="","",'SAÍDAS-BASE'!H949)</f>
        <v/>
      </c>
      <c r="J951" t="str">
        <f>IF('SAÍDAS-BASE'!I949="","",'SAÍDAS-BASE'!I949)</f>
        <v/>
      </c>
      <c r="K951" s="5" t="str">
        <f>IF('SAÍDAS-BASE'!J949="","",'SAÍDAS-BASE'!J949)</f>
        <v/>
      </c>
      <c r="L951" t="str">
        <f>IF(TABELA_SAIDAS[[#This Row],[UF]]="","",IFERROR(IF(VLOOKUP(TABELA_SAIDAS[[#This Row],[VALOR]],TABELA_ENTRADAS[VALOR],1,FALSE),"DEVOLUÇÃO"),"SEM ENTRADAS"))</f>
        <v/>
      </c>
    </row>
    <row r="952" spans="2:12" x14ac:dyDescent="0.3">
      <c r="B952" t="str">
        <f>IF('SAÍDAS-BASE'!A950="","",'SAÍDAS-BASE'!A950)</f>
        <v/>
      </c>
      <c r="C952" t="str">
        <f>IF('SAÍDAS-BASE'!B950="","",'SAÍDAS-BASE'!B950)</f>
        <v/>
      </c>
      <c r="D952" t="str">
        <f>IF('SAÍDAS-BASE'!C950="","",'SAÍDAS-BASE'!C950)</f>
        <v/>
      </c>
      <c r="E952" s="7" t="str">
        <f>IF('SAÍDAS-BASE'!D950="","",'SAÍDAS-BASE'!D950)</f>
        <v/>
      </c>
      <c r="F952" s="6" t="str">
        <f>IF('SAÍDAS-BASE'!E950="","",'SAÍDAS-BASE'!E950)</f>
        <v/>
      </c>
      <c r="G952" t="str">
        <f>IF('SAÍDAS-BASE'!F950="","",'SAÍDAS-BASE'!F950)</f>
        <v/>
      </c>
      <c r="H952" t="str">
        <f>IF('SAÍDAS-BASE'!G950="","",'SAÍDAS-BASE'!G950)</f>
        <v/>
      </c>
      <c r="I952" t="str">
        <f>IF('SAÍDAS-BASE'!H950="","",'SAÍDAS-BASE'!H950)</f>
        <v/>
      </c>
      <c r="J952" t="str">
        <f>IF('SAÍDAS-BASE'!I950="","",'SAÍDAS-BASE'!I950)</f>
        <v/>
      </c>
      <c r="K952" s="5" t="str">
        <f>IF('SAÍDAS-BASE'!J950="","",'SAÍDAS-BASE'!J950)</f>
        <v/>
      </c>
      <c r="L952" t="str">
        <f>IF(TABELA_SAIDAS[[#This Row],[UF]]="","",IFERROR(IF(VLOOKUP(TABELA_SAIDAS[[#This Row],[VALOR]],TABELA_ENTRADAS[VALOR],1,FALSE),"DEVOLUÇÃO"),"SEM ENTRADAS"))</f>
        <v/>
      </c>
    </row>
    <row r="953" spans="2:12" x14ac:dyDescent="0.3">
      <c r="B953" t="str">
        <f>IF('SAÍDAS-BASE'!A951="","",'SAÍDAS-BASE'!A951)</f>
        <v/>
      </c>
      <c r="C953" t="str">
        <f>IF('SAÍDAS-BASE'!B951="","",'SAÍDAS-BASE'!B951)</f>
        <v/>
      </c>
      <c r="D953" t="str">
        <f>IF('SAÍDAS-BASE'!C951="","",'SAÍDAS-BASE'!C951)</f>
        <v/>
      </c>
      <c r="E953" s="7" t="str">
        <f>IF('SAÍDAS-BASE'!D951="","",'SAÍDAS-BASE'!D951)</f>
        <v/>
      </c>
      <c r="F953" s="6" t="str">
        <f>IF('SAÍDAS-BASE'!E951="","",'SAÍDAS-BASE'!E951)</f>
        <v/>
      </c>
      <c r="G953" t="str">
        <f>IF('SAÍDAS-BASE'!F951="","",'SAÍDAS-BASE'!F951)</f>
        <v/>
      </c>
      <c r="H953" t="str">
        <f>IF('SAÍDAS-BASE'!G951="","",'SAÍDAS-BASE'!G951)</f>
        <v/>
      </c>
      <c r="I953" t="str">
        <f>IF('SAÍDAS-BASE'!H951="","",'SAÍDAS-BASE'!H951)</f>
        <v/>
      </c>
      <c r="J953" t="str">
        <f>IF('SAÍDAS-BASE'!I951="","",'SAÍDAS-BASE'!I951)</f>
        <v/>
      </c>
      <c r="K953" s="5" t="str">
        <f>IF('SAÍDAS-BASE'!J951="","",'SAÍDAS-BASE'!J951)</f>
        <v/>
      </c>
      <c r="L953" t="str">
        <f>IF(TABELA_SAIDAS[[#This Row],[UF]]="","",IFERROR(IF(VLOOKUP(TABELA_SAIDAS[[#This Row],[VALOR]],TABELA_ENTRADAS[VALOR],1,FALSE),"DEVOLUÇÃO"),"SEM ENTRADAS"))</f>
        <v/>
      </c>
    </row>
    <row r="954" spans="2:12" x14ac:dyDescent="0.3">
      <c r="B954" t="str">
        <f>IF('SAÍDAS-BASE'!A952="","",'SAÍDAS-BASE'!A952)</f>
        <v/>
      </c>
      <c r="C954" t="str">
        <f>IF('SAÍDAS-BASE'!B952="","",'SAÍDAS-BASE'!B952)</f>
        <v/>
      </c>
      <c r="D954" t="str">
        <f>IF('SAÍDAS-BASE'!C952="","",'SAÍDAS-BASE'!C952)</f>
        <v/>
      </c>
      <c r="E954" s="7" t="str">
        <f>IF('SAÍDAS-BASE'!D952="","",'SAÍDAS-BASE'!D952)</f>
        <v/>
      </c>
      <c r="F954" s="6" t="str">
        <f>IF('SAÍDAS-BASE'!E952="","",'SAÍDAS-BASE'!E952)</f>
        <v/>
      </c>
      <c r="G954" t="str">
        <f>IF('SAÍDAS-BASE'!F952="","",'SAÍDAS-BASE'!F952)</f>
        <v/>
      </c>
      <c r="H954" t="str">
        <f>IF('SAÍDAS-BASE'!G952="","",'SAÍDAS-BASE'!G952)</f>
        <v/>
      </c>
      <c r="I954" t="str">
        <f>IF('SAÍDAS-BASE'!H952="","",'SAÍDAS-BASE'!H952)</f>
        <v/>
      </c>
      <c r="J954" t="str">
        <f>IF('SAÍDAS-BASE'!I952="","",'SAÍDAS-BASE'!I952)</f>
        <v/>
      </c>
      <c r="K954" s="5" t="str">
        <f>IF('SAÍDAS-BASE'!J952="","",'SAÍDAS-BASE'!J952)</f>
        <v/>
      </c>
      <c r="L954" t="str">
        <f>IF(TABELA_SAIDAS[[#This Row],[UF]]="","",IFERROR(IF(VLOOKUP(TABELA_SAIDAS[[#This Row],[VALOR]],TABELA_ENTRADAS[VALOR],1,FALSE),"DEVOLUÇÃO"),"SEM ENTRADAS"))</f>
        <v/>
      </c>
    </row>
    <row r="955" spans="2:12" x14ac:dyDescent="0.3">
      <c r="B955" t="str">
        <f>IF('SAÍDAS-BASE'!A953="","",'SAÍDAS-BASE'!A953)</f>
        <v/>
      </c>
      <c r="C955" t="str">
        <f>IF('SAÍDAS-BASE'!B953="","",'SAÍDAS-BASE'!B953)</f>
        <v/>
      </c>
      <c r="D955" t="str">
        <f>IF('SAÍDAS-BASE'!C953="","",'SAÍDAS-BASE'!C953)</f>
        <v/>
      </c>
      <c r="E955" s="7" t="str">
        <f>IF('SAÍDAS-BASE'!D953="","",'SAÍDAS-BASE'!D953)</f>
        <v/>
      </c>
      <c r="F955" s="6" t="str">
        <f>IF('SAÍDAS-BASE'!E953="","",'SAÍDAS-BASE'!E953)</f>
        <v/>
      </c>
      <c r="G955" t="str">
        <f>IF('SAÍDAS-BASE'!F953="","",'SAÍDAS-BASE'!F953)</f>
        <v/>
      </c>
      <c r="H955" t="str">
        <f>IF('SAÍDAS-BASE'!G953="","",'SAÍDAS-BASE'!G953)</f>
        <v/>
      </c>
      <c r="I955" t="str">
        <f>IF('SAÍDAS-BASE'!H953="","",'SAÍDAS-BASE'!H953)</f>
        <v/>
      </c>
      <c r="J955" t="str">
        <f>IF('SAÍDAS-BASE'!I953="","",'SAÍDAS-BASE'!I953)</f>
        <v/>
      </c>
      <c r="K955" s="5" t="str">
        <f>IF('SAÍDAS-BASE'!J953="","",'SAÍDAS-BASE'!J953)</f>
        <v/>
      </c>
      <c r="L955" t="str">
        <f>IF(TABELA_SAIDAS[[#This Row],[UF]]="","",IFERROR(IF(VLOOKUP(TABELA_SAIDAS[[#This Row],[VALOR]],TABELA_ENTRADAS[VALOR],1,FALSE),"DEVOLUÇÃO"),"SEM ENTRADAS"))</f>
        <v/>
      </c>
    </row>
    <row r="956" spans="2:12" x14ac:dyDescent="0.3">
      <c r="B956" t="str">
        <f>IF('SAÍDAS-BASE'!A954="","",'SAÍDAS-BASE'!A954)</f>
        <v/>
      </c>
      <c r="C956" t="str">
        <f>IF('SAÍDAS-BASE'!B954="","",'SAÍDAS-BASE'!B954)</f>
        <v/>
      </c>
      <c r="D956" t="str">
        <f>IF('SAÍDAS-BASE'!C954="","",'SAÍDAS-BASE'!C954)</f>
        <v/>
      </c>
      <c r="E956" s="7" t="str">
        <f>IF('SAÍDAS-BASE'!D954="","",'SAÍDAS-BASE'!D954)</f>
        <v/>
      </c>
      <c r="F956" s="6" t="str">
        <f>IF('SAÍDAS-BASE'!E954="","",'SAÍDAS-BASE'!E954)</f>
        <v/>
      </c>
      <c r="G956" t="str">
        <f>IF('SAÍDAS-BASE'!F954="","",'SAÍDAS-BASE'!F954)</f>
        <v/>
      </c>
      <c r="H956" t="str">
        <f>IF('SAÍDAS-BASE'!G954="","",'SAÍDAS-BASE'!G954)</f>
        <v/>
      </c>
      <c r="I956" t="str">
        <f>IF('SAÍDAS-BASE'!H954="","",'SAÍDAS-BASE'!H954)</f>
        <v/>
      </c>
      <c r="J956" t="str">
        <f>IF('SAÍDAS-BASE'!I954="","",'SAÍDAS-BASE'!I954)</f>
        <v/>
      </c>
      <c r="K956" s="5" t="str">
        <f>IF('SAÍDAS-BASE'!J954="","",'SAÍDAS-BASE'!J954)</f>
        <v/>
      </c>
      <c r="L956" t="str">
        <f>IF(TABELA_SAIDAS[[#This Row],[UF]]="","",IFERROR(IF(VLOOKUP(TABELA_SAIDAS[[#This Row],[VALOR]],TABELA_ENTRADAS[VALOR],1,FALSE),"DEVOLUÇÃO"),"SEM ENTRADAS"))</f>
        <v/>
      </c>
    </row>
    <row r="957" spans="2:12" x14ac:dyDescent="0.3">
      <c r="B957" t="str">
        <f>IF('SAÍDAS-BASE'!A955="","",'SAÍDAS-BASE'!A955)</f>
        <v/>
      </c>
      <c r="C957" t="str">
        <f>IF('SAÍDAS-BASE'!B955="","",'SAÍDAS-BASE'!B955)</f>
        <v/>
      </c>
      <c r="D957" t="str">
        <f>IF('SAÍDAS-BASE'!C955="","",'SAÍDAS-BASE'!C955)</f>
        <v/>
      </c>
      <c r="E957" s="7" t="str">
        <f>IF('SAÍDAS-BASE'!D955="","",'SAÍDAS-BASE'!D955)</f>
        <v/>
      </c>
      <c r="F957" s="6" t="str">
        <f>IF('SAÍDAS-BASE'!E955="","",'SAÍDAS-BASE'!E955)</f>
        <v/>
      </c>
      <c r="G957" t="str">
        <f>IF('SAÍDAS-BASE'!F955="","",'SAÍDAS-BASE'!F955)</f>
        <v/>
      </c>
      <c r="H957" t="str">
        <f>IF('SAÍDAS-BASE'!G955="","",'SAÍDAS-BASE'!G955)</f>
        <v/>
      </c>
      <c r="I957" t="str">
        <f>IF('SAÍDAS-BASE'!H955="","",'SAÍDAS-BASE'!H955)</f>
        <v/>
      </c>
      <c r="J957" t="str">
        <f>IF('SAÍDAS-BASE'!I955="","",'SAÍDAS-BASE'!I955)</f>
        <v/>
      </c>
      <c r="K957" s="5" t="str">
        <f>IF('SAÍDAS-BASE'!J955="","",'SAÍDAS-BASE'!J955)</f>
        <v/>
      </c>
      <c r="L957" t="str">
        <f>IF(TABELA_SAIDAS[[#This Row],[UF]]="","",IFERROR(IF(VLOOKUP(TABELA_SAIDAS[[#This Row],[VALOR]],TABELA_ENTRADAS[VALOR],1,FALSE),"DEVOLUÇÃO"),"SEM ENTRADAS"))</f>
        <v/>
      </c>
    </row>
    <row r="958" spans="2:12" x14ac:dyDescent="0.3">
      <c r="B958" t="str">
        <f>IF('SAÍDAS-BASE'!A956="","",'SAÍDAS-BASE'!A956)</f>
        <v/>
      </c>
      <c r="C958" t="str">
        <f>IF('SAÍDAS-BASE'!B956="","",'SAÍDAS-BASE'!B956)</f>
        <v/>
      </c>
      <c r="D958" t="str">
        <f>IF('SAÍDAS-BASE'!C956="","",'SAÍDAS-BASE'!C956)</f>
        <v/>
      </c>
      <c r="E958" s="7" t="str">
        <f>IF('SAÍDAS-BASE'!D956="","",'SAÍDAS-BASE'!D956)</f>
        <v/>
      </c>
      <c r="F958" s="6" t="str">
        <f>IF('SAÍDAS-BASE'!E956="","",'SAÍDAS-BASE'!E956)</f>
        <v/>
      </c>
      <c r="G958" t="str">
        <f>IF('SAÍDAS-BASE'!F956="","",'SAÍDAS-BASE'!F956)</f>
        <v/>
      </c>
      <c r="H958" t="str">
        <f>IF('SAÍDAS-BASE'!G956="","",'SAÍDAS-BASE'!G956)</f>
        <v/>
      </c>
      <c r="I958" t="str">
        <f>IF('SAÍDAS-BASE'!H956="","",'SAÍDAS-BASE'!H956)</f>
        <v/>
      </c>
      <c r="J958" t="str">
        <f>IF('SAÍDAS-BASE'!I956="","",'SAÍDAS-BASE'!I956)</f>
        <v/>
      </c>
      <c r="K958" s="5" t="str">
        <f>IF('SAÍDAS-BASE'!J956="","",'SAÍDAS-BASE'!J956)</f>
        <v/>
      </c>
      <c r="L958" t="str">
        <f>IF(TABELA_SAIDAS[[#This Row],[UF]]="","",IFERROR(IF(VLOOKUP(TABELA_SAIDAS[[#This Row],[VALOR]],TABELA_ENTRADAS[VALOR],1,FALSE),"DEVOLUÇÃO"),"SEM ENTRADAS"))</f>
        <v/>
      </c>
    </row>
    <row r="959" spans="2:12" x14ac:dyDescent="0.3">
      <c r="B959" t="str">
        <f>IF('SAÍDAS-BASE'!A957="","",'SAÍDAS-BASE'!A957)</f>
        <v/>
      </c>
      <c r="C959" t="str">
        <f>IF('SAÍDAS-BASE'!B957="","",'SAÍDAS-BASE'!B957)</f>
        <v/>
      </c>
      <c r="D959" t="str">
        <f>IF('SAÍDAS-BASE'!C957="","",'SAÍDAS-BASE'!C957)</f>
        <v/>
      </c>
      <c r="E959" s="7" t="str">
        <f>IF('SAÍDAS-BASE'!D957="","",'SAÍDAS-BASE'!D957)</f>
        <v/>
      </c>
      <c r="F959" s="6" t="str">
        <f>IF('SAÍDAS-BASE'!E957="","",'SAÍDAS-BASE'!E957)</f>
        <v/>
      </c>
      <c r="G959" t="str">
        <f>IF('SAÍDAS-BASE'!F957="","",'SAÍDAS-BASE'!F957)</f>
        <v/>
      </c>
      <c r="H959" t="str">
        <f>IF('SAÍDAS-BASE'!G957="","",'SAÍDAS-BASE'!G957)</f>
        <v/>
      </c>
      <c r="I959" t="str">
        <f>IF('SAÍDAS-BASE'!H957="","",'SAÍDAS-BASE'!H957)</f>
        <v/>
      </c>
      <c r="J959" t="str">
        <f>IF('SAÍDAS-BASE'!I957="","",'SAÍDAS-BASE'!I957)</f>
        <v/>
      </c>
      <c r="K959" s="5" t="str">
        <f>IF('SAÍDAS-BASE'!J957="","",'SAÍDAS-BASE'!J957)</f>
        <v/>
      </c>
      <c r="L959" t="str">
        <f>IF(TABELA_SAIDAS[[#This Row],[UF]]="","",IFERROR(IF(VLOOKUP(TABELA_SAIDAS[[#This Row],[VALOR]],TABELA_ENTRADAS[VALOR],1,FALSE),"DEVOLUÇÃO"),"SEM ENTRADAS"))</f>
        <v/>
      </c>
    </row>
    <row r="960" spans="2:12" x14ac:dyDescent="0.3">
      <c r="B960" t="str">
        <f>IF('SAÍDAS-BASE'!A958="","",'SAÍDAS-BASE'!A958)</f>
        <v/>
      </c>
      <c r="C960" t="str">
        <f>IF('SAÍDAS-BASE'!B958="","",'SAÍDAS-BASE'!B958)</f>
        <v/>
      </c>
      <c r="D960" t="str">
        <f>IF('SAÍDAS-BASE'!C958="","",'SAÍDAS-BASE'!C958)</f>
        <v/>
      </c>
      <c r="E960" s="7" t="str">
        <f>IF('SAÍDAS-BASE'!D958="","",'SAÍDAS-BASE'!D958)</f>
        <v/>
      </c>
      <c r="F960" s="6" t="str">
        <f>IF('SAÍDAS-BASE'!E958="","",'SAÍDAS-BASE'!E958)</f>
        <v/>
      </c>
      <c r="G960" t="str">
        <f>IF('SAÍDAS-BASE'!F958="","",'SAÍDAS-BASE'!F958)</f>
        <v/>
      </c>
      <c r="H960" t="str">
        <f>IF('SAÍDAS-BASE'!G958="","",'SAÍDAS-BASE'!G958)</f>
        <v/>
      </c>
      <c r="I960" t="str">
        <f>IF('SAÍDAS-BASE'!H958="","",'SAÍDAS-BASE'!H958)</f>
        <v/>
      </c>
      <c r="J960" t="str">
        <f>IF('SAÍDAS-BASE'!I958="","",'SAÍDAS-BASE'!I958)</f>
        <v/>
      </c>
      <c r="K960" s="5" t="str">
        <f>IF('SAÍDAS-BASE'!J958="","",'SAÍDAS-BASE'!J958)</f>
        <v/>
      </c>
      <c r="L960" t="str">
        <f>IF(TABELA_SAIDAS[[#This Row],[UF]]="","",IFERROR(IF(VLOOKUP(TABELA_SAIDAS[[#This Row],[VALOR]],TABELA_ENTRADAS[VALOR],1,FALSE),"DEVOLUÇÃO"),"SEM ENTRADAS"))</f>
        <v/>
      </c>
    </row>
    <row r="961" spans="2:12" x14ac:dyDescent="0.3">
      <c r="B961" t="str">
        <f>IF('SAÍDAS-BASE'!A959="","",'SAÍDAS-BASE'!A959)</f>
        <v/>
      </c>
      <c r="C961" t="str">
        <f>IF('SAÍDAS-BASE'!B959="","",'SAÍDAS-BASE'!B959)</f>
        <v/>
      </c>
      <c r="D961" t="str">
        <f>IF('SAÍDAS-BASE'!C959="","",'SAÍDAS-BASE'!C959)</f>
        <v/>
      </c>
      <c r="E961" s="7" t="str">
        <f>IF('SAÍDAS-BASE'!D959="","",'SAÍDAS-BASE'!D959)</f>
        <v/>
      </c>
      <c r="F961" s="6" t="str">
        <f>IF('SAÍDAS-BASE'!E959="","",'SAÍDAS-BASE'!E959)</f>
        <v/>
      </c>
      <c r="G961" t="str">
        <f>IF('SAÍDAS-BASE'!F959="","",'SAÍDAS-BASE'!F959)</f>
        <v/>
      </c>
      <c r="H961" t="str">
        <f>IF('SAÍDAS-BASE'!G959="","",'SAÍDAS-BASE'!G959)</f>
        <v/>
      </c>
      <c r="I961" t="str">
        <f>IF('SAÍDAS-BASE'!H959="","",'SAÍDAS-BASE'!H959)</f>
        <v/>
      </c>
      <c r="J961" t="str">
        <f>IF('SAÍDAS-BASE'!I959="","",'SAÍDAS-BASE'!I959)</f>
        <v/>
      </c>
      <c r="K961" s="5" t="str">
        <f>IF('SAÍDAS-BASE'!J959="","",'SAÍDAS-BASE'!J959)</f>
        <v/>
      </c>
      <c r="L961" t="str">
        <f>IF(TABELA_SAIDAS[[#This Row],[UF]]="","",IFERROR(IF(VLOOKUP(TABELA_SAIDAS[[#This Row],[VALOR]],TABELA_ENTRADAS[VALOR],1,FALSE),"DEVOLUÇÃO"),"SEM ENTRADAS"))</f>
        <v/>
      </c>
    </row>
    <row r="962" spans="2:12" x14ac:dyDescent="0.3">
      <c r="B962" t="str">
        <f>IF('SAÍDAS-BASE'!A960="","",'SAÍDAS-BASE'!A960)</f>
        <v/>
      </c>
      <c r="C962" t="str">
        <f>IF('SAÍDAS-BASE'!B960="","",'SAÍDAS-BASE'!B960)</f>
        <v/>
      </c>
      <c r="D962" t="str">
        <f>IF('SAÍDAS-BASE'!C960="","",'SAÍDAS-BASE'!C960)</f>
        <v/>
      </c>
      <c r="E962" s="7" t="str">
        <f>IF('SAÍDAS-BASE'!D960="","",'SAÍDAS-BASE'!D960)</f>
        <v/>
      </c>
      <c r="F962" s="6" t="str">
        <f>IF('SAÍDAS-BASE'!E960="","",'SAÍDAS-BASE'!E960)</f>
        <v/>
      </c>
      <c r="G962" t="str">
        <f>IF('SAÍDAS-BASE'!F960="","",'SAÍDAS-BASE'!F960)</f>
        <v/>
      </c>
      <c r="H962" t="str">
        <f>IF('SAÍDAS-BASE'!G960="","",'SAÍDAS-BASE'!G960)</f>
        <v/>
      </c>
      <c r="I962" t="str">
        <f>IF('SAÍDAS-BASE'!H960="","",'SAÍDAS-BASE'!H960)</f>
        <v/>
      </c>
      <c r="J962" t="str">
        <f>IF('SAÍDAS-BASE'!I960="","",'SAÍDAS-BASE'!I960)</f>
        <v/>
      </c>
      <c r="K962" s="5" t="str">
        <f>IF('SAÍDAS-BASE'!J960="","",'SAÍDAS-BASE'!J960)</f>
        <v/>
      </c>
      <c r="L962" t="str">
        <f>IF(TABELA_SAIDAS[[#This Row],[UF]]="","",IFERROR(IF(VLOOKUP(TABELA_SAIDAS[[#This Row],[VALOR]],TABELA_ENTRADAS[VALOR],1,FALSE),"DEVOLUÇÃO"),"SEM ENTRADAS"))</f>
        <v/>
      </c>
    </row>
    <row r="963" spans="2:12" x14ac:dyDescent="0.3">
      <c r="B963" t="str">
        <f>IF('SAÍDAS-BASE'!A961="","",'SAÍDAS-BASE'!A961)</f>
        <v/>
      </c>
      <c r="C963" t="str">
        <f>IF('SAÍDAS-BASE'!B961="","",'SAÍDAS-BASE'!B961)</f>
        <v/>
      </c>
      <c r="D963" t="str">
        <f>IF('SAÍDAS-BASE'!C961="","",'SAÍDAS-BASE'!C961)</f>
        <v/>
      </c>
      <c r="E963" s="7" t="str">
        <f>IF('SAÍDAS-BASE'!D961="","",'SAÍDAS-BASE'!D961)</f>
        <v/>
      </c>
      <c r="F963" s="6" t="str">
        <f>IF('SAÍDAS-BASE'!E961="","",'SAÍDAS-BASE'!E961)</f>
        <v/>
      </c>
      <c r="G963" t="str">
        <f>IF('SAÍDAS-BASE'!F961="","",'SAÍDAS-BASE'!F961)</f>
        <v/>
      </c>
      <c r="H963" t="str">
        <f>IF('SAÍDAS-BASE'!G961="","",'SAÍDAS-BASE'!G961)</f>
        <v/>
      </c>
      <c r="I963" t="str">
        <f>IF('SAÍDAS-BASE'!H961="","",'SAÍDAS-BASE'!H961)</f>
        <v/>
      </c>
      <c r="J963" t="str">
        <f>IF('SAÍDAS-BASE'!I961="","",'SAÍDAS-BASE'!I961)</f>
        <v/>
      </c>
      <c r="K963" s="5" t="str">
        <f>IF('SAÍDAS-BASE'!J961="","",'SAÍDAS-BASE'!J961)</f>
        <v/>
      </c>
      <c r="L963" t="str">
        <f>IF(TABELA_SAIDAS[[#This Row],[UF]]="","",IFERROR(IF(VLOOKUP(TABELA_SAIDAS[[#This Row],[VALOR]],TABELA_ENTRADAS[VALOR],1,FALSE),"DEVOLUÇÃO"),"SEM ENTRADAS"))</f>
        <v/>
      </c>
    </row>
    <row r="964" spans="2:12" x14ac:dyDescent="0.3">
      <c r="B964" t="str">
        <f>IF('SAÍDAS-BASE'!A962="","",'SAÍDAS-BASE'!A962)</f>
        <v/>
      </c>
      <c r="C964" t="str">
        <f>IF('SAÍDAS-BASE'!B962="","",'SAÍDAS-BASE'!B962)</f>
        <v/>
      </c>
      <c r="D964" t="str">
        <f>IF('SAÍDAS-BASE'!C962="","",'SAÍDAS-BASE'!C962)</f>
        <v/>
      </c>
      <c r="E964" s="7" t="str">
        <f>IF('SAÍDAS-BASE'!D962="","",'SAÍDAS-BASE'!D962)</f>
        <v/>
      </c>
      <c r="F964" s="6" t="str">
        <f>IF('SAÍDAS-BASE'!E962="","",'SAÍDAS-BASE'!E962)</f>
        <v/>
      </c>
      <c r="G964" t="str">
        <f>IF('SAÍDAS-BASE'!F962="","",'SAÍDAS-BASE'!F962)</f>
        <v/>
      </c>
      <c r="H964" t="str">
        <f>IF('SAÍDAS-BASE'!G962="","",'SAÍDAS-BASE'!G962)</f>
        <v/>
      </c>
      <c r="I964" t="str">
        <f>IF('SAÍDAS-BASE'!H962="","",'SAÍDAS-BASE'!H962)</f>
        <v/>
      </c>
      <c r="J964" t="str">
        <f>IF('SAÍDAS-BASE'!I962="","",'SAÍDAS-BASE'!I962)</f>
        <v/>
      </c>
      <c r="K964" s="5" t="str">
        <f>IF('SAÍDAS-BASE'!J962="","",'SAÍDAS-BASE'!J962)</f>
        <v/>
      </c>
      <c r="L964" t="str">
        <f>IF(TABELA_SAIDAS[[#This Row],[UF]]="","",IFERROR(IF(VLOOKUP(TABELA_SAIDAS[[#This Row],[VALOR]],TABELA_ENTRADAS[VALOR],1,FALSE),"DEVOLUÇÃO"),"SEM ENTRADAS"))</f>
        <v/>
      </c>
    </row>
    <row r="965" spans="2:12" x14ac:dyDescent="0.3">
      <c r="B965" t="str">
        <f>IF('SAÍDAS-BASE'!A963="","",'SAÍDAS-BASE'!A963)</f>
        <v/>
      </c>
      <c r="C965" t="str">
        <f>IF('SAÍDAS-BASE'!B963="","",'SAÍDAS-BASE'!B963)</f>
        <v/>
      </c>
      <c r="D965" t="str">
        <f>IF('SAÍDAS-BASE'!C963="","",'SAÍDAS-BASE'!C963)</f>
        <v/>
      </c>
      <c r="E965" s="7" t="str">
        <f>IF('SAÍDAS-BASE'!D963="","",'SAÍDAS-BASE'!D963)</f>
        <v/>
      </c>
      <c r="F965" s="6" t="str">
        <f>IF('SAÍDAS-BASE'!E963="","",'SAÍDAS-BASE'!E963)</f>
        <v/>
      </c>
      <c r="G965" t="str">
        <f>IF('SAÍDAS-BASE'!F963="","",'SAÍDAS-BASE'!F963)</f>
        <v/>
      </c>
      <c r="H965" t="str">
        <f>IF('SAÍDAS-BASE'!G963="","",'SAÍDAS-BASE'!G963)</f>
        <v/>
      </c>
      <c r="I965" t="str">
        <f>IF('SAÍDAS-BASE'!H963="","",'SAÍDAS-BASE'!H963)</f>
        <v/>
      </c>
      <c r="J965" t="str">
        <f>IF('SAÍDAS-BASE'!I963="","",'SAÍDAS-BASE'!I963)</f>
        <v/>
      </c>
      <c r="K965" s="5" t="str">
        <f>IF('SAÍDAS-BASE'!J963="","",'SAÍDAS-BASE'!J963)</f>
        <v/>
      </c>
      <c r="L965" t="str">
        <f>IF(TABELA_SAIDAS[[#This Row],[UF]]="","",IFERROR(IF(VLOOKUP(TABELA_SAIDAS[[#This Row],[VALOR]],TABELA_ENTRADAS[VALOR],1,FALSE),"DEVOLUÇÃO"),"SEM ENTRADAS"))</f>
        <v/>
      </c>
    </row>
    <row r="966" spans="2:12" x14ac:dyDescent="0.3">
      <c r="B966" t="str">
        <f>IF('SAÍDAS-BASE'!A964="","",'SAÍDAS-BASE'!A964)</f>
        <v/>
      </c>
      <c r="C966" t="str">
        <f>IF('SAÍDAS-BASE'!B964="","",'SAÍDAS-BASE'!B964)</f>
        <v/>
      </c>
      <c r="D966" t="str">
        <f>IF('SAÍDAS-BASE'!C964="","",'SAÍDAS-BASE'!C964)</f>
        <v/>
      </c>
      <c r="E966" s="7" t="str">
        <f>IF('SAÍDAS-BASE'!D964="","",'SAÍDAS-BASE'!D964)</f>
        <v/>
      </c>
      <c r="F966" s="6" t="str">
        <f>IF('SAÍDAS-BASE'!E964="","",'SAÍDAS-BASE'!E964)</f>
        <v/>
      </c>
      <c r="G966" t="str">
        <f>IF('SAÍDAS-BASE'!F964="","",'SAÍDAS-BASE'!F964)</f>
        <v/>
      </c>
      <c r="H966" t="str">
        <f>IF('SAÍDAS-BASE'!G964="","",'SAÍDAS-BASE'!G964)</f>
        <v/>
      </c>
      <c r="I966" t="str">
        <f>IF('SAÍDAS-BASE'!H964="","",'SAÍDAS-BASE'!H964)</f>
        <v/>
      </c>
      <c r="J966" t="str">
        <f>IF('SAÍDAS-BASE'!I964="","",'SAÍDAS-BASE'!I964)</f>
        <v/>
      </c>
      <c r="K966" s="5" t="str">
        <f>IF('SAÍDAS-BASE'!J964="","",'SAÍDAS-BASE'!J964)</f>
        <v/>
      </c>
      <c r="L966" t="str">
        <f>IF(TABELA_SAIDAS[[#This Row],[UF]]="","",IFERROR(IF(VLOOKUP(TABELA_SAIDAS[[#This Row],[VALOR]],TABELA_ENTRADAS[VALOR],1,FALSE),"DEVOLUÇÃO"),"SEM ENTRADAS"))</f>
        <v/>
      </c>
    </row>
    <row r="967" spans="2:12" x14ac:dyDescent="0.3">
      <c r="B967" t="str">
        <f>IF('SAÍDAS-BASE'!A965="","",'SAÍDAS-BASE'!A965)</f>
        <v/>
      </c>
      <c r="C967" t="str">
        <f>IF('SAÍDAS-BASE'!B965="","",'SAÍDAS-BASE'!B965)</f>
        <v/>
      </c>
      <c r="D967" t="str">
        <f>IF('SAÍDAS-BASE'!C965="","",'SAÍDAS-BASE'!C965)</f>
        <v/>
      </c>
      <c r="E967" s="7" t="str">
        <f>IF('SAÍDAS-BASE'!D965="","",'SAÍDAS-BASE'!D965)</f>
        <v/>
      </c>
      <c r="F967" s="6" t="str">
        <f>IF('SAÍDAS-BASE'!E965="","",'SAÍDAS-BASE'!E965)</f>
        <v/>
      </c>
      <c r="G967" t="str">
        <f>IF('SAÍDAS-BASE'!F965="","",'SAÍDAS-BASE'!F965)</f>
        <v/>
      </c>
      <c r="H967" t="str">
        <f>IF('SAÍDAS-BASE'!G965="","",'SAÍDAS-BASE'!G965)</f>
        <v/>
      </c>
      <c r="I967" t="str">
        <f>IF('SAÍDAS-BASE'!H965="","",'SAÍDAS-BASE'!H965)</f>
        <v/>
      </c>
      <c r="J967" t="str">
        <f>IF('SAÍDAS-BASE'!I965="","",'SAÍDAS-BASE'!I965)</f>
        <v/>
      </c>
      <c r="K967" s="5" t="str">
        <f>IF('SAÍDAS-BASE'!J965="","",'SAÍDAS-BASE'!J965)</f>
        <v/>
      </c>
      <c r="L967" t="str">
        <f>IF(TABELA_SAIDAS[[#This Row],[UF]]="","",IFERROR(IF(VLOOKUP(TABELA_SAIDAS[[#This Row],[VALOR]],TABELA_ENTRADAS[VALOR],1,FALSE),"DEVOLUÇÃO"),"SEM ENTRADAS"))</f>
        <v/>
      </c>
    </row>
    <row r="968" spans="2:12" x14ac:dyDescent="0.3">
      <c r="B968" t="str">
        <f>IF('SAÍDAS-BASE'!A966="","",'SAÍDAS-BASE'!A966)</f>
        <v/>
      </c>
      <c r="C968" t="str">
        <f>IF('SAÍDAS-BASE'!B966="","",'SAÍDAS-BASE'!B966)</f>
        <v/>
      </c>
      <c r="D968" t="str">
        <f>IF('SAÍDAS-BASE'!C966="","",'SAÍDAS-BASE'!C966)</f>
        <v/>
      </c>
      <c r="E968" s="7" t="str">
        <f>IF('SAÍDAS-BASE'!D966="","",'SAÍDAS-BASE'!D966)</f>
        <v/>
      </c>
      <c r="F968" s="6" t="str">
        <f>IF('SAÍDAS-BASE'!E966="","",'SAÍDAS-BASE'!E966)</f>
        <v/>
      </c>
      <c r="G968" t="str">
        <f>IF('SAÍDAS-BASE'!F966="","",'SAÍDAS-BASE'!F966)</f>
        <v/>
      </c>
      <c r="H968" t="str">
        <f>IF('SAÍDAS-BASE'!G966="","",'SAÍDAS-BASE'!G966)</f>
        <v/>
      </c>
      <c r="I968" t="str">
        <f>IF('SAÍDAS-BASE'!H966="","",'SAÍDAS-BASE'!H966)</f>
        <v/>
      </c>
      <c r="J968" t="str">
        <f>IF('SAÍDAS-BASE'!I966="","",'SAÍDAS-BASE'!I966)</f>
        <v/>
      </c>
      <c r="K968" s="5" t="str">
        <f>IF('SAÍDAS-BASE'!J966="","",'SAÍDAS-BASE'!J966)</f>
        <v/>
      </c>
      <c r="L968" t="str">
        <f>IF(TABELA_SAIDAS[[#This Row],[UF]]="","",IFERROR(IF(VLOOKUP(TABELA_SAIDAS[[#This Row],[VALOR]],TABELA_ENTRADAS[VALOR],1,FALSE),"DEVOLUÇÃO"),"SEM ENTRADAS"))</f>
        <v/>
      </c>
    </row>
    <row r="969" spans="2:12" x14ac:dyDescent="0.3">
      <c r="B969" t="str">
        <f>IF('SAÍDAS-BASE'!A967="","",'SAÍDAS-BASE'!A967)</f>
        <v/>
      </c>
      <c r="C969" t="str">
        <f>IF('SAÍDAS-BASE'!B967="","",'SAÍDAS-BASE'!B967)</f>
        <v/>
      </c>
      <c r="D969" t="str">
        <f>IF('SAÍDAS-BASE'!C967="","",'SAÍDAS-BASE'!C967)</f>
        <v/>
      </c>
      <c r="E969" s="7" t="str">
        <f>IF('SAÍDAS-BASE'!D967="","",'SAÍDAS-BASE'!D967)</f>
        <v/>
      </c>
      <c r="F969" s="6" t="str">
        <f>IF('SAÍDAS-BASE'!E967="","",'SAÍDAS-BASE'!E967)</f>
        <v/>
      </c>
      <c r="G969" t="str">
        <f>IF('SAÍDAS-BASE'!F967="","",'SAÍDAS-BASE'!F967)</f>
        <v/>
      </c>
      <c r="H969" t="str">
        <f>IF('SAÍDAS-BASE'!G967="","",'SAÍDAS-BASE'!G967)</f>
        <v/>
      </c>
      <c r="I969" t="str">
        <f>IF('SAÍDAS-BASE'!H967="","",'SAÍDAS-BASE'!H967)</f>
        <v/>
      </c>
      <c r="J969" t="str">
        <f>IF('SAÍDAS-BASE'!I967="","",'SAÍDAS-BASE'!I967)</f>
        <v/>
      </c>
      <c r="K969" s="5" t="str">
        <f>IF('SAÍDAS-BASE'!J967="","",'SAÍDAS-BASE'!J967)</f>
        <v/>
      </c>
      <c r="L969" t="str">
        <f>IF(TABELA_SAIDAS[[#This Row],[UF]]="","",IFERROR(IF(VLOOKUP(TABELA_SAIDAS[[#This Row],[VALOR]],TABELA_ENTRADAS[VALOR],1,FALSE),"DEVOLUÇÃO"),"SEM ENTRADAS"))</f>
        <v/>
      </c>
    </row>
    <row r="970" spans="2:12" x14ac:dyDescent="0.3">
      <c r="B970" t="str">
        <f>IF('SAÍDAS-BASE'!A968="","",'SAÍDAS-BASE'!A968)</f>
        <v/>
      </c>
      <c r="C970" t="str">
        <f>IF('SAÍDAS-BASE'!B968="","",'SAÍDAS-BASE'!B968)</f>
        <v/>
      </c>
      <c r="D970" t="str">
        <f>IF('SAÍDAS-BASE'!C968="","",'SAÍDAS-BASE'!C968)</f>
        <v/>
      </c>
      <c r="E970" s="7" t="str">
        <f>IF('SAÍDAS-BASE'!D968="","",'SAÍDAS-BASE'!D968)</f>
        <v/>
      </c>
      <c r="F970" s="6" t="str">
        <f>IF('SAÍDAS-BASE'!E968="","",'SAÍDAS-BASE'!E968)</f>
        <v/>
      </c>
      <c r="G970" t="str">
        <f>IF('SAÍDAS-BASE'!F968="","",'SAÍDAS-BASE'!F968)</f>
        <v/>
      </c>
      <c r="H970" t="str">
        <f>IF('SAÍDAS-BASE'!G968="","",'SAÍDAS-BASE'!G968)</f>
        <v/>
      </c>
      <c r="I970" t="str">
        <f>IF('SAÍDAS-BASE'!H968="","",'SAÍDAS-BASE'!H968)</f>
        <v/>
      </c>
      <c r="J970" t="str">
        <f>IF('SAÍDAS-BASE'!I968="","",'SAÍDAS-BASE'!I968)</f>
        <v/>
      </c>
      <c r="K970" s="5" t="str">
        <f>IF('SAÍDAS-BASE'!J968="","",'SAÍDAS-BASE'!J968)</f>
        <v/>
      </c>
      <c r="L970" t="str">
        <f>IF(TABELA_SAIDAS[[#This Row],[UF]]="","",IFERROR(IF(VLOOKUP(TABELA_SAIDAS[[#This Row],[VALOR]],TABELA_ENTRADAS[VALOR],1,FALSE),"DEVOLUÇÃO"),"SEM ENTRADAS"))</f>
        <v/>
      </c>
    </row>
    <row r="971" spans="2:12" x14ac:dyDescent="0.3">
      <c r="B971" t="str">
        <f>IF('SAÍDAS-BASE'!A969="","",'SAÍDAS-BASE'!A969)</f>
        <v/>
      </c>
      <c r="C971" t="str">
        <f>IF('SAÍDAS-BASE'!B969="","",'SAÍDAS-BASE'!B969)</f>
        <v/>
      </c>
      <c r="D971" t="str">
        <f>IF('SAÍDAS-BASE'!C969="","",'SAÍDAS-BASE'!C969)</f>
        <v/>
      </c>
      <c r="E971" s="7" t="str">
        <f>IF('SAÍDAS-BASE'!D969="","",'SAÍDAS-BASE'!D969)</f>
        <v/>
      </c>
      <c r="F971" s="6" t="str">
        <f>IF('SAÍDAS-BASE'!E969="","",'SAÍDAS-BASE'!E969)</f>
        <v/>
      </c>
      <c r="G971" t="str">
        <f>IF('SAÍDAS-BASE'!F969="","",'SAÍDAS-BASE'!F969)</f>
        <v/>
      </c>
      <c r="H971" t="str">
        <f>IF('SAÍDAS-BASE'!G969="","",'SAÍDAS-BASE'!G969)</f>
        <v/>
      </c>
      <c r="I971" t="str">
        <f>IF('SAÍDAS-BASE'!H969="","",'SAÍDAS-BASE'!H969)</f>
        <v/>
      </c>
      <c r="J971" t="str">
        <f>IF('SAÍDAS-BASE'!I969="","",'SAÍDAS-BASE'!I969)</f>
        <v/>
      </c>
      <c r="K971" s="5" t="str">
        <f>IF('SAÍDAS-BASE'!J969="","",'SAÍDAS-BASE'!J969)</f>
        <v/>
      </c>
      <c r="L971" t="str">
        <f>IF(TABELA_SAIDAS[[#This Row],[UF]]="","",IFERROR(IF(VLOOKUP(TABELA_SAIDAS[[#This Row],[VALOR]],TABELA_ENTRADAS[VALOR],1,FALSE),"DEVOLUÇÃO"),"SEM ENTRADAS"))</f>
        <v/>
      </c>
    </row>
    <row r="972" spans="2:12" x14ac:dyDescent="0.3">
      <c r="B972" t="str">
        <f>IF('SAÍDAS-BASE'!A970="","",'SAÍDAS-BASE'!A970)</f>
        <v/>
      </c>
      <c r="C972" t="str">
        <f>IF('SAÍDAS-BASE'!B970="","",'SAÍDAS-BASE'!B970)</f>
        <v/>
      </c>
      <c r="D972" t="str">
        <f>IF('SAÍDAS-BASE'!C970="","",'SAÍDAS-BASE'!C970)</f>
        <v/>
      </c>
      <c r="E972" s="7" t="str">
        <f>IF('SAÍDAS-BASE'!D970="","",'SAÍDAS-BASE'!D970)</f>
        <v/>
      </c>
      <c r="F972" s="6" t="str">
        <f>IF('SAÍDAS-BASE'!E970="","",'SAÍDAS-BASE'!E970)</f>
        <v/>
      </c>
      <c r="G972" t="str">
        <f>IF('SAÍDAS-BASE'!F970="","",'SAÍDAS-BASE'!F970)</f>
        <v/>
      </c>
      <c r="H972" t="str">
        <f>IF('SAÍDAS-BASE'!G970="","",'SAÍDAS-BASE'!G970)</f>
        <v/>
      </c>
      <c r="I972" t="str">
        <f>IF('SAÍDAS-BASE'!H970="","",'SAÍDAS-BASE'!H970)</f>
        <v/>
      </c>
      <c r="J972" t="str">
        <f>IF('SAÍDAS-BASE'!I970="","",'SAÍDAS-BASE'!I970)</f>
        <v/>
      </c>
      <c r="K972" s="5" t="str">
        <f>IF('SAÍDAS-BASE'!J970="","",'SAÍDAS-BASE'!J970)</f>
        <v/>
      </c>
      <c r="L972" t="str">
        <f>IF(TABELA_SAIDAS[[#This Row],[UF]]="","",IFERROR(IF(VLOOKUP(TABELA_SAIDAS[[#This Row],[VALOR]],TABELA_ENTRADAS[VALOR],1,FALSE),"DEVOLUÇÃO"),"SEM ENTRADAS"))</f>
        <v/>
      </c>
    </row>
    <row r="973" spans="2:12" x14ac:dyDescent="0.3">
      <c r="B973" t="str">
        <f>IF('SAÍDAS-BASE'!A971="","",'SAÍDAS-BASE'!A971)</f>
        <v/>
      </c>
      <c r="C973" t="str">
        <f>IF('SAÍDAS-BASE'!B971="","",'SAÍDAS-BASE'!B971)</f>
        <v/>
      </c>
      <c r="D973" t="str">
        <f>IF('SAÍDAS-BASE'!C971="","",'SAÍDAS-BASE'!C971)</f>
        <v/>
      </c>
      <c r="E973" s="7" t="str">
        <f>IF('SAÍDAS-BASE'!D971="","",'SAÍDAS-BASE'!D971)</f>
        <v/>
      </c>
      <c r="F973" s="6" t="str">
        <f>IF('SAÍDAS-BASE'!E971="","",'SAÍDAS-BASE'!E971)</f>
        <v/>
      </c>
      <c r="G973" t="str">
        <f>IF('SAÍDAS-BASE'!F971="","",'SAÍDAS-BASE'!F971)</f>
        <v/>
      </c>
      <c r="H973" t="str">
        <f>IF('SAÍDAS-BASE'!G971="","",'SAÍDAS-BASE'!G971)</f>
        <v/>
      </c>
      <c r="I973" t="str">
        <f>IF('SAÍDAS-BASE'!H971="","",'SAÍDAS-BASE'!H971)</f>
        <v/>
      </c>
      <c r="J973" t="str">
        <f>IF('SAÍDAS-BASE'!I971="","",'SAÍDAS-BASE'!I971)</f>
        <v/>
      </c>
      <c r="K973" s="5" t="str">
        <f>IF('SAÍDAS-BASE'!J971="","",'SAÍDAS-BASE'!J971)</f>
        <v/>
      </c>
      <c r="L973" t="str">
        <f>IF(TABELA_SAIDAS[[#This Row],[UF]]="","",IFERROR(IF(VLOOKUP(TABELA_SAIDAS[[#This Row],[VALOR]],TABELA_ENTRADAS[VALOR],1,FALSE),"DEVOLUÇÃO"),"SEM ENTRADAS"))</f>
        <v/>
      </c>
    </row>
    <row r="974" spans="2:12" x14ac:dyDescent="0.3">
      <c r="B974" t="str">
        <f>IF('SAÍDAS-BASE'!A972="","",'SAÍDAS-BASE'!A972)</f>
        <v/>
      </c>
      <c r="C974" t="str">
        <f>IF('SAÍDAS-BASE'!B972="","",'SAÍDAS-BASE'!B972)</f>
        <v/>
      </c>
      <c r="D974" t="str">
        <f>IF('SAÍDAS-BASE'!C972="","",'SAÍDAS-BASE'!C972)</f>
        <v/>
      </c>
      <c r="E974" s="7" t="str">
        <f>IF('SAÍDAS-BASE'!D972="","",'SAÍDAS-BASE'!D972)</f>
        <v/>
      </c>
      <c r="F974" s="6" t="str">
        <f>IF('SAÍDAS-BASE'!E972="","",'SAÍDAS-BASE'!E972)</f>
        <v/>
      </c>
      <c r="G974" t="str">
        <f>IF('SAÍDAS-BASE'!F972="","",'SAÍDAS-BASE'!F972)</f>
        <v/>
      </c>
      <c r="H974" t="str">
        <f>IF('SAÍDAS-BASE'!G972="","",'SAÍDAS-BASE'!G972)</f>
        <v/>
      </c>
      <c r="I974" t="str">
        <f>IF('SAÍDAS-BASE'!H972="","",'SAÍDAS-BASE'!H972)</f>
        <v/>
      </c>
      <c r="J974" t="str">
        <f>IF('SAÍDAS-BASE'!I972="","",'SAÍDAS-BASE'!I972)</f>
        <v/>
      </c>
      <c r="K974" s="5" t="str">
        <f>IF('SAÍDAS-BASE'!J972="","",'SAÍDAS-BASE'!J972)</f>
        <v/>
      </c>
      <c r="L974" t="str">
        <f>IF(TABELA_SAIDAS[[#This Row],[UF]]="","",IFERROR(IF(VLOOKUP(TABELA_SAIDAS[[#This Row],[VALOR]],TABELA_ENTRADAS[VALOR],1,FALSE),"DEVOLUÇÃO"),"SEM ENTRADAS"))</f>
        <v/>
      </c>
    </row>
    <row r="975" spans="2:12" x14ac:dyDescent="0.3">
      <c r="B975" t="str">
        <f>IF('SAÍDAS-BASE'!A973="","",'SAÍDAS-BASE'!A973)</f>
        <v/>
      </c>
      <c r="C975" t="str">
        <f>IF('SAÍDAS-BASE'!B973="","",'SAÍDAS-BASE'!B973)</f>
        <v/>
      </c>
      <c r="D975" t="str">
        <f>IF('SAÍDAS-BASE'!C973="","",'SAÍDAS-BASE'!C973)</f>
        <v/>
      </c>
      <c r="E975" s="7" t="str">
        <f>IF('SAÍDAS-BASE'!D973="","",'SAÍDAS-BASE'!D973)</f>
        <v/>
      </c>
      <c r="F975" s="6" t="str">
        <f>IF('SAÍDAS-BASE'!E973="","",'SAÍDAS-BASE'!E973)</f>
        <v/>
      </c>
      <c r="G975" t="str">
        <f>IF('SAÍDAS-BASE'!F973="","",'SAÍDAS-BASE'!F973)</f>
        <v/>
      </c>
      <c r="H975" t="str">
        <f>IF('SAÍDAS-BASE'!G973="","",'SAÍDAS-BASE'!G973)</f>
        <v/>
      </c>
      <c r="I975" t="str">
        <f>IF('SAÍDAS-BASE'!H973="","",'SAÍDAS-BASE'!H973)</f>
        <v/>
      </c>
      <c r="J975" t="str">
        <f>IF('SAÍDAS-BASE'!I973="","",'SAÍDAS-BASE'!I973)</f>
        <v/>
      </c>
      <c r="K975" s="5" t="str">
        <f>IF('SAÍDAS-BASE'!J973="","",'SAÍDAS-BASE'!J973)</f>
        <v/>
      </c>
      <c r="L975" t="str">
        <f>IF(TABELA_SAIDAS[[#This Row],[UF]]="","",IFERROR(IF(VLOOKUP(TABELA_SAIDAS[[#This Row],[VALOR]],TABELA_ENTRADAS[VALOR],1,FALSE),"DEVOLUÇÃO"),"SEM ENTRADAS"))</f>
        <v/>
      </c>
    </row>
    <row r="976" spans="2:12" x14ac:dyDescent="0.3">
      <c r="B976" t="str">
        <f>IF('SAÍDAS-BASE'!A974="","",'SAÍDAS-BASE'!A974)</f>
        <v/>
      </c>
      <c r="C976" t="str">
        <f>IF('SAÍDAS-BASE'!B974="","",'SAÍDAS-BASE'!B974)</f>
        <v/>
      </c>
      <c r="D976" t="str">
        <f>IF('SAÍDAS-BASE'!C974="","",'SAÍDAS-BASE'!C974)</f>
        <v/>
      </c>
      <c r="E976" s="7" t="str">
        <f>IF('SAÍDAS-BASE'!D974="","",'SAÍDAS-BASE'!D974)</f>
        <v/>
      </c>
      <c r="F976" s="6" t="str">
        <f>IF('SAÍDAS-BASE'!E974="","",'SAÍDAS-BASE'!E974)</f>
        <v/>
      </c>
      <c r="G976" t="str">
        <f>IF('SAÍDAS-BASE'!F974="","",'SAÍDAS-BASE'!F974)</f>
        <v/>
      </c>
      <c r="H976" t="str">
        <f>IF('SAÍDAS-BASE'!G974="","",'SAÍDAS-BASE'!G974)</f>
        <v/>
      </c>
      <c r="I976" t="str">
        <f>IF('SAÍDAS-BASE'!H974="","",'SAÍDAS-BASE'!H974)</f>
        <v/>
      </c>
      <c r="J976" t="str">
        <f>IF('SAÍDAS-BASE'!I974="","",'SAÍDAS-BASE'!I974)</f>
        <v/>
      </c>
      <c r="K976" s="5" t="str">
        <f>IF('SAÍDAS-BASE'!J974="","",'SAÍDAS-BASE'!J974)</f>
        <v/>
      </c>
      <c r="L976" t="str">
        <f>IF(TABELA_SAIDAS[[#This Row],[UF]]="","",IFERROR(IF(VLOOKUP(TABELA_SAIDAS[[#This Row],[VALOR]],TABELA_ENTRADAS[VALOR],1,FALSE),"DEVOLUÇÃO"),"SEM ENTRADAS"))</f>
        <v/>
      </c>
    </row>
    <row r="977" spans="2:12" x14ac:dyDescent="0.3">
      <c r="B977" t="str">
        <f>IF('SAÍDAS-BASE'!A975="","",'SAÍDAS-BASE'!A975)</f>
        <v/>
      </c>
      <c r="C977" t="str">
        <f>IF('SAÍDAS-BASE'!B975="","",'SAÍDAS-BASE'!B975)</f>
        <v/>
      </c>
      <c r="D977" t="str">
        <f>IF('SAÍDAS-BASE'!C975="","",'SAÍDAS-BASE'!C975)</f>
        <v/>
      </c>
      <c r="E977" s="7" t="str">
        <f>IF('SAÍDAS-BASE'!D975="","",'SAÍDAS-BASE'!D975)</f>
        <v/>
      </c>
      <c r="F977" s="6" t="str">
        <f>IF('SAÍDAS-BASE'!E975="","",'SAÍDAS-BASE'!E975)</f>
        <v/>
      </c>
      <c r="G977" t="str">
        <f>IF('SAÍDAS-BASE'!F975="","",'SAÍDAS-BASE'!F975)</f>
        <v/>
      </c>
      <c r="H977" t="str">
        <f>IF('SAÍDAS-BASE'!G975="","",'SAÍDAS-BASE'!G975)</f>
        <v/>
      </c>
      <c r="I977" t="str">
        <f>IF('SAÍDAS-BASE'!H975="","",'SAÍDAS-BASE'!H975)</f>
        <v/>
      </c>
      <c r="J977" t="str">
        <f>IF('SAÍDAS-BASE'!I975="","",'SAÍDAS-BASE'!I975)</f>
        <v/>
      </c>
      <c r="K977" s="5" t="str">
        <f>IF('SAÍDAS-BASE'!J975="","",'SAÍDAS-BASE'!J975)</f>
        <v/>
      </c>
      <c r="L977" t="str">
        <f>IF(TABELA_SAIDAS[[#This Row],[UF]]="","",IFERROR(IF(VLOOKUP(TABELA_SAIDAS[[#This Row],[VALOR]],TABELA_ENTRADAS[VALOR],1,FALSE),"DEVOLUÇÃO"),"SEM ENTRADAS"))</f>
        <v/>
      </c>
    </row>
    <row r="978" spans="2:12" x14ac:dyDescent="0.3">
      <c r="B978" t="str">
        <f>IF('SAÍDAS-BASE'!A976="","",'SAÍDAS-BASE'!A976)</f>
        <v/>
      </c>
      <c r="C978" t="str">
        <f>IF('SAÍDAS-BASE'!B976="","",'SAÍDAS-BASE'!B976)</f>
        <v/>
      </c>
      <c r="D978" t="str">
        <f>IF('SAÍDAS-BASE'!C976="","",'SAÍDAS-BASE'!C976)</f>
        <v/>
      </c>
      <c r="E978" s="7" t="str">
        <f>IF('SAÍDAS-BASE'!D976="","",'SAÍDAS-BASE'!D976)</f>
        <v/>
      </c>
      <c r="F978" s="6" t="str">
        <f>IF('SAÍDAS-BASE'!E976="","",'SAÍDAS-BASE'!E976)</f>
        <v/>
      </c>
      <c r="G978" t="str">
        <f>IF('SAÍDAS-BASE'!F976="","",'SAÍDAS-BASE'!F976)</f>
        <v/>
      </c>
      <c r="H978" t="str">
        <f>IF('SAÍDAS-BASE'!G976="","",'SAÍDAS-BASE'!G976)</f>
        <v/>
      </c>
      <c r="I978" t="str">
        <f>IF('SAÍDAS-BASE'!H976="","",'SAÍDAS-BASE'!H976)</f>
        <v/>
      </c>
      <c r="J978" t="str">
        <f>IF('SAÍDAS-BASE'!I976="","",'SAÍDAS-BASE'!I976)</f>
        <v/>
      </c>
      <c r="K978" s="5" t="str">
        <f>IF('SAÍDAS-BASE'!J976="","",'SAÍDAS-BASE'!J976)</f>
        <v/>
      </c>
      <c r="L978" t="str">
        <f>IF(TABELA_SAIDAS[[#This Row],[UF]]="","",IFERROR(IF(VLOOKUP(TABELA_SAIDAS[[#This Row],[VALOR]],TABELA_ENTRADAS[VALOR],1,FALSE),"DEVOLUÇÃO"),"SEM ENTRADAS"))</f>
        <v/>
      </c>
    </row>
    <row r="979" spans="2:12" x14ac:dyDescent="0.3">
      <c r="B979" t="str">
        <f>IF('SAÍDAS-BASE'!A977="","",'SAÍDAS-BASE'!A977)</f>
        <v/>
      </c>
      <c r="C979" t="str">
        <f>IF('SAÍDAS-BASE'!B977="","",'SAÍDAS-BASE'!B977)</f>
        <v/>
      </c>
      <c r="D979" t="str">
        <f>IF('SAÍDAS-BASE'!C977="","",'SAÍDAS-BASE'!C977)</f>
        <v/>
      </c>
      <c r="E979" s="7" t="str">
        <f>IF('SAÍDAS-BASE'!D977="","",'SAÍDAS-BASE'!D977)</f>
        <v/>
      </c>
      <c r="F979" s="6" t="str">
        <f>IF('SAÍDAS-BASE'!E977="","",'SAÍDAS-BASE'!E977)</f>
        <v/>
      </c>
      <c r="G979" t="str">
        <f>IF('SAÍDAS-BASE'!F977="","",'SAÍDAS-BASE'!F977)</f>
        <v/>
      </c>
      <c r="H979" t="str">
        <f>IF('SAÍDAS-BASE'!G977="","",'SAÍDAS-BASE'!G977)</f>
        <v/>
      </c>
      <c r="I979" t="str">
        <f>IF('SAÍDAS-BASE'!H977="","",'SAÍDAS-BASE'!H977)</f>
        <v/>
      </c>
      <c r="J979" t="str">
        <f>IF('SAÍDAS-BASE'!I977="","",'SAÍDAS-BASE'!I977)</f>
        <v/>
      </c>
      <c r="K979" s="5" t="str">
        <f>IF('SAÍDAS-BASE'!J977="","",'SAÍDAS-BASE'!J977)</f>
        <v/>
      </c>
      <c r="L979" t="str">
        <f>IF(TABELA_SAIDAS[[#This Row],[UF]]="","",IFERROR(IF(VLOOKUP(TABELA_SAIDAS[[#This Row],[VALOR]],TABELA_ENTRADAS[VALOR],1,FALSE),"DEVOLUÇÃO"),"SEM ENTRADAS"))</f>
        <v/>
      </c>
    </row>
    <row r="980" spans="2:12" x14ac:dyDescent="0.3">
      <c r="B980" t="str">
        <f>IF('SAÍDAS-BASE'!A978="","",'SAÍDAS-BASE'!A978)</f>
        <v/>
      </c>
      <c r="C980" t="str">
        <f>IF('SAÍDAS-BASE'!B978="","",'SAÍDAS-BASE'!B978)</f>
        <v/>
      </c>
      <c r="D980" t="str">
        <f>IF('SAÍDAS-BASE'!C978="","",'SAÍDAS-BASE'!C978)</f>
        <v/>
      </c>
      <c r="E980" s="7" t="str">
        <f>IF('SAÍDAS-BASE'!D978="","",'SAÍDAS-BASE'!D978)</f>
        <v/>
      </c>
      <c r="F980" s="6" t="str">
        <f>IF('SAÍDAS-BASE'!E978="","",'SAÍDAS-BASE'!E978)</f>
        <v/>
      </c>
      <c r="G980" t="str">
        <f>IF('SAÍDAS-BASE'!F978="","",'SAÍDAS-BASE'!F978)</f>
        <v/>
      </c>
      <c r="H980" t="str">
        <f>IF('SAÍDAS-BASE'!G978="","",'SAÍDAS-BASE'!G978)</f>
        <v/>
      </c>
      <c r="I980" t="str">
        <f>IF('SAÍDAS-BASE'!H978="","",'SAÍDAS-BASE'!H978)</f>
        <v/>
      </c>
      <c r="J980" t="str">
        <f>IF('SAÍDAS-BASE'!I978="","",'SAÍDAS-BASE'!I978)</f>
        <v/>
      </c>
      <c r="K980" s="5" t="str">
        <f>IF('SAÍDAS-BASE'!J978="","",'SAÍDAS-BASE'!J978)</f>
        <v/>
      </c>
      <c r="L980" t="str">
        <f>IF(TABELA_SAIDAS[[#This Row],[UF]]="","",IFERROR(IF(VLOOKUP(TABELA_SAIDAS[[#This Row],[VALOR]],TABELA_ENTRADAS[VALOR],1,FALSE),"DEVOLUÇÃO"),"SEM ENTRADAS"))</f>
        <v/>
      </c>
    </row>
    <row r="981" spans="2:12" x14ac:dyDescent="0.3">
      <c r="B981" t="str">
        <f>IF('SAÍDAS-BASE'!A979="","",'SAÍDAS-BASE'!A979)</f>
        <v/>
      </c>
      <c r="C981" t="str">
        <f>IF('SAÍDAS-BASE'!B979="","",'SAÍDAS-BASE'!B979)</f>
        <v/>
      </c>
      <c r="D981" t="str">
        <f>IF('SAÍDAS-BASE'!C979="","",'SAÍDAS-BASE'!C979)</f>
        <v/>
      </c>
      <c r="E981" s="7" t="str">
        <f>IF('SAÍDAS-BASE'!D979="","",'SAÍDAS-BASE'!D979)</f>
        <v/>
      </c>
      <c r="F981" s="6" t="str">
        <f>IF('SAÍDAS-BASE'!E979="","",'SAÍDAS-BASE'!E979)</f>
        <v/>
      </c>
      <c r="G981" t="str">
        <f>IF('SAÍDAS-BASE'!F979="","",'SAÍDAS-BASE'!F979)</f>
        <v/>
      </c>
      <c r="H981" t="str">
        <f>IF('SAÍDAS-BASE'!G979="","",'SAÍDAS-BASE'!G979)</f>
        <v/>
      </c>
      <c r="I981" t="str">
        <f>IF('SAÍDAS-BASE'!H979="","",'SAÍDAS-BASE'!H979)</f>
        <v/>
      </c>
      <c r="J981" t="str">
        <f>IF('SAÍDAS-BASE'!I979="","",'SAÍDAS-BASE'!I979)</f>
        <v/>
      </c>
      <c r="K981" s="5" t="str">
        <f>IF('SAÍDAS-BASE'!J979="","",'SAÍDAS-BASE'!J979)</f>
        <v/>
      </c>
      <c r="L981" t="str">
        <f>IF(TABELA_SAIDAS[[#This Row],[UF]]="","",IFERROR(IF(VLOOKUP(TABELA_SAIDAS[[#This Row],[VALOR]],TABELA_ENTRADAS[VALOR],1,FALSE),"DEVOLUÇÃO"),"SEM ENTRADAS"))</f>
        <v/>
      </c>
    </row>
    <row r="982" spans="2:12" x14ac:dyDescent="0.3">
      <c r="B982" t="str">
        <f>IF('SAÍDAS-BASE'!A980="","",'SAÍDAS-BASE'!A980)</f>
        <v/>
      </c>
      <c r="C982" t="str">
        <f>IF('SAÍDAS-BASE'!B980="","",'SAÍDAS-BASE'!B980)</f>
        <v/>
      </c>
      <c r="D982" t="str">
        <f>IF('SAÍDAS-BASE'!C980="","",'SAÍDAS-BASE'!C980)</f>
        <v/>
      </c>
      <c r="E982" s="7" t="str">
        <f>IF('SAÍDAS-BASE'!D980="","",'SAÍDAS-BASE'!D980)</f>
        <v/>
      </c>
      <c r="F982" s="6" t="str">
        <f>IF('SAÍDAS-BASE'!E980="","",'SAÍDAS-BASE'!E980)</f>
        <v/>
      </c>
      <c r="G982" t="str">
        <f>IF('SAÍDAS-BASE'!F980="","",'SAÍDAS-BASE'!F980)</f>
        <v/>
      </c>
      <c r="H982" t="str">
        <f>IF('SAÍDAS-BASE'!G980="","",'SAÍDAS-BASE'!G980)</f>
        <v/>
      </c>
      <c r="I982" t="str">
        <f>IF('SAÍDAS-BASE'!H980="","",'SAÍDAS-BASE'!H980)</f>
        <v/>
      </c>
      <c r="J982" t="str">
        <f>IF('SAÍDAS-BASE'!I980="","",'SAÍDAS-BASE'!I980)</f>
        <v/>
      </c>
      <c r="K982" s="5" t="str">
        <f>IF('SAÍDAS-BASE'!J980="","",'SAÍDAS-BASE'!J980)</f>
        <v/>
      </c>
      <c r="L982" t="str">
        <f>IF(TABELA_SAIDAS[[#This Row],[UF]]="","",IFERROR(IF(VLOOKUP(TABELA_SAIDAS[[#This Row],[VALOR]],TABELA_ENTRADAS[VALOR],1,FALSE),"DEVOLUÇÃO"),"SEM ENTRADAS"))</f>
        <v/>
      </c>
    </row>
    <row r="983" spans="2:12" x14ac:dyDescent="0.3">
      <c r="B983" t="str">
        <f>IF('SAÍDAS-BASE'!A981="","",'SAÍDAS-BASE'!A981)</f>
        <v/>
      </c>
      <c r="C983" t="str">
        <f>IF('SAÍDAS-BASE'!B981="","",'SAÍDAS-BASE'!B981)</f>
        <v/>
      </c>
      <c r="D983" t="str">
        <f>IF('SAÍDAS-BASE'!C981="","",'SAÍDAS-BASE'!C981)</f>
        <v/>
      </c>
      <c r="E983" s="7" t="str">
        <f>IF('SAÍDAS-BASE'!D981="","",'SAÍDAS-BASE'!D981)</f>
        <v/>
      </c>
      <c r="F983" s="6" t="str">
        <f>IF('SAÍDAS-BASE'!E981="","",'SAÍDAS-BASE'!E981)</f>
        <v/>
      </c>
      <c r="G983" t="str">
        <f>IF('SAÍDAS-BASE'!F981="","",'SAÍDAS-BASE'!F981)</f>
        <v/>
      </c>
      <c r="H983" t="str">
        <f>IF('SAÍDAS-BASE'!G981="","",'SAÍDAS-BASE'!G981)</f>
        <v/>
      </c>
      <c r="I983" t="str">
        <f>IF('SAÍDAS-BASE'!H981="","",'SAÍDAS-BASE'!H981)</f>
        <v/>
      </c>
      <c r="J983" t="str">
        <f>IF('SAÍDAS-BASE'!I981="","",'SAÍDAS-BASE'!I981)</f>
        <v/>
      </c>
      <c r="K983" s="5" t="str">
        <f>IF('SAÍDAS-BASE'!J981="","",'SAÍDAS-BASE'!J981)</f>
        <v/>
      </c>
      <c r="L983" t="str">
        <f>IF(TABELA_SAIDAS[[#This Row],[UF]]="","",IFERROR(IF(VLOOKUP(TABELA_SAIDAS[[#This Row],[VALOR]],TABELA_ENTRADAS[VALOR],1,FALSE),"DEVOLUÇÃO"),"SEM ENTRADAS"))</f>
        <v/>
      </c>
    </row>
    <row r="984" spans="2:12" x14ac:dyDescent="0.3">
      <c r="B984" t="str">
        <f>IF('SAÍDAS-BASE'!A982="","",'SAÍDAS-BASE'!A982)</f>
        <v/>
      </c>
      <c r="C984" t="str">
        <f>IF('SAÍDAS-BASE'!B982="","",'SAÍDAS-BASE'!B982)</f>
        <v/>
      </c>
      <c r="D984" t="str">
        <f>IF('SAÍDAS-BASE'!C982="","",'SAÍDAS-BASE'!C982)</f>
        <v/>
      </c>
      <c r="E984" s="7" t="str">
        <f>IF('SAÍDAS-BASE'!D982="","",'SAÍDAS-BASE'!D982)</f>
        <v/>
      </c>
      <c r="F984" s="6" t="str">
        <f>IF('SAÍDAS-BASE'!E982="","",'SAÍDAS-BASE'!E982)</f>
        <v/>
      </c>
      <c r="G984" t="str">
        <f>IF('SAÍDAS-BASE'!F982="","",'SAÍDAS-BASE'!F982)</f>
        <v/>
      </c>
      <c r="H984" t="str">
        <f>IF('SAÍDAS-BASE'!G982="","",'SAÍDAS-BASE'!G982)</f>
        <v/>
      </c>
      <c r="I984" t="str">
        <f>IF('SAÍDAS-BASE'!H982="","",'SAÍDAS-BASE'!H982)</f>
        <v/>
      </c>
      <c r="J984" t="str">
        <f>IF('SAÍDAS-BASE'!I982="","",'SAÍDAS-BASE'!I982)</f>
        <v/>
      </c>
      <c r="K984" s="5" t="str">
        <f>IF('SAÍDAS-BASE'!J982="","",'SAÍDAS-BASE'!J982)</f>
        <v/>
      </c>
      <c r="L984" t="str">
        <f>IF(TABELA_SAIDAS[[#This Row],[UF]]="","",IFERROR(IF(VLOOKUP(TABELA_SAIDAS[[#This Row],[VALOR]],TABELA_ENTRADAS[VALOR],1,FALSE),"DEVOLUÇÃO"),"SEM ENTRADAS"))</f>
        <v/>
      </c>
    </row>
    <row r="985" spans="2:12" x14ac:dyDescent="0.3">
      <c r="B985" t="str">
        <f>IF('SAÍDAS-BASE'!A983="","",'SAÍDAS-BASE'!A983)</f>
        <v/>
      </c>
      <c r="C985" t="str">
        <f>IF('SAÍDAS-BASE'!B983="","",'SAÍDAS-BASE'!B983)</f>
        <v/>
      </c>
      <c r="D985" t="str">
        <f>IF('SAÍDAS-BASE'!C983="","",'SAÍDAS-BASE'!C983)</f>
        <v/>
      </c>
      <c r="E985" s="7" t="str">
        <f>IF('SAÍDAS-BASE'!D983="","",'SAÍDAS-BASE'!D983)</f>
        <v/>
      </c>
      <c r="F985" s="6" t="str">
        <f>IF('SAÍDAS-BASE'!E983="","",'SAÍDAS-BASE'!E983)</f>
        <v/>
      </c>
      <c r="G985" t="str">
        <f>IF('SAÍDAS-BASE'!F983="","",'SAÍDAS-BASE'!F983)</f>
        <v/>
      </c>
      <c r="H985" t="str">
        <f>IF('SAÍDAS-BASE'!G983="","",'SAÍDAS-BASE'!G983)</f>
        <v/>
      </c>
      <c r="I985" t="str">
        <f>IF('SAÍDAS-BASE'!H983="","",'SAÍDAS-BASE'!H983)</f>
        <v/>
      </c>
      <c r="J985" t="str">
        <f>IF('SAÍDAS-BASE'!I983="","",'SAÍDAS-BASE'!I983)</f>
        <v/>
      </c>
      <c r="K985" s="5" t="str">
        <f>IF('SAÍDAS-BASE'!J983="","",'SAÍDAS-BASE'!J983)</f>
        <v/>
      </c>
      <c r="L985" t="str">
        <f>IF(TABELA_SAIDAS[[#This Row],[UF]]="","",IFERROR(IF(VLOOKUP(TABELA_SAIDAS[[#This Row],[VALOR]],TABELA_ENTRADAS[VALOR],1,FALSE),"DEVOLUÇÃO"),"SEM ENTRADAS"))</f>
        <v/>
      </c>
    </row>
    <row r="986" spans="2:12" x14ac:dyDescent="0.3">
      <c r="B986" t="str">
        <f>IF('SAÍDAS-BASE'!A984="","",'SAÍDAS-BASE'!A984)</f>
        <v/>
      </c>
      <c r="C986" t="str">
        <f>IF('SAÍDAS-BASE'!B984="","",'SAÍDAS-BASE'!B984)</f>
        <v/>
      </c>
      <c r="D986" t="str">
        <f>IF('SAÍDAS-BASE'!C984="","",'SAÍDAS-BASE'!C984)</f>
        <v/>
      </c>
      <c r="E986" s="7" t="str">
        <f>IF('SAÍDAS-BASE'!D984="","",'SAÍDAS-BASE'!D984)</f>
        <v/>
      </c>
      <c r="F986" s="6" t="str">
        <f>IF('SAÍDAS-BASE'!E984="","",'SAÍDAS-BASE'!E984)</f>
        <v/>
      </c>
      <c r="G986" t="str">
        <f>IF('SAÍDAS-BASE'!F984="","",'SAÍDAS-BASE'!F984)</f>
        <v/>
      </c>
      <c r="H986" t="str">
        <f>IF('SAÍDAS-BASE'!G984="","",'SAÍDAS-BASE'!G984)</f>
        <v/>
      </c>
      <c r="I986" t="str">
        <f>IF('SAÍDAS-BASE'!H984="","",'SAÍDAS-BASE'!H984)</f>
        <v/>
      </c>
      <c r="J986" t="str">
        <f>IF('SAÍDAS-BASE'!I984="","",'SAÍDAS-BASE'!I984)</f>
        <v/>
      </c>
      <c r="K986" s="5" t="str">
        <f>IF('SAÍDAS-BASE'!J984="","",'SAÍDAS-BASE'!J984)</f>
        <v/>
      </c>
      <c r="L986" t="str">
        <f>IF(TABELA_SAIDAS[[#This Row],[UF]]="","",IFERROR(IF(VLOOKUP(TABELA_SAIDAS[[#This Row],[VALOR]],TABELA_ENTRADAS[VALOR],1,FALSE),"DEVOLUÇÃO"),"SEM ENTRADAS"))</f>
        <v/>
      </c>
    </row>
    <row r="987" spans="2:12" x14ac:dyDescent="0.3">
      <c r="B987" t="str">
        <f>IF('SAÍDAS-BASE'!A985="","",'SAÍDAS-BASE'!A985)</f>
        <v/>
      </c>
      <c r="C987" t="str">
        <f>IF('SAÍDAS-BASE'!B985="","",'SAÍDAS-BASE'!B985)</f>
        <v/>
      </c>
      <c r="D987" t="str">
        <f>IF('SAÍDAS-BASE'!C985="","",'SAÍDAS-BASE'!C985)</f>
        <v/>
      </c>
      <c r="E987" s="7" t="str">
        <f>IF('SAÍDAS-BASE'!D985="","",'SAÍDAS-BASE'!D985)</f>
        <v/>
      </c>
      <c r="F987" s="6" t="str">
        <f>IF('SAÍDAS-BASE'!E985="","",'SAÍDAS-BASE'!E985)</f>
        <v/>
      </c>
      <c r="G987" t="str">
        <f>IF('SAÍDAS-BASE'!F985="","",'SAÍDAS-BASE'!F985)</f>
        <v/>
      </c>
      <c r="H987" t="str">
        <f>IF('SAÍDAS-BASE'!G985="","",'SAÍDAS-BASE'!G985)</f>
        <v/>
      </c>
      <c r="I987" t="str">
        <f>IF('SAÍDAS-BASE'!H985="","",'SAÍDAS-BASE'!H985)</f>
        <v/>
      </c>
      <c r="J987" t="str">
        <f>IF('SAÍDAS-BASE'!I985="","",'SAÍDAS-BASE'!I985)</f>
        <v/>
      </c>
      <c r="K987" s="5" t="str">
        <f>IF('SAÍDAS-BASE'!J985="","",'SAÍDAS-BASE'!J985)</f>
        <v/>
      </c>
      <c r="L987" t="str">
        <f>IF(TABELA_SAIDAS[[#This Row],[UF]]="","",IFERROR(IF(VLOOKUP(TABELA_SAIDAS[[#This Row],[VALOR]],TABELA_ENTRADAS[VALOR],1,FALSE),"DEVOLUÇÃO"),"SEM ENTRADAS"))</f>
        <v/>
      </c>
    </row>
    <row r="988" spans="2:12" x14ac:dyDescent="0.3">
      <c r="B988" t="str">
        <f>IF('SAÍDAS-BASE'!A986="","",'SAÍDAS-BASE'!A986)</f>
        <v/>
      </c>
      <c r="C988" t="str">
        <f>IF('SAÍDAS-BASE'!B986="","",'SAÍDAS-BASE'!B986)</f>
        <v/>
      </c>
      <c r="D988" t="str">
        <f>IF('SAÍDAS-BASE'!C986="","",'SAÍDAS-BASE'!C986)</f>
        <v/>
      </c>
      <c r="E988" s="7" t="str">
        <f>IF('SAÍDAS-BASE'!D986="","",'SAÍDAS-BASE'!D986)</f>
        <v/>
      </c>
      <c r="F988" s="6" t="str">
        <f>IF('SAÍDAS-BASE'!E986="","",'SAÍDAS-BASE'!E986)</f>
        <v/>
      </c>
      <c r="G988" t="str">
        <f>IF('SAÍDAS-BASE'!F986="","",'SAÍDAS-BASE'!F986)</f>
        <v/>
      </c>
      <c r="H988" t="str">
        <f>IF('SAÍDAS-BASE'!G986="","",'SAÍDAS-BASE'!G986)</f>
        <v/>
      </c>
      <c r="I988" t="str">
        <f>IF('SAÍDAS-BASE'!H986="","",'SAÍDAS-BASE'!H986)</f>
        <v/>
      </c>
      <c r="J988" t="str">
        <f>IF('SAÍDAS-BASE'!I986="","",'SAÍDAS-BASE'!I986)</f>
        <v/>
      </c>
      <c r="K988" s="5" t="str">
        <f>IF('SAÍDAS-BASE'!J986="","",'SAÍDAS-BASE'!J986)</f>
        <v/>
      </c>
      <c r="L988" t="str">
        <f>IF(TABELA_SAIDAS[[#This Row],[UF]]="","",IFERROR(IF(VLOOKUP(TABELA_SAIDAS[[#This Row],[VALOR]],TABELA_ENTRADAS[VALOR],1,FALSE),"DEVOLUÇÃO"),"SEM ENTRADAS"))</f>
        <v/>
      </c>
    </row>
    <row r="989" spans="2:12" x14ac:dyDescent="0.3">
      <c r="B989" t="str">
        <f>IF('SAÍDAS-BASE'!A987="","",'SAÍDAS-BASE'!A987)</f>
        <v/>
      </c>
      <c r="C989" t="str">
        <f>IF('SAÍDAS-BASE'!B987="","",'SAÍDAS-BASE'!B987)</f>
        <v/>
      </c>
      <c r="D989" t="str">
        <f>IF('SAÍDAS-BASE'!C987="","",'SAÍDAS-BASE'!C987)</f>
        <v/>
      </c>
      <c r="E989" s="7" t="str">
        <f>IF('SAÍDAS-BASE'!D987="","",'SAÍDAS-BASE'!D987)</f>
        <v/>
      </c>
      <c r="F989" s="6" t="str">
        <f>IF('SAÍDAS-BASE'!E987="","",'SAÍDAS-BASE'!E987)</f>
        <v/>
      </c>
      <c r="G989" t="str">
        <f>IF('SAÍDAS-BASE'!F987="","",'SAÍDAS-BASE'!F987)</f>
        <v/>
      </c>
      <c r="H989" t="str">
        <f>IF('SAÍDAS-BASE'!G987="","",'SAÍDAS-BASE'!G987)</f>
        <v/>
      </c>
      <c r="I989" t="str">
        <f>IF('SAÍDAS-BASE'!H987="","",'SAÍDAS-BASE'!H987)</f>
        <v/>
      </c>
      <c r="J989" t="str">
        <f>IF('SAÍDAS-BASE'!I987="","",'SAÍDAS-BASE'!I987)</f>
        <v/>
      </c>
      <c r="K989" s="5" t="str">
        <f>IF('SAÍDAS-BASE'!J987="","",'SAÍDAS-BASE'!J987)</f>
        <v/>
      </c>
      <c r="L989" t="str">
        <f>IF(TABELA_SAIDAS[[#This Row],[UF]]="","",IFERROR(IF(VLOOKUP(TABELA_SAIDAS[[#This Row],[VALOR]],TABELA_ENTRADAS[VALOR],1,FALSE),"DEVOLUÇÃO"),"SEM ENTRADAS"))</f>
        <v/>
      </c>
    </row>
    <row r="990" spans="2:12" x14ac:dyDescent="0.3">
      <c r="B990" t="str">
        <f>IF('SAÍDAS-BASE'!A988="","",'SAÍDAS-BASE'!A988)</f>
        <v/>
      </c>
      <c r="C990" t="str">
        <f>IF('SAÍDAS-BASE'!B988="","",'SAÍDAS-BASE'!B988)</f>
        <v/>
      </c>
      <c r="D990" t="str">
        <f>IF('SAÍDAS-BASE'!C988="","",'SAÍDAS-BASE'!C988)</f>
        <v/>
      </c>
      <c r="E990" s="7" t="str">
        <f>IF('SAÍDAS-BASE'!D988="","",'SAÍDAS-BASE'!D988)</f>
        <v/>
      </c>
      <c r="F990" s="6" t="str">
        <f>IF('SAÍDAS-BASE'!E988="","",'SAÍDAS-BASE'!E988)</f>
        <v/>
      </c>
      <c r="G990" t="str">
        <f>IF('SAÍDAS-BASE'!F988="","",'SAÍDAS-BASE'!F988)</f>
        <v/>
      </c>
      <c r="H990" t="str">
        <f>IF('SAÍDAS-BASE'!G988="","",'SAÍDAS-BASE'!G988)</f>
        <v/>
      </c>
      <c r="I990" t="str">
        <f>IF('SAÍDAS-BASE'!H988="","",'SAÍDAS-BASE'!H988)</f>
        <v/>
      </c>
      <c r="J990" t="str">
        <f>IF('SAÍDAS-BASE'!I988="","",'SAÍDAS-BASE'!I988)</f>
        <v/>
      </c>
      <c r="K990" s="5" t="str">
        <f>IF('SAÍDAS-BASE'!J988="","",'SAÍDAS-BASE'!J988)</f>
        <v/>
      </c>
      <c r="L990" t="str">
        <f>IF(TABELA_SAIDAS[[#This Row],[UF]]="","",IFERROR(IF(VLOOKUP(TABELA_SAIDAS[[#This Row],[VALOR]],TABELA_ENTRADAS[VALOR],1,FALSE),"DEVOLUÇÃO"),"SEM ENTRADAS"))</f>
        <v/>
      </c>
    </row>
    <row r="991" spans="2:12" x14ac:dyDescent="0.3">
      <c r="B991" t="str">
        <f>IF('SAÍDAS-BASE'!A989="","",'SAÍDAS-BASE'!A989)</f>
        <v/>
      </c>
      <c r="C991" t="str">
        <f>IF('SAÍDAS-BASE'!B989="","",'SAÍDAS-BASE'!B989)</f>
        <v/>
      </c>
      <c r="D991" t="str">
        <f>IF('SAÍDAS-BASE'!C989="","",'SAÍDAS-BASE'!C989)</f>
        <v/>
      </c>
      <c r="E991" s="7" t="str">
        <f>IF('SAÍDAS-BASE'!D989="","",'SAÍDAS-BASE'!D989)</f>
        <v/>
      </c>
      <c r="F991" s="6" t="str">
        <f>IF('SAÍDAS-BASE'!E989="","",'SAÍDAS-BASE'!E989)</f>
        <v/>
      </c>
      <c r="G991" t="str">
        <f>IF('SAÍDAS-BASE'!F989="","",'SAÍDAS-BASE'!F989)</f>
        <v/>
      </c>
      <c r="H991" t="str">
        <f>IF('SAÍDAS-BASE'!G989="","",'SAÍDAS-BASE'!G989)</f>
        <v/>
      </c>
      <c r="I991" t="str">
        <f>IF('SAÍDAS-BASE'!H989="","",'SAÍDAS-BASE'!H989)</f>
        <v/>
      </c>
      <c r="J991" t="str">
        <f>IF('SAÍDAS-BASE'!I989="","",'SAÍDAS-BASE'!I989)</f>
        <v/>
      </c>
      <c r="K991" s="5" t="str">
        <f>IF('SAÍDAS-BASE'!J989="","",'SAÍDAS-BASE'!J989)</f>
        <v/>
      </c>
      <c r="L991" t="str">
        <f>IF(TABELA_SAIDAS[[#This Row],[UF]]="","",IFERROR(IF(VLOOKUP(TABELA_SAIDAS[[#This Row],[VALOR]],TABELA_ENTRADAS[VALOR],1,FALSE),"DEVOLUÇÃO"),"SEM ENTRADAS"))</f>
        <v/>
      </c>
    </row>
    <row r="992" spans="2:12" x14ac:dyDescent="0.3">
      <c r="B992" t="str">
        <f>IF('SAÍDAS-BASE'!A990="","",'SAÍDAS-BASE'!A990)</f>
        <v/>
      </c>
      <c r="C992" t="str">
        <f>IF('SAÍDAS-BASE'!B990="","",'SAÍDAS-BASE'!B990)</f>
        <v/>
      </c>
      <c r="D992" t="str">
        <f>IF('SAÍDAS-BASE'!C990="","",'SAÍDAS-BASE'!C990)</f>
        <v/>
      </c>
      <c r="E992" s="7" t="str">
        <f>IF('SAÍDAS-BASE'!D990="","",'SAÍDAS-BASE'!D990)</f>
        <v/>
      </c>
      <c r="F992" s="6" t="str">
        <f>IF('SAÍDAS-BASE'!E990="","",'SAÍDAS-BASE'!E990)</f>
        <v/>
      </c>
      <c r="G992" t="str">
        <f>IF('SAÍDAS-BASE'!F990="","",'SAÍDAS-BASE'!F990)</f>
        <v/>
      </c>
      <c r="H992" t="str">
        <f>IF('SAÍDAS-BASE'!G990="","",'SAÍDAS-BASE'!G990)</f>
        <v/>
      </c>
      <c r="I992" t="str">
        <f>IF('SAÍDAS-BASE'!H990="","",'SAÍDAS-BASE'!H990)</f>
        <v/>
      </c>
      <c r="J992" t="str">
        <f>IF('SAÍDAS-BASE'!I990="","",'SAÍDAS-BASE'!I990)</f>
        <v/>
      </c>
      <c r="K992" s="5" t="str">
        <f>IF('SAÍDAS-BASE'!J990="","",'SAÍDAS-BASE'!J990)</f>
        <v/>
      </c>
      <c r="L992" t="str">
        <f>IF(TABELA_SAIDAS[[#This Row],[UF]]="","",IFERROR(IF(VLOOKUP(TABELA_SAIDAS[[#This Row],[VALOR]],TABELA_ENTRADAS[VALOR],1,FALSE),"DEVOLUÇÃO"),"SEM ENTRADAS"))</f>
        <v/>
      </c>
    </row>
    <row r="993" spans="2:12" x14ac:dyDescent="0.3">
      <c r="B993" t="str">
        <f>IF('SAÍDAS-BASE'!A991="","",'SAÍDAS-BASE'!A991)</f>
        <v/>
      </c>
      <c r="C993" t="str">
        <f>IF('SAÍDAS-BASE'!B991="","",'SAÍDAS-BASE'!B991)</f>
        <v/>
      </c>
      <c r="D993" t="str">
        <f>IF('SAÍDAS-BASE'!C991="","",'SAÍDAS-BASE'!C991)</f>
        <v/>
      </c>
      <c r="E993" s="7" t="str">
        <f>IF('SAÍDAS-BASE'!D991="","",'SAÍDAS-BASE'!D991)</f>
        <v/>
      </c>
      <c r="F993" s="6" t="str">
        <f>IF('SAÍDAS-BASE'!E991="","",'SAÍDAS-BASE'!E991)</f>
        <v/>
      </c>
      <c r="G993" t="str">
        <f>IF('SAÍDAS-BASE'!F991="","",'SAÍDAS-BASE'!F991)</f>
        <v/>
      </c>
      <c r="H993" t="str">
        <f>IF('SAÍDAS-BASE'!G991="","",'SAÍDAS-BASE'!G991)</f>
        <v/>
      </c>
      <c r="I993" t="str">
        <f>IF('SAÍDAS-BASE'!H991="","",'SAÍDAS-BASE'!H991)</f>
        <v/>
      </c>
      <c r="J993" t="str">
        <f>IF('SAÍDAS-BASE'!I991="","",'SAÍDAS-BASE'!I991)</f>
        <v/>
      </c>
      <c r="K993" s="5" t="str">
        <f>IF('SAÍDAS-BASE'!J991="","",'SAÍDAS-BASE'!J991)</f>
        <v/>
      </c>
      <c r="L993" t="str">
        <f>IF(TABELA_SAIDAS[[#This Row],[UF]]="","",IFERROR(IF(VLOOKUP(TABELA_SAIDAS[[#This Row],[VALOR]],TABELA_ENTRADAS[VALOR],1,FALSE),"DEVOLUÇÃO"),"SEM ENTRADAS"))</f>
        <v/>
      </c>
    </row>
    <row r="994" spans="2:12" x14ac:dyDescent="0.3">
      <c r="B994" t="str">
        <f>IF('SAÍDAS-BASE'!A992="","",'SAÍDAS-BASE'!A992)</f>
        <v/>
      </c>
      <c r="C994" t="str">
        <f>IF('SAÍDAS-BASE'!B992="","",'SAÍDAS-BASE'!B992)</f>
        <v/>
      </c>
      <c r="D994" t="str">
        <f>IF('SAÍDAS-BASE'!C992="","",'SAÍDAS-BASE'!C992)</f>
        <v/>
      </c>
      <c r="E994" s="7" t="str">
        <f>IF('SAÍDAS-BASE'!D992="","",'SAÍDAS-BASE'!D992)</f>
        <v/>
      </c>
      <c r="F994" s="6" t="str">
        <f>IF('SAÍDAS-BASE'!E992="","",'SAÍDAS-BASE'!E992)</f>
        <v/>
      </c>
      <c r="G994" t="str">
        <f>IF('SAÍDAS-BASE'!F992="","",'SAÍDAS-BASE'!F992)</f>
        <v/>
      </c>
      <c r="H994" t="str">
        <f>IF('SAÍDAS-BASE'!G992="","",'SAÍDAS-BASE'!G992)</f>
        <v/>
      </c>
      <c r="I994" t="str">
        <f>IF('SAÍDAS-BASE'!H992="","",'SAÍDAS-BASE'!H992)</f>
        <v/>
      </c>
      <c r="J994" t="str">
        <f>IF('SAÍDAS-BASE'!I992="","",'SAÍDAS-BASE'!I992)</f>
        <v/>
      </c>
      <c r="K994" s="5" t="str">
        <f>IF('SAÍDAS-BASE'!J992="","",'SAÍDAS-BASE'!J992)</f>
        <v/>
      </c>
      <c r="L994" t="str">
        <f>IF(TABELA_SAIDAS[[#This Row],[UF]]="","",IFERROR(IF(VLOOKUP(TABELA_SAIDAS[[#This Row],[VALOR]],TABELA_ENTRADAS[VALOR],1,FALSE),"DEVOLUÇÃO"),"SEM ENTRADAS"))</f>
        <v/>
      </c>
    </row>
    <row r="995" spans="2:12" x14ac:dyDescent="0.3">
      <c r="B995" t="str">
        <f>IF('SAÍDAS-BASE'!A993="","",'SAÍDAS-BASE'!A993)</f>
        <v/>
      </c>
      <c r="C995" t="str">
        <f>IF('SAÍDAS-BASE'!B993="","",'SAÍDAS-BASE'!B993)</f>
        <v/>
      </c>
      <c r="D995" t="str">
        <f>IF('SAÍDAS-BASE'!C993="","",'SAÍDAS-BASE'!C993)</f>
        <v/>
      </c>
      <c r="E995" s="7" t="str">
        <f>IF('SAÍDAS-BASE'!D993="","",'SAÍDAS-BASE'!D993)</f>
        <v/>
      </c>
      <c r="F995" s="6" t="str">
        <f>IF('SAÍDAS-BASE'!E993="","",'SAÍDAS-BASE'!E993)</f>
        <v/>
      </c>
      <c r="G995" t="str">
        <f>IF('SAÍDAS-BASE'!F993="","",'SAÍDAS-BASE'!F993)</f>
        <v/>
      </c>
      <c r="H995" t="str">
        <f>IF('SAÍDAS-BASE'!G993="","",'SAÍDAS-BASE'!G993)</f>
        <v/>
      </c>
      <c r="I995" t="str">
        <f>IF('SAÍDAS-BASE'!H993="","",'SAÍDAS-BASE'!H993)</f>
        <v/>
      </c>
      <c r="J995" t="str">
        <f>IF('SAÍDAS-BASE'!I993="","",'SAÍDAS-BASE'!I993)</f>
        <v/>
      </c>
      <c r="K995" s="5" t="str">
        <f>IF('SAÍDAS-BASE'!J993="","",'SAÍDAS-BASE'!J993)</f>
        <v/>
      </c>
      <c r="L995" t="str">
        <f>IF(TABELA_SAIDAS[[#This Row],[UF]]="","",IFERROR(IF(VLOOKUP(TABELA_SAIDAS[[#This Row],[VALOR]],TABELA_ENTRADAS[VALOR],1,FALSE),"DEVOLUÇÃO"),"SEM ENTRADAS"))</f>
        <v/>
      </c>
    </row>
    <row r="996" spans="2:12" x14ac:dyDescent="0.3">
      <c r="B996" t="str">
        <f>IF('SAÍDAS-BASE'!A994="","",'SAÍDAS-BASE'!A994)</f>
        <v/>
      </c>
      <c r="C996" t="str">
        <f>IF('SAÍDAS-BASE'!B994="","",'SAÍDAS-BASE'!B994)</f>
        <v/>
      </c>
      <c r="D996" t="str">
        <f>IF('SAÍDAS-BASE'!C994="","",'SAÍDAS-BASE'!C994)</f>
        <v/>
      </c>
      <c r="E996" s="7" t="str">
        <f>IF('SAÍDAS-BASE'!D994="","",'SAÍDAS-BASE'!D994)</f>
        <v/>
      </c>
      <c r="F996" s="6" t="str">
        <f>IF('SAÍDAS-BASE'!E994="","",'SAÍDAS-BASE'!E994)</f>
        <v/>
      </c>
      <c r="G996" t="str">
        <f>IF('SAÍDAS-BASE'!F994="","",'SAÍDAS-BASE'!F994)</f>
        <v/>
      </c>
      <c r="H996" t="str">
        <f>IF('SAÍDAS-BASE'!G994="","",'SAÍDAS-BASE'!G994)</f>
        <v/>
      </c>
      <c r="I996" t="str">
        <f>IF('SAÍDAS-BASE'!H994="","",'SAÍDAS-BASE'!H994)</f>
        <v/>
      </c>
      <c r="J996" t="str">
        <f>IF('SAÍDAS-BASE'!I994="","",'SAÍDAS-BASE'!I994)</f>
        <v/>
      </c>
      <c r="K996" s="5" t="str">
        <f>IF('SAÍDAS-BASE'!J994="","",'SAÍDAS-BASE'!J994)</f>
        <v/>
      </c>
      <c r="L996" t="str">
        <f>IF(TABELA_SAIDAS[[#This Row],[UF]]="","",IFERROR(IF(VLOOKUP(TABELA_SAIDAS[[#This Row],[VALOR]],TABELA_ENTRADAS[VALOR],1,FALSE),"DEVOLUÇÃO"),"SEM ENTRADAS"))</f>
        <v/>
      </c>
    </row>
    <row r="997" spans="2:12" x14ac:dyDescent="0.3">
      <c r="B997" t="str">
        <f>IF('SAÍDAS-BASE'!A995="","",'SAÍDAS-BASE'!A995)</f>
        <v/>
      </c>
      <c r="C997" t="str">
        <f>IF('SAÍDAS-BASE'!B995="","",'SAÍDAS-BASE'!B995)</f>
        <v/>
      </c>
      <c r="D997" t="str">
        <f>IF('SAÍDAS-BASE'!C995="","",'SAÍDAS-BASE'!C995)</f>
        <v/>
      </c>
      <c r="E997" s="7" t="str">
        <f>IF('SAÍDAS-BASE'!D995="","",'SAÍDAS-BASE'!D995)</f>
        <v/>
      </c>
      <c r="F997" s="6" t="str">
        <f>IF('SAÍDAS-BASE'!E995="","",'SAÍDAS-BASE'!E995)</f>
        <v/>
      </c>
      <c r="G997" t="str">
        <f>IF('SAÍDAS-BASE'!F995="","",'SAÍDAS-BASE'!F995)</f>
        <v/>
      </c>
      <c r="H997" t="str">
        <f>IF('SAÍDAS-BASE'!G995="","",'SAÍDAS-BASE'!G995)</f>
        <v/>
      </c>
      <c r="I997" t="str">
        <f>IF('SAÍDAS-BASE'!H995="","",'SAÍDAS-BASE'!H995)</f>
        <v/>
      </c>
      <c r="J997" t="str">
        <f>IF('SAÍDAS-BASE'!I995="","",'SAÍDAS-BASE'!I995)</f>
        <v/>
      </c>
      <c r="K997" s="5" t="str">
        <f>IF('SAÍDAS-BASE'!J995="","",'SAÍDAS-BASE'!J995)</f>
        <v/>
      </c>
      <c r="L997" t="str">
        <f>IF(TABELA_SAIDAS[[#This Row],[UF]]="","",IFERROR(IF(VLOOKUP(TABELA_SAIDAS[[#This Row],[VALOR]],TABELA_ENTRADAS[VALOR],1,FALSE),"DEVOLUÇÃO"),"SEM ENTRADAS"))</f>
        <v/>
      </c>
    </row>
    <row r="998" spans="2:12" x14ac:dyDescent="0.3">
      <c r="B998" t="str">
        <f>IF('SAÍDAS-BASE'!A996="","",'SAÍDAS-BASE'!A996)</f>
        <v/>
      </c>
      <c r="C998" t="str">
        <f>IF('SAÍDAS-BASE'!B996="","",'SAÍDAS-BASE'!B996)</f>
        <v/>
      </c>
      <c r="D998" t="str">
        <f>IF('SAÍDAS-BASE'!C996="","",'SAÍDAS-BASE'!C996)</f>
        <v/>
      </c>
      <c r="E998" s="7" t="str">
        <f>IF('SAÍDAS-BASE'!D996="","",'SAÍDAS-BASE'!D996)</f>
        <v/>
      </c>
      <c r="F998" s="6" t="str">
        <f>IF('SAÍDAS-BASE'!E996="","",'SAÍDAS-BASE'!E996)</f>
        <v/>
      </c>
      <c r="G998" t="str">
        <f>IF('SAÍDAS-BASE'!F996="","",'SAÍDAS-BASE'!F996)</f>
        <v/>
      </c>
      <c r="H998" t="str">
        <f>IF('SAÍDAS-BASE'!G996="","",'SAÍDAS-BASE'!G996)</f>
        <v/>
      </c>
      <c r="I998" t="str">
        <f>IF('SAÍDAS-BASE'!H996="","",'SAÍDAS-BASE'!H996)</f>
        <v/>
      </c>
      <c r="J998" t="str">
        <f>IF('SAÍDAS-BASE'!I996="","",'SAÍDAS-BASE'!I996)</f>
        <v/>
      </c>
      <c r="K998" s="5" t="str">
        <f>IF('SAÍDAS-BASE'!J996="","",'SAÍDAS-BASE'!J996)</f>
        <v/>
      </c>
      <c r="L998" t="str">
        <f>IF(TABELA_SAIDAS[[#This Row],[UF]]="","",IFERROR(IF(VLOOKUP(TABELA_SAIDAS[[#This Row],[VALOR]],TABELA_ENTRADAS[VALOR],1,FALSE),"DEVOLUÇÃO"),"SEM ENTRADAS"))</f>
        <v/>
      </c>
    </row>
    <row r="999" spans="2:12" x14ac:dyDescent="0.3">
      <c r="B999" t="str">
        <f>IF('SAÍDAS-BASE'!A997="","",'SAÍDAS-BASE'!A997)</f>
        <v/>
      </c>
      <c r="C999" t="str">
        <f>IF('SAÍDAS-BASE'!B997="","",'SAÍDAS-BASE'!B997)</f>
        <v/>
      </c>
      <c r="D999" t="str">
        <f>IF('SAÍDAS-BASE'!C997="","",'SAÍDAS-BASE'!C997)</f>
        <v/>
      </c>
      <c r="E999" s="7" t="str">
        <f>IF('SAÍDAS-BASE'!D997="","",'SAÍDAS-BASE'!D997)</f>
        <v/>
      </c>
      <c r="F999" s="6" t="str">
        <f>IF('SAÍDAS-BASE'!E997="","",'SAÍDAS-BASE'!E997)</f>
        <v/>
      </c>
      <c r="G999" t="str">
        <f>IF('SAÍDAS-BASE'!F997="","",'SAÍDAS-BASE'!F997)</f>
        <v/>
      </c>
      <c r="H999" t="str">
        <f>IF('SAÍDAS-BASE'!G997="","",'SAÍDAS-BASE'!G997)</f>
        <v/>
      </c>
      <c r="I999" t="str">
        <f>IF('SAÍDAS-BASE'!H997="","",'SAÍDAS-BASE'!H997)</f>
        <v/>
      </c>
      <c r="J999" t="str">
        <f>IF('SAÍDAS-BASE'!I997="","",'SAÍDAS-BASE'!I997)</f>
        <v/>
      </c>
      <c r="K999" s="5" t="str">
        <f>IF('SAÍDAS-BASE'!J997="","",'SAÍDAS-BASE'!J997)</f>
        <v/>
      </c>
      <c r="L999" t="str">
        <f>IF(TABELA_SAIDAS[[#This Row],[UF]]="","",IFERROR(IF(VLOOKUP(TABELA_SAIDAS[[#This Row],[VALOR]],TABELA_ENTRADAS[VALOR],1,FALSE),"DEVOLUÇÃO"),"SEM ENTRADAS"))</f>
        <v/>
      </c>
    </row>
    <row r="1000" spans="2:12" x14ac:dyDescent="0.3">
      <c r="B1000" t="str">
        <f>IF('SAÍDAS-BASE'!A998="","",'SAÍDAS-BASE'!A998)</f>
        <v/>
      </c>
      <c r="C1000" t="str">
        <f>IF('SAÍDAS-BASE'!B998="","",'SAÍDAS-BASE'!B998)</f>
        <v/>
      </c>
      <c r="D1000" t="str">
        <f>IF('SAÍDAS-BASE'!C998="","",'SAÍDAS-BASE'!C998)</f>
        <v/>
      </c>
      <c r="E1000" s="7" t="str">
        <f>IF('SAÍDAS-BASE'!D998="","",'SAÍDAS-BASE'!D998)</f>
        <v/>
      </c>
      <c r="F1000" s="6" t="str">
        <f>IF('SAÍDAS-BASE'!E998="","",'SAÍDAS-BASE'!E998)</f>
        <v/>
      </c>
      <c r="G1000" t="str">
        <f>IF('SAÍDAS-BASE'!F998="","",'SAÍDAS-BASE'!F998)</f>
        <v/>
      </c>
      <c r="H1000" t="str">
        <f>IF('SAÍDAS-BASE'!G998="","",'SAÍDAS-BASE'!G998)</f>
        <v/>
      </c>
      <c r="I1000" t="str">
        <f>IF('SAÍDAS-BASE'!H998="","",'SAÍDAS-BASE'!H998)</f>
        <v/>
      </c>
      <c r="J1000" t="str">
        <f>IF('SAÍDAS-BASE'!I998="","",'SAÍDAS-BASE'!I998)</f>
        <v/>
      </c>
      <c r="K1000" s="5" t="str">
        <f>IF('SAÍDAS-BASE'!J998="","",'SAÍDAS-BASE'!J998)</f>
        <v/>
      </c>
      <c r="L1000" t="str">
        <f>IF(TABELA_SAIDAS[[#This Row],[UF]]="","",IFERROR(IF(VLOOKUP(TABELA_SAIDAS[[#This Row],[VALOR]],TABELA_ENTRADAS[VALOR],1,FALSE),"DEVOLUÇÃO"),"SEM ENTRADAS"))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7CF-2199-464A-98D9-B75A58339596}">
  <dimension ref="A1"/>
  <sheetViews>
    <sheetView workbookViewId="0">
      <selection activeCell="J1" sqref="J1"/>
    </sheetView>
  </sheetViews>
  <sheetFormatPr defaultRowHeight="14.4" x14ac:dyDescent="0.3"/>
  <sheetData>
    <row r="1" spans="1:1" x14ac:dyDescent="0.3">
      <c r="A1" t="e" cm="1" vm="2">
        <f t="array" ref="A1">_xlfn._xlws.FILTER(RELATORIO[[UF]:[VALOR]],RELATORIO[TIPO]="SAÍDA")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E28A-3100-4C6F-B9FF-DBBD2771FC6F}">
  <dimension ref="A1:I2342"/>
  <sheetViews>
    <sheetView showGridLines="0" workbookViewId="0">
      <selection activeCell="A4" sqref="A4:H4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50" bestFit="1" customWidth="1"/>
    <col min="4" max="4" width="11.88671875" customWidth="1"/>
    <col min="5" max="5" width="13.33203125" bestFit="1" customWidth="1"/>
    <col min="6" max="6" width="21.6640625" bestFit="1" customWidth="1"/>
    <col min="7" max="7" width="9.44140625" customWidth="1"/>
    <col min="8" max="8" width="14.33203125" customWidth="1"/>
    <col min="9" max="9" width="18.33203125" bestFit="1" customWidth="1"/>
  </cols>
  <sheetData>
    <row r="1" spans="1:9" x14ac:dyDescent="0.3">
      <c r="A1" s="34" t="s">
        <v>37</v>
      </c>
      <c r="B1" s="34"/>
      <c r="C1" s="34"/>
      <c r="D1" s="34"/>
      <c r="E1" s="34"/>
      <c r="F1" s="34"/>
      <c r="G1" s="34"/>
      <c r="H1" s="34"/>
    </row>
    <row r="3" spans="1:9" x14ac:dyDescent="0.3">
      <c r="A3" s="35" t="s">
        <v>14</v>
      </c>
      <c r="B3" s="35"/>
      <c r="C3" s="35"/>
      <c r="D3" s="35"/>
      <c r="E3" s="35"/>
      <c r="F3" s="35"/>
      <c r="G3" s="35"/>
      <c r="H3" s="35"/>
    </row>
    <row r="4" spans="1:9" x14ac:dyDescent="0.3">
      <c r="A4" s="35" t="s">
        <v>15</v>
      </c>
      <c r="B4" s="35"/>
      <c r="C4" s="35"/>
      <c r="D4" s="35"/>
      <c r="E4" s="35"/>
      <c r="F4" s="35"/>
      <c r="G4" s="35"/>
      <c r="H4" s="35"/>
    </row>
    <row r="5" spans="1:9" x14ac:dyDescent="0.3">
      <c r="A5" t="s">
        <v>29</v>
      </c>
      <c r="C5" s="20" t="s">
        <v>38</v>
      </c>
      <c r="D5" s="19"/>
    </row>
    <row r="7" spans="1:9" x14ac:dyDescent="0.3">
      <c r="A7" s="2" t="s">
        <v>16</v>
      </c>
      <c r="B7" s="1" t="s">
        <v>10</v>
      </c>
      <c r="C7" s="2" t="s">
        <v>0</v>
      </c>
      <c r="D7" s="27" t="s">
        <v>1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</row>
    <row r="8" spans="1:9" x14ac:dyDescent="0.3">
      <c r="A8" s="3" t="str">
        <f>IF(SISTEMA!A2="","",SISTEMA!A2)</f>
        <v/>
      </c>
      <c r="B8" s="10" t="str">
        <f>IF(SISTEMA!B2="","",VALUE(SISTEMA!B2))</f>
        <v/>
      </c>
      <c r="C8" s="10" t="str">
        <f>IF(SISTEMA!C2="","",SISTEMA!C2)</f>
        <v/>
      </c>
      <c r="D8" s="5" t="str" cm="1">
        <f t="array" ref="D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" s="5" t="str" cm="1">
        <f t="array" ref="E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" s="5" t="str" cm="1">
        <f t="array" ref="F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" t="str" cm="1">
        <f t="array" ref="G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" s="4"/>
      <c r="I8" s="3" t="str" cm="1">
        <f t="array" ref="I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" spans="1:9" x14ac:dyDescent="0.3">
      <c r="A9" s="3" t="str">
        <f>IF(SISTEMA!A3="","",SISTEMA!A3)</f>
        <v/>
      </c>
      <c r="B9" s="10" t="str">
        <f>IF(SISTEMA!B3="","",VALUE(SISTEMA!B3))</f>
        <v/>
      </c>
      <c r="C9" s="10" t="str">
        <f>IF(SISTEMA!C3="","",SISTEMA!C3)</f>
        <v/>
      </c>
      <c r="D9" s="5" t="str" cm="1">
        <f t="array" ref="D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" s="5" t="str" cm="1">
        <f t="array" ref="E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" s="5" t="str" cm="1">
        <f t="array" ref="F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" t="str" cm="1">
        <f t="array" ref="G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" s="4"/>
      <c r="I9" s="3" t="str" cm="1">
        <f t="array" ref="I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" spans="1:9" x14ac:dyDescent="0.3">
      <c r="A10" s="3" t="str">
        <f>IF(SISTEMA!A4="","",SISTEMA!A4)</f>
        <v/>
      </c>
      <c r="B10" s="10" t="str">
        <f>IF(SISTEMA!B4="","",VALUE(SISTEMA!B4))</f>
        <v/>
      </c>
      <c r="C10" s="10" t="str">
        <f>IF(SISTEMA!C4="","",SISTEMA!C4)</f>
        <v/>
      </c>
      <c r="D10" s="5" t="str" cm="1">
        <f t="array" ref="D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" s="5" t="str" cm="1">
        <f t="array" ref="E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" s="5" t="str" cm="1">
        <f t="array" ref="F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" t="str" cm="1">
        <f t="array" ref="G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" s="4"/>
      <c r="I10" s="3" t="str" cm="1">
        <f t="array" ref="I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" spans="1:9" x14ac:dyDescent="0.3">
      <c r="A11" s="3" t="str">
        <f>IF(SISTEMA!A5="","",SISTEMA!A5)</f>
        <v/>
      </c>
      <c r="B11" s="10" t="str">
        <f>IF(SISTEMA!B5="","",VALUE(SISTEMA!B5))</f>
        <v/>
      </c>
      <c r="C11" s="10" t="str">
        <f>IF(SISTEMA!C5="","",SISTEMA!C5)</f>
        <v/>
      </c>
      <c r="D11" s="5" t="str" cm="1">
        <f t="array" ref="D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" s="5" t="str" cm="1">
        <f t="array" ref="E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" s="5" t="str" cm="1">
        <f t="array" ref="F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" t="str" cm="1">
        <f t="array" ref="G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" s="4"/>
      <c r="I11" s="3" t="str" cm="1">
        <f t="array" ref="I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" spans="1:9" x14ac:dyDescent="0.3">
      <c r="A12" s="3" t="str">
        <f>IF(SISTEMA!A6="","",SISTEMA!A6)</f>
        <v/>
      </c>
      <c r="B12" s="10" t="str">
        <f>IF(SISTEMA!B6="","",VALUE(SISTEMA!B6))</f>
        <v/>
      </c>
      <c r="C12" s="10" t="str">
        <f>IF(SISTEMA!C6="","",SISTEMA!C6)</f>
        <v/>
      </c>
      <c r="D12" s="5" t="str" cm="1">
        <f t="array" ref="D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" s="5" t="str" cm="1">
        <f t="array" ref="E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" s="5" t="str" cm="1">
        <f t="array" ref="F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" t="str" cm="1">
        <f t="array" ref="G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" s="4"/>
      <c r="I12" s="3" t="str" cm="1">
        <f t="array" ref="I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" spans="1:9" x14ac:dyDescent="0.3">
      <c r="A13" s="3" t="str">
        <f>IF(SISTEMA!A7="","",SISTEMA!A7)</f>
        <v/>
      </c>
      <c r="B13" s="10" t="str">
        <f>IF(SISTEMA!B7="","",VALUE(SISTEMA!B7))</f>
        <v/>
      </c>
      <c r="C13" s="10" t="str">
        <f>IF(SISTEMA!C7="","",SISTEMA!C7)</f>
        <v/>
      </c>
      <c r="D13" s="5" t="str" cm="1">
        <f t="array" ref="D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" s="5" t="str" cm="1">
        <f t="array" ref="E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" s="5" t="str" cm="1">
        <f t="array" ref="F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" t="str" cm="1">
        <f t="array" ref="G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" s="4"/>
      <c r="I13" s="3" t="str" cm="1">
        <f t="array" ref="I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" spans="1:9" x14ac:dyDescent="0.3">
      <c r="A14" s="3" t="str">
        <f>IF(SISTEMA!A8="","",SISTEMA!A8)</f>
        <v/>
      </c>
      <c r="B14" s="10" t="str">
        <f>IF(SISTEMA!B8="","",VALUE(SISTEMA!B8))</f>
        <v/>
      </c>
      <c r="C14" s="10" t="str">
        <f>IF(SISTEMA!C8="","",SISTEMA!C8)</f>
        <v/>
      </c>
      <c r="D14" s="5" t="str" cm="1">
        <f t="array" ref="D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" s="5" t="str" cm="1">
        <f t="array" ref="E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" s="5" t="str" cm="1">
        <f t="array" ref="F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" t="str" cm="1">
        <f t="array" ref="G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" s="4"/>
      <c r="I14" s="3" t="str" cm="1">
        <f t="array" ref="I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" spans="1:9" x14ac:dyDescent="0.3">
      <c r="A15" s="3" t="str">
        <f>IF(SISTEMA!A9="","",SISTEMA!A9)</f>
        <v/>
      </c>
      <c r="B15" s="10" t="str">
        <f>IF(SISTEMA!B9="","",VALUE(SISTEMA!B9))</f>
        <v/>
      </c>
      <c r="C15" s="10" t="str">
        <f>IF(SISTEMA!C9="","",SISTEMA!C9)</f>
        <v/>
      </c>
      <c r="D15" s="5" t="str" cm="1">
        <f t="array" ref="D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" s="5" t="str" cm="1">
        <f t="array" ref="E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" s="5" t="str" cm="1">
        <f t="array" ref="F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" t="str" cm="1">
        <f t="array" ref="G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" s="4"/>
      <c r="I15" s="3" t="str" cm="1">
        <f t="array" ref="I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" spans="1:9" x14ac:dyDescent="0.3">
      <c r="A16" s="3" t="str">
        <f>IF(SISTEMA!A10="","",SISTEMA!A10)</f>
        <v/>
      </c>
      <c r="B16" s="10" t="str">
        <f>IF(SISTEMA!B10="","",VALUE(SISTEMA!B10))</f>
        <v/>
      </c>
      <c r="C16" s="10" t="str">
        <f>IF(SISTEMA!C10="","",SISTEMA!C10)</f>
        <v/>
      </c>
      <c r="D16" s="5" t="str" cm="1">
        <f t="array" ref="D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" s="5" t="str" cm="1">
        <f t="array" ref="E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" s="5" t="str" cm="1">
        <f t="array" ref="F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" t="str" cm="1">
        <f t="array" ref="G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" s="4"/>
      <c r="I16" s="3" t="str" cm="1">
        <f t="array" ref="I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" spans="1:9" x14ac:dyDescent="0.3">
      <c r="A17" s="3" t="str">
        <f>IF(SISTEMA!A11="","",SISTEMA!A11)</f>
        <v/>
      </c>
      <c r="B17" s="10" t="str">
        <f>IF(SISTEMA!B11="","",VALUE(SISTEMA!B11))</f>
        <v/>
      </c>
      <c r="C17" s="10" t="str">
        <f>IF(SISTEMA!C11="","",SISTEMA!C11)</f>
        <v/>
      </c>
      <c r="D17" s="5" t="str" cm="1">
        <f t="array" ref="D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" s="5" t="str" cm="1">
        <f t="array" ref="E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" s="5" t="str" cm="1">
        <f t="array" ref="F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" t="str" cm="1">
        <f t="array" ref="G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" s="4"/>
      <c r="I17" s="3" t="str" cm="1">
        <f t="array" ref="I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" spans="1:9" x14ac:dyDescent="0.3">
      <c r="A18" s="3" t="str">
        <f>IF(SISTEMA!A12="","",SISTEMA!A12)</f>
        <v/>
      </c>
      <c r="B18" s="10" t="str">
        <f>IF(SISTEMA!B12="","",VALUE(SISTEMA!B12))</f>
        <v/>
      </c>
      <c r="C18" s="10" t="str">
        <f>IF(SISTEMA!C12="","",SISTEMA!C12)</f>
        <v/>
      </c>
      <c r="D18" s="5" t="str" cm="1">
        <f t="array" ref="D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" s="5" t="str" cm="1">
        <f t="array" ref="E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" s="5" t="str" cm="1">
        <f t="array" ref="F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" t="str" cm="1">
        <f t="array" ref="G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" s="4"/>
      <c r="I18" s="3" t="str" cm="1">
        <f t="array" ref="I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" spans="1:9" x14ac:dyDescent="0.3">
      <c r="A19" s="3" t="str">
        <f>IF(SISTEMA!A13="","",SISTEMA!A13)</f>
        <v/>
      </c>
      <c r="B19" s="10" t="str">
        <f>IF(SISTEMA!B13="","",VALUE(SISTEMA!B13))</f>
        <v/>
      </c>
      <c r="C19" s="10" t="str">
        <f>IF(SISTEMA!C13="","",SISTEMA!C13)</f>
        <v/>
      </c>
      <c r="D19" s="5" t="str" cm="1">
        <f t="array" ref="D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" s="5" t="str" cm="1">
        <f t="array" ref="E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" s="5" t="str" cm="1">
        <f t="array" ref="F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" t="str" cm="1">
        <f t="array" ref="G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" s="4"/>
      <c r="I19" s="3" t="str" cm="1">
        <f t="array" ref="I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" spans="1:9" x14ac:dyDescent="0.3">
      <c r="A20" s="3" t="str">
        <f>IF(SISTEMA!A14="","",SISTEMA!A14)</f>
        <v/>
      </c>
      <c r="B20" s="10" t="str">
        <f>IF(SISTEMA!B14="","",VALUE(SISTEMA!B14))</f>
        <v/>
      </c>
      <c r="C20" s="10" t="str">
        <f>IF(SISTEMA!C14="","",SISTEMA!C14)</f>
        <v/>
      </c>
      <c r="D20" s="5" t="str" cm="1">
        <f t="array" ref="D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" s="5" t="str" cm="1">
        <f t="array" ref="E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" s="5" t="str" cm="1">
        <f t="array" ref="F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" t="str" cm="1">
        <f t="array" ref="G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" s="4"/>
      <c r="I20" s="3" t="str" cm="1">
        <f t="array" ref="I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" spans="1:9" x14ac:dyDescent="0.3">
      <c r="A21" s="3" t="str">
        <f>IF(SISTEMA!A15="","",SISTEMA!A15)</f>
        <v/>
      </c>
      <c r="B21" s="10" t="str">
        <f>IF(SISTEMA!B15="","",VALUE(SISTEMA!B15))</f>
        <v/>
      </c>
      <c r="C21" s="10" t="str">
        <f>IF(SISTEMA!C15="","",SISTEMA!C15)</f>
        <v/>
      </c>
      <c r="D21" s="5" t="str" cm="1">
        <f t="array" ref="D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" s="5" t="str" cm="1">
        <f t="array" ref="E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" s="5" t="str" cm="1">
        <f t="array" ref="F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" t="str" cm="1">
        <f t="array" ref="G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" s="4"/>
      <c r="I21" s="3" t="str" cm="1">
        <f t="array" ref="I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" spans="1:9" x14ac:dyDescent="0.3">
      <c r="A22" s="3" t="str">
        <f>IF(SISTEMA!A16="","",SISTEMA!A16)</f>
        <v/>
      </c>
      <c r="B22" s="10" t="str">
        <f>IF(SISTEMA!B16="","",VALUE(SISTEMA!B16))</f>
        <v/>
      </c>
      <c r="C22" s="10" t="str">
        <f>IF(SISTEMA!C16="","",SISTEMA!C16)</f>
        <v/>
      </c>
      <c r="D22" s="5" t="str" cm="1">
        <f t="array" ref="D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" s="5" t="str" cm="1">
        <f t="array" ref="E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" s="5" t="str" cm="1">
        <f t="array" ref="F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" t="str" cm="1">
        <f t="array" ref="G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" s="4"/>
      <c r="I22" s="3" t="str" cm="1">
        <f t="array" ref="I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" spans="1:9" x14ac:dyDescent="0.3">
      <c r="A23" s="3" t="str">
        <f>IF(SISTEMA!A17="","",SISTEMA!A17)</f>
        <v/>
      </c>
      <c r="B23" s="10" t="str">
        <f>IF(SISTEMA!B17="","",VALUE(SISTEMA!B17))</f>
        <v/>
      </c>
      <c r="C23" s="10" t="str">
        <f>IF(SISTEMA!C17="","",SISTEMA!C17)</f>
        <v/>
      </c>
      <c r="D23" s="5" t="str" cm="1">
        <f t="array" ref="D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" s="5" t="str" cm="1">
        <f t="array" ref="E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" s="5" t="str" cm="1">
        <f t="array" ref="F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" t="str" cm="1">
        <f t="array" ref="G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" s="4"/>
      <c r="I23" s="3" t="str" cm="1">
        <f t="array" ref="I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" spans="1:9" x14ac:dyDescent="0.3">
      <c r="A24" s="3" t="str">
        <f>IF(SISTEMA!A18="","",SISTEMA!A18)</f>
        <v/>
      </c>
      <c r="B24" s="10" t="str">
        <f>IF(SISTEMA!B18="","",VALUE(SISTEMA!B18))</f>
        <v/>
      </c>
      <c r="C24" s="10" t="str">
        <f>IF(SISTEMA!C18="","",SISTEMA!C18)</f>
        <v/>
      </c>
      <c r="D24" s="5" t="str" cm="1">
        <f t="array" ref="D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" s="5" t="str" cm="1">
        <f t="array" ref="E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" s="5" t="str" cm="1">
        <f t="array" ref="F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" t="str" cm="1">
        <f t="array" ref="G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" s="4"/>
      <c r="I24" s="3" t="str" cm="1">
        <f t="array" ref="I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" spans="1:9" x14ac:dyDescent="0.3">
      <c r="A25" s="3" t="str">
        <f>IF(SISTEMA!A19="","",SISTEMA!A19)</f>
        <v/>
      </c>
      <c r="B25" s="10" t="str">
        <f>IF(SISTEMA!B19="","",VALUE(SISTEMA!B19))</f>
        <v/>
      </c>
      <c r="C25" s="10" t="str">
        <f>IF(SISTEMA!C19="","",SISTEMA!C19)</f>
        <v/>
      </c>
      <c r="D25" s="5" t="str" cm="1">
        <f t="array" ref="D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" s="5" t="str" cm="1">
        <f t="array" ref="E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" s="5" t="str" cm="1">
        <f t="array" ref="F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" t="str" cm="1">
        <f t="array" ref="G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" s="4"/>
      <c r="I25" s="3" t="str" cm="1">
        <f t="array" ref="I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" spans="1:9" x14ac:dyDescent="0.3">
      <c r="A26" s="3" t="str">
        <f>IF(SISTEMA!A20="","",SISTEMA!A20)</f>
        <v/>
      </c>
      <c r="B26" s="10" t="str">
        <f>IF(SISTEMA!B20="","",VALUE(SISTEMA!B20))</f>
        <v/>
      </c>
      <c r="C26" s="10" t="str">
        <f>IF(SISTEMA!C20="","",SISTEMA!C20)</f>
        <v/>
      </c>
      <c r="D26" s="5" t="str" cm="1">
        <f t="array" ref="D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" s="5" t="str" cm="1">
        <f t="array" ref="E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" s="5" t="str" cm="1">
        <f t="array" ref="F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" t="str" cm="1">
        <f t="array" ref="G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" s="4"/>
      <c r="I26" s="3" t="str" cm="1">
        <f t="array" ref="I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" spans="1:9" x14ac:dyDescent="0.3">
      <c r="A27" s="3" t="str">
        <f>IF(SISTEMA!A21="","",SISTEMA!A21)</f>
        <v/>
      </c>
      <c r="B27" s="10" t="str">
        <f>IF(SISTEMA!B21="","",VALUE(SISTEMA!B21))</f>
        <v/>
      </c>
      <c r="C27" s="10" t="str">
        <f>IF(SISTEMA!C21="","",SISTEMA!C21)</f>
        <v/>
      </c>
      <c r="D27" s="5" t="str" cm="1">
        <f t="array" ref="D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" s="5" t="str" cm="1">
        <f t="array" ref="E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" s="5" t="str" cm="1">
        <f t="array" ref="F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" t="str" cm="1">
        <f t="array" ref="G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" s="4"/>
      <c r="I27" s="3" t="str" cm="1">
        <f t="array" ref="I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" spans="1:9" x14ac:dyDescent="0.3">
      <c r="A28" s="3" t="str">
        <f>IF(SISTEMA!A22="","",SISTEMA!A22)</f>
        <v/>
      </c>
      <c r="B28" s="10" t="str">
        <f>IF(SISTEMA!B22="","",VALUE(SISTEMA!B22))</f>
        <v/>
      </c>
      <c r="C28" s="10" t="str">
        <f>IF(SISTEMA!C22="","",SISTEMA!C22)</f>
        <v/>
      </c>
      <c r="D28" s="5" t="str" cm="1">
        <f t="array" ref="D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" s="5" t="str" cm="1">
        <f t="array" ref="E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" s="5" t="str" cm="1">
        <f t="array" ref="F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" t="str" cm="1">
        <f t="array" ref="G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" s="4"/>
      <c r="I28" s="3" t="str" cm="1">
        <f t="array" ref="I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" spans="1:9" x14ac:dyDescent="0.3">
      <c r="A29" s="3" t="str">
        <f>IF(SISTEMA!A23="","",SISTEMA!A23)</f>
        <v/>
      </c>
      <c r="B29" s="10" t="str">
        <f>IF(SISTEMA!B23="","",VALUE(SISTEMA!B23))</f>
        <v/>
      </c>
      <c r="C29" s="10" t="str">
        <f>IF(SISTEMA!C23="","",SISTEMA!C23)</f>
        <v/>
      </c>
      <c r="D29" s="5" t="str" cm="1">
        <f t="array" ref="D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" s="5" t="str" cm="1">
        <f t="array" ref="E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" s="5" t="str" cm="1">
        <f t="array" ref="F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" t="str" cm="1">
        <f t="array" ref="G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" s="4"/>
      <c r="I29" s="3" t="str" cm="1">
        <f t="array" ref="I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" spans="1:9" x14ac:dyDescent="0.3">
      <c r="A30" s="3" t="str">
        <f>IF(SISTEMA!A24="","",SISTEMA!A24)</f>
        <v/>
      </c>
      <c r="B30" s="10" t="str">
        <f>IF(SISTEMA!B24="","",VALUE(SISTEMA!B24))</f>
        <v/>
      </c>
      <c r="C30" s="10" t="str">
        <f>IF(SISTEMA!C24="","",SISTEMA!C24)</f>
        <v/>
      </c>
      <c r="D30" s="5" t="str" cm="1">
        <f t="array" ref="D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" s="5" t="str" cm="1">
        <f t="array" ref="E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" s="5" t="str" cm="1">
        <f t="array" ref="F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" t="str" cm="1">
        <f t="array" ref="G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" s="4"/>
      <c r="I30" s="3" t="str" cm="1">
        <f t="array" ref="I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" spans="1:9" x14ac:dyDescent="0.3">
      <c r="A31" s="3" t="str">
        <f>IF(SISTEMA!A25="","",SISTEMA!A25)</f>
        <v/>
      </c>
      <c r="B31" s="10" t="str">
        <f>IF(SISTEMA!B25="","",VALUE(SISTEMA!B25))</f>
        <v/>
      </c>
      <c r="C31" s="10" t="str">
        <f>IF(SISTEMA!C25="","",SISTEMA!C25)</f>
        <v/>
      </c>
      <c r="D31" s="5" t="str" cm="1">
        <f t="array" ref="D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" s="5" t="str" cm="1">
        <f t="array" ref="E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" s="5" t="str" cm="1">
        <f t="array" ref="F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" t="str" cm="1">
        <f t="array" ref="G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" s="4"/>
      <c r="I31" s="3" t="str" cm="1">
        <f t="array" ref="I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" spans="1:9" x14ac:dyDescent="0.3">
      <c r="A32" s="3" t="str">
        <f>IF(SISTEMA!A26="","",SISTEMA!A26)</f>
        <v/>
      </c>
      <c r="B32" s="10" t="str">
        <f>IF(SISTEMA!B26="","",VALUE(SISTEMA!B26))</f>
        <v/>
      </c>
      <c r="C32" s="10" t="str">
        <f>IF(SISTEMA!C26="","",SISTEMA!C26)</f>
        <v/>
      </c>
      <c r="D32" s="5" t="str" cm="1">
        <f t="array" ref="D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" s="5" t="str" cm="1">
        <f t="array" ref="E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" s="5" t="str" cm="1">
        <f t="array" ref="F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" t="str" cm="1">
        <f t="array" ref="G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" s="4"/>
      <c r="I32" s="3" t="str" cm="1">
        <f t="array" ref="I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" spans="1:9" x14ac:dyDescent="0.3">
      <c r="A33" s="3" t="str">
        <f>IF(SISTEMA!A27="","",SISTEMA!A27)</f>
        <v/>
      </c>
      <c r="B33" s="10" t="str">
        <f>IF(SISTEMA!B27="","",VALUE(SISTEMA!B27))</f>
        <v/>
      </c>
      <c r="C33" s="10" t="str">
        <f>IF(SISTEMA!C27="","",SISTEMA!C27)</f>
        <v/>
      </c>
      <c r="D33" s="5" t="str" cm="1">
        <f t="array" ref="D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" s="5" t="str" cm="1">
        <f t="array" ref="E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" s="5" t="str" cm="1">
        <f t="array" ref="F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" t="str" cm="1">
        <f t="array" ref="G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" s="4"/>
      <c r="I33" s="3" t="str" cm="1">
        <f t="array" ref="I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" spans="1:9" x14ac:dyDescent="0.3">
      <c r="A34" s="3" t="str">
        <f>IF(SISTEMA!A28="","",SISTEMA!A28)</f>
        <v/>
      </c>
      <c r="B34" s="10" t="str">
        <f>IF(SISTEMA!B28="","",VALUE(SISTEMA!B28))</f>
        <v/>
      </c>
      <c r="C34" s="10" t="str">
        <f>IF(SISTEMA!C28="","",SISTEMA!C28)</f>
        <v/>
      </c>
      <c r="D34" s="5" t="str" cm="1">
        <f t="array" ref="D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" s="5" t="str" cm="1">
        <f t="array" ref="E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" s="5" t="str" cm="1">
        <f t="array" ref="F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" t="str" cm="1">
        <f t="array" ref="G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" s="4"/>
      <c r="I34" s="3" t="str" cm="1">
        <f t="array" ref="I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" spans="1:9" x14ac:dyDescent="0.3">
      <c r="A35" s="3" t="str">
        <f>IF(SISTEMA!A29="","",SISTEMA!A29)</f>
        <v/>
      </c>
      <c r="B35" s="10" t="str">
        <f>IF(SISTEMA!B29="","",VALUE(SISTEMA!B29))</f>
        <v/>
      </c>
      <c r="C35" s="10" t="str">
        <f>IF(SISTEMA!C29="","",SISTEMA!C29)</f>
        <v/>
      </c>
      <c r="D35" s="5" t="str" cm="1">
        <f t="array" ref="D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" s="5" t="str" cm="1">
        <f t="array" ref="E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" s="5" t="str" cm="1">
        <f t="array" ref="F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" t="str" cm="1">
        <f t="array" ref="G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" s="4"/>
      <c r="I35" s="3" t="str" cm="1">
        <f t="array" ref="I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" spans="1:9" x14ac:dyDescent="0.3">
      <c r="A36" s="3" t="str">
        <f>IF(SISTEMA!A30="","",SISTEMA!A30)</f>
        <v/>
      </c>
      <c r="B36" s="10" t="str">
        <f>IF(SISTEMA!B30="","",VALUE(SISTEMA!B30))</f>
        <v/>
      </c>
      <c r="C36" s="10" t="str">
        <f>IF(SISTEMA!C30="","",SISTEMA!C30)</f>
        <v/>
      </c>
      <c r="D36" s="5" t="str" cm="1">
        <f t="array" ref="D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" s="5" t="str" cm="1">
        <f t="array" ref="E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" s="5" t="str" cm="1">
        <f t="array" ref="F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" t="str" cm="1">
        <f t="array" ref="G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" s="4"/>
      <c r="I36" s="3" t="str" cm="1">
        <f t="array" ref="I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" spans="1:9" x14ac:dyDescent="0.3">
      <c r="A37" s="3" t="str">
        <f>IF(SISTEMA!A31="","",SISTEMA!A31)</f>
        <v/>
      </c>
      <c r="B37" s="10" t="str">
        <f>IF(SISTEMA!B31="","",VALUE(SISTEMA!B31))</f>
        <v/>
      </c>
      <c r="C37" s="10" t="str">
        <f>IF(SISTEMA!C31="","",SISTEMA!C31)</f>
        <v/>
      </c>
      <c r="D37" s="5" t="str" cm="1">
        <f t="array" ref="D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" s="5" t="str" cm="1">
        <f t="array" ref="E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" s="5" t="str" cm="1">
        <f t="array" ref="F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" t="str" cm="1">
        <f t="array" ref="G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" s="4"/>
      <c r="I37" s="3" t="str" cm="1">
        <f t="array" ref="I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" spans="1:9" x14ac:dyDescent="0.3">
      <c r="A38" s="3" t="str">
        <f>IF(SISTEMA!A32="","",SISTEMA!A32)</f>
        <v/>
      </c>
      <c r="B38" s="10" t="str">
        <f>IF(SISTEMA!B32="","",VALUE(SISTEMA!B32))</f>
        <v/>
      </c>
      <c r="C38" s="10" t="str">
        <f>IF(SISTEMA!C32="","",SISTEMA!C32)</f>
        <v/>
      </c>
      <c r="D38" s="5" t="str" cm="1">
        <f t="array" ref="D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" s="5" t="str" cm="1">
        <f t="array" ref="E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" s="5" t="str" cm="1">
        <f t="array" ref="F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" t="str" cm="1">
        <f t="array" ref="G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" s="4"/>
      <c r="I38" s="3" t="str" cm="1">
        <f t="array" ref="I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" spans="1:9" x14ac:dyDescent="0.3">
      <c r="A39" s="3" t="str">
        <f>IF(SISTEMA!A33="","",SISTEMA!A33)</f>
        <v/>
      </c>
      <c r="B39" s="10" t="str">
        <f>IF(SISTEMA!B33="","",VALUE(SISTEMA!B33))</f>
        <v/>
      </c>
      <c r="C39" s="10" t="str">
        <f>IF(SISTEMA!C33="","",SISTEMA!C33)</f>
        <v/>
      </c>
      <c r="D39" s="5" t="str" cm="1">
        <f t="array" ref="D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" s="5" t="str" cm="1">
        <f t="array" ref="E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" s="5" t="str" cm="1">
        <f t="array" ref="F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" t="str" cm="1">
        <f t="array" ref="G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" s="4"/>
      <c r="I39" s="3" t="str" cm="1">
        <f t="array" ref="I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" spans="1:9" x14ac:dyDescent="0.3">
      <c r="A40" s="3" t="str">
        <f>IF(SISTEMA!A34="","",SISTEMA!A34)</f>
        <v/>
      </c>
      <c r="B40" s="10" t="str">
        <f>IF(SISTEMA!B34="","",VALUE(SISTEMA!B34))</f>
        <v/>
      </c>
      <c r="C40" s="10" t="str">
        <f>IF(SISTEMA!C34="","",SISTEMA!C34)</f>
        <v/>
      </c>
      <c r="D40" s="5" t="str" cm="1">
        <f t="array" ref="D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" s="5" t="str" cm="1">
        <f t="array" ref="E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" s="5" t="str" cm="1">
        <f t="array" ref="F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" t="str" cm="1">
        <f t="array" ref="G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" s="4"/>
      <c r="I40" s="3" t="str" cm="1">
        <f t="array" ref="I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" spans="1:9" x14ac:dyDescent="0.3">
      <c r="A41" s="3" t="str">
        <f>IF(SISTEMA!A35="","",SISTEMA!A35)</f>
        <v/>
      </c>
      <c r="B41" s="10" t="str">
        <f>IF(SISTEMA!B35="","",VALUE(SISTEMA!B35))</f>
        <v/>
      </c>
      <c r="C41" s="10" t="str">
        <f>IF(SISTEMA!C35="","",SISTEMA!C35)</f>
        <v/>
      </c>
      <c r="D41" s="5" t="str" cm="1">
        <f t="array" ref="D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" s="5" t="str" cm="1">
        <f t="array" ref="E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" s="5" t="str" cm="1">
        <f t="array" ref="F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" t="str" cm="1">
        <f t="array" ref="G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" s="4"/>
      <c r="I41" s="3" t="str" cm="1">
        <f t="array" ref="I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" spans="1:9" x14ac:dyDescent="0.3">
      <c r="A42" s="3" t="str">
        <f>IF(SISTEMA!A36="","",SISTEMA!A36)</f>
        <v/>
      </c>
      <c r="B42" s="10" t="str">
        <f>IF(SISTEMA!B36="","",VALUE(SISTEMA!B36))</f>
        <v/>
      </c>
      <c r="C42" s="10" t="str">
        <f>IF(SISTEMA!C36="","",SISTEMA!C36)</f>
        <v/>
      </c>
      <c r="D42" s="5" t="str" cm="1">
        <f t="array" ref="D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" s="5" t="str" cm="1">
        <f t="array" ref="E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" s="5" t="str" cm="1">
        <f t="array" ref="F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" t="str" cm="1">
        <f t="array" ref="G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" s="4"/>
      <c r="I42" s="3" t="str" cm="1">
        <f t="array" ref="I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" spans="1:9" x14ac:dyDescent="0.3">
      <c r="A43" s="3" t="str">
        <f>IF(SISTEMA!A37="","",SISTEMA!A37)</f>
        <v/>
      </c>
      <c r="B43" s="10" t="str">
        <f>IF(SISTEMA!B37="","",VALUE(SISTEMA!B37))</f>
        <v/>
      </c>
      <c r="C43" s="10" t="str">
        <f>IF(SISTEMA!C37="","",SISTEMA!C37)</f>
        <v/>
      </c>
      <c r="D43" s="5" t="str" cm="1">
        <f t="array" ref="D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" s="5" t="str" cm="1">
        <f t="array" ref="E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" s="5" t="str" cm="1">
        <f t="array" ref="F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" t="str" cm="1">
        <f t="array" ref="G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" s="4"/>
      <c r="I43" s="3" t="str" cm="1">
        <f t="array" ref="I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" spans="1:9" x14ac:dyDescent="0.3">
      <c r="A44" s="3" t="str">
        <f>IF(SISTEMA!A38="","",SISTEMA!A38)</f>
        <v/>
      </c>
      <c r="B44" s="10" t="str">
        <f>IF(SISTEMA!B38="","",VALUE(SISTEMA!B38))</f>
        <v/>
      </c>
      <c r="C44" s="10" t="str">
        <f>IF(SISTEMA!C38="","",SISTEMA!C38)</f>
        <v/>
      </c>
      <c r="D44" s="5" t="str" cm="1">
        <f t="array" ref="D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" s="5" t="str" cm="1">
        <f t="array" ref="E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" s="5" t="str" cm="1">
        <f t="array" ref="F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" t="str" cm="1">
        <f t="array" ref="G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" s="4"/>
      <c r="I44" s="3" t="str" cm="1">
        <f t="array" ref="I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" spans="1:9" x14ac:dyDescent="0.3">
      <c r="A45" s="3" t="str">
        <f>IF(SISTEMA!A39="","",SISTEMA!A39)</f>
        <v/>
      </c>
      <c r="B45" s="10" t="str">
        <f>IF(SISTEMA!B39="","",VALUE(SISTEMA!B39))</f>
        <v/>
      </c>
      <c r="C45" s="10" t="str">
        <f>IF(SISTEMA!C39="","",SISTEMA!C39)</f>
        <v/>
      </c>
      <c r="D45" s="5" t="str" cm="1">
        <f t="array" ref="D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" s="5" t="str" cm="1">
        <f t="array" ref="E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" s="5" t="str" cm="1">
        <f t="array" ref="F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" t="str" cm="1">
        <f t="array" ref="G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" s="4"/>
      <c r="I45" s="3" t="str" cm="1">
        <f t="array" ref="I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" spans="1:9" x14ac:dyDescent="0.3">
      <c r="A46" s="3" t="str">
        <f>IF(SISTEMA!A40="","",SISTEMA!A40)</f>
        <v/>
      </c>
      <c r="B46" s="10" t="str">
        <f>IF(SISTEMA!B40="","",VALUE(SISTEMA!B40))</f>
        <v/>
      </c>
      <c r="C46" s="10" t="str">
        <f>IF(SISTEMA!C40="","",SISTEMA!C40)</f>
        <v/>
      </c>
      <c r="D46" s="5" t="str" cm="1">
        <f t="array" ref="D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" s="5" t="str" cm="1">
        <f t="array" ref="E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" s="5" t="str" cm="1">
        <f t="array" ref="F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" t="str" cm="1">
        <f t="array" ref="G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" s="4"/>
      <c r="I46" s="3" t="str" cm="1">
        <f t="array" ref="I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" spans="1:9" x14ac:dyDescent="0.3">
      <c r="A47" s="3" t="str">
        <f>IF(SISTEMA!A41="","",SISTEMA!A41)</f>
        <v/>
      </c>
      <c r="B47" s="10" t="str">
        <f>IF(SISTEMA!B41="","",VALUE(SISTEMA!B41))</f>
        <v/>
      </c>
      <c r="C47" s="10" t="str">
        <f>IF(SISTEMA!C41="","",SISTEMA!C41)</f>
        <v/>
      </c>
      <c r="D47" s="5" t="str" cm="1">
        <f t="array" ref="D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" s="5" t="str" cm="1">
        <f t="array" ref="E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" s="5" t="str" cm="1">
        <f t="array" ref="F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" t="str" cm="1">
        <f t="array" ref="G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" s="4"/>
      <c r="I47" s="3" t="str" cm="1">
        <f t="array" ref="I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" spans="1:9" x14ac:dyDescent="0.3">
      <c r="A48" s="3" t="str">
        <f>IF(SISTEMA!A42="","",SISTEMA!A42)</f>
        <v/>
      </c>
      <c r="B48" s="10" t="str">
        <f>IF(SISTEMA!B42="","",VALUE(SISTEMA!B42))</f>
        <v/>
      </c>
      <c r="C48" s="10" t="str">
        <f>IF(SISTEMA!C42="","",SISTEMA!C42)</f>
        <v/>
      </c>
      <c r="D48" s="5" t="str" cm="1">
        <f t="array" ref="D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" s="5" t="str" cm="1">
        <f t="array" ref="E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" s="5" t="str" cm="1">
        <f t="array" ref="F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" t="str" cm="1">
        <f t="array" ref="G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" s="4"/>
      <c r="I48" s="3" t="str" cm="1">
        <f t="array" ref="I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" spans="1:9" x14ac:dyDescent="0.3">
      <c r="A49" s="3" t="str">
        <f>IF(SISTEMA!A43="","",SISTEMA!A43)</f>
        <v/>
      </c>
      <c r="B49" s="10" t="str">
        <f>IF(SISTEMA!B43="","",VALUE(SISTEMA!B43))</f>
        <v/>
      </c>
      <c r="C49" s="10" t="str">
        <f>IF(SISTEMA!C43="","",SISTEMA!C43)</f>
        <v/>
      </c>
      <c r="D49" s="5" t="str" cm="1">
        <f t="array" ref="D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" s="5" t="str" cm="1">
        <f t="array" ref="E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" s="5" t="str" cm="1">
        <f t="array" ref="F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" t="str" cm="1">
        <f t="array" ref="G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" s="4"/>
      <c r="I49" s="3" t="str" cm="1">
        <f t="array" ref="I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" spans="1:9" x14ac:dyDescent="0.3">
      <c r="A50" s="3" t="str">
        <f>IF(SISTEMA!A44="","",SISTEMA!A44)</f>
        <v/>
      </c>
      <c r="B50" s="10" t="str">
        <f>IF(SISTEMA!B44="","",VALUE(SISTEMA!B44))</f>
        <v/>
      </c>
      <c r="C50" s="10" t="str">
        <f>IF(SISTEMA!C44="","",SISTEMA!C44)</f>
        <v/>
      </c>
      <c r="D50" s="5" t="str" cm="1">
        <f t="array" ref="D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" s="5" t="str" cm="1">
        <f t="array" ref="E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" s="5" t="str" cm="1">
        <f t="array" ref="F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" t="str" cm="1">
        <f t="array" ref="G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" s="4"/>
      <c r="I50" s="3" t="str" cm="1">
        <f t="array" ref="I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" spans="1:9" x14ac:dyDescent="0.3">
      <c r="A51" s="3" t="str">
        <f>IF(SISTEMA!A45="","",SISTEMA!A45)</f>
        <v/>
      </c>
      <c r="B51" s="10" t="str">
        <f>IF(SISTEMA!B45="","",VALUE(SISTEMA!B45))</f>
        <v/>
      </c>
      <c r="C51" s="10" t="str">
        <f>IF(SISTEMA!C45="","",SISTEMA!C45)</f>
        <v/>
      </c>
      <c r="D51" s="5" t="str" cm="1">
        <f t="array" ref="D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" s="5" t="str" cm="1">
        <f t="array" ref="E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" s="5" t="str" cm="1">
        <f t="array" ref="F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" t="str" cm="1">
        <f t="array" ref="G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" s="4"/>
      <c r="I51" s="3" t="str" cm="1">
        <f t="array" ref="I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" spans="1:9" x14ac:dyDescent="0.3">
      <c r="A52" s="3" t="str">
        <f>IF(SISTEMA!A46="","",SISTEMA!A46)</f>
        <v/>
      </c>
      <c r="B52" s="10" t="str">
        <f>IF(SISTEMA!B46="","",VALUE(SISTEMA!B46))</f>
        <v/>
      </c>
      <c r="C52" s="10" t="str">
        <f>IF(SISTEMA!C46="","",SISTEMA!C46)</f>
        <v/>
      </c>
      <c r="D52" s="5" t="str" cm="1">
        <f t="array" ref="D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" s="5" t="str" cm="1">
        <f t="array" ref="E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" s="5" t="str" cm="1">
        <f t="array" ref="F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" t="str" cm="1">
        <f t="array" ref="G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" s="4"/>
      <c r="I52" s="3" t="str" cm="1">
        <f t="array" ref="I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" spans="1:9" x14ac:dyDescent="0.3">
      <c r="A53" s="3" t="str">
        <f>IF(SISTEMA!A47="","",SISTEMA!A47)</f>
        <v/>
      </c>
      <c r="B53" s="10" t="str">
        <f>IF(SISTEMA!B47="","",VALUE(SISTEMA!B47))</f>
        <v/>
      </c>
      <c r="C53" s="10" t="str">
        <f>IF(SISTEMA!C47="","",SISTEMA!C47)</f>
        <v/>
      </c>
      <c r="D53" s="5" t="str" cm="1">
        <f t="array" ref="D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" s="5" t="str" cm="1">
        <f t="array" ref="E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" s="5" t="str" cm="1">
        <f t="array" ref="F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" t="str" cm="1">
        <f t="array" ref="G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" s="4"/>
      <c r="I53" s="3" t="str" cm="1">
        <f t="array" ref="I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" spans="1:9" x14ac:dyDescent="0.3">
      <c r="A54" s="3" t="str">
        <f>IF(SISTEMA!A48="","",SISTEMA!A48)</f>
        <v/>
      </c>
      <c r="B54" s="10" t="str">
        <f>IF(SISTEMA!B48="","",VALUE(SISTEMA!B48))</f>
        <v/>
      </c>
      <c r="C54" s="10" t="str">
        <f>IF(SISTEMA!C48="","",SISTEMA!C48)</f>
        <v/>
      </c>
      <c r="D54" s="5" t="str" cm="1">
        <f t="array" ref="D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" s="5" t="str" cm="1">
        <f t="array" ref="E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" s="5" t="str" cm="1">
        <f t="array" ref="F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" t="str" cm="1">
        <f t="array" ref="G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" s="4"/>
      <c r="I54" s="3" t="str" cm="1">
        <f t="array" ref="I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" spans="1:9" x14ac:dyDescent="0.3">
      <c r="A55" s="3" t="str">
        <f>IF(SISTEMA!A49="","",SISTEMA!A49)</f>
        <v/>
      </c>
      <c r="B55" s="10" t="str">
        <f>IF(SISTEMA!B49="","",VALUE(SISTEMA!B49))</f>
        <v/>
      </c>
      <c r="C55" s="10" t="str">
        <f>IF(SISTEMA!C49="","",SISTEMA!C49)</f>
        <v/>
      </c>
      <c r="D55" s="5" t="str" cm="1">
        <f t="array" ref="D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" s="5" t="str" cm="1">
        <f t="array" ref="E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" s="5" t="str" cm="1">
        <f t="array" ref="F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" t="str" cm="1">
        <f t="array" ref="G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" s="4"/>
      <c r="I55" s="3" t="str" cm="1">
        <f t="array" ref="I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" spans="1:9" x14ac:dyDescent="0.3">
      <c r="A56" s="3" t="str">
        <f>IF(SISTEMA!A50="","",SISTEMA!A50)</f>
        <v/>
      </c>
      <c r="B56" s="10" t="str">
        <f>IF(SISTEMA!B50="","",VALUE(SISTEMA!B50))</f>
        <v/>
      </c>
      <c r="C56" s="10" t="str">
        <f>IF(SISTEMA!C50="","",SISTEMA!C50)</f>
        <v/>
      </c>
      <c r="D56" s="5" t="str" cm="1">
        <f t="array" ref="D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" s="5" t="str" cm="1">
        <f t="array" ref="E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" s="5" t="str" cm="1">
        <f t="array" ref="F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" t="str" cm="1">
        <f t="array" ref="G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" s="4"/>
      <c r="I56" s="3" t="str" cm="1">
        <f t="array" ref="I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" spans="1:9" x14ac:dyDescent="0.3">
      <c r="A57" s="3" t="str">
        <f>IF(SISTEMA!A51="","",SISTEMA!A51)</f>
        <v/>
      </c>
      <c r="B57" s="10" t="str">
        <f>IF(SISTEMA!B51="","",VALUE(SISTEMA!B51))</f>
        <v/>
      </c>
      <c r="C57" s="10" t="str">
        <f>IF(SISTEMA!C51="","",SISTEMA!C51)</f>
        <v/>
      </c>
      <c r="D57" s="5" t="str" cm="1">
        <f t="array" ref="D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" s="5" t="str" cm="1">
        <f t="array" ref="E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" s="5" t="str" cm="1">
        <f t="array" ref="F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" t="str" cm="1">
        <f t="array" ref="G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" s="4"/>
      <c r="I57" s="3" t="str" cm="1">
        <f t="array" ref="I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" spans="1:9" x14ac:dyDescent="0.3">
      <c r="A58" s="3" t="str">
        <f>IF(SISTEMA!A52="","",SISTEMA!A52)</f>
        <v/>
      </c>
      <c r="B58" s="10" t="str">
        <f>IF(SISTEMA!B52="","",VALUE(SISTEMA!B52))</f>
        <v/>
      </c>
      <c r="C58" s="10" t="str">
        <f>IF(SISTEMA!C52="","",SISTEMA!C52)</f>
        <v/>
      </c>
      <c r="D58" s="5" t="str" cm="1">
        <f t="array" ref="D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" s="5" t="str" cm="1">
        <f t="array" ref="E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" s="5" t="str" cm="1">
        <f t="array" ref="F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" t="str" cm="1">
        <f t="array" ref="G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" s="4"/>
      <c r="I58" s="3" t="str" cm="1">
        <f t="array" ref="I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" spans="1:9" x14ac:dyDescent="0.3">
      <c r="A59" s="3" t="str">
        <f>IF(SISTEMA!A53="","",SISTEMA!A53)</f>
        <v/>
      </c>
      <c r="B59" s="10" t="str">
        <f>IF(SISTEMA!B53="","",VALUE(SISTEMA!B53))</f>
        <v/>
      </c>
      <c r="C59" s="10" t="str">
        <f>IF(SISTEMA!C53="","",SISTEMA!C53)</f>
        <v/>
      </c>
      <c r="D59" s="5" t="str" cm="1">
        <f t="array" ref="D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" s="5" t="str" cm="1">
        <f t="array" ref="E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" s="5" t="str" cm="1">
        <f t="array" ref="F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" t="str" cm="1">
        <f t="array" ref="G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" s="4"/>
      <c r="I59" s="3" t="str" cm="1">
        <f t="array" ref="I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" spans="1:9" x14ac:dyDescent="0.3">
      <c r="A60" s="3" t="str">
        <f>IF(SISTEMA!A54="","",SISTEMA!A54)</f>
        <v/>
      </c>
      <c r="B60" s="10" t="str">
        <f>IF(SISTEMA!B54="","",VALUE(SISTEMA!B54))</f>
        <v/>
      </c>
      <c r="C60" s="10" t="str">
        <f>IF(SISTEMA!C54="","",SISTEMA!C54)</f>
        <v/>
      </c>
      <c r="D60" s="5" t="str" cm="1">
        <f t="array" ref="D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" s="5" t="str" cm="1">
        <f t="array" ref="E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" s="5" t="str" cm="1">
        <f t="array" ref="F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" t="str" cm="1">
        <f t="array" ref="G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" s="4"/>
      <c r="I60" s="3" t="str" cm="1">
        <f t="array" ref="I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" spans="1:9" x14ac:dyDescent="0.3">
      <c r="A61" s="3" t="str">
        <f>IF(SISTEMA!A55="","",SISTEMA!A55)</f>
        <v/>
      </c>
      <c r="B61" s="10" t="str">
        <f>IF(SISTEMA!B55="","",VALUE(SISTEMA!B55))</f>
        <v/>
      </c>
      <c r="C61" s="10" t="str">
        <f>IF(SISTEMA!C55="","",SISTEMA!C55)</f>
        <v/>
      </c>
      <c r="D61" s="5" t="str" cm="1">
        <f t="array" ref="D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" s="5" t="str" cm="1">
        <f t="array" ref="E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" s="5" t="str" cm="1">
        <f t="array" ref="F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" t="str" cm="1">
        <f t="array" ref="G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" s="4"/>
      <c r="I61" s="3" t="str" cm="1">
        <f t="array" ref="I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" spans="1:9" x14ac:dyDescent="0.3">
      <c r="A62" s="3" t="str">
        <f>IF(SISTEMA!A56="","",SISTEMA!A56)</f>
        <v/>
      </c>
      <c r="B62" s="10" t="str">
        <f>IF(SISTEMA!B56="","",VALUE(SISTEMA!B56))</f>
        <v/>
      </c>
      <c r="C62" s="10" t="str">
        <f>IF(SISTEMA!C56="","",SISTEMA!C56)</f>
        <v/>
      </c>
      <c r="D62" s="5" t="str" cm="1">
        <f t="array" ref="D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" s="5" t="str" cm="1">
        <f t="array" ref="E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" s="5" t="str" cm="1">
        <f t="array" ref="F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" t="str" cm="1">
        <f t="array" ref="G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" s="4"/>
      <c r="I62" s="3" t="str" cm="1">
        <f t="array" ref="I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" spans="1:9" x14ac:dyDescent="0.3">
      <c r="A63" s="3" t="str">
        <f>IF(SISTEMA!A57="","",SISTEMA!A57)</f>
        <v/>
      </c>
      <c r="B63" s="10" t="str">
        <f>IF(SISTEMA!B57="","",VALUE(SISTEMA!B57))</f>
        <v/>
      </c>
      <c r="C63" s="10" t="str">
        <f>IF(SISTEMA!C57="","",SISTEMA!C57)</f>
        <v/>
      </c>
      <c r="D63" s="5" t="str" cm="1">
        <f t="array" ref="D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" s="5" t="str" cm="1">
        <f t="array" ref="E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" s="5" t="str" cm="1">
        <f t="array" ref="F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" t="str" cm="1">
        <f t="array" ref="G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" s="4"/>
      <c r="I63" s="3" t="str" cm="1">
        <f t="array" ref="I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" spans="1:9" x14ac:dyDescent="0.3">
      <c r="A64" s="3" t="str">
        <f>IF(SISTEMA!A58="","",SISTEMA!A58)</f>
        <v/>
      </c>
      <c r="B64" s="10" t="str">
        <f>IF(SISTEMA!B58="","",VALUE(SISTEMA!B58))</f>
        <v/>
      </c>
      <c r="C64" s="10" t="str">
        <f>IF(SISTEMA!C58="","",SISTEMA!C58)</f>
        <v/>
      </c>
      <c r="D64" s="5" t="str" cm="1">
        <f t="array" ref="D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" s="5" t="str" cm="1">
        <f t="array" ref="E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" s="5" t="str" cm="1">
        <f t="array" ref="F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" t="str" cm="1">
        <f t="array" ref="G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" s="4"/>
      <c r="I64" s="3" t="str" cm="1">
        <f t="array" ref="I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" spans="1:9" x14ac:dyDescent="0.3">
      <c r="A65" s="3" t="str">
        <f>IF(SISTEMA!A59="","",SISTEMA!A59)</f>
        <v/>
      </c>
      <c r="B65" s="10" t="str">
        <f>IF(SISTEMA!B59="","",VALUE(SISTEMA!B59))</f>
        <v/>
      </c>
      <c r="C65" s="10" t="str">
        <f>IF(SISTEMA!C59="","",SISTEMA!C59)</f>
        <v/>
      </c>
      <c r="D65" s="5" t="str" cm="1">
        <f t="array" ref="D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" s="5" t="str" cm="1">
        <f t="array" ref="E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" s="5" t="str" cm="1">
        <f t="array" ref="F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" t="str" cm="1">
        <f t="array" ref="G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" s="4"/>
      <c r="I65" s="3" t="str" cm="1">
        <f t="array" ref="I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" spans="1:9" x14ac:dyDescent="0.3">
      <c r="A66" s="3" t="str">
        <f>IF(SISTEMA!A60="","",SISTEMA!A60)</f>
        <v/>
      </c>
      <c r="B66" s="10" t="str">
        <f>IF(SISTEMA!B60="","",VALUE(SISTEMA!B60))</f>
        <v/>
      </c>
      <c r="C66" s="10" t="str">
        <f>IF(SISTEMA!C60="","",SISTEMA!C60)</f>
        <v/>
      </c>
      <c r="D66" s="5" t="str" cm="1">
        <f t="array" ref="D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" s="5" t="str" cm="1">
        <f t="array" ref="E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" s="5" t="str" cm="1">
        <f t="array" ref="F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" t="str" cm="1">
        <f t="array" ref="G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" s="4"/>
      <c r="I66" s="3" t="str" cm="1">
        <f t="array" ref="I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" spans="1:9" x14ac:dyDescent="0.3">
      <c r="A67" s="3" t="str">
        <f>IF(SISTEMA!A61="","",SISTEMA!A61)</f>
        <v/>
      </c>
      <c r="B67" s="10" t="str">
        <f>IF(SISTEMA!B61="","",VALUE(SISTEMA!B61))</f>
        <v/>
      </c>
      <c r="C67" s="10" t="str">
        <f>IF(SISTEMA!C61="","",SISTEMA!C61)</f>
        <v/>
      </c>
      <c r="D67" s="5" t="str" cm="1">
        <f t="array" ref="D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" s="5" t="str" cm="1">
        <f t="array" ref="E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" s="5" t="str" cm="1">
        <f t="array" ref="F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" t="str" cm="1">
        <f t="array" ref="G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" s="4"/>
      <c r="I67" s="3" t="str" cm="1">
        <f t="array" ref="I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" spans="1:9" x14ac:dyDescent="0.3">
      <c r="A68" s="3" t="str">
        <f>IF(SISTEMA!A62="","",SISTEMA!A62)</f>
        <v/>
      </c>
      <c r="B68" s="10" t="str">
        <f>IF(SISTEMA!B62="","",VALUE(SISTEMA!B62))</f>
        <v/>
      </c>
      <c r="C68" s="10" t="str">
        <f>IF(SISTEMA!C62="","",SISTEMA!C62)</f>
        <v/>
      </c>
      <c r="D68" s="5" t="str" cm="1">
        <f t="array" ref="D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" s="5" t="str" cm="1">
        <f t="array" ref="E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" s="5" t="str" cm="1">
        <f t="array" ref="F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" t="str" cm="1">
        <f t="array" ref="G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" s="4"/>
      <c r="I68" s="3" t="str" cm="1">
        <f t="array" ref="I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" spans="1:9" x14ac:dyDescent="0.3">
      <c r="A69" s="3" t="str">
        <f>IF(SISTEMA!A63="","",SISTEMA!A63)</f>
        <v/>
      </c>
      <c r="B69" s="10" t="str">
        <f>IF(SISTEMA!B63="","",VALUE(SISTEMA!B63))</f>
        <v/>
      </c>
      <c r="C69" s="10" t="str">
        <f>IF(SISTEMA!C63="","",SISTEMA!C63)</f>
        <v/>
      </c>
      <c r="D69" s="5" t="str" cm="1">
        <f t="array" ref="D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" s="5" t="str" cm="1">
        <f t="array" ref="E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" s="5" t="str" cm="1">
        <f t="array" ref="F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" t="str" cm="1">
        <f t="array" ref="G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" s="4"/>
      <c r="I69" s="3" t="str" cm="1">
        <f t="array" ref="I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" spans="1:9" x14ac:dyDescent="0.3">
      <c r="A70" s="3" t="str">
        <f>IF(SISTEMA!A64="","",SISTEMA!A64)</f>
        <v/>
      </c>
      <c r="B70" s="10" t="str">
        <f>IF(SISTEMA!B64="","",VALUE(SISTEMA!B64))</f>
        <v/>
      </c>
      <c r="C70" s="10" t="str">
        <f>IF(SISTEMA!C64="","",SISTEMA!C64)</f>
        <v/>
      </c>
      <c r="D70" s="5" t="str" cm="1">
        <f t="array" ref="D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" s="5" t="str" cm="1">
        <f t="array" ref="E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" s="5" t="str" cm="1">
        <f t="array" ref="F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" t="str" cm="1">
        <f t="array" ref="G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" s="4"/>
      <c r="I70" s="3" t="str" cm="1">
        <f t="array" ref="I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" spans="1:9" x14ac:dyDescent="0.3">
      <c r="A71" s="3" t="str">
        <f>IF(SISTEMA!A65="","",SISTEMA!A65)</f>
        <v/>
      </c>
      <c r="B71" s="10" t="str">
        <f>IF(SISTEMA!B65="","",VALUE(SISTEMA!B65))</f>
        <v/>
      </c>
      <c r="C71" s="10" t="str">
        <f>IF(SISTEMA!C65="","",SISTEMA!C65)</f>
        <v/>
      </c>
      <c r="D71" s="5" t="str" cm="1">
        <f t="array" ref="D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" s="5" t="str" cm="1">
        <f t="array" ref="E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" s="5" t="str" cm="1">
        <f t="array" ref="F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" t="str" cm="1">
        <f t="array" ref="G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" s="4"/>
      <c r="I71" s="3" t="str" cm="1">
        <f t="array" ref="I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" spans="1:9" x14ac:dyDescent="0.3">
      <c r="A72" s="3" t="str">
        <f>IF(SISTEMA!A66="","",SISTEMA!A66)</f>
        <v/>
      </c>
      <c r="B72" s="10" t="str">
        <f>IF(SISTEMA!B66="","",VALUE(SISTEMA!B66))</f>
        <v/>
      </c>
      <c r="C72" s="10" t="str">
        <f>IF(SISTEMA!C66="","",SISTEMA!C66)</f>
        <v/>
      </c>
      <c r="D72" s="5" t="str" cm="1">
        <f t="array" ref="D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" s="5" t="str" cm="1">
        <f t="array" ref="E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" s="5" t="str" cm="1">
        <f t="array" ref="F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" t="str" cm="1">
        <f t="array" ref="G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" s="4"/>
      <c r="I72" s="3" t="str" cm="1">
        <f t="array" ref="I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" spans="1:9" x14ac:dyDescent="0.3">
      <c r="A73" s="3" t="str">
        <f>IF(SISTEMA!A67="","",SISTEMA!A67)</f>
        <v/>
      </c>
      <c r="B73" s="10" t="str">
        <f>IF(SISTEMA!B67="","",VALUE(SISTEMA!B67))</f>
        <v/>
      </c>
      <c r="C73" s="10" t="str">
        <f>IF(SISTEMA!C67="","",SISTEMA!C67)</f>
        <v/>
      </c>
      <c r="D73" s="5" t="str" cm="1">
        <f t="array" ref="D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" s="5" t="str" cm="1">
        <f t="array" ref="E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" s="5" t="str" cm="1">
        <f t="array" ref="F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" t="str" cm="1">
        <f t="array" ref="G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" s="4"/>
      <c r="I73" s="3" t="str" cm="1">
        <f t="array" ref="I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" spans="1:9" x14ac:dyDescent="0.3">
      <c r="A74" s="3" t="str">
        <f>IF(SISTEMA!A68="","",SISTEMA!A68)</f>
        <v/>
      </c>
      <c r="B74" s="10" t="str">
        <f>IF(SISTEMA!B68="","",VALUE(SISTEMA!B68))</f>
        <v/>
      </c>
      <c r="C74" s="10" t="str">
        <f>IF(SISTEMA!C68="","",SISTEMA!C68)</f>
        <v/>
      </c>
      <c r="D74" s="5" t="str" cm="1">
        <f t="array" ref="D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" s="5" t="str" cm="1">
        <f t="array" ref="E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" s="5" t="str" cm="1">
        <f t="array" ref="F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" t="str" cm="1">
        <f t="array" ref="G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" s="4"/>
      <c r="I74" s="3" t="str" cm="1">
        <f t="array" ref="I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" spans="1:9" x14ac:dyDescent="0.3">
      <c r="A75" s="3" t="str">
        <f>IF(SISTEMA!A69="","",SISTEMA!A69)</f>
        <v/>
      </c>
      <c r="B75" s="10" t="str">
        <f>IF(SISTEMA!B69="","",VALUE(SISTEMA!B69))</f>
        <v/>
      </c>
      <c r="C75" s="10" t="str">
        <f>IF(SISTEMA!C69="","",SISTEMA!C69)</f>
        <v/>
      </c>
      <c r="D75" s="5" t="str" cm="1">
        <f t="array" ref="D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" s="5" t="str" cm="1">
        <f t="array" ref="E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" s="5" t="str" cm="1">
        <f t="array" ref="F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" t="str" cm="1">
        <f t="array" ref="G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" s="4"/>
      <c r="I75" s="3" t="str" cm="1">
        <f t="array" ref="I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" spans="1:9" x14ac:dyDescent="0.3">
      <c r="A76" s="3" t="str">
        <f>IF(SISTEMA!A70="","",SISTEMA!A70)</f>
        <v/>
      </c>
      <c r="B76" s="10" t="str">
        <f>IF(SISTEMA!B70="","",VALUE(SISTEMA!B70))</f>
        <v/>
      </c>
      <c r="C76" s="10" t="str">
        <f>IF(SISTEMA!C70="","",SISTEMA!C70)</f>
        <v/>
      </c>
      <c r="D76" s="5" t="str" cm="1">
        <f t="array" ref="D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" s="5" t="str" cm="1">
        <f t="array" ref="E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" s="5" t="str" cm="1">
        <f t="array" ref="F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" t="str" cm="1">
        <f t="array" ref="G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" s="4"/>
      <c r="I76" s="3" t="str" cm="1">
        <f t="array" ref="I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" spans="1:9" x14ac:dyDescent="0.3">
      <c r="A77" s="3" t="str">
        <f>IF(SISTEMA!A71="","",SISTEMA!A71)</f>
        <v/>
      </c>
      <c r="B77" s="10" t="str">
        <f>IF(SISTEMA!B71="","",VALUE(SISTEMA!B71))</f>
        <v/>
      </c>
      <c r="C77" s="10" t="str">
        <f>IF(SISTEMA!C71="","",SISTEMA!C71)</f>
        <v/>
      </c>
      <c r="D77" s="5" t="str" cm="1">
        <f t="array" ref="D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" s="5" t="str" cm="1">
        <f t="array" ref="E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" s="5" t="str" cm="1">
        <f t="array" ref="F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" t="str" cm="1">
        <f t="array" ref="G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" s="4"/>
      <c r="I77" s="3" t="str" cm="1">
        <f t="array" ref="I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" spans="1:9" x14ac:dyDescent="0.3">
      <c r="A78" s="3" t="str">
        <f>IF(SISTEMA!A72="","",SISTEMA!A72)</f>
        <v/>
      </c>
      <c r="B78" s="10" t="str">
        <f>IF(SISTEMA!B72="","",VALUE(SISTEMA!B72))</f>
        <v/>
      </c>
      <c r="C78" s="10" t="str">
        <f>IF(SISTEMA!C72="","",SISTEMA!C72)</f>
        <v/>
      </c>
      <c r="D78" s="5" t="str" cm="1">
        <f t="array" ref="D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" s="5" t="str" cm="1">
        <f t="array" ref="E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" s="5" t="str" cm="1">
        <f t="array" ref="F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" t="str" cm="1">
        <f t="array" ref="G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" s="4"/>
      <c r="I78" s="3" t="str" cm="1">
        <f t="array" ref="I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" spans="1:9" x14ac:dyDescent="0.3">
      <c r="A79" s="3" t="str">
        <f>IF(SISTEMA!A73="","",SISTEMA!A73)</f>
        <v/>
      </c>
      <c r="B79" s="10" t="str">
        <f>IF(SISTEMA!B73="","",VALUE(SISTEMA!B73))</f>
        <v/>
      </c>
      <c r="C79" s="10" t="str">
        <f>IF(SISTEMA!C73="","",SISTEMA!C73)</f>
        <v/>
      </c>
      <c r="D79" s="5" t="str" cm="1">
        <f t="array" ref="D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" s="5" t="str" cm="1">
        <f t="array" ref="E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" s="5" t="str" cm="1">
        <f t="array" ref="F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" t="str" cm="1">
        <f t="array" ref="G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" s="4"/>
      <c r="I79" s="3" t="str" cm="1">
        <f t="array" ref="I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" spans="1:9" x14ac:dyDescent="0.3">
      <c r="A80" s="3" t="str">
        <f>IF(SISTEMA!A74="","",SISTEMA!A74)</f>
        <v/>
      </c>
      <c r="B80" s="10" t="str">
        <f>IF(SISTEMA!B74="","",VALUE(SISTEMA!B74))</f>
        <v/>
      </c>
      <c r="C80" s="10" t="str">
        <f>IF(SISTEMA!C74="","",SISTEMA!C74)</f>
        <v/>
      </c>
      <c r="D80" s="5" t="str" cm="1">
        <f t="array" ref="D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" s="5" t="str" cm="1">
        <f t="array" ref="E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" s="5" t="str" cm="1">
        <f t="array" ref="F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" t="str" cm="1">
        <f t="array" ref="G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" s="4"/>
      <c r="I80" s="3" t="str" cm="1">
        <f t="array" ref="I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" spans="1:9" x14ac:dyDescent="0.3">
      <c r="A81" s="3" t="str">
        <f>IF(SISTEMA!A75="","",SISTEMA!A75)</f>
        <v/>
      </c>
      <c r="B81" s="10" t="str">
        <f>IF(SISTEMA!B75="","",VALUE(SISTEMA!B75))</f>
        <v/>
      </c>
      <c r="C81" s="10" t="str">
        <f>IF(SISTEMA!C75="","",SISTEMA!C75)</f>
        <v/>
      </c>
      <c r="D81" s="5" t="str" cm="1">
        <f t="array" ref="D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" s="5" t="str" cm="1">
        <f t="array" ref="E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" s="5" t="str" cm="1">
        <f t="array" ref="F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" t="str" cm="1">
        <f t="array" ref="G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" s="4"/>
      <c r="I81" s="3" t="str" cm="1">
        <f t="array" ref="I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" spans="1:9" x14ac:dyDescent="0.3">
      <c r="A82" s="3" t="str">
        <f>IF(SISTEMA!A76="","",SISTEMA!A76)</f>
        <v/>
      </c>
      <c r="B82" s="10" t="str">
        <f>IF(SISTEMA!B76="","",VALUE(SISTEMA!B76))</f>
        <v/>
      </c>
      <c r="C82" s="10" t="str">
        <f>IF(SISTEMA!C76="","",SISTEMA!C76)</f>
        <v/>
      </c>
      <c r="D82" s="5" t="str" cm="1">
        <f t="array" ref="D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" s="5" t="str" cm="1">
        <f t="array" ref="E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" s="5" t="str" cm="1">
        <f t="array" ref="F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" t="str" cm="1">
        <f t="array" ref="G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" s="4"/>
      <c r="I82" s="3" t="str" cm="1">
        <f t="array" ref="I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" spans="1:9" x14ac:dyDescent="0.3">
      <c r="A83" s="3" t="str">
        <f>IF(SISTEMA!A77="","",SISTEMA!A77)</f>
        <v/>
      </c>
      <c r="B83" s="10" t="str">
        <f>IF(SISTEMA!B77="","",VALUE(SISTEMA!B77))</f>
        <v/>
      </c>
      <c r="C83" s="10" t="str">
        <f>IF(SISTEMA!C77="","",SISTEMA!C77)</f>
        <v/>
      </c>
      <c r="D83" s="5" t="str" cm="1">
        <f t="array" ref="D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" s="5" t="str" cm="1">
        <f t="array" ref="E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" s="5" t="str" cm="1">
        <f t="array" ref="F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" t="str" cm="1">
        <f t="array" ref="G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" s="4"/>
      <c r="I83" s="3" t="str" cm="1">
        <f t="array" ref="I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" spans="1:9" x14ac:dyDescent="0.3">
      <c r="A84" s="3" t="str">
        <f>IF(SISTEMA!A78="","",SISTEMA!A78)</f>
        <v/>
      </c>
      <c r="B84" s="10" t="str">
        <f>IF(SISTEMA!B78="","",VALUE(SISTEMA!B78))</f>
        <v/>
      </c>
      <c r="C84" s="10" t="str">
        <f>IF(SISTEMA!C78="","",SISTEMA!C78)</f>
        <v/>
      </c>
      <c r="D84" s="5" t="str" cm="1">
        <f t="array" ref="D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" s="5" t="str" cm="1">
        <f t="array" ref="E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" s="5" t="str" cm="1">
        <f t="array" ref="F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" t="str" cm="1">
        <f t="array" ref="G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" s="4"/>
      <c r="I84" s="3" t="str" cm="1">
        <f t="array" ref="I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" spans="1:9" x14ac:dyDescent="0.3">
      <c r="A85" s="3" t="str">
        <f>IF(SISTEMA!A79="","",SISTEMA!A79)</f>
        <v/>
      </c>
      <c r="B85" s="10" t="str">
        <f>IF(SISTEMA!B79="","",VALUE(SISTEMA!B79))</f>
        <v/>
      </c>
      <c r="C85" s="10" t="str">
        <f>IF(SISTEMA!C79="","",SISTEMA!C79)</f>
        <v/>
      </c>
      <c r="D85" s="5" t="str" cm="1">
        <f t="array" ref="D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" s="5" t="str" cm="1">
        <f t="array" ref="E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" s="5" t="str" cm="1">
        <f t="array" ref="F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" t="str" cm="1">
        <f t="array" ref="G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" s="4"/>
      <c r="I85" s="3" t="str" cm="1">
        <f t="array" ref="I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" spans="1:9" x14ac:dyDescent="0.3">
      <c r="A86" s="3" t="str">
        <f>IF(SISTEMA!A80="","",SISTEMA!A80)</f>
        <v/>
      </c>
      <c r="B86" s="10" t="str">
        <f>IF(SISTEMA!B80="","",VALUE(SISTEMA!B80))</f>
        <v/>
      </c>
      <c r="C86" s="10" t="str">
        <f>IF(SISTEMA!C80="","",SISTEMA!C80)</f>
        <v/>
      </c>
      <c r="D86" s="5" t="str" cm="1">
        <f t="array" ref="D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" s="5" t="str" cm="1">
        <f t="array" ref="E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" s="5" t="str" cm="1">
        <f t="array" ref="F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" t="str" cm="1">
        <f t="array" ref="G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" s="4"/>
      <c r="I86" s="3" t="str" cm="1">
        <f t="array" ref="I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" spans="1:9" x14ac:dyDescent="0.3">
      <c r="A87" s="3" t="str">
        <f>IF(SISTEMA!A81="","",SISTEMA!A81)</f>
        <v/>
      </c>
      <c r="B87" s="10" t="str">
        <f>IF(SISTEMA!B81="","",VALUE(SISTEMA!B81))</f>
        <v/>
      </c>
      <c r="C87" s="10" t="str">
        <f>IF(SISTEMA!C81="","",SISTEMA!C81)</f>
        <v/>
      </c>
      <c r="D87" s="5" t="str" cm="1">
        <f t="array" ref="D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" s="5" t="str" cm="1">
        <f t="array" ref="E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" s="5" t="str" cm="1">
        <f t="array" ref="F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" t="str" cm="1">
        <f t="array" ref="G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" s="4"/>
      <c r="I87" s="3" t="str" cm="1">
        <f t="array" ref="I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" spans="1:9" x14ac:dyDescent="0.3">
      <c r="A88" s="3" t="str">
        <f>IF(SISTEMA!A82="","",SISTEMA!A82)</f>
        <v/>
      </c>
      <c r="B88" s="10" t="str">
        <f>IF(SISTEMA!B82="","",VALUE(SISTEMA!B82))</f>
        <v/>
      </c>
      <c r="C88" s="10" t="str">
        <f>IF(SISTEMA!C82="","",SISTEMA!C82)</f>
        <v/>
      </c>
      <c r="D88" s="5" t="str" cm="1">
        <f t="array" ref="D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" s="5" t="str" cm="1">
        <f t="array" ref="E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" s="5" t="str" cm="1">
        <f t="array" ref="F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" t="str" cm="1">
        <f t="array" ref="G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" s="4"/>
      <c r="I88" s="3" t="str" cm="1">
        <f t="array" ref="I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" spans="1:9" x14ac:dyDescent="0.3">
      <c r="A89" s="3" t="str">
        <f>IF(SISTEMA!A83="","",SISTEMA!A83)</f>
        <v/>
      </c>
      <c r="B89" s="10" t="str">
        <f>IF(SISTEMA!B83="","",VALUE(SISTEMA!B83))</f>
        <v/>
      </c>
      <c r="C89" s="10" t="str">
        <f>IF(SISTEMA!C83="","",SISTEMA!C83)</f>
        <v/>
      </c>
      <c r="D89" s="5" t="str" cm="1">
        <f t="array" ref="D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" s="5" t="str" cm="1">
        <f t="array" ref="E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" s="5" t="str" cm="1">
        <f t="array" ref="F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" t="str" cm="1">
        <f t="array" ref="G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" s="4"/>
      <c r="I89" s="3" t="str" cm="1">
        <f t="array" ref="I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" spans="1:9" x14ac:dyDescent="0.3">
      <c r="A90" s="3" t="str">
        <f>IF(SISTEMA!A84="","",SISTEMA!A84)</f>
        <v/>
      </c>
      <c r="B90" s="10" t="str">
        <f>IF(SISTEMA!B84="","",VALUE(SISTEMA!B84))</f>
        <v/>
      </c>
      <c r="C90" s="10" t="str">
        <f>IF(SISTEMA!C84="","",SISTEMA!C84)</f>
        <v/>
      </c>
      <c r="D90" s="5" t="str" cm="1">
        <f t="array" ref="D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" s="5" t="str" cm="1">
        <f t="array" ref="E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" s="5" t="str" cm="1">
        <f t="array" ref="F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" t="str" cm="1">
        <f t="array" ref="G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" s="4"/>
      <c r="I90" s="3" t="str" cm="1">
        <f t="array" ref="I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" spans="1:9" x14ac:dyDescent="0.3">
      <c r="A91" s="3" t="str">
        <f>IF(SISTEMA!A85="","",SISTEMA!A85)</f>
        <v/>
      </c>
      <c r="B91" s="10" t="str">
        <f>IF(SISTEMA!B85="","",VALUE(SISTEMA!B85))</f>
        <v/>
      </c>
      <c r="C91" s="10" t="str">
        <f>IF(SISTEMA!C85="","",SISTEMA!C85)</f>
        <v/>
      </c>
      <c r="D91" s="5" t="str" cm="1">
        <f t="array" ref="D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" s="5" t="str" cm="1">
        <f t="array" ref="E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" s="5" t="str" cm="1">
        <f t="array" ref="F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" t="str" cm="1">
        <f t="array" ref="G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" s="4"/>
      <c r="I91" s="3" t="str" cm="1">
        <f t="array" ref="I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" spans="1:9" x14ac:dyDescent="0.3">
      <c r="A92" s="3" t="str">
        <f>IF(SISTEMA!A86="","",SISTEMA!A86)</f>
        <v/>
      </c>
      <c r="B92" s="10" t="str">
        <f>IF(SISTEMA!B86="","",VALUE(SISTEMA!B86))</f>
        <v/>
      </c>
      <c r="C92" s="10" t="str">
        <f>IF(SISTEMA!C86="","",SISTEMA!C86)</f>
        <v/>
      </c>
      <c r="D92" s="5" t="str" cm="1">
        <f t="array" ref="D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" s="5" t="str" cm="1">
        <f t="array" ref="E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" s="5" t="str" cm="1">
        <f t="array" ref="F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" t="str" cm="1">
        <f t="array" ref="G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" s="4"/>
      <c r="I92" s="3" t="str" cm="1">
        <f t="array" ref="I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" spans="1:9" x14ac:dyDescent="0.3">
      <c r="A93" s="3" t="str">
        <f>IF(SISTEMA!A87="","",SISTEMA!A87)</f>
        <v/>
      </c>
      <c r="B93" s="10" t="str">
        <f>IF(SISTEMA!B87="","",VALUE(SISTEMA!B87))</f>
        <v/>
      </c>
      <c r="C93" s="10" t="str">
        <f>IF(SISTEMA!C87="","",SISTEMA!C87)</f>
        <v/>
      </c>
      <c r="D93" s="5" t="str" cm="1">
        <f t="array" ref="D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" s="5" t="str" cm="1">
        <f t="array" ref="E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" s="5" t="str" cm="1">
        <f t="array" ref="F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" t="str" cm="1">
        <f t="array" ref="G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" s="4"/>
      <c r="I93" s="3" t="str" cm="1">
        <f t="array" ref="I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" spans="1:9" x14ac:dyDescent="0.3">
      <c r="A94" s="3" t="str">
        <f>IF(SISTEMA!A88="","",SISTEMA!A88)</f>
        <v/>
      </c>
      <c r="B94" s="10" t="str">
        <f>IF(SISTEMA!B88="","",VALUE(SISTEMA!B88))</f>
        <v/>
      </c>
      <c r="C94" s="10" t="str">
        <f>IF(SISTEMA!C88="","",SISTEMA!C88)</f>
        <v/>
      </c>
      <c r="D94" s="5" t="str" cm="1">
        <f t="array" ref="D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" s="5" t="str" cm="1">
        <f t="array" ref="E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" s="5" t="str" cm="1">
        <f t="array" ref="F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" t="str" cm="1">
        <f t="array" ref="G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" s="4"/>
      <c r="I94" s="3" t="str" cm="1">
        <f t="array" ref="I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" spans="1:9" x14ac:dyDescent="0.3">
      <c r="A95" s="3" t="str">
        <f>IF(SISTEMA!A89="","",SISTEMA!A89)</f>
        <v/>
      </c>
      <c r="B95" s="10" t="str">
        <f>IF(SISTEMA!B89="","",VALUE(SISTEMA!B89))</f>
        <v/>
      </c>
      <c r="C95" s="10" t="str">
        <f>IF(SISTEMA!C89="","",SISTEMA!C89)</f>
        <v/>
      </c>
      <c r="D95" s="5" t="str" cm="1">
        <f t="array" ref="D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" s="5" t="str" cm="1">
        <f t="array" ref="E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" s="5" t="str" cm="1">
        <f t="array" ref="F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" t="str" cm="1">
        <f t="array" ref="G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" s="4"/>
      <c r="I95" s="3" t="str" cm="1">
        <f t="array" ref="I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" spans="1:9" x14ac:dyDescent="0.3">
      <c r="A96" s="3" t="str">
        <f>IF(SISTEMA!A90="","",SISTEMA!A90)</f>
        <v/>
      </c>
      <c r="B96" s="10" t="str">
        <f>IF(SISTEMA!B90="","",VALUE(SISTEMA!B90))</f>
        <v/>
      </c>
      <c r="C96" s="10" t="str">
        <f>IF(SISTEMA!C90="","",SISTEMA!C90)</f>
        <v/>
      </c>
      <c r="D96" s="5" t="str" cm="1">
        <f t="array" ref="D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" s="5" t="str" cm="1">
        <f t="array" ref="E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" s="5" t="str" cm="1">
        <f t="array" ref="F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" t="str" cm="1">
        <f t="array" ref="G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" s="4"/>
      <c r="I96" s="3" t="str" cm="1">
        <f t="array" ref="I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" spans="1:9" x14ac:dyDescent="0.3">
      <c r="A97" s="3" t="str">
        <f>IF(SISTEMA!A91="","",SISTEMA!A91)</f>
        <v/>
      </c>
      <c r="B97" s="10" t="str">
        <f>IF(SISTEMA!B91="","",VALUE(SISTEMA!B91))</f>
        <v/>
      </c>
      <c r="C97" s="10" t="str">
        <f>IF(SISTEMA!C91="","",SISTEMA!C91)</f>
        <v/>
      </c>
      <c r="D97" s="5" t="str" cm="1">
        <f t="array" ref="D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" s="5" t="str" cm="1">
        <f t="array" ref="E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" s="5" t="str" cm="1">
        <f t="array" ref="F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" t="str" cm="1">
        <f t="array" ref="G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" s="4"/>
      <c r="I97" s="3" t="str" cm="1">
        <f t="array" ref="I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" spans="1:9" x14ac:dyDescent="0.3">
      <c r="A98" s="3" t="str">
        <f>IF(SISTEMA!A92="","",SISTEMA!A92)</f>
        <v/>
      </c>
      <c r="B98" s="10" t="str">
        <f>IF(SISTEMA!B92="","",VALUE(SISTEMA!B92))</f>
        <v/>
      </c>
      <c r="C98" s="10" t="str">
        <f>IF(SISTEMA!C92="","",SISTEMA!C92)</f>
        <v/>
      </c>
      <c r="D98" s="5" t="str" cm="1">
        <f t="array" ref="D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" s="5" t="str" cm="1">
        <f t="array" ref="E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" s="5" t="str" cm="1">
        <f t="array" ref="F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" t="str" cm="1">
        <f t="array" ref="G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" s="4"/>
      <c r="I98" s="3" t="str" cm="1">
        <f t="array" ref="I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" spans="1:9" x14ac:dyDescent="0.3">
      <c r="A99" s="3" t="str">
        <f>IF(SISTEMA!A93="","",SISTEMA!A93)</f>
        <v/>
      </c>
      <c r="B99" s="10" t="str">
        <f>IF(SISTEMA!B93="","",VALUE(SISTEMA!B93))</f>
        <v/>
      </c>
      <c r="C99" s="10" t="str">
        <f>IF(SISTEMA!C93="","",SISTEMA!C93)</f>
        <v/>
      </c>
      <c r="D99" s="5" t="str" cm="1">
        <f t="array" ref="D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" s="5" t="str" cm="1">
        <f t="array" ref="E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" s="5" t="str" cm="1">
        <f t="array" ref="F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" t="str" cm="1">
        <f t="array" ref="G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" s="4"/>
      <c r="I99" s="3" t="str" cm="1">
        <f t="array" ref="I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" spans="1:9" x14ac:dyDescent="0.3">
      <c r="A100" s="3" t="str">
        <f>IF(SISTEMA!A94="","",SISTEMA!A94)</f>
        <v/>
      </c>
      <c r="B100" s="10" t="str">
        <f>IF(SISTEMA!B94="","",VALUE(SISTEMA!B94))</f>
        <v/>
      </c>
      <c r="C100" s="10" t="str">
        <f>IF(SISTEMA!C94="","",SISTEMA!C94)</f>
        <v/>
      </c>
      <c r="D100" s="5" t="str" cm="1">
        <f t="array" ref="D1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" s="5" t="str" cm="1">
        <f t="array" ref="E1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" s="5" t="str" cm="1">
        <f t="array" ref="F1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" t="str" cm="1">
        <f t="array" ref="G1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" s="4"/>
      <c r="I100" s="3" t="str" cm="1">
        <f t="array" ref="I1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" spans="1:9" x14ac:dyDescent="0.3">
      <c r="A101" s="3" t="str">
        <f>IF(SISTEMA!A95="","",SISTEMA!A95)</f>
        <v/>
      </c>
      <c r="B101" s="10" t="str">
        <f>IF(SISTEMA!B95="","",VALUE(SISTEMA!B95))</f>
        <v/>
      </c>
      <c r="C101" s="10" t="str">
        <f>IF(SISTEMA!C95="","",SISTEMA!C95)</f>
        <v/>
      </c>
      <c r="D101" s="5" t="str" cm="1">
        <f t="array" ref="D1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" s="5" t="str" cm="1">
        <f t="array" ref="E1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" s="5" t="str" cm="1">
        <f t="array" ref="F1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" t="str" cm="1">
        <f t="array" ref="G1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" s="4"/>
      <c r="I101" s="3" t="str" cm="1">
        <f t="array" ref="I1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" spans="1:9" x14ac:dyDescent="0.3">
      <c r="A102" s="3" t="str">
        <f>IF(SISTEMA!A96="","",SISTEMA!A96)</f>
        <v/>
      </c>
      <c r="B102" s="10" t="str">
        <f>IF(SISTEMA!B96="","",VALUE(SISTEMA!B96))</f>
        <v/>
      </c>
      <c r="C102" s="10" t="str">
        <f>IF(SISTEMA!C96="","",SISTEMA!C96)</f>
        <v/>
      </c>
      <c r="D102" s="5" t="str" cm="1">
        <f t="array" ref="D1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" s="5" t="str" cm="1">
        <f t="array" ref="E1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" s="5" t="str" cm="1">
        <f t="array" ref="F1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" t="str" cm="1">
        <f t="array" ref="G1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" s="4"/>
      <c r="I102" s="3" t="str" cm="1">
        <f t="array" ref="I1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" spans="1:9" x14ac:dyDescent="0.3">
      <c r="A103" s="3" t="str">
        <f>IF(SISTEMA!A97="","",SISTEMA!A97)</f>
        <v/>
      </c>
      <c r="B103" s="10" t="str">
        <f>IF(SISTEMA!B97="","",VALUE(SISTEMA!B97))</f>
        <v/>
      </c>
      <c r="C103" s="10" t="str">
        <f>IF(SISTEMA!C97="","",SISTEMA!C97)</f>
        <v/>
      </c>
      <c r="D103" s="5" t="str" cm="1">
        <f t="array" ref="D1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" s="5" t="str" cm="1">
        <f t="array" ref="E1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" s="5" t="str" cm="1">
        <f t="array" ref="F1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" t="str" cm="1">
        <f t="array" ref="G1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" s="4"/>
      <c r="I103" s="3" t="str" cm="1">
        <f t="array" ref="I1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" spans="1:9" x14ac:dyDescent="0.3">
      <c r="A104" s="3" t="str">
        <f>IF(SISTEMA!A98="","",SISTEMA!A98)</f>
        <v/>
      </c>
      <c r="B104" s="10" t="str">
        <f>IF(SISTEMA!B98="","",VALUE(SISTEMA!B98))</f>
        <v/>
      </c>
      <c r="C104" s="10" t="str">
        <f>IF(SISTEMA!C98="","",SISTEMA!C98)</f>
        <v/>
      </c>
      <c r="D104" s="5" t="str" cm="1">
        <f t="array" ref="D1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" s="5" t="str" cm="1">
        <f t="array" ref="E1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" s="5" t="str" cm="1">
        <f t="array" ref="F1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" t="str" cm="1">
        <f t="array" ref="G1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" s="4"/>
      <c r="I104" s="3" t="str" cm="1">
        <f t="array" ref="I1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" spans="1:9" x14ac:dyDescent="0.3">
      <c r="A105" s="3" t="str">
        <f>IF(SISTEMA!A99="","",SISTEMA!A99)</f>
        <v/>
      </c>
      <c r="B105" s="10" t="str">
        <f>IF(SISTEMA!B99="","",VALUE(SISTEMA!B99))</f>
        <v/>
      </c>
      <c r="C105" s="10" t="str">
        <f>IF(SISTEMA!C99="","",SISTEMA!C99)</f>
        <v/>
      </c>
      <c r="D105" s="5" t="str" cm="1">
        <f t="array" ref="D1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" s="5" t="str" cm="1">
        <f t="array" ref="E1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" s="5" t="str" cm="1">
        <f t="array" ref="F1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" t="str" cm="1">
        <f t="array" ref="G1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" s="4"/>
      <c r="I105" s="3" t="str" cm="1">
        <f t="array" ref="I1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" spans="1:9" x14ac:dyDescent="0.3">
      <c r="A106" s="3" t="str">
        <f>IF(SISTEMA!A100="","",SISTEMA!A100)</f>
        <v/>
      </c>
      <c r="B106" s="10" t="str">
        <f>IF(SISTEMA!B100="","",VALUE(SISTEMA!B100))</f>
        <v/>
      </c>
      <c r="C106" s="10" t="str">
        <f>IF(SISTEMA!C100="","",SISTEMA!C100)</f>
        <v/>
      </c>
      <c r="D106" s="5" t="str" cm="1">
        <f t="array" ref="D1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" s="5" t="str" cm="1">
        <f t="array" ref="E1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" s="5" t="str" cm="1">
        <f t="array" ref="F1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" t="str" cm="1">
        <f t="array" ref="G1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" s="4"/>
      <c r="I106" s="3" t="str" cm="1">
        <f t="array" ref="I1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" spans="1:9" x14ac:dyDescent="0.3">
      <c r="A107" s="3" t="str">
        <f>IF(SISTEMA!A101="","",SISTEMA!A101)</f>
        <v/>
      </c>
      <c r="B107" s="10" t="str">
        <f>IF(SISTEMA!B101="","",VALUE(SISTEMA!B101))</f>
        <v/>
      </c>
      <c r="C107" s="10" t="str">
        <f>IF(SISTEMA!C101="","",SISTEMA!C101)</f>
        <v/>
      </c>
      <c r="D107" s="5" t="str" cm="1">
        <f t="array" ref="D1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" s="5" t="str" cm="1">
        <f t="array" ref="E1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" s="5" t="str" cm="1">
        <f t="array" ref="F1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" t="str" cm="1">
        <f t="array" ref="G1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" s="4"/>
      <c r="I107" s="3" t="str" cm="1">
        <f t="array" ref="I1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" spans="1:9" x14ac:dyDescent="0.3">
      <c r="A108" s="3" t="str">
        <f>IF(SISTEMA!A102="","",SISTEMA!A102)</f>
        <v/>
      </c>
      <c r="B108" s="10" t="str">
        <f>IF(SISTEMA!B102="","",VALUE(SISTEMA!B102))</f>
        <v/>
      </c>
      <c r="C108" s="10" t="str">
        <f>IF(SISTEMA!C102="","",SISTEMA!C102)</f>
        <v/>
      </c>
      <c r="D108" s="5" t="str" cm="1">
        <f t="array" ref="D1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" s="5" t="str" cm="1">
        <f t="array" ref="E1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" s="5" t="str" cm="1">
        <f t="array" ref="F1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" t="str" cm="1">
        <f t="array" ref="G1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" s="4"/>
      <c r="I108" s="3" t="str" cm="1">
        <f t="array" ref="I1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" spans="1:9" x14ac:dyDescent="0.3">
      <c r="A109" s="3" t="str">
        <f>IF(SISTEMA!A103="","",SISTEMA!A103)</f>
        <v/>
      </c>
      <c r="B109" s="10" t="str">
        <f>IF(SISTEMA!B103="","",VALUE(SISTEMA!B103))</f>
        <v/>
      </c>
      <c r="C109" s="10" t="str">
        <f>IF(SISTEMA!C103="","",SISTEMA!C103)</f>
        <v/>
      </c>
      <c r="D109" s="5" t="str" cm="1">
        <f t="array" ref="D1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" s="5" t="str" cm="1">
        <f t="array" ref="E1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" s="5" t="str" cm="1">
        <f t="array" ref="F1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" t="str" cm="1">
        <f t="array" ref="G1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" s="4"/>
      <c r="I109" s="3" t="str" cm="1">
        <f t="array" ref="I1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" spans="1:9" x14ac:dyDescent="0.3">
      <c r="A110" s="3" t="str">
        <f>IF(SISTEMA!A104="","",SISTEMA!A104)</f>
        <v/>
      </c>
      <c r="B110" s="10" t="str">
        <f>IF(SISTEMA!B104="","",VALUE(SISTEMA!B104))</f>
        <v/>
      </c>
      <c r="C110" s="10" t="str">
        <f>IF(SISTEMA!C104="","",SISTEMA!C104)</f>
        <v/>
      </c>
      <c r="D110" s="5" t="str" cm="1">
        <f t="array" ref="D1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" s="5" t="str" cm="1">
        <f t="array" ref="E1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" s="5" t="str" cm="1">
        <f t="array" ref="F1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" t="str" cm="1">
        <f t="array" ref="G1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" s="4"/>
      <c r="I110" s="3" t="str" cm="1">
        <f t="array" ref="I1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" spans="1:9" x14ac:dyDescent="0.3">
      <c r="A111" s="3" t="str">
        <f>IF(SISTEMA!A105="","",SISTEMA!A105)</f>
        <v/>
      </c>
      <c r="B111" s="10" t="str">
        <f>IF(SISTEMA!B105="","",VALUE(SISTEMA!B105))</f>
        <v/>
      </c>
      <c r="C111" s="10" t="str">
        <f>IF(SISTEMA!C105="","",SISTEMA!C105)</f>
        <v/>
      </c>
      <c r="D111" s="5" t="str" cm="1">
        <f t="array" ref="D1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" s="5" t="str" cm="1">
        <f t="array" ref="E1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" s="5" t="str" cm="1">
        <f t="array" ref="F1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" t="str" cm="1">
        <f t="array" ref="G1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" s="4"/>
      <c r="I111" s="3" t="str" cm="1">
        <f t="array" ref="I1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" spans="1:9" x14ac:dyDescent="0.3">
      <c r="A112" s="3" t="str">
        <f>IF(SISTEMA!A106="","",SISTEMA!A106)</f>
        <v/>
      </c>
      <c r="B112" s="10" t="str">
        <f>IF(SISTEMA!B106="","",VALUE(SISTEMA!B106))</f>
        <v/>
      </c>
      <c r="C112" s="10" t="str">
        <f>IF(SISTEMA!C106="","",SISTEMA!C106)</f>
        <v/>
      </c>
      <c r="D112" s="5" t="str" cm="1">
        <f t="array" ref="D1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" s="5" t="str" cm="1">
        <f t="array" ref="E1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" s="5" t="str" cm="1">
        <f t="array" ref="F1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" t="str" cm="1">
        <f t="array" ref="G1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" s="4"/>
      <c r="I112" s="3" t="str" cm="1">
        <f t="array" ref="I1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" spans="1:9" x14ac:dyDescent="0.3">
      <c r="A113" s="3" t="str">
        <f>IF(SISTEMA!A107="","",SISTEMA!A107)</f>
        <v/>
      </c>
      <c r="B113" s="10" t="str">
        <f>IF(SISTEMA!B107="","",VALUE(SISTEMA!B107))</f>
        <v/>
      </c>
      <c r="C113" s="10" t="str">
        <f>IF(SISTEMA!C107="","",SISTEMA!C107)</f>
        <v/>
      </c>
      <c r="D113" s="5" t="str" cm="1">
        <f t="array" ref="D1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" s="5" t="str" cm="1">
        <f t="array" ref="E1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" s="5" t="str" cm="1">
        <f t="array" ref="F1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" t="str" cm="1">
        <f t="array" ref="G1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" s="4"/>
      <c r="I113" s="3" t="str" cm="1">
        <f t="array" ref="I1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" spans="1:9" x14ac:dyDescent="0.3">
      <c r="A114" s="3" t="str">
        <f>IF(SISTEMA!A108="","",SISTEMA!A108)</f>
        <v/>
      </c>
      <c r="B114" s="10" t="str">
        <f>IF(SISTEMA!B108="","",VALUE(SISTEMA!B108))</f>
        <v/>
      </c>
      <c r="C114" s="10" t="str">
        <f>IF(SISTEMA!C108="","",SISTEMA!C108)</f>
        <v/>
      </c>
      <c r="D114" s="5" t="str" cm="1">
        <f t="array" ref="D1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" s="5" t="str" cm="1">
        <f t="array" ref="E1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" s="5" t="str" cm="1">
        <f t="array" ref="F1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" t="str" cm="1">
        <f t="array" ref="G1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" s="4"/>
      <c r="I114" s="3" t="str" cm="1">
        <f t="array" ref="I1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" spans="1:9" x14ac:dyDescent="0.3">
      <c r="A115" s="3" t="str">
        <f>IF(SISTEMA!A109="","",SISTEMA!A109)</f>
        <v/>
      </c>
      <c r="B115" s="10" t="str">
        <f>IF(SISTEMA!B109="","",VALUE(SISTEMA!B109))</f>
        <v/>
      </c>
      <c r="C115" s="10" t="str">
        <f>IF(SISTEMA!C109="","",SISTEMA!C109)</f>
        <v/>
      </c>
      <c r="D115" s="5" t="str" cm="1">
        <f t="array" ref="D1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" s="5" t="str" cm="1">
        <f t="array" ref="E1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" s="5" t="str" cm="1">
        <f t="array" ref="F1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" t="str" cm="1">
        <f t="array" ref="G1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" s="4"/>
      <c r="I115" s="3" t="str" cm="1">
        <f t="array" ref="I1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" spans="1:9" x14ac:dyDescent="0.3">
      <c r="A116" s="3" t="str">
        <f>IF(SISTEMA!A110="","",SISTEMA!A110)</f>
        <v/>
      </c>
      <c r="B116" s="10" t="str">
        <f>IF(SISTEMA!B110="","",VALUE(SISTEMA!B110))</f>
        <v/>
      </c>
      <c r="C116" s="10" t="str">
        <f>IF(SISTEMA!C110="","",SISTEMA!C110)</f>
        <v/>
      </c>
      <c r="D116" s="5" t="str" cm="1">
        <f t="array" ref="D1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" s="5" t="str" cm="1">
        <f t="array" ref="E1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" s="5" t="str" cm="1">
        <f t="array" ref="F1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" t="str" cm="1">
        <f t="array" ref="G1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" s="4"/>
      <c r="I116" s="3" t="str" cm="1">
        <f t="array" ref="I1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" spans="1:9" x14ac:dyDescent="0.3">
      <c r="A117" s="3" t="str">
        <f>IF(SISTEMA!A111="","",SISTEMA!A111)</f>
        <v/>
      </c>
      <c r="B117" s="10" t="str">
        <f>IF(SISTEMA!B111="","",VALUE(SISTEMA!B111))</f>
        <v/>
      </c>
      <c r="C117" s="10" t="str">
        <f>IF(SISTEMA!C111="","",SISTEMA!C111)</f>
        <v/>
      </c>
      <c r="D117" s="5" t="str" cm="1">
        <f t="array" ref="D1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" s="5" t="str" cm="1">
        <f t="array" ref="E1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" s="5" t="str" cm="1">
        <f t="array" ref="F1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" t="str" cm="1">
        <f t="array" ref="G1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" s="4"/>
      <c r="I117" s="3" t="str" cm="1">
        <f t="array" ref="I1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" spans="1:9" x14ac:dyDescent="0.3">
      <c r="A118" s="3" t="str">
        <f>IF(SISTEMA!A112="","",SISTEMA!A112)</f>
        <v/>
      </c>
      <c r="B118" s="10" t="str">
        <f>IF(SISTEMA!B112="","",VALUE(SISTEMA!B112))</f>
        <v/>
      </c>
      <c r="C118" s="10" t="str">
        <f>IF(SISTEMA!C112="","",SISTEMA!C112)</f>
        <v/>
      </c>
      <c r="D118" s="5" t="str" cm="1">
        <f t="array" ref="D1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" s="5" t="str" cm="1">
        <f t="array" ref="E1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" s="5" t="str" cm="1">
        <f t="array" ref="F1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" t="str" cm="1">
        <f t="array" ref="G1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" s="4"/>
      <c r="I118" s="3" t="str" cm="1">
        <f t="array" ref="I1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" spans="1:9" x14ac:dyDescent="0.3">
      <c r="A119" s="3" t="str">
        <f>IF(SISTEMA!A113="","",SISTEMA!A113)</f>
        <v/>
      </c>
      <c r="B119" s="10" t="str">
        <f>IF(SISTEMA!B113="","",VALUE(SISTEMA!B113))</f>
        <v/>
      </c>
      <c r="C119" s="10" t="str">
        <f>IF(SISTEMA!C113="","",SISTEMA!C113)</f>
        <v/>
      </c>
      <c r="D119" s="5" t="str" cm="1">
        <f t="array" ref="D1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" s="5" t="str" cm="1">
        <f t="array" ref="E1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" s="5" t="str" cm="1">
        <f t="array" ref="F1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" t="str" cm="1">
        <f t="array" ref="G1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" s="4"/>
      <c r="I119" s="3" t="str" cm="1">
        <f t="array" ref="I1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" spans="1:9" x14ac:dyDescent="0.3">
      <c r="A120" s="3" t="str">
        <f>IF(SISTEMA!A114="","",SISTEMA!A114)</f>
        <v/>
      </c>
      <c r="B120" s="10" t="str">
        <f>IF(SISTEMA!B114="","",VALUE(SISTEMA!B114))</f>
        <v/>
      </c>
      <c r="C120" s="10" t="str">
        <f>IF(SISTEMA!C114="","",SISTEMA!C114)</f>
        <v/>
      </c>
      <c r="D120" s="5" t="str" cm="1">
        <f t="array" ref="D1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" s="5" t="str" cm="1">
        <f t="array" ref="E1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" s="5" t="str" cm="1">
        <f t="array" ref="F1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" t="str" cm="1">
        <f t="array" ref="G1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" s="4"/>
      <c r="I120" s="3" t="str" cm="1">
        <f t="array" ref="I1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" spans="1:9" x14ac:dyDescent="0.3">
      <c r="A121" s="3" t="str">
        <f>IF(SISTEMA!A115="","",SISTEMA!A115)</f>
        <v/>
      </c>
      <c r="B121" s="10" t="str">
        <f>IF(SISTEMA!B115="","",VALUE(SISTEMA!B115))</f>
        <v/>
      </c>
      <c r="C121" s="10" t="str">
        <f>IF(SISTEMA!C115="","",SISTEMA!C115)</f>
        <v/>
      </c>
      <c r="D121" s="5" t="str" cm="1">
        <f t="array" ref="D1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" s="5" t="str" cm="1">
        <f t="array" ref="E1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" s="5" t="str" cm="1">
        <f t="array" ref="F1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" t="str" cm="1">
        <f t="array" ref="G1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" s="4"/>
      <c r="I121" s="3" t="str" cm="1">
        <f t="array" ref="I1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" spans="1:9" x14ac:dyDescent="0.3">
      <c r="A122" s="3" t="str">
        <f>IF(SISTEMA!A116="","",SISTEMA!A116)</f>
        <v/>
      </c>
      <c r="B122" s="10" t="str">
        <f>IF(SISTEMA!B116="","",VALUE(SISTEMA!B116))</f>
        <v/>
      </c>
      <c r="C122" s="10" t="str">
        <f>IF(SISTEMA!C116="","",SISTEMA!C116)</f>
        <v/>
      </c>
      <c r="D122" s="5" t="str" cm="1">
        <f t="array" ref="D1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" s="5" t="str" cm="1">
        <f t="array" ref="E1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" s="5" t="str" cm="1">
        <f t="array" ref="F1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" t="str" cm="1">
        <f t="array" ref="G1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" s="4"/>
      <c r="I122" s="3" t="str" cm="1">
        <f t="array" ref="I1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" spans="1:9" x14ac:dyDescent="0.3">
      <c r="A123" s="3" t="str">
        <f>IF(SISTEMA!A117="","",SISTEMA!A117)</f>
        <v/>
      </c>
      <c r="B123" s="10" t="str">
        <f>IF(SISTEMA!B117="","",VALUE(SISTEMA!B117))</f>
        <v/>
      </c>
      <c r="C123" s="10" t="str">
        <f>IF(SISTEMA!C117="","",SISTEMA!C117)</f>
        <v/>
      </c>
      <c r="D123" s="5" t="str" cm="1">
        <f t="array" ref="D1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" s="5" t="str" cm="1">
        <f t="array" ref="E1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" s="5" t="str" cm="1">
        <f t="array" ref="F1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" t="str" cm="1">
        <f t="array" ref="G1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" s="4"/>
      <c r="I123" s="3" t="str" cm="1">
        <f t="array" ref="I1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" spans="1:9" x14ac:dyDescent="0.3">
      <c r="A124" s="3" t="str">
        <f>IF(SISTEMA!A118="","",SISTEMA!A118)</f>
        <v/>
      </c>
      <c r="B124" s="10" t="str">
        <f>IF(SISTEMA!B118="","",VALUE(SISTEMA!B118))</f>
        <v/>
      </c>
      <c r="C124" s="10" t="str">
        <f>IF(SISTEMA!C118="","",SISTEMA!C118)</f>
        <v/>
      </c>
      <c r="D124" s="5" t="str" cm="1">
        <f t="array" ref="D1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" s="5" t="str" cm="1">
        <f t="array" ref="E1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" s="5" t="str" cm="1">
        <f t="array" ref="F1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" t="str" cm="1">
        <f t="array" ref="G1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" s="4"/>
      <c r="I124" s="3" t="str" cm="1">
        <f t="array" ref="I1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" spans="1:9" x14ac:dyDescent="0.3">
      <c r="A125" s="3" t="str">
        <f>IF(SISTEMA!A119="","",SISTEMA!A119)</f>
        <v/>
      </c>
      <c r="B125" s="10" t="str">
        <f>IF(SISTEMA!B119="","",VALUE(SISTEMA!B119))</f>
        <v/>
      </c>
      <c r="C125" s="10" t="str">
        <f>IF(SISTEMA!C119="","",SISTEMA!C119)</f>
        <v/>
      </c>
      <c r="D125" s="5" t="str" cm="1">
        <f t="array" ref="D1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" s="5" t="str" cm="1">
        <f t="array" ref="E1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" s="5" t="str" cm="1">
        <f t="array" ref="F1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" t="str" cm="1">
        <f t="array" ref="G1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" s="4"/>
      <c r="I125" s="3" t="str" cm="1">
        <f t="array" ref="I1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" spans="1:9" x14ac:dyDescent="0.3">
      <c r="A126" s="3" t="str">
        <f>IF(SISTEMA!A120="","",SISTEMA!A120)</f>
        <v/>
      </c>
      <c r="B126" s="10" t="str">
        <f>IF(SISTEMA!B120="","",VALUE(SISTEMA!B120))</f>
        <v/>
      </c>
      <c r="C126" s="10" t="str">
        <f>IF(SISTEMA!C120="","",SISTEMA!C120)</f>
        <v/>
      </c>
      <c r="D126" s="5" t="str" cm="1">
        <f t="array" ref="D1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" s="5" t="str" cm="1">
        <f t="array" ref="E1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" s="5" t="str" cm="1">
        <f t="array" ref="F1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" t="str" cm="1">
        <f t="array" ref="G1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" s="4"/>
      <c r="I126" s="3" t="str" cm="1">
        <f t="array" ref="I1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" spans="1:9" x14ac:dyDescent="0.3">
      <c r="A127" s="3" t="str">
        <f>IF(SISTEMA!A121="","",SISTEMA!A121)</f>
        <v/>
      </c>
      <c r="B127" s="10" t="str">
        <f>IF(SISTEMA!B121="","",VALUE(SISTEMA!B121))</f>
        <v/>
      </c>
      <c r="C127" s="10" t="str">
        <f>IF(SISTEMA!C121="","",SISTEMA!C121)</f>
        <v/>
      </c>
      <c r="D127" s="5" t="str" cm="1">
        <f t="array" ref="D1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" s="5" t="str" cm="1">
        <f t="array" ref="E1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" s="5" t="str" cm="1">
        <f t="array" ref="F1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" t="str" cm="1">
        <f t="array" ref="G1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" s="4"/>
      <c r="I127" s="3" t="str" cm="1">
        <f t="array" ref="I1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" spans="1:9" x14ac:dyDescent="0.3">
      <c r="A128" s="3" t="str">
        <f>IF(SISTEMA!A122="","",SISTEMA!A122)</f>
        <v/>
      </c>
      <c r="B128" s="10" t="str">
        <f>IF(SISTEMA!B122="","",VALUE(SISTEMA!B122))</f>
        <v/>
      </c>
      <c r="C128" s="10" t="str">
        <f>IF(SISTEMA!C122="","",SISTEMA!C122)</f>
        <v/>
      </c>
      <c r="D128" s="5" t="str" cm="1">
        <f t="array" ref="D1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" s="5" t="str" cm="1">
        <f t="array" ref="E1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" s="5" t="str" cm="1">
        <f t="array" ref="F1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" t="str" cm="1">
        <f t="array" ref="G1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" s="4"/>
      <c r="I128" s="3" t="str" cm="1">
        <f t="array" ref="I1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" spans="1:9" x14ac:dyDescent="0.3">
      <c r="A129" s="3" t="str">
        <f>IF(SISTEMA!A123="","",SISTEMA!A123)</f>
        <v/>
      </c>
      <c r="B129" s="10" t="str">
        <f>IF(SISTEMA!B123="","",VALUE(SISTEMA!B123))</f>
        <v/>
      </c>
      <c r="C129" s="10" t="str">
        <f>IF(SISTEMA!C123="","",SISTEMA!C123)</f>
        <v/>
      </c>
      <c r="D129" s="5" t="str" cm="1">
        <f t="array" ref="D1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" s="5" t="str" cm="1">
        <f t="array" ref="E1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" s="5" t="str" cm="1">
        <f t="array" ref="F1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" t="str" cm="1">
        <f t="array" ref="G1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" s="4"/>
      <c r="I129" s="3" t="str" cm="1">
        <f t="array" ref="I1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" spans="1:9" x14ac:dyDescent="0.3">
      <c r="A130" s="3" t="str">
        <f>IF(SISTEMA!A124="","",SISTEMA!A124)</f>
        <v/>
      </c>
      <c r="B130" s="10" t="str">
        <f>IF(SISTEMA!B124="","",VALUE(SISTEMA!B124))</f>
        <v/>
      </c>
      <c r="C130" s="10" t="str">
        <f>IF(SISTEMA!C124="","",SISTEMA!C124)</f>
        <v/>
      </c>
      <c r="D130" s="5" t="str" cm="1">
        <f t="array" ref="D1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" s="5" t="str" cm="1">
        <f t="array" ref="E1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" s="5" t="str" cm="1">
        <f t="array" ref="F1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" t="str" cm="1">
        <f t="array" ref="G1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" s="4"/>
      <c r="I130" s="3" t="str" cm="1">
        <f t="array" ref="I1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" spans="1:9" x14ac:dyDescent="0.3">
      <c r="A131" s="3" t="str">
        <f>IF(SISTEMA!A125="","",SISTEMA!A125)</f>
        <v/>
      </c>
      <c r="B131" s="10" t="str">
        <f>IF(SISTEMA!B125="","",VALUE(SISTEMA!B125))</f>
        <v/>
      </c>
      <c r="C131" s="10" t="str">
        <f>IF(SISTEMA!C125="","",SISTEMA!C125)</f>
        <v/>
      </c>
      <c r="D131" s="5" t="str" cm="1">
        <f t="array" ref="D1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" s="5" t="str" cm="1">
        <f t="array" ref="E1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" s="5" t="str" cm="1">
        <f t="array" ref="F1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" t="str" cm="1">
        <f t="array" ref="G1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" s="4"/>
      <c r="I131" s="3" t="str" cm="1">
        <f t="array" ref="I1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" spans="1:9" x14ac:dyDescent="0.3">
      <c r="A132" s="3" t="str">
        <f>IF(SISTEMA!A126="","",SISTEMA!A126)</f>
        <v/>
      </c>
      <c r="B132" s="10" t="str">
        <f>IF(SISTEMA!B126="","",VALUE(SISTEMA!B126))</f>
        <v/>
      </c>
      <c r="C132" s="10" t="str">
        <f>IF(SISTEMA!C126="","",SISTEMA!C126)</f>
        <v/>
      </c>
      <c r="D132" s="5" t="str" cm="1">
        <f t="array" ref="D1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" s="5" t="str" cm="1">
        <f t="array" ref="E1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" s="5" t="str" cm="1">
        <f t="array" ref="F1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" t="str" cm="1">
        <f t="array" ref="G1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" s="4"/>
      <c r="I132" s="3" t="str" cm="1">
        <f t="array" ref="I1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" spans="1:9" x14ac:dyDescent="0.3">
      <c r="A133" s="3" t="str">
        <f>IF(SISTEMA!A127="","",SISTEMA!A127)</f>
        <v/>
      </c>
      <c r="B133" s="10" t="str">
        <f>IF(SISTEMA!B127="","",VALUE(SISTEMA!B127))</f>
        <v/>
      </c>
      <c r="C133" s="10" t="str">
        <f>IF(SISTEMA!C127="","",SISTEMA!C127)</f>
        <v/>
      </c>
      <c r="D133" s="5" t="str" cm="1">
        <f t="array" ref="D1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" s="5" t="str" cm="1">
        <f t="array" ref="E1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" s="5" t="str" cm="1">
        <f t="array" ref="F1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" t="str" cm="1">
        <f t="array" ref="G1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" s="4"/>
      <c r="I133" s="3" t="str" cm="1">
        <f t="array" ref="I1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" spans="1:9" x14ac:dyDescent="0.3">
      <c r="A134" s="3" t="str">
        <f>IF(SISTEMA!A128="","",SISTEMA!A128)</f>
        <v/>
      </c>
      <c r="B134" s="10" t="str">
        <f>IF(SISTEMA!B128="","",VALUE(SISTEMA!B128))</f>
        <v/>
      </c>
      <c r="C134" s="10" t="str">
        <f>IF(SISTEMA!C128="","",SISTEMA!C128)</f>
        <v/>
      </c>
      <c r="D134" s="5" t="str" cm="1">
        <f t="array" ref="D1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" s="5" t="str" cm="1">
        <f t="array" ref="E1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" s="5" t="str" cm="1">
        <f t="array" ref="F1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" t="str" cm="1">
        <f t="array" ref="G1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" s="4"/>
      <c r="I134" s="3" t="str" cm="1">
        <f t="array" ref="I1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" spans="1:9" x14ac:dyDescent="0.3">
      <c r="A135" s="3" t="str">
        <f>IF(SISTEMA!A129="","",SISTEMA!A129)</f>
        <v/>
      </c>
      <c r="B135" s="10" t="str">
        <f>IF(SISTEMA!B129="","",VALUE(SISTEMA!B129))</f>
        <v/>
      </c>
      <c r="C135" s="10" t="str">
        <f>IF(SISTEMA!C129="","",SISTEMA!C129)</f>
        <v/>
      </c>
      <c r="D135" s="5" t="str" cm="1">
        <f t="array" ref="D1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" s="5" t="str" cm="1">
        <f t="array" ref="E1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" s="5" t="str" cm="1">
        <f t="array" ref="F1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" t="str" cm="1">
        <f t="array" ref="G1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" s="4"/>
      <c r="I135" s="3" t="str" cm="1">
        <f t="array" ref="I1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" spans="1:9" x14ac:dyDescent="0.3">
      <c r="A136" s="3" t="str">
        <f>IF(SISTEMA!A130="","",SISTEMA!A130)</f>
        <v/>
      </c>
      <c r="B136" s="10" t="str">
        <f>IF(SISTEMA!B130="","",VALUE(SISTEMA!B130))</f>
        <v/>
      </c>
      <c r="C136" s="10" t="str">
        <f>IF(SISTEMA!C130="","",SISTEMA!C130)</f>
        <v/>
      </c>
      <c r="D136" s="5" t="str" cm="1">
        <f t="array" ref="D1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" s="5" t="str" cm="1">
        <f t="array" ref="E1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" s="5" t="str" cm="1">
        <f t="array" ref="F1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" t="str" cm="1">
        <f t="array" ref="G1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" s="4"/>
      <c r="I136" s="3" t="str" cm="1">
        <f t="array" ref="I1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" spans="1:9" x14ac:dyDescent="0.3">
      <c r="A137" s="3" t="str">
        <f>IF(SISTEMA!A131="","",SISTEMA!A131)</f>
        <v/>
      </c>
      <c r="B137" s="10" t="str">
        <f>IF(SISTEMA!B131="","",VALUE(SISTEMA!B131))</f>
        <v/>
      </c>
      <c r="C137" s="10" t="str">
        <f>IF(SISTEMA!C131="","",SISTEMA!C131)</f>
        <v/>
      </c>
      <c r="D137" s="5" t="str" cm="1">
        <f t="array" ref="D1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" s="5" t="str" cm="1">
        <f t="array" ref="E1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" s="5" t="str" cm="1">
        <f t="array" ref="F1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" t="str" cm="1">
        <f t="array" ref="G1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" s="4"/>
      <c r="I137" s="3" t="str" cm="1">
        <f t="array" ref="I1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" spans="1:9" x14ac:dyDescent="0.3">
      <c r="A138" s="3" t="str">
        <f>IF(SISTEMA!A132="","",SISTEMA!A132)</f>
        <v/>
      </c>
      <c r="B138" s="10" t="str">
        <f>IF(SISTEMA!B132="","",VALUE(SISTEMA!B132))</f>
        <v/>
      </c>
      <c r="C138" s="10" t="str">
        <f>IF(SISTEMA!C132="","",SISTEMA!C132)</f>
        <v/>
      </c>
      <c r="D138" s="5" t="str" cm="1">
        <f t="array" ref="D1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" s="5" t="str" cm="1">
        <f t="array" ref="E1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" s="5" t="str" cm="1">
        <f t="array" ref="F1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" t="str" cm="1">
        <f t="array" ref="G1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" s="4"/>
      <c r="I138" s="3" t="str" cm="1">
        <f t="array" ref="I1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" spans="1:9" x14ac:dyDescent="0.3">
      <c r="A139" s="3" t="str">
        <f>IF(SISTEMA!A133="","",SISTEMA!A133)</f>
        <v/>
      </c>
      <c r="B139" s="10" t="str">
        <f>IF(SISTEMA!B133="","",VALUE(SISTEMA!B133))</f>
        <v/>
      </c>
      <c r="C139" s="10" t="str">
        <f>IF(SISTEMA!C133="","",SISTEMA!C133)</f>
        <v/>
      </c>
      <c r="D139" s="5" t="str" cm="1">
        <f t="array" ref="D1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" s="5" t="str" cm="1">
        <f t="array" ref="E1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" s="5" t="str" cm="1">
        <f t="array" ref="F1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" t="str" cm="1">
        <f t="array" ref="G1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" s="4"/>
      <c r="I139" s="3" t="str" cm="1">
        <f t="array" ref="I1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" spans="1:9" x14ac:dyDescent="0.3">
      <c r="A140" s="3" t="str">
        <f>IF(SISTEMA!A134="","",SISTEMA!A134)</f>
        <v/>
      </c>
      <c r="B140" s="10" t="str">
        <f>IF(SISTEMA!B134="","",VALUE(SISTEMA!B134))</f>
        <v/>
      </c>
      <c r="C140" s="10" t="str">
        <f>IF(SISTEMA!C134="","",SISTEMA!C134)</f>
        <v/>
      </c>
      <c r="D140" s="5" t="str" cm="1">
        <f t="array" ref="D1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" s="5" t="str" cm="1">
        <f t="array" ref="E1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" s="5" t="str" cm="1">
        <f t="array" ref="F1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" t="str" cm="1">
        <f t="array" ref="G1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" s="4"/>
      <c r="I140" s="3" t="str" cm="1">
        <f t="array" ref="I1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" spans="1:9" x14ac:dyDescent="0.3">
      <c r="A141" s="3" t="str">
        <f>IF(SISTEMA!A135="","",SISTEMA!A135)</f>
        <v/>
      </c>
      <c r="B141" s="10" t="str">
        <f>IF(SISTEMA!B135="","",VALUE(SISTEMA!B135))</f>
        <v/>
      </c>
      <c r="C141" s="10" t="str">
        <f>IF(SISTEMA!C135="","",SISTEMA!C135)</f>
        <v/>
      </c>
      <c r="D141" s="5" t="str" cm="1">
        <f t="array" ref="D1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" s="5" t="str" cm="1">
        <f t="array" ref="E1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" s="5" t="str" cm="1">
        <f t="array" ref="F1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" t="str" cm="1">
        <f t="array" ref="G1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" s="4"/>
      <c r="I141" s="3" t="str" cm="1">
        <f t="array" ref="I1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" spans="1:9" x14ac:dyDescent="0.3">
      <c r="A142" s="3" t="str">
        <f>IF(SISTEMA!A136="","",SISTEMA!A136)</f>
        <v/>
      </c>
      <c r="B142" s="10" t="str">
        <f>IF(SISTEMA!B136="","",VALUE(SISTEMA!B136))</f>
        <v/>
      </c>
      <c r="C142" s="10" t="str">
        <f>IF(SISTEMA!C136="","",SISTEMA!C136)</f>
        <v/>
      </c>
      <c r="D142" s="5" t="str" cm="1">
        <f t="array" ref="D1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" s="5" t="str" cm="1">
        <f t="array" ref="E1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" s="5" t="str" cm="1">
        <f t="array" ref="F1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" t="str" cm="1">
        <f t="array" ref="G1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" s="4"/>
      <c r="I142" s="3" t="str" cm="1">
        <f t="array" ref="I1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" spans="1:9" x14ac:dyDescent="0.3">
      <c r="A143" s="3" t="str">
        <f>IF(SISTEMA!A137="","",SISTEMA!A137)</f>
        <v/>
      </c>
      <c r="B143" s="10" t="str">
        <f>IF(SISTEMA!B137="","",VALUE(SISTEMA!B137))</f>
        <v/>
      </c>
      <c r="C143" s="10" t="str">
        <f>IF(SISTEMA!C137="","",SISTEMA!C137)</f>
        <v/>
      </c>
      <c r="D143" s="5" t="str" cm="1">
        <f t="array" ref="D1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" s="5" t="str" cm="1">
        <f t="array" ref="E1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" s="5" t="str" cm="1">
        <f t="array" ref="F1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" t="str" cm="1">
        <f t="array" ref="G1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" s="4"/>
      <c r="I143" s="3" t="str" cm="1">
        <f t="array" ref="I1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" spans="1:9" x14ac:dyDescent="0.3">
      <c r="A144" s="3" t="str">
        <f>IF(SISTEMA!A138="","",SISTEMA!A138)</f>
        <v/>
      </c>
      <c r="B144" s="10" t="str">
        <f>IF(SISTEMA!B138="","",VALUE(SISTEMA!B138))</f>
        <v/>
      </c>
      <c r="C144" s="10" t="str">
        <f>IF(SISTEMA!C138="","",SISTEMA!C138)</f>
        <v/>
      </c>
      <c r="D144" s="5" t="str" cm="1">
        <f t="array" ref="D1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" s="5" t="str" cm="1">
        <f t="array" ref="E1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" s="5" t="str" cm="1">
        <f t="array" ref="F1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" t="str" cm="1">
        <f t="array" ref="G1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" s="4"/>
      <c r="I144" s="3" t="str" cm="1">
        <f t="array" ref="I1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" spans="1:9" x14ac:dyDescent="0.3">
      <c r="A145" s="3" t="str">
        <f>IF(SISTEMA!A139="","",SISTEMA!A139)</f>
        <v/>
      </c>
      <c r="B145" s="10" t="str">
        <f>IF(SISTEMA!B139="","",VALUE(SISTEMA!B139))</f>
        <v/>
      </c>
      <c r="C145" s="10" t="str">
        <f>IF(SISTEMA!C139="","",SISTEMA!C139)</f>
        <v/>
      </c>
      <c r="D145" s="5" t="str" cm="1">
        <f t="array" ref="D1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" s="5" t="str" cm="1">
        <f t="array" ref="E1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" s="5" t="str" cm="1">
        <f t="array" ref="F1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" t="str" cm="1">
        <f t="array" ref="G1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" s="4"/>
      <c r="I145" s="3" t="str" cm="1">
        <f t="array" ref="I1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" spans="1:9" x14ac:dyDescent="0.3">
      <c r="A146" s="3" t="str">
        <f>IF(SISTEMA!A140="","",SISTEMA!A140)</f>
        <v/>
      </c>
      <c r="B146" s="10" t="str">
        <f>IF(SISTEMA!B140="","",VALUE(SISTEMA!B140))</f>
        <v/>
      </c>
      <c r="C146" s="10" t="str">
        <f>IF(SISTEMA!C140="","",SISTEMA!C140)</f>
        <v/>
      </c>
      <c r="D146" s="5" t="str" cm="1">
        <f t="array" ref="D1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" s="5" t="str" cm="1">
        <f t="array" ref="E1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" s="5" t="str" cm="1">
        <f t="array" ref="F1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" t="str" cm="1">
        <f t="array" ref="G1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" s="4"/>
      <c r="I146" s="3" t="str" cm="1">
        <f t="array" ref="I1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" spans="1:9" x14ac:dyDescent="0.3">
      <c r="A147" s="3" t="str">
        <f>IF(SISTEMA!A141="","",SISTEMA!A141)</f>
        <v/>
      </c>
      <c r="B147" s="10" t="str">
        <f>IF(SISTEMA!B141="","",VALUE(SISTEMA!B141))</f>
        <v/>
      </c>
      <c r="C147" s="10" t="str">
        <f>IF(SISTEMA!C141="","",SISTEMA!C141)</f>
        <v/>
      </c>
      <c r="D147" s="5" t="str" cm="1">
        <f t="array" ref="D1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" s="5" t="str" cm="1">
        <f t="array" ref="E1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" s="5" t="str" cm="1">
        <f t="array" ref="F1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" t="str" cm="1">
        <f t="array" ref="G1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" s="4"/>
      <c r="I147" s="3" t="str" cm="1">
        <f t="array" ref="I1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" spans="1:9" x14ac:dyDescent="0.3">
      <c r="A148" s="3" t="str">
        <f>IF(SISTEMA!A142="","",SISTEMA!A142)</f>
        <v/>
      </c>
      <c r="B148" s="10" t="str">
        <f>IF(SISTEMA!B142="","",VALUE(SISTEMA!B142))</f>
        <v/>
      </c>
      <c r="C148" s="10" t="str">
        <f>IF(SISTEMA!C142="","",SISTEMA!C142)</f>
        <v/>
      </c>
      <c r="D148" s="5" t="str" cm="1">
        <f t="array" ref="D1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" s="5" t="str" cm="1">
        <f t="array" ref="E1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" s="5" t="str" cm="1">
        <f t="array" ref="F1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" t="str" cm="1">
        <f t="array" ref="G1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" s="4"/>
      <c r="I148" s="3" t="str" cm="1">
        <f t="array" ref="I1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" spans="1:9" x14ac:dyDescent="0.3">
      <c r="A149" s="3" t="str">
        <f>IF(SISTEMA!A143="","",SISTEMA!A143)</f>
        <v/>
      </c>
      <c r="B149" s="10" t="str">
        <f>IF(SISTEMA!B143="","",VALUE(SISTEMA!B143))</f>
        <v/>
      </c>
      <c r="C149" s="10" t="str">
        <f>IF(SISTEMA!C143="","",SISTEMA!C143)</f>
        <v/>
      </c>
      <c r="D149" s="5" t="str" cm="1">
        <f t="array" ref="D1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" s="5" t="str" cm="1">
        <f t="array" ref="E1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" s="5" t="str" cm="1">
        <f t="array" ref="F1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" t="str" cm="1">
        <f t="array" ref="G1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" s="4"/>
      <c r="I149" s="3" t="str" cm="1">
        <f t="array" ref="I1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" spans="1:9" x14ac:dyDescent="0.3">
      <c r="A150" s="3" t="str">
        <f>IF(SISTEMA!A144="","",SISTEMA!A144)</f>
        <v/>
      </c>
      <c r="B150" s="10" t="str">
        <f>IF(SISTEMA!B144="","",VALUE(SISTEMA!B144))</f>
        <v/>
      </c>
      <c r="C150" s="10" t="str">
        <f>IF(SISTEMA!C144="","",SISTEMA!C144)</f>
        <v/>
      </c>
      <c r="D150" s="5" t="str" cm="1">
        <f t="array" ref="D1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" s="5" t="str" cm="1">
        <f t="array" ref="E1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" s="5" t="str" cm="1">
        <f t="array" ref="F1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" t="str" cm="1">
        <f t="array" ref="G1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" s="4"/>
      <c r="I150" s="3" t="str" cm="1">
        <f t="array" ref="I1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" spans="1:9" x14ac:dyDescent="0.3">
      <c r="A151" s="3" t="str">
        <f>IF(SISTEMA!A145="","",SISTEMA!A145)</f>
        <v/>
      </c>
      <c r="B151" s="10" t="str">
        <f>IF(SISTEMA!B145="","",VALUE(SISTEMA!B145))</f>
        <v/>
      </c>
      <c r="C151" s="10" t="str">
        <f>IF(SISTEMA!C145="","",SISTEMA!C145)</f>
        <v/>
      </c>
      <c r="D151" s="5" t="str" cm="1">
        <f t="array" ref="D1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" s="5" t="str" cm="1">
        <f t="array" ref="E1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" s="5" t="str" cm="1">
        <f t="array" ref="F1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" t="str" cm="1">
        <f t="array" ref="G1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" s="4"/>
      <c r="I151" s="3" t="str" cm="1">
        <f t="array" ref="I1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" spans="1:9" x14ac:dyDescent="0.3">
      <c r="A152" s="3" t="str">
        <f>IF(SISTEMA!A146="","",SISTEMA!A146)</f>
        <v/>
      </c>
      <c r="B152" s="10" t="str">
        <f>IF(SISTEMA!B146="","",VALUE(SISTEMA!B146))</f>
        <v/>
      </c>
      <c r="C152" s="10" t="str">
        <f>IF(SISTEMA!C146="","",SISTEMA!C146)</f>
        <v/>
      </c>
      <c r="D152" s="5" t="str" cm="1">
        <f t="array" ref="D1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" s="5" t="str" cm="1">
        <f t="array" ref="E1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" s="5" t="str" cm="1">
        <f t="array" ref="F1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" t="str" cm="1">
        <f t="array" ref="G1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" s="4"/>
      <c r="I152" s="3" t="str" cm="1">
        <f t="array" ref="I1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" spans="1:9" x14ac:dyDescent="0.3">
      <c r="A153" s="3" t="str">
        <f>IF(SISTEMA!A147="","",SISTEMA!A147)</f>
        <v/>
      </c>
      <c r="B153" s="10" t="str">
        <f>IF(SISTEMA!B147="","",VALUE(SISTEMA!B147))</f>
        <v/>
      </c>
      <c r="C153" s="10" t="str">
        <f>IF(SISTEMA!C147="","",SISTEMA!C147)</f>
        <v/>
      </c>
      <c r="D153" s="5" t="str" cm="1">
        <f t="array" ref="D1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" s="5" t="str" cm="1">
        <f t="array" ref="E1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" s="5" t="str" cm="1">
        <f t="array" ref="F1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" t="str" cm="1">
        <f t="array" ref="G1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" s="4"/>
      <c r="I153" s="3" t="str" cm="1">
        <f t="array" ref="I1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" spans="1:9" x14ac:dyDescent="0.3">
      <c r="A154" s="3" t="str">
        <f>IF(SISTEMA!A148="","",SISTEMA!A148)</f>
        <v/>
      </c>
      <c r="B154" s="10" t="str">
        <f>IF(SISTEMA!B148="","",VALUE(SISTEMA!B148))</f>
        <v/>
      </c>
      <c r="C154" s="10" t="str">
        <f>IF(SISTEMA!C148="","",SISTEMA!C148)</f>
        <v/>
      </c>
      <c r="D154" s="5" t="str" cm="1">
        <f t="array" ref="D1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" s="5" t="str" cm="1">
        <f t="array" ref="E1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" s="5" t="str" cm="1">
        <f t="array" ref="F1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" t="str" cm="1">
        <f t="array" ref="G1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" s="4"/>
      <c r="I154" s="3" t="str" cm="1">
        <f t="array" ref="I1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" spans="1:9" x14ac:dyDescent="0.3">
      <c r="A155" s="3" t="str">
        <f>IF(SISTEMA!A149="","",SISTEMA!A149)</f>
        <v/>
      </c>
      <c r="B155" s="10" t="str">
        <f>IF(SISTEMA!B149="","",VALUE(SISTEMA!B149))</f>
        <v/>
      </c>
      <c r="C155" s="10" t="str">
        <f>IF(SISTEMA!C149="","",SISTEMA!C149)</f>
        <v/>
      </c>
      <c r="D155" s="5" t="str" cm="1">
        <f t="array" ref="D1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" s="5" t="str" cm="1">
        <f t="array" ref="E1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" s="5" t="str" cm="1">
        <f t="array" ref="F1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" t="str" cm="1">
        <f t="array" ref="G1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" s="4"/>
      <c r="I155" s="3" t="str" cm="1">
        <f t="array" ref="I1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" spans="1:9" x14ac:dyDescent="0.3">
      <c r="A156" s="3" t="str">
        <f>IF(SISTEMA!A150="","",SISTEMA!A150)</f>
        <v/>
      </c>
      <c r="B156" s="10" t="str">
        <f>IF(SISTEMA!B150="","",VALUE(SISTEMA!B150))</f>
        <v/>
      </c>
      <c r="C156" s="10" t="str">
        <f>IF(SISTEMA!C150="","",SISTEMA!C150)</f>
        <v/>
      </c>
      <c r="D156" s="5" t="str" cm="1">
        <f t="array" ref="D1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" s="5" t="str" cm="1">
        <f t="array" ref="E1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" s="5" t="str" cm="1">
        <f t="array" ref="F1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" t="str" cm="1">
        <f t="array" ref="G1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" s="4"/>
      <c r="I156" s="3" t="str" cm="1">
        <f t="array" ref="I1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" spans="1:9" x14ac:dyDescent="0.3">
      <c r="A157" s="3" t="str">
        <f>IF(SISTEMA!A151="","",SISTEMA!A151)</f>
        <v/>
      </c>
      <c r="B157" s="10" t="str">
        <f>IF(SISTEMA!B151="","",VALUE(SISTEMA!B151))</f>
        <v/>
      </c>
      <c r="C157" s="10" t="str">
        <f>IF(SISTEMA!C151="","",SISTEMA!C151)</f>
        <v/>
      </c>
      <c r="D157" s="5" t="str" cm="1">
        <f t="array" ref="D1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" s="5" t="str" cm="1">
        <f t="array" ref="E1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" s="5" t="str" cm="1">
        <f t="array" ref="F1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" t="str" cm="1">
        <f t="array" ref="G1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" s="4"/>
      <c r="I157" s="3" t="str" cm="1">
        <f t="array" ref="I1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" spans="1:9" x14ac:dyDescent="0.3">
      <c r="A158" s="3" t="str">
        <f>IF(SISTEMA!A152="","",SISTEMA!A152)</f>
        <v/>
      </c>
      <c r="B158" s="10" t="str">
        <f>IF(SISTEMA!B152="","",VALUE(SISTEMA!B152))</f>
        <v/>
      </c>
      <c r="C158" s="10" t="str">
        <f>IF(SISTEMA!C152="","",SISTEMA!C152)</f>
        <v/>
      </c>
      <c r="D158" s="5" t="str" cm="1">
        <f t="array" ref="D1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" s="5" t="str" cm="1">
        <f t="array" ref="E1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" s="5" t="str" cm="1">
        <f t="array" ref="F1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" t="str" cm="1">
        <f t="array" ref="G1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" s="4"/>
      <c r="I158" s="3" t="str" cm="1">
        <f t="array" ref="I1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" spans="1:9" x14ac:dyDescent="0.3">
      <c r="A159" s="3" t="str">
        <f>IF(SISTEMA!A153="","",SISTEMA!A153)</f>
        <v/>
      </c>
      <c r="B159" s="10" t="str">
        <f>IF(SISTEMA!B153="","",VALUE(SISTEMA!B153))</f>
        <v/>
      </c>
      <c r="C159" s="10" t="str">
        <f>IF(SISTEMA!C153="","",SISTEMA!C153)</f>
        <v/>
      </c>
      <c r="D159" s="5" t="str" cm="1">
        <f t="array" ref="D1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" s="5" t="str" cm="1">
        <f t="array" ref="E1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" s="5" t="str" cm="1">
        <f t="array" ref="F1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" t="str" cm="1">
        <f t="array" ref="G1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" s="4"/>
      <c r="I159" s="3" t="str" cm="1">
        <f t="array" ref="I1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" spans="1:9" x14ac:dyDescent="0.3">
      <c r="A160" s="3" t="str">
        <f>IF(SISTEMA!A154="","",SISTEMA!A154)</f>
        <v/>
      </c>
      <c r="B160" s="10" t="str">
        <f>IF(SISTEMA!B154="","",VALUE(SISTEMA!B154))</f>
        <v/>
      </c>
      <c r="C160" s="10" t="str">
        <f>IF(SISTEMA!C154="","",SISTEMA!C154)</f>
        <v/>
      </c>
      <c r="D160" s="5" t="str" cm="1">
        <f t="array" ref="D1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" s="5" t="str" cm="1">
        <f t="array" ref="E1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" s="5" t="str" cm="1">
        <f t="array" ref="F1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" t="str" cm="1">
        <f t="array" ref="G1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" s="4"/>
      <c r="I160" s="3" t="str" cm="1">
        <f t="array" ref="I1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" spans="1:9" x14ac:dyDescent="0.3">
      <c r="A161" s="3" t="str">
        <f>IF(SISTEMA!A155="","",SISTEMA!A155)</f>
        <v/>
      </c>
      <c r="B161" s="10" t="str">
        <f>IF(SISTEMA!B155="","",VALUE(SISTEMA!B155))</f>
        <v/>
      </c>
      <c r="C161" s="10" t="str">
        <f>IF(SISTEMA!C155="","",SISTEMA!C155)</f>
        <v/>
      </c>
      <c r="D161" s="5" t="str" cm="1">
        <f t="array" ref="D1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" s="5" t="str" cm="1">
        <f t="array" ref="E1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" s="5" t="str" cm="1">
        <f t="array" ref="F1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" t="str" cm="1">
        <f t="array" ref="G1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" s="4"/>
      <c r="I161" s="3" t="str" cm="1">
        <f t="array" ref="I1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" spans="1:9" x14ac:dyDescent="0.3">
      <c r="A162" s="3" t="str">
        <f>IF(SISTEMA!A156="","",SISTEMA!A156)</f>
        <v/>
      </c>
      <c r="B162" s="10" t="str">
        <f>IF(SISTEMA!B156="","",VALUE(SISTEMA!B156))</f>
        <v/>
      </c>
      <c r="C162" s="10" t="str">
        <f>IF(SISTEMA!C156="","",SISTEMA!C156)</f>
        <v/>
      </c>
      <c r="D162" s="5" t="str" cm="1">
        <f t="array" ref="D1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" s="5" t="str" cm="1">
        <f t="array" ref="E1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" s="5" t="str" cm="1">
        <f t="array" ref="F1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" t="str" cm="1">
        <f t="array" ref="G1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" s="4"/>
      <c r="I162" s="3" t="str" cm="1">
        <f t="array" ref="I1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" spans="1:9" x14ac:dyDescent="0.3">
      <c r="A163" s="3" t="str">
        <f>IF(SISTEMA!A157="","",SISTEMA!A157)</f>
        <v/>
      </c>
      <c r="B163" s="10" t="str">
        <f>IF(SISTEMA!B157="","",VALUE(SISTEMA!B157))</f>
        <v/>
      </c>
      <c r="C163" s="10" t="str">
        <f>IF(SISTEMA!C157="","",SISTEMA!C157)</f>
        <v/>
      </c>
      <c r="D163" s="5" t="str" cm="1">
        <f t="array" ref="D1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" s="5" t="str" cm="1">
        <f t="array" ref="E1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" s="5" t="str" cm="1">
        <f t="array" ref="F1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" t="str" cm="1">
        <f t="array" ref="G1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" s="4"/>
      <c r="I163" s="3" t="str" cm="1">
        <f t="array" ref="I1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" spans="1:9" x14ac:dyDescent="0.3">
      <c r="A164" s="3" t="str">
        <f>IF(SISTEMA!A158="","",SISTEMA!A158)</f>
        <v/>
      </c>
      <c r="B164" s="10" t="str">
        <f>IF(SISTEMA!B158="","",VALUE(SISTEMA!B158))</f>
        <v/>
      </c>
      <c r="C164" s="10" t="str">
        <f>IF(SISTEMA!C158="","",SISTEMA!C158)</f>
        <v/>
      </c>
      <c r="D164" s="5" t="str" cm="1">
        <f t="array" ref="D1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" s="5" t="str" cm="1">
        <f t="array" ref="E1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" s="5" t="str" cm="1">
        <f t="array" ref="F1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" t="str" cm="1">
        <f t="array" ref="G1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" s="4"/>
      <c r="I164" s="3" t="str" cm="1">
        <f t="array" ref="I1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" spans="1:9" x14ac:dyDescent="0.3">
      <c r="A165" s="3" t="str">
        <f>IF(SISTEMA!A159="","",SISTEMA!A159)</f>
        <v/>
      </c>
      <c r="B165" s="10" t="str">
        <f>IF(SISTEMA!B159="","",VALUE(SISTEMA!B159))</f>
        <v/>
      </c>
      <c r="C165" s="10" t="str">
        <f>IF(SISTEMA!C159="","",SISTEMA!C159)</f>
        <v/>
      </c>
      <c r="D165" s="5" t="str" cm="1">
        <f t="array" ref="D1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" s="5" t="str" cm="1">
        <f t="array" ref="E1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" s="5" t="str" cm="1">
        <f t="array" ref="F1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" t="str" cm="1">
        <f t="array" ref="G1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" s="4"/>
      <c r="I165" s="3" t="str" cm="1">
        <f t="array" ref="I1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" spans="1:9" x14ac:dyDescent="0.3">
      <c r="A166" s="3" t="str">
        <f>IF(SISTEMA!A160="","",SISTEMA!A160)</f>
        <v/>
      </c>
      <c r="B166" s="10" t="str">
        <f>IF(SISTEMA!B160="","",VALUE(SISTEMA!B160))</f>
        <v/>
      </c>
      <c r="C166" s="10" t="str">
        <f>IF(SISTEMA!C160="","",SISTEMA!C160)</f>
        <v/>
      </c>
      <c r="D166" s="5" t="str" cm="1">
        <f t="array" ref="D1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" s="5" t="str" cm="1">
        <f t="array" ref="E1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" s="5" t="str" cm="1">
        <f t="array" ref="F1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" t="str" cm="1">
        <f t="array" ref="G1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" s="4"/>
      <c r="I166" s="3" t="str" cm="1">
        <f t="array" ref="I1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" spans="1:9" x14ac:dyDescent="0.3">
      <c r="A167" s="3" t="str">
        <f>IF(SISTEMA!A161="","",SISTEMA!A161)</f>
        <v/>
      </c>
      <c r="B167" s="10" t="str">
        <f>IF(SISTEMA!B161="","",VALUE(SISTEMA!B161))</f>
        <v/>
      </c>
      <c r="C167" s="10" t="str">
        <f>IF(SISTEMA!C161="","",SISTEMA!C161)</f>
        <v/>
      </c>
      <c r="D167" s="5" t="str" cm="1">
        <f t="array" ref="D1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" s="5" t="str" cm="1">
        <f t="array" ref="E1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" s="5" t="str" cm="1">
        <f t="array" ref="F1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" t="str" cm="1">
        <f t="array" ref="G1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" s="4"/>
      <c r="I167" s="3" t="str" cm="1">
        <f t="array" ref="I1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" spans="1:9" x14ac:dyDescent="0.3">
      <c r="A168" s="3" t="str">
        <f>IF(SISTEMA!A162="","",SISTEMA!A162)</f>
        <v/>
      </c>
      <c r="B168" s="10" t="str">
        <f>IF(SISTEMA!B162="","",VALUE(SISTEMA!B162))</f>
        <v/>
      </c>
      <c r="C168" s="10" t="str">
        <f>IF(SISTEMA!C162="","",SISTEMA!C162)</f>
        <v/>
      </c>
      <c r="D168" s="5" t="str" cm="1">
        <f t="array" ref="D1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" s="5" t="str" cm="1">
        <f t="array" ref="E1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" s="5" t="str" cm="1">
        <f t="array" ref="F1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" t="str" cm="1">
        <f t="array" ref="G1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" s="4"/>
      <c r="I168" s="3" t="str" cm="1">
        <f t="array" ref="I1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" spans="1:9" x14ac:dyDescent="0.3">
      <c r="A169" s="3" t="str">
        <f>IF(SISTEMA!A163="","",SISTEMA!A163)</f>
        <v/>
      </c>
      <c r="B169" s="10" t="str">
        <f>IF(SISTEMA!B163="","",VALUE(SISTEMA!B163))</f>
        <v/>
      </c>
      <c r="C169" s="10" t="str">
        <f>IF(SISTEMA!C163="","",SISTEMA!C163)</f>
        <v/>
      </c>
      <c r="D169" s="5" t="str" cm="1">
        <f t="array" ref="D1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" s="5" t="str" cm="1">
        <f t="array" ref="E1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" s="5" t="str" cm="1">
        <f t="array" ref="F1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" t="str" cm="1">
        <f t="array" ref="G1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" s="4"/>
      <c r="I169" s="3" t="str" cm="1">
        <f t="array" ref="I1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" spans="1:9" x14ac:dyDescent="0.3">
      <c r="A170" s="3" t="str">
        <f>IF(SISTEMA!A164="","",SISTEMA!A164)</f>
        <v/>
      </c>
      <c r="B170" s="10" t="str">
        <f>IF(SISTEMA!B164="","",VALUE(SISTEMA!B164))</f>
        <v/>
      </c>
      <c r="C170" s="10" t="str">
        <f>IF(SISTEMA!C164="","",SISTEMA!C164)</f>
        <v/>
      </c>
      <c r="D170" s="5" t="str" cm="1">
        <f t="array" ref="D1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" s="5" t="str" cm="1">
        <f t="array" ref="E1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" s="5" t="str" cm="1">
        <f t="array" ref="F1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" t="str" cm="1">
        <f t="array" ref="G1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" s="4"/>
      <c r="I170" s="3" t="str" cm="1">
        <f t="array" ref="I1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" spans="1:9" x14ac:dyDescent="0.3">
      <c r="A171" s="3" t="str">
        <f>IF(SISTEMA!A165="","",SISTEMA!A165)</f>
        <v/>
      </c>
      <c r="B171" s="10" t="str">
        <f>IF(SISTEMA!B165="","",VALUE(SISTEMA!B165))</f>
        <v/>
      </c>
      <c r="C171" s="10" t="str">
        <f>IF(SISTEMA!C165="","",SISTEMA!C165)</f>
        <v/>
      </c>
      <c r="D171" s="5" t="str" cm="1">
        <f t="array" ref="D1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" s="5" t="str" cm="1">
        <f t="array" ref="E1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" s="5" t="str" cm="1">
        <f t="array" ref="F1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" t="str" cm="1">
        <f t="array" ref="G1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" s="4"/>
      <c r="I171" s="3" t="str" cm="1">
        <f t="array" ref="I1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" spans="1:9" x14ac:dyDescent="0.3">
      <c r="A172" s="3" t="str">
        <f>IF(SISTEMA!A166="","",SISTEMA!A166)</f>
        <v/>
      </c>
      <c r="B172" s="10" t="str">
        <f>IF(SISTEMA!B166="","",VALUE(SISTEMA!B166))</f>
        <v/>
      </c>
      <c r="C172" s="10" t="str">
        <f>IF(SISTEMA!C166="","",SISTEMA!C166)</f>
        <v/>
      </c>
      <c r="D172" s="5" t="str" cm="1">
        <f t="array" ref="D1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" s="5" t="str" cm="1">
        <f t="array" ref="E1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" s="5" t="str" cm="1">
        <f t="array" ref="F1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" t="str" cm="1">
        <f t="array" ref="G1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" s="4"/>
      <c r="I172" s="3" t="str" cm="1">
        <f t="array" ref="I1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" spans="1:9" x14ac:dyDescent="0.3">
      <c r="A173" s="3" t="str">
        <f>IF(SISTEMA!A167="","",SISTEMA!A167)</f>
        <v/>
      </c>
      <c r="B173" s="10" t="str">
        <f>IF(SISTEMA!B167="","",VALUE(SISTEMA!B167))</f>
        <v/>
      </c>
      <c r="C173" s="10" t="str">
        <f>IF(SISTEMA!C167="","",SISTEMA!C167)</f>
        <v/>
      </c>
      <c r="D173" s="5" t="str" cm="1">
        <f t="array" ref="D1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" s="5" t="str" cm="1">
        <f t="array" ref="E1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" s="5" t="str" cm="1">
        <f t="array" ref="F1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" t="str" cm="1">
        <f t="array" ref="G1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" s="4"/>
      <c r="I173" s="3" t="str" cm="1">
        <f t="array" ref="I1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" spans="1:9" x14ac:dyDescent="0.3">
      <c r="A174" s="3" t="str">
        <f>IF(SISTEMA!A168="","",SISTEMA!A168)</f>
        <v/>
      </c>
      <c r="B174" s="10" t="str">
        <f>IF(SISTEMA!B168="","",VALUE(SISTEMA!B168))</f>
        <v/>
      </c>
      <c r="C174" s="10" t="str">
        <f>IF(SISTEMA!C168="","",SISTEMA!C168)</f>
        <v/>
      </c>
      <c r="D174" s="5" t="str" cm="1">
        <f t="array" ref="D1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" s="5" t="str" cm="1">
        <f t="array" ref="E1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" s="5" t="str" cm="1">
        <f t="array" ref="F1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" t="str" cm="1">
        <f t="array" ref="G1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" s="4"/>
      <c r="I174" s="3" t="str" cm="1">
        <f t="array" ref="I1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" spans="1:9" x14ac:dyDescent="0.3">
      <c r="A175" s="3" t="str">
        <f>IF(SISTEMA!A169="","",SISTEMA!A169)</f>
        <v/>
      </c>
      <c r="B175" s="10" t="str">
        <f>IF(SISTEMA!B169="","",VALUE(SISTEMA!B169))</f>
        <v/>
      </c>
      <c r="C175" s="10" t="str">
        <f>IF(SISTEMA!C169="","",SISTEMA!C169)</f>
        <v/>
      </c>
      <c r="D175" s="5" t="str" cm="1">
        <f t="array" ref="D1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" s="5" t="str" cm="1">
        <f t="array" ref="E1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" s="5" t="str" cm="1">
        <f t="array" ref="F1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" t="str" cm="1">
        <f t="array" ref="G1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" s="4"/>
      <c r="I175" s="3" t="str" cm="1">
        <f t="array" ref="I1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" spans="1:9" x14ac:dyDescent="0.3">
      <c r="A176" s="3" t="str">
        <f>IF(SISTEMA!A170="","",SISTEMA!A170)</f>
        <v/>
      </c>
      <c r="B176" s="10" t="str">
        <f>IF(SISTEMA!B170="","",VALUE(SISTEMA!B170))</f>
        <v/>
      </c>
      <c r="C176" s="10" t="str">
        <f>IF(SISTEMA!C170="","",SISTEMA!C170)</f>
        <v/>
      </c>
      <c r="D176" s="5" t="str" cm="1">
        <f t="array" ref="D1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" s="5" t="str" cm="1">
        <f t="array" ref="E1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" s="5" t="str" cm="1">
        <f t="array" ref="F1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" t="str" cm="1">
        <f t="array" ref="G1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" s="4"/>
      <c r="I176" s="3" t="str" cm="1">
        <f t="array" ref="I1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" spans="1:9" x14ac:dyDescent="0.3">
      <c r="A177" s="3" t="str">
        <f>IF(SISTEMA!A171="","",SISTEMA!A171)</f>
        <v/>
      </c>
      <c r="B177" s="10" t="str">
        <f>IF(SISTEMA!B171="","",VALUE(SISTEMA!B171))</f>
        <v/>
      </c>
      <c r="C177" s="10" t="str">
        <f>IF(SISTEMA!C171="","",SISTEMA!C171)</f>
        <v/>
      </c>
      <c r="D177" s="5" t="str" cm="1">
        <f t="array" ref="D1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" s="5" t="str" cm="1">
        <f t="array" ref="E1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" s="5" t="str" cm="1">
        <f t="array" ref="F1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" t="str" cm="1">
        <f t="array" ref="G1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" s="4"/>
      <c r="I177" s="3" t="str" cm="1">
        <f t="array" ref="I1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" spans="1:9" x14ac:dyDescent="0.3">
      <c r="A178" s="3" t="str">
        <f>IF(SISTEMA!A172="","",SISTEMA!A172)</f>
        <v/>
      </c>
      <c r="B178" s="10" t="str">
        <f>IF(SISTEMA!B172="","",VALUE(SISTEMA!B172))</f>
        <v/>
      </c>
      <c r="C178" s="10" t="str">
        <f>IF(SISTEMA!C172="","",SISTEMA!C172)</f>
        <v/>
      </c>
      <c r="D178" s="5" t="str" cm="1">
        <f t="array" ref="D1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" s="5" t="str" cm="1">
        <f t="array" ref="E1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" s="5" t="str" cm="1">
        <f t="array" ref="F1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" t="str" cm="1">
        <f t="array" ref="G1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" s="4"/>
      <c r="I178" s="3" t="str" cm="1">
        <f t="array" ref="I1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" spans="1:9" x14ac:dyDescent="0.3">
      <c r="A179" s="3" t="str">
        <f>IF(SISTEMA!A173="","",SISTEMA!A173)</f>
        <v/>
      </c>
      <c r="B179" s="10" t="str">
        <f>IF(SISTEMA!B173="","",VALUE(SISTEMA!B173))</f>
        <v/>
      </c>
      <c r="C179" s="10" t="str">
        <f>IF(SISTEMA!C173="","",SISTEMA!C173)</f>
        <v/>
      </c>
      <c r="D179" s="5" t="str" cm="1">
        <f t="array" ref="D1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" s="5" t="str" cm="1">
        <f t="array" ref="E1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" s="5" t="str" cm="1">
        <f t="array" ref="F1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" t="str" cm="1">
        <f t="array" ref="G1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" s="4"/>
      <c r="I179" s="3" t="str" cm="1">
        <f t="array" ref="I1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" spans="1:9" x14ac:dyDescent="0.3">
      <c r="A180" s="3" t="str">
        <f>IF(SISTEMA!A174="","",SISTEMA!A174)</f>
        <v/>
      </c>
      <c r="B180" s="10" t="str">
        <f>IF(SISTEMA!B174="","",VALUE(SISTEMA!B174))</f>
        <v/>
      </c>
      <c r="C180" s="10" t="str">
        <f>IF(SISTEMA!C174="","",SISTEMA!C174)</f>
        <v/>
      </c>
      <c r="D180" s="5" t="str" cm="1">
        <f t="array" ref="D1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" s="5" t="str" cm="1">
        <f t="array" ref="E1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" s="5" t="str" cm="1">
        <f t="array" ref="F1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" t="str" cm="1">
        <f t="array" ref="G1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" s="4"/>
      <c r="I180" s="3" t="str" cm="1">
        <f t="array" ref="I1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" spans="1:9" x14ac:dyDescent="0.3">
      <c r="A181" s="3" t="str">
        <f>IF(SISTEMA!A175="","",SISTEMA!A175)</f>
        <v/>
      </c>
      <c r="B181" s="10" t="str">
        <f>IF(SISTEMA!B175="","",VALUE(SISTEMA!B175))</f>
        <v/>
      </c>
      <c r="C181" s="10" t="str">
        <f>IF(SISTEMA!C175="","",SISTEMA!C175)</f>
        <v/>
      </c>
      <c r="D181" s="5" t="str" cm="1">
        <f t="array" ref="D1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" s="5" t="str" cm="1">
        <f t="array" ref="E1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" s="5" t="str" cm="1">
        <f t="array" ref="F1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" t="str" cm="1">
        <f t="array" ref="G1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" s="4"/>
      <c r="I181" s="3" t="str" cm="1">
        <f t="array" ref="I1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" spans="1:9" x14ac:dyDescent="0.3">
      <c r="A182" s="3" t="str">
        <f>IF(SISTEMA!A176="","",SISTEMA!A176)</f>
        <v/>
      </c>
      <c r="B182" s="10" t="str">
        <f>IF(SISTEMA!B176="","",VALUE(SISTEMA!B176))</f>
        <v/>
      </c>
      <c r="C182" s="10" t="str">
        <f>IF(SISTEMA!C176="","",SISTEMA!C176)</f>
        <v/>
      </c>
      <c r="D182" s="5" t="str" cm="1">
        <f t="array" ref="D1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" s="5" t="str" cm="1">
        <f t="array" ref="E1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" s="5" t="str" cm="1">
        <f t="array" ref="F1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" t="str" cm="1">
        <f t="array" ref="G1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" s="4"/>
      <c r="I182" s="3" t="str" cm="1">
        <f t="array" ref="I1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" spans="1:9" x14ac:dyDescent="0.3">
      <c r="A183" s="3" t="str">
        <f>IF(SISTEMA!A177="","",SISTEMA!A177)</f>
        <v/>
      </c>
      <c r="B183" s="10" t="str">
        <f>IF(SISTEMA!B177="","",VALUE(SISTEMA!B177))</f>
        <v/>
      </c>
      <c r="C183" s="10" t="str">
        <f>IF(SISTEMA!C177="","",SISTEMA!C177)</f>
        <v/>
      </c>
      <c r="D183" s="5" t="str" cm="1">
        <f t="array" ref="D1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" s="5" t="str" cm="1">
        <f t="array" ref="E1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" s="5" t="str" cm="1">
        <f t="array" ref="F1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" t="str" cm="1">
        <f t="array" ref="G1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" s="4"/>
      <c r="I183" s="3" t="str" cm="1">
        <f t="array" ref="I1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" spans="1:9" x14ac:dyDescent="0.3">
      <c r="A184" s="3" t="str">
        <f>IF(SISTEMA!A178="","",SISTEMA!A178)</f>
        <v/>
      </c>
      <c r="B184" s="10" t="str">
        <f>IF(SISTEMA!B178="","",VALUE(SISTEMA!B178))</f>
        <v/>
      </c>
      <c r="C184" s="10" t="str">
        <f>IF(SISTEMA!C178="","",SISTEMA!C178)</f>
        <v/>
      </c>
      <c r="D184" s="5" t="str" cm="1">
        <f t="array" ref="D1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" s="5" t="str" cm="1">
        <f t="array" ref="E1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" s="5" t="str" cm="1">
        <f t="array" ref="F1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" t="str" cm="1">
        <f t="array" ref="G1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" s="4"/>
      <c r="I184" s="3" t="str" cm="1">
        <f t="array" ref="I1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" spans="1:9" x14ac:dyDescent="0.3">
      <c r="A185" s="3" t="str">
        <f>IF(SISTEMA!A179="","",SISTEMA!A179)</f>
        <v/>
      </c>
      <c r="B185" s="10" t="str">
        <f>IF(SISTEMA!B179="","",VALUE(SISTEMA!B179))</f>
        <v/>
      </c>
      <c r="C185" s="10" t="str">
        <f>IF(SISTEMA!C179="","",SISTEMA!C179)</f>
        <v/>
      </c>
      <c r="D185" s="5" t="str" cm="1">
        <f t="array" ref="D1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" s="5" t="str" cm="1">
        <f t="array" ref="E1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" s="5" t="str" cm="1">
        <f t="array" ref="F1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" t="str" cm="1">
        <f t="array" ref="G1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" s="4"/>
      <c r="I185" s="3" t="str" cm="1">
        <f t="array" ref="I1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" spans="1:9" x14ac:dyDescent="0.3">
      <c r="A186" s="3" t="str">
        <f>IF(SISTEMA!A180="","",SISTEMA!A180)</f>
        <v/>
      </c>
      <c r="B186" s="10" t="str">
        <f>IF(SISTEMA!B180="","",VALUE(SISTEMA!B180))</f>
        <v/>
      </c>
      <c r="C186" s="10" t="str">
        <f>IF(SISTEMA!C180="","",SISTEMA!C180)</f>
        <v/>
      </c>
      <c r="D186" s="5" t="str" cm="1">
        <f t="array" ref="D1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" s="5" t="str" cm="1">
        <f t="array" ref="E1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" s="5" t="str" cm="1">
        <f t="array" ref="F1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" t="str" cm="1">
        <f t="array" ref="G1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" s="4"/>
      <c r="I186" s="3" t="str" cm="1">
        <f t="array" ref="I1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" spans="1:9" x14ac:dyDescent="0.3">
      <c r="A187" s="3" t="str">
        <f>IF(SISTEMA!A181="","",SISTEMA!A181)</f>
        <v/>
      </c>
      <c r="B187" s="10" t="str">
        <f>IF(SISTEMA!B181="","",VALUE(SISTEMA!B181))</f>
        <v/>
      </c>
      <c r="C187" s="10" t="str">
        <f>IF(SISTEMA!C181="","",SISTEMA!C181)</f>
        <v/>
      </c>
      <c r="D187" s="5" t="str" cm="1">
        <f t="array" ref="D1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" s="5" t="str" cm="1">
        <f t="array" ref="E1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" s="5" t="str" cm="1">
        <f t="array" ref="F1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" t="str" cm="1">
        <f t="array" ref="G1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" s="4"/>
      <c r="I187" s="3" t="str" cm="1">
        <f t="array" ref="I1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" spans="1:9" x14ac:dyDescent="0.3">
      <c r="A188" s="3" t="str">
        <f>IF(SISTEMA!A182="","",SISTEMA!A182)</f>
        <v/>
      </c>
      <c r="B188" s="10" t="str">
        <f>IF(SISTEMA!B182="","",VALUE(SISTEMA!B182))</f>
        <v/>
      </c>
      <c r="C188" s="10" t="str">
        <f>IF(SISTEMA!C182="","",SISTEMA!C182)</f>
        <v/>
      </c>
      <c r="D188" s="5" t="str" cm="1">
        <f t="array" ref="D1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" s="5" t="str" cm="1">
        <f t="array" ref="E1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" s="5" t="str" cm="1">
        <f t="array" ref="F1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" t="str" cm="1">
        <f t="array" ref="G1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" s="4"/>
      <c r="I188" s="3" t="str" cm="1">
        <f t="array" ref="I1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" spans="1:9" x14ac:dyDescent="0.3">
      <c r="A189" s="3" t="str">
        <f>IF(SISTEMA!A183="","",SISTEMA!A183)</f>
        <v/>
      </c>
      <c r="B189" s="10" t="str">
        <f>IF(SISTEMA!B183="","",VALUE(SISTEMA!B183))</f>
        <v/>
      </c>
      <c r="C189" s="10" t="str">
        <f>IF(SISTEMA!C183="","",SISTEMA!C183)</f>
        <v/>
      </c>
      <c r="D189" s="5" t="str" cm="1">
        <f t="array" ref="D1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" s="5" t="str" cm="1">
        <f t="array" ref="E1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" s="5" t="str" cm="1">
        <f t="array" ref="F1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" t="str" cm="1">
        <f t="array" ref="G1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" s="4"/>
      <c r="I189" s="3" t="str" cm="1">
        <f t="array" ref="I1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" spans="1:9" x14ac:dyDescent="0.3">
      <c r="A190" s="3" t="str">
        <f>IF(SISTEMA!A184="","",SISTEMA!A184)</f>
        <v/>
      </c>
      <c r="B190" s="10" t="str">
        <f>IF(SISTEMA!B184="","",VALUE(SISTEMA!B184))</f>
        <v/>
      </c>
      <c r="C190" s="10" t="str">
        <f>IF(SISTEMA!C184="","",SISTEMA!C184)</f>
        <v/>
      </c>
      <c r="D190" s="5" t="str" cm="1">
        <f t="array" ref="D1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" s="5" t="str" cm="1">
        <f t="array" ref="E1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" s="5" t="str" cm="1">
        <f t="array" ref="F1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" t="str" cm="1">
        <f t="array" ref="G1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" s="4"/>
      <c r="I190" s="3" t="str" cm="1">
        <f t="array" ref="I1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" spans="1:9" x14ac:dyDescent="0.3">
      <c r="A191" s="3" t="str">
        <f>IF(SISTEMA!A185="","",SISTEMA!A185)</f>
        <v/>
      </c>
      <c r="B191" s="10" t="str">
        <f>IF(SISTEMA!B185="","",VALUE(SISTEMA!B185))</f>
        <v/>
      </c>
      <c r="C191" s="10" t="str">
        <f>IF(SISTEMA!C185="","",SISTEMA!C185)</f>
        <v/>
      </c>
      <c r="D191" s="5" t="str" cm="1">
        <f t="array" ref="D1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" s="5" t="str" cm="1">
        <f t="array" ref="E1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" s="5" t="str" cm="1">
        <f t="array" ref="F1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" t="str" cm="1">
        <f t="array" ref="G1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" s="4"/>
      <c r="I191" s="3" t="str" cm="1">
        <f t="array" ref="I1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" spans="1:9" x14ac:dyDescent="0.3">
      <c r="A192" s="3" t="str">
        <f>IF(SISTEMA!A186="","",SISTEMA!A186)</f>
        <v/>
      </c>
      <c r="B192" s="10" t="str">
        <f>IF(SISTEMA!B186="","",VALUE(SISTEMA!B186))</f>
        <v/>
      </c>
      <c r="C192" s="10" t="str">
        <f>IF(SISTEMA!C186="","",SISTEMA!C186)</f>
        <v/>
      </c>
      <c r="D192" s="5" t="str" cm="1">
        <f t="array" ref="D1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" s="5" t="str" cm="1">
        <f t="array" ref="E1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" s="5" t="str" cm="1">
        <f t="array" ref="F1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" t="str" cm="1">
        <f t="array" ref="G1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" s="4"/>
      <c r="I192" s="3" t="str" cm="1">
        <f t="array" ref="I1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" spans="1:9" x14ac:dyDescent="0.3">
      <c r="A193" s="3" t="str">
        <f>IF(SISTEMA!A187="","",SISTEMA!A187)</f>
        <v/>
      </c>
      <c r="B193" s="10" t="str">
        <f>IF(SISTEMA!B187="","",VALUE(SISTEMA!B187))</f>
        <v/>
      </c>
      <c r="C193" s="10" t="str">
        <f>IF(SISTEMA!C187="","",SISTEMA!C187)</f>
        <v/>
      </c>
      <c r="D193" s="5" t="str" cm="1">
        <f t="array" ref="D1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" s="5" t="str" cm="1">
        <f t="array" ref="E1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" s="5" t="str" cm="1">
        <f t="array" ref="F1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" t="str" cm="1">
        <f t="array" ref="G1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" s="4"/>
      <c r="I193" s="3" t="str" cm="1">
        <f t="array" ref="I1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" spans="1:9" x14ac:dyDescent="0.3">
      <c r="A194" s="3" t="str">
        <f>IF(SISTEMA!A188="","",SISTEMA!A188)</f>
        <v/>
      </c>
      <c r="B194" s="10" t="str">
        <f>IF(SISTEMA!B188="","",VALUE(SISTEMA!B188))</f>
        <v/>
      </c>
      <c r="C194" s="10" t="str">
        <f>IF(SISTEMA!C188="","",SISTEMA!C188)</f>
        <v/>
      </c>
      <c r="D194" s="5" t="str" cm="1">
        <f t="array" ref="D1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" s="5" t="str" cm="1">
        <f t="array" ref="E1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" s="5" t="str" cm="1">
        <f t="array" ref="F1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" t="str" cm="1">
        <f t="array" ref="G1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" s="4"/>
      <c r="I194" s="3" t="str" cm="1">
        <f t="array" ref="I1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" spans="1:9" x14ac:dyDescent="0.3">
      <c r="A195" s="3" t="str">
        <f>IF(SISTEMA!A189="","",SISTEMA!A189)</f>
        <v/>
      </c>
      <c r="B195" s="10" t="str">
        <f>IF(SISTEMA!B189="","",VALUE(SISTEMA!B189))</f>
        <v/>
      </c>
      <c r="C195" s="10" t="str">
        <f>IF(SISTEMA!C189="","",SISTEMA!C189)</f>
        <v/>
      </c>
      <c r="D195" s="5" t="str" cm="1">
        <f t="array" ref="D1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" s="5" t="str" cm="1">
        <f t="array" ref="E1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" s="5" t="str" cm="1">
        <f t="array" ref="F1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" t="str" cm="1">
        <f t="array" ref="G1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" s="4"/>
      <c r="I195" s="3" t="str" cm="1">
        <f t="array" ref="I1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" spans="1:9" x14ac:dyDescent="0.3">
      <c r="A196" s="3" t="str">
        <f>IF(SISTEMA!A190="","",SISTEMA!A190)</f>
        <v/>
      </c>
      <c r="B196" s="10" t="str">
        <f>IF(SISTEMA!B190="","",VALUE(SISTEMA!B190))</f>
        <v/>
      </c>
      <c r="C196" s="10" t="str">
        <f>IF(SISTEMA!C190="","",SISTEMA!C190)</f>
        <v/>
      </c>
      <c r="D196" s="5" t="str" cm="1">
        <f t="array" ref="D1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" s="5" t="str" cm="1">
        <f t="array" ref="E1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" s="5" t="str" cm="1">
        <f t="array" ref="F1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" t="str" cm="1">
        <f t="array" ref="G1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" s="4"/>
      <c r="I196" s="3" t="str" cm="1">
        <f t="array" ref="I1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" spans="1:9" x14ac:dyDescent="0.3">
      <c r="A197" s="3" t="str">
        <f>IF(SISTEMA!A191="","",SISTEMA!A191)</f>
        <v/>
      </c>
      <c r="B197" s="10" t="str">
        <f>IF(SISTEMA!B191="","",VALUE(SISTEMA!B191))</f>
        <v/>
      </c>
      <c r="C197" s="10" t="str">
        <f>IF(SISTEMA!C191="","",SISTEMA!C191)</f>
        <v/>
      </c>
      <c r="D197" s="5" t="str" cm="1">
        <f t="array" ref="D1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" s="5" t="str" cm="1">
        <f t="array" ref="E1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" s="5" t="str" cm="1">
        <f t="array" ref="F1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" t="str" cm="1">
        <f t="array" ref="G1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" s="4"/>
      <c r="I197" s="3" t="str" cm="1">
        <f t="array" ref="I1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" spans="1:9" x14ac:dyDescent="0.3">
      <c r="A198" s="3" t="str">
        <f>IF(SISTEMA!A192="","",SISTEMA!A192)</f>
        <v/>
      </c>
      <c r="B198" s="10" t="str">
        <f>IF(SISTEMA!B192="","",VALUE(SISTEMA!B192))</f>
        <v/>
      </c>
      <c r="C198" s="10" t="str">
        <f>IF(SISTEMA!C192="","",SISTEMA!C192)</f>
        <v/>
      </c>
      <c r="D198" s="5" t="str" cm="1">
        <f t="array" ref="D1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" s="5" t="str" cm="1">
        <f t="array" ref="E1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" s="5" t="str" cm="1">
        <f t="array" ref="F1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" t="str" cm="1">
        <f t="array" ref="G1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" s="4"/>
      <c r="I198" s="3" t="str" cm="1">
        <f t="array" ref="I1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" spans="1:9" x14ac:dyDescent="0.3">
      <c r="A199" s="3" t="str">
        <f>IF(SISTEMA!A193="","",SISTEMA!A193)</f>
        <v/>
      </c>
      <c r="B199" s="10" t="str">
        <f>IF(SISTEMA!B193="","",VALUE(SISTEMA!B193))</f>
        <v/>
      </c>
      <c r="C199" s="10" t="str">
        <f>IF(SISTEMA!C193="","",SISTEMA!C193)</f>
        <v/>
      </c>
      <c r="D199" s="5" t="str" cm="1">
        <f t="array" ref="D1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" s="5" t="str" cm="1">
        <f t="array" ref="E1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" s="5" t="str" cm="1">
        <f t="array" ref="F1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" t="str" cm="1">
        <f t="array" ref="G1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" s="4"/>
      <c r="I199" s="3" t="str" cm="1">
        <f t="array" ref="I1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" spans="1:9" x14ac:dyDescent="0.3">
      <c r="A200" s="3" t="str">
        <f>IF(SISTEMA!A194="","",SISTEMA!A194)</f>
        <v/>
      </c>
      <c r="B200" s="10" t="str">
        <f>IF(SISTEMA!B194="","",VALUE(SISTEMA!B194))</f>
        <v/>
      </c>
      <c r="C200" s="10" t="str">
        <f>IF(SISTEMA!C194="","",SISTEMA!C194)</f>
        <v/>
      </c>
      <c r="D200" s="5" t="str" cm="1">
        <f t="array" ref="D2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" s="5" t="str" cm="1">
        <f t="array" ref="E2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" s="5" t="str" cm="1">
        <f t="array" ref="F2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" t="str" cm="1">
        <f t="array" ref="G2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" s="4"/>
      <c r="I200" s="3" t="str" cm="1">
        <f t="array" ref="I2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" spans="1:9" x14ac:dyDescent="0.3">
      <c r="A201" s="3" t="str">
        <f>IF(SISTEMA!A195="","",SISTEMA!A195)</f>
        <v/>
      </c>
      <c r="B201" s="10" t="str">
        <f>IF(SISTEMA!B195="","",VALUE(SISTEMA!B195))</f>
        <v/>
      </c>
      <c r="C201" s="10" t="str">
        <f>IF(SISTEMA!C195="","",SISTEMA!C195)</f>
        <v/>
      </c>
      <c r="D201" s="5" t="str" cm="1">
        <f t="array" ref="D2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" s="5" t="str" cm="1">
        <f t="array" ref="E2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" s="5" t="str" cm="1">
        <f t="array" ref="F2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" t="str" cm="1">
        <f t="array" ref="G2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" s="4"/>
      <c r="I201" s="3" t="str" cm="1">
        <f t="array" ref="I2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" spans="1:9" x14ac:dyDescent="0.3">
      <c r="A202" s="3" t="str">
        <f>IF(SISTEMA!A196="","",SISTEMA!A196)</f>
        <v/>
      </c>
      <c r="B202" s="10" t="str">
        <f>IF(SISTEMA!B196="","",VALUE(SISTEMA!B196))</f>
        <v/>
      </c>
      <c r="C202" s="10" t="str">
        <f>IF(SISTEMA!C196="","",SISTEMA!C196)</f>
        <v/>
      </c>
      <c r="D202" s="5" t="str" cm="1">
        <f t="array" ref="D2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" s="5" t="str" cm="1">
        <f t="array" ref="E2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" s="5" t="str" cm="1">
        <f t="array" ref="F2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" t="str" cm="1">
        <f t="array" ref="G2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" s="4"/>
      <c r="I202" s="3" t="str" cm="1">
        <f t="array" ref="I2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" spans="1:9" x14ac:dyDescent="0.3">
      <c r="A203" s="3" t="str">
        <f>IF(SISTEMA!A197="","",SISTEMA!A197)</f>
        <v/>
      </c>
      <c r="B203" s="10" t="str">
        <f>IF(SISTEMA!B197="","",VALUE(SISTEMA!B197))</f>
        <v/>
      </c>
      <c r="C203" s="10" t="str">
        <f>IF(SISTEMA!C197="","",SISTEMA!C197)</f>
        <v/>
      </c>
      <c r="D203" s="5" t="str" cm="1">
        <f t="array" ref="D2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" s="5" t="str" cm="1">
        <f t="array" ref="E2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" s="5" t="str" cm="1">
        <f t="array" ref="F2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" t="str" cm="1">
        <f t="array" ref="G2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" s="4"/>
      <c r="I203" s="3" t="str" cm="1">
        <f t="array" ref="I2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" spans="1:9" x14ac:dyDescent="0.3">
      <c r="A204" s="3" t="str">
        <f>IF(SISTEMA!A198="","",SISTEMA!A198)</f>
        <v/>
      </c>
      <c r="B204" s="10" t="str">
        <f>IF(SISTEMA!B198="","",VALUE(SISTEMA!B198))</f>
        <v/>
      </c>
      <c r="C204" s="10" t="str">
        <f>IF(SISTEMA!C198="","",SISTEMA!C198)</f>
        <v/>
      </c>
      <c r="D204" s="5" t="str" cm="1">
        <f t="array" ref="D2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" s="5" t="str" cm="1">
        <f t="array" ref="E2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" s="5" t="str" cm="1">
        <f t="array" ref="F2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" t="str" cm="1">
        <f t="array" ref="G2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" s="4"/>
      <c r="I204" s="3" t="str" cm="1">
        <f t="array" ref="I2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" spans="1:9" x14ac:dyDescent="0.3">
      <c r="A205" s="3" t="str">
        <f>IF(SISTEMA!A199="","",SISTEMA!A199)</f>
        <v/>
      </c>
      <c r="B205" s="10" t="str">
        <f>IF(SISTEMA!B199="","",VALUE(SISTEMA!B199))</f>
        <v/>
      </c>
      <c r="C205" s="10" t="str">
        <f>IF(SISTEMA!C199="","",SISTEMA!C199)</f>
        <v/>
      </c>
      <c r="D205" s="5" t="str" cm="1">
        <f t="array" ref="D2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" s="5" t="str" cm="1">
        <f t="array" ref="E2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" s="5" t="str" cm="1">
        <f t="array" ref="F2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" t="str" cm="1">
        <f t="array" ref="G2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" s="4"/>
      <c r="I205" s="3" t="str" cm="1">
        <f t="array" ref="I2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" spans="1:9" x14ac:dyDescent="0.3">
      <c r="A206" s="3" t="str">
        <f>IF(SISTEMA!A200="","",SISTEMA!A200)</f>
        <v/>
      </c>
      <c r="B206" s="10" t="str">
        <f>IF(SISTEMA!B200="","",VALUE(SISTEMA!B200))</f>
        <v/>
      </c>
      <c r="C206" s="10" t="str">
        <f>IF(SISTEMA!C200="","",SISTEMA!C200)</f>
        <v/>
      </c>
      <c r="D206" s="5" t="str" cm="1">
        <f t="array" ref="D2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" s="5" t="str" cm="1">
        <f t="array" ref="E2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" s="5" t="str" cm="1">
        <f t="array" ref="F2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" t="str" cm="1">
        <f t="array" ref="G2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" s="4"/>
      <c r="I206" s="3" t="str" cm="1">
        <f t="array" ref="I2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" spans="1:9" x14ac:dyDescent="0.3">
      <c r="A207" s="3" t="str">
        <f>IF(SISTEMA!A201="","",SISTEMA!A201)</f>
        <v/>
      </c>
      <c r="B207" s="10" t="str">
        <f>IF(SISTEMA!B201="","",VALUE(SISTEMA!B201))</f>
        <v/>
      </c>
      <c r="C207" s="10" t="str">
        <f>IF(SISTEMA!C201="","",SISTEMA!C201)</f>
        <v/>
      </c>
      <c r="D207" s="5" t="str" cm="1">
        <f t="array" ref="D2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" s="5" t="str" cm="1">
        <f t="array" ref="E2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" s="5" t="str" cm="1">
        <f t="array" ref="F2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" t="str" cm="1">
        <f t="array" ref="G2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" s="4"/>
      <c r="I207" s="3" t="str" cm="1">
        <f t="array" ref="I2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" spans="1:9" x14ac:dyDescent="0.3">
      <c r="A208" s="3" t="str">
        <f>IF(SISTEMA!A202="","",SISTEMA!A202)</f>
        <v/>
      </c>
      <c r="B208" s="10" t="str">
        <f>IF(SISTEMA!B202="","",VALUE(SISTEMA!B202))</f>
        <v/>
      </c>
      <c r="C208" s="10" t="str">
        <f>IF(SISTEMA!C202="","",SISTEMA!C202)</f>
        <v/>
      </c>
      <c r="D208" s="5" t="str" cm="1">
        <f t="array" ref="D2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" s="5" t="str" cm="1">
        <f t="array" ref="E2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" s="5" t="str" cm="1">
        <f t="array" ref="F2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" t="str" cm="1">
        <f t="array" ref="G2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" s="4"/>
      <c r="I208" s="3" t="str" cm="1">
        <f t="array" ref="I2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" spans="1:9" x14ac:dyDescent="0.3">
      <c r="A209" s="3" t="str">
        <f>IF(SISTEMA!A203="","",SISTEMA!A203)</f>
        <v/>
      </c>
      <c r="B209" s="10" t="str">
        <f>IF(SISTEMA!B203="","",VALUE(SISTEMA!B203))</f>
        <v/>
      </c>
      <c r="C209" s="10" t="str">
        <f>IF(SISTEMA!C203="","",SISTEMA!C203)</f>
        <v/>
      </c>
      <c r="D209" s="5" t="str" cm="1">
        <f t="array" ref="D2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" s="5" t="str" cm="1">
        <f t="array" ref="E2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" s="5" t="str" cm="1">
        <f t="array" ref="F2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" t="str" cm="1">
        <f t="array" ref="G2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" s="4"/>
      <c r="I209" s="3" t="str" cm="1">
        <f t="array" ref="I2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" spans="1:9" x14ac:dyDescent="0.3">
      <c r="A210" s="3" t="str">
        <f>IF(SISTEMA!A204="","",SISTEMA!A204)</f>
        <v/>
      </c>
      <c r="B210" s="10" t="str">
        <f>IF(SISTEMA!B204="","",VALUE(SISTEMA!B204))</f>
        <v/>
      </c>
      <c r="C210" s="10" t="str">
        <f>IF(SISTEMA!C204="","",SISTEMA!C204)</f>
        <v/>
      </c>
      <c r="D210" s="5" t="str" cm="1">
        <f t="array" ref="D2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" s="5" t="str" cm="1">
        <f t="array" ref="E2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" s="5" t="str" cm="1">
        <f t="array" ref="F2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" t="str" cm="1">
        <f t="array" ref="G2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" s="4"/>
      <c r="I210" s="3" t="str" cm="1">
        <f t="array" ref="I2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" spans="1:9" x14ac:dyDescent="0.3">
      <c r="A211" s="3" t="str">
        <f>IF(SISTEMA!A205="","",SISTEMA!A205)</f>
        <v/>
      </c>
      <c r="B211" s="10" t="str">
        <f>IF(SISTEMA!B205="","",VALUE(SISTEMA!B205))</f>
        <v/>
      </c>
      <c r="C211" s="10" t="str">
        <f>IF(SISTEMA!C205="","",SISTEMA!C205)</f>
        <v/>
      </c>
      <c r="D211" s="5" t="str" cm="1">
        <f t="array" ref="D2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" s="5" t="str" cm="1">
        <f t="array" ref="E2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" s="5" t="str" cm="1">
        <f t="array" ref="F2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" t="str" cm="1">
        <f t="array" ref="G2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" s="4"/>
      <c r="I211" s="3" t="str" cm="1">
        <f t="array" ref="I2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" spans="1:9" x14ac:dyDescent="0.3">
      <c r="A212" s="3" t="str">
        <f>IF(SISTEMA!A206="","",SISTEMA!A206)</f>
        <v/>
      </c>
      <c r="B212" s="10" t="str">
        <f>IF(SISTEMA!B206="","",VALUE(SISTEMA!B206))</f>
        <v/>
      </c>
      <c r="C212" s="10" t="str">
        <f>IF(SISTEMA!C206="","",SISTEMA!C206)</f>
        <v/>
      </c>
      <c r="D212" s="5" t="str" cm="1">
        <f t="array" ref="D2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" s="5" t="str" cm="1">
        <f t="array" ref="E2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" s="5" t="str" cm="1">
        <f t="array" ref="F2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" t="str" cm="1">
        <f t="array" ref="G2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" s="4"/>
      <c r="I212" s="3" t="str" cm="1">
        <f t="array" ref="I2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" spans="1:9" x14ac:dyDescent="0.3">
      <c r="A213" s="3" t="str">
        <f>IF(SISTEMA!A207="","",SISTEMA!A207)</f>
        <v/>
      </c>
      <c r="B213" s="10" t="str">
        <f>IF(SISTEMA!B207="","",VALUE(SISTEMA!B207))</f>
        <v/>
      </c>
      <c r="C213" s="10" t="str">
        <f>IF(SISTEMA!C207="","",SISTEMA!C207)</f>
        <v/>
      </c>
      <c r="D213" s="5" t="str" cm="1">
        <f t="array" ref="D2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" s="5" t="str" cm="1">
        <f t="array" ref="E2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" s="5" t="str" cm="1">
        <f t="array" ref="F2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" t="str" cm="1">
        <f t="array" ref="G2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" s="4"/>
      <c r="I213" s="3" t="str" cm="1">
        <f t="array" ref="I2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" spans="1:9" x14ac:dyDescent="0.3">
      <c r="A214" s="3" t="str">
        <f>IF(SISTEMA!A208="","",SISTEMA!A208)</f>
        <v/>
      </c>
      <c r="B214" s="10" t="str">
        <f>IF(SISTEMA!B208="","",VALUE(SISTEMA!B208))</f>
        <v/>
      </c>
      <c r="C214" s="10" t="str">
        <f>IF(SISTEMA!C208="","",SISTEMA!C208)</f>
        <v/>
      </c>
      <c r="D214" s="5" t="str" cm="1">
        <f t="array" ref="D2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" s="5" t="str" cm="1">
        <f t="array" ref="E2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" s="5" t="str" cm="1">
        <f t="array" ref="F2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" t="str" cm="1">
        <f t="array" ref="G2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" s="4"/>
      <c r="I214" s="3" t="str" cm="1">
        <f t="array" ref="I2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" spans="1:9" x14ac:dyDescent="0.3">
      <c r="A215" s="3" t="str">
        <f>IF(SISTEMA!A209="","",SISTEMA!A209)</f>
        <v/>
      </c>
      <c r="B215" s="10" t="str">
        <f>IF(SISTEMA!B209="","",VALUE(SISTEMA!B209))</f>
        <v/>
      </c>
      <c r="C215" s="10" t="str">
        <f>IF(SISTEMA!C209="","",SISTEMA!C209)</f>
        <v/>
      </c>
      <c r="D215" s="5" t="str" cm="1">
        <f t="array" ref="D2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" s="5" t="str" cm="1">
        <f t="array" ref="E2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" s="5" t="str" cm="1">
        <f t="array" ref="F2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" t="str" cm="1">
        <f t="array" ref="G2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" s="4"/>
      <c r="I215" s="3" t="str" cm="1">
        <f t="array" ref="I2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" spans="1:9" x14ac:dyDescent="0.3">
      <c r="A216" s="3" t="str">
        <f>IF(SISTEMA!A210="","",SISTEMA!A210)</f>
        <v/>
      </c>
      <c r="B216" s="10" t="str">
        <f>IF(SISTEMA!B210="","",VALUE(SISTEMA!B210))</f>
        <v/>
      </c>
      <c r="C216" s="10" t="str">
        <f>IF(SISTEMA!C210="","",SISTEMA!C210)</f>
        <v/>
      </c>
      <c r="D216" s="5" t="str" cm="1">
        <f t="array" ref="D2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" s="5" t="str" cm="1">
        <f t="array" ref="E2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" s="5" t="str" cm="1">
        <f t="array" ref="F2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" t="str" cm="1">
        <f t="array" ref="G2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" s="4"/>
      <c r="I216" s="3" t="str" cm="1">
        <f t="array" ref="I2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" spans="1:9" x14ac:dyDescent="0.3">
      <c r="A217" s="3" t="str">
        <f>IF(SISTEMA!A211="","",SISTEMA!A211)</f>
        <v/>
      </c>
      <c r="B217" s="10" t="str">
        <f>IF(SISTEMA!B211="","",VALUE(SISTEMA!B211))</f>
        <v/>
      </c>
      <c r="C217" s="10" t="str">
        <f>IF(SISTEMA!C211="","",SISTEMA!C211)</f>
        <v/>
      </c>
      <c r="D217" s="5" t="str" cm="1">
        <f t="array" ref="D2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" s="5" t="str" cm="1">
        <f t="array" ref="E2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" s="5" t="str" cm="1">
        <f t="array" ref="F2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" t="str" cm="1">
        <f t="array" ref="G2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" s="4"/>
      <c r="I217" s="3" t="str" cm="1">
        <f t="array" ref="I2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" spans="1:9" x14ac:dyDescent="0.3">
      <c r="A218" s="3" t="str">
        <f>IF(SISTEMA!A212="","",SISTEMA!A212)</f>
        <v/>
      </c>
      <c r="B218" s="10" t="str">
        <f>IF(SISTEMA!B212="","",VALUE(SISTEMA!B212))</f>
        <v/>
      </c>
      <c r="C218" s="10" t="str">
        <f>IF(SISTEMA!C212="","",SISTEMA!C212)</f>
        <v/>
      </c>
      <c r="D218" s="5" t="str" cm="1">
        <f t="array" ref="D2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" s="5" t="str" cm="1">
        <f t="array" ref="E2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" s="5" t="str" cm="1">
        <f t="array" ref="F2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" t="str" cm="1">
        <f t="array" ref="G2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" s="4"/>
      <c r="I218" s="3" t="str" cm="1">
        <f t="array" ref="I2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" spans="1:9" x14ac:dyDescent="0.3">
      <c r="A219" s="3" t="str">
        <f>IF(SISTEMA!A213="","",SISTEMA!A213)</f>
        <v/>
      </c>
      <c r="B219" s="10" t="str">
        <f>IF(SISTEMA!B213="","",VALUE(SISTEMA!B213))</f>
        <v/>
      </c>
      <c r="C219" s="10" t="str">
        <f>IF(SISTEMA!C213="","",SISTEMA!C213)</f>
        <v/>
      </c>
      <c r="D219" s="5" t="str" cm="1">
        <f t="array" ref="D2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" s="5" t="str" cm="1">
        <f t="array" ref="E2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" s="5" t="str" cm="1">
        <f t="array" ref="F2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" t="str" cm="1">
        <f t="array" ref="G2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" s="4"/>
      <c r="I219" s="3" t="str" cm="1">
        <f t="array" ref="I2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" spans="1:9" x14ac:dyDescent="0.3">
      <c r="A220" s="3" t="str">
        <f>IF(SISTEMA!A214="","",SISTEMA!A214)</f>
        <v/>
      </c>
      <c r="B220" s="10" t="str">
        <f>IF(SISTEMA!B214="","",VALUE(SISTEMA!B214))</f>
        <v/>
      </c>
      <c r="C220" s="10" t="str">
        <f>IF(SISTEMA!C214="","",SISTEMA!C214)</f>
        <v/>
      </c>
      <c r="D220" s="5" t="str" cm="1">
        <f t="array" ref="D2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" s="5" t="str" cm="1">
        <f t="array" ref="E2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" s="5" t="str" cm="1">
        <f t="array" ref="F2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" t="str" cm="1">
        <f t="array" ref="G2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" s="4"/>
      <c r="I220" s="3" t="str" cm="1">
        <f t="array" ref="I2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" spans="1:9" x14ac:dyDescent="0.3">
      <c r="A221" s="3" t="str">
        <f>IF(SISTEMA!A215="","",SISTEMA!A215)</f>
        <v/>
      </c>
      <c r="B221" s="10" t="str">
        <f>IF(SISTEMA!B215="","",VALUE(SISTEMA!B215))</f>
        <v/>
      </c>
      <c r="C221" s="10" t="str">
        <f>IF(SISTEMA!C215="","",SISTEMA!C215)</f>
        <v/>
      </c>
      <c r="D221" s="5" t="str" cm="1">
        <f t="array" ref="D2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" s="5" t="str" cm="1">
        <f t="array" ref="E2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" s="5" t="str" cm="1">
        <f t="array" ref="F2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" t="str" cm="1">
        <f t="array" ref="G2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" s="4"/>
      <c r="I221" s="3" t="str" cm="1">
        <f t="array" ref="I2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" spans="1:9" x14ac:dyDescent="0.3">
      <c r="A222" s="3" t="str">
        <f>IF(SISTEMA!A216="","",SISTEMA!A216)</f>
        <v/>
      </c>
      <c r="B222" s="10" t="str">
        <f>IF(SISTEMA!B216="","",VALUE(SISTEMA!B216))</f>
        <v/>
      </c>
      <c r="C222" s="10" t="str">
        <f>IF(SISTEMA!C216="","",SISTEMA!C216)</f>
        <v/>
      </c>
      <c r="D222" s="5" t="str" cm="1">
        <f t="array" ref="D2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" s="5" t="str" cm="1">
        <f t="array" ref="E2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" s="5" t="str" cm="1">
        <f t="array" ref="F2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" t="str" cm="1">
        <f t="array" ref="G2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" s="4"/>
      <c r="I222" s="3" t="str" cm="1">
        <f t="array" ref="I2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" spans="1:9" x14ac:dyDescent="0.3">
      <c r="A223" s="3" t="str">
        <f>IF(SISTEMA!A217="","",SISTEMA!A217)</f>
        <v/>
      </c>
      <c r="B223" s="10" t="str">
        <f>IF(SISTEMA!B217="","",VALUE(SISTEMA!B217))</f>
        <v/>
      </c>
      <c r="C223" s="10" t="str">
        <f>IF(SISTEMA!C217="","",SISTEMA!C217)</f>
        <v/>
      </c>
      <c r="D223" s="5" t="str" cm="1">
        <f t="array" ref="D2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" s="5" t="str" cm="1">
        <f t="array" ref="E2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" s="5" t="str" cm="1">
        <f t="array" ref="F2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" t="str" cm="1">
        <f t="array" ref="G2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" s="4"/>
      <c r="I223" s="3" t="str" cm="1">
        <f t="array" ref="I2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" spans="1:9" x14ac:dyDescent="0.3">
      <c r="A224" s="3" t="str">
        <f>IF(SISTEMA!A218="","",SISTEMA!A218)</f>
        <v/>
      </c>
      <c r="B224" s="10" t="str">
        <f>IF(SISTEMA!B218="","",VALUE(SISTEMA!B218))</f>
        <v/>
      </c>
      <c r="C224" s="10" t="str">
        <f>IF(SISTEMA!C218="","",SISTEMA!C218)</f>
        <v/>
      </c>
      <c r="D224" s="5" t="str" cm="1">
        <f t="array" ref="D2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" s="5" t="str" cm="1">
        <f t="array" ref="E2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" s="5" t="str" cm="1">
        <f t="array" ref="F2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" t="str" cm="1">
        <f t="array" ref="G2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" s="4"/>
      <c r="I224" s="3" t="str" cm="1">
        <f t="array" ref="I2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" spans="1:9" x14ac:dyDescent="0.3">
      <c r="A225" s="3" t="str">
        <f>IF(SISTEMA!A219="","",SISTEMA!A219)</f>
        <v/>
      </c>
      <c r="B225" s="10" t="str">
        <f>IF(SISTEMA!B219="","",VALUE(SISTEMA!B219))</f>
        <v/>
      </c>
      <c r="C225" s="10" t="str">
        <f>IF(SISTEMA!C219="","",SISTEMA!C219)</f>
        <v/>
      </c>
      <c r="D225" s="5" t="str" cm="1">
        <f t="array" ref="D2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" s="5" t="str" cm="1">
        <f t="array" ref="E2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" s="5" t="str" cm="1">
        <f t="array" ref="F2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" t="str" cm="1">
        <f t="array" ref="G2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" s="4"/>
      <c r="I225" s="3" t="str" cm="1">
        <f t="array" ref="I2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" spans="1:9" x14ac:dyDescent="0.3">
      <c r="A226" s="3" t="str">
        <f>IF(SISTEMA!A220="","",SISTEMA!A220)</f>
        <v/>
      </c>
      <c r="B226" s="10" t="str">
        <f>IF(SISTEMA!B220="","",VALUE(SISTEMA!B220))</f>
        <v/>
      </c>
      <c r="C226" s="10" t="str">
        <f>IF(SISTEMA!C220="","",SISTEMA!C220)</f>
        <v/>
      </c>
      <c r="D226" s="5" t="str" cm="1">
        <f t="array" ref="D2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" s="5" t="str" cm="1">
        <f t="array" ref="E2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" s="5" t="str" cm="1">
        <f t="array" ref="F2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" t="str" cm="1">
        <f t="array" ref="G2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" s="4"/>
      <c r="I226" s="3" t="str" cm="1">
        <f t="array" ref="I2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" spans="1:9" x14ac:dyDescent="0.3">
      <c r="A227" s="3" t="str">
        <f>IF(SISTEMA!A221="","",SISTEMA!A221)</f>
        <v/>
      </c>
      <c r="B227" s="10" t="str">
        <f>IF(SISTEMA!B221="","",VALUE(SISTEMA!B221))</f>
        <v/>
      </c>
      <c r="C227" s="10" t="str">
        <f>IF(SISTEMA!C221="","",SISTEMA!C221)</f>
        <v/>
      </c>
      <c r="D227" s="5" t="str" cm="1">
        <f t="array" ref="D2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" s="5" t="str" cm="1">
        <f t="array" ref="E2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" s="5" t="str" cm="1">
        <f t="array" ref="F2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" t="str" cm="1">
        <f t="array" ref="G2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" s="4"/>
      <c r="I227" s="3" t="str" cm="1">
        <f t="array" ref="I2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" spans="1:9" x14ac:dyDescent="0.3">
      <c r="A228" s="3" t="str">
        <f>IF(SISTEMA!A222="","",SISTEMA!A222)</f>
        <v/>
      </c>
      <c r="B228" s="10" t="str">
        <f>IF(SISTEMA!B222="","",VALUE(SISTEMA!B222))</f>
        <v/>
      </c>
      <c r="C228" s="10" t="str">
        <f>IF(SISTEMA!C222="","",SISTEMA!C222)</f>
        <v/>
      </c>
      <c r="D228" s="5" t="str" cm="1">
        <f t="array" ref="D2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" s="5" t="str" cm="1">
        <f t="array" ref="E2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" s="5" t="str" cm="1">
        <f t="array" ref="F2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" t="str" cm="1">
        <f t="array" ref="G2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" s="4"/>
      <c r="I228" s="3" t="str" cm="1">
        <f t="array" ref="I2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" spans="1:9" x14ac:dyDescent="0.3">
      <c r="A229" s="3" t="str">
        <f>IF(SISTEMA!A223="","",SISTEMA!A223)</f>
        <v/>
      </c>
      <c r="B229" s="10" t="str">
        <f>IF(SISTEMA!B223="","",VALUE(SISTEMA!B223))</f>
        <v/>
      </c>
      <c r="C229" s="10" t="str">
        <f>IF(SISTEMA!C223="","",SISTEMA!C223)</f>
        <v/>
      </c>
      <c r="D229" s="5" t="str" cm="1">
        <f t="array" ref="D2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" s="5" t="str" cm="1">
        <f t="array" ref="E2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" s="5" t="str" cm="1">
        <f t="array" ref="F2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" t="str" cm="1">
        <f t="array" ref="G2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" s="4"/>
      <c r="I229" s="3" t="str" cm="1">
        <f t="array" ref="I2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" spans="1:9" x14ac:dyDescent="0.3">
      <c r="A230" s="3" t="str">
        <f>IF(SISTEMA!A224="","",SISTEMA!A224)</f>
        <v/>
      </c>
      <c r="B230" s="10" t="str">
        <f>IF(SISTEMA!B224="","",VALUE(SISTEMA!B224))</f>
        <v/>
      </c>
      <c r="C230" s="10" t="str">
        <f>IF(SISTEMA!C224="","",SISTEMA!C224)</f>
        <v/>
      </c>
      <c r="D230" s="5" t="str" cm="1">
        <f t="array" ref="D2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" s="5" t="str" cm="1">
        <f t="array" ref="E2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" s="5" t="str" cm="1">
        <f t="array" ref="F2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" t="str" cm="1">
        <f t="array" ref="G2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" s="4"/>
      <c r="I230" s="3" t="str" cm="1">
        <f t="array" ref="I2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" spans="1:9" x14ac:dyDescent="0.3">
      <c r="A231" s="3" t="str">
        <f>IF(SISTEMA!A225="","",SISTEMA!A225)</f>
        <v/>
      </c>
      <c r="B231" s="10" t="str">
        <f>IF(SISTEMA!B225="","",VALUE(SISTEMA!B225))</f>
        <v/>
      </c>
      <c r="C231" s="10" t="str">
        <f>IF(SISTEMA!C225="","",SISTEMA!C225)</f>
        <v/>
      </c>
      <c r="D231" s="5" t="str" cm="1">
        <f t="array" ref="D2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" s="5" t="str" cm="1">
        <f t="array" ref="E2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" s="5" t="str" cm="1">
        <f t="array" ref="F2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" t="str" cm="1">
        <f t="array" ref="G2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" s="4"/>
      <c r="I231" s="3" t="str" cm="1">
        <f t="array" ref="I2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" spans="1:9" x14ac:dyDescent="0.3">
      <c r="A232" s="3" t="str">
        <f>IF(SISTEMA!A226="","",SISTEMA!A226)</f>
        <v/>
      </c>
      <c r="B232" s="10" t="str">
        <f>IF(SISTEMA!B226="","",VALUE(SISTEMA!B226))</f>
        <v/>
      </c>
      <c r="C232" s="10" t="str">
        <f>IF(SISTEMA!C226="","",SISTEMA!C226)</f>
        <v/>
      </c>
      <c r="D232" s="5" t="str" cm="1">
        <f t="array" ref="D2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" s="5" t="str" cm="1">
        <f t="array" ref="E2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" s="5" t="str" cm="1">
        <f t="array" ref="F2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" t="str" cm="1">
        <f t="array" ref="G2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" s="4"/>
      <c r="I232" s="3" t="str" cm="1">
        <f t="array" ref="I2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" spans="1:9" x14ac:dyDescent="0.3">
      <c r="A233" s="3" t="str">
        <f>IF(SISTEMA!A227="","",SISTEMA!A227)</f>
        <v/>
      </c>
      <c r="B233" s="10" t="str">
        <f>IF(SISTEMA!B227="","",VALUE(SISTEMA!B227))</f>
        <v/>
      </c>
      <c r="C233" s="10" t="str">
        <f>IF(SISTEMA!C227="","",SISTEMA!C227)</f>
        <v/>
      </c>
      <c r="D233" s="5" t="str" cm="1">
        <f t="array" ref="D2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" s="5" t="str" cm="1">
        <f t="array" ref="E2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" s="5" t="str" cm="1">
        <f t="array" ref="F2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" t="str" cm="1">
        <f t="array" ref="G2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" s="4"/>
      <c r="I233" s="3" t="str" cm="1">
        <f t="array" ref="I2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4" spans="1:9" x14ac:dyDescent="0.3">
      <c r="A234" s="3" t="str">
        <f>IF(SISTEMA!A228="","",SISTEMA!A228)</f>
        <v/>
      </c>
      <c r="B234" s="10" t="str">
        <f>IF(SISTEMA!B228="","",VALUE(SISTEMA!B228))</f>
        <v/>
      </c>
      <c r="C234" s="10" t="str">
        <f>IF(SISTEMA!C228="","",SISTEMA!C228)</f>
        <v/>
      </c>
      <c r="D234" s="5" t="str" cm="1">
        <f t="array" ref="D2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4" s="5" t="str" cm="1">
        <f t="array" ref="E2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4" s="5" t="str" cm="1">
        <f t="array" ref="F2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4" t="str" cm="1">
        <f t="array" ref="G2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4" s="4"/>
      <c r="I234" s="3" t="str" cm="1">
        <f t="array" ref="I2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5" spans="1:9" x14ac:dyDescent="0.3">
      <c r="A235" s="3" t="str">
        <f>IF(SISTEMA!A229="","",SISTEMA!A229)</f>
        <v/>
      </c>
      <c r="B235" s="10" t="str">
        <f>IF(SISTEMA!B229="","",VALUE(SISTEMA!B229))</f>
        <v/>
      </c>
      <c r="C235" s="10" t="str">
        <f>IF(SISTEMA!C229="","",SISTEMA!C229)</f>
        <v/>
      </c>
      <c r="D235" s="5" t="str" cm="1">
        <f t="array" ref="D2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5" s="5" t="str" cm="1">
        <f t="array" ref="E2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5" s="5" t="str" cm="1">
        <f t="array" ref="F2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5" t="str" cm="1">
        <f t="array" ref="G2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5" s="4"/>
      <c r="I235" s="3" t="str" cm="1">
        <f t="array" ref="I2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6" spans="1:9" x14ac:dyDescent="0.3">
      <c r="A236" s="3" t="str">
        <f>IF(SISTEMA!A230="","",SISTEMA!A230)</f>
        <v/>
      </c>
      <c r="B236" s="10" t="str">
        <f>IF(SISTEMA!B230="","",VALUE(SISTEMA!B230))</f>
        <v/>
      </c>
      <c r="C236" s="10" t="str">
        <f>IF(SISTEMA!C230="","",SISTEMA!C230)</f>
        <v/>
      </c>
      <c r="D236" s="5" t="str" cm="1">
        <f t="array" ref="D2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6" s="5" t="str" cm="1">
        <f t="array" ref="E2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6" s="5" t="str" cm="1">
        <f t="array" ref="F2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6" t="str" cm="1">
        <f t="array" ref="G2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6" s="4"/>
      <c r="I236" s="3" t="str" cm="1">
        <f t="array" ref="I2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7" spans="1:9" x14ac:dyDescent="0.3">
      <c r="A237" s="3" t="str">
        <f>IF(SISTEMA!A231="","",SISTEMA!A231)</f>
        <v/>
      </c>
      <c r="B237" s="10" t="str">
        <f>IF(SISTEMA!B231="","",VALUE(SISTEMA!B231))</f>
        <v/>
      </c>
      <c r="C237" s="10" t="str">
        <f>IF(SISTEMA!C231="","",SISTEMA!C231)</f>
        <v/>
      </c>
      <c r="D237" s="5" t="str" cm="1">
        <f t="array" ref="D2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7" s="5" t="str" cm="1">
        <f t="array" ref="E2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7" s="5" t="str" cm="1">
        <f t="array" ref="F2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7" t="str" cm="1">
        <f t="array" ref="G2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7" s="4"/>
      <c r="I237" s="3" t="str" cm="1">
        <f t="array" ref="I2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8" spans="1:9" x14ac:dyDescent="0.3">
      <c r="A238" s="3" t="str">
        <f>IF(SISTEMA!A232="","",SISTEMA!A232)</f>
        <v/>
      </c>
      <c r="B238" s="10" t="str">
        <f>IF(SISTEMA!B232="","",VALUE(SISTEMA!B232))</f>
        <v/>
      </c>
      <c r="C238" s="10" t="str">
        <f>IF(SISTEMA!C232="","",SISTEMA!C232)</f>
        <v/>
      </c>
      <c r="D238" s="5" t="str" cm="1">
        <f t="array" ref="D2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8" s="5" t="str" cm="1">
        <f t="array" ref="E2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8" s="5" t="str" cm="1">
        <f t="array" ref="F2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8" t="str" cm="1">
        <f t="array" ref="G2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8" s="4"/>
      <c r="I238" s="3" t="str" cm="1">
        <f t="array" ref="I2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9" spans="1:9" x14ac:dyDescent="0.3">
      <c r="A239" s="3" t="str">
        <f>IF(SISTEMA!A233="","",SISTEMA!A233)</f>
        <v/>
      </c>
      <c r="B239" s="10" t="str">
        <f>IF(SISTEMA!B233="","",VALUE(SISTEMA!B233))</f>
        <v/>
      </c>
      <c r="C239" s="10" t="str">
        <f>IF(SISTEMA!C233="","",SISTEMA!C233)</f>
        <v/>
      </c>
      <c r="D239" s="5" t="str" cm="1">
        <f t="array" ref="D2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9" s="5" t="str" cm="1">
        <f t="array" ref="E2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9" s="5" t="str" cm="1">
        <f t="array" ref="F2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9" t="str" cm="1">
        <f t="array" ref="G2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9" s="4"/>
      <c r="I239" s="3" t="str" cm="1">
        <f t="array" ref="I2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0" spans="1:9" x14ac:dyDescent="0.3">
      <c r="A240" s="3" t="str">
        <f>IF(SISTEMA!A234="","",SISTEMA!A234)</f>
        <v/>
      </c>
      <c r="B240" s="10" t="str">
        <f>IF(SISTEMA!B234="","",VALUE(SISTEMA!B234))</f>
        <v/>
      </c>
      <c r="C240" s="10" t="str">
        <f>IF(SISTEMA!C234="","",SISTEMA!C234)</f>
        <v/>
      </c>
      <c r="D240" s="5" t="str" cm="1">
        <f t="array" ref="D2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0" s="5" t="str" cm="1">
        <f t="array" ref="E2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0" s="5" t="str" cm="1">
        <f t="array" ref="F2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0" t="str" cm="1">
        <f t="array" ref="G2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0" s="4"/>
      <c r="I240" s="3" t="str" cm="1">
        <f t="array" ref="I2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1" spans="1:9" x14ac:dyDescent="0.3">
      <c r="A241" s="3" t="str">
        <f>IF(SISTEMA!A235="","",SISTEMA!A235)</f>
        <v/>
      </c>
      <c r="B241" s="10" t="str">
        <f>IF(SISTEMA!B235="","",VALUE(SISTEMA!B235))</f>
        <v/>
      </c>
      <c r="C241" s="10" t="str">
        <f>IF(SISTEMA!C235="","",SISTEMA!C235)</f>
        <v/>
      </c>
      <c r="D241" s="5" t="str" cm="1">
        <f t="array" ref="D2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1" s="5" t="str" cm="1">
        <f t="array" ref="E2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1" s="5" t="str" cm="1">
        <f t="array" ref="F2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1" t="str" cm="1">
        <f t="array" ref="G2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1" s="4"/>
      <c r="I241" s="3" t="str" cm="1">
        <f t="array" ref="I2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2" spans="1:9" x14ac:dyDescent="0.3">
      <c r="A242" s="3" t="str">
        <f>IF(SISTEMA!A236="","",SISTEMA!A236)</f>
        <v/>
      </c>
      <c r="B242" s="10" t="str">
        <f>IF(SISTEMA!B236="","",VALUE(SISTEMA!B236))</f>
        <v/>
      </c>
      <c r="C242" s="10" t="str">
        <f>IF(SISTEMA!C236="","",SISTEMA!C236)</f>
        <v/>
      </c>
      <c r="D242" s="5" t="str" cm="1">
        <f t="array" ref="D2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2" s="5" t="str" cm="1">
        <f t="array" ref="E2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2" s="5" t="str" cm="1">
        <f t="array" ref="F2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2" t="str" cm="1">
        <f t="array" ref="G2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2" s="4"/>
      <c r="I242" s="3" t="str" cm="1">
        <f t="array" ref="I2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3" spans="1:9" x14ac:dyDescent="0.3">
      <c r="A243" s="3" t="str">
        <f>IF(SISTEMA!A237="","",SISTEMA!A237)</f>
        <v/>
      </c>
      <c r="B243" s="10" t="str">
        <f>IF(SISTEMA!B237="","",VALUE(SISTEMA!B237))</f>
        <v/>
      </c>
      <c r="C243" s="10" t="str">
        <f>IF(SISTEMA!C237="","",SISTEMA!C237)</f>
        <v/>
      </c>
      <c r="D243" s="5" t="str" cm="1">
        <f t="array" ref="D2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3" s="5" t="str" cm="1">
        <f t="array" ref="E2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3" s="5" t="str" cm="1">
        <f t="array" ref="F2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3" t="str" cm="1">
        <f t="array" ref="G2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3" s="4"/>
      <c r="I243" s="3" t="str" cm="1">
        <f t="array" ref="I2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4" spans="1:9" x14ac:dyDescent="0.3">
      <c r="A244" s="3" t="str">
        <f>IF(SISTEMA!A238="","",SISTEMA!A238)</f>
        <v/>
      </c>
      <c r="B244" s="10" t="str">
        <f>IF(SISTEMA!B238="","",VALUE(SISTEMA!B238))</f>
        <v/>
      </c>
      <c r="C244" s="10" t="str">
        <f>IF(SISTEMA!C238="","",SISTEMA!C238)</f>
        <v/>
      </c>
      <c r="D244" s="5" t="str" cm="1">
        <f t="array" ref="D2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4" s="5" t="str" cm="1">
        <f t="array" ref="E2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4" s="5" t="str" cm="1">
        <f t="array" ref="F2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4" t="str" cm="1">
        <f t="array" ref="G2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4" s="4"/>
      <c r="I244" s="3" t="str" cm="1">
        <f t="array" ref="I2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5" spans="1:9" x14ac:dyDescent="0.3">
      <c r="A245" s="3" t="str">
        <f>IF(SISTEMA!A239="","",SISTEMA!A239)</f>
        <v/>
      </c>
      <c r="B245" s="10" t="str">
        <f>IF(SISTEMA!B239="","",VALUE(SISTEMA!B239))</f>
        <v/>
      </c>
      <c r="C245" s="10" t="str">
        <f>IF(SISTEMA!C239="","",SISTEMA!C239)</f>
        <v/>
      </c>
      <c r="D245" s="5" t="str" cm="1">
        <f t="array" ref="D2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5" s="5" t="str" cm="1">
        <f t="array" ref="E2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5" s="5" t="str" cm="1">
        <f t="array" ref="F2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5" t="str" cm="1">
        <f t="array" ref="G2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5" s="4"/>
      <c r="I245" s="3" t="str" cm="1">
        <f t="array" ref="I2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6" spans="1:9" x14ac:dyDescent="0.3">
      <c r="A246" s="3" t="str">
        <f>IF(SISTEMA!A240="","",SISTEMA!A240)</f>
        <v/>
      </c>
      <c r="B246" s="10" t="str">
        <f>IF(SISTEMA!B240="","",VALUE(SISTEMA!B240))</f>
        <v/>
      </c>
      <c r="C246" s="10" t="str">
        <f>IF(SISTEMA!C240="","",SISTEMA!C240)</f>
        <v/>
      </c>
      <c r="D246" s="5" t="str" cm="1">
        <f t="array" ref="D2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6" s="5" t="str" cm="1">
        <f t="array" ref="E2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6" s="5" t="str" cm="1">
        <f t="array" ref="F2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6" t="str" cm="1">
        <f t="array" ref="G2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6" s="4"/>
      <c r="I246" s="3" t="str" cm="1">
        <f t="array" ref="I2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7" spans="1:9" x14ac:dyDescent="0.3">
      <c r="A247" s="3" t="str">
        <f>IF(SISTEMA!A241="","",SISTEMA!A241)</f>
        <v/>
      </c>
      <c r="B247" s="10" t="str">
        <f>IF(SISTEMA!B241="","",VALUE(SISTEMA!B241))</f>
        <v/>
      </c>
      <c r="C247" s="10" t="str">
        <f>IF(SISTEMA!C241="","",SISTEMA!C241)</f>
        <v/>
      </c>
      <c r="D247" s="5" t="str" cm="1">
        <f t="array" ref="D2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7" s="5" t="str" cm="1">
        <f t="array" ref="E2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7" s="5" t="str" cm="1">
        <f t="array" ref="F2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7" t="str" cm="1">
        <f t="array" ref="G2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7" s="4"/>
      <c r="I247" s="3" t="str" cm="1">
        <f t="array" ref="I2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8" spans="1:9" x14ac:dyDescent="0.3">
      <c r="A248" s="3" t="str">
        <f>IF(SISTEMA!A242="","",SISTEMA!A242)</f>
        <v/>
      </c>
      <c r="B248" s="10" t="str">
        <f>IF(SISTEMA!B242="","",VALUE(SISTEMA!B242))</f>
        <v/>
      </c>
      <c r="C248" s="10" t="str">
        <f>IF(SISTEMA!C242="","",SISTEMA!C242)</f>
        <v/>
      </c>
      <c r="D248" s="5" t="str" cm="1">
        <f t="array" ref="D2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8" s="5" t="str" cm="1">
        <f t="array" ref="E2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8" s="5" t="str" cm="1">
        <f t="array" ref="F2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8" t="str" cm="1">
        <f t="array" ref="G2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8" s="4"/>
      <c r="I248" s="3" t="str" cm="1">
        <f t="array" ref="I2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49" spans="1:9" x14ac:dyDescent="0.3">
      <c r="A249" s="3" t="str">
        <f>IF(SISTEMA!A243="","",SISTEMA!A243)</f>
        <v/>
      </c>
      <c r="B249" s="10" t="str">
        <f>IF(SISTEMA!B243="","",VALUE(SISTEMA!B243))</f>
        <v/>
      </c>
      <c r="C249" s="10" t="str">
        <f>IF(SISTEMA!C243="","",SISTEMA!C243)</f>
        <v/>
      </c>
      <c r="D249" s="5" t="str" cm="1">
        <f t="array" ref="D2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49" s="5" t="str" cm="1">
        <f t="array" ref="E2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49" s="5" t="str" cm="1">
        <f t="array" ref="F2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49" t="str" cm="1">
        <f t="array" ref="G2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49" s="4"/>
      <c r="I249" s="3" t="str" cm="1">
        <f t="array" ref="I2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0" spans="1:9" x14ac:dyDescent="0.3">
      <c r="A250" s="3" t="str">
        <f>IF(SISTEMA!A244="","",SISTEMA!A244)</f>
        <v/>
      </c>
      <c r="B250" s="10" t="str">
        <f>IF(SISTEMA!B244="","",VALUE(SISTEMA!B244))</f>
        <v/>
      </c>
      <c r="C250" s="10" t="str">
        <f>IF(SISTEMA!C244="","",SISTEMA!C244)</f>
        <v/>
      </c>
      <c r="D250" s="5" t="str" cm="1">
        <f t="array" ref="D2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0" s="5" t="str" cm="1">
        <f t="array" ref="E2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0" s="5" t="str" cm="1">
        <f t="array" ref="F2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0" t="str" cm="1">
        <f t="array" ref="G2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0" s="4"/>
      <c r="I250" s="3" t="str" cm="1">
        <f t="array" ref="I2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1" spans="1:9" x14ac:dyDescent="0.3">
      <c r="A251" s="3" t="str">
        <f>IF(SISTEMA!A245="","",SISTEMA!A245)</f>
        <v/>
      </c>
      <c r="B251" s="10" t="str">
        <f>IF(SISTEMA!B245="","",VALUE(SISTEMA!B245))</f>
        <v/>
      </c>
      <c r="C251" s="10" t="str">
        <f>IF(SISTEMA!C245="","",SISTEMA!C245)</f>
        <v/>
      </c>
      <c r="D251" s="5" t="str" cm="1">
        <f t="array" ref="D2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1" s="5" t="str" cm="1">
        <f t="array" ref="E2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1" s="5" t="str" cm="1">
        <f t="array" ref="F2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1" t="str" cm="1">
        <f t="array" ref="G2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1" s="4"/>
      <c r="I251" s="3" t="str" cm="1">
        <f t="array" ref="I2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2" spans="1:9" x14ac:dyDescent="0.3">
      <c r="A252" s="3" t="str">
        <f>IF(SISTEMA!A246="","",SISTEMA!A246)</f>
        <v/>
      </c>
      <c r="B252" s="10" t="str">
        <f>IF(SISTEMA!B246="","",VALUE(SISTEMA!B246))</f>
        <v/>
      </c>
      <c r="C252" s="10" t="str">
        <f>IF(SISTEMA!C246="","",SISTEMA!C246)</f>
        <v/>
      </c>
      <c r="D252" s="5" t="str" cm="1">
        <f t="array" ref="D2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2" s="5" t="str" cm="1">
        <f t="array" ref="E2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2" s="5" t="str" cm="1">
        <f t="array" ref="F2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2" t="str" cm="1">
        <f t="array" ref="G2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2" s="4"/>
      <c r="I252" s="3" t="str" cm="1">
        <f t="array" ref="I2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3" spans="1:9" x14ac:dyDescent="0.3">
      <c r="A253" s="3" t="str">
        <f>IF(SISTEMA!A247="","",SISTEMA!A247)</f>
        <v/>
      </c>
      <c r="B253" s="10" t="str">
        <f>IF(SISTEMA!B247="","",VALUE(SISTEMA!B247))</f>
        <v/>
      </c>
      <c r="C253" s="10" t="str">
        <f>IF(SISTEMA!C247="","",SISTEMA!C247)</f>
        <v/>
      </c>
      <c r="D253" s="5" t="str" cm="1">
        <f t="array" ref="D2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3" s="5" t="str" cm="1">
        <f t="array" ref="E2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3" s="5" t="str" cm="1">
        <f t="array" ref="F2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3" t="str" cm="1">
        <f t="array" ref="G2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3" s="4"/>
      <c r="I253" s="3" t="str" cm="1">
        <f t="array" ref="I2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4" spans="1:9" x14ac:dyDescent="0.3">
      <c r="A254" s="3" t="str">
        <f>IF(SISTEMA!A248="","",SISTEMA!A248)</f>
        <v/>
      </c>
      <c r="B254" s="10" t="str">
        <f>IF(SISTEMA!B248="","",VALUE(SISTEMA!B248))</f>
        <v/>
      </c>
      <c r="C254" s="10" t="str">
        <f>IF(SISTEMA!C248="","",SISTEMA!C248)</f>
        <v/>
      </c>
      <c r="D254" s="5" t="str" cm="1">
        <f t="array" ref="D2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4" s="5" t="str" cm="1">
        <f t="array" ref="E2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4" s="5" t="str" cm="1">
        <f t="array" ref="F2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4" t="str" cm="1">
        <f t="array" ref="G2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4" s="4"/>
      <c r="I254" s="3" t="str" cm="1">
        <f t="array" ref="I2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5" spans="1:9" x14ac:dyDescent="0.3">
      <c r="A255" s="3" t="str">
        <f>IF(SISTEMA!A249="","",SISTEMA!A249)</f>
        <v/>
      </c>
      <c r="B255" s="10" t="str">
        <f>IF(SISTEMA!B249="","",VALUE(SISTEMA!B249))</f>
        <v/>
      </c>
      <c r="C255" s="10" t="str">
        <f>IF(SISTEMA!C249="","",SISTEMA!C249)</f>
        <v/>
      </c>
      <c r="D255" s="5" t="str" cm="1">
        <f t="array" ref="D2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5" s="5" t="str" cm="1">
        <f t="array" ref="E2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5" s="5" t="str" cm="1">
        <f t="array" ref="F2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5" t="str" cm="1">
        <f t="array" ref="G2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5" s="4"/>
      <c r="I255" s="3" t="str" cm="1">
        <f t="array" ref="I2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6" spans="1:9" x14ac:dyDescent="0.3">
      <c r="A256" s="3" t="str">
        <f>IF(SISTEMA!A250="","",SISTEMA!A250)</f>
        <v/>
      </c>
      <c r="B256" s="10" t="str">
        <f>IF(SISTEMA!B250="","",VALUE(SISTEMA!B250))</f>
        <v/>
      </c>
      <c r="C256" s="10" t="str">
        <f>IF(SISTEMA!C250="","",SISTEMA!C250)</f>
        <v/>
      </c>
      <c r="D256" s="5" t="str" cm="1">
        <f t="array" ref="D2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6" s="5" t="str" cm="1">
        <f t="array" ref="E2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6" s="5" t="str" cm="1">
        <f t="array" ref="F2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6" t="str" cm="1">
        <f t="array" ref="G2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6" s="4"/>
      <c r="I256" s="3" t="str" cm="1">
        <f t="array" ref="I2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7" spans="1:9" x14ac:dyDescent="0.3">
      <c r="A257" s="3" t="str">
        <f>IF(SISTEMA!A251="","",SISTEMA!A251)</f>
        <v/>
      </c>
      <c r="B257" s="10" t="str">
        <f>IF(SISTEMA!B251="","",VALUE(SISTEMA!B251))</f>
        <v/>
      </c>
      <c r="C257" s="10" t="str">
        <f>IF(SISTEMA!C251="","",SISTEMA!C251)</f>
        <v/>
      </c>
      <c r="D257" s="5" t="str" cm="1">
        <f t="array" ref="D2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7" s="5" t="str" cm="1">
        <f t="array" ref="E2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7" s="5" t="str" cm="1">
        <f t="array" ref="F2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7" t="str" cm="1">
        <f t="array" ref="G2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7" s="4"/>
      <c r="I257" s="3" t="str" cm="1">
        <f t="array" ref="I2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8" spans="1:9" x14ac:dyDescent="0.3">
      <c r="A258" s="3" t="str">
        <f>IF(SISTEMA!A252="","",SISTEMA!A252)</f>
        <v/>
      </c>
      <c r="B258" s="10" t="str">
        <f>IF(SISTEMA!B252="","",VALUE(SISTEMA!B252))</f>
        <v/>
      </c>
      <c r="C258" s="10" t="str">
        <f>IF(SISTEMA!C252="","",SISTEMA!C252)</f>
        <v/>
      </c>
      <c r="D258" s="5" t="str" cm="1">
        <f t="array" ref="D2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8" s="5" t="str" cm="1">
        <f t="array" ref="E2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8" s="5" t="str" cm="1">
        <f t="array" ref="F2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8" t="str" cm="1">
        <f t="array" ref="G2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8" s="4"/>
      <c r="I258" s="3" t="str" cm="1">
        <f t="array" ref="I2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59" spans="1:9" x14ac:dyDescent="0.3">
      <c r="A259" s="3" t="str">
        <f>IF(SISTEMA!A253="","",SISTEMA!A253)</f>
        <v/>
      </c>
      <c r="B259" s="10" t="str">
        <f>IF(SISTEMA!B253="","",VALUE(SISTEMA!B253))</f>
        <v/>
      </c>
      <c r="C259" s="10" t="str">
        <f>IF(SISTEMA!C253="","",SISTEMA!C253)</f>
        <v/>
      </c>
      <c r="D259" s="5" t="str" cm="1">
        <f t="array" ref="D2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59" s="5" t="str" cm="1">
        <f t="array" ref="E2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59" s="5" t="str" cm="1">
        <f t="array" ref="F2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59" t="str" cm="1">
        <f t="array" ref="G2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59" s="4"/>
      <c r="I259" s="3" t="str" cm="1">
        <f t="array" ref="I2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0" spans="1:9" x14ac:dyDescent="0.3">
      <c r="A260" s="3" t="str">
        <f>IF(SISTEMA!A254="","",SISTEMA!A254)</f>
        <v/>
      </c>
      <c r="B260" s="10" t="str">
        <f>IF(SISTEMA!B254="","",VALUE(SISTEMA!B254))</f>
        <v/>
      </c>
      <c r="C260" s="10" t="str">
        <f>IF(SISTEMA!C254="","",SISTEMA!C254)</f>
        <v/>
      </c>
      <c r="D260" s="5" t="str" cm="1">
        <f t="array" ref="D2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0" s="5" t="str" cm="1">
        <f t="array" ref="E2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0" s="5" t="str" cm="1">
        <f t="array" ref="F2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0" t="str" cm="1">
        <f t="array" ref="G2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0" s="4"/>
      <c r="I260" s="3" t="str" cm="1">
        <f t="array" ref="I2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1" spans="1:9" x14ac:dyDescent="0.3">
      <c r="A261" s="3" t="str">
        <f>IF(SISTEMA!A255="","",SISTEMA!A255)</f>
        <v/>
      </c>
      <c r="B261" s="10" t="str">
        <f>IF(SISTEMA!B255="","",VALUE(SISTEMA!B255))</f>
        <v/>
      </c>
      <c r="C261" s="10" t="str">
        <f>IF(SISTEMA!C255="","",SISTEMA!C255)</f>
        <v/>
      </c>
      <c r="D261" s="5" t="str" cm="1">
        <f t="array" ref="D2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1" s="5" t="str" cm="1">
        <f t="array" ref="E2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1" s="5" t="str" cm="1">
        <f t="array" ref="F2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1" t="str" cm="1">
        <f t="array" ref="G2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1" s="4"/>
      <c r="I261" s="3" t="str" cm="1">
        <f t="array" ref="I2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2" spans="1:9" x14ac:dyDescent="0.3">
      <c r="A262" s="3" t="str">
        <f>IF(SISTEMA!A256="","",SISTEMA!A256)</f>
        <v/>
      </c>
      <c r="B262" s="10" t="str">
        <f>IF(SISTEMA!B256="","",VALUE(SISTEMA!B256))</f>
        <v/>
      </c>
      <c r="C262" s="10" t="str">
        <f>IF(SISTEMA!C256="","",SISTEMA!C256)</f>
        <v/>
      </c>
      <c r="D262" s="5" t="str" cm="1">
        <f t="array" ref="D2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2" s="5" t="str" cm="1">
        <f t="array" ref="E2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2" s="5" t="str" cm="1">
        <f t="array" ref="F2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2" t="str" cm="1">
        <f t="array" ref="G2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2" s="4"/>
      <c r="I262" s="3" t="str" cm="1">
        <f t="array" ref="I2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3" spans="1:9" x14ac:dyDescent="0.3">
      <c r="A263" s="3" t="str">
        <f>IF(SISTEMA!A257="","",SISTEMA!A257)</f>
        <v/>
      </c>
      <c r="B263" s="10" t="str">
        <f>IF(SISTEMA!B257="","",VALUE(SISTEMA!B257))</f>
        <v/>
      </c>
      <c r="C263" s="10" t="str">
        <f>IF(SISTEMA!C257="","",SISTEMA!C257)</f>
        <v/>
      </c>
      <c r="D263" s="5" t="str" cm="1">
        <f t="array" ref="D2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3" s="5" t="str" cm="1">
        <f t="array" ref="E2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3" s="5" t="str" cm="1">
        <f t="array" ref="F2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3" t="str" cm="1">
        <f t="array" ref="G2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3" s="4"/>
      <c r="I263" s="3" t="str" cm="1">
        <f t="array" ref="I2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4" spans="1:9" x14ac:dyDescent="0.3">
      <c r="A264" s="3" t="str">
        <f>IF(SISTEMA!A258="","",SISTEMA!A258)</f>
        <v/>
      </c>
      <c r="B264" s="10" t="str">
        <f>IF(SISTEMA!B258="","",VALUE(SISTEMA!B258))</f>
        <v/>
      </c>
      <c r="C264" s="10" t="str">
        <f>IF(SISTEMA!C258="","",SISTEMA!C258)</f>
        <v/>
      </c>
      <c r="D264" s="5" t="str" cm="1">
        <f t="array" ref="D2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4" s="5" t="str" cm="1">
        <f t="array" ref="E2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4" s="5" t="str" cm="1">
        <f t="array" ref="F2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4" t="str" cm="1">
        <f t="array" ref="G2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4" s="4"/>
      <c r="I264" s="3" t="str" cm="1">
        <f t="array" ref="I2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5" spans="1:9" x14ac:dyDescent="0.3">
      <c r="A265" s="3" t="str">
        <f>IF(SISTEMA!A259="","",SISTEMA!A259)</f>
        <v/>
      </c>
      <c r="B265" s="10" t="str">
        <f>IF(SISTEMA!B259="","",VALUE(SISTEMA!B259))</f>
        <v/>
      </c>
      <c r="C265" s="10" t="str">
        <f>IF(SISTEMA!C259="","",SISTEMA!C259)</f>
        <v/>
      </c>
      <c r="D265" s="5" t="str" cm="1">
        <f t="array" ref="D2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5" s="5" t="str" cm="1">
        <f t="array" ref="E2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5" s="5" t="str" cm="1">
        <f t="array" ref="F2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5" t="str" cm="1">
        <f t="array" ref="G2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5" s="4"/>
      <c r="I265" s="3" t="str" cm="1">
        <f t="array" ref="I2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6" spans="1:9" x14ac:dyDescent="0.3">
      <c r="A266" s="3" t="str">
        <f>IF(SISTEMA!A260="","",SISTEMA!A260)</f>
        <v/>
      </c>
      <c r="B266" s="10" t="str">
        <f>IF(SISTEMA!B260="","",VALUE(SISTEMA!B260))</f>
        <v/>
      </c>
      <c r="C266" s="10" t="str">
        <f>IF(SISTEMA!C260="","",SISTEMA!C260)</f>
        <v/>
      </c>
      <c r="D266" s="5" t="str" cm="1">
        <f t="array" ref="D2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6" s="5" t="str" cm="1">
        <f t="array" ref="E2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6" s="5" t="str" cm="1">
        <f t="array" ref="F2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6" t="str" cm="1">
        <f t="array" ref="G2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6" s="4"/>
      <c r="I266" s="3" t="str" cm="1">
        <f t="array" ref="I2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7" spans="1:9" x14ac:dyDescent="0.3">
      <c r="A267" s="3" t="str">
        <f>IF(SISTEMA!A261="","",SISTEMA!A261)</f>
        <v/>
      </c>
      <c r="B267" s="10" t="str">
        <f>IF(SISTEMA!B261="","",VALUE(SISTEMA!B261))</f>
        <v/>
      </c>
      <c r="C267" s="10" t="str">
        <f>IF(SISTEMA!C261="","",SISTEMA!C261)</f>
        <v/>
      </c>
      <c r="D267" s="5" t="str" cm="1">
        <f t="array" ref="D2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7" s="5" t="str" cm="1">
        <f t="array" ref="E2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7" s="5" t="str" cm="1">
        <f t="array" ref="F2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7" t="str" cm="1">
        <f t="array" ref="G2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7" s="4"/>
      <c r="I267" s="3" t="str" cm="1">
        <f t="array" ref="I2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8" spans="1:9" x14ac:dyDescent="0.3">
      <c r="A268" s="3" t="str">
        <f>IF(SISTEMA!A262="","",SISTEMA!A262)</f>
        <v/>
      </c>
      <c r="B268" s="10" t="str">
        <f>IF(SISTEMA!B262="","",VALUE(SISTEMA!B262))</f>
        <v/>
      </c>
      <c r="C268" s="10" t="str">
        <f>IF(SISTEMA!C262="","",SISTEMA!C262)</f>
        <v/>
      </c>
      <c r="D268" s="5" t="str" cm="1">
        <f t="array" ref="D2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8" s="5" t="str" cm="1">
        <f t="array" ref="E2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8" s="5" t="str" cm="1">
        <f t="array" ref="F2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8" t="str" cm="1">
        <f t="array" ref="G2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8" s="4"/>
      <c r="I268" s="3" t="str" cm="1">
        <f t="array" ref="I2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69" spans="1:9" x14ac:dyDescent="0.3">
      <c r="A269" s="3" t="str">
        <f>IF(SISTEMA!A263="","",SISTEMA!A263)</f>
        <v/>
      </c>
      <c r="B269" s="10" t="str">
        <f>IF(SISTEMA!B263="","",VALUE(SISTEMA!B263))</f>
        <v/>
      </c>
      <c r="C269" s="10" t="str">
        <f>IF(SISTEMA!C263="","",SISTEMA!C263)</f>
        <v/>
      </c>
      <c r="D269" s="5" t="str" cm="1">
        <f t="array" ref="D2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69" s="5" t="str" cm="1">
        <f t="array" ref="E2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69" s="5" t="str" cm="1">
        <f t="array" ref="F2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69" t="str" cm="1">
        <f t="array" ref="G2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69" s="4"/>
      <c r="I269" s="3" t="str" cm="1">
        <f t="array" ref="I2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0" spans="1:9" x14ac:dyDescent="0.3">
      <c r="A270" s="3" t="str">
        <f>IF(SISTEMA!A264="","",SISTEMA!A264)</f>
        <v/>
      </c>
      <c r="B270" s="10" t="str">
        <f>IF(SISTEMA!B264="","",VALUE(SISTEMA!B264))</f>
        <v/>
      </c>
      <c r="C270" s="10" t="str">
        <f>IF(SISTEMA!C264="","",SISTEMA!C264)</f>
        <v/>
      </c>
      <c r="D270" s="5" t="str" cm="1">
        <f t="array" ref="D2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0" s="5" t="str" cm="1">
        <f t="array" ref="E2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0" s="5" t="str" cm="1">
        <f t="array" ref="F2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0" t="str" cm="1">
        <f t="array" ref="G2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0" s="4"/>
      <c r="I270" s="3" t="str" cm="1">
        <f t="array" ref="I2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1" spans="1:9" x14ac:dyDescent="0.3">
      <c r="A271" s="3" t="str">
        <f>IF(SISTEMA!A265="","",SISTEMA!A265)</f>
        <v/>
      </c>
      <c r="B271" s="10" t="str">
        <f>IF(SISTEMA!B265="","",VALUE(SISTEMA!B265))</f>
        <v/>
      </c>
      <c r="C271" s="10" t="str">
        <f>IF(SISTEMA!C265="","",SISTEMA!C265)</f>
        <v/>
      </c>
      <c r="D271" s="5" t="str" cm="1">
        <f t="array" ref="D2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1" s="5" t="str" cm="1">
        <f t="array" ref="E2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1" s="5" t="str" cm="1">
        <f t="array" ref="F2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1" t="str" cm="1">
        <f t="array" ref="G2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1" s="4"/>
      <c r="I271" s="3" t="str" cm="1">
        <f t="array" ref="I2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2" spans="1:9" x14ac:dyDescent="0.3">
      <c r="A272" s="3" t="str">
        <f>IF(SISTEMA!A266="","",SISTEMA!A266)</f>
        <v/>
      </c>
      <c r="B272" s="10" t="str">
        <f>IF(SISTEMA!B266="","",VALUE(SISTEMA!B266))</f>
        <v/>
      </c>
      <c r="C272" s="10" t="str">
        <f>IF(SISTEMA!C266="","",SISTEMA!C266)</f>
        <v/>
      </c>
      <c r="D272" s="5" t="str" cm="1">
        <f t="array" ref="D2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2" s="5" t="str" cm="1">
        <f t="array" ref="E2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2" s="5" t="str" cm="1">
        <f t="array" ref="F2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2" t="str" cm="1">
        <f t="array" ref="G2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2" s="4"/>
      <c r="I272" s="3" t="str" cm="1">
        <f t="array" ref="I2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3" spans="1:9" x14ac:dyDescent="0.3">
      <c r="A273" s="3" t="str">
        <f>IF(SISTEMA!A267="","",SISTEMA!A267)</f>
        <v/>
      </c>
      <c r="B273" s="10" t="str">
        <f>IF(SISTEMA!B267="","",VALUE(SISTEMA!B267))</f>
        <v/>
      </c>
      <c r="C273" s="10" t="str">
        <f>IF(SISTEMA!C267="","",SISTEMA!C267)</f>
        <v/>
      </c>
      <c r="D273" s="5" t="str" cm="1">
        <f t="array" ref="D2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3" s="5" t="str" cm="1">
        <f t="array" ref="E2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3" s="5" t="str" cm="1">
        <f t="array" ref="F2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3" t="str" cm="1">
        <f t="array" ref="G2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3" s="4"/>
      <c r="I273" s="3" t="str" cm="1">
        <f t="array" ref="I2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4" spans="1:9" x14ac:dyDescent="0.3">
      <c r="A274" s="3" t="str">
        <f>IF(SISTEMA!A268="","",SISTEMA!A268)</f>
        <v/>
      </c>
      <c r="B274" s="10" t="str">
        <f>IF(SISTEMA!B268="","",VALUE(SISTEMA!B268))</f>
        <v/>
      </c>
      <c r="C274" s="10" t="str">
        <f>IF(SISTEMA!C268="","",SISTEMA!C268)</f>
        <v/>
      </c>
      <c r="D274" s="5" t="str" cm="1">
        <f t="array" ref="D2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4" s="5" t="str" cm="1">
        <f t="array" ref="E2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4" s="5" t="str" cm="1">
        <f t="array" ref="F2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4" t="str" cm="1">
        <f t="array" ref="G2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4" s="4"/>
      <c r="I274" s="3" t="str" cm="1">
        <f t="array" ref="I2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5" spans="1:9" x14ac:dyDescent="0.3">
      <c r="A275" s="3" t="str">
        <f>IF(SISTEMA!A269="","",SISTEMA!A269)</f>
        <v/>
      </c>
      <c r="B275" s="10" t="str">
        <f>IF(SISTEMA!B269="","",VALUE(SISTEMA!B269))</f>
        <v/>
      </c>
      <c r="C275" s="10" t="str">
        <f>IF(SISTEMA!C269="","",SISTEMA!C269)</f>
        <v/>
      </c>
      <c r="D275" s="5" t="str" cm="1">
        <f t="array" ref="D2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5" s="5" t="str" cm="1">
        <f t="array" ref="E2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5" s="5" t="str" cm="1">
        <f t="array" ref="F2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5" t="str" cm="1">
        <f t="array" ref="G2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5" s="4"/>
      <c r="I275" s="3" t="str" cm="1">
        <f t="array" ref="I2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6" spans="1:9" x14ac:dyDescent="0.3">
      <c r="A276" s="3" t="str">
        <f>IF(SISTEMA!A270="","",SISTEMA!A270)</f>
        <v/>
      </c>
      <c r="B276" s="10" t="str">
        <f>IF(SISTEMA!B270="","",VALUE(SISTEMA!B270))</f>
        <v/>
      </c>
      <c r="C276" s="10" t="str">
        <f>IF(SISTEMA!C270="","",SISTEMA!C270)</f>
        <v/>
      </c>
      <c r="D276" s="5" t="str" cm="1">
        <f t="array" ref="D2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6" s="5" t="str" cm="1">
        <f t="array" ref="E2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6" s="5" t="str" cm="1">
        <f t="array" ref="F2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6" t="str" cm="1">
        <f t="array" ref="G2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6" s="4"/>
      <c r="I276" s="3" t="str" cm="1">
        <f t="array" ref="I2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7" spans="1:9" x14ac:dyDescent="0.3">
      <c r="A277" s="3" t="str">
        <f>IF(SISTEMA!A271="","",SISTEMA!A271)</f>
        <v/>
      </c>
      <c r="B277" s="10" t="str">
        <f>IF(SISTEMA!B271="","",VALUE(SISTEMA!B271))</f>
        <v/>
      </c>
      <c r="C277" s="10" t="str">
        <f>IF(SISTEMA!C271="","",SISTEMA!C271)</f>
        <v/>
      </c>
      <c r="D277" s="5" t="str" cm="1">
        <f t="array" ref="D2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7" s="5" t="str" cm="1">
        <f t="array" ref="E2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7" s="5" t="str" cm="1">
        <f t="array" ref="F2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7" t="str" cm="1">
        <f t="array" ref="G2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7" s="4"/>
      <c r="I277" s="3" t="str" cm="1">
        <f t="array" ref="I2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8" spans="1:9" x14ac:dyDescent="0.3">
      <c r="A278" s="3" t="str">
        <f>IF(SISTEMA!A272="","",SISTEMA!A272)</f>
        <v/>
      </c>
      <c r="B278" s="10" t="str">
        <f>IF(SISTEMA!B272="","",VALUE(SISTEMA!B272))</f>
        <v/>
      </c>
      <c r="C278" s="10" t="str">
        <f>IF(SISTEMA!C272="","",SISTEMA!C272)</f>
        <v/>
      </c>
      <c r="D278" s="5" t="str" cm="1">
        <f t="array" ref="D2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8" s="5" t="str" cm="1">
        <f t="array" ref="E2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8" s="5" t="str" cm="1">
        <f t="array" ref="F2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8" t="str" cm="1">
        <f t="array" ref="G2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8" s="4"/>
      <c r="I278" s="3" t="str" cm="1">
        <f t="array" ref="I2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79" spans="1:9" x14ac:dyDescent="0.3">
      <c r="A279" s="3" t="str">
        <f>IF(SISTEMA!A273="","",SISTEMA!A273)</f>
        <v/>
      </c>
      <c r="B279" s="10" t="str">
        <f>IF(SISTEMA!B273="","",VALUE(SISTEMA!B273))</f>
        <v/>
      </c>
      <c r="C279" s="10" t="str">
        <f>IF(SISTEMA!C273="","",SISTEMA!C273)</f>
        <v/>
      </c>
      <c r="D279" s="5" t="str" cm="1">
        <f t="array" ref="D2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79" s="5" t="str" cm="1">
        <f t="array" ref="E2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79" s="5" t="str" cm="1">
        <f t="array" ref="F2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79" t="str" cm="1">
        <f t="array" ref="G2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79" s="4"/>
      <c r="I279" s="3" t="str" cm="1">
        <f t="array" ref="I2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0" spans="1:9" x14ac:dyDescent="0.3">
      <c r="A280" s="3" t="str">
        <f>IF(SISTEMA!A274="","",SISTEMA!A274)</f>
        <v/>
      </c>
      <c r="B280" s="10" t="str">
        <f>IF(SISTEMA!B274="","",VALUE(SISTEMA!B274))</f>
        <v/>
      </c>
      <c r="C280" s="10" t="str">
        <f>IF(SISTEMA!C274="","",SISTEMA!C274)</f>
        <v/>
      </c>
      <c r="D280" s="5" t="str" cm="1">
        <f t="array" ref="D2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0" s="5" t="str" cm="1">
        <f t="array" ref="E2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0" s="5" t="str" cm="1">
        <f t="array" ref="F2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0" t="str" cm="1">
        <f t="array" ref="G2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0" s="4"/>
      <c r="I280" s="3" t="str" cm="1">
        <f t="array" ref="I2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1" spans="1:9" x14ac:dyDescent="0.3">
      <c r="A281" s="3" t="str">
        <f>IF(SISTEMA!A275="","",SISTEMA!A275)</f>
        <v/>
      </c>
      <c r="B281" s="10" t="str">
        <f>IF(SISTEMA!B275="","",VALUE(SISTEMA!B275))</f>
        <v/>
      </c>
      <c r="C281" s="10" t="str">
        <f>IF(SISTEMA!C275="","",SISTEMA!C275)</f>
        <v/>
      </c>
      <c r="D281" s="5" t="str" cm="1">
        <f t="array" ref="D2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1" s="5" t="str" cm="1">
        <f t="array" ref="E2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1" s="5" t="str" cm="1">
        <f t="array" ref="F2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1" t="str" cm="1">
        <f t="array" ref="G2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1" s="4"/>
      <c r="I281" s="3" t="str" cm="1">
        <f t="array" ref="I2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2" spans="1:9" x14ac:dyDescent="0.3">
      <c r="A282" s="3" t="str">
        <f>IF(SISTEMA!A276="","",SISTEMA!A276)</f>
        <v/>
      </c>
      <c r="B282" s="10" t="str">
        <f>IF(SISTEMA!B276="","",VALUE(SISTEMA!B276))</f>
        <v/>
      </c>
      <c r="C282" s="10" t="str">
        <f>IF(SISTEMA!C276="","",SISTEMA!C276)</f>
        <v/>
      </c>
      <c r="D282" s="5" t="str" cm="1">
        <f t="array" ref="D2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2" s="5" t="str" cm="1">
        <f t="array" ref="E2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2" s="5" t="str" cm="1">
        <f t="array" ref="F2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2" t="str" cm="1">
        <f t="array" ref="G2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2" s="4"/>
      <c r="I282" s="3" t="str" cm="1">
        <f t="array" ref="I2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3" spans="1:9" x14ac:dyDescent="0.3">
      <c r="A283" s="3" t="str">
        <f>IF(SISTEMA!A277="","",SISTEMA!A277)</f>
        <v/>
      </c>
      <c r="B283" s="10" t="str">
        <f>IF(SISTEMA!B277="","",VALUE(SISTEMA!B277))</f>
        <v/>
      </c>
      <c r="C283" s="10" t="str">
        <f>IF(SISTEMA!C277="","",SISTEMA!C277)</f>
        <v/>
      </c>
      <c r="D283" s="5" t="str" cm="1">
        <f t="array" ref="D2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3" s="5" t="str" cm="1">
        <f t="array" ref="E2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3" s="5" t="str" cm="1">
        <f t="array" ref="F2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3" t="str" cm="1">
        <f t="array" ref="G2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3" s="4"/>
      <c r="I283" s="3" t="str" cm="1">
        <f t="array" ref="I2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4" spans="1:9" x14ac:dyDescent="0.3">
      <c r="A284" s="3" t="str">
        <f>IF(SISTEMA!A278="","",SISTEMA!A278)</f>
        <v/>
      </c>
      <c r="B284" s="10" t="str">
        <f>IF(SISTEMA!B278="","",VALUE(SISTEMA!B278))</f>
        <v/>
      </c>
      <c r="C284" s="10" t="str">
        <f>IF(SISTEMA!C278="","",SISTEMA!C278)</f>
        <v/>
      </c>
      <c r="D284" s="5" t="str" cm="1">
        <f t="array" ref="D2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4" s="5" t="str" cm="1">
        <f t="array" ref="E2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4" s="5" t="str" cm="1">
        <f t="array" ref="F2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4" t="str" cm="1">
        <f t="array" ref="G2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4" s="4"/>
      <c r="I284" s="3" t="str" cm="1">
        <f t="array" ref="I2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5" spans="1:9" x14ac:dyDescent="0.3">
      <c r="A285" s="3" t="str">
        <f>IF(SISTEMA!A279="","",SISTEMA!A279)</f>
        <v/>
      </c>
      <c r="B285" s="10" t="str">
        <f>IF(SISTEMA!B279="","",VALUE(SISTEMA!B279))</f>
        <v/>
      </c>
      <c r="C285" s="10" t="str">
        <f>IF(SISTEMA!C279="","",SISTEMA!C279)</f>
        <v/>
      </c>
      <c r="D285" s="5" t="str" cm="1">
        <f t="array" ref="D2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5" s="5" t="str" cm="1">
        <f t="array" ref="E2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5" s="5" t="str" cm="1">
        <f t="array" ref="F2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5" t="str" cm="1">
        <f t="array" ref="G2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5" s="4"/>
      <c r="I285" s="3" t="str" cm="1">
        <f t="array" ref="I2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6" spans="1:9" x14ac:dyDescent="0.3">
      <c r="A286" s="3" t="str">
        <f>IF(SISTEMA!A280="","",SISTEMA!A280)</f>
        <v/>
      </c>
      <c r="B286" s="10" t="str">
        <f>IF(SISTEMA!B280="","",VALUE(SISTEMA!B280))</f>
        <v/>
      </c>
      <c r="C286" s="10" t="str">
        <f>IF(SISTEMA!C280="","",SISTEMA!C280)</f>
        <v/>
      </c>
      <c r="D286" s="5" t="str" cm="1">
        <f t="array" ref="D2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6" s="5" t="str" cm="1">
        <f t="array" ref="E2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6" s="5" t="str" cm="1">
        <f t="array" ref="F2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6" t="str" cm="1">
        <f t="array" ref="G2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6" s="4"/>
      <c r="I286" s="3" t="str" cm="1">
        <f t="array" ref="I2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7" spans="1:9" x14ac:dyDescent="0.3">
      <c r="A287" s="3" t="str">
        <f>IF(SISTEMA!A281="","",SISTEMA!A281)</f>
        <v/>
      </c>
      <c r="B287" s="10" t="str">
        <f>IF(SISTEMA!B281="","",VALUE(SISTEMA!B281))</f>
        <v/>
      </c>
      <c r="C287" s="10" t="str">
        <f>IF(SISTEMA!C281="","",SISTEMA!C281)</f>
        <v/>
      </c>
      <c r="D287" s="5" t="str" cm="1">
        <f t="array" ref="D2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7" s="5" t="str" cm="1">
        <f t="array" ref="E2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7" s="5" t="str" cm="1">
        <f t="array" ref="F2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7" t="str" cm="1">
        <f t="array" ref="G2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7" s="4"/>
      <c r="I287" s="3" t="str" cm="1">
        <f t="array" ref="I2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8" spans="1:9" x14ac:dyDescent="0.3">
      <c r="A288" s="3" t="str">
        <f>IF(SISTEMA!A282="","",SISTEMA!A282)</f>
        <v/>
      </c>
      <c r="B288" s="10" t="str">
        <f>IF(SISTEMA!B282="","",VALUE(SISTEMA!B282))</f>
        <v/>
      </c>
      <c r="C288" s="10" t="str">
        <f>IF(SISTEMA!C282="","",SISTEMA!C282)</f>
        <v/>
      </c>
      <c r="D288" s="5" t="str" cm="1">
        <f t="array" ref="D2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8" s="5" t="str" cm="1">
        <f t="array" ref="E2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8" s="5" t="str" cm="1">
        <f t="array" ref="F2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8" t="str" cm="1">
        <f t="array" ref="G2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8" s="4"/>
      <c r="I288" s="3" t="str" cm="1">
        <f t="array" ref="I2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89" spans="1:9" x14ac:dyDescent="0.3">
      <c r="A289" s="3" t="str">
        <f>IF(SISTEMA!A283="","",SISTEMA!A283)</f>
        <v/>
      </c>
      <c r="B289" s="10" t="str">
        <f>IF(SISTEMA!B283="","",VALUE(SISTEMA!B283))</f>
        <v/>
      </c>
      <c r="C289" s="10" t="str">
        <f>IF(SISTEMA!C283="","",SISTEMA!C283)</f>
        <v/>
      </c>
      <c r="D289" s="5" t="str" cm="1">
        <f t="array" ref="D2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89" s="5" t="str" cm="1">
        <f t="array" ref="E2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89" s="5" t="str" cm="1">
        <f t="array" ref="F2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89" t="str" cm="1">
        <f t="array" ref="G2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89" s="4"/>
      <c r="I289" s="3" t="str" cm="1">
        <f t="array" ref="I2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0" spans="1:9" x14ac:dyDescent="0.3">
      <c r="A290" s="3" t="str">
        <f>IF(SISTEMA!A284="","",SISTEMA!A284)</f>
        <v/>
      </c>
      <c r="B290" s="10" t="str">
        <f>IF(SISTEMA!B284="","",VALUE(SISTEMA!B284))</f>
        <v/>
      </c>
      <c r="C290" s="10" t="str">
        <f>IF(SISTEMA!C284="","",SISTEMA!C284)</f>
        <v/>
      </c>
      <c r="D290" s="5" t="str" cm="1">
        <f t="array" ref="D2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0" s="5" t="str" cm="1">
        <f t="array" ref="E2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0" s="5" t="str" cm="1">
        <f t="array" ref="F2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0" t="str" cm="1">
        <f t="array" ref="G2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0" s="4"/>
      <c r="I290" s="3" t="str" cm="1">
        <f t="array" ref="I2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1" spans="1:9" x14ac:dyDescent="0.3">
      <c r="A291" s="3" t="str">
        <f>IF(SISTEMA!A285="","",SISTEMA!A285)</f>
        <v/>
      </c>
      <c r="B291" s="10" t="str">
        <f>IF(SISTEMA!B285="","",VALUE(SISTEMA!B285))</f>
        <v/>
      </c>
      <c r="C291" s="10" t="str">
        <f>IF(SISTEMA!C285="","",SISTEMA!C285)</f>
        <v/>
      </c>
      <c r="D291" s="5" t="str" cm="1">
        <f t="array" ref="D2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1" s="5" t="str" cm="1">
        <f t="array" ref="E2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1" s="5" t="str" cm="1">
        <f t="array" ref="F2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1" t="str" cm="1">
        <f t="array" ref="G2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1" s="4"/>
      <c r="I291" s="3" t="str" cm="1">
        <f t="array" ref="I2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2" spans="1:9" x14ac:dyDescent="0.3">
      <c r="A292" s="3" t="str">
        <f>IF(SISTEMA!A286="","",SISTEMA!A286)</f>
        <v/>
      </c>
      <c r="B292" s="10" t="str">
        <f>IF(SISTEMA!B286="","",VALUE(SISTEMA!B286))</f>
        <v/>
      </c>
      <c r="C292" s="10" t="str">
        <f>IF(SISTEMA!C286="","",SISTEMA!C286)</f>
        <v/>
      </c>
      <c r="D292" s="5" t="str" cm="1">
        <f t="array" ref="D2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2" s="5" t="str" cm="1">
        <f t="array" ref="E2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2" s="5" t="str" cm="1">
        <f t="array" ref="F2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2" t="str" cm="1">
        <f t="array" ref="G2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2" s="4"/>
      <c r="I292" s="3" t="str" cm="1">
        <f t="array" ref="I2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3" spans="1:9" x14ac:dyDescent="0.3">
      <c r="A293" s="3" t="str">
        <f>IF(SISTEMA!A287="","",SISTEMA!A287)</f>
        <v/>
      </c>
      <c r="B293" s="10" t="str">
        <f>IF(SISTEMA!B287="","",VALUE(SISTEMA!B287))</f>
        <v/>
      </c>
      <c r="C293" s="10" t="str">
        <f>IF(SISTEMA!C287="","",SISTEMA!C287)</f>
        <v/>
      </c>
      <c r="D293" s="5" t="str" cm="1">
        <f t="array" ref="D2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3" s="5" t="str" cm="1">
        <f t="array" ref="E2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3" s="5" t="str" cm="1">
        <f t="array" ref="F2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3" t="str" cm="1">
        <f t="array" ref="G2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3" s="4"/>
      <c r="I293" s="3" t="str" cm="1">
        <f t="array" ref="I2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4" spans="1:9" x14ac:dyDescent="0.3">
      <c r="A294" s="3" t="str">
        <f>IF(SISTEMA!A288="","",SISTEMA!A288)</f>
        <v/>
      </c>
      <c r="B294" s="10" t="str">
        <f>IF(SISTEMA!B288="","",VALUE(SISTEMA!B288))</f>
        <v/>
      </c>
      <c r="C294" s="10" t="str">
        <f>IF(SISTEMA!C288="","",SISTEMA!C288)</f>
        <v/>
      </c>
      <c r="D294" s="5" t="str" cm="1">
        <f t="array" ref="D2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4" s="5" t="str" cm="1">
        <f t="array" ref="E2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4" s="5" t="str" cm="1">
        <f t="array" ref="F2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4" t="str" cm="1">
        <f t="array" ref="G2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4" s="4"/>
      <c r="I294" s="3" t="str" cm="1">
        <f t="array" ref="I2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5" spans="1:9" x14ac:dyDescent="0.3">
      <c r="A295" s="3" t="str">
        <f>IF(SISTEMA!A289="","",SISTEMA!A289)</f>
        <v/>
      </c>
      <c r="B295" s="10" t="str">
        <f>IF(SISTEMA!B289="","",VALUE(SISTEMA!B289))</f>
        <v/>
      </c>
      <c r="C295" s="10" t="str">
        <f>IF(SISTEMA!C289="","",SISTEMA!C289)</f>
        <v/>
      </c>
      <c r="D295" s="5" t="str" cm="1">
        <f t="array" ref="D2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5" s="5" t="str" cm="1">
        <f t="array" ref="E2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5" s="5" t="str" cm="1">
        <f t="array" ref="F2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5" t="str" cm="1">
        <f t="array" ref="G2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5" s="4"/>
      <c r="I295" s="3" t="str" cm="1">
        <f t="array" ref="I2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6" spans="1:9" x14ac:dyDescent="0.3">
      <c r="A296" s="3" t="str">
        <f>IF(SISTEMA!A290="","",SISTEMA!A290)</f>
        <v/>
      </c>
      <c r="B296" s="10" t="str">
        <f>IF(SISTEMA!B290="","",VALUE(SISTEMA!B290))</f>
        <v/>
      </c>
      <c r="C296" s="10" t="str">
        <f>IF(SISTEMA!C290="","",SISTEMA!C290)</f>
        <v/>
      </c>
      <c r="D296" s="5" t="str" cm="1">
        <f t="array" ref="D2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6" s="5" t="str" cm="1">
        <f t="array" ref="E2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6" s="5" t="str" cm="1">
        <f t="array" ref="F2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6" t="str" cm="1">
        <f t="array" ref="G2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6" s="4"/>
      <c r="I296" s="3" t="str" cm="1">
        <f t="array" ref="I2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7" spans="1:9" x14ac:dyDescent="0.3">
      <c r="A297" s="3" t="str">
        <f>IF(SISTEMA!A291="","",SISTEMA!A291)</f>
        <v/>
      </c>
      <c r="B297" s="10" t="str">
        <f>IF(SISTEMA!B291="","",VALUE(SISTEMA!B291))</f>
        <v/>
      </c>
      <c r="C297" s="10" t="str">
        <f>IF(SISTEMA!C291="","",SISTEMA!C291)</f>
        <v/>
      </c>
      <c r="D297" s="5" t="str" cm="1">
        <f t="array" ref="D2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7" s="5" t="str" cm="1">
        <f t="array" ref="E2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7" s="5" t="str" cm="1">
        <f t="array" ref="F2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7" t="str" cm="1">
        <f t="array" ref="G2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7" s="4"/>
      <c r="I297" s="3" t="str" cm="1">
        <f t="array" ref="I2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8" spans="1:9" x14ac:dyDescent="0.3">
      <c r="A298" s="3" t="str">
        <f>IF(SISTEMA!A292="","",SISTEMA!A292)</f>
        <v/>
      </c>
      <c r="B298" s="10" t="str">
        <f>IF(SISTEMA!B292="","",VALUE(SISTEMA!B292))</f>
        <v/>
      </c>
      <c r="C298" s="10" t="str">
        <f>IF(SISTEMA!C292="","",SISTEMA!C292)</f>
        <v/>
      </c>
      <c r="D298" s="5" t="str" cm="1">
        <f t="array" ref="D2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8" s="5" t="str" cm="1">
        <f t="array" ref="E2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8" s="5" t="str" cm="1">
        <f t="array" ref="F2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8" t="str" cm="1">
        <f t="array" ref="G2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8" s="4"/>
      <c r="I298" s="3" t="str" cm="1">
        <f t="array" ref="I2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99" spans="1:9" x14ac:dyDescent="0.3">
      <c r="A299" s="3" t="str">
        <f>IF(SISTEMA!A293="","",SISTEMA!A293)</f>
        <v/>
      </c>
      <c r="B299" s="10" t="str">
        <f>IF(SISTEMA!B293="","",VALUE(SISTEMA!B293))</f>
        <v/>
      </c>
      <c r="C299" s="10" t="str">
        <f>IF(SISTEMA!C293="","",SISTEMA!C293)</f>
        <v/>
      </c>
      <c r="D299" s="5" t="str" cm="1">
        <f t="array" ref="D2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99" s="5" t="str" cm="1">
        <f t="array" ref="E2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99" s="5" t="str" cm="1">
        <f t="array" ref="F2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99" t="str" cm="1">
        <f t="array" ref="G2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99" s="4"/>
      <c r="I299" s="3" t="str" cm="1">
        <f t="array" ref="I2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0" spans="1:9" x14ac:dyDescent="0.3">
      <c r="A300" s="3" t="str">
        <f>IF(SISTEMA!A294="","",SISTEMA!A294)</f>
        <v/>
      </c>
      <c r="B300" s="10" t="str">
        <f>IF(SISTEMA!B294="","",VALUE(SISTEMA!B294))</f>
        <v/>
      </c>
      <c r="C300" s="10" t="str">
        <f>IF(SISTEMA!C294="","",SISTEMA!C294)</f>
        <v/>
      </c>
      <c r="D300" s="5" t="str" cm="1">
        <f t="array" ref="D3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0" s="5" t="str" cm="1">
        <f t="array" ref="E3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0" s="5" t="str" cm="1">
        <f t="array" ref="F3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0" t="str" cm="1">
        <f t="array" ref="G3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0" s="4"/>
      <c r="I300" s="3" t="str" cm="1">
        <f t="array" ref="I3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1" spans="1:9" x14ac:dyDescent="0.3">
      <c r="A301" s="3" t="str">
        <f>IF(SISTEMA!A295="","",SISTEMA!A295)</f>
        <v/>
      </c>
      <c r="B301" s="10" t="str">
        <f>IF(SISTEMA!B295="","",VALUE(SISTEMA!B295))</f>
        <v/>
      </c>
      <c r="C301" s="10" t="str">
        <f>IF(SISTEMA!C295="","",SISTEMA!C295)</f>
        <v/>
      </c>
      <c r="D301" s="5" t="str" cm="1">
        <f t="array" ref="D3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1" s="5" t="str" cm="1">
        <f t="array" ref="E3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1" s="5" t="str" cm="1">
        <f t="array" ref="F3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1" t="str" cm="1">
        <f t="array" ref="G3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1" s="4"/>
      <c r="I301" s="3" t="str" cm="1">
        <f t="array" ref="I3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2" spans="1:9" x14ac:dyDescent="0.3">
      <c r="A302" s="3" t="str">
        <f>IF(SISTEMA!A296="","",SISTEMA!A296)</f>
        <v/>
      </c>
      <c r="B302" s="10" t="str">
        <f>IF(SISTEMA!B296="","",VALUE(SISTEMA!B296))</f>
        <v/>
      </c>
      <c r="C302" s="10" t="str">
        <f>IF(SISTEMA!C296="","",SISTEMA!C296)</f>
        <v/>
      </c>
      <c r="D302" s="5" t="str" cm="1">
        <f t="array" ref="D3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2" s="5" t="str" cm="1">
        <f t="array" ref="E3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2" s="5" t="str" cm="1">
        <f t="array" ref="F3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2" t="str" cm="1">
        <f t="array" ref="G3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2" s="4"/>
      <c r="I302" s="3" t="str" cm="1">
        <f t="array" ref="I3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3" spans="1:9" x14ac:dyDescent="0.3">
      <c r="A303" s="3" t="str">
        <f>IF(SISTEMA!A297="","",SISTEMA!A297)</f>
        <v/>
      </c>
      <c r="B303" s="10" t="str">
        <f>IF(SISTEMA!B297="","",VALUE(SISTEMA!B297))</f>
        <v/>
      </c>
      <c r="C303" s="10" t="str">
        <f>IF(SISTEMA!C297="","",SISTEMA!C297)</f>
        <v/>
      </c>
      <c r="D303" s="5" t="str" cm="1">
        <f t="array" ref="D3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3" s="5" t="str" cm="1">
        <f t="array" ref="E3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3" s="5" t="str" cm="1">
        <f t="array" ref="F3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3" t="str" cm="1">
        <f t="array" ref="G3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3" s="4"/>
      <c r="I303" s="3" t="str" cm="1">
        <f t="array" ref="I3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4" spans="1:9" x14ac:dyDescent="0.3">
      <c r="A304" s="3" t="str">
        <f>IF(SISTEMA!A298="","",SISTEMA!A298)</f>
        <v/>
      </c>
      <c r="B304" s="10" t="str">
        <f>IF(SISTEMA!B298="","",VALUE(SISTEMA!B298))</f>
        <v/>
      </c>
      <c r="C304" s="10" t="str">
        <f>IF(SISTEMA!C298="","",SISTEMA!C298)</f>
        <v/>
      </c>
      <c r="D304" s="5" t="str" cm="1">
        <f t="array" ref="D3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4" s="5" t="str" cm="1">
        <f t="array" ref="E3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4" s="5" t="str" cm="1">
        <f t="array" ref="F3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4" t="str" cm="1">
        <f t="array" ref="G3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4" s="4"/>
      <c r="I304" s="3" t="str" cm="1">
        <f t="array" ref="I3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5" spans="1:9" x14ac:dyDescent="0.3">
      <c r="A305" s="3" t="str">
        <f>IF(SISTEMA!A299="","",SISTEMA!A299)</f>
        <v/>
      </c>
      <c r="B305" s="10" t="str">
        <f>IF(SISTEMA!B299="","",VALUE(SISTEMA!B299))</f>
        <v/>
      </c>
      <c r="C305" s="10" t="str">
        <f>IF(SISTEMA!C299="","",SISTEMA!C299)</f>
        <v/>
      </c>
      <c r="D305" s="5" t="str" cm="1">
        <f t="array" ref="D3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5" s="5" t="str" cm="1">
        <f t="array" ref="E3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5" s="5" t="str" cm="1">
        <f t="array" ref="F3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5" t="str" cm="1">
        <f t="array" ref="G3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5" s="4"/>
      <c r="I305" s="3" t="str" cm="1">
        <f t="array" ref="I3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6" spans="1:9" x14ac:dyDescent="0.3">
      <c r="A306" s="3" t="str">
        <f>IF(SISTEMA!A300="","",SISTEMA!A300)</f>
        <v/>
      </c>
      <c r="B306" s="10" t="str">
        <f>IF(SISTEMA!B300="","",VALUE(SISTEMA!B300))</f>
        <v/>
      </c>
      <c r="C306" s="10" t="str">
        <f>IF(SISTEMA!C300="","",SISTEMA!C300)</f>
        <v/>
      </c>
      <c r="D306" s="5" t="str" cm="1">
        <f t="array" ref="D3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6" s="5" t="str" cm="1">
        <f t="array" ref="E3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6" s="5" t="str" cm="1">
        <f t="array" ref="F3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6" t="str" cm="1">
        <f t="array" ref="G3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6" s="4"/>
      <c r="I306" s="3" t="str" cm="1">
        <f t="array" ref="I3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7" spans="1:9" x14ac:dyDescent="0.3">
      <c r="A307" s="3" t="str">
        <f>IF(SISTEMA!A301="","",SISTEMA!A301)</f>
        <v/>
      </c>
      <c r="B307" s="10" t="str">
        <f>IF(SISTEMA!B301="","",VALUE(SISTEMA!B301))</f>
        <v/>
      </c>
      <c r="C307" s="10" t="str">
        <f>IF(SISTEMA!C301="","",SISTEMA!C301)</f>
        <v/>
      </c>
      <c r="D307" s="5" t="str" cm="1">
        <f t="array" ref="D3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7" s="5" t="str" cm="1">
        <f t="array" ref="E3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7" s="5" t="str" cm="1">
        <f t="array" ref="F3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7" t="str" cm="1">
        <f t="array" ref="G3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7" s="4"/>
      <c r="I307" s="3" t="str" cm="1">
        <f t="array" ref="I3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8" spans="1:9" x14ac:dyDescent="0.3">
      <c r="A308" s="3" t="str">
        <f>IF(SISTEMA!A302="","",SISTEMA!A302)</f>
        <v/>
      </c>
      <c r="B308" s="10" t="str">
        <f>IF(SISTEMA!B302="","",VALUE(SISTEMA!B302))</f>
        <v/>
      </c>
      <c r="C308" s="10" t="str">
        <f>IF(SISTEMA!C302="","",SISTEMA!C302)</f>
        <v/>
      </c>
      <c r="D308" s="5" t="str" cm="1">
        <f t="array" ref="D3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8" s="5" t="str" cm="1">
        <f t="array" ref="E3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8" s="5" t="str" cm="1">
        <f t="array" ref="F3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8" t="str" cm="1">
        <f t="array" ref="G3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8" s="4"/>
      <c r="I308" s="3" t="str" cm="1">
        <f t="array" ref="I3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09" spans="1:9" x14ac:dyDescent="0.3">
      <c r="A309" s="3" t="str">
        <f>IF(SISTEMA!A303="","",SISTEMA!A303)</f>
        <v/>
      </c>
      <c r="B309" s="10" t="str">
        <f>IF(SISTEMA!B303="","",VALUE(SISTEMA!B303))</f>
        <v/>
      </c>
      <c r="C309" s="10" t="str">
        <f>IF(SISTEMA!C303="","",SISTEMA!C303)</f>
        <v/>
      </c>
      <c r="D309" s="5" t="str" cm="1">
        <f t="array" ref="D3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09" s="5" t="str" cm="1">
        <f t="array" ref="E3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09" s="5" t="str" cm="1">
        <f t="array" ref="F3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09" t="str" cm="1">
        <f t="array" ref="G3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09" s="4"/>
      <c r="I309" s="3" t="str" cm="1">
        <f t="array" ref="I3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0" spans="1:9" x14ac:dyDescent="0.3">
      <c r="A310" s="3" t="str">
        <f>IF(SISTEMA!A304="","",SISTEMA!A304)</f>
        <v/>
      </c>
      <c r="B310" s="10" t="str">
        <f>IF(SISTEMA!B304="","",VALUE(SISTEMA!B304))</f>
        <v/>
      </c>
      <c r="C310" s="10" t="str">
        <f>IF(SISTEMA!C304="","",SISTEMA!C304)</f>
        <v/>
      </c>
      <c r="D310" s="5" t="str" cm="1">
        <f t="array" ref="D3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0" s="5" t="str" cm="1">
        <f t="array" ref="E3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0" s="5" t="str" cm="1">
        <f t="array" ref="F3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0" t="str" cm="1">
        <f t="array" ref="G3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0" s="4"/>
      <c r="I310" s="3" t="str" cm="1">
        <f t="array" ref="I3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1" spans="1:9" x14ac:dyDescent="0.3">
      <c r="A311" s="3" t="str">
        <f>IF(SISTEMA!A305="","",SISTEMA!A305)</f>
        <v/>
      </c>
      <c r="B311" s="10" t="str">
        <f>IF(SISTEMA!B305="","",VALUE(SISTEMA!B305))</f>
        <v/>
      </c>
      <c r="C311" s="10" t="str">
        <f>IF(SISTEMA!C305="","",SISTEMA!C305)</f>
        <v/>
      </c>
      <c r="D311" s="5" t="str" cm="1">
        <f t="array" ref="D3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1" s="5" t="str" cm="1">
        <f t="array" ref="E3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1" s="5" t="str" cm="1">
        <f t="array" ref="F3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1" t="str" cm="1">
        <f t="array" ref="G3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1" s="4"/>
      <c r="I311" s="3" t="str" cm="1">
        <f t="array" ref="I3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2" spans="1:9" x14ac:dyDescent="0.3">
      <c r="A312" s="3" t="str">
        <f>IF(SISTEMA!A306="","",SISTEMA!A306)</f>
        <v/>
      </c>
      <c r="B312" s="10" t="str">
        <f>IF(SISTEMA!B306="","",VALUE(SISTEMA!B306))</f>
        <v/>
      </c>
      <c r="C312" s="10" t="str">
        <f>IF(SISTEMA!C306="","",SISTEMA!C306)</f>
        <v/>
      </c>
      <c r="D312" s="5" t="str" cm="1">
        <f t="array" ref="D3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2" s="5" t="str" cm="1">
        <f t="array" ref="E3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2" s="5" t="str" cm="1">
        <f t="array" ref="F3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2" t="str" cm="1">
        <f t="array" ref="G3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2" s="4"/>
      <c r="I312" s="3" t="str" cm="1">
        <f t="array" ref="I3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3" spans="1:9" x14ac:dyDescent="0.3">
      <c r="A313" s="3" t="str">
        <f>IF(SISTEMA!A307="","",SISTEMA!A307)</f>
        <v/>
      </c>
      <c r="B313" s="10" t="str">
        <f>IF(SISTEMA!B307="","",VALUE(SISTEMA!B307))</f>
        <v/>
      </c>
      <c r="C313" s="10" t="str">
        <f>IF(SISTEMA!C307="","",SISTEMA!C307)</f>
        <v/>
      </c>
      <c r="D313" s="5" t="str" cm="1">
        <f t="array" ref="D3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3" s="5" t="str" cm="1">
        <f t="array" ref="E3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3" s="5" t="str" cm="1">
        <f t="array" ref="F3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3" t="str" cm="1">
        <f t="array" ref="G3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3" s="4"/>
      <c r="I313" s="3" t="str" cm="1">
        <f t="array" ref="I3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4" spans="1:9" x14ac:dyDescent="0.3">
      <c r="A314" s="3" t="str">
        <f>IF(SISTEMA!A308="","",SISTEMA!A308)</f>
        <v/>
      </c>
      <c r="B314" s="10" t="str">
        <f>IF(SISTEMA!B308="","",VALUE(SISTEMA!B308))</f>
        <v/>
      </c>
      <c r="C314" s="10" t="str">
        <f>IF(SISTEMA!C308="","",SISTEMA!C308)</f>
        <v/>
      </c>
      <c r="D314" s="5" t="str" cm="1">
        <f t="array" ref="D3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4" s="5" t="str" cm="1">
        <f t="array" ref="E3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4" s="5" t="str" cm="1">
        <f t="array" ref="F3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4" t="str" cm="1">
        <f t="array" ref="G3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4" s="4"/>
      <c r="I314" s="3" t="str" cm="1">
        <f t="array" ref="I3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5" spans="1:9" x14ac:dyDescent="0.3">
      <c r="A315" s="3" t="str">
        <f>IF(SISTEMA!A309="","",SISTEMA!A309)</f>
        <v/>
      </c>
      <c r="B315" s="10" t="str">
        <f>IF(SISTEMA!B309="","",VALUE(SISTEMA!B309))</f>
        <v/>
      </c>
      <c r="C315" s="10" t="str">
        <f>IF(SISTEMA!C309="","",SISTEMA!C309)</f>
        <v/>
      </c>
      <c r="D315" s="5" t="str" cm="1">
        <f t="array" ref="D3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5" s="5" t="str" cm="1">
        <f t="array" ref="E3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5" s="5" t="str" cm="1">
        <f t="array" ref="F3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5" t="str" cm="1">
        <f t="array" ref="G3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5" s="4"/>
      <c r="I315" s="3" t="str" cm="1">
        <f t="array" ref="I3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6" spans="1:9" x14ac:dyDescent="0.3">
      <c r="A316" s="3" t="str">
        <f>IF(SISTEMA!A310="","",SISTEMA!A310)</f>
        <v/>
      </c>
      <c r="B316" s="10" t="str">
        <f>IF(SISTEMA!B310="","",VALUE(SISTEMA!B310))</f>
        <v/>
      </c>
      <c r="C316" s="10" t="str">
        <f>IF(SISTEMA!C310="","",SISTEMA!C310)</f>
        <v/>
      </c>
      <c r="D316" s="5" t="str" cm="1">
        <f t="array" ref="D3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6" s="5" t="str" cm="1">
        <f t="array" ref="E3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6" s="5" t="str" cm="1">
        <f t="array" ref="F3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6" t="str" cm="1">
        <f t="array" ref="G3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6" s="4"/>
      <c r="I316" s="3" t="str" cm="1">
        <f t="array" ref="I3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7" spans="1:9" x14ac:dyDescent="0.3">
      <c r="A317" s="3" t="str">
        <f>IF(SISTEMA!A311="","",SISTEMA!A311)</f>
        <v/>
      </c>
      <c r="B317" s="10" t="str">
        <f>IF(SISTEMA!B311="","",VALUE(SISTEMA!B311))</f>
        <v/>
      </c>
      <c r="C317" s="10" t="str">
        <f>IF(SISTEMA!C311="","",SISTEMA!C311)</f>
        <v/>
      </c>
      <c r="D317" s="5" t="str" cm="1">
        <f t="array" ref="D3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7" s="5" t="str" cm="1">
        <f t="array" ref="E3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7" s="5" t="str" cm="1">
        <f t="array" ref="F3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7" t="str" cm="1">
        <f t="array" ref="G3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7" s="4"/>
      <c r="I317" s="3" t="str" cm="1">
        <f t="array" ref="I3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8" spans="1:9" x14ac:dyDescent="0.3">
      <c r="A318" s="3" t="str">
        <f>IF(SISTEMA!A312="","",SISTEMA!A312)</f>
        <v/>
      </c>
      <c r="B318" s="10" t="str">
        <f>IF(SISTEMA!B312="","",VALUE(SISTEMA!B312))</f>
        <v/>
      </c>
      <c r="C318" s="10" t="str">
        <f>IF(SISTEMA!C312="","",SISTEMA!C312)</f>
        <v/>
      </c>
      <c r="D318" s="5" t="str" cm="1">
        <f t="array" ref="D3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8" s="5" t="str" cm="1">
        <f t="array" ref="E3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8" s="5" t="str" cm="1">
        <f t="array" ref="F3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8" t="str" cm="1">
        <f t="array" ref="G3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8" s="4"/>
      <c r="I318" s="3" t="str" cm="1">
        <f t="array" ref="I3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19" spans="1:9" x14ac:dyDescent="0.3">
      <c r="A319" s="3" t="str">
        <f>IF(SISTEMA!A313="","",SISTEMA!A313)</f>
        <v/>
      </c>
      <c r="B319" s="10" t="str">
        <f>IF(SISTEMA!B313="","",VALUE(SISTEMA!B313))</f>
        <v/>
      </c>
      <c r="C319" s="10" t="str">
        <f>IF(SISTEMA!C313="","",SISTEMA!C313)</f>
        <v/>
      </c>
      <c r="D319" s="5" t="str" cm="1">
        <f t="array" ref="D3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19" s="5" t="str" cm="1">
        <f t="array" ref="E3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19" s="5" t="str" cm="1">
        <f t="array" ref="F3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19" t="str" cm="1">
        <f t="array" ref="G3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19" s="4"/>
      <c r="I319" s="3" t="str" cm="1">
        <f t="array" ref="I3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0" spans="1:9" x14ac:dyDescent="0.3">
      <c r="A320" s="3" t="str">
        <f>IF(SISTEMA!A314="","",SISTEMA!A314)</f>
        <v/>
      </c>
      <c r="B320" s="10" t="str">
        <f>IF(SISTEMA!B314="","",VALUE(SISTEMA!B314))</f>
        <v/>
      </c>
      <c r="C320" s="10" t="str">
        <f>IF(SISTEMA!C314="","",SISTEMA!C314)</f>
        <v/>
      </c>
      <c r="D320" s="5" t="str" cm="1">
        <f t="array" ref="D3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0" s="5" t="str" cm="1">
        <f t="array" ref="E3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0" s="5" t="str" cm="1">
        <f t="array" ref="F3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0" t="str" cm="1">
        <f t="array" ref="G3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0" s="4"/>
      <c r="I320" s="3" t="str" cm="1">
        <f t="array" ref="I3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1" spans="1:9" x14ac:dyDescent="0.3">
      <c r="A321" s="3" t="str">
        <f>IF(SISTEMA!A315="","",SISTEMA!A315)</f>
        <v/>
      </c>
      <c r="B321" s="10" t="str">
        <f>IF(SISTEMA!B315="","",VALUE(SISTEMA!B315))</f>
        <v/>
      </c>
      <c r="C321" s="10" t="str">
        <f>IF(SISTEMA!C315="","",SISTEMA!C315)</f>
        <v/>
      </c>
      <c r="D321" s="5" t="str" cm="1">
        <f t="array" ref="D3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1" s="5" t="str" cm="1">
        <f t="array" ref="E3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1" s="5" t="str" cm="1">
        <f t="array" ref="F3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1" t="str" cm="1">
        <f t="array" ref="G3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1" s="4"/>
      <c r="I321" s="3" t="str" cm="1">
        <f t="array" ref="I3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2" spans="1:9" x14ac:dyDescent="0.3">
      <c r="A322" s="3" t="str">
        <f>IF(SISTEMA!A316="","",SISTEMA!A316)</f>
        <v/>
      </c>
      <c r="B322" s="10" t="str">
        <f>IF(SISTEMA!B316="","",VALUE(SISTEMA!B316))</f>
        <v/>
      </c>
      <c r="C322" s="10" t="str">
        <f>IF(SISTEMA!C316="","",SISTEMA!C316)</f>
        <v/>
      </c>
      <c r="D322" s="5" t="str" cm="1">
        <f t="array" ref="D3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2" s="5" t="str" cm="1">
        <f t="array" ref="E3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2" s="5" t="str" cm="1">
        <f t="array" ref="F3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2" t="str" cm="1">
        <f t="array" ref="G3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2" s="4"/>
      <c r="I322" s="3" t="str" cm="1">
        <f t="array" ref="I3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3" spans="1:9" x14ac:dyDescent="0.3">
      <c r="A323" s="3" t="str">
        <f>IF(SISTEMA!A317="","",SISTEMA!A317)</f>
        <v/>
      </c>
      <c r="B323" s="10" t="str">
        <f>IF(SISTEMA!B317="","",VALUE(SISTEMA!B317))</f>
        <v/>
      </c>
      <c r="C323" s="10" t="str">
        <f>IF(SISTEMA!C317="","",SISTEMA!C317)</f>
        <v/>
      </c>
      <c r="D323" s="5" t="str" cm="1">
        <f t="array" ref="D3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3" s="5" t="str" cm="1">
        <f t="array" ref="E3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3" s="5" t="str" cm="1">
        <f t="array" ref="F3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3" t="str" cm="1">
        <f t="array" ref="G3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3" s="4"/>
      <c r="I323" s="3" t="str" cm="1">
        <f t="array" ref="I3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4" spans="1:9" x14ac:dyDescent="0.3">
      <c r="A324" s="3" t="str">
        <f>IF(SISTEMA!A318="","",SISTEMA!A318)</f>
        <v/>
      </c>
      <c r="B324" s="10" t="str">
        <f>IF(SISTEMA!B318="","",VALUE(SISTEMA!B318))</f>
        <v/>
      </c>
      <c r="C324" s="10" t="str">
        <f>IF(SISTEMA!C318="","",SISTEMA!C318)</f>
        <v/>
      </c>
      <c r="D324" s="5" t="str" cm="1">
        <f t="array" ref="D3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4" s="5" t="str" cm="1">
        <f t="array" ref="E3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4" s="5" t="str" cm="1">
        <f t="array" ref="F3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4" t="str" cm="1">
        <f t="array" ref="G3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4" s="4"/>
      <c r="I324" s="3" t="str" cm="1">
        <f t="array" ref="I3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5" spans="1:9" x14ac:dyDescent="0.3">
      <c r="A325" s="3" t="str">
        <f>IF(SISTEMA!A319="","",SISTEMA!A319)</f>
        <v/>
      </c>
      <c r="B325" s="10" t="str">
        <f>IF(SISTEMA!B319="","",VALUE(SISTEMA!B319))</f>
        <v/>
      </c>
      <c r="C325" s="10" t="str">
        <f>IF(SISTEMA!C319="","",SISTEMA!C319)</f>
        <v/>
      </c>
      <c r="D325" s="5" t="str" cm="1">
        <f t="array" ref="D3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5" s="5" t="str" cm="1">
        <f t="array" ref="E3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5" s="5" t="str" cm="1">
        <f t="array" ref="F3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5" t="str" cm="1">
        <f t="array" ref="G3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5" s="4"/>
      <c r="I325" s="3" t="str" cm="1">
        <f t="array" ref="I3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6" spans="1:9" x14ac:dyDescent="0.3">
      <c r="A326" s="3" t="str">
        <f>IF(SISTEMA!A320="","",SISTEMA!A320)</f>
        <v/>
      </c>
      <c r="B326" s="10" t="str">
        <f>IF(SISTEMA!B320="","",VALUE(SISTEMA!B320))</f>
        <v/>
      </c>
      <c r="C326" s="10" t="str">
        <f>IF(SISTEMA!C320="","",SISTEMA!C320)</f>
        <v/>
      </c>
      <c r="D326" s="5" t="str" cm="1">
        <f t="array" ref="D3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6" s="5" t="str" cm="1">
        <f t="array" ref="E3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6" s="5" t="str" cm="1">
        <f t="array" ref="F3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6" t="str" cm="1">
        <f t="array" ref="G3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6" s="4"/>
      <c r="I326" s="3" t="str" cm="1">
        <f t="array" ref="I3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7" spans="1:9" x14ac:dyDescent="0.3">
      <c r="A327" s="3" t="str">
        <f>IF(SISTEMA!A321="","",SISTEMA!A321)</f>
        <v/>
      </c>
      <c r="B327" s="10" t="str">
        <f>IF(SISTEMA!B321="","",VALUE(SISTEMA!B321))</f>
        <v/>
      </c>
      <c r="C327" s="10" t="str">
        <f>IF(SISTEMA!C321="","",SISTEMA!C321)</f>
        <v/>
      </c>
      <c r="D327" s="5" t="str" cm="1">
        <f t="array" ref="D3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7" s="5" t="str" cm="1">
        <f t="array" ref="E3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7" s="5" t="str" cm="1">
        <f t="array" ref="F3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7" t="str" cm="1">
        <f t="array" ref="G3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7" s="4"/>
      <c r="I327" s="3" t="str" cm="1">
        <f t="array" ref="I3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8" spans="1:9" x14ac:dyDescent="0.3">
      <c r="A328" s="3" t="str">
        <f>IF(SISTEMA!A322="","",SISTEMA!A322)</f>
        <v/>
      </c>
      <c r="B328" s="10" t="str">
        <f>IF(SISTEMA!B322="","",VALUE(SISTEMA!B322))</f>
        <v/>
      </c>
      <c r="C328" s="10" t="str">
        <f>IF(SISTEMA!C322="","",SISTEMA!C322)</f>
        <v/>
      </c>
      <c r="D328" s="5" t="str" cm="1">
        <f t="array" ref="D3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8" s="5" t="str" cm="1">
        <f t="array" ref="E3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8" s="5" t="str" cm="1">
        <f t="array" ref="F3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8" t="str" cm="1">
        <f t="array" ref="G3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8" s="4"/>
      <c r="I328" s="3" t="str" cm="1">
        <f t="array" ref="I3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29" spans="1:9" x14ac:dyDescent="0.3">
      <c r="A329" s="3" t="str">
        <f>IF(SISTEMA!A323="","",SISTEMA!A323)</f>
        <v/>
      </c>
      <c r="B329" s="10" t="str">
        <f>IF(SISTEMA!B323="","",VALUE(SISTEMA!B323))</f>
        <v/>
      </c>
      <c r="C329" s="10" t="str">
        <f>IF(SISTEMA!C323="","",SISTEMA!C323)</f>
        <v/>
      </c>
      <c r="D329" s="5" t="str" cm="1">
        <f t="array" ref="D3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29" s="5" t="str" cm="1">
        <f t="array" ref="E3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29" s="5" t="str" cm="1">
        <f t="array" ref="F3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29" t="str" cm="1">
        <f t="array" ref="G3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29" s="4"/>
      <c r="I329" s="3" t="str" cm="1">
        <f t="array" ref="I3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0" spans="1:9" x14ac:dyDescent="0.3">
      <c r="A330" s="3" t="str">
        <f>IF(SISTEMA!A324="","",SISTEMA!A324)</f>
        <v/>
      </c>
      <c r="B330" s="10" t="str">
        <f>IF(SISTEMA!B324="","",VALUE(SISTEMA!B324))</f>
        <v/>
      </c>
      <c r="C330" s="10" t="str">
        <f>IF(SISTEMA!C324="","",SISTEMA!C324)</f>
        <v/>
      </c>
      <c r="D330" s="5" t="str" cm="1">
        <f t="array" ref="D3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0" s="5" t="str" cm="1">
        <f t="array" ref="E3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0" s="5" t="str" cm="1">
        <f t="array" ref="F3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0" t="str" cm="1">
        <f t="array" ref="G3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0" s="4"/>
      <c r="I330" s="3" t="str" cm="1">
        <f t="array" ref="I3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1" spans="1:9" x14ac:dyDescent="0.3">
      <c r="A331" s="3" t="str">
        <f>IF(SISTEMA!A325="","",SISTEMA!A325)</f>
        <v/>
      </c>
      <c r="B331" s="10" t="str">
        <f>IF(SISTEMA!B325="","",VALUE(SISTEMA!B325))</f>
        <v/>
      </c>
      <c r="C331" s="10" t="str">
        <f>IF(SISTEMA!C325="","",SISTEMA!C325)</f>
        <v/>
      </c>
      <c r="D331" s="5" t="str" cm="1">
        <f t="array" ref="D3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1" s="5" t="str" cm="1">
        <f t="array" ref="E3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1" s="5" t="str" cm="1">
        <f t="array" ref="F3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1" t="str" cm="1">
        <f t="array" ref="G3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1" s="4"/>
      <c r="I331" s="3" t="str" cm="1">
        <f t="array" ref="I3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2" spans="1:9" x14ac:dyDescent="0.3">
      <c r="A332" s="3" t="str">
        <f>IF(SISTEMA!A326="","",SISTEMA!A326)</f>
        <v/>
      </c>
      <c r="B332" s="10" t="str">
        <f>IF(SISTEMA!B326="","",VALUE(SISTEMA!B326))</f>
        <v/>
      </c>
      <c r="C332" s="10" t="str">
        <f>IF(SISTEMA!C326="","",SISTEMA!C326)</f>
        <v/>
      </c>
      <c r="D332" s="5" t="str" cm="1">
        <f t="array" ref="D3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2" s="5" t="str" cm="1">
        <f t="array" ref="E3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2" s="5" t="str" cm="1">
        <f t="array" ref="F3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2" t="str" cm="1">
        <f t="array" ref="G3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2" s="4"/>
      <c r="I332" s="3" t="str" cm="1">
        <f t="array" ref="I3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3" spans="1:9" x14ac:dyDescent="0.3">
      <c r="A333" s="3" t="str">
        <f>IF(SISTEMA!A327="","",SISTEMA!A327)</f>
        <v/>
      </c>
      <c r="B333" s="10" t="str">
        <f>IF(SISTEMA!B327="","",VALUE(SISTEMA!B327))</f>
        <v/>
      </c>
      <c r="C333" s="10" t="str">
        <f>IF(SISTEMA!C327="","",SISTEMA!C327)</f>
        <v/>
      </c>
      <c r="D333" s="5" t="str" cm="1">
        <f t="array" ref="D3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3" s="5" t="str" cm="1">
        <f t="array" ref="E3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3" s="5" t="str" cm="1">
        <f t="array" ref="F3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3" t="str" cm="1">
        <f t="array" ref="G3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3" s="4"/>
      <c r="I333" s="3" t="str" cm="1">
        <f t="array" ref="I3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4" spans="1:9" x14ac:dyDescent="0.3">
      <c r="A334" s="3" t="str">
        <f>IF(SISTEMA!A328="","",SISTEMA!A328)</f>
        <v/>
      </c>
      <c r="B334" s="10" t="str">
        <f>IF(SISTEMA!B328="","",VALUE(SISTEMA!B328))</f>
        <v/>
      </c>
      <c r="C334" s="10" t="str">
        <f>IF(SISTEMA!C328="","",SISTEMA!C328)</f>
        <v/>
      </c>
      <c r="D334" s="5" t="str" cm="1">
        <f t="array" ref="D3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4" s="5" t="str" cm="1">
        <f t="array" ref="E3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4" s="5" t="str" cm="1">
        <f t="array" ref="F3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4" t="str" cm="1">
        <f t="array" ref="G3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4" s="4"/>
      <c r="I334" s="3" t="str" cm="1">
        <f t="array" ref="I3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5" spans="1:9" x14ac:dyDescent="0.3">
      <c r="A335" s="3" t="str">
        <f>IF(SISTEMA!A329="","",SISTEMA!A329)</f>
        <v/>
      </c>
      <c r="B335" s="10" t="str">
        <f>IF(SISTEMA!B329="","",VALUE(SISTEMA!B329))</f>
        <v/>
      </c>
      <c r="C335" s="10" t="str">
        <f>IF(SISTEMA!C329="","",SISTEMA!C329)</f>
        <v/>
      </c>
      <c r="D335" s="5" t="str" cm="1">
        <f t="array" ref="D3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5" s="5" t="str" cm="1">
        <f t="array" ref="E3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5" s="5" t="str" cm="1">
        <f t="array" ref="F3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5" t="str" cm="1">
        <f t="array" ref="G3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5" s="4"/>
      <c r="I335" s="3" t="str" cm="1">
        <f t="array" ref="I3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6" spans="1:9" x14ac:dyDescent="0.3">
      <c r="A336" s="3" t="str">
        <f>IF(SISTEMA!A330="","",SISTEMA!A330)</f>
        <v/>
      </c>
      <c r="B336" s="10" t="str">
        <f>IF(SISTEMA!B330="","",VALUE(SISTEMA!B330))</f>
        <v/>
      </c>
      <c r="C336" s="10" t="str">
        <f>IF(SISTEMA!C330="","",SISTEMA!C330)</f>
        <v/>
      </c>
      <c r="D336" s="5" t="str" cm="1">
        <f t="array" ref="D3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6" s="5" t="str" cm="1">
        <f t="array" ref="E3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6" s="5" t="str" cm="1">
        <f t="array" ref="F3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6" t="str" cm="1">
        <f t="array" ref="G3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6" s="4"/>
      <c r="I336" s="3" t="str" cm="1">
        <f t="array" ref="I3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7" spans="1:9" x14ac:dyDescent="0.3">
      <c r="A337" s="3" t="str">
        <f>IF(SISTEMA!A331="","",SISTEMA!A331)</f>
        <v/>
      </c>
      <c r="B337" s="10" t="str">
        <f>IF(SISTEMA!B331="","",VALUE(SISTEMA!B331))</f>
        <v/>
      </c>
      <c r="C337" s="10" t="str">
        <f>IF(SISTEMA!C331="","",SISTEMA!C331)</f>
        <v/>
      </c>
      <c r="D337" s="5" t="str" cm="1">
        <f t="array" ref="D3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7" s="5" t="str" cm="1">
        <f t="array" ref="E3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7" s="5" t="str" cm="1">
        <f t="array" ref="F3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7" t="str" cm="1">
        <f t="array" ref="G3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7" s="4"/>
      <c r="I337" s="3" t="str" cm="1">
        <f t="array" ref="I3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8" spans="1:9" x14ac:dyDescent="0.3">
      <c r="A338" s="3" t="str">
        <f>IF(SISTEMA!A332="","",SISTEMA!A332)</f>
        <v/>
      </c>
      <c r="B338" s="10" t="str">
        <f>IF(SISTEMA!B332="","",VALUE(SISTEMA!B332))</f>
        <v/>
      </c>
      <c r="C338" s="10" t="str">
        <f>IF(SISTEMA!C332="","",SISTEMA!C332)</f>
        <v/>
      </c>
      <c r="D338" s="5" t="str" cm="1">
        <f t="array" ref="D3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8" s="5" t="str" cm="1">
        <f t="array" ref="E3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8" s="5" t="str" cm="1">
        <f t="array" ref="F3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8" t="str" cm="1">
        <f t="array" ref="G3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8" s="4"/>
      <c r="I338" s="3" t="str" cm="1">
        <f t="array" ref="I3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39" spans="1:9" x14ac:dyDescent="0.3">
      <c r="A339" s="3" t="str">
        <f>IF(SISTEMA!A333="","",SISTEMA!A333)</f>
        <v/>
      </c>
      <c r="B339" s="10" t="str">
        <f>IF(SISTEMA!B333="","",VALUE(SISTEMA!B333))</f>
        <v/>
      </c>
      <c r="C339" s="10" t="str">
        <f>IF(SISTEMA!C333="","",SISTEMA!C333)</f>
        <v/>
      </c>
      <c r="D339" s="5" t="str" cm="1">
        <f t="array" ref="D3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39" s="5" t="str" cm="1">
        <f t="array" ref="E3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39" s="5" t="str" cm="1">
        <f t="array" ref="F3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39" t="str" cm="1">
        <f t="array" ref="G3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39" s="4"/>
      <c r="I339" s="3" t="str" cm="1">
        <f t="array" ref="I3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0" spans="1:9" x14ac:dyDescent="0.3">
      <c r="A340" s="3" t="str">
        <f>IF(SISTEMA!A334="","",SISTEMA!A334)</f>
        <v/>
      </c>
      <c r="B340" s="10" t="str">
        <f>IF(SISTEMA!B334="","",VALUE(SISTEMA!B334))</f>
        <v/>
      </c>
      <c r="C340" s="10" t="str">
        <f>IF(SISTEMA!C334="","",SISTEMA!C334)</f>
        <v/>
      </c>
      <c r="D340" s="5" t="str" cm="1">
        <f t="array" ref="D3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0" s="5" t="str" cm="1">
        <f t="array" ref="E3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0" s="5" t="str" cm="1">
        <f t="array" ref="F3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0" t="str" cm="1">
        <f t="array" ref="G3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0" s="4"/>
      <c r="I340" s="3" t="str" cm="1">
        <f t="array" ref="I3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1" spans="1:9" x14ac:dyDescent="0.3">
      <c r="A341" s="3" t="str">
        <f>IF(SISTEMA!A335="","",SISTEMA!A335)</f>
        <v/>
      </c>
      <c r="B341" s="10" t="str">
        <f>IF(SISTEMA!B335="","",VALUE(SISTEMA!B335))</f>
        <v/>
      </c>
      <c r="C341" s="10" t="str">
        <f>IF(SISTEMA!C335="","",SISTEMA!C335)</f>
        <v/>
      </c>
      <c r="D341" s="5" t="str" cm="1">
        <f t="array" ref="D3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1" s="5" t="str" cm="1">
        <f t="array" ref="E3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1" s="5" t="str" cm="1">
        <f t="array" ref="F3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1" t="str" cm="1">
        <f t="array" ref="G3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1" s="4"/>
      <c r="I341" s="3" t="str" cm="1">
        <f t="array" ref="I3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2" spans="1:9" x14ac:dyDescent="0.3">
      <c r="A342" s="3" t="str">
        <f>IF(SISTEMA!A336="","",SISTEMA!A336)</f>
        <v/>
      </c>
      <c r="B342" s="10" t="str">
        <f>IF(SISTEMA!B336="","",VALUE(SISTEMA!B336))</f>
        <v/>
      </c>
      <c r="C342" s="10" t="str">
        <f>IF(SISTEMA!C336="","",SISTEMA!C336)</f>
        <v/>
      </c>
      <c r="D342" s="5" t="str" cm="1">
        <f t="array" ref="D3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2" s="5" t="str" cm="1">
        <f t="array" ref="E3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2" s="5" t="str" cm="1">
        <f t="array" ref="F3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2" t="str" cm="1">
        <f t="array" ref="G3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2" s="4"/>
      <c r="I342" s="3" t="str" cm="1">
        <f t="array" ref="I3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3" spans="1:9" x14ac:dyDescent="0.3">
      <c r="A343" s="3" t="str">
        <f>IF(SISTEMA!A337="","",SISTEMA!A337)</f>
        <v/>
      </c>
      <c r="B343" s="10" t="str">
        <f>IF(SISTEMA!B337="","",VALUE(SISTEMA!B337))</f>
        <v/>
      </c>
      <c r="C343" s="10" t="str">
        <f>IF(SISTEMA!C337="","",SISTEMA!C337)</f>
        <v/>
      </c>
      <c r="D343" s="5" t="str" cm="1">
        <f t="array" ref="D3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3" s="5" t="str" cm="1">
        <f t="array" ref="E3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3" s="5" t="str" cm="1">
        <f t="array" ref="F3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3" t="str" cm="1">
        <f t="array" ref="G3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3" s="4"/>
      <c r="I343" s="3" t="str" cm="1">
        <f t="array" ref="I3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4" spans="1:9" x14ac:dyDescent="0.3">
      <c r="A344" s="3" t="str">
        <f>IF(SISTEMA!A338="","",SISTEMA!A338)</f>
        <v/>
      </c>
      <c r="B344" s="10" t="str">
        <f>IF(SISTEMA!B338="","",VALUE(SISTEMA!B338))</f>
        <v/>
      </c>
      <c r="C344" s="10" t="str">
        <f>IF(SISTEMA!C338="","",SISTEMA!C338)</f>
        <v/>
      </c>
      <c r="D344" s="5" t="str" cm="1">
        <f t="array" ref="D3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4" s="5" t="str" cm="1">
        <f t="array" ref="E3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4" s="5" t="str" cm="1">
        <f t="array" ref="F3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4" t="str" cm="1">
        <f t="array" ref="G3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4" s="4"/>
      <c r="I344" s="3" t="str" cm="1">
        <f t="array" ref="I3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5" spans="1:9" x14ac:dyDescent="0.3">
      <c r="A345" s="3" t="str">
        <f>IF(SISTEMA!A339="","",SISTEMA!A339)</f>
        <v/>
      </c>
      <c r="B345" s="10" t="str">
        <f>IF(SISTEMA!B339="","",VALUE(SISTEMA!B339))</f>
        <v/>
      </c>
      <c r="C345" s="10" t="str">
        <f>IF(SISTEMA!C339="","",SISTEMA!C339)</f>
        <v/>
      </c>
      <c r="D345" s="5" t="str" cm="1">
        <f t="array" ref="D3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5" s="5" t="str" cm="1">
        <f t="array" ref="E3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5" s="5" t="str" cm="1">
        <f t="array" ref="F3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5" t="str" cm="1">
        <f t="array" ref="G3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5" s="4"/>
      <c r="I345" s="3" t="str" cm="1">
        <f t="array" ref="I3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6" spans="1:9" x14ac:dyDescent="0.3">
      <c r="A346" s="3" t="str">
        <f>IF(SISTEMA!A340="","",SISTEMA!A340)</f>
        <v/>
      </c>
      <c r="B346" s="10" t="str">
        <f>IF(SISTEMA!B340="","",VALUE(SISTEMA!B340))</f>
        <v/>
      </c>
      <c r="C346" s="10" t="str">
        <f>IF(SISTEMA!C340="","",SISTEMA!C340)</f>
        <v/>
      </c>
      <c r="D346" s="5" t="str" cm="1">
        <f t="array" ref="D3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6" s="5" t="str" cm="1">
        <f t="array" ref="E3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6" s="5" t="str" cm="1">
        <f t="array" ref="F3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6" t="str" cm="1">
        <f t="array" ref="G3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6" s="4"/>
      <c r="I346" s="3" t="str" cm="1">
        <f t="array" ref="I3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7" spans="1:9" x14ac:dyDescent="0.3">
      <c r="A347" s="3" t="str">
        <f>IF(SISTEMA!A341="","",SISTEMA!A341)</f>
        <v/>
      </c>
      <c r="B347" s="10" t="str">
        <f>IF(SISTEMA!B341="","",VALUE(SISTEMA!B341))</f>
        <v/>
      </c>
      <c r="C347" s="10" t="str">
        <f>IF(SISTEMA!C341="","",SISTEMA!C341)</f>
        <v/>
      </c>
      <c r="D347" s="5" t="str" cm="1">
        <f t="array" ref="D3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7" s="5" t="str" cm="1">
        <f t="array" ref="E3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7" s="5" t="str" cm="1">
        <f t="array" ref="F3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7" t="str" cm="1">
        <f t="array" ref="G3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7" s="4"/>
      <c r="I347" s="3" t="str" cm="1">
        <f t="array" ref="I3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8" spans="1:9" x14ac:dyDescent="0.3">
      <c r="A348" s="3" t="str">
        <f>IF(SISTEMA!A342="","",SISTEMA!A342)</f>
        <v/>
      </c>
      <c r="B348" s="10" t="str">
        <f>IF(SISTEMA!B342="","",VALUE(SISTEMA!B342))</f>
        <v/>
      </c>
      <c r="C348" s="10" t="str">
        <f>IF(SISTEMA!C342="","",SISTEMA!C342)</f>
        <v/>
      </c>
      <c r="D348" s="5" t="str" cm="1">
        <f t="array" ref="D3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8" s="5" t="str" cm="1">
        <f t="array" ref="E3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8" s="5" t="str" cm="1">
        <f t="array" ref="F3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8" t="str" cm="1">
        <f t="array" ref="G3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8" s="4"/>
      <c r="I348" s="3" t="str" cm="1">
        <f t="array" ref="I3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49" spans="1:9" x14ac:dyDescent="0.3">
      <c r="A349" s="3" t="str">
        <f>IF(SISTEMA!A343="","",SISTEMA!A343)</f>
        <v/>
      </c>
      <c r="B349" s="10" t="str">
        <f>IF(SISTEMA!B343="","",VALUE(SISTEMA!B343))</f>
        <v/>
      </c>
      <c r="C349" s="10" t="str">
        <f>IF(SISTEMA!C343="","",SISTEMA!C343)</f>
        <v/>
      </c>
      <c r="D349" s="5" t="str" cm="1">
        <f t="array" ref="D3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49" s="5" t="str" cm="1">
        <f t="array" ref="E3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49" s="5" t="str" cm="1">
        <f t="array" ref="F3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49" t="str" cm="1">
        <f t="array" ref="G3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49" s="4"/>
      <c r="I349" s="3" t="str" cm="1">
        <f t="array" ref="I3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0" spans="1:9" x14ac:dyDescent="0.3">
      <c r="A350" s="3" t="str">
        <f>IF(SISTEMA!A344="","",SISTEMA!A344)</f>
        <v/>
      </c>
      <c r="B350" s="10" t="str">
        <f>IF(SISTEMA!B344="","",VALUE(SISTEMA!B344))</f>
        <v/>
      </c>
      <c r="C350" s="10" t="str">
        <f>IF(SISTEMA!C344="","",SISTEMA!C344)</f>
        <v/>
      </c>
      <c r="D350" s="5" t="str" cm="1">
        <f t="array" ref="D3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0" s="5" t="str" cm="1">
        <f t="array" ref="E3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0" s="5" t="str" cm="1">
        <f t="array" ref="F3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0" t="str" cm="1">
        <f t="array" ref="G3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0" s="4"/>
      <c r="I350" s="3" t="str" cm="1">
        <f t="array" ref="I3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1" spans="1:9" x14ac:dyDescent="0.3">
      <c r="A351" s="3" t="str">
        <f>IF(SISTEMA!A345="","",SISTEMA!A345)</f>
        <v/>
      </c>
      <c r="B351" s="10" t="str">
        <f>IF(SISTEMA!B345="","",VALUE(SISTEMA!B345))</f>
        <v/>
      </c>
      <c r="C351" s="10" t="str">
        <f>IF(SISTEMA!C345="","",SISTEMA!C345)</f>
        <v/>
      </c>
      <c r="D351" s="5" t="str" cm="1">
        <f t="array" ref="D3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1" s="5" t="str" cm="1">
        <f t="array" ref="E3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1" s="5" t="str" cm="1">
        <f t="array" ref="F3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1" t="str" cm="1">
        <f t="array" ref="G3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1" s="4"/>
      <c r="I351" s="3" t="str" cm="1">
        <f t="array" ref="I3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2" spans="1:9" x14ac:dyDescent="0.3">
      <c r="A352" s="3" t="str">
        <f>IF(SISTEMA!A346="","",SISTEMA!A346)</f>
        <v/>
      </c>
      <c r="B352" s="10" t="str">
        <f>IF(SISTEMA!B346="","",VALUE(SISTEMA!B346))</f>
        <v/>
      </c>
      <c r="C352" s="10" t="str">
        <f>IF(SISTEMA!C346="","",SISTEMA!C346)</f>
        <v/>
      </c>
      <c r="D352" s="5" t="str" cm="1">
        <f t="array" ref="D3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2" s="5" t="str" cm="1">
        <f t="array" ref="E3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2" s="5" t="str" cm="1">
        <f t="array" ref="F3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2" t="str" cm="1">
        <f t="array" ref="G3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2" s="4"/>
      <c r="I352" s="3" t="str" cm="1">
        <f t="array" ref="I3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3" spans="1:9" x14ac:dyDescent="0.3">
      <c r="A353" s="3" t="str">
        <f>IF(SISTEMA!A347="","",SISTEMA!A347)</f>
        <v/>
      </c>
      <c r="B353" s="10" t="str">
        <f>IF(SISTEMA!B347="","",VALUE(SISTEMA!B347))</f>
        <v/>
      </c>
      <c r="C353" s="10" t="str">
        <f>IF(SISTEMA!C347="","",SISTEMA!C347)</f>
        <v/>
      </c>
      <c r="D353" s="5" t="str" cm="1">
        <f t="array" ref="D3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3" s="5" t="str" cm="1">
        <f t="array" ref="E3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3" s="5" t="str" cm="1">
        <f t="array" ref="F3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3" t="str" cm="1">
        <f t="array" ref="G3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3" s="4"/>
      <c r="I353" s="3" t="str" cm="1">
        <f t="array" ref="I3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4" spans="1:9" x14ac:dyDescent="0.3">
      <c r="A354" s="3" t="str">
        <f>IF(SISTEMA!A348="","",SISTEMA!A348)</f>
        <v/>
      </c>
      <c r="B354" s="10" t="str">
        <f>IF(SISTEMA!B348="","",VALUE(SISTEMA!B348))</f>
        <v/>
      </c>
      <c r="C354" s="10" t="str">
        <f>IF(SISTEMA!C348="","",SISTEMA!C348)</f>
        <v/>
      </c>
      <c r="D354" s="5" t="str" cm="1">
        <f t="array" ref="D3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4" s="5" t="str" cm="1">
        <f t="array" ref="E3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4" s="5" t="str" cm="1">
        <f t="array" ref="F3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4" t="str" cm="1">
        <f t="array" ref="G3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4" s="4"/>
      <c r="I354" s="3" t="str" cm="1">
        <f t="array" ref="I3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5" spans="1:9" x14ac:dyDescent="0.3">
      <c r="A355" s="3" t="str">
        <f>IF(SISTEMA!A349="","",SISTEMA!A349)</f>
        <v/>
      </c>
      <c r="B355" s="10" t="str">
        <f>IF(SISTEMA!B349="","",VALUE(SISTEMA!B349))</f>
        <v/>
      </c>
      <c r="C355" s="10" t="str">
        <f>IF(SISTEMA!C349="","",SISTEMA!C349)</f>
        <v/>
      </c>
      <c r="D355" s="5" t="str" cm="1">
        <f t="array" ref="D3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5" s="5" t="str" cm="1">
        <f t="array" ref="E3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5" s="5" t="str" cm="1">
        <f t="array" ref="F3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5" t="str" cm="1">
        <f t="array" ref="G3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5" s="4"/>
      <c r="I355" s="3" t="str" cm="1">
        <f t="array" ref="I3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6" spans="1:9" x14ac:dyDescent="0.3">
      <c r="A356" s="3" t="str">
        <f>IF(SISTEMA!A350="","",SISTEMA!A350)</f>
        <v/>
      </c>
      <c r="B356" s="10" t="str">
        <f>IF(SISTEMA!B350="","",VALUE(SISTEMA!B350))</f>
        <v/>
      </c>
      <c r="C356" s="10" t="str">
        <f>IF(SISTEMA!C350="","",SISTEMA!C350)</f>
        <v/>
      </c>
      <c r="D356" s="5" t="str" cm="1">
        <f t="array" ref="D3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6" s="5" t="str" cm="1">
        <f t="array" ref="E3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6" s="5" t="str" cm="1">
        <f t="array" ref="F3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6" t="str" cm="1">
        <f t="array" ref="G3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6" s="4"/>
      <c r="I356" s="3" t="str" cm="1">
        <f t="array" ref="I3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7" spans="1:9" x14ac:dyDescent="0.3">
      <c r="A357" s="3" t="str">
        <f>IF(SISTEMA!A351="","",SISTEMA!A351)</f>
        <v/>
      </c>
      <c r="B357" s="10" t="str">
        <f>IF(SISTEMA!B351="","",VALUE(SISTEMA!B351))</f>
        <v/>
      </c>
      <c r="C357" s="10" t="str">
        <f>IF(SISTEMA!C351="","",SISTEMA!C351)</f>
        <v/>
      </c>
      <c r="D357" s="5" t="str" cm="1">
        <f t="array" ref="D3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7" s="5" t="str" cm="1">
        <f t="array" ref="E3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7" s="5" t="str" cm="1">
        <f t="array" ref="F3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7" t="str" cm="1">
        <f t="array" ref="G3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7" s="4"/>
      <c r="I357" s="3" t="str" cm="1">
        <f t="array" ref="I3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8" spans="1:9" x14ac:dyDescent="0.3">
      <c r="A358" s="3" t="str">
        <f>IF(SISTEMA!A352="","",SISTEMA!A352)</f>
        <v/>
      </c>
      <c r="B358" s="10" t="str">
        <f>IF(SISTEMA!B352="","",VALUE(SISTEMA!B352))</f>
        <v/>
      </c>
      <c r="C358" s="10" t="str">
        <f>IF(SISTEMA!C352="","",SISTEMA!C352)</f>
        <v/>
      </c>
      <c r="D358" s="5" t="str" cm="1">
        <f t="array" ref="D3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8" s="5" t="str" cm="1">
        <f t="array" ref="E3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8" s="5" t="str" cm="1">
        <f t="array" ref="F3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8" t="str" cm="1">
        <f t="array" ref="G3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8" s="4"/>
      <c r="I358" s="3" t="str" cm="1">
        <f t="array" ref="I3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59" spans="1:9" x14ac:dyDescent="0.3">
      <c r="A359" s="3" t="str">
        <f>IF(SISTEMA!A353="","",SISTEMA!A353)</f>
        <v/>
      </c>
      <c r="B359" s="10" t="str">
        <f>IF(SISTEMA!B353="","",VALUE(SISTEMA!B353))</f>
        <v/>
      </c>
      <c r="C359" s="10" t="str">
        <f>IF(SISTEMA!C353="","",SISTEMA!C353)</f>
        <v/>
      </c>
      <c r="D359" s="5" t="str" cm="1">
        <f t="array" ref="D3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59" s="5" t="str" cm="1">
        <f t="array" ref="E3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59" s="5" t="str" cm="1">
        <f t="array" ref="F3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59" t="str" cm="1">
        <f t="array" ref="G3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59" s="4"/>
      <c r="I359" s="3" t="str" cm="1">
        <f t="array" ref="I3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0" spans="1:9" x14ac:dyDescent="0.3">
      <c r="A360" s="3" t="str">
        <f>IF(SISTEMA!A354="","",SISTEMA!A354)</f>
        <v/>
      </c>
      <c r="B360" s="10" t="str">
        <f>IF(SISTEMA!B354="","",VALUE(SISTEMA!B354))</f>
        <v/>
      </c>
      <c r="C360" s="10" t="str">
        <f>IF(SISTEMA!C354="","",SISTEMA!C354)</f>
        <v/>
      </c>
      <c r="D360" s="5" t="str" cm="1">
        <f t="array" ref="D3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0" s="5" t="str" cm="1">
        <f t="array" ref="E3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0" s="5" t="str" cm="1">
        <f t="array" ref="F3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0" t="str" cm="1">
        <f t="array" ref="G3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0" s="4"/>
      <c r="I360" s="3" t="str" cm="1">
        <f t="array" ref="I3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1" spans="1:9" x14ac:dyDescent="0.3">
      <c r="A361" s="3" t="str">
        <f>IF(SISTEMA!A355="","",SISTEMA!A355)</f>
        <v/>
      </c>
      <c r="B361" s="10" t="str">
        <f>IF(SISTEMA!B355="","",VALUE(SISTEMA!B355))</f>
        <v/>
      </c>
      <c r="C361" s="10" t="str">
        <f>IF(SISTEMA!C355="","",SISTEMA!C355)</f>
        <v/>
      </c>
      <c r="D361" s="5" t="str" cm="1">
        <f t="array" ref="D3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1" s="5" t="str" cm="1">
        <f t="array" ref="E3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1" s="5" t="str" cm="1">
        <f t="array" ref="F3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1" t="str" cm="1">
        <f t="array" ref="G3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1" s="4"/>
      <c r="I361" s="3" t="str" cm="1">
        <f t="array" ref="I3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2" spans="1:9" x14ac:dyDescent="0.3">
      <c r="A362" s="3" t="str">
        <f>IF(SISTEMA!A356="","",SISTEMA!A356)</f>
        <v/>
      </c>
      <c r="B362" s="10" t="str">
        <f>IF(SISTEMA!B356="","",VALUE(SISTEMA!B356))</f>
        <v/>
      </c>
      <c r="C362" s="10" t="str">
        <f>IF(SISTEMA!C356="","",SISTEMA!C356)</f>
        <v/>
      </c>
      <c r="D362" s="5" t="str" cm="1">
        <f t="array" ref="D3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2" s="5" t="str" cm="1">
        <f t="array" ref="E3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2" s="5" t="str" cm="1">
        <f t="array" ref="F3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2" t="str" cm="1">
        <f t="array" ref="G3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2" s="4"/>
      <c r="I362" s="3" t="str" cm="1">
        <f t="array" ref="I3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3" spans="1:9" x14ac:dyDescent="0.3">
      <c r="A363" s="3" t="str">
        <f>IF(SISTEMA!A357="","",SISTEMA!A357)</f>
        <v/>
      </c>
      <c r="B363" s="10" t="str">
        <f>IF(SISTEMA!B357="","",VALUE(SISTEMA!B357))</f>
        <v/>
      </c>
      <c r="C363" s="10" t="str">
        <f>IF(SISTEMA!C357="","",SISTEMA!C357)</f>
        <v/>
      </c>
      <c r="D363" s="5" t="str" cm="1">
        <f t="array" ref="D3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3" s="5" t="str" cm="1">
        <f t="array" ref="E3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3" s="5" t="str" cm="1">
        <f t="array" ref="F3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3" t="str" cm="1">
        <f t="array" ref="G3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3" s="4"/>
      <c r="I363" s="3" t="str" cm="1">
        <f t="array" ref="I3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4" spans="1:9" x14ac:dyDescent="0.3">
      <c r="A364" s="3" t="str">
        <f>IF(SISTEMA!A358="","",SISTEMA!A358)</f>
        <v/>
      </c>
      <c r="B364" s="10" t="str">
        <f>IF(SISTEMA!B358="","",VALUE(SISTEMA!B358))</f>
        <v/>
      </c>
      <c r="C364" s="10" t="str">
        <f>IF(SISTEMA!C358="","",SISTEMA!C358)</f>
        <v/>
      </c>
      <c r="D364" s="5" t="str" cm="1">
        <f t="array" ref="D3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4" s="5" t="str" cm="1">
        <f t="array" ref="E3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4" s="5" t="str" cm="1">
        <f t="array" ref="F3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4" t="str" cm="1">
        <f t="array" ref="G3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4" s="4"/>
      <c r="I364" s="3" t="str" cm="1">
        <f t="array" ref="I3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5" spans="1:9" x14ac:dyDescent="0.3">
      <c r="A365" s="3" t="str">
        <f>IF(SISTEMA!A359="","",SISTEMA!A359)</f>
        <v/>
      </c>
      <c r="B365" s="10" t="str">
        <f>IF(SISTEMA!B359="","",VALUE(SISTEMA!B359))</f>
        <v/>
      </c>
      <c r="C365" s="10" t="str">
        <f>IF(SISTEMA!C359="","",SISTEMA!C359)</f>
        <v/>
      </c>
      <c r="D365" s="5" t="str" cm="1">
        <f t="array" ref="D3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5" s="5" t="str" cm="1">
        <f t="array" ref="E3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5" s="5" t="str" cm="1">
        <f t="array" ref="F3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5" t="str" cm="1">
        <f t="array" ref="G3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5" s="4"/>
      <c r="I365" s="3" t="str" cm="1">
        <f t="array" ref="I3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6" spans="1:9" x14ac:dyDescent="0.3">
      <c r="A366" s="3" t="str">
        <f>IF(SISTEMA!A360="","",SISTEMA!A360)</f>
        <v/>
      </c>
      <c r="B366" s="10" t="str">
        <f>IF(SISTEMA!B360="","",VALUE(SISTEMA!B360))</f>
        <v/>
      </c>
      <c r="C366" s="10" t="str">
        <f>IF(SISTEMA!C360="","",SISTEMA!C360)</f>
        <v/>
      </c>
      <c r="D366" s="5" t="str" cm="1">
        <f t="array" ref="D3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6" s="5" t="str" cm="1">
        <f t="array" ref="E3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6" s="5" t="str" cm="1">
        <f t="array" ref="F3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6" t="str" cm="1">
        <f t="array" ref="G3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6" s="4"/>
      <c r="I366" s="3" t="str" cm="1">
        <f t="array" ref="I3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7" spans="1:9" x14ac:dyDescent="0.3">
      <c r="A367" s="3" t="str">
        <f>IF(SISTEMA!A361="","",SISTEMA!A361)</f>
        <v/>
      </c>
      <c r="B367" s="10" t="str">
        <f>IF(SISTEMA!B361="","",VALUE(SISTEMA!B361))</f>
        <v/>
      </c>
      <c r="C367" s="10" t="str">
        <f>IF(SISTEMA!C361="","",SISTEMA!C361)</f>
        <v/>
      </c>
      <c r="D367" s="5" t="str" cm="1">
        <f t="array" ref="D3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7" s="5" t="str" cm="1">
        <f t="array" ref="E3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7" s="5" t="str" cm="1">
        <f t="array" ref="F3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7" t="str" cm="1">
        <f t="array" ref="G3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7" s="4"/>
      <c r="I367" s="3" t="str" cm="1">
        <f t="array" ref="I3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8" spans="1:9" x14ac:dyDescent="0.3">
      <c r="A368" s="3" t="str">
        <f>IF(SISTEMA!A362="","",SISTEMA!A362)</f>
        <v/>
      </c>
      <c r="B368" s="10" t="str">
        <f>IF(SISTEMA!B362="","",VALUE(SISTEMA!B362))</f>
        <v/>
      </c>
      <c r="C368" s="10" t="str">
        <f>IF(SISTEMA!C362="","",SISTEMA!C362)</f>
        <v/>
      </c>
      <c r="D368" s="5" t="str" cm="1">
        <f t="array" ref="D3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8" s="5" t="str" cm="1">
        <f t="array" ref="E3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8" s="5" t="str" cm="1">
        <f t="array" ref="F3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8" t="str" cm="1">
        <f t="array" ref="G3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8" s="4"/>
      <c r="I368" s="3" t="str" cm="1">
        <f t="array" ref="I3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69" spans="1:9" x14ac:dyDescent="0.3">
      <c r="A369" s="3" t="str">
        <f>IF(SISTEMA!A363="","",SISTEMA!A363)</f>
        <v/>
      </c>
      <c r="B369" s="10" t="str">
        <f>IF(SISTEMA!B363="","",VALUE(SISTEMA!B363))</f>
        <v/>
      </c>
      <c r="C369" s="10" t="str">
        <f>IF(SISTEMA!C363="","",SISTEMA!C363)</f>
        <v/>
      </c>
      <c r="D369" s="5" t="str" cm="1">
        <f t="array" ref="D3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69" s="5" t="str" cm="1">
        <f t="array" ref="E3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69" s="5" t="str" cm="1">
        <f t="array" ref="F3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69" t="str" cm="1">
        <f t="array" ref="G3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69" s="4"/>
      <c r="I369" s="3" t="str" cm="1">
        <f t="array" ref="I3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0" spans="1:9" x14ac:dyDescent="0.3">
      <c r="A370" s="3" t="str">
        <f>IF(SISTEMA!A364="","",SISTEMA!A364)</f>
        <v/>
      </c>
      <c r="B370" s="10" t="str">
        <f>IF(SISTEMA!B364="","",VALUE(SISTEMA!B364))</f>
        <v/>
      </c>
      <c r="C370" s="10" t="str">
        <f>IF(SISTEMA!C364="","",SISTEMA!C364)</f>
        <v/>
      </c>
      <c r="D370" s="5" t="str" cm="1">
        <f t="array" ref="D3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0" s="5" t="str" cm="1">
        <f t="array" ref="E3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0" s="5" t="str" cm="1">
        <f t="array" ref="F3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0" t="str" cm="1">
        <f t="array" ref="G3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0" s="4"/>
      <c r="I370" s="3" t="str" cm="1">
        <f t="array" ref="I3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1" spans="1:9" x14ac:dyDescent="0.3">
      <c r="A371" s="3" t="str">
        <f>IF(SISTEMA!A365="","",SISTEMA!A365)</f>
        <v/>
      </c>
      <c r="B371" s="10" t="str">
        <f>IF(SISTEMA!B365="","",VALUE(SISTEMA!B365))</f>
        <v/>
      </c>
      <c r="C371" s="10" t="str">
        <f>IF(SISTEMA!C365="","",SISTEMA!C365)</f>
        <v/>
      </c>
      <c r="D371" s="5" t="str" cm="1">
        <f t="array" ref="D3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1" s="5" t="str" cm="1">
        <f t="array" ref="E3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1" s="5" t="str" cm="1">
        <f t="array" ref="F3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1" t="str" cm="1">
        <f t="array" ref="G3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1" s="4"/>
      <c r="I371" s="3" t="str" cm="1">
        <f t="array" ref="I3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2" spans="1:9" x14ac:dyDescent="0.3">
      <c r="A372" s="3" t="str">
        <f>IF(SISTEMA!A366="","",SISTEMA!A366)</f>
        <v/>
      </c>
      <c r="B372" s="10" t="str">
        <f>IF(SISTEMA!B366="","",VALUE(SISTEMA!B366))</f>
        <v/>
      </c>
      <c r="C372" s="10" t="str">
        <f>IF(SISTEMA!C366="","",SISTEMA!C366)</f>
        <v/>
      </c>
      <c r="D372" s="5" t="str" cm="1">
        <f t="array" ref="D3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2" s="5" t="str" cm="1">
        <f t="array" ref="E3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2" s="5" t="str" cm="1">
        <f t="array" ref="F3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2" t="str" cm="1">
        <f t="array" ref="G3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2" s="4"/>
      <c r="I372" s="3" t="str" cm="1">
        <f t="array" ref="I3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3" spans="1:9" x14ac:dyDescent="0.3">
      <c r="A373" s="3" t="str">
        <f>IF(SISTEMA!A367="","",SISTEMA!A367)</f>
        <v/>
      </c>
      <c r="B373" s="10" t="str">
        <f>IF(SISTEMA!B367="","",VALUE(SISTEMA!B367))</f>
        <v/>
      </c>
      <c r="C373" s="10" t="str">
        <f>IF(SISTEMA!C367="","",SISTEMA!C367)</f>
        <v/>
      </c>
      <c r="D373" s="5" t="str" cm="1">
        <f t="array" ref="D3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3" s="5" t="str" cm="1">
        <f t="array" ref="E3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3" s="5" t="str" cm="1">
        <f t="array" ref="F3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3" t="str" cm="1">
        <f t="array" ref="G3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3" s="4"/>
      <c r="I373" s="3" t="str" cm="1">
        <f t="array" ref="I3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4" spans="1:9" x14ac:dyDescent="0.3">
      <c r="A374" s="3" t="str">
        <f>IF(SISTEMA!A368="","",SISTEMA!A368)</f>
        <v/>
      </c>
      <c r="B374" s="10" t="str">
        <f>IF(SISTEMA!B368="","",VALUE(SISTEMA!B368))</f>
        <v/>
      </c>
      <c r="C374" s="10" t="str">
        <f>IF(SISTEMA!C368="","",SISTEMA!C368)</f>
        <v/>
      </c>
      <c r="D374" s="5" t="str" cm="1">
        <f t="array" ref="D3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4" s="5" t="str" cm="1">
        <f t="array" ref="E3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4" s="5" t="str" cm="1">
        <f t="array" ref="F3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4" t="str" cm="1">
        <f t="array" ref="G3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4" s="4"/>
      <c r="I374" s="3" t="str" cm="1">
        <f t="array" ref="I3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5" spans="1:9" x14ac:dyDescent="0.3">
      <c r="A375" s="3" t="str">
        <f>IF(SISTEMA!A369="","",SISTEMA!A369)</f>
        <v/>
      </c>
      <c r="B375" s="10" t="str">
        <f>IF(SISTEMA!B369="","",VALUE(SISTEMA!B369))</f>
        <v/>
      </c>
      <c r="C375" s="10" t="str">
        <f>IF(SISTEMA!C369="","",SISTEMA!C369)</f>
        <v/>
      </c>
      <c r="D375" s="5" t="str" cm="1">
        <f t="array" ref="D3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5" s="5" t="str" cm="1">
        <f t="array" ref="E3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5" s="5" t="str" cm="1">
        <f t="array" ref="F3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5" t="str" cm="1">
        <f t="array" ref="G3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5" s="4"/>
      <c r="I375" s="3" t="str" cm="1">
        <f t="array" ref="I3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6" spans="1:9" x14ac:dyDescent="0.3">
      <c r="A376" s="3" t="str">
        <f>IF(SISTEMA!A370="","",SISTEMA!A370)</f>
        <v/>
      </c>
      <c r="B376" s="10" t="str">
        <f>IF(SISTEMA!B370="","",VALUE(SISTEMA!B370))</f>
        <v/>
      </c>
      <c r="C376" s="10" t="str">
        <f>IF(SISTEMA!C370="","",SISTEMA!C370)</f>
        <v/>
      </c>
      <c r="D376" s="5" t="str" cm="1">
        <f t="array" ref="D3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6" s="5" t="str" cm="1">
        <f t="array" ref="E3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6" s="5" t="str" cm="1">
        <f t="array" ref="F3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6" t="str" cm="1">
        <f t="array" ref="G3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6" s="4"/>
      <c r="I376" s="3" t="str" cm="1">
        <f t="array" ref="I3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7" spans="1:9" x14ac:dyDescent="0.3">
      <c r="A377" s="3" t="str">
        <f>IF(SISTEMA!A371="","",SISTEMA!A371)</f>
        <v/>
      </c>
      <c r="B377" s="10" t="str">
        <f>IF(SISTEMA!B371="","",VALUE(SISTEMA!B371))</f>
        <v/>
      </c>
      <c r="C377" s="10" t="str">
        <f>IF(SISTEMA!C371="","",SISTEMA!C371)</f>
        <v/>
      </c>
      <c r="D377" s="5" t="str" cm="1">
        <f t="array" ref="D3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7" s="5" t="str" cm="1">
        <f t="array" ref="E3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7" s="5" t="str" cm="1">
        <f t="array" ref="F3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7" t="str" cm="1">
        <f t="array" ref="G3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7" s="4"/>
      <c r="I377" s="3" t="str" cm="1">
        <f t="array" ref="I3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8" spans="1:9" x14ac:dyDescent="0.3">
      <c r="A378" s="3" t="str">
        <f>IF(SISTEMA!A372="","",SISTEMA!A372)</f>
        <v/>
      </c>
      <c r="B378" s="10" t="str">
        <f>IF(SISTEMA!B372="","",VALUE(SISTEMA!B372))</f>
        <v/>
      </c>
      <c r="C378" s="10" t="str">
        <f>IF(SISTEMA!C372="","",SISTEMA!C372)</f>
        <v/>
      </c>
      <c r="D378" s="5" t="str" cm="1">
        <f t="array" ref="D3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8" s="5" t="str" cm="1">
        <f t="array" ref="E3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8" s="5" t="str" cm="1">
        <f t="array" ref="F3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8" t="str" cm="1">
        <f t="array" ref="G3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8" s="4"/>
      <c r="I378" s="3" t="str" cm="1">
        <f t="array" ref="I3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79" spans="1:9" x14ac:dyDescent="0.3">
      <c r="A379" s="3" t="str">
        <f>IF(SISTEMA!A373="","",SISTEMA!A373)</f>
        <v/>
      </c>
      <c r="B379" s="10" t="str">
        <f>IF(SISTEMA!B373="","",VALUE(SISTEMA!B373))</f>
        <v/>
      </c>
      <c r="C379" s="10" t="str">
        <f>IF(SISTEMA!C373="","",SISTEMA!C373)</f>
        <v/>
      </c>
      <c r="D379" s="5" t="str" cm="1">
        <f t="array" ref="D3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79" s="5" t="str" cm="1">
        <f t="array" ref="E3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79" s="5" t="str" cm="1">
        <f t="array" ref="F3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79" t="str" cm="1">
        <f t="array" ref="G3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79" s="4"/>
      <c r="I379" s="3" t="str" cm="1">
        <f t="array" ref="I3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0" spans="1:9" x14ac:dyDescent="0.3">
      <c r="A380" s="3" t="str">
        <f>IF(SISTEMA!A374="","",SISTEMA!A374)</f>
        <v/>
      </c>
      <c r="B380" s="10" t="str">
        <f>IF(SISTEMA!B374="","",VALUE(SISTEMA!B374))</f>
        <v/>
      </c>
      <c r="C380" s="10" t="str">
        <f>IF(SISTEMA!C374="","",SISTEMA!C374)</f>
        <v/>
      </c>
      <c r="D380" s="5" t="str" cm="1">
        <f t="array" ref="D3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0" s="5" t="str" cm="1">
        <f t="array" ref="E3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0" s="5" t="str" cm="1">
        <f t="array" ref="F3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0" t="str" cm="1">
        <f t="array" ref="G3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0" s="4"/>
      <c r="I380" s="3" t="str" cm="1">
        <f t="array" ref="I3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1" spans="1:9" x14ac:dyDescent="0.3">
      <c r="A381" s="3" t="str">
        <f>IF(SISTEMA!A375="","",SISTEMA!A375)</f>
        <v/>
      </c>
      <c r="B381" s="10" t="str">
        <f>IF(SISTEMA!B375="","",VALUE(SISTEMA!B375))</f>
        <v/>
      </c>
      <c r="C381" s="10" t="str">
        <f>IF(SISTEMA!C375="","",SISTEMA!C375)</f>
        <v/>
      </c>
      <c r="D381" s="5" t="str" cm="1">
        <f t="array" ref="D3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1" s="5" t="str" cm="1">
        <f t="array" ref="E3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1" s="5" t="str" cm="1">
        <f t="array" ref="F3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1" t="str" cm="1">
        <f t="array" ref="G3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1" s="4"/>
      <c r="I381" s="3" t="str" cm="1">
        <f t="array" ref="I3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2" spans="1:9" x14ac:dyDescent="0.3">
      <c r="A382" s="3" t="str">
        <f>IF(SISTEMA!A376="","",SISTEMA!A376)</f>
        <v/>
      </c>
      <c r="B382" s="10" t="str">
        <f>IF(SISTEMA!B376="","",VALUE(SISTEMA!B376))</f>
        <v/>
      </c>
      <c r="C382" s="10" t="str">
        <f>IF(SISTEMA!C376="","",SISTEMA!C376)</f>
        <v/>
      </c>
      <c r="D382" s="5" t="str" cm="1">
        <f t="array" ref="D3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2" s="5" t="str" cm="1">
        <f t="array" ref="E3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2" s="5" t="str" cm="1">
        <f t="array" ref="F3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2" t="str" cm="1">
        <f t="array" ref="G3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2" s="4"/>
      <c r="I382" s="3" t="str" cm="1">
        <f t="array" ref="I3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3" spans="1:9" x14ac:dyDescent="0.3">
      <c r="A383" s="3" t="str">
        <f>IF(SISTEMA!A377="","",SISTEMA!A377)</f>
        <v/>
      </c>
      <c r="B383" s="10" t="str">
        <f>IF(SISTEMA!B377="","",VALUE(SISTEMA!B377))</f>
        <v/>
      </c>
      <c r="C383" s="10" t="str">
        <f>IF(SISTEMA!C377="","",SISTEMA!C377)</f>
        <v/>
      </c>
      <c r="D383" s="5" t="str" cm="1">
        <f t="array" ref="D3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3" s="5" t="str" cm="1">
        <f t="array" ref="E3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3" s="5" t="str" cm="1">
        <f t="array" ref="F3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3" t="str" cm="1">
        <f t="array" ref="G3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3" s="4"/>
      <c r="I383" s="3" t="str" cm="1">
        <f t="array" ref="I3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4" spans="1:9" x14ac:dyDescent="0.3">
      <c r="A384" s="3" t="str">
        <f>IF(SISTEMA!A378="","",SISTEMA!A378)</f>
        <v/>
      </c>
      <c r="B384" s="10" t="str">
        <f>IF(SISTEMA!B378="","",VALUE(SISTEMA!B378))</f>
        <v/>
      </c>
      <c r="C384" s="10" t="str">
        <f>IF(SISTEMA!C378="","",SISTEMA!C378)</f>
        <v/>
      </c>
      <c r="D384" s="5" t="str" cm="1">
        <f t="array" ref="D3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4" s="5" t="str" cm="1">
        <f t="array" ref="E3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4" s="5" t="str" cm="1">
        <f t="array" ref="F3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4" t="str" cm="1">
        <f t="array" ref="G3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4" s="4"/>
      <c r="I384" s="3" t="str" cm="1">
        <f t="array" ref="I3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5" spans="1:9" x14ac:dyDescent="0.3">
      <c r="A385" s="3" t="str">
        <f>IF(SISTEMA!A379="","",SISTEMA!A379)</f>
        <v/>
      </c>
      <c r="B385" s="10" t="str">
        <f>IF(SISTEMA!B379="","",VALUE(SISTEMA!B379))</f>
        <v/>
      </c>
      <c r="C385" s="10" t="str">
        <f>IF(SISTEMA!C379="","",SISTEMA!C379)</f>
        <v/>
      </c>
      <c r="D385" s="5" t="str" cm="1">
        <f t="array" ref="D3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5" s="5" t="str" cm="1">
        <f t="array" ref="E3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5" s="5" t="str" cm="1">
        <f t="array" ref="F3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5" t="str" cm="1">
        <f t="array" ref="G3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5" s="4"/>
      <c r="I385" s="3" t="str" cm="1">
        <f t="array" ref="I3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6" spans="1:9" x14ac:dyDescent="0.3">
      <c r="A386" s="3" t="str">
        <f>IF(SISTEMA!A380="","",SISTEMA!A380)</f>
        <v/>
      </c>
      <c r="B386" s="10" t="str">
        <f>IF(SISTEMA!B380="","",VALUE(SISTEMA!B380))</f>
        <v/>
      </c>
      <c r="C386" s="10" t="str">
        <f>IF(SISTEMA!C380="","",SISTEMA!C380)</f>
        <v/>
      </c>
      <c r="D386" s="5" t="str" cm="1">
        <f t="array" ref="D3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6" s="5" t="str" cm="1">
        <f t="array" ref="E3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6" s="5" t="str" cm="1">
        <f t="array" ref="F3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6" t="str" cm="1">
        <f t="array" ref="G3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6" s="4"/>
      <c r="I386" s="3" t="str" cm="1">
        <f t="array" ref="I3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7" spans="1:9" x14ac:dyDescent="0.3">
      <c r="A387" s="3" t="str">
        <f>IF(SISTEMA!A381="","",SISTEMA!A381)</f>
        <v/>
      </c>
      <c r="B387" s="10" t="str">
        <f>IF(SISTEMA!B381="","",VALUE(SISTEMA!B381))</f>
        <v/>
      </c>
      <c r="C387" s="10" t="str">
        <f>IF(SISTEMA!C381="","",SISTEMA!C381)</f>
        <v/>
      </c>
      <c r="D387" s="5" t="str" cm="1">
        <f t="array" ref="D3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7" s="5" t="str" cm="1">
        <f t="array" ref="E3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7" s="5" t="str" cm="1">
        <f t="array" ref="F3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7" t="str" cm="1">
        <f t="array" ref="G3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7" s="4"/>
      <c r="I387" s="3" t="str" cm="1">
        <f t="array" ref="I3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8" spans="1:9" x14ac:dyDescent="0.3">
      <c r="A388" s="3" t="str">
        <f>IF(SISTEMA!A382="","",SISTEMA!A382)</f>
        <v/>
      </c>
      <c r="B388" s="10" t="str">
        <f>IF(SISTEMA!B382="","",VALUE(SISTEMA!B382))</f>
        <v/>
      </c>
      <c r="C388" s="10" t="str">
        <f>IF(SISTEMA!C382="","",SISTEMA!C382)</f>
        <v/>
      </c>
      <c r="D388" s="5" t="str" cm="1">
        <f t="array" ref="D3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8" s="5" t="str" cm="1">
        <f t="array" ref="E3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8" s="5" t="str" cm="1">
        <f t="array" ref="F3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8" t="str" cm="1">
        <f t="array" ref="G3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8" s="4"/>
      <c r="I388" s="3" t="str" cm="1">
        <f t="array" ref="I3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89" spans="1:9" x14ac:dyDescent="0.3">
      <c r="A389" s="3" t="str">
        <f>IF(SISTEMA!A383="","",SISTEMA!A383)</f>
        <v/>
      </c>
      <c r="B389" s="10" t="str">
        <f>IF(SISTEMA!B383="","",VALUE(SISTEMA!B383))</f>
        <v/>
      </c>
      <c r="C389" s="10" t="str">
        <f>IF(SISTEMA!C383="","",SISTEMA!C383)</f>
        <v/>
      </c>
      <c r="D389" s="5" t="str" cm="1">
        <f t="array" ref="D3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89" s="5" t="str" cm="1">
        <f t="array" ref="E3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89" s="5" t="str" cm="1">
        <f t="array" ref="F3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89" t="str" cm="1">
        <f t="array" ref="G3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89" s="4"/>
      <c r="I389" s="3" t="str" cm="1">
        <f t="array" ref="I3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0" spans="1:9" x14ac:dyDescent="0.3">
      <c r="A390" s="3" t="str">
        <f>IF(SISTEMA!A384="","",SISTEMA!A384)</f>
        <v/>
      </c>
      <c r="B390" s="10" t="str">
        <f>IF(SISTEMA!B384="","",VALUE(SISTEMA!B384))</f>
        <v/>
      </c>
      <c r="C390" s="10" t="str">
        <f>IF(SISTEMA!C384="","",SISTEMA!C384)</f>
        <v/>
      </c>
      <c r="D390" s="5" t="str" cm="1">
        <f t="array" ref="D3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0" s="5" t="str" cm="1">
        <f t="array" ref="E3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0" s="5" t="str" cm="1">
        <f t="array" ref="F3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0" t="str" cm="1">
        <f t="array" ref="G3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0" s="4"/>
      <c r="I390" s="3" t="str" cm="1">
        <f t="array" ref="I3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1" spans="1:9" x14ac:dyDescent="0.3">
      <c r="A391" s="3" t="str">
        <f>IF(SISTEMA!A385="","",SISTEMA!A385)</f>
        <v/>
      </c>
      <c r="B391" s="10" t="str">
        <f>IF(SISTEMA!B385="","",VALUE(SISTEMA!B385))</f>
        <v/>
      </c>
      <c r="C391" s="10" t="str">
        <f>IF(SISTEMA!C385="","",SISTEMA!C385)</f>
        <v/>
      </c>
      <c r="D391" s="5" t="str" cm="1">
        <f t="array" ref="D3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1" s="5" t="str" cm="1">
        <f t="array" ref="E3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1" s="5" t="str" cm="1">
        <f t="array" ref="F3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1" t="str" cm="1">
        <f t="array" ref="G3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1" s="4"/>
      <c r="I391" s="3" t="str" cm="1">
        <f t="array" ref="I3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2" spans="1:9" x14ac:dyDescent="0.3">
      <c r="A392" s="3" t="str">
        <f>IF(SISTEMA!A386="","",SISTEMA!A386)</f>
        <v/>
      </c>
      <c r="B392" s="10" t="str">
        <f>IF(SISTEMA!B386="","",VALUE(SISTEMA!B386))</f>
        <v/>
      </c>
      <c r="C392" s="10" t="str">
        <f>IF(SISTEMA!C386="","",SISTEMA!C386)</f>
        <v/>
      </c>
      <c r="D392" s="5" t="str" cm="1">
        <f t="array" ref="D3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2" s="5" t="str" cm="1">
        <f t="array" ref="E3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2" s="5" t="str" cm="1">
        <f t="array" ref="F3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2" t="str" cm="1">
        <f t="array" ref="G3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2" s="4"/>
      <c r="I392" s="3" t="str" cm="1">
        <f t="array" ref="I3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3" spans="1:9" x14ac:dyDescent="0.3">
      <c r="A393" s="3" t="str">
        <f>IF(SISTEMA!A387="","",SISTEMA!A387)</f>
        <v/>
      </c>
      <c r="B393" s="10" t="str">
        <f>IF(SISTEMA!B387="","",VALUE(SISTEMA!B387))</f>
        <v/>
      </c>
      <c r="C393" s="10" t="str">
        <f>IF(SISTEMA!C387="","",SISTEMA!C387)</f>
        <v/>
      </c>
      <c r="D393" s="5" t="str" cm="1">
        <f t="array" ref="D3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3" s="5" t="str" cm="1">
        <f t="array" ref="E3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3" s="5" t="str" cm="1">
        <f t="array" ref="F3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3" t="str" cm="1">
        <f t="array" ref="G3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3" s="4"/>
      <c r="I393" s="3" t="str" cm="1">
        <f t="array" ref="I3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4" spans="1:9" x14ac:dyDescent="0.3">
      <c r="A394" s="3" t="str">
        <f>IF(SISTEMA!A388="","",SISTEMA!A388)</f>
        <v/>
      </c>
      <c r="B394" s="10" t="str">
        <f>IF(SISTEMA!B388="","",VALUE(SISTEMA!B388))</f>
        <v/>
      </c>
      <c r="C394" s="10" t="str">
        <f>IF(SISTEMA!C388="","",SISTEMA!C388)</f>
        <v/>
      </c>
      <c r="D394" s="5" t="str" cm="1">
        <f t="array" ref="D3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4" s="5" t="str" cm="1">
        <f t="array" ref="E3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4" s="5" t="str" cm="1">
        <f t="array" ref="F3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4" t="str" cm="1">
        <f t="array" ref="G3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4" s="4"/>
      <c r="I394" s="3" t="str" cm="1">
        <f t="array" ref="I3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5" spans="1:9" x14ac:dyDescent="0.3">
      <c r="A395" s="3" t="str">
        <f>IF(SISTEMA!A389="","",SISTEMA!A389)</f>
        <v/>
      </c>
      <c r="B395" s="10" t="str">
        <f>IF(SISTEMA!B389="","",VALUE(SISTEMA!B389))</f>
        <v/>
      </c>
      <c r="C395" s="10" t="str">
        <f>IF(SISTEMA!C389="","",SISTEMA!C389)</f>
        <v/>
      </c>
      <c r="D395" s="5" t="str" cm="1">
        <f t="array" ref="D3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5" s="5" t="str" cm="1">
        <f t="array" ref="E3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5" s="5" t="str" cm="1">
        <f t="array" ref="F3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5" t="str" cm="1">
        <f t="array" ref="G3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5" s="4"/>
      <c r="I395" s="3" t="str" cm="1">
        <f t="array" ref="I3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6" spans="1:9" x14ac:dyDescent="0.3">
      <c r="A396" s="3" t="str">
        <f>IF(SISTEMA!A390="","",SISTEMA!A390)</f>
        <v/>
      </c>
      <c r="B396" s="10" t="str">
        <f>IF(SISTEMA!B390="","",VALUE(SISTEMA!B390))</f>
        <v/>
      </c>
      <c r="C396" s="10" t="str">
        <f>IF(SISTEMA!C390="","",SISTEMA!C390)</f>
        <v/>
      </c>
      <c r="D396" s="5" t="str" cm="1">
        <f t="array" ref="D3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6" s="5" t="str" cm="1">
        <f t="array" ref="E3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6" s="5" t="str" cm="1">
        <f t="array" ref="F3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6" t="str" cm="1">
        <f t="array" ref="G3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6" s="4"/>
      <c r="I396" s="3" t="str" cm="1">
        <f t="array" ref="I3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7" spans="1:9" x14ac:dyDescent="0.3">
      <c r="A397" s="3" t="str">
        <f>IF(SISTEMA!A391="","",SISTEMA!A391)</f>
        <v/>
      </c>
      <c r="B397" s="10" t="str">
        <f>IF(SISTEMA!B391="","",VALUE(SISTEMA!B391))</f>
        <v/>
      </c>
      <c r="C397" s="10" t="str">
        <f>IF(SISTEMA!C391="","",SISTEMA!C391)</f>
        <v/>
      </c>
      <c r="D397" s="5" t="str" cm="1">
        <f t="array" ref="D3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7" s="5" t="str" cm="1">
        <f t="array" ref="E3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7" s="5" t="str" cm="1">
        <f t="array" ref="F3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7" t="str" cm="1">
        <f t="array" ref="G3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7" s="4"/>
      <c r="I397" s="3" t="str" cm="1">
        <f t="array" ref="I3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8" spans="1:9" x14ac:dyDescent="0.3">
      <c r="A398" s="3" t="str">
        <f>IF(SISTEMA!A392="","",SISTEMA!A392)</f>
        <v/>
      </c>
      <c r="B398" s="10" t="str">
        <f>IF(SISTEMA!B392="","",VALUE(SISTEMA!B392))</f>
        <v/>
      </c>
      <c r="C398" s="10" t="str">
        <f>IF(SISTEMA!C392="","",SISTEMA!C392)</f>
        <v/>
      </c>
      <c r="D398" s="5" t="str" cm="1">
        <f t="array" ref="D3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8" s="5" t="str" cm="1">
        <f t="array" ref="E3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8" s="5" t="str" cm="1">
        <f t="array" ref="F3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8" t="str" cm="1">
        <f t="array" ref="G3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8" s="4"/>
      <c r="I398" s="3" t="str" cm="1">
        <f t="array" ref="I3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399" spans="1:9" x14ac:dyDescent="0.3">
      <c r="A399" s="3" t="str">
        <f>IF(SISTEMA!A393="","",SISTEMA!A393)</f>
        <v/>
      </c>
      <c r="B399" s="10" t="str">
        <f>IF(SISTEMA!B393="","",VALUE(SISTEMA!B393))</f>
        <v/>
      </c>
      <c r="C399" s="10" t="str">
        <f>IF(SISTEMA!C393="","",SISTEMA!C393)</f>
        <v/>
      </c>
      <c r="D399" s="5" t="str" cm="1">
        <f t="array" ref="D3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399" s="5" t="str" cm="1">
        <f t="array" ref="E3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399" s="5" t="str" cm="1">
        <f t="array" ref="F3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399" t="str" cm="1">
        <f t="array" ref="G3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399" s="4"/>
      <c r="I399" s="3" t="str" cm="1">
        <f t="array" ref="I3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0" spans="1:9" x14ac:dyDescent="0.3">
      <c r="A400" s="3" t="str">
        <f>IF(SISTEMA!A394="","",SISTEMA!A394)</f>
        <v/>
      </c>
      <c r="B400" s="10" t="str">
        <f>IF(SISTEMA!B394="","",VALUE(SISTEMA!B394))</f>
        <v/>
      </c>
      <c r="C400" s="10" t="str">
        <f>IF(SISTEMA!C394="","",SISTEMA!C394)</f>
        <v/>
      </c>
      <c r="D400" s="5" t="str" cm="1">
        <f t="array" ref="D4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0" s="5" t="str" cm="1">
        <f t="array" ref="E4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0" s="5" t="str" cm="1">
        <f t="array" ref="F4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0" t="str" cm="1">
        <f t="array" ref="G4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0" s="4"/>
      <c r="I400" s="3" t="str" cm="1">
        <f t="array" ref="I4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1" spans="1:9" x14ac:dyDescent="0.3">
      <c r="A401" s="3" t="str">
        <f>IF(SISTEMA!A395="","",SISTEMA!A395)</f>
        <v/>
      </c>
      <c r="B401" s="10" t="str">
        <f>IF(SISTEMA!B395="","",VALUE(SISTEMA!B395))</f>
        <v/>
      </c>
      <c r="C401" s="10" t="str">
        <f>IF(SISTEMA!C395="","",SISTEMA!C395)</f>
        <v/>
      </c>
      <c r="D401" s="5" t="str" cm="1">
        <f t="array" ref="D4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1" s="5" t="str" cm="1">
        <f t="array" ref="E4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1" s="5" t="str" cm="1">
        <f t="array" ref="F4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1" t="str" cm="1">
        <f t="array" ref="G4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1" s="4"/>
      <c r="I401" s="3" t="str" cm="1">
        <f t="array" ref="I4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2" spans="1:9" x14ac:dyDescent="0.3">
      <c r="A402" s="3" t="str">
        <f>IF(SISTEMA!A396="","",SISTEMA!A396)</f>
        <v/>
      </c>
      <c r="B402" s="10" t="str">
        <f>IF(SISTEMA!B396="","",VALUE(SISTEMA!B396))</f>
        <v/>
      </c>
      <c r="C402" s="10" t="str">
        <f>IF(SISTEMA!C396="","",SISTEMA!C396)</f>
        <v/>
      </c>
      <c r="D402" s="5" t="str" cm="1">
        <f t="array" ref="D4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2" s="5" t="str" cm="1">
        <f t="array" ref="E4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2" s="5" t="str" cm="1">
        <f t="array" ref="F4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2" t="str" cm="1">
        <f t="array" ref="G4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2" s="4"/>
      <c r="I402" s="3" t="str" cm="1">
        <f t="array" ref="I4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3" spans="1:9" x14ac:dyDescent="0.3">
      <c r="A403" s="3" t="str">
        <f>IF(SISTEMA!A397="","",SISTEMA!A397)</f>
        <v/>
      </c>
      <c r="B403" s="10" t="str">
        <f>IF(SISTEMA!B397="","",VALUE(SISTEMA!B397))</f>
        <v/>
      </c>
      <c r="C403" s="10" t="str">
        <f>IF(SISTEMA!C397="","",SISTEMA!C397)</f>
        <v/>
      </c>
      <c r="D403" s="5" t="str" cm="1">
        <f t="array" ref="D4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3" s="5" t="str" cm="1">
        <f t="array" ref="E4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3" s="5" t="str" cm="1">
        <f t="array" ref="F4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3" t="str" cm="1">
        <f t="array" ref="G4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3" s="4"/>
      <c r="I403" s="3" t="str" cm="1">
        <f t="array" ref="I4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4" spans="1:9" x14ac:dyDescent="0.3">
      <c r="A404" s="3" t="str">
        <f>IF(SISTEMA!A398="","",SISTEMA!A398)</f>
        <v/>
      </c>
      <c r="B404" s="10" t="str">
        <f>IF(SISTEMA!B398="","",VALUE(SISTEMA!B398))</f>
        <v/>
      </c>
      <c r="C404" s="10" t="str">
        <f>IF(SISTEMA!C398="","",SISTEMA!C398)</f>
        <v/>
      </c>
      <c r="D404" s="5" t="str" cm="1">
        <f t="array" ref="D4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4" s="5" t="str" cm="1">
        <f t="array" ref="E4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4" s="5" t="str" cm="1">
        <f t="array" ref="F4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4" t="str" cm="1">
        <f t="array" ref="G4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4" s="4"/>
      <c r="I404" s="3" t="str" cm="1">
        <f t="array" ref="I4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5" spans="1:9" x14ac:dyDescent="0.3">
      <c r="A405" s="3" t="str">
        <f>IF(SISTEMA!A399="","",SISTEMA!A399)</f>
        <v/>
      </c>
      <c r="B405" s="10" t="str">
        <f>IF(SISTEMA!B399="","",VALUE(SISTEMA!B399))</f>
        <v/>
      </c>
      <c r="C405" s="10" t="str">
        <f>IF(SISTEMA!C399="","",SISTEMA!C399)</f>
        <v/>
      </c>
      <c r="D405" s="5" t="str" cm="1">
        <f t="array" ref="D4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5" s="5" t="str" cm="1">
        <f t="array" ref="E4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5" s="5" t="str" cm="1">
        <f t="array" ref="F4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5" t="str" cm="1">
        <f t="array" ref="G4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5" s="4"/>
      <c r="I405" s="3" t="str" cm="1">
        <f t="array" ref="I4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6" spans="1:9" x14ac:dyDescent="0.3">
      <c r="A406" s="3" t="str">
        <f>IF(SISTEMA!A400="","",SISTEMA!A400)</f>
        <v/>
      </c>
      <c r="B406" s="10" t="str">
        <f>IF(SISTEMA!B400="","",VALUE(SISTEMA!B400))</f>
        <v/>
      </c>
      <c r="C406" s="10" t="str">
        <f>IF(SISTEMA!C400="","",SISTEMA!C400)</f>
        <v/>
      </c>
      <c r="D406" s="5" t="str" cm="1">
        <f t="array" ref="D4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6" s="5" t="str" cm="1">
        <f t="array" ref="E4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6" s="5" t="str" cm="1">
        <f t="array" ref="F4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6" t="str" cm="1">
        <f t="array" ref="G4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6" s="4"/>
      <c r="I406" s="3" t="str" cm="1">
        <f t="array" ref="I4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7" spans="1:9" x14ac:dyDescent="0.3">
      <c r="A407" s="3" t="str">
        <f>IF(SISTEMA!A401="","",SISTEMA!A401)</f>
        <v/>
      </c>
      <c r="B407" s="10" t="str">
        <f>IF(SISTEMA!B401="","",VALUE(SISTEMA!B401))</f>
        <v/>
      </c>
      <c r="C407" s="10" t="str">
        <f>IF(SISTEMA!C401="","",SISTEMA!C401)</f>
        <v/>
      </c>
      <c r="D407" s="5" t="str" cm="1">
        <f t="array" ref="D4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7" s="5" t="str" cm="1">
        <f t="array" ref="E4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7" s="5" t="str" cm="1">
        <f t="array" ref="F4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7" t="str" cm="1">
        <f t="array" ref="G4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7" s="4"/>
      <c r="I407" s="3" t="str" cm="1">
        <f t="array" ref="I4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8" spans="1:9" x14ac:dyDescent="0.3">
      <c r="A408" s="3" t="str">
        <f>IF(SISTEMA!A402="","",SISTEMA!A402)</f>
        <v/>
      </c>
      <c r="B408" s="10" t="str">
        <f>IF(SISTEMA!B402="","",VALUE(SISTEMA!B402))</f>
        <v/>
      </c>
      <c r="C408" s="10" t="str">
        <f>IF(SISTEMA!C402="","",SISTEMA!C402)</f>
        <v/>
      </c>
      <c r="D408" s="5" t="str" cm="1">
        <f t="array" ref="D4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8" s="5" t="str" cm="1">
        <f t="array" ref="E4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8" s="5" t="str" cm="1">
        <f t="array" ref="F4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8" t="str" cm="1">
        <f t="array" ref="G4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8" s="4"/>
      <c r="I408" s="3" t="str" cm="1">
        <f t="array" ref="I4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09" spans="1:9" x14ac:dyDescent="0.3">
      <c r="A409" s="3" t="str">
        <f>IF(SISTEMA!A403="","",SISTEMA!A403)</f>
        <v/>
      </c>
      <c r="B409" s="10" t="str">
        <f>IF(SISTEMA!B403="","",VALUE(SISTEMA!B403))</f>
        <v/>
      </c>
      <c r="C409" s="10" t="str">
        <f>IF(SISTEMA!C403="","",SISTEMA!C403)</f>
        <v/>
      </c>
      <c r="D409" s="5" t="str" cm="1">
        <f t="array" ref="D4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09" s="5" t="str" cm="1">
        <f t="array" ref="E4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09" s="5" t="str" cm="1">
        <f t="array" ref="F4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09" t="str" cm="1">
        <f t="array" ref="G4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09" s="4"/>
      <c r="I409" s="3" t="str" cm="1">
        <f t="array" ref="I4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0" spans="1:9" x14ac:dyDescent="0.3">
      <c r="A410" s="3" t="str">
        <f>IF(SISTEMA!A404="","",SISTEMA!A404)</f>
        <v/>
      </c>
      <c r="B410" s="10" t="str">
        <f>IF(SISTEMA!B404="","",VALUE(SISTEMA!B404))</f>
        <v/>
      </c>
      <c r="C410" s="10" t="str">
        <f>IF(SISTEMA!C404="","",SISTEMA!C404)</f>
        <v/>
      </c>
      <c r="D410" s="5" t="str" cm="1">
        <f t="array" ref="D4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0" s="5" t="str" cm="1">
        <f t="array" ref="E4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0" s="5" t="str" cm="1">
        <f t="array" ref="F4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0" t="str" cm="1">
        <f t="array" ref="G4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0" s="4"/>
      <c r="I410" s="3" t="str" cm="1">
        <f t="array" ref="I4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1" spans="1:9" x14ac:dyDescent="0.3">
      <c r="A411" s="3" t="str">
        <f>IF(SISTEMA!A405="","",SISTEMA!A405)</f>
        <v/>
      </c>
      <c r="B411" s="10" t="str">
        <f>IF(SISTEMA!B405="","",VALUE(SISTEMA!B405))</f>
        <v/>
      </c>
      <c r="C411" s="10" t="str">
        <f>IF(SISTEMA!C405="","",SISTEMA!C405)</f>
        <v/>
      </c>
      <c r="D411" s="5" t="str" cm="1">
        <f t="array" ref="D4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1" s="5" t="str" cm="1">
        <f t="array" ref="E4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1" s="5" t="str" cm="1">
        <f t="array" ref="F4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1" t="str" cm="1">
        <f t="array" ref="G4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1" s="4"/>
      <c r="I411" s="3" t="str" cm="1">
        <f t="array" ref="I4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2" spans="1:9" x14ac:dyDescent="0.3">
      <c r="A412" s="3" t="str">
        <f>IF(SISTEMA!A406="","",SISTEMA!A406)</f>
        <v/>
      </c>
      <c r="B412" s="10" t="str">
        <f>IF(SISTEMA!B406="","",VALUE(SISTEMA!B406))</f>
        <v/>
      </c>
      <c r="C412" s="10" t="str">
        <f>IF(SISTEMA!C406="","",SISTEMA!C406)</f>
        <v/>
      </c>
      <c r="D412" s="5" t="str" cm="1">
        <f t="array" ref="D4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2" s="5" t="str" cm="1">
        <f t="array" ref="E4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2" s="5" t="str" cm="1">
        <f t="array" ref="F4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2" t="str" cm="1">
        <f t="array" ref="G4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2" s="4"/>
      <c r="I412" s="3" t="str" cm="1">
        <f t="array" ref="I4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3" spans="1:9" x14ac:dyDescent="0.3">
      <c r="A413" s="3" t="str">
        <f>IF(SISTEMA!A407="","",SISTEMA!A407)</f>
        <v/>
      </c>
      <c r="B413" s="10" t="str">
        <f>IF(SISTEMA!B407="","",VALUE(SISTEMA!B407))</f>
        <v/>
      </c>
      <c r="C413" s="10" t="str">
        <f>IF(SISTEMA!C407="","",SISTEMA!C407)</f>
        <v/>
      </c>
      <c r="D413" s="5" t="str" cm="1">
        <f t="array" ref="D4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3" s="5" t="str" cm="1">
        <f t="array" ref="E4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3" s="5" t="str" cm="1">
        <f t="array" ref="F4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3" t="str" cm="1">
        <f t="array" ref="G4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3" s="4"/>
      <c r="I413" s="3" t="str" cm="1">
        <f t="array" ref="I4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4" spans="1:9" x14ac:dyDescent="0.3">
      <c r="A414" s="3" t="str">
        <f>IF(SISTEMA!A408="","",SISTEMA!A408)</f>
        <v/>
      </c>
      <c r="B414" s="10" t="str">
        <f>IF(SISTEMA!B408="","",VALUE(SISTEMA!B408))</f>
        <v/>
      </c>
      <c r="C414" s="10" t="str">
        <f>IF(SISTEMA!C408="","",SISTEMA!C408)</f>
        <v/>
      </c>
      <c r="D414" s="5" t="str" cm="1">
        <f t="array" ref="D4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4" s="5" t="str" cm="1">
        <f t="array" ref="E4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4" s="5" t="str" cm="1">
        <f t="array" ref="F4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4" t="str" cm="1">
        <f t="array" ref="G4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4" s="4"/>
      <c r="I414" s="3" t="str" cm="1">
        <f t="array" ref="I4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5" spans="1:9" x14ac:dyDescent="0.3">
      <c r="A415" s="3" t="str">
        <f>IF(SISTEMA!A409="","",SISTEMA!A409)</f>
        <v/>
      </c>
      <c r="B415" s="10" t="str">
        <f>IF(SISTEMA!B409="","",VALUE(SISTEMA!B409))</f>
        <v/>
      </c>
      <c r="C415" s="10" t="str">
        <f>IF(SISTEMA!C409="","",SISTEMA!C409)</f>
        <v/>
      </c>
      <c r="D415" s="5" t="str" cm="1">
        <f t="array" ref="D4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5" s="5" t="str" cm="1">
        <f t="array" ref="E4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5" s="5" t="str" cm="1">
        <f t="array" ref="F4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5" t="str" cm="1">
        <f t="array" ref="G4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5" s="4"/>
      <c r="I415" s="3" t="str" cm="1">
        <f t="array" ref="I4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6" spans="1:9" x14ac:dyDescent="0.3">
      <c r="A416" s="3" t="str">
        <f>IF(SISTEMA!A410="","",SISTEMA!A410)</f>
        <v/>
      </c>
      <c r="B416" s="10" t="str">
        <f>IF(SISTEMA!B410="","",VALUE(SISTEMA!B410))</f>
        <v/>
      </c>
      <c r="C416" s="10" t="str">
        <f>IF(SISTEMA!C410="","",SISTEMA!C410)</f>
        <v/>
      </c>
      <c r="D416" s="5" t="str" cm="1">
        <f t="array" ref="D4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6" s="5" t="str" cm="1">
        <f t="array" ref="E4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6" s="5" t="str" cm="1">
        <f t="array" ref="F4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6" t="str" cm="1">
        <f t="array" ref="G4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6" s="4"/>
      <c r="I416" s="3" t="str" cm="1">
        <f t="array" ref="I4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7" spans="1:9" x14ac:dyDescent="0.3">
      <c r="A417" s="3" t="str">
        <f>IF(SISTEMA!A411="","",SISTEMA!A411)</f>
        <v/>
      </c>
      <c r="B417" s="10" t="str">
        <f>IF(SISTEMA!B411="","",VALUE(SISTEMA!B411))</f>
        <v/>
      </c>
      <c r="C417" s="10" t="str">
        <f>IF(SISTEMA!C411="","",SISTEMA!C411)</f>
        <v/>
      </c>
      <c r="D417" s="5" t="str" cm="1">
        <f t="array" ref="D4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7" s="5" t="str" cm="1">
        <f t="array" ref="E4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7" s="5" t="str" cm="1">
        <f t="array" ref="F4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7" t="str" cm="1">
        <f t="array" ref="G4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7" s="4"/>
      <c r="I417" s="3" t="str" cm="1">
        <f t="array" ref="I4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8" spans="1:9" x14ac:dyDescent="0.3">
      <c r="A418" s="3" t="str">
        <f>IF(SISTEMA!A412="","",SISTEMA!A412)</f>
        <v/>
      </c>
      <c r="B418" s="10" t="str">
        <f>IF(SISTEMA!B412="","",VALUE(SISTEMA!B412))</f>
        <v/>
      </c>
      <c r="C418" s="10" t="str">
        <f>IF(SISTEMA!C412="","",SISTEMA!C412)</f>
        <v/>
      </c>
      <c r="D418" s="5" t="str" cm="1">
        <f t="array" ref="D4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8" s="5" t="str" cm="1">
        <f t="array" ref="E4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8" s="5" t="str" cm="1">
        <f t="array" ref="F4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8" t="str" cm="1">
        <f t="array" ref="G4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8" s="4"/>
      <c r="I418" s="3" t="str" cm="1">
        <f t="array" ref="I4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19" spans="1:9" x14ac:dyDescent="0.3">
      <c r="A419" s="3" t="str">
        <f>IF(SISTEMA!A413="","",SISTEMA!A413)</f>
        <v/>
      </c>
      <c r="B419" s="10" t="str">
        <f>IF(SISTEMA!B413="","",VALUE(SISTEMA!B413))</f>
        <v/>
      </c>
      <c r="C419" s="10" t="str">
        <f>IF(SISTEMA!C413="","",SISTEMA!C413)</f>
        <v/>
      </c>
      <c r="D419" s="5" t="str" cm="1">
        <f t="array" ref="D4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19" s="5" t="str" cm="1">
        <f t="array" ref="E4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19" s="5" t="str" cm="1">
        <f t="array" ref="F4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19" t="str" cm="1">
        <f t="array" ref="G4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19" s="4"/>
      <c r="I419" s="3" t="str" cm="1">
        <f t="array" ref="I4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0" spans="1:9" x14ac:dyDescent="0.3">
      <c r="A420" s="3" t="str">
        <f>IF(SISTEMA!A414="","",SISTEMA!A414)</f>
        <v/>
      </c>
      <c r="B420" s="10" t="str">
        <f>IF(SISTEMA!B414="","",VALUE(SISTEMA!B414))</f>
        <v/>
      </c>
      <c r="C420" s="10" t="str">
        <f>IF(SISTEMA!C414="","",SISTEMA!C414)</f>
        <v/>
      </c>
      <c r="D420" s="5" t="str" cm="1">
        <f t="array" ref="D4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0" s="5" t="str" cm="1">
        <f t="array" ref="E4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0" s="5" t="str" cm="1">
        <f t="array" ref="F4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0" t="str" cm="1">
        <f t="array" ref="G4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0" s="4"/>
      <c r="I420" s="3" t="str" cm="1">
        <f t="array" ref="I4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1" spans="1:9" x14ac:dyDescent="0.3">
      <c r="A421" s="3" t="str">
        <f>IF(SISTEMA!A415="","",SISTEMA!A415)</f>
        <v/>
      </c>
      <c r="B421" s="10" t="str">
        <f>IF(SISTEMA!B415="","",VALUE(SISTEMA!B415))</f>
        <v/>
      </c>
      <c r="C421" s="10" t="str">
        <f>IF(SISTEMA!C415="","",SISTEMA!C415)</f>
        <v/>
      </c>
      <c r="D421" s="5" t="str" cm="1">
        <f t="array" ref="D4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1" s="5" t="str" cm="1">
        <f t="array" ref="E4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1" s="5" t="str" cm="1">
        <f t="array" ref="F4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1" t="str" cm="1">
        <f t="array" ref="G4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1" s="4"/>
      <c r="I421" s="3" t="str" cm="1">
        <f t="array" ref="I4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2" spans="1:9" x14ac:dyDescent="0.3">
      <c r="A422" s="3" t="str">
        <f>IF(SISTEMA!A416="","",SISTEMA!A416)</f>
        <v/>
      </c>
      <c r="B422" s="10" t="str">
        <f>IF(SISTEMA!B416="","",VALUE(SISTEMA!B416))</f>
        <v/>
      </c>
      <c r="C422" s="10" t="str">
        <f>IF(SISTEMA!C416="","",SISTEMA!C416)</f>
        <v/>
      </c>
      <c r="D422" s="5" t="str" cm="1">
        <f t="array" ref="D4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2" s="5" t="str" cm="1">
        <f t="array" ref="E4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2" s="5" t="str" cm="1">
        <f t="array" ref="F4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2" t="str" cm="1">
        <f t="array" ref="G4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2" s="4"/>
      <c r="I422" s="3" t="str" cm="1">
        <f t="array" ref="I4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3" spans="1:9" x14ac:dyDescent="0.3">
      <c r="A423" s="3" t="str">
        <f>IF(SISTEMA!A417="","",SISTEMA!A417)</f>
        <v/>
      </c>
      <c r="B423" s="10" t="str">
        <f>IF(SISTEMA!B417="","",VALUE(SISTEMA!B417))</f>
        <v/>
      </c>
      <c r="C423" s="10" t="str">
        <f>IF(SISTEMA!C417="","",SISTEMA!C417)</f>
        <v/>
      </c>
      <c r="D423" s="5" t="str" cm="1">
        <f t="array" ref="D4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3" s="5" t="str" cm="1">
        <f t="array" ref="E4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3" s="5" t="str" cm="1">
        <f t="array" ref="F4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3" t="str" cm="1">
        <f t="array" ref="G4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3" s="4"/>
      <c r="I423" s="3" t="str" cm="1">
        <f t="array" ref="I4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4" spans="1:9" x14ac:dyDescent="0.3">
      <c r="A424" s="3" t="str">
        <f>IF(SISTEMA!A418="","",SISTEMA!A418)</f>
        <v/>
      </c>
      <c r="B424" s="10" t="str">
        <f>IF(SISTEMA!B418="","",VALUE(SISTEMA!B418))</f>
        <v/>
      </c>
      <c r="C424" s="10" t="str">
        <f>IF(SISTEMA!C418="","",SISTEMA!C418)</f>
        <v/>
      </c>
      <c r="D424" s="5" t="str" cm="1">
        <f t="array" ref="D4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4" s="5" t="str" cm="1">
        <f t="array" ref="E4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4" s="5" t="str" cm="1">
        <f t="array" ref="F4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4" t="str" cm="1">
        <f t="array" ref="G4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4" s="4"/>
      <c r="I424" s="3" t="str" cm="1">
        <f t="array" ref="I4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5" spans="1:9" x14ac:dyDescent="0.3">
      <c r="A425" s="3" t="str">
        <f>IF(SISTEMA!A419="","",SISTEMA!A419)</f>
        <v/>
      </c>
      <c r="B425" s="10" t="str">
        <f>IF(SISTEMA!B419="","",VALUE(SISTEMA!B419))</f>
        <v/>
      </c>
      <c r="C425" s="10" t="str">
        <f>IF(SISTEMA!C419="","",SISTEMA!C419)</f>
        <v/>
      </c>
      <c r="D425" s="5" t="str" cm="1">
        <f t="array" ref="D4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5" s="5" t="str" cm="1">
        <f t="array" ref="E4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5" s="5" t="str" cm="1">
        <f t="array" ref="F4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5" t="str" cm="1">
        <f t="array" ref="G4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5" s="4"/>
      <c r="I425" s="3" t="str" cm="1">
        <f t="array" ref="I4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6" spans="1:9" x14ac:dyDescent="0.3">
      <c r="A426" s="3" t="str">
        <f>IF(SISTEMA!A420="","",SISTEMA!A420)</f>
        <v/>
      </c>
      <c r="B426" s="10" t="str">
        <f>IF(SISTEMA!B420="","",VALUE(SISTEMA!B420))</f>
        <v/>
      </c>
      <c r="C426" s="10" t="str">
        <f>IF(SISTEMA!C420="","",SISTEMA!C420)</f>
        <v/>
      </c>
      <c r="D426" s="5" t="str" cm="1">
        <f t="array" ref="D4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6" s="5" t="str" cm="1">
        <f t="array" ref="E4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6" s="5" t="str" cm="1">
        <f t="array" ref="F4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6" t="str" cm="1">
        <f t="array" ref="G4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6" s="4"/>
      <c r="I426" s="3" t="str" cm="1">
        <f t="array" ref="I4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7" spans="1:9" x14ac:dyDescent="0.3">
      <c r="A427" s="3" t="str">
        <f>IF(SISTEMA!A421="","",SISTEMA!A421)</f>
        <v/>
      </c>
      <c r="B427" s="10" t="str">
        <f>IF(SISTEMA!B421="","",VALUE(SISTEMA!B421))</f>
        <v/>
      </c>
      <c r="C427" s="10" t="str">
        <f>IF(SISTEMA!C421="","",SISTEMA!C421)</f>
        <v/>
      </c>
      <c r="D427" s="5" t="str" cm="1">
        <f t="array" ref="D4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7" s="5" t="str" cm="1">
        <f t="array" ref="E4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7" s="5" t="str" cm="1">
        <f t="array" ref="F4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7" t="str" cm="1">
        <f t="array" ref="G4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7" s="4"/>
      <c r="I427" s="3" t="str" cm="1">
        <f t="array" ref="I4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8" spans="1:9" x14ac:dyDescent="0.3">
      <c r="A428" s="3" t="str">
        <f>IF(SISTEMA!A422="","",SISTEMA!A422)</f>
        <v/>
      </c>
      <c r="B428" s="10" t="str">
        <f>IF(SISTEMA!B422="","",VALUE(SISTEMA!B422))</f>
        <v/>
      </c>
      <c r="C428" s="10" t="str">
        <f>IF(SISTEMA!C422="","",SISTEMA!C422)</f>
        <v/>
      </c>
      <c r="D428" s="5" t="str" cm="1">
        <f t="array" ref="D4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8" s="5" t="str" cm="1">
        <f t="array" ref="E4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8" s="5" t="str" cm="1">
        <f t="array" ref="F4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8" t="str" cm="1">
        <f t="array" ref="G4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8" s="4"/>
      <c r="I428" s="3" t="str" cm="1">
        <f t="array" ref="I4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29" spans="1:9" x14ac:dyDescent="0.3">
      <c r="A429" s="3" t="str">
        <f>IF(SISTEMA!A423="","",SISTEMA!A423)</f>
        <v/>
      </c>
      <c r="B429" s="10" t="str">
        <f>IF(SISTEMA!B423="","",VALUE(SISTEMA!B423))</f>
        <v/>
      </c>
      <c r="C429" s="10" t="str">
        <f>IF(SISTEMA!C423="","",SISTEMA!C423)</f>
        <v/>
      </c>
      <c r="D429" s="5" t="str" cm="1">
        <f t="array" ref="D4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29" s="5" t="str" cm="1">
        <f t="array" ref="E4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29" s="5" t="str" cm="1">
        <f t="array" ref="F4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29" t="str" cm="1">
        <f t="array" ref="G4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29" s="4"/>
      <c r="I429" s="3" t="str" cm="1">
        <f t="array" ref="I4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0" spans="1:9" x14ac:dyDescent="0.3">
      <c r="A430" s="3" t="str">
        <f>IF(SISTEMA!A424="","",SISTEMA!A424)</f>
        <v/>
      </c>
      <c r="B430" s="10" t="str">
        <f>IF(SISTEMA!B424="","",VALUE(SISTEMA!B424))</f>
        <v/>
      </c>
      <c r="C430" s="10" t="str">
        <f>IF(SISTEMA!C424="","",SISTEMA!C424)</f>
        <v/>
      </c>
      <c r="D430" s="5" t="str" cm="1">
        <f t="array" ref="D4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0" s="5" t="str" cm="1">
        <f t="array" ref="E4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0" s="5" t="str" cm="1">
        <f t="array" ref="F4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0" t="str" cm="1">
        <f t="array" ref="G4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0" s="4"/>
      <c r="I430" s="3" t="str" cm="1">
        <f t="array" ref="I4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1" spans="1:9" x14ac:dyDescent="0.3">
      <c r="A431" s="3" t="str">
        <f>IF(SISTEMA!A425="","",SISTEMA!A425)</f>
        <v/>
      </c>
      <c r="B431" s="10" t="str">
        <f>IF(SISTEMA!B425="","",VALUE(SISTEMA!B425))</f>
        <v/>
      </c>
      <c r="C431" s="10" t="str">
        <f>IF(SISTEMA!C425="","",SISTEMA!C425)</f>
        <v/>
      </c>
      <c r="D431" s="5" t="str" cm="1">
        <f t="array" ref="D4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1" s="5" t="str" cm="1">
        <f t="array" ref="E4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1" s="5" t="str" cm="1">
        <f t="array" ref="F4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1" t="str" cm="1">
        <f t="array" ref="G4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1" s="4"/>
      <c r="I431" s="3" t="str" cm="1">
        <f t="array" ref="I4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2" spans="1:9" x14ac:dyDescent="0.3">
      <c r="A432" s="3" t="str">
        <f>IF(SISTEMA!A426="","",SISTEMA!A426)</f>
        <v/>
      </c>
      <c r="B432" s="10" t="str">
        <f>IF(SISTEMA!B426="","",VALUE(SISTEMA!B426))</f>
        <v/>
      </c>
      <c r="C432" s="10" t="str">
        <f>IF(SISTEMA!C426="","",SISTEMA!C426)</f>
        <v/>
      </c>
      <c r="D432" s="5" t="str" cm="1">
        <f t="array" ref="D4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2" s="5" t="str" cm="1">
        <f t="array" ref="E4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2" s="5" t="str" cm="1">
        <f t="array" ref="F4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2" t="str" cm="1">
        <f t="array" ref="G4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2" s="4"/>
      <c r="I432" s="3" t="str" cm="1">
        <f t="array" ref="I4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3" spans="1:9" x14ac:dyDescent="0.3">
      <c r="A433" s="3" t="str">
        <f>IF(SISTEMA!A427="","",SISTEMA!A427)</f>
        <v/>
      </c>
      <c r="B433" s="10" t="str">
        <f>IF(SISTEMA!B427="","",VALUE(SISTEMA!B427))</f>
        <v/>
      </c>
      <c r="C433" s="10" t="str">
        <f>IF(SISTEMA!C427="","",SISTEMA!C427)</f>
        <v/>
      </c>
      <c r="D433" s="5" t="str" cm="1">
        <f t="array" ref="D4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3" s="5" t="str" cm="1">
        <f t="array" ref="E4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3" s="5" t="str" cm="1">
        <f t="array" ref="F4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3" t="str" cm="1">
        <f t="array" ref="G4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3" s="4"/>
      <c r="I433" s="3" t="str" cm="1">
        <f t="array" ref="I4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4" spans="1:9" x14ac:dyDescent="0.3">
      <c r="A434" s="3" t="str">
        <f>IF(SISTEMA!A428="","",SISTEMA!A428)</f>
        <v/>
      </c>
      <c r="B434" s="10" t="str">
        <f>IF(SISTEMA!B428="","",VALUE(SISTEMA!B428))</f>
        <v/>
      </c>
      <c r="C434" s="10" t="str">
        <f>IF(SISTEMA!C428="","",SISTEMA!C428)</f>
        <v/>
      </c>
      <c r="D434" s="5" t="str" cm="1">
        <f t="array" ref="D4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4" s="5" t="str" cm="1">
        <f t="array" ref="E4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4" s="5" t="str" cm="1">
        <f t="array" ref="F4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4" t="str" cm="1">
        <f t="array" ref="G4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4" s="4"/>
      <c r="I434" s="3" t="str" cm="1">
        <f t="array" ref="I4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5" spans="1:9" x14ac:dyDescent="0.3">
      <c r="A435" s="3" t="str">
        <f>IF(SISTEMA!A429="","",SISTEMA!A429)</f>
        <v/>
      </c>
      <c r="B435" s="10" t="str">
        <f>IF(SISTEMA!B429="","",VALUE(SISTEMA!B429))</f>
        <v/>
      </c>
      <c r="C435" s="10" t="str">
        <f>IF(SISTEMA!C429="","",SISTEMA!C429)</f>
        <v/>
      </c>
      <c r="D435" s="5" t="str" cm="1">
        <f t="array" ref="D4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5" s="5" t="str" cm="1">
        <f t="array" ref="E4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5" s="5" t="str" cm="1">
        <f t="array" ref="F4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5" t="str" cm="1">
        <f t="array" ref="G4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5" s="4"/>
      <c r="I435" s="3" t="str" cm="1">
        <f t="array" ref="I4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6" spans="1:9" x14ac:dyDescent="0.3">
      <c r="A436" s="3" t="str">
        <f>IF(SISTEMA!A430="","",SISTEMA!A430)</f>
        <v/>
      </c>
      <c r="B436" s="10" t="str">
        <f>IF(SISTEMA!B430="","",VALUE(SISTEMA!B430))</f>
        <v/>
      </c>
      <c r="C436" s="10" t="str">
        <f>IF(SISTEMA!C430="","",SISTEMA!C430)</f>
        <v/>
      </c>
      <c r="D436" s="5" t="str" cm="1">
        <f t="array" ref="D4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6" s="5" t="str" cm="1">
        <f t="array" ref="E4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6" s="5" t="str" cm="1">
        <f t="array" ref="F4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6" t="str" cm="1">
        <f t="array" ref="G4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6" s="4"/>
      <c r="I436" s="3" t="str" cm="1">
        <f t="array" ref="I4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7" spans="1:9" x14ac:dyDescent="0.3">
      <c r="A437" s="3" t="str">
        <f>IF(SISTEMA!A431="","",SISTEMA!A431)</f>
        <v/>
      </c>
      <c r="B437" s="10" t="str">
        <f>IF(SISTEMA!B431="","",VALUE(SISTEMA!B431))</f>
        <v/>
      </c>
      <c r="C437" s="10" t="str">
        <f>IF(SISTEMA!C431="","",SISTEMA!C431)</f>
        <v/>
      </c>
      <c r="D437" s="5" t="str" cm="1">
        <f t="array" ref="D4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7" s="5" t="str" cm="1">
        <f t="array" ref="E4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7" s="5" t="str" cm="1">
        <f t="array" ref="F4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7" t="str" cm="1">
        <f t="array" ref="G4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7" s="4"/>
      <c r="I437" s="3" t="str" cm="1">
        <f t="array" ref="I4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8" spans="1:9" x14ac:dyDescent="0.3">
      <c r="A438" s="3" t="str">
        <f>IF(SISTEMA!A432="","",SISTEMA!A432)</f>
        <v/>
      </c>
      <c r="B438" s="10" t="str">
        <f>IF(SISTEMA!B432="","",VALUE(SISTEMA!B432))</f>
        <v/>
      </c>
      <c r="C438" s="10" t="str">
        <f>IF(SISTEMA!C432="","",SISTEMA!C432)</f>
        <v/>
      </c>
      <c r="D438" s="5" t="str" cm="1">
        <f t="array" ref="D4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8" s="5" t="str" cm="1">
        <f t="array" ref="E4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8" s="5" t="str" cm="1">
        <f t="array" ref="F4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8" t="str" cm="1">
        <f t="array" ref="G4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8" s="4"/>
      <c r="I438" s="3" t="str" cm="1">
        <f t="array" ref="I4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39" spans="1:9" x14ac:dyDescent="0.3">
      <c r="A439" s="3" t="str">
        <f>IF(SISTEMA!A433="","",SISTEMA!A433)</f>
        <v/>
      </c>
      <c r="B439" s="10" t="str">
        <f>IF(SISTEMA!B433="","",VALUE(SISTEMA!B433))</f>
        <v/>
      </c>
      <c r="C439" s="10" t="str">
        <f>IF(SISTEMA!C433="","",SISTEMA!C433)</f>
        <v/>
      </c>
      <c r="D439" s="5" t="str" cm="1">
        <f t="array" ref="D4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39" s="5" t="str" cm="1">
        <f t="array" ref="E4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39" s="5" t="str" cm="1">
        <f t="array" ref="F4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39" t="str" cm="1">
        <f t="array" ref="G4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39" s="4"/>
      <c r="I439" s="3" t="str" cm="1">
        <f t="array" ref="I4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0" spans="1:9" x14ac:dyDescent="0.3">
      <c r="A440" s="3" t="str">
        <f>IF(SISTEMA!A434="","",SISTEMA!A434)</f>
        <v/>
      </c>
      <c r="B440" s="10" t="str">
        <f>IF(SISTEMA!B434="","",VALUE(SISTEMA!B434))</f>
        <v/>
      </c>
      <c r="C440" s="10" t="str">
        <f>IF(SISTEMA!C434="","",SISTEMA!C434)</f>
        <v/>
      </c>
      <c r="D440" s="5" t="str" cm="1">
        <f t="array" ref="D4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0" s="5" t="str" cm="1">
        <f t="array" ref="E4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0" s="5" t="str" cm="1">
        <f t="array" ref="F4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0" t="str" cm="1">
        <f t="array" ref="G4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0" s="4"/>
      <c r="I440" s="3" t="str" cm="1">
        <f t="array" ref="I4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1" spans="1:9" x14ac:dyDescent="0.3">
      <c r="A441" s="3" t="str">
        <f>IF(SISTEMA!A435="","",SISTEMA!A435)</f>
        <v/>
      </c>
      <c r="B441" s="10" t="str">
        <f>IF(SISTEMA!B435="","",VALUE(SISTEMA!B435))</f>
        <v/>
      </c>
      <c r="C441" s="10" t="str">
        <f>IF(SISTEMA!C435="","",SISTEMA!C435)</f>
        <v/>
      </c>
      <c r="D441" s="5" t="str" cm="1">
        <f t="array" ref="D4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1" s="5" t="str" cm="1">
        <f t="array" ref="E4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1" s="5" t="str" cm="1">
        <f t="array" ref="F4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1" t="str" cm="1">
        <f t="array" ref="G4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1" s="4"/>
      <c r="I441" s="3" t="str" cm="1">
        <f t="array" ref="I4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2" spans="1:9" x14ac:dyDescent="0.3">
      <c r="A442" s="3" t="str">
        <f>IF(SISTEMA!A436="","",SISTEMA!A436)</f>
        <v/>
      </c>
      <c r="B442" s="10" t="str">
        <f>IF(SISTEMA!B436="","",VALUE(SISTEMA!B436))</f>
        <v/>
      </c>
      <c r="C442" s="10" t="str">
        <f>IF(SISTEMA!C436="","",SISTEMA!C436)</f>
        <v/>
      </c>
      <c r="D442" s="5" t="str" cm="1">
        <f t="array" ref="D4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2" s="5" t="str" cm="1">
        <f t="array" ref="E4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2" s="5" t="str" cm="1">
        <f t="array" ref="F4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2" t="str" cm="1">
        <f t="array" ref="G4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2" s="4"/>
      <c r="I442" s="3" t="str" cm="1">
        <f t="array" ref="I4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3" spans="1:9" x14ac:dyDescent="0.3">
      <c r="A443" s="3" t="str">
        <f>IF(SISTEMA!A437="","",SISTEMA!A437)</f>
        <v/>
      </c>
      <c r="B443" s="10" t="str">
        <f>IF(SISTEMA!B437="","",VALUE(SISTEMA!B437))</f>
        <v/>
      </c>
      <c r="C443" s="10" t="str">
        <f>IF(SISTEMA!C437="","",SISTEMA!C437)</f>
        <v/>
      </c>
      <c r="D443" s="5" t="str" cm="1">
        <f t="array" ref="D4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3" s="5" t="str" cm="1">
        <f t="array" ref="E4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3" s="5" t="str" cm="1">
        <f t="array" ref="F4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3" t="str" cm="1">
        <f t="array" ref="G4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3" s="4"/>
      <c r="I443" s="3" t="str" cm="1">
        <f t="array" ref="I4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4" spans="1:9" x14ac:dyDescent="0.3">
      <c r="A444" s="3" t="str">
        <f>IF(SISTEMA!A438="","",SISTEMA!A438)</f>
        <v/>
      </c>
      <c r="B444" s="10" t="str">
        <f>IF(SISTEMA!B438="","",VALUE(SISTEMA!B438))</f>
        <v/>
      </c>
      <c r="C444" s="10" t="str">
        <f>IF(SISTEMA!C438="","",SISTEMA!C438)</f>
        <v/>
      </c>
      <c r="D444" s="5" t="str" cm="1">
        <f t="array" ref="D4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4" s="5" t="str" cm="1">
        <f t="array" ref="E4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4" s="5" t="str" cm="1">
        <f t="array" ref="F4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4" t="str" cm="1">
        <f t="array" ref="G4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4" s="4"/>
      <c r="I444" s="3" t="str" cm="1">
        <f t="array" ref="I4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5" spans="1:9" x14ac:dyDescent="0.3">
      <c r="A445" s="3" t="str">
        <f>IF(SISTEMA!A439="","",SISTEMA!A439)</f>
        <v/>
      </c>
      <c r="B445" s="10" t="str">
        <f>IF(SISTEMA!B439="","",VALUE(SISTEMA!B439))</f>
        <v/>
      </c>
      <c r="C445" s="10" t="str">
        <f>IF(SISTEMA!C439="","",SISTEMA!C439)</f>
        <v/>
      </c>
      <c r="D445" s="5" t="str" cm="1">
        <f t="array" ref="D4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5" s="5" t="str" cm="1">
        <f t="array" ref="E4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5" s="5" t="str" cm="1">
        <f t="array" ref="F4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5" t="str" cm="1">
        <f t="array" ref="G4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5" s="4"/>
      <c r="I445" s="3" t="str" cm="1">
        <f t="array" ref="I4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6" spans="1:9" x14ac:dyDescent="0.3">
      <c r="A446" s="3" t="str">
        <f>IF(SISTEMA!A440="","",SISTEMA!A440)</f>
        <v/>
      </c>
      <c r="B446" s="10" t="str">
        <f>IF(SISTEMA!B440="","",VALUE(SISTEMA!B440))</f>
        <v/>
      </c>
      <c r="C446" s="10" t="str">
        <f>IF(SISTEMA!C440="","",SISTEMA!C440)</f>
        <v/>
      </c>
      <c r="D446" s="5" t="str" cm="1">
        <f t="array" ref="D4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6" s="5" t="str" cm="1">
        <f t="array" ref="E4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6" s="5" t="str" cm="1">
        <f t="array" ref="F4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6" t="str" cm="1">
        <f t="array" ref="G4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6" s="4"/>
      <c r="I446" s="3" t="str" cm="1">
        <f t="array" ref="I4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7" spans="1:9" x14ac:dyDescent="0.3">
      <c r="A447" s="3" t="str">
        <f>IF(SISTEMA!A441="","",SISTEMA!A441)</f>
        <v/>
      </c>
      <c r="B447" s="10" t="str">
        <f>IF(SISTEMA!B441="","",VALUE(SISTEMA!B441))</f>
        <v/>
      </c>
      <c r="C447" s="10" t="str">
        <f>IF(SISTEMA!C441="","",SISTEMA!C441)</f>
        <v/>
      </c>
      <c r="D447" s="5" t="str" cm="1">
        <f t="array" ref="D4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7" s="5" t="str" cm="1">
        <f t="array" ref="E4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7" s="5" t="str" cm="1">
        <f t="array" ref="F4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7" t="str" cm="1">
        <f t="array" ref="G4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7" s="4"/>
      <c r="I447" s="3" t="str" cm="1">
        <f t="array" ref="I4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8" spans="1:9" x14ac:dyDescent="0.3">
      <c r="A448" s="3" t="str">
        <f>IF(SISTEMA!A442="","",SISTEMA!A442)</f>
        <v/>
      </c>
      <c r="B448" s="10" t="str">
        <f>IF(SISTEMA!B442="","",VALUE(SISTEMA!B442))</f>
        <v/>
      </c>
      <c r="C448" s="10" t="str">
        <f>IF(SISTEMA!C442="","",SISTEMA!C442)</f>
        <v/>
      </c>
      <c r="D448" s="5" t="str" cm="1">
        <f t="array" ref="D4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8" s="5" t="str" cm="1">
        <f t="array" ref="E4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8" s="5" t="str" cm="1">
        <f t="array" ref="F4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8" t="str" cm="1">
        <f t="array" ref="G4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8" s="4"/>
      <c r="I448" s="3" t="str" cm="1">
        <f t="array" ref="I4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49" spans="1:9" x14ac:dyDescent="0.3">
      <c r="A449" s="3" t="str">
        <f>IF(SISTEMA!A443="","",SISTEMA!A443)</f>
        <v/>
      </c>
      <c r="B449" s="10" t="str">
        <f>IF(SISTEMA!B443="","",VALUE(SISTEMA!B443))</f>
        <v/>
      </c>
      <c r="C449" s="10" t="str">
        <f>IF(SISTEMA!C443="","",SISTEMA!C443)</f>
        <v/>
      </c>
      <c r="D449" s="5" t="str" cm="1">
        <f t="array" ref="D4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49" s="5" t="str" cm="1">
        <f t="array" ref="E4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49" s="5" t="str" cm="1">
        <f t="array" ref="F4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49" t="str" cm="1">
        <f t="array" ref="G4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49" s="4"/>
      <c r="I449" s="3" t="str" cm="1">
        <f t="array" ref="I4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0" spans="1:9" x14ac:dyDescent="0.3">
      <c r="A450" s="3" t="str">
        <f>IF(SISTEMA!A444="","",SISTEMA!A444)</f>
        <v/>
      </c>
      <c r="B450" s="10" t="str">
        <f>IF(SISTEMA!B444="","",VALUE(SISTEMA!B444))</f>
        <v/>
      </c>
      <c r="C450" s="10" t="str">
        <f>IF(SISTEMA!C444="","",SISTEMA!C444)</f>
        <v/>
      </c>
      <c r="D450" s="5" t="str" cm="1">
        <f t="array" ref="D4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0" s="5" t="str" cm="1">
        <f t="array" ref="E4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0" s="5" t="str" cm="1">
        <f t="array" ref="F4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0" t="str" cm="1">
        <f t="array" ref="G4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0" s="4"/>
      <c r="I450" s="3" t="str" cm="1">
        <f t="array" ref="I4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1" spans="1:9" x14ac:dyDescent="0.3">
      <c r="A451" s="3" t="str">
        <f>IF(SISTEMA!A445="","",SISTEMA!A445)</f>
        <v/>
      </c>
      <c r="B451" s="10" t="str">
        <f>IF(SISTEMA!B445="","",VALUE(SISTEMA!B445))</f>
        <v/>
      </c>
      <c r="C451" s="10" t="str">
        <f>IF(SISTEMA!C445="","",SISTEMA!C445)</f>
        <v/>
      </c>
      <c r="D451" s="5" t="str" cm="1">
        <f t="array" ref="D4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1" s="5" t="str" cm="1">
        <f t="array" ref="E4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1" s="5" t="str" cm="1">
        <f t="array" ref="F4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1" t="str" cm="1">
        <f t="array" ref="G4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1" s="4"/>
      <c r="I451" s="3" t="str" cm="1">
        <f t="array" ref="I4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2" spans="1:9" x14ac:dyDescent="0.3">
      <c r="A452" s="3" t="str">
        <f>IF(SISTEMA!A446="","",SISTEMA!A446)</f>
        <v/>
      </c>
      <c r="B452" s="10" t="str">
        <f>IF(SISTEMA!B446="","",VALUE(SISTEMA!B446))</f>
        <v/>
      </c>
      <c r="C452" s="10" t="str">
        <f>IF(SISTEMA!C446="","",SISTEMA!C446)</f>
        <v/>
      </c>
      <c r="D452" s="5" t="str" cm="1">
        <f t="array" ref="D4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2" s="5" t="str" cm="1">
        <f t="array" ref="E4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2" s="5" t="str" cm="1">
        <f t="array" ref="F4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2" t="str" cm="1">
        <f t="array" ref="G4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2" s="4"/>
      <c r="I452" s="3" t="str" cm="1">
        <f t="array" ref="I4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3" spans="1:9" x14ac:dyDescent="0.3">
      <c r="A453" s="3" t="str">
        <f>IF(SISTEMA!A447="","",SISTEMA!A447)</f>
        <v/>
      </c>
      <c r="B453" s="10" t="str">
        <f>IF(SISTEMA!B447="","",VALUE(SISTEMA!B447))</f>
        <v/>
      </c>
      <c r="C453" s="10" t="str">
        <f>IF(SISTEMA!C447="","",SISTEMA!C447)</f>
        <v/>
      </c>
      <c r="D453" s="5" t="str" cm="1">
        <f t="array" ref="D4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3" s="5" t="str" cm="1">
        <f t="array" ref="E4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3" s="5" t="str" cm="1">
        <f t="array" ref="F4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3" t="str" cm="1">
        <f t="array" ref="G4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3" s="4"/>
      <c r="I453" s="3" t="str" cm="1">
        <f t="array" ref="I4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4" spans="1:9" x14ac:dyDescent="0.3">
      <c r="A454" s="3" t="str">
        <f>IF(SISTEMA!A448="","",SISTEMA!A448)</f>
        <v/>
      </c>
      <c r="B454" s="10" t="str">
        <f>IF(SISTEMA!B448="","",VALUE(SISTEMA!B448))</f>
        <v/>
      </c>
      <c r="C454" s="10" t="str">
        <f>IF(SISTEMA!C448="","",SISTEMA!C448)</f>
        <v/>
      </c>
      <c r="D454" s="5" t="str" cm="1">
        <f t="array" ref="D4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4" s="5" t="str" cm="1">
        <f t="array" ref="E4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4" s="5" t="str" cm="1">
        <f t="array" ref="F4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4" t="str" cm="1">
        <f t="array" ref="G4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4" s="4"/>
      <c r="I454" s="3" t="str" cm="1">
        <f t="array" ref="I4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5" spans="1:9" x14ac:dyDescent="0.3">
      <c r="A455" s="3" t="str">
        <f>IF(SISTEMA!A449="","",SISTEMA!A449)</f>
        <v/>
      </c>
      <c r="B455" s="10" t="str">
        <f>IF(SISTEMA!B449="","",VALUE(SISTEMA!B449))</f>
        <v/>
      </c>
      <c r="C455" s="10" t="str">
        <f>IF(SISTEMA!C449="","",SISTEMA!C449)</f>
        <v/>
      </c>
      <c r="D455" s="5" t="str" cm="1">
        <f t="array" ref="D4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5" s="5" t="str" cm="1">
        <f t="array" ref="E4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5" s="5" t="str" cm="1">
        <f t="array" ref="F4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5" t="str" cm="1">
        <f t="array" ref="G4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5" s="4"/>
      <c r="I455" s="3" t="str" cm="1">
        <f t="array" ref="I4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6" spans="1:9" x14ac:dyDescent="0.3">
      <c r="A456" s="3" t="str">
        <f>IF(SISTEMA!A450="","",SISTEMA!A450)</f>
        <v/>
      </c>
      <c r="B456" s="10" t="str">
        <f>IF(SISTEMA!B450="","",VALUE(SISTEMA!B450))</f>
        <v/>
      </c>
      <c r="C456" s="10" t="str">
        <f>IF(SISTEMA!C450="","",SISTEMA!C450)</f>
        <v/>
      </c>
      <c r="D456" s="5" t="str" cm="1">
        <f t="array" ref="D4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6" s="5" t="str" cm="1">
        <f t="array" ref="E4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6" s="5" t="str" cm="1">
        <f t="array" ref="F4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6" t="str" cm="1">
        <f t="array" ref="G4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6" s="4"/>
      <c r="I456" s="3" t="str" cm="1">
        <f t="array" ref="I4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7" spans="1:9" x14ac:dyDescent="0.3">
      <c r="A457" s="3" t="str">
        <f>IF(SISTEMA!A451="","",SISTEMA!A451)</f>
        <v/>
      </c>
      <c r="B457" s="10" t="str">
        <f>IF(SISTEMA!B451="","",VALUE(SISTEMA!B451))</f>
        <v/>
      </c>
      <c r="C457" s="10" t="str">
        <f>IF(SISTEMA!C451="","",SISTEMA!C451)</f>
        <v/>
      </c>
      <c r="D457" s="5" t="str" cm="1">
        <f t="array" ref="D4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7" s="5" t="str" cm="1">
        <f t="array" ref="E4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7" s="5" t="str" cm="1">
        <f t="array" ref="F4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7" t="str" cm="1">
        <f t="array" ref="G4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7" s="4"/>
      <c r="I457" s="3" t="str" cm="1">
        <f t="array" ref="I4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8" spans="1:9" x14ac:dyDescent="0.3">
      <c r="A458" s="3" t="str">
        <f>IF(SISTEMA!A452="","",SISTEMA!A452)</f>
        <v/>
      </c>
      <c r="B458" s="10" t="str">
        <f>IF(SISTEMA!B452="","",VALUE(SISTEMA!B452))</f>
        <v/>
      </c>
      <c r="C458" s="10" t="str">
        <f>IF(SISTEMA!C452="","",SISTEMA!C452)</f>
        <v/>
      </c>
      <c r="D458" s="5" t="str" cm="1">
        <f t="array" ref="D4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8" s="5" t="str" cm="1">
        <f t="array" ref="E4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8" s="5" t="str" cm="1">
        <f t="array" ref="F4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8" t="str" cm="1">
        <f t="array" ref="G4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8" s="4"/>
      <c r="I458" s="3" t="str" cm="1">
        <f t="array" ref="I4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59" spans="1:9" x14ac:dyDescent="0.3">
      <c r="A459" s="3" t="str">
        <f>IF(SISTEMA!A453="","",SISTEMA!A453)</f>
        <v/>
      </c>
      <c r="B459" s="10" t="str">
        <f>IF(SISTEMA!B453="","",VALUE(SISTEMA!B453))</f>
        <v/>
      </c>
      <c r="C459" s="10" t="str">
        <f>IF(SISTEMA!C453="","",SISTEMA!C453)</f>
        <v/>
      </c>
      <c r="D459" s="5" t="str" cm="1">
        <f t="array" ref="D4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59" s="5" t="str" cm="1">
        <f t="array" ref="E4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59" s="5" t="str" cm="1">
        <f t="array" ref="F4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59" t="str" cm="1">
        <f t="array" ref="G4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59" s="4"/>
      <c r="I459" s="3" t="str" cm="1">
        <f t="array" ref="I4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0" spans="1:9" x14ac:dyDescent="0.3">
      <c r="A460" s="3" t="str">
        <f>IF(SISTEMA!A454="","",SISTEMA!A454)</f>
        <v/>
      </c>
      <c r="B460" s="10" t="str">
        <f>IF(SISTEMA!B454="","",VALUE(SISTEMA!B454))</f>
        <v/>
      </c>
      <c r="C460" s="10" t="str">
        <f>IF(SISTEMA!C454="","",SISTEMA!C454)</f>
        <v/>
      </c>
      <c r="D460" s="5" t="str" cm="1">
        <f t="array" ref="D4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0" s="5" t="str" cm="1">
        <f t="array" ref="E4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0" s="5" t="str" cm="1">
        <f t="array" ref="F4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0" t="str" cm="1">
        <f t="array" ref="G4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0" s="4"/>
      <c r="I460" s="3" t="str" cm="1">
        <f t="array" ref="I4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1" spans="1:9" x14ac:dyDescent="0.3">
      <c r="A461" s="3" t="str">
        <f>IF(SISTEMA!A455="","",SISTEMA!A455)</f>
        <v/>
      </c>
      <c r="B461" s="10" t="str">
        <f>IF(SISTEMA!B455="","",VALUE(SISTEMA!B455))</f>
        <v/>
      </c>
      <c r="C461" s="10" t="str">
        <f>IF(SISTEMA!C455="","",SISTEMA!C455)</f>
        <v/>
      </c>
      <c r="D461" s="5" t="str" cm="1">
        <f t="array" ref="D4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1" s="5" t="str" cm="1">
        <f t="array" ref="E4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1" s="5" t="str" cm="1">
        <f t="array" ref="F4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1" t="str" cm="1">
        <f t="array" ref="G4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1" s="4"/>
      <c r="I461" s="3" t="str" cm="1">
        <f t="array" ref="I4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2" spans="1:9" x14ac:dyDescent="0.3">
      <c r="A462" s="3" t="str">
        <f>IF(SISTEMA!A456="","",SISTEMA!A456)</f>
        <v/>
      </c>
      <c r="B462" s="10" t="str">
        <f>IF(SISTEMA!B456="","",VALUE(SISTEMA!B456))</f>
        <v/>
      </c>
      <c r="C462" s="10" t="str">
        <f>IF(SISTEMA!C456="","",SISTEMA!C456)</f>
        <v/>
      </c>
      <c r="D462" s="5" t="str" cm="1">
        <f t="array" ref="D4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2" s="5" t="str" cm="1">
        <f t="array" ref="E4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2" s="5" t="str" cm="1">
        <f t="array" ref="F4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2" t="str" cm="1">
        <f t="array" ref="G4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2" s="4"/>
      <c r="I462" s="3" t="str" cm="1">
        <f t="array" ref="I4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3" spans="1:9" x14ac:dyDescent="0.3">
      <c r="A463" s="3" t="str">
        <f>IF(SISTEMA!A457="","",SISTEMA!A457)</f>
        <v/>
      </c>
      <c r="B463" s="10" t="str">
        <f>IF(SISTEMA!B457="","",VALUE(SISTEMA!B457))</f>
        <v/>
      </c>
      <c r="C463" s="10" t="str">
        <f>IF(SISTEMA!C457="","",SISTEMA!C457)</f>
        <v/>
      </c>
      <c r="D463" s="5" t="str" cm="1">
        <f t="array" ref="D4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3" s="5" t="str" cm="1">
        <f t="array" ref="E4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3" s="5" t="str" cm="1">
        <f t="array" ref="F4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3" t="str" cm="1">
        <f t="array" ref="G4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3" s="4"/>
      <c r="I463" s="3" t="str" cm="1">
        <f t="array" ref="I4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4" spans="1:9" x14ac:dyDescent="0.3">
      <c r="A464" s="3" t="str">
        <f>IF(SISTEMA!A458="","",SISTEMA!A458)</f>
        <v/>
      </c>
      <c r="B464" s="10" t="str">
        <f>IF(SISTEMA!B458="","",VALUE(SISTEMA!B458))</f>
        <v/>
      </c>
      <c r="C464" s="10" t="str">
        <f>IF(SISTEMA!C458="","",SISTEMA!C458)</f>
        <v/>
      </c>
      <c r="D464" s="5" t="str" cm="1">
        <f t="array" ref="D4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4" s="5" t="str" cm="1">
        <f t="array" ref="E4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4" s="5" t="str" cm="1">
        <f t="array" ref="F4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4" t="str" cm="1">
        <f t="array" ref="G4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4" s="4"/>
      <c r="I464" s="3" t="str" cm="1">
        <f t="array" ref="I4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5" spans="1:9" x14ac:dyDescent="0.3">
      <c r="A465" s="3" t="str">
        <f>IF(SISTEMA!A459="","",SISTEMA!A459)</f>
        <v/>
      </c>
      <c r="B465" s="10" t="str">
        <f>IF(SISTEMA!B459="","",VALUE(SISTEMA!B459))</f>
        <v/>
      </c>
      <c r="C465" s="10" t="str">
        <f>IF(SISTEMA!C459="","",SISTEMA!C459)</f>
        <v/>
      </c>
      <c r="D465" s="5" t="str" cm="1">
        <f t="array" ref="D4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5" s="5" t="str" cm="1">
        <f t="array" ref="E4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5" s="5" t="str" cm="1">
        <f t="array" ref="F4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5" t="str" cm="1">
        <f t="array" ref="G4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5" s="4"/>
      <c r="I465" s="3" t="str" cm="1">
        <f t="array" ref="I4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6" spans="1:9" x14ac:dyDescent="0.3">
      <c r="A466" s="3" t="str">
        <f>IF(SISTEMA!A460="","",SISTEMA!A460)</f>
        <v/>
      </c>
      <c r="B466" s="10" t="str">
        <f>IF(SISTEMA!B460="","",VALUE(SISTEMA!B460))</f>
        <v/>
      </c>
      <c r="C466" s="10" t="str">
        <f>IF(SISTEMA!C460="","",SISTEMA!C460)</f>
        <v/>
      </c>
      <c r="D466" s="5" t="str" cm="1">
        <f t="array" ref="D4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6" s="5" t="str" cm="1">
        <f t="array" ref="E4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6" s="5" t="str" cm="1">
        <f t="array" ref="F4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6" t="str" cm="1">
        <f t="array" ref="G4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6" s="4"/>
      <c r="I466" s="3" t="str" cm="1">
        <f t="array" ref="I4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7" spans="1:9" x14ac:dyDescent="0.3">
      <c r="A467" s="3" t="str">
        <f>IF(SISTEMA!A461="","",SISTEMA!A461)</f>
        <v/>
      </c>
      <c r="B467" s="10" t="str">
        <f>IF(SISTEMA!B461="","",VALUE(SISTEMA!B461))</f>
        <v/>
      </c>
      <c r="C467" s="10" t="str">
        <f>IF(SISTEMA!C461="","",SISTEMA!C461)</f>
        <v/>
      </c>
      <c r="D467" s="5" t="str" cm="1">
        <f t="array" ref="D4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7" s="5" t="str" cm="1">
        <f t="array" ref="E4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7" s="5" t="str" cm="1">
        <f t="array" ref="F4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7" t="str" cm="1">
        <f t="array" ref="G4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7" s="4"/>
      <c r="I467" s="3" t="str" cm="1">
        <f t="array" ref="I4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8" spans="1:9" x14ac:dyDescent="0.3">
      <c r="A468" s="3" t="str">
        <f>IF(SISTEMA!A462="","",SISTEMA!A462)</f>
        <v/>
      </c>
      <c r="B468" s="10" t="str">
        <f>IF(SISTEMA!B462="","",VALUE(SISTEMA!B462))</f>
        <v/>
      </c>
      <c r="C468" s="10" t="str">
        <f>IF(SISTEMA!C462="","",SISTEMA!C462)</f>
        <v/>
      </c>
      <c r="D468" s="5" t="str" cm="1">
        <f t="array" ref="D4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8" s="5" t="str" cm="1">
        <f t="array" ref="E4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8" s="5" t="str" cm="1">
        <f t="array" ref="F4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8" t="str" cm="1">
        <f t="array" ref="G4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8" s="4"/>
      <c r="I468" s="3" t="str" cm="1">
        <f t="array" ref="I4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69" spans="1:9" x14ac:dyDescent="0.3">
      <c r="A469" s="3" t="str">
        <f>IF(SISTEMA!A463="","",SISTEMA!A463)</f>
        <v/>
      </c>
      <c r="B469" s="10" t="str">
        <f>IF(SISTEMA!B463="","",VALUE(SISTEMA!B463))</f>
        <v/>
      </c>
      <c r="C469" s="10" t="str">
        <f>IF(SISTEMA!C463="","",SISTEMA!C463)</f>
        <v/>
      </c>
      <c r="D469" s="5" t="str" cm="1">
        <f t="array" ref="D4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69" s="5" t="str" cm="1">
        <f t="array" ref="E4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69" s="5" t="str" cm="1">
        <f t="array" ref="F4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69" t="str" cm="1">
        <f t="array" ref="G4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69" s="4"/>
      <c r="I469" s="3" t="str" cm="1">
        <f t="array" ref="I4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0" spans="1:9" x14ac:dyDescent="0.3">
      <c r="A470" s="3" t="str">
        <f>IF(SISTEMA!A464="","",SISTEMA!A464)</f>
        <v/>
      </c>
      <c r="B470" s="10" t="str">
        <f>IF(SISTEMA!B464="","",VALUE(SISTEMA!B464))</f>
        <v/>
      </c>
      <c r="C470" s="10" t="str">
        <f>IF(SISTEMA!C464="","",SISTEMA!C464)</f>
        <v/>
      </c>
      <c r="D470" s="5" t="str" cm="1">
        <f t="array" ref="D4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0" s="5" t="str" cm="1">
        <f t="array" ref="E4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0" s="5" t="str" cm="1">
        <f t="array" ref="F4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0" t="str" cm="1">
        <f t="array" ref="G4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0" s="4"/>
      <c r="I470" s="3" t="str" cm="1">
        <f t="array" ref="I4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1" spans="1:9" x14ac:dyDescent="0.3">
      <c r="A471" s="3" t="str">
        <f>IF(SISTEMA!A465="","",SISTEMA!A465)</f>
        <v/>
      </c>
      <c r="B471" s="10" t="str">
        <f>IF(SISTEMA!B465="","",VALUE(SISTEMA!B465))</f>
        <v/>
      </c>
      <c r="C471" s="10" t="str">
        <f>IF(SISTEMA!C465="","",SISTEMA!C465)</f>
        <v/>
      </c>
      <c r="D471" s="5" t="str" cm="1">
        <f t="array" ref="D4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1" s="5" t="str" cm="1">
        <f t="array" ref="E4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1" s="5" t="str" cm="1">
        <f t="array" ref="F4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1" t="str" cm="1">
        <f t="array" ref="G4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1" s="4"/>
      <c r="I471" s="3" t="str" cm="1">
        <f t="array" ref="I4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2" spans="1:9" x14ac:dyDescent="0.3">
      <c r="A472" s="3" t="str">
        <f>IF(SISTEMA!A466="","",SISTEMA!A466)</f>
        <v/>
      </c>
      <c r="B472" s="10" t="str">
        <f>IF(SISTEMA!B466="","",VALUE(SISTEMA!B466))</f>
        <v/>
      </c>
      <c r="C472" s="10" t="str">
        <f>IF(SISTEMA!C466="","",SISTEMA!C466)</f>
        <v/>
      </c>
      <c r="D472" s="5" t="str" cm="1">
        <f t="array" ref="D4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2" s="5" t="str" cm="1">
        <f t="array" ref="E4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2" s="5" t="str" cm="1">
        <f t="array" ref="F4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2" t="str" cm="1">
        <f t="array" ref="G4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2" s="4"/>
      <c r="I472" s="3" t="str" cm="1">
        <f t="array" ref="I4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3" spans="1:9" x14ac:dyDescent="0.3">
      <c r="A473" s="3" t="str">
        <f>IF(SISTEMA!A467="","",SISTEMA!A467)</f>
        <v/>
      </c>
      <c r="B473" s="10" t="str">
        <f>IF(SISTEMA!B467="","",VALUE(SISTEMA!B467))</f>
        <v/>
      </c>
      <c r="C473" s="10" t="str">
        <f>IF(SISTEMA!C467="","",SISTEMA!C467)</f>
        <v/>
      </c>
      <c r="D473" s="5" t="str" cm="1">
        <f t="array" ref="D4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3" s="5" t="str" cm="1">
        <f t="array" ref="E4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3" s="5" t="str" cm="1">
        <f t="array" ref="F4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3" t="str" cm="1">
        <f t="array" ref="G4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3" s="4"/>
      <c r="I473" s="3" t="str" cm="1">
        <f t="array" ref="I4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4" spans="1:9" x14ac:dyDescent="0.3">
      <c r="A474" s="3" t="str">
        <f>IF(SISTEMA!A468="","",SISTEMA!A468)</f>
        <v/>
      </c>
      <c r="B474" s="10" t="str">
        <f>IF(SISTEMA!B468="","",VALUE(SISTEMA!B468))</f>
        <v/>
      </c>
      <c r="C474" s="10" t="str">
        <f>IF(SISTEMA!C468="","",SISTEMA!C468)</f>
        <v/>
      </c>
      <c r="D474" s="5" t="str" cm="1">
        <f t="array" ref="D4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4" s="5" t="str" cm="1">
        <f t="array" ref="E4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4" s="5" t="str" cm="1">
        <f t="array" ref="F4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4" t="str" cm="1">
        <f t="array" ref="G4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4" s="4"/>
      <c r="I474" s="3" t="str" cm="1">
        <f t="array" ref="I4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5" spans="1:9" x14ac:dyDescent="0.3">
      <c r="A475" s="3" t="str">
        <f>IF(SISTEMA!A469="","",SISTEMA!A469)</f>
        <v/>
      </c>
      <c r="B475" s="10" t="str">
        <f>IF(SISTEMA!B469="","",VALUE(SISTEMA!B469))</f>
        <v/>
      </c>
      <c r="C475" s="10" t="str">
        <f>IF(SISTEMA!C469="","",SISTEMA!C469)</f>
        <v/>
      </c>
      <c r="D475" s="5" t="str" cm="1">
        <f t="array" ref="D4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5" s="5" t="str" cm="1">
        <f t="array" ref="E4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5" s="5" t="str" cm="1">
        <f t="array" ref="F4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5" t="str" cm="1">
        <f t="array" ref="G4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5" s="4"/>
      <c r="I475" s="3" t="str" cm="1">
        <f t="array" ref="I4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6" spans="1:9" x14ac:dyDescent="0.3">
      <c r="A476" s="3" t="str">
        <f>IF(SISTEMA!A470="","",SISTEMA!A470)</f>
        <v/>
      </c>
      <c r="B476" s="10" t="str">
        <f>IF(SISTEMA!B470="","",VALUE(SISTEMA!B470))</f>
        <v/>
      </c>
      <c r="C476" s="10" t="str">
        <f>IF(SISTEMA!C470="","",SISTEMA!C470)</f>
        <v/>
      </c>
      <c r="D476" s="5" t="str" cm="1">
        <f t="array" ref="D4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6" s="5" t="str" cm="1">
        <f t="array" ref="E4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6" s="5" t="str" cm="1">
        <f t="array" ref="F4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6" t="str" cm="1">
        <f t="array" ref="G4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6" s="4"/>
      <c r="I476" s="3" t="str" cm="1">
        <f t="array" ref="I4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7" spans="1:9" x14ac:dyDescent="0.3">
      <c r="A477" s="3" t="str">
        <f>IF(SISTEMA!A471="","",SISTEMA!A471)</f>
        <v/>
      </c>
      <c r="B477" s="10" t="str">
        <f>IF(SISTEMA!B471="","",VALUE(SISTEMA!B471))</f>
        <v/>
      </c>
      <c r="C477" s="10" t="str">
        <f>IF(SISTEMA!C471="","",SISTEMA!C471)</f>
        <v/>
      </c>
      <c r="D477" s="5" t="str" cm="1">
        <f t="array" ref="D4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7" s="5" t="str" cm="1">
        <f t="array" ref="E4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7" s="5" t="str" cm="1">
        <f t="array" ref="F4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7" t="str" cm="1">
        <f t="array" ref="G4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7" s="4"/>
      <c r="I477" s="3" t="str" cm="1">
        <f t="array" ref="I4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8" spans="1:9" x14ac:dyDescent="0.3">
      <c r="A478" s="3" t="str">
        <f>IF(SISTEMA!A472="","",SISTEMA!A472)</f>
        <v/>
      </c>
      <c r="B478" s="10" t="str">
        <f>IF(SISTEMA!B472="","",VALUE(SISTEMA!B472))</f>
        <v/>
      </c>
      <c r="C478" s="10" t="str">
        <f>IF(SISTEMA!C472="","",SISTEMA!C472)</f>
        <v/>
      </c>
      <c r="D478" s="5" t="str" cm="1">
        <f t="array" ref="D4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8" s="5" t="str" cm="1">
        <f t="array" ref="E4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8" s="5" t="str" cm="1">
        <f t="array" ref="F4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8" t="str" cm="1">
        <f t="array" ref="G4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8" s="4"/>
      <c r="I478" s="3" t="str" cm="1">
        <f t="array" ref="I4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79" spans="1:9" x14ac:dyDescent="0.3">
      <c r="A479" s="3" t="str">
        <f>IF(SISTEMA!A473="","",SISTEMA!A473)</f>
        <v/>
      </c>
      <c r="B479" s="10" t="str">
        <f>IF(SISTEMA!B473="","",VALUE(SISTEMA!B473))</f>
        <v/>
      </c>
      <c r="C479" s="10" t="str">
        <f>IF(SISTEMA!C473="","",SISTEMA!C473)</f>
        <v/>
      </c>
      <c r="D479" s="5" t="str" cm="1">
        <f t="array" ref="D4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79" s="5" t="str" cm="1">
        <f t="array" ref="E4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79" s="5" t="str" cm="1">
        <f t="array" ref="F4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79" t="str" cm="1">
        <f t="array" ref="G4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79" s="4"/>
      <c r="I479" s="3" t="str" cm="1">
        <f t="array" ref="I4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0" spans="1:9" x14ac:dyDescent="0.3">
      <c r="A480" s="3" t="str">
        <f>IF(SISTEMA!A474="","",SISTEMA!A474)</f>
        <v/>
      </c>
      <c r="B480" s="10" t="str">
        <f>IF(SISTEMA!B474="","",VALUE(SISTEMA!B474))</f>
        <v/>
      </c>
      <c r="C480" s="10" t="str">
        <f>IF(SISTEMA!C474="","",SISTEMA!C474)</f>
        <v/>
      </c>
      <c r="D480" s="5" t="str" cm="1">
        <f t="array" ref="D4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0" s="5" t="str" cm="1">
        <f t="array" ref="E4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0" s="5" t="str" cm="1">
        <f t="array" ref="F4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0" t="str" cm="1">
        <f t="array" ref="G4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0" s="4"/>
      <c r="I480" s="3" t="str" cm="1">
        <f t="array" ref="I4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1" spans="1:9" x14ac:dyDescent="0.3">
      <c r="A481" s="3" t="str">
        <f>IF(SISTEMA!A475="","",SISTEMA!A475)</f>
        <v/>
      </c>
      <c r="B481" s="10" t="str">
        <f>IF(SISTEMA!B475="","",VALUE(SISTEMA!B475))</f>
        <v/>
      </c>
      <c r="C481" s="10" t="str">
        <f>IF(SISTEMA!C475="","",SISTEMA!C475)</f>
        <v/>
      </c>
      <c r="D481" s="5" t="str" cm="1">
        <f t="array" ref="D4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1" s="5" t="str" cm="1">
        <f t="array" ref="E4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1" s="5" t="str" cm="1">
        <f t="array" ref="F4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1" t="str" cm="1">
        <f t="array" ref="G4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1" s="4"/>
      <c r="I481" s="3" t="str" cm="1">
        <f t="array" ref="I4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2" spans="1:9" x14ac:dyDescent="0.3">
      <c r="A482" s="3" t="str">
        <f>IF(SISTEMA!A476="","",SISTEMA!A476)</f>
        <v/>
      </c>
      <c r="B482" s="10" t="str">
        <f>IF(SISTEMA!B476="","",VALUE(SISTEMA!B476))</f>
        <v/>
      </c>
      <c r="C482" s="10" t="str">
        <f>IF(SISTEMA!C476="","",SISTEMA!C476)</f>
        <v/>
      </c>
      <c r="D482" s="5" t="str" cm="1">
        <f t="array" ref="D4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2" s="5" t="str" cm="1">
        <f t="array" ref="E4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2" s="5" t="str" cm="1">
        <f t="array" ref="F4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2" t="str" cm="1">
        <f t="array" ref="G4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2" s="4"/>
      <c r="I482" s="3" t="str" cm="1">
        <f t="array" ref="I4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3" spans="1:9" x14ac:dyDescent="0.3">
      <c r="A483" s="3" t="str">
        <f>IF(SISTEMA!A477="","",SISTEMA!A477)</f>
        <v/>
      </c>
      <c r="B483" s="10" t="str">
        <f>IF(SISTEMA!B477="","",VALUE(SISTEMA!B477))</f>
        <v/>
      </c>
      <c r="C483" s="10" t="str">
        <f>IF(SISTEMA!C477="","",SISTEMA!C477)</f>
        <v/>
      </c>
      <c r="D483" s="5" t="str" cm="1">
        <f t="array" ref="D4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3" s="5" t="str" cm="1">
        <f t="array" ref="E4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3" s="5" t="str" cm="1">
        <f t="array" ref="F4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3" t="str" cm="1">
        <f t="array" ref="G4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3" s="4"/>
      <c r="I483" s="3" t="str" cm="1">
        <f t="array" ref="I4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4" spans="1:9" x14ac:dyDescent="0.3">
      <c r="A484" s="3" t="str">
        <f>IF(SISTEMA!A478="","",SISTEMA!A478)</f>
        <v/>
      </c>
      <c r="B484" s="10" t="str">
        <f>IF(SISTEMA!B478="","",VALUE(SISTEMA!B478))</f>
        <v/>
      </c>
      <c r="C484" s="10" t="str">
        <f>IF(SISTEMA!C478="","",SISTEMA!C478)</f>
        <v/>
      </c>
      <c r="D484" s="5" t="str" cm="1">
        <f t="array" ref="D4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4" s="5" t="str" cm="1">
        <f t="array" ref="E4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4" s="5" t="str" cm="1">
        <f t="array" ref="F4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4" t="str" cm="1">
        <f t="array" ref="G4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4" s="4"/>
      <c r="I484" s="3" t="str" cm="1">
        <f t="array" ref="I4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5" spans="1:9" x14ac:dyDescent="0.3">
      <c r="A485" s="3" t="str">
        <f>IF(SISTEMA!A479="","",SISTEMA!A479)</f>
        <v/>
      </c>
      <c r="B485" s="10" t="str">
        <f>IF(SISTEMA!B479="","",VALUE(SISTEMA!B479))</f>
        <v/>
      </c>
      <c r="C485" s="10" t="str">
        <f>IF(SISTEMA!C479="","",SISTEMA!C479)</f>
        <v/>
      </c>
      <c r="D485" s="5" t="str" cm="1">
        <f t="array" ref="D4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5" s="5" t="str" cm="1">
        <f t="array" ref="E4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5" s="5" t="str" cm="1">
        <f t="array" ref="F4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5" t="str" cm="1">
        <f t="array" ref="G4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5" s="4"/>
      <c r="I485" s="3" t="str" cm="1">
        <f t="array" ref="I4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6" spans="1:9" x14ac:dyDescent="0.3">
      <c r="A486" s="3" t="str">
        <f>IF(SISTEMA!A480="","",SISTEMA!A480)</f>
        <v/>
      </c>
      <c r="B486" s="10" t="str">
        <f>IF(SISTEMA!B480="","",VALUE(SISTEMA!B480))</f>
        <v/>
      </c>
      <c r="C486" s="10" t="str">
        <f>IF(SISTEMA!C480="","",SISTEMA!C480)</f>
        <v/>
      </c>
      <c r="D486" s="5" t="str" cm="1">
        <f t="array" ref="D4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6" s="5" t="str" cm="1">
        <f t="array" ref="E4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6" s="5" t="str" cm="1">
        <f t="array" ref="F4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6" t="str" cm="1">
        <f t="array" ref="G4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6" s="4"/>
      <c r="I486" s="3" t="str" cm="1">
        <f t="array" ref="I4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7" spans="1:9" x14ac:dyDescent="0.3">
      <c r="A487" s="3" t="str">
        <f>IF(SISTEMA!A481="","",SISTEMA!A481)</f>
        <v/>
      </c>
      <c r="B487" s="10" t="str">
        <f>IF(SISTEMA!B481="","",VALUE(SISTEMA!B481))</f>
        <v/>
      </c>
      <c r="C487" s="10" t="str">
        <f>IF(SISTEMA!C481="","",SISTEMA!C481)</f>
        <v/>
      </c>
      <c r="D487" s="5" t="str" cm="1">
        <f t="array" ref="D4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7" s="5" t="str" cm="1">
        <f t="array" ref="E4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7" s="5" t="str" cm="1">
        <f t="array" ref="F4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7" t="str" cm="1">
        <f t="array" ref="G4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7" s="4"/>
      <c r="I487" s="3" t="str" cm="1">
        <f t="array" ref="I4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8" spans="1:9" x14ac:dyDescent="0.3">
      <c r="A488" s="3" t="str">
        <f>IF(SISTEMA!A482="","",SISTEMA!A482)</f>
        <v/>
      </c>
      <c r="B488" s="10" t="str">
        <f>IF(SISTEMA!B482="","",VALUE(SISTEMA!B482))</f>
        <v/>
      </c>
      <c r="C488" s="10" t="str">
        <f>IF(SISTEMA!C482="","",SISTEMA!C482)</f>
        <v/>
      </c>
      <c r="D488" s="5" t="str" cm="1">
        <f t="array" ref="D4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8" s="5" t="str" cm="1">
        <f t="array" ref="E4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8" s="5" t="str" cm="1">
        <f t="array" ref="F4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8" t="str" cm="1">
        <f t="array" ref="G4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8" s="4"/>
      <c r="I488" s="3" t="str" cm="1">
        <f t="array" ref="I4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89" spans="1:9" x14ac:dyDescent="0.3">
      <c r="A489" s="3" t="str">
        <f>IF(SISTEMA!A483="","",SISTEMA!A483)</f>
        <v/>
      </c>
      <c r="B489" s="10" t="str">
        <f>IF(SISTEMA!B483="","",VALUE(SISTEMA!B483))</f>
        <v/>
      </c>
      <c r="C489" s="10" t="str">
        <f>IF(SISTEMA!C483="","",SISTEMA!C483)</f>
        <v/>
      </c>
      <c r="D489" s="5" t="str" cm="1">
        <f t="array" ref="D4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89" s="5" t="str" cm="1">
        <f t="array" ref="E4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89" s="5" t="str" cm="1">
        <f t="array" ref="F4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89" t="str" cm="1">
        <f t="array" ref="G4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89" s="4"/>
      <c r="I489" s="3" t="str" cm="1">
        <f t="array" ref="I4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0" spans="1:9" x14ac:dyDescent="0.3">
      <c r="A490" s="3" t="str">
        <f>IF(SISTEMA!A484="","",SISTEMA!A484)</f>
        <v/>
      </c>
      <c r="B490" s="10" t="str">
        <f>IF(SISTEMA!B484="","",VALUE(SISTEMA!B484))</f>
        <v/>
      </c>
      <c r="C490" s="10" t="str">
        <f>IF(SISTEMA!C484="","",SISTEMA!C484)</f>
        <v/>
      </c>
      <c r="D490" s="5" t="str" cm="1">
        <f t="array" ref="D4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0" s="5" t="str" cm="1">
        <f t="array" ref="E4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0" s="5" t="str" cm="1">
        <f t="array" ref="F4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0" t="str" cm="1">
        <f t="array" ref="G4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0" s="4"/>
      <c r="I490" s="3" t="str" cm="1">
        <f t="array" ref="I4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1" spans="1:9" x14ac:dyDescent="0.3">
      <c r="A491" s="3" t="str">
        <f>IF(SISTEMA!A485="","",SISTEMA!A485)</f>
        <v/>
      </c>
      <c r="B491" s="10" t="str">
        <f>IF(SISTEMA!B485="","",VALUE(SISTEMA!B485))</f>
        <v/>
      </c>
      <c r="C491" s="10" t="str">
        <f>IF(SISTEMA!C485="","",SISTEMA!C485)</f>
        <v/>
      </c>
      <c r="D491" s="5" t="str" cm="1">
        <f t="array" ref="D4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1" s="5" t="str" cm="1">
        <f t="array" ref="E4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1" s="5" t="str" cm="1">
        <f t="array" ref="F4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1" t="str" cm="1">
        <f t="array" ref="G4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1" s="4"/>
      <c r="I491" s="3" t="str" cm="1">
        <f t="array" ref="I4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2" spans="1:9" x14ac:dyDescent="0.3">
      <c r="A492" s="3" t="str">
        <f>IF(SISTEMA!A486="","",SISTEMA!A486)</f>
        <v/>
      </c>
      <c r="B492" s="10" t="str">
        <f>IF(SISTEMA!B486="","",VALUE(SISTEMA!B486))</f>
        <v/>
      </c>
      <c r="C492" s="10" t="str">
        <f>IF(SISTEMA!C486="","",SISTEMA!C486)</f>
        <v/>
      </c>
      <c r="D492" s="5" t="str" cm="1">
        <f t="array" ref="D4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2" s="5" t="str" cm="1">
        <f t="array" ref="E4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2" s="5" t="str" cm="1">
        <f t="array" ref="F4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2" t="str" cm="1">
        <f t="array" ref="G4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2" s="4"/>
      <c r="I492" s="3" t="str" cm="1">
        <f t="array" ref="I4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3" spans="1:9" x14ac:dyDescent="0.3">
      <c r="A493" s="3" t="str">
        <f>IF(SISTEMA!A487="","",SISTEMA!A487)</f>
        <v/>
      </c>
      <c r="B493" s="10" t="str">
        <f>IF(SISTEMA!B487="","",VALUE(SISTEMA!B487))</f>
        <v/>
      </c>
      <c r="C493" s="10" t="str">
        <f>IF(SISTEMA!C487="","",SISTEMA!C487)</f>
        <v/>
      </c>
      <c r="D493" s="5" t="str" cm="1">
        <f t="array" ref="D4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3" s="5" t="str" cm="1">
        <f t="array" ref="E4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3" s="5" t="str" cm="1">
        <f t="array" ref="F4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3" t="str" cm="1">
        <f t="array" ref="G4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3" s="4"/>
      <c r="I493" s="3" t="str" cm="1">
        <f t="array" ref="I4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4" spans="1:9" x14ac:dyDescent="0.3">
      <c r="A494" s="3" t="str">
        <f>IF(SISTEMA!A488="","",SISTEMA!A488)</f>
        <v/>
      </c>
      <c r="B494" s="10" t="str">
        <f>IF(SISTEMA!B488="","",VALUE(SISTEMA!B488))</f>
        <v/>
      </c>
      <c r="C494" s="10" t="str">
        <f>IF(SISTEMA!C488="","",SISTEMA!C488)</f>
        <v/>
      </c>
      <c r="D494" s="5" t="str" cm="1">
        <f t="array" ref="D4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4" s="5" t="str" cm="1">
        <f t="array" ref="E4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4" s="5" t="str" cm="1">
        <f t="array" ref="F4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4" t="str" cm="1">
        <f t="array" ref="G4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4" s="4"/>
      <c r="I494" s="3" t="str" cm="1">
        <f t="array" ref="I4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5" spans="1:9" x14ac:dyDescent="0.3">
      <c r="A495" s="3" t="str">
        <f>IF(SISTEMA!A489="","",SISTEMA!A489)</f>
        <v/>
      </c>
      <c r="B495" s="10" t="str">
        <f>IF(SISTEMA!B489="","",VALUE(SISTEMA!B489))</f>
        <v/>
      </c>
      <c r="C495" s="10" t="str">
        <f>IF(SISTEMA!C489="","",SISTEMA!C489)</f>
        <v/>
      </c>
      <c r="D495" s="5" t="str" cm="1">
        <f t="array" ref="D4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5" s="5" t="str" cm="1">
        <f t="array" ref="E4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5" s="5" t="str" cm="1">
        <f t="array" ref="F4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5" t="str" cm="1">
        <f t="array" ref="G4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5" s="4"/>
      <c r="I495" s="3" t="str" cm="1">
        <f t="array" ref="I4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6" spans="1:9" x14ac:dyDescent="0.3">
      <c r="A496" s="3" t="str">
        <f>IF(SISTEMA!A490="","",SISTEMA!A490)</f>
        <v/>
      </c>
      <c r="B496" s="10" t="str">
        <f>IF(SISTEMA!B490="","",VALUE(SISTEMA!B490))</f>
        <v/>
      </c>
      <c r="C496" s="10" t="str">
        <f>IF(SISTEMA!C490="","",SISTEMA!C490)</f>
        <v/>
      </c>
      <c r="D496" s="5" t="str" cm="1">
        <f t="array" ref="D4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6" s="5" t="str" cm="1">
        <f t="array" ref="E4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6" s="5" t="str" cm="1">
        <f t="array" ref="F4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6" t="str" cm="1">
        <f t="array" ref="G4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6" s="4"/>
      <c r="I496" s="3" t="str" cm="1">
        <f t="array" ref="I4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7" spans="1:9" x14ac:dyDescent="0.3">
      <c r="A497" s="3" t="str">
        <f>IF(SISTEMA!A491="","",SISTEMA!A491)</f>
        <v/>
      </c>
      <c r="B497" s="10" t="str">
        <f>IF(SISTEMA!B491="","",VALUE(SISTEMA!B491))</f>
        <v/>
      </c>
      <c r="C497" s="10" t="str">
        <f>IF(SISTEMA!C491="","",SISTEMA!C491)</f>
        <v/>
      </c>
      <c r="D497" s="5" t="str" cm="1">
        <f t="array" ref="D4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7" s="5" t="str" cm="1">
        <f t="array" ref="E4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7" s="5" t="str" cm="1">
        <f t="array" ref="F4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7" t="str" cm="1">
        <f t="array" ref="G4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7" s="4"/>
      <c r="I497" s="3" t="str" cm="1">
        <f t="array" ref="I4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8" spans="1:9" x14ac:dyDescent="0.3">
      <c r="A498" s="3" t="str">
        <f>IF(SISTEMA!A492="","",SISTEMA!A492)</f>
        <v/>
      </c>
      <c r="B498" s="10" t="str">
        <f>IF(SISTEMA!B492="","",VALUE(SISTEMA!B492))</f>
        <v/>
      </c>
      <c r="C498" s="10" t="str">
        <f>IF(SISTEMA!C492="","",SISTEMA!C492)</f>
        <v/>
      </c>
      <c r="D498" s="5" t="str" cm="1">
        <f t="array" ref="D4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8" s="5" t="str" cm="1">
        <f t="array" ref="E4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8" s="5" t="str" cm="1">
        <f t="array" ref="F4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8" t="str" cm="1">
        <f t="array" ref="G4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8" s="4"/>
      <c r="I498" s="3" t="str" cm="1">
        <f t="array" ref="I4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499" spans="1:9" x14ac:dyDescent="0.3">
      <c r="A499" s="3" t="str">
        <f>IF(SISTEMA!A493="","",SISTEMA!A493)</f>
        <v/>
      </c>
      <c r="B499" s="10" t="str">
        <f>IF(SISTEMA!B493="","",VALUE(SISTEMA!B493))</f>
        <v/>
      </c>
      <c r="C499" s="10" t="str">
        <f>IF(SISTEMA!C493="","",SISTEMA!C493)</f>
        <v/>
      </c>
      <c r="D499" s="5" t="str" cm="1">
        <f t="array" ref="D4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499" s="5" t="str" cm="1">
        <f t="array" ref="E4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499" s="5" t="str" cm="1">
        <f t="array" ref="F4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499" t="str" cm="1">
        <f t="array" ref="G4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499" s="4"/>
      <c r="I499" s="3" t="str" cm="1">
        <f t="array" ref="I4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0" spans="1:9" x14ac:dyDescent="0.3">
      <c r="A500" s="3" t="str">
        <f>IF(SISTEMA!A494="","",SISTEMA!A494)</f>
        <v/>
      </c>
      <c r="B500" s="10" t="str">
        <f>IF(SISTEMA!B494="","",VALUE(SISTEMA!B494))</f>
        <v/>
      </c>
      <c r="C500" s="10" t="str">
        <f>IF(SISTEMA!C494="","",SISTEMA!C494)</f>
        <v/>
      </c>
      <c r="D500" s="5" t="str" cm="1">
        <f t="array" ref="D5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0" s="5" t="str" cm="1">
        <f t="array" ref="E5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0" s="5" t="str" cm="1">
        <f t="array" ref="F5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0" t="str" cm="1">
        <f t="array" ref="G5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0" s="4"/>
      <c r="I500" s="3" t="str" cm="1">
        <f t="array" ref="I5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1" spans="1:9" x14ac:dyDescent="0.3">
      <c r="A501" s="3" t="str">
        <f>IF(SISTEMA!A495="","",SISTEMA!A495)</f>
        <v/>
      </c>
      <c r="B501" s="10" t="str">
        <f>IF(SISTEMA!B495="","",VALUE(SISTEMA!B495))</f>
        <v/>
      </c>
      <c r="C501" s="10" t="str">
        <f>IF(SISTEMA!C495="","",SISTEMA!C495)</f>
        <v/>
      </c>
      <c r="D501" s="5" t="str" cm="1">
        <f t="array" ref="D5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1" s="5" t="str" cm="1">
        <f t="array" ref="E5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1" s="5" t="str" cm="1">
        <f t="array" ref="F5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1" t="str" cm="1">
        <f t="array" ref="G5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1" s="4"/>
      <c r="I501" s="3" t="str" cm="1">
        <f t="array" ref="I5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2" spans="1:9" x14ac:dyDescent="0.3">
      <c r="A502" s="3" t="str">
        <f>IF(SISTEMA!A496="","",SISTEMA!A496)</f>
        <v/>
      </c>
      <c r="B502" s="10" t="str">
        <f>IF(SISTEMA!B496="","",VALUE(SISTEMA!B496))</f>
        <v/>
      </c>
      <c r="C502" s="10" t="str">
        <f>IF(SISTEMA!C496="","",SISTEMA!C496)</f>
        <v/>
      </c>
      <c r="D502" s="5" t="str" cm="1">
        <f t="array" ref="D5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2" s="5" t="str" cm="1">
        <f t="array" ref="E5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2" s="5" t="str" cm="1">
        <f t="array" ref="F5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2" t="str" cm="1">
        <f t="array" ref="G5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2" s="4"/>
      <c r="I502" s="3" t="str" cm="1">
        <f t="array" ref="I5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3" spans="1:9" x14ac:dyDescent="0.3">
      <c r="A503" s="3" t="str">
        <f>IF(SISTEMA!A497="","",SISTEMA!A497)</f>
        <v/>
      </c>
      <c r="B503" s="10" t="str">
        <f>IF(SISTEMA!B497="","",VALUE(SISTEMA!B497))</f>
        <v/>
      </c>
      <c r="C503" s="10" t="str">
        <f>IF(SISTEMA!C497="","",SISTEMA!C497)</f>
        <v/>
      </c>
      <c r="D503" s="5" t="str" cm="1">
        <f t="array" ref="D5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3" s="5" t="str" cm="1">
        <f t="array" ref="E5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3" s="5" t="str" cm="1">
        <f t="array" ref="F5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3" t="str" cm="1">
        <f t="array" ref="G5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3" s="4"/>
      <c r="I503" s="3" t="str" cm="1">
        <f t="array" ref="I5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4" spans="1:9" x14ac:dyDescent="0.3">
      <c r="A504" s="3" t="str">
        <f>IF(SISTEMA!A498="","",SISTEMA!A498)</f>
        <v/>
      </c>
      <c r="B504" s="10" t="str">
        <f>IF(SISTEMA!B498="","",VALUE(SISTEMA!B498))</f>
        <v/>
      </c>
      <c r="C504" s="10" t="str">
        <f>IF(SISTEMA!C498="","",SISTEMA!C498)</f>
        <v/>
      </c>
      <c r="D504" s="5" t="str" cm="1">
        <f t="array" ref="D5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4" s="5" t="str" cm="1">
        <f t="array" ref="E5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4" s="5" t="str" cm="1">
        <f t="array" ref="F5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4" t="str" cm="1">
        <f t="array" ref="G5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4" s="4"/>
      <c r="I504" s="3" t="str" cm="1">
        <f t="array" ref="I5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5" spans="1:9" x14ac:dyDescent="0.3">
      <c r="A505" s="3" t="str">
        <f>IF(SISTEMA!A499="","",SISTEMA!A499)</f>
        <v/>
      </c>
      <c r="B505" s="10" t="str">
        <f>IF(SISTEMA!B499="","",VALUE(SISTEMA!B499))</f>
        <v/>
      </c>
      <c r="C505" s="10" t="str">
        <f>IF(SISTEMA!C499="","",SISTEMA!C499)</f>
        <v/>
      </c>
      <c r="D505" s="5" t="str" cm="1">
        <f t="array" ref="D5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5" s="5" t="str" cm="1">
        <f t="array" ref="E5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5" s="5" t="str" cm="1">
        <f t="array" ref="F5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5" t="str" cm="1">
        <f t="array" ref="G5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5" s="4"/>
      <c r="I505" s="3" t="str" cm="1">
        <f t="array" ref="I5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6" spans="1:9" x14ac:dyDescent="0.3">
      <c r="A506" s="3" t="str">
        <f>IF(SISTEMA!A500="","",SISTEMA!A500)</f>
        <v/>
      </c>
      <c r="B506" s="10" t="str">
        <f>IF(SISTEMA!B500="","",VALUE(SISTEMA!B500))</f>
        <v/>
      </c>
      <c r="C506" s="10" t="str">
        <f>IF(SISTEMA!C500="","",SISTEMA!C500)</f>
        <v/>
      </c>
      <c r="D506" s="5" t="str" cm="1">
        <f t="array" ref="D5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6" s="5" t="str" cm="1">
        <f t="array" ref="E5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6" s="5" t="str" cm="1">
        <f t="array" ref="F5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6" t="str" cm="1">
        <f t="array" ref="G5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6" s="4"/>
      <c r="I506" s="3" t="str" cm="1">
        <f t="array" ref="I5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7" spans="1:9" x14ac:dyDescent="0.3">
      <c r="A507" s="3" t="str">
        <f>IF(SISTEMA!A501="","",SISTEMA!A501)</f>
        <v/>
      </c>
      <c r="B507" s="10" t="str">
        <f>IF(SISTEMA!B501="","",VALUE(SISTEMA!B501))</f>
        <v/>
      </c>
      <c r="C507" s="10" t="str">
        <f>IF(SISTEMA!C501="","",SISTEMA!C501)</f>
        <v/>
      </c>
      <c r="D507" s="5" t="str" cm="1">
        <f t="array" ref="D5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7" s="5" t="str" cm="1">
        <f t="array" ref="E5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7" s="5" t="str" cm="1">
        <f t="array" ref="F5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7" t="str" cm="1">
        <f t="array" ref="G5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7" s="4"/>
      <c r="I507" s="3" t="str" cm="1">
        <f t="array" ref="I5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8" spans="1:9" x14ac:dyDescent="0.3">
      <c r="A508" s="3" t="str">
        <f>IF(SISTEMA!A502="","",SISTEMA!A502)</f>
        <v/>
      </c>
      <c r="B508" s="10" t="str">
        <f>IF(SISTEMA!B502="","",VALUE(SISTEMA!B502))</f>
        <v/>
      </c>
      <c r="C508" s="10" t="str">
        <f>IF(SISTEMA!C502="","",SISTEMA!C502)</f>
        <v/>
      </c>
      <c r="D508" s="5" t="str" cm="1">
        <f t="array" ref="D5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8" s="5" t="str" cm="1">
        <f t="array" ref="E5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8" s="5" t="str" cm="1">
        <f t="array" ref="F5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8" t="str" cm="1">
        <f t="array" ref="G5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8" s="4"/>
      <c r="I508" s="3" t="str" cm="1">
        <f t="array" ref="I5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09" spans="1:9" x14ac:dyDescent="0.3">
      <c r="A509" s="3" t="str">
        <f>IF(SISTEMA!A503="","",SISTEMA!A503)</f>
        <v/>
      </c>
      <c r="B509" s="10" t="str">
        <f>IF(SISTEMA!B503="","",VALUE(SISTEMA!B503))</f>
        <v/>
      </c>
      <c r="C509" s="10" t="str">
        <f>IF(SISTEMA!C503="","",SISTEMA!C503)</f>
        <v/>
      </c>
      <c r="D509" s="5" t="str" cm="1">
        <f t="array" ref="D5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09" s="5" t="str" cm="1">
        <f t="array" ref="E5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09" s="5" t="str" cm="1">
        <f t="array" ref="F5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09" t="str" cm="1">
        <f t="array" ref="G5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09" s="4"/>
      <c r="I509" s="3" t="str" cm="1">
        <f t="array" ref="I5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0" spans="1:9" x14ac:dyDescent="0.3">
      <c r="A510" s="3" t="str">
        <f>IF(SISTEMA!A504="","",SISTEMA!A504)</f>
        <v/>
      </c>
      <c r="B510" s="10" t="str">
        <f>IF(SISTEMA!B504="","",VALUE(SISTEMA!B504))</f>
        <v/>
      </c>
      <c r="C510" s="10" t="str">
        <f>IF(SISTEMA!C504="","",SISTEMA!C504)</f>
        <v/>
      </c>
      <c r="D510" s="5" t="str" cm="1">
        <f t="array" ref="D5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0" s="5" t="str" cm="1">
        <f t="array" ref="E5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0" s="5" t="str" cm="1">
        <f t="array" ref="F5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0" t="str" cm="1">
        <f t="array" ref="G5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0" s="4"/>
      <c r="I510" s="3" t="str" cm="1">
        <f t="array" ref="I5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1" spans="1:9" x14ac:dyDescent="0.3">
      <c r="A511" s="3" t="str">
        <f>IF(SISTEMA!A505="","",SISTEMA!A505)</f>
        <v/>
      </c>
      <c r="B511" s="10" t="str">
        <f>IF(SISTEMA!B505="","",VALUE(SISTEMA!B505))</f>
        <v/>
      </c>
      <c r="C511" s="10" t="str">
        <f>IF(SISTEMA!C505="","",SISTEMA!C505)</f>
        <v/>
      </c>
      <c r="D511" s="5" t="str" cm="1">
        <f t="array" ref="D5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1" s="5" t="str" cm="1">
        <f t="array" ref="E5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1" s="5" t="str" cm="1">
        <f t="array" ref="F5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1" t="str" cm="1">
        <f t="array" ref="G5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1" s="4"/>
      <c r="I511" s="3" t="str" cm="1">
        <f t="array" ref="I5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2" spans="1:9" x14ac:dyDescent="0.3">
      <c r="A512" s="3" t="str">
        <f>IF(SISTEMA!A506="","",SISTEMA!A506)</f>
        <v/>
      </c>
      <c r="B512" s="10" t="str">
        <f>IF(SISTEMA!B506="","",VALUE(SISTEMA!B506))</f>
        <v/>
      </c>
      <c r="C512" s="10" t="str">
        <f>IF(SISTEMA!C506="","",SISTEMA!C506)</f>
        <v/>
      </c>
      <c r="D512" s="5" t="str" cm="1">
        <f t="array" ref="D5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2" s="5" t="str" cm="1">
        <f t="array" ref="E5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2" s="5" t="str" cm="1">
        <f t="array" ref="F5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2" t="str" cm="1">
        <f t="array" ref="G5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2" s="4"/>
      <c r="I512" s="3" t="str" cm="1">
        <f t="array" ref="I5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3" spans="1:9" x14ac:dyDescent="0.3">
      <c r="A513" s="3" t="str">
        <f>IF(SISTEMA!A507="","",SISTEMA!A507)</f>
        <v/>
      </c>
      <c r="B513" s="10" t="str">
        <f>IF(SISTEMA!B507="","",VALUE(SISTEMA!B507))</f>
        <v/>
      </c>
      <c r="C513" s="10" t="str">
        <f>IF(SISTEMA!C507="","",SISTEMA!C507)</f>
        <v/>
      </c>
      <c r="D513" s="5" t="str" cm="1">
        <f t="array" ref="D5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3" s="5" t="str" cm="1">
        <f t="array" ref="E5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3" s="5" t="str" cm="1">
        <f t="array" ref="F5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3" t="str" cm="1">
        <f t="array" ref="G5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3" s="4"/>
      <c r="I513" s="3" t="str" cm="1">
        <f t="array" ref="I5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4" spans="1:9" x14ac:dyDescent="0.3">
      <c r="A514" s="3" t="str">
        <f>IF(SISTEMA!A508="","",SISTEMA!A508)</f>
        <v/>
      </c>
      <c r="B514" s="10" t="str">
        <f>IF(SISTEMA!B508="","",VALUE(SISTEMA!B508))</f>
        <v/>
      </c>
      <c r="C514" s="10" t="str">
        <f>IF(SISTEMA!C508="","",SISTEMA!C508)</f>
        <v/>
      </c>
      <c r="D514" s="5" t="str" cm="1">
        <f t="array" ref="D5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4" s="5" t="str" cm="1">
        <f t="array" ref="E5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4" s="5" t="str" cm="1">
        <f t="array" ref="F5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4" t="str" cm="1">
        <f t="array" ref="G5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4" s="4"/>
      <c r="I514" s="3" t="str" cm="1">
        <f t="array" ref="I5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5" spans="1:9" x14ac:dyDescent="0.3">
      <c r="A515" s="3" t="str">
        <f>IF(SISTEMA!A509="","",SISTEMA!A509)</f>
        <v/>
      </c>
      <c r="B515" s="10" t="str">
        <f>IF(SISTEMA!B509="","",VALUE(SISTEMA!B509))</f>
        <v/>
      </c>
      <c r="C515" s="10" t="str">
        <f>IF(SISTEMA!C509="","",SISTEMA!C509)</f>
        <v/>
      </c>
      <c r="D515" s="5" t="str" cm="1">
        <f t="array" ref="D5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5" s="5" t="str" cm="1">
        <f t="array" ref="E5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5" s="5" t="str" cm="1">
        <f t="array" ref="F5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5" t="str" cm="1">
        <f t="array" ref="G5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5" s="4"/>
      <c r="I515" s="3" t="str" cm="1">
        <f t="array" ref="I5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6" spans="1:9" x14ac:dyDescent="0.3">
      <c r="A516" s="3" t="str">
        <f>IF(SISTEMA!A510="","",SISTEMA!A510)</f>
        <v/>
      </c>
      <c r="B516" s="10" t="str">
        <f>IF(SISTEMA!B510="","",VALUE(SISTEMA!B510))</f>
        <v/>
      </c>
      <c r="C516" s="10" t="str">
        <f>IF(SISTEMA!C510="","",SISTEMA!C510)</f>
        <v/>
      </c>
      <c r="D516" s="5" t="str" cm="1">
        <f t="array" ref="D5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6" s="5" t="str" cm="1">
        <f t="array" ref="E5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6" s="5" t="str" cm="1">
        <f t="array" ref="F5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6" t="str" cm="1">
        <f t="array" ref="G5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6" s="4"/>
      <c r="I516" s="3" t="str" cm="1">
        <f t="array" ref="I5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7" spans="1:9" x14ac:dyDescent="0.3">
      <c r="A517" s="3" t="str">
        <f>IF(SISTEMA!A511="","",SISTEMA!A511)</f>
        <v/>
      </c>
      <c r="B517" s="10" t="str">
        <f>IF(SISTEMA!B511="","",VALUE(SISTEMA!B511))</f>
        <v/>
      </c>
      <c r="C517" s="10" t="str">
        <f>IF(SISTEMA!C511="","",SISTEMA!C511)</f>
        <v/>
      </c>
      <c r="D517" s="5" t="str" cm="1">
        <f t="array" ref="D5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7" s="5" t="str" cm="1">
        <f t="array" ref="E5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7" s="5" t="str" cm="1">
        <f t="array" ref="F5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7" t="str" cm="1">
        <f t="array" ref="G5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7" s="4"/>
      <c r="I517" s="3" t="str" cm="1">
        <f t="array" ref="I5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8" spans="1:9" x14ac:dyDescent="0.3">
      <c r="A518" s="3" t="str">
        <f>IF(SISTEMA!A512="","",SISTEMA!A512)</f>
        <v/>
      </c>
      <c r="B518" s="10" t="str">
        <f>IF(SISTEMA!B512="","",VALUE(SISTEMA!B512))</f>
        <v/>
      </c>
      <c r="C518" s="10" t="str">
        <f>IF(SISTEMA!C512="","",SISTEMA!C512)</f>
        <v/>
      </c>
      <c r="D518" s="5" t="str" cm="1">
        <f t="array" ref="D5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8" s="5" t="str" cm="1">
        <f t="array" ref="E5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8" s="5" t="str" cm="1">
        <f t="array" ref="F5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8" t="str" cm="1">
        <f t="array" ref="G5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8" s="4"/>
      <c r="I518" s="3" t="str" cm="1">
        <f t="array" ref="I5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19" spans="1:9" x14ac:dyDescent="0.3">
      <c r="A519" s="3" t="str">
        <f>IF(SISTEMA!A513="","",SISTEMA!A513)</f>
        <v/>
      </c>
      <c r="B519" s="10" t="str">
        <f>IF(SISTEMA!B513="","",VALUE(SISTEMA!B513))</f>
        <v/>
      </c>
      <c r="C519" s="10" t="str">
        <f>IF(SISTEMA!C513="","",SISTEMA!C513)</f>
        <v/>
      </c>
      <c r="D519" s="5" t="str" cm="1">
        <f t="array" ref="D5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19" s="5" t="str" cm="1">
        <f t="array" ref="E5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19" s="5" t="str" cm="1">
        <f t="array" ref="F5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19" t="str" cm="1">
        <f t="array" ref="G5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19" s="4"/>
      <c r="I519" s="3" t="str" cm="1">
        <f t="array" ref="I5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0" spans="1:9" x14ac:dyDescent="0.3">
      <c r="A520" s="3" t="str">
        <f>IF(SISTEMA!A514="","",SISTEMA!A514)</f>
        <v/>
      </c>
      <c r="B520" s="10" t="str">
        <f>IF(SISTEMA!B514="","",VALUE(SISTEMA!B514))</f>
        <v/>
      </c>
      <c r="C520" s="10" t="str">
        <f>IF(SISTEMA!C514="","",SISTEMA!C514)</f>
        <v/>
      </c>
      <c r="D520" s="5" t="str" cm="1">
        <f t="array" ref="D5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0" s="5" t="str" cm="1">
        <f t="array" ref="E5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0" s="5" t="str" cm="1">
        <f t="array" ref="F5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0" t="str" cm="1">
        <f t="array" ref="G5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0" s="4"/>
      <c r="I520" s="3" t="str" cm="1">
        <f t="array" ref="I5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1" spans="1:9" x14ac:dyDescent="0.3">
      <c r="A521" s="3" t="str">
        <f>IF(SISTEMA!A515="","",SISTEMA!A515)</f>
        <v/>
      </c>
      <c r="B521" s="10" t="str">
        <f>IF(SISTEMA!B515="","",VALUE(SISTEMA!B515))</f>
        <v/>
      </c>
      <c r="C521" s="10" t="str">
        <f>IF(SISTEMA!C515="","",SISTEMA!C515)</f>
        <v/>
      </c>
      <c r="D521" s="5" t="str" cm="1">
        <f t="array" ref="D5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1" s="5" t="str" cm="1">
        <f t="array" ref="E5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1" s="5" t="str" cm="1">
        <f t="array" ref="F5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1" t="str" cm="1">
        <f t="array" ref="G5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1" s="4"/>
      <c r="I521" s="3" t="str" cm="1">
        <f t="array" ref="I5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2" spans="1:9" x14ac:dyDescent="0.3">
      <c r="A522" s="3" t="str">
        <f>IF(SISTEMA!A516="","",SISTEMA!A516)</f>
        <v/>
      </c>
      <c r="B522" s="10" t="str">
        <f>IF(SISTEMA!B516="","",VALUE(SISTEMA!B516))</f>
        <v/>
      </c>
      <c r="C522" s="10" t="str">
        <f>IF(SISTEMA!C516="","",SISTEMA!C516)</f>
        <v/>
      </c>
      <c r="D522" s="5" t="str" cm="1">
        <f t="array" ref="D5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2" s="5" t="str" cm="1">
        <f t="array" ref="E5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2" s="5" t="str" cm="1">
        <f t="array" ref="F5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2" t="str" cm="1">
        <f t="array" ref="G5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2" s="4"/>
      <c r="I522" s="3" t="str" cm="1">
        <f t="array" ref="I5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3" spans="1:9" x14ac:dyDescent="0.3">
      <c r="A523" s="3" t="str">
        <f>IF(SISTEMA!A517="","",SISTEMA!A517)</f>
        <v/>
      </c>
      <c r="B523" s="10" t="str">
        <f>IF(SISTEMA!B517="","",VALUE(SISTEMA!B517))</f>
        <v/>
      </c>
      <c r="C523" s="10" t="str">
        <f>IF(SISTEMA!C517="","",SISTEMA!C517)</f>
        <v/>
      </c>
      <c r="D523" s="5" t="str" cm="1">
        <f t="array" ref="D5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3" s="5" t="str" cm="1">
        <f t="array" ref="E5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3" s="5" t="str" cm="1">
        <f t="array" ref="F5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3" t="str" cm="1">
        <f t="array" ref="G5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3" s="4"/>
      <c r="I523" s="3" t="str" cm="1">
        <f t="array" ref="I5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4" spans="1:9" x14ac:dyDescent="0.3">
      <c r="A524" s="3" t="str">
        <f>IF(SISTEMA!A518="","",SISTEMA!A518)</f>
        <v/>
      </c>
      <c r="B524" s="10" t="str">
        <f>IF(SISTEMA!B518="","",VALUE(SISTEMA!B518))</f>
        <v/>
      </c>
      <c r="C524" s="10" t="str">
        <f>IF(SISTEMA!C518="","",SISTEMA!C518)</f>
        <v/>
      </c>
      <c r="D524" s="5" t="str" cm="1">
        <f t="array" ref="D5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4" s="5" t="str" cm="1">
        <f t="array" ref="E5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4" s="5" t="str" cm="1">
        <f t="array" ref="F5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4" t="str" cm="1">
        <f t="array" ref="G5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4" s="4"/>
      <c r="I524" s="3" t="str" cm="1">
        <f t="array" ref="I5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5" spans="1:9" x14ac:dyDescent="0.3">
      <c r="A525" s="3" t="str">
        <f>IF(SISTEMA!A519="","",SISTEMA!A519)</f>
        <v/>
      </c>
      <c r="B525" s="10" t="str">
        <f>IF(SISTEMA!B519="","",VALUE(SISTEMA!B519))</f>
        <v/>
      </c>
      <c r="C525" s="10" t="str">
        <f>IF(SISTEMA!C519="","",SISTEMA!C519)</f>
        <v/>
      </c>
      <c r="D525" s="5" t="str" cm="1">
        <f t="array" ref="D5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5" s="5" t="str" cm="1">
        <f t="array" ref="E5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5" s="5" t="str" cm="1">
        <f t="array" ref="F5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5" t="str" cm="1">
        <f t="array" ref="G5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5" s="4"/>
      <c r="I525" s="3" t="str" cm="1">
        <f t="array" ref="I5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6" spans="1:9" x14ac:dyDescent="0.3">
      <c r="A526" s="3" t="str">
        <f>IF(SISTEMA!A520="","",SISTEMA!A520)</f>
        <v/>
      </c>
      <c r="B526" s="10" t="str">
        <f>IF(SISTEMA!B520="","",VALUE(SISTEMA!B520))</f>
        <v/>
      </c>
      <c r="C526" s="10" t="str">
        <f>IF(SISTEMA!C520="","",SISTEMA!C520)</f>
        <v/>
      </c>
      <c r="D526" s="5" t="str" cm="1">
        <f t="array" ref="D5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6" s="5" t="str" cm="1">
        <f t="array" ref="E5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6" s="5" t="str" cm="1">
        <f t="array" ref="F5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6" t="str" cm="1">
        <f t="array" ref="G5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6" s="4"/>
      <c r="I526" s="3" t="str" cm="1">
        <f t="array" ref="I5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7" spans="1:9" x14ac:dyDescent="0.3">
      <c r="A527" s="3" t="str">
        <f>IF(SISTEMA!A521="","",SISTEMA!A521)</f>
        <v/>
      </c>
      <c r="B527" s="10" t="str">
        <f>IF(SISTEMA!B521="","",VALUE(SISTEMA!B521))</f>
        <v/>
      </c>
      <c r="C527" s="10" t="str">
        <f>IF(SISTEMA!C521="","",SISTEMA!C521)</f>
        <v/>
      </c>
      <c r="D527" s="5" t="str" cm="1">
        <f t="array" ref="D5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7" s="5" t="str" cm="1">
        <f t="array" ref="E5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7" s="5" t="str" cm="1">
        <f t="array" ref="F5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7" t="str" cm="1">
        <f t="array" ref="G5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7" s="4"/>
      <c r="I527" s="3" t="str" cm="1">
        <f t="array" ref="I5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8" spans="1:9" x14ac:dyDescent="0.3">
      <c r="A528" s="3" t="str">
        <f>IF(SISTEMA!A522="","",SISTEMA!A522)</f>
        <v/>
      </c>
      <c r="B528" s="10" t="str">
        <f>IF(SISTEMA!B522="","",VALUE(SISTEMA!B522))</f>
        <v/>
      </c>
      <c r="C528" s="10" t="str">
        <f>IF(SISTEMA!C522="","",SISTEMA!C522)</f>
        <v/>
      </c>
      <c r="D528" s="5" t="str" cm="1">
        <f t="array" ref="D5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8" s="5" t="str" cm="1">
        <f t="array" ref="E5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8" s="5" t="str" cm="1">
        <f t="array" ref="F5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8" t="str" cm="1">
        <f t="array" ref="G5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8" s="4"/>
      <c r="I528" s="3" t="str" cm="1">
        <f t="array" ref="I5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29" spans="1:9" x14ac:dyDescent="0.3">
      <c r="A529" s="3" t="str">
        <f>IF(SISTEMA!A523="","",SISTEMA!A523)</f>
        <v/>
      </c>
      <c r="B529" s="10" t="str">
        <f>IF(SISTEMA!B523="","",VALUE(SISTEMA!B523))</f>
        <v/>
      </c>
      <c r="C529" s="10" t="str">
        <f>IF(SISTEMA!C523="","",SISTEMA!C523)</f>
        <v/>
      </c>
      <c r="D529" s="5" t="str" cm="1">
        <f t="array" ref="D5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29" s="5" t="str" cm="1">
        <f t="array" ref="E5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29" s="5" t="str" cm="1">
        <f t="array" ref="F5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29" t="str" cm="1">
        <f t="array" ref="G5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29" s="4"/>
      <c r="I529" s="3" t="str" cm="1">
        <f t="array" ref="I5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0" spans="1:9" x14ac:dyDescent="0.3">
      <c r="A530" s="3" t="str">
        <f>IF(SISTEMA!A524="","",SISTEMA!A524)</f>
        <v/>
      </c>
      <c r="B530" s="10" t="str">
        <f>IF(SISTEMA!B524="","",VALUE(SISTEMA!B524))</f>
        <v/>
      </c>
      <c r="C530" s="10" t="str">
        <f>IF(SISTEMA!C524="","",SISTEMA!C524)</f>
        <v/>
      </c>
      <c r="D530" s="5" t="str" cm="1">
        <f t="array" ref="D5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0" s="5" t="str" cm="1">
        <f t="array" ref="E5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0" s="5" t="str" cm="1">
        <f t="array" ref="F5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0" t="str" cm="1">
        <f t="array" ref="G5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0" s="4"/>
      <c r="I530" s="3" t="str" cm="1">
        <f t="array" ref="I5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1" spans="1:9" x14ac:dyDescent="0.3">
      <c r="A531" s="3" t="str">
        <f>IF(SISTEMA!A525="","",SISTEMA!A525)</f>
        <v/>
      </c>
      <c r="B531" s="10" t="str">
        <f>IF(SISTEMA!B525="","",VALUE(SISTEMA!B525))</f>
        <v/>
      </c>
      <c r="C531" s="10" t="str">
        <f>IF(SISTEMA!C525="","",SISTEMA!C525)</f>
        <v/>
      </c>
      <c r="D531" s="5" t="str" cm="1">
        <f t="array" ref="D5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1" s="5" t="str" cm="1">
        <f t="array" ref="E5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1" s="5" t="str" cm="1">
        <f t="array" ref="F5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1" t="str" cm="1">
        <f t="array" ref="G5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1" s="4"/>
      <c r="I531" s="3" t="str" cm="1">
        <f t="array" ref="I5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2" spans="1:9" x14ac:dyDescent="0.3">
      <c r="A532" s="3" t="str">
        <f>IF(SISTEMA!A526="","",SISTEMA!A526)</f>
        <v/>
      </c>
      <c r="B532" s="10" t="str">
        <f>IF(SISTEMA!B526="","",VALUE(SISTEMA!B526))</f>
        <v/>
      </c>
      <c r="C532" s="10" t="str">
        <f>IF(SISTEMA!C526="","",SISTEMA!C526)</f>
        <v/>
      </c>
      <c r="D532" s="5" t="str" cm="1">
        <f t="array" ref="D5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2" s="5" t="str" cm="1">
        <f t="array" ref="E5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2" s="5" t="str" cm="1">
        <f t="array" ref="F5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2" t="str" cm="1">
        <f t="array" ref="G5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2" s="4"/>
      <c r="I532" s="3" t="str" cm="1">
        <f t="array" ref="I5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3" spans="1:9" x14ac:dyDescent="0.3">
      <c r="A533" s="3" t="str">
        <f>IF(SISTEMA!A527="","",SISTEMA!A527)</f>
        <v/>
      </c>
      <c r="B533" s="10" t="str">
        <f>IF(SISTEMA!B527="","",VALUE(SISTEMA!B527))</f>
        <v/>
      </c>
      <c r="C533" s="10" t="str">
        <f>IF(SISTEMA!C527="","",SISTEMA!C527)</f>
        <v/>
      </c>
      <c r="D533" s="5" t="str" cm="1">
        <f t="array" ref="D5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3" s="5" t="str" cm="1">
        <f t="array" ref="E5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3" s="5" t="str" cm="1">
        <f t="array" ref="F5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3" t="str" cm="1">
        <f t="array" ref="G5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3" s="4"/>
      <c r="I533" s="3" t="str" cm="1">
        <f t="array" ref="I5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4" spans="1:9" x14ac:dyDescent="0.3">
      <c r="A534" s="3" t="str">
        <f>IF(SISTEMA!A528="","",SISTEMA!A528)</f>
        <v/>
      </c>
      <c r="B534" s="10" t="str">
        <f>IF(SISTEMA!B528="","",VALUE(SISTEMA!B528))</f>
        <v/>
      </c>
      <c r="C534" s="10" t="str">
        <f>IF(SISTEMA!C528="","",SISTEMA!C528)</f>
        <v/>
      </c>
      <c r="D534" s="5" t="str" cm="1">
        <f t="array" ref="D5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4" s="5" t="str" cm="1">
        <f t="array" ref="E5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4" s="5" t="str" cm="1">
        <f t="array" ref="F5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4" t="str" cm="1">
        <f t="array" ref="G5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4" s="4"/>
      <c r="I534" s="3" t="str" cm="1">
        <f t="array" ref="I5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5" spans="1:9" x14ac:dyDescent="0.3">
      <c r="A535" s="3" t="str">
        <f>IF(SISTEMA!A529="","",SISTEMA!A529)</f>
        <v/>
      </c>
      <c r="B535" s="10" t="str">
        <f>IF(SISTEMA!B529="","",VALUE(SISTEMA!B529))</f>
        <v/>
      </c>
      <c r="C535" s="10" t="str">
        <f>IF(SISTEMA!C529="","",SISTEMA!C529)</f>
        <v/>
      </c>
      <c r="D535" s="5" t="str" cm="1">
        <f t="array" ref="D5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5" s="5" t="str" cm="1">
        <f t="array" ref="E5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5" s="5" t="str" cm="1">
        <f t="array" ref="F5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5" t="str" cm="1">
        <f t="array" ref="G5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5" s="4"/>
      <c r="I535" s="3" t="str" cm="1">
        <f t="array" ref="I5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6" spans="1:9" x14ac:dyDescent="0.3">
      <c r="A536" s="3" t="str">
        <f>IF(SISTEMA!A530="","",SISTEMA!A530)</f>
        <v/>
      </c>
      <c r="B536" s="10" t="str">
        <f>IF(SISTEMA!B530="","",VALUE(SISTEMA!B530))</f>
        <v/>
      </c>
      <c r="C536" s="10" t="str">
        <f>IF(SISTEMA!C530="","",SISTEMA!C530)</f>
        <v/>
      </c>
      <c r="D536" s="5" t="str" cm="1">
        <f t="array" ref="D5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6" s="5" t="str" cm="1">
        <f t="array" ref="E5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6" s="5" t="str" cm="1">
        <f t="array" ref="F5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6" t="str" cm="1">
        <f t="array" ref="G5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6" s="4"/>
      <c r="I536" s="3" t="str" cm="1">
        <f t="array" ref="I5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7" spans="1:9" x14ac:dyDescent="0.3">
      <c r="A537" s="3" t="str">
        <f>IF(SISTEMA!A531="","",SISTEMA!A531)</f>
        <v/>
      </c>
      <c r="B537" s="10" t="str">
        <f>IF(SISTEMA!B531="","",VALUE(SISTEMA!B531))</f>
        <v/>
      </c>
      <c r="C537" s="10" t="str">
        <f>IF(SISTEMA!C531="","",SISTEMA!C531)</f>
        <v/>
      </c>
      <c r="D537" s="5" t="str" cm="1">
        <f t="array" ref="D5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7" s="5" t="str" cm="1">
        <f t="array" ref="E5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7" s="5" t="str" cm="1">
        <f t="array" ref="F5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7" t="str" cm="1">
        <f t="array" ref="G5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7" s="4"/>
      <c r="I537" s="3" t="str" cm="1">
        <f t="array" ref="I5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8" spans="1:9" x14ac:dyDescent="0.3">
      <c r="A538" s="3" t="str">
        <f>IF(SISTEMA!A532="","",SISTEMA!A532)</f>
        <v/>
      </c>
      <c r="B538" s="10" t="str">
        <f>IF(SISTEMA!B532="","",VALUE(SISTEMA!B532))</f>
        <v/>
      </c>
      <c r="C538" s="10" t="str">
        <f>IF(SISTEMA!C532="","",SISTEMA!C532)</f>
        <v/>
      </c>
      <c r="D538" s="5" t="str" cm="1">
        <f t="array" ref="D5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8" s="5" t="str" cm="1">
        <f t="array" ref="E5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8" s="5" t="str" cm="1">
        <f t="array" ref="F5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8" t="str" cm="1">
        <f t="array" ref="G5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8" s="4"/>
      <c r="I538" s="3" t="str" cm="1">
        <f t="array" ref="I5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39" spans="1:9" x14ac:dyDescent="0.3">
      <c r="A539" s="3" t="str">
        <f>IF(SISTEMA!A533="","",SISTEMA!A533)</f>
        <v/>
      </c>
      <c r="B539" s="10" t="str">
        <f>IF(SISTEMA!B533="","",VALUE(SISTEMA!B533))</f>
        <v/>
      </c>
      <c r="C539" s="10" t="str">
        <f>IF(SISTEMA!C533="","",SISTEMA!C533)</f>
        <v/>
      </c>
      <c r="D539" s="5" t="str" cm="1">
        <f t="array" ref="D5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39" s="5" t="str" cm="1">
        <f t="array" ref="E5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39" s="5" t="str" cm="1">
        <f t="array" ref="F5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39" t="str" cm="1">
        <f t="array" ref="G5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39" s="4"/>
      <c r="I539" s="3" t="str" cm="1">
        <f t="array" ref="I5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0" spans="1:9" x14ac:dyDescent="0.3">
      <c r="A540" s="3" t="str">
        <f>IF(SISTEMA!A534="","",SISTEMA!A534)</f>
        <v/>
      </c>
      <c r="B540" s="10" t="str">
        <f>IF(SISTEMA!B534="","",VALUE(SISTEMA!B534))</f>
        <v/>
      </c>
      <c r="C540" s="10" t="str">
        <f>IF(SISTEMA!C534="","",SISTEMA!C534)</f>
        <v/>
      </c>
      <c r="D540" s="5" t="str" cm="1">
        <f t="array" ref="D5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0" s="5" t="str" cm="1">
        <f t="array" ref="E5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0" s="5" t="str" cm="1">
        <f t="array" ref="F5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0" t="str" cm="1">
        <f t="array" ref="G5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0" s="4"/>
      <c r="I540" s="3" t="str" cm="1">
        <f t="array" ref="I5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1" spans="1:9" x14ac:dyDescent="0.3">
      <c r="A541" s="3" t="str">
        <f>IF(SISTEMA!A535="","",SISTEMA!A535)</f>
        <v/>
      </c>
      <c r="B541" s="10" t="str">
        <f>IF(SISTEMA!B535="","",VALUE(SISTEMA!B535))</f>
        <v/>
      </c>
      <c r="C541" s="10" t="str">
        <f>IF(SISTEMA!C535="","",SISTEMA!C535)</f>
        <v/>
      </c>
      <c r="D541" s="5" t="str" cm="1">
        <f t="array" ref="D5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1" s="5" t="str" cm="1">
        <f t="array" ref="E5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1" s="5" t="str" cm="1">
        <f t="array" ref="F5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1" t="str" cm="1">
        <f t="array" ref="G5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1" s="4"/>
      <c r="I541" s="3" t="str" cm="1">
        <f t="array" ref="I5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2" spans="1:9" x14ac:dyDescent="0.3">
      <c r="A542" s="3" t="str">
        <f>IF(SISTEMA!A536="","",SISTEMA!A536)</f>
        <v/>
      </c>
      <c r="B542" s="10" t="str">
        <f>IF(SISTEMA!B536="","",VALUE(SISTEMA!B536))</f>
        <v/>
      </c>
      <c r="C542" s="10" t="str">
        <f>IF(SISTEMA!C536="","",SISTEMA!C536)</f>
        <v/>
      </c>
      <c r="D542" s="5" t="str" cm="1">
        <f t="array" ref="D5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2" s="5" t="str" cm="1">
        <f t="array" ref="E5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2" s="5" t="str" cm="1">
        <f t="array" ref="F5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2" t="str" cm="1">
        <f t="array" ref="G5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2" s="4"/>
      <c r="I542" s="3" t="str" cm="1">
        <f t="array" ref="I5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3" spans="1:9" x14ac:dyDescent="0.3">
      <c r="A543" s="3" t="str">
        <f>IF(SISTEMA!A537="","",SISTEMA!A537)</f>
        <v/>
      </c>
      <c r="B543" s="10" t="str">
        <f>IF(SISTEMA!B537="","",VALUE(SISTEMA!B537))</f>
        <v/>
      </c>
      <c r="C543" s="10" t="str">
        <f>IF(SISTEMA!C537="","",SISTEMA!C537)</f>
        <v/>
      </c>
      <c r="D543" s="5" t="str" cm="1">
        <f t="array" ref="D5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3" s="5" t="str" cm="1">
        <f t="array" ref="E5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3" s="5" t="str" cm="1">
        <f t="array" ref="F5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3" t="str" cm="1">
        <f t="array" ref="G5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3" s="4"/>
      <c r="I543" s="3" t="str" cm="1">
        <f t="array" ref="I5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4" spans="1:9" x14ac:dyDescent="0.3">
      <c r="A544" s="3" t="str">
        <f>IF(SISTEMA!A538="","",SISTEMA!A538)</f>
        <v/>
      </c>
      <c r="B544" s="10" t="str">
        <f>IF(SISTEMA!B538="","",VALUE(SISTEMA!B538))</f>
        <v/>
      </c>
      <c r="C544" s="10" t="str">
        <f>IF(SISTEMA!C538="","",SISTEMA!C538)</f>
        <v/>
      </c>
      <c r="D544" s="5" t="str" cm="1">
        <f t="array" ref="D5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4" s="5" t="str" cm="1">
        <f t="array" ref="E5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4" s="5" t="str" cm="1">
        <f t="array" ref="F5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4" t="str" cm="1">
        <f t="array" ref="G5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4" s="4"/>
      <c r="I544" s="3" t="str" cm="1">
        <f t="array" ref="I5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5" spans="1:9" x14ac:dyDescent="0.3">
      <c r="A545" s="3" t="str">
        <f>IF(SISTEMA!A539="","",SISTEMA!A539)</f>
        <v/>
      </c>
      <c r="B545" s="10" t="str">
        <f>IF(SISTEMA!B539="","",VALUE(SISTEMA!B539))</f>
        <v/>
      </c>
      <c r="C545" s="10" t="str">
        <f>IF(SISTEMA!C539="","",SISTEMA!C539)</f>
        <v/>
      </c>
      <c r="D545" s="5" t="str" cm="1">
        <f t="array" ref="D5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5" s="5" t="str" cm="1">
        <f t="array" ref="E5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5" s="5" t="str" cm="1">
        <f t="array" ref="F5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5" t="str" cm="1">
        <f t="array" ref="G5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5" s="4"/>
      <c r="I545" s="3" t="str" cm="1">
        <f t="array" ref="I5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6" spans="1:9" x14ac:dyDescent="0.3">
      <c r="A546" s="3" t="str">
        <f>IF(SISTEMA!A540="","",SISTEMA!A540)</f>
        <v/>
      </c>
      <c r="B546" s="10" t="str">
        <f>IF(SISTEMA!B540="","",VALUE(SISTEMA!B540))</f>
        <v/>
      </c>
      <c r="C546" s="10" t="str">
        <f>IF(SISTEMA!C540="","",SISTEMA!C540)</f>
        <v/>
      </c>
      <c r="D546" s="5" t="str" cm="1">
        <f t="array" ref="D5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6" s="5" t="str" cm="1">
        <f t="array" ref="E5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6" s="5" t="str" cm="1">
        <f t="array" ref="F5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6" t="str" cm="1">
        <f t="array" ref="G5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6" s="4"/>
      <c r="I546" s="3" t="str" cm="1">
        <f t="array" ref="I5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7" spans="1:9" x14ac:dyDescent="0.3">
      <c r="A547" s="3" t="str">
        <f>IF(SISTEMA!A541="","",SISTEMA!A541)</f>
        <v/>
      </c>
      <c r="B547" s="10" t="str">
        <f>IF(SISTEMA!B541="","",VALUE(SISTEMA!B541))</f>
        <v/>
      </c>
      <c r="C547" s="10" t="str">
        <f>IF(SISTEMA!C541="","",SISTEMA!C541)</f>
        <v/>
      </c>
      <c r="D547" s="5" t="str" cm="1">
        <f t="array" ref="D5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7" s="5" t="str" cm="1">
        <f t="array" ref="E5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7" s="5" t="str" cm="1">
        <f t="array" ref="F5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7" t="str" cm="1">
        <f t="array" ref="G5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7" s="4"/>
      <c r="I547" s="3" t="str" cm="1">
        <f t="array" ref="I5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8" spans="1:9" x14ac:dyDescent="0.3">
      <c r="A548" s="3" t="str">
        <f>IF(SISTEMA!A542="","",SISTEMA!A542)</f>
        <v/>
      </c>
      <c r="B548" s="10" t="str">
        <f>IF(SISTEMA!B542="","",VALUE(SISTEMA!B542))</f>
        <v/>
      </c>
      <c r="C548" s="10" t="str">
        <f>IF(SISTEMA!C542="","",SISTEMA!C542)</f>
        <v/>
      </c>
      <c r="D548" s="5" t="str" cm="1">
        <f t="array" ref="D5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8" s="5" t="str" cm="1">
        <f t="array" ref="E5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8" s="5" t="str" cm="1">
        <f t="array" ref="F5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8" t="str" cm="1">
        <f t="array" ref="G5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8" s="4"/>
      <c r="I548" s="3" t="str" cm="1">
        <f t="array" ref="I5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49" spans="1:9" x14ac:dyDescent="0.3">
      <c r="A549" s="3" t="str">
        <f>IF(SISTEMA!A543="","",SISTEMA!A543)</f>
        <v/>
      </c>
      <c r="B549" s="10" t="str">
        <f>IF(SISTEMA!B543="","",VALUE(SISTEMA!B543))</f>
        <v/>
      </c>
      <c r="C549" s="10" t="str">
        <f>IF(SISTEMA!C543="","",SISTEMA!C543)</f>
        <v/>
      </c>
      <c r="D549" s="5" t="str" cm="1">
        <f t="array" ref="D5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49" s="5" t="str" cm="1">
        <f t="array" ref="E5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49" s="5" t="str" cm="1">
        <f t="array" ref="F5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49" t="str" cm="1">
        <f t="array" ref="G5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49" s="4"/>
      <c r="I549" s="3" t="str" cm="1">
        <f t="array" ref="I5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0" spans="1:9" x14ac:dyDescent="0.3">
      <c r="A550" s="3" t="str">
        <f>IF(SISTEMA!A544="","",SISTEMA!A544)</f>
        <v/>
      </c>
      <c r="B550" s="10" t="str">
        <f>IF(SISTEMA!B544="","",VALUE(SISTEMA!B544))</f>
        <v/>
      </c>
      <c r="C550" s="10" t="str">
        <f>IF(SISTEMA!C544="","",SISTEMA!C544)</f>
        <v/>
      </c>
      <c r="D550" s="5" t="str" cm="1">
        <f t="array" ref="D5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0" s="5" t="str" cm="1">
        <f t="array" ref="E5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0" s="5" t="str" cm="1">
        <f t="array" ref="F5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0" t="str" cm="1">
        <f t="array" ref="G5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0" s="4"/>
      <c r="I550" s="3" t="str" cm="1">
        <f t="array" ref="I5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1" spans="1:9" x14ac:dyDescent="0.3">
      <c r="A551" s="3" t="str">
        <f>IF(SISTEMA!A545="","",SISTEMA!A545)</f>
        <v/>
      </c>
      <c r="B551" s="10" t="str">
        <f>IF(SISTEMA!B545="","",VALUE(SISTEMA!B545))</f>
        <v/>
      </c>
      <c r="C551" s="10" t="str">
        <f>IF(SISTEMA!C545="","",SISTEMA!C545)</f>
        <v/>
      </c>
      <c r="D551" s="5" t="str" cm="1">
        <f t="array" ref="D5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1" s="5" t="str" cm="1">
        <f t="array" ref="E5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1" s="5" t="str" cm="1">
        <f t="array" ref="F5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1" t="str" cm="1">
        <f t="array" ref="G5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1" s="4"/>
      <c r="I551" s="3" t="str" cm="1">
        <f t="array" ref="I5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2" spans="1:9" x14ac:dyDescent="0.3">
      <c r="A552" s="3" t="str">
        <f>IF(SISTEMA!A546="","",SISTEMA!A546)</f>
        <v/>
      </c>
      <c r="B552" s="10" t="str">
        <f>IF(SISTEMA!B546="","",VALUE(SISTEMA!B546))</f>
        <v/>
      </c>
      <c r="C552" s="10" t="str">
        <f>IF(SISTEMA!C546="","",SISTEMA!C546)</f>
        <v/>
      </c>
      <c r="D552" s="5" t="str" cm="1">
        <f t="array" ref="D5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2" s="5" t="str" cm="1">
        <f t="array" ref="E5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2" s="5" t="str" cm="1">
        <f t="array" ref="F5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2" t="str" cm="1">
        <f t="array" ref="G5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2" s="4"/>
      <c r="I552" s="3" t="str" cm="1">
        <f t="array" ref="I5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3" spans="1:9" x14ac:dyDescent="0.3">
      <c r="A553" s="3" t="str">
        <f>IF(SISTEMA!A547="","",SISTEMA!A547)</f>
        <v/>
      </c>
      <c r="B553" s="10" t="str">
        <f>IF(SISTEMA!B547="","",VALUE(SISTEMA!B547))</f>
        <v/>
      </c>
      <c r="C553" s="10" t="str">
        <f>IF(SISTEMA!C547="","",SISTEMA!C547)</f>
        <v/>
      </c>
      <c r="D553" s="5" t="str" cm="1">
        <f t="array" ref="D5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3" s="5" t="str" cm="1">
        <f t="array" ref="E5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3" s="5" t="str" cm="1">
        <f t="array" ref="F5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3" t="str" cm="1">
        <f t="array" ref="G5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3" s="4"/>
      <c r="I553" s="3" t="str" cm="1">
        <f t="array" ref="I5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4" spans="1:9" x14ac:dyDescent="0.3">
      <c r="A554" s="3" t="str">
        <f>IF(SISTEMA!A548="","",SISTEMA!A548)</f>
        <v/>
      </c>
      <c r="B554" s="10" t="str">
        <f>IF(SISTEMA!B548="","",VALUE(SISTEMA!B548))</f>
        <v/>
      </c>
      <c r="C554" s="10" t="str">
        <f>IF(SISTEMA!C548="","",SISTEMA!C548)</f>
        <v/>
      </c>
      <c r="D554" s="5" t="str" cm="1">
        <f t="array" ref="D5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4" s="5" t="str" cm="1">
        <f t="array" ref="E5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4" s="5" t="str" cm="1">
        <f t="array" ref="F5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4" t="str" cm="1">
        <f t="array" ref="G5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4" s="4"/>
      <c r="I554" s="3" t="str" cm="1">
        <f t="array" ref="I5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5" spans="1:9" x14ac:dyDescent="0.3">
      <c r="A555" s="3" t="str">
        <f>IF(SISTEMA!A549="","",SISTEMA!A549)</f>
        <v/>
      </c>
      <c r="B555" s="10" t="str">
        <f>IF(SISTEMA!B549="","",VALUE(SISTEMA!B549))</f>
        <v/>
      </c>
      <c r="C555" s="10" t="str">
        <f>IF(SISTEMA!C549="","",SISTEMA!C549)</f>
        <v/>
      </c>
      <c r="D555" s="5" t="str" cm="1">
        <f t="array" ref="D5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5" s="5" t="str" cm="1">
        <f t="array" ref="E5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5" s="5" t="str" cm="1">
        <f t="array" ref="F5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5" t="str" cm="1">
        <f t="array" ref="G5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5" s="4"/>
      <c r="I555" s="3" t="str" cm="1">
        <f t="array" ref="I5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6" spans="1:9" x14ac:dyDescent="0.3">
      <c r="A556" s="3" t="str">
        <f>IF(SISTEMA!A550="","",SISTEMA!A550)</f>
        <v/>
      </c>
      <c r="B556" s="10" t="str">
        <f>IF(SISTEMA!B550="","",VALUE(SISTEMA!B550))</f>
        <v/>
      </c>
      <c r="C556" s="10" t="str">
        <f>IF(SISTEMA!C550="","",SISTEMA!C550)</f>
        <v/>
      </c>
      <c r="D556" s="5" t="str" cm="1">
        <f t="array" ref="D5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6" s="5" t="str" cm="1">
        <f t="array" ref="E5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6" s="5" t="str" cm="1">
        <f t="array" ref="F5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6" t="str" cm="1">
        <f t="array" ref="G5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6" s="4"/>
      <c r="I556" s="3" t="str" cm="1">
        <f t="array" ref="I5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7" spans="1:9" x14ac:dyDescent="0.3">
      <c r="A557" s="3" t="str">
        <f>IF(SISTEMA!A551="","",SISTEMA!A551)</f>
        <v/>
      </c>
      <c r="B557" s="10" t="str">
        <f>IF(SISTEMA!B551="","",VALUE(SISTEMA!B551))</f>
        <v/>
      </c>
      <c r="C557" s="10" t="str">
        <f>IF(SISTEMA!C551="","",SISTEMA!C551)</f>
        <v/>
      </c>
      <c r="D557" s="5" t="str" cm="1">
        <f t="array" ref="D5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7" s="5" t="str" cm="1">
        <f t="array" ref="E5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7" s="5" t="str" cm="1">
        <f t="array" ref="F5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7" t="str" cm="1">
        <f t="array" ref="G5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7" s="4"/>
      <c r="I557" s="3" t="str" cm="1">
        <f t="array" ref="I5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8" spans="1:9" x14ac:dyDescent="0.3">
      <c r="A558" s="3" t="str">
        <f>IF(SISTEMA!A552="","",SISTEMA!A552)</f>
        <v/>
      </c>
      <c r="B558" s="10" t="str">
        <f>IF(SISTEMA!B552="","",VALUE(SISTEMA!B552))</f>
        <v/>
      </c>
      <c r="C558" s="10" t="str">
        <f>IF(SISTEMA!C552="","",SISTEMA!C552)</f>
        <v/>
      </c>
      <c r="D558" s="5" t="str" cm="1">
        <f t="array" ref="D5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8" s="5" t="str" cm="1">
        <f t="array" ref="E5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8" s="5" t="str" cm="1">
        <f t="array" ref="F5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8" t="str" cm="1">
        <f t="array" ref="G5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8" s="4"/>
      <c r="I558" s="3" t="str" cm="1">
        <f t="array" ref="I5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59" spans="1:9" x14ac:dyDescent="0.3">
      <c r="A559" s="3" t="str">
        <f>IF(SISTEMA!A553="","",SISTEMA!A553)</f>
        <v/>
      </c>
      <c r="B559" s="10" t="str">
        <f>IF(SISTEMA!B553="","",VALUE(SISTEMA!B553))</f>
        <v/>
      </c>
      <c r="C559" s="10" t="str">
        <f>IF(SISTEMA!C553="","",SISTEMA!C553)</f>
        <v/>
      </c>
      <c r="D559" s="5" t="str" cm="1">
        <f t="array" ref="D5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59" s="5" t="str" cm="1">
        <f t="array" ref="E5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59" s="5" t="str" cm="1">
        <f t="array" ref="F5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59" t="str" cm="1">
        <f t="array" ref="G5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59" s="4"/>
      <c r="I559" s="3" t="str" cm="1">
        <f t="array" ref="I5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0" spans="1:9" x14ac:dyDescent="0.3">
      <c r="A560" s="3" t="str">
        <f>IF(SISTEMA!A554="","",SISTEMA!A554)</f>
        <v/>
      </c>
      <c r="B560" s="10" t="str">
        <f>IF(SISTEMA!B554="","",VALUE(SISTEMA!B554))</f>
        <v/>
      </c>
      <c r="C560" s="10" t="str">
        <f>IF(SISTEMA!C554="","",SISTEMA!C554)</f>
        <v/>
      </c>
      <c r="D560" s="5" t="str" cm="1">
        <f t="array" ref="D5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0" s="5" t="str" cm="1">
        <f t="array" ref="E5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0" s="5" t="str" cm="1">
        <f t="array" ref="F5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0" t="str" cm="1">
        <f t="array" ref="G5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0" s="4"/>
      <c r="I560" s="3" t="str" cm="1">
        <f t="array" ref="I5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1" spans="1:9" x14ac:dyDescent="0.3">
      <c r="A561" s="3" t="str">
        <f>IF(SISTEMA!A555="","",SISTEMA!A555)</f>
        <v/>
      </c>
      <c r="B561" s="10" t="str">
        <f>IF(SISTEMA!B555="","",VALUE(SISTEMA!B555))</f>
        <v/>
      </c>
      <c r="C561" s="10" t="str">
        <f>IF(SISTEMA!C555="","",SISTEMA!C555)</f>
        <v/>
      </c>
      <c r="D561" s="5" t="str" cm="1">
        <f t="array" ref="D5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1" s="5" t="str" cm="1">
        <f t="array" ref="E5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1" s="5" t="str" cm="1">
        <f t="array" ref="F5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1" t="str" cm="1">
        <f t="array" ref="G5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1" s="4"/>
      <c r="I561" s="3" t="str" cm="1">
        <f t="array" ref="I5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2" spans="1:9" x14ac:dyDescent="0.3">
      <c r="A562" s="3" t="str">
        <f>IF(SISTEMA!A556="","",SISTEMA!A556)</f>
        <v/>
      </c>
      <c r="B562" s="10" t="str">
        <f>IF(SISTEMA!B556="","",VALUE(SISTEMA!B556))</f>
        <v/>
      </c>
      <c r="C562" s="10" t="str">
        <f>IF(SISTEMA!C556="","",SISTEMA!C556)</f>
        <v/>
      </c>
      <c r="D562" s="5" t="str" cm="1">
        <f t="array" ref="D5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2" s="5" t="str" cm="1">
        <f t="array" ref="E5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2" s="5" t="str" cm="1">
        <f t="array" ref="F5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2" t="str" cm="1">
        <f t="array" ref="G5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2" s="4"/>
      <c r="I562" s="3" t="str" cm="1">
        <f t="array" ref="I5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3" spans="1:9" x14ac:dyDescent="0.3">
      <c r="A563" s="3" t="str">
        <f>IF(SISTEMA!A557="","",SISTEMA!A557)</f>
        <v/>
      </c>
      <c r="B563" s="10" t="str">
        <f>IF(SISTEMA!B557="","",VALUE(SISTEMA!B557))</f>
        <v/>
      </c>
      <c r="C563" s="10" t="str">
        <f>IF(SISTEMA!C557="","",SISTEMA!C557)</f>
        <v/>
      </c>
      <c r="D563" s="5" t="str" cm="1">
        <f t="array" ref="D5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3" s="5" t="str" cm="1">
        <f t="array" ref="E5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3" s="5" t="str" cm="1">
        <f t="array" ref="F5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3" t="str" cm="1">
        <f t="array" ref="G5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3" s="4"/>
      <c r="I563" s="3" t="str" cm="1">
        <f t="array" ref="I5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4" spans="1:9" x14ac:dyDescent="0.3">
      <c r="A564" s="3" t="str">
        <f>IF(SISTEMA!A558="","",SISTEMA!A558)</f>
        <v/>
      </c>
      <c r="B564" s="10" t="str">
        <f>IF(SISTEMA!B558="","",VALUE(SISTEMA!B558))</f>
        <v/>
      </c>
      <c r="C564" s="10" t="str">
        <f>IF(SISTEMA!C558="","",SISTEMA!C558)</f>
        <v/>
      </c>
      <c r="D564" s="5" t="str" cm="1">
        <f t="array" ref="D5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4" s="5" t="str" cm="1">
        <f t="array" ref="E5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4" s="5" t="str" cm="1">
        <f t="array" ref="F5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4" t="str" cm="1">
        <f t="array" ref="G5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4" s="4"/>
      <c r="I564" s="3" t="str" cm="1">
        <f t="array" ref="I5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5" spans="1:9" x14ac:dyDescent="0.3">
      <c r="A565" s="3" t="str">
        <f>IF(SISTEMA!A559="","",SISTEMA!A559)</f>
        <v/>
      </c>
      <c r="B565" s="10" t="str">
        <f>IF(SISTEMA!B559="","",VALUE(SISTEMA!B559))</f>
        <v/>
      </c>
      <c r="C565" s="10" t="str">
        <f>IF(SISTEMA!C559="","",SISTEMA!C559)</f>
        <v/>
      </c>
      <c r="D565" s="5" t="str" cm="1">
        <f t="array" ref="D5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5" s="5" t="str" cm="1">
        <f t="array" ref="E5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5" s="5" t="str" cm="1">
        <f t="array" ref="F5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5" t="str" cm="1">
        <f t="array" ref="G5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5" s="4"/>
      <c r="I565" s="3" t="str" cm="1">
        <f t="array" ref="I5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6" spans="1:9" x14ac:dyDescent="0.3">
      <c r="A566" s="3" t="str">
        <f>IF(SISTEMA!A560="","",SISTEMA!A560)</f>
        <v/>
      </c>
      <c r="B566" s="10" t="str">
        <f>IF(SISTEMA!B560="","",VALUE(SISTEMA!B560))</f>
        <v/>
      </c>
      <c r="C566" s="10" t="str">
        <f>IF(SISTEMA!C560="","",SISTEMA!C560)</f>
        <v/>
      </c>
      <c r="D566" s="5" t="str" cm="1">
        <f t="array" ref="D5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6" s="5" t="str" cm="1">
        <f t="array" ref="E5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6" s="5" t="str" cm="1">
        <f t="array" ref="F5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6" t="str" cm="1">
        <f t="array" ref="G5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6" s="4"/>
      <c r="I566" s="3" t="str" cm="1">
        <f t="array" ref="I5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7" spans="1:9" x14ac:dyDescent="0.3">
      <c r="A567" s="3" t="str">
        <f>IF(SISTEMA!A561="","",SISTEMA!A561)</f>
        <v/>
      </c>
      <c r="B567" s="10" t="str">
        <f>IF(SISTEMA!B561="","",VALUE(SISTEMA!B561))</f>
        <v/>
      </c>
      <c r="C567" s="10" t="str">
        <f>IF(SISTEMA!C561="","",SISTEMA!C561)</f>
        <v/>
      </c>
      <c r="D567" s="5" t="str" cm="1">
        <f t="array" ref="D5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7" s="5" t="str" cm="1">
        <f t="array" ref="E5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7" s="5" t="str" cm="1">
        <f t="array" ref="F5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7" t="str" cm="1">
        <f t="array" ref="G5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7" s="4"/>
      <c r="I567" s="3" t="str" cm="1">
        <f t="array" ref="I5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8" spans="1:9" x14ac:dyDescent="0.3">
      <c r="A568" s="3" t="str">
        <f>IF(SISTEMA!A562="","",SISTEMA!A562)</f>
        <v/>
      </c>
      <c r="B568" s="10" t="str">
        <f>IF(SISTEMA!B562="","",VALUE(SISTEMA!B562))</f>
        <v/>
      </c>
      <c r="C568" s="10" t="str">
        <f>IF(SISTEMA!C562="","",SISTEMA!C562)</f>
        <v/>
      </c>
      <c r="D568" s="5" t="str" cm="1">
        <f t="array" ref="D5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8" s="5" t="str" cm="1">
        <f t="array" ref="E5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8" s="5" t="str" cm="1">
        <f t="array" ref="F5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8" t="str" cm="1">
        <f t="array" ref="G5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8" s="4"/>
      <c r="I568" s="3" t="str" cm="1">
        <f t="array" ref="I5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69" spans="1:9" x14ac:dyDescent="0.3">
      <c r="A569" s="3" t="str">
        <f>IF(SISTEMA!A563="","",SISTEMA!A563)</f>
        <v/>
      </c>
      <c r="B569" s="10" t="str">
        <f>IF(SISTEMA!B563="","",VALUE(SISTEMA!B563))</f>
        <v/>
      </c>
      <c r="C569" s="10" t="str">
        <f>IF(SISTEMA!C563="","",SISTEMA!C563)</f>
        <v/>
      </c>
      <c r="D569" s="5" t="str" cm="1">
        <f t="array" ref="D5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69" s="5" t="str" cm="1">
        <f t="array" ref="E5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69" s="5" t="str" cm="1">
        <f t="array" ref="F5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69" t="str" cm="1">
        <f t="array" ref="G5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69" s="4"/>
      <c r="I569" s="3" t="str" cm="1">
        <f t="array" ref="I5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0" spans="1:9" x14ac:dyDescent="0.3">
      <c r="A570" s="3" t="str">
        <f>IF(SISTEMA!A564="","",SISTEMA!A564)</f>
        <v/>
      </c>
      <c r="B570" s="10" t="str">
        <f>IF(SISTEMA!B564="","",VALUE(SISTEMA!B564))</f>
        <v/>
      </c>
      <c r="C570" s="10" t="str">
        <f>IF(SISTEMA!C564="","",SISTEMA!C564)</f>
        <v/>
      </c>
      <c r="D570" s="5" t="str" cm="1">
        <f t="array" ref="D5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0" s="5" t="str" cm="1">
        <f t="array" ref="E5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0" s="5" t="str" cm="1">
        <f t="array" ref="F5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0" t="str" cm="1">
        <f t="array" ref="G5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0" s="4"/>
      <c r="I570" s="3" t="str" cm="1">
        <f t="array" ref="I5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1" spans="1:9" x14ac:dyDescent="0.3">
      <c r="A571" s="3" t="str">
        <f>IF(SISTEMA!A565="","",SISTEMA!A565)</f>
        <v/>
      </c>
      <c r="B571" s="10" t="str">
        <f>IF(SISTEMA!B565="","",VALUE(SISTEMA!B565))</f>
        <v/>
      </c>
      <c r="C571" s="10" t="str">
        <f>IF(SISTEMA!C565="","",SISTEMA!C565)</f>
        <v/>
      </c>
      <c r="D571" s="5" t="str" cm="1">
        <f t="array" ref="D5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1" s="5" t="str" cm="1">
        <f t="array" ref="E5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1" s="5" t="str" cm="1">
        <f t="array" ref="F5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1" t="str" cm="1">
        <f t="array" ref="G5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1" s="4"/>
      <c r="I571" s="3" t="str" cm="1">
        <f t="array" ref="I5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2" spans="1:9" x14ac:dyDescent="0.3">
      <c r="A572" s="3" t="str">
        <f>IF(SISTEMA!A566="","",SISTEMA!A566)</f>
        <v/>
      </c>
      <c r="B572" s="10" t="str">
        <f>IF(SISTEMA!B566="","",VALUE(SISTEMA!B566))</f>
        <v/>
      </c>
      <c r="C572" s="10" t="str">
        <f>IF(SISTEMA!C566="","",SISTEMA!C566)</f>
        <v/>
      </c>
      <c r="D572" s="5" t="str" cm="1">
        <f t="array" ref="D5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2" s="5" t="str" cm="1">
        <f t="array" ref="E5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2" s="5" t="str" cm="1">
        <f t="array" ref="F5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2" t="str" cm="1">
        <f t="array" ref="G5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2" s="4"/>
      <c r="I572" s="3" t="str" cm="1">
        <f t="array" ref="I5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3" spans="1:9" x14ac:dyDescent="0.3">
      <c r="A573" s="3" t="str">
        <f>IF(SISTEMA!A567="","",SISTEMA!A567)</f>
        <v/>
      </c>
      <c r="B573" s="10" t="str">
        <f>IF(SISTEMA!B567="","",VALUE(SISTEMA!B567))</f>
        <v/>
      </c>
      <c r="C573" s="10" t="str">
        <f>IF(SISTEMA!C567="","",SISTEMA!C567)</f>
        <v/>
      </c>
      <c r="D573" s="5" t="str" cm="1">
        <f t="array" ref="D5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3" s="5" t="str" cm="1">
        <f t="array" ref="E5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3" s="5" t="str" cm="1">
        <f t="array" ref="F5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3" t="str" cm="1">
        <f t="array" ref="G5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3" s="4"/>
      <c r="I573" s="3" t="str" cm="1">
        <f t="array" ref="I5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4" spans="1:9" x14ac:dyDescent="0.3">
      <c r="A574" s="3" t="str">
        <f>IF(SISTEMA!A568="","",SISTEMA!A568)</f>
        <v/>
      </c>
      <c r="B574" s="10" t="str">
        <f>IF(SISTEMA!B568="","",VALUE(SISTEMA!B568))</f>
        <v/>
      </c>
      <c r="C574" s="10" t="str">
        <f>IF(SISTEMA!C568="","",SISTEMA!C568)</f>
        <v/>
      </c>
      <c r="D574" s="5" t="str" cm="1">
        <f t="array" ref="D5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4" s="5" t="str" cm="1">
        <f t="array" ref="E5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4" s="5" t="str" cm="1">
        <f t="array" ref="F5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4" t="str" cm="1">
        <f t="array" ref="G5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4" s="4"/>
      <c r="I574" s="3" t="str" cm="1">
        <f t="array" ref="I5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5" spans="1:9" x14ac:dyDescent="0.3">
      <c r="A575" s="3" t="str">
        <f>IF(SISTEMA!A569="","",SISTEMA!A569)</f>
        <v/>
      </c>
      <c r="B575" s="10" t="str">
        <f>IF(SISTEMA!B569="","",VALUE(SISTEMA!B569))</f>
        <v/>
      </c>
      <c r="C575" s="10" t="str">
        <f>IF(SISTEMA!C569="","",SISTEMA!C569)</f>
        <v/>
      </c>
      <c r="D575" s="5" t="str" cm="1">
        <f t="array" ref="D5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5" s="5" t="str" cm="1">
        <f t="array" ref="E5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5" s="5" t="str" cm="1">
        <f t="array" ref="F5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5" t="str" cm="1">
        <f t="array" ref="G5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5" s="4"/>
      <c r="I575" s="3" t="str" cm="1">
        <f t="array" ref="I5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6" spans="1:9" x14ac:dyDescent="0.3">
      <c r="A576" s="3" t="str">
        <f>IF(SISTEMA!A570="","",SISTEMA!A570)</f>
        <v/>
      </c>
      <c r="B576" s="10" t="str">
        <f>IF(SISTEMA!B570="","",VALUE(SISTEMA!B570))</f>
        <v/>
      </c>
      <c r="C576" s="10" t="str">
        <f>IF(SISTEMA!C570="","",SISTEMA!C570)</f>
        <v/>
      </c>
      <c r="D576" s="5" t="str" cm="1">
        <f t="array" ref="D5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6" s="5" t="str" cm="1">
        <f t="array" ref="E5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6" s="5" t="str" cm="1">
        <f t="array" ref="F5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6" t="str" cm="1">
        <f t="array" ref="G5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6" s="4"/>
      <c r="I576" s="3" t="str" cm="1">
        <f t="array" ref="I5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7" spans="1:9" x14ac:dyDescent="0.3">
      <c r="A577" s="3" t="str">
        <f>IF(SISTEMA!A571="","",SISTEMA!A571)</f>
        <v/>
      </c>
      <c r="B577" s="10" t="str">
        <f>IF(SISTEMA!B571="","",VALUE(SISTEMA!B571))</f>
        <v/>
      </c>
      <c r="C577" s="10" t="str">
        <f>IF(SISTEMA!C571="","",SISTEMA!C571)</f>
        <v/>
      </c>
      <c r="D577" s="5" t="str" cm="1">
        <f t="array" ref="D5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7" s="5" t="str" cm="1">
        <f t="array" ref="E5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7" s="5" t="str" cm="1">
        <f t="array" ref="F5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7" t="str" cm="1">
        <f t="array" ref="G5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7" s="4"/>
      <c r="I577" s="3" t="str" cm="1">
        <f t="array" ref="I5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8" spans="1:9" x14ac:dyDescent="0.3">
      <c r="A578" s="3" t="str">
        <f>IF(SISTEMA!A572="","",SISTEMA!A572)</f>
        <v/>
      </c>
      <c r="B578" s="10" t="str">
        <f>IF(SISTEMA!B572="","",VALUE(SISTEMA!B572))</f>
        <v/>
      </c>
      <c r="C578" s="10" t="str">
        <f>IF(SISTEMA!C572="","",SISTEMA!C572)</f>
        <v/>
      </c>
      <c r="D578" s="5" t="str" cm="1">
        <f t="array" ref="D5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8" s="5" t="str" cm="1">
        <f t="array" ref="E5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8" s="5" t="str" cm="1">
        <f t="array" ref="F5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8" t="str" cm="1">
        <f t="array" ref="G5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8" s="4"/>
      <c r="I578" s="3" t="str" cm="1">
        <f t="array" ref="I5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79" spans="1:9" x14ac:dyDescent="0.3">
      <c r="A579" s="3" t="str">
        <f>IF(SISTEMA!A573="","",SISTEMA!A573)</f>
        <v/>
      </c>
      <c r="B579" s="10" t="str">
        <f>IF(SISTEMA!B573="","",VALUE(SISTEMA!B573))</f>
        <v/>
      </c>
      <c r="C579" s="10" t="str">
        <f>IF(SISTEMA!C573="","",SISTEMA!C573)</f>
        <v/>
      </c>
      <c r="D579" s="5" t="str" cm="1">
        <f t="array" ref="D5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79" s="5" t="str" cm="1">
        <f t="array" ref="E5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79" s="5" t="str" cm="1">
        <f t="array" ref="F5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79" t="str" cm="1">
        <f t="array" ref="G5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79" s="4"/>
      <c r="I579" s="3" t="str" cm="1">
        <f t="array" ref="I5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0" spans="1:9" x14ac:dyDescent="0.3">
      <c r="A580" s="3" t="str">
        <f>IF(SISTEMA!A574="","",SISTEMA!A574)</f>
        <v/>
      </c>
      <c r="B580" s="10" t="str">
        <f>IF(SISTEMA!B574="","",VALUE(SISTEMA!B574))</f>
        <v/>
      </c>
      <c r="C580" s="10" t="str">
        <f>IF(SISTEMA!C574="","",SISTEMA!C574)</f>
        <v/>
      </c>
      <c r="D580" s="5" t="str" cm="1">
        <f t="array" ref="D5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0" s="5" t="str" cm="1">
        <f t="array" ref="E5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0" s="5" t="str" cm="1">
        <f t="array" ref="F5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0" t="str" cm="1">
        <f t="array" ref="G5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0" s="4"/>
      <c r="I580" s="3" t="str" cm="1">
        <f t="array" ref="I5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1" spans="1:9" x14ac:dyDescent="0.3">
      <c r="A581" s="3" t="str">
        <f>IF(SISTEMA!A575="","",SISTEMA!A575)</f>
        <v/>
      </c>
      <c r="B581" s="10" t="str">
        <f>IF(SISTEMA!B575="","",VALUE(SISTEMA!B575))</f>
        <v/>
      </c>
      <c r="C581" s="10" t="str">
        <f>IF(SISTEMA!C575="","",SISTEMA!C575)</f>
        <v/>
      </c>
      <c r="D581" s="5" t="str" cm="1">
        <f t="array" ref="D5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1" s="5" t="str" cm="1">
        <f t="array" ref="E5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1" s="5" t="str" cm="1">
        <f t="array" ref="F5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1" t="str" cm="1">
        <f t="array" ref="G5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1" s="4"/>
      <c r="I581" s="3" t="str" cm="1">
        <f t="array" ref="I5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2" spans="1:9" x14ac:dyDescent="0.3">
      <c r="A582" s="3" t="str">
        <f>IF(SISTEMA!A576="","",SISTEMA!A576)</f>
        <v/>
      </c>
      <c r="B582" s="10" t="str">
        <f>IF(SISTEMA!B576="","",VALUE(SISTEMA!B576))</f>
        <v/>
      </c>
      <c r="C582" s="10" t="str">
        <f>IF(SISTEMA!C576="","",SISTEMA!C576)</f>
        <v/>
      </c>
      <c r="D582" s="5" t="str" cm="1">
        <f t="array" ref="D5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2" s="5" t="str" cm="1">
        <f t="array" ref="E5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2" s="5" t="str" cm="1">
        <f t="array" ref="F5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2" t="str" cm="1">
        <f t="array" ref="G5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2" s="4"/>
      <c r="I582" s="3" t="str" cm="1">
        <f t="array" ref="I5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3" spans="1:9" x14ac:dyDescent="0.3">
      <c r="A583" s="3" t="str">
        <f>IF(SISTEMA!A577="","",SISTEMA!A577)</f>
        <v/>
      </c>
      <c r="B583" s="10" t="str">
        <f>IF(SISTEMA!B577="","",VALUE(SISTEMA!B577))</f>
        <v/>
      </c>
      <c r="C583" s="10" t="str">
        <f>IF(SISTEMA!C577="","",SISTEMA!C577)</f>
        <v/>
      </c>
      <c r="D583" s="5" t="str" cm="1">
        <f t="array" ref="D5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3" s="5" t="str" cm="1">
        <f t="array" ref="E5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3" s="5" t="str" cm="1">
        <f t="array" ref="F5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3" t="str" cm="1">
        <f t="array" ref="G5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3" s="4"/>
      <c r="I583" s="3" t="str" cm="1">
        <f t="array" ref="I5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4" spans="1:9" x14ac:dyDescent="0.3">
      <c r="A584" s="3" t="str">
        <f>IF(SISTEMA!A578="","",SISTEMA!A578)</f>
        <v/>
      </c>
      <c r="B584" s="10" t="str">
        <f>IF(SISTEMA!B578="","",VALUE(SISTEMA!B578))</f>
        <v/>
      </c>
      <c r="C584" s="10" t="str">
        <f>IF(SISTEMA!C578="","",SISTEMA!C578)</f>
        <v/>
      </c>
      <c r="D584" s="5" t="str" cm="1">
        <f t="array" ref="D5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4" s="5" t="str" cm="1">
        <f t="array" ref="E5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4" s="5" t="str" cm="1">
        <f t="array" ref="F5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4" t="str" cm="1">
        <f t="array" ref="G5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4" s="4"/>
      <c r="I584" s="3" t="str" cm="1">
        <f t="array" ref="I5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5" spans="1:9" x14ac:dyDescent="0.3">
      <c r="A585" s="3" t="str">
        <f>IF(SISTEMA!A579="","",SISTEMA!A579)</f>
        <v/>
      </c>
      <c r="B585" s="10" t="str">
        <f>IF(SISTEMA!B579="","",VALUE(SISTEMA!B579))</f>
        <v/>
      </c>
      <c r="C585" s="10" t="str">
        <f>IF(SISTEMA!C579="","",SISTEMA!C579)</f>
        <v/>
      </c>
      <c r="D585" s="5" t="str" cm="1">
        <f t="array" ref="D5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5" s="5" t="str" cm="1">
        <f t="array" ref="E5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5" s="5" t="str" cm="1">
        <f t="array" ref="F5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5" t="str" cm="1">
        <f t="array" ref="G5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5" s="4"/>
      <c r="I585" s="3" t="str" cm="1">
        <f t="array" ref="I5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6" spans="1:9" x14ac:dyDescent="0.3">
      <c r="A586" s="3" t="str">
        <f>IF(SISTEMA!A580="","",SISTEMA!A580)</f>
        <v/>
      </c>
      <c r="B586" s="10" t="str">
        <f>IF(SISTEMA!B580="","",VALUE(SISTEMA!B580))</f>
        <v/>
      </c>
      <c r="C586" s="10" t="str">
        <f>IF(SISTEMA!C580="","",SISTEMA!C580)</f>
        <v/>
      </c>
      <c r="D586" s="5" t="str" cm="1">
        <f t="array" ref="D5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6" s="5" t="str" cm="1">
        <f t="array" ref="E5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6" s="5" t="str" cm="1">
        <f t="array" ref="F5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6" t="str" cm="1">
        <f t="array" ref="G5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6" s="4"/>
      <c r="I586" s="3" t="str" cm="1">
        <f t="array" ref="I5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7" spans="1:9" x14ac:dyDescent="0.3">
      <c r="A587" s="3" t="str">
        <f>IF(SISTEMA!A581="","",SISTEMA!A581)</f>
        <v/>
      </c>
      <c r="B587" s="10" t="str">
        <f>IF(SISTEMA!B581="","",VALUE(SISTEMA!B581))</f>
        <v/>
      </c>
      <c r="C587" s="10" t="str">
        <f>IF(SISTEMA!C581="","",SISTEMA!C581)</f>
        <v/>
      </c>
      <c r="D587" s="5" t="str" cm="1">
        <f t="array" ref="D5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7" s="5" t="str" cm="1">
        <f t="array" ref="E5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7" s="5" t="str" cm="1">
        <f t="array" ref="F5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7" t="str" cm="1">
        <f t="array" ref="G5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7" s="4"/>
      <c r="I587" s="3" t="str" cm="1">
        <f t="array" ref="I5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8" spans="1:9" x14ac:dyDescent="0.3">
      <c r="A588" s="3" t="str">
        <f>IF(SISTEMA!A582="","",SISTEMA!A582)</f>
        <v/>
      </c>
      <c r="B588" s="10" t="str">
        <f>IF(SISTEMA!B582="","",VALUE(SISTEMA!B582))</f>
        <v/>
      </c>
      <c r="C588" s="10" t="str">
        <f>IF(SISTEMA!C582="","",SISTEMA!C582)</f>
        <v/>
      </c>
      <c r="D588" s="5" t="str" cm="1">
        <f t="array" ref="D5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8" s="5" t="str" cm="1">
        <f t="array" ref="E5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8" s="5" t="str" cm="1">
        <f t="array" ref="F5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8" t="str" cm="1">
        <f t="array" ref="G5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8" s="4"/>
      <c r="I588" s="3" t="str" cm="1">
        <f t="array" ref="I5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89" spans="1:9" x14ac:dyDescent="0.3">
      <c r="A589" s="3" t="str">
        <f>IF(SISTEMA!A583="","",SISTEMA!A583)</f>
        <v/>
      </c>
      <c r="B589" s="10" t="str">
        <f>IF(SISTEMA!B583="","",VALUE(SISTEMA!B583))</f>
        <v/>
      </c>
      <c r="C589" s="10" t="str">
        <f>IF(SISTEMA!C583="","",SISTEMA!C583)</f>
        <v/>
      </c>
      <c r="D589" s="5" t="str" cm="1">
        <f t="array" ref="D5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89" s="5" t="str" cm="1">
        <f t="array" ref="E5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89" s="5" t="str" cm="1">
        <f t="array" ref="F5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89" t="str" cm="1">
        <f t="array" ref="G5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89" s="4"/>
      <c r="I589" s="3" t="str" cm="1">
        <f t="array" ref="I5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0" spans="1:9" x14ac:dyDescent="0.3">
      <c r="A590" s="3" t="str">
        <f>IF(SISTEMA!A584="","",SISTEMA!A584)</f>
        <v/>
      </c>
      <c r="B590" s="10" t="str">
        <f>IF(SISTEMA!B584="","",VALUE(SISTEMA!B584))</f>
        <v/>
      </c>
      <c r="C590" s="10" t="str">
        <f>IF(SISTEMA!C584="","",SISTEMA!C584)</f>
        <v/>
      </c>
      <c r="D590" s="5" t="str" cm="1">
        <f t="array" ref="D5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0" s="5" t="str" cm="1">
        <f t="array" ref="E5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0" s="5" t="str" cm="1">
        <f t="array" ref="F5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0" t="str" cm="1">
        <f t="array" ref="G5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0" s="4"/>
      <c r="I590" s="3" t="str" cm="1">
        <f t="array" ref="I5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1" spans="1:9" x14ac:dyDescent="0.3">
      <c r="A591" s="3" t="str">
        <f>IF(SISTEMA!A585="","",SISTEMA!A585)</f>
        <v/>
      </c>
      <c r="B591" s="10" t="str">
        <f>IF(SISTEMA!B585="","",VALUE(SISTEMA!B585))</f>
        <v/>
      </c>
      <c r="C591" s="10" t="str">
        <f>IF(SISTEMA!C585="","",SISTEMA!C585)</f>
        <v/>
      </c>
      <c r="D591" s="5" t="str" cm="1">
        <f t="array" ref="D5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1" s="5" t="str" cm="1">
        <f t="array" ref="E5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1" s="5" t="str" cm="1">
        <f t="array" ref="F5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1" t="str" cm="1">
        <f t="array" ref="G5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1" s="4"/>
      <c r="I591" s="3" t="str" cm="1">
        <f t="array" ref="I5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2" spans="1:9" x14ac:dyDescent="0.3">
      <c r="A592" s="3" t="str">
        <f>IF(SISTEMA!A586="","",SISTEMA!A586)</f>
        <v/>
      </c>
      <c r="B592" s="10" t="str">
        <f>IF(SISTEMA!B586="","",VALUE(SISTEMA!B586))</f>
        <v/>
      </c>
      <c r="C592" s="10" t="str">
        <f>IF(SISTEMA!C586="","",SISTEMA!C586)</f>
        <v/>
      </c>
      <c r="D592" s="5" t="str" cm="1">
        <f t="array" ref="D5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2" s="5" t="str" cm="1">
        <f t="array" ref="E5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2" s="5" t="str" cm="1">
        <f t="array" ref="F5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2" t="str" cm="1">
        <f t="array" ref="G5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2" s="4"/>
      <c r="I592" s="3" t="str" cm="1">
        <f t="array" ref="I5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3" spans="1:9" x14ac:dyDescent="0.3">
      <c r="A593" s="3" t="str">
        <f>IF(SISTEMA!A587="","",SISTEMA!A587)</f>
        <v/>
      </c>
      <c r="B593" s="10" t="str">
        <f>IF(SISTEMA!B587="","",VALUE(SISTEMA!B587))</f>
        <v/>
      </c>
      <c r="C593" s="10" t="str">
        <f>IF(SISTEMA!C587="","",SISTEMA!C587)</f>
        <v/>
      </c>
      <c r="D593" s="5" t="str" cm="1">
        <f t="array" ref="D5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3" s="5" t="str" cm="1">
        <f t="array" ref="E5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3" s="5" t="str" cm="1">
        <f t="array" ref="F5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3" t="str" cm="1">
        <f t="array" ref="G5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3" s="4"/>
      <c r="I593" s="3" t="str" cm="1">
        <f t="array" ref="I5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4" spans="1:9" x14ac:dyDescent="0.3">
      <c r="A594" s="3" t="str">
        <f>IF(SISTEMA!A588="","",SISTEMA!A588)</f>
        <v/>
      </c>
      <c r="B594" s="10" t="str">
        <f>IF(SISTEMA!B588="","",VALUE(SISTEMA!B588))</f>
        <v/>
      </c>
      <c r="C594" s="10" t="str">
        <f>IF(SISTEMA!C588="","",SISTEMA!C588)</f>
        <v/>
      </c>
      <c r="D594" s="5" t="str" cm="1">
        <f t="array" ref="D5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4" s="5" t="str" cm="1">
        <f t="array" ref="E5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4" s="5" t="str" cm="1">
        <f t="array" ref="F5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4" t="str" cm="1">
        <f t="array" ref="G5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4" s="4"/>
      <c r="I594" s="3" t="str" cm="1">
        <f t="array" ref="I5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5" spans="1:9" x14ac:dyDescent="0.3">
      <c r="A595" s="3" t="str">
        <f>IF(SISTEMA!A589="","",SISTEMA!A589)</f>
        <v/>
      </c>
      <c r="B595" s="10" t="str">
        <f>IF(SISTEMA!B589="","",VALUE(SISTEMA!B589))</f>
        <v/>
      </c>
      <c r="C595" s="10" t="str">
        <f>IF(SISTEMA!C589="","",SISTEMA!C589)</f>
        <v/>
      </c>
      <c r="D595" s="5" t="str" cm="1">
        <f t="array" ref="D5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5" s="5" t="str" cm="1">
        <f t="array" ref="E5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5" s="5" t="str" cm="1">
        <f t="array" ref="F5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5" t="str" cm="1">
        <f t="array" ref="G5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5" s="4"/>
      <c r="I595" s="3" t="str" cm="1">
        <f t="array" ref="I5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6" spans="1:9" x14ac:dyDescent="0.3">
      <c r="A596" s="3" t="str">
        <f>IF(SISTEMA!A590="","",SISTEMA!A590)</f>
        <v/>
      </c>
      <c r="B596" s="10" t="str">
        <f>IF(SISTEMA!B590="","",VALUE(SISTEMA!B590))</f>
        <v/>
      </c>
      <c r="C596" s="10" t="str">
        <f>IF(SISTEMA!C590="","",SISTEMA!C590)</f>
        <v/>
      </c>
      <c r="D596" s="5" t="str" cm="1">
        <f t="array" ref="D5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6" s="5" t="str" cm="1">
        <f t="array" ref="E5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6" s="5" t="str" cm="1">
        <f t="array" ref="F5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6" t="str" cm="1">
        <f t="array" ref="G5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6" s="4"/>
      <c r="I596" s="3" t="str" cm="1">
        <f t="array" ref="I5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7" spans="1:9" x14ac:dyDescent="0.3">
      <c r="A597" s="3" t="str">
        <f>IF(SISTEMA!A591="","",SISTEMA!A591)</f>
        <v/>
      </c>
      <c r="B597" s="10" t="str">
        <f>IF(SISTEMA!B591="","",VALUE(SISTEMA!B591))</f>
        <v/>
      </c>
      <c r="C597" s="10" t="str">
        <f>IF(SISTEMA!C591="","",SISTEMA!C591)</f>
        <v/>
      </c>
      <c r="D597" s="5" t="str" cm="1">
        <f t="array" ref="D5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7" s="5" t="str" cm="1">
        <f t="array" ref="E5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7" s="5" t="str" cm="1">
        <f t="array" ref="F5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7" t="str" cm="1">
        <f t="array" ref="G5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7" s="4"/>
      <c r="I597" s="3" t="str" cm="1">
        <f t="array" ref="I5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8" spans="1:9" x14ac:dyDescent="0.3">
      <c r="A598" s="3" t="str">
        <f>IF(SISTEMA!A592="","",SISTEMA!A592)</f>
        <v/>
      </c>
      <c r="B598" s="10" t="str">
        <f>IF(SISTEMA!B592="","",VALUE(SISTEMA!B592))</f>
        <v/>
      </c>
      <c r="C598" s="10" t="str">
        <f>IF(SISTEMA!C592="","",SISTEMA!C592)</f>
        <v/>
      </c>
      <c r="D598" s="5" t="str" cm="1">
        <f t="array" ref="D5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8" s="5" t="str" cm="1">
        <f t="array" ref="E5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8" s="5" t="str" cm="1">
        <f t="array" ref="F5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8" t="str" cm="1">
        <f t="array" ref="G5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8" s="4"/>
      <c r="I598" s="3" t="str" cm="1">
        <f t="array" ref="I5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599" spans="1:9" x14ac:dyDescent="0.3">
      <c r="A599" s="3" t="str">
        <f>IF(SISTEMA!A593="","",SISTEMA!A593)</f>
        <v/>
      </c>
      <c r="B599" s="10" t="str">
        <f>IF(SISTEMA!B593="","",VALUE(SISTEMA!B593))</f>
        <v/>
      </c>
      <c r="C599" s="10" t="str">
        <f>IF(SISTEMA!C593="","",SISTEMA!C593)</f>
        <v/>
      </c>
      <c r="D599" s="5" t="str" cm="1">
        <f t="array" ref="D5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599" s="5" t="str" cm="1">
        <f t="array" ref="E5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599" s="5" t="str" cm="1">
        <f t="array" ref="F5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599" t="str" cm="1">
        <f t="array" ref="G5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599" s="4"/>
      <c r="I599" s="3" t="str" cm="1">
        <f t="array" ref="I5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0" spans="1:9" x14ac:dyDescent="0.3">
      <c r="A600" s="3" t="str">
        <f>IF(SISTEMA!A594="","",SISTEMA!A594)</f>
        <v/>
      </c>
      <c r="B600" s="10" t="str">
        <f>IF(SISTEMA!B594="","",VALUE(SISTEMA!B594))</f>
        <v/>
      </c>
      <c r="C600" s="10" t="str">
        <f>IF(SISTEMA!C594="","",SISTEMA!C594)</f>
        <v/>
      </c>
      <c r="D600" s="5" t="str" cm="1">
        <f t="array" ref="D6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0" s="5" t="str" cm="1">
        <f t="array" ref="E6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0" s="5" t="str" cm="1">
        <f t="array" ref="F6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0" t="str" cm="1">
        <f t="array" ref="G6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0" s="4"/>
      <c r="I600" s="3" t="str" cm="1">
        <f t="array" ref="I6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1" spans="1:9" x14ac:dyDescent="0.3">
      <c r="A601" s="3" t="str">
        <f>IF(SISTEMA!A595="","",SISTEMA!A595)</f>
        <v/>
      </c>
      <c r="B601" s="10" t="str">
        <f>IF(SISTEMA!B595="","",VALUE(SISTEMA!B595))</f>
        <v/>
      </c>
      <c r="C601" s="10" t="str">
        <f>IF(SISTEMA!C595="","",SISTEMA!C595)</f>
        <v/>
      </c>
      <c r="D601" s="5" t="str" cm="1">
        <f t="array" ref="D6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1" s="5" t="str" cm="1">
        <f t="array" ref="E6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1" s="5" t="str" cm="1">
        <f t="array" ref="F6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1" t="str" cm="1">
        <f t="array" ref="G6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1" s="4"/>
      <c r="I601" s="3" t="str" cm="1">
        <f t="array" ref="I6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2" spans="1:9" x14ac:dyDescent="0.3">
      <c r="A602" s="3" t="str">
        <f>IF(SISTEMA!A596="","",SISTEMA!A596)</f>
        <v/>
      </c>
      <c r="B602" s="10" t="str">
        <f>IF(SISTEMA!B596="","",VALUE(SISTEMA!B596))</f>
        <v/>
      </c>
      <c r="C602" s="10" t="str">
        <f>IF(SISTEMA!C596="","",SISTEMA!C596)</f>
        <v/>
      </c>
      <c r="D602" s="5" t="str" cm="1">
        <f t="array" ref="D6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2" s="5" t="str" cm="1">
        <f t="array" ref="E6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2" s="5" t="str" cm="1">
        <f t="array" ref="F6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2" t="str" cm="1">
        <f t="array" ref="G6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2" s="4"/>
      <c r="I602" s="3" t="str" cm="1">
        <f t="array" ref="I6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3" spans="1:9" x14ac:dyDescent="0.3">
      <c r="A603" s="3" t="str">
        <f>IF(SISTEMA!A597="","",SISTEMA!A597)</f>
        <v/>
      </c>
      <c r="B603" s="10" t="str">
        <f>IF(SISTEMA!B597="","",VALUE(SISTEMA!B597))</f>
        <v/>
      </c>
      <c r="C603" s="10" t="str">
        <f>IF(SISTEMA!C597="","",SISTEMA!C597)</f>
        <v/>
      </c>
      <c r="D603" s="5" t="str" cm="1">
        <f t="array" ref="D6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3" s="5" t="str" cm="1">
        <f t="array" ref="E6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3" s="5" t="str" cm="1">
        <f t="array" ref="F6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3" t="str" cm="1">
        <f t="array" ref="G6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3" s="4"/>
      <c r="I603" s="3" t="str" cm="1">
        <f t="array" ref="I6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4" spans="1:9" x14ac:dyDescent="0.3">
      <c r="A604" s="3" t="str">
        <f>IF(SISTEMA!A598="","",SISTEMA!A598)</f>
        <v/>
      </c>
      <c r="B604" s="10" t="str">
        <f>IF(SISTEMA!B598="","",VALUE(SISTEMA!B598))</f>
        <v/>
      </c>
      <c r="C604" s="10" t="str">
        <f>IF(SISTEMA!C598="","",SISTEMA!C598)</f>
        <v/>
      </c>
      <c r="D604" s="5" t="str" cm="1">
        <f t="array" ref="D6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4" s="5" t="str" cm="1">
        <f t="array" ref="E6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4" s="5" t="str" cm="1">
        <f t="array" ref="F6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4" t="str" cm="1">
        <f t="array" ref="G6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4" s="4"/>
      <c r="I604" s="3" t="str" cm="1">
        <f t="array" ref="I6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5" spans="1:9" x14ac:dyDescent="0.3">
      <c r="A605" s="3" t="str">
        <f>IF(SISTEMA!A599="","",SISTEMA!A599)</f>
        <v/>
      </c>
      <c r="B605" s="10" t="str">
        <f>IF(SISTEMA!B599="","",VALUE(SISTEMA!B599))</f>
        <v/>
      </c>
      <c r="C605" s="10" t="str">
        <f>IF(SISTEMA!C599="","",SISTEMA!C599)</f>
        <v/>
      </c>
      <c r="D605" s="5" t="str" cm="1">
        <f t="array" ref="D6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5" s="5" t="str" cm="1">
        <f t="array" ref="E6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5" s="5" t="str" cm="1">
        <f t="array" ref="F6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5" t="str" cm="1">
        <f t="array" ref="G6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5" s="4"/>
      <c r="I605" s="3" t="str" cm="1">
        <f t="array" ref="I6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6" spans="1:9" x14ac:dyDescent="0.3">
      <c r="A606" s="3" t="str">
        <f>IF(SISTEMA!A600="","",SISTEMA!A600)</f>
        <v/>
      </c>
      <c r="B606" s="10" t="str">
        <f>IF(SISTEMA!B600="","",VALUE(SISTEMA!B600))</f>
        <v/>
      </c>
      <c r="C606" s="10" t="str">
        <f>IF(SISTEMA!C600="","",SISTEMA!C600)</f>
        <v/>
      </c>
      <c r="D606" s="5" t="str" cm="1">
        <f t="array" ref="D6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6" s="5" t="str" cm="1">
        <f t="array" ref="E6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6" s="5" t="str" cm="1">
        <f t="array" ref="F6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6" t="str" cm="1">
        <f t="array" ref="G6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6" s="4"/>
      <c r="I606" s="3" t="str" cm="1">
        <f t="array" ref="I6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7" spans="1:9" x14ac:dyDescent="0.3">
      <c r="A607" s="3" t="str">
        <f>IF(SISTEMA!A601="","",SISTEMA!A601)</f>
        <v/>
      </c>
      <c r="B607" s="10" t="str">
        <f>IF(SISTEMA!B601="","",VALUE(SISTEMA!B601))</f>
        <v/>
      </c>
      <c r="C607" s="10" t="str">
        <f>IF(SISTEMA!C601="","",SISTEMA!C601)</f>
        <v/>
      </c>
      <c r="D607" s="5" t="str" cm="1">
        <f t="array" ref="D6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7" s="5" t="str" cm="1">
        <f t="array" ref="E6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7" s="5" t="str" cm="1">
        <f t="array" ref="F6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7" t="str" cm="1">
        <f t="array" ref="G6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7" s="4"/>
      <c r="I607" s="3" t="str" cm="1">
        <f t="array" ref="I6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8" spans="1:9" x14ac:dyDescent="0.3">
      <c r="A608" s="3" t="str">
        <f>IF(SISTEMA!A602="","",SISTEMA!A602)</f>
        <v/>
      </c>
      <c r="B608" s="10" t="str">
        <f>IF(SISTEMA!B602="","",VALUE(SISTEMA!B602))</f>
        <v/>
      </c>
      <c r="C608" s="10" t="str">
        <f>IF(SISTEMA!C602="","",SISTEMA!C602)</f>
        <v/>
      </c>
      <c r="D608" s="5" t="str" cm="1">
        <f t="array" ref="D6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8" s="5" t="str" cm="1">
        <f t="array" ref="E6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8" s="5" t="str" cm="1">
        <f t="array" ref="F6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8" t="str" cm="1">
        <f t="array" ref="G6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8" s="4"/>
      <c r="I608" s="3" t="str" cm="1">
        <f t="array" ref="I6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09" spans="1:9" x14ac:dyDescent="0.3">
      <c r="A609" s="3" t="str">
        <f>IF(SISTEMA!A603="","",SISTEMA!A603)</f>
        <v/>
      </c>
      <c r="B609" s="10" t="str">
        <f>IF(SISTEMA!B603="","",VALUE(SISTEMA!B603))</f>
        <v/>
      </c>
      <c r="C609" s="10" t="str">
        <f>IF(SISTEMA!C603="","",SISTEMA!C603)</f>
        <v/>
      </c>
      <c r="D609" s="5" t="str" cm="1">
        <f t="array" ref="D6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09" s="5" t="str" cm="1">
        <f t="array" ref="E6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09" s="5" t="str" cm="1">
        <f t="array" ref="F6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09" t="str" cm="1">
        <f t="array" ref="G6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09" s="4"/>
      <c r="I609" s="3" t="str" cm="1">
        <f t="array" ref="I6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0" spans="1:9" x14ac:dyDescent="0.3">
      <c r="A610" s="3" t="str">
        <f>IF(SISTEMA!A604="","",SISTEMA!A604)</f>
        <v/>
      </c>
      <c r="B610" s="10" t="str">
        <f>IF(SISTEMA!B604="","",VALUE(SISTEMA!B604))</f>
        <v/>
      </c>
      <c r="C610" s="10" t="str">
        <f>IF(SISTEMA!C604="","",SISTEMA!C604)</f>
        <v/>
      </c>
      <c r="D610" s="5" t="str" cm="1">
        <f t="array" ref="D6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0" s="5" t="str" cm="1">
        <f t="array" ref="E6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0" s="5" t="str" cm="1">
        <f t="array" ref="F6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0" t="str" cm="1">
        <f t="array" ref="G6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0" s="4"/>
      <c r="I610" s="3" t="str" cm="1">
        <f t="array" ref="I6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1" spans="1:9" x14ac:dyDescent="0.3">
      <c r="A611" s="3" t="str">
        <f>IF(SISTEMA!A605="","",SISTEMA!A605)</f>
        <v/>
      </c>
      <c r="B611" s="10" t="str">
        <f>IF(SISTEMA!B605="","",VALUE(SISTEMA!B605))</f>
        <v/>
      </c>
      <c r="C611" s="10" t="str">
        <f>IF(SISTEMA!C605="","",SISTEMA!C605)</f>
        <v/>
      </c>
      <c r="D611" s="5" t="str" cm="1">
        <f t="array" ref="D6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1" s="5" t="str" cm="1">
        <f t="array" ref="E6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1" s="5" t="str" cm="1">
        <f t="array" ref="F6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1" t="str" cm="1">
        <f t="array" ref="G6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1" s="4"/>
      <c r="I611" s="3" t="str" cm="1">
        <f t="array" ref="I6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2" spans="1:9" x14ac:dyDescent="0.3">
      <c r="A612" s="3" t="str">
        <f>IF(SISTEMA!A606="","",SISTEMA!A606)</f>
        <v/>
      </c>
      <c r="B612" s="10" t="str">
        <f>IF(SISTEMA!B606="","",VALUE(SISTEMA!B606))</f>
        <v/>
      </c>
      <c r="C612" s="10" t="str">
        <f>IF(SISTEMA!C606="","",SISTEMA!C606)</f>
        <v/>
      </c>
      <c r="D612" s="5" t="str" cm="1">
        <f t="array" ref="D6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2" s="5" t="str" cm="1">
        <f t="array" ref="E6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2" s="5" t="str" cm="1">
        <f t="array" ref="F6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2" t="str" cm="1">
        <f t="array" ref="G6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2" s="4"/>
      <c r="I612" s="3" t="str" cm="1">
        <f t="array" ref="I6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3" spans="1:9" x14ac:dyDescent="0.3">
      <c r="A613" s="3" t="str">
        <f>IF(SISTEMA!A607="","",SISTEMA!A607)</f>
        <v/>
      </c>
      <c r="B613" s="10" t="str">
        <f>IF(SISTEMA!B607="","",VALUE(SISTEMA!B607))</f>
        <v/>
      </c>
      <c r="C613" s="10" t="str">
        <f>IF(SISTEMA!C607="","",SISTEMA!C607)</f>
        <v/>
      </c>
      <c r="D613" s="5" t="str" cm="1">
        <f t="array" ref="D6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3" s="5" t="str" cm="1">
        <f t="array" ref="E6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3" s="5" t="str" cm="1">
        <f t="array" ref="F6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3" t="str" cm="1">
        <f t="array" ref="G6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3" s="4"/>
      <c r="I613" s="3" t="str" cm="1">
        <f t="array" ref="I6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4" spans="1:9" x14ac:dyDescent="0.3">
      <c r="A614" s="3" t="str">
        <f>IF(SISTEMA!A608="","",SISTEMA!A608)</f>
        <v/>
      </c>
      <c r="B614" s="10" t="str">
        <f>IF(SISTEMA!B608="","",VALUE(SISTEMA!B608))</f>
        <v/>
      </c>
      <c r="C614" s="10" t="str">
        <f>IF(SISTEMA!C608="","",SISTEMA!C608)</f>
        <v/>
      </c>
      <c r="D614" s="5" t="str" cm="1">
        <f t="array" ref="D6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4" s="5" t="str" cm="1">
        <f t="array" ref="E6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4" s="5" t="str" cm="1">
        <f t="array" ref="F6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4" t="str" cm="1">
        <f t="array" ref="G6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4" s="4"/>
      <c r="I614" s="3" t="str" cm="1">
        <f t="array" ref="I6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5" spans="1:9" x14ac:dyDescent="0.3">
      <c r="A615" s="3" t="str">
        <f>IF(SISTEMA!A609="","",SISTEMA!A609)</f>
        <v/>
      </c>
      <c r="B615" s="10" t="str">
        <f>IF(SISTEMA!B609="","",VALUE(SISTEMA!B609))</f>
        <v/>
      </c>
      <c r="C615" s="10" t="str">
        <f>IF(SISTEMA!C609="","",SISTEMA!C609)</f>
        <v/>
      </c>
      <c r="D615" s="5" t="str" cm="1">
        <f t="array" ref="D6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5" s="5" t="str" cm="1">
        <f t="array" ref="E6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5" s="5" t="str" cm="1">
        <f t="array" ref="F6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5" t="str" cm="1">
        <f t="array" ref="G6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5" s="4"/>
      <c r="I615" s="3" t="str" cm="1">
        <f t="array" ref="I6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6" spans="1:9" x14ac:dyDescent="0.3">
      <c r="A616" s="3" t="str">
        <f>IF(SISTEMA!A610="","",SISTEMA!A610)</f>
        <v/>
      </c>
      <c r="B616" s="10" t="str">
        <f>IF(SISTEMA!B610="","",VALUE(SISTEMA!B610))</f>
        <v/>
      </c>
      <c r="C616" s="10" t="str">
        <f>IF(SISTEMA!C610="","",SISTEMA!C610)</f>
        <v/>
      </c>
      <c r="D616" s="5" t="str" cm="1">
        <f t="array" ref="D6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6" s="5" t="str" cm="1">
        <f t="array" ref="E6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6" s="5" t="str" cm="1">
        <f t="array" ref="F6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6" t="str" cm="1">
        <f t="array" ref="G6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6" s="4"/>
      <c r="I616" s="3" t="str" cm="1">
        <f t="array" ref="I6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7" spans="1:9" x14ac:dyDescent="0.3">
      <c r="A617" s="3" t="str">
        <f>IF(SISTEMA!A611="","",SISTEMA!A611)</f>
        <v/>
      </c>
      <c r="B617" s="10" t="str">
        <f>IF(SISTEMA!B611="","",VALUE(SISTEMA!B611))</f>
        <v/>
      </c>
      <c r="C617" s="10" t="str">
        <f>IF(SISTEMA!C611="","",SISTEMA!C611)</f>
        <v/>
      </c>
      <c r="D617" s="5" t="str" cm="1">
        <f t="array" ref="D6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7" s="5" t="str" cm="1">
        <f t="array" ref="E6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7" s="5" t="str" cm="1">
        <f t="array" ref="F6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7" t="str" cm="1">
        <f t="array" ref="G6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7" s="4"/>
      <c r="I617" s="3" t="str" cm="1">
        <f t="array" ref="I6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8" spans="1:9" x14ac:dyDescent="0.3">
      <c r="A618" s="3" t="str">
        <f>IF(SISTEMA!A612="","",SISTEMA!A612)</f>
        <v/>
      </c>
      <c r="B618" s="10" t="str">
        <f>IF(SISTEMA!B612="","",VALUE(SISTEMA!B612))</f>
        <v/>
      </c>
      <c r="C618" s="10" t="str">
        <f>IF(SISTEMA!C612="","",SISTEMA!C612)</f>
        <v/>
      </c>
      <c r="D618" s="5" t="str" cm="1">
        <f t="array" ref="D6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8" s="5" t="str" cm="1">
        <f t="array" ref="E6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8" s="5" t="str" cm="1">
        <f t="array" ref="F6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8" t="str" cm="1">
        <f t="array" ref="G6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8" s="4"/>
      <c r="I618" s="3" t="str" cm="1">
        <f t="array" ref="I6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19" spans="1:9" x14ac:dyDescent="0.3">
      <c r="A619" s="3" t="str">
        <f>IF(SISTEMA!A613="","",SISTEMA!A613)</f>
        <v/>
      </c>
      <c r="B619" s="10" t="str">
        <f>IF(SISTEMA!B613="","",VALUE(SISTEMA!B613))</f>
        <v/>
      </c>
      <c r="C619" s="10" t="str">
        <f>IF(SISTEMA!C613="","",SISTEMA!C613)</f>
        <v/>
      </c>
      <c r="D619" s="5" t="str" cm="1">
        <f t="array" ref="D6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19" s="5" t="str" cm="1">
        <f t="array" ref="E6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19" s="5" t="str" cm="1">
        <f t="array" ref="F6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19" t="str" cm="1">
        <f t="array" ref="G6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19" s="4"/>
      <c r="I619" s="3" t="str" cm="1">
        <f t="array" ref="I6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0" spans="1:9" x14ac:dyDescent="0.3">
      <c r="A620" s="3" t="str">
        <f>IF(SISTEMA!A614="","",SISTEMA!A614)</f>
        <v/>
      </c>
      <c r="B620" s="10" t="str">
        <f>IF(SISTEMA!B614="","",VALUE(SISTEMA!B614))</f>
        <v/>
      </c>
      <c r="C620" s="10" t="str">
        <f>IF(SISTEMA!C614="","",SISTEMA!C614)</f>
        <v/>
      </c>
      <c r="D620" s="5" t="str" cm="1">
        <f t="array" ref="D6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0" s="5" t="str" cm="1">
        <f t="array" ref="E6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0" s="5" t="str" cm="1">
        <f t="array" ref="F6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0" t="str" cm="1">
        <f t="array" ref="G6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0" s="4"/>
      <c r="I620" s="3" t="str" cm="1">
        <f t="array" ref="I6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1" spans="1:9" x14ac:dyDescent="0.3">
      <c r="A621" s="3" t="str">
        <f>IF(SISTEMA!A615="","",SISTEMA!A615)</f>
        <v/>
      </c>
      <c r="B621" s="10" t="str">
        <f>IF(SISTEMA!B615="","",VALUE(SISTEMA!B615))</f>
        <v/>
      </c>
      <c r="C621" s="10" t="str">
        <f>IF(SISTEMA!C615="","",SISTEMA!C615)</f>
        <v/>
      </c>
      <c r="D621" s="5" t="str" cm="1">
        <f t="array" ref="D6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1" s="5" t="str" cm="1">
        <f t="array" ref="E6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1" s="5" t="str" cm="1">
        <f t="array" ref="F6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1" t="str" cm="1">
        <f t="array" ref="G6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1" s="4"/>
      <c r="I621" s="3" t="str" cm="1">
        <f t="array" ref="I6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2" spans="1:9" x14ac:dyDescent="0.3">
      <c r="A622" s="3" t="str">
        <f>IF(SISTEMA!A616="","",SISTEMA!A616)</f>
        <v/>
      </c>
      <c r="B622" s="10" t="str">
        <f>IF(SISTEMA!B616="","",VALUE(SISTEMA!B616))</f>
        <v/>
      </c>
      <c r="C622" s="10" t="str">
        <f>IF(SISTEMA!C616="","",SISTEMA!C616)</f>
        <v/>
      </c>
      <c r="D622" s="5" t="str" cm="1">
        <f t="array" ref="D6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2" s="5" t="str" cm="1">
        <f t="array" ref="E6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2" s="5" t="str" cm="1">
        <f t="array" ref="F6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2" t="str" cm="1">
        <f t="array" ref="G6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2" s="4"/>
      <c r="I622" s="3" t="str" cm="1">
        <f t="array" ref="I6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3" spans="1:9" x14ac:dyDescent="0.3">
      <c r="A623" s="3" t="str">
        <f>IF(SISTEMA!A617="","",SISTEMA!A617)</f>
        <v/>
      </c>
      <c r="B623" s="10" t="str">
        <f>IF(SISTEMA!B617="","",VALUE(SISTEMA!B617))</f>
        <v/>
      </c>
      <c r="C623" s="10" t="str">
        <f>IF(SISTEMA!C617="","",SISTEMA!C617)</f>
        <v/>
      </c>
      <c r="D623" s="5" t="str" cm="1">
        <f t="array" ref="D6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3" s="5" t="str" cm="1">
        <f t="array" ref="E6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3" s="5" t="str" cm="1">
        <f t="array" ref="F6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3" t="str" cm="1">
        <f t="array" ref="G6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3" s="4"/>
      <c r="I623" s="3" t="str" cm="1">
        <f t="array" ref="I6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4" spans="1:9" x14ac:dyDescent="0.3">
      <c r="A624" s="3" t="str">
        <f>IF(SISTEMA!A618="","",SISTEMA!A618)</f>
        <v/>
      </c>
      <c r="B624" s="10" t="str">
        <f>IF(SISTEMA!B618="","",VALUE(SISTEMA!B618))</f>
        <v/>
      </c>
      <c r="C624" s="10" t="str">
        <f>IF(SISTEMA!C618="","",SISTEMA!C618)</f>
        <v/>
      </c>
      <c r="D624" s="5" t="str" cm="1">
        <f t="array" ref="D6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4" s="5" t="str" cm="1">
        <f t="array" ref="E6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4" s="5" t="str" cm="1">
        <f t="array" ref="F6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4" t="str" cm="1">
        <f t="array" ref="G6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4" s="4"/>
      <c r="I624" s="3" t="str" cm="1">
        <f t="array" ref="I6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5" spans="1:9" x14ac:dyDescent="0.3">
      <c r="A625" s="3" t="str">
        <f>IF(SISTEMA!A619="","",SISTEMA!A619)</f>
        <v/>
      </c>
      <c r="B625" s="10" t="str">
        <f>IF(SISTEMA!B619="","",VALUE(SISTEMA!B619))</f>
        <v/>
      </c>
      <c r="C625" s="10" t="str">
        <f>IF(SISTEMA!C619="","",SISTEMA!C619)</f>
        <v/>
      </c>
      <c r="D625" s="5" t="str" cm="1">
        <f t="array" ref="D6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5" s="5" t="str" cm="1">
        <f t="array" ref="E6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5" s="5" t="str" cm="1">
        <f t="array" ref="F6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5" t="str" cm="1">
        <f t="array" ref="G6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5" s="4"/>
      <c r="I625" s="3" t="str" cm="1">
        <f t="array" ref="I6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6" spans="1:9" x14ac:dyDescent="0.3">
      <c r="A626" s="3" t="str">
        <f>IF(SISTEMA!A620="","",SISTEMA!A620)</f>
        <v/>
      </c>
      <c r="B626" s="10" t="str">
        <f>IF(SISTEMA!B620="","",VALUE(SISTEMA!B620))</f>
        <v/>
      </c>
      <c r="C626" s="10" t="str">
        <f>IF(SISTEMA!C620="","",SISTEMA!C620)</f>
        <v/>
      </c>
      <c r="D626" s="5" t="str" cm="1">
        <f t="array" ref="D6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6" s="5" t="str" cm="1">
        <f t="array" ref="E6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6" s="5" t="str" cm="1">
        <f t="array" ref="F6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6" t="str" cm="1">
        <f t="array" ref="G6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6" s="4"/>
      <c r="I626" s="3" t="str" cm="1">
        <f t="array" ref="I6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7" spans="1:9" x14ac:dyDescent="0.3">
      <c r="A627" s="3" t="str">
        <f>IF(SISTEMA!A621="","",SISTEMA!A621)</f>
        <v/>
      </c>
      <c r="B627" s="10" t="str">
        <f>IF(SISTEMA!B621="","",VALUE(SISTEMA!B621))</f>
        <v/>
      </c>
      <c r="C627" s="10" t="str">
        <f>IF(SISTEMA!C621="","",SISTEMA!C621)</f>
        <v/>
      </c>
      <c r="D627" s="5" t="str" cm="1">
        <f t="array" ref="D6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7" s="5" t="str" cm="1">
        <f t="array" ref="E6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7" s="5" t="str" cm="1">
        <f t="array" ref="F6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7" t="str" cm="1">
        <f t="array" ref="G6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7" s="4"/>
      <c r="I627" s="3" t="str" cm="1">
        <f t="array" ref="I6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8" spans="1:9" x14ac:dyDescent="0.3">
      <c r="A628" s="3" t="str">
        <f>IF(SISTEMA!A622="","",SISTEMA!A622)</f>
        <v/>
      </c>
      <c r="B628" s="10" t="str">
        <f>IF(SISTEMA!B622="","",VALUE(SISTEMA!B622))</f>
        <v/>
      </c>
      <c r="C628" s="10" t="str">
        <f>IF(SISTEMA!C622="","",SISTEMA!C622)</f>
        <v/>
      </c>
      <c r="D628" s="5" t="str" cm="1">
        <f t="array" ref="D6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8" s="5" t="str" cm="1">
        <f t="array" ref="E6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8" s="5" t="str" cm="1">
        <f t="array" ref="F6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8" t="str" cm="1">
        <f t="array" ref="G6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8" s="4"/>
      <c r="I628" s="3" t="str" cm="1">
        <f t="array" ref="I6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29" spans="1:9" x14ac:dyDescent="0.3">
      <c r="A629" s="3" t="str">
        <f>IF(SISTEMA!A623="","",SISTEMA!A623)</f>
        <v/>
      </c>
      <c r="B629" s="10" t="str">
        <f>IF(SISTEMA!B623="","",VALUE(SISTEMA!B623))</f>
        <v/>
      </c>
      <c r="C629" s="10" t="str">
        <f>IF(SISTEMA!C623="","",SISTEMA!C623)</f>
        <v/>
      </c>
      <c r="D629" s="5" t="str" cm="1">
        <f t="array" ref="D6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29" s="5" t="str" cm="1">
        <f t="array" ref="E6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29" s="5" t="str" cm="1">
        <f t="array" ref="F6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29" t="str" cm="1">
        <f t="array" ref="G6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29" s="4"/>
      <c r="I629" s="3" t="str" cm="1">
        <f t="array" ref="I6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0" spans="1:9" x14ac:dyDescent="0.3">
      <c r="A630" s="3" t="str">
        <f>IF(SISTEMA!A624="","",SISTEMA!A624)</f>
        <v/>
      </c>
      <c r="B630" s="10" t="str">
        <f>IF(SISTEMA!B624="","",VALUE(SISTEMA!B624))</f>
        <v/>
      </c>
      <c r="C630" s="10" t="str">
        <f>IF(SISTEMA!C624="","",SISTEMA!C624)</f>
        <v/>
      </c>
      <c r="D630" s="5" t="str" cm="1">
        <f t="array" ref="D6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0" s="5" t="str" cm="1">
        <f t="array" ref="E6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0" s="5" t="str" cm="1">
        <f t="array" ref="F6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0" t="str" cm="1">
        <f t="array" ref="G6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0" s="4"/>
      <c r="I630" s="3" t="str" cm="1">
        <f t="array" ref="I6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1" spans="1:9" x14ac:dyDescent="0.3">
      <c r="A631" s="3" t="str">
        <f>IF(SISTEMA!A625="","",SISTEMA!A625)</f>
        <v/>
      </c>
      <c r="B631" s="10" t="str">
        <f>IF(SISTEMA!B625="","",VALUE(SISTEMA!B625))</f>
        <v/>
      </c>
      <c r="C631" s="10" t="str">
        <f>IF(SISTEMA!C625="","",SISTEMA!C625)</f>
        <v/>
      </c>
      <c r="D631" s="5" t="str" cm="1">
        <f t="array" ref="D6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1" s="5" t="str" cm="1">
        <f t="array" ref="E6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1" s="5" t="str" cm="1">
        <f t="array" ref="F6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1" t="str" cm="1">
        <f t="array" ref="G6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1" s="4"/>
      <c r="I631" s="3" t="str" cm="1">
        <f t="array" ref="I6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2" spans="1:9" x14ac:dyDescent="0.3">
      <c r="A632" s="3" t="str">
        <f>IF(SISTEMA!A626="","",SISTEMA!A626)</f>
        <v/>
      </c>
      <c r="B632" s="10" t="str">
        <f>IF(SISTEMA!B626="","",VALUE(SISTEMA!B626))</f>
        <v/>
      </c>
      <c r="C632" s="10" t="str">
        <f>IF(SISTEMA!C626="","",SISTEMA!C626)</f>
        <v/>
      </c>
      <c r="D632" s="5" t="str" cm="1">
        <f t="array" ref="D6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2" s="5" t="str" cm="1">
        <f t="array" ref="E6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2" s="5" t="str" cm="1">
        <f t="array" ref="F6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2" t="str" cm="1">
        <f t="array" ref="G6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2" s="4"/>
      <c r="I632" s="3" t="str" cm="1">
        <f t="array" ref="I6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3" spans="1:9" x14ac:dyDescent="0.3">
      <c r="A633" s="3" t="str">
        <f>IF(SISTEMA!A627="","",SISTEMA!A627)</f>
        <v/>
      </c>
      <c r="B633" s="10" t="str">
        <f>IF(SISTEMA!B627="","",VALUE(SISTEMA!B627))</f>
        <v/>
      </c>
      <c r="C633" s="10" t="str">
        <f>IF(SISTEMA!C627="","",SISTEMA!C627)</f>
        <v/>
      </c>
      <c r="D633" s="5" t="str" cm="1">
        <f t="array" ref="D6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3" s="5" t="str" cm="1">
        <f t="array" ref="E6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3" s="5" t="str" cm="1">
        <f t="array" ref="F6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3" t="str" cm="1">
        <f t="array" ref="G6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3" s="4"/>
      <c r="I633" s="3" t="str" cm="1">
        <f t="array" ref="I6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4" spans="1:9" x14ac:dyDescent="0.3">
      <c r="A634" s="3" t="str">
        <f>IF(SISTEMA!A628="","",SISTEMA!A628)</f>
        <v/>
      </c>
      <c r="B634" s="10" t="str">
        <f>IF(SISTEMA!B628="","",VALUE(SISTEMA!B628))</f>
        <v/>
      </c>
      <c r="C634" s="10" t="str">
        <f>IF(SISTEMA!C628="","",SISTEMA!C628)</f>
        <v/>
      </c>
      <c r="D634" s="5" t="str" cm="1">
        <f t="array" ref="D6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4" s="5" t="str" cm="1">
        <f t="array" ref="E6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4" s="5" t="str" cm="1">
        <f t="array" ref="F6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4" t="str" cm="1">
        <f t="array" ref="G6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4" s="4"/>
      <c r="I634" s="3" t="str" cm="1">
        <f t="array" ref="I6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5" spans="1:9" x14ac:dyDescent="0.3">
      <c r="A635" s="3" t="str">
        <f>IF(SISTEMA!A629="","",SISTEMA!A629)</f>
        <v/>
      </c>
      <c r="B635" s="10" t="str">
        <f>IF(SISTEMA!B629="","",VALUE(SISTEMA!B629))</f>
        <v/>
      </c>
      <c r="C635" s="10" t="str">
        <f>IF(SISTEMA!C629="","",SISTEMA!C629)</f>
        <v/>
      </c>
      <c r="D635" s="5" t="str" cm="1">
        <f t="array" ref="D6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5" s="5" t="str" cm="1">
        <f t="array" ref="E6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5" s="5" t="str" cm="1">
        <f t="array" ref="F6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5" t="str" cm="1">
        <f t="array" ref="G6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5" s="4"/>
      <c r="I635" s="3" t="str" cm="1">
        <f t="array" ref="I6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6" spans="1:9" x14ac:dyDescent="0.3">
      <c r="A636" s="3" t="str">
        <f>IF(SISTEMA!A630="","",SISTEMA!A630)</f>
        <v/>
      </c>
      <c r="B636" s="10" t="str">
        <f>IF(SISTEMA!B630="","",VALUE(SISTEMA!B630))</f>
        <v/>
      </c>
      <c r="C636" s="10" t="str">
        <f>IF(SISTEMA!C630="","",SISTEMA!C630)</f>
        <v/>
      </c>
      <c r="D636" s="5" t="str" cm="1">
        <f t="array" ref="D6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6" s="5" t="str" cm="1">
        <f t="array" ref="E6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6" s="5" t="str" cm="1">
        <f t="array" ref="F6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6" t="str" cm="1">
        <f t="array" ref="G6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6" s="4"/>
      <c r="I636" s="3" t="str" cm="1">
        <f t="array" ref="I6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7" spans="1:9" x14ac:dyDescent="0.3">
      <c r="A637" s="3" t="str">
        <f>IF(SISTEMA!A631="","",SISTEMA!A631)</f>
        <v/>
      </c>
      <c r="B637" s="10" t="str">
        <f>IF(SISTEMA!B631="","",VALUE(SISTEMA!B631))</f>
        <v/>
      </c>
      <c r="C637" s="10" t="str">
        <f>IF(SISTEMA!C631="","",SISTEMA!C631)</f>
        <v/>
      </c>
      <c r="D637" s="5" t="str" cm="1">
        <f t="array" ref="D6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7" s="5" t="str" cm="1">
        <f t="array" ref="E6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7" s="5" t="str" cm="1">
        <f t="array" ref="F6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7" t="str" cm="1">
        <f t="array" ref="G6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7" s="4"/>
      <c r="I637" s="3" t="str" cm="1">
        <f t="array" ref="I6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8" spans="1:9" x14ac:dyDescent="0.3">
      <c r="A638" s="3" t="str">
        <f>IF(SISTEMA!A632="","",SISTEMA!A632)</f>
        <v/>
      </c>
      <c r="B638" s="10" t="str">
        <f>IF(SISTEMA!B632="","",VALUE(SISTEMA!B632))</f>
        <v/>
      </c>
      <c r="C638" s="10" t="str">
        <f>IF(SISTEMA!C632="","",SISTEMA!C632)</f>
        <v/>
      </c>
      <c r="D638" s="5" t="str" cm="1">
        <f t="array" ref="D6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8" s="5" t="str" cm="1">
        <f t="array" ref="E6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8" s="5" t="str" cm="1">
        <f t="array" ref="F6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8" t="str" cm="1">
        <f t="array" ref="G6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8" s="4"/>
      <c r="I638" s="3" t="str" cm="1">
        <f t="array" ref="I6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39" spans="1:9" x14ac:dyDescent="0.3">
      <c r="A639" s="3" t="str">
        <f>IF(SISTEMA!A633="","",SISTEMA!A633)</f>
        <v/>
      </c>
      <c r="B639" s="10" t="str">
        <f>IF(SISTEMA!B633="","",VALUE(SISTEMA!B633))</f>
        <v/>
      </c>
      <c r="C639" s="10" t="str">
        <f>IF(SISTEMA!C633="","",SISTEMA!C633)</f>
        <v/>
      </c>
      <c r="D639" s="5" t="str" cm="1">
        <f t="array" ref="D6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39" s="5" t="str" cm="1">
        <f t="array" ref="E6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39" s="5" t="str" cm="1">
        <f t="array" ref="F6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39" t="str" cm="1">
        <f t="array" ref="G6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39" s="4"/>
      <c r="I639" s="3" t="str" cm="1">
        <f t="array" ref="I6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0" spans="1:9" x14ac:dyDescent="0.3">
      <c r="A640" s="3" t="str">
        <f>IF(SISTEMA!A634="","",SISTEMA!A634)</f>
        <v/>
      </c>
      <c r="B640" s="10" t="str">
        <f>IF(SISTEMA!B634="","",VALUE(SISTEMA!B634))</f>
        <v/>
      </c>
      <c r="C640" s="10" t="str">
        <f>IF(SISTEMA!C634="","",SISTEMA!C634)</f>
        <v/>
      </c>
      <c r="D640" s="5" t="str" cm="1">
        <f t="array" ref="D6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0" s="5" t="str" cm="1">
        <f t="array" ref="E6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0" s="5" t="str" cm="1">
        <f t="array" ref="F6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0" t="str" cm="1">
        <f t="array" ref="G6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0" s="4"/>
      <c r="I640" s="3" t="str" cm="1">
        <f t="array" ref="I6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1" spans="1:9" x14ac:dyDescent="0.3">
      <c r="A641" s="3" t="str">
        <f>IF(SISTEMA!A635="","",SISTEMA!A635)</f>
        <v/>
      </c>
      <c r="B641" s="10" t="str">
        <f>IF(SISTEMA!B635="","",VALUE(SISTEMA!B635))</f>
        <v/>
      </c>
      <c r="C641" s="10" t="str">
        <f>IF(SISTEMA!C635="","",SISTEMA!C635)</f>
        <v/>
      </c>
      <c r="D641" s="5" t="str" cm="1">
        <f t="array" ref="D6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1" s="5" t="str" cm="1">
        <f t="array" ref="E6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1" s="5" t="str" cm="1">
        <f t="array" ref="F6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1" t="str" cm="1">
        <f t="array" ref="G6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1" s="4"/>
      <c r="I641" s="3" t="str" cm="1">
        <f t="array" ref="I6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2" spans="1:9" x14ac:dyDescent="0.3">
      <c r="A642" s="3" t="str">
        <f>IF(SISTEMA!A636="","",SISTEMA!A636)</f>
        <v/>
      </c>
      <c r="B642" s="10" t="str">
        <f>IF(SISTEMA!B636="","",VALUE(SISTEMA!B636))</f>
        <v/>
      </c>
      <c r="C642" s="10" t="str">
        <f>IF(SISTEMA!C636="","",SISTEMA!C636)</f>
        <v/>
      </c>
      <c r="D642" s="5" t="str" cm="1">
        <f t="array" ref="D6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2" s="5" t="str" cm="1">
        <f t="array" ref="E6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2" s="5" t="str" cm="1">
        <f t="array" ref="F6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2" t="str" cm="1">
        <f t="array" ref="G6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2" s="4"/>
      <c r="I642" s="3" t="str" cm="1">
        <f t="array" ref="I6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3" spans="1:9" x14ac:dyDescent="0.3">
      <c r="A643" s="3" t="str">
        <f>IF(SISTEMA!A637="","",SISTEMA!A637)</f>
        <v/>
      </c>
      <c r="B643" s="10" t="str">
        <f>IF(SISTEMA!B637="","",VALUE(SISTEMA!B637))</f>
        <v/>
      </c>
      <c r="C643" s="10" t="str">
        <f>IF(SISTEMA!C637="","",SISTEMA!C637)</f>
        <v/>
      </c>
      <c r="D643" s="5" t="str" cm="1">
        <f t="array" ref="D6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3" s="5" t="str" cm="1">
        <f t="array" ref="E6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3" s="5" t="str" cm="1">
        <f t="array" ref="F6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3" t="str" cm="1">
        <f t="array" ref="G6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3" s="4"/>
      <c r="I643" s="3" t="str" cm="1">
        <f t="array" ref="I6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4" spans="1:9" x14ac:dyDescent="0.3">
      <c r="A644" s="3" t="str">
        <f>IF(SISTEMA!A638="","",SISTEMA!A638)</f>
        <v/>
      </c>
      <c r="B644" s="10" t="str">
        <f>IF(SISTEMA!B638="","",VALUE(SISTEMA!B638))</f>
        <v/>
      </c>
      <c r="C644" s="10" t="str">
        <f>IF(SISTEMA!C638="","",SISTEMA!C638)</f>
        <v/>
      </c>
      <c r="D644" s="5" t="str" cm="1">
        <f t="array" ref="D6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4" s="5" t="str" cm="1">
        <f t="array" ref="E6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4" s="5" t="str" cm="1">
        <f t="array" ref="F6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4" t="str" cm="1">
        <f t="array" ref="G6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4" s="4"/>
      <c r="I644" s="3" t="str" cm="1">
        <f t="array" ref="I6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5" spans="1:9" x14ac:dyDescent="0.3">
      <c r="A645" s="3" t="str">
        <f>IF(SISTEMA!A639="","",SISTEMA!A639)</f>
        <v/>
      </c>
      <c r="B645" s="10" t="str">
        <f>IF(SISTEMA!B639="","",VALUE(SISTEMA!B639))</f>
        <v/>
      </c>
      <c r="C645" s="10" t="str">
        <f>IF(SISTEMA!C639="","",SISTEMA!C639)</f>
        <v/>
      </c>
      <c r="D645" s="5" t="str" cm="1">
        <f t="array" ref="D6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5" s="5" t="str" cm="1">
        <f t="array" ref="E6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5" s="5" t="str" cm="1">
        <f t="array" ref="F6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5" t="str" cm="1">
        <f t="array" ref="G6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5" s="4"/>
      <c r="I645" s="3" t="str" cm="1">
        <f t="array" ref="I6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6" spans="1:9" x14ac:dyDescent="0.3">
      <c r="A646" s="3" t="str">
        <f>IF(SISTEMA!A640="","",SISTEMA!A640)</f>
        <v/>
      </c>
      <c r="B646" s="10" t="str">
        <f>IF(SISTEMA!B640="","",VALUE(SISTEMA!B640))</f>
        <v/>
      </c>
      <c r="C646" s="10" t="str">
        <f>IF(SISTEMA!C640="","",SISTEMA!C640)</f>
        <v/>
      </c>
      <c r="D646" s="5" t="str" cm="1">
        <f t="array" ref="D6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6" s="5" t="str" cm="1">
        <f t="array" ref="E6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6" s="5" t="str" cm="1">
        <f t="array" ref="F6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6" t="str" cm="1">
        <f t="array" ref="G6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6" s="4"/>
      <c r="I646" s="3" t="str" cm="1">
        <f t="array" ref="I6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7" spans="1:9" x14ac:dyDescent="0.3">
      <c r="A647" s="3" t="str">
        <f>IF(SISTEMA!A641="","",SISTEMA!A641)</f>
        <v/>
      </c>
      <c r="B647" s="10" t="str">
        <f>IF(SISTEMA!B641="","",VALUE(SISTEMA!B641))</f>
        <v/>
      </c>
      <c r="C647" s="10" t="str">
        <f>IF(SISTEMA!C641="","",SISTEMA!C641)</f>
        <v/>
      </c>
      <c r="D647" s="5" t="str" cm="1">
        <f t="array" ref="D6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7" s="5" t="str" cm="1">
        <f t="array" ref="E6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7" s="5" t="str" cm="1">
        <f t="array" ref="F6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7" t="str" cm="1">
        <f t="array" ref="G6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7" s="4"/>
      <c r="I647" s="3" t="str" cm="1">
        <f t="array" ref="I6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8" spans="1:9" x14ac:dyDescent="0.3">
      <c r="A648" s="3" t="str">
        <f>IF(SISTEMA!A642="","",SISTEMA!A642)</f>
        <v/>
      </c>
      <c r="B648" s="10" t="str">
        <f>IF(SISTEMA!B642="","",VALUE(SISTEMA!B642))</f>
        <v/>
      </c>
      <c r="C648" s="10" t="str">
        <f>IF(SISTEMA!C642="","",SISTEMA!C642)</f>
        <v/>
      </c>
      <c r="D648" s="5" t="str" cm="1">
        <f t="array" ref="D6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8" s="5" t="str" cm="1">
        <f t="array" ref="E6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8" s="5" t="str" cm="1">
        <f t="array" ref="F6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8" t="str" cm="1">
        <f t="array" ref="G6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8" s="4"/>
      <c r="I648" s="3" t="str" cm="1">
        <f t="array" ref="I6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49" spans="1:9" x14ac:dyDescent="0.3">
      <c r="A649" s="3" t="str">
        <f>IF(SISTEMA!A643="","",SISTEMA!A643)</f>
        <v/>
      </c>
      <c r="B649" s="10" t="str">
        <f>IF(SISTEMA!B643="","",VALUE(SISTEMA!B643))</f>
        <v/>
      </c>
      <c r="C649" s="10" t="str">
        <f>IF(SISTEMA!C643="","",SISTEMA!C643)</f>
        <v/>
      </c>
      <c r="D649" s="5" t="str" cm="1">
        <f t="array" ref="D6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49" s="5" t="str" cm="1">
        <f t="array" ref="E6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49" s="5" t="str" cm="1">
        <f t="array" ref="F6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49" t="str" cm="1">
        <f t="array" ref="G6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49" s="4"/>
      <c r="I649" s="3" t="str" cm="1">
        <f t="array" ref="I6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0" spans="1:9" x14ac:dyDescent="0.3">
      <c r="A650" s="3" t="str">
        <f>IF(SISTEMA!A644="","",SISTEMA!A644)</f>
        <v/>
      </c>
      <c r="B650" s="10" t="str">
        <f>IF(SISTEMA!B644="","",VALUE(SISTEMA!B644))</f>
        <v/>
      </c>
      <c r="C650" s="10" t="str">
        <f>IF(SISTEMA!C644="","",SISTEMA!C644)</f>
        <v/>
      </c>
      <c r="D650" s="5" t="str" cm="1">
        <f t="array" ref="D6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0" s="5" t="str" cm="1">
        <f t="array" ref="E6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0" s="5" t="str" cm="1">
        <f t="array" ref="F6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0" t="str" cm="1">
        <f t="array" ref="G6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0" s="4"/>
      <c r="I650" s="3" t="str" cm="1">
        <f t="array" ref="I6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1" spans="1:9" x14ac:dyDescent="0.3">
      <c r="A651" s="3" t="str">
        <f>IF(SISTEMA!A645="","",SISTEMA!A645)</f>
        <v/>
      </c>
      <c r="B651" s="10" t="str">
        <f>IF(SISTEMA!B645="","",VALUE(SISTEMA!B645))</f>
        <v/>
      </c>
      <c r="C651" s="10" t="str">
        <f>IF(SISTEMA!C645="","",SISTEMA!C645)</f>
        <v/>
      </c>
      <c r="D651" s="5" t="str" cm="1">
        <f t="array" ref="D6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1" s="5" t="str" cm="1">
        <f t="array" ref="E6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1" s="5" t="str" cm="1">
        <f t="array" ref="F6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1" t="str" cm="1">
        <f t="array" ref="G6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1" s="4"/>
      <c r="I651" s="3" t="str" cm="1">
        <f t="array" ref="I6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2" spans="1:9" x14ac:dyDescent="0.3">
      <c r="A652" s="3" t="str">
        <f>IF(SISTEMA!A646="","",SISTEMA!A646)</f>
        <v/>
      </c>
      <c r="B652" s="10" t="str">
        <f>IF(SISTEMA!B646="","",VALUE(SISTEMA!B646))</f>
        <v/>
      </c>
      <c r="C652" s="10" t="str">
        <f>IF(SISTEMA!C646="","",SISTEMA!C646)</f>
        <v/>
      </c>
      <c r="D652" s="5" t="str" cm="1">
        <f t="array" ref="D6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2" s="5" t="str" cm="1">
        <f t="array" ref="E6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2" s="5" t="str" cm="1">
        <f t="array" ref="F6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2" t="str" cm="1">
        <f t="array" ref="G6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2" s="4"/>
      <c r="I652" s="3" t="str" cm="1">
        <f t="array" ref="I6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3" spans="1:9" x14ac:dyDescent="0.3">
      <c r="A653" s="3" t="str">
        <f>IF(SISTEMA!A647="","",SISTEMA!A647)</f>
        <v/>
      </c>
      <c r="B653" s="10" t="str">
        <f>IF(SISTEMA!B647="","",VALUE(SISTEMA!B647))</f>
        <v/>
      </c>
      <c r="C653" s="10" t="str">
        <f>IF(SISTEMA!C647="","",SISTEMA!C647)</f>
        <v/>
      </c>
      <c r="D653" s="5" t="str" cm="1">
        <f t="array" ref="D6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3" s="5" t="str" cm="1">
        <f t="array" ref="E6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3" s="5" t="str" cm="1">
        <f t="array" ref="F6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3" t="str" cm="1">
        <f t="array" ref="G6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3" s="4"/>
      <c r="I653" s="3" t="str" cm="1">
        <f t="array" ref="I6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4" spans="1:9" x14ac:dyDescent="0.3">
      <c r="A654" s="3" t="str">
        <f>IF(SISTEMA!A648="","",SISTEMA!A648)</f>
        <v/>
      </c>
      <c r="B654" s="10" t="str">
        <f>IF(SISTEMA!B648="","",VALUE(SISTEMA!B648))</f>
        <v/>
      </c>
      <c r="C654" s="10" t="str">
        <f>IF(SISTEMA!C648="","",SISTEMA!C648)</f>
        <v/>
      </c>
      <c r="D654" s="5" t="str" cm="1">
        <f t="array" ref="D6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4" s="5" t="str" cm="1">
        <f t="array" ref="E6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4" s="5" t="str" cm="1">
        <f t="array" ref="F6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4" t="str" cm="1">
        <f t="array" ref="G6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4" s="4"/>
      <c r="I654" s="3" t="str" cm="1">
        <f t="array" ref="I6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5" spans="1:9" x14ac:dyDescent="0.3">
      <c r="A655" s="3" t="str">
        <f>IF(SISTEMA!A649="","",SISTEMA!A649)</f>
        <v/>
      </c>
      <c r="B655" s="10" t="str">
        <f>IF(SISTEMA!B649="","",VALUE(SISTEMA!B649))</f>
        <v/>
      </c>
      <c r="C655" s="10" t="str">
        <f>IF(SISTEMA!C649="","",SISTEMA!C649)</f>
        <v/>
      </c>
      <c r="D655" s="5" t="str" cm="1">
        <f t="array" ref="D6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5" s="5" t="str" cm="1">
        <f t="array" ref="E6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5" s="5" t="str" cm="1">
        <f t="array" ref="F6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5" t="str" cm="1">
        <f t="array" ref="G6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5" s="4"/>
      <c r="I655" s="3" t="str" cm="1">
        <f t="array" ref="I6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6" spans="1:9" x14ac:dyDescent="0.3">
      <c r="A656" s="3" t="str">
        <f>IF(SISTEMA!A650="","",SISTEMA!A650)</f>
        <v/>
      </c>
      <c r="B656" s="10" t="str">
        <f>IF(SISTEMA!B650="","",VALUE(SISTEMA!B650))</f>
        <v/>
      </c>
      <c r="C656" s="10" t="str">
        <f>IF(SISTEMA!C650="","",SISTEMA!C650)</f>
        <v/>
      </c>
      <c r="D656" s="5" t="str" cm="1">
        <f t="array" ref="D6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6" s="5" t="str" cm="1">
        <f t="array" ref="E6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6" s="5" t="str" cm="1">
        <f t="array" ref="F6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6" t="str" cm="1">
        <f t="array" ref="G6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6" s="4"/>
      <c r="I656" s="3" t="str" cm="1">
        <f t="array" ref="I6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7" spans="1:9" x14ac:dyDescent="0.3">
      <c r="A657" s="3" t="str">
        <f>IF(SISTEMA!A651="","",SISTEMA!A651)</f>
        <v/>
      </c>
      <c r="B657" s="10" t="str">
        <f>IF(SISTEMA!B651="","",VALUE(SISTEMA!B651))</f>
        <v/>
      </c>
      <c r="C657" s="10" t="str">
        <f>IF(SISTEMA!C651="","",SISTEMA!C651)</f>
        <v/>
      </c>
      <c r="D657" s="5" t="str" cm="1">
        <f t="array" ref="D6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7" s="5" t="str" cm="1">
        <f t="array" ref="E6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7" s="5" t="str" cm="1">
        <f t="array" ref="F6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7" t="str" cm="1">
        <f t="array" ref="G6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7" s="4"/>
      <c r="I657" s="3" t="str" cm="1">
        <f t="array" ref="I6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8" spans="1:9" x14ac:dyDescent="0.3">
      <c r="A658" s="3" t="str">
        <f>IF(SISTEMA!A652="","",SISTEMA!A652)</f>
        <v/>
      </c>
      <c r="B658" s="10" t="str">
        <f>IF(SISTEMA!B652="","",VALUE(SISTEMA!B652))</f>
        <v/>
      </c>
      <c r="C658" s="10" t="str">
        <f>IF(SISTEMA!C652="","",SISTEMA!C652)</f>
        <v/>
      </c>
      <c r="D658" s="5" t="str" cm="1">
        <f t="array" ref="D6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8" s="5" t="str" cm="1">
        <f t="array" ref="E6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8" s="5" t="str" cm="1">
        <f t="array" ref="F6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8" t="str" cm="1">
        <f t="array" ref="G6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8" s="4"/>
      <c r="I658" s="3" t="str" cm="1">
        <f t="array" ref="I6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59" spans="1:9" x14ac:dyDescent="0.3">
      <c r="A659" s="3" t="str">
        <f>IF(SISTEMA!A653="","",SISTEMA!A653)</f>
        <v/>
      </c>
      <c r="B659" s="10" t="str">
        <f>IF(SISTEMA!B653="","",VALUE(SISTEMA!B653))</f>
        <v/>
      </c>
      <c r="C659" s="10" t="str">
        <f>IF(SISTEMA!C653="","",SISTEMA!C653)</f>
        <v/>
      </c>
      <c r="D659" s="5" t="str" cm="1">
        <f t="array" ref="D6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59" s="5" t="str" cm="1">
        <f t="array" ref="E6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59" s="5" t="str" cm="1">
        <f t="array" ref="F6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59" t="str" cm="1">
        <f t="array" ref="G6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59" s="4"/>
      <c r="I659" s="3" t="str" cm="1">
        <f t="array" ref="I6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0" spans="1:9" x14ac:dyDescent="0.3">
      <c r="A660" s="3" t="str">
        <f>IF(SISTEMA!A654="","",SISTEMA!A654)</f>
        <v/>
      </c>
      <c r="B660" s="10" t="str">
        <f>IF(SISTEMA!B654="","",VALUE(SISTEMA!B654))</f>
        <v/>
      </c>
      <c r="C660" s="10" t="str">
        <f>IF(SISTEMA!C654="","",SISTEMA!C654)</f>
        <v/>
      </c>
      <c r="D660" s="5" t="str" cm="1">
        <f t="array" ref="D6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0" s="5" t="str" cm="1">
        <f t="array" ref="E6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0" s="5" t="str" cm="1">
        <f t="array" ref="F6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0" t="str" cm="1">
        <f t="array" ref="G6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0" s="4"/>
      <c r="I660" s="3" t="str" cm="1">
        <f t="array" ref="I6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1" spans="1:9" x14ac:dyDescent="0.3">
      <c r="A661" s="3" t="str">
        <f>IF(SISTEMA!A655="","",SISTEMA!A655)</f>
        <v/>
      </c>
      <c r="B661" s="10" t="str">
        <f>IF(SISTEMA!B655="","",VALUE(SISTEMA!B655))</f>
        <v/>
      </c>
      <c r="C661" s="10" t="str">
        <f>IF(SISTEMA!C655="","",SISTEMA!C655)</f>
        <v/>
      </c>
      <c r="D661" s="5" t="str" cm="1">
        <f t="array" ref="D6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1" s="5" t="str" cm="1">
        <f t="array" ref="E6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1" s="5" t="str" cm="1">
        <f t="array" ref="F6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1" t="str" cm="1">
        <f t="array" ref="G6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1" s="4"/>
      <c r="I661" s="3" t="str" cm="1">
        <f t="array" ref="I6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2" spans="1:9" x14ac:dyDescent="0.3">
      <c r="A662" s="3" t="str">
        <f>IF(SISTEMA!A656="","",SISTEMA!A656)</f>
        <v/>
      </c>
      <c r="B662" s="10" t="str">
        <f>IF(SISTEMA!B656="","",VALUE(SISTEMA!B656))</f>
        <v/>
      </c>
      <c r="C662" s="10" t="str">
        <f>IF(SISTEMA!C656="","",SISTEMA!C656)</f>
        <v/>
      </c>
      <c r="D662" s="5" t="str" cm="1">
        <f t="array" ref="D6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2" s="5" t="str" cm="1">
        <f t="array" ref="E6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2" s="5" t="str" cm="1">
        <f t="array" ref="F6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2" t="str" cm="1">
        <f t="array" ref="G6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2" s="4"/>
      <c r="I662" s="3" t="str" cm="1">
        <f t="array" ref="I6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3" spans="1:9" x14ac:dyDescent="0.3">
      <c r="A663" s="3" t="str">
        <f>IF(SISTEMA!A657="","",SISTEMA!A657)</f>
        <v/>
      </c>
      <c r="B663" s="10" t="str">
        <f>IF(SISTEMA!B657="","",VALUE(SISTEMA!B657))</f>
        <v/>
      </c>
      <c r="C663" s="10" t="str">
        <f>IF(SISTEMA!C657="","",SISTEMA!C657)</f>
        <v/>
      </c>
      <c r="D663" s="5" t="str" cm="1">
        <f t="array" ref="D6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3" s="5" t="str" cm="1">
        <f t="array" ref="E6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3" s="5" t="str" cm="1">
        <f t="array" ref="F6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3" t="str" cm="1">
        <f t="array" ref="G6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3" s="4"/>
      <c r="I663" s="3" t="str" cm="1">
        <f t="array" ref="I6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4" spans="1:9" x14ac:dyDescent="0.3">
      <c r="A664" s="3" t="str">
        <f>IF(SISTEMA!A658="","",SISTEMA!A658)</f>
        <v/>
      </c>
      <c r="B664" s="10" t="str">
        <f>IF(SISTEMA!B658="","",VALUE(SISTEMA!B658))</f>
        <v/>
      </c>
      <c r="C664" s="10" t="str">
        <f>IF(SISTEMA!C658="","",SISTEMA!C658)</f>
        <v/>
      </c>
      <c r="D664" s="5" t="str" cm="1">
        <f t="array" ref="D6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4" s="5" t="str" cm="1">
        <f t="array" ref="E6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4" s="5" t="str" cm="1">
        <f t="array" ref="F6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4" t="str" cm="1">
        <f t="array" ref="G6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4" s="4"/>
      <c r="I664" s="3" t="str" cm="1">
        <f t="array" ref="I6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5" spans="1:9" x14ac:dyDescent="0.3">
      <c r="A665" s="3" t="str">
        <f>IF(SISTEMA!A659="","",SISTEMA!A659)</f>
        <v/>
      </c>
      <c r="B665" s="10" t="str">
        <f>IF(SISTEMA!B659="","",VALUE(SISTEMA!B659))</f>
        <v/>
      </c>
      <c r="C665" s="10" t="str">
        <f>IF(SISTEMA!C659="","",SISTEMA!C659)</f>
        <v/>
      </c>
      <c r="D665" s="5" t="str" cm="1">
        <f t="array" ref="D6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5" s="5" t="str" cm="1">
        <f t="array" ref="E6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5" s="5" t="str" cm="1">
        <f t="array" ref="F6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5" t="str" cm="1">
        <f t="array" ref="G6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5" s="4"/>
      <c r="I665" s="3" t="str" cm="1">
        <f t="array" ref="I6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6" spans="1:9" x14ac:dyDescent="0.3">
      <c r="A666" s="3" t="str">
        <f>IF(SISTEMA!A660="","",SISTEMA!A660)</f>
        <v/>
      </c>
      <c r="B666" s="10" t="str">
        <f>IF(SISTEMA!B660="","",VALUE(SISTEMA!B660))</f>
        <v/>
      </c>
      <c r="C666" s="10" t="str">
        <f>IF(SISTEMA!C660="","",SISTEMA!C660)</f>
        <v/>
      </c>
      <c r="D666" s="5" t="str" cm="1">
        <f t="array" ref="D6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6" s="5" t="str" cm="1">
        <f t="array" ref="E6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6" s="5" t="str" cm="1">
        <f t="array" ref="F6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6" t="str" cm="1">
        <f t="array" ref="G6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6" s="4"/>
      <c r="I666" s="3" t="str" cm="1">
        <f t="array" ref="I6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7" spans="1:9" x14ac:dyDescent="0.3">
      <c r="A667" s="3" t="str">
        <f>IF(SISTEMA!A661="","",SISTEMA!A661)</f>
        <v/>
      </c>
      <c r="B667" s="10" t="str">
        <f>IF(SISTEMA!B661="","",VALUE(SISTEMA!B661))</f>
        <v/>
      </c>
      <c r="C667" s="10" t="str">
        <f>IF(SISTEMA!C661="","",SISTEMA!C661)</f>
        <v/>
      </c>
      <c r="D667" s="5" t="str" cm="1">
        <f t="array" ref="D6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7" s="5" t="str" cm="1">
        <f t="array" ref="E6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7" s="5" t="str" cm="1">
        <f t="array" ref="F6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7" t="str" cm="1">
        <f t="array" ref="G6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7" s="4"/>
      <c r="I667" s="3" t="str" cm="1">
        <f t="array" ref="I6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8" spans="1:9" x14ac:dyDescent="0.3">
      <c r="A668" s="3" t="str">
        <f>IF(SISTEMA!A662="","",SISTEMA!A662)</f>
        <v/>
      </c>
      <c r="B668" s="10" t="str">
        <f>IF(SISTEMA!B662="","",VALUE(SISTEMA!B662))</f>
        <v/>
      </c>
      <c r="C668" s="10" t="str">
        <f>IF(SISTEMA!C662="","",SISTEMA!C662)</f>
        <v/>
      </c>
      <c r="D668" s="5" t="str" cm="1">
        <f t="array" ref="D6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8" s="5" t="str" cm="1">
        <f t="array" ref="E6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8" s="5" t="str" cm="1">
        <f t="array" ref="F6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8" t="str" cm="1">
        <f t="array" ref="G6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8" s="4"/>
      <c r="I668" s="3" t="str" cm="1">
        <f t="array" ref="I6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69" spans="1:9" x14ac:dyDescent="0.3">
      <c r="A669" s="3" t="str">
        <f>IF(SISTEMA!A663="","",SISTEMA!A663)</f>
        <v/>
      </c>
      <c r="B669" s="10" t="str">
        <f>IF(SISTEMA!B663="","",VALUE(SISTEMA!B663))</f>
        <v/>
      </c>
      <c r="C669" s="10" t="str">
        <f>IF(SISTEMA!C663="","",SISTEMA!C663)</f>
        <v/>
      </c>
      <c r="D669" s="5" t="str" cm="1">
        <f t="array" ref="D6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69" s="5" t="str" cm="1">
        <f t="array" ref="E6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69" s="5" t="str" cm="1">
        <f t="array" ref="F6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69" t="str" cm="1">
        <f t="array" ref="G6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69" s="4"/>
      <c r="I669" s="3" t="str" cm="1">
        <f t="array" ref="I6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0" spans="1:9" x14ac:dyDescent="0.3">
      <c r="A670" s="3" t="str">
        <f>IF(SISTEMA!A664="","",SISTEMA!A664)</f>
        <v/>
      </c>
      <c r="B670" s="10" t="str">
        <f>IF(SISTEMA!B664="","",VALUE(SISTEMA!B664))</f>
        <v/>
      </c>
      <c r="C670" s="10" t="str">
        <f>IF(SISTEMA!C664="","",SISTEMA!C664)</f>
        <v/>
      </c>
      <c r="D670" s="5" t="str" cm="1">
        <f t="array" ref="D6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0" s="5" t="str" cm="1">
        <f t="array" ref="E6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0" s="5" t="str" cm="1">
        <f t="array" ref="F6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0" t="str" cm="1">
        <f t="array" ref="G6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0" s="4"/>
      <c r="I670" s="3" t="str" cm="1">
        <f t="array" ref="I6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1" spans="1:9" x14ac:dyDescent="0.3">
      <c r="A671" s="3" t="str">
        <f>IF(SISTEMA!A665="","",SISTEMA!A665)</f>
        <v/>
      </c>
      <c r="B671" s="10" t="str">
        <f>IF(SISTEMA!B665="","",VALUE(SISTEMA!B665))</f>
        <v/>
      </c>
      <c r="C671" s="10" t="str">
        <f>IF(SISTEMA!C665="","",SISTEMA!C665)</f>
        <v/>
      </c>
      <c r="D671" s="5" t="str" cm="1">
        <f t="array" ref="D6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1" s="5" t="str" cm="1">
        <f t="array" ref="E6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1" s="5" t="str" cm="1">
        <f t="array" ref="F6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1" t="str" cm="1">
        <f t="array" ref="G6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1" s="4"/>
      <c r="I671" s="3" t="str" cm="1">
        <f t="array" ref="I6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2" spans="1:9" x14ac:dyDescent="0.3">
      <c r="A672" s="3" t="str">
        <f>IF(SISTEMA!A666="","",SISTEMA!A666)</f>
        <v/>
      </c>
      <c r="B672" s="10" t="str">
        <f>IF(SISTEMA!B666="","",VALUE(SISTEMA!B666))</f>
        <v/>
      </c>
      <c r="C672" s="10" t="str">
        <f>IF(SISTEMA!C666="","",SISTEMA!C666)</f>
        <v/>
      </c>
      <c r="D672" s="5" t="str" cm="1">
        <f t="array" ref="D6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2" s="5" t="str" cm="1">
        <f t="array" ref="E6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2" s="5" t="str" cm="1">
        <f t="array" ref="F6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2" t="str" cm="1">
        <f t="array" ref="G6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2" s="4"/>
      <c r="I672" s="3" t="str" cm="1">
        <f t="array" ref="I6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3" spans="1:9" x14ac:dyDescent="0.3">
      <c r="A673" s="3" t="str">
        <f>IF(SISTEMA!A667="","",SISTEMA!A667)</f>
        <v/>
      </c>
      <c r="B673" s="10" t="str">
        <f>IF(SISTEMA!B667="","",VALUE(SISTEMA!B667))</f>
        <v/>
      </c>
      <c r="C673" s="10" t="str">
        <f>IF(SISTEMA!C667="","",SISTEMA!C667)</f>
        <v/>
      </c>
      <c r="D673" s="5" t="str" cm="1">
        <f t="array" ref="D6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3" s="5" t="str" cm="1">
        <f t="array" ref="E6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3" s="5" t="str" cm="1">
        <f t="array" ref="F6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3" t="str" cm="1">
        <f t="array" ref="G6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3" s="4"/>
      <c r="I673" s="3" t="str" cm="1">
        <f t="array" ref="I6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4" spans="1:9" x14ac:dyDescent="0.3">
      <c r="A674" s="3" t="str">
        <f>IF(SISTEMA!A668="","",SISTEMA!A668)</f>
        <v/>
      </c>
      <c r="B674" s="10" t="str">
        <f>IF(SISTEMA!B668="","",VALUE(SISTEMA!B668))</f>
        <v/>
      </c>
      <c r="C674" s="10" t="str">
        <f>IF(SISTEMA!C668="","",SISTEMA!C668)</f>
        <v/>
      </c>
      <c r="D674" s="5" t="str" cm="1">
        <f t="array" ref="D6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4" s="5" t="str" cm="1">
        <f t="array" ref="E6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4" s="5" t="str" cm="1">
        <f t="array" ref="F6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4" t="str" cm="1">
        <f t="array" ref="G6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4" s="4"/>
      <c r="I674" s="3" t="str" cm="1">
        <f t="array" ref="I6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5" spans="1:9" x14ac:dyDescent="0.3">
      <c r="A675" s="3" t="str">
        <f>IF(SISTEMA!A669="","",SISTEMA!A669)</f>
        <v/>
      </c>
      <c r="B675" s="10" t="str">
        <f>IF(SISTEMA!B669="","",VALUE(SISTEMA!B669))</f>
        <v/>
      </c>
      <c r="C675" s="10" t="str">
        <f>IF(SISTEMA!C669="","",SISTEMA!C669)</f>
        <v/>
      </c>
      <c r="D675" s="5" t="str" cm="1">
        <f t="array" ref="D6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5" s="5" t="str" cm="1">
        <f t="array" ref="E6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5" s="5" t="str" cm="1">
        <f t="array" ref="F6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5" t="str" cm="1">
        <f t="array" ref="G6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5" s="4"/>
      <c r="I675" s="3" t="str" cm="1">
        <f t="array" ref="I6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6" spans="1:9" x14ac:dyDescent="0.3">
      <c r="A676" s="3" t="str">
        <f>IF(SISTEMA!A670="","",SISTEMA!A670)</f>
        <v/>
      </c>
      <c r="B676" s="10" t="str">
        <f>IF(SISTEMA!B670="","",VALUE(SISTEMA!B670))</f>
        <v/>
      </c>
      <c r="C676" s="10" t="str">
        <f>IF(SISTEMA!C670="","",SISTEMA!C670)</f>
        <v/>
      </c>
      <c r="D676" s="5" t="str" cm="1">
        <f t="array" ref="D6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6" s="5" t="str" cm="1">
        <f t="array" ref="E6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6" s="5" t="str" cm="1">
        <f t="array" ref="F6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6" t="str" cm="1">
        <f t="array" ref="G6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6" s="4"/>
      <c r="I676" s="3" t="str" cm="1">
        <f t="array" ref="I6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7" spans="1:9" x14ac:dyDescent="0.3">
      <c r="A677" s="3" t="str">
        <f>IF(SISTEMA!A671="","",SISTEMA!A671)</f>
        <v/>
      </c>
      <c r="B677" s="10" t="str">
        <f>IF(SISTEMA!B671="","",VALUE(SISTEMA!B671))</f>
        <v/>
      </c>
      <c r="C677" s="10" t="str">
        <f>IF(SISTEMA!C671="","",SISTEMA!C671)</f>
        <v/>
      </c>
      <c r="D677" s="5" t="str" cm="1">
        <f t="array" ref="D6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7" s="5" t="str" cm="1">
        <f t="array" ref="E6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7" s="5" t="str" cm="1">
        <f t="array" ref="F6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7" t="str" cm="1">
        <f t="array" ref="G6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7" s="4"/>
      <c r="I677" s="3" t="str" cm="1">
        <f t="array" ref="I6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8" spans="1:9" x14ac:dyDescent="0.3">
      <c r="A678" s="3" t="str">
        <f>IF(SISTEMA!A672="","",SISTEMA!A672)</f>
        <v/>
      </c>
      <c r="B678" s="10" t="str">
        <f>IF(SISTEMA!B672="","",VALUE(SISTEMA!B672))</f>
        <v/>
      </c>
      <c r="C678" s="10" t="str">
        <f>IF(SISTEMA!C672="","",SISTEMA!C672)</f>
        <v/>
      </c>
      <c r="D678" s="5" t="str" cm="1">
        <f t="array" ref="D6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8" s="5" t="str" cm="1">
        <f t="array" ref="E6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8" s="5" t="str" cm="1">
        <f t="array" ref="F6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8" t="str" cm="1">
        <f t="array" ref="G6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8" s="4"/>
      <c r="I678" s="3" t="str" cm="1">
        <f t="array" ref="I6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79" spans="1:9" x14ac:dyDescent="0.3">
      <c r="A679" s="3" t="str">
        <f>IF(SISTEMA!A673="","",SISTEMA!A673)</f>
        <v/>
      </c>
      <c r="B679" s="10" t="str">
        <f>IF(SISTEMA!B673="","",VALUE(SISTEMA!B673))</f>
        <v/>
      </c>
      <c r="C679" s="10" t="str">
        <f>IF(SISTEMA!C673="","",SISTEMA!C673)</f>
        <v/>
      </c>
      <c r="D679" s="5" t="str" cm="1">
        <f t="array" ref="D6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79" s="5" t="str" cm="1">
        <f t="array" ref="E6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79" s="5" t="str" cm="1">
        <f t="array" ref="F6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79" t="str" cm="1">
        <f t="array" ref="G6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79" s="4"/>
      <c r="I679" s="3" t="str" cm="1">
        <f t="array" ref="I6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0" spans="1:9" x14ac:dyDescent="0.3">
      <c r="A680" s="3" t="str">
        <f>IF(SISTEMA!A674="","",SISTEMA!A674)</f>
        <v/>
      </c>
      <c r="B680" s="10" t="str">
        <f>IF(SISTEMA!B674="","",VALUE(SISTEMA!B674))</f>
        <v/>
      </c>
      <c r="C680" s="10" t="str">
        <f>IF(SISTEMA!C674="","",SISTEMA!C674)</f>
        <v/>
      </c>
      <c r="D680" s="5" t="str" cm="1">
        <f t="array" ref="D6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0" s="5" t="str" cm="1">
        <f t="array" ref="E6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0" s="5" t="str" cm="1">
        <f t="array" ref="F6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0" t="str" cm="1">
        <f t="array" ref="G6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0" s="4"/>
      <c r="I680" s="3" t="str" cm="1">
        <f t="array" ref="I6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1" spans="1:9" x14ac:dyDescent="0.3">
      <c r="A681" s="3" t="str">
        <f>IF(SISTEMA!A675="","",SISTEMA!A675)</f>
        <v/>
      </c>
      <c r="B681" s="10" t="str">
        <f>IF(SISTEMA!B675="","",VALUE(SISTEMA!B675))</f>
        <v/>
      </c>
      <c r="C681" s="10" t="str">
        <f>IF(SISTEMA!C675="","",SISTEMA!C675)</f>
        <v/>
      </c>
      <c r="D681" s="5" t="str" cm="1">
        <f t="array" ref="D6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1" s="5" t="str" cm="1">
        <f t="array" ref="E6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1" s="5" t="str" cm="1">
        <f t="array" ref="F6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1" t="str" cm="1">
        <f t="array" ref="G6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1" s="4"/>
      <c r="I681" s="3" t="str" cm="1">
        <f t="array" ref="I6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2" spans="1:9" x14ac:dyDescent="0.3">
      <c r="A682" s="3" t="str">
        <f>IF(SISTEMA!A676="","",SISTEMA!A676)</f>
        <v/>
      </c>
      <c r="B682" s="10" t="str">
        <f>IF(SISTEMA!B676="","",VALUE(SISTEMA!B676))</f>
        <v/>
      </c>
      <c r="C682" s="10" t="str">
        <f>IF(SISTEMA!C676="","",SISTEMA!C676)</f>
        <v/>
      </c>
      <c r="D682" s="5" t="str" cm="1">
        <f t="array" ref="D6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2" s="5" t="str" cm="1">
        <f t="array" ref="E6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2" s="5" t="str" cm="1">
        <f t="array" ref="F6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2" t="str" cm="1">
        <f t="array" ref="G6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2" s="4"/>
      <c r="I682" s="3" t="str" cm="1">
        <f t="array" ref="I6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3" spans="1:9" x14ac:dyDescent="0.3">
      <c r="A683" s="3" t="str">
        <f>IF(SISTEMA!A677="","",SISTEMA!A677)</f>
        <v/>
      </c>
      <c r="B683" s="10" t="str">
        <f>IF(SISTEMA!B677="","",VALUE(SISTEMA!B677))</f>
        <v/>
      </c>
      <c r="C683" s="10" t="str">
        <f>IF(SISTEMA!C677="","",SISTEMA!C677)</f>
        <v/>
      </c>
      <c r="D683" s="5" t="str" cm="1">
        <f t="array" ref="D6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3" s="5" t="str" cm="1">
        <f t="array" ref="E6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3" s="5" t="str" cm="1">
        <f t="array" ref="F6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3" t="str" cm="1">
        <f t="array" ref="G6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3" s="4"/>
      <c r="I683" s="3" t="str" cm="1">
        <f t="array" ref="I6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4" spans="1:9" x14ac:dyDescent="0.3">
      <c r="A684" s="3" t="str">
        <f>IF(SISTEMA!A678="","",SISTEMA!A678)</f>
        <v/>
      </c>
      <c r="B684" s="10" t="str">
        <f>IF(SISTEMA!B678="","",VALUE(SISTEMA!B678))</f>
        <v/>
      </c>
      <c r="C684" s="10" t="str">
        <f>IF(SISTEMA!C678="","",SISTEMA!C678)</f>
        <v/>
      </c>
      <c r="D684" s="5" t="str" cm="1">
        <f t="array" ref="D6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4" s="5" t="str" cm="1">
        <f t="array" ref="E6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4" s="5" t="str" cm="1">
        <f t="array" ref="F6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4" t="str" cm="1">
        <f t="array" ref="G6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4" s="4"/>
      <c r="I684" s="3" t="str" cm="1">
        <f t="array" ref="I6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5" spans="1:9" x14ac:dyDescent="0.3">
      <c r="A685" s="3" t="str">
        <f>IF(SISTEMA!A679="","",SISTEMA!A679)</f>
        <v/>
      </c>
      <c r="B685" s="10" t="str">
        <f>IF(SISTEMA!B679="","",VALUE(SISTEMA!B679))</f>
        <v/>
      </c>
      <c r="C685" s="10" t="str">
        <f>IF(SISTEMA!C679="","",SISTEMA!C679)</f>
        <v/>
      </c>
      <c r="D685" s="5" t="str" cm="1">
        <f t="array" ref="D6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5" s="5" t="str" cm="1">
        <f t="array" ref="E6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5" s="5" t="str" cm="1">
        <f t="array" ref="F6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5" t="str" cm="1">
        <f t="array" ref="G6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5" s="4"/>
      <c r="I685" s="3" t="str" cm="1">
        <f t="array" ref="I6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6" spans="1:9" x14ac:dyDescent="0.3">
      <c r="A686" s="3" t="str">
        <f>IF(SISTEMA!A680="","",SISTEMA!A680)</f>
        <v/>
      </c>
      <c r="B686" s="10" t="str">
        <f>IF(SISTEMA!B680="","",VALUE(SISTEMA!B680))</f>
        <v/>
      </c>
      <c r="C686" s="10" t="str">
        <f>IF(SISTEMA!C680="","",SISTEMA!C680)</f>
        <v/>
      </c>
      <c r="D686" s="5" t="str" cm="1">
        <f t="array" ref="D6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6" s="5" t="str" cm="1">
        <f t="array" ref="E6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6" s="5" t="str" cm="1">
        <f t="array" ref="F6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6" t="str" cm="1">
        <f t="array" ref="G6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6" s="4"/>
      <c r="I686" s="3" t="str" cm="1">
        <f t="array" ref="I6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7" spans="1:9" x14ac:dyDescent="0.3">
      <c r="A687" s="3" t="str">
        <f>IF(SISTEMA!A681="","",SISTEMA!A681)</f>
        <v/>
      </c>
      <c r="B687" s="10" t="str">
        <f>IF(SISTEMA!B681="","",VALUE(SISTEMA!B681))</f>
        <v/>
      </c>
      <c r="C687" s="10" t="str">
        <f>IF(SISTEMA!C681="","",SISTEMA!C681)</f>
        <v/>
      </c>
      <c r="D687" s="5" t="str" cm="1">
        <f t="array" ref="D6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7" s="5" t="str" cm="1">
        <f t="array" ref="E6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7" s="5" t="str" cm="1">
        <f t="array" ref="F6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7" t="str" cm="1">
        <f t="array" ref="G6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7" s="4"/>
      <c r="I687" s="3" t="str" cm="1">
        <f t="array" ref="I6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8" spans="1:9" x14ac:dyDescent="0.3">
      <c r="A688" s="3" t="str">
        <f>IF(SISTEMA!A682="","",SISTEMA!A682)</f>
        <v/>
      </c>
      <c r="B688" s="10" t="str">
        <f>IF(SISTEMA!B682="","",VALUE(SISTEMA!B682))</f>
        <v/>
      </c>
      <c r="C688" s="10" t="str">
        <f>IF(SISTEMA!C682="","",SISTEMA!C682)</f>
        <v/>
      </c>
      <c r="D688" s="5" t="str" cm="1">
        <f t="array" ref="D6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8" s="5" t="str" cm="1">
        <f t="array" ref="E6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8" s="5" t="str" cm="1">
        <f t="array" ref="F6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8" t="str" cm="1">
        <f t="array" ref="G6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8" s="4"/>
      <c r="I688" s="3" t="str" cm="1">
        <f t="array" ref="I6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89" spans="1:9" x14ac:dyDescent="0.3">
      <c r="A689" s="3" t="str">
        <f>IF(SISTEMA!A683="","",SISTEMA!A683)</f>
        <v/>
      </c>
      <c r="B689" s="10" t="str">
        <f>IF(SISTEMA!B683="","",VALUE(SISTEMA!B683))</f>
        <v/>
      </c>
      <c r="C689" s="10" t="str">
        <f>IF(SISTEMA!C683="","",SISTEMA!C683)</f>
        <v/>
      </c>
      <c r="D689" s="5" t="str" cm="1">
        <f t="array" ref="D6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89" s="5" t="str" cm="1">
        <f t="array" ref="E6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89" s="5" t="str" cm="1">
        <f t="array" ref="F6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89" t="str" cm="1">
        <f t="array" ref="G6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89" s="4"/>
      <c r="I689" s="3" t="str" cm="1">
        <f t="array" ref="I6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0" spans="1:9" x14ac:dyDescent="0.3">
      <c r="A690" s="3" t="str">
        <f>IF(SISTEMA!A684="","",SISTEMA!A684)</f>
        <v/>
      </c>
      <c r="B690" s="10" t="str">
        <f>IF(SISTEMA!B684="","",VALUE(SISTEMA!B684))</f>
        <v/>
      </c>
      <c r="C690" s="10" t="str">
        <f>IF(SISTEMA!C684="","",SISTEMA!C684)</f>
        <v/>
      </c>
      <c r="D690" s="5" t="str" cm="1">
        <f t="array" ref="D6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0" s="5" t="str" cm="1">
        <f t="array" ref="E6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0" s="5" t="str" cm="1">
        <f t="array" ref="F6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0" t="str" cm="1">
        <f t="array" ref="G6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0" s="4"/>
      <c r="I690" s="3" t="str" cm="1">
        <f t="array" ref="I6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1" spans="1:9" x14ac:dyDescent="0.3">
      <c r="A691" s="3" t="str">
        <f>IF(SISTEMA!A685="","",SISTEMA!A685)</f>
        <v/>
      </c>
      <c r="B691" s="10" t="str">
        <f>IF(SISTEMA!B685="","",VALUE(SISTEMA!B685))</f>
        <v/>
      </c>
      <c r="C691" s="10" t="str">
        <f>IF(SISTEMA!C685="","",SISTEMA!C685)</f>
        <v/>
      </c>
      <c r="D691" s="5" t="str" cm="1">
        <f t="array" ref="D6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1" s="5" t="str" cm="1">
        <f t="array" ref="E6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1" s="5" t="str" cm="1">
        <f t="array" ref="F6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1" t="str" cm="1">
        <f t="array" ref="G6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1" s="4"/>
      <c r="I691" s="3" t="str" cm="1">
        <f t="array" ref="I6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2" spans="1:9" x14ac:dyDescent="0.3">
      <c r="A692" s="3" t="str">
        <f>IF(SISTEMA!A686="","",SISTEMA!A686)</f>
        <v/>
      </c>
      <c r="B692" s="10" t="str">
        <f>IF(SISTEMA!B686="","",VALUE(SISTEMA!B686))</f>
        <v/>
      </c>
      <c r="C692" s="10" t="str">
        <f>IF(SISTEMA!C686="","",SISTEMA!C686)</f>
        <v/>
      </c>
      <c r="D692" s="5" t="str" cm="1">
        <f t="array" ref="D6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2" s="5" t="str" cm="1">
        <f t="array" ref="E6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2" s="5" t="str" cm="1">
        <f t="array" ref="F6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2" t="str" cm="1">
        <f t="array" ref="G6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2" s="4"/>
      <c r="I692" s="3" t="str" cm="1">
        <f t="array" ref="I6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3" spans="1:9" x14ac:dyDescent="0.3">
      <c r="A693" s="3" t="str">
        <f>IF(SISTEMA!A687="","",SISTEMA!A687)</f>
        <v/>
      </c>
      <c r="B693" s="10" t="str">
        <f>IF(SISTEMA!B687="","",VALUE(SISTEMA!B687))</f>
        <v/>
      </c>
      <c r="C693" s="10" t="str">
        <f>IF(SISTEMA!C687="","",SISTEMA!C687)</f>
        <v/>
      </c>
      <c r="D693" s="5" t="str" cm="1">
        <f t="array" ref="D6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3" s="5" t="str" cm="1">
        <f t="array" ref="E6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3" s="5" t="str" cm="1">
        <f t="array" ref="F6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3" t="str" cm="1">
        <f t="array" ref="G6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3" s="4"/>
      <c r="I693" s="3" t="str" cm="1">
        <f t="array" ref="I6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4" spans="1:9" x14ac:dyDescent="0.3">
      <c r="A694" s="3" t="str">
        <f>IF(SISTEMA!A688="","",SISTEMA!A688)</f>
        <v/>
      </c>
      <c r="B694" s="10" t="str">
        <f>IF(SISTEMA!B688="","",VALUE(SISTEMA!B688))</f>
        <v/>
      </c>
      <c r="C694" s="10" t="str">
        <f>IF(SISTEMA!C688="","",SISTEMA!C688)</f>
        <v/>
      </c>
      <c r="D694" s="5" t="str" cm="1">
        <f t="array" ref="D6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4" s="5" t="str" cm="1">
        <f t="array" ref="E6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4" s="5" t="str" cm="1">
        <f t="array" ref="F6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4" t="str" cm="1">
        <f t="array" ref="G6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4" s="4"/>
      <c r="I694" s="3" t="str" cm="1">
        <f t="array" ref="I6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5" spans="1:9" x14ac:dyDescent="0.3">
      <c r="A695" s="3" t="str">
        <f>IF(SISTEMA!A689="","",SISTEMA!A689)</f>
        <v/>
      </c>
      <c r="B695" s="10" t="str">
        <f>IF(SISTEMA!B689="","",VALUE(SISTEMA!B689))</f>
        <v/>
      </c>
      <c r="C695" s="10" t="str">
        <f>IF(SISTEMA!C689="","",SISTEMA!C689)</f>
        <v/>
      </c>
      <c r="D695" s="5" t="str" cm="1">
        <f t="array" ref="D6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5" s="5" t="str" cm="1">
        <f t="array" ref="E6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5" s="5" t="str" cm="1">
        <f t="array" ref="F6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5" t="str" cm="1">
        <f t="array" ref="G6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5" s="4"/>
      <c r="I695" s="3" t="str" cm="1">
        <f t="array" ref="I6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6" spans="1:9" x14ac:dyDescent="0.3">
      <c r="A696" s="3" t="str">
        <f>IF(SISTEMA!A690="","",SISTEMA!A690)</f>
        <v/>
      </c>
      <c r="B696" s="10" t="str">
        <f>IF(SISTEMA!B690="","",VALUE(SISTEMA!B690))</f>
        <v/>
      </c>
      <c r="C696" s="10" t="str">
        <f>IF(SISTEMA!C690="","",SISTEMA!C690)</f>
        <v/>
      </c>
      <c r="D696" s="5" t="str" cm="1">
        <f t="array" ref="D6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6" s="5" t="str" cm="1">
        <f t="array" ref="E6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6" s="5" t="str" cm="1">
        <f t="array" ref="F6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6" t="str" cm="1">
        <f t="array" ref="G6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6" s="4"/>
      <c r="I696" s="3" t="str" cm="1">
        <f t="array" ref="I6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7" spans="1:9" x14ac:dyDescent="0.3">
      <c r="A697" s="3" t="str">
        <f>IF(SISTEMA!A691="","",SISTEMA!A691)</f>
        <v/>
      </c>
      <c r="B697" s="10" t="str">
        <f>IF(SISTEMA!B691="","",VALUE(SISTEMA!B691))</f>
        <v/>
      </c>
      <c r="C697" s="10" t="str">
        <f>IF(SISTEMA!C691="","",SISTEMA!C691)</f>
        <v/>
      </c>
      <c r="D697" s="5" t="str" cm="1">
        <f t="array" ref="D6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7" s="5" t="str" cm="1">
        <f t="array" ref="E6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7" s="5" t="str" cm="1">
        <f t="array" ref="F6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7" t="str" cm="1">
        <f t="array" ref="G6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7" s="4"/>
      <c r="I697" s="3" t="str" cm="1">
        <f t="array" ref="I6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8" spans="1:9" x14ac:dyDescent="0.3">
      <c r="A698" s="3" t="str">
        <f>IF(SISTEMA!A692="","",SISTEMA!A692)</f>
        <v/>
      </c>
      <c r="B698" s="10" t="str">
        <f>IF(SISTEMA!B692="","",VALUE(SISTEMA!B692))</f>
        <v/>
      </c>
      <c r="C698" s="10" t="str">
        <f>IF(SISTEMA!C692="","",SISTEMA!C692)</f>
        <v/>
      </c>
      <c r="D698" s="5" t="str" cm="1">
        <f t="array" ref="D6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8" s="5" t="str" cm="1">
        <f t="array" ref="E6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8" s="5" t="str" cm="1">
        <f t="array" ref="F6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8" t="str" cm="1">
        <f t="array" ref="G6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8" s="4"/>
      <c r="I698" s="3" t="str" cm="1">
        <f t="array" ref="I6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699" spans="1:9" x14ac:dyDescent="0.3">
      <c r="A699" s="3" t="str">
        <f>IF(SISTEMA!A693="","",SISTEMA!A693)</f>
        <v/>
      </c>
      <c r="B699" s="10" t="str">
        <f>IF(SISTEMA!B693="","",VALUE(SISTEMA!B693))</f>
        <v/>
      </c>
      <c r="C699" s="10" t="str">
        <f>IF(SISTEMA!C693="","",SISTEMA!C693)</f>
        <v/>
      </c>
      <c r="D699" s="5" t="str" cm="1">
        <f t="array" ref="D6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699" s="5" t="str" cm="1">
        <f t="array" ref="E6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699" s="5" t="str" cm="1">
        <f t="array" ref="F6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699" t="str" cm="1">
        <f t="array" ref="G6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699" s="4"/>
      <c r="I699" s="3" t="str" cm="1">
        <f t="array" ref="I6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0" spans="1:9" x14ac:dyDescent="0.3">
      <c r="A700" s="3" t="str">
        <f>IF(SISTEMA!A694="","",SISTEMA!A694)</f>
        <v/>
      </c>
      <c r="B700" s="10" t="str">
        <f>IF(SISTEMA!B694="","",VALUE(SISTEMA!B694))</f>
        <v/>
      </c>
      <c r="C700" s="10" t="str">
        <f>IF(SISTEMA!C694="","",SISTEMA!C694)</f>
        <v/>
      </c>
      <c r="D700" s="5" t="str" cm="1">
        <f t="array" ref="D7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0" s="5" t="str" cm="1">
        <f t="array" ref="E7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0" s="5" t="str" cm="1">
        <f t="array" ref="F7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0" t="str" cm="1">
        <f t="array" ref="G7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0" s="4"/>
      <c r="I700" s="3" t="str" cm="1">
        <f t="array" ref="I7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1" spans="1:9" x14ac:dyDescent="0.3">
      <c r="A701" s="3" t="str">
        <f>IF(SISTEMA!A695="","",SISTEMA!A695)</f>
        <v/>
      </c>
      <c r="B701" s="10" t="str">
        <f>IF(SISTEMA!B695="","",VALUE(SISTEMA!B695))</f>
        <v/>
      </c>
      <c r="C701" s="10" t="str">
        <f>IF(SISTEMA!C695="","",SISTEMA!C695)</f>
        <v/>
      </c>
      <c r="D701" s="5" t="str" cm="1">
        <f t="array" ref="D7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1" s="5" t="str" cm="1">
        <f t="array" ref="E7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1" s="5" t="str" cm="1">
        <f t="array" ref="F7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1" t="str" cm="1">
        <f t="array" ref="G7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1" s="4"/>
      <c r="I701" s="3" t="str" cm="1">
        <f t="array" ref="I7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2" spans="1:9" x14ac:dyDescent="0.3">
      <c r="A702" s="3" t="str">
        <f>IF(SISTEMA!A696="","",SISTEMA!A696)</f>
        <v/>
      </c>
      <c r="B702" s="10" t="str">
        <f>IF(SISTEMA!B696="","",VALUE(SISTEMA!B696))</f>
        <v/>
      </c>
      <c r="C702" s="10" t="str">
        <f>IF(SISTEMA!C696="","",SISTEMA!C696)</f>
        <v/>
      </c>
      <c r="D702" s="5" t="str" cm="1">
        <f t="array" ref="D7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2" s="5" t="str" cm="1">
        <f t="array" ref="E7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2" s="5" t="str" cm="1">
        <f t="array" ref="F7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2" t="str" cm="1">
        <f t="array" ref="G7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2" s="4"/>
      <c r="I702" s="3" t="str" cm="1">
        <f t="array" ref="I7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3" spans="1:9" x14ac:dyDescent="0.3">
      <c r="A703" s="3" t="str">
        <f>IF(SISTEMA!A697="","",SISTEMA!A697)</f>
        <v/>
      </c>
      <c r="B703" s="10" t="str">
        <f>IF(SISTEMA!B697="","",VALUE(SISTEMA!B697))</f>
        <v/>
      </c>
      <c r="C703" s="10" t="str">
        <f>IF(SISTEMA!C697="","",SISTEMA!C697)</f>
        <v/>
      </c>
      <c r="D703" s="5" t="str" cm="1">
        <f t="array" ref="D7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3" s="5" t="str" cm="1">
        <f t="array" ref="E7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3" s="5" t="str" cm="1">
        <f t="array" ref="F7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3" t="str" cm="1">
        <f t="array" ref="G7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3" s="4"/>
      <c r="I703" s="3" t="str" cm="1">
        <f t="array" ref="I7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4" spans="1:9" x14ac:dyDescent="0.3">
      <c r="A704" s="3" t="str">
        <f>IF(SISTEMA!A698="","",SISTEMA!A698)</f>
        <v/>
      </c>
      <c r="B704" s="10" t="str">
        <f>IF(SISTEMA!B698="","",VALUE(SISTEMA!B698))</f>
        <v/>
      </c>
      <c r="C704" s="10" t="str">
        <f>IF(SISTEMA!C698="","",SISTEMA!C698)</f>
        <v/>
      </c>
      <c r="D704" s="5" t="str" cm="1">
        <f t="array" ref="D7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4" s="5" t="str" cm="1">
        <f t="array" ref="E7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4" s="5" t="str" cm="1">
        <f t="array" ref="F7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4" t="str" cm="1">
        <f t="array" ref="G7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4" s="4"/>
      <c r="I704" s="3" t="str" cm="1">
        <f t="array" ref="I7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5" spans="1:9" x14ac:dyDescent="0.3">
      <c r="A705" s="3" t="str">
        <f>IF(SISTEMA!A699="","",SISTEMA!A699)</f>
        <v/>
      </c>
      <c r="B705" s="10" t="str">
        <f>IF(SISTEMA!B699="","",VALUE(SISTEMA!B699))</f>
        <v/>
      </c>
      <c r="C705" s="10" t="str">
        <f>IF(SISTEMA!C699="","",SISTEMA!C699)</f>
        <v/>
      </c>
      <c r="D705" s="5" t="str" cm="1">
        <f t="array" ref="D7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5" s="5" t="str" cm="1">
        <f t="array" ref="E7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5" s="5" t="str" cm="1">
        <f t="array" ref="F7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5" t="str" cm="1">
        <f t="array" ref="G7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5" s="4"/>
      <c r="I705" s="3" t="str" cm="1">
        <f t="array" ref="I7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6" spans="1:9" x14ac:dyDescent="0.3">
      <c r="A706" s="3" t="str">
        <f>IF(SISTEMA!A700="","",SISTEMA!A700)</f>
        <v/>
      </c>
      <c r="B706" s="10" t="str">
        <f>IF(SISTEMA!B700="","",VALUE(SISTEMA!B700))</f>
        <v/>
      </c>
      <c r="C706" s="10" t="str">
        <f>IF(SISTEMA!C700="","",SISTEMA!C700)</f>
        <v/>
      </c>
      <c r="D706" s="5" t="str" cm="1">
        <f t="array" ref="D7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6" s="5" t="str" cm="1">
        <f t="array" ref="E7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6" s="5" t="str" cm="1">
        <f t="array" ref="F7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6" t="str" cm="1">
        <f t="array" ref="G7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6" s="4"/>
      <c r="I706" s="3" t="str" cm="1">
        <f t="array" ref="I7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7" spans="1:9" x14ac:dyDescent="0.3">
      <c r="A707" s="3" t="str">
        <f>IF(SISTEMA!A701="","",SISTEMA!A701)</f>
        <v/>
      </c>
      <c r="B707" s="10" t="str">
        <f>IF(SISTEMA!B701="","",VALUE(SISTEMA!B701))</f>
        <v/>
      </c>
      <c r="C707" s="10" t="str">
        <f>IF(SISTEMA!C701="","",SISTEMA!C701)</f>
        <v/>
      </c>
      <c r="D707" s="5" t="str" cm="1">
        <f t="array" ref="D7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7" s="5" t="str" cm="1">
        <f t="array" ref="E7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7" s="5" t="str" cm="1">
        <f t="array" ref="F7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7" t="str" cm="1">
        <f t="array" ref="G7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7" s="4"/>
      <c r="I707" s="3" t="str" cm="1">
        <f t="array" ref="I7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8" spans="1:9" x14ac:dyDescent="0.3">
      <c r="A708" s="3" t="str">
        <f>IF(SISTEMA!A702="","",SISTEMA!A702)</f>
        <v/>
      </c>
      <c r="B708" s="10" t="str">
        <f>IF(SISTEMA!B702="","",VALUE(SISTEMA!B702))</f>
        <v/>
      </c>
      <c r="C708" s="10" t="str">
        <f>IF(SISTEMA!C702="","",SISTEMA!C702)</f>
        <v/>
      </c>
      <c r="D708" s="5" t="str" cm="1">
        <f t="array" ref="D7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8" s="5" t="str" cm="1">
        <f t="array" ref="E7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8" s="5" t="str" cm="1">
        <f t="array" ref="F7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8" t="str" cm="1">
        <f t="array" ref="G7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8" s="4"/>
      <c r="I708" s="3" t="str" cm="1">
        <f t="array" ref="I7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09" spans="1:9" x14ac:dyDescent="0.3">
      <c r="A709" s="3" t="str">
        <f>IF(SISTEMA!A703="","",SISTEMA!A703)</f>
        <v/>
      </c>
      <c r="B709" s="10" t="str">
        <f>IF(SISTEMA!B703="","",VALUE(SISTEMA!B703))</f>
        <v/>
      </c>
      <c r="C709" s="10" t="str">
        <f>IF(SISTEMA!C703="","",SISTEMA!C703)</f>
        <v/>
      </c>
      <c r="D709" s="5" t="str" cm="1">
        <f t="array" ref="D7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09" s="5" t="str" cm="1">
        <f t="array" ref="E7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09" s="5" t="str" cm="1">
        <f t="array" ref="F7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09" t="str" cm="1">
        <f t="array" ref="G7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09" s="4"/>
      <c r="I709" s="3" t="str" cm="1">
        <f t="array" ref="I7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0" spans="1:9" x14ac:dyDescent="0.3">
      <c r="A710" s="3" t="str">
        <f>IF(SISTEMA!A704="","",SISTEMA!A704)</f>
        <v/>
      </c>
      <c r="B710" s="10" t="str">
        <f>IF(SISTEMA!B704="","",VALUE(SISTEMA!B704))</f>
        <v/>
      </c>
      <c r="C710" s="10" t="str">
        <f>IF(SISTEMA!C704="","",SISTEMA!C704)</f>
        <v/>
      </c>
      <c r="D710" s="5" t="str" cm="1">
        <f t="array" ref="D7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0" s="5" t="str" cm="1">
        <f t="array" ref="E7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0" s="5" t="str" cm="1">
        <f t="array" ref="F7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0" t="str" cm="1">
        <f t="array" ref="G7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0" s="4"/>
      <c r="I710" s="3" t="str" cm="1">
        <f t="array" ref="I7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1" spans="1:9" x14ac:dyDescent="0.3">
      <c r="A711" s="3" t="str">
        <f>IF(SISTEMA!A705="","",SISTEMA!A705)</f>
        <v/>
      </c>
      <c r="B711" s="10" t="str">
        <f>IF(SISTEMA!B705="","",VALUE(SISTEMA!B705))</f>
        <v/>
      </c>
      <c r="C711" s="10" t="str">
        <f>IF(SISTEMA!C705="","",SISTEMA!C705)</f>
        <v/>
      </c>
      <c r="D711" s="5" t="str" cm="1">
        <f t="array" ref="D7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1" s="5" t="str" cm="1">
        <f t="array" ref="E7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1" s="5" t="str" cm="1">
        <f t="array" ref="F7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1" t="str" cm="1">
        <f t="array" ref="G7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1" s="4"/>
      <c r="I711" s="3" t="str" cm="1">
        <f t="array" ref="I7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2" spans="1:9" x14ac:dyDescent="0.3">
      <c r="A712" s="3" t="str">
        <f>IF(SISTEMA!A706="","",SISTEMA!A706)</f>
        <v/>
      </c>
      <c r="B712" s="10" t="str">
        <f>IF(SISTEMA!B706="","",VALUE(SISTEMA!B706))</f>
        <v/>
      </c>
      <c r="C712" s="10" t="str">
        <f>IF(SISTEMA!C706="","",SISTEMA!C706)</f>
        <v/>
      </c>
      <c r="D712" s="5" t="str" cm="1">
        <f t="array" ref="D7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2" s="5" t="str" cm="1">
        <f t="array" ref="E7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2" s="5" t="str" cm="1">
        <f t="array" ref="F7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2" t="str" cm="1">
        <f t="array" ref="G7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2" s="4"/>
      <c r="I712" s="3" t="str" cm="1">
        <f t="array" ref="I7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3" spans="1:9" x14ac:dyDescent="0.3">
      <c r="A713" s="3" t="str">
        <f>IF(SISTEMA!A707="","",SISTEMA!A707)</f>
        <v/>
      </c>
      <c r="B713" s="10" t="str">
        <f>IF(SISTEMA!B707="","",VALUE(SISTEMA!B707))</f>
        <v/>
      </c>
      <c r="C713" s="10" t="str">
        <f>IF(SISTEMA!C707="","",SISTEMA!C707)</f>
        <v/>
      </c>
      <c r="D713" s="5" t="str" cm="1">
        <f t="array" ref="D7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3" s="5" t="str" cm="1">
        <f t="array" ref="E7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3" s="5" t="str" cm="1">
        <f t="array" ref="F7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3" t="str" cm="1">
        <f t="array" ref="G7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3" s="4"/>
      <c r="I713" s="3" t="str" cm="1">
        <f t="array" ref="I7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4" spans="1:9" x14ac:dyDescent="0.3">
      <c r="A714" s="3" t="str">
        <f>IF(SISTEMA!A708="","",SISTEMA!A708)</f>
        <v/>
      </c>
      <c r="B714" s="10" t="str">
        <f>IF(SISTEMA!B708="","",VALUE(SISTEMA!B708))</f>
        <v/>
      </c>
      <c r="C714" s="10" t="str">
        <f>IF(SISTEMA!C708="","",SISTEMA!C708)</f>
        <v/>
      </c>
      <c r="D714" s="5" t="str" cm="1">
        <f t="array" ref="D7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4" s="5" t="str" cm="1">
        <f t="array" ref="E7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4" s="5" t="str" cm="1">
        <f t="array" ref="F7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4" t="str" cm="1">
        <f t="array" ref="G7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4" s="4"/>
      <c r="I714" s="3" t="str" cm="1">
        <f t="array" ref="I7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5" spans="1:9" x14ac:dyDescent="0.3">
      <c r="A715" s="3" t="str">
        <f>IF(SISTEMA!A709="","",SISTEMA!A709)</f>
        <v/>
      </c>
      <c r="B715" s="10" t="str">
        <f>IF(SISTEMA!B709="","",VALUE(SISTEMA!B709))</f>
        <v/>
      </c>
      <c r="C715" s="10" t="str">
        <f>IF(SISTEMA!C709="","",SISTEMA!C709)</f>
        <v/>
      </c>
      <c r="D715" s="5" t="str" cm="1">
        <f t="array" ref="D7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5" s="5" t="str" cm="1">
        <f t="array" ref="E7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5" s="5" t="str" cm="1">
        <f t="array" ref="F7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5" t="str" cm="1">
        <f t="array" ref="G7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5" s="4"/>
      <c r="I715" s="3" t="str" cm="1">
        <f t="array" ref="I7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6" spans="1:9" x14ac:dyDescent="0.3">
      <c r="A716" s="3" t="str">
        <f>IF(SISTEMA!A710="","",SISTEMA!A710)</f>
        <v/>
      </c>
      <c r="B716" s="10" t="str">
        <f>IF(SISTEMA!B710="","",VALUE(SISTEMA!B710))</f>
        <v/>
      </c>
      <c r="C716" s="10" t="str">
        <f>IF(SISTEMA!C710="","",SISTEMA!C710)</f>
        <v/>
      </c>
      <c r="D716" s="5" t="str" cm="1">
        <f t="array" ref="D7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6" s="5" t="str" cm="1">
        <f t="array" ref="E7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6" s="5" t="str" cm="1">
        <f t="array" ref="F7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6" t="str" cm="1">
        <f t="array" ref="G7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6" s="4"/>
      <c r="I716" s="3" t="str" cm="1">
        <f t="array" ref="I7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7" spans="1:9" x14ac:dyDescent="0.3">
      <c r="A717" s="3" t="str">
        <f>IF(SISTEMA!A711="","",SISTEMA!A711)</f>
        <v/>
      </c>
      <c r="B717" s="10" t="str">
        <f>IF(SISTEMA!B711="","",VALUE(SISTEMA!B711))</f>
        <v/>
      </c>
      <c r="C717" s="10" t="str">
        <f>IF(SISTEMA!C711="","",SISTEMA!C711)</f>
        <v/>
      </c>
      <c r="D717" s="5" t="str" cm="1">
        <f t="array" ref="D7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7" s="5" t="str" cm="1">
        <f t="array" ref="E7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7" s="5" t="str" cm="1">
        <f t="array" ref="F7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7" t="str" cm="1">
        <f t="array" ref="G7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7" s="4"/>
      <c r="I717" s="3" t="str" cm="1">
        <f t="array" ref="I7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8" spans="1:9" x14ac:dyDescent="0.3">
      <c r="A718" s="3" t="str">
        <f>IF(SISTEMA!A712="","",SISTEMA!A712)</f>
        <v/>
      </c>
      <c r="B718" s="10" t="str">
        <f>IF(SISTEMA!B712="","",VALUE(SISTEMA!B712))</f>
        <v/>
      </c>
      <c r="C718" s="10" t="str">
        <f>IF(SISTEMA!C712="","",SISTEMA!C712)</f>
        <v/>
      </c>
      <c r="D718" s="5" t="str" cm="1">
        <f t="array" ref="D7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8" s="5" t="str" cm="1">
        <f t="array" ref="E7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8" s="5" t="str" cm="1">
        <f t="array" ref="F7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8" t="str" cm="1">
        <f t="array" ref="G7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8" s="4"/>
      <c r="I718" s="3" t="str" cm="1">
        <f t="array" ref="I7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19" spans="1:9" x14ac:dyDescent="0.3">
      <c r="A719" s="3" t="str">
        <f>IF(SISTEMA!A713="","",SISTEMA!A713)</f>
        <v/>
      </c>
      <c r="B719" s="10" t="str">
        <f>IF(SISTEMA!B713="","",VALUE(SISTEMA!B713))</f>
        <v/>
      </c>
      <c r="C719" s="10" t="str">
        <f>IF(SISTEMA!C713="","",SISTEMA!C713)</f>
        <v/>
      </c>
      <c r="D719" s="5" t="str" cm="1">
        <f t="array" ref="D7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19" s="5" t="str" cm="1">
        <f t="array" ref="E7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19" s="5" t="str" cm="1">
        <f t="array" ref="F7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19" t="str" cm="1">
        <f t="array" ref="G7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19" s="4"/>
      <c r="I719" s="3" t="str" cm="1">
        <f t="array" ref="I7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0" spans="1:9" x14ac:dyDescent="0.3">
      <c r="A720" s="3" t="str">
        <f>IF(SISTEMA!A714="","",SISTEMA!A714)</f>
        <v/>
      </c>
      <c r="B720" s="10" t="str">
        <f>IF(SISTEMA!B714="","",VALUE(SISTEMA!B714))</f>
        <v/>
      </c>
      <c r="C720" s="10" t="str">
        <f>IF(SISTEMA!C714="","",SISTEMA!C714)</f>
        <v/>
      </c>
      <c r="D720" s="5" t="str" cm="1">
        <f t="array" ref="D7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0" s="5" t="str" cm="1">
        <f t="array" ref="E7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0" s="5" t="str" cm="1">
        <f t="array" ref="F7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0" t="str" cm="1">
        <f t="array" ref="G7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0" s="4"/>
      <c r="I720" s="3" t="str" cm="1">
        <f t="array" ref="I7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1" spans="1:9" x14ac:dyDescent="0.3">
      <c r="A721" s="3" t="str">
        <f>IF(SISTEMA!A715="","",SISTEMA!A715)</f>
        <v/>
      </c>
      <c r="B721" s="10" t="str">
        <f>IF(SISTEMA!B715="","",VALUE(SISTEMA!B715))</f>
        <v/>
      </c>
      <c r="C721" s="10" t="str">
        <f>IF(SISTEMA!C715="","",SISTEMA!C715)</f>
        <v/>
      </c>
      <c r="D721" s="5" t="str" cm="1">
        <f t="array" ref="D7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1" s="5" t="str" cm="1">
        <f t="array" ref="E7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1" s="5" t="str" cm="1">
        <f t="array" ref="F7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1" t="str" cm="1">
        <f t="array" ref="G7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1" s="4"/>
      <c r="I721" s="3" t="str" cm="1">
        <f t="array" ref="I7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2" spans="1:9" x14ac:dyDescent="0.3">
      <c r="A722" s="3" t="str">
        <f>IF(SISTEMA!A716="","",SISTEMA!A716)</f>
        <v/>
      </c>
      <c r="B722" s="10" t="str">
        <f>IF(SISTEMA!B716="","",VALUE(SISTEMA!B716))</f>
        <v/>
      </c>
      <c r="C722" s="10" t="str">
        <f>IF(SISTEMA!C716="","",SISTEMA!C716)</f>
        <v/>
      </c>
      <c r="D722" s="5" t="str" cm="1">
        <f t="array" ref="D7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2" s="5" t="str" cm="1">
        <f t="array" ref="E7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2" s="5" t="str" cm="1">
        <f t="array" ref="F7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2" t="str" cm="1">
        <f t="array" ref="G7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2" s="4"/>
      <c r="I722" s="3" t="str" cm="1">
        <f t="array" ref="I7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3" spans="1:9" x14ac:dyDescent="0.3">
      <c r="A723" s="3" t="str">
        <f>IF(SISTEMA!A717="","",SISTEMA!A717)</f>
        <v/>
      </c>
      <c r="B723" s="10" t="str">
        <f>IF(SISTEMA!B717="","",VALUE(SISTEMA!B717))</f>
        <v/>
      </c>
      <c r="C723" s="10" t="str">
        <f>IF(SISTEMA!C717="","",SISTEMA!C717)</f>
        <v/>
      </c>
      <c r="D723" s="5" t="str" cm="1">
        <f t="array" ref="D7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3" s="5" t="str" cm="1">
        <f t="array" ref="E7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3" s="5" t="str" cm="1">
        <f t="array" ref="F7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3" t="str" cm="1">
        <f t="array" ref="G7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3" s="4"/>
      <c r="I723" s="3" t="str" cm="1">
        <f t="array" ref="I7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4" spans="1:9" x14ac:dyDescent="0.3">
      <c r="A724" s="3" t="str">
        <f>IF(SISTEMA!A718="","",SISTEMA!A718)</f>
        <v/>
      </c>
      <c r="B724" s="10" t="str">
        <f>IF(SISTEMA!B718="","",VALUE(SISTEMA!B718))</f>
        <v/>
      </c>
      <c r="C724" s="10" t="str">
        <f>IF(SISTEMA!C718="","",SISTEMA!C718)</f>
        <v/>
      </c>
      <c r="D724" s="5" t="str" cm="1">
        <f t="array" ref="D7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4" s="5" t="str" cm="1">
        <f t="array" ref="E7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4" s="5" t="str" cm="1">
        <f t="array" ref="F7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4" t="str" cm="1">
        <f t="array" ref="G7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4" s="4"/>
      <c r="I724" s="3" t="str" cm="1">
        <f t="array" ref="I7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5" spans="1:9" x14ac:dyDescent="0.3">
      <c r="A725" s="3" t="str">
        <f>IF(SISTEMA!A719="","",SISTEMA!A719)</f>
        <v/>
      </c>
      <c r="B725" s="10" t="str">
        <f>IF(SISTEMA!B719="","",VALUE(SISTEMA!B719))</f>
        <v/>
      </c>
      <c r="C725" s="10" t="str">
        <f>IF(SISTEMA!C719="","",SISTEMA!C719)</f>
        <v/>
      </c>
      <c r="D725" s="5" t="str" cm="1">
        <f t="array" ref="D7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5" s="5" t="str" cm="1">
        <f t="array" ref="E7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5" s="5" t="str" cm="1">
        <f t="array" ref="F7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5" t="str" cm="1">
        <f t="array" ref="G7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5" s="4"/>
      <c r="I725" s="3" t="str" cm="1">
        <f t="array" ref="I7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6" spans="1:9" x14ac:dyDescent="0.3">
      <c r="A726" s="3" t="str">
        <f>IF(SISTEMA!A720="","",SISTEMA!A720)</f>
        <v/>
      </c>
      <c r="B726" s="10" t="str">
        <f>IF(SISTEMA!B720="","",VALUE(SISTEMA!B720))</f>
        <v/>
      </c>
      <c r="C726" s="10" t="str">
        <f>IF(SISTEMA!C720="","",SISTEMA!C720)</f>
        <v/>
      </c>
      <c r="D726" s="5" t="str" cm="1">
        <f t="array" ref="D7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6" s="5" t="str" cm="1">
        <f t="array" ref="E7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6" s="5" t="str" cm="1">
        <f t="array" ref="F7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6" t="str" cm="1">
        <f t="array" ref="G7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6" s="4"/>
      <c r="I726" s="3" t="str" cm="1">
        <f t="array" ref="I7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7" spans="1:9" x14ac:dyDescent="0.3">
      <c r="A727" s="3" t="str">
        <f>IF(SISTEMA!A721="","",SISTEMA!A721)</f>
        <v/>
      </c>
      <c r="B727" s="10" t="str">
        <f>IF(SISTEMA!B721="","",VALUE(SISTEMA!B721))</f>
        <v/>
      </c>
      <c r="C727" s="10" t="str">
        <f>IF(SISTEMA!C721="","",SISTEMA!C721)</f>
        <v/>
      </c>
      <c r="D727" s="5" t="str" cm="1">
        <f t="array" ref="D7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7" s="5" t="str" cm="1">
        <f t="array" ref="E7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7" s="5" t="str" cm="1">
        <f t="array" ref="F7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7" t="str" cm="1">
        <f t="array" ref="G7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7" s="4"/>
      <c r="I727" s="3" t="str" cm="1">
        <f t="array" ref="I7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8" spans="1:9" x14ac:dyDescent="0.3">
      <c r="A728" s="3" t="str">
        <f>IF(SISTEMA!A722="","",SISTEMA!A722)</f>
        <v/>
      </c>
      <c r="B728" s="10" t="str">
        <f>IF(SISTEMA!B722="","",VALUE(SISTEMA!B722))</f>
        <v/>
      </c>
      <c r="C728" s="10" t="str">
        <f>IF(SISTEMA!C722="","",SISTEMA!C722)</f>
        <v/>
      </c>
      <c r="D728" s="5" t="str" cm="1">
        <f t="array" ref="D7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8" s="5" t="str" cm="1">
        <f t="array" ref="E7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8" s="5" t="str" cm="1">
        <f t="array" ref="F7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8" t="str" cm="1">
        <f t="array" ref="G7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8" s="4"/>
      <c r="I728" s="3" t="str" cm="1">
        <f t="array" ref="I7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29" spans="1:9" x14ac:dyDescent="0.3">
      <c r="A729" s="3" t="str">
        <f>IF(SISTEMA!A723="","",SISTEMA!A723)</f>
        <v/>
      </c>
      <c r="B729" s="10" t="str">
        <f>IF(SISTEMA!B723="","",VALUE(SISTEMA!B723))</f>
        <v/>
      </c>
      <c r="C729" s="10" t="str">
        <f>IF(SISTEMA!C723="","",SISTEMA!C723)</f>
        <v/>
      </c>
      <c r="D729" s="5" t="str" cm="1">
        <f t="array" ref="D7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29" s="5" t="str" cm="1">
        <f t="array" ref="E7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29" s="5" t="str" cm="1">
        <f t="array" ref="F7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29" t="str" cm="1">
        <f t="array" ref="G7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29" s="4"/>
      <c r="I729" s="3" t="str" cm="1">
        <f t="array" ref="I7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0" spans="1:9" x14ac:dyDescent="0.3">
      <c r="A730" s="3" t="str">
        <f>IF(SISTEMA!A724="","",SISTEMA!A724)</f>
        <v/>
      </c>
      <c r="B730" s="10" t="str">
        <f>IF(SISTEMA!B724="","",VALUE(SISTEMA!B724))</f>
        <v/>
      </c>
      <c r="C730" s="10" t="str">
        <f>IF(SISTEMA!C724="","",SISTEMA!C724)</f>
        <v/>
      </c>
      <c r="D730" s="5" t="str" cm="1">
        <f t="array" ref="D7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0" s="5" t="str" cm="1">
        <f t="array" ref="E7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0" s="5" t="str" cm="1">
        <f t="array" ref="F7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0" t="str" cm="1">
        <f t="array" ref="G7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0" s="4"/>
      <c r="I730" s="3" t="str" cm="1">
        <f t="array" ref="I7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1" spans="1:9" x14ac:dyDescent="0.3">
      <c r="A731" s="3" t="str">
        <f>IF(SISTEMA!A725="","",SISTEMA!A725)</f>
        <v/>
      </c>
      <c r="B731" s="10" t="str">
        <f>IF(SISTEMA!B725="","",VALUE(SISTEMA!B725))</f>
        <v/>
      </c>
      <c r="C731" s="10" t="str">
        <f>IF(SISTEMA!C725="","",SISTEMA!C725)</f>
        <v/>
      </c>
      <c r="D731" s="5" t="str" cm="1">
        <f t="array" ref="D7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1" s="5" t="str" cm="1">
        <f t="array" ref="E7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1" s="5" t="str" cm="1">
        <f t="array" ref="F7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1" t="str" cm="1">
        <f t="array" ref="G7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1" s="4"/>
      <c r="I731" s="3" t="str" cm="1">
        <f t="array" ref="I7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2" spans="1:9" x14ac:dyDescent="0.3">
      <c r="A732" s="3" t="str">
        <f>IF(SISTEMA!A726="","",SISTEMA!A726)</f>
        <v/>
      </c>
      <c r="B732" s="10" t="str">
        <f>IF(SISTEMA!B726="","",VALUE(SISTEMA!B726))</f>
        <v/>
      </c>
      <c r="C732" s="10" t="str">
        <f>IF(SISTEMA!C726="","",SISTEMA!C726)</f>
        <v/>
      </c>
      <c r="D732" s="5" t="str" cm="1">
        <f t="array" ref="D7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2" s="5" t="str" cm="1">
        <f t="array" ref="E7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2" s="5" t="str" cm="1">
        <f t="array" ref="F7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2" t="str" cm="1">
        <f t="array" ref="G7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2" s="4"/>
      <c r="I732" s="3" t="str" cm="1">
        <f t="array" ref="I7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3" spans="1:9" x14ac:dyDescent="0.3">
      <c r="A733" s="3" t="str">
        <f>IF(SISTEMA!A727="","",SISTEMA!A727)</f>
        <v/>
      </c>
      <c r="B733" s="10" t="str">
        <f>IF(SISTEMA!B727="","",VALUE(SISTEMA!B727))</f>
        <v/>
      </c>
      <c r="C733" s="10" t="str">
        <f>IF(SISTEMA!C727="","",SISTEMA!C727)</f>
        <v/>
      </c>
      <c r="D733" s="5" t="str" cm="1">
        <f t="array" ref="D7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3" s="5" t="str" cm="1">
        <f t="array" ref="E7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3" s="5" t="str" cm="1">
        <f t="array" ref="F7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3" t="str" cm="1">
        <f t="array" ref="G7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3" s="4"/>
      <c r="I733" s="3" t="str" cm="1">
        <f t="array" ref="I7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4" spans="1:9" x14ac:dyDescent="0.3">
      <c r="A734" s="3" t="str">
        <f>IF(SISTEMA!A728="","",SISTEMA!A728)</f>
        <v/>
      </c>
      <c r="B734" s="10" t="str">
        <f>IF(SISTEMA!B728="","",VALUE(SISTEMA!B728))</f>
        <v/>
      </c>
      <c r="C734" s="10" t="str">
        <f>IF(SISTEMA!C728="","",SISTEMA!C728)</f>
        <v/>
      </c>
      <c r="D734" s="5" t="str" cm="1">
        <f t="array" ref="D7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4" s="5" t="str" cm="1">
        <f t="array" ref="E7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4" s="5" t="str" cm="1">
        <f t="array" ref="F7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4" t="str" cm="1">
        <f t="array" ref="G7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4" s="4"/>
      <c r="I734" s="3" t="str" cm="1">
        <f t="array" ref="I7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5" spans="1:9" x14ac:dyDescent="0.3">
      <c r="A735" s="3" t="str">
        <f>IF(SISTEMA!A729="","",SISTEMA!A729)</f>
        <v/>
      </c>
      <c r="B735" s="10" t="str">
        <f>IF(SISTEMA!B729="","",VALUE(SISTEMA!B729))</f>
        <v/>
      </c>
      <c r="C735" s="10" t="str">
        <f>IF(SISTEMA!C729="","",SISTEMA!C729)</f>
        <v/>
      </c>
      <c r="D735" s="5" t="str" cm="1">
        <f t="array" ref="D7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5" s="5" t="str" cm="1">
        <f t="array" ref="E7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5" s="5" t="str" cm="1">
        <f t="array" ref="F7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5" t="str" cm="1">
        <f t="array" ref="G7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5" s="4"/>
      <c r="I735" s="3" t="str" cm="1">
        <f t="array" ref="I7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6" spans="1:9" x14ac:dyDescent="0.3">
      <c r="A736" s="3" t="str">
        <f>IF(SISTEMA!A730="","",SISTEMA!A730)</f>
        <v/>
      </c>
      <c r="B736" s="10" t="str">
        <f>IF(SISTEMA!B730="","",VALUE(SISTEMA!B730))</f>
        <v/>
      </c>
      <c r="C736" s="10" t="str">
        <f>IF(SISTEMA!C730="","",SISTEMA!C730)</f>
        <v/>
      </c>
      <c r="D736" s="5" t="str" cm="1">
        <f t="array" ref="D7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6" s="5" t="str" cm="1">
        <f t="array" ref="E7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6" s="5" t="str" cm="1">
        <f t="array" ref="F7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6" t="str" cm="1">
        <f t="array" ref="G7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6" s="4"/>
      <c r="I736" s="3" t="str" cm="1">
        <f t="array" ref="I7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7" spans="1:9" x14ac:dyDescent="0.3">
      <c r="A737" s="3" t="str">
        <f>IF(SISTEMA!A731="","",SISTEMA!A731)</f>
        <v/>
      </c>
      <c r="B737" s="10" t="str">
        <f>IF(SISTEMA!B731="","",VALUE(SISTEMA!B731))</f>
        <v/>
      </c>
      <c r="C737" s="10" t="str">
        <f>IF(SISTEMA!C731="","",SISTEMA!C731)</f>
        <v/>
      </c>
      <c r="D737" s="5" t="str" cm="1">
        <f t="array" ref="D7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7" s="5" t="str" cm="1">
        <f t="array" ref="E7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7" s="5" t="str" cm="1">
        <f t="array" ref="F7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7" t="str" cm="1">
        <f t="array" ref="G7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7" s="4"/>
      <c r="I737" s="3" t="str" cm="1">
        <f t="array" ref="I7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8" spans="1:9" x14ac:dyDescent="0.3">
      <c r="A738" s="3" t="str">
        <f>IF(SISTEMA!A732="","",SISTEMA!A732)</f>
        <v/>
      </c>
      <c r="B738" s="10" t="str">
        <f>IF(SISTEMA!B732="","",VALUE(SISTEMA!B732))</f>
        <v/>
      </c>
      <c r="C738" s="10" t="str">
        <f>IF(SISTEMA!C732="","",SISTEMA!C732)</f>
        <v/>
      </c>
      <c r="D738" s="5" t="str" cm="1">
        <f t="array" ref="D7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8" s="5" t="str" cm="1">
        <f t="array" ref="E7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8" s="5" t="str" cm="1">
        <f t="array" ref="F7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8" t="str" cm="1">
        <f t="array" ref="G7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8" s="4"/>
      <c r="I738" s="3" t="str" cm="1">
        <f t="array" ref="I7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39" spans="1:9" x14ac:dyDescent="0.3">
      <c r="A739" s="3" t="str">
        <f>IF(SISTEMA!A733="","",SISTEMA!A733)</f>
        <v/>
      </c>
      <c r="B739" s="10" t="str">
        <f>IF(SISTEMA!B733="","",VALUE(SISTEMA!B733))</f>
        <v/>
      </c>
      <c r="C739" s="10" t="str">
        <f>IF(SISTEMA!C733="","",SISTEMA!C733)</f>
        <v/>
      </c>
      <c r="D739" s="5" t="str" cm="1">
        <f t="array" ref="D7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39" s="5" t="str" cm="1">
        <f t="array" ref="E7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39" s="5" t="str" cm="1">
        <f t="array" ref="F7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39" t="str" cm="1">
        <f t="array" ref="G7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39" s="4"/>
      <c r="I739" s="3" t="str" cm="1">
        <f t="array" ref="I7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0" spans="1:9" x14ac:dyDescent="0.3">
      <c r="A740" s="3" t="str">
        <f>IF(SISTEMA!A734="","",SISTEMA!A734)</f>
        <v/>
      </c>
      <c r="B740" s="10" t="str">
        <f>IF(SISTEMA!B734="","",VALUE(SISTEMA!B734))</f>
        <v/>
      </c>
      <c r="C740" s="10" t="str">
        <f>IF(SISTEMA!C734="","",SISTEMA!C734)</f>
        <v/>
      </c>
      <c r="D740" s="5" t="str" cm="1">
        <f t="array" ref="D7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0" s="5" t="str" cm="1">
        <f t="array" ref="E7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0" s="5" t="str" cm="1">
        <f t="array" ref="F7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0" t="str" cm="1">
        <f t="array" ref="G7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0" s="4"/>
      <c r="I740" s="3" t="str" cm="1">
        <f t="array" ref="I7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1" spans="1:9" x14ac:dyDescent="0.3">
      <c r="A741" s="3" t="str">
        <f>IF(SISTEMA!A735="","",SISTEMA!A735)</f>
        <v/>
      </c>
      <c r="B741" s="10" t="str">
        <f>IF(SISTEMA!B735="","",VALUE(SISTEMA!B735))</f>
        <v/>
      </c>
      <c r="C741" s="10" t="str">
        <f>IF(SISTEMA!C735="","",SISTEMA!C735)</f>
        <v/>
      </c>
      <c r="D741" s="5" t="str" cm="1">
        <f t="array" ref="D7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1" s="5" t="str" cm="1">
        <f t="array" ref="E7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1" s="5" t="str" cm="1">
        <f t="array" ref="F7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1" t="str" cm="1">
        <f t="array" ref="G7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1" s="4"/>
      <c r="I741" s="3" t="str" cm="1">
        <f t="array" ref="I7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2" spans="1:9" x14ac:dyDescent="0.3">
      <c r="A742" s="3" t="str">
        <f>IF(SISTEMA!A736="","",SISTEMA!A736)</f>
        <v/>
      </c>
      <c r="B742" s="10" t="str">
        <f>IF(SISTEMA!B736="","",VALUE(SISTEMA!B736))</f>
        <v/>
      </c>
      <c r="C742" s="10" t="str">
        <f>IF(SISTEMA!C736="","",SISTEMA!C736)</f>
        <v/>
      </c>
      <c r="D742" s="5" t="str" cm="1">
        <f t="array" ref="D7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2" s="5" t="str" cm="1">
        <f t="array" ref="E7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2" s="5" t="str" cm="1">
        <f t="array" ref="F7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2" t="str" cm="1">
        <f t="array" ref="G7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2" s="4"/>
      <c r="I742" s="3" t="str" cm="1">
        <f t="array" ref="I7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3" spans="1:9" x14ac:dyDescent="0.3">
      <c r="A743" s="3" t="str">
        <f>IF(SISTEMA!A737="","",SISTEMA!A737)</f>
        <v/>
      </c>
      <c r="B743" s="10" t="str">
        <f>IF(SISTEMA!B737="","",VALUE(SISTEMA!B737))</f>
        <v/>
      </c>
      <c r="C743" s="10" t="str">
        <f>IF(SISTEMA!C737="","",SISTEMA!C737)</f>
        <v/>
      </c>
      <c r="D743" s="5" t="str" cm="1">
        <f t="array" ref="D7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3" s="5" t="str" cm="1">
        <f t="array" ref="E7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3" s="5" t="str" cm="1">
        <f t="array" ref="F7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3" t="str" cm="1">
        <f t="array" ref="G7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3" s="4"/>
      <c r="I743" s="3" t="str" cm="1">
        <f t="array" ref="I7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4" spans="1:9" x14ac:dyDescent="0.3">
      <c r="A744" s="3" t="str">
        <f>IF(SISTEMA!A738="","",SISTEMA!A738)</f>
        <v/>
      </c>
      <c r="B744" s="10" t="str">
        <f>IF(SISTEMA!B738="","",VALUE(SISTEMA!B738))</f>
        <v/>
      </c>
      <c r="C744" s="10" t="str">
        <f>IF(SISTEMA!C738="","",SISTEMA!C738)</f>
        <v/>
      </c>
      <c r="D744" s="5" t="str" cm="1">
        <f t="array" ref="D7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4" s="5" t="str" cm="1">
        <f t="array" ref="E7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4" s="5" t="str" cm="1">
        <f t="array" ref="F7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4" t="str" cm="1">
        <f t="array" ref="G7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4" s="4"/>
      <c r="I744" s="3" t="str" cm="1">
        <f t="array" ref="I7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5" spans="1:9" x14ac:dyDescent="0.3">
      <c r="A745" s="3" t="str">
        <f>IF(SISTEMA!A739="","",SISTEMA!A739)</f>
        <v/>
      </c>
      <c r="B745" s="10" t="str">
        <f>IF(SISTEMA!B739="","",VALUE(SISTEMA!B739))</f>
        <v/>
      </c>
      <c r="C745" s="10" t="str">
        <f>IF(SISTEMA!C739="","",SISTEMA!C739)</f>
        <v/>
      </c>
      <c r="D745" s="5" t="str" cm="1">
        <f t="array" ref="D7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5" s="5" t="str" cm="1">
        <f t="array" ref="E7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5" s="5" t="str" cm="1">
        <f t="array" ref="F7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5" t="str" cm="1">
        <f t="array" ref="G7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5" s="4"/>
      <c r="I745" s="3" t="str" cm="1">
        <f t="array" ref="I7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6" spans="1:9" x14ac:dyDescent="0.3">
      <c r="A746" s="3" t="str">
        <f>IF(SISTEMA!A740="","",SISTEMA!A740)</f>
        <v/>
      </c>
      <c r="B746" s="10" t="str">
        <f>IF(SISTEMA!B740="","",VALUE(SISTEMA!B740))</f>
        <v/>
      </c>
      <c r="C746" s="10" t="str">
        <f>IF(SISTEMA!C740="","",SISTEMA!C740)</f>
        <v/>
      </c>
      <c r="D746" s="5" t="str" cm="1">
        <f t="array" ref="D7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6" s="5" t="str" cm="1">
        <f t="array" ref="E7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6" s="5" t="str" cm="1">
        <f t="array" ref="F7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6" t="str" cm="1">
        <f t="array" ref="G7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6" s="4"/>
      <c r="I746" s="3" t="str" cm="1">
        <f t="array" ref="I7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7" spans="1:9" x14ac:dyDescent="0.3">
      <c r="A747" s="3" t="str">
        <f>IF(SISTEMA!A741="","",SISTEMA!A741)</f>
        <v/>
      </c>
      <c r="B747" s="10" t="str">
        <f>IF(SISTEMA!B741="","",VALUE(SISTEMA!B741))</f>
        <v/>
      </c>
      <c r="C747" s="10" t="str">
        <f>IF(SISTEMA!C741="","",SISTEMA!C741)</f>
        <v/>
      </c>
      <c r="D747" s="5" t="str" cm="1">
        <f t="array" ref="D7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7" s="5" t="str" cm="1">
        <f t="array" ref="E7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7" s="5" t="str" cm="1">
        <f t="array" ref="F7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7" t="str" cm="1">
        <f t="array" ref="G7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7" s="4"/>
      <c r="I747" s="3" t="str" cm="1">
        <f t="array" ref="I7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8" spans="1:9" x14ac:dyDescent="0.3">
      <c r="A748" s="3" t="str">
        <f>IF(SISTEMA!A742="","",SISTEMA!A742)</f>
        <v/>
      </c>
      <c r="B748" s="10" t="str">
        <f>IF(SISTEMA!B742="","",VALUE(SISTEMA!B742))</f>
        <v/>
      </c>
      <c r="C748" s="10" t="str">
        <f>IF(SISTEMA!C742="","",SISTEMA!C742)</f>
        <v/>
      </c>
      <c r="D748" s="5" t="str" cm="1">
        <f t="array" ref="D7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8" s="5" t="str" cm="1">
        <f t="array" ref="E7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8" s="5" t="str" cm="1">
        <f t="array" ref="F7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8" t="str" cm="1">
        <f t="array" ref="G7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8" s="4"/>
      <c r="I748" s="3" t="str" cm="1">
        <f t="array" ref="I7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49" spans="1:9" x14ac:dyDescent="0.3">
      <c r="A749" s="3" t="str">
        <f>IF(SISTEMA!A743="","",SISTEMA!A743)</f>
        <v/>
      </c>
      <c r="B749" s="10" t="str">
        <f>IF(SISTEMA!B743="","",VALUE(SISTEMA!B743))</f>
        <v/>
      </c>
      <c r="C749" s="10" t="str">
        <f>IF(SISTEMA!C743="","",SISTEMA!C743)</f>
        <v/>
      </c>
      <c r="D749" s="5" t="str" cm="1">
        <f t="array" ref="D7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49" s="5" t="str" cm="1">
        <f t="array" ref="E7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49" s="5" t="str" cm="1">
        <f t="array" ref="F7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49" t="str" cm="1">
        <f t="array" ref="G7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49" s="4"/>
      <c r="I749" s="3" t="str" cm="1">
        <f t="array" ref="I7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0" spans="1:9" x14ac:dyDescent="0.3">
      <c r="A750" s="3" t="str">
        <f>IF(SISTEMA!A744="","",SISTEMA!A744)</f>
        <v/>
      </c>
      <c r="B750" s="10" t="str">
        <f>IF(SISTEMA!B744="","",VALUE(SISTEMA!B744))</f>
        <v/>
      </c>
      <c r="C750" s="10" t="str">
        <f>IF(SISTEMA!C744="","",SISTEMA!C744)</f>
        <v/>
      </c>
      <c r="D750" s="5" t="str" cm="1">
        <f t="array" ref="D7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0" s="5" t="str" cm="1">
        <f t="array" ref="E7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0" s="5" t="str" cm="1">
        <f t="array" ref="F7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0" t="str" cm="1">
        <f t="array" ref="G7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0" s="4"/>
      <c r="I750" s="3" t="str" cm="1">
        <f t="array" ref="I7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1" spans="1:9" x14ac:dyDescent="0.3">
      <c r="A751" s="3" t="str">
        <f>IF(SISTEMA!A745="","",SISTEMA!A745)</f>
        <v/>
      </c>
      <c r="B751" s="10" t="str">
        <f>IF(SISTEMA!B745="","",VALUE(SISTEMA!B745))</f>
        <v/>
      </c>
      <c r="C751" s="10" t="str">
        <f>IF(SISTEMA!C745="","",SISTEMA!C745)</f>
        <v/>
      </c>
      <c r="D751" s="5" t="str" cm="1">
        <f t="array" ref="D7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1" s="5" t="str" cm="1">
        <f t="array" ref="E7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1" s="5" t="str" cm="1">
        <f t="array" ref="F7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1" t="str" cm="1">
        <f t="array" ref="G7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1" s="4"/>
      <c r="I751" s="3" t="str" cm="1">
        <f t="array" ref="I7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2" spans="1:9" x14ac:dyDescent="0.3">
      <c r="A752" s="3" t="str">
        <f>IF(SISTEMA!A746="","",SISTEMA!A746)</f>
        <v/>
      </c>
      <c r="B752" s="10" t="str">
        <f>IF(SISTEMA!B746="","",VALUE(SISTEMA!B746))</f>
        <v/>
      </c>
      <c r="C752" s="10" t="str">
        <f>IF(SISTEMA!C746="","",SISTEMA!C746)</f>
        <v/>
      </c>
      <c r="D752" s="5" t="str" cm="1">
        <f t="array" ref="D7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2" s="5" t="str" cm="1">
        <f t="array" ref="E7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2" s="5" t="str" cm="1">
        <f t="array" ref="F7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2" t="str" cm="1">
        <f t="array" ref="G7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2" s="4"/>
      <c r="I752" s="3" t="str" cm="1">
        <f t="array" ref="I7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3" spans="1:9" x14ac:dyDescent="0.3">
      <c r="A753" s="3" t="str">
        <f>IF(SISTEMA!A747="","",SISTEMA!A747)</f>
        <v/>
      </c>
      <c r="B753" s="10" t="str">
        <f>IF(SISTEMA!B747="","",VALUE(SISTEMA!B747))</f>
        <v/>
      </c>
      <c r="C753" s="10" t="str">
        <f>IF(SISTEMA!C747="","",SISTEMA!C747)</f>
        <v/>
      </c>
      <c r="D753" s="5" t="str" cm="1">
        <f t="array" ref="D7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3" s="5" t="str" cm="1">
        <f t="array" ref="E7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3" s="5" t="str" cm="1">
        <f t="array" ref="F7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3" t="str" cm="1">
        <f t="array" ref="G7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3" s="4"/>
      <c r="I753" s="3" t="str" cm="1">
        <f t="array" ref="I7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4" spans="1:9" x14ac:dyDescent="0.3">
      <c r="A754" s="3" t="str">
        <f>IF(SISTEMA!A748="","",SISTEMA!A748)</f>
        <v/>
      </c>
      <c r="B754" s="10" t="str">
        <f>IF(SISTEMA!B748="","",VALUE(SISTEMA!B748))</f>
        <v/>
      </c>
      <c r="C754" s="10" t="str">
        <f>IF(SISTEMA!C748="","",SISTEMA!C748)</f>
        <v/>
      </c>
      <c r="D754" s="5" t="str" cm="1">
        <f t="array" ref="D7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4" s="5" t="str" cm="1">
        <f t="array" ref="E7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4" s="5" t="str" cm="1">
        <f t="array" ref="F7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4" t="str" cm="1">
        <f t="array" ref="G7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4" s="4"/>
      <c r="I754" s="3" t="str" cm="1">
        <f t="array" ref="I7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5" spans="1:9" x14ac:dyDescent="0.3">
      <c r="A755" s="3" t="str">
        <f>IF(SISTEMA!A749="","",SISTEMA!A749)</f>
        <v/>
      </c>
      <c r="B755" s="10" t="str">
        <f>IF(SISTEMA!B749="","",VALUE(SISTEMA!B749))</f>
        <v/>
      </c>
      <c r="C755" s="10" t="str">
        <f>IF(SISTEMA!C749="","",SISTEMA!C749)</f>
        <v/>
      </c>
      <c r="D755" s="5" t="str" cm="1">
        <f t="array" ref="D7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5" s="5" t="str" cm="1">
        <f t="array" ref="E7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5" s="5" t="str" cm="1">
        <f t="array" ref="F7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5" t="str" cm="1">
        <f t="array" ref="G7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5" s="4"/>
      <c r="I755" s="3" t="str" cm="1">
        <f t="array" ref="I7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6" spans="1:9" x14ac:dyDescent="0.3">
      <c r="A756" s="3" t="str">
        <f>IF(SISTEMA!A750="","",SISTEMA!A750)</f>
        <v/>
      </c>
      <c r="B756" s="10" t="str">
        <f>IF(SISTEMA!B750="","",VALUE(SISTEMA!B750))</f>
        <v/>
      </c>
      <c r="C756" s="10" t="str">
        <f>IF(SISTEMA!C750="","",SISTEMA!C750)</f>
        <v/>
      </c>
      <c r="D756" s="5" t="str" cm="1">
        <f t="array" ref="D7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6" s="5" t="str" cm="1">
        <f t="array" ref="E7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6" s="5" t="str" cm="1">
        <f t="array" ref="F7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6" t="str" cm="1">
        <f t="array" ref="G7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6" s="4"/>
      <c r="I756" s="3" t="str" cm="1">
        <f t="array" ref="I7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7" spans="1:9" x14ac:dyDescent="0.3">
      <c r="A757" s="3" t="str">
        <f>IF(SISTEMA!A751="","",SISTEMA!A751)</f>
        <v/>
      </c>
      <c r="B757" s="10" t="str">
        <f>IF(SISTEMA!B751="","",VALUE(SISTEMA!B751))</f>
        <v/>
      </c>
      <c r="C757" s="10" t="str">
        <f>IF(SISTEMA!C751="","",SISTEMA!C751)</f>
        <v/>
      </c>
      <c r="D757" s="5" t="str" cm="1">
        <f t="array" ref="D7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7" s="5" t="str" cm="1">
        <f t="array" ref="E7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7" s="5" t="str" cm="1">
        <f t="array" ref="F7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7" t="str" cm="1">
        <f t="array" ref="G7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7" s="4"/>
      <c r="I757" s="3" t="str" cm="1">
        <f t="array" ref="I7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8" spans="1:9" x14ac:dyDescent="0.3">
      <c r="A758" s="3" t="str">
        <f>IF(SISTEMA!A752="","",SISTEMA!A752)</f>
        <v/>
      </c>
      <c r="B758" s="10" t="str">
        <f>IF(SISTEMA!B752="","",VALUE(SISTEMA!B752))</f>
        <v/>
      </c>
      <c r="C758" s="10" t="str">
        <f>IF(SISTEMA!C752="","",SISTEMA!C752)</f>
        <v/>
      </c>
      <c r="D758" s="5" t="str" cm="1">
        <f t="array" ref="D7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8" s="5" t="str" cm="1">
        <f t="array" ref="E7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8" s="5" t="str" cm="1">
        <f t="array" ref="F7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8" t="str" cm="1">
        <f t="array" ref="G7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8" s="4"/>
      <c r="I758" s="3" t="str" cm="1">
        <f t="array" ref="I7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59" spans="1:9" x14ac:dyDescent="0.3">
      <c r="A759" s="3" t="str">
        <f>IF(SISTEMA!A753="","",SISTEMA!A753)</f>
        <v/>
      </c>
      <c r="B759" s="10" t="str">
        <f>IF(SISTEMA!B753="","",VALUE(SISTEMA!B753))</f>
        <v/>
      </c>
      <c r="C759" s="10" t="str">
        <f>IF(SISTEMA!C753="","",SISTEMA!C753)</f>
        <v/>
      </c>
      <c r="D759" s="5" t="str" cm="1">
        <f t="array" ref="D7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59" s="5" t="str" cm="1">
        <f t="array" ref="E7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59" s="5" t="str" cm="1">
        <f t="array" ref="F7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59" t="str" cm="1">
        <f t="array" ref="G7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59" s="4"/>
      <c r="I759" s="3" t="str" cm="1">
        <f t="array" ref="I7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0" spans="1:9" x14ac:dyDescent="0.3">
      <c r="A760" s="3" t="str">
        <f>IF(SISTEMA!A754="","",SISTEMA!A754)</f>
        <v/>
      </c>
      <c r="B760" s="10" t="str">
        <f>IF(SISTEMA!B754="","",VALUE(SISTEMA!B754))</f>
        <v/>
      </c>
      <c r="C760" s="10" t="str">
        <f>IF(SISTEMA!C754="","",SISTEMA!C754)</f>
        <v/>
      </c>
      <c r="D760" s="5" t="str" cm="1">
        <f t="array" ref="D7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0" s="5" t="str" cm="1">
        <f t="array" ref="E7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0" s="5" t="str" cm="1">
        <f t="array" ref="F7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0" t="str" cm="1">
        <f t="array" ref="G7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0" s="4"/>
      <c r="I760" s="3" t="str" cm="1">
        <f t="array" ref="I7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1" spans="1:9" x14ac:dyDescent="0.3">
      <c r="A761" s="3" t="str">
        <f>IF(SISTEMA!A755="","",SISTEMA!A755)</f>
        <v/>
      </c>
      <c r="B761" s="10" t="str">
        <f>IF(SISTEMA!B755="","",VALUE(SISTEMA!B755))</f>
        <v/>
      </c>
      <c r="C761" s="10" t="str">
        <f>IF(SISTEMA!C755="","",SISTEMA!C755)</f>
        <v/>
      </c>
      <c r="D761" s="5" t="str" cm="1">
        <f t="array" ref="D7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1" s="5" t="str" cm="1">
        <f t="array" ref="E7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1" s="5" t="str" cm="1">
        <f t="array" ref="F7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1" t="str" cm="1">
        <f t="array" ref="G7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1" s="4"/>
      <c r="I761" s="3" t="str" cm="1">
        <f t="array" ref="I7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2" spans="1:9" x14ac:dyDescent="0.3">
      <c r="A762" s="3" t="str">
        <f>IF(SISTEMA!A756="","",SISTEMA!A756)</f>
        <v/>
      </c>
      <c r="B762" s="10" t="str">
        <f>IF(SISTEMA!B756="","",VALUE(SISTEMA!B756))</f>
        <v/>
      </c>
      <c r="C762" s="10" t="str">
        <f>IF(SISTEMA!C756="","",SISTEMA!C756)</f>
        <v/>
      </c>
      <c r="D762" s="5" t="str" cm="1">
        <f t="array" ref="D7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2" s="5" t="str" cm="1">
        <f t="array" ref="E7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2" s="5" t="str" cm="1">
        <f t="array" ref="F7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2" t="str" cm="1">
        <f t="array" ref="G7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2" s="4"/>
      <c r="I762" s="3" t="str" cm="1">
        <f t="array" ref="I7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3" spans="1:9" x14ac:dyDescent="0.3">
      <c r="A763" s="3" t="str">
        <f>IF(SISTEMA!A757="","",SISTEMA!A757)</f>
        <v/>
      </c>
      <c r="B763" s="10" t="str">
        <f>IF(SISTEMA!B757="","",VALUE(SISTEMA!B757))</f>
        <v/>
      </c>
      <c r="C763" s="10" t="str">
        <f>IF(SISTEMA!C757="","",SISTEMA!C757)</f>
        <v/>
      </c>
      <c r="D763" s="5" t="str" cm="1">
        <f t="array" ref="D7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3" s="5" t="str" cm="1">
        <f t="array" ref="E7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3" s="5" t="str" cm="1">
        <f t="array" ref="F7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3" t="str" cm="1">
        <f t="array" ref="G7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3" s="4"/>
      <c r="I763" s="3" t="str" cm="1">
        <f t="array" ref="I7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4" spans="1:9" x14ac:dyDescent="0.3">
      <c r="A764" s="3" t="str">
        <f>IF(SISTEMA!A758="","",SISTEMA!A758)</f>
        <v/>
      </c>
      <c r="B764" s="10" t="str">
        <f>IF(SISTEMA!B758="","",VALUE(SISTEMA!B758))</f>
        <v/>
      </c>
      <c r="C764" s="10" t="str">
        <f>IF(SISTEMA!C758="","",SISTEMA!C758)</f>
        <v/>
      </c>
      <c r="D764" s="5" t="str" cm="1">
        <f t="array" ref="D7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4" s="5" t="str" cm="1">
        <f t="array" ref="E7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4" s="5" t="str" cm="1">
        <f t="array" ref="F7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4" t="str" cm="1">
        <f t="array" ref="G7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4" s="4"/>
      <c r="I764" s="3" t="str" cm="1">
        <f t="array" ref="I7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5" spans="1:9" x14ac:dyDescent="0.3">
      <c r="A765" s="3" t="str">
        <f>IF(SISTEMA!A759="","",SISTEMA!A759)</f>
        <v/>
      </c>
      <c r="B765" s="10" t="str">
        <f>IF(SISTEMA!B759="","",VALUE(SISTEMA!B759))</f>
        <v/>
      </c>
      <c r="C765" s="10" t="str">
        <f>IF(SISTEMA!C759="","",SISTEMA!C759)</f>
        <v/>
      </c>
      <c r="D765" s="5" t="str" cm="1">
        <f t="array" ref="D7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5" s="5" t="str" cm="1">
        <f t="array" ref="E7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5" s="5" t="str" cm="1">
        <f t="array" ref="F7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5" t="str" cm="1">
        <f t="array" ref="G7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5" s="4"/>
      <c r="I765" s="3" t="str" cm="1">
        <f t="array" ref="I7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6" spans="1:9" x14ac:dyDescent="0.3">
      <c r="A766" s="3" t="str">
        <f>IF(SISTEMA!A760="","",SISTEMA!A760)</f>
        <v/>
      </c>
      <c r="B766" s="10" t="str">
        <f>IF(SISTEMA!B760="","",VALUE(SISTEMA!B760))</f>
        <v/>
      </c>
      <c r="C766" s="10" t="str">
        <f>IF(SISTEMA!C760="","",SISTEMA!C760)</f>
        <v/>
      </c>
      <c r="D766" s="5" t="str" cm="1">
        <f t="array" ref="D7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6" s="5" t="str" cm="1">
        <f t="array" ref="E7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6" s="5" t="str" cm="1">
        <f t="array" ref="F7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6" t="str" cm="1">
        <f t="array" ref="G7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6" s="4"/>
      <c r="I766" s="3" t="str" cm="1">
        <f t="array" ref="I7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7" spans="1:9" x14ac:dyDescent="0.3">
      <c r="A767" s="3" t="str">
        <f>IF(SISTEMA!A761="","",SISTEMA!A761)</f>
        <v/>
      </c>
      <c r="B767" s="10" t="str">
        <f>IF(SISTEMA!B761="","",VALUE(SISTEMA!B761))</f>
        <v/>
      </c>
      <c r="C767" s="10" t="str">
        <f>IF(SISTEMA!C761="","",SISTEMA!C761)</f>
        <v/>
      </c>
      <c r="D767" s="5" t="str" cm="1">
        <f t="array" ref="D7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7" s="5" t="str" cm="1">
        <f t="array" ref="E7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7" s="5" t="str" cm="1">
        <f t="array" ref="F7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7" t="str" cm="1">
        <f t="array" ref="G7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7" s="4"/>
      <c r="I767" s="3" t="str" cm="1">
        <f t="array" ref="I7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8" spans="1:9" x14ac:dyDescent="0.3">
      <c r="A768" s="3" t="str">
        <f>IF(SISTEMA!A762="","",SISTEMA!A762)</f>
        <v/>
      </c>
      <c r="B768" s="10" t="str">
        <f>IF(SISTEMA!B762="","",VALUE(SISTEMA!B762))</f>
        <v/>
      </c>
      <c r="C768" s="10" t="str">
        <f>IF(SISTEMA!C762="","",SISTEMA!C762)</f>
        <v/>
      </c>
      <c r="D768" s="5" t="str" cm="1">
        <f t="array" ref="D7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8" s="5" t="str" cm="1">
        <f t="array" ref="E7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8" s="5" t="str" cm="1">
        <f t="array" ref="F7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8" t="str" cm="1">
        <f t="array" ref="G7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8" s="4"/>
      <c r="I768" s="3" t="str" cm="1">
        <f t="array" ref="I7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69" spans="1:9" x14ac:dyDescent="0.3">
      <c r="A769" s="3" t="str">
        <f>IF(SISTEMA!A763="","",SISTEMA!A763)</f>
        <v/>
      </c>
      <c r="B769" s="10" t="str">
        <f>IF(SISTEMA!B763="","",VALUE(SISTEMA!B763))</f>
        <v/>
      </c>
      <c r="C769" s="10" t="str">
        <f>IF(SISTEMA!C763="","",SISTEMA!C763)</f>
        <v/>
      </c>
      <c r="D769" s="5" t="str" cm="1">
        <f t="array" ref="D7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69" s="5" t="str" cm="1">
        <f t="array" ref="E7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69" s="5" t="str" cm="1">
        <f t="array" ref="F7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69" t="str" cm="1">
        <f t="array" ref="G7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69" s="4"/>
      <c r="I769" s="3" t="str" cm="1">
        <f t="array" ref="I7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0" spans="1:9" x14ac:dyDescent="0.3">
      <c r="A770" s="3" t="str">
        <f>IF(SISTEMA!A764="","",SISTEMA!A764)</f>
        <v/>
      </c>
      <c r="B770" s="10" t="str">
        <f>IF(SISTEMA!B764="","",VALUE(SISTEMA!B764))</f>
        <v/>
      </c>
      <c r="C770" s="10" t="str">
        <f>IF(SISTEMA!C764="","",SISTEMA!C764)</f>
        <v/>
      </c>
      <c r="D770" s="5" t="str" cm="1">
        <f t="array" ref="D7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0" s="5" t="str" cm="1">
        <f t="array" ref="E7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0" s="5" t="str" cm="1">
        <f t="array" ref="F7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0" t="str" cm="1">
        <f t="array" ref="G7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0" s="4"/>
      <c r="I770" s="3" t="str" cm="1">
        <f t="array" ref="I7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1" spans="1:9" x14ac:dyDescent="0.3">
      <c r="A771" s="3" t="str">
        <f>IF(SISTEMA!A765="","",SISTEMA!A765)</f>
        <v/>
      </c>
      <c r="B771" s="10" t="str">
        <f>IF(SISTEMA!B765="","",VALUE(SISTEMA!B765))</f>
        <v/>
      </c>
      <c r="C771" s="10" t="str">
        <f>IF(SISTEMA!C765="","",SISTEMA!C765)</f>
        <v/>
      </c>
      <c r="D771" s="5" t="str" cm="1">
        <f t="array" ref="D7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1" s="5" t="str" cm="1">
        <f t="array" ref="E7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1" s="5" t="str" cm="1">
        <f t="array" ref="F7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1" t="str" cm="1">
        <f t="array" ref="G7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1" s="4"/>
      <c r="I771" s="3" t="str" cm="1">
        <f t="array" ref="I7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2" spans="1:9" x14ac:dyDescent="0.3">
      <c r="A772" s="3" t="str">
        <f>IF(SISTEMA!A766="","",SISTEMA!A766)</f>
        <v/>
      </c>
      <c r="B772" s="10" t="str">
        <f>IF(SISTEMA!B766="","",VALUE(SISTEMA!B766))</f>
        <v/>
      </c>
      <c r="C772" s="10" t="str">
        <f>IF(SISTEMA!C766="","",SISTEMA!C766)</f>
        <v/>
      </c>
      <c r="D772" s="5" t="str" cm="1">
        <f t="array" ref="D7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2" s="5" t="str" cm="1">
        <f t="array" ref="E7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2" s="5" t="str" cm="1">
        <f t="array" ref="F7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2" t="str" cm="1">
        <f t="array" ref="G7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2" s="4"/>
      <c r="I772" s="3" t="str" cm="1">
        <f t="array" ref="I7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3" spans="1:9" x14ac:dyDescent="0.3">
      <c r="A773" s="3" t="str">
        <f>IF(SISTEMA!A767="","",SISTEMA!A767)</f>
        <v/>
      </c>
      <c r="B773" s="10" t="str">
        <f>IF(SISTEMA!B767="","",VALUE(SISTEMA!B767))</f>
        <v/>
      </c>
      <c r="C773" s="10" t="str">
        <f>IF(SISTEMA!C767="","",SISTEMA!C767)</f>
        <v/>
      </c>
      <c r="D773" s="5" t="str" cm="1">
        <f t="array" ref="D7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3" s="5" t="str" cm="1">
        <f t="array" ref="E7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3" s="5" t="str" cm="1">
        <f t="array" ref="F7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3" t="str" cm="1">
        <f t="array" ref="G7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3" s="4"/>
      <c r="I773" s="3" t="str" cm="1">
        <f t="array" ref="I7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4" spans="1:9" x14ac:dyDescent="0.3">
      <c r="A774" s="3" t="str">
        <f>IF(SISTEMA!A768="","",SISTEMA!A768)</f>
        <v/>
      </c>
      <c r="B774" s="10" t="str">
        <f>IF(SISTEMA!B768="","",VALUE(SISTEMA!B768))</f>
        <v/>
      </c>
      <c r="C774" s="10" t="str">
        <f>IF(SISTEMA!C768="","",SISTEMA!C768)</f>
        <v/>
      </c>
      <c r="D774" s="5" t="str" cm="1">
        <f t="array" ref="D7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4" s="5" t="str" cm="1">
        <f t="array" ref="E7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4" s="5" t="str" cm="1">
        <f t="array" ref="F7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4" t="str" cm="1">
        <f t="array" ref="G7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4" s="4"/>
      <c r="I774" s="3" t="str" cm="1">
        <f t="array" ref="I7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5" spans="1:9" x14ac:dyDescent="0.3">
      <c r="A775" s="3" t="str">
        <f>IF(SISTEMA!A769="","",SISTEMA!A769)</f>
        <v/>
      </c>
      <c r="B775" s="10" t="str">
        <f>IF(SISTEMA!B769="","",VALUE(SISTEMA!B769))</f>
        <v/>
      </c>
      <c r="C775" s="10" t="str">
        <f>IF(SISTEMA!C769="","",SISTEMA!C769)</f>
        <v/>
      </c>
      <c r="D775" s="5" t="str" cm="1">
        <f t="array" ref="D7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5" s="5" t="str" cm="1">
        <f t="array" ref="E7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5" s="5" t="str" cm="1">
        <f t="array" ref="F7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5" t="str" cm="1">
        <f t="array" ref="G7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5" s="4"/>
      <c r="I775" s="3" t="str" cm="1">
        <f t="array" ref="I7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6" spans="1:9" x14ac:dyDescent="0.3">
      <c r="A776" s="3" t="str">
        <f>IF(SISTEMA!A770="","",SISTEMA!A770)</f>
        <v/>
      </c>
      <c r="B776" s="10" t="str">
        <f>IF(SISTEMA!B770="","",VALUE(SISTEMA!B770))</f>
        <v/>
      </c>
      <c r="C776" s="10" t="str">
        <f>IF(SISTEMA!C770="","",SISTEMA!C770)</f>
        <v/>
      </c>
      <c r="D776" s="5" t="str" cm="1">
        <f t="array" ref="D7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6" s="5" t="str" cm="1">
        <f t="array" ref="E7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6" s="5" t="str" cm="1">
        <f t="array" ref="F7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6" t="str" cm="1">
        <f t="array" ref="G7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6" s="4"/>
      <c r="I776" s="3" t="str" cm="1">
        <f t="array" ref="I7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7" spans="1:9" x14ac:dyDescent="0.3">
      <c r="A777" s="3" t="str">
        <f>IF(SISTEMA!A771="","",SISTEMA!A771)</f>
        <v/>
      </c>
      <c r="B777" s="10" t="str">
        <f>IF(SISTEMA!B771="","",VALUE(SISTEMA!B771))</f>
        <v/>
      </c>
      <c r="C777" s="10" t="str">
        <f>IF(SISTEMA!C771="","",SISTEMA!C771)</f>
        <v/>
      </c>
      <c r="D777" s="5" t="str" cm="1">
        <f t="array" ref="D7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7" s="5" t="str" cm="1">
        <f t="array" ref="E7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7" s="5" t="str" cm="1">
        <f t="array" ref="F7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7" t="str" cm="1">
        <f t="array" ref="G7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7" s="4"/>
      <c r="I777" s="3" t="str" cm="1">
        <f t="array" ref="I7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8" spans="1:9" x14ac:dyDescent="0.3">
      <c r="A778" s="3" t="str">
        <f>IF(SISTEMA!A772="","",SISTEMA!A772)</f>
        <v/>
      </c>
      <c r="B778" s="10" t="str">
        <f>IF(SISTEMA!B772="","",VALUE(SISTEMA!B772))</f>
        <v/>
      </c>
      <c r="C778" s="10" t="str">
        <f>IF(SISTEMA!C772="","",SISTEMA!C772)</f>
        <v/>
      </c>
      <c r="D778" s="5" t="str" cm="1">
        <f t="array" ref="D7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8" s="5" t="str" cm="1">
        <f t="array" ref="E7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8" s="5" t="str" cm="1">
        <f t="array" ref="F7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8" t="str" cm="1">
        <f t="array" ref="G7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8" s="4"/>
      <c r="I778" s="3" t="str" cm="1">
        <f t="array" ref="I7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79" spans="1:9" x14ac:dyDescent="0.3">
      <c r="A779" s="3" t="str">
        <f>IF(SISTEMA!A773="","",SISTEMA!A773)</f>
        <v/>
      </c>
      <c r="B779" s="10" t="str">
        <f>IF(SISTEMA!B773="","",VALUE(SISTEMA!B773))</f>
        <v/>
      </c>
      <c r="C779" s="10" t="str">
        <f>IF(SISTEMA!C773="","",SISTEMA!C773)</f>
        <v/>
      </c>
      <c r="D779" s="5" t="str" cm="1">
        <f t="array" ref="D7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79" s="5" t="str" cm="1">
        <f t="array" ref="E7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79" s="5" t="str" cm="1">
        <f t="array" ref="F7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79" t="str" cm="1">
        <f t="array" ref="G7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79" s="4"/>
      <c r="I779" s="3" t="str" cm="1">
        <f t="array" ref="I7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0" spans="1:9" x14ac:dyDescent="0.3">
      <c r="A780" s="3" t="str">
        <f>IF(SISTEMA!A774="","",SISTEMA!A774)</f>
        <v/>
      </c>
      <c r="B780" s="10" t="str">
        <f>IF(SISTEMA!B774="","",VALUE(SISTEMA!B774))</f>
        <v/>
      </c>
      <c r="C780" s="10" t="str">
        <f>IF(SISTEMA!C774="","",SISTEMA!C774)</f>
        <v/>
      </c>
      <c r="D780" s="5" t="str" cm="1">
        <f t="array" ref="D7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0" s="5" t="str" cm="1">
        <f t="array" ref="E7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0" s="5" t="str" cm="1">
        <f t="array" ref="F7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0" t="str" cm="1">
        <f t="array" ref="G7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0" s="4"/>
      <c r="I780" s="3" t="str" cm="1">
        <f t="array" ref="I7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1" spans="1:9" x14ac:dyDescent="0.3">
      <c r="A781" s="3" t="str">
        <f>IF(SISTEMA!A775="","",SISTEMA!A775)</f>
        <v/>
      </c>
      <c r="B781" s="10" t="str">
        <f>IF(SISTEMA!B775="","",VALUE(SISTEMA!B775))</f>
        <v/>
      </c>
      <c r="C781" s="10" t="str">
        <f>IF(SISTEMA!C775="","",SISTEMA!C775)</f>
        <v/>
      </c>
      <c r="D781" s="5" t="str" cm="1">
        <f t="array" ref="D7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1" s="5" t="str" cm="1">
        <f t="array" ref="E7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1" s="5" t="str" cm="1">
        <f t="array" ref="F7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1" t="str" cm="1">
        <f t="array" ref="G7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1" s="4"/>
      <c r="I781" s="3" t="str" cm="1">
        <f t="array" ref="I7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2" spans="1:9" x14ac:dyDescent="0.3">
      <c r="A782" s="3" t="str">
        <f>IF(SISTEMA!A776="","",SISTEMA!A776)</f>
        <v/>
      </c>
      <c r="B782" s="10" t="str">
        <f>IF(SISTEMA!B776="","",VALUE(SISTEMA!B776))</f>
        <v/>
      </c>
      <c r="C782" s="10" t="str">
        <f>IF(SISTEMA!C776="","",SISTEMA!C776)</f>
        <v/>
      </c>
      <c r="D782" s="5" t="str" cm="1">
        <f t="array" ref="D7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2" s="5" t="str" cm="1">
        <f t="array" ref="E7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2" s="5" t="str" cm="1">
        <f t="array" ref="F7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2" t="str" cm="1">
        <f t="array" ref="G7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2" s="4"/>
      <c r="I782" s="3" t="str" cm="1">
        <f t="array" ref="I7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3" spans="1:9" x14ac:dyDescent="0.3">
      <c r="A783" s="3" t="str">
        <f>IF(SISTEMA!A777="","",SISTEMA!A777)</f>
        <v/>
      </c>
      <c r="B783" s="10" t="str">
        <f>IF(SISTEMA!B777="","",VALUE(SISTEMA!B777))</f>
        <v/>
      </c>
      <c r="C783" s="10" t="str">
        <f>IF(SISTEMA!C777="","",SISTEMA!C777)</f>
        <v/>
      </c>
      <c r="D783" s="5" t="str" cm="1">
        <f t="array" ref="D7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3" s="5" t="str" cm="1">
        <f t="array" ref="E7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3" s="5" t="str" cm="1">
        <f t="array" ref="F7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3" t="str" cm="1">
        <f t="array" ref="G7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3" s="4"/>
      <c r="I783" s="3" t="str" cm="1">
        <f t="array" ref="I7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4" spans="1:9" x14ac:dyDescent="0.3">
      <c r="A784" s="3" t="str">
        <f>IF(SISTEMA!A778="","",SISTEMA!A778)</f>
        <v/>
      </c>
      <c r="B784" s="10" t="str">
        <f>IF(SISTEMA!B778="","",VALUE(SISTEMA!B778))</f>
        <v/>
      </c>
      <c r="C784" s="10" t="str">
        <f>IF(SISTEMA!C778="","",SISTEMA!C778)</f>
        <v/>
      </c>
      <c r="D784" s="5" t="str" cm="1">
        <f t="array" ref="D7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4" s="5" t="str" cm="1">
        <f t="array" ref="E7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4" s="5" t="str" cm="1">
        <f t="array" ref="F7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4" t="str" cm="1">
        <f t="array" ref="G7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4" s="4"/>
      <c r="I784" s="3" t="str" cm="1">
        <f t="array" ref="I7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5" spans="1:9" x14ac:dyDescent="0.3">
      <c r="A785" s="3" t="str">
        <f>IF(SISTEMA!A779="","",SISTEMA!A779)</f>
        <v/>
      </c>
      <c r="B785" s="10" t="str">
        <f>IF(SISTEMA!B779="","",VALUE(SISTEMA!B779))</f>
        <v/>
      </c>
      <c r="C785" s="10" t="str">
        <f>IF(SISTEMA!C779="","",SISTEMA!C779)</f>
        <v/>
      </c>
      <c r="D785" s="5" t="str" cm="1">
        <f t="array" ref="D7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5" s="5" t="str" cm="1">
        <f t="array" ref="E7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5" s="5" t="str" cm="1">
        <f t="array" ref="F7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5" t="str" cm="1">
        <f t="array" ref="G7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5" s="4"/>
      <c r="I785" s="3" t="str" cm="1">
        <f t="array" ref="I7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6" spans="1:9" x14ac:dyDescent="0.3">
      <c r="A786" s="3" t="str">
        <f>IF(SISTEMA!A780="","",SISTEMA!A780)</f>
        <v/>
      </c>
      <c r="B786" s="10" t="str">
        <f>IF(SISTEMA!B780="","",VALUE(SISTEMA!B780))</f>
        <v/>
      </c>
      <c r="C786" s="10" t="str">
        <f>IF(SISTEMA!C780="","",SISTEMA!C780)</f>
        <v/>
      </c>
      <c r="D786" s="5" t="str" cm="1">
        <f t="array" ref="D7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6" s="5" t="str" cm="1">
        <f t="array" ref="E7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6" s="5" t="str" cm="1">
        <f t="array" ref="F7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6" t="str" cm="1">
        <f t="array" ref="G7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6" s="4"/>
      <c r="I786" s="3" t="str" cm="1">
        <f t="array" ref="I7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7" spans="1:9" x14ac:dyDescent="0.3">
      <c r="A787" s="3" t="str">
        <f>IF(SISTEMA!A781="","",SISTEMA!A781)</f>
        <v/>
      </c>
      <c r="B787" s="10" t="str">
        <f>IF(SISTEMA!B781="","",VALUE(SISTEMA!B781))</f>
        <v/>
      </c>
      <c r="C787" s="10" t="str">
        <f>IF(SISTEMA!C781="","",SISTEMA!C781)</f>
        <v/>
      </c>
      <c r="D787" s="5" t="str" cm="1">
        <f t="array" ref="D7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7" s="5" t="str" cm="1">
        <f t="array" ref="E7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7" s="5" t="str" cm="1">
        <f t="array" ref="F7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7" t="str" cm="1">
        <f t="array" ref="G7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7" s="4"/>
      <c r="I787" s="3" t="str" cm="1">
        <f t="array" ref="I7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8" spans="1:9" x14ac:dyDescent="0.3">
      <c r="A788" s="3" t="str">
        <f>IF(SISTEMA!A782="","",SISTEMA!A782)</f>
        <v/>
      </c>
      <c r="B788" s="10" t="str">
        <f>IF(SISTEMA!B782="","",VALUE(SISTEMA!B782))</f>
        <v/>
      </c>
      <c r="C788" s="10" t="str">
        <f>IF(SISTEMA!C782="","",SISTEMA!C782)</f>
        <v/>
      </c>
      <c r="D788" s="5" t="str" cm="1">
        <f t="array" ref="D7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8" s="5" t="str" cm="1">
        <f t="array" ref="E7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8" s="5" t="str" cm="1">
        <f t="array" ref="F7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8" t="str" cm="1">
        <f t="array" ref="G7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8" s="4"/>
      <c r="I788" s="3" t="str" cm="1">
        <f t="array" ref="I7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89" spans="1:9" x14ac:dyDescent="0.3">
      <c r="A789" s="3" t="str">
        <f>IF(SISTEMA!A783="","",SISTEMA!A783)</f>
        <v/>
      </c>
      <c r="B789" s="10" t="str">
        <f>IF(SISTEMA!B783="","",VALUE(SISTEMA!B783))</f>
        <v/>
      </c>
      <c r="C789" s="10" t="str">
        <f>IF(SISTEMA!C783="","",SISTEMA!C783)</f>
        <v/>
      </c>
      <c r="D789" s="5" t="str" cm="1">
        <f t="array" ref="D7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89" s="5" t="str" cm="1">
        <f t="array" ref="E7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89" s="5" t="str" cm="1">
        <f t="array" ref="F7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89" t="str" cm="1">
        <f t="array" ref="G7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89" s="4"/>
      <c r="I789" s="3" t="str" cm="1">
        <f t="array" ref="I7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0" spans="1:9" x14ac:dyDescent="0.3">
      <c r="A790" s="3" t="str">
        <f>IF(SISTEMA!A784="","",SISTEMA!A784)</f>
        <v/>
      </c>
      <c r="B790" s="10" t="str">
        <f>IF(SISTEMA!B784="","",VALUE(SISTEMA!B784))</f>
        <v/>
      </c>
      <c r="C790" s="10" t="str">
        <f>IF(SISTEMA!C784="","",SISTEMA!C784)</f>
        <v/>
      </c>
      <c r="D790" s="5" t="str" cm="1">
        <f t="array" ref="D7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0" s="5" t="str" cm="1">
        <f t="array" ref="E7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0" s="5" t="str" cm="1">
        <f t="array" ref="F7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0" t="str" cm="1">
        <f t="array" ref="G7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0" s="4"/>
      <c r="I790" s="3" t="str" cm="1">
        <f t="array" ref="I7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1" spans="1:9" x14ac:dyDescent="0.3">
      <c r="A791" s="3" t="str">
        <f>IF(SISTEMA!A785="","",SISTEMA!A785)</f>
        <v/>
      </c>
      <c r="B791" s="10" t="str">
        <f>IF(SISTEMA!B785="","",VALUE(SISTEMA!B785))</f>
        <v/>
      </c>
      <c r="C791" s="10" t="str">
        <f>IF(SISTEMA!C785="","",SISTEMA!C785)</f>
        <v/>
      </c>
      <c r="D791" s="5" t="str" cm="1">
        <f t="array" ref="D7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1" s="5" t="str" cm="1">
        <f t="array" ref="E7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1" s="5" t="str" cm="1">
        <f t="array" ref="F7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1" t="str" cm="1">
        <f t="array" ref="G7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1" s="4"/>
      <c r="I791" s="3" t="str" cm="1">
        <f t="array" ref="I7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2" spans="1:9" x14ac:dyDescent="0.3">
      <c r="A792" s="3" t="str">
        <f>IF(SISTEMA!A786="","",SISTEMA!A786)</f>
        <v/>
      </c>
      <c r="B792" s="10" t="str">
        <f>IF(SISTEMA!B786="","",VALUE(SISTEMA!B786))</f>
        <v/>
      </c>
      <c r="C792" s="10" t="str">
        <f>IF(SISTEMA!C786="","",SISTEMA!C786)</f>
        <v/>
      </c>
      <c r="D792" s="5" t="str" cm="1">
        <f t="array" ref="D7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2" s="5" t="str" cm="1">
        <f t="array" ref="E7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2" s="5" t="str" cm="1">
        <f t="array" ref="F7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2" t="str" cm="1">
        <f t="array" ref="G7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2" s="4"/>
      <c r="I792" s="3" t="str" cm="1">
        <f t="array" ref="I7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3" spans="1:9" x14ac:dyDescent="0.3">
      <c r="A793" s="3" t="str">
        <f>IF(SISTEMA!A787="","",SISTEMA!A787)</f>
        <v/>
      </c>
      <c r="B793" s="10" t="str">
        <f>IF(SISTEMA!B787="","",VALUE(SISTEMA!B787))</f>
        <v/>
      </c>
      <c r="C793" s="10" t="str">
        <f>IF(SISTEMA!C787="","",SISTEMA!C787)</f>
        <v/>
      </c>
      <c r="D793" s="5" t="str" cm="1">
        <f t="array" ref="D7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3" s="5" t="str" cm="1">
        <f t="array" ref="E7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3" s="5" t="str" cm="1">
        <f t="array" ref="F7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3" t="str" cm="1">
        <f t="array" ref="G7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3" s="4"/>
      <c r="I793" s="3" t="str" cm="1">
        <f t="array" ref="I7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4" spans="1:9" x14ac:dyDescent="0.3">
      <c r="A794" s="3" t="str">
        <f>IF(SISTEMA!A788="","",SISTEMA!A788)</f>
        <v/>
      </c>
      <c r="B794" s="10" t="str">
        <f>IF(SISTEMA!B788="","",VALUE(SISTEMA!B788))</f>
        <v/>
      </c>
      <c r="C794" s="10" t="str">
        <f>IF(SISTEMA!C788="","",SISTEMA!C788)</f>
        <v/>
      </c>
      <c r="D794" s="5" t="str" cm="1">
        <f t="array" ref="D7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4" s="5" t="str" cm="1">
        <f t="array" ref="E7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4" s="5" t="str" cm="1">
        <f t="array" ref="F7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4" t="str" cm="1">
        <f t="array" ref="G7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4" s="4"/>
      <c r="I794" s="3" t="str" cm="1">
        <f t="array" ref="I7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5" spans="1:9" x14ac:dyDescent="0.3">
      <c r="A795" s="3" t="str">
        <f>IF(SISTEMA!A789="","",SISTEMA!A789)</f>
        <v/>
      </c>
      <c r="B795" s="10" t="str">
        <f>IF(SISTEMA!B789="","",VALUE(SISTEMA!B789))</f>
        <v/>
      </c>
      <c r="C795" s="10" t="str">
        <f>IF(SISTEMA!C789="","",SISTEMA!C789)</f>
        <v/>
      </c>
      <c r="D795" s="5" t="str" cm="1">
        <f t="array" ref="D7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5" s="5" t="str" cm="1">
        <f t="array" ref="E7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5" s="5" t="str" cm="1">
        <f t="array" ref="F7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5" t="str" cm="1">
        <f t="array" ref="G7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5" s="4"/>
      <c r="I795" s="3" t="str" cm="1">
        <f t="array" ref="I7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6" spans="1:9" x14ac:dyDescent="0.3">
      <c r="A796" s="3" t="str">
        <f>IF(SISTEMA!A790="","",SISTEMA!A790)</f>
        <v/>
      </c>
      <c r="B796" s="10" t="str">
        <f>IF(SISTEMA!B790="","",VALUE(SISTEMA!B790))</f>
        <v/>
      </c>
      <c r="C796" s="10" t="str">
        <f>IF(SISTEMA!C790="","",SISTEMA!C790)</f>
        <v/>
      </c>
      <c r="D796" s="5" t="str" cm="1">
        <f t="array" ref="D7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6" s="5" t="str" cm="1">
        <f t="array" ref="E7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6" s="5" t="str" cm="1">
        <f t="array" ref="F7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6" t="str" cm="1">
        <f t="array" ref="G7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6" s="4"/>
      <c r="I796" s="3" t="str" cm="1">
        <f t="array" ref="I7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7" spans="1:9" x14ac:dyDescent="0.3">
      <c r="A797" s="3" t="str">
        <f>IF(SISTEMA!A791="","",SISTEMA!A791)</f>
        <v/>
      </c>
      <c r="B797" s="10" t="str">
        <f>IF(SISTEMA!B791="","",VALUE(SISTEMA!B791))</f>
        <v/>
      </c>
      <c r="C797" s="10" t="str">
        <f>IF(SISTEMA!C791="","",SISTEMA!C791)</f>
        <v/>
      </c>
      <c r="D797" s="5" t="str" cm="1">
        <f t="array" ref="D7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7" s="5" t="str" cm="1">
        <f t="array" ref="E7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7" s="5" t="str" cm="1">
        <f t="array" ref="F7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7" t="str" cm="1">
        <f t="array" ref="G7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7" s="4"/>
      <c r="I797" s="3" t="str" cm="1">
        <f t="array" ref="I7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8" spans="1:9" x14ac:dyDescent="0.3">
      <c r="A798" s="3" t="str">
        <f>IF(SISTEMA!A792="","",SISTEMA!A792)</f>
        <v/>
      </c>
      <c r="B798" s="10" t="str">
        <f>IF(SISTEMA!B792="","",VALUE(SISTEMA!B792))</f>
        <v/>
      </c>
      <c r="C798" s="10" t="str">
        <f>IF(SISTEMA!C792="","",SISTEMA!C792)</f>
        <v/>
      </c>
      <c r="D798" s="5" t="str" cm="1">
        <f t="array" ref="D7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8" s="5" t="str" cm="1">
        <f t="array" ref="E7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8" s="5" t="str" cm="1">
        <f t="array" ref="F7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8" t="str" cm="1">
        <f t="array" ref="G7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8" s="4"/>
      <c r="I798" s="3" t="str" cm="1">
        <f t="array" ref="I7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799" spans="1:9" x14ac:dyDescent="0.3">
      <c r="A799" s="3" t="str">
        <f>IF(SISTEMA!A793="","",SISTEMA!A793)</f>
        <v/>
      </c>
      <c r="B799" s="10" t="str">
        <f>IF(SISTEMA!B793="","",VALUE(SISTEMA!B793))</f>
        <v/>
      </c>
      <c r="C799" s="10" t="str">
        <f>IF(SISTEMA!C793="","",SISTEMA!C793)</f>
        <v/>
      </c>
      <c r="D799" s="5" t="str" cm="1">
        <f t="array" ref="D7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799" s="5" t="str" cm="1">
        <f t="array" ref="E7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799" s="5" t="str" cm="1">
        <f t="array" ref="F7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799" t="str" cm="1">
        <f t="array" ref="G7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799" s="4"/>
      <c r="I799" s="3" t="str" cm="1">
        <f t="array" ref="I7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0" spans="1:9" x14ac:dyDescent="0.3">
      <c r="A800" s="3" t="str">
        <f>IF(SISTEMA!A794="","",SISTEMA!A794)</f>
        <v/>
      </c>
      <c r="B800" s="10" t="str">
        <f>IF(SISTEMA!B794="","",VALUE(SISTEMA!B794))</f>
        <v/>
      </c>
      <c r="C800" s="10" t="str">
        <f>IF(SISTEMA!C794="","",SISTEMA!C794)</f>
        <v/>
      </c>
      <c r="D800" s="5" t="str" cm="1">
        <f t="array" ref="D8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0" s="5" t="str" cm="1">
        <f t="array" ref="E8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0" s="5" t="str" cm="1">
        <f t="array" ref="F8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0" t="str" cm="1">
        <f t="array" ref="G8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0" s="4"/>
      <c r="I800" s="3" t="str" cm="1">
        <f t="array" ref="I8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1" spans="1:9" x14ac:dyDescent="0.3">
      <c r="A801" s="3" t="str">
        <f>IF(SISTEMA!A795="","",SISTEMA!A795)</f>
        <v/>
      </c>
      <c r="B801" s="10" t="str">
        <f>IF(SISTEMA!B795="","",VALUE(SISTEMA!B795))</f>
        <v/>
      </c>
      <c r="C801" s="10" t="str">
        <f>IF(SISTEMA!C795="","",SISTEMA!C795)</f>
        <v/>
      </c>
      <c r="D801" s="5" t="str" cm="1">
        <f t="array" ref="D8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1" s="5" t="str" cm="1">
        <f t="array" ref="E8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1" s="5" t="str" cm="1">
        <f t="array" ref="F8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1" t="str" cm="1">
        <f t="array" ref="G8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1" s="4"/>
      <c r="I801" s="3" t="str" cm="1">
        <f t="array" ref="I8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2" spans="1:9" x14ac:dyDescent="0.3">
      <c r="A802" s="3" t="str">
        <f>IF(SISTEMA!A796="","",SISTEMA!A796)</f>
        <v/>
      </c>
      <c r="B802" s="10" t="str">
        <f>IF(SISTEMA!B796="","",VALUE(SISTEMA!B796))</f>
        <v/>
      </c>
      <c r="C802" s="10" t="str">
        <f>IF(SISTEMA!C796="","",SISTEMA!C796)</f>
        <v/>
      </c>
      <c r="D802" s="5" t="str" cm="1">
        <f t="array" ref="D8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2" s="5" t="str" cm="1">
        <f t="array" ref="E8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2" s="5" t="str" cm="1">
        <f t="array" ref="F8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2" t="str" cm="1">
        <f t="array" ref="G8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2" s="4"/>
      <c r="I802" s="3" t="str" cm="1">
        <f t="array" ref="I8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3" spans="1:9" x14ac:dyDescent="0.3">
      <c r="A803" s="3" t="str">
        <f>IF(SISTEMA!A797="","",SISTEMA!A797)</f>
        <v/>
      </c>
      <c r="B803" s="10" t="str">
        <f>IF(SISTEMA!B797="","",VALUE(SISTEMA!B797))</f>
        <v/>
      </c>
      <c r="C803" s="10" t="str">
        <f>IF(SISTEMA!C797="","",SISTEMA!C797)</f>
        <v/>
      </c>
      <c r="D803" s="5" t="str" cm="1">
        <f t="array" ref="D8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3" s="5" t="str" cm="1">
        <f t="array" ref="E8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3" s="5" t="str" cm="1">
        <f t="array" ref="F8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3" t="str" cm="1">
        <f t="array" ref="G8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3" s="4"/>
      <c r="I803" s="3" t="str" cm="1">
        <f t="array" ref="I8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4" spans="1:9" x14ac:dyDescent="0.3">
      <c r="A804" s="3" t="str">
        <f>IF(SISTEMA!A798="","",SISTEMA!A798)</f>
        <v/>
      </c>
      <c r="B804" s="10" t="str">
        <f>IF(SISTEMA!B798="","",VALUE(SISTEMA!B798))</f>
        <v/>
      </c>
      <c r="C804" s="10" t="str">
        <f>IF(SISTEMA!C798="","",SISTEMA!C798)</f>
        <v/>
      </c>
      <c r="D804" s="5" t="str" cm="1">
        <f t="array" ref="D8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4" s="5" t="str" cm="1">
        <f t="array" ref="E8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4" s="5" t="str" cm="1">
        <f t="array" ref="F8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4" t="str" cm="1">
        <f t="array" ref="G8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4" s="4"/>
      <c r="I804" s="3" t="str" cm="1">
        <f t="array" ref="I8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5" spans="1:9" x14ac:dyDescent="0.3">
      <c r="A805" s="3" t="str">
        <f>IF(SISTEMA!A799="","",SISTEMA!A799)</f>
        <v/>
      </c>
      <c r="B805" s="10" t="str">
        <f>IF(SISTEMA!B799="","",VALUE(SISTEMA!B799))</f>
        <v/>
      </c>
      <c r="C805" s="10" t="str">
        <f>IF(SISTEMA!C799="","",SISTEMA!C799)</f>
        <v/>
      </c>
      <c r="D805" s="5" t="str" cm="1">
        <f t="array" ref="D8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5" s="5" t="str" cm="1">
        <f t="array" ref="E8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5" s="5" t="str" cm="1">
        <f t="array" ref="F8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5" t="str" cm="1">
        <f t="array" ref="G8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5" s="4"/>
      <c r="I805" s="3" t="str" cm="1">
        <f t="array" ref="I8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6" spans="1:9" x14ac:dyDescent="0.3">
      <c r="A806" s="3" t="str">
        <f>IF(SISTEMA!A800="","",SISTEMA!A800)</f>
        <v/>
      </c>
      <c r="B806" s="10" t="str">
        <f>IF(SISTEMA!B800="","",VALUE(SISTEMA!B800))</f>
        <v/>
      </c>
      <c r="C806" s="10" t="str">
        <f>IF(SISTEMA!C800="","",SISTEMA!C800)</f>
        <v/>
      </c>
      <c r="D806" s="5" t="str" cm="1">
        <f t="array" ref="D8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6" s="5" t="str" cm="1">
        <f t="array" ref="E8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6" s="5" t="str" cm="1">
        <f t="array" ref="F8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6" t="str" cm="1">
        <f t="array" ref="G8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6" s="4"/>
      <c r="I806" s="3" t="str" cm="1">
        <f t="array" ref="I8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7" spans="1:9" x14ac:dyDescent="0.3">
      <c r="A807" s="3" t="str">
        <f>IF(SISTEMA!A801="","",SISTEMA!A801)</f>
        <v/>
      </c>
      <c r="B807" s="10" t="str">
        <f>IF(SISTEMA!B801="","",VALUE(SISTEMA!B801))</f>
        <v/>
      </c>
      <c r="C807" s="10" t="str">
        <f>IF(SISTEMA!C801="","",SISTEMA!C801)</f>
        <v/>
      </c>
      <c r="D807" s="5" t="str" cm="1">
        <f t="array" ref="D8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7" s="5" t="str" cm="1">
        <f t="array" ref="E8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7" s="5" t="str" cm="1">
        <f t="array" ref="F8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7" t="str" cm="1">
        <f t="array" ref="G8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7" s="4"/>
      <c r="I807" s="3" t="str" cm="1">
        <f t="array" ref="I8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8" spans="1:9" x14ac:dyDescent="0.3">
      <c r="A808" s="3" t="str">
        <f>IF(SISTEMA!A802="","",SISTEMA!A802)</f>
        <v/>
      </c>
      <c r="B808" s="10" t="str">
        <f>IF(SISTEMA!B802="","",VALUE(SISTEMA!B802))</f>
        <v/>
      </c>
      <c r="C808" s="10" t="str">
        <f>IF(SISTEMA!C802="","",SISTEMA!C802)</f>
        <v/>
      </c>
      <c r="D808" s="5" t="str" cm="1">
        <f t="array" ref="D8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8" s="5" t="str" cm="1">
        <f t="array" ref="E8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8" s="5" t="str" cm="1">
        <f t="array" ref="F8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8" t="str" cm="1">
        <f t="array" ref="G8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8" s="4"/>
      <c r="I808" s="3" t="str" cm="1">
        <f t="array" ref="I8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09" spans="1:9" x14ac:dyDescent="0.3">
      <c r="A809" s="3" t="str">
        <f>IF(SISTEMA!A803="","",SISTEMA!A803)</f>
        <v/>
      </c>
      <c r="B809" s="10" t="str">
        <f>IF(SISTEMA!B803="","",VALUE(SISTEMA!B803))</f>
        <v/>
      </c>
      <c r="C809" s="10" t="str">
        <f>IF(SISTEMA!C803="","",SISTEMA!C803)</f>
        <v/>
      </c>
      <c r="D809" s="5" t="str" cm="1">
        <f t="array" ref="D8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09" s="5" t="str" cm="1">
        <f t="array" ref="E8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09" s="5" t="str" cm="1">
        <f t="array" ref="F8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09" t="str" cm="1">
        <f t="array" ref="G8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09" s="4"/>
      <c r="I809" s="3" t="str" cm="1">
        <f t="array" ref="I8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0" spans="1:9" x14ac:dyDescent="0.3">
      <c r="A810" s="3" t="str">
        <f>IF(SISTEMA!A804="","",SISTEMA!A804)</f>
        <v/>
      </c>
      <c r="B810" s="10" t="str">
        <f>IF(SISTEMA!B804="","",VALUE(SISTEMA!B804))</f>
        <v/>
      </c>
      <c r="C810" s="10" t="str">
        <f>IF(SISTEMA!C804="","",SISTEMA!C804)</f>
        <v/>
      </c>
      <c r="D810" s="5" t="str" cm="1">
        <f t="array" ref="D8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0" s="5" t="str" cm="1">
        <f t="array" ref="E8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0" s="5" t="str" cm="1">
        <f t="array" ref="F8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0" t="str" cm="1">
        <f t="array" ref="G8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0" s="4"/>
      <c r="I810" s="3" t="str" cm="1">
        <f t="array" ref="I8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1" spans="1:9" x14ac:dyDescent="0.3">
      <c r="A811" s="3" t="str">
        <f>IF(SISTEMA!A805="","",SISTEMA!A805)</f>
        <v/>
      </c>
      <c r="B811" s="10" t="str">
        <f>IF(SISTEMA!B805="","",VALUE(SISTEMA!B805))</f>
        <v/>
      </c>
      <c r="C811" s="10" t="str">
        <f>IF(SISTEMA!C805="","",SISTEMA!C805)</f>
        <v/>
      </c>
      <c r="D811" s="5" t="str" cm="1">
        <f t="array" ref="D8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1" s="5" t="str" cm="1">
        <f t="array" ref="E8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1" s="5" t="str" cm="1">
        <f t="array" ref="F8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1" t="str" cm="1">
        <f t="array" ref="G8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1" s="4"/>
      <c r="I811" s="3" t="str" cm="1">
        <f t="array" ref="I8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2" spans="1:9" x14ac:dyDescent="0.3">
      <c r="A812" s="3" t="str">
        <f>IF(SISTEMA!A806="","",SISTEMA!A806)</f>
        <v/>
      </c>
      <c r="B812" s="10" t="str">
        <f>IF(SISTEMA!B806="","",VALUE(SISTEMA!B806))</f>
        <v/>
      </c>
      <c r="C812" s="10" t="str">
        <f>IF(SISTEMA!C806="","",SISTEMA!C806)</f>
        <v/>
      </c>
      <c r="D812" s="5" t="str" cm="1">
        <f t="array" ref="D8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2" s="5" t="str" cm="1">
        <f t="array" ref="E8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2" s="5" t="str" cm="1">
        <f t="array" ref="F8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2" t="str" cm="1">
        <f t="array" ref="G8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2" s="4"/>
      <c r="I812" s="3" t="str" cm="1">
        <f t="array" ref="I8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3" spans="1:9" x14ac:dyDescent="0.3">
      <c r="A813" s="3" t="str">
        <f>IF(SISTEMA!A807="","",SISTEMA!A807)</f>
        <v/>
      </c>
      <c r="B813" s="10" t="str">
        <f>IF(SISTEMA!B807="","",VALUE(SISTEMA!B807))</f>
        <v/>
      </c>
      <c r="C813" s="10" t="str">
        <f>IF(SISTEMA!C807="","",SISTEMA!C807)</f>
        <v/>
      </c>
      <c r="D813" s="5" t="str" cm="1">
        <f t="array" ref="D8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3" s="5" t="str" cm="1">
        <f t="array" ref="E8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3" s="5" t="str" cm="1">
        <f t="array" ref="F8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3" t="str" cm="1">
        <f t="array" ref="G8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3" s="4"/>
      <c r="I813" s="3" t="str" cm="1">
        <f t="array" ref="I8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4" spans="1:9" x14ac:dyDescent="0.3">
      <c r="A814" s="3" t="str">
        <f>IF(SISTEMA!A808="","",SISTEMA!A808)</f>
        <v/>
      </c>
      <c r="B814" s="10" t="str">
        <f>IF(SISTEMA!B808="","",VALUE(SISTEMA!B808))</f>
        <v/>
      </c>
      <c r="C814" s="10" t="str">
        <f>IF(SISTEMA!C808="","",SISTEMA!C808)</f>
        <v/>
      </c>
      <c r="D814" s="5" t="str" cm="1">
        <f t="array" ref="D8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4" s="5" t="str" cm="1">
        <f t="array" ref="E8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4" s="5" t="str" cm="1">
        <f t="array" ref="F8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4" t="str" cm="1">
        <f t="array" ref="G8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4" s="4"/>
      <c r="I814" s="3" t="str" cm="1">
        <f t="array" ref="I8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5" spans="1:9" x14ac:dyDescent="0.3">
      <c r="A815" s="3" t="str">
        <f>IF(SISTEMA!A809="","",SISTEMA!A809)</f>
        <v/>
      </c>
      <c r="B815" s="10" t="str">
        <f>IF(SISTEMA!B809="","",VALUE(SISTEMA!B809))</f>
        <v/>
      </c>
      <c r="C815" s="10" t="str">
        <f>IF(SISTEMA!C809="","",SISTEMA!C809)</f>
        <v/>
      </c>
      <c r="D815" s="5" t="str" cm="1">
        <f t="array" ref="D8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5" s="5" t="str" cm="1">
        <f t="array" ref="E8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5" s="5" t="str" cm="1">
        <f t="array" ref="F8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5" t="str" cm="1">
        <f t="array" ref="G8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5" s="4"/>
      <c r="I815" s="3" t="str" cm="1">
        <f t="array" ref="I8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6" spans="1:9" x14ac:dyDescent="0.3">
      <c r="A816" s="3" t="str">
        <f>IF(SISTEMA!A810="","",SISTEMA!A810)</f>
        <v/>
      </c>
      <c r="B816" s="10" t="str">
        <f>IF(SISTEMA!B810="","",VALUE(SISTEMA!B810))</f>
        <v/>
      </c>
      <c r="C816" s="10" t="str">
        <f>IF(SISTEMA!C810="","",SISTEMA!C810)</f>
        <v/>
      </c>
      <c r="D816" s="5" t="str" cm="1">
        <f t="array" ref="D8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6" s="5" t="str" cm="1">
        <f t="array" ref="E8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6" s="5" t="str" cm="1">
        <f t="array" ref="F8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6" t="str" cm="1">
        <f t="array" ref="G8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6" s="4"/>
      <c r="I816" s="3" t="str" cm="1">
        <f t="array" ref="I8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7" spans="1:9" x14ac:dyDescent="0.3">
      <c r="A817" s="3" t="str">
        <f>IF(SISTEMA!A811="","",SISTEMA!A811)</f>
        <v/>
      </c>
      <c r="B817" s="10" t="str">
        <f>IF(SISTEMA!B811="","",VALUE(SISTEMA!B811))</f>
        <v/>
      </c>
      <c r="C817" s="10" t="str">
        <f>IF(SISTEMA!C811="","",SISTEMA!C811)</f>
        <v/>
      </c>
      <c r="D817" s="5" t="str" cm="1">
        <f t="array" ref="D8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7" s="5" t="str" cm="1">
        <f t="array" ref="E8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7" s="5" t="str" cm="1">
        <f t="array" ref="F8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7" t="str" cm="1">
        <f t="array" ref="G8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7" s="4"/>
      <c r="I817" s="3" t="str" cm="1">
        <f t="array" ref="I8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8" spans="1:9" x14ac:dyDescent="0.3">
      <c r="A818" s="3" t="str">
        <f>IF(SISTEMA!A812="","",SISTEMA!A812)</f>
        <v/>
      </c>
      <c r="B818" s="10" t="str">
        <f>IF(SISTEMA!B812="","",VALUE(SISTEMA!B812))</f>
        <v/>
      </c>
      <c r="C818" s="10" t="str">
        <f>IF(SISTEMA!C812="","",SISTEMA!C812)</f>
        <v/>
      </c>
      <c r="D818" s="5" t="str" cm="1">
        <f t="array" ref="D8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8" s="5" t="str" cm="1">
        <f t="array" ref="E8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8" s="5" t="str" cm="1">
        <f t="array" ref="F8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8" t="str" cm="1">
        <f t="array" ref="G8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8" s="4"/>
      <c r="I818" s="3" t="str" cm="1">
        <f t="array" ref="I8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19" spans="1:9" x14ac:dyDescent="0.3">
      <c r="A819" s="3" t="str">
        <f>IF(SISTEMA!A813="","",SISTEMA!A813)</f>
        <v/>
      </c>
      <c r="B819" s="10" t="str">
        <f>IF(SISTEMA!B813="","",VALUE(SISTEMA!B813))</f>
        <v/>
      </c>
      <c r="C819" s="10" t="str">
        <f>IF(SISTEMA!C813="","",SISTEMA!C813)</f>
        <v/>
      </c>
      <c r="D819" s="5" t="str" cm="1">
        <f t="array" ref="D8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19" s="5" t="str" cm="1">
        <f t="array" ref="E8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19" s="5" t="str" cm="1">
        <f t="array" ref="F8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19" t="str" cm="1">
        <f t="array" ref="G8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19" s="4"/>
      <c r="I819" s="3" t="str" cm="1">
        <f t="array" ref="I8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0" spans="1:9" x14ac:dyDescent="0.3">
      <c r="A820" s="3" t="str">
        <f>IF(SISTEMA!A814="","",SISTEMA!A814)</f>
        <v/>
      </c>
      <c r="B820" s="10" t="str">
        <f>IF(SISTEMA!B814="","",VALUE(SISTEMA!B814))</f>
        <v/>
      </c>
      <c r="C820" s="10" t="str">
        <f>IF(SISTEMA!C814="","",SISTEMA!C814)</f>
        <v/>
      </c>
      <c r="D820" s="5" t="str" cm="1">
        <f t="array" ref="D8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0" s="5" t="str" cm="1">
        <f t="array" ref="E8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0" s="5" t="str" cm="1">
        <f t="array" ref="F8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0" t="str" cm="1">
        <f t="array" ref="G8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0" s="4"/>
      <c r="I820" s="3" t="str" cm="1">
        <f t="array" ref="I8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1" spans="1:9" x14ac:dyDescent="0.3">
      <c r="A821" s="3" t="str">
        <f>IF(SISTEMA!A815="","",SISTEMA!A815)</f>
        <v/>
      </c>
      <c r="B821" s="10" t="str">
        <f>IF(SISTEMA!B815="","",VALUE(SISTEMA!B815))</f>
        <v/>
      </c>
      <c r="C821" s="10" t="str">
        <f>IF(SISTEMA!C815="","",SISTEMA!C815)</f>
        <v/>
      </c>
      <c r="D821" s="5" t="str" cm="1">
        <f t="array" ref="D8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1" s="5" t="str" cm="1">
        <f t="array" ref="E8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1" s="5" t="str" cm="1">
        <f t="array" ref="F8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1" t="str" cm="1">
        <f t="array" ref="G8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1" s="4"/>
      <c r="I821" s="3" t="str" cm="1">
        <f t="array" ref="I8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2" spans="1:9" x14ac:dyDescent="0.3">
      <c r="A822" s="3" t="str">
        <f>IF(SISTEMA!A816="","",SISTEMA!A816)</f>
        <v/>
      </c>
      <c r="B822" s="10" t="str">
        <f>IF(SISTEMA!B816="","",VALUE(SISTEMA!B816))</f>
        <v/>
      </c>
      <c r="C822" s="10" t="str">
        <f>IF(SISTEMA!C816="","",SISTEMA!C816)</f>
        <v/>
      </c>
      <c r="D822" s="5" t="str" cm="1">
        <f t="array" ref="D8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2" s="5" t="str" cm="1">
        <f t="array" ref="E8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2" s="5" t="str" cm="1">
        <f t="array" ref="F8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2" t="str" cm="1">
        <f t="array" ref="G8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2" s="4"/>
      <c r="I822" s="3" t="str" cm="1">
        <f t="array" ref="I8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3" spans="1:9" x14ac:dyDescent="0.3">
      <c r="A823" s="3" t="str">
        <f>IF(SISTEMA!A817="","",SISTEMA!A817)</f>
        <v/>
      </c>
      <c r="B823" s="10" t="str">
        <f>IF(SISTEMA!B817="","",VALUE(SISTEMA!B817))</f>
        <v/>
      </c>
      <c r="C823" s="10" t="str">
        <f>IF(SISTEMA!C817="","",SISTEMA!C817)</f>
        <v/>
      </c>
      <c r="D823" s="5" t="str" cm="1">
        <f t="array" ref="D8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3" s="5" t="str" cm="1">
        <f t="array" ref="E8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3" s="5" t="str" cm="1">
        <f t="array" ref="F8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3" t="str" cm="1">
        <f t="array" ref="G8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3" s="4"/>
      <c r="I823" s="3" t="str" cm="1">
        <f t="array" ref="I8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4" spans="1:9" x14ac:dyDescent="0.3">
      <c r="A824" s="3" t="str">
        <f>IF(SISTEMA!A818="","",SISTEMA!A818)</f>
        <v/>
      </c>
      <c r="B824" s="10" t="str">
        <f>IF(SISTEMA!B818="","",VALUE(SISTEMA!B818))</f>
        <v/>
      </c>
      <c r="C824" s="10" t="str">
        <f>IF(SISTEMA!C818="","",SISTEMA!C818)</f>
        <v/>
      </c>
      <c r="D824" s="5" t="str" cm="1">
        <f t="array" ref="D8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4" s="5" t="str" cm="1">
        <f t="array" ref="E8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4" s="5" t="str" cm="1">
        <f t="array" ref="F8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4" t="str" cm="1">
        <f t="array" ref="G8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4" s="4"/>
      <c r="I824" s="3" t="str" cm="1">
        <f t="array" ref="I8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5" spans="1:9" x14ac:dyDescent="0.3">
      <c r="A825" s="3" t="str">
        <f>IF(SISTEMA!A819="","",SISTEMA!A819)</f>
        <v/>
      </c>
      <c r="B825" s="10" t="str">
        <f>IF(SISTEMA!B819="","",VALUE(SISTEMA!B819))</f>
        <v/>
      </c>
      <c r="C825" s="10" t="str">
        <f>IF(SISTEMA!C819="","",SISTEMA!C819)</f>
        <v/>
      </c>
      <c r="D825" s="5" t="str" cm="1">
        <f t="array" ref="D8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5" s="5" t="str" cm="1">
        <f t="array" ref="E8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5" s="5" t="str" cm="1">
        <f t="array" ref="F8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5" t="str" cm="1">
        <f t="array" ref="G8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5" s="4"/>
      <c r="I825" s="3" t="str" cm="1">
        <f t="array" ref="I8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6" spans="1:9" x14ac:dyDescent="0.3">
      <c r="A826" s="3" t="str">
        <f>IF(SISTEMA!A820="","",SISTEMA!A820)</f>
        <v/>
      </c>
      <c r="B826" s="10" t="str">
        <f>IF(SISTEMA!B820="","",VALUE(SISTEMA!B820))</f>
        <v/>
      </c>
      <c r="C826" s="10" t="str">
        <f>IF(SISTEMA!C820="","",SISTEMA!C820)</f>
        <v/>
      </c>
      <c r="D826" s="5" t="str" cm="1">
        <f t="array" ref="D8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6" s="5" t="str" cm="1">
        <f t="array" ref="E8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6" s="5" t="str" cm="1">
        <f t="array" ref="F8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6" t="str" cm="1">
        <f t="array" ref="G8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6" s="4"/>
      <c r="I826" s="3" t="str" cm="1">
        <f t="array" ref="I8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7" spans="1:9" x14ac:dyDescent="0.3">
      <c r="A827" s="3" t="str">
        <f>IF(SISTEMA!A821="","",SISTEMA!A821)</f>
        <v/>
      </c>
      <c r="B827" s="10" t="str">
        <f>IF(SISTEMA!B821="","",VALUE(SISTEMA!B821))</f>
        <v/>
      </c>
      <c r="C827" s="10" t="str">
        <f>IF(SISTEMA!C821="","",SISTEMA!C821)</f>
        <v/>
      </c>
      <c r="D827" s="5" t="str" cm="1">
        <f t="array" ref="D8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7" s="5" t="str" cm="1">
        <f t="array" ref="E8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7" s="5" t="str" cm="1">
        <f t="array" ref="F8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7" t="str" cm="1">
        <f t="array" ref="G8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7" s="4"/>
      <c r="I827" s="3" t="str" cm="1">
        <f t="array" ref="I8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8" spans="1:9" x14ac:dyDescent="0.3">
      <c r="A828" s="3" t="str">
        <f>IF(SISTEMA!A822="","",SISTEMA!A822)</f>
        <v/>
      </c>
      <c r="B828" s="10" t="str">
        <f>IF(SISTEMA!B822="","",VALUE(SISTEMA!B822))</f>
        <v/>
      </c>
      <c r="C828" s="10" t="str">
        <f>IF(SISTEMA!C822="","",SISTEMA!C822)</f>
        <v/>
      </c>
      <c r="D828" s="5" t="str" cm="1">
        <f t="array" ref="D8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8" s="5" t="str" cm="1">
        <f t="array" ref="E8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8" s="5" t="str" cm="1">
        <f t="array" ref="F8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8" t="str" cm="1">
        <f t="array" ref="G8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8" s="4"/>
      <c r="I828" s="3" t="str" cm="1">
        <f t="array" ref="I8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29" spans="1:9" x14ac:dyDescent="0.3">
      <c r="A829" s="3" t="str">
        <f>IF(SISTEMA!A823="","",SISTEMA!A823)</f>
        <v/>
      </c>
      <c r="B829" s="10" t="str">
        <f>IF(SISTEMA!B823="","",VALUE(SISTEMA!B823))</f>
        <v/>
      </c>
      <c r="C829" s="10" t="str">
        <f>IF(SISTEMA!C823="","",SISTEMA!C823)</f>
        <v/>
      </c>
      <c r="D829" s="5" t="str" cm="1">
        <f t="array" ref="D8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29" s="5" t="str" cm="1">
        <f t="array" ref="E8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29" s="5" t="str" cm="1">
        <f t="array" ref="F8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29" t="str" cm="1">
        <f t="array" ref="G8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29" s="4"/>
      <c r="I829" s="3" t="str" cm="1">
        <f t="array" ref="I8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0" spans="1:9" x14ac:dyDescent="0.3">
      <c r="A830" s="3" t="str">
        <f>IF(SISTEMA!A824="","",SISTEMA!A824)</f>
        <v/>
      </c>
      <c r="B830" s="10" t="str">
        <f>IF(SISTEMA!B824="","",VALUE(SISTEMA!B824))</f>
        <v/>
      </c>
      <c r="C830" s="10" t="str">
        <f>IF(SISTEMA!C824="","",SISTEMA!C824)</f>
        <v/>
      </c>
      <c r="D830" s="5" t="str" cm="1">
        <f t="array" ref="D8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0" s="5" t="str" cm="1">
        <f t="array" ref="E8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0" s="5" t="str" cm="1">
        <f t="array" ref="F8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0" t="str" cm="1">
        <f t="array" ref="G8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0" s="4"/>
      <c r="I830" s="3" t="str" cm="1">
        <f t="array" ref="I8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1" spans="1:9" x14ac:dyDescent="0.3">
      <c r="A831" s="3" t="str">
        <f>IF(SISTEMA!A825="","",SISTEMA!A825)</f>
        <v/>
      </c>
      <c r="B831" s="10" t="str">
        <f>IF(SISTEMA!B825="","",VALUE(SISTEMA!B825))</f>
        <v/>
      </c>
      <c r="C831" s="10" t="str">
        <f>IF(SISTEMA!C825="","",SISTEMA!C825)</f>
        <v/>
      </c>
      <c r="D831" s="5" t="str" cm="1">
        <f t="array" ref="D8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1" s="5" t="str" cm="1">
        <f t="array" ref="E8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1" s="5" t="str" cm="1">
        <f t="array" ref="F8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1" t="str" cm="1">
        <f t="array" ref="G8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1" s="4"/>
      <c r="I831" s="3" t="str" cm="1">
        <f t="array" ref="I8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2" spans="1:9" x14ac:dyDescent="0.3">
      <c r="A832" s="3" t="str">
        <f>IF(SISTEMA!A826="","",SISTEMA!A826)</f>
        <v/>
      </c>
      <c r="B832" s="10" t="str">
        <f>IF(SISTEMA!B826="","",VALUE(SISTEMA!B826))</f>
        <v/>
      </c>
      <c r="C832" s="10" t="str">
        <f>IF(SISTEMA!C826="","",SISTEMA!C826)</f>
        <v/>
      </c>
      <c r="D832" s="5" t="str" cm="1">
        <f t="array" ref="D8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2" s="5" t="str" cm="1">
        <f t="array" ref="E8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2" s="5" t="str" cm="1">
        <f t="array" ref="F8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2" t="str" cm="1">
        <f t="array" ref="G8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2" s="4"/>
      <c r="I832" s="3" t="str" cm="1">
        <f t="array" ref="I8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3" spans="1:9" x14ac:dyDescent="0.3">
      <c r="A833" s="3" t="str">
        <f>IF(SISTEMA!A827="","",SISTEMA!A827)</f>
        <v/>
      </c>
      <c r="B833" s="10" t="str">
        <f>IF(SISTEMA!B827="","",VALUE(SISTEMA!B827))</f>
        <v/>
      </c>
      <c r="C833" s="10" t="str">
        <f>IF(SISTEMA!C827="","",SISTEMA!C827)</f>
        <v/>
      </c>
      <c r="D833" s="5" t="str" cm="1">
        <f t="array" ref="D8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3" s="5" t="str" cm="1">
        <f t="array" ref="E8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3" s="5" t="str" cm="1">
        <f t="array" ref="F8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3" t="str" cm="1">
        <f t="array" ref="G8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3" s="4"/>
      <c r="I833" s="3" t="str" cm="1">
        <f t="array" ref="I8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4" spans="1:9" x14ac:dyDescent="0.3">
      <c r="A834" s="3" t="str">
        <f>IF(SISTEMA!A828="","",SISTEMA!A828)</f>
        <v/>
      </c>
      <c r="B834" s="10" t="str">
        <f>IF(SISTEMA!B828="","",VALUE(SISTEMA!B828))</f>
        <v/>
      </c>
      <c r="C834" s="10" t="str">
        <f>IF(SISTEMA!C828="","",SISTEMA!C828)</f>
        <v/>
      </c>
      <c r="D834" s="5" t="str" cm="1">
        <f t="array" ref="D8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4" s="5" t="str" cm="1">
        <f t="array" ref="E8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4" s="5" t="str" cm="1">
        <f t="array" ref="F8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4" t="str" cm="1">
        <f t="array" ref="G8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4" s="4"/>
      <c r="I834" s="3" t="str" cm="1">
        <f t="array" ref="I8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5" spans="1:9" x14ac:dyDescent="0.3">
      <c r="A835" s="3" t="str">
        <f>IF(SISTEMA!A829="","",SISTEMA!A829)</f>
        <v/>
      </c>
      <c r="B835" s="10" t="str">
        <f>IF(SISTEMA!B829="","",VALUE(SISTEMA!B829))</f>
        <v/>
      </c>
      <c r="C835" s="10" t="str">
        <f>IF(SISTEMA!C829="","",SISTEMA!C829)</f>
        <v/>
      </c>
      <c r="D835" s="5" t="str" cm="1">
        <f t="array" ref="D8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5" s="5" t="str" cm="1">
        <f t="array" ref="E8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5" s="5" t="str" cm="1">
        <f t="array" ref="F8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5" t="str" cm="1">
        <f t="array" ref="G8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5" s="4"/>
      <c r="I835" s="3" t="str" cm="1">
        <f t="array" ref="I8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6" spans="1:9" x14ac:dyDescent="0.3">
      <c r="A836" s="3" t="str">
        <f>IF(SISTEMA!A830="","",SISTEMA!A830)</f>
        <v/>
      </c>
      <c r="B836" s="10" t="str">
        <f>IF(SISTEMA!B830="","",VALUE(SISTEMA!B830))</f>
        <v/>
      </c>
      <c r="C836" s="10" t="str">
        <f>IF(SISTEMA!C830="","",SISTEMA!C830)</f>
        <v/>
      </c>
      <c r="D836" s="5" t="str" cm="1">
        <f t="array" ref="D8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6" s="5" t="str" cm="1">
        <f t="array" ref="E8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6" s="5" t="str" cm="1">
        <f t="array" ref="F8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6" t="str" cm="1">
        <f t="array" ref="G8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6" s="4"/>
      <c r="I836" s="3" t="str" cm="1">
        <f t="array" ref="I8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7" spans="1:9" x14ac:dyDescent="0.3">
      <c r="A837" s="3" t="str">
        <f>IF(SISTEMA!A831="","",SISTEMA!A831)</f>
        <v/>
      </c>
      <c r="B837" s="10" t="str">
        <f>IF(SISTEMA!B831="","",VALUE(SISTEMA!B831))</f>
        <v/>
      </c>
      <c r="C837" s="10" t="str">
        <f>IF(SISTEMA!C831="","",SISTEMA!C831)</f>
        <v/>
      </c>
      <c r="D837" s="5" t="str" cm="1">
        <f t="array" ref="D8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7" s="5" t="str" cm="1">
        <f t="array" ref="E8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7" s="5" t="str" cm="1">
        <f t="array" ref="F8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7" t="str" cm="1">
        <f t="array" ref="G8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7" s="4"/>
      <c r="I837" s="3" t="str" cm="1">
        <f t="array" ref="I8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8" spans="1:9" x14ac:dyDescent="0.3">
      <c r="A838" s="3" t="str">
        <f>IF(SISTEMA!A832="","",SISTEMA!A832)</f>
        <v/>
      </c>
      <c r="B838" s="10" t="str">
        <f>IF(SISTEMA!B832="","",VALUE(SISTEMA!B832))</f>
        <v/>
      </c>
      <c r="C838" s="10" t="str">
        <f>IF(SISTEMA!C832="","",SISTEMA!C832)</f>
        <v/>
      </c>
      <c r="D838" s="5" t="str" cm="1">
        <f t="array" ref="D8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8" s="5" t="str" cm="1">
        <f t="array" ref="E8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8" s="5" t="str" cm="1">
        <f t="array" ref="F8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8" t="str" cm="1">
        <f t="array" ref="G8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8" s="4"/>
      <c r="I838" s="3" t="str" cm="1">
        <f t="array" ref="I8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39" spans="1:9" x14ac:dyDescent="0.3">
      <c r="A839" s="3" t="str">
        <f>IF(SISTEMA!A833="","",SISTEMA!A833)</f>
        <v/>
      </c>
      <c r="B839" s="10" t="str">
        <f>IF(SISTEMA!B833="","",VALUE(SISTEMA!B833))</f>
        <v/>
      </c>
      <c r="C839" s="10" t="str">
        <f>IF(SISTEMA!C833="","",SISTEMA!C833)</f>
        <v/>
      </c>
      <c r="D839" s="5" t="str" cm="1">
        <f t="array" ref="D8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39" s="5" t="str" cm="1">
        <f t="array" ref="E8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39" s="5" t="str" cm="1">
        <f t="array" ref="F8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39" t="str" cm="1">
        <f t="array" ref="G8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39" s="4"/>
      <c r="I839" s="3" t="str" cm="1">
        <f t="array" ref="I8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0" spans="1:9" x14ac:dyDescent="0.3">
      <c r="A840" s="3" t="str">
        <f>IF(SISTEMA!A834="","",SISTEMA!A834)</f>
        <v/>
      </c>
      <c r="B840" s="10" t="str">
        <f>IF(SISTEMA!B834="","",VALUE(SISTEMA!B834))</f>
        <v/>
      </c>
      <c r="C840" s="10" t="str">
        <f>IF(SISTEMA!C834="","",SISTEMA!C834)</f>
        <v/>
      </c>
      <c r="D840" s="5" t="str" cm="1">
        <f t="array" ref="D8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0" s="5" t="str" cm="1">
        <f t="array" ref="E8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0" s="5" t="str" cm="1">
        <f t="array" ref="F8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0" t="str" cm="1">
        <f t="array" ref="G8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0" s="4"/>
      <c r="I840" s="3" t="str" cm="1">
        <f t="array" ref="I8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1" spans="1:9" x14ac:dyDescent="0.3">
      <c r="A841" s="3" t="str">
        <f>IF(SISTEMA!A835="","",SISTEMA!A835)</f>
        <v/>
      </c>
      <c r="B841" s="10" t="str">
        <f>IF(SISTEMA!B835="","",VALUE(SISTEMA!B835))</f>
        <v/>
      </c>
      <c r="C841" s="10" t="str">
        <f>IF(SISTEMA!C835="","",SISTEMA!C835)</f>
        <v/>
      </c>
      <c r="D841" s="5" t="str" cm="1">
        <f t="array" ref="D8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1" s="5" t="str" cm="1">
        <f t="array" ref="E8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1" s="5" t="str" cm="1">
        <f t="array" ref="F8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1" t="str" cm="1">
        <f t="array" ref="G8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1" s="4"/>
      <c r="I841" s="3" t="str" cm="1">
        <f t="array" ref="I8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2" spans="1:9" x14ac:dyDescent="0.3">
      <c r="A842" s="3" t="str">
        <f>IF(SISTEMA!A836="","",SISTEMA!A836)</f>
        <v/>
      </c>
      <c r="B842" s="10" t="str">
        <f>IF(SISTEMA!B836="","",VALUE(SISTEMA!B836))</f>
        <v/>
      </c>
      <c r="C842" s="10" t="str">
        <f>IF(SISTEMA!C836="","",SISTEMA!C836)</f>
        <v/>
      </c>
      <c r="D842" s="5" t="str" cm="1">
        <f t="array" ref="D8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2" s="5" t="str" cm="1">
        <f t="array" ref="E8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2" s="5" t="str" cm="1">
        <f t="array" ref="F8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2" t="str" cm="1">
        <f t="array" ref="G8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2" s="4"/>
      <c r="I842" s="3" t="str" cm="1">
        <f t="array" ref="I8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3" spans="1:9" x14ac:dyDescent="0.3">
      <c r="A843" s="3" t="str">
        <f>IF(SISTEMA!A837="","",SISTEMA!A837)</f>
        <v/>
      </c>
      <c r="B843" s="10" t="str">
        <f>IF(SISTEMA!B837="","",VALUE(SISTEMA!B837))</f>
        <v/>
      </c>
      <c r="C843" s="10" t="str">
        <f>IF(SISTEMA!C837="","",SISTEMA!C837)</f>
        <v/>
      </c>
      <c r="D843" s="5" t="str" cm="1">
        <f t="array" ref="D8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3" s="5" t="str" cm="1">
        <f t="array" ref="E8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3" s="5" t="str" cm="1">
        <f t="array" ref="F8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3" t="str" cm="1">
        <f t="array" ref="G8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3" s="4"/>
      <c r="I843" s="3" t="str" cm="1">
        <f t="array" ref="I8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4" spans="1:9" x14ac:dyDescent="0.3">
      <c r="A844" s="3" t="str">
        <f>IF(SISTEMA!A838="","",SISTEMA!A838)</f>
        <v/>
      </c>
      <c r="B844" s="10" t="str">
        <f>IF(SISTEMA!B838="","",VALUE(SISTEMA!B838))</f>
        <v/>
      </c>
      <c r="C844" s="10" t="str">
        <f>IF(SISTEMA!C838="","",SISTEMA!C838)</f>
        <v/>
      </c>
      <c r="D844" s="5" t="str" cm="1">
        <f t="array" ref="D8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4" s="5" t="str" cm="1">
        <f t="array" ref="E8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4" s="5" t="str" cm="1">
        <f t="array" ref="F8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4" t="str" cm="1">
        <f t="array" ref="G8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4" s="4"/>
      <c r="I844" s="3" t="str" cm="1">
        <f t="array" ref="I8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5" spans="1:9" x14ac:dyDescent="0.3">
      <c r="A845" s="3" t="str">
        <f>IF(SISTEMA!A839="","",SISTEMA!A839)</f>
        <v/>
      </c>
      <c r="B845" s="10" t="str">
        <f>IF(SISTEMA!B839="","",VALUE(SISTEMA!B839))</f>
        <v/>
      </c>
      <c r="C845" s="10" t="str">
        <f>IF(SISTEMA!C839="","",SISTEMA!C839)</f>
        <v/>
      </c>
      <c r="D845" s="5" t="str" cm="1">
        <f t="array" ref="D8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5" s="5" t="str" cm="1">
        <f t="array" ref="E8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5" s="5" t="str" cm="1">
        <f t="array" ref="F8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5" t="str" cm="1">
        <f t="array" ref="G8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5" s="4"/>
      <c r="I845" s="3" t="str" cm="1">
        <f t="array" ref="I8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6" spans="1:9" x14ac:dyDescent="0.3">
      <c r="A846" s="3" t="str">
        <f>IF(SISTEMA!A840="","",SISTEMA!A840)</f>
        <v/>
      </c>
      <c r="B846" s="10" t="str">
        <f>IF(SISTEMA!B840="","",VALUE(SISTEMA!B840))</f>
        <v/>
      </c>
      <c r="C846" s="10" t="str">
        <f>IF(SISTEMA!C840="","",SISTEMA!C840)</f>
        <v/>
      </c>
      <c r="D846" s="5" t="str" cm="1">
        <f t="array" ref="D8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6" s="5" t="str" cm="1">
        <f t="array" ref="E8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6" s="5" t="str" cm="1">
        <f t="array" ref="F8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6" t="str" cm="1">
        <f t="array" ref="G8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6" s="4"/>
      <c r="I846" s="3" t="str" cm="1">
        <f t="array" ref="I8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7" spans="1:9" x14ac:dyDescent="0.3">
      <c r="A847" s="3" t="str">
        <f>IF(SISTEMA!A841="","",SISTEMA!A841)</f>
        <v/>
      </c>
      <c r="B847" s="10" t="str">
        <f>IF(SISTEMA!B841="","",VALUE(SISTEMA!B841))</f>
        <v/>
      </c>
      <c r="C847" s="10" t="str">
        <f>IF(SISTEMA!C841="","",SISTEMA!C841)</f>
        <v/>
      </c>
      <c r="D847" s="5" t="str" cm="1">
        <f t="array" ref="D8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7" s="5" t="str" cm="1">
        <f t="array" ref="E8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7" s="5" t="str" cm="1">
        <f t="array" ref="F8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7" t="str" cm="1">
        <f t="array" ref="G8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7" s="4"/>
      <c r="I847" s="3" t="str" cm="1">
        <f t="array" ref="I8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8" spans="1:9" x14ac:dyDescent="0.3">
      <c r="A848" s="3" t="str">
        <f>IF(SISTEMA!A842="","",SISTEMA!A842)</f>
        <v/>
      </c>
      <c r="B848" s="10" t="str">
        <f>IF(SISTEMA!B842="","",VALUE(SISTEMA!B842))</f>
        <v/>
      </c>
      <c r="C848" s="10" t="str">
        <f>IF(SISTEMA!C842="","",SISTEMA!C842)</f>
        <v/>
      </c>
      <c r="D848" s="5" t="str" cm="1">
        <f t="array" ref="D8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8" s="5" t="str" cm="1">
        <f t="array" ref="E8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8" s="5" t="str" cm="1">
        <f t="array" ref="F8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8" t="str" cm="1">
        <f t="array" ref="G8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8" s="4"/>
      <c r="I848" s="3" t="str" cm="1">
        <f t="array" ref="I8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49" spans="1:9" x14ac:dyDescent="0.3">
      <c r="A849" s="3" t="str">
        <f>IF(SISTEMA!A843="","",SISTEMA!A843)</f>
        <v/>
      </c>
      <c r="B849" s="10" t="str">
        <f>IF(SISTEMA!B843="","",VALUE(SISTEMA!B843))</f>
        <v/>
      </c>
      <c r="C849" s="10" t="str">
        <f>IF(SISTEMA!C843="","",SISTEMA!C843)</f>
        <v/>
      </c>
      <c r="D849" s="5" t="str" cm="1">
        <f t="array" ref="D8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49" s="5" t="str" cm="1">
        <f t="array" ref="E8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49" s="5" t="str" cm="1">
        <f t="array" ref="F8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49" t="str" cm="1">
        <f t="array" ref="G8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49" s="4"/>
      <c r="I849" s="3" t="str" cm="1">
        <f t="array" ref="I8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0" spans="1:9" x14ac:dyDescent="0.3">
      <c r="A850" s="3" t="str">
        <f>IF(SISTEMA!A844="","",SISTEMA!A844)</f>
        <v/>
      </c>
      <c r="B850" s="10" t="str">
        <f>IF(SISTEMA!B844="","",VALUE(SISTEMA!B844))</f>
        <v/>
      </c>
      <c r="C850" s="10" t="str">
        <f>IF(SISTEMA!C844="","",SISTEMA!C844)</f>
        <v/>
      </c>
      <c r="D850" s="5" t="str" cm="1">
        <f t="array" ref="D8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0" s="5" t="str" cm="1">
        <f t="array" ref="E8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0" s="5" t="str" cm="1">
        <f t="array" ref="F8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0" t="str" cm="1">
        <f t="array" ref="G8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0" s="4"/>
      <c r="I850" s="3" t="str" cm="1">
        <f t="array" ref="I8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1" spans="1:9" x14ac:dyDescent="0.3">
      <c r="A851" s="3" t="str">
        <f>IF(SISTEMA!A845="","",SISTEMA!A845)</f>
        <v/>
      </c>
      <c r="B851" s="10" t="str">
        <f>IF(SISTEMA!B845="","",VALUE(SISTEMA!B845))</f>
        <v/>
      </c>
      <c r="C851" s="10" t="str">
        <f>IF(SISTEMA!C845="","",SISTEMA!C845)</f>
        <v/>
      </c>
      <c r="D851" s="5" t="str" cm="1">
        <f t="array" ref="D8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1" s="5" t="str" cm="1">
        <f t="array" ref="E8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1" s="5" t="str" cm="1">
        <f t="array" ref="F8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1" t="str" cm="1">
        <f t="array" ref="G8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1" s="4"/>
      <c r="I851" s="3" t="str" cm="1">
        <f t="array" ref="I8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2" spans="1:9" x14ac:dyDescent="0.3">
      <c r="A852" s="3" t="str">
        <f>IF(SISTEMA!A846="","",SISTEMA!A846)</f>
        <v/>
      </c>
      <c r="B852" s="10" t="str">
        <f>IF(SISTEMA!B846="","",VALUE(SISTEMA!B846))</f>
        <v/>
      </c>
      <c r="C852" s="10" t="str">
        <f>IF(SISTEMA!C846="","",SISTEMA!C846)</f>
        <v/>
      </c>
      <c r="D852" s="5" t="str" cm="1">
        <f t="array" ref="D8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2" s="5" t="str" cm="1">
        <f t="array" ref="E8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2" s="5" t="str" cm="1">
        <f t="array" ref="F8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2" t="str" cm="1">
        <f t="array" ref="G8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2" s="4"/>
      <c r="I852" s="3" t="str" cm="1">
        <f t="array" ref="I8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3" spans="1:9" x14ac:dyDescent="0.3">
      <c r="A853" s="3" t="str">
        <f>IF(SISTEMA!A847="","",SISTEMA!A847)</f>
        <v/>
      </c>
      <c r="B853" s="10" t="str">
        <f>IF(SISTEMA!B847="","",VALUE(SISTEMA!B847))</f>
        <v/>
      </c>
      <c r="C853" s="10" t="str">
        <f>IF(SISTEMA!C847="","",SISTEMA!C847)</f>
        <v/>
      </c>
      <c r="D853" s="5" t="str" cm="1">
        <f t="array" ref="D8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3" s="5" t="str" cm="1">
        <f t="array" ref="E8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3" s="5" t="str" cm="1">
        <f t="array" ref="F8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3" t="str" cm="1">
        <f t="array" ref="G8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3" s="4"/>
      <c r="I853" s="3" t="str" cm="1">
        <f t="array" ref="I8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4" spans="1:9" x14ac:dyDescent="0.3">
      <c r="A854" s="3" t="str">
        <f>IF(SISTEMA!A848="","",SISTEMA!A848)</f>
        <v/>
      </c>
      <c r="B854" s="10" t="str">
        <f>IF(SISTEMA!B848="","",VALUE(SISTEMA!B848))</f>
        <v/>
      </c>
      <c r="C854" s="10" t="str">
        <f>IF(SISTEMA!C848="","",SISTEMA!C848)</f>
        <v/>
      </c>
      <c r="D854" s="5" t="str" cm="1">
        <f t="array" ref="D8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4" s="5" t="str" cm="1">
        <f t="array" ref="E8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4" s="5" t="str" cm="1">
        <f t="array" ref="F8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4" t="str" cm="1">
        <f t="array" ref="G8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4" s="4"/>
      <c r="I854" s="3" t="str" cm="1">
        <f t="array" ref="I8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5" spans="1:9" x14ac:dyDescent="0.3">
      <c r="A855" s="3" t="str">
        <f>IF(SISTEMA!A849="","",SISTEMA!A849)</f>
        <v/>
      </c>
      <c r="B855" s="10" t="str">
        <f>IF(SISTEMA!B849="","",VALUE(SISTEMA!B849))</f>
        <v/>
      </c>
      <c r="C855" s="10" t="str">
        <f>IF(SISTEMA!C849="","",SISTEMA!C849)</f>
        <v/>
      </c>
      <c r="D855" s="5" t="str" cm="1">
        <f t="array" ref="D8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5" s="5" t="str" cm="1">
        <f t="array" ref="E8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5" s="5" t="str" cm="1">
        <f t="array" ref="F8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5" t="str" cm="1">
        <f t="array" ref="G8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5" s="4"/>
      <c r="I855" s="3" t="str" cm="1">
        <f t="array" ref="I8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6" spans="1:9" x14ac:dyDescent="0.3">
      <c r="A856" s="3" t="str">
        <f>IF(SISTEMA!A850="","",SISTEMA!A850)</f>
        <v/>
      </c>
      <c r="B856" s="10" t="str">
        <f>IF(SISTEMA!B850="","",VALUE(SISTEMA!B850))</f>
        <v/>
      </c>
      <c r="C856" s="10" t="str">
        <f>IF(SISTEMA!C850="","",SISTEMA!C850)</f>
        <v/>
      </c>
      <c r="D856" s="5" t="str" cm="1">
        <f t="array" ref="D8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6" s="5" t="str" cm="1">
        <f t="array" ref="E8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6" s="5" t="str" cm="1">
        <f t="array" ref="F8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6" t="str" cm="1">
        <f t="array" ref="G8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6" s="4"/>
      <c r="I856" s="3" t="str" cm="1">
        <f t="array" ref="I8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7" spans="1:9" x14ac:dyDescent="0.3">
      <c r="A857" s="3" t="str">
        <f>IF(SISTEMA!A851="","",SISTEMA!A851)</f>
        <v/>
      </c>
      <c r="B857" s="10" t="str">
        <f>IF(SISTEMA!B851="","",VALUE(SISTEMA!B851))</f>
        <v/>
      </c>
      <c r="C857" s="10" t="str">
        <f>IF(SISTEMA!C851="","",SISTEMA!C851)</f>
        <v/>
      </c>
      <c r="D857" s="5" t="str" cm="1">
        <f t="array" ref="D8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7" s="5" t="str" cm="1">
        <f t="array" ref="E8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7" s="5" t="str" cm="1">
        <f t="array" ref="F8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7" t="str" cm="1">
        <f t="array" ref="G8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7" s="4"/>
      <c r="I857" s="3" t="str" cm="1">
        <f t="array" ref="I8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8" spans="1:9" x14ac:dyDescent="0.3">
      <c r="A858" s="3" t="str">
        <f>IF(SISTEMA!A852="","",SISTEMA!A852)</f>
        <v/>
      </c>
      <c r="B858" s="10" t="str">
        <f>IF(SISTEMA!B852="","",VALUE(SISTEMA!B852))</f>
        <v/>
      </c>
      <c r="C858" s="10" t="str">
        <f>IF(SISTEMA!C852="","",SISTEMA!C852)</f>
        <v/>
      </c>
      <c r="D858" s="5" t="str" cm="1">
        <f t="array" ref="D8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8" s="5" t="str" cm="1">
        <f t="array" ref="E8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8" s="5" t="str" cm="1">
        <f t="array" ref="F8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8" t="str" cm="1">
        <f t="array" ref="G8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8" s="4"/>
      <c r="I858" s="3" t="str" cm="1">
        <f t="array" ref="I8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59" spans="1:9" x14ac:dyDescent="0.3">
      <c r="A859" s="3" t="str">
        <f>IF(SISTEMA!A853="","",SISTEMA!A853)</f>
        <v/>
      </c>
      <c r="B859" s="10" t="str">
        <f>IF(SISTEMA!B853="","",VALUE(SISTEMA!B853))</f>
        <v/>
      </c>
      <c r="C859" s="10" t="str">
        <f>IF(SISTEMA!C853="","",SISTEMA!C853)</f>
        <v/>
      </c>
      <c r="D859" s="5" t="str" cm="1">
        <f t="array" ref="D8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59" s="5" t="str" cm="1">
        <f t="array" ref="E8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59" s="5" t="str" cm="1">
        <f t="array" ref="F8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59" t="str" cm="1">
        <f t="array" ref="G8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59" s="4"/>
      <c r="I859" s="3" t="str" cm="1">
        <f t="array" ref="I8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0" spans="1:9" x14ac:dyDescent="0.3">
      <c r="A860" s="3" t="str">
        <f>IF(SISTEMA!A854="","",SISTEMA!A854)</f>
        <v/>
      </c>
      <c r="B860" s="10" t="str">
        <f>IF(SISTEMA!B854="","",VALUE(SISTEMA!B854))</f>
        <v/>
      </c>
      <c r="C860" s="10" t="str">
        <f>IF(SISTEMA!C854="","",SISTEMA!C854)</f>
        <v/>
      </c>
      <c r="D860" s="5" t="str" cm="1">
        <f t="array" ref="D8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0" s="5" t="str" cm="1">
        <f t="array" ref="E8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0" s="5" t="str" cm="1">
        <f t="array" ref="F8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0" t="str" cm="1">
        <f t="array" ref="G8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0" s="4"/>
      <c r="I860" s="3" t="str" cm="1">
        <f t="array" ref="I8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1" spans="1:9" x14ac:dyDescent="0.3">
      <c r="A861" s="3" t="str">
        <f>IF(SISTEMA!A855="","",SISTEMA!A855)</f>
        <v/>
      </c>
      <c r="B861" s="10" t="str">
        <f>IF(SISTEMA!B855="","",VALUE(SISTEMA!B855))</f>
        <v/>
      </c>
      <c r="C861" s="10" t="str">
        <f>IF(SISTEMA!C855="","",SISTEMA!C855)</f>
        <v/>
      </c>
      <c r="D861" s="5" t="str" cm="1">
        <f t="array" ref="D8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1" s="5" t="str" cm="1">
        <f t="array" ref="E8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1" s="5" t="str" cm="1">
        <f t="array" ref="F8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1" t="str" cm="1">
        <f t="array" ref="G8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1" s="4"/>
      <c r="I861" s="3" t="str" cm="1">
        <f t="array" ref="I8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2" spans="1:9" x14ac:dyDescent="0.3">
      <c r="A862" s="3" t="str">
        <f>IF(SISTEMA!A856="","",SISTEMA!A856)</f>
        <v/>
      </c>
      <c r="B862" s="10" t="str">
        <f>IF(SISTEMA!B856="","",VALUE(SISTEMA!B856))</f>
        <v/>
      </c>
      <c r="C862" s="10" t="str">
        <f>IF(SISTEMA!C856="","",SISTEMA!C856)</f>
        <v/>
      </c>
      <c r="D862" s="5" t="str" cm="1">
        <f t="array" ref="D8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2" s="5" t="str" cm="1">
        <f t="array" ref="E8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2" s="5" t="str" cm="1">
        <f t="array" ref="F8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2" t="str" cm="1">
        <f t="array" ref="G8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2" s="4"/>
      <c r="I862" s="3" t="str" cm="1">
        <f t="array" ref="I8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3" spans="1:9" x14ac:dyDescent="0.3">
      <c r="A863" s="3" t="str">
        <f>IF(SISTEMA!A857="","",SISTEMA!A857)</f>
        <v/>
      </c>
      <c r="B863" s="10" t="str">
        <f>IF(SISTEMA!B857="","",VALUE(SISTEMA!B857))</f>
        <v/>
      </c>
      <c r="C863" s="10" t="str">
        <f>IF(SISTEMA!C857="","",SISTEMA!C857)</f>
        <v/>
      </c>
      <c r="D863" s="5" t="str" cm="1">
        <f t="array" ref="D8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3" s="5" t="str" cm="1">
        <f t="array" ref="E8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3" s="5" t="str" cm="1">
        <f t="array" ref="F8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3" t="str" cm="1">
        <f t="array" ref="G8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3" s="4"/>
      <c r="I863" s="3" t="str" cm="1">
        <f t="array" ref="I8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4" spans="1:9" x14ac:dyDescent="0.3">
      <c r="A864" s="3" t="str">
        <f>IF(SISTEMA!A858="","",SISTEMA!A858)</f>
        <v/>
      </c>
      <c r="B864" s="10" t="str">
        <f>IF(SISTEMA!B858="","",VALUE(SISTEMA!B858))</f>
        <v/>
      </c>
      <c r="C864" s="10" t="str">
        <f>IF(SISTEMA!C858="","",SISTEMA!C858)</f>
        <v/>
      </c>
      <c r="D864" s="5" t="str" cm="1">
        <f t="array" ref="D8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4" s="5" t="str" cm="1">
        <f t="array" ref="E8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4" s="5" t="str" cm="1">
        <f t="array" ref="F8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4" t="str" cm="1">
        <f t="array" ref="G8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4" s="4"/>
      <c r="I864" s="3" t="str" cm="1">
        <f t="array" ref="I8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5" spans="1:9" x14ac:dyDescent="0.3">
      <c r="A865" s="3" t="str">
        <f>IF(SISTEMA!A859="","",SISTEMA!A859)</f>
        <v/>
      </c>
      <c r="B865" s="10" t="str">
        <f>IF(SISTEMA!B859="","",VALUE(SISTEMA!B859))</f>
        <v/>
      </c>
      <c r="C865" s="10" t="str">
        <f>IF(SISTEMA!C859="","",SISTEMA!C859)</f>
        <v/>
      </c>
      <c r="D865" s="5" t="str" cm="1">
        <f t="array" ref="D8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5" s="5" t="str" cm="1">
        <f t="array" ref="E8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5" s="5" t="str" cm="1">
        <f t="array" ref="F8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5" t="str" cm="1">
        <f t="array" ref="G8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5" s="4"/>
      <c r="I865" s="3" t="str" cm="1">
        <f t="array" ref="I8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6" spans="1:9" x14ac:dyDescent="0.3">
      <c r="A866" s="3" t="str">
        <f>IF(SISTEMA!A860="","",SISTEMA!A860)</f>
        <v/>
      </c>
      <c r="B866" s="10" t="str">
        <f>IF(SISTEMA!B860="","",VALUE(SISTEMA!B860))</f>
        <v/>
      </c>
      <c r="C866" s="10" t="str">
        <f>IF(SISTEMA!C860="","",SISTEMA!C860)</f>
        <v/>
      </c>
      <c r="D866" s="5" t="str" cm="1">
        <f t="array" ref="D8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6" s="5" t="str" cm="1">
        <f t="array" ref="E8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6" s="5" t="str" cm="1">
        <f t="array" ref="F8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6" t="str" cm="1">
        <f t="array" ref="G8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6" s="4"/>
      <c r="I866" s="3" t="str" cm="1">
        <f t="array" ref="I8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7" spans="1:9" x14ac:dyDescent="0.3">
      <c r="A867" s="3" t="str">
        <f>IF(SISTEMA!A861="","",SISTEMA!A861)</f>
        <v/>
      </c>
      <c r="B867" s="10" t="str">
        <f>IF(SISTEMA!B861="","",VALUE(SISTEMA!B861))</f>
        <v/>
      </c>
      <c r="C867" s="10" t="str">
        <f>IF(SISTEMA!C861="","",SISTEMA!C861)</f>
        <v/>
      </c>
      <c r="D867" s="5" t="str" cm="1">
        <f t="array" ref="D8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7" s="5" t="str" cm="1">
        <f t="array" ref="E8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7" s="5" t="str" cm="1">
        <f t="array" ref="F8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7" t="str" cm="1">
        <f t="array" ref="G8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7" s="4"/>
      <c r="I867" s="3" t="str" cm="1">
        <f t="array" ref="I8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8" spans="1:9" x14ac:dyDescent="0.3">
      <c r="A868" s="3" t="str">
        <f>IF(SISTEMA!A862="","",SISTEMA!A862)</f>
        <v/>
      </c>
      <c r="B868" s="10" t="str">
        <f>IF(SISTEMA!B862="","",VALUE(SISTEMA!B862))</f>
        <v/>
      </c>
      <c r="C868" s="10" t="str">
        <f>IF(SISTEMA!C862="","",SISTEMA!C862)</f>
        <v/>
      </c>
      <c r="D868" s="5" t="str" cm="1">
        <f t="array" ref="D8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8" s="5" t="str" cm="1">
        <f t="array" ref="E8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8" s="5" t="str" cm="1">
        <f t="array" ref="F8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8" t="str" cm="1">
        <f t="array" ref="G8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8" s="4"/>
      <c r="I868" s="3" t="str" cm="1">
        <f t="array" ref="I8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69" spans="1:9" x14ac:dyDescent="0.3">
      <c r="A869" s="3" t="str">
        <f>IF(SISTEMA!A863="","",SISTEMA!A863)</f>
        <v/>
      </c>
      <c r="B869" s="10" t="str">
        <f>IF(SISTEMA!B863="","",VALUE(SISTEMA!B863))</f>
        <v/>
      </c>
      <c r="C869" s="10" t="str">
        <f>IF(SISTEMA!C863="","",SISTEMA!C863)</f>
        <v/>
      </c>
      <c r="D869" s="5" t="str" cm="1">
        <f t="array" ref="D8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69" s="5" t="str" cm="1">
        <f t="array" ref="E8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69" s="5" t="str" cm="1">
        <f t="array" ref="F8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69" t="str" cm="1">
        <f t="array" ref="G8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69" s="4"/>
      <c r="I869" s="3" t="str" cm="1">
        <f t="array" ref="I8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0" spans="1:9" x14ac:dyDescent="0.3">
      <c r="A870" s="3" t="str">
        <f>IF(SISTEMA!A864="","",SISTEMA!A864)</f>
        <v/>
      </c>
      <c r="B870" s="10" t="str">
        <f>IF(SISTEMA!B864="","",VALUE(SISTEMA!B864))</f>
        <v/>
      </c>
      <c r="C870" s="10" t="str">
        <f>IF(SISTEMA!C864="","",SISTEMA!C864)</f>
        <v/>
      </c>
      <c r="D870" s="5" t="str" cm="1">
        <f t="array" ref="D8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0" s="5" t="str" cm="1">
        <f t="array" ref="E8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0" s="5" t="str" cm="1">
        <f t="array" ref="F8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0" t="str" cm="1">
        <f t="array" ref="G8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0" s="4"/>
      <c r="I870" s="3" t="str" cm="1">
        <f t="array" ref="I8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1" spans="1:9" x14ac:dyDescent="0.3">
      <c r="A871" s="3" t="str">
        <f>IF(SISTEMA!A865="","",SISTEMA!A865)</f>
        <v/>
      </c>
      <c r="B871" s="10" t="str">
        <f>IF(SISTEMA!B865="","",VALUE(SISTEMA!B865))</f>
        <v/>
      </c>
      <c r="C871" s="10" t="str">
        <f>IF(SISTEMA!C865="","",SISTEMA!C865)</f>
        <v/>
      </c>
      <c r="D871" s="5" t="str" cm="1">
        <f t="array" ref="D8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1" s="5" t="str" cm="1">
        <f t="array" ref="E8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1" s="5" t="str" cm="1">
        <f t="array" ref="F8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1" t="str" cm="1">
        <f t="array" ref="G8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1" s="4"/>
      <c r="I871" s="3" t="str" cm="1">
        <f t="array" ref="I8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2" spans="1:9" x14ac:dyDescent="0.3">
      <c r="A872" s="3" t="str">
        <f>IF(SISTEMA!A866="","",SISTEMA!A866)</f>
        <v/>
      </c>
      <c r="B872" s="10" t="str">
        <f>IF(SISTEMA!B866="","",VALUE(SISTEMA!B866))</f>
        <v/>
      </c>
      <c r="C872" s="10" t="str">
        <f>IF(SISTEMA!C866="","",SISTEMA!C866)</f>
        <v/>
      </c>
      <c r="D872" s="5" t="str" cm="1">
        <f t="array" ref="D8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2" s="5" t="str" cm="1">
        <f t="array" ref="E8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2" s="5" t="str" cm="1">
        <f t="array" ref="F8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2" t="str" cm="1">
        <f t="array" ref="G8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2" s="4"/>
      <c r="I872" s="3" t="str" cm="1">
        <f t="array" ref="I8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3" spans="1:9" x14ac:dyDescent="0.3">
      <c r="A873" s="3" t="str">
        <f>IF(SISTEMA!A867="","",SISTEMA!A867)</f>
        <v/>
      </c>
      <c r="B873" s="10" t="str">
        <f>IF(SISTEMA!B867="","",VALUE(SISTEMA!B867))</f>
        <v/>
      </c>
      <c r="C873" s="10" t="str">
        <f>IF(SISTEMA!C867="","",SISTEMA!C867)</f>
        <v/>
      </c>
      <c r="D873" s="5" t="str" cm="1">
        <f t="array" ref="D8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3" s="5" t="str" cm="1">
        <f t="array" ref="E8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3" s="5" t="str" cm="1">
        <f t="array" ref="F8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3" t="str" cm="1">
        <f t="array" ref="G8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3" s="4"/>
      <c r="I873" s="3" t="str" cm="1">
        <f t="array" ref="I8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4" spans="1:9" x14ac:dyDescent="0.3">
      <c r="A874" s="3" t="str">
        <f>IF(SISTEMA!A868="","",SISTEMA!A868)</f>
        <v/>
      </c>
      <c r="B874" s="10" t="str">
        <f>IF(SISTEMA!B868="","",VALUE(SISTEMA!B868))</f>
        <v/>
      </c>
      <c r="C874" s="10" t="str">
        <f>IF(SISTEMA!C868="","",SISTEMA!C868)</f>
        <v/>
      </c>
      <c r="D874" s="5" t="str" cm="1">
        <f t="array" ref="D8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4" s="5" t="str" cm="1">
        <f t="array" ref="E8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4" s="5" t="str" cm="1">
        <f t="array" ref="F8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4" t="str" cm="1">
        <f t="array" ref="G8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4" s="4"/>
      <c r="I874" s="3" t="str" cm="1">
        <f t="array" ref="I8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5" spans="1:9" x14ac:dyDescent="0.3">
      <c r="A875" s="3" t="str">
        <f>IF(SISTEMA!A869="","",SISTEMA!A869)</f>
        <v/>
      </c>
      <c r="B875" s="10" t="str">
        <f>IF(SISTEMA!B869="","",VALUE(SISTEMA!B869))</f>
        <v/>
      </c>
      <c r="C875" s="10" t="str">
        <f>IF(SISTEMA!C869="","",SISTEMA!C869)</f>
        <v/>
      </c>
      <c r="D875" s="5" t="str" cm="1">
        <f t="array" ref="D8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5" s="5" t="str" cm="1">
        <f t="array" ref="E8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5" s="5" t="str" cm="1">
        <f t="array" ref="F8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5" t="str" cm="1">
        <f t="array" ref="G8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5" s="4"/>
      <c r="I875" s="3" t="str" cm="1">
        <f t="array" ref="I8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6" spans="1:9" x14ac:dyDescent="0.3">
      <c r="A876" s="3" t="str">
        <f>IF(SISTEMA!A870="","",SISTEMA!A870)</f>
        <v/>
      </c>
      <c r="B876" s="10" t="str">
        <f>IF(SISTEMA!B870="","",VALUE(SISTEMA!B870))</f>
        <v/>
      </c>
      <c r="C876" s="10" t="str">
        <f>IF(SISTEMA!C870="","",SISTEMA!C870)</f>
        <v/>
      </c>
      <c r="D876" s="5" t="str" cm="1">
        <f t="array" ref="D8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6" s="5" t="str" cm="1">
        <f t="array" ref="E8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6" s="5" t="str" cm="1">
        <f t="array" ref="F8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6" t="str" cm="1">
        <f t="array" ref="G8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6" s="4"/>
      <c r="I876" s="3" t="str" cm="1">
        <f t="array" ref="I8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7" spans="1:9" x14ac:dyDescent="0.3">
      <c r="A877" s="3" t="str">
        <f>IF(SISTEMA!A871="","",SISTEMA!A871)</f>
        <v/>
      </c>
      <c r="B877" s="10" t="str">
        <f>IF(SISTEMA!B871="","",VALUE(SISTEMA!B871))</f>
        <v/>
      </c>
      <c r="C877" s="10" t="str">
        <f>IF(SISTEMA!C871="","",SISTEMA!C871)</f>
        <v/>
      </c>
      <c r="D877" s="5" t="str" cm="1">
        <f t="array" ref="D8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7" s="5" t="str" cm="1">
        <f t="array" ref="E8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7" s="5" t="str" cm="1">
        <f t="array" ref="F8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7" t="str" cm="1">
        <f t="array" ref="G8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7" s="4"/>
      <c r="I877" s="3" t="str" cm="1">
        <f t="array" ref="I8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8" spans="1:9" x14ac:dyDescent="0.3">
      <c r="A878" s="3" t="str">
        <f>IF(SISTEMA!A872="","",SISTEMA!A872)</f>
        <v/>
      </c>
      <c r="B878" s="10" t="str">
        <f>IF(SISTEMA!B872="","",VALUE(SISTEMA!B872))</f>
        <v/>
      </c>
      <c r="C878" s="10" t="str">
        <f>IF(SISTEMA!C872="","",SISTEMA!C872)</f>
        <v/>
      </c>
      <c r="D878" s="5" t="str" cm="1">
        <f t="array" ref="D8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8" s="5" t="str" cm="1">
        <f t="array" ref="E8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8" s="5" t="str" cm="1">
        <f t="array" ref="F8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8" t="str" cm="1">
        <f t="array" ref="G8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8" s="4"/>
      <c r="I878" s="3" t="str" cm="1">
        <f t="array" ref="I8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79" spans="1:9" x14ac:dyDescent="0.3">
      <c r="A879" s="3" t="str">
        <f>IF(SISTEMA!A873="","",SISTEMA!A873)</f>
        <v/>
      </c>
      <c r="B879" s="10" t="str">
        <f>IF(SISTEMA!B873="","",VALUE(SISTEMA!B873))</f>
        <v/>
      </c>
      <c r="C879" s="10" t="str">
        <f>IF(SISTEMA!C873="","",SISTEMA!C873)</f>
        <v/>
      </c>
      <c r="D879" s="5" t="str" cm="1">
        <f t="array" ref="D8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79" s="5" t="str" cm="1">
        <f t="array" ref="E8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79" s="5" t="str" cm="1">
        <f t="array" ref="F8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79" t="str" cm="1">
        <f t="array" ref="G8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79" s="4"/>
      <c r="I879" s="3" t="str" cm="1">
        <f t="array" ref="I8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0" spans="1:9" x14ac:dyDescent="0.3">
      <c r="A880" s="3" t="str">
        <f>IF(SISTEMA!A874="","",SISTEMA!A874)</f>
        <v/>
      </c>
      <c r="B880" s="10" t="str">
        <f>IF(SISTEMA!B874="","",VALUE(SISTEMA!B874))</f>
        <v/>
      </c>
      <c r="C880" s="10" t="str">
        <f>IF(SISTEMA!C874="","",SISTEMA!C874)</f>
        <v/>
      </c>
      <c r="D880" s="5" t="str" cm="1">
        <f t="array" ref="D8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0" s="5" t="str" cm="1">
        <f t="array" ref="E8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0" s="5" t="str" cm="1">
        <f t="array" ref="F8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0" t="str" cm="1">
        <f t="array" ref="G8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0" s="4"/>
      <c r="I880" s="3" t="str" cm="1">
        <f t="array" ref="I8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1" spans="1:9" x14ac:dyDescent="0.3">
      <c r="A881" s="3" t="str">
        <f>IF(SISTEMA!A875="","",SISTEMA!A875)</f>
        <v/>
      </c>
      <c r="B881" s="10" t="str">
        <f>IF(SISTEMA!B875="","",VALUE(SISTEMA!B875))</f>
        <v/>
      </c>
      <c r="C881" s="10" t="str">
        <f>IF(SISTEMA!C875="","",SISTEMA!C875)</f>
        <v/>
      </c>
      <c r="D881" s="5" t="str" cm="1">
        <f t="array" ref="D8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1" s="5" t="str" cm="1">
        <f t="array" ref="E8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1" s="5" t="str" cm="1">
        <f t="array" ref="F8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1" t="str" cm="1">
        <f t="array" ref="G8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1" s="4"/>
      <c r="I881" s="3" t="str" cm="1">
        <f t="array" ref="I8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2" spans="1:9" x14ac:dyDescent="0.3">
      <c r="A882" s="3" t="str">
        <f>IF(SISTEMA!A876="","",SISTEMA!A876)</f>
        <v/>
      </c>
      <c r="B882" s="10" t="str">
        <f>IF(SISTEMA!B876="","",VALUE(SISTEMA!B876))</f>
        <v/>
      </c>
      <c r="C882" s="10" t="str">
        <f>IF(SISTEMA!C876="","",SISTEMA!C876)</f>
        <v/>
      </c>
      <c r="D882" s="5" t="str" cm="1">
        <f t="array" ref="D8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2" s="5" t="str" cm="1">
        <f t="array" ref="E8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2" s="5" t="str" cm="1">
        <f t="array" ref="F8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2" t="str" cm="1">
        <f t="array" ref="G8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2" s="4"/>
      <c r="I882" s="3" t="str" cm="1">
        <f t="array" ref="I8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3" spans="1:9" x14ac:dyDescent="0.3">
      <c r="A883" s="3" t="str">
        <f>IF(SISTEMA!A877="","",SISTEMA!A877)</f>
        <v/>
      </c>
      <c r="B883" s="10" t="str">
        <f>IF(SISTEMA!B877="","",VALUE(SISTEMA!B877))</f>
        <v/>
      </c>
      <c r="C883" s="10" t="str">
        <f>IF(SISTEMA!C877="","",SISTEMA!C877)</f>
        <v/>
      </c>
      <c r="D883" s="5" t="str" cm="1">
        <f t="array" ref="D8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3" s="5" t="str" cm="1">
        <f t="array" ref="E8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3" s="5" t="str" cm="1">
        <f t="array" ref="F8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3" t="str" cm="1">
        <f t="array" ref="G8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3" s="4"/>
      <c r="I883" s="3" t="str" cm="1">
        <f t="array" ref="I8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4" spans="1:9" x14ac:dyDescent="0.3">
      <c r="A884" s="3" t="str">
        <f>IF(SISTEMA!A878="","",SISTEMA!A878)</f>
        <v/>
      </c>
      <c r="B884" s="10" t="str">
        <f>IF(SISTEMA!B878="","",VALUE(SISTEMA!B878))</f>
        <v/>
      </c>
      <c r="C884" s="10" t="str">
        <f>IF(SISTEMA!C878="","",SISTEMA!C878)</f>
        <v/>
      </c>
      <c r="D884" s="5" t="str" cm="1">
        <f t="array" ref="D8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4" s="5" t="str" cm="1">
        <f t="array" ref="E8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4" s="5" t="str" cm="1">
        <f t="array" ref="F8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4" t="str" cm="1">
        <f t="array" ref="G8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4" s="4"/>
      <c r="I884" s="3" t="str" cm="1">
        <f t="array" ref="I8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5" spans="1:9" x14ac:dyDescent="0.3">
      <c r="A885" s="3" t="str">
        <f>IF(SISTEMA!A879="","",SISTEMA!A879)</f>
        <v/>
      </c>
      <c r="B885" s="10" t="str">
        <f>IF(SISTEMA!B879="","",VALUE(SISTEMA!B879))</f>
        <v/>
      </c>
      <c r="C885" s="10" t="str">
        <f>IF(SISTEMA!C879="","",SISTEMA!C879)</f>
        <v/>
      </c>
      <c r="D885" s="5" t="str" cm="1">
        <f t="array" ref="D8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5" s="5" t="str" cm="1">
        <f t="array" ref="E8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5" s="5" t="str" cm="1">
        <f t="array" ref="F8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5" t="str" cm="1">
        <f t="array" ref="G8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5" s="4"/>
      <c r="I885" s="3" t="str" cm="1">
        <f t="array" ref="I8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6" spans="1:9" x14ac:dyDescent="0.3">
      <c r="A886" s="3" t="str">
        <f>IF(SISTEMA!A880="","",SISTEMA!A880)</f>
        <v/>
      </c>
      <c r="B886" s="10" t="str">
        <f>IF(SISTEMA!B880="","",VALUE(SISTEMA!B880))</f>
        <v/>
      </c>
      <c r="C886" s="10" t="str">
        <f>IF(SISTEMA!C880="","",SISTEMA!C880)</f>
        <v/>
      </c>
      <c r="D886" s="5" t="str" cm="1">
        <f t="array" ref="D8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6" s="5" t="str" cm="1">
        <f t="array" ref="E8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6" s="5" t="str" cm="1">
        <f t="array" ref="F8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6" t="str" cm="1">
        <f t="array" ref="G8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6" s="4"/>
      <c r="I886" s="3" t="str" cm="1">
        <f t="array" ref="I8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7" spans="1:9" x14ac:dyDescent="0.3">
      <c r="A887" s="3" t="str">
        <f>IF(SISTEMA!A881="","",SISTEMA!A881)</f>
        <v/>
      </c>
      <c r="B887" s="10" t="str">
        <f>IF(SISTEMA!B881="","",VALUE(SISTEMA!B881))</f>
        <v/>
      </c>
      <c r="C887" s="10" t="str">
        <f>IF(SISTEMA!C881="","",SISTEMA!C881)</f>
        <v/>
      </c>
      <c r="D887" s="5" t="str" cm="1">
        <f t="array" ref="D8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7" s="5" t="str" cm="1">
        <f t="array" ref="E8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7" s="5" t="str" cm="1">
        <f t="array" ref="F8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7" t="str" cm="1">
        <f t="array" ref="G8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7" s="4"/>
      <c r="I887" s="3" t="str" cm="1">
        <f t="array" ref="I8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8" spans="1:9" x14ac:dyDescent="0.3">
      <c r="A888" s="3" t="str">
        <f>IF(SISTEMA!A882="","",SISTEMA!A882)</f>
        <v/>
      </c>
      <c r="B888" s="10" t="str">
        <f>IF(SISTEMA!B882="","",VALUE(SISTEMA!B882))</f>
        <v/>
      </c>
      <c r="C888" s="10" t="str">
        <f>IF(SISTEMA!C882="","",SISTEMA!C882)</f>
        <v/>
      </c>
      <c r="D888" s="5" t="str" cm="1">
        <f t="array" ref="D8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8" s="5" t="str" cm="1">
        <f t="array" ref="E8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8" s="5" t="str" cm="1">
        <f t="array" ref="F8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8" t="str" cm="1">
        <f t="array" ref="G8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8" s="4"/>
      <c r="I888" s="3" t="str" cm="1">
        <f t="array" ref="I8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89" spans="1:9" x14ac:dyDescent="0.3">
      <c r="A889" s="3" t="str">
        <f>IF(SISTEMA!A883="","",SISTEMA!A883)</f>
        <v/>
      </c>
      <c r="B889" s="10" t="str">
        <f>IF(SISTEMA!B883="","",VALUE(SISTEMA!B883))</f>
        <v/>
      </c>
      <c r="C889" s="10" t="str">
        <f>IF(SISTEMA!C883="","",SISTEMA!C883)</f>
        <v/>
      </c>
      <c r="D889" s="5" t="str" cm="1">
        <f t="array" ref="D8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89" s="5" t="str" cm="1">
        <f t="array" ref="E8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89" s="5" t="str" cm="1">
        <f t="array" ref="F8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89" t="str" cm="1">
        <f t="array" ref="G8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89" s="4"/>
      <c r="I889" s="3" t="str" cm="1">
        <f t="array" ref="I8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0" spans="1:9" x14ac:dyDescent="0.3">
      <c r="A890" s="3" t="str">
        <f>IF(SISTEMA!A884="","",SISTEMA!A884)</f>
        <v/>
      </c>
      <c r="B890" s="10" t="str">
        <f>IF(SISTEMA!B884="","",VALUE(SISTEMA!B884))</f>
        <v/>
      </c>
      <c r="C890" s="10" t="str">
        <f>IF(SISTEMA!C884="","",SISTEMA!C884)</f>
        <v/>
      </c>
      <c r="D890" s="5" t="str" cm="1">
        <f t="array" ref="D8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0" s="5" t="str" cm="1">
        <f t="array" ref="E8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0" s="5" t="str" cm="1">
        <f t="array" ref="F8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0" t="str" cm="1">
        <f t="array" ref="G8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0" s="4"/>
      <c r="I890" s="3" t="str" cm="1">
        <f t="array" ref="I8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1" spans="1:9" x14ac:dyDescent="0.3">
      <c r="A891" s="3" t="str">
        <f>IF(SISTEMA!A885="","",SISTEMA!A885)</f>
        <v/>
      </c>
      <c r="B891" s="10" t="str">
        <f>IF(SISTEMA!B885="","",VALUE(SISTEMA!B885))</f>
        <v/>
      </c>
      <c r="C891" s="10" t="str">
        <f>IF(SISTEMA!C885="","",SISTEMA!C885)</f>
        <v/>
      </c>
      <c r="D891" s="5" t="str" cm="1">
        <f t="array" ref="D8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1" s="5" t="str" cm="1">
        <f t="array" ref="E8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1" s="5" t="str" cm="1">
        <f t="array" ref="F8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1" t="str" cm="1">
        <f t="array" ref="G8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1" s="4"/>
      <c r="I891" s="3" t="str" cm="1">
        <f t="array" ref="I8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2" spans="1:9" x14ac:dyDescent="0.3">
      <c r="A892" s="3" t="str">
        <f>IF(SISTEMA!A886="","",SISTEMA!A886)</f>
        <v/>
      </c>
      <c r="B892" s="10" t="str">
        <f>IF(SISTEMA!B886="","",VALUE(SISTEMA!B886))</f>
        <v/>
      </c>
      <c r="C892" s="10" t="str">
        <f>IF(SISTEMA!C886="","",SISTEMA!C886)</f>
        <v/>
      </c>
      <c r="D892" s="5" t="str" cm="1">
        <f t="array" ref="D8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2" s="5" t="str" cm="1">
        <f t="array" ref="E8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2" s="5" t="str" cm="1">
        <f t="array" ref="F8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2" t="str" cm="1">
        <f t="array" ref="G8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2" s="4"/>
      <c r="I892" s="3" t="str" cm="1">
        <f t="array" ref="I8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3" spans="1:9" x14ac:dyDescent="0.3">
      <c r="A893" s="3" t="str">
        <f>IF(SISTEMA!A887="","",SISTEMA!A887)</f>
        <v/>
      </c>
      <c r="B893" s="10" t="str">
        <f>IF(SISTEMA!B887="","",VALUE(SISTEMA!B887))</f>
        <v/>
      </c>
      <c r="C893" s="10" t="str">
        <f>IF(SISTEMA!C887="","",SISTEMA!C887)</f>
        <v/>
      </c>
      <c r="D893" s="5" t="str" cm="1">
        <f t="array" ref="D8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3" s="5" t="str" cm="1">
        <f t="array" ref="E8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3" s="5" t="str" cm="1">
        <f t="array" ref="F8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3" t="str" cm="1">
        <f t="array" ref="G8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3" s="4"/>
      <c r="I893" s="3" t="str" cm="1">
        <f t="array" ref="I8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4" spans="1:9" x14ac:dyDescent="0.3">
      <c r="A894" s="3" t="str">
        <f>IF(SISTEMA!A888="","",SISTEMA!A888)</f>
        <v/>
      </c>
      <c r="B894" s="10" t="str">
        <f>IF(SISTEMA!B888="","",VALUE(SISTEMA!B888))</f>
        <v/>
      </c>
      <c r="C894" s="10" t="str">
        <f>IF(SISTEMA!C888="","",SISTEMA!C888)</f>
        <v/>
      </c>
      <c r="D894" s="5" t="str" cm="1">
        <f t="array" ref="D8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4" s="5" t="str" cm="1">
        <f t="array" ref="E8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4" s="5" t="str" cm="1">
        <f t="array" ref="F8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4" t="str" cm="1">
        <f t="array" ref="G8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4" s="4"/>
      <c r="I894" s="3" t="str" cm="1">
        <f t="array" ref="I8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5" spans="1:9" x14ac:dyDescent="0.3">
      <c r="A895" s="3" t="str">
        <f>IF(SISTEMA!A889="","",SISTEMA!A889)</f>
        <v/>
      </c>
      <c r="B895" s="10" t="str">
        <f>IF(SISTEMA!B889="","",VALUE(SISTEMA!B889))</f>
        <v/>
      </c>
      <c r="C895" s="10" t="str">
        <f>IF(SISTEMA!C889="","",SISTEMA!C889)</f>
        <v/>
      </c>
      <c r="D895" s="5" t="str" cm="1">
        <f t="array" ref="D8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5" s="5" t="str" cm="1">
        <f t="array" ref="E8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5" s="5" t="str" cm="1">
        <f t="array" ref="F8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5" t="str" cm="1">
        <f t="array" ref="G8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5" s="4"/>
      <c r="I895" s="3" t="str" cm="1">
        <f t="array" ref="I8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6" spans="1:9" x14ac:dyDescent="0.3">
      <c r="A896" s="3" t="str">
        <f>IF(SISTEMA!A890="","",SISTEMA!A890)</f>
        <v/>
      </c>
      <c r="B896" s="10" t="str">
        <f>IF(SISTEMA!B890="","",VALUE(SISTEMA!B890))</f>
        <v/>
      </c>
      <c r="C896" s="10" t="str">
        <f>IF(SISTEMA!C890="","",SISTEMA!C890)</f>
        <v/>
      </c>
      <c r="D896" s="5" t="str" cm="1">
        <f t="array" ref="D8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6" s="5" t="str" cm="1">
        <f t="array" ref="E8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6" s="5" t="str" cm="1">
        <f t="array" ref="F8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6" t="str" cm="1">
        <f t="array" ref="G8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6" s="4"/>
      <c r="I896" s="3" t="str" cm="1">
        <f t="array" ref="I8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7" spans="1:9" x14ac:dyDescent="0.3">
      <c r="A897" s="3" t="str">
        <f>IF(SISTEMA!A891="","",SISTEMA!A891)</f>
        <v/>
      </c>
      <c r="B897" s="10" t="str">
        <f>IF(SISTEMA!B891="","",VALUE(SISTEMA!B891))</f>
        <v/>
      </c>
      <c r="C897" s="10" t="str">
        <f>IF(SISTEMA!C891="","",SISTEMA!C891)</f>
        <v/>
      </c>
      <c r="D897" s="5" t="str" cm="1">
        <f t="array" ref="D8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7" s="5" t="str" cm="1">
        <f t="array" ref="E8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7" s="5" t="str" cm="1">
        <f t="array" ref="F8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7" t="str" cm="1">
        <f t="array" ref="G8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7" s="4"/>
      <c r="I897" s="3" t="str" cm="1">
        <f t="array" ref="I8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8" spans="1:9" x14ac:dyDescent="0.3">
      <c r="A898" s="3" t="str">
        <f>IF(SISTEMA!A892="","",SISTEMA!A892)</f>
        <v/>
      </c>
      <c r="B898" s="10" t="str">
        <f>IF(SISTEMA!B892="","",VALUE(SISTEMA!B892))</f>
        <v/>
      </c>
      <c r="C898" s="10" t="str">
        <f>IF(SISTEMA!C892="","",SISTEMA!C892)</f>
        <v/>
      </c>
      <c r="D898" s="5" t="str" cm="1">
        <f t="array" ref="D8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8" s="5" t="str" cm="1">
        <f t="array" ref="E8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8" s="5" t="str" cm="1">
        <f t="array" ref="F8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8" t="str" cm="1">
        <f t="array" ref="G8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8" s="4"/>
      <c r="I898" s="3" t="str" cm="1">
        <f t="array" ref="I8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899" spans="1:9" x14ac:dyDescent="0.3">
      <c r="A899" s="3" t="str">
        <f>IF(SISTEMA!A893="","",SISTEMA!A893)</f>
        <v/>
      </c>
      <c r="B899" s="10" t="str">
        <f>IF(SISTEMA!B893="","",VALUE(SISTEMA!B893))</f>
        <v/>
      </c>
      <c r="C899" s="10" t="str">
        <f>IF(SISTEMA!C893="","",SISTEMA!C893)</f>
        <v/>
      </c>
      <c r="D899" s="5" t="str" cm="1">
        <f t="array" ref="D8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899" s="5" t="str" cm="1">
        <f t="array" ref="E8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899" s="5" t="str" cm="1">
        <f t="array" ref="F8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899" t="str" cm="1">
        <f t="array" ref="G8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899" s="4"/>
      <c r="I899" s="3" t="str" cm="1">
        <f t="array" ref="I8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0" spans="1:9" x14ac:dyDescent="0.3">
      <c r="A900" s="3" t="str">
        <f>IF(SISTEMA!A894="","",SISTEMA!A894)</f>
        <v/>
      </c>
      <c r="B900" s="10" t="str">
        <f>IF(SISTEMA!B894="","",VALUE(SISTEMA!B894))</f>
        <v/>
      </c>
      <c r="C900" s="10" t="str">
        <f>IF(SISTEMA!C894="","",SISTEMA!C894)</f>
        <v/>
      </c>
      <c r="D900" s="5" t="str" cm="1">
        <f t="array" ref="D9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0" s="5" t="str" cm="1">
        <f t="array" ref="E9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0" s="5" t="str" cm="1">
        <f t="array" ref="F9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0" t="str" cm="1">
        <f t="array" ref="G9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0" s="4"/>
      <c r="I900" s="3" t="str" cm="1">
        <f t="array" ref="I9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1" spans="1:9" x14ac:dyDescent="0.3">
      <c r="A901" s="3" t="str">
        <f>IF(SISTEMA!A895="","",SISTEMA!A895)</f>
        <v/>
      </c>
      <c r="B901" s="10" t="str">
        <f>IF(SISTEMA!B895="","",VALUE(SISTEMA!B895))</f>
        <v/>
      </c>
      <c r="C901" s="10" t="str">
        <f>IF(SISTEMA!C895="","",SISTEMA!C895)</f>
        <v/>
      </c>
      <c r="D901" s="5" t="str" cm="1">
        <f t="array" ref="D9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1" s="5" t="str" cm="1">
        <f t="array" ref="E9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1" s="5" t="str" cm="1">
        <f t="array" ref="F9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1" t="str" cm="1">
        <f t="array" ref="G9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1" s="4"/>
      <c r="I901" s="3" t="str" cm="1">
        <f t="array" ref="I9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2" spans="1:9" x14ac:dyDescent="0.3">
      <c r="A902" s="3" t="str">
        <f>IF(SISTEMA!A896="","",SISTEMA!A896)</f>
        <v/>
      </c>
      <c r="B902" s="10" t="str">
        <f>IF(SISTEMA!B896="","",VALUE(SISTEMA!B896))</f>
        <v/>
      </c>
      <c r="C902" s="10" t="str">
        <f>IF(SISTEMA!C896="","",SISTEMA!C896)</f>
        <v/>
      </c>
      <c r="D902" s="5" t="str" cm="1">
        <f t="array" ref="D9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2" s="5" t="str" cm="1">
        <f t="array" ref="E9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2" s="5" t="str" cm="1">
        <f t="array" ref="F9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2" t="str" cm="1">
        <f t="array" ref="G9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2" s="4"/>
      <c r="I902" s="3" t="str" cm="1">
        <f t="array" ref="I9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3" spans="1:9" x14ac:dyDescent="0.3">
      <c r="A903" s="3" t="str">
        <f>IF(SISTEMA!A897="","",SISTEMA!A897)</f>
        <v/>
      </c>
      <c r="B903" s="10" t="str">
        <f>IF(SISTEMA!B897="","",VALUE(SISTEMA!B897))</f>
        <v/>
      </c>
      <c r="C903" s="10" t="str">
        <f>IF(SISTEMA!C897="","",SISTEMA!C897)</f>
        <v/>
      </c>
      <c r="D903" s="5" t="str" cm="1">
        <f t="array" ref="D9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3" s="5" t="str" cm="1">
        <f t="array" ref="E9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3" s="5" t="str" cm="1">
        <f t="array" ref="F9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3" t="str" cm="1">
        <f t="array" ref="G9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3" s="4"/>
      <c r="I903" s="3" t="str" cm="1">
        <f t="array" ref="I9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4" spans="1:9" x14ac:dyDescent="0.3">
      <c r="A904" s="3" t="str">
        <f>IF(SISTEMA!A898="","",SISTEMA!A898)</f>
        <v/>
      </c>
      <c r="B904" s="10" t="str">
        <f>IF(SISTEMA!B898="","",VALUE(SISTEMA!B898))</f>
        <v/>
      </c>
      <c r="C904" s="10" t="str">
        <f>IF(SISTEMA!C898="","",SISTEMA!C898)</f>
        <v/>
      </c>
      <c r="D904" s="5" t="str" cm="1">
        <f t="array" ref="D9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4" s="5" t="str" cm="1">
        <f t="array" ref="E9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4" s="5" t="str" cm="1">
        <f t="array" ref="F9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4" t="str" cm="1">
        <f t="array" ref="G9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4" s="4"/>
      <c r="I904" s="3" t="str" cm="1">
        <f t="array" ref="I9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5" spans="1:9" x14ac:dyDescent="0.3">
      <c r="A905" s="3" t="str">
        <f>IF(SISTEMA!A899="","",SISTEMA!A899)</f>
        <v/>
      </c>
      <c r="B905" s="10" t="str">
        <f>IF(SISTEMA!B899="","",VALUE(SISTEMA!B899))</f>
        <v/>
      </c>
      <c r="C905" s="10" t="str">
        <f>IF(SISTEMA!C899="","",SISTEMA!C899)</f>
        <v/>
      </c>
      <c r="D905" s="5" t="str" cm="1">
        <f t="array" ref="D9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5" s="5" t="str" cm="1">
        <f t="array" ref="E9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5" s="5" t="str" cm="1">
        <f t="array" ref="F9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5" t="str" cm="1">
        <f t="array" ref="G9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5" s="4"/>
      <c r="I905" s="3" t="str" cm="1">
        <f t="array" ref="I9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6" spans="1:9" x14ac:dyDescent="0.3">
      <c r="A906" s="3" t="str">
        <f>IF(SISTEMA!A900="","",SISTEMA!A900)</f>
        <v/>
      </c>
      <c r="B906" s="10" t="str">
        <f>IF(SISTEMA!B900="","",VALUE(SISTEMA!B900))</f>
        <v/>
      </c>
      <c r="C906" s="10" t="str">
        <f>IF(SISTEMA!C900="","",SISTEMA!C900)</f>
        <v/>
      </c>
      <c r="D906" s="5" t="str" cm="1">
        <f t="array" ref="D9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6" s="5" t="str" cm="1">
        <f t="array" ref="E9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6" s="5" t="str" cm="1">
        <f t="array" ref="F9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6" t="str" cm="1">
        <f t="array" ref="G9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6" s="4"/>
      <c r="I906" s="3" t="str" cm="1">
        <f t="array" ref="I9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7" spans="1:9" x14ac:dyDescent="0.3">
      <c r="A907" s="3" t="str">
        <f>IF(SISTEMA!A901="","",SISTEMA!A901)</f>
        <v/>
      </c>
      <c r="B907" s="10" t="str">
        <f>IF(SISTEMA!B901="","",VALUE(SISTEMA!B901))</f>
        <v/>
      </c>
      <c r="C907" s="10" t="str">
        <f>IF(SISTEMA!C901="","",SISTEMA!C901)</f>
        <v/>
      </c>
      <c r="D907" s="5" t="str" cm="1">
        <f t="array" ref="D9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7" s="5" t="str" cm="1">
        <f t="array" ref="E9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7" s="5" t="str" cm="1">
        <f t="array" ref="F9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7" t="str" cm="1">
        <f t="array" ref="G9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7" s="4"/>
      <c r="I907" s="3" t="str" cm="1">
        <f t="array" ref="I9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8" spans="1:9" x14ac:dyDescent="0.3">
      <c r="A908" s="3" t="str">
        <f>IF(SISTEMA!A902="","",SISTEMA!A902)</f>
        <v/>
      </c>
      <c r="B908" s="10" t="str">
        <f>IF(SISTEMA!B902="","",VALUE(SISTEMA!B902))</f>
        <v/>
      </c>
      <c r="C908" s="10" t="str">
        <f>IF(SISTEMA!C902="","",SISTEMA!C902)</f>
        <v/>
      </c>
      <c r="D908" s="5" t="str" cm="1">
        <f t="array" ref="D9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8" s="5" t="str" cm="1">
        <f t="array" ref="E9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8" s="5" t="str" cm="1">
        <f t="array" ref="F9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8" t="str" cm="1">
        <f t="array" ref="G9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8" s="4"/>
      <c r="I908" s="3" t="str" cm="1">
        <f t="array" ref="I9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09" spans="1:9" x14ac:dyDescent="0.3">
      <c r="A909" s="3" t="str">
        <f>IF(SISTEMA!A903="","",SISTEMA!A903)</f>
        <v/>
      </c>
      <c r="B909" s="10" t="str">
        <f>IF(SISTEMA!B903="","",VALUE(SISTEMA!B903))</f>
        <v/>
      </c>
      <c r="C909" s="10" t="str">
        <f>IF(SISTEMA!C903="","",SISTEMA!C903)</f>
        <v/>
      </c>
      <c r="D909" s="5" t="str" cm="1">
        <f t="array" ref="D9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09" s="5" t="str" cm="1">
        <f t="array" ref="E9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09" s="5" t="str" cm="1">
        <f t="array" ref="F9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09" t="str" cm="1">
        <f t="array" ref="G9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09" s="4"/>
      <c r="I909" s="3" t="str" cm="1">
        <f t="array" ref="I9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0" spans="1:9" x14ac:dyDescent="0.3">
      <c r="A910" s="3" t="str">
        <f>IF(SISTEMA!A904="","",SISTEMA!A904)</f>
        <v/>
      </c>
      <c r="B910" s="10" t="str">
        <f>IF(SISTEMA!B904="","",VALUE(SISTEMA!B904))</f>
        <v/>
      </c>
      <c r="C910" s="10" t="str">
        <f>IF(SISTEMA!C904="","",SISTEMA!C904)</f>
        <v/>
      </c>
      <c r="D910" s="5" t="str" cm="1">
        <f t="array" ref="D9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0" s="5" t="str" cm="1">
        <f t="array" ref="E9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0" s="5" t="str" cm="1">
        <f t="array" ref="F9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0" t="str" cm="1">
        <f t="array" ref="G9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0" s="4"/>
      <c r="I910" s="3" t="str" cm="1">
        <f t="array" ref="I9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1" spans="1:9" x14ac:dyDescent="0.3">
      <c r="A911" s="3" t="str">
        <f>IF(SISTEMA!A905="","",SISTEMA!A905)</f>
        <v/>
      </c>
      <c r="B911" s="10" t="str">
        <f>IF(SISTEMA!B905="","",VALUE(SISTEMA!B905))</f>
        <v/>
      </c>
      <c r="C911" s="10" t="str">
        <f>IF(SISTEMA!C905="","",SISTEMA!C905)</f>
        <v/>
      </c>
      <c r="D911" s="5" t="str" cm="1">
        <f t="array" ref="D9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1" s="5" t="str" cm="1">
        <f t="array" ref="E9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1" s="5" t="str" cm="1">
        <f t="array" ref="F9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1" t="str" cm="1">
        <f t="array" ref="G9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1" s="4"/>
      <c r="I911" s="3" t="str" cm="1">
        <f t="array" ref="I9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2" spans="1:9" x14ac:dyDescent="0.3">
      <c r="A912" s="3" t="str">
        <f>IF(SISTEMA!A906="","",SISTEMA!A906)</f>
        <v/>
      </c>
      <c r="B912" s="10" t="str">
        <f>IF(SISTEMA!B906="","",VALUE(SISTEMA!B906))</f>
        <v/>
      </c>
      <c r="C912" s="10" t="str">
        <f>IF(SISTEMA!C906="","",SISTEMA!C906)</f>
        <v/>
      </c>
      <c r="D912" s="5" t="str" cm="1">
        <f t="array" ref="D9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2" s="5" t="str" cm="1">
        <f t="array" ref="E9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2" s="5" t="str" cm="1">
        <f t="array" ref="F9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2" t="str" cm="1">
        <f t="array" ref="G9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2" s="4"/>
      <c r="I912" s="3" t="str" cm="1">
        <f t="array" ref="I9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3" spans="1:9" x14ac:dyDescent="0.3">
      <c r="A913" s="3" t="str">
        <f>IF(SISTEMA!A907="","",SISTEMA!A907)</f>
        <v/>
      </c>
      <c r="B913" s="10" t="str">
        <f>IF(SISTEMA!B907="","",VALUE(SISTEMA!B907))</f>
        <v/>
      </c>
      <c r="C913" s="10" t="str">
        <f>IF(SISTEMA!C907="","",SISTEMA!C907)</f>
        <v/>
      </c>
      <c r="D913" s="5" t="str" cm="1">
        <f t="array" ref="D9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3" s="5" t="str" cm="1">
        <f t="array" ref="E9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3" s="5" t="str" cm="1">
        <f t="array" ref="F9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3" t="str" cm="1">
        <f t="array" ref="G9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3" s="4"/>
      <c r="I913" s="3" t="str" cm="1">
        <f t="array" ref="I9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4" spans="1:9" x14ac:dyDescent="0.3">
      <c r="A914" s="3" t="str">
        <f>IF(SISTEMA!A908="","",SISTEMA!A908)</f>
        <v/>
      </c>
      <c r="B914" s="10" t="str">
        <f>IF(SISTEMA!B908="","",VALUE(SISTEMA!B908))</f>
        <v/>
      </c>
      <c r="C914" s="10" t="str">
        <f>IF(SISTEMA!C908="","",SISTEMA!C908)</f>
        <v/>
      </c>
      <c r="D914" s="5" t="str" cm="1">
        <f t="array" ref="D9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4" s="5" t="str" cm="1">
        <f t="array" ref="E9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4" s="5" t="str" cm="1">
        <f t="array" ref="F9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4" t="str" cm="1">
        <f t="array" ref="G9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4" s="4"/>
      <c r="I914" s="3" t="str" cm="1">
        <f t="array" ref="I9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5" spans="1:9" x14ac:dyDescent="0.3">
      <c r="A915" s="3" t="str">
        <f>IF(SISTEMA!A909="","",SISTEMA!A909)</f>
        <v/>
      </c>
      <c r="B915" s="10" t="str">
        <f>IF(SISTEMA!B909="","",VALUE(SISTEMA!B909))</f>
        <v/>
      </c>
      <c r="C915" s="10" t="str">
        <f>IF(SISTEMA!C909="","",SISTEMA!C909)</f>
        <v/>
      </c>
      <c r="D915" s="5" t="str" cm="1">
        <f t="array" ref="D9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5" s="5" t="str" cm="1">
        <f t="array" ref="E9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5" s="5" t="str" cm="1">
        <f t="array" ref="F9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5" t="str" cm="1">
        <f t="array" ref="G9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5" s="4"/>
      <c r="I915" s="3" t="str" cm="1">
        <f t="array" ref="I9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6" spans="1:9" x14ac:dyDescent="0.3">
      <c r="A916" s="3" t="str">
        <f>IF(SISTEMA!A910="","",SISTEMA!A910)</f>
        <v/>
      </c>
      <c r="B916" s="10" t="str">
        <f>IF(SISTEMA!B910="","",VALUE(SISTEMA!B910))</f>
        <v/>
      </c>
      <c r="C916" s="10" t="str">
        <f>IF(SISTEMA!C910="","",SISTEMA!C910)</f>
        <v/>
      </c>
      <c r="D916" s="5" t="str" cm="1">
        <f t="array" ref="D9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6" s="5" t="str" cm="1">
        <f t="array" ref="E9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6" s="5" t="str" cm="1">
        <f t="array" ref="F9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6" t="str" cm="1">
        <f t="array" ref="G9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6" s="4"/>
      <c r="I916" s="3" t="str" cm="1">
        <f t="array" ref="I9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7" spans="1:9" x14ac:dyDescent="0.3">
      <c r="A917" s="3" t="str">
        <f>IF(SISTEMA!A911="","",SISTEMA!A911)</f>
        <v/>
      </c>
      <c r="B917" s="10" t="str">
        <f>IF(SISTEMA!B911="","",VALUE(SISTEMA!B911))</f>
        <v/>
      </c>
      <c r="C917" s="10" t="str">
        <f>IF(SISTEMA!C911="","",SISTEMA!C911)</f>
        <v/>
      </c>
      <c r="D917" s="5" t="str" cm="1">
        <f t="array" ref="D9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7" s="5" t="str" cm="1">
        <f t="array" ref="E9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7" s="5" t="str" cm="1">
        <f t="array" ref="F9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7" t="str" cm="1">
        <f t="array" ref="G9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7" s="4"/>
      <c r="I917" s="3" t="str" cm="1">
        <f t="array" ref="I9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8" spans="1:9" x14ac:dyDescent="0.3">
      <c r="A918" s="3" t="str">
        <f>IF(SISTEMA!A912="","",SISTEMA!A912)</f>
        <v/>
      </c>
      <c r="B918" s="10" t="str">
        <f>IF(SISTEMA!B912="","",VALUE(SISTEMA!B912))</f>
        <v/>
      </c>
      <c r="C918" s="10" t="str">
        <f>IF(SISTEMA!C912="","",SISTEMA!C912)</f>
        <v/>
      </c>
      <c r="D918" s="5" t="str" cm="1">
        <f t="array" ref="D9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8" s="5" t="str" cm="1">
        <f t="array" ref="E9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8" s="5" t="str" cm="1">
        <f t="array" ref="F9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8" t="str" cm="1">
        <f t="array" ref="G9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8" s="4"/>
      <c r="I918" s="3" t="str" cm="1">
        <f t="array" ref="I9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19" spans="1:9" x14ac:dyDescent="0.3">
      <c r="A919" s="3" t="str">
        <f>IF(SISTEMA!A913="","",SISTEMA!A913)</f>
        <v/>
      </c>
      <c r="B919" s="10" t="str">
        <f>IF(SISTEMA!B913="","",VALUE(SISTEMA!B913))</f>
        <v/>
      </c>
      <c r="C919" s="10" t="str">
        <f>IF(SISTEMA!C913="","",SISTEMA!C913)</f>
        <v/>
      </c>
      <c r="D919" s="5" t="str" cm="1">
        <f t="array" ref="D9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19" s="5" t="str" cm="1">
        <f t="array" ref="E9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19" s="5" t="str" cm="1">
        <f t="array" ref="F9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19" t="str" cm="1">
        <f t="array" ref="G9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19" s="4"/>
      <c r="I919" s="3" t="str" cm="1">
        <f t="array" ref="I9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0" spans="1:9" x14ac:dyDescent="0.3">
      <c r="A920" s="3" t="str">
        <f>IF(SISTEMA!A914="","",SISTEMA!A914)</f>
        <v/>
      </c>
      <c r="B920" s="10" t="str">
        <f>IF(SISTEMA!B914="","",VALUE(SISTEMA!B914))</f>
        <v/>
      </c>
      <c r="C920" s="10" t="str">
        <f>IF(SISTEMA!C914="","",SISTEMA!C914)</f>
        <v/>
      </c>
      <c r="D920" s="5" t="str" cm="1">
        <f t="array" ref="D9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0" s="5" t="str" cm="1">
        <f t="array" ref="E9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0" s="5" t="str" cm="1">
        <f t="array" ref="F9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0" t="str" cm="1">
        <f t="array" ref="G9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0" s="4"/>
      <c r="I920" s="3" t="str" cm="1">
        <f t="array" ref="I9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1" spans="1:9" x14ac:dyDescent="0.3">
      <c r="A921" s="3" t="str">
        <f>IF(SISTEMA!A915="","",SISTEMA!A915)</f>
        <v/>
      </c>
      <c r="B921" s="10" t="str">
        <f>IF(SISTEMA!B915="","",VALUE(SISTEMA!B915))</f>
        <v/>
      </c>
      <c r="C921" s="10" t="str">
        <f>IF(SISTEMA!C915="","",SISTEMA!C915)</f>
        <v/>
      </c>
      <c r="D921" s="5" t="str" cm="1">
        <f t="array" ref="D9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1" s="5" t="str" cm="1">
        <f t="array" ref="E9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1" s="5" t="str" cm="1">
        <f t="array" ref="F9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1" t="str" cm="1">
        <f t="array" ref="G9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1" s="4"/>
      <c r="I921" s="3" t="str" cm="1">
        <f t="array" ref="I9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2" spans="1:9" x14ac:dyDescent="0.3">
      <c r="A922" s="3" t="str">
        <f>IF(SISTEMA!A916="","",SISTEMA!A916)</f>
        <v/>
      </c>
      <c r="B922" s="10" t="str">
        <f>IF(SISTEMA!B916="","",VALUE(SISTEMA!B916))</f>
        <v/>
      </c>
      <c r="C922" s="10" t="str">
        <f>IF(SISTEMA!C916="","",SISTEMA!C916)</f>
        <v/>
      </c>
      <c r="D922" s="5" t="str" cm="1">
        <f t="array" ref="D9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2" s="5" t="str" cm="1">
        <f t="array" ref="E9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2" s="5" t="str" cm="1">
        <f t="array" ref="F9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2" t="str" cm="1">
        <f t="array" ref="G9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2" s="4"/>
      <c r="I922" s="3" t="str" cm="1">
        <f t="array" ref="I9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3" spans="1:9" x14ac:dyDescent="0.3">
      <c r="A923" s="3" t="str">
        <f>IF(SISTEMA!A917="","",SISTEMA!A917)</f>
        <v/>
      </c>
      <c r="B923" s="10" t="str">
        <f>IF(SISTEMA!B917="","",VALUE(SISTEMA!B917))</f>
        <v/>
      </c>
      <c r="C923" s="10" t="str">
        <f>IF(SISTEMA!C917="","",SISTEMA!C917)</f>
        <v/>
      </c>
      <c r="D923" s="5" t="str" cm="1">
        <f t="array" ref="D9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3" s="5" t="str" cm="1">
        <f t="array" ref="E9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3" s="5" t="str" cm="1">
        <f t="array" ref="F9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3" t="str" cm="1">
        <f t="array" ref="G9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3" s="4"/>
      <c r="I923" s="3" t="str" cm="1">
        <f t="array" ref="I9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4" spans="1:9" x14ac:dyDescent="0.3">
      <c r="A924" s="3" t="str">
        <f>IF(SISTEMA!A918="","",SISTEMA!A918)</f>
        <v/>
      </c>
      <c r="B924" s="10" t="str">
        <f>IF(SISTEMA!B918="","",VALUE(SISTEMA!B918))</f>
        <v/>
      </c>
      <c r="C924" s="10" t="str">
        <f>IF(SISTEMA!C918="","",SISTEMA!C918)</f>
        <v/>
      </c>
      <c r="D924" s="5" t="str" cm="1">
        <f t="array" ref="D9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4" s="5" t="str" cm="1">
        <f t="array" ref="E9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4" s="5" t="str" cm="1">
        <f t="array" ref="F9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4" t="str" cm="1">
        <f t="array" ref="G9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4" s="4"/>
      <c r="I924" s="3" t="str" cm="1">
        <f t="array" ref="I9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5" spans="1:9" x14ac:dyDescent="0.3">
      <c r="A925" s="3" t="str">
        <f>IF(SISTEMA!A919="","",SISTEMA!A919)</f>
        <v/>
      </c>
      <c r="B925" s="10" t="str">
        <f>IF(SISTEMA!B919="","",VALUE(SISTEMA!B919))</f>
        <v/>
      </c>
      <c r="C925" s="10" t="str">
        <f>IF(SISTEMA!C919="","",SISTEMA!C919)</f>
        <v/>
      </c>
      <c r="D925" s="5" t="str" cm="1">
        <f t="array" ref="D9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5" s="5" t="str" cm="1">
        <f t="array" ref="E9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5" s="5" t="str" cm="1">
        <f t="array" ref="F9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5" t="str" cm="1">
        <f t="array" ref="G9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5" s="4"/>
      <c r="I925" s="3" t="str" cm="1">
        <f t="array" ref="I9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6" spans="1:9" x14ac:dyDescent="0.3">
      <c r="A926" s="3" t="str">
        <f>IF(SISTEMA!A920="","",SISTEMA!A920)</f>
        <v/>
      </c>
      <c r="B926" s="10" t="str">
        <f>IF(SISTEMA!B920="","",VALUE(SISTEMA!B920))</f>
        <v/>
      </c>
      <c r="C926" s="10" t="str">
        <f>IF(SISTEMA!C920="","",SISTEMA!C920)</f>
        <v/>
      </c>
      <c r="D926" s="5" t="str" cm="1">
        <f t="array" ref="D9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6" s="5" t="str" cm="1">
        <f t="array" ref="E9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6" s="5" t="str" cm="1">
        <f t="array" ref="F9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6" t="str" cm="1">
        <f t="array" ref="G9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6" s="4"/>
      <c r="I926" s="3" t="str" cm="1">
        <f t="array" ref="I9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7" spans="1:9" x14ac:dyDescent="0.3">
      <c r="A927" s="3" t="str">
        <f>IF(SISTEMA!A921="","",SISTEMA!A921)</f>
        <v/>
      </c>
      <c r="B927" s="10" t="str">
        <f>IF(SISTEMA!B921="","",VALUE(SISTEMA!B921))</f>
        <v/>
      </c>
      <c r="C927" s="10" t="str">
        <f>IF(SISTEMA!C921="","",SISTEMA!C921)</f>
        <v/>
      </c>
      <c r="D927" s="5" t="str" cm="1">
        <f t="array" ref="D9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7" s="5" t="str" cm="1">
        <f t="array" ref="E9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7" s="5" t="str" cm="1">
        <f t="array" ref="F9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7" t="str" cm="1">
        <f t="array" ref="G9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7" s="4"/>
      <c r="I927" s="3" t="str" cm="1">
        <f t="array" ref="I9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8" spans="1:9" x14ac:dyDescent="0.3">
      <c r="A928" s="3" t="str">
        <f>IF(SISTEMA!A922="","",SISTEMA!A922)</f>
        <v/>
      </c>
      <c r="B928" s="10" t="str">
        <f>IF(SISTEMA!B922="","",VALUE(SISTEMA!B922))</f>
        <v/>
      </c>
      <c r="C928" s="10" t="str">
        <f>IF(SISTEMA!C922="","",SISTEMA!C922)</f>
        <v/>
      </c>
      <c r="D928" s="5" t="str" cm="1">
        <f t="array" ref="D9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8" s="5" t="str" cm="1">
        <f t="array" ref="E9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8" s="5" t="str" cm="1">
        <f t="array" ref="F9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8" t="str" cm="1">
        <f t="array" ref="G9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8" s="4"/>
      <c r="I928" s="3" t="str" cm="1">
        <f t="array" ref="I9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29" spans="1:9" x14ac:dyDescent="0.3">
      <c r="A929" s="3" t="str">
        <f>IF(SISTEMA!A923="","",SISTEMA!A923)</f>
        <v/>
      </c>
      <c r="B929" s="10" t="str">
        <f>IF(SISTEMA!B923="","",VALUE(SISTEMA!B923))</f>
        <v/>
      </c>
      <c r="C929" s="10" t="str">
        <f>IF(SISTEMA!C923="","",SISTEMA!C923)</f>
        <v/>
      </c>
      <c r="D929" s="5" t="str" cm="1">
        <f t="array" ref="D9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29" s="5" t="str" cm="1">
        <f t="array" ref="E9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29" s="5" t="str" cm="1">
        <f t="array" ref="F9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29" t="str" cm="1">
        <f t="array" ref="G9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29" s="4"/>
      <c r="I929" s="3" t="str" cm="1">
        <f t="array" ref="I9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0" spans="1:9" x14ac:dyDescent="0.3">
      <c r="A930" s="3" t="str">
        <f>IF(SISTEMA!A924="","",SISTEMA!A924)</f>
        <v/>
      </c>
      <c r="B930" s="10" t="str">
        <f>IF(SISTEMA!B924="","",VALUE(SISTEMA!B924))</f>
        <v/>
      </c>
      <c r="C930" s="10" t="str">
        <f>IF(SISTEMA!C924="","",SISTEMA!C924)</f>
        <v/>
      </c>
      <c r="D930" s="5" t="str" cm="1">
        <f t="array" ref="D9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0" s="5" t="str" cm="1">
        <f t="array" ref="E9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0" s="5" t="str" cm="1">
        <f t="array" ref="F9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0" t="str" cm="1">
        <f t="array" ref="G9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0" s="4"/>
      <c r="I930" s="3" t="str" cm="1">
        <f t="array" ref="I9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1" spans="1:9" x14ac:dyDescent="0.3">
      <c r="A931" s="3" t="str">
        <f>IF(SISTEMA!A925="","",SISTEMA!A925)</f>
        <v/>
      </c>
      <c r="B931" s="10" t="str">
        <f>IF(SISTEMA!B925="","",VALUE(SISTEMA!B925))</f>
        <v/>
      </c>
      <c r="C931" s="10" t="str">
        <f>IF(SISTEMA!C925="","",SISTEMA!C925)</f>
        <v/>
      </c>
      <c r="D931" s="5" t="str" cm="1">
        <f t="array" ref="D9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1" s="5" t="str" cm="1">
        <f t="array" ref="E9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1" s="5" t="str" cm="1">
        <f t="array" ref="F9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1" t="str" cm="1">
        <f t="array" ref="G9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1" s="4"/>
      <c r="I931" s="3" t="str" cm="1">
        <f t="array" ref="I9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2" spans="1:9" x14ac:dyDescent="0.3">
      <c r="A932" s="3" t="str">
        <f>IF(SISTEMA!A926="","",SISTEMA!A926)</f>
        <v/>
      </c>
      <c r="B932" s="10" t="str">
        <f>IF(SISTEMA!B926="","",VALUE(SISTEMA!B926))</f>
        <v/>
      </c>
      <c r="C932" s="10" t="str">
        <f>IF(SISTEMA!C926="","",SISTEMA!C926)</f>
        <v/>
      </c>
      <c r="D932" s="5" t="str" cm="1">
        <f t="array" ref="D9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2" s="5" t="str" cm="1">
        <f t="array" ref="E9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2" s="5" t="str" cm="1">
        <f t="array" ref="F9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2" t="str" cm="1">
        <f t="array" ref="G9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2" s="4"/>
      <c r="I932" s="3" t="str" cm="1">
        <f t="array" ref="I9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3" spans="1:9" x14ac:dyDescent="0.3">
      <c r="A933" s="3" t="str">
        <f>IF(SISTEMA!A927="","",SISTEMA!A927)</f>
        <v/>
      </c>
      <c r="B933" s="10" t="str">
        <f>IF(SISTEMA!B927="","",VALUE(SISTEMA!B927))</f>
        <v/>
      </c>
      <c r="C933" s="10" t="str">
        <f>IF(SISTEMA!C927="","",SISTEMA!C927)</f>
        <v/>
      </c>
      <c r="D933" s="5" t="str" cm="1">
        <f t="array" ref="D9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3" s="5" t="str" cm="1">
        <f t="array" ref="E9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3" s="5" t="str" cm="1">
        <f t="array" ref="F9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3" t="str" cm="1">
        <f t="array" ref="G9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3" s="4"/>
      <c r="I933" s="3" t="str" cm="1">
        <f t="array" ref="I9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4" spans="1:9" x14ac:dyDescent="0.3">
      <c r="A934" s="3" t="str">
        <f>IF(SISTEMA!A928="","",SISTEMA!A928)</f>
        <v/>
      </c>
      <c r="B934" s="10" t="str">
        <f>IF(SISTEMA!B928="","",VALUE(SISTEMA!B928))</f>
        <v/>
      </c>
      <c r="C934" s="10" t="str">
        <f>IF(SISTEMA!C928="","",SISTEMA!C928)</f>
        <v/>
      </c>
      <c r="D934" s="5" t="str" cm="1">
        <f t="array" ref="D9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4" s="5" t="str" cm="1">
        <f t="array" ref="E9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4" s="5" t="str" cm="1">
        <f t="array" ref="F9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4" t="str" cm="1">
        <f t="array" ref="G9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4" s="4"/>
      <c r="I934" s="3" t="str" cm="1">
        <f t="array" ref="I9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5" spans="1:9" x14ac:dyDescent="0.3">
      <c r="A935" s="3" t="str">
        <f>IF(SISTEMA!A929="","",SISTEMA!A929)</f>
        <v/>
      </c>
      <c r="B935" s="10" t="str">
        <f>IF(SISTEMA!B929="","",VALUE(SISTEMA!B929))</f>
        <v/>
      </c>
      <c r="C935" s="10" t="str">
        <f>IF(SISTEMA!C929="","",SISTEMA!C929)</f>
        <v/>
      </c>
      <c r="D935" s="5" t="str" cm="1">
        <f t="array" ref="D9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5" s="5" t="str" cm="1">
        <f t="array" ref="E9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5" s="5" t="str" cm="1">
        <f t="array" ref="F9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5" t="str" cm="1">
        <f t="array" ref="G9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5" s="4"/>
      <c r="I935" s="3" t="str" cm="1">
        <f t="array" ref="I9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6" spans="1:9" x14ac:dyDescent="0.3">
      <c r="A936" s="3" t="str">
        <f>IF(SISTEMA!A930="","",SISTEMA!A930)</f>
        <v/>
      </c>
      <c r="B936" s="10" t="str">
        <f>IF(SISTEMA!B930="","",VALUE(SISTEMA!B930))</f>
        <v/>
      </c>
      <c r="C936" s="10" t="str">
        <f>IF(SISTEMA!C930="","",SISTEMA!C930)</f>
        <v/>
      </c>
      <c r="D936" s="5" t="str" cm="1">
        <f t="array" ref="D9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6" s="5" t="str" cm="1">
        <f t="array" ref="E9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6" s="5" t="str" cm="1">
        <f t="array" ref="F9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6" t="str" cm="1">
        <f t="array" ref="G9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6" s="4"/>
      <c r="I936" s="3" t="str" cm="1">
        <f t="array" ref="I9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7" spans="1:9" x14ac:dyDescent="0.3">
      <c r="A937" s="3" t="str">
        <f>IF(SISTEMA!A931="","",SISTEMA!A931)</f>
        <v/>
      </c>
      <c r="B937" s="10" t="str">
        <f>IF(SISTEMA!B931="","",VALUE(SISTEMA!B931))</f>
        <v/>
      </c>
      <c r="C937" s="10" t="str">
        <f>IF(SISTEMA!C931="","",SISTEMA!C931)</f>
        <v/>
      </c>
      <c r="D937" s="5" t="str" cm="1">
        <f t="array" ref="D9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7" s="5" t="str" cm="1">
        <f t="array" ref="E9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7" s="5" t="str" cm="1">
        <f t="array" ref="F9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7" t="str" cm="1">
        <f t="array" ref="G9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7" s="4"/>
      <c r="I937" s="3" t="str" cm="1">
        <f t="array" ref="I9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8" spans="1:9" x14ac:dyDescent="0.3">
      <c r="A938" s="3" t="str">
        <f>IF(SISTEMA!A932="","",SISTEMA!A932)</f>
        <v/>
      </c>
      <c r="B938" s="10" t="str">
        <f>IF(SISTEMA!B932="","",VALUE(SISTEMA!B932))</f>
        <v/>
      </c>
      <c r="C938" s="10" t="str">
        <f>IF(SISTEMA!C932="","",SISTEMA!C932)</f>
        <v/>
      </c>
      <c r="D938" s="5" t="str" cm="1">
        <f t="array" ref="D9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8" s="5" t="str" cm="1">
        <f t="array" ref="E9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8" s="5" t="str" cm="1">
        <f t="array" ref="F9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8" t="str" cm="1">
        <f t="array" ref="G9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8" s="4"/>
      <c r="I938" s="3" t="str" cm="1">
        <f t="array" ref="I9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39" spans="1:9" x14ac:dyDescent="0.3">
      <c r="A939" s="3" t="str">
        <f>IF(SISTEMA!A933="","",SISTEMA!A933)</f>
        <v/>
      </c>
      <c r="B939" s="10" t="str">
        <f>IF(SISTEMA!B933="","",VALUE(SISTEMA!B933))</f>
        <v/>
      </c>
      <c r="C939" s="10" t="str">
        <f>IF(SISTEMA!C933="","",SISTEMA!C933)</f>
        <v/>
      </c>
      <c r="D939" s="5" t="str" cm="1">
        <f t="array" ref="D9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39" s="5" t="str" cm="1">
        <f t="array" ref="E9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39" s="5" t="str" cm="1">
        <f t="array" ref="F9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39" t="str" cm="1">
        <f t="array" ref="G9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39" s="4"/>
      <c r="I939" s="3" t="str" cm="1">
        <f t="array" ref="I9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0" spans="1:9" x14ac:dyDescent="0.3">
      <c r="A940" s="3" t="str">
        <f>IF(SISTEMA!A934="","",SISTEMA!A934)</f>
        <v/>
      </c>
      <c r="B940" s="10" t="str">
        <f>IF(SISTEMA!B934="","",VALUE(SISTEMA!B934))</f>
        <v/>
      </c>
      <c r="C940" s="10" t="str">
        <f>IF(SISTEMA!C934="","",SISTEMA!C934)</f>
        <v/>
      </c>
      <c r="D940" s="5" t="str" cm="1">
        <f t="array" ref="D9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0" s="5" t="str" cm="1">
        <f t="array" ref="E9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0" s="5" t="str" cm="1">
        <f t="array" ref="F9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0" t="str" cm="1">
        <f t="array" ref="G9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0" s="4"/>
      <c r="I940" s="3" t="str" cm="1">
        <f t="array" ref="I9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1" spans="1:9" x14ac:dyDescent="0.3">
      <c r="A941" s="3" t="str">
        <f>IF(SISTEMA!A935="","",SISTEMA!A935)</f>
        <v/>
      </c>
      <c r="B941" s="10" t="str">
        <f>IF(SISTEMA!B935="","",VALUE(SISTEMA!B935))</f>
        <v/>
      </c>
      <c r="C941" s="10" t="str">
        <f>IF(SISTEMA!C935="","",SISTEMA!C935)</f>
        <v/>
      </c>
      <c r="D941" s="5" t="str" cm="1">
        <f t="array" ref="D9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1" s="5" t="str" cm="1">
        <f t="array" ref="E9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1" s="5" t="str" cm="1">
        <f t="array" ref="F9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1" t="str" cm="1">
        <f t="array" ref="G9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1" s="4"/>
      <c r="I941" s="3" t="str" cm="1">
        <f t="array" ref="I9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2" spans="1:9" x14ac:dyDescent="0.3">
      <c r="A942" s="3" t="str">
        <f>IF(SISTEMA!A936="","",SISTEMA!A936)</f>
        <v/>
      </c>
      <c r="B942" s="10" t="str">
        <f>IF(SISTEMA!B936="","",VALUE(SISTEMA!B936))</f>
        <v/>
      </c>
      <c r="C942" s="10" t="str">
        <f>IF(SISTEMA!C936="","",SISTEMA!C936)</f>
        <v/>
      </c>
      <c r="D942" s="5" t="str" cm="1">
        <f t="array" ref="D9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2" s="5" t="str" cm="1">
        <f t="array" ref="E9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2" s="5" t="str" cm="1">
        <f t="array" ref="F9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2" t="str" cm="1">
        <f t="array" ref="G9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2" s="4"/>
      <c r="I942" s="3" t="str" cm="1">
        <f t="array" ref="I9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3" spans="1:9" x14ac:dyDescent="0.3">
      <c r="A943" s="3" t="str">
        <f>IF(SISTEMA!A937="","",SISTEMA!A937)</f>
        <v/>
      </c>
      <c r="B943" s="10" t="str">
        <f>IF(SISTEMA!B937="","",VALUE(SISTEMA!B937))</f>
        <v/>
      </c>
      <c r="C943" s="10" t="str">
        <f>IF(SISTEMA!C937="","",SISTEMA!C937)</f>
        <v/>
      </c>
      <c r="D943" s="5" t="str" cm="1">
        <f t="array" ref="D9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3" s="5" t="str" cm="1">
        <f t="array" ref="E9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3" s="5" t="str" cm="1">
        <f t="array" ref="F9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3" t="str" cm="1">
        <f t="array" ref="G9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3" s="4"/>
      <c r="I943" s="3" t="str" cm="1">
        <f t="array" ref="I9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4" spans="1:9" x14ac:dyDescent="0.3">
      <c r="A944" s="3" t="str">
        <f>IF(SISTEMA!A938="","",SISTEMA!A938)</f>
        <v/>
      </c>
      <c r="B944" s="10" t="str">
        <f>IF(SISTEMA!B938="","",VALUE(SISTEMA!B938))</f>
        <v/>
      </c>
      <c r="C944" s="10" t="str">
        <f>IF(SISTEMA!C938="","",SISTEMA!C938)</f>
        <v/>
      </c>
      <c r="D944" s="5" t="str" cm="1">
        <f t="array" ref="D9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4" s="5" t="str" cm="1">
        <f t="array" ref="E9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4" s="5" t="str" cm="1">
        <f t="array" ref="F9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4" t="str" cm="1">
        <f t="array" ref="G9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4" s="4"/>
      <c r="I944" s="3" t="str" cm="1">
        <f t="array" ref="I9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5" spans="1:9" x14ac:dyDescent="0.3">
      <c r="A945" s="3" t="str">
        <f>IF(SISTEMA!A939="","",SISTEMA!A939)</f>
        <v/>
      </c>
      <c r="B945" s="10" t="str">
        <f>IF(SISTEMA!B939="","",VALUE(SISTEMA!B939))</f>
        <v/>
      </c>
      <c r="C945" s="10" t="str">
        <f>IF(SISTEMA!C939="","",SISTEMA!C939)</f>
        <v/>
      </c>
      <c r="D945" s="5" t="str" cm="1">
        <f t="array" ref="D9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5" s="5" t="str" cm="1">
        <f t="array" ref="E9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5" s="5" t="str" cm="1">
        <f t="array" ref="F9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5" t="str" cm="1">
        <f t="array" ref="G9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5" s="4"/>
      <c r="I945" s="3" t="str" cm="1">
        <f t="array" ref="I9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6" spans="1:9" x14ac:dyDescent="0.3">
      <c r="A946" s="3" t="str">
        <f>IF(SISTEMA!A940="","",SISTEMA!A940)</f>
        <v/>
      </c>
      <c r="B946" s="10" t="str">
        <f>IF(SISTEMA!B940="","",VALUE(SISTEMA!B940))</f>
        <v/>
      </c>
      <c r="C946" s="10" t="str">
        <f>IF(SISTEMA!C940="","",SISTEMA!C940)</f>
        <v/>
      </c>
      <c r="D946" s="5" t="str" cm="1">
        <f t="array" ref="D9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6" s="5" t="str" cm="1">
        <f t="array" ref="E9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6" s="5" t="str" cm="1">
        <f t="array" ref="F9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6" t="str" cm="1">
        <f t="array" ref="G9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6" s="4"/>
      <c r="I946" s="3" t="str" cm="1">
        <f t="array" ref="I9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7" spans="1:9" x14ac:dyDescent="0.3">
      <c r="A947" s="3" t="str">
        <f>IF(SISTEMA!A941="","",SISTEMA!A941)</f>
        <v/>
      </c>
      <c r="B947" s="10" t="str">
        <f>IF(SISTEMA!B941="","",VALUE(SISTEMA!B941))</f>
        <v/>
      </c>
      <c r="C947" s="10" t="str">
        <f>IF(SISTEMA!C941="","",SISTEMA!C941)</f>
        <v/>
      </c>
      <c r="D947" s="5" t="str" cm="1">
        <f t="array" ref="D9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7" s="5" t="str" cm="1">
        <f t="array" ref="E9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7" s="5" t="str" cm="1">
        <f t="array" ref="F9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7" t="str" cm="1">
        <f t="array" ref="G9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7" s="4"/>
      <c r="I947" s="3" t="str" cm="1">
        <f t="array" ref="I9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8" spans="1:9" x14ac:dyDescent="0.3">
      <c r="A948" s="3" t="str">
        <f>IF(SISTEMA!A942="","",SISTEMA!A942)</f>
        <v/>
      </c>
      <c r="B948" s="10" t="str">
        <f>IF(SISTEMA!B942="","",VALUE(SISTEMA!B942))</f>
        <v/>
      </c>
      <c r="C948" s="10" t="str">
        <f>IF(SISTEMA!C942="","",SISTEMA!C942)</f>
        <v/>
      </c>
      <c r="D948" s="5" t="str" cm="1">
        <f t="array" ref="D9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8" s="5" t="str" cm="1">
        <f t="array" ref="E9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8" s="5" t="str" cm="1">
        <f t="array" ref="F9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8" t="str" cm="1">
        <f t="array" ref="G9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8" s="4"/>
      <c r="I948" s="3" t="str" cm="1">
        <f t="array" ref="I9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49" spans="1:9" x14ac:dyDescent="0.3">
      <c r="A949" s="3" t="str">
        <f>IF(SISTEMA!A943="","",SISTEMA!A943)</f>
        <v/>
      </c>
      <c r="B949" s="10" t="str">
        <f>IF(SISTEMA!B943="","",VALUE(SISTEMA!B943))</f>
        <v/>
      </c>
      <c r="C949" s="10" t="str">
        <f>IF(SISTEMA!C943="","",SISTEMA!C943)</f>
        <v/>
      </c>
      <c r="D949" s="5" t="str" cm="1">
        <f t="array" ref="D9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49" s="5" t="str" cm="1">
        <f t="array" ref="E9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49" s="5" t="str" cm="1">
        <f t="array" ref="F9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49" t="str" cm="1">
        <f t="array" ref="G9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49" s="4"/>
      <c r="I949" s="3" t="str" cm="1">
        <f t="array" ref="I9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0" spans="1:9" x14ac:dyDescent="0.3">
      <c r="A950" s="3" t="str">
        <f>IF(SISTEMA!A944="","",SISTEMA!A944)</f>
        <v/>
      </c>
      <c r="B950" s="10" t="str">
        <f>IF(SISTEMA!B944="","",VALUE(SISTEMA!B944))</f>
        <v/>
      </c>
      <c r="C950" s="10" t="str">
        <f>IF(SISTEMA!C944="","",SISTEMA!C944)</f>
        <v/>
      </c>
      <c r="D950" s="5" t="str" cm="1">
        <f t="array" ref="D9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0" s="5" t="str" cm="1">
        <f t="array" ref="E9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0" s="5" t="str" cm="1">
        <f t="array" ref="F9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0" t="str" cm="1">
        <f t="array" ref="G9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0" s="4"/>
      <c r="I950" s="3" t="str" cm="1">
        <f t="array" ref="I9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1" spans="1:9" x14ac:dyDescent="0.3">
      <c r="A951" s="3" t="str">
        <f>IF(SISTEMA!A945="","",SISTEMA!A945)</f>
        <v/>
      </c>
      <c r="B951" s="10" t="str">
        <f>IF(SISTEMA!B945="","",VALUE(SISTEMA!B945))</f>
        <v/>
      </c>
      <c r="C951" s="10" t="str">
        <f>IF(SISTEMA!C945="","",SISTEMA!C945)</f>
        <v/>
      </c>
      <c r="D951" s="5" t="str" cm="1">
        <f t="array" ref="D9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1" s="5" t="str" cm="1">
        <f t="array" ref="E9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1" s="5" t="str" cm="1">
        <f t="array" ref="F9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1" t="str" cm="1">
        <f t="array" ref="G9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1" s="4"/>
      <c r="I951" s="3" t="str" cm="1">
        <f t="array" ref="I9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2" spans="1:9" x14ac:dyDescent="0.3">
      <c r="A952" s="3" t="str">
        <f>IF(SISTEMA!A946="","",SISTEMA!A946)</f>
        <v/>
      </c>
      <c r="B952" s="10" t="str">
        <f>IF(SISTEMA!B946="","",VALUE(SISTEMA!B946))</f>
        <v/>
      </c>
      <c r="C952" s="10" t="str">
        <f>IF(SISTEMA!C946="","",SISTEMA!C946)</f>
        <v/>
      </c>
      <c r="D952" s="5" t="str" cm="1">
        <f t="array" ref="D9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2" s="5" t="str" cm="1">
        <f t="array" ref="E9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2" s="5" t="str" cm="1">
        <f t="array" ref="F9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2" t="str" cm="1">
        <f t="array" ref="G9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2" s="4"/>
      <c r="I952" s="3" t="str" cm="1">
        <f t="array" ref="I9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3" spans="1:9" x14ac:dyDescent="0.3">
      <c r="A953" s="3" t="str">
        <f>IF(SISTEMA!A947="","",SISTEMA!A947)</f>
        <v/>
      </c>
      <c r="B953" s="10" t="str">
        <f>IF(SISTEMA!B947="","",VALUE(SISTEMA!B947))</f>
        <v/>
      </c>
      <c r="C953" s="10" t="str">
        <f>IF(SISTEMA!C947="","",SISTEMA!C947)</f>
        <v/>
      </c>
      <c r="D953" s="5" t="str" cm="1">
        <f t="array" ref="D9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3" s="5" t="str" cm="1">
        <f t="array" ref="E9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3" s="5" t="str" cm="1">
        <f t="array" ref="F9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3" t="str" cm="1">
        <f t="array" ref="G9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3" s="4"/>
      <c r="I953" s="3" t="str" cm="1">
        <f t="array" ref="I9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4" spans="1:9" x14ac:dyDescent="0.3">
      <c r="A954" s="3" t="str">
        <f>IF(SISTEMA!A948="","",SISTEMA!A948)</f>
        <v/>
      </c>
      <c r="B954" s="10" t="str">
        <f>IF(SISTEMA!B948="","",VALUE(SISTEMA!B948))</f>
        <v/>
      </c>
      <c r="C954" s="10" t="str">
        <f>IF(SISTEMA!C948="","",SISTEMA!C948)</f>
        <v/>
      </c>
      <c r="D954" s="5" t="str" cm="1">
        <f t="array" ref="D9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4" s="5" t="str" cm="1">
        <f t="array" ref="E9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4" s="5" t="str" cm="1">
        <f t="array" ref="F9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4" t="str" cm="1">
        <f t="array" ref="G9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4" s="4"/>
      <c r="I954" s="3" t="str" cm="1">
        <f t="array" ref="I9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5" spans="1:9" x14ac:dyDescent="0.3">
      <c r="A955" s="3" t="str">
        <f>IF(SISTEMA!A949="","",SISTEMA!A949)</f>
        <v/>
      </c>
      <c r="B955" s="10" t="str">
        <f>IF(SISTEMA!B949="","",VALUE(SISTEMA!B949))</f>
        <v/>
      </c>
      <c r="C955" s="10" t="str">
        <f>IF(SISTEMA!C949="","",SISTEMA!C949)</f>
        <v/>
      </c>
      <c r="D955" s="5" t="str" cm="1">
        <f t="array" ref="D9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5" s="5" t="str" cm="1">
        <f t="array" ref="E9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5" s="5" t="str" cm="1">
        <f t="array" ref="F9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5" t="str" cm="1">
        <f t="array" ref="G9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5" s="4"/>
      <c r="I955" s="3" t="str" cm="1">
        <f t="array" ref="I9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6" spans="1:9" x14ac:dyDescent="0.3">
      <c r="A956" s="3" t="str">
        <f>IF(SISTEMA!A950="","",SISTEMA!A950)</f>
        <v/>
      </c>
      <c r="B956" s="10" t="str">
        <f>IF(SISTEMA!B950="","",VALUE(SISTEMA!B950))</f>
        <v/>
      </c>
      <c r="C956" s="10" t="str">
        <f>IF(SISTEMA!C950="","",SISTEMA!C950)</f>
        <v/>
      </c>
      <c r="D956" s="5" t="str" cm="1">
        <f t="array" ref="D9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6" s="5" t="str" cm="1">
        <f t="array" ref="E9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6" s="5" t="str" cm="1">
        <f t="array" ref="F9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6" t="str" cm="1">
        <f t="array" ref="G9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6" s="4"/>
      <c r="I956" s="3" t="str" cm="1">
        <f t="array" ref="I9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7" spans="1:9" x14ac:dyDescent="0.3">
      <c r="A957" s="3" t="str">
        <f>IF(SISTEMA!A951="","",SISTEMA!A951)</f>
        <v/>
      </c>
      <c r="B957" s="10" t="str">
        <f>IF(SISTEMA!B951="","",VALUE(SISTEMA!B951))</f>
        <v/>
      </c>
      <c r="C957" s="10" t="str">
        <f>IF(SISTEMA!C951="","",SISTEMA!C951)</f>
        <v/>
      </c>
      <c r="D957" s="5" t="str" cm="1">
        <f t="array" ref="D9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7" s="5" t="str" cm="1">
        <f t="array" ref="E9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7" s="5" t="str" cm="1">
        <f t="array" ref="F9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7" t="str" cm="1">
        <f t="array" ref="G9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7" s="4"/>
      <c r="I957" s="3" t="str" cm="1">
        <f t="array" ref="I9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8" spans="1:9" x14ac:dyDescent="0.3">
      <c r="A958" s="3" t="str">
        <f>IF(SISTEMA!A952="","",SISTEMA!A952)</f>
        <v/>
      </c>
      <c r="B958" s="10" t="str">
        <f>IF(SISTEMA!B952="","",VALUE(SISTEMA!B952))</f>
        <v/>
      </c>
      <c r="C958" s="10" t="str">
        <f>IF(SISTEMA!C952="","",SISTEMA!C952)</f>
        <v/>
      </c>
      <c r="D958" s="5" t="str" cm="1">
        <f t="array" ref="D9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8" s="5" t="str" cm="1">
        <f t="array" ref="E9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8" s="5" t="str" cm="1">
        <f t="array" ref="F9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8" t="str" cm="1">
        <f t="array" ref="G9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8" s="4"/>
      <c r="I958" s="3" t="str" cm="1">
        <f t="array" ref="I9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59" spans="1:9" x14ac:dyDescent="0.3">
      <c r="A959" s="3" t="str">
        <f>IF(SISTEMA!A953="","",SISTEMA!A953)</f>
        <v/>
      </c>
      <c r="B959" s="10" t="str">
        <f>IF(SISTEMA!B953="","",VALUE(SISTEMA!B953))</f>
        <v/>
      </c>
      <c r="C959" s="10" t="str">
        <f>IF(SISTEMA!C953="","",SISTEMA!C953)</f>
        <v/>
      </c>
      <c r="D959" s="5" t="str" cm="1">
        <f t="array" ref="D9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59" s="5" t="str" cm="1">
        <f t="array" ref="E9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59" s="5" t="str" cm="1">
        <f t="array" ref="F9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59" t="str" cm="1">
        <f t="array" ref="G9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59" s="4"/>
      <c r="I959" s="3" t="str" cm="1">
        <f t="array" ref="I9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0" spans="1:9" x14ac:dyDescent="0.3">
      <c r="A960" s="3" t="str">
        <f>IF(SISTEMA!A954="","",SISTEMA!A954)</f>
        <v/>
      </c>
      <c r="B960" s="10" t="str">
        <f>IF(SISTEMA!B954="","",VALUE(SISTEMA!B954))</f>
        <v/>
      </c>
      <c r="C960" s="10" t="str">
        <f>IF(SISTEMA!C954="","",SISTEMA!C954)</f>
        <v/>
      </c>
      <c r="D960" s="5" t="str" cm="1">
        <f t="array" ref="D9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0" s="5" t="str" cm="1">
        <f t="array" ref="E9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0" s="5" t="str" cm="1">
        <f t="array" ref="F9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0" t="str" cm="1">
        <f t="array" ref="G9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0" s="4"/>
      <c r="I960" s="3" t="str" cm="1">
        <f t="array" ref="I9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1" spans="1:9" x14ac:dyDescent="0.3">
      <c r="A961" s="3" t="str">
        <f>IF(SISTEMA!A955="","",SISTEMA!A955)</f>
        <v/>
      </c>
      <c r="B961" s="10" t="str">
        <f>IF(SISTEMA!B955="","",VALUE(SISTEMA!B955))</f>
        <v/>
      </c>
      <c r="C961" s="10" t="str">
        <f>IF(SISTEMA!C955="","",SISTEMA!C955)</f>
        <v/>
      </c>
      <c r="D961" s="5" t="str" cm="1">
        <f t="array" ref="D9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1" s="5" t="str" cm="1">
        <f t="array" ref="E9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1" s="5" t="str" cm="1">
        <f t="array" ref="F9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1" t="str" cm="1">
        <f t="array" ref="G9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1" s="4"/>
      <c r="I961" s="3" t="str" cm="1">
        <f t="array" ref="I9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2" spans="1:9" x14ac:dyDescent="0.3">
      <c r="A962" s="3" t="str">
        <f>IF(SISTEMA!A956="","",SISTEMA!A956)</f>
        <v/>
      </c>
      <c r="B962" s="10" t="str">
        <f>IF(SISTEMA!B956="","",VALUE(SISTEMA!B956))</f>
        <v/>
      </c>
      <c r="C962" s="10" t="str">
        <f>IF(SISTEMA!C956="","",SISTEMA!C956)</f>
        <v/>
      </c>
      <c r="D962" s="5" t="str" cm="1">
        <f t="array" ref="D9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2" s="5" t="str" cm="1">
        <f t="array" ref="E9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2" s="5" t="str" cm="1">
        <f t="array" ref="F9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2" t="str" cm="1">
        <f t="array" ref="G9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2" s="4"/>
      <c r="I962" s="3" t="str" cm="1">
        <f t="array" ref="I9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3" spans="1:9" x14ac:dyDescent="0.3">
      <c r="A963" s="3" t="str">
        <f>IF(SISTEMA!A957="","",SISTEMA!A957)</f>
        <v/>
      </c>
      <c r="B963" s="10" t="str">
        <f>IF(SISTEMA!B957="","",VALUE(SISTEMA!B957))</f>
        <v/>
      </c>
      <c r="C963" s="10" t="str">
        <f>IF(SISTEMA!C957="","",SISTEMA!C957)</f>
        <v/>
      </c>
      <c r="D963" s="5" t="str" cm="1">
        <f t="array" ref="D9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3" s="5" t="str" cm="1">
        <f t="array" ref="E9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3" s="5" t="str" cm="1">
        <f t="array" ref="F9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3" t="str" cm="1">
        <f t="array" ref="G9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3" s="4"/>
      <c r="I963" s="3" t="str" cm="1">
        <f t="array" ref="I9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4" spans="1:9" x14ac:dyDescent="0.3">
      <c r="A964" s="3" t="str">
        <f>IF(SISTEMA!A958="","",SISTEMA!A958)</f>
        <v/>
      </c>
      <c r="B964" s="10" t="str">
        <f>IF(SISTEMA!B958="","",VALUE(SISTEMA!B958))</f>
        <v/>
      </c>
      <c r="C964" s="10" t="str">
        <f>IF(SISTEMA!C958="","",SISTEMA!C958)</f>
        <v/>
      </c>
      <c r="D964" s="5" t="str" cm="1">
        <f t="array" ref="D9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4" s="5" t="str" cm="1">
        <f t="array" ref="E9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4" s="5" t="str" cm="1">
        <f t="array" ref="F9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4" t="str" cm="1">
        <f t="array" ref="G9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4" s="4"/>
      <c r="I964" s="3" t="str" cm="1">
        <f t="array" ref="I9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5" spans="1:9" x14ac:dyDescent="0.3">
      <c r="A965" s="3" t="str">
        <f>IF(SISTEMA!A959="","",SISTEMA!A959)</f>
        <v/>
      </c>
      <c r="B965" s="10" t="str">
        <f>IF(SISTEMA!B959="","",VALUE(SISTEMA!B959))</f>
        <v/>
      </c>
      <c r="C965" s="10" t="str">
        <f>IF(SISTEMA!C959="","",SISTEMA!C959)</f>
        <v/>
      </c>
      <c r="D965" s="5" t="str" cm="1">
        <f t="array" ref="D9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5" s="5" t="str" cm="1">
        <f t="array" ref="E9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5" s="5" t="str" cm="1">
        <f t="array" ref="F9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5" t="str" cm="1">
        <f t="array" ref="G9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5" s="4"/>
      <c r="I965" s="3" t="str" cm="1">
        <f t="array" ref="I9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6" spans="1:9" x14ac:dyDescent="0.3">
      <c r="A966" s="3" t="str">
        <f>IF(SISTEMA!A960="","",SISTEMA!A960)</f>
        <v/>
      </c>
      <c r="B966" s="10" t="str">
        <f>IF(SISTEMA!B960="","",VALUE(SISTEMA!B960))</f>
        <v/>
      </c>
      <c r="C966" s="10" t="str">
        <f>IF(SISTEMA!C960="","",SISTEMA!C960)</f>
        <v/>
      </c>
      <c r="D966" s="5" t="str" cm="1">
        <f t="array" ref="D9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6" s="5" t="str" cm="1">
        <f t="array" ref="E9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6" s="5" t="str" cm="1">
        <f t="array" ref="F9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6" t="str" cm="1">
        <f t="array" ref="G9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6" s="4"/>
      <c r="I966" s="3" t="str" cm="1">
        <f t="array" ref="I9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7" spans="1:9" x14ac:dyDescent="0.3">
      <c r="A967" s="3" t="str">
        <f>IF(SISTEMA!A961="","",SISTEMA!A961)</f>
        <v/>
      </c>
      <c r="B967" s="10" t="str">
        <f>IF(SISTEMA!B961="","",VALUE(SISTEMA!B961))</f>
        <v/>
      </c>
      <c r="C967" s="10" t="str">
        <f>IF(SISTEMA!C961="","",SISTEMA!C961)</f>
        <v/>
      </c>
      <c r="D967" s="5" t="str" cm="1">
        <f t="array" ref="D9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7" s="5" t="str" cm="1">
        <f t="array" ref="E9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7" s="5" t="str" cm="1">
        <f t="array" ref="F9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7" t="str" cm="1">
        <f t="array" ref="G9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7" s="4"/>
      <c r="I967" s="3" t="str" cm="1">
        <f t="array" ref="I9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8" spans="1:9" x14ac:dyDescent="0.3">
      <c r="A968" s="3" t="str">
        <f>IF(SISTEMA!A962="","",SISTEMA!A962)</f>
        <v/>
      </c>
      <c r="B968" s="10" t="str">
        <f>IF(SISTEMA!B962="","",VALUE(SISTEMA!B962))</f>
        <v/>
      </c>
      <c r="C968" s="10" t="str">
        <f>IF(SISTEMA!C962="","",SISTEMA!C962)</f>
        <v/>
      </c>
      <c r="D968" s="5" t="str" cm="1">
        <f t="array" ref="D9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8" s="5" t="str" cm="1">
        <f t="array" ref="E9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8" s="5" t="str" cm="1">
        <f t="array" ref="F9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8" t="str" cm="1">
        <f t="array" ref="G9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8" s="4"/>
      <c r="I968" s="3" t="str" cm="1">
        <f t="array" ref="I9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69" spans="1:9" x14ac:dyDescent="0.3">
      <c r="A969" s="3" t="str">
        <f>IF(SISTEMA!A963="","",SISTEMA!A963)</f>
        <v/>
      </c>
      <c r="B969" s="10" t="str">
        <f>IF(SISTEMA!B963="","",VALUE(SISTEMA!B963))</f>
        <v/>
      </c>
      <c r="C969" s="10" t="str">
        <f>IF(SISTEMA!C963="","",SISTEMA!C963)</f>
        <v/>
      </c>
      <c r="D969" s="5" t="str" cm="1">
        <f t="array" ref="D9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69" s="5" t="str" cm="1">
        <f t="array" ref="E9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69" s="5" t="str" cm="1">
        <f t="array" ref="F9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69" t="str" cm="1">
        <f t="array" ref="G9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69" s="4"/>
      <c r="I969" s="3" t="str" cm="1">
        <f t="array" ref="I9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0" spans="1:9" x14ac:dyDescent="0.3">
      <c r="A970" s="3" t="str">
        <f>IF(SISTEMA!A964="","",SISTEMA!A964)</f>
        <v/>
      </c>
      <c r="B970" s="10" t="str">
        <f>IF(SISTEMA!B964="","",VALUE(SISTEMA!B964))</f>
        <v/>
      </c>
      <c r="C970" s="10" t="str">
        <f>IF(SISTEMA!C964="","",SISTEMA!C964)</f>
        <v/>
      </c>
      <c r="D970" s="5" t="str" cm="1">
        <f t="array" ref="D9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0" s="5" t="str" cm="1">
        <f t="array" ref="E9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0" s="5" t="str" cm="1">
        <f t="array" ref="F9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0" t="str" cm="1">
        <f t="array" ref="G9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0" s="4"/>
      <c r="I970" s="3" t="str" cm="1">
        <f t="array" ref="I9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1" spans="1:9" x14ac:dyDescent="0.3">
      <c r="A971" s="3" t="str">
        <f>IF(SISTEMA!A965="","",SISTEMA!A965)</f>
        <v/>
      </c>
      <c r="B971" s="10" t="str">
        <f>IF(SISTEMA!B965="","",VALUE(SISTEMA!B965))</f>
        <v/>
      </c>
      <c r="C971" s="10" t="str">
        <f>IF(SISTEMA!C965="","",SISTEMA!C965)</f>
        <v/>
      </c>
      <c r="D971" s="5" t="str" cm="1">
        <f t="array" ref="D9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1" s="5" t="str" cm="1">
        <f t="array" ref="E9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1" s="5" t="str" cm="1">
        <f t="array" ref="F9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1" t="str" cm="1">
        <f t="array" ref="G9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1" s="4"/>
      <c r="I971" s="3" t="str" cm="1">
        <f t="array" ref="I9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2" spans="1:9" x14ac:dyDescent="0.3">
      <c r="A972" s="3" t="str">
        <f>IF(SISTEMA!A966="","",SISTEMA!A966)</f>
        <v/>
      </c>
      <c r="B972" s="10" t="str">
        <f>IF(SISTEMA!B966="","",VALUE(SISTEMA!B966))</f>
        <v/>
      </c>
      <c r="C972" s="10" t="str">
        <f>IF(SISTEMA!C966="","",SISTEMA!C966)</f>
        <v/>
      </c>
      <c r="D972" s="5" t="str" cm="1">
        <f t="array" ref="D9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2" s="5" t="str" cm="1">
        <f t="array" ref="E9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2" s="5" t="str" cm="1">
        <f t="array" ref="F9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2" t="str" cm="1">
        <f t="array" ref="G9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2" s="4"/>
      <c r="I972" s="3" t="str" cm="1">
        <f t="array" ref="I9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3" spans="1:9" x14ac:dyDescent="0.3">
      <c r="A973" s="3" t="str">
        <f>IF(SISTEMA!A967="","",SISTEMA!A967)</f>
        <v/>
      </c>
      <c r="B973" s="10" t="str">
        <f>IF(SISTEMA!B967="","",VALUE(SISTEMA!B967))</f>
        <v/>
      </c>
      <c r="C973" s="10" t="str">
        <f>IF(SISTEMA!C967="","",SISTEMA!C967)</f>
        <v/>
      </c>
      <c r="D973" s="5" t="str" cm="1">
        <f t="array" ref="D9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3" s="5" t="str" cm="1">
        <f t="array" ref="E9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3" s="5" t="str" cm="1">
        <f t="array" ref="F9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3" t="str" cm="1">
        <f t="array" ref="G9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3" s="4"/>
      <c r="I973" s="3" t="str" cm="1">
        <f t="array" ref="I9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4" spans="1:9" x14ac:dyDescent="0.3">
      <c r="A974" s="3" t="str">
        <f>IF(SISTEMA!A968="","",SISTEMA!A968)</f>
        <v/>
      </c>
      <c r="B974" s="10" t="str">
        <f>IF(SISTEMA!B968="","",VALUE(SISTEMA!B968))</f>
        <v/>
      </c>
      <c r="C974" s="10" t="str">
        <f>IF(SISTEMA!C968="","",SISTEMA!C968)</f>
        <v/>
      </c>
      <c r="D974" s="5" t="str" cm="1">
        <f t="array" ref="D9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4" s="5" t="str" cm="1">
        <f t="array" ref="E9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4" s="5" t="str" cm="1">
        <f t="array" ref="F9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4" t="str" cm="1">
        <f t="array" ref="G9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4" s="4"/>
      <c r="I974" s="3" t="str" cm="1">
        <f t="array" ref="I9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5" spans="1:9" x14ac:dyDescent="0.3">
      <c r="A975" s="3" t="str">
        <f>IF(SISTEMA!A969="","",SISTEMA!A969)</f>
        <v/>
      </c>
      <c r="B975" s="10" t="str">
        <f>IF(SISTEMA!B969="","",VALUE(SISTEMA!B969))</f>
        <v/>
      </c>
      <c r="C975" s="10" t="str">
        <f>IF(SISTEMA!C969="","",SISTEMA!C969)</f>
        <v/>
      </c>
      <c r="D975" s="5" t="str" cm="1">
        <f t="array" ref="D9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5" s="5" t="str" cm="1">
        <f t="array" ref="E9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5" s="5" t="str" cm="1">
        <f t="array" ref="F9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5" t="str" cm="1">
        <f t="array" ref="G9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5" s="4"/>
      <c r="I975" s="3" t="str" cm="1">
        <f t="array" ref="I9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6" spans="1:9" x14ac:dyDescent="0.3">
      <c r="A976" s="3" t="str">
        <f>IF(SISTEMA!A970="","",SISTEMA!A970)</f>
        <v/>
      </c>
      <c r="B976" s="10" t="str">
        <f>IF(SISTEMA!B970="","",VALUE(SISTEMA!B970))</f>
        <v/>
      </c>
      <c r="C976" s="10" t="str">
        <f>IF(SISTEMA!C970="","",SISTEMA!C970)</f>
        <v/>
      </c>
      <c r="D976" s="5" t="str" cm="1">
        <f t="array" ref="D9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6" s="5" t="str" cm="1">
        <f t="array" ref="E9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6" s="5" t="str" cm="1">
        <f t="array" ref="F9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6" t="str" cm="1">
        <f t="array" ref="G9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6" s="4"/>
      <c r="I976" s="3" t="str" cm="1">
        <f t="array" ref="I9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7" spans="1:9" x14ac:dyDescent="0.3">
      <c r="A977" s="3" t="str">
        <f>IF(SISTEMA!A971="","",SISTEMA!A971)</f>
        <v/>
      </c>
      <c r="B977" s="10" t="str">
        <f>IF(SISTEMA!B971="","",VALUE(SISTEMA!B971))</f>
        <v/>
      </c>
      <c r="C977" s="10" t="str">
        <f>IF(SISTEMA!C971="","",SISTEMA!C971)</f>
        <v/>
      </c>
      <c r="D977" s="5" t="str" cm="1">
        <f t="array" ref="D9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7" s="5" t="str" cm="1">
        <f t="array" ref="E9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7" s="5" t="str" cm="1">
        <f t="array" ref="F9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7" t="str" cm="1">
        <f t="array" ref="G9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7" s="4"/>
      <c r="I977" s="3" t="str" cm="1">
        <f t="array" ref="I9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8" spans="1:9" x14ac:dyDescent="0.3">
      <c r="A978" s="3" t="str">
        <f>IF(SISTEMA!A972="","",SISTEMA!A972)</f>
        <v/>
      </c>
      <c r="B978" s="10" t="str">
        <f>IF(SISTEMA!B972="","",VALUE(SISTEMA!B972))</f>
        <v/>
      </c>
      <c r="C978" s="10" t="str">
        <f>IF(SISTEMA!C972="","",SISTEMA!C972)</f>
        <v/>
      </c>
      <c r="D978" s="5" t="str" cm="1">
        <f t="array" ref="D9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8" s="5" t="str" cm="1">
        <f t="array" ref="E9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8" s="5" t="str" cm="1">
        <f t="array" ref="F9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8" t="str" cm="1">
        <f t="array" ref="G9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8" s="4"/>
      <c r="I978" s="3" t="str" cm="1">
        <f t="array" ref="I9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79" spans="1:9" x14ac:dyDescent="0.3">
      <c r="A979" s="3" t="str">
        <f>IF(SISTEMA!A973="","",SISTEMA!A973)</f>
        <v/>
      </c>
      <c r="B979" s="10" t="str">
        <f>IF(SISTEMA!B973="","",VALUE(SISTEMA!B973))</f>
        <v/>
      </c>
      <c r="C979" s="10" t="str">
        <f>IF(SISTEMA!C973="","",SISTEMA!C973)</f>
        <v/>
      </c>
      <c r="D979" s="5" t="str" cm="1">
        <f t="array" ref="D9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79" s="5" t="str" cm="1">
        <f t="array" ref="E9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79" s="5" t="str" cm="1">
        <f t="array" ref="F9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79" t="str" cm="1">
        <f t="array" ref="G9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79" s="4"/>
      <c r="I979" s="3" t="str" cm="1">
        <f t="array" ref="I9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0" spans="1:9" x14ac:dyDescent="0.3">
      <c r="A980" s="3" t="str">
        <f>IF(SISTEMA!A974="","",SISTEMA!A974)</f>
        <v/>
      </c>
      <c r="B980" s="10" t="str">
        <f>IF(SISTEMA!B974="","",VALUE(SISTEMA!B974))</f>
        <v/>
      </c>
      <c r="C980" s="10" t="str">
        <f>IF(SISTEMA!C974="","",SISTEMA!C974)</f>
        <v/>
      </c>
      <c r="D980" s="5" t="str" cm="1">
        <f t="array" ref="D9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0" s="5" t="str" cm="1">
        <f t="array" ref="E9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0" s="5" t="str" cm="1">
        <f t="array" ref="F9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0" t="str" cm="1">
        <f t="array" ref="G9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0" s="4"/>
      <c r="I980" s="3" t="str" cm="1">
        <f t="array" ref="I9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1" spans="1:9" x14ac:dyDescent="0.3">
      <c r="A981" s="3" t="str">
        <f>IF(SISTEMA!A975="","",SISTEMA!A975)</f>
        <v/>
      </c>
      <c r="B981" s="10" t="str">
        <f>IF(SISTEMA!B975="","",VALUE(SISTEMA!B975))</f>
        <v/>
      </c>
      <c r="C981" s="10" t="str">
        <f>IF(SISTEMA!C975="","",SISTEMA!C975)</f>
        <v/>
      </c>
      <c r="D981" s="5" t="str" cm="1">
        <f t="array" ref="D9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1" s="5" t="str" cm="1">
        <f t="array" ref="E9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1" s="5" t="str" cm="1">
        <f t="array" ref="F9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1" t="str" cm="1">
        <f t="array" ref="G9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1" s="4"/>
      <c r="I981" s="3" t="str" cm="1">
        <f t="array" ref="I9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2" spans="1:9" x14ac:dyDescent="0.3">
      <c r="A982" s="3" t="str">
        <f>IF(SISTEMA!A976="","",SISTEMA!A976)</f>
        <v/>
      </c>
      <c r="B982" s="10" t="str">
        <f>IF(SISTEMA!B976="","",VALUE(SISTEMA!B976))</f>
        <v/>
      </c>
      <c r="C982" s="10" t="str">
        <f>IF(SISTEMA!C976="","",SISTEMA!C976)</f>
        <v/>
      </c>
      <c r="D982" s="5" t="str" cm="1">
        <f t="array" ref="D9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2" s="5" t="str" cm="1">
        <f t="array" ref="E9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2" s="5" t="str" cm="1">
        <f t="array" ref="F9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2" t="str" cm="1">
        <f t="array" ref="G9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2" s="4"/>
      <c r="I982" s="3" t="str" cm="1">
        <f t="array" ref="I9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3" spans="1:9" x14ac:dyDescent="0.3">
      <c r="A983" s="3" t="str">
        <f>IF(SISTEMA!A977="","",SISTEMA!A977)</f>
        <v/>
      </c>
      <c r="B983" s="10" t="str">
        <f>IF(SISTEMA!B977="","",VALUE(SISTEMA!B977))</f>
        <v/>
      </c>
      <c r="C983" s="10" t="str">
        <f>IF(SISTEMA!C977="","",SISTEMA!C977)</f>
        <v/>
      </c>
      <c r="D983" s="5" t="str" cm="1">
        <f t="array" ref="D9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3" s="5" t="str" cm="1">
        <f t="array" ref="E9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3" s="5" t="str" cm="1">
        <f t="array" ref="F9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3" t="str" cm="1">
        <f t="array" ref="G9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3" s="4"/>
      <c r="I983" s="3" t="str" cm="1">
        <f t="array" ref="I9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4" spans="1:9" x14ac:dyDescent="0.3">
      <c r="A984" s="3" t="str">
        <f>IF(SISTEMA!A978="","",SISTEMA!A978)</f>
        <v/>
      </c>
      <c r="B984" s="10" t="str">
        <f>IF(SISTEMA!B978="","",VALUE(SISTEMA!B978))</f>
        <v/>
      </c>
      <c r="C984" s="10" t="str">
        <f>IF(SISTEMA!C978="","",SISTEMA!C978)</f>
        <v/>
      </c>
      <c r="D984" s="5" t="str" cm="1">
        <f t="array" ref="D9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4" s="5" t="str" cm="1">
        <f t="array" ref="E9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4" s="5" t="str" cm="1">
        <f t="array" ref="F9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4" t="str" cm="1">
        <f t="array" ref="G9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4" s="4"/>
      <c r="I984" s="3" t="str" cm="1">
        <f t="array" ref="I9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5" spans="1:9" x14ac:dyDescent="0.3">
      <c r="A985" s="3" t="str">
        <f>IF(SISTEMA!A979="","",SISTEMA!A979)</f>
        <v/>
      </c>
      <c r="B985" s="10" t="str">
        <f>IF(SISTEMA!B979="","",VALUE(SISTEMA!B979))</f>
        <v/>
      </c>
      <c r="C985" s="10" t="str">
        <f>IF(SISTEMA!C979="","",SISTEMA!C979)</f>
        <v/>
      </c>
      <c r="D985" s="5" t="str" cm="1">
        <f t="array" ref="D9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5" s="5" t="str" cm="1">
        <f t="array" ref="E9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5" s="5" t="str" cm="1">
        <f t="array" ref="F9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5" t="str" cm="1">
        <f t="array" ref="G9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5" s="4"/>
      <c r="I985" s="3" t="str" cm="1">
        <f t="array" ref="I9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6" spans="1:9" x14ac:dyDescent="0.3">
      <c r="A986" s="3" t="str">
        <f>IF(SISTEMA!A980="","",SISTEMA!A980)</f>
        <v/>
      </c>
      <c r="B986" s="10" t="str">
        <f>IF(SISTEMA!B980="","",VALUE(SISTEMA!B980))</f>
        <v/>
      </c>
      <c r="C986" s="10" t="str">
        <f>IF(SISTEMA!C980="","",SISTEMA!C980)</f>
        <v/>
      </c>
      <c r="D986" s="5" t="str" cm="1">
        <f t="array" ref="D9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6" s="5" t="str" cm="1">
        <f t="array" ref="E9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6" s="5" t="str" cm="1">
        <f t="array" ref="F9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6" t="str" cm="1">
        <f t="array" ref="G9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6" s="4"/>
      <c r="I986" s="3" t="str" cm="1">
        <f t="array" ref="I9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7" spans="1:9" x14ac:dyDescent="0.3">
      <c r="A987" s="3" t="str">
        <f>IF(SISTEMA!A981="","",SISTEMA!A981)</f>
        <v/>
      </c>
      <c r="B987" s="10" t="str">
        <f>IF(SISTEMA!B981="","",VALUE(SISTEMA!B981))</f>
        <v/>
      </c>
      <c r="C987" s="10" t="str">
        <f>IF(SISTEMA!C981="","",SISTEMA!C981)</f>
        <v/>
      </c>
      <c r="D987" s="5" t="str" cm="1">
        <f t="array" ref="D9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7" s="5" t="str" cm="1">
        <f t="array" ref="E9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7" s="5" t="str" cm="1">
        <f t="array" ref="F9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7" t="str" cm="1">
        <f t="array" ref="G9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7" s="4"/>
      <c r="I987" s="3" t="str" cm="1">
        <f t="array" ref="I9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8" spans="1:9" x14ac:dyDescent="0.3">
      <c r="A988" s="3" t="str">
        <f>IF(SISTEMA!A982="","",SISTEMA!A982)</f>
        <v/>
      </c>
      <c r="B988" s="10" t="str">
        <f>IF(SISTEMA!B982="","",VALUE(SISTEMA!B982))</f>
        <v/>
      </c>
      <c r="C988" s="10" t="str">
        <f>IF(SISTEMA!C982="","",SISTEMA!C982)</f>
        <v/>
      </c>
      <c r="D988" s="5" t="str" cm="1">
        <f t="array" ref="D9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8" s="5" t="str" cm="1">
        <f t="array" ref="E9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8" s="5" t="str" cm="1">
        <f t="array" ref="F9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8" t="str" cm="1">
        <f t="array" ref="G9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8" s="4"/>
      <c r="I988" s="3" t="str" cm="1">
        <f t="array" ref="I9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89" spans="1:9" x14ac:dyDescent="0.3">
      <c r="A989" s="3" t="str">
        <f>IF(SISTEMA!A983="","",SISTEMA!A983)</f>
        <v/>
      </c>
      <c r="B989" s="10" t="str">
        <f>IF(SISTEMA!B983="","",VALUE(SISTEMA!B983))</f>
        <v/>
      </c>
      <c r="C989" s="10" t="str">
        <f>IF(SISTEMA!C983="","",SISTEMA!C983)</f>
        <v/>
      </c>
      <c r="D989" s="5" t="str" cm="1">
        <f t="array" ref="D9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89" s="5" t="str" cm="1">
        <f t="array" ref="E9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89" s="5" t="str" cm="1">
        <f t="array" ref="F9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89" t="str" cm="1">
        <f t="array" ref="G9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89" s="4"/>
      <c r="I989" s="3" t="str" cm="1">
        <f t="array" ref="I9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0" spans="1:9" x14ac:dyDescent="0.3">
      <c r="A990" s="3" t="str">
        <f>IF(SISTEMA!A984="","",SISTEMA!A984)</f>
        <v/>
      </c>
      <c r="B990" s="10" t="str">
        <f>IF(SISTEMA!B984="","",VALUE(SISTEMA!B984))</f>
        <v/>
      </c>
      <c r="C990" s="10" t="str">
        <f>IF(SISTEMA!C984="","",SISTEMA!C984)</f>
        <v/>
      </c>
      <c r="D990" s="5" t="str" cm="1">
        <f t="array" ref="D9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0" s="5" t="str" cm="1">
        <f t="array" ref="E9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0" s="5" t="str" cm="1">
        <f t="array" ref="F9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0" t="str" cm="1">
        <f t="array" ref="G9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0" s="4"/>
      <c r="I990" s="3" t="str" cm="1">
        <f t="array" ref="I9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1" spans="1:9" x14ac:dyDescent="0.3">
      <c r="A991" s="3" t="str">
        <f>IF(SISTEMA!A985="","",SISTEMA!A985)</f>
        <v/>
      </c>
      <c r="B991" s="10" t="str">
        <f>IF(SISTEMA!B985="","",VALUE(SISTEMA!B985))</f>
        <v/>
      </c>
      <c r="C991" s="10" t="str">
        <f>IF(SISTEMA!C985="","",SISTEMA!C985)</f>
        <v/>
      </c>
      <c r="D991" s="5" t="str" cm="1">
        <f t="array" ref="D9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1" s="5" t="str" cm="1">
        <f t="array" ref="E9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1" s="5" t="str" cm="1">
        <f t="array" ref="F9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1" t="str" cm="1">
        <f t="array" ref="G9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1" s="4"/>
      <c r="I991" s="3" t="str" cm="1">
        <f t="array" ref="I9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2" spans="1:9" x14ac:dyDescent="0.3">
      <c r="A992" s="3" t="str">
        <f>IF(SISTEMA!A986="","",SISTEMA!A986)</f>
        <v/>
      </c>
      <c r="B992" s="10" t="str">
        <f>IF(SISTEMA!B986="","",VALUE(SISTEMA!B986))</f>
        <v/>
      </c>
      <c r="C992" s="10" t="str">
        <f>IF(SISTEMA!C986="","",SISTEMA!C986)</f>
        <v/>
      </c>
      <c r="D992" s="5" t="str" cm="1">
        <f t="array" ref="D9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2" s="5" t="str" cm="1">
        <f t="array" ref="E9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2" s="5" t="str" cm="1">
        <f t="array" ref="F9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2" t="str" cm="1">
        <f t="array" ref="G9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2" s="4"/>
      <c r="I992" s="3" t="str" cm="1">
        <f t="array" ref="I9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3" spans="1:9" x14ac:dyDescent="0.3">
      <c r="A993" s="3" t="str">
        <f>IF(SISTEMA!A987="","",SISTEMA!A987)</f>
        <v/>
      </c>
      <c r="B993" s="10" t="str">
        <f>IF(SISTEMA!B987="","",VALUE(SISTEMA!B987))</f>
        <v/>
      </c>
      <c r="C993" s="10" t="str">
        <f>IF(SISTEMA!C987="","",SISTEMA!C987)</f>
        <v/>
      </c>
      <c r="D993" s="5" t="str" cm="1">
        <f t="array" ref="D9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3" s="5" t="str" cm="1">
        <f t="array" ref="E9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3" s="5" t="str" cm="1">
        <f t="array" ref="F9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3" t="str" cm="1">
        <f t="array" ref="G9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3" s="4"/>
      <c r="I993" s="3" t="str" cm="1">
        <f t="array" ref="I9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4" spans="1:9" x14ac:dyDescent="0.3">
      <c r="A994" s="3" t="str">
        <f>IF(SISTEMA!A988="","",SISTEMA!A988)</f>
        <v/>
      </c>
      <c r="B994" s="10" t="str">
        <f>IF(SISTEMA!B988="","",VALUE(SISTEMA!B988))</f>
        <v/>
      </c>
      <c r="C994" s="10" t="str">
        <f>IF(SISTEMA!C988="","",SISTEMA!C988)</f>
        <v/>
      </c>
      <c r="D994" s="5" t="str" cm="1">
        <f t="array" ref="D9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4" s="5" t="str" cm="1">
        <f t="array" ref="E9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4" s="5" t="str" cm="1">
        <f t="array" ref="F9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4" t="str" cm="1">
        <f t="array" ref="G9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4" s="4"/>
      <c r="I994" s="3" t="str" cm="1">
        <f t="array" ref="I9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5" spans="1:9" x14ac:dyDescent="0.3">
      <c r="A995" s="3" t="str">
        <f>IF(SISTEMA!A989="","",SISTEMA!A989)</f>
        <v/>
      </c>
      <c r="B995" s="10" t="str">
        <f>IF(SISTEMA!B989="","",VALUE(SISTEMA!B989))</f>
        <v/>
      </c>
      <c r="C995" s="10" t="str">
        <f>IF(SISTEMA!C989="","",SISTEMA!C989)</f>
        <v/>
      </c>
      <c r="D995" s="5" t="str" cm="1">
        <f t="array" ref="D9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5" s="5" t="str" cm="1">
        <f t="array" ref="E9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5" s="5" t="str" cm="1">
        <f t="array" ref="F9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5" t="str" cm="1">
        <f t="array" ref="G9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5" s="4"/>
      <c r="I995" s="3" t="str" cm="1">
        <f t="array" ref="I9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6" spans="1:9" x14ac:dyDescent="0.3">
      <c r="A996" s="3" t="str">
        <f>IF(SISTEMA!A990="","",SISTEMA!A990)</f>
        <v/>
      </c>
      <c r="B996" s="10" t="str">
        <f>IF(SISTEMA!B990="","",VALUE(SISTEMA!B990))</f>
        <v/>
      </c>
      <c r="C996" s="10" t="str">
        <f>IF(SISTEMA!C990="","",SISTEMA!C990)</f>
        <v/>
      </c>
      <c r="D996" s="5" t="str" cm="1">
        <f t="array" ref="D9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6" s="5" t="str" cm="1">
        <f t="array" ref="E9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6" s="5" t="str" cm="1">
        <f t="array" ref="F9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6" t="str" cm="1">
        <f t="array" ref="G9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6" s="4"/>
      <c r="I996" s="3" t="str" cm="1">
        <f t="array" ref="I9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7" spans="1:9" x14ac:dyDescent="0.3">
      <c r="A997" s="3" t="str">
        <f>IF(SISTEMA!A991="","",SISTEMA!A991)</f>
        <v/>
      </c>
      <c r="B997" s="10" t="str">
        <f>IF(SISTEMA!B991="","",VALUE(SISTEMA!B991))</f>
        <v/>
      </c>
      <c r="C997" s="10" t="str">
        <f>IF(SISTEMA!C991="","",SISTEMA!C991)</f>
        <v/>
      </c>
      <c r="D997" s="5" t="str" cm="1">
        <f t="array" ref="D9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7" s="5" t="str" cm="1">
        <f t="array" ref="E9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7" s="5" t="str" cm="1">
        <f t="array" ref="F9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7" t="str" cm="1">
        <f t="array" ref="G9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7" s="4"/>
      <c r="I997" s="3" t="str" cm="1">
        <f t="array" ref="I9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8" spans="1:9" x14ac:dyDescent="0.3">
      <c r="A998" s="3" t="str">
        <f>IF(SISTEMA!A992="","",SISTEMA!A992)</f>
        <v/>
      </c>
      <c r="B998" s="10" t="str">
        <f>IF(SISTEMA!B992="","",VALUE(SISTEMA!B992))</f>
        <v/>
      </c>
      <c r="C998" s="10" t="str">
        <f>IF(SISTEMA!C992="","",SISTEMA!C992)</f>
        <v/>
      </c>
      <c r="D998" s="5" t="str" cm="1">
        <f t="array" ref="D9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8" s="5" t="str" cm="1">
        <f t="array" ref="E9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8" s="5" t="str" cm="1">
        <f t="array" ref="F9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8" t="str" cm="1">
        <f t="array" ref="G9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8" s="4"/>
      <c r="I998" s="3" t="str" cm="1">
        <f t="array" ref="I9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999" spans="1:9" x14ac:dyDescent="0.3">
      <c r="A999" s="3" t="str">
        <f>IF(SISTEMA!A993="","",SISTEMA!A993)</f>
        <v/>
      </c>
      <c r="B999" s="10" t="str">
        <f>IF(SISTEMA!B993="","",VALUE(SISTEMA!B993))</f>
        <v/>
      </c>
      <c r="C999" s="10" t="str">
        <f>IF(SISTEMA!C993="","",SISTEMA!C993)</f>
        <v/>
      </c>
      <c r="D999" s="5" t="str" cm="1">
        <f t="array" ref="D9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999" s="5" t="str" cm="1">
        <f t="array" ref="E9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999" s="5" t="str" cm="1">
        <f t="array" ref="F9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999" t="str" cm="1">
        <f t="array" ref="G9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999" s="4"/>
      <c r="I999" s="3" t="str" cm="1">
        <f t="array" ref="I9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0" spans="1:9" x14ac:dyDescent="0.3">
      <c r="A1000" s="3" t="str">
        <f>IF(SISTEMA!A994="","",SISTEMA!A994)</f>
        <v/>
      </c>
      <c r="B1000" s="10" t="str">
        <f>IF(SISTEMA!B994="","",VALUE(SISTEMA!B994))</f>
        <v/>
      </c>
      <c r="C1000" s="10" t="str">
        <f>IF(SISTEMA!C994="","",SISTEMA!C994)</f>
        <v/>
      </c>
      <c r="D1000" s="5" t="str" cm="1">
        <f t="array" ref="D10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0" s="5" t="str" cm="1">
        <f t="array" ref="E10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0" s="5" t="str" cm="1">
        <f t="array" ref="F10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0" t="str" cm="1">
        <f t="array" ref="G10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0" s="4"/>
      <c r="I1000" s="3" t="str" cm="1">
        <f t="array" ref="I10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1" spans="1:9" x14ac:dyDescent="0.3">
      <c r="A1001" s="3" t="str">
        <f>IF(SISTEMA!A995="","",SISTEMA!A995)</f>
        <v/>
      </c>
      <c r="B1001" s="10" t="str">
        <f>IF(SISTEMA!B995="","",VALUE(SISTEMA!B995))</f>
        <v/>
      </c>
      <c r="C1001" s="10" t="str">
        <f>IF(SISTEMA!C995="","",SISTEMA!C995)</f>
        <v/>
      </c>
      <c r="D1001" s="5" t="str" cm="1">
        <f t="array" ref="D10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1" s="5" t="str" cm="1">
        <f t="array" ref="E10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1" s="5" t="str" cm="1">
        <f t="array" ref="F10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1" t="str" cm="1">
        <f t="array" ref="G10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1" s="4"/>
      <c r="I1001" s="3" t="str" cm="1">
        <f t="array" ref="I10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2" spans="1:9" x14ac:dyDescent="0.3">
      <c r="A1002" s="3" t="str">
        <f>IF(SISTEMA!A996="","",SISTEMA!A996)</f>
        <v/>
      </c>
      <c r="B1002" s="10" t="str">
        <f>IF(SISTEMA!B996="","",VALUE(SISTEMA!B996))</f>
        <v/>
      </c>
      <c r="C1002" s="10" t="str">
        <f>IF(SISTEMA!C996="","",SISTEMA!C996)</f>
        <v/>
      </c>
      <c r="D1002" s="5" t="str" cm="1">
        <f t="array" ref="D10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2" s="5" t="str" cm="1">
        <f t="array" ref="E10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2" s="5" t="str" cm="1">
        <f t="array" ref="F10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2" t="str" cm="1">
        <f t="array" ref="G10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2" s="4"/>
      <c r="I1002" s="3" t="str" cm="1">
        <f t="array" ref="I10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3" spans="1:9" x14ac:dyDescent="0.3">
      <c r="A1003" s="3" t="str">
        <f>IF(SISTEMA!A997="","",SISTEMA!A997)</f>
        <v/>
      </c>
      <c r="B1003" s="10" t="str">
        <f>IF(SISTEMA!B997="","",VALUE(SISTEMA!B997))</f>
        <v/>
      </c>
      <c r="C1003" s="10" t="str">
        <f>IF(SISTEMA!C997="","",SISTEMA!C997)</f>
        <v/>
      </c>
      <c r="D1003" s="5" t="str" cm="1">
        <f t="array" ref="D10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3" s="5" t="str" cm="1">
        <f t="array" ref="E10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3" s="5" t="str" cm="1">
        <f t="array" ref="F10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3" t="str" cm="1">
        <f t="array" ref="G10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3" s="4"/>
      <c r="I1003" s="3" t="str" cm="1">
        <f t="array" ref="I10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4" spans="1:9" x14ac:dyDescent="0.3">
      <c r="A1004" s="3" t="str">
        <f>IF(SISTEMA!A998="","",SISTEMA!A998)</f>
        <v/>
      </c>
      <c r="B1004" s="10" t="str">
        <f>IF(SISTEMA!B998="","",VALUE(SISTEMA!B998))</f>
        <v/>
      </c>
      <c r="C1004" s="10" t="str">
        <f>IF(SISTEMA!C998="","",SISTEMA!C998)</f>
        <v/>
      </c>
      <c r="D1004" s="5" t="str" cm="1">
        <f t="array" ref="D10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4" s="5" t="str" cm="1">
        <f t="array" ref="E10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4" s="5" t="str" cm="1">
        <f t="array" ref="F10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4" t="str" cm="1">
        <f t="array" ref="G10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4" s="4"/>
      <c r="I1004" s="3" t="str" cm="1">
        <f t="array" ref="I10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5" spans="1:9" x14ac:dyDescent="0.3">
      <c r="A1005" s="3" t="str">
        <f>IF(SISTEMA!A999="","",SISTEMA!A999)</f>
        <v/>
      </c>
      <c r="B1005" s="10" t="str">
        <f>IF(SISTEMA!B999="","",VALUE(SISTEMA!B999))</f>
        <v/>
      </c>
      <c r="C1005" s="10" t="str">
        <f>IF(SISTEMA!C999="","",SISTEMA!C999)</f>
        <v/>
      </c>
      <c r="D1005" s="5" t="str" cm="1">
        <f t="array" ref="D10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5" s="5" t="str" cm="1">
        <f t="array" ref="E10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5" s="5" t="str" cm="1">
        <f t="array" ref="F10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5" t="str" cm="1">
        <f t="array" ref="G10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5" s="4"/>
      <c r="I1005" s="3" t="str" cm="1">
        <f t="array" ref="I10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6" spans="1:9" x14ac:dyDescent="0.3">
      <c r="A1006" s="3" t="str">
        <f>IF(SISTEMA!A1000="","",SISTEMA!A1000)</f>
        <v/>
      </c>
      <c r="B1006" s="10" t="str">
        <f>IF(SISTEMA!B1000="","",VALUE(SISTEMA!B1000))</f>
        <v/>
      </c>
      <c r="C1006" s="10" t="str">
        <f>IF(SISTEMA!C1000="","",SISTEMA!C1000)</f>
        <v/>
      </c>
      <c r="D1006" s="5" t="str" cm="1">
        <f t="array" ref="D10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6" s="5" t="str" cm="1">
        <f t="array" ref="E10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6" s="5" t="str" cm="1">
        <f t="array" ref="F10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6" t="str" cm="1">
        <f t="array" ref="G10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6" s="4"/>
      <c r="I1006" s="3" t="str" cm="1">
        <f t="array" ref="I10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7" spans="1:9" x14ac:dyDescent="0.3">
      <c r="A1007" s="3" t="str">
        <f>IF(SISTEMA!A1001="","",SISTEMA!A1001)</f>
        <v/>
      </c>
      <c r="B1007" s="10" t="str">
        <f>IF(SISTEMA!B1001="","",VALUE(SISTEMA!B1001))</f>
        <v/>
      </c>
      <c r="C1007" s="10" t="str">
        <f>IF(SISTEMA!C1001="","",SISTEMA!C1001)</f>
        <v/>
      </c>
      <c r="D1007" s="5" t="str" cm="1">
        <f t="array" ref="D10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7" s="5" t="str" cm="1">
        <f t="array" ref="E10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7" s="5" t="str" cm="1">
        <f t="array" ref="F10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7" t="str" cm="1">
        <f t="array" ref="G10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7" s="4"/>
      <c r="I1007" s="3" t="str" cm="1">
        <f t="array" ref="I10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8" spans="1:9" x14ac:dyDescent="0.3">
      <c r="A1008" s="3" t="str">
        <f>IF(SISTEMA!A1002="","",SISTEMA!A1002)</f>
        <v/>
      </c>
      <c r="B1008" s="10" t="str">
        <f>IF(SISTEMA!B1002="","",VALUE(SISTEMA!B1002))</f>
        <v/>
      </c>
      <c r="C1008" s="10" t="str">
        <f>IF(SISTEMA!C1002="","",SISTEMA!C1002)</f>
        <v/>
      </c>
      <c r="D1008" s="5" t="str" cm="1">
        <f t="array" ref="D10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8" s="5" t="str" cm="1">
        <f t="array" ref="E10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8" s="5" t="str" cm="1">
        <f t="array" ref="F10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8" t="str" cm="1">
        <f t="array" ref="G10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8" s="4"/>
      <c r="I1008" s="3" t="str" cm="1">
        <f t="array" ref="I10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09" spans="1:9" x14ac:dyDescent="0.3">
      <c r="A1009" s="3" t="str">
        <f>IF(SISTEMA!A1003="","",SISTEMA!A1003)</f>
        <v/>
      </c>
      <c r="B1009" s="10" t="str">
        <f>IF(SISTEMA!B1003="","",VALUE(SISTEMA!B1003))</f>
        <v/>
      </c>
      <c r="C1009" s="10" t="str">
        <f>IF(SISTEMA!C1003="","",SISTEMA!C1003)</f>
        <v/>
      </c>
      <c r="D1009" s="5" t="str" cm="1">
        <f t="array" ref="D10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09" s="5" t="str" cm="1">
        <f t="array" ref="E10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09" s="5" t="str" cm="1">
        <f t="array" ref="F10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09" t="str" cm="1">
        <f t="array" ref="G10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09" s="4"/>
      <c r="I1009" s="3" t="str" cm="1">
        <f t="array" ref="I10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0" spans="1:9" x14ac:dyDescent="0.3">
      <c r="A1010" s="3" t="str">
        <f>IF(SISTEMA!A1004="","",SISTEMA!A1004)</f>
        <v/>
      </c>
      <c r="B1010" s="10" t="str">
        <f>IF(SISTEMA!B1004="","",VALUE(SISTEMA!B1004))</f>
        <v/>
      </c>
      <c r="C1010" s="10" t="str">
        <f>IF(SISTEMA!C1004="","",SISTEMA!C1004)</f>
        <v/>
      </c>
      <c r="D1010" s="5" t="str" cm="1">
        <f t="array" ref="D10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0" s="5" t="str" cm="1">
        <f t="array" ref="E10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0" s="5" t="str" cm="1">
        <f t="array" ref="F10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0" t="str" cm="1">
        <f t="array" ref="G10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0" s="4"/>
      <c r="I1010" s="3" t="str" cm="1">
        <f t="array" ref="I10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1" spans="1:9" x14ac:dyDescent="0.3">
      <c r="A1011" s="3" t="str">
        <f>IF(SISTEMA!A1005="","",SISTEMA!A1005)</f>
        <v/>
      </c>
      <c r="B1011" s="10" t="str">
        <f>IF(SISTEMA!B1005="","",VALUE(SISTEMA!B1005))</f>
        <v/>
      </c>
      <c r="C1011" s="10" t="str">
        <f>IF(SISTEMA!C1005="","",SISTEMA!C1005)</f>
        <v/>
      </c>
      <c r="D1011" s="5" t="str" cm="1">
        <f t="array" ref="D10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1" s="5" t="str" cm="1">
        <f t="array" ref="E10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1" s="5" t="str" cm="1">
        <f t="array" ref="F10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1" t="str" cm="1">
        <f t="array" ref="G10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1" s="4"/>
      <c r="I1011" s="3" t="str" cm="1">
        <f t="array" ref="I10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2" spans="1:9" x14ac:dyDescent="0.3">
      <c r="A1012" s="3" t="str">
        <f>IF(SISTEMA!A1006="","",SISTEMA!A1006)</f>
        <v/>
      </c>
      <c r="B1012" s="10" t="str">
        <f>IF(SISTEMA!B1006="","",VALUE(SISTEMA!B1006))</f>
        <v/>
      </c>
      <c r="C1012" s="10" t="str">
        <f>IF(SISTEMA!C1006="","",SISTEMA!C1006)</f>
        <v/>
      </c>
      <c r="D1012" s="5" t="str" cm="1">
        <f t="array" ref="D10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2" s="5" t="str" cm="1">
        <f t="array" ref="E10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2" s="5" t="str" cm="1">
        <f t="array" ref="F10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2" t="str" cm="1">
        <f t="array" ref="G10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2" s="4"/>
      <c r="I1012" s="3" t="str" cm="1">
        <f t="array" ref="I10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3" spans="1:9" x14ac:dyDescent="0.3">
      <c r="A1013" s="3" t="str">
        <f>IF(SISTEMA!A1007="","",SISTEMA!A1007)</f>
        <v/>
      </c>
      <c r="B1013" s="10" t="str">
        <f>IF(SISTEMA!B1007="","",VALUE(SISTEMA!B1007))</f>
        <v/>
      </c>
      <c r="C1013" s="10" t="str">
        <f>IF(SISTEMA!C1007="","",SISTEMA!C1007)</f>
        <v/>
      </c>
      <c r="D1013" s="5" t="str" cm="1">
        <f t="array" ref="D10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3" s="5" t="str" cm="1">
        <f t="array" ref="E10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3" s="5" t="str" cm="1">
        <f t="array" ref="F10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3" t="str" cm="1">
        <f t="array" ref="G10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3" s="4"/>
      <c r="I1013" s="3" t="str" cm="1">
        <f t="array" ref="I10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4" spans="1:9" x14ac:dyDescent="0.3">
      <c r="A1014" s="3" t="str">
        <f>IF(SISTEMA!A1008="","",SISTEMA!A1008)</f>
        <v/>
      </c>
      <c r="B1014" s="10" t="str">
        <f>IF(SISTEMA!B1008="","",VALUE(SISTEMA!B1008))</f>
        <v/>
      </c>
      <c r="C1014" s="10" t="str">
        <f>IF(SISTEMA!C1008="","",SISTEMA!C1008)</f>
        <v/>
      </c>
      <c r="D1014" s="5" t="str" cm="1">
        <f t="array" ref="D10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4" s="5" t="str" cm="1">
        <f t="array" ref="E10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4" s="5" t="str" cm="1">
        <f t="array" ref="F10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4" t="str" cm="1">
        <f t="array" ref="G10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4" s="4"/>
      <c r="I1014" s="3" t="str" cm="1">
        <f t="array" ref="I10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5" spans="1:9" x14ac:dyDescent="0.3">
      <c r="A1015" s="3" t="str">
        <f>IF(SISTEMA!A1009="","",SISTEMA!A1009)</f>
        <v/>
      </c>
      <c r="B1015" s="10" t="str">
        <f>IF(SISTEMA!B1009="","",VALUE(SISTEMA!B1009))</f>
        <v/>
      </c>
      <c r="C1015" s="10" t="str">
        <f>IF(SISTEMA!C1009="","",SISTEMA!C1009)</f>
        <v/>
      </c>
      <c r="D1015" s="5" t="str" cm="1">
        <f t="array" ref="D10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5" s="5" t="str" cm="1">
        <f t="array" ref="E10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5" s="5" t="str" cm="1">
        <f t="array" ref="F10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5" t="str" cm="1">
        <f t="array" ref="G10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5" s="4"/>
      <c r="I1015" s="3" t="str" cm="1">
        <f t="array" ref="I10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6" spans="1:9" x14ac:dyDescent="0.3">
      <c r="A1016" s="3" t="str">
        <f>IF(SISTEMA!A1010="","",SISTEMA!A1010)</f>
        <v/>
      </c>
      <c r="B1016" s="10" t="str">
        <f>IF(SISTEMA!B1010="","",VALUE(SISTEMA!B1010))</f>
        <v/>
      </c>
      <c r="C1016" s="10" t="str">
        <f>IF(SISTEMA!C1010="","",SISTEMA!C1010)</f>
        <v/>
      </c>
      <c r="D1016" s="5" t="str" cm="1">
        <f t="array" ref="D10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6" s="5" t="str" cm="1">
        <f t="array" ref="E10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6" s="5" t="str" cm="1">
        <f t="array" ref="F10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6" t="str" cm="1">
        <f t="array" ref="G10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6" s="4"/>
      <c r="I1016" s="3" t="str" cm="1">
        <f t="array" ref="I10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7" spans="1:9" x14ac:dyDescent="0.3">
      <c r="A1017" s="3" t="str">
        <f>IF(SISTEMA!A1011="","",SISTEMA!A1011)</f>
        <v/>
      </c>
      <c r="B1017" s="10" t="str">
        <f>IF(SISTEMA!B1011="","",VALUE(SISTEMA!B1011))</f>
        <v/>
      </c>
      <c r="C1017" s="10" t="str">
        <f>IF(SISTEMA!C1011="","",SISTEMA!C1011)</f>
        <v/>
      </c>
      <c r="D1017" s="5" t="str" cm="1">
        <f t="array" ref="D10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7" s="5" t="str" cm="1">
        <f t="array" ref="E10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7" s="5" t="str" cm="1">
        <f t="array" ref="F10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7" t="str" cm="1">
        <f t="array" ref="G10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7" s="4"/>
      <c r="I1017" s="3" t="str" cm="1">
        <f t="array" ref="I10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8" spans="1:9" x14ac:dyDescent="0.3">
      <c r="A1018" s="3" t="str">
        <f>IF(SISTEMA!A1012="","",SISTEMA!A1012)</f>
        <v/>
      </c>
      <c r="B1018" s="10" t="str">
        <f>IF(SISTEMA!B1012="","",VALUE(SISTEMA!B1012))</f>
        <v/>
      </c>
      <c r="C1018" s="10" t="str">
        <f>IF(SISTEMA!C1012="","",SISTEMA!C1012)</f>
        <v/>
      </c>
      <c r="D1018" s="5" t="str" cm="1">
        <f t="array" ref="D10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8" s="5" t="str" cm="1">
        <f t="array" ref="E10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8" s="5" t="str" cm="1">
        <f t="array" ref="F10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8" t="str" cm="1">
        <f t="array" ref="G10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8" s="4"/>
      <c r="I1018" s="3" t="str" cm="1">
        <f t="array" ref="I10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19" spans="1:9" x14ac:dyDescent="0.3">
      <c r="A1019" s="3" t="str">
        <f>IF(SISTEMA!A1013="","",SISTEMA!A1013)</f>
        <v/>
      </c>
      <c r="B1019" s="10" t="str">
        <f>IF(SISTEMA!B1013="","",VALUE(SISTEMA!B1013))</f>
        <v/>
      </c>
      <c r="C1019" s="10" t="str">
        <f>IF(SISTEMA!C1013="","",SISTEMA!C1013)</f>
        <v/>
      </c>
      <c r="D1019" s="5" t="str" cm="1">
        <f t="array" ref="D10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19" s="5" t="str" cm="1">
        <f t="array" ref="E10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19" s="5" t="str" cm="1">
        <f t="array" ref="F10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19" t="str" cm="1">
        <f t="array" ref="G10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19" s="4"/>
      <c r="I1019" s="3" t="str" cm="1">
        <f t="array" ref="I10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0" spans="1:9" x14ac:dyDescent="0.3">
      <c r="A1020" s="3" t="str">
        <f>IF(SISTEMA!A1014="","",SISTEMA!A1014)</f>
        <v/>
      </c>
      <c r="B1020" s="10" t="str">
        <f>IF(SISTEMA!B1014="","",VALUE(SISTEMA!B1014))</f>
        <v/>
      </c>
      <c r="C1020" s="10" t="str">
        <f>IF(SISTEMA!C1014="","",SISTEMA!C1014)</f>
        <v/>
      </c>
      <c r="D1020" s="5" t="str" cm="1">
        <f t="array" ref="D10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0" s="5" t="str" cm="1">
        <f t="array" ref="E10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0" s="5" t="str" cm="1">
        <f t="array" ref="F10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0" t="str" cm="1">
        <f t="array" ref="G10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0" s="4"/>
      <c r="I1020" s="3" t="str" cm="1">
        <f t="array" ref="I10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1" spans="1:9" x14ac:dyDescent="0.3">
      <c r="A1021" s="3" t="str">
        <f>IF(SISTEMA!A1015="","",SISTEMA!A1015)</f>
        <v/>
      </c>
      <c r="B1021" s="10" t="str">
        <f>IF(SISTEMA!B1015="","",VALUE(SISTEMA!B1015))</f>
        <v/>
      </c>
      <c r="C1021" s="10" t="str">
        <f>IF(SISTEMA!C1015="","",SISTEMA!C1015)</f>
        <v/>
      </c>
      <c r="D1021" s="5" t="str" cm="1">
        <f t="array" ref="D10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1" s="5" t="str" cm="1">
        <f t="array" ref="E10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1" s="5" t="str" cm="1">
        <f t="array" ref="F10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1" t="str" cm="1">
        <f t="array" ref="G10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1" s="4"/>
      <c r="I1021" s="3" t="str" cm="1">
        <f t="array" ref="I10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2" spans="1:9" x14ac:dyDescent="0.3">
      <c r="A1022" s="3" t="str">
        <f>IF(SISTEMA!A1016="","",SISTEMA!A1016)</f>
        <v/>
      </c>
      <c r="B1022" s="10" t="str">
        <f>IF(SISTEMA!B1016="","",VALUE(SISTEMA!B1016))</f>
        <v/>
      </c>
      <c r="C1022" s="10" t="str">
        <f>IF(SISTEMA!C1016="","",SISTEMA!C1016)</f>
        <v/>
      </c>
      <c r="D1022" s="5" t="str" cm="1">
        <f t="array" ref="D10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2" s="5" t="str" cm="1">
        <f t="array" ref="E10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2" s="5" t="str" cm="1">
        <f t="array" ref="F10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2" t="str" cm="1">
        <f t="array" ref="G10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2" s="4"/>
      <c r="I1022" s="3" t="str" cm="1">
        <f t="array" ref="I10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3" spans="1:9" x14ac:dyDescent="0.3">
      <c r="A1023" s="3" t="str">
        <f>IF(SISTEMA!A1017="","",SISTEMA!A1017)</f>
        <v/>
      </c>
      <c r="B1023" s="10" t="str">
        <f>IF(SISTEMA!B1017="","",VALUE(SISTEMA!B1017))</f>
        <v/>
      </c>
      <c r="C1023" s="10" t="str">
        <f>IF(SISTEMA!C1017="","",SISTEMA!C1017)</f>
        <v/>
      </c>
      <c r="D1023" s="5" t="str" cm="1">
        <f t="array" ref="D10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3" s="5" t="str" cm="1">
        <f t="array" ref="E10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3" s="5" t="str" cm="1">
        <f t="array" ref="F10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3" t="str" cm="1">
        <f t="array" ref="G10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3" s="4"/>
      <c r="I1023" s="3" t="str" cm="1">
        <f t="array" ref="I10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4" spans="1:9" x14ac:dyDescent="0.3">
      <c r="A1024" s="3" t="str">
        <f>IF(SISTEMA!A1018="","",SISTEMA!A1018)</f>
        <v/>
      </c>
      <c r="B1024" s="10" t="str">
        <f>IF(SISTEMA!B1018="","",VALUE(SISTEMA!B1018))</f>
        <v/>
      </c>
      <c r="C1024" s="10" t="str">
        <f>IF(SISTEMA!C1018="","",SISTEMA!C1018)</f>
        <v/>
      </c>
      <c r="D1024" s="5" t="str" cm="1">
        <f t="array" ref="D10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4" s="5" t="str" cm="1">
        <f t="array" ref="E10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4" s="5" t="str" cm="1">
        <f t="array" ref="F10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4" t="str" cm="1">
        <f t="array" ref="G10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4" s="4"/>
      <c r="I1024" s="3" t="str" cm="1">
        <f t="array" ref="I10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5" spans="1:9" x14ac:dyDescent="0.3">
      <c r="A1025" s="3" t="str">
        <f>IF(SISTEMA!A1019="","",SISTEMA!A1019)</f>
        <v/>
      </c>
      <c r="B1025" s="10" t="str">
        <f>IF(SISTEMA!B1019="","",VALUE(SISTEMA!B1019))</f>
        <v/>
      </c>
      <c r="C1025" s="10" t="str">
        <f>IF(SISTEMA!C1019="","",SISTEMA!C1019)</f>
        <v/>
      </c>
      <c r="D1025" s="5" t="str" cm="1">
        <f t="array" ref="D10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5" s="5" t="str" cm="1">
        <f t="array" ref="E10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5" s="5" t="str" cm="1">
        <f t="array" ref="F10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5" t="str" cm="1">
        <f t="array" ref="G10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5" s="4"/>
      <c r="I1025" s="3" t="str" cm="1">
        <f t="array" ref="I10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6" spans="1:9" x14ac:dyDescent="0.3">
      <c r="A1026" s="3" t="str">
        <f>IF(SISTEMA!A1020="","",SISTEMA!A1020)</f>
        <v/>
      </c>
      <c r="B1026" s="10" t="str">
        <f>IF(SISTEMA!B1020="","",VALUE(SISTEMA!B1020))</f>
        <v/>
      </c>
      <c r="C1026" s="10" t="str">
        <f>IF(SISTEMA!C1020="","",SISTEMA!C1020)</f>
        <v/>
      </c>
      <c r="D1026" s="5" t="str" cm="1">
        <f t="array" ref="D10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6" s="5" t="str" cm="1">
        <f t="array" ref="E10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6" s="5" t="str" cm="1">
        <f t="array" ref="F10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6" t="str" cm="1">
        <f t="array" ref="G10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6" s="4"/>
      <c r="I1026" s="3" t="str" cm="1">
        <f t="array" ref="I10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7" spans="1:9" x14ac:dyDescent="0.3">
      <c r="A1027" s="3" t="str">
        <f>IF(SISTEMA!A1021="","",SISTEMA!A1021)</f>
        <v/>
      </c>
      <c r="B1027" s="10" t="str">
        <f>IF(SISTEMA!B1021="","",VALUE(SISTEMA!B1021))</f>
        <v/>
      </c>
      <c r="C1027" s="10" t="str">
        <f>IF(SISTEMA!C1021="","",SISTEMA!C1021)</f>
        <v/>
      </c>
      <c r="D1027" s="5" t="str" cm="1">
        <f t="array" ref="D10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7" s="5" t="str" cm="1">
        <f t="array" ref="E10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7" s="5" t="str" cm="1">
        <f t="array" ref="F10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7" t="str" cm="1">
        <f t="array" ref="G10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7" s="4"/>
      <c r="I1027" s="3" t="str" cm="1">
        <f t="array" ref="I10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8" spans="1:9" x14ac:dyDescent="0.3">
      <c r="A1028" s="3" t="str">
        <f>IF(SISTEMA!A1022="","",SISTEMA!A1022)</f>
        <v/>
      </c>
      <c r="B1028" s="10" t="str">
        <f>IF(SISTEMA!B1022="","",VALUE(SISTEMA!B1022))</f>
        <v/>
      </c>
      <c r="C1028" s="10" t="str">
        <f>IF(SISTEMA!C1022="","",SISTEMA!C1022)</f>
        <v/>
      </c>
      <c r="D1028" s="5" t="str" cm="1">
        <f t="array" ref="D10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8" s="5" t="str" cm="1">
        <f t="array" ref="E10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8" s="5" t="str" cm="1">
        <f t="array" ref="F10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8" t="str" cm="1">
        <f t="array" ref="G10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8" s="4"/>
      <c r="I1028" s="3" t="str" cm="1">
        <f t="array" ref="I10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29" spans="1:9" x14ac:dyDescent="0.3">
      <c r="A1029" s="3" t="str">
        <f>IF(SISTEMA!A1023="","",SISTEMA!A1023)</f>
        <v/>
      </c>
      <c r="B1029" s="10" t="str">
        <f>IF(SISTEMA!B1023="","",VALUE(SISTEMA!B1023))</f>
        <v/>
      </c>
      <c r="C1029" s="10" t="str">
        <f>IF(SISTEMA!C1023="","",SISTEMA!C1023)</f>
        <v/>
      </c>
      <c r="D1029" s="5" t="str" cm="1">
        <f t="array" ref="D10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29" s="5" t="str" cm="1">
        <f t="array" ref="E10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29" s="5" t="str" cm="1">
        <f t="array" ref="F10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29" t="str" cm="1">
        <f t="array" ref="G10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29" s="4"/>
      <c r="I1029" s="3" t="str" cm="1">
        <f t="array" ref="I10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0" spans="1:9" x14ac:dyDescent="0.3">
      <c r="A1030" s="3" t="str">
        <f>IF(SISTEMA!A1024="","",SISTEMA!A1024)</f>
        <v/>
      </c>
      <c r="B1030" s="10" t="str">
        <f>IF(SISTEMA!B1024="","",VALUE(SISTEMA!B1024))</f>
        <v/>
      </c>
      <c r="C1030" s="10" t="str">
        <f>IF(SISTEMA!C1024="","",SISTEMA!C1024)</f>
        <v/>
      </c>
      <c r="D1030" s="5" t="str" cm="1">
        <f t="array" ref="D10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0" s="5" t="str" cm="1">
        <f t="array" ref="E10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0" s="5" t="str" cm="1">
        <f t="array" ref="F10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0" t="str" cm="1">
        <f t="array" ref="G10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0" s="4"/>
      <c r="I1030" s="3" t="str" cm="1">
        <f t="array" ref="I10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1" spans="1:9" x14ac:dyDescent="0.3">
      <c r="A1031" s="3" t="str">
        <f>IF(SISTEMA!A1025="","",SISTEMA!A1025)</f>
        <v/>
      </c>
      <c r="B1031" s="10" t="str">
        <f>IF(SISTEMA!B1025="","",VALUE(SISTEMA!B1025))</f>
        <v/>
      </c>
      <c r="C1031" s="10" t="str">
        <f>IF(SISTEMA!C1025="","",SISTEMA!C1025)</f>
        <v/>
      </c>
      <c r="D1031" s="5" t="str" cm="1">
        <f t="array" ref="D10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1" s="5" t="str" cm="1">
        <f t="array" ref="E10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1" s="5" t="str" cm="1">
        <f t="array" ref="F10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1" t="str" cm="1">
        <f t="array" ref="G10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1" s="4"/>
      <c r="I1031" s="3" t="str" cm="1">
        <f t="array" ref="I10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2" spans="1:9" x14ac:dyDescent="0.3">
      <c r="A1032" s="3" t="str">
        <f>IF(SISTEMA!A1026="","",SISTEMA!A1026)</f>
        <v/>
      </c>
      <c r="B1032" s="10" t="str">
        <f>IF(SISTEMA!B1026="","",VALUE(SISTEMA!B1026))</f>
        <v/>
      </c>
      <c r="C1032" s="10" t="str">
        <f>IF(SISTEMA!C1026="","",SISTEMA!C1026)</f>
        <v/>
      </c>
      <c r="D1032" s="5" t="str" cm="1">
        <f t="array" ref="D10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2" s="5" t="str" cm="1">
        <f t="array" ref="E10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2" s="5" t="str" cm="1">
        <f t="array" ref="F10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2" t="str" cm="1">
        <f t="array" ref="G10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2" s="4"/>
      <c r="I1032" s="3" t="str" cm="1">
        <f t="array" ref="I10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3" spans="1:9" x14ac:dyDescent="0.3">
      <c r="A1033" s="3" t="str">
        <f>IF(SISTEMA!A1027="","",SISTEMA!A1027)</f>
        <v/>
      </c>
      <c r="B1033" s="10" t="str">
        <f>IF(SISTEMA!B1027="","",VALUE(SISTEMA!B1027))</f>
        <v/>
      </c>
      <c r="C1033" s="10" t="str">
        <f>IF(SISTEMA!C1027="","",SISTEMA!C1027)</f>
        <v/>
      </c>
      <c r="D1033" s="5" t="str" cm="1">
        <f t="array" ref="D10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3" s="5" t="str" cm="1">
        <f t="array" ref="E10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3" s="5" t="str" cm="1">
        <f t="array" ref="F10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3" t="str" cm="1">
        <f t="array" ref="G10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3" s="4"/>
      <c r="I1033" s="3" t="str" cm="1">
        <f t="array" ref="I10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4" spans="1:9" x14ac:dyDescent="0.3">
      <c r="A1034" s="3" t="str">
        <f>IF(SISTEMA!A1028="","",SISTEMA!A1028)</f>
        <v/>
      </c>
      <c r="B1034" s="10" t="str">
        <f>IF(SISTEMA!B1028="","",VALUE(SISTEMA!B1028))</f>
        <v/>
      </c>
      <c r="C1034" s="10" t="str">
        <f>IF(SISTEMA!C1028="","",SISTEMA!C1028)</f>
        <v/>
      </c>
      <c r="D1034" s="5" t="str" cm="1">
        <f t="array" ref="D10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4" s="5" t="str" cm="1">
        <f t="array" ref="E10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4" s="5" t="str" cm="1">
        <f t="array" ref="F10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4" t="str" cm="1">
        <f t="array" ref="G10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4" s="4"/>
      <c r="I1034" s="3" t="str" cm="1">
        <f t="array" ref="I10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5" spans="1:9" x14ac:dyDescent="0.3">
      <c r="A1035" s="3" t="str">
        <f>IF(SISTEMA!A1029="","",SISTEMA!A1029)</f>
        <v/>
      </c>
      <c r="B1035" s="10" t="str">
        <f>IF(SISTEMA!B1029="","",VALUE(SISTEMA!B1029))</f>
        <v/>
      </c>
      <c r="C1035" s="10" t="str">
        <f>IF(SISTEMA!C1029="","",SISTEMA!C1029)</f>
        <v/>
      </c>
      <c r="D1035" s="5" t="str" cm="1">
        <f t="array" ref="D10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5" s="5" t="str" cm="1">
        <f t="array" ref="E10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5" s="5" t="str" cm="1">
        <f t="array" ref="F10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5" t="str" cm="1">
        <f t="array" ref="G10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5" s="4"/>
      <c r="I1035" s="3" t="str" cm="1">
        <f t="array" ref="I10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6" spans="1:9" x14ac:dyDescent="0.3">
      <c r="A1036" s="3" t="str">
        <f>IF(SISTEMA!A1030="","",SISTEMA!A1030)</f>
        <v/>
      </c>
      <c r="B1036" s="10" t="str">
        <f>IF(SISTEMA!B1030="","",VALUE(SISTEMA!B1030))</f>
        <v/>
      </c>
      <c r="C1036" s="10" t="str">
        <f>IF(SISTEMA!C1030="","",SISTEMA!C1030)</f>
        <v/>
      </c>
      <c r="D1036" s="5" t="str" cm="1">
        <f t="array" ref="D10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6" s="5" t="str" cm="1">
        <f t="array" ref="E10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6" s="5" t="str" cm="1">
        <f t="array" ref="F10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6" t="str" cm="1">
        <f t="array" ref="G10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6" s="4"/>
      <c r="I1036" s="3" t="str" cm="1">
        <f t="array" ref="I10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7" spans="1:9" x14ac:dyDescent="0.3">
      <c r="A1037" s="3" t="str">
        <f>IF(SISTEMA!A1031="","",SISTEMA!A1031)</f>
        <v/>
      </c>
      <c r="B1037" s="10" t="str">
        <f>IF(SISTEMA!B1031="","",VALUE(SISTEMA!B1031))</f>
        <v/>
      </c>
      <c r="C1037" s="10" t="str">
        <f>IF(SISTEMA!C1031="","",SISTEMA!C1031)</f>
        <v/>
      </c>
      <c r="D1037" s="5" t="str" cm="1">
        <f t="array" ref="D10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7" s="5" t="str" cm="1">
        <f t="array" ref="E10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7" s="5" t="str" cm="1">
        <f t="array" ref="F10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7" t="str" cm="1">
        <f t="array" ref="G10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7" s="4"/>
      <c r="I1037" s="3" t="str" cm="1">
        <f t="array" ref="I10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8" spans="1:9" x14ac:dyDescent="0.3">
      <c r="A1038" s="3" t="str">
        <f>IF(SISTEMA!A1032="","",SISTEMA!A1032)</f>
        <v/>
      </c>
      <c r="B1038" s="10" t="str">
        <f>IF(SISTEMA!B1032="","",VALUE(SISTEMA!B1032))</f>
        <v/>
      </c>
      <c r="C1038" s="10" t="str">
        <f>IF(SISTEMA!C1032="","",SISTEMA!C1032)</f>
        <v/>
      </c>
      <c r="D1038" s="5" t="str" cm="1">
        <f t="array" ref="D10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8" s="5" t="str" cm="1">
        <f t="array" ref="E10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8" s="5" t="str" cm="1">
        <f t="array" ref="F10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8" t="str" cm="1">
        <f t="array" ref="G10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8" s="4"/>
      <c r="I1038" s="3" t="str" cm="1">
        <f t="array" ref="I10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39" spans="1:9" x14ac:dyDescent="0.3">
      <c r="A1039" s="3" t="str">
        <f>IF(SISTEMA!A1033="","",SISTEMA!A1033)</f>
        <v/>
      </c>
      <c r="B1039" s="10" t="str">
        <f>IF(SISTEMA!B1033="","",VALUE(SISTEMA!B1033))</f>
        <v/>
      </c>
      <c r="C1039" s="10" t="str">
        <f>IF(SISTEMA!C1033="","",SISTEMA!C1033)</f>
        <v/>
      </c>
      <c r="D1039" s="5" t="str" cm="1">
        <f t="array" ref="D10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39" s="5" t="str" cm="1">
        <f t="array" ref="E10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39" s="5" t="str" cm="1">
        <f t="array" ref="F10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39" t="str" cm="1">
        <f t="array" ref="G10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39" s="4"/>
      <c r="I1039" s="3" t="str" cm="1">
        <f t="array" ref="I10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0" spans="1:9" x14ac:dyDescent="0.3">
      <c r="A1040" s="3" t="str">
        <f>IF(SISTEMA!A1034="","",SISTEMA!A1034)</f>
        <v/>
      </c>
      <c r="B1040" s="10" t="str">
        <f>IF(SISTEMA!B1034="","",VALUE(SISTEMA!B1034))</f>
        <v/>
      </c>
      <c r="C1040" s="10" t="str">
        <f>IF(SISTEMA!C1034="","",SISTEMA!C1034)</f>
        <v/>
      </c>
      <c r="D1040" s="5" t="str" cm="1">
        <f t="array" ref="D10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0" s="5" t="str" cm="1">
        <f t="array" ref="E10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0" s="5" t="str" cm="1">
        <f t="array" ref="F10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0" t="str" cm="1">
        <f t="array" ref="G10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0" s="4"/>
      <c r="I1040" s="3" t="str" cm="1">
        <f t="array" ref="I10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1" spans="1:9" x14ac:dyDescent="0.3">
      <c r="A1041" s="3" t="str">
        <f>IF(SISTEMA!A1035="","",SISTEMA!A1035)</f>
        <v/>
      </c>
      <c r="B1041" s="10" t="str">
        <f>IF(SISTEMA!B1035="","",VALUE(SISTEMA!B1035))</f>
        <v/>
      </c>
      <c r="C1041" s="10" t="str">
        <f>IF(SISTEMA!C1035="","",SISTEMA!C1035)</f>
        <v/>
      </c>
      <c r="D1041" s="5" t="str" cm="1">
        <f t="array" ref="D10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1" s="5" t="str" cm="1">
        <f t="array" ref="E10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1" s="5" t="str" cm="1">
        <f t="array" ref="F10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1" t="str" cm="1">
        <f t="array" ref="G10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1" s="4"/>
      <c r="I1041" s="3" t="str" cm="1">
        <f t="array" ref="I10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2" spans="1:9" x14ac:dyDescent="0.3">
      <c r="A1042" s="3" t="str">
        <f>IF(SISTEMA!A1036="","",SISTEMA!A1036)</f>
        <v/>
      </c>
      <c r="B1042" s="10" t="str">
        <f>IF(SISTEMA!B1036="","",VALUE(SISTEMA!B1036))</f>
        <v/>
      </c>
      <c r="C1042" s="10" t="str">
        <f>IF(SISTEMA!C1036="","",SISTEMA!C1036)</f>
        <v/>
      </c>
      <c r="D1042" s="5" t="str" cm="1">
        <f t="array" ref="D10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2" s="5" t="str" cm="1">
        <f t="array" ref="E10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2" s="5" t="str" cm="1">
        <f t="array" ref="F10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2" t="str" cm="1">
        <f t="array" ref="G10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2" s="4"/>
      <c r="I1042" s="3" t="str" cm="1">
        <f t="array" ref="I10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3" spans="1:9" x14ac:dyDescent="0.3">
      <c r="A1043" s="3" t="str">
        <f>IF(SISTEMA!A1037="","",SISTEMA!A1037)</f>
        <v/>
      </c>
      <c r="B1043" s="10" t="str">
        <f>IF(SISTEMA!B1037="","",VALUE(SISTEMA!B1037))</f>
        <v/>
      </c>
      <c r="C1043" s="10" t="str">
        <f>IF(SISTEMA!C1037="","",SISTEMA!C1037)</f>
        <v/>
      </c>
      <c r="D1043" s="5" t="str" cm="1">
        <f t="array" ref="D10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3" s="5" t="str" cm="1">
        <f t="array" ref="E10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3" s="5" t="str" cm="1">
        <f t="array" ref="F10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3" t="str" cm="1">
        <f t="array" ref="G10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3" s="4"/>
      <c r="I1043" s="3" t="str" cm="1">
        <f t="array" ref="I10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4" spans="1:9" x14ac:dyDescent="0.3">
      <c r="A1044" s="3" t="str">
        <f>IF(SISTEMA!A1038="","",SISTEMA!A1038)</f>
        <v/>
      </c>
      <c r="B1044" s="10" t="str">
        <f>IF(SISTEMA!B1038="","",VALUE(SISTEMA!B1038))</f>
        <v/>
      </c>
      <c r="C1044" s="10" t="str">
        <f>IF(SISTEMA!C1038="","",SISTEMA!C1038)</f>
        <v/>
      </c>
      <c r="D1044" s="5" t="str" cm="1">
        <f t="array" ref="D10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4" s="5" t="str" cm="1">
        <f t="array" ref="E10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4" s="5" t="str" cm="1">
        <f t="array" ref="F10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4" t="str" cm="1">
        <f t="array" ref="G10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4" s="4"/>
      <c r="I1044" s="3" t="str" cm="1">
        <f t="array" ref="I10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5" spans="1:9" x14ac:dyDescent="0.3">
      <c r="A1045" s="3" t="str">
        <f>IF(SISTEMA!A1039="","",SISTEMA!A1039)</f>
        <v/>
      </c>
      <c r="B1045" s="10" t="str">
        <f>IF(SISTEMA!B1039="","",VALUE(SISTEMA!B1039))</f>
        <v/>
      </c>
      <c r="C1045" s="10" t="str">
        <f>IF(SISTEMA!C1039="","",SISTEMA!C1039)</f>
        <v/>
      </c>
      <c r="D1045" s="5" t="str" cm="1">
        <f t="array" ref="D10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5" s="5" t="str" cm="1">
        <f t="array" ref="E10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5" s="5" t="str" cm="1">
        <f t="array" ref="F10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5" t="str" cm="1">
        <f t="array" ref="G10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5" s="4"/>
      <c r="I1045" s="3" t="str" cm="1">
        <f t="array" ref="I10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6" spans="1:9" x14ac:dyDescent="0.3">
      <c r="A1046" s="3" t="str">
        <f>IF(SISTEMA!A1040="","",SISTEMA!A1040)</f>
        <v/>
      </c>
      <c r="B1046" s="10" t="str">
        <f>IF(SISTEMA!B1040="","",VALUE(SISTEMA!B1040))</f>
        <v/>
      </c>
      <c r="C1046" s="10" t="str">
        <f>IF(SISTEMA!C1040="","",SISTEMA!C1040)</f>
        <v/>
      </c>
      <c r="D1046" s="5" t="str" cm="1">
        <f t="array" ref="D10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6" s="5" t="str" cm="1">
        <f t="array" ref="E10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6" s="5" t="str" cm="1">
        <f t="array" ref="F10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6" t="str" cm="1">
        <f t="array" ref="G10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6" s="4"/>
      <c r="I1046" s="3" t="str" cm="1">
        <f t="array" ref="I10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7" spans="1:9" x14ac:dyDescent="0.3">
      <c r="A1047" s="3" t="str">
        <f>IF(SISTEMA!A1041="","",SISTEMA!A1041)</f>
        <v/>
      </c>
      <c r="B1047" s="10" t="str">
        <f>IF(SISTEMA!B1041="","",VALUE(SISTEMA!B1041))</f>
        <v/>
      </c>
      <c r="C1047" s="10" t="str">
        <f>IF(SISTEMA!C1041="","",SISTEMA!C1041)</f>
        <v/>
      </c>
      <c r="D1047" s="5" t="str" cm="1">
        <f t="array" ref="D10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7" s="5" t="str" cm="1">
        <f t="array" ref="E10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7" s="5" t="str" cm="1">
        <f t="array" ref="F10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7" t="str" cm="1">
        <f t="array" ref="G10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7" s="4"/>
      <c r="I1047" s="3" t="str" cm="1">
        <f t="array" ref="I10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8" spans="1:9" x14ac:dyDescent="0.3">
      <c r="A1048" s="3" t="str">
        <f>IF(SISTEMA!A1042="","",SISTEMA!A1042)</f>
        <v/>
      </c>
      <c r="B1048" s="10" t="str">
        <f>IF(SISTEMA!B1042="","",VALUE(SISTEMA!B1042))</f>
        <v/>
      </c>
      <c r="C1048" s="10" t="str">
        <f>IF(SISTEMA!C1042="","",SISTEMA!C1042)</f>
        <v/>
      </c>
      <c r="D1048" s="5" t="str" cm="1">
        <f t="array" ref="D10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8" s="5" t="str" cm="1">
        <f t="array" ref="E10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8" s="5" t="str" cm="1">
        <f t="array" ref="F10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8" t="str" cm="1">
        <f t="array" ref="G10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8" s="4"/>
      <c r="I1048" s="3" t="str" cm="1">
        <f t="array" ref="I10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49" spans="1:9" x14ac:dyDescent="0.3">
      <c r="A1049" s="3" t="str">
        <f>IF(SISTEMA!A1043="","",SISTEMA!A1043)</f>
        <v/>
      </c>
      <c r="B1049" s="10" t="str">
        <f>IF(SISTEMA!B1043="","",VALUE(SISTEMA!B1043))</f>
        <v/>
      </c>
      <c r="C1049" s="10" t="str">
        <f>IF(SISTEMA!C1043="","",SISTEMA!C1043)</f>
        <v/>
      </c>
      <c r="D1049" s="5" t="str" cm="1">
        <f t="array" ref="D10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49" s="5" t="str" cm="1">
        <f t="array" ref="E10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49" s="5" t="str" cm="1">
        <f t="array" ref="F10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49" t="str" cm="1">
        <f t="array" ref="G10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49" s="4"/>
      <c r="I1049" s="3" t="str" cm="1">
        <f t="array" ref="I10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0" spans="1:9" x14ac:dyDescent="0.3">
      <c r="A1050" s="3" t="str">
        <f>IF(SISTEMA!A1044="","",SISTEMA!A1044)</f>
        <v/>
      </c>
      <c r="B1050" s="10" t="str">
        <f>IF(SISTEMA!B1044="","",VALUE(SISTEMA!B1044))</f>
        <v/>
      </c>
      <c r="C1050" s="10" t="str">
        <f>IF(SISTEMA!C1044="","",SISTEMA!C1044)</f>
        <v/>
      </c>
      <c r="D1050" s="5" t="str" cm="1">
        <f t="array" ref="D10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0" s="5" t="str" cm="1">
        <f t="array" ref="E10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0" s="5" t="str" cm="1">
        <f t="array" ref="F10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0" t="str" cm="1">
        <f t="array" ref="G10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0" s="4"/>
      <c r="I1050" s="3" t="str" cm="1">
        <f t="array" ref="I10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1" spans="1:9" x14ac:dyDescent="0.3">
      <c r="A1051" s="3" t="str">
        <f>IF(SISTEMA!A1045="","",SISTEMA!A1045)</f>
        <v/>
      </c>
      <c r="B1051" s="10" t="str">
        <f>IF(SISTEMA!B1045="","",VALUE(SISTEMA!B1045))</f>
        <v/>
      </c>
      <c r="C1051" s="10" t="str">
        <f>IF(SISTEMA!C1045="","",SISTEMA!C1045)</f>
        <v/>
      </c>
      <c r="D1051" s="5" t="str" cm="1">
        <f t="array" ref="D10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1" s="5" t="str" cm="1">
        <f t="array" ref="E10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1" s="5" t="str" cm="1">
        <f t="array" ref="F10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1" t="str" cm="1">
        <f t="array" ref="G10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1" s="4"/>
      <c r="I1051" s="3" t="str" cm="1">
        <f t="array" ref="I10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2" spans="1:9" x14ac:dyDescent="0.3">
      <c r="A1052" s="3" t="str">
        <f>IF(SISTEMA!A1046="","",SISTEMA!A1046)</f>
        <v/>
      </c>
      <c r="B1052" s="10" t="str">
        <f>IF(SISTEMA!B1046="","",VALUE(SISTEMA!B1046))</f>
        <v/>
      </c>
      <c r="C1052" s="10" t="str">
        <f>IF(SISTEMA!C1046="","",SISTEMA!C1046)</f>
        <v/>
      </c>
      <c r="D1052" s="5" t="str" cm="1">
        <f t="array" ref="D10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2" s="5" t="str" cm="1">
        <f t="array" ref="E10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2" s="5" t="str" cm="1">
        <f t="array" ref="F10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2" t="str" cm="1">
        <f t="array" ref="G10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2" s="4"/>
      <c r="I1052" s="3" t="str" cm="1">
        <f t="array" ref="I10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3" spans="1:9" x14ac:dyDescent="0.3">
      <c r="A1053" s="3" t="str">
        <f>IF(SISTEMA!A1047="","",SISTEMA!A1047)</f>
        <v/>
      </c>
      <c r="B1053" s="10" t="str">
        <f>IF(SISTEMA!B1047="","",VALUE(SISTEMA!B1047))</f>
        <v/>
      </c>
      <c r="C1053" s="10" t="str">
        <f>IF(SISTEMA!C1047="","",SISTEMA!C1047)</f>
        <v/>
      </c>
      <c r="D1053" s="5" t="str" cm="1">
        <f t="array" ref="D10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3" s="5" t="str" cm="1">
        <f t="array" ref="E10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3" s="5" t="str" cm="1">
        <f t="array" ref="F10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3" t="str" cm="1">
        <f t="array" ref="G10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3" s="4"/>
      <c r="I1053" s="3" t="str" cm="1">
        <f t="array" ref="I10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4" spans="1:9" x14ac:dyDescent="0.3">
      <c r="A1054" s="3" t="str">
        <f>IF(SISTEMA!A1048="","",SISTEMA!A1048)</f>
        <v/>
      </c>
      <c r="B1054" s="10" t="str">
        <f>IF(SISTEMA!B1048="","",VALUE(SISTEMA!B1048))</f>
        <v/>
      </c>
      <c r="C1054" s="10" t="str">
        <f>IF(SISTEMA!C1048="","",SISTEMA!C1048)</f>
        <v/>
      </c>
      <c r="D1054" s="5" t="str" cm="1">
        <f t="array" ref="D10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4" s="5" t="str" cm="1">
        <f t="array" ref="E10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4" s="5" t="str" cm="1">
        <f t="array" ref="F10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4" t="str" cm="1">
        <f t="array" ref="G10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4" s="4"/>
      <c r="I1054" s="3" t="str" cm="1">
        <f t="array" ref="I10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5" spans="1:9" x14ac:dyDescent="0.3">
      <c r="A1055" s="3" t="str">
        <f>IF(SISTEMA!A1049="","",SISTEMA!A1049)</f>
        <v/>
      </c>
      <c r="B1055" s="10" t="str">
        <f>IF(SISTEMA!B1049="","",VALUE(SISTEMA!B1049))</f>
        <v/>
      </c>
      <c r="C1055" s="10" t="str">
        <f>IF(SISTEMA!C1049="","",SISTEMA!C1049)</f>
        <v/>
      </c>
      <c r="D1055" s="5" t="str" cm="1">
        <f t="array" ref="D10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5" s="5" t="str" cm="1">
        <f t="array" ref="E10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5" s="5" t="str" cm="1">
        <f t="array" ref="F10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5" t="str" cm="1">
        <f t="array" ref="G10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5" s="4"/>
      <c r="I1055" s="3" t="str" cm="1">
        <f t="array" ref="I10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6" spans="1:9" x14ac:dyDescent="0.3">
      <c r="A1056" s="3" t="str">
        <f>IF(SISTEMA!A1050="","",SISTEMA!A1050)</f>
        <v/>
      </c>
      <c r="B1056" s="10" t="str">
        <f>IF(SISTEMA!B1050="","",VALUE(SISTEMA!B1050))</f>
        <v/>
      </c>
      <c r="C1056" s="10" t="str">
        <f>IF(SISTEMA!C1050="","",SISTEMA!C1050)</f>
        <v/>
      </c>
      <c r="D1056" s="5" t="str" cm="1">
        <f t="array" ref="D10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6" s="5" t="str" cm="1">
        <f t="array" ref="E10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6" s="5" t="str" cm="1">
        <f t="array" ref="F10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6" t="str" cm="1">
        <f t="array" ref="G10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6" s="4"/>
      <c r="I1056" s="3" t="str" cm="1">
        <f t="array" ref="I10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7" spans="1:9" x14ac:dyDescent="0.3">
      <c r="A1057" s="3" t="str">
        <f>IF(SISTEMA!A1051="","",SISTEMA!A1051)</f>
        <v/>
      </c>
      <c r="B1057" s="10" t="str">
        <f>IF(SISTEMA!B1051="","",VALUE(SISTEMA!B1051))</f>
        <v/>
      </c>
      <c r="C1057" s="10" t="str">
        <f>IF(SISTEMA!C1051="","",SISTEMA!C1051)</f>
        <v/>
      </c>
      <c r="D1057" s="5" t="str" cm="1">
        <f t="array" ref="D10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7" s="5" t="str" cm="1">
        <f t="array" ref="E10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7" s="5" t="str" cm="1">
        <f t="array" ref="F10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7" t="str" cm="1">
        <f t="array" ref="G10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7" s="4"/>
      <c r="I1057" s="3" t="str" cm="1">
        <f t="array" ref="I10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8" spans="1:9" x14ac:dyDescent="0.3">
      <c r="A1058" s="3" t="str">
        <f>IF(SISTEMA!A1052="","",SISTEMA!A1052)</f>
        <v/>
      </c>
      <c r="B1058" s="10" t="str">
        <f>IF(SISTEMA!B1052="","",VALUE(SISTEMA!B1052))</f>
        <v/>
      </c>
      <c r="C1058" s="10" t="str">
        <f>IF(SISTEMA!C1052="","",SISTEMA!C1052)</f>
        <v/>
      </c>
      <c r="D1058" s="5" t="str" cm="1">
        <f t="array" ref="D10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8" s="5" t="str" cm="1">
        <f t="array" ref="E10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8" s="5" t="str" cm="1">
        <f t="array" ref="F10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8" t="str" cm="1">
        <f t="array" ref="G10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8" s="4"/>
      <c r="I1058" s="3" t="str" cm="1">
        <f t="array" ref="I10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59" spans="1:9" x14ac:dyDescent="0.3">
      <c r="A1059" s="3" t="str">
        <f>IF(SISTEMA!A1053="","",SISTEMA!A1053)</f>
        <v/>
      </c>
      <c r="B1059" s="10" t="str">
        <f>IF(SISTEMA!B1053="","",VALUE(SISTEMA!B1053))</f>
        <v/>
      </c>
      <c r="C1059" s="10" t="str">
        <f>IF(SISTEMA!C1053="","",SISTEMA!C1053)</f>
        <v/>
      </c>
      <c r="D1059" s="5" t="str" cm="1">
        <f t="array" ref="D10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59" s="5" t="str" cm="1">
        <f t="array" ref="E10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59" s="5" t="str" cm="1">
        <f t="array" ref="F10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59" t="str" cm="1">
        <f t="array" ref="G10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59" s="4"/>
      <c r="I1059" s="3" t="str" cm="1">
        <f t="array" ref="I10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0" spans="1:9" x14ac:dyDescent="0.3">
      <c r="A1060" s="3" t="str">
        <f>IF(SISTEMA!A1054="","",SISTEMA!A1054)</f>
        <v/>
      </c>
      <c r="B1060" s="10" t="str">
        <f>IF(SISTEMA!B1054="","",VALUE(SISTEMA!B1054))</f>
        <v/>
      </c>
      <c r="C1060" s="10" t="str">
        <f>IF(SISTEMA!C1054="","",SISTEMA!C1054)</f>
        <v/>
      </c>
      <c r="D1060" s="5" t="str" cm="1">
        <f t="array" ref="D10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0" s="5" t="str" cm="1">
        <f t="array" ref="E10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0" s="5" t="str" cm="1">
        <f t="array" ref="F10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0" t="str" cm="1">
        <f t="array" ref="G10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0" s="4"/>
      <c r="I1060" s="3" t="str" cm="1">
        <f t="array" ref="I10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1" spans="1:9" x14ac:dyDescent="0.3">
      <c r="A1061" s="3" t="str">
        <f>IF(SISTEMA!A1055="","",SISTEMA!A1055)</f>
        <v/>
      </c>
      <c r="B1061" s="10" t="str">
        <f>IF(SISTEMA!B1055="","",VALUE(SISTEMA!B1055))</f>
        <v/>
      </c>
      <c r="C1061" s="10" t="str">
        <f>IF(SISTEMA!C1055="","",SISTEMA!C1055)</f>
        <v/>
      </c>
      <c r="D1061" s="5" t="str" cm="1">
        <f t="array" ref="D10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1" s="5" t="str" cm="1">
        <f t="array" ref="E10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1" s="5" t="str" cm="1">
        <f t="array" ref="F10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1" t="str" cm="1">
        <f t="array" ref="G10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1" s="4"/>
      <c r="I1061" s="3" t="str" cm="1">
        <f t="array" ref="I10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2" spans="1:9" x14ac:dyDescent="0.3">
      <c r="A1062" s="3" t="str">
        <f>IF(SISTEMA!A1056="","",SISTEMA!A1056)</f>
        <v/>
      </c>
      <c r="B1062" s="10" t="str">
        <f>IF(SISTEMA!B1056="","",VALUE(SISTEMA!B1056))</f>
        <v/>
      </c>
      <c r="C1062" s="10" t="str">
        <f>IF(SISTEMA!C1056="","",SISTEMA!C1056)</f>
        <v/>
      </c>
      <c r="D1062" s="5" t="str" cm="1">
        <f t="array" ref="D10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2" s="5" t="str" cm="1">
        <f t="array" ref="E10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2" s="5" t="str" cm="1">
        <f t="array" ref="F10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2" t="str" cm="1">
        <f t="array" ref="G10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2" s="4"/>
      <c r="I1062" s="3" t="str" cm="1">
        <f t="array" ref="I10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3" spans="1:9" x14ac:dyDescent="0.3">
      <c r="A1063" s="3" t="str">
        <f>IF(SISTEMA!A1057="","",SISTEMA!A1057)</f>
        <v/>
      </c>
      <c r="B1063" s="10" t="str">
        <f>IF(SISTEMA!B1057="","",VALUE(SISTEMA!B1057))</f>
        <v/>
      </c>
      <c r="C1063" s="10" t="str">
        <f>IF(SISTEMA!C1057="","",SISTEMA!C1057)</f>
        <v/>
      </c>
      <c r="D1063" s="5" t="str" cm="1">
        <f t="array" ref="D10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3" s="5" t="str" cm="1">
        <f t="array" ref="E10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3" s="5" t="str" cm="1">
        <f t="array" ref="F10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3" t="str" cm="1">
        <f t="array" ref="G10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3" s="4"/>
      <c r="I1063" s="3" t="str" cm="1">
        <f t="array" ref="I10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4" spans="1:9" x14ac:dyDescent="0.3">
      <c r="A1064" s="3" t="str">
        <f>IF(SISTEMA!A1058="","",SISTEMA!A1058)</f>
        <v/>
      </c>
      <c r="B1064" s="10" t="str">
        <f>IF(SISTEMA!B1058="","",VALUE(SISTEMA!B1058))</f>
        <v/>
      </c>
      <c r="C1064" s="10" t="str">
        <f>IF(SISTEMA!C1058="","",SISTEMA!C1058)</f>
        <v/>
      </c>
      <c r="D1064" s="5" t="str" cm="1">
        <f t="array" ref="D10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4" s="5" t="str" cm="1">
        <f t="array" ref="E10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4" s="5" t="str" cm="1">
        <f t="array" ref="F10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4" t="str" cm="1">
        <f t="array" ref="G10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4" s="4"/>
      <c r="I1064" s="3" t="str" cm="1">
        <f t="array" ref="I10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5" spans="1:9" x14ac:dyDescent="0.3">
      <c r="A1065" s="3" t="str">
        <f>IF(SISTEMA!A1059="","",SISTEMA!A1059)</f>
        <v/>
      </c>
      <c r="B1065" s="10" t="str">
        <f>IF(SISTEMA!B1059="","",VALUE(SISTEMA!B1059))</f>
        <v/>
      </c>
      <c r="C1065" s="10" t="str">
        <f>IF(SISTEMA!C1059="","",SISTEMA!C1059)</f>
        <v/>
      </c>
      <c r="D1065" s="5" t="str" cm="1">
        <f t="array" ref="D10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5" s="5" t="str" cm="1">
        <f t="array" ref="E10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5" s="5" t="str" cm="1">
        <f t="array" ref="F10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5" t="str" cm="1">
        <f t="array" ref="G10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5" s="4"/>
      <c r="I1065" s="3" t="str" cm="1">
        <f t="array" ref="I10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6" spans="1:9" x14ac:dyDescent="0.3">
      <c r="A1066" s="3" t="str">
        <f>IF(SISTEMA!A1060="","",SISTEMA!A1060)</f>
        <v/>
      </c>
      <c r="B1066" s="10" t="str">
        <f>IF(SISTEMA!B1060="","",VALUE(SISTEMA!B1060))</f>
        <v/>
      </c>
      <c r="C1066" s="10" t="str">
        <f>IF(SISTEMA!C1060="","",SISTEMA!C1060)</f>
        <v/>
      </c>
      <c r="D1066" s="5" t="str" cm="1">
        <f t="array" ref="D10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6" s="5" t="str" cm="1">
        <f t="array" ref="E10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6" s="5" t="str" cm="1">
        <f t="array" ref="F10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6" t="str" cm="1">
        <f t="array" ref="G10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6" s="4"/>
      <c r="I1066" s="3" t="str" cm="1">
        <f t="array" ref="I10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7" spans="1:9" x14ac:dyDescent="0.3">
      <c r="A1067" s="3" t="str">
        <f>IF(SISTEMA!A1061="","",SISTEMA!A1061)</f>
        <v/>
      </c>
      <c r="B1067" s="10" t="str">
        <f>IF(SISTEMA!B1061="","",VALUE(SISTEMA!B1061))</f>
        <v/>
      </c>
      <c r="C1067" s="10" t="str">
        <f>IF(SISTEMA!C1061="","",SISTEMA!C1061)</f>
        <v/>
      </c>
      <c r="D1067" s="5" t="str" cm="1">
        <f t="array" ref="D10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7" s="5" t="str" cm="1">
        <f t="array" ref="E10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7" s="5" t="str" cm="1">
        <f t="array" ref="F10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7" t="str" cm="1">
        <f t="array" ref="G10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7" s="4"/>
      <c r="I1067" s="3" t="str" cm="1">
        <f t="array" ref="I10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8" spans="1:9" x14ac:dyDescent="0.3">
      <c r="A1068" s="3" t="str">
        <f>IF(SISTEMA!A1062="","",SISTEMA!A1062)</f>
        <v/>
      </c>
      <c r="B1068" s="10" t="str">
        <f>IF(SISTEMA!B1062="","",VALUE(SISTEMA!B1062))</f>
        <v/>
      </c>
      <c r="C1068" s="10" t="str">
        <f>IF(SISTEMA!C1062="","",SISTEMA!C1062)</f>
        <v/>
      </c>
      <c r="D1068" s="5" t="str" cm="1">
        <f t="array" ref="D10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8" s="5" t="str" cm="1">
        <f t="array" ref="E10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8" s="5" t="str" cm="1">
        <f t="array" ref="F10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8" t="str" cm="1">
        <f t="array" ref="G10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8" s="4"/>
      <c r="I1068" s="3" t="str" cm="1">
        <f t="array" ref="I10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69" spans="1:9" x14ac:dyDescent="0.3">
      <c r="A1069" s="3" t="str">
        <f>IF(SISTEMA!A1063="","",SISTEMA!A1063)</f>
        <v/>
      </c>
      <c r="B1069" s="10" t="str">
        <f>IF(SISTEMA!B1063="","",VALUE(SISTEMA!B1063))</f>
        <v/>
      </c>
      <c r="C1069" s="10" t="str">
        <f>IF(SISTEMA!C1063="","",SISTEMA!C1063)</f>
        <v/>
      </c>
      <c r="D1069" s="5" t="str" cm="1">
        <f t="array" ref="D10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69" s="5" t="str" cm="1">
        <f t="array" ref="E10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69" s="5" t="str" cm="1">
        <f t="array" ref="F10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69" t="str" cm="1">
        <f t="array" ref="G10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69" s="4"/>
      <c r="I1069" s="3" t="str" cm="1">
        <f t="array" ref="I10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0" spans="1:9" x14ac:dyDescent="0.3">
      <c r="A1070" s="3" t="str">
        <f>IF(SISTEMA!A1064="","",SISTEMA!A1064)</f>
        <v/>
      </c>
      <c r="B1070" s="10" t="str">
        <f>IF(SISTEMA!B1064="","",VALUE(SISTEMA!B1064))</f>
        <v/>
      </c>
      <c r="C1070" s="10" t="str">
        <f>IF(SISTEMA!C1064="","",SISTEMA!C1064)</f>
        <v/>
      </c>
      <c r="D1070" s="5" t="str" cm="1">
        <f t="array" ref="D10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0" s="5" t="str" cm="1">
        <f t="array" ref="E10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0" s="5" t="str" cm="1">
        <f t="array" ref="F10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0" t="str" cm="1">
        <f t="array" ref="G10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0" s="4"/>
      <c r="I1070" s="3" t="str" cm="1">
        <f t="array" ref="I10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1" spans="1:9" x14ac:dyDescent="0.3">
      <c r="A1071" s="3" t="str">
        <f>IF(SISTEMA!A1065="","",SISTEMA!A1065)</f>
        <v/>
      </c>
      <c r="B1071" s="10" t="str">
        <f>IF(SISTEMA!B1065="","",VALUE(SISTEMA!B1065))</f>
        <v/>
      </c>
      <c r="C1071" s="10" t="str">
        <f>IF(SISTEMA!C1065="","",SISTEMA!C1065)</f>
        <v/>
      </c>
      <c r="D1071" s="5" t="str" cm="1">
        <f t="array" ref="D10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1" s="5" t="str" cm="1">
        <f t="array" ref="E10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1" s="5" t="str" cm="1">
        <f t="array" ref="F10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1" t="str" cm="1">
        <f t="array" ref="G10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1" s="4"/>
      <c r="I1071" s="3" t="str" cm="1">
        <f t="array" ref="I10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2" spans="1:9" x14ac:dyDescent="0.3">
      <c r="A1072" s="3" t="str">
        <f>IF(SISTEMA!A1066="","",SISTEMA!A1066)</f>
        <v/>
      </c>
      <c r="B1072" s="10" t="str">
        <f>IF(SISTEMA!B1066="","",VALUE(SISTEMA!B1066))</f>
        <v/>
      </c>
      <c r="C1072" s="10" t="str">
        <f>IF(SISTEMA!C1066="","",SISTEMA!C1066)</f>
        <v/>
      </c>
      <c r="D1072" s="5" t="str" cm="1">
        <f t="array" ref="D10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2" s="5" t="str" cm="1">
        <f t="array" ref="E10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2" s="5" t="str" cm="1">
        <f t="array" ref="F10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2" t="str" cm="1">
        <f t="array" ref="G10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2" s="4"/>
      <c r="I1072" s="3" t="str" cm="1">
        <f t="array" ref="I10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3" spans="1:9" x14ac:dyDescent="0.3">
      <c r="A1073" s="3" t="str">
        <f>IF(SISTEMA!A1067="","",SISTEMA!A1067)</f>
        <v/>
      </c>
      <c r="B1073" s="10" t="str">
        <f>IF(SISTEMA!B1067="","",VALUE(SISTEMA!B1067))</f>
        <v/>
      </c>
      <c r="C1073" s="10" t="str">
        <f>IF(SISTEMA!C1067="","",SISTEMA!C1067)</f>
        <v/>
      </c>
      <c r="D1073" s="5" t="str" cm="1">
        <f t="array" ref="D10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3" s="5" t="str" cm="1">
        <f t="array" ref="E10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3" s="5" t="str" cm="1">
        <f t="array" ref="F10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3" t="str" cm="1">
        <f t="array" ref="G10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3" s="4"/>
      <c r="I1073" s="3" t="str" cm="1">
        <f t="array" ref="I10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4" spans="1:9" x14ac:dyDescent="0.3">
      <c r="A1074" s="3" t="str">
        <f>IF(SISTEMA!A1068="","",SISTEMA!A1068)</f>
        <v/>
      </c>
      <c r="B1074" s="10" t="str">
        <f>IF(SISTEMA!B1068="","",VALUE(SISTEMA!B1068))</f>
        <v/>
      </c>
      <c r="C1074" s="10" t="str">
        <f>IF(SISTEMA!C1068="","",SISTEMA!C1068)</f>
        <v/>
      </c>
      <c r="D1074" s="5" t="str" cm="1">
        <f t="array" ref="D10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4" s="5" t="str" cm="1">
        <f t="array" ref="E10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4" s="5" t="str" cm="1">
        <f t="array" ref="F10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4" t="str" cm="1">
        <f t="array" ref="G10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4" s="4"/>
      <c r="I1074" s="3" t="str" cm="1">
        <f t="array" ref="I10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5" spans="1:9" x14ac:dyDescent="0.3">
      <c r="A1075" s="3" t="str">
        <f>IF(SISTEMA!A1069="","",SISTEMA!A1069)</f>
        <v/>
      </c>
      <c r="B1075" s="10" t="str">
        <f>IF(SISTEMA!B1069="","",VALUE(SISTEMA!B1069))</f>
        <v/>
      </c>
      <c r="C1075" s="10" t="str">
        <f>IF(SISTEMA!C1069="","",SISTEMA!C1069)</f>
        <v/>
      </c>
      <c r="D1075" s="5" t="str" cm="1">
        <f t="array" ref="D10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5" s="5" t="str" cm="1">
        <f t="array" ref="E10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5" s="5" t="str" cm="1">
        <f t="array" ref="F10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5" t="str" cm="1">
        <f t="array" ref="G10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5" s="4"/>
      <c r="I1075" s="3" t="str" cm="1">
        <f t="array" ref="I10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6" spans="1:9" x14ac:dyDescent="0.3">
      <c r="A1076" s="3" t="str">
        <f>IF(SISTEMA!A1070="","",SISTEMA!A1070)</f>
        <v/>
      </c>
      <c r="B1076" s="10" t="str">
        <f>IF(SISTEMA!B1070="","",VALUE(SISTEMA!B1070))</f>
        <v/>
      </c>
      <c r="C1076" s="10" t="str">
        <f>IF(SISTEMA!C1070="","",SISTEMA!C1070)</f>
        <v/>
      </c>
      <c r="D1076" s="5" t="str" cm="1">
        <f t="array" ref="D10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6" s="5" t="str" cm="1">
        <f t="array" ref="E10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6" s="5" t="str" cm="1">
        <f t="array" ref="F10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6" t="str" cm="1">
        <f t="array" ref="G10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6" s="4"/>
      <c r="I1076" s="3" t="str" cm="1">
        <f t="array" ref="I10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7" spans="1:9" x14ac:dyDescent="0.3">
      <c r="A1077" s="3" t="str">
        <f>IF(SISTEMA!A1071="","",SISTEMA!A1071)</f>
        <v/>
      </c>
      <c r="B1077" s="10" t="str">
        <f>IF(SISTEMA!B1071="","",VALUE(SISTEMA!B1071))</f>
        <v/>
      </c>
      <c r="C1077" s="10" t="str">
        <f>IF(SISTEMA!C1071="","",SISTEMA!C1071)</f>
        <v/>
      </c>
      <c r="D1077" s="5" t="str" cm="1">
        <f t="array" ref="D10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7" s="5" t="str" cm="1">
        <f t="array" ref="E10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7" s="5" t="str" cm="1">
        <f t="array" ref="F10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7" t="str" cm="1">
        <f t="array" ref="G10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7" s="4"/>
      <c r="I1077" s="3" t="str" cm="1">
        <f t="array" ref="I10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8" spans="1:9" x14ac:dyDescent="0.3">
      <c r="A1078" s="3" t="str">
        <f>IF(SISTEMA!A1072="","",SISTEMA!A1072)</f>
        <v/>
      </c>
      <c r="B1078" s="10" t="str">
        <f>IF(SISTEMA!B1072="","",VALUE(SISTEMA!B1072))</f>
        <v/>
      </c>
      <c r="C1078" s="10" t="str">
        <f>IF(SISTEMA!C1072="","",SISTEMA!C1072)</f>
        <v/>
      </c>
      <c r="D1078" s="5" t="str" cm="1">
        <f t="array" ref="D10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8" s="5" t="str" cm="1">
        <f t="array" ref="E10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8" s="5" t="str" cm="1">
        <f t="array" ref="F10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8" t="str" cm="1">
        <f t="array" ref="G10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8" s="4"/>
      <c r="I1078" s="3" t="str" cm="1">
        <f t="array" ref="I10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79" spans="1:9" x14ac:dyDescent="0.3">
      <c r="A1079" s="3" t="str">
        <f>IF(SISTEMA!A1073="","",SISTEMA!A1073)</f>
        <v/>
      </c>
      <c r="B1079" s="10" t="str">
        <f>IF(SISTEMA!B1073="","",VALUE(SISTEMA!B1073))</f>
        <v/>
      </c>
      <c r="C1079" s="10" t="str">
        <f>IF(SISTEMA!C1073="","",SISTEMA!C1073)</f>
        <v/>
      </c>
      <c r="D1079" s="5" t="str" cm="1">
        <f t="array" ref="D10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79" s="5" t="str" cm="1">
        <f t="array" ref="E10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79" s="5" t="str" cm="1">
        <f t="array" ref="F10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79" t="str" cm="1">
        <f t="array" ref="G10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79" s="4"/>
      <c r="I1079" s="3" t="str" cm="1">
        <f t="array" ref="I10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0" spans="1:9" x14ac:dyDescent="0.3">
      <c r="A1080" s="3" t="str">
        <f>IF(SISTEMA!A1074="","",SISTEMA!A1074)</f>
        <v/>
      </c>
      <c r="B1080" s="10" t="str">
        <f>IF(SISTEMA!B1074="","",VALUE(SISTEMA!B1074))</f>
        <v/>
      </c>
      <c r="C1080" s="10" t="str">
        <f>IF(SISTEMA!C1074="","",SISTEMA!C1074)</f>
        <v/>
      </c>
      <c r="D1080" s="5" t="str" cm="1">
        <f t="array" ref="D10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0" s="5" t="str" cm="1">
        <f t="array" ref="E10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0" s="5" t="str" cm="1">
        <f t="array" ref="F10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0" t="str" cm="1">
        <f t="array" ref="G10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0" s="4"/>
      <c r="I1080" s="3" t="str" cm="1">
        <f t="array" ref="I10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1" spans="1:9" x14ac:dyDescent="0.3">
      <c r="A1081" s="3" t="str">
        <f>IF(SISTEMA!A1075="","",SISTEMA!A1075)</f>
        <v/>
      </c>
      <c r="B1081" s="10" t="str">
        <f>IF(SISTEMA!B1075="","",VALUE(SISTEMA!B1075))</f>
        <v/>
      </c>
      <c r="C1081" s="10" t="str">
        <f>IF(SISTEMA!C1075="","",SISTEMA!C1075)</f>
        <v/>
      </c>
      <c r="D1081" s="5" t="str" cm="1">
        <f t="array" ref="D10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1" s="5" t="str" cm="1">
        <f t="array" ref="E10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1" s="5" t="str" cm="1">
        <f t="array" ref="F10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1" t="str" cm="1">
        <f t="array" ref="G10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1" s="4"/>
      <c r="I1081" s="3" t="str" cm="1">
        <f t="array" ref="I10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2" spans="1:9" x14ac:dyDescent="0.3">
      <c r="A1082" s="3" t="str">
        <f>IF(SISTEMA!A1076="","",SISTEMA!A1076)</f>
        <v/>
      </c>
      <c r="B1082" s="10" t="str">
        <f>IF(SISTEMA!B1076="","",VALUE(SISTEMA!B1076))</f>
        <v/>
      </c>
      <c r="C1082" s="10" t="str">
        <f>IF(SISTEMA!C1076="","",SISTEMA!C1076)</f>
        <v/>
      </c>
      <c r="D1082" s="5" t="str" cm="1">
        <f t="array" ref="D10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2" s="5" t="str" cm="1">
        <f t="array" ref="E10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2" s="5" t="str" cm="1">
        <f t="array" ref="F10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2" t="str" cm="1">
        <f t="array" ref="G10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2" s="4"/>
      <c r="I1082" s="3" t="str" cm="1">
        <f t="array" ref="I10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3" spans="1:9" x14ac:dyDescent="0.3">
      <c r="A1083" s="3" t="str">
        <f>IF(SISTEMA!A1077="","",SISTEMA!A1077)</f>
        <v/>
      </c>
      <c r="B1083" s="10" t="str">
        <f>IF(SISTEMA!B1077="","",VALUE(SISTEMA!B1077))</f>
        <v/>
      </c>
      <c r="C1083" s="10" t="str">
        <f>IF(SISTEMA!C1077="","",SISTEMA!C1077)</f>
        <v/>
      </c>
      <c r="D1083" s="5" t="str" cm="1">
        <f t="array" ref="D10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3" s="5" t="str" cm="1">
        <f t="array" ref="E10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3" s="5" t="str" cm="1">
        <f t="array" ref="F10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3" t="str" cm="1">
        <f t="array" ref="G10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3" s="4"/>
      <c r="I1083" s="3" t="str" cm="1">
        <f t="array" ref="I10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4" spans="1:9" x14ac:dyDescent="0.3">
      <c r="A1084" s="3" t="str">
        <f>IF(SISTEMA!A1078="","",SISTEMA!A1078)</f>
        <v/>
      </c>
      <c r="B1084" s="10" t="str">
        <f>IF(SISTEMA!B1078="","",VALUE(SISTEMA!B1078))</f>
        <v/>
      </c>
      <c r="C1084" s="10" t="str">
        <f>IF(SISTEMA!C1078="","",SISTEMA!C1078)</f>
        <v/>
      </c>
      <c r="D1084" s="5" t="str" cm="1">
        <f t="array" ref="D10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4" s="5" t="str" cm="1">
        <f t="array" ref="E10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4" s="5" t="str" cm="1">
        <f t="array" ref="F10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4" t="str" cm="1">
        <f t="array" ref="G10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4" s="4"/>
      <c r="I1084" s="3" t="str" cm="1">
        <f t="array" ref="I10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5" spans="1:9" x14ac:dyDescent="0.3">
      <c r="A1085" s="3" t="str">
        <f>IF(SISTEMA!A1079="","",SISTEMA!A1079)</f>
        <v/>
      </c>
      <c r="B1085" s="10" t="str">
        <f>IF(SISTEMA!B1079="","",VALUE(SISTEMA!B1079))</f>
        <v/>
      </c>
      <c r="C1085" s="10" t="str">
        <f>IF(SISTEMA!C1079="","",SISTEMA!C1079)</f>
        <v/>
      </c>
      <c r="D1085" s="5" t="str" cm="1">
        <f t="array" ref="D10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5" s="5" t="str" cm="1">
        <f t="array" ref="E10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5" s="5" t="str" cm="1">
        <f t="array" ref="F10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5" t="str" cm="1">
        <f t="array" ref="G10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5" s="4"/>
      <c r="I1085" s="3" t="str" cm="1">
        <f t="array" ref="I10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6" spans="1:9" x14ac:dyDescent="0.3">
      <c r="A1086" s="3" t="str">
        <f>IF(SISTEMA!A1080="","",SISTEMA!A1080)</f>
        <v/>
      </c>
      <c r="B1086" s="10" t="str">
        <f>IF(SISTEMA!B1080="","",VALUE(SISTEMA!B1080))</f>
        <v/>
      </c>
      <c r="C1086" s="10" t="str">
        <f>IF(SISTEMA!C1080="","",SISTEMA!C1080)</f>
        <v/>
      </c>
      <c r="D1086" s="5" t="str" cm="1">
        <f t="array" ref="D10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6" s="5" t="str" cm="1">
        <f t="array" ref="E10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6" s="5" t="str" cm="1">
        <f t="array" ref="F10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6" t="str" cm="1">
        <f t="array" ref="G10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6" s="4"/>
      <c r="I1086" s="3" t="str" cm="1">
        <f t="array" ref="I10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7" spans="1:9" x14ac:dyDescent="0.3">
      <c r="A1087" s="3" t="str">
        <f>IF(SISTEMA!A1081="","",SISTEMA!A1081)</f>
        <v/>
      </c>
      <c r="B1087" s="10" t="str">
        <f>IF(SISTEMA!B1081="","",VALUE(SISTEMA!B1081))</f>
        <v/>
      </c>
      <c r="C1087" s="10" t="str">
        <f>IF(SISTEMA!C1081="","",SISTEMA!C1081)</f>
        <v/>
      </c>
      <c r="D1087" s="5" t="str" cm="1">
        <f t="array" ref="D10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7" s="5" t="str" cm="1">
        <f t="array" ref="E10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7" s="5" t="str" cm="1">
        <f t="array" ref="F10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7" t="str" cm="1">
        <f t="array" ref="G10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7" s="4"/>
      <c r="I1087" s="3" t="str" cm="1">
        <f t="array" ref="I10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8" spans="1:9" x14ac:dyDescent="0.3">
      <c r="A1088" s="3" t="str">
        <f>IF(SISTEMA!A1082="","",SISTEMA!A1082)</f>
        <v/>
      </c>
      <c r="B1088" s="10" t="str">
        <f>IF(SISTEMA!B1082="","",VALUE(SISTEMA!B1082))</f>
        <v/>
      </c>
      <c r="C1088" s="10" t="str">
        <f>IF(SISTEMA!C1082="","",SISTEMA!C1082)</f>
        <v/>
      </c>
      <c r="D1088" s="5" t="str" cm="1">
        <f t="array" ref="D10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8" s="5" t="str" cm="1">
        <f t="array" ref="E10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8" s="5" t="str" cm="1">
        <f t="array" ref="F10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8" t="str" cm="1">
        <f t="array" ref="G10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8" s="4"/>
      <c r="I1088" s="3" t="str" cm="1">
        <f t="array" ref="I10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89" spans="1:9" x14ac:dyDescent="0.3">
      <c r="A1089" s="3" t="str">
        <f>IF(SISTEMA!A1083="","",SISTEMA!A1083)</f>
        <v/>
      </c>
      <c r="B1089" s="10" t="str">
        <f>IF(SISTEMA!B1083="","",VALUE(SISTEMA!B1083))</f>
        <v/>
      </c>
      <c r="C1089" s="10" t="str">
        <f>IF(SISTEMA!C1083="","",SISTEMA!C1083)</f>
        <v/>
      </c>
      <c r="D1089" s="5" t="str" cm="1">
        <f t="array" ref="D10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89" s="5" t="str" cm="1">
        <f t="array" ref="E10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89" s="5" t="str" cm="1">
        <f t="array" ref="F10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89" t="str" cm="1">
        <f t="array" ref="G10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89" s="4"/>
      <c r="I1089" s="3" t="str" cm="1">
        <f t="array" ref="I10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0" spans="1:9" x14ac:dyDescent="0.3">
      <c r="A1090" s="3" t="str">
        <f>IF(SISTEMA!A1084="","",SISTEMA!A1084)</f>
        <v/>
      </c>
      <c r="B1090" s="10" t="str">
        <f>IF(SISTEMA!B1084="","",VALUE(SISTEMA!B1084))</f>
        <v/>
      </c>
      <c r="C1090" s="10" t="str">
        <f>IF(SISTEMA!C1084="","",SISTEMA!C1084)</f>
        <v/>
      </c>
      <c r="D1090" s="5" t="str" cm="1">
        <f t="array" ref="D10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0" s="5" t="str" cm="1">
        <f t="array" ref="E10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0" s="5" t="str" cm="1">
        <f t="array" ref="F10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0" t="str" cm="1">
        <f t="array" ref="G10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0" s="4"/>
      <c r="I1090" s="3" t="str" cm="1">
        <f t="array" ref="I10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1" spans="1:9" x14ac:dyDescent="0.3">
      <c r="A1091" s="3" t="str">
        <f>IF(SISTEMA!A1085="","",SISTEMA!A1085)</f>
        <v/>
      </c>
      <c r="B1091" s="10" t="str">
        <f>IF(SISTEMA!B1085="","",VALUE(SISTEMA!B1085))</f>
        <v/>
      </c>
      <c r="C1091" s="10" t="str">
        <f>IF(SISTEMA!C1085="","",SISTEMA!C1085)</f>
        <v/>
      </c>
      <c r="D1091" s="5" t="str" cm="1">
        <f t="array" ref="D10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1" s="5" t="str" cm="1">
        <f t="array" ref="E10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1" s="5" t="str" cm="1">
        <f t="array" ref="F10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1" t="str" cm="1">
        <f t="array" ref="G10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1" s="4"/>
      <c r="I1091" s="3" t="str" cm="1">
        <f t="array" ref="I10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2" spans="1:9" x14ac:dyDescent="0.3">
      <c r="A1092" s="3" t="str">
        <f>IF(SISTEMA!A1086="","",SISTEMA!A1086)</f>
        <v/>
      </c>
      <c r="B1092" s="10" t="str">
        <f>IF(SISTEMA!B1086="","",VALUE(SISTEMA!B1086))</f>
        <v/>
      </c>
      <c r="C1092" s="10" t="str">
        <f>IF(SISTEMA!C1086="","",SISTEMA!C1086)</f>
        <v/>
      </c>
      <c r="D1092" s="5" t="str" cm="1">
        <f t="array" ref="D10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2" s="5" t="str" cm="1">
        <f t="array" ref="E10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2" s="5" t="str" cm="1">
        <f t="array" ref="F10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2" t="str" cm="1">
        <f t="array" ref="G10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2" s="4"/>
      <c r="I1092" s="3" t="str" cm="1">
        <f t="array" ref="I10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3" spans="1:9" x14ac:dyDescent="0.3">
      <c r="A1093" s="3" t="str">
        <f>IF(SISTEMA!A1087="","",SISTEMA!A1087)</f>
        <v/>
      </c>
      <c r="B1093" s="10" t="str">
        <f>IF(SISTEMA!B1087="","",VALUE(SISTEMA!B1087))</f>
        <v/>
      </c>
      <c r="C1093" s="10" t="str">
        <f>IF(SISTEMA!C1087="","",SISTEMA!C1087)</f>
        <v/>
      </c>
      <c r="D1093" s="5" t="str" cm="1">
        <f t="array" ref="D10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3" s="5" t="str" cm="1">
        <f t="array" ref="E10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3" s="5" t="str" cm="1">
        <f t="array" ref="F10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3" t="str" cm="1">
        <f t="array" ref="G10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3" s="4"/>
      <c r="I1093" s="3" t="str" cm="1">
        <f t="array" ref="I10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4" spans="1:9" x14ac:dyDescent="0.3">
      <c r="A1094" s="3" t="str">
        <f>IF(SISTEMA!A1088="","",SISTEMA!A1088)</f>
        <v/>
      </c>
      <c r="B1094" s="10" t="str">
        <f>IF(SISTEMA!B1088="","",VALUE(SISTEMA!B1088))</f>
        <v/>
      </c>
      <c r="C1094" s="10" t="str">
        <f>IF(SISTEMA!C1088="","",SISTEMA!C1088)</f>
        <v/>
      </c>
      <c r="D1094" s="5" t="str" cm="1">
        <f t="array" ref="D10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4" s="5" t="str" cm="1">
        <f t="array" ref="E10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4" s="5" t="str" cm="1">
        <f t="array" ref="F10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4" t="str" cm="1">
        <f t="array" ref="G10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4" s="4"/>
      <c r="I1094" s="3" t="str" cm="1">
        <f t="array" ref="I10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5" spans="1:9" x14ac:dyDescent="0.3">
      <c r="A1095" s="3" t="str">
        <f>IF(SISTEMA!A1089="","",SISTEMA!A1089)</f>
        <v/>
      </c>
      <c r="B1095" s="10" t="str">
        <f>IF(SISTEMA!B1089="","",VALUE(SISTEMA!B1089))</f>
        <v/>
      </c>
      <c r="C1095" s="10" t="str">
        <f>IF(SISTEMA!C1089="","",SISTEMA!C1089)</f>
        <v/>
      </c>
      <c r="D1095" s="5" t="str" cm="1">
        <f t="array" ref="D10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5" s="5" t="str" cm="1">
        <f t="array" ref="E10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5" s="5" t="str" cm="1">
        <f t="array" ref="F10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5" t="str" cm="1">
        <f t="array" ref="G10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5" s="4"/>
      <c r="I1095" s="3" t="str" cm="1">
        <f t="array" ref="I10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6" spans="1:9" x14ac:dyDescent="0.3">
      <c r="A1096" s="3" t="str">
        <f>IF(SISTEMA!A1090="","",SISTEMA!A1090)</f>
        <v/>
      </c>
      <c r="B1096" s="10" t="str">
        <f>IF(SISTEMA!B1090="","",VALUE(SISTEMA!B1090))</f>
        <v/>
      </c>
      <c r="C1096" s="10" t="str">
        <f>IF(SISTEMA!C1090="","",SISTEMA!C1090)</f>
        <v/>
      </c>
      <c r="D1096" s="5" t="str" cm="1">
        <f t="array" ref="D10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6" s="5" t="str" cm="1">
        <f t="array" ref="E10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6" s="5" t="str" cm="1">
        <f t="array" ref="F10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6" t="str" cm="1">
        <f t="array" ref="G10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6" s="4"/>
      <c r="I1096" s="3" t="str" cm="1">
        <f t="array" ref="I10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7" spans="1:9" x14ac:dyDescent="0.3">
      <c r="A1097" s="3" t="str">
        <f>IF(SISTEMA!A1091="","",SISTEMA!A1091)</f>
        <v/>
      </c>
      <c r="B1097" s="10" t="str">
        <f>IF(SISTEMA!B1091="","",VALUE(SISTEMA!B1091))</f>
        <v/>
      </c>
      <c r="C1097" s="10" t="str">
        <f>IF(SISTEMA!C1091="","",SISTEMA!C1091)</f>
        <v/>
      </c>
      <c r="D1097" s="5" t="str" cm="1">
        <f t="array" ref="D10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7" s="5" t="str" cm="1">
        <f t="array" ref="E10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7" s="5" t="str" cm="1">
        <f t="array" ref="F10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7" t="str" cm="1">
        <f t="array" ref="G10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7" s="4"/>
      <c r="I1097" s="3" t="str" cm="1">
        <f t="array" ref="I10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8" spans="1:9" x14ac:dyDescent="0.3">
      <c r="A1098" s="3" t="str">
        <f>IF(SISTEMA!A1092="","",SISTEMA!A1092)</f>
        <v/>
      </c>
      <c r="B1098" s="10" t="str">
        <f>IF(SISTEMA!B1092="","",VALUE(SISTEMA!B1092))</f>
        <v/>
      </c>
      <c r="C1098" s="10" t="str">
        <f>IF(SISTEMA!C1092="","",SISTEMA!C1092)</f>
        <v/>
      </c>
      <c r="D1098" s="5" t="str" cm="1">
        <f t="array" ref="D10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8" s="5" t="str" cm="1">
        <f t="array" ref="E10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8" s="5" t="str" cm="1">
        <f t="array" ref="F10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8" t="str" cm="1">
        <f t="array" ref="G10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8" s="4"/>
      <c r="I1098" s="3" t="str" cm="1">
        <f t="array" ref="I10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099" spans="1:9" x14ac:dyDescent="0.3">
      <c r="A1099" s="3" t="str">
        <f>IF(SISTEMA!A1093="","",SISTEMA!A1093)</f>
        <v/>
      </c>
      <c r="B1099" s="10" t="str">
        <f>IF(SISTEMA!B1093="","",VALUE(SISTEMA!B1093))</f>
        <v/>
      </c>
      <c r="C1099" s="10" t="str">
        <f>IF(SISTEMA!C1093="","",SISTEMA!C1093)</f>
        <v/>
      </c>
      <c r="D1099" s="5" t="str" cm="1">
        <f t="array" ref="D10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099" s="5" t="str" cm="1">
        <f t="array" ref="E10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099" s="5" t="str" cm="1">
        <f t="array" ref="F10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099" t="str" cm="1">
        <f t="array" ref="G10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099" s="4"/>
      <c r="I1099" s="3" t="str" cm="1">
        <f t="array" ref="I10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0" spans="1:9" x14ac:dyDescent="0.3">
      <c r="A1100" s="3" t="str">
        <f>IF(SISTEMA!A1094="","",SISTEMA!A1094)</f>
        <v/>
      </c>
      <c r="B1100" s="10" t="str">
        <f>IF(SISTEMA!B1094="","",VALUE(SISTEMA!B1094))</f>
        <v/>
      </c>
      <c r="C1100" s="10" t="str">
        <f>IF(SISTEMA!C1094="","",SISTEMA!C1094)</f>
        <v/>
      </c>
      <c r="D1100" s="5" t="str" cm="1">
        <f t="array" ref="D11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0" s="5" t="str" cm="1">
        <f t="array" ref="E11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0" s="5" t="str" cm="1">
        <f t="array" ref="F11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0" t="str" cm="1">
        <f t="array" ref="G11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0" s="4"/>
      <c r="I1100" s="3" t="str" cm="1">
        <f t="array" ref="I11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1" spans="1:9" x14ac:dyDescent="0.3">
      <c r="A1101" s="3" t="str">
        <f>IF(SISTEMA!A1095="","",SISTEMA!A1095)</f>
        <v/>
      </c>
      <c r="B1101" s="10" t="str">
        <f>IF(SISTEMA!B1095="","",VALUE(SISTEMA!B1095))</f>
        <v/>
      </c>
      <c r="C1101" s="10" t="str">
        <f>IF(SISTEMA!C1095="","",SISTEMA!C1095)</f>
        <v/>
      </c>
      <c r="D1101" s="5" t="str" cm="1">
        <f t="array" ref="D11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1" s="5" t="str" cm="1">
        <f t="array" ref="E11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1" s="5" t="str" cm="1">
        <f t="array" ref="F11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1" t="str" cm="1">
        <f t="array" ref="G11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1" s="4"/>
      <c r="I1101" s="3" t="str" cm="1">
        <f t="array" ref="I11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2" spans="1:9" x14ac:dyDescent="0.3">
      <c r="A1102" s="3" t="str">
        <f>IF(SISTEMA!A1096="","",SISTEMA!A1096)</f>
        <v/>
      </c>
      <c r="B1102" s="10" t="str">
        <f>IF(SISTEMA!B1096="","",VALUE(SISTEMA!B1096))</f>
        <v/>
      </c>
      <c r="C1102" s="10" t="str">
        <f>IF(SISTEMA!C1096="","",SISTEMA!C1096)</f>
        <v/>
      </c>
      <c r="D1102" s="5" t="str" cm="1">
        <f t="array" ref="D11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2" s="5" t="str" cm="1">
        <f t="array" ref="E11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2" s="5" t="str" cm="1">
        <f t="array" ref="F11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2" t="str" cm="1">
        <f t="array" ref="G11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2" s="4"/>
      <c r="I1102" s="3" t="str" cm="1">
        <f t="array" ref="I11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3" spans="1:9" x14ac:dyDescent="0.3">
      <c r="A1103" s="3" t="str">
        <f>IF(SISTEMA!A1097="","",SISTEMA!A1097)</f>
        <v/>
      </c>
      <c r="B1103" s="10" t="str">
        <f>IF(SISTEMA!B1097="","",VALUE(SISTEMA!B1097))</f>
        <v/>
      </c>
      <c r="C1103" s="10" t="str">
        <f>IF(SISTEMA!C1097="","",SISTEMA!C1097)</f>
        <v/>
      </c>
      <c r="D1103" s="5" t="str" cm="1">
        <f t="array" ref="D11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3" s="5" t="str" cm="1">
        <f t="array" ref="E11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3" s="5" t="str" cm="1">
        <f t="array" ref="F11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3" t="str" cm="1">
        <f t="array" ref="G11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3" s="4"/>
      <c r="I1103" s="3" t="str" cm="1">
        <f t="array" ref="I11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4" spans="1:9" x14ac:dyDescent="0.3">
      <c r="A1104" s="3" t="str">
        <f>IF(SISTEMA!A1098="","",SISTEMA!A1098)</f>
        <v/>
      </c>
      <c r="B1104" s="10" t="str">
        <f>IF(SISTEMA!B1098="","",VALUE(SISTEMA!B1098))</f>
        <v/>
      </c>
      <c r="C1104" s="10" t="str">
        <f>IF(SISTEMA!C1098="","",SISTEMA!C1098)</f>
        <v/>
      </c>
      <c r="D1104" s="5" t="str" cm="1">
        <f t="array" ref="D11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4" s="5" t="str" cm="1">
        <f t="array" ref="E11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4" s="5" t="str" cm="1">
        <f t="array" ref="F11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4" t="str" cm="1">
        <f t="array" ref="G11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4" s="4"/>
      <c r="I1104" s="3" t="str" cm="1">
        <f t="array" ref="I11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5" spans="1:9" x14ac:dyDescent="0.3">
      <c r="A1105" s="3" t="str">
        <f>IF(SISTEMA!A1099="","",SISTEMA!A1099)</f>
        <v/>
      </c>
      <c r="B1105" s="10" t="str">
        <f>IF(SISTEMA!B1099="","",VALUE(SISTEMA!B1099))</f>
        <v/>
      </c>
      <c r="C1105" s="10" t="str">
        <f>IF(SISTEMA!C1099="","",SISTEMA!C1099)</f>
        <v/>
      </c>
      <c r="D1105" s="5" t="str" cm="1">
        <f t="array" ref="D11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5" s="5" t="str" cm="1">
        <f t="array" ref="E11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5" s="5" t="str" cm="1">
        <f t="array" ref="F11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5" t="str" cm="1">
        <f t="array" ref="G11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5" s="4"/>
      <c r="I1105" s="3" t="str" cm="1">
        <f t="array" ref="I11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6" spans="1:9" x14ac:dyDescent="0.3">
      <c r="A1106" s="3" t="str">
        <f>IF(SISTEMA!A1100="","",SISTEMA!A1100)</f>
        <v/>
      </c>
      <c r="B1106" s="10" t="str">
        <f>IF(SISTEMA!B1100="","",VALUE(SISTEMA!B1100))</f>
        <v/>
      </c>
      <c r="C1106" s="10" t="str">
        <f>IF(SISTEMA!C1100="","",SISTEMA!C1100)</f>
        <v/>
      </c>
      <c r="D1106" s="5" t="str" cm="1">
        <f t="array" ref="D11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6" s="5" t="str" cm="1">
        <f t="array" ref="E11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6" s="5" t="str" cm="1">
        <f t="array" ref="F11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6" t="str" cm="1">
        <f t="array" ref="G11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6" s="4"/>
      <c r="I1106" s="3" t="str" cm="1">
        <f t="array" ref="I11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7" spans="1:9" x14ac:dyDescent="0.3">
      <c r="A1107" s="3" t="str">
        <f>IF(SISTEMA!A1101="","",SISTEMA!A1101)</f>
        <v/>
      </c>
      <c r="B1107" s="10" t="str">
        <f>IF(SISTEMA!B1101="","",VALUE(SISTEMA!B1101))</f>
        <v/>
      </c>
      <c r="C1107" s="10" t="str">
        <f>IF(SISTEMA!C1101="","",SISTEMA!C1101)</f>
        <v/>
      </c>
      <c r="D1107" s="5" t="str" cm="1">
        <f t="array" ref="D11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7" s="5" t="str" cm="1">
        <f t="array" ref="E11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7" s="5" t="str" cm="1">
        <f t="array" ref="F11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7" t="str" cm="1">
        <f t="array" ref="G11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7" s="4"/>
      <c r="I1107" s="3" t="str" cm="1">
        <f t="array" ref="I11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8" spans="1:9" x14ac:dyDescent="0.3">
      <c r="A1108" s="3" t="str">
        <f>IF(SISTEMA!A1102="","",SISTEMA!A1102)</f>
        <v/>
      </c>
      <c r="B1108" s="10" t="str">
        <f>IF(SISTEMA!B1102="","",VALUE(SISTEMA!B1102))</f>
        <v/>
      </c>
      <c r="C1108" s="10" t="str">
        <f>IF(SISTEMA!C1102="","",SISTEMA!C1102)</f>
        <v/>
      </c>
      <c r="D1108" s="5" t="str" cm="1">
        <f t="array" ref="D11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8" s="5" t="str" cm="1">
        <f t="array" ref="E11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8" s="5" t="str" cm="1">
        <f t="array" ref="F11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8" t="str" cm="1">
        <f t="array" ref="G11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8" s="4"/>
      <c r="I1108" s="3" t="str" cm="1">
        <f t="array" ref="I11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09" spans="1:9" x14ac:dyDescent="0.3">
      <c r="A1109" s="3" t="str">
        <f>IF(SISTEMA!A1103="","",SISTEMA!A1103)</f>
        <v/>
      </c>
      <c r="B1109" s="10" t="str">
        <f>IF(SISTEMA!B1103="","",VALUE(SISTEMA!B1103))</f>
        <v/>
      </c>
      <c r="C1109" s="10" t="str">
        <f>IF(SISTEMA!C1103="","",SISTEMA!C1103)</f>
        <v/>
      </c>
      <c r="D1109" s="5" t="str" cm="1">
        <f t="array" ref="D11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09" s="5" t="str" cm="1">
        <f t="array" ref="E11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09" s="5" t="str" cm="1">
        <f t="array" ref="F11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09" t="str" cm="1">
        <f t="array" ref="G11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09" s="4"/>
      <c r="I1109" s="3" t="str" cm="1">
        <f t="array" ref="I11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0" spans="1:9" x14ac:dyDescent="0.3">
      <c r="A1110" s="3" t="str">
        <f>IF(SISTEMA!A1104="","",SISTEMA!A1104)</f>
        <v/>
      </c>
      <c r="B1110" s="10" t="str">
        <f>IF(SISTEMA!B1104="","",VALUE(SISTEMA!B1104))</f>
        <v/>
      </c>
      <c r="C1110" s="10" t="str">
        <f>IF(SISTEMA!C1104="","",SISTEMA!C1104)</f>
        <v/>
      </c>
      <c r="D1110" s="5" t="str" cm="1">
        <f t="array" ref="D11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0" s="5" t="str" cm="1">
        <f t="array" ref="E11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0" s="5" t="str" cm="1">
        <f t="array" ref="F11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0" t="str" cm="1">
        <f t="array" ref="G11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0" s="4"/>
      <c r="I1110" s="3" t="str" cm="1">
        <f t="array" ref="I11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1" spans="1:9" x14ac:dyDescent="0.3">
      <c r="A1111" s="3" t="str">
        <f>IF(SISTEMA!A1105="","",SISTEMA!A1105)</f>
        <v/>
      </c>
      <c r="B1111" s="10" t="str">
        <f>IF(SISTEMA!B1105="","",VALUE(SISTEMA!B1105))</f>
        <v/>
      </c>
      <c r="C1111" s="10" t="str">
        <f>IF(SISTEMA!C1105="","",SISTEMA!C1105)</f>
        <v/>
      </c>
      <c r="D1111" s="5" t="str" cm="1">
        <f t="array" ref="D11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1" s="5" t="str" cm="1">
        <f t="array" ref="E11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1" s="5" t="str" cm="1">
        <f t="array" ref="F11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1" t="str" cm="1">
        <f t="array" ref="G11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1" s="4"/>
      <c r="I1111" s="3" t="str" cm="1">
        <f t="array" ref="I11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2" spans="1:9" x14ac:dyDescent="0.3">
      <c r="A1112" s="3" t="str">
        <f>IF(SISTEMA!A1106="","",SISTEMA!A1106)</f>
        <v/>
      </c>
      <c r="B1112" s="10" t="str">
        <f>IF(SISTEMA!B1106="","",VALUE(SISTEMA!B1106))</f>
        <v/>
      </c>
      <c r="C1112" s="10" t="str">
        <f>IF(SISTEMA!C1106="","",SISTEMA!C1106)</f>
        <v/>
      </c>
      <c r="D1112" s="5" t="str" cm="1">
        <f t="array" ref="D11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2" s="5" t="str" cm="1">
        <f t="array" ref="E11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2" s="5" t="str" cm="1">
        <f t="array" ref="F11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2" t="str" cm="1">
        <f t="array" ref="G11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2" s="4"/>
      <c r="I1112" s="3" t="str" cm="1">
        <f t="array" ref="I11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3" spans="1:9" x14ac:dyDescent="0.3">
      <c r="A1113" s="3" t="str">
        <f>IF(SISTEMA!A1107="","",SISTEMA!A1107)</f>
        <v/>
      </c>
      <c r="B1113" s="10" t="str">
        <f>IF(SISTEMA!B1107="","",VALUE(SISTEMA!B1107))</f>
        <v/>
      </c>
      <c r="C1113" s="10" t="str">
        <f>IF(SISTEMA!C1107="","",SISTEMA!C1107)</f>
        <v/>
      </c>
      <c r="D1113" s="5" t="str" cm="1">
        <f t="array" ref="D11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3" s="5" t="str" cm="1">
        <f t="array" ref="E11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3" s="5" t="str" cm="1">
        <f t="array" ref="F11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3" t="str" cm="1">
        <f t="array" ref="G11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3" s="4"/>
      <c r="I1113" s="3" t="str" cm="1">
        <f t="array" ref="I11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4" spans="1:9" x14ac:dyDescent="0.3">
      <c r="A1114" s="3" t="str">
        <f>IF(SISTEMA!A1108="","",SISTEMA!A1108)</f>
        <v/>
      </c>
      <c r="B1114" s="10" t="str">
        <f>IF(SISTEMA!B1108="","",VALUE(SISTEMA!B1108))</f>
        <v/>
      </c>
      <c r="C1114" s="10" t="str">
        <f>IF(SISTEMA!C1108="","",SISTEMA!C1108)</f>
        <v/>
      </c>
      <c r="D1114" s="5" t="str" cm="1">
        <f t="array" ref="D11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4" s="5" t="str" cm="1">
        <f t="array" ref="E11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4" s="5" t="str" cm="1">
        <f t="array" ref="F11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4" t="str" cm="1">
        <f t="array" ref="G11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4" s="4"/>
      <c r="I1114" s="3" t="str" cm="1">
        <f t="array" ref="I11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5" spans="1:9" x14ac:dyDescent="0.3">
      <c r="A1115" s="3" t="str">
        <f>IF(SISTEMA!A1109="","",SISTEMA!A1109)</f>
        <v/>
      </c>
      <c r="B1115" s="10" t="str">
        <f>IF(SISTEMA!B1109="","",VALUE(SISTEMA!B1109))</f>
        <v/>
      </c>
      <c r="C1115" s="10" t="str">
        <f>IF(SISTEMA!C1109="","",SISTEMA!C1109)</f>
        <v/>
      </c>
      <c r="D1115" s="5" t="str" cm="1">
        <f t="array" ref="D11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5" s="5" t="str" cm="1">
        <f t="array" ref="E11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5" s="5" t="str" cm="1">
        <f t="array" ref="F11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5" t="str" cm="1">
        <f t="array" ref="G11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5" s="4"/>
      <c r="I1115" s="3" t="str" cm="1">
        <f t="array" ref="I11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6" spans="1:9" x14ac:dyDescent="0.3">
      <c r="A1116" s="3" t="str">
        <f>IF(SISTEMA!A1110="","",SISTEMA!A1110)</f>
        <v/>
      </c>
      <c r="B1116" s="10" t="str">
        <f>IF(SISTEMA!B1110="","",VALUE(SISTEMA!B1110))</f>
        <v/>
      </c>
      <c r="C1116" s="10" t="str">
        <f>IF(SISTEMA!C1110="","",SISTEMA!C1110)</f>
        <v/>
      </c>
      <c r="D1116" s="5" t="str" cm="1">
        <f t="array" ref="D11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6" s="5" t="str" cm="1">
        <f t="array" ref="E11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6" s="5" t="str" cm="1">
        <f t="array" ref="F11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6" t="str" cm="1">
        <f t="array" ref="G11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6" s="4"/>
      <c r="I1116" s="3" t="str" cm="1">
        <f t="array" ref="I11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7" spans="1:9" x14ac:dyDescent="0.3">
      <c r="A1117" s="3" t="str">
        <f>IF(SISTEMA!A1111="","",SISTEMA!A1111)</f>
        <v/>
      </c>
      <c r="B1117" s="10" t="str">
        <f>IF(SISTEMA!B1111="","",VALUE(SISTEMA!B1111))</f>
        <v/>
      </c>
      <c r="C1117" s="10" t="str">
        <f>IF(SISTEMA!C1111="","",SISTEMA!C1111)</f>
        <v/>
      </c>
      <c r="D1117" s="5" t="str" cm="1">
        <f t="array" ref="D11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7" s="5" t="str" cm="1">
        <f t="array" ref="E11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7" s="5" t="str" cm="1">
        <f t="array" ref="F11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7" t="str" cm="1">
        <f t="array" ref="G11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7" s="4"/>
      <c r="I1117" s="3" t="str" cm="1">
        <f t="array" ref="I11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8" spans="1:9" x14ac:dyDescent="0.3">
      <c r="A1118" s="3" t="str">
        <f>IF(SISTEMA!A1112="","",SISTEMA!A1112)</f>
        <v/>
      </c>
      <c r="B1118" s="10" t="str">
        <f>IF(SISTEMA!B1112="","",VALUE(SISTEMA!B1112))</f>
        <v/>
      </c>
      <c r="C1118" s="10" t="str">
        <f>IF(SISTEMA!C1112="","",SISTEMA!C1112)</f>
        <v/>
      </c>
      <c r="D1118" s="5" t="str" cm="1">
        <f t="array" ref="D11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8" s="5" t="str" cm="1">
        <f t="array" ref="E11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8" s="5" t="str" cm="1">
        <f t="array" ref="F11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8" t="str" cm="1">
        <f t="array" ref="G11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8" s="4"/>
      <c r="I1118" s="3" t="str" cm="1">
        <f t="array" ref="I11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19" spans="1:9" x14ac:dyDescent="0.3">
      <c r="A1119" s="3" t="str">
        <f>IF(SISTEMA!A1113="","",SISTEMA!A1113)</f>
        <v/>
      </c>
      <c r="B1119" s="10" t="str">
        <f>IF(SISTEMA!B1113="","",VALUE(SISTEMA!B1113))</f>
        <v/>
      </c>
      <c r="C1119" s="10" t="str">
        <f>IF(SISTEMA!C1113="","",SISTEMA!C1113)</f>
        <v/>
      </c>
      <c r="D1119" s="5" t="str" cm="1">
        <f t="array" ref="D11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19" s="5" t="str" cm="1">
        <f t="array" ref="E11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19" s="5" t="str" cm="1">
        <f t="array" ref="F11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19" t="str" cm="1">
        <f t="array" ref="G11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19" s="4"/>
      <c r="I1119" s="3" t="str" cm="1">
        <f t="array" ref="I11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0" spans="1:9" x14ac:dyDescent="0.3">
      <c r="A1120" s="3" t="str">
        <f>IF(SISTEMA!A1114="","",SISTEMA!A1114)</f>
        <v/>
      </c>
      <c r="B1120" s="10" t="str">
        <f>IF(SISTEMA!B1114="","",VALUE(SISTEMA!B1114))</f>
        <v/>
      </c>
      <c r="C1120" s="10" t="str">
        <f>IF(SISTEMA!C1114="","",SISTEMA!C1114)</f>
        <v/>
      </c>
      <c r="D1120" s="5" t="str" cm="1">
        <f t="array" ref="D11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0" s="5" t="str" cm="1">
        <f t="array" ref="E11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0" s="5" t="str" cm="1">
        <f t="array" ref="F11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0" t="str" cm="1">
        <f t="array" ref="G11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0" s="4"/>
      <c r="I1120" s="3" t="str" cm="1">
        <f t="array" ref="I11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1" spans="1:9" x14ac:dyDescent="0.3">
      <c r="A1121" s="3" t="str">
        <f>IF(SISTEMA!A1115="","",SISTEMA!A1115)</f>
        <v/>
      </c>
      <c r="B1121" s="10" t="str">
        <f>IF(SISTEMA!B1115="","",VALUE(SISTEMA!B1115))</f>
        <v/>
      </c>
      <c r="C1121" s="10" t="str">
        <f>IF(SISTEMA!C1115="","",SISTEMA!C1115)</f>
        <v/>
      </c>
      <c r="D1121" s="5" t="str" cm="1">
        <f t="array" ref="D11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1" s="5" t="str" cm="1">
        <f t="array" ref="E11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1" s="5" t="str" cm="1">
        <f t="array" ref="F11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1" t="str" cm="1">
        <f t="array" ref="G11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1" s="4"/>
      <c r="I1121" s="3" t="str" cm="1">
        <f t="array" ref="I11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2" spans="1:9" x14ac:dyDescent="0.3">
      <c r="A1122" s="3" t="str">
        <f>IF(SISTEMA!A1116="","",SISTEMA!A1116)</f>
        <v/>
      </c>
      <c r="B1122" s="10" t="str">
        <f>IF(SISTEMA!B1116="","",VALUE(SISTEMA!B1116))</f>
        <v/>
      </c>
      <c r="C1122" s="10" t="str">
        <f>IF(SISTEMA!C1116="","",SISTEMA!C1116)</f>
        <v/>
      </c>
      <c r="D1122" s="5" t="str" cm="1">
        <f t="array" ref="D11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2" s="5" t="str" cm="1">
        <f t="array" ref="E11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2" s="5" t="str" cm="1">
        <f t="array" ref="F11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2" t="str" cm="1">
        <f t="array" ref="G11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2" s="4"/>
      <c r="I1122" s="3" t="str" cm="1">
        <f t="array" ref="I11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3" spans="1:9" x14ac:dyDescent="0.3">
      <c r="A1123" s="3" t="str">
        <f>IF(SISTEMA!A1117="","",SISTEMA!A1117)</f>
        <v/>
      </c>
      <c r="B1123" s="10" t="str">
        <f>IF(SISTEMA!B1117="","",VALUE(SISTEMA!B1117))</f>
        <v/>
      </c>
      <c r="C1123" s="10" t="str">
        <f>IF(SISTEMA!C1117="","",SISTEMA!C1117)</f>
        <v/>
      </c>
      <c r="D1123" s="5" t="str" cm="1">
        <f t="array" ref="D11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3" s="5" t="str" cm="1">
        <f t="array" ref="E11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3" s="5" t="str" cm="1">
        <f t="array" ref="F11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3" t="str" cm="1">
        <f t="array" ref="G11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3" s="4"/>
      <c r="I1123" s="3" t="str" cm="1">
        <f t="array" ref="I11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4" spans="1:9" x14ac:dyDescent="0.3">
      <c r="A1124" s="3" t="str">
        <f>IF(SISTEMA!A1118="","",SISTEMA!A1118)</f>
        <v/>
      </c>
      <c r="B1124" s="10" t="str">
        <f>IF(SISTEMA!B1118="","",VALUE(SISTEMA!B1118))</f>
        <v/>
      </c>
      <c r="C1124" s="10" t="str">
        <f>IF(SISTEMA!C1118="","",SISTEMA!C1118)</f>
        <v/>
      </c>
      <c r="D1124" s="5" t="str" cm="1">
        <f t="array" ref="D11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4" s="5" t="str" cm="1">
        <f t="array" ref="E11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4" s="5" t="str" cm="1">
        <f t="array" ref="F11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4" t="str" cm="1">
        <f t="array" ref="G11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4" s="4"/>
      <c r="I1124" s="3" t="str" cm="1">
        <f t="array" ref="I11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5" spans="1:9" x14ac:dyDescent="0.3">
      <c r="A1125" s="3" t="str">
        <f>IF(SISTEMA!A1119="","",SISTEMA!A1119)</f>
        <v/>
      </c>
      <c r="B1125" s="10" t="str">
        <f>IF(SISTEMA!B1119="","",VALUE(SISTEMA!B1119))</f>
        <v/>
      </c>
      <c r="C1125" s="10" t="str">
        <f>IF(SISTEMA!C1119="","",SISTEMA!C1119)</f>
        <v/>
      </c>
      <c r="D1125" s="5" t="str" cm="1">
        <f t="array" ref="D11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5" s="5" t="str" cm="1">
        <f t="array" ref="E11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5" s="5" t="str" cm="1">
        <f t="array" ref="F11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5" t="str" cm="1">
        <f t="array" ref="G11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5" s="4"/>
      <c r="I1125" s="3" t="str" cm="1">
        <f t="array" ref="I11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6" spans="1:9" x14ac:dyDescent="0.3">
      <c r="A1126" s="3" t="str">
        <f>IF(SISTEMA!A1120="","",SISTEMA!A1120)</f>
        <v/>
      </c>
      <c r="B1126" s="10" t="str">
        <f>IF(SISTEMA!B1120="","",VALUE(SISTEMA!B1120))</f>
        <v/>
      </c>
      <c r="C1126" s="10" t="str">
        <f>IF(SISTEMA!C1120="","",SISTEMA!C1120)</f>
        <v/>
      </c>
      <c r="D1126" s="5" t="str" cm="1">
        <f t="array" ref="D11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6" s="5" t="str" cm="1">
        <f t="array" ref="E11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6" s="5" t="str" cm="1">
        <f t="array" ref="F11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6" t="str" cm="1">
        <f t="array" ref="G11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6" s="4"/>
      <c r="I1126" s="3" t="str" cm="1">
        <f t="array" ref="I11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7" spans="1:9" x14ac:dyDescent="0.3">
      <c r="A1127" s="3" t="str">
        <f>IF(SISTEMA!A1121="","",SISTEMA!A1121)</f>
        <v/>
      </c>
      <c r="B1127" s="10" t="str">
        <f>IF(SISTEMA!B1121="","",VALUE(SISTEMA!B1121))</f>
        <v/>
      </c>
      <c r="C1127" s="10" t="str">
        <f>IF(SISTEMA!C1121="","",SISTEMA!C1121)</f>
        <v/>
      </c>
      <c r="D1127" s="5" t="str" cm="1">
        <f t="array" ref="D11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7" s="5" t="str" cm="1">
        <f t="array" ref="E11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7" s="5" t="str" cm="1">
        <f t="array" ref="F11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7" t="str" cm="1">
        <f t="array" ref="G11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7" s="4"/>
      <c r="I1127" s="3" t="str" cm="1">
        <f t="array" ref="I11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8" spans="1:9" x14ac:dyDescent="0.3">
      <c r="A1128" s="3" t="str">
        <f>IF(SISTEMA!A1122="","",SISTEMA!A1122)</f>
        <v/>
      </c>
      <c r="B1128" s="10" t="str">
        <f>IF(SISTEMA!B1122="","",VALUE(SISTEMA!B1122))</f>
        <v/>
      </c>
      <c r="C1128" s="10" t="str">
        <f>IF(SISTEMA!C1122="","",SISTEMA!C1122)</f>
        <v/>
      </c>
      <c r="D1128" s="5" t="str" cm="1">
        <f t="array" ref="D11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8" s="5" t="str" cm="1">
        <f t="array" ref="E11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8" s="5" t="str" cm="1">
        <f t="array" ref="F11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8" t="str" cm="1">
        <f t="array" ref="G11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8" s="4"/>
      <c r="I1128" s="3" t="str" cm="1">
        <f t="array" ref="I11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29" spans="1:9" x14ac:dyDescent="0.3">
      <c r="A1129" s="3" t="str">
        <f>IF(SISTEMA!A1123="","",SISTEMA!A1123)</f>
        <v/>
      </c>
      <c r="B1129" s="10" t="str">
        <f>IF(SISTEMA!B1123="","",VALUE(SISTEMA!B1123))</f>
        <v/>
      </c>
      <c r="C1129" s="10" t="str">
        <f>IF(SISTEMA!C1123="","",SISTEMA!C1123)</f>
        <v/>
      </c>
      <c r="D1129" s="5" t="str" cm="1">
        <f t="array" ref="D11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29" s="5" t="str" cm="1">
        <f t="array" ref="E11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29" s="5" t="str" cm="1">
        <f t="array" ref="F11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29" t="str" cm="1">
        <f t="array" ref="G11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29" s="4"/>
      <c r="I1129" s="3" t="str" cm="1">
        <f t="array" ref="I11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0" spans="1:9" x14ac:dyDescent="0.3">
      <c r="A1130" s="3" t="str">
        <f>IF(SISTEMA!A1124="","",SISTEMA!A1124)</f>
        <v/>
      </c>
      <c r="B1130" s="10" t="str">
        <f>IF(SISTEMA!B1124="","",VALUE(SISTEMA!B1124))</f>
        <v/>
      </c>
      <c r="C1130" s="10" t="str">
        <f>IF(SISTEMA!C1124="","",SISTEMA!C1124)</f>
        <v/>
      </c>
      <c r="D1130" s="5" t="str" cm="1">
        <f t="array" ref="D11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0" s="5" t="str" cm="1">
        <f t="array" ref="E11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0" s="5" t="str" cm="1">
        <f t="array" ref="F11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0" t="str" cm="1">
        <f t="array" ref="G11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0" s="4"/>
      <c r="I1130" s="3" t="str" cm="1">
        <f t="array" ref="I11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1" spans="1:9" x14ac:dyDescent="0.3">
      <c r="A1131" s="3" t="str">
        <f>IF(SISTEMA!A1125="","",SISTEMA!A1125)</f>
        <v/>
      </c>
      <c r="B1131" s="10" t="str">
        <f>IF(SISTEMA!B1125="","",VALUE(SISTEMA!B1125))</f>
        <v/>
      </c>
      <c r="C1131" s="10" t="str">
        <f>IF(SISTEMA!C1125="","",SISTEMA!C1125)</f>
        <v/>
      </c>
      <c r="D1131" s="5" t="str" cm="1">
        <f t="array" ref="D11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1" s="5" t="str" cm="1">
        <f t="array" ref="E11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1" s="5" t="str" cm="1">
        <f t="array" ref="F11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1" t="str" cm="1">
        <f t="array" ref="G11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1" s="4"/>
      <c r="I1131" s="3" t="str" cm="1">
        <f t="array" ref="I11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2" spans="1:9" x14ac:dyDescent="0.3">
      <c r="A1132" s="3" t="str">
        <f>IF(SISTEMA!A1126="","",SISTEMA!A1126)</f>
        <v/>
      </c>
      <c r="B1132" s="10" t="str">
        <f>IF(SISTEMA!B1126="","",VALUE(SISTEMA!B1126))</f>
        <v/>
      </c>
      <c r="C1132" s="10" t="str">
        <f>IF(SISTEMA!C1126="","",SISTEMA!C1126)</f>
        <v/>
      </c>
      <c r="D1132" s="5" t="str" cm="1">
        <f t="array" ref="D11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2" s="5" t="str" cm="1">
        <f t="array" ref="E11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2" s="5" t="str" cm="1">
        <f t="array" ref="F11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2" t="str" cm="1">
        <f t="array" ref="G11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2" s="4"/>
      <c r="I1132" s="3" t="str" cm="1">
        <f t="array" ref="I11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3" spans="1:9" x14ac:dyDescent="0.3">
      <c r="A1133" s="3" t="str">
        <f>IF(SISTEMA!A1127="","",SISTEMA!A1127)</f>
        <v/>
      </c>
      <c r="B1133" s="10" t="str">
        <f>IF(SISTEMA!B1127="","",VALUE(SISTEMA!B1127))</f>
        <v/>
      </c>
      <c r="C1133" s="10" t="str">
        <f>IF(SISTEMA!C1127="","",SISTEMA!C1127)</f>
        <v/>
      </c>
      <c r="D1133" s="5" t="str" cm="1">
        <f t="array" ref="D11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3" s="5" t="str" cm="1">
        <f t="array" ref="E11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3" s="5" t="str" cm="1">
        <f t="array" ref="F11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3" t="str" cm="1">
        <f t="array" ref="G11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3" s="4"/>
      <c r="I1133" s="3" t="str" cm="1">
        <f t="array" ref="I11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4" spans="1:9" x14ac:dyDescent="0.3">
      <c r="A1134" s="3" t="str">
        <f>IF(SISTEMA!A1128="","",SISTEMA!A1128)</f>
        <v/>
      </c>
      <c r="B1134" s="10" t="str">
        <f>IF(SISTEMA!B1128="","",VALUE(SISTEMA!B1128))</f>
        <v/>
      </c>
      <c r="C1134" s="10" t="str">
        <f>IF(SISTEMA!C1128="","",SISTEMA!C1128)</f>
        <v/>
      </c>
      <c r="D1134" s="5" t="str" cm="1">
        <f t="array" ref="D11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4" s="5" t="str" cm="1">
        <f t="array" ref="E11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4" s="5" t="str" cm="1">
        <f t="array" ref="F11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4" t="str" cm="1">
        <f t="array" ref="G11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4" s="4"/>
      <c r="I1134" s="3" t="str" cm="1">
        <f t="array" ref="I11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5" spans="1:9" x14ac:dyDescent="0.3">
      <c r="A1135" s="3" t="str">
        <f>IF(SISTEMA!A1129="","",SISTEMA!A1129)</f>
        <v/>
      </c>
      <c r="B1135" s="10" t="str">
        <f>IF(SISTEMA!B1129="","",VALUE(SISTEMA!B1129))</f>
        <v/>
      </c>
      <c r="C1135" s="10" t="str">
        <f>IF(SISTEMA!C1129="","",SISTEMA!C1129)</f>
        <v/>
      </c>
      <c r="D1135" s="5" t="str" cm="1">
        <f t="array" ref="D11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5" s="5" t="str" cm="1">
        <f t="array" ref="E11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5" s="5" t="str" cm="1">
        <f t="array" ref="F11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5" t="str" cm="1">
        <f t="array" ref="G11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5" s="4"/>
      <c r="I1135" s="3" t="str" cm="1">
        <f t="array" ref="I11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6" spans="1:9" x14ac:dyDescent="0.3">
      <c r="A1136" s="3" t="str">
        <f>IF(SISTEMA!A1130="","",SISTEMA!A1130)</f>
        <v/>
      </c>
      <c r="B1136" s="10" t="str">
        <f>IF(SISTEMA!B1130="","",VALUE(SISTEMA!B1130))</f>
        <v/>
      </c>
      <c r="C1136" s="10" t="str">
        <f>IF(SISTEMA!C1130="","",SISTEMA!C1130)</f>
        <v/>
      </c>
      <c r="D1136" s="5" t="str" cm="1">
        <f t="array" ref="D11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6" s="5" t="str" cm="1">
        <f t="array" ref="E11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6" s="5" t="str" cm="1">
        <f t="array" ref="F11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6" t="str" cm="1">
        <f t="array" ref="G11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6" s="4"/>
      <c r="I1136" s="3" t="str" cm="1">
        <f t="array" ref="I11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7" spans="1:9" x14ac:dyDescent="0.3">
      <c r="A1137" s="3" t="str">
        <f>IF(SISTEMA!A1131="","",SISTEMA!A1131)</f>
        <v/>
      </c>
      <c r="B1137" s="10" t="str">
        <f>IF(SISTEMA!B1131="","",VALUE(SISTEMA!B1131))</f>
        <v/>
      </c>
      <c r="C1137" s="10" t="str">
        <f>IF(SISTEMA!C1131="","",SISTEMA!C1131)</f>
        <v/>
      </c>
      <c r="D1137" s="5" t="str" cm="1">
        <f t="array" ref="D11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7" s="5" t="str" cm="1">
        <f t="array" ref="E11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7" s="5" t="str" cm="1">
        <f t="array" ref="F11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7" t="str" cm="1">
        <f t="array" ref="G11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7" s="4"/>
      <c r="I1137" s="3" t="str" cm="1">
        <f t="array" ref="I11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8" spans="1:9" x14ac:dyDescent="0.3">
      <c r="A1138" s="3" t="str">
        <f>IF(SISTEMA!A1132="","",SISTEMA!A1132)</f>
        <v/>
      </c>
      <c r="B1138" s="10" t="str">
        <f>IF(SISTEMA!B1132="","",VALUE(SISTEMA!B1132))</f>
        <v/>
      </c>
      <c r="C1138" s="10" t="str">
        <f>IF(SISTEMA!C1132="","",SISTEMA!C1132)</f>
        <v/>
      </c>
      <c r="D1138" s="5" t="str" cm="1">
        <f t="array" ref="D11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8" s="5" t="str" cm="1">
        <f t="array" ref="E11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8" s="5" t="str" cm="1">
        <f t="array" ref="F11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8" t="str" cm="1">
        <f t="array" ref="G11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8" s="4"/>
      <c r="I1138" s="3" t="str" cm="1">
        <f t="array" ref="I11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39" spans="1:9" x14ac:dyDescent="0.3">
      <c r="A1139" s="3" t="str">
        <f>IF(SISTEMA!A1133="","",SISTEMA!A1133)</f>
        <v/>
      </c>
      <c r="B1139" s="10" t="str">
        <f>IF(SISTEMA!B1133="","",VALUE(SISTEMA!B1133))</f>
        <v/>
      </c>
      <c r="C1139" s="10" t="str">
        <f>IF(SISTEMA!C1133="","",SISTEMA!C1133)</f>
        <v/>
      </c>
      <c r="D1139" s="5" t="str" cm="1">
        <f t="array" ref="D11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39" s="5" t="str" cm="1">
        <f t="array" ref="E11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39" s="5" t="str" cm="1">
        <f t="array" ref="F11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39" t="str" cm="1">
        <f t="array" ref="G11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39" s="4"/>
      <c r="I1139" s="3" t="str" cm="1">
        <f t="array" ref="I11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0" spans="1:9" x14ac:dyDescent="0.3">
      <c r="A1140" s="3" t="str">
        <f>IF(SISTEMA!A1134="","",SISTEMA!A1134)</f>
        <v/>
      </c>
      <c r="B1140" s="10" t="str">
        <f>IF(SISTEMA!B1134="","",VALUE(SISTEMA!B1134))</f>
        <v/>
      </c>
      <c r="C1140" s="10" t="str">
        <f>IF(SISTEMA!C1134="","",SISTEMA!C1134)</f>
        <v/>
      </c>
      <c r="D1140" s="5" t="str" cm="1">
        <f t="array" ref="D11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0" s="5" t="str" cm="1">
        <f t="array" ref="E11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0" s="5" t="str" cm="1">
        <f t="array" ref="F11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0" t="str" cm="1">
        <f t="array" ref="G11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0" s="4"/>
      <c r="I1140" s="3" t="str" cm="1">
        <f t="array" ref="I11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1" spans="1:9" x14ac:dyDescent="0.3">
      <c r="A1141" s="3" t="str">
        <f>IF(SISTEMA!A1135="","",SISTEMA!A1135)</f>
        <v/>
      </c>
      <c r="B1141" s="10" t="str">
        <f>IF(SISTEMA!B1135="","",VALUE(SISTEMA!B1135))</f>
        <v/>
      </c>
      <c r="C1141" s="10" t="str">
        <f>IF(SISTEMA!C1135="","",SISTEMA!C1135)</f>
        <v/>
      </c>
      <c r="D1141" s="5" t="str" cm="1">
        <f t="array" ref="D11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1" s="5" t="str" cm="1">
        <f t="array" ref="E11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1" s="5" t="str" cm="1">
        <f t="array" ref="F11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1" t="str" cm="1">
        <f t="array" ref="G11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1" s="4"/>
      <c r="I1141" s="3" t="str" cm="1">
        <f t="array" ref="I11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2" spans="1:9" x14ac:dyDescent="0.3">
      <c r="A1142" s="3" t="str">
        <f>IF(SISTEMA!A1136="","",SISTEMA!A1136)</f>
        <v/>
      </c>
      <c r="B1142" s="10" t="str">
        <f>IF(SISTEMA!B1136="","",VALUE(SISTEMA!B1136))</f>
        <v/>
      </c>
      <c r="C1142" s="10" t="str">
        <f>IF(SISTEMA!C1136="","",SISTEMA!C1136)</f>
        <v/>
      </c>
      <c r="D1142" s="5" t="str" cm="1">
        <f t="array" ref="D11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2" s="5" t="str" cm="1">
        <f t="array" ref="E11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2" s="5" t="str" cm="1">
        <f t="array" ref="F11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2" t="str" cm="1">
        <f t="array" ref="G11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2" s="4"/>
      <c r="I1142" s="3" t="str" cm="1">
        <f t="array" ref="I11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3" spans="1:9" x14ac:dyDescent="0.3">
      <c r="A1143" s="3" t="str">
        <f>IF(SISTEMA!A1137="","",SISTEMA!A1137)</f>
        <v/>
      </c>
      <c r="B1143" s="10" t="str">
        <f>IF(SISTEMA!B1137="","",VALUE(SISTEMA!B1137))</f>
        <v/>
      </c>
      <c r="C1143" s="10" t="str">
        <f>IF(SISTEMA!C1137="","",SISTEMA!C1137)</f>
        <v/>
      </c>
      <c r="D1143" s="5" t="str" cm="1">
        <f t="array" ref="D11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3" s="5" t="str" cm="1">
        <f t="array" ref="E11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3" s="5" t="str" cm="1">
        <f t="array" ref="F11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3" t="str" cm="1">
        <f t="array" ref="G11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3" s="4"/>
      <c r="I1143" s="3" t="str" cm="1">
        <f t="array" ref="I11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4" spans="1:9" x14ac:dyDescent="0.3">
      <c r="A1144" s="3" t="str">
        <f>IF(SISTEMA!A1138="","",SISTEMA!A1138)</f>
        <v/>
      </c>
      <c r="B1144" s="10" t="str">
        <f>IF(SISTEMA!B1138="","",VALUE(SISTEMA!B1138))</f>
        <v/>
      </c>
      <c r="C1144" s="10" t="str">
        <f>IF(SISTEMA!C1138="","",SISTEMA!C1138)</f>
        <v/>
      </c>
      <c r="D1144" s="5" t="str" cm="1">
        <f t="array" ref="D11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4" s="5" t="str" cm="1">
        <f t="array" ref="E11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4" s="5" t="str" cm="1">
        <f t="array" ref="F11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4" t="str" cm="1">
        <f t="array" ref="G11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4" s="4"/>
      <c r="I1144" s="3" t="str" cm="1">
        <f t="array" ref="I11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5" spans="1:9" x14ac:dyDescent="0.3">
      <c r="A1145" s="3" t="str">
        <f>IF(SISTEMA!A1139="","",SISTEMA!A1139)</f>
        <v/>
      </c>
      <c r="B1145" s="10" t="str">
        <f>IF(SISTEMA!B1139="","",VALUE(SISTEMA!B1139))</f>
        <v/>
      </c>
      <c r="C1145" s="10" t="str">
        <f>IF(SISTEMA!C1139="","",SISTEMA!C1139)</f>
        <v/>
      </c>
      <c r="D1145" s="5" t="str" cm="1">
        <f t="array" ref="D11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5" s="5" t="str" cm="1">
        <f t="array" ref="E11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5" s="5" t="str" cm="1">
        <f t="array" ref="F11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5" t="str" cm="1">
        <f t="array" ref="G11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5" s="4"/>
      <c r="I1145" s="3" t="str" cm="1">
        <f t="array" ref="I11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6" spans="1:9" x14ac:dyDescent="0.3">
      <c r="A1146" s="3" t="str">
        <f>IF(SISTEMA!A1140="","",SISTEMA!A1140)</f>
        <v/>
      </c>
      <c r="B1146" s="10" t="str">
        <f>IF(SISTEMA!B1140="","",VALUE(SISTEMA!B1140))</f>
        <v/>
      </c>
      <c r="C1146" s="10" t="str">
        <f>IF(SISTEMA!C1140="","",SISTEMA!C1140)</f>
        <v/>
      </c>
      <c r="D1146" s="5" t="str" cm="1">
        <f t="array" ref="D11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6" s="5" t="str" cm="1">
        <f t="array" ref="E11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6" s="5" t="str" cm="1">
        <f t="array" ref="F11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6" t="str" cm="1">
        <f t="array" ref="G11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6" s="4"/>
      <c r="I1146" s="3" t="str" cm="1">
        <f t="array" ref="I11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7" spans="1:9" x14ac:dyDescent="0.3">
      <c r="A1147" s="3" t="str">
        <f>IF(SISTEMA!A1141="","",SISTEMA!A1141)</f>
        <v/>
      </c>
      <c r="B1147" s="10" t="str">
        <f>IF(SISTEMA!B1141="","",VALUE(SISTEMA!B1141))</f>
        <v/>
      </c>
      <c r="C1147" s="10" t="str">
        <f>IF(SISTEMA!C1141="","",SISTEMA!C1141)</f>
        <v/>
      </c>
      <c r="D1147" s="5" t="str" cm="1">
        <f t="array" ref="D11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7" s="5" t="str" cm="1">
        <f t="array" ref="E11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7" s="5" t="str" cm="1">
        <f t="array" ref="F11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7" t="str" cm="1">
        <f t="array" ref="G11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7" s="4"/>
      <c r="I1147" s="3" t="str" cm="1">
        <f t="array" ref="I11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8" spans="1:9" x14ac:dyDescent="0.3">
      <c r="A1148" s="3" t="str">
        <f>IF(SISTEMA!A1142="","",SISTEMA!A1142)</f>
        <v/>
      </c>
      <c r="B1148" s="10" t="str">
        <f>IF(SISTEMA!B1142="","",VALUE(SISTEMA!B1142))</f>
        <v/>
      </c>
      <c r="C1148" s="10" t="str">
        <f>IF(SISTEMA!C1142="","",SISTEMA!C1142)</f>
        <v/>
      </c>
      <c r="D1148" s="5" t="str" cm="1">
        <f t="array" ref="D11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8" s="5" t="str" cm="1">
        <f t="array" ref="E11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8" s="5" t="str" cm="1">
        <f t="array" ref="F11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8" t="str" cm="1">
        <f t="array" ref="G11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8" s="4"/>
      <c r="I1148" s="3" t="str" cm="1">
        <f t="array" ref="I11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49" spans="1:9" x14ac:dyDescent="0.3">
      <c r="A1149" s="3" t="str">
        <f>IF(SISTEMA!A1143="","",SISTEMA!A1143)</f>
        <v/>
      </c>
      <c r="B1149" s="10" t="str">
        <f>IF(SISTEMA!B1143="","",VALUE(SISTEMA!B1143))</f>
        <v/>
      </c>
      <c r="C1149" s="10" t="str">
        <f>IF(SISTEMA!C1143="","",SISTEMA!C1143)</f>
        <v/>
      </c>
      <c r="D1149" s="5" t="str" cm="1">
        <f t="array" ref="D11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49" s="5" t="str" cm="1">
        <f t="array" ref="E11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49" s="5" t="str" cm="1">
        <f t="array" ref="F11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49" t="str" cm="1">
        <f t="array" ref="G11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49" s="4"/>
      <c r="I1149" s="3" t="str" cm="1">
        <f t="array" ref="I11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0" spans="1:9" x14ac:dyDescent="0.3">
      <c r="A1150" s="3" t="str">
        <f>IF(SISTEMA!A1144="","",SISTEMA!A1144)</f>
        <v/>
      </c>
      <c r="B1150" s="10" t="str">
        <f>IF(SISTEMA!B1144="","",VALUE(SISTEMA!B1144))</f>
        <v/>
      </c>
      <c r="C1150" s="10" t="str">
        <f>IF(SISTEMA!C1144="","",SISTEMA!C1144)</f>
        <v/>
      </c>
      <c r="D1150" s="5" t="str" cm="1">
        <f t="array" ref="D11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0" s="5" t="str" cm="1">
        <f t="array" ref="E11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0" s="5" t="str" cm="1">
        <f t="array" ref="F11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0" t="str" cm="1">
        <f t="array" ref="G11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0" s="4"/>
      <c r="I1150" s="3" t="str" cm="1">
        <f t="array" ref="I11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1" spans="1:9" x14ac:dyDescent="0.3">
      <c r="A1151" s="3" t="str">
        <f>IF(SISTEMA!A1145="","",SISTEMA!A1145)</f>
        <v/>
      </c>
      <c r="B1151" s="10" t="str">
        <f>IF(SISTEMA!B1145="","",VALUE(SISTEMA!B1145))</f>
        <v/>
      </c>
      <c r="C1151" s="10" t="str">
        <f>IF(SISTEMA!C1145="","",SISTEMA!C1145)</f>
        <v/>
      </c>
      <c r="D1151" s="5" t="str" cm="1">
        <f t="array" ref="D11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1" s="5" t="str" cm="1">
        <f t="array" ref="E11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1" s="5" t="str" cm="1">
        <f t="array" ref="F11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1" t="str" cm="1">
        <f t="array" ref="G11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1" s="4"/>
      <c r="I1151" s="3" t="str" cm="1">
        <f t="array" ref="I11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2" spans="1:9" x14ac:dyDescent="0.3">
      <c r="A1152" s="3" t="str">
        <f>IF(SISTEMA!A1146="","",SISTEMA!A1146)</f>
        <v/>
      </c>
      <c r="B1152" s="10" t="str">
        <f>IF(SISTEMA!B1146="","",VALUE(SISTEMA!B1146))</f>
        <v/>
      </c>
      <c r="C1152" s="10" t="str">
        <f>IF(SISTEMA!C1146="","",SISTEMA!C1146)</f>
        <v/>
      </c>
      <c r="D1152" s="5" t="str" cm="1">
        <f t="array" ref="D11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2" s="5" t="str" cm="1">
        <f t="array" ref="E11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2" s="5" t="str" cm="1">
        <f t="array" ref="F11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2" t="str" cm="1">
        <f t="array" ref="G11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2" s="4"/>
      <c r="I1152" s="3" t="str" cm="1">
        <f t="array" ref="I11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3" spans="1:9" x14ac:dyDescent="0.3">
      <c r="A1153" s="3" t="str">
        <f>IF(SISTEMA!A1147="","",SISTEMA!A1147)</f>
        <v/>
      </c>
      <c r="B1153" s="10" t="str">
        <f>IF(SISTEMA!B1147="","",VALUE(SISTEMA!B1147))</f>
        <v/>
      </c>
      <c r="C1153" s="10" t="str">
        <f>IF(SISTEMA!C1147="","",SISTEMA!C1147)</f>
        <v/>
      </c>
      <c r="D1153" s="5" t="str" cm="1">
        <f t="array" ref="D11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3" s="5" t="str" cm="1">
        <f t="array" ref="E11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3" s="5" t="str" cm="1">
        <f t="array" ref="F11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3" t="str" cm="1">
        <f t="array" ref="G11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3" s="4"/>
      <c r="I1153" s="3" t="str" cm="1">
        <f t="array" ref="I11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4" spans="1:9" x14ac:dyDescent="0.3">
      <c r="A1154" s="3" t="str">
        <f>IF(SISTEMA!A1148="","",SISTEMA!A1148)</f>
        <v/>
      </c>
      <c r="B1154" s="10" t="str">
        <f>IF(SISTEMA!B1148="","",VALUE(SISTEMA!B1148))</f>
        <v/>
      </c>
      <c r="C1154" s="10" t="str">
        <f>IF(SISTEMA!C1148="","",SISTEMA!C1148)</f>
        <v/>
      </c>
      <c r="D1154" s="5" t="str" cm="1">
        <f t="array" ref="D11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4" s="5" t="str" cm="1">
        <f t="array" ref="E11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4" s="5" t="str" cm="1">
        <f t="array" ref="F11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4" t="str" cm="1">
        <f t="array" ref="G11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4" s="4"/>
      <c r="I1154" s="3" t="str" cm="1">
        <f t="array" ref="I11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5" spans="1:9" x14ac:dyDescent="0.3">
      <c r="A1155" s="3" t="str">
        <f>IF(SISTEMA!A1149="","",SISTEMA!A1149)</f>
        <v/>
      </c>
      <c r="B1155" s="10" t="str">
        <f>IF(SISTEMA!B1149="","",VALUE(SISTEMA!B1149))</f>
        <v/>
      </c>
      <c r="C1155" s="10" t="str">
        <f>IF(SISTEMA!C1149="","",SISTEMA!C1149)</f>
        <v/>
      </c>
      <c r="D1155" s="5" t="str" cm="1">
        <f t="array" ref="D11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5" s="5" t="str" cm="1">
        <f t="array" ref="E11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5" s="5" t="str" cm="1">
        <f t="array" ref="F11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5" t="str" cm="1">
        <f t="array" ref="G11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5" s="4"/>
      <c r="I1155" s="3" t="str" cm="1">
        <f t="array" ref="I11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6" spans="1:9" x14ac:dyDescent="0.3">
      <c r="A1156" s="3" t="str">
        <f>IF(SISTEMA!A1150="","",SISTEMA!A1150)</f>
        <v/>
      </c>
      <c r="B1156" s="10" t="str">
        <f>IF(SISTEMA!B1150="","",VALUE(SISTEMA!B1150))</f>
        <v/>
      </c>
      <c r="C1156" s="10" t="str">
        <f>IF(SISTEMA!C1150="","",SISTEMA!C1150)</f>
        <v/>
      </c>
      <c r="D1156" s="5" t="str" cm="1">
        <f t="array" ref="D11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6" s="5" t="str" cm="1">
        <f t="array" ref="E11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6" s="5" t="str" cm="1">
        <f t="array" ref="F11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6" t="str" cm="1">
        <f t="array" ref="G11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6" s="4"/>
      <c r="I1156" s="3" t="str" cm="1">
        <f t="array" ref="I11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7" spans="1:9" x14ac:dyDescent="0.3">
      <c r="A1157" s="3" t="str">
        <f>IF(SISTEMA!A1151="","",SISTEMA!A1151)</f>
        <v/>
      </c>
      <c r="B1157" s="10" t="str">
        <f>IF(SISTEMA!B1151="","",VALUE(SISTEMA!B1151))</f>
        <v/>
      </c>
      <c r="C1157" s="10" t="str">
        <f>IF(SISTEMA!C1151="","",SISTEMA!C1151)</f>
        <v/>
      </c>
      <c r="D1157" s="5" t="str" cm="1">
        <f t="array" ref="D11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7" s="5" t="str" cm="1">
        <f t="array" ref="E11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7" s="5" t="str" cm="1">
        <f t="array" ref="F11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7" t="str" cm="1">
        <f t="array" ref="G11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7" s="4"/>
      <c r="I1157" s="3" t="str" cm="1">
        <f t="array" ref="I11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8" spans="1:9" x14ac:dyDescent="0.3">
      <c r="A1158" s="3" t="str">
        <f>IF(SISTEMA!A1152="","",SISTEMA!A1152)</f>
        <v/>
      </c>
      <c r="B1158" s="10" t="str">
        <f>IF(SISTEMA!B1152="","",VALUE(SISTEMA!B1152))</f>
        <v/>
      </c>
      <c r="C1158" s="10" t="str">
        <f>IF(SISTEMA!C1152="","",SISTEMA!C1152)</f>
        <v/>
      </c>
      <c r="D1158" s="5" t="str" cm="1">
        <f t="array" ref="D11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8" s="5" t="str" cm="1">
        <f t="array" ref="E11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8" s="5" t="str" cm="1">
        <f t="array" ref="F11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8" t="str" cm="1">
        <f t="array" ref="G11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8" s="4"/>
      <c r="I1158" s="3" t="str" cm="1">
        <f t="array" ref="I11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59" spans="1:9" x14ac:dyDescent="0.3">
      <c r="A1159" s="3" t="str">
        <f>IF(SISTEMA!A1153="","",SISTEMA!A1153)</f>
        <v/>
      </c>
      <c r="B1159" s="10" t="str">
        <f>IF(SISTEMA!B1153="","",VALUE(SISTEMA!B1153))</f>
        <v/>
      </c>
      <c r="C1159" s="10" t="str">
        <f>IF(SISTEMA!C1153="","",SISTEMA!C1153)</f>
        <v/>
      </c>
      <c r="D1159" s="5" t="str" cm="1">
        <f t="array" ref="D11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59" s="5" t="str" cm="1">
        <f t="array" ref="E11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59" s="5" t="str" cm="1">
        <f t="array" ref="F11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59" t="str" cm="1">
        <f t="array" ref="G11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59" s="4"/>
      <c r="I1159" s="3" t="str" cm="1">
        <f t="array" ref="I11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0" spans="1:9" x14ac:dyDescent="0.3">
      <c r="A1160" s="3" t="str">
        <f>IF(SISTEMA!A1154="","",SISTEMA!A1154)</f>
        <v/>
      </c>
      <c r="B1160" s="10" t="str">
        <f>IF(SISTEMA!B1154="","",VALUE(SISTEMA!B1154))</f>
        <v/>
      </c>
      <c r="C1160" s="10" t="str">
        <f>IF(SISTEMA!C1154="","",SISTEMA!C1154)</f>
        <v/>
      </c>
      <c r="D1160" s="5" t="str" cm="1">
        <f t="array" ref="D11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0" s="5" t="str" cm="1">
        <f t="array" ref="E11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0" s="5" t="str" cm="1">
        <f t="array" ref="F11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0" t="str" cm="1">
        <f t="array" ref="G11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0" s="4"/>
      <c r="I1160" s="3" t="str" cm="1">
        <f t="array" ref="I11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1" spans="1:9" x14ac:dyDescent="0.3">
      <c r="A1161" s="3" t="str">
        <f>IF(SISTEMA!A1155="","",SISTEMA!A1155)</f>
        <v/>
      </c>
      <c r="B1161" s="10" t="str">
        <f>IF(SISTEMA!B1155="","",VALUE(SISTEMA!B1155))</f>
        <v/>
      </c>
      <c r="C1161" s="10" t="str">
        <f>IF(SISTEMA!C1155="","",SISTEMA!C1155)</f>
        <v/>
      </c>
      <c r="D1161" s="5" t="str" cm="1">
        <f t="array" ref="D11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1" s="5" t="str" cm="1">
        <f t="array" ref="E11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1" s="5" t="str" cm="1">
        <f t="array" ref="F11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1" t="str" cm="1">
        <f t="array" ref="G11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1" s="4"/>
      <c r="I1161" s="3" t="str" cm="1">
        <f t="array" ref="I11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2" spans="1:9" x14ac:dyDescent="0.3">
      <c r="A1162" s="3" t="str">
        <f>IF(SISTEMA!A1156="","",SISTEMA!A1156)</f>
        <v/>
      </c>
      <c r="B1162" s="10" t="str">
        <f>IF(SISTEMA!B1156="","",VALUE(SISTEMA!B1156))</f>
        <v/>
      </c>
      <c r="C1162" s="10" t="str">
        <f>IF(SISTEMA!C1156="","",SISTEMA!C1156)</f>
        <v/>
      </c>
      <c r="D1162" s="5" t="str" cm="1">
        <f t="array" ref="D11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2" s="5" t="str" cm="1">
        <f t="array" ref="E11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2" s="5" t="str" cm="1">
        <f t="array" ref="F11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2" t="str" cm="1">
        <f t="array" ref="G11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2" s="4"/>
      <c r="I1162" s="3" t="str" cm="1">
        <f t="array" ref="I11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3" spans="1:9" x14ac:dyDescent="0.3">
      <c r="A1163" s="3" t="str">
        <f>IF(SISTEMA!A1157="","",SISTEMA!A1157)</f>
        <v/>
      </c>
      <c r="B1163" s="10" t="str">
        <f>IF(SISTEMA!B1157="","",VALUE(SISTEMA!B1157))</f>
        <v/>
      </c>
      <c r="C1163" s="10" t="str">
        <f>IF(SISTEMA!C1157="","",SISTEMA!C1157)</f>
        <v/>
      </c>
      <c r="D1163" s="5" t="str" cm="1">
        <f t="array" ref="D11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3" s="5" t="str" cm="1">
        <f t="array" ref="E11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3" s="5" t="str" cm="1">
        <f t="array" ref="F11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3" t="str" cm="1">
        <f t="array" ref="G11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3" s="4"/>
      <c r="I1163" s="3" t="str" cm="1">
        <f t="array" ref="I11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4" spans="1:9" x14ac:dyDescent="0.3">
      <c r="A1164" s="3" t="str">
        <f>IF(SISTEMA!A1158="","",SISTEMA!A1158)</f>
        <v/>
      </c>
      <c r="B1164" s="10" t="str">
        <f>IF(SISTEMA!B1158="","",VALUE(SISTEMA!B1158))</f>
        <v/>
      </c>
      <c r="C1164" s="10" t="str">
        <f>IF(SISTEMA!C1158="","",SISTEMA!C1158)</f>
        <v/>
      </c>
      <c r="D1164" s="5" t="str" cm="1">
        <f t="array" ref="D11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4" s="5" t="str" cm="1">
        <f t="array" ref="E11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4" s="5" t="str" cm="1">
        <f t="array" ref="F11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4" t="str" cm="1">
        <f t="array" ref="G11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4" s="4"/>
      <c r="I1164" s="3" t="str" cm="1">
        <f t="array" ref="I11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5" spans="1:9" x14ac:dyDescent="0.3">
      <c r="A1165" s="3" t="str">
        <f>IF(SISTEMA!A1159="","",SISTEMA!A1159)</f>
        <v/>
      </c>
      <c r="B1165" s="10" t="str">
        <f>IF(SISTEMA!B1159="","",VALUE(SISTEMA!B1159))</f>
        <v/>
      </c>
      <c r="C1165" s="10" t="str">
        <f>IF(SISTEMA!C1159="","",SISTEMA!C1159)</f>
        <v/>
      </c>
      <c r="D1165" s="5" t="str" cm="1">
        <f t="array" ref="D11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5" s="5" t="str" cm="1">
        <f t="array" ref="E11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5" s="5" t="str" cm="1">
        <f t="array" ref="F11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5" t="str" cm="1">
        <f t="array" ref="G11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5" s="4"/>
      <c r="I1165" s="3" t="str" cm="1">
        <f t="array" ref="I11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6" spans="1:9" x14ac:dyDescent="0.3">
      <c r="A1166" s="3" t="str">
        <f>IF(SISTEMA!A1160="","",SISTEMA!A1160)</f>
        <v/>
      </c>
      <c r="B1166" s="10" t="str">
        <f>IF(SISTEMA!B1160="","",VALUE(SISTEMA!B1160))</f>
        <v/>
      </c>
      <c r="C1166" s="10" t="str">
        <f>IF(SISTEMA!C1160="","",SISTEMA!C1160)</f>
        <v/>
      </c>
      <c r="D1166" s="5" t="str" cm="1">
        <f t="array" ref="D11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6" s="5" t="str" cm="1">
        <f t="array" ref="E11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6" s="5" t="str" cm="1">
        <f t="array" ref="F11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6" t="str" cm="1">
        <f t="array" ref="G11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6" s="4"/>
      <c r="I1166" s="3" t="str" cm="1">
        <f t="array" ref="I11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7" spans="1:9" x14ac:dyDescent="0.3">
      <c r="A1167" s="3" t="str">
        <f>IF(SISTEMA!A1161="","",SISTEMA!A1161)</f>
        <v/>
      </c>
      <c r="B1167" s="10" t="str">
        <f>IF(SISTEMA!B1161="","",VALUE(SISTEMA!B1161))</f>
        <v/>
      </c>
      <c r="C1167" s="10" t="str">
        <f>IF(SISTEMA!C1161="","",SISTEMA!C1161)</f>
        <v/>
      </c>
      <c r="D1167" s="5" t="str" cm="1">
        <f t="array" ref="D11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7" s="5" t="str" cm="1">
        <f t="array" ref="E11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7" s="5" t="str" cm="1">
        <f t="array" ref="F11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7" t="str" cm="1">
        <f t="array" ref="G11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7" s="4"/>
      <c r="I1167" s="3" t="str" cm="1">
        <f t="array" ref="I11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8" spans="1:9" x14ac:dyDescent="0.3">
      <c r="A1168" s="3" t="str">
        <f>IF(SISTEMA!A1162="","",SISTEMA!A1162)</f>
        <v/>
      </c>
      <c r="B1168" s="10" t="str">
        <f>IF(SISTEMA!B1162="","",VALUE(SISTEMA!B1162))</f>
        <v/>
      </c>
      <c r="C1168" s="10" t="str">
        <f>IF(SISTEMA!C1162="","",SISTEMA!C1162)</f>
        <v/>
      </c>
      <c r="D1168" s="5" t="str" cm="1">
        <f t="array" ref="D11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8" s="5" t="str" cm="1">
        <f t="array" ref="E11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8" s="5" t="str" cm="1">
        <f t="array" ref="F11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8" t="str" cm="1">
        <f t="array" ref="G11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8" s="4"/>
      <c r="I1168" s="3" t="str" cm="1">
        <f t="array" ref="I11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69" spans="1:9" x14ac:dyDescent="0.3">
      <c r="A1169" s="3" t="str">
        <f>IF(SISTEMA!A1163="","",SISTEMA!A1163)</f>
        <v/>
      </c>
      <c r="B1169" s="10" t="str">
        <f>IF(SISTEMA!B1163="","",VALUE(SISTEMA!B1163))</f>
        <v/>
      </c>
      <c r="C1169" s="10" t="str">
        <f>IF(SISTEMA!C1163="","",SISTEMA!C1163)</f>
        <v/>
      </c>
      <c r="D1169" s="5" t="str" cm="1">
        <f t="array" ref="D11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69" s="5" t="str" cm="1">
        <f t="array" ref="E11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69" s="5" t="str" cm="1">
        <f t="array" ref="F11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69" t="str" cm="1">
        <f t="array" ref="G11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69" s="4"/>
      <c r="I1169" s="3" t="str" cm="1">
        <f t="array" ref="I11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0" spans="1:9" x14ac:dyDescent="0.3">
      <c r="A1170" s="3" t="str">
        <f>IF(SISTEMA!A1164="","",SISTEMA!A1164)</f>
        <v/>
      </c>
      <c r="B1170" s="10" t="str">
        <f>IF(SISTEMA!B1164="","",VALUE(SISTEMA!B1164))</f>
        <v/>
      </c>
      <c r="C1170" s="10" t="str">
        <f>IF(SISTEMA!C1164="","",SISTEMA!C1164)</f>
        <v/>
      </c>
      <c r="D1170" s="5" t="str" cm="1">
        <f t="array" ref="D11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0" s="5" t="str" cm="1">
        <f t="array" ref="E11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0" s="5" t="str" cm="1">
        <f t="array" ref="F11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0" t="str" cm="1">
        <f t="array" ref="G11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0" s="4"/>
      <c r="I1170" s="3" t="str" cm="1">
        <f t="array" ref="I11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1" spans="1:9" x14ac:dyDescent="0.3">
      <c r="A1171" s="3" t="str">
        <f>IF(SISTEMA!A1165="","",SISTEMA!A1165)</f>
        <v/>
      </c>
      <c r="B1171" s="10" t="str">
        <f>IF(SISTEMA!B1165="","",VALUE(SISTEMA!B1165))</f>
        <v/>
      </c>
      <c r="C1171" s="10" t="str">
        <f>IF(SISTEMA!C1165="","",SISTEMA!C1165)</f>
        <v/>
      </c>
      <c r="D1171" s="5" t="str" cm="1">
        <f t="array" ref="D11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1" s="5" t="str" cm="1">
        <f t="array" ref="E11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1" s="5" t="str" cm="1">
        <f t="array" ref="F11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1" t="str" cm="1">
        <f t="array" ref="G11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1" s="4"/>
      <c r="I1171" s="3" t="str" cm="1">
        <f t="array" ref="I11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2" spans="1:9" x14ac:dyDescent="0.3">
      <c r="A1172" s="3" t="str">
        <f>IF(SISTEMA!A1166="","",SISTEMA!A1166)</f>
        <v/>
      </c>
      <c r="B1172" s="10" t="str">
        <f>IF(SISTEMA!B1166="","",VALUE(SISTEMA!B1166))</f>
        <v/>
      </c>
      <c r="C1172" s="10" t="str">
        <f>IF(SISTEMA!C1166="","",SISTEMA!C1166)</f>
        <v/>
      </c>
      <c r="D1172" s="5" t="str" cm="1">
        <f t="array" ref="D11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2" s="5" t="str" cm="1">
        <f t="array" ref="E11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2" s="5" t="str" cm="1">
        <f t="array" ref="F11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2" t="str" cm="1">
        <f t="array" ref="G11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2" s="4"/>
      <c r="I1172" s="3" t="str" cm="1">
        <f t="array" ref="I11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3" spans="1:9" x14ac:dyDescent="0.3">
      <c r="A1173" s="3" t="str">
        <f>IF(SISTEMA!A1167="","",SISTEMA!A1167)</f>
        <v/>
      </c>
      <c r="B1173" s="10" t="str">
        <f>IF(SISTEMA!B1167="","",VALUE(SISTEMA!B1167))</f>
        <v/>
      </c>
      <c r="C1173" s="10" t="str">
        <f>IF(SISTEMA!C1167="","",SISTEMA!C1167)</f>
        <v/>
      </c>
      <c r="D1173" s="5" t="str" cm="1">
        <f t="array" ref="D11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3" s="5" t="str" cm="1">
        <f t="array" ref="E11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3" s="5" t="str" cm="1">
        <f t="array" ref="F11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3" t="str" cm="1">
        <f t="array" ref="G11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3" s="4"/>
      <c r="I1173" s="3" t="str" cm="1">
        <f t="array" ref="I11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4" spans="1:9" x14ac:dyDescent="0.3">
      <c r="A1174" s="3" t="str">
        <f>IF(SISTEMA!A1168="","",SISTEMA!A1168)</f>
        <v/>
      </c>
      <c r="B1174" s="10" t="str">
        <f>IF(SISTEMA!B1168="","",VALUE(SISTEMA!B1168))</f>
        <v/>
      </c>
      <c r="C1174" s="10" t="str">
        <f>IF(SISTEMA!C1168="","",SISTEMA!C1168)</f>
        <v/>
      </c>
      <c r="D1174" s="5" t="str" cm="1">
        <f t="array" ref="D11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4" s="5" t="str" cm="1">
        <f t="array" ref="E11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4" s="5" t="str" cm="1">
        <f t="array" ref="F11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4" t="str" cm="1">
        <f t="array" ref="G11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4" s="4"/>
      <c r="I1174" s="3" t="str" cm="1">
        <f t="array" ref="I11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5" spans="1:9" x14ac:dyDescent="0.3">
      <c r="A1175" s="3" t="str">
        <f>IF(SISTEMA!A1169="","",SISTEMA!A1169)</f>
        <v/>
      </c>
      <c r="B1175" s="10" t="str">
        <f>IF(SISTEMA!B1169="","",VALUE(SISTEMA!B1169))</f>
        <v/>
      </c>
      <c r="C1175" s="10" t="str">
        <f>IF(SISTEMA!C1169="","",SISTEMA!C1169)</f>
        <v/>
      </c>
      <c r="D1175" s="5" t="str" cm="1">
        <f t="array" ref="D11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5" s="5" t="str" cm="1">
        <f t="array" ref="E11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5" s="5" t="str" cm="1">
        <f t="array" ref="F11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5" t="str" cm="1">
        <f t="array" ref="G11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5" s="4"/>
      <c r="I1175" s="3" t="str" cm="1">
        <f t="array" ref="I11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6" spans="1:9" x14ac:dyDescent="0.3">
      <c r="A1176" s="3" t="str">
        <f>IF(SISTEMA!A1170="","",SISTEMA!A1170)</f>
        <v/>
      </c>
      <c r="B1176" s="10" t="str">
        <f>IF(SISTEMA!B1170="","",VALUE(SISTEMA!B1170))</f>
        <v/>
      </c>
      <c r="C1176" s="10" t="str">
        <f>IF(SISTEMA!C1170="","",SISTEMA!C1170)</f>
        <v/>
      </c>
      <c r="D1176" s="5" t="str" cm="1">
        <f t="array" ref="D11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6" s="5" t="str" cm="1">
        <f t="array" ref="E11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6" s="5" t="str" cm="1">
        <f t="array" ref="F11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6" t="str" cm="1">
        <f t="array" ref="G11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6" s="4"/>
      <c r="I1176" s="3" t="str" cm="1">
        <f t="array" ref="I11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7" spans="1:9" x14ac:dyDescent="0.3">
      <c r="A1177" s="3" t="str">
        <f>IF(SISTEMA!A1171="","",SISTEMA!A1171)</f>
        <v/>
      </c>
      <c r="B1177" s="10" t="str">
        <f>IF(SISTEMA!B1171="","",VALUE(SISTEMA!B1171))</f>
        <v/>
      </c>
      <c r="C1177" s="10" t="str">
        <f>IF(SISTEMA!C1171="","",SISTEMA!C1171)</f>
        <v/>
      </c>
      <c r="D1177" s="5" t="str" cm="1">
        <f t="array" ref="D11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7" s="5" t="str" cm="1">
        <f t="array" ref="E11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7" s="5" t="str" cm="1">
        <f t="array" ref="F11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7" t="str" cm="1">
        <f t="array" ref="G11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7" s="4"/>
      <c r="I1177" s="3" t="str" cm="1">
        <f t="array" ref="I11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8" spans="1:9" x14ac:dyDescent="0.3">
      <c r="A1178" s="3" t="str">
        <f>IF(SISTEMA!A1172="","",SISTEMA!A1172)</f>
        <v/>
      </c>
      <c r="B1178" s="10" t="str">
        <f>IF(SISTEMA!B1172="","",VALUE(SISTEMA!B1172))</f>
        <v/>
      </c>
      <c r="C1178" s="10" t="str">
        <f>IF(SISTEMA!C1172="","",SISTEMA!C1172)</f>
        <v/>
      </c>
      <c r="D1178" s="5" t="str" cm="1">
        <f t="array" ref="D11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8" s="5" t="str" cm="1">
        <f t="array" ref="E11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8" s="5" t="str" cm="1">
        <f t="array" ref="F11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8" t="str" cm="1">
        <f t="array" ref="G11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8" s="4"/>
      <c r="I1178" s="3" t="str" cm="1">
        <f t="array" ref="I11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79" spans="1:9" x14ac:dyDescent="0.3">
      <c r="A1179" s="3" t="str">
        <f>IF(SISTEMA!A1173="","",SISTEMA!A1173)</f>
        <v/>
      </c>
      <c r="B1179" s="10" t="str">
        <f>IF(SISTEMA!B1173="","",VALUE(SISTEMA!B1173))</f>
        <v/>
      </c>
      <c r="C1179" s="10" t="str">
        <f>IF(SISTEMA!C1173="","",SISTEMA!C1173)</f>
        <v/>
      </c>
      <c r="D1179" s="5" t="str" cm="1">
        <f t="array" ref="D11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79" s="5" t="str" cm="1">
        <f t="array" ref="E11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79" s="5" t="str" cm="1">
        <f t="array" ref="F11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79" t="str" cm="1">
        <f t="array" ref="G11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79" s="4"/>
      <c r="I1179" s="3" t="str" cm="1">
        <f t="array" ref="I11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0" spans="1:9" x14ac:dyDescent="0.3">
      <c r="A1180" s="3" t="str">
        <f>IF(SISTEMA!A1174="","",SISTEMA!A1174)</f>
        <v/>
      </c>
      <c r="B1180" s="10" t="str">
        <f>IF(SISTEMA!B1174="","",VALUE(SISTEMA!B1174))</f>
        <v/>
      </c>
      <c r="C1180" s="10" t="str">
        <f>IF(SISTEMA!C1174="","",SISTEMA!C1174)</f>
        <v/>
      </c>
      <c r="D1180" s="5" t="str" cm="1">
        <f t="array" ref="D11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0" s="5" t="str" cm="1">
        <f t="array" ref="E11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0" s="5" t="str" cm="1">
        <f t="array" ref="F11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0" t="str" cm="1">
        <f t="array" ref="G11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0" s="4"/>
      <c r="I1180" s="3" t="str" cm="1">
        <f t="array" ref="I11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1" spans="1:9" x14ac:dyDescent="0.3">
      <c r="A1181" s="3" t="str">
        <f>IF(SISTEMA!A1175="","",SISTEMA!A1175)</f>
        <v/>
      </c>
      <c r="B1181" s="10" t="str">
        <f>IF(SISTEMA!B1175="","",VALUE(SISTEMA!B1175))</f>
        <v/>
      </c>
      <c r="C1181" s="10" t="str">
        <f>IF(SISTEMA!C1175="","",SISTEMA!C1175)</f>
        <v/>
      </c>
      <c r="D1181" s="5" t="str" cm="1">
        <f t="array" ref="D11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1" s="5" t="str" cm="1">
        <f t="array" ref="E11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1" s="5" t="str" cm="1">
        <f t="array" ref="F11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1" t="str" cm="1">
        <f t="array" ref="G11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1" s="4"/>
      <c r="I1181" s="3" t="str" cm="1">
        <f t="array" ref="I11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2" spans="1:9" x14ac:dyDescent="0.3">
      <c r="A1182" s="3" t="str">
        <f>IF(SISTEMA!A1176="","",SISTEMA!A1176)</f>
        <v/>
      </c>
      <c r="B1182" s="10" t="str">
        <f>IF(SISTEMA!B1176="","",VALUE(SISTEMA!B1176))</f>
        <v/>
      </c>
      <c r="C1182" s="10" t="str">
        <f>IF(SISTEMA!C1176="","",SISTEMA!C1176)</f>
        <v/>
      </c>
      <c r="D1182" s="5" t="str" cm="1">
        <f t="array" ref="D11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2" s="5" t="str" cm="1">
        <f t="array" ref="E11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2" s="5" t="str" cm="1">
        <f t="array" ref="F11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2" t="str" cm="1">
        <f t="array" ref="G11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2" s="4"/>
      <c r="I1182" s="3" t="str" cm="1">
        <f t="array" ref="I11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3" spans="1:9" x14ac:dyDescent="0.3">
      <c r="A1183" s="3" t="str">
        <f>IF(SISTEMA!A1177="","",SISTEMA!A1177)</f>
        <v/>
      </c>
      <c r="B1183" s="10" t="str">
        <f>IF(SISTEMA!B1177="","",VALUE(SISTEMA!B1177))</f>
        <v/>
      </c>
      <c r="C1183" s="10" t="str">
        <f>IF(SISTEMA!C1177="","",SISTEMA!C1177)</f>
        <v/>
      </c>
      <c r="D1183" s="5" t="str" cm="1">
        <f t="array" ref="D11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3" s="5" t="str" cm="1">
        <f t="array" ref="E11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3" s="5" t="str" cm="1">
        <f t="array" ref="F11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3" t="str" cm="1">
        <f t="array" ref="G11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3" s="4"/>
      <c r="I1183" s="3" t="str" cm="1">
        <f t="array" ref="I11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4" spans="1:9" x14ac:dyDescent="0.3">
      <c r="A1184" s="3" t="str">
        <f>IF(SISTEMA!A1178="","",SISTEMA!A1178)</f>
        <v/>
      </c>
      <c r="B1184" s="10" t="str">
        <f>IF(SISTEMA!B1178="","",VALUE(SISTEMA!B1178))</f>
        <v/>
      </c>
      <c r="C1184" s="10" t="str">
        <f>IF(SISTEMA!C1178="","",SISTEMA!C1178)</f>
        <v/>
      </c>
      <c r="D1184" s="5" t="str" cm="1">
        <f t="array" ref="D11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4" s="5" t="str" cm="1">
        <f t="array" ref="E11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4" s="5" t="str" cm="1">
        <f t="array" ref="F11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4" t="str" cm="1">
        <f t="array" ref="G11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4" s="4"/>
      <c r="I1184" s="3" t="str" cm="1">
        <f t="array" ref="I11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5" spans="1:9" x14ac:dyDescent="0.3">
      <c r="A1185" s="3" t="str">
        <f>IF(SISTEMA!A1179="","",SISTEMA!A1179)</f>
        <v/>
      </c>
      <c r="B1185" s="10" t="str">
        <f>IF(SISTEMA!B1179="","",VALUE(SISTEMA!B1179))</f>
        <v/>
      </c>
      <c r="C1185" s="10" t="str">
        <f>IF(SISTEMA!C1179="","",SISTEMA!C1179)</f>
        <v/>
      </c>
      <c r="D1185" s="5" t="str" cm="1">
        <f t="array" ref="D11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5" s="5" t="str" cm="1">
        <f t="array" ref="E11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5" s="5" t="str" cm="1">
        <f t="array" ref="F11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5" t="str" cm="1">
        <f t="array" ref="G11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5" s="4"/>
      <c r="I1185" s="3" t="str" cm="1">
        <f t="array" ref="I11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6" spans="1:9" x14ac:dyDescent="0.3">
      <c r="A1186" s="3" t="str">
        <f>IF(SISTEMA!A1180="","",SISTEMA!A1180)</f>
        <v/>
      </c>
      <c r="B1186" s="10" t="str">
        <f>IF(SISTEMA!B1180="","",VALUE(SISTEMA!B1180))</f>
        <v/>
      </c>
      <c r="C1186" s="10" t="str">
        <f>IF(SISTEMA!C1180="","",SISTEMA!C1180)</f>
        <v/>
      </c>
      <c r="D1186" s="5" t="str" cm="1">
        <f t="array" ref="D11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6" s="5" t="str" cm="1">
        <f t="array" ref="E11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6" s="5" t="str" cm="1">
        <f t="array" ref="F11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6" t="str" cm="1">
        <f t="array" ref="G11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6" s="4"/>
      <c r="I1186" s="3" t="str" cm="1">
        <f t="array" ref="I11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7" spans="1:9" x14ac:dyDescent="0.3">
      <c r="A1187" s="3" t="str">
        <f>IF(SISTEMA!A1181="","",SISTEMA!A1181)</f>
        <v/>
      </c>
      <c r="B1187" s="10" t="str">
        <f>IF(SISTEMA!B1181="","",VALUE(SISTEMA!B1181))</f>
        <v/>
      </c>
      <c r="C1187" s="10" t="str">
        <f>IF(SISTEMA!C1181="","",SISTEMA!C1181)</f>
        <v/>
      </c>
      <c r="D1187" s="5" t="str" cm="1">
        <f t="array" ref="D11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7" s="5" t="str" cm="1">
        <f t="array" ref="E11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7" s="5" t="str" cm="1">
        <f t="array" ref="F11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7" t="str" cm="1">
        <f t="array" ref="G11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7" s="4"/>
      <c r="I1187" s="3" t="str" cm="1">
        <f t="array" ref="I11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8" spans="1:9" x14ac:dyDescent="0.3">
      <c r="A1188" s="3" t="str">
        <f>IF(SISTEMA!A1182="","",SISTEMA!A1182)</f>
        <v/>
      </c>
      <c r="B1188" s="10" t="str">
        <f>IF(SISTEMA!B1182="","",VALUE(SISTEMA!B1182))</f>
        <v/>
      </c>
      <c r="C1188" s="10" t="str">
        <f>IF(SISTEMA!C1182="","",SISTEMA!C1182)</f>
        <v/>
      </c>
      <c r="D1188" s="5" t="str" cm="1">
        <f t="array" ref="D11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8" s="5" t="str" cm="1">
        <f t="array" ref="E11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8" s="5" t="str" cm="1">
        <f t="array" ref="F11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8" t="str" cm="1">
        <f t="array" ref="G11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8" s="4"/>
      <c r="I1188" s="3" t="str" cm="1">
        <f t="array" ref="I11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89" spans="1:9" x14ac:dyDescent="0.3">
      <c r="A1189" s="3" t="str">
        <f>IF(SISTEMA!A1183="","",SISTEMA!A1183)</f>
        <v/>
      </c>
      <c r="B1189" s="10" t="str">
        <f>IF(SISTEMA!B1183="","",VALUE(SISTEMA!B1183))</f>
        <v/>
      </c>
      <c r="C1189" s="10" t="str">
        <f>IF(SISTEMA!C1183="","",SISTEMA!C1183)</f>
        <v/>
      </c>
      <c r="D1189" s="5" t="str" cm="1">
        <f t="array" ref="D11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89" s="5" t="str" cm="1">
        <f t="array" ref="E11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89" s="5" t="str" cm="1">
        <f t="array" ref="F11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89" t="str" cm="1">
        <f t="array" ref="G11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89" s="4"/>
      <c r="I1189" s="3" t="str" cm="1">
        <f t="array" ref="I11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0" spans="1:9" x14ac:dyDescent="0.3">
      <c r="A1190" s="3" t="str">
        <f>IF(SISTEMA!A1184="","",SISTEMA!A1184)</f>
        <v/>
      </c>
      <c r="B1190" s="10" t="str">
        <f>IF(SISTEMA!B1184="","",VALUE(SISTEMA!B1184))</f>
        <v/>
      </c>
      <c r="C1190" s="10" t="str">
        <f>IF(SISTEMA!C1184="","",SISTEMA!C1184)</f>
        <v/>
      </c>
      <c r="D1190" s="5" t="str" cm="1">
        <f t="array" ref="D11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0" s="5" t="str" cm="1">
        <f t="array" ref="E11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0" s="5" t="str" cm="1">
        <f t="array" ref="F11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0" t="str" cm="1">
        <f t="array" ref="G11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0" s="4"/>
      <c r="I1190" s="3" t="str" cm="1">
        <f t="array" ref="I11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1" spans="1:9" x14ac:dyDescent="0.3">
      <c r="A1191" s="3" t="str">
        <f>IF(SISTEMA!A1185="","",SISTEMA!A1185)</f>
        <v/>
      </c>
      <c r="B1191" s="10" t="str">
        <f>IF(SISTEMA!B1185="","",VALUE(SISTEMA!B1185))</f>
        <v/>
      </c>
      <c r="C1191" s="10" t="str">
        <f>IF(SISTEMA!C1185="","",SISTEMA!C1185)</f>
        <v/>
      </c>
      <c r="D1191" s="5" t="str" cm="1">
        <f t="array" ref="D11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1" s="5" t="str" cm="1">
        <f t="array" ref="E11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1" s="5" t="str" cm="1">
        <f t="array" ref="F11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1" t="str" cm="1">
        <f t="array" ref="G11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1" s="4"/>
      <c r="I1191" s="3" t="str" cm="1">
        <f t="array" ref="I11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2" spans="1:9" x14ac:dyDescent="0.3">
      <c r="A1192" s="3" t="str">
        <f>IF(SISTEMA!A1186="","",SISTEMA!A1186)</f>
        <v/>
      </c>
      <c r="B1192" s="10" t="str">
        <f>IF(SISTEMA!B1186="","",VALUE(SISTEMA!B1186))</f>
        <v/>
      </c>
      <c r="C1192" s="10" t="str">
        <f>IF(SISTEMA!C1186="","",SISTEMA!C1186)</f>
        <v/>
      </c>
      <c r="D1192" s="5" t="str" cm="1">
        <f t="array" ref="D11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2" s="5" t="str" cm="1">
        <f t="array" ref="E11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2" s="5" t="str" cm="1">
        <f t="array" ref="F11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2" t="str" cm="1">
        <f t="array" ref="G11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2" s="4"/>
      <c r="I1192" s="3" t="str" cm="1">
        <f t="array" ref="I11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3" spans="1:9" x14ac:dyDescent="0.3">
      <c r="A1193" s="3" t="str">
        <f>IF(SISTEMA!A1187="","",SISTEMA!A1187)</f>
        <v/>
      </c>
      <c r="B1193" s="10" t="str">
        <f>IF(SISTEMA!B1187="","",VALUE(SISTEMA!B1187))</f>
        <v/>
      </c>
      <c r="C1193" s="10" t="str">
        <f>IF(SISTEMA!C1187="","",SISTEMA!C1187)</f>
        <v/>
      </c>
      <c r="D1193" s="5" t="str" cm="1">
        <f t="array" ref="D11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3" s="5" t="str" cm="1">
        <f t="array" ref="E11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3" s="5" t="str" cm="1">
        <f t="array" ref="F11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3" t="str" cm="1">
        <f t="array" ref="G11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3" s="4"/>
      <c r="I1193" s="3" t="str" cm="1">
        <f t="array" ref="I11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4" spans="1:9" x14ac:dyDescent="0.3">
      <c r="A1194" s="3" t="str">
        <f>IF(SISTEMA!A1188="","",SISTEMA!A1188)</f>
        <v/>
      </c>
      <c r="B1194" s="10" t="str">
        <f>IF(SISTEMA!B1188="","",VALUE(SISTEMA!B1188))</f>
        <v/>
      </c>
      <c r="C1194" s="10" t="str">
        <f>IF(SISTEMA!C1188="","",SISTEMA!C1188)</f>
        <v/>
      </c>
      <c r="D1194" s="5" t="str" cm="1">
        <f t="array" ref="D11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4" s="5" t="str" cm="1">
        <f t="array" ref="E11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4" s="5" t="str" cm="1">
        <f t="array" ref="F11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4" t="str" cm="1">
        <f t="array" ref="G11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4" s="4"/>
      <c r="I1194" s="3" t="str" cm="1">
        <f t="array" ref="I11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5" spans="1:9" x14ac:dyDescent="0.3">
      <c r="A1195" s="3" t="str">
        <f>IF(SISTEMA!A1189="","",SISTEMA!A1189)</f>
        <v/>
      </c>
      <c r="B1195" s="10" t="str">
        <f>IF(SISTEMA!B1189="","",VALUE(SISTEMA!B1189))</f>
        <v/>
      </c>
      <c r="C1195" s="10" t="str">
        <f>IF(SISTEMA!C1189="","",SISTEMA!C1189)</f>
        <v/>
      </c>
      <c r="D1195" s="5" t="str" cm="1">
        <f t="array" ref="D11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5" s="5" t="str" cm="1">
        <f t="array" ref="E11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5" s="5" t="str" cm="1">
        <f t="array" ref="F11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5" t="str" cm="1">
        <f t="array" ref="G11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5" s="4"/>
      <c r="I1195" s="3" t="str" cm="1">
        <f t="array" ref="I11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6" spans="1:9" x14ac:dyDescent="0.3">
      <c r="A1196" s="3" t="str">
        <f>IF(SISTEMA!A1190="","",SISTEMA!A1190)</f>
        <v/>
      </c>
      <c r="B1196" s="10" t="str">
        <f>IF(SISTEMA!B1190="","",VALUE(SISTEMA!B1190))</f>
        <v/>
      </c>
      <c r="C1196" s="10" t="str">
        <f>IF(SISTEMA!C1190="","",SISTEMA!C1190)</f>
        <v/>
      </c>
      <c r="D1196" s="5" t="str" cm="1">
        <f t="array" ref="D11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6" s="5" t="str" cm="1">
        <f t="array" ref="E11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6" s="5" t="str" cm="1">
        <f t="array" ref="F11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6" t="str" cm="1">
        <f t="array" ref="G11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6" s="4"/>
      <c r="I1196" s="3" t="str" cm="1">
        <f t="array" ref="I11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7" spans="1:9" x14ac:dyDescent="0.3">
      <c r="A1197" s="3" t="str">
        <f>IF(SISTEMA!A1191="","",SISTEMA!A1191)</f>
        <v/>
      </c>
      <c r="B1197" s="10" t="str">
        <f>IF(SISTEMA!B1191="","",VALUE(SISTEMA!B1191))</f>
        <v/>
      </c>
      <c r="C1197" s="10" t="str">
        <f>IF(SISTEMA!C1191="","",SISTEMA!C1191)</f>
        <v/>
      </c>
      <c r="D1197" s="5" t="str" cm="1">
        <f t="array" ref="D11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7" s="5" t="str" cm="1">
        <f t="array" ref="E11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7" s="5" t="str" cm="1">
        <f t="array" ref="F11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7" t="str" cm="1">
        <f t="array" ref="G11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7" s="4"/>
      <c r="I1197" s="3" t="str" cm="1">
        <f t="array" ref="I11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8" spans="1:9" x14ac:dyDescent="0.3">
      <c r="A1198" s="3" t="str">
        <f>IF(SISTEMA!A1192="","",SISTEMA!A1192)</f>
        <v/>
      </c>
      <c r="B1198" s="10" t="str">
        <f>IF(SISTEMA!B1192="","",VALUE(SISTEMA!B1192))</f>
        <v/>
      </c>
      <c r="C1198" s="10" t="str">
        <f>IF(SISTEMA!C1192="","",SISTEMA!C1192)</f>
        <v/>
      </c>
      <c r="D1198" s="5" t="str" cm="1">
        <f t="array" ref="D11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8" s="5" t="str" cm="1">
        <f t="array" ref="E11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8" s="5" t="str" cm="1">
        <f t="array" ref="F11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8" t="str" cm="1">
        <f t="array" ref="G11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8" s="4"/>
      <c r="I1198" s="3" t="str" cm="1">
        <f t="array" ref="I11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199" spans="1:9" x14ac:dyDescent="0.3">
      <c r="A1199" s="3" t="str">
        <f>IF(SISTEMA!A1193="","",SISTEMA!A1193)</f>
        <v/>
      </c>
      <c r="B1199" s="10" t="str">
        <f>IF(SISTEMA!B1193="","",VALUE(SISTEMA!B1193))</f>
        <v/>
      </c>
      <c r="C1199" s="10" t="str">
        <f>IF(SISTEMA!C1193="","",SISTEMA!C1193)</f>
        <v/>
      </c>
      <c r="D1199" s="5" t="str" cm="1">
        <f t="array" ref="D11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199" s="5" t="str" cm="1">
        <f t="array" ref="E11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199" s="5" t="str" cm="1">
        <f t="array" ref="F11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199" t="str" cm="1">
        <f t="array" ref="G11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199" s="4"/>
      <c r="I1199" s="3" t="str" cm="1">
        <f t="array" ref="I11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0" spans="1:9" x14ac:dyDescent="0.3">
      <c r="A1200" s="3" t="str">
        <f>IF(SISTEMA!A1194="","",SISTEMA!A1194)</f>
        <v/>
      </c>
      <c r="B1200" s="10" t="str">
        <f>IF(SISTEMA!B1194="","",VALUE(SISTEMA!B1194))</f>
        <v/>
      </c>
      <c r="C1200" s="10" t="str">
        <f>IF(SISTEMA!C1194="","",SISTEMA!C1194)</f>
        <v/>
      </c>
      <c r="D1200" s="5" t="str" cm="1">
        <f t="array" ref="D12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0" s="5" t="str" cm="1">
        <f t="array" ref="E12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0" s="5" t="str" cm="1">
        <f t="array" ref="F12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0" t="str" cm="1">
        <f t="array" ref="G12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0" s="4"/>
      <c r="I1200" s="3" t="str" cm="1">
        <f t="array" ref="I12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1" spans="1:9" x14ac:dyDescent="0.3">
      <c r="A1201" s="3" t="str">
        <f>IF(SISTEMA!A1195="","",SISTEMA!A1195)</f>
        <v/>
      </c>
      <c r="B1201" s="10" t="str">
        <f>IF(SISTEMA!B1195="","",VALUE(SISTEMA!B1195))</f>
        <v/>
      </c>
      <c r="C1201" s="10" t="str">
        <f>IF(SISTEMA!C1195="","",SISTEMA!C1195)</f>
        <v/>
      </c>
      <c r="D1201" s="5" t="str" cm="1">
        <f t="array" ref="D12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1" s="5" t="str" cm="1">
        <f t="array" ref="E12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1" s="5" t="str" cm="1">
        <f t="array" ref="F12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1" t="str" cm="1">
        <f t="array" ref="G12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1" s="4"/>
      <c r="I1201" s="3" t="str" cm="1">
        <f t="array" ref="I12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2" spans="1:9" x14ac:dyDescent="0.3">
      <c r="A1202" s="3" t="str">
        <f>IF(SISTEMA!A1196="","",SISTEMA!A1196)</f>
        <v/>
      </c>
      <c r="B1202" s="10" t="str">
        <f>IF(SISTEMA!B1196="","",VALUE(SISTEMA!B1196))</f>
        <v/>
      </c>
      <c r="C1202" s="10" t="str">
        <f>IF(SISTEMA!C1196="","",SISTEMA!C1196)</f>
        <v/>
      </c>
      <c r="D1202" s="5" t="str" cm="1">
        <f t="array" ref="D12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2" s="5" t="str" cm="1">
        <f t="array" ref="E12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2" s="5" t="str" cm="1">
        <f t="array" ref="F12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2" t="str" cm="1">
        <f t="array" ref="G12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2" s="4"/>
      <c r="I1202" s="3" t="str" cm="1">
        <f t="array" ref="I12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3" spans="1:9" x14ac:dyDescent="0.3">
      <c r="A1203" s="3" t="str">
        <f>IF(SISTEMA!A1197="","",SISTEMA!A1197)</f>
        <v/>
      </c>
      <c r="B1203" s="10" t="str">
        <f>IF(SISTEMA!B1197="","",VALUE(SISTEMA!B1197))</f>
        <v/>
      </c>
      <c r="C1203" s="10" t="str">
        <f>IF(SISTEMA!C1197="","",SISTEMA!C1197)</f>
        <v/>
      </c>
      <c r="D1203" s="5" t="str" cm="1">
        <f t="array" ref="D12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3" s="5" t="str" cm="1">
        <f t="array" ref="E12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3" s="5" t="str" cm="1">
        <f t="array" ref="F12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3" t="str" cm="1">
        <f t="array" ref="G12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3" s="4"/>
      <c r="I1203" s="3" t="str" cm="1">
        <f t="array" ref="I12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4" spans="1:9" x14ac:dyDescent="0.3">
      <c r="A1204" s="3" t="str">
        <f>IF(SISTEMA!A1198="","",SISTEMA!A1198)</f>
        <v/>
      </c>
      <c r="B1204" s="10" t="str">
        <f>IF(SISTEMA!B1198="","",VALUE(SISTEMA!B1198))</f>
        <v/>
      </c>
      <c r="C1204" s="10" t="str">
        <f>IF(SISTEMA!C1198="","",SISTEMA!C1198)</f>
        <v/>
      </c>
      <c r="D1204" s="5" t="str" cm="1">
        <f t="array" ref="D12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4" s="5" t="str" cm="1">
        <f t="array" ref="E12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4" s="5" t="str" cm="1">
        <f t="array" ref="F12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4" t="str" cm="1">
        <f t="array" ref="G12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4" s="4"/>
      <c r="I1204" s="3" t="str" cm="1">
        <f t="array" ref="I12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5" spans="1:9" x14ac:dyDescent="0.3">
      <c r="A1205" s="3" t="str">
        <f>IF(SISTEMA!A1199="","",SISTEMA!A1199)</f>
        <v/>
      </c>
      <c r="B1205" s="10" t="str">
        <f>IF(SISTEMA!B1199="","",VALUE(SISTEMA!B1199))</f>
        <v/>
      </c>
      <c r="C1205" s="10" t="str">
        <f>IF(SISTEMA!C1199="","",SISTEMA!C1199)</f>
        <v/>
      </c>
      <c r="D1205" s="5" t="str" cm="1">
        <f t="array" ref="D12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5" s="5" t="str" cm="1">
        <f t="array" ref="E12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5" s="5" t="str" cm="1">
        <f t="array" ref="F12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5" t="str" cm="1">
        <f t="array" ref="G12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5" s="4"/>
      <c r="I1205" s="3" t="str" cm="1">
        <f t="array" ref="I12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6" spans="1:9" x14ac:dyDescent="0.3">
      <c r="A1206" s="3" t="str">
        <f>IF(SISTEMA!A1200="","",SISTEMA!A1200)</f>
        <v/>
      </c>
      <c r="B1206" s="10" t="str">
        <f>IF(SISTEMA!B1200="","",VALUE(SISTEMA!B1200))</f>
        <v/>
      </c>
      <c r="C1206" s="10" t="str">
        <f>IF(SISTEMA!C1200="","",SISTEMA!C1200)</f>
        <v/>
      </c>
      <c r="D1206" s="5" t="str" cm="1">
        <f t="array" ref="D12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6" s="5" t="str" cm="1">
        <f t="array" ref="E12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6" s="5" t="str" cm="1">
        <f t="array" ref="F12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6" t="str" cm="1">
        <f t="array" ref="G12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6" s="4"/>
      <c r="I1206" s="3" t="str" cm="1">
        <f t="array" ref="I12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7" spans="1:9" x14ac:dyDescent="0.3">
      <c r="A1207" s="3" t="str">
        <f>IF(SISTEMA!A1201="","",SISTEMA!A1201)</f>
        <v/>
      </c>
      <c r="B1207" s="10" t="str">
        <f>IF(SISTEMA!B1201="","",VALUE(SISTEMA!B1201))</f>
        <v/>
      </c>
      <c r="C1207" s="10" t="str">
        <f>IF(SISTEMA!C1201="","",SISTEMA!C1201)</f>
        <v/>
      </c>
      <c r="D1207" s="5" t="str" cm="1">
        <f t="array" ref="D12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7" s="5" t="str" cm="1">
        <f t="array" ref="E12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7" s="5" t="str" cm="1">
        <f t="array" ref="F12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7" t="str" cm="1">
        <f t="array" ref="G12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7" s="4"/>
      <c r="I1207" s="3" t="str" cm="1">
        <f t="array" ref="I12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8" spans="1:9" x14ac:dyDescent="0.3">
      <c r="A1208" s="3" t="str">
        <f>IF(SISTEMA!A1202="","",SISTEMA!A1202)</f>
        <v/>
      </c>
      <c r="B1208" s="10" t="str">
        <f>IF(SISTEMA!B1202="","",VALUE(SISTEMA!B1202))</f>
        <v/>
      </c>
      <c r="C1208" s="10" t="str">
        <f>IF(SISTEMA!C1202="","",SISTEMA!C1202)</f>
        <v/>
      </c>
      <c r="D1208" s="5" t="str" cm="1">
        <f t="array" ref="D12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8" s="5" t="str" cm="1">
        <f t="array" ref="E12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8" s="5" t="str" cm="1">
        <f t="array" ref="F12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8" t="str" cm="1">
        <f t="array" ref="G12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8" s="4"/>
      <c r="I1208" s="3" t="str" cm="1">
        <f t="array" ref="I12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09" spans="1:9" x14ac:dyDescent="0.3">
      <c r="A1209" s="3" t="str">
        <f>IF(SISTEMA!A1203="","",SISTEMA!A1203)</f>
        <v/>
      </c>
      <c r="B1209" s="10" t="str">
        <f>IF(SISTEMA!B1203="","",VALUE(SISTEMA!B1203))</f>
        <v/>
      </c>
      <c r="C1209" s="10" t="str">
        <f>IF(SISTEMA!C1203="","",SISTEMA!C1203)</f>
        <v/>
      </c>
      <c r="D1209" s="5" t="str" cm="1">
        <f t="array" ref="D12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09" s="5" t="str" cm="1">
        <f t="array" ref="E12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09" s="5" t="str" cm="1">
        <f t="array" ref="F12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09" t="str" cm="1">
        <f t="array" ref="G12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09" s="4"/>
      <c r="I1209" s="3" t="str" cm="1">
        <f t="array" ref="I12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0" spans="1:9" x14ac:dyDescent="0.3">
      <c r="A1210" s="3" t="str">
        <f>IF(SISTEMA!A1204="","",SISTEMA!A1204)</f>
        <v/>
      </c>
      <c r="B1210" s="10" t="str">
        <f>IF(SISTEMA!B1204="","",VALUE(SISTEMA!B1204))</f>
        <v/>
      </c>
      <c r="C1210" s="10" t="str">
        <f>IF(SISTEMA!C1204="","",SISTEMA!C1204)</f>
        <v/>
      </c>
      <c r="D1210" s="5" t="str" cm="1">
        <f t="array" ref="D12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0" s="5" t="str" cm="1">
        <f t="array" ref="E12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0" s="5" t="str" cm="1">
        <f t="array" ref="F12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0" t="str" cm="1">
        <f t="array" ref="G12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0" s="4"/>
      <c r="I1210" s="3" t="str" cm="1">
        <f t="array" ref="I12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1" spans="1:9" x14ac:dyDescent="0.3">
      <c r="A1211" s="3" t="str">
        <f>IF(SISTEMA!A1205="","",SISTEMA!A1205)</f>
        <v/>
      </c>
      <c r="B1211" s="10" t="str">
        <f>IF(SISTEMA!B1205="","",VALUE(SISTEMA!B1205))</f>
        <v/>
      </c>
      <c r="C1211" s="10" t="str">
        <f>IF(SISTEMA!C1205="","",SISTEMA!C1205)</f>
        <v/>
      </c>
      <c r="D1211" s="5" t="str" cm="1">
        <f t="array" ref="D12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1" s="5" t="str" cm="1">
        <f t="array" ref="E12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1" s="5" t="str" cm="1">
        <f t="array" ref="F12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1" t="str" cm="1">
        <f t="array" ref="G12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1" s="4"/>
      <c r="I1211" s="3" t="str" cm="1">
        <f t="array" ref="I12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2" spans="1:9" x14ac:dyDescent="0.3">
      <c r="A1212" s="3" t="str">
        <f>IF(SISTEMA!A1206="","",SISTEMA!A1206)</f>
        <v/>
      </c>
      <c r="B1212" s="10" t="str">
        <f>IF(SISTEMA!B1206="","",VALUE(SISTEMA!B1206))</f>
        <v/>
      </c>
      <c r="C1212" s="10" t="str">
        <f>IF(SISTEMA!C1206="","",SISTEMA!C1206)</f>
        <v/>
      </c>
      <c r="D1212" s="5" t="str" cm="1">
        <f t="array" ref="D12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2" s="5" t="str" cm="1">
        <f t="array" ref="E12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2" s="5" t="str" cm="1">
        <f t="array" ref="F12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2" t="str" cm="1">
        <f t="array" ref="G12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2" s="4"/>
      <c r="I1212" s="3" t="str" cm="1">
        <f t="array" ref="I12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3" spans="1:9" x14ac:dyDescent="0.3">
      <c r="A1213" s="3" t="str">
        <f>IF(SISTEMA!A1207="","",SISTEMA!A1207)</f>
        <v/>
      </c>
      <c r="B1213" s="10" t="str">
        <f>IF(SISTEMA!B1207="","",VALUE(SISTEMA!B1207))</f>
        <v/>
      </c>
      <c r="C1213" s="10" t="str">
        <f>IF(SISTEMA!C1207="","",SISTEMA!C1207)</f>
        <v/>
      </c>
      <c r="D1213" s="5" t="str" cm="1">
        <f t="array" ref="D12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3" s="5" t="str" cm="1">
        <f t="array" ref="E12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3" s="5" t="str" cm="1">
        <f t="array" ref="F12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3" t="str" cm="1">
        <f t="array" ref="G12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3" s="4"/>
      <c r="I1213" s="3" t="str" cm="1">
        <f t="array" ref="I12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4" spans="1:9" x14ac:dyDescent="0.3">
      <c r="A1214" s="3" t="str">
        <f>IF(SISTEMA!A1208="","",SISTEMA!A1208)</f>
        <v/>
      </c>
      <c r="B1214" s="10" t="str">
        <f>IF(SISTEMA!B1208="","",VALUE(SISTEMA!B1208))</f>
        <v/>
      </c>
      <c r="C1214" s="10" t="str">
        <f>IF(SISTEMA!C1208="","",SISTEMA!C1208)</f>
        <v/>
      </c>
      <c r="D1214" s="5" t="str" cm="1">
        <f t="array" ref="D12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4" s="5" t="str" cm="1">
        <f t="array" ref="E12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4" s="5" t="str" cm="1">
        <f t="array" ref="F12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4" t="str" cm="1">
        <f t="array" ref="G12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4" s="4"/>
      <c r="I1214" s="3" t="str" cm="1">
        <f t="array" ref="I12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5" spans="1:9" x14ac:dyDescent="0.3">
      <c r="A1215" s="3" t="str">
        <f>IF(SISTEMA!A1209="","",SISTEMA!A1209)</f>
        <v/>
      </c>
      <c r="B1215" s="10" t="str">
        <f>IF(SISTEMA!B1209="","",VALUE(SISTEMA!B1209))</f>
        <v/>
      </c>
      <c r="C1215" s="10" t="str">
        <f>IF(SISTEMA!C1209="","",SISTEMA!C1209)</f>
        <v/>
      </c>
      <c r="D1215" s="5" t="str" cm="1">
        <f t="array" ref="D12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5" s="5" t="str" cm="1">
        <f t="array" ref="E12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5" s="5" t="str" cm="1">
        <f t="array" ref="F12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5" t="str" cm="1">
        <f t="array" ref="G12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5" s="4"/>
      <c r="I1215" s="3" t="str" cm="1">
        <f t="array" ref="I12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6" spans="1:9" x14ac:dyDescent="0.3">
      <c r="A1216" s="3" t="str">
        <f>IF(SISTEMA!A1210="","",SISTEMA!A1210)</f>
        <v/>
      </c>
      <c r="B1216" s="10" t="str">
        <f>IF(SISTEMA!B1210="","",VALUE(SISTEMA!B1210))</f>
        <v/>
      </c>
      <c r="C1216" s="10" t="str">
        <f>IF(SISTEMA!C1210="","",SISTEMA!C1210)</f>
        <v/>
      </c>
      <c r="D1216" s="5" t="str" cm="1">
        <f t="array" ref="D12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6" s="5" t="str" cm="1">
        <f t="array" ref="E12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6" s="5" t="str" cm="1">
        <f t="array" ref="F12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6" t="str" cm="1">
        <f t="array" ref="G12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6" s="4"/>
      <c r="I1216" s="3" t="str" cm="1">
        <f t="array" ref="I12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7" spans="1:9" x14ac:dyDescent="0.3">
      <c r="A1217" s="3" t="str">
        <f>IF(SISTEMA!A1211="","",SISTEMA!A1211)</f>
        <v/>
      </c>
      <c r="B1217" s="10" t="str">
        <f>IF(SISTEMA!B1211="","",VALUE(SISTEMA!B1211))</f>
        <v/>
      </c>
      <c r="C1217" s="10" t="str">
        <f>IF(SISTEMA!C1211="","",SISTEMA!C1211)</f>
        <v/>
      </c>
      <c r="D1217" s="5" t="str" cm="1">
        <f t="array" ref="D12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7" s="5" t="str" cm="1">
        <f t="array" ref="E12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7" s="5" t="str" cm="1">
        <f t="array" ref="F12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7" t="str" cm="1">
        <f t="array" ref="G12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7" s="4"/>
      <c r="I1217" s="3" t="str" cm="1">
        <f t="array" ref="I12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8" spans="1:9" x14ac:dyDescent="0.3">
      <c r="A1218" s="3" t="str">
        <f>IF(SISTEMA!A1212="","",SISTEMA!A1212)</f>
        <v/>
      </c>
      <c r="B1218" s="10" t="str">
        <f>IF(SISTEMA!B1212="","",VALUE(SISTEMA!B1212))</f>
        <v/>
      </c>
      <c r="C1218" s="10" t="str">
        <f>IF(SISTEMA!C1212="","",SISTEMA!C1212)</f>
        <v/>
      </c>
      <c r="D1218" s="5" t="str" cm="1">
        <f t="array" ref="D12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8" s="5" t="str" cm="1">
        <f t="array" ref="E12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8" s="5" t="str" cm="1">
        <f t="array" ref="F12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8" t="str" cm="1">
        <f t="array" ref="G12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8" s="4"/>
      <c r="I1218" s="3" t="str" cm="1">
        <f t="array" ref="I12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19" spans="1:9" x14ac:dyDescent="0.3">
      <c r="A1219" s="3" t="str">
        <f>IF(SISTEMA!A1213="","",SISTEMA!A1213)</f>
        <v/>
      </c>
      <c r="B1219" s="10" t="str">
        <f>IF(SISTEMA!B1213="","",VALUE(SISTEMA!B1213))</f>
        <v/>
      </c>
      <c r="C1219" s="10" t="str">
        <f>IF(SISTEMA!C1213="","",SISTEMA!C1213)</f>
        <v/>
      </c>
      <c r="D1219" s="5" t="str" cm="1">
        <f t="array" ref="D12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19" s="5" t="str" cm="1">
        <f t="array" ref="E12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19" s="5" t="str" cm="1">
        <f t="array" ref="F12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19" t="str" cm="1">
        <f t="array" ref="G12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19" s="4"/>
      <c r="I1219" s="3" t="str" cm="1">
        <f t="array" ref="I12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0" spans="1:9" x14ac:dyDescent="0.3">
      <c r="A1220" s="3" t="str">
        <f>IF(SISTEMA!A1214="","",SISTEMA!A1214)</f>
        <v/>
      </c>
      <c r="B1220" s="10" t="str">
        <f>IF(SISTEMA!B1214="","",VALUE(SISTEMA!B1214))</f>
        <v/>
      </c>
      <c r="C1220" s="10" t="str">
        <f>IF(SISTEMA!C1214="","",SISTEMA!C1214)</f>
        <v/>
      </c>
      <c r="D1220" s="5" t="str" cm="1">
        <f t="array" ref="D12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0" s="5" t="str" cm="1">
        <f t="array" ref="E12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0" s="5" t="str" cm="1">
        <f t="array" ref="F12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0" t="str" cm="1">
        <f t="array" ref="G12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0" s="4"/>
      <c r="I1220" s="3" t="str" cm="1">
        <f t="array" ref="I12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1" spans="1:9" x14ac:dyDescent="0.3">
      <c r="A1221" s="3" t="str">
        <f>IF(SISTEMA!A1215="","",SISTEMA!A1215)</f>
        <v/>
      </c>
      <c r="B1221" s="10" t="str">
        <f>IF(SISTEMA!B1215="","",VALUE(SISTEMA!B1215))</f>
        <v/>
      </c>
      <c r="C1221" s="10" t="str">
        <f>IF(SISTEMA!C1215="","",SISTEMA!C1215)</f>
        <v/>
      </c>
      <c r="D1221" s="5" t="str" cm="1">
        <f t="array" ref="D12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1" s="5" t="str" cm="1">
        <f t="array" ref="E12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1" s="5" t="str" cm="1">
        <f t="array" ref="F12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1" t="str" cm="1">
        <f t="array" ref="G12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1" s="4"/>
      <c r="I1221" s="3" t="str" cm="1">
        <f t="array" ref="I12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2" spans="1:9" x14ac:dyDescent="0.3">
      <c r="A1222" s="3" t="str">
        <f>IF(SISTEMA!A1216="","",SISTEMA!A1216)</f>
        <v/>
      </c>
      <c r="B1222" s="10" t="str">
        <f>IF(SISTEMA!B1216="","",VALUE(SISTEMA!B1216))</f>
        <v/>
      </c>
      <c r="C1222" s="10" t="str">
        <f>IF(SISTEMA!C1216="","",SISTEMA!C1216)</f>
        <v/>
      </c>
      <c r="D1222" s="5" t="str" cm="1">
        <f t="array" ref="D12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2" s="5" t="str" cm="1">
        <f t="array" ref="E12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2" s="5" t="str" cm="1">
        <f t="array" ref="F12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2" t="str" cm="1">
        <f t="array" ref="G12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2" s="4"/>
      <c r="I1222" s="3" t="str" cm="1">
        <f t="array" ref="I12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3" spans="1:9" x14ac:dyDescent="0.3">
      <c r="A1223" s="3" t="str">
        <f>IF(SISTEMA!A1217="","",SISTEMA!A1217)</f>
        <v/>
      </c>
      <c r="B1223" s="10" t="str">
        <f>IF(SISTEMA!B1217="","",VALUE(SISTEMA!B1217))</f>
        <v/>
      </c>
      <c r="C1223" s="10" t="str">
        <f>IF(SISTEMA!C1217="","",SISTEMA!C1217)</f>
        <v/>
      </c>
      <c r="D1223" s="5" t="str" cm="1">
        <f t="array" ref="D12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3" s="5" t="str" cm="1">
        <f t="array" ref="E12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3" s="5" t="str" cm="1">
        <f t="array" ref="F12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3" t="str" cm="1">
        <f t="array" ref="G12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3" s="4"/>
      <c r="I1223" s="3" t="str" cm="1">
        <f t="array" ref="I12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4" spans="1:9" x14ac:dyDescent="0.3">
      <c r="A1224" s="3" t="str">
        <f>IF(SISTEMA!A1218="","",SISTEMA!A1218)</f>
        <v/>
      </c>
      <c r="B1224" s="10" t="str">
        <f>IF(SISTEMA!B1218="","",VALUE(SISTEMA!B1218))</f>
        <v/>
      </c>
      <c r="C1224" s="10" t="str">
        <f>IF(SISTEMA!C1218="","",SISTEMA!C1218)</f>
        <v/>
      </c>
      <c r="D1224" s="5" t="str" cm="1">
        <f t="array" ref="D12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4" s="5" t="str" cm="1">
        <f t="array" ref="E12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4" s="5" t="str" cm="1">
        <f t="array" ref="F12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4" t="str" cm="1">
        <f t="array" ref="G12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4" s="4"/>
      <c r="I1224" s="3" t="str" cm="1">
        <f t="array" ref="I12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5" spans="1:9" x14ac:dyDescent="0.3">
      <c r="A1225" s="3" t="str">
        <f>IF(SISTEMA!A1219="","",SISTEMA!A1219)</f>
        <v/>
      </c>
      <c r="B1225" s="10" t="str">
        <f>IF(SISTEMA!B1219="","",VALUE(SISTEMA!B1219))</f>
        <v/>
      </c>
      <c r="C1225" s="10" t="str">
        <f>IF(SISTEMA!C1219="","",SISTEMA!C1219)</f>
        <v/>
      </c>
      <c r="D1225" s="5" t="str" cm="1">
        <f t="array" ref="D12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5" s="5" t="str" cm="1">
        <f t="array" ref="E12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5" s="5" t="str" cm="1">
        <f t="array" ref="F12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5" t="str" cm="1">
        <f t="array" ref="G12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5" s="4"/>
      <c r="I1225" s="3" t="str" cm="1">
        <f t="array" ref="I12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6" spans="1:9" x14ac:dyDescent="0.3">
      <c r="A1226" s="3" t="str">
        <f>IF(SISTEMA!A1220="","",SISTEMA!A1220)</f>
        <v/>
      </c>
      <c r="B1226" s="10" t="str">
        <f>IF(SISTEMA!B1220="","",VALUE(SISTEMA!B1220))</f>
        <v/>
      </c>
      <c r="C1226" s="10" t="str">
        <f>IF(SISTEMA!C1220="","",SISTEMA!C1220)</f>
        <v/>
      </c>
      <c r="D1226" s="5" t="str" cm="1">
        <f t="array" ref="D12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6" s="5" t="str" cm="1">
        <f t="array" ref="E12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6" s="5" t="str" cm="1">
        <f t="array" ref="F12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6" t="str" cm="1">
        <f t="array" ref="G12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6" s="4"/>
      <c r="I1226" s="3" t="str" cm="1">
        <f t="array" ref="I12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7" spans="1:9" x14ac:dyDescent="0.3">
      <c r="A1227" s="3" t="str">
        <f>IF(SISTEMA!A1221="","",SISTEMA!A1221)</f>
        <v/>
      </c>
      <c r="B1227" s="10" t="str">
        <f>IF(SISTEMA!B1221="","",VALUE(SISTEMA!B1221))</f>
        <v/>
      </c>
      <c r="C1227" s="10" t="str">
        <f>IF(SISTEMA!C1221="","",SISTEMA!C1221)</f>
        <v/>
      </c>
      <c r="D1227" s="5" t="str" cm="1">
        <f t="array" ref="D12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7" s="5" t="str" cm="1">
        <f t="array" ref="E12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7" s="5" t="str" cm="1">
        <f t="array" ref="F12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7" t="str" cm="1">
        <f t="array" ref="G12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7" s="4"/>
      <c r="I1227" s="3" t="str" cm="1">
        <f t="array" ref="I12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8" spans="1:9" x14ac:dyDescent="0.3">
      <c r="A1228" s="3" t="str">
        <f>IF(SISTEMA!A1222="","",SISTEMA!A1222)</f>
        <v/>
      </c>
      <c r="B1228" s="10" t="str">
        <f>IF(SISTEMA!B1222="","",VALUE(SISTEMA!B1222))</f>
        <v/>
      </c>
      <c r="C1228" s="10" t="str">
        <f>IF(SISTEMA!C1222="","",SISTEMA!C1222)</f>
        <v/>
      </c>
      <c r="D1228" s="5" t="str" cm="1">
        <f t="array" ref="D12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8" s="5" t="str" cm="1">
        <f t="array" ref="E12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8" s="5" t="str" cm="1">
        <f t="array" ref="F12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8" t="str" cm="1">
        <f t="array" ref="G12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8" s="4"/>
      <c r="I1228" s="3" t="str" cm="1">
        <f t="array" ref="I12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29" spans="1:9" x14ac:dyDescent="0.3">
      <c r="A1229" s="3" t="str">
        <f>IF(SISTEMA!A1223="","",SISTEMA!A1223)</f>
        <v/>
      </c>
      <c r="B1229" s="10" t="str">
        <f>IF(SISTEMA!B1223="","",VALUE(SISTEMA!B1223))</f>
        <v/>
      </c>
      <c r="C1229" s="10" t="str">
        <f>IF(SISTEMA!C1223="","",SISTEMA!C1223)</f>
        <v/>
      </c>
      <c r="D1229" s="5" t="str" cm="1">
        <f t="array" ref="D12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29" s="5" t="str" cm="1">
        <f t="array" ref="E12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29" s="5" t="str" cm="1">
        <f t="array" ref="F12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29" t="str" cm="1">
        <f t="array" ref="G12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29" s="4"/>
      <c r="I1229" s="3" t="str" cm="1">
        <f t="array" ref="I12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0" spans="1:9" x14ac:dyDescent="0.3">
      <c r="A1230" s="3" t="str">
        <f>IF(SISTEMA!A1224="","",SISTEMA!A1224)</f>
        <v/>
      </c>
      <c r="B1230" s="10" t="str">
        <f>IF(SISTEMA!B1224="","",VALUE(SISTEMA!B1224))</f>
        <v/>
      </c>
      <c r="C1230" s="10" t="str">
        <f>IF(SISTEMA!C1224="","",SISTEMA!C1224)</f>
        <v/>
      </c>
      <c r="D1230" s="5" t="str" cm="1">
        <f t="array" ref="D12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0" s="5" t="str" cm="1">
        <f t="array" ref="E12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0" s="5" t="str" cm="1">
        <f t="array" ref="F12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0" t="str" cm="1">
        <f t="array" ref="G12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0" s="4"/>
      <c r="I1230" s="3" t="str" cm="1">
        <f t="array" ref="I12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1" spans="1:9" x14ac:dyDescent="0.3">
      <c r="A1231" s="3" t="str">
        <f>IF(SISTEMA!A1225="","",SISTEMA!A1225)</f>
        <v/>
      </c>
      <c r="B1231" s="10" t="str">
        <f>IF(SISTEMA!B1225="","",VALUE(SISTEMA!B1225))</f>
        <v/>
      </c>
      <c r="C1231" s="10" t="str">
        <f>IF(SISTEMA!C1225="","",SISTEMA!C1225)</f>
        <v/>
      </c>
      <c r="D1231" s="5" t="str" cm="1">
        <f t="array" ref="D12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1" s="5" t="str" cm="1">
        <f t="array" ref="E12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1" s="5" t="str" cm="1">
        <f t="array" ref="F12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1" t="str" cm="1">
        <f t="array" ref="G12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1" s="4"/>
      <c r="I1231" s="3" t="str" cm="1">
        <f t="array" ref="I12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2" spans="1:9" x14ac:dyDescent="0.3">
      <c r="A1232" s="3" t="str">
        <f>IF(SISTEMA!A1226="","",SISTEMA!A1226)</f>
        <v/>
      </c>
      <c r="B1232" s="10" t="str">
        <f>IF(SISTEMA!B1226="","",VALUE(SISTEMA!B1226))</f>
        <v/>
      </c>
      <c r="C1232" s="10" t="str">
        <f>IF(SISTEMA!C1226="","",SISTEMA!C1226)</f>
        <v/>
      </c>
      <c r="D1232" s="5" t="str" cm="1">
        <f t="array" ref="D12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2" s="5" t="str" cm="1">
        <f t="array" ref="E12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2" s="5" t="str" cm="1">
        <f t="array" ref="F12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2" t="str" cm="1">
        <f t="array" ref="G12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2" s="4"/>
      <c r="I1232" s="3" t="str" cm="1">
        <f t="array" ref="I12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3" spans="1:9" x14ac:dyDescent="0.3">
      <c r="A1233" s="3" t="str">
        <f>IF(SISTEMA!A1227="","",SISTEMA!A1227)</f>
        <v/>
      </c>
      <c r="B1233" s="10" t="str">
        <f>IF(SISTEMA!B1227="","",VALUE(SISTEMA!B1227))</f>
        <v/>
      </c>
      <c r="C1233" s="10" t="str">
        <f>IF(SISTEMA!C1227="","",SISTEMA!C1227)</f>
        <v/>
      </c>
      <c r="D1233" s="5" t="str" cm="1">
        <f t="array" ref="D12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3" s="5" t="str" cm="1">
        <f t="array" ref="E12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3" s="5" t="str" cm="1">
        <f t="array" ref="F12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3" t="str" cm="1">
        <f t="array" ref="G12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3" s="4"/>
      <c r="I1233" s="3" t="str" cm="1">
        <f t="array" ref="I12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4" spans="1:9" x14ac:dyDescent="0.3">
      <c r="A1234" s="3" t="str">
        <f>IF(SISTEMA!A1228="","",SISTEMA!A1228)</f>
        <v/>
      </c>
      <c r="B1234" s="10" t="str">
        <f>IF(SISTEMA!B1228="","",VALUE(SISTEMA!B1228))</f>
        <v/>
      </c>
      <c r="C1234" s="10" t="str">
        <f>IF(SISTEMA!C1228="","",SISTEMA!C1228)</f>
        <v/>
      </c>
      <c r="D1234" s="5" t="str" cm="1">
        <f t="array" ref="D12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4" s="5" t="str" cm="1">
        <f t="array" ref="E12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4" s="5" t="str" cm="1">
        <f t="array" ref="F12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4" t="str" cm="1">
        <f t="array" ref="G12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4" s="4"/>
      <c r="I1234" s="3" t="str" cm="1">
        <f t="array" ref="I12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5" spans="1:9" x14ac:dyDescent="0.3">
      <c r="A1235" s="3" t="str">
        <f>IF(SISTEMA!A1229="","",SISTEMA!A1229)</f>
        <v/>
      </c>
      <c r="B1235" s="10" t="str">
        <f>IF(SISTEMA!B1229="","",VALUE(SISTEMA!B1229))</f>
        <v/>
      </c>
      <c r="C1235" s="10" t="str">
        <f>IF(SISTEMA!C1229="","",SISTEMA!C1229)</f>
        <v/>
      </c>
      <c r="D1235" s="5" t="str" cm="1">
        <f t="array" ref="D12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5" s="5" t="str" cm="1">
        <f t="array" ref="E12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5" s="5" t="str" cm="1">
        <f t="array" ref="F12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5" t="str" cm="1">
        <f t="array" ref="G12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5" s="4"/>
      <c r="I1235" s="3" t="str" cm="1">
        <f t="array" ref="I12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6" spans="1:9" x14ac:dyDescent="0.3">
      <c r="A1236" s="3" t="str">
        <f>IF(SISTEMA!A1230="","",SISTEMA!A1230)</f>
        <v/>
      </c>
      <c r="B1236" s="10" t="str">
        <f>IF(SISTEMA!B1230="","",VALUE(SISTEMA!B1230))</f>
        <v/>
      </c>
      <c r="C1236" s="10" t="str">
        <f>IF(SISTEMA!C1230="","",SISTEMA!C1230)</f>
        <v/>
      </c>
      <c r="D1236" s="5" t="str" cm="1">
        <f t="array" ref="D12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6" s="5" t="str" cm="1">
        <f t="array" ref="E12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6" s="5" t="str" cm="1">
        <f t="array" ref="F12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6" t="str" cm="1">
        <f t="array" ref="G12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6" s="4"/>
      <c r="I1236" s="3" t="str" cm="1">
        <f t="array" ref="I12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7" spans="1:9" x14ac:dyDescent="0.3">
      <c r="A1237" s="3" t="str">
        <f>IF(SISTEMA!A1231="","",SISTEMA!A1231)</f>
        <v/>
      </c>
      <c r="B1237" s="10" t="str">
        <f>IF(SISTEMA!B1231="","",VALUE(SISTEMA!B1231))</f>
        <v/>
      </c>
      <c r="C1237" s="10" t="str">
        <f>IF(SISTEMA!C1231="","",SISTEMA!C1231)</f>
        <v/>
      </c>
      <c r="D1237" s="5" t="str" cm="1">
        <f t="array" ref="D12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7" s="5" t="str" cm="1">
        <f t="array" ref="E12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7" s="5" t="str" cm="1">
        <f t="array" ref="F12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7" t="str" cm="1">
        <f t="array" ref="G12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7" s="4"/>
      <c r="I1237" s="3" t="str" cm="1">
        <f t="array" ref="I12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8" spans="1:9" x14ac:dyDescent="0.3">
      <c r="A1238" s="3" t="str">
        <f>IF(SISTEMA!A1232="","",SISTEMA!A1232)</f>
        <v/>
      </c>
      <c r="B1238" s="10" t="str">
        <f>IF(SISTEMA!B1232="","",VALUE(SISTEMA!B1232))</f>
        <v/>
      </c>
      <c r="C1238" s="10" t="str">
        <f>IF(SISTEMA!C1232="","",SISTEMA!C1232)</f>
        <v/>
      </c>
      <c r="D1238" s="5" t="str" cm="1">
        <f t="array" ref="D12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8" s="5" t="str" cm="1">
        <f t="array" ref="E12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8" s="5" t="str" cm="1">
        <f t="array" ref="F12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8" t="str" cm="1">
        <f t="array" ref="G12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8" s="4"/>
      <c r="I1238" s="3" t="str" cm="1">
        <f t="array" ref="I12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39" spans="1:9" x14ac:dyDescent="0.3">
      <c r="A1239" s="3" t="str">
        <f>IF(SISTEMA!A1233="","",SISTEMA!A1233)</f>
        <v/>
      </c>
      <c r="B1239" s="10" t="str">
        <f>IF(SISTEMA!B1233="","",VALUE(SISTEMA!B1233))</f>
        <v/>
      </c>
      <c r="C1239" s="10" t="str">
        <f>IF(SISTEMA!C1233="","",SISTEMA!C1233)</f>
        <v/>
      </c>
      <c r="D1239" s="5" t="str" cm="1">
        <f t="array" ref="D12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39" s="5" t="str" cm="1">
        <f t="array" ref="E12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39" s="5" t="str" cm="1">
        <f t="array" ref="F12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39" t="str" cm="1">
        <f t="array" ref="G12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39" s="4"/>
      <c r="I1239" s="3" t="str" cm="1">
        <f t="array" ref="I12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0" spans="1:9" x14ac:dyDescent="0.3">
      <c r="A1240" s="3" t="str">
        <f>IF(SISTEMA!A1234="","",SISTEMA!A1234)</f>
        <v/>
      </c>
      <c r="B1240" s="10" t="str">
        <f>IF(SISTEMA!B1234="","",VALUE(SISTEMA!B1234))</f>
        <v/>
      </c>
      <c r="C1240" s="10" t="str">
        <f>IF(SISTEMA!C1234="","",SISTEMA!C1234)</f>
        <v/>
      </c>
      <c r="D1240" s="5" t="str" cm="1">
        <f t="array" ref="D12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0" s="5" t="str" cm="1">
        <f t="array" ref="E12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0" s="5" t="str" cm="1">
        <f t="array" ref="F12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0" t="str" cm="1">
        <f t="array" ref="G12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0" s="4"/>
      <c r="I1240" s="3" t="str" cm="1">
        <f t="array" ref="I12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1" spans="1:9" x14ac:dyDescent="0.3">
      <c r="A1241" s="3" t="str">
        <f>IF(SISTEMA!A1235="","",SISTEMA!A1235)</f>
        <v/>
      </c>
      <c r="B1241" s="10" t="str">
        <f>IF(SISTEMA!B1235="","",VALUE(SISTEMA!B1235))</f>
        <v/>
      </c>
      <c r="C1241" s="10" t="str">
        <f>IF(SISTEMA!C1235="","",SISTEMA!C1235)</f>
        <v/>
      </c>
      <c r="D1241" s="5" t="str" cm="1">
        <f t="array" ref="D12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1" s="5" t="str" cm="1">
        <f t="array" ref="E12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1" s="5" t="str" cm="1">
        <f t="array" ref="F12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1" t="str" cm="1">
        <f t="array" ref="G12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1" s="4"/>
      <c r="I1241" s="3" t="str" cm="1">
        <f t="array" ref="I12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2" spans="1:9" x14ac:dyDescent="0.3">
      <c r="A1242" s="3" t="str">
        <f>IF(SISTEMA!A1236="","",SISTEMA!A1236)</f>
        <v/>
      </c>
      <c r="B1242" s="10" t="str">
        <f>IF(SISTEMA!B1236="","",VALUE(SISTEMA!B1236))</f>
        <v/>
      </c>
      <c r="C1242" s="10" t="str">
        <f>IF(SISTEMA!C1236="","",SISTEMA!C1236)</f>
        <v/>
      </c>
      <c r="D1242" s="5" t="str" cm="1">
        <f t="array" ref="D12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2" s="5" t="str" cm="1">
        <f t="array" ref="E12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2" s="5" t="str" cm="1">
        <f t="array" ref="F12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2" t="str" cm="1">
        <f t="array" ref="G12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2" s="4"/>
      <c r="I1242" s="3" t="str" cm="1">
        <f t="array" ref="I12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3" spans="1:9" x14ac:dyDescent="0.3">
      <c r="A1243" s="3" t="str">
        <f>IF(SISTEMA!A1237="","",SISTEMA!A1237)</f>
        <v/>
      </c>
      <c r="B1243" s="10" t="str">
        <f>IF(SISTEMA!B1237="","",VALUE(SISTEMA!B1237))</f>
        <v/>
      </c>
      <c r="C1243" s="10" t="str">
        <f>IF(SISTEMA!C1237="","",SISTEMA!C1237)</f>
        <v/>
      </c>
      <c r="D1243" s="5" t="str" cm="1">
        <f t="array" ref="D12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3" s="5" t="str" cm="1">
        <f t="array" ref="E12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3" s="5" t="str" cm="1">
        <f t="array" ref="F12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3" t="str" cm="1">
        <f t="array" ref="G12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3" s="4"/>
      <c r="I1243" s="3" t="str" cm="1">
        <f t="array" ref="I12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4" spans="1:9" x14ac:dyDescent="0.3">
      <c r="A1244" s="3" t="str">
        <f>IF(SISTEMA!A1238="","",SISTEMA!A1238)</f>
        <v/>
      </c>
      <c r="B1244" s="10" t="str">
        <f>IF(SISTEMA!B1238="","",VALUE(SISTEMA!B1238))</f>
        <v/>
      </c>
      <c r="C1244" s="10" t="str">
        <f>IF(SISTEMA!C1238="","",SISTEMA!C1238)</f>
        <v/>
      </c>
      <c r="D1244" s="5" t="str" cm="1">
        <f t="array" ref="D12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4" s="5" t="str" cm="1">
        <f t="array" ref="E12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4" s="5" t="str" cm="1">
        <f t="array" ref="F12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4" t="str" cm="1">
        <f t="array" ref="G12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4" s="4"/>
      <c r="I1244" s="3" t="str" cm="1">
        <f t="array" ref="I12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5" spans="1:9" x14ac:dyDescent="0.3">
      <c r="A1245" s="3" t="str">
        <f>IF(SISTEMA!A1239="","",SISTEMA!A1239)</f>
        <v/>
      </c>
      <c r="B1245" s="10" t="str">
        <f>IF(SISTEMA!B1239="","",VALUE(SISTEMA!B1239))</f>
        <v/>
      </c>
      <c r="C1245" s="10" t="str">
        <f>IF(SISTEMA!C1239="","",SISTEMA!C1239)</f>
        <v/>
      </c>
      <c r="D1245" s="5" t="str" cm="1">
        <f t="array" ref="D12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5" s="5" t="str" cm="1">
        <f t="array" ref="E12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5" s="5" t="str" cm="1">
        <f t="array" ref="F12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5" t="str" cm="1">
        <f t="array" ref="G12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5" s="4"/>
      <c r="I1245" s="3" t="str" cm="1">
        <f t="array" ref="I12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6" spans="1:9" x14ac:dyDescent="0.3">
      <c r="A1246" s="3" t="str">
        <f>IF(SISTEMA!A1240="","",SISTEMA!A1240)</f>
        <v/>
      </c>
      <c r="B1246" s="10" t="str">
        <f>IF(SISTEMA!B1240="","",VALUE(SISTEMA!B1240))</f>
        <v/>
      </c>
      <c r="C1246" s="10" t="str">
        <f>IF(SISTEMA!C1240="","",SISTEMA!C1240)</f>
        <v/>
      </c>
      <c r="D1246" s="5" t="str" cm="1">
        <f t="array" ref="D12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6" s="5" t="str" cm="1">
        <f t="array" ref="E12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6" s="5" t="str" cm="1">
        <f t="array" ref="F12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6" t="str" cm="1">
        <f t="array" ref="G12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6" s="4"/>
      <c r="I1246" s="3" t="str" cm="1">
        <f t="array" ref="I12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7" spans="1:9" x14ac:dyDescent="0.3">
      <c r="A1247" s="3" t="str">
        <f>IF(SISTEMA!A1241="","",SISTEMA!A1241)</f>
        <v/>
      </c>
      <c r="B1247" s="10" t="str">
        <f>IF(SISTEMA!B1241="","",VALUE(SISTEMA!B1241))</f>
        <v/>
      </c>
      <c r="C1247" s="10" t="str">
        <f>IF(SISTEMA!C1241="","",SISTEMA!C1241)</f>
        <v/>
      </c>
      <c r="D1247" s="5" t="str" cm="1">
        <f t="array" ref="D12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7" s="5" t="str" cm="1">
        <f t="array" ref="E12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7" s="5" t="str" cm="1">
        <f t="array" ref="F12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7" t="str" cm="1">
        <f t="array" ref="G12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7" s="4"/>
      <c r="I1247" s="3" t="str" cm="1">
        <f t="array" ref="I12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8" spans="1:9" x14ac:dyDescent="0.3">
      <c r="A1248" s="3" t="str">
        <f>IF(SISTEMA!A1242="","",SISTEMA!A1242)</f>
        <v/>
      </c>
      <c r="B1248" s="10" t="str">
        <f>IF(SISTEMA!B1242="","",VALUE(SISTEMA!B1242))</f>
        <v/>
      </c>
      <c r="C1248" s="10" t="str">
        <f>IF(SISTEMA!C1242="","",SISTEMA!C1242)</f>
        <v/>
      </c>
      <c r="D1248" s="5" t="str" cm="1">
        <f t="array" ref="D12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8" s="5" t="str" cm="1">
        <f t="array" ref="E12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8" s="5" t="str" cm="1">
        <f t="array" ref="F12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8" t="str" cm="1">
        <f t="array" ref="G12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8" s="4"/>
      <c r="I1248" s="3" t="str" cm="1">
        <f t="array" ref="I12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49" spans="1:9" x14ac:dyDescent="0.3">
      <c r="A1249" s="3" t="str">
        <f>IF(SISTEMA!A1243="","",SISTEMA!A1243)</f>
        <v/>
      </c>
      <c r="B1249" s="10" t="str">
        <f>IF(SISTEMA!B1243="","",VALUE(SISTEMA!B1243))</f>
        <v/>
      </c>
      <c r="C1249" s="10" t="str">
        <f>IF(SISTEMA!C1243="","",SISTEMA!C1243)</f>
        <v/>
      </c>
      <c r="D1249" s="5" t="str" cm="1">
        <f t="array" ref="D12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49" s="5" t="str" cm="1">
        <f t="array" ref="E12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49" s="5" t="str" cm="1">
        <f t="array" ref="F12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49" t="str" cm="1">
        <f t="array" ref="G12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49" s="4"/>
      <c r="I1249" s="3" t="str" cm="1">
        <f t="array" ref="I12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0" spans="1:9" x14ac:dyDescent="0.3">
      <c r="A1250" s="3" t="str">
        <f>IF(SISTEMA!A1244="","",SISTEMA!A1244)</f>
        <v/>
      </c>
      <c r="B1250" s="10" t="str">
        <f>IF(SISTEMA!B1244="","",VALUE(SISTEMA!B1244))</f>
        <v/>
      </c>
      <c r="C1250" s="10" t="str">
        <f>IF(SISTEMA!C1244="","",SISTEMA!C1244)</f>
        <v/>
      </c>
      <c r="D1250" s="5" t="str" cm="1">
        <f t="array" ref="D12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0" s="5" t="str" cm="1">
        <f t="array" ref="E12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0" s="5" t="str" cm="1">
        <f t="array" ref="F12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0" t="str" cm="1">
        <f t="array" ref="G12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0" s="4"/>
      <c r="I1250" s="3" t="str" cm="1">
        <f t="array" ref="I12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1" spans="1:9" x14ac:dyDescent="0.3">
      <c r="A1251" s="3" t="str">
        <f>IF(SISTEMA!A1245="","",SISTEMA!A1245)</f>
        <v/>
      </c>
      <c r="B1251" s="10" t="str">
        <f>IF(SISTEMA!B1245="","",VALUE(SISTEMA!B1245))</f>
        <v/>
      </c>
      <c r="C1251" s="10" t="str">
        <f>IF(SISTEMA!C1245="","",SISTEMA!C1245)</f>
        <v/>
      </c>
      <c r="D1251" s="5" t="str" cm="1">
        <f t="array" ref="D12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1" s="5" t="str" cm="1">
        <f t="array" ref="E12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1" s="5" t="str" cm="1">
        <f t="array" ref="F12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1" t="str" cm="1">
        <f t="array" ref="G12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1" s="4"/>
      <c r="I1251" s="3" t="str" cm="1">
        <f t="array" ref="I12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2" spans="1:9" x14ac:dyDescent="0.3">
      <c r="A1252" s="3" t="str">
        <f>IF(SISTEMA!A1246="","",SISTEMA!A1246)</f>
        <v/>
      </c>
      <c r="B1252" s="10" t="str">
        <f>IF(SISTEMA!B1246="","",VALUE(SISTEMA!B1246))</f>
        <v/>
      </c>
      <c r="C1252" s="10" t="str">
        <f>IF(SISTEMA!C1246="","",SISTEMA!C1246)</f>
        <v/>
      </c>
      <c r="D1252" s="5" t="str" cm="1">
        <f t="array" ref="D12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2" s="5" t="str" cm="1">
        <f t="array" ref="E12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2" s="5" t="str" cm="1">
        <f t="array" ref="F12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2" t="str" cm="1">
        <f t="array" ref="G12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2" s="4"/>
      <c r="I1252" s="3" t="str" cm="1">
        <f t="array" ref="I12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3" spans="1:9" x14ac:dyDescent="0.3">
      <c r="A1253" s="3" t="str">
        <f>IF(SISTEMA!A1247="","",SISTEMA!A1247)</f>
        <v/>
      </c>
      <c r="B1253" s="10" t="str">
        <f>IF(SISTEMA!B1247="","",VALUE(SISTEMA!B1247))</f>
        <v/>
      </c>
      <c r="C1253" s="10" t="str">
        <f>IF(SISTEMA!C1247="","",SISTEMA!C1247)</f>
        <v/>
      </c>
      <c r="D1253" s="5" t="str" cm="1">
        <f t="array" ref="D12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3" s="5" t="str" cm="1">
        <f t="array" ref="E12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3" s="5" t="str" cm="1">
        <f t="array" ref="F12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3" t="str" cm="1">
        <f t="array" ref="G12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3" s="4"/>
      <c r="I1253" s="3" t="str" cm="1">
        <f t="array" ref="I12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4" spans="1:9" x14ac:dyDescent="0.3">
      <c r="A1254" s="3" t="str">
        <f>IF(SISTEMA!A1248="","",SISTEMA!A1248)</f>
        <v/>
      </c>
      <c r="B1254" s="10" t="str">
        <f>IF(SISTEMA!B1248="","",VALUE(SISTEMA!B1248))</f>
        <v/>
      </c>
      <c r="C1254" s="10" t="str">
        <f>IF(SISTEMA!C1248="","",SISTEMA!C1248)</f>
        <v/>
      </c>
      <c r="D1254" s="5" t="str" cm="1">
        <f t="array" ref="D12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4" s="5" t="str" cm="1">
        <f t="array" ref="E12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4" s="5" t="str" cm="1">
        <f t="array" ref="F12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4" t="str" cm="1">
        <f t="array" ref="G12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4" s="4"/>
      <c r="I1254" s="3" t="str" cm="1">
        <f t="array" ref="I12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5" spans="1:9" x14ac:dyDescent="0.3">
      <c r="A1255" s="3" t="str">
        <f>IF(SISTEMA!A1249="","",SISTEMA!A1249)</f>
        <v/>
      </c>
      <c r="B1255" s="10" t="str">
        <f>IF(SISTEMA!B1249="","",VALUE(SISTEMA!B1249))</f>
        <v/>
      </c>
      <c r="C1255" s="10" t="str">
        <f>IF(SISTEMA!C1249="","",SISTEMA!C1249)</f>
        <v/>
      </c>
      <c r="D1255" s="5" t="str" cm="1">
        <f t="array" ref="D12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5" s="5" t="str" cm="1">
        <f t="array" ref="E12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5" s="5" t="str" cm="1">
        <f t="array" ref="F12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5" t="str" cm="1">
        <f t="array" ref="G12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5" s="4"/>
      <c r="I1255" s="3" t="str" cm="1">
        <f t="array" ref="I12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6" spans="1:9" x14ac:dyDescent="0.3">
      <c r="A1256" s="3" t="str">
        <f>IF(SISTEMA!A1250="","",SISTEMA!A1250)</f>
        <v/>
      </c>
      <c r="B1256" s="10" t="str">
        <f>IF(SISTEMA!B1250="","",VALUE(SISTEMA!B1250))</f>
        <v/>
      </c>
      <c r="C1256" s="10" t="str">
        <f>IF(SISTEMA!C1250="","",SISTEMA!C1250)</f>
        <v/>
      </c>
      <c r="D1256" s="5" t="str" cm="1">
        <f t="array" ref="D12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6" s="5" t="str" cm="1">
        <f t="array" ref="E12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6" s="5" t="str" cm="1">
        <f t="array" ref="F12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6" t="str" cm="1">
        <f t="array" ref="G12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6" s="4"/>
      <c r="I1256" s="3" t="str" cm="1">
        <f t="array" ref="I12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7" spans="1:9" x14ac:dyDescent="0.3">
      <c r="A1257" s="3" t="str">
        <f>IF(SISTEMA!A1251="","",SISTEMA!A1251)</f>
        <v/>
      </c>
      <c r="B1257" s="10" t="str">
        <f>IF(SISTEMA!B1251="","",VALUE(SISTEMA!B1251))</f>
        <v/>
      </c>
      <c r="C1257" s="10" t="str">
        <f>IF(SISTEMA!C1251="","",SISTEMA!C1251)</f>
        <v/>
      </c>
      <c r="D1257" s="5" t="str" cm="1">
        <f t="array" ref="D12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7" s="5" t="str" cm="1">
        <f t="array" ref="E12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7" s="5" t="str" cm="1">
        <f t="array" ref="F12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7" t="str" cm="1">
        <f t="array" ref="G12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7" s="4"/>
      <c r="I1257" s="3" t="str" cm="1">
        <f t="array" ref="I12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8" spans="1:9" x14ac:dyDescent="0.3">
      <c r="A1258" s="3" t="str">
        <f>IF(SISTEMA!A1252="","",SISTEMA!A1252)</f>
        <v/>
      </c>
      <c r="B1258" s="10" t="str">
        <f>IF(SISTEMA!B1252="","",VALUE(SISTEMA!B1252))</f>
        <v/>
      </c>
      <c r="C1258" s="10" t="str">
        <f>IF(SISTEMA!C1252="","",SISTEMA!C1252)</f>
        <v/>
      </c>
      <c r="D1258" s="5" t="str" cm="1">
        <f t="array" ref="D12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8" s="5" t="str" cm="1">
        <f t="array" ref="E12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8" s="5" t="str" cm="1">
        <f t="array" ref="F12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8" t="str" cm="1">
        <f t="array" ref="G12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8" s="4"/>
      <c r="I1258" s="3" t="str" cm="1">
        <f t="array" ref="I12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59" spans="1:9" x14ac:dyDescent="0.3">
      <c r="A1259" s="3" t="str">
        <f>IF(SISTEMA!A1253="","",SISTEMA!A1253)</f>
        <v/>
      </c>
      <c r="B1259" s="10" t="str">
        <f>IF(SISTEMA!B1253="","",VALUE(SISTEMA!B1253))</f>
        <v/>
      </c>
      <c r="C1259" s="10" t="str">
        <f>IF(SISTEMA!C1253="","",SISTEMA!C1253)</f>
        <v/>
      </c>
      <c r="D1259" s="5" t="str" cm="1">
        <f t="array" ref="D12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59" s="5" t="str" cm="1">
        <f t="array" ref="E12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59" s="5" t="str" cm="1">
        <f t="array" ref="F12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59" t="str" cm="1">
        <f t="array" ref="G12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59" s="4"/>
      <c r="I1259" s="3" t="str" cm="1">
        <f t="array" ref="I12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0" spans="1:9" x14ac:dyDescent="0.3">
      <c r="A1260" s="3" t="str">
        <f>IF(SISTEMA!A1254="","",SISTEMA!A1254)</f>
        <v/>
      </c>
      <c r="B1260" s="10" t="str">
        <f>IF(SISTEMA!B1254="","",VALUE(SISTEMA!B1254))</f>
        <v/>
      </c>
      <c r="C1260" s="10" t="str">
        <f>IF(SISTEMA!C1254="","",SISTEMA!C1254)</f>
        <v/>
      </c>
      <c r="D1260" s="5" t="str" cm="1">
        <f t="array" ref="D12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0" s="5" t="str" cm="1">
        <f t="array" ref="E12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0" s="5" t="str" cm="1">
        <f t="array" ref="F12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0" t="str" cm="1">
        <f t="array" ref="G12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0" s="4"/>
      <c r="I1260" s="3" t="str" cm="1">
        <f t="array" ref="I12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1" spans="1:9" x14ac:dyDescent="0.3">
      <c r="A1261" s="3" t="str">
        <f>IF(SISTEMA!A1255="","",SISTEMA!A1255)</f>
        <v/>
      </c>
      <c r="B1261" s="10" t="str">
        <f>IF(SISTEMA!B1255="","",VALUE(SISTEMA!B1255))</f>
        <v/>
      </c>
      <c r="C1261" s="10" t="str">
        <f>IF(SISTEMA!C1255="","",SISTEMA!C1255)</f>
        <v/>
      </c>
      <c r="D1261" s="5" t="str" cm="1">
        <f t="array" ref="D12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1" s="5" t="str" cm="1">
        <f t="array" ref="E12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1" s="5" t="str" cm="1">
        <f t="array" ref="F12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1" t="str" cm="1">
        <f t="array" ref="G12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1" s="4"/>
      <c r="I1261" s="3" t="str" cm="1">
        <f t="array" ref="I12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2" spans="1:9" x14ac:dyDescent="0.3">
      <c r="A1262" s="3" t="str">
        <f>IF(SISTEMA!A1256="","",SISTEMA!A1256)</f>
        <v/>
      </c>
      <c r="B1262" s="10" t="str">
        <f>IF(SISTEMA!B1256="","",VALUE(SISTEMA!B1256))</f>
        <v/>
      </c>
      <c r="C1262" s="10" t="str">
        <f>IF(SISTEMA!C1256="","",SISTEMA!C1256)</f>
        <v/>
      </c>
      <c r="D1262" s="5" t="str" cm="1">
        <f t="array" ref="D12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2" s="5" t="str" cm="1">
        <f t="array" ref="E12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2" s="5" t="str" cm="1">
        <f t="array" ref="F12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2" t="str" cm="1">
        <f t="array" ref="G12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2" s="4"/>
      <c r="I1262" s="3" t="str" cm="1">
        <f t="array" ref="I12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3" spans="1:9" x14ac:dyDescent="0.3">
      <c r="A1263" s="3" t="str">
        <f>IF(SISTEMA!A1257="","",SISTEMA!A1257)</f>
        <v/>
      </c>
      <c r="B1263" s="10" t="str">
        <f>IF(SISTEMA!B1257="","",VALUE(SISTEMA!B1257))</f>
        <v/>
      </c>
      <c r="C1263" s="10" t="str">
        <f>IF(SISTEMA!C1257="","",SISTEMA!C1257)</f>
        <v/>
      </c>
      <c r="D1263" s="5" t="str" cm="1">
        <f t="array" ref="D12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3" s="5" t="str" cm="1">
        <f t="array" ref="E12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3" s="5" t="str" cm="1">
        <f t="array" ref="F12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3" t="str" cm="1">
        <f t="array" ref="G12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3" s="4"/>
      <c r="I1263" s="3" t="str" cm="1">
        <f t="array" ref="I12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4" spans="1:9" x14ac:dyDescent="0.3">
      <c r="A1264" s="3" t="str">
        <f>IF(SISTEMA!A1258="","",SISTEMA!A1258)</f>
        <v/>
      </c>
      <c r="B1264" s="10" t="str">
        <f>IF(SISTEMA!B1258="","",VALUE(SISTEMA!B1258))</f>
        <v/>
      </c>
      <c r="C1264" s="10" t="str">
        <f>IF(SISTEMA!C1258="","",SISTEMA!C1258)</f>
        <v/>
      </c>
      <c r="D1264" s="5" t="str" cm="1">
        <f t="array" ref="D12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4" s="5" t="str" cm="1">
        <f t="array" ref="E12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4" s="5" t="str" cm="1">
        <f t="array" ref="F12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4" t="str" cm="1">
        <f t="array" ref="G12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4" s="4"/>
      <c r="I1264" s="3" t="str" cm="1">
        <f t="array" ref="I12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5" spans="1:9" x14ac:dyDescent="0.3">
      <c r="A1265" s="3" t="str">
        <f>IF(SISTEMA!A1259="","",SISTEMA!A1259)</f>
        <v/>
      </c>
      <c r="B1265" s="10" t="str">
        <f>IF(SISTEMA!B1259="","",VALUE(SISTEMA!B1259))</f>
        <v/>
      </c>
      <c r="C1265" s="10" t="str">
        <f>IF(SISTEMA!C1259="","",SISTEMA!C1259)</f>
        <v/>
      </c>
      <c r="D1265" s="5" t="str" cm="1">
        <f t="array" ref="D12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5" s="5" t="str" cm="1">
        <f t="array" ref="E12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5" s="5" t="str" cm="1">
        <f t="array" ref="F12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5" t="str" cm="1">
        <f t="array" ref="G12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5" s="4"/>
      <c r="I1265" s="3" t="str" cm="1">
        <f t="array" ref="I12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6" spans="1:9" x14ac:dyDescent="0.3">
      <c r="A1266" s="3" t="str">
        <f>IF(SISTEMA!A1260="","",SISTEMA!A1260)</f>
        <v/>
      </c>
      <c r="B1266" s="10" t="str">
        <f>IF(SISTEMA!B1260="","",VALUE(SISTEMA!B1260))</f>
        <v/>
      </c>
      <c r="C1266" s="10" t="str">
        <f>IF(SISTEMA!C1260="","",SISTEMA!C1260)</f>
        <v/>
      </c>
      <c r="D1266" s="5" t="str" cm="1">
        <f t="array" ref="D12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6" s="5" t="str" cm="1">
        <f t="array" ref="E12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6" s="5" t="str" cm="1">
        <f t="array" ref="F12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6" t="str" cm="1">
        <f t="array" ref="G12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6" s="4"/>
      <c r="I1266" s="3" t="str" cm="1">
        <f t="array" ref="I12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7" spans="1:9" x14ac:dyDescent="0.3">
      <c r="A1267" s="3" t="str">
        <f>IF(SISTEMA!A1261="","",SISTEMA!A1261)</f>
        <v/>
      </c>
      <c r="B1267" s="10" t="str">
        <f>IF(SISTEMA!B1261="","",VALUE(SISTEMA!B1261))</f>
        <v/>
      </c>
      <c r="C1267" s="10" t="str">
        <f>IF(SISTEMA!C1261="","",SISTEMA!C1261)</f>
        <v/>
      </c>
      <c r="D1267" s="5" t="str" cm="1">
        <f t="array" ref="D12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7" s="5" t="str" cm="1">
        <f t="array" ref="E12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7" s="5" t="str" cm="1">
        <f t="array" ref="F12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7" t="str" cm="1">
        <f t="array" ref="G12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7" s="4"/>
      <c r="I1267" s="3" t="str" cm="1">
        <f t="array" ref="I12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8" spans="1:9" x14ac:dyDescent="0.3">
      <c r="A1268" s="3" t="str">
        <f>IF(SISTEMA!A1262="","",SISTEMA!A1262)</f>
        <v/>
      </c>
      <c r="B1268" s="10" t="str">
        <f>IF(SISTEMA!B1262="","",VALUE(SISTEMA!B1262))</f>
        <v/>
      </c>
      <c r="C1268" s="10" t="str">
        <f>IF(SISTEMA!C1262="","",SISTEMA!C1262)</f>
        <v/>
      </c>
      <c r="D1268" s="5" t="str" cm="1">
        <f t="array" ref="D12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8" s="5" t="str" cm="1">
        <f t="array" ref="E12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8" s="5" t="str" cm="1">
        <f t="array" ref="F12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8" t="str" cm="1">
        <f t="array" ref="G12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8" s="4"/>
      <c r="I1268" s="3" t="str" cm="1">
        <f t="array" ref="I12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69" spans="1:9" x14ac:dyDescent="0.3">
      <c r="A1269" s="3" t="str">
        <f>IF(SISTEMA!A1263="","",SISTEMA!A1263)</f>
        <v/>
      </c>
      <c r="B1269" s="10" t="str">
        <f>IF(SISTEMA!B1263="","",VALUE(SISTEMA!B1263))</f>
        <v/>
      </c>
      <c r="C1269" s="10" t="str">
        <f>IF(SISTEMA!C1263="","",SISTEMA!C1263)</f>
        <v/>
      </c>
      <c r="D1269" s="5" t="str" cm="1">
        <f t="array" ref="D12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69" s="5" t="str" cm="1">
        <f t="array" ref="E12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69" s="5" t="str" cm="1">
        <f t="array" ref="F12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69" t="str" cm="1">
        <f t="array" ref="G12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69" s="4"/>
      <c r="I1269" s="3" t="str" cm="1">
        <f t="array" ref="I12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0" spans="1:9" x14ac:dyDescent="0.3">
      <c r="A1270" s="3" t="str">
        <f>IF(SISTEMA!A1264="","",SISTEMA!A1264)</f>
        <v/>
      </c>
      <c r="B1270" s="10" t="str">
        <f>IF(SISTEMA!B1264="","",VALUE(SISTEMA!B1264))</f>
        <v/>
      </c>
      <c r="C1270" s="10" t="str">
        <f>IF(SISTEMA!C1264="","",SISTEMA!C1264)</f>
        <v/>
      </c>
      <c r="D1270" s="5" t="str" cm="1">
        <f t="array" ref="D12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0" s="5" t="str" cm="1">
        <f t="array" ref="E12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0" s="5" t="str" cm="1">
        <f t="array" ref="F12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0" t="str" cm="1">
        <f t="array" ref="G12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0" s="4"/>
      <c r="I1270" s="3" t="str" cm="1">
        <f t="array" ref="I12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1" spans="1:9" x14ac:dyDescent="0.3">
      <c r="A1271" s="3" t="str">
        <f>IF(SISTEMA!A1265="","",SISTEMA!A1265)</f>
        <v/>
      </c>
      <c r="B1271" s="10" t="str">
        <f>IF(SISTEMA!B1265="","",VALUE(SISTEMA!B1265))</f>
        <v/>
      </c>
      <c r="C1271" s="10" t="str">
        <f>IF(SISTEMA!C1265="","",SISTEMA!C1265)</f>
        <v/>
      </c>
      <c r="D1271" s="5" t="str" cm="1">
        <f t="array" ref="D12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1" s="5" t="str" cm="1">
        <f t="array" ref="E12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1" s="5" t="str" cm="1">
        <f t="array" ref="F12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1" t="str" cm="1">
        <f t="array" ref="G12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1" s="4"/>
      <c r="I1271" s="3" t="str" cm="1">
        <f t="array" ref="I12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2" spans="1:9" x14ac:dyDescent="0.3">
      <c r="A1272" s="3" t="str">
        <f>IF(SISTEMA!A1266="","",SISTEMA!A1266)</f>
        <v/>
      </c>
      <c r="B1272" s="10" t="str">
        <f>IF(SISTEMA!B1266="","",VALUE(SISTEMA!B1266))</f>
        <v/>
      </c>
      <c r="C1272" s="10" t="str">
        <f>IF(SISTEMA!C1266="","",SISTEMA!C1266)</f>
        <v/>
      </c>
      <c r="D1272" s="5" t="str" cm="1">
        <f t="array" ref="D12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2" s="5" t="str" cm="1">
        <f t="array" ref="E12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2" s="5" t="str" cm="1">
        <f t="array" ref="F12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2" t="str" cm="1">
        <f t="array" ref="G12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2" s="4"/>
      <c r="I1272" s="3" t="str" cm="1">
        <f t="array" ref="I12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3" spans="1:9" x14ac:dyDescent="0.3">
      <c r="A1273" s="3" t="str">
        <f>IF(SISTEMA!A1267="","",SISTEMA!A1267)</f>
        <v/>
      </c>
      <c r="B1273" s="10" t="str">
        <f>IF(SISTEMA!B1267="","",VALUE(SISTEMA!B1267))</f>
        <v/>
      </c>
      <c r="C1273" s="10" t="str">
        <f>IF(SISTEMA!C1267="","",SISTEMA!C1267)</f>
        <v/>
      </c>
      <c r="D1273" s="5" t="str" cm="1">
        <f t="array" ref="D12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3" s="5" t="str" cm="1">
        <f t="array" ref="E12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3" s="5" t="str" cm="1">
        <f t="array" ref="F12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3" t="str" cm="1">
        <f t="array" ref="G12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3" s="4"/>
      <c r="I1273" s="3" t="str" cm="1">
        <f t="array" ref="I12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4" spans="1:9" x14ac:dyDescent="0.3">
      <c r="A1274" s="3" t="str">
        <f>IF(SISTEMA!A1268="","",SISTEMA!A1268)</f>
        <v/>
      </c>
      <c r="B1274" s="10" t="str">
        <f>IF(SISTEMA!B1268="","",VALUE(SISTEMA!B1268))</f>
        <v/>
      </c>
      <c r="C1274" s="10" t="str">
        <f>IF(SISTEMA!C1268="","",SISTEMA!C1268)</f>
        <v/>
      </c>
      <c r="D1274" s="5" t="str" cm="1">
        <f t="array" ref="D12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4" s="5" t="str" cm="1">
        <f t="array" ref="E12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4" s="5" t="str" cm="1">
        <f t="array" ref="F12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4" t="str" cm="1">
        <f t="array" ref="G12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4" s="4"/>
      <c r="I1274" s="3" t="str" cm="1">
        <f t="array" ref="I12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5" spans="1:9" x14ac:dyDescent="0.3">
      <c r="A1275" s="3" t="str">
        <f>IF(SISTEMA!A1269="","",SISTEMA!A1269)</f>
        <v/>
      </c>
      <c r="B1275" s="10" t="str">
        <f>IF(SISTEMA!B1269="","",VALUE(SISTEMA!B1269))</f>
        <v/>
      </c>
      <c r="C1275" s="10" t="str">
        <f>IF(SISTEMA!C1269="","",SISTEMA!C1269)</f>
        <v/>
      </c>
      <c r="D1275" s="5" t="str" cm="1">
        <f t="array" ref="D12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5" s="5" t="str" cm="1">
        <f t="array" ref="E12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5" s="5" t="str" cm="1">
        <f t="array" ref="F12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5" t="str" cm="1">
        <f t="array" ref="G12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5" s="4"/>
      <c r="I1275" s="3" t="str" cm="1">
        <f t="array" ref="I12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6" spans="1:9" x14ac:dyDescent="0.3">
      <c r="A1276" s="3" t="str">
        <f>IF(SISTEMA!A1270="","",SISTEMA!A1270)</f>
        <v/>
      </c>
      <c r="B1276" s="10" t="str">
        <f>IF(SISTEMA!B1270="","",VALUE(SISTEMA!B1270))</f>
        <v/>
      </c>
      <c r="C1276" s="10" t="str">
        <f>IF(SISTEMA!C1270="","",SISTEMA!C1270)</f>
        <v/>
      </c>
      <c r="D1276" s="5" t="str" cm="1">
        <f t="array" ref="D12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6" s="5" t="str" cm="1">
        <f t="array" ref="E12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6" s="5" t="str" cm="1">
        <f t="array" ref="F12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6" t="str" cm="1">
        <f t="array" ref="G12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6" s="4"/>
      <c r="I1276" s="3" t="str" cm="1">
        <f t="array" ref="I12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7" spans="1:9" x14ac:dyDescent="0.3">
      <c r="A1277" s="3" t="str">
        <f>IF(SISTEMA!A1271="","",SISTEMA!A1271)</f>
        <v/>
      </c>
      <c r="B1277" s="10" t="str">
        <f>IF(SISTEMA!B1271="","",VALUE(SISTEMA!B1271))</f>
        <v/>
      </c>
      <c r="C1277" s="10" t="str">
        <f>IF(SISTEMA!C1271="","",SISTEMA!C1271)</f>
        <v/>
      </c>
      <c r="D1277" s="5" t="str" cm="1">
        <f t="array" ref="D12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7" s="5" t="str" cm="1">
        <f t="array" ref="E12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7" s="5" t="str" cm="1">
        <f t="array" ref="F12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7" t="str" cm="1">
        <f t="array" ref="G12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7" s="4"/>
      <c r="I1277" s="3" t="str" cm="1">
        <f t="array" ref="I12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8" spans="1:9" x14ac:dyDescent="0.3">
      <c r="A1278" s="3" t="str">
        <f>IF(SISTEMA!A1272="","",SISTEMA!A1272)</f>
        <v/>
      </c>
      <c r="B1278" s="10" t="str">
        <f>IF(SISTEMA!B1272="","",VALUE(SISTEMA!B1272))</f>
        <v/>
      </c>
      <c r="C1278" s="10" t="str">
        <f>IF(SISTEMA!C1272="","",SISTEMA!C1272)</f>
        <v/>
      </c>
      <c r="D1278" s="5" t="str" cm="1">
        <f t="array" ref="D12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8" s="5" t="str" cm="1">
        <f t="array" ref="E12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8" s="5" t="str" cm="1">
        <f t="array" ref="F12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8" t="str" cm="1">
        <f t="array" ref="G12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8" s="4"/>
      <c r="I1278" s="3" t="str" cm="1">
        <f t="array" ref="I12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79" spans="1:9" x14ac:dyDescent="0.3">
      <c r="A1279" s="3" t="str">
        <f>IF(SISTEMA!A1273="","",SISTEMA!A1273)</f>
        <v/>
      </c>
      <c r="B1279" s="10" t="str">
        <f>IF(SISTEMA!B1273="","",VALUE(SISTEMA!B1273))</f>
        <v/>
      </c>
      <c r="C1279" s="10" t="str">
        <f>IF(SISTEMA!C1273="","",SISTEMA!C1273)</f>
        <v/>
      </c>
      <c r="D1279" s="5" t="str" cm="1">
        <f t="array" ref="D12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79" s="5" t="str" cm="1">
        <f t="array" ref="E12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79" s="5" t="str" cm="1">
        <f t="array" ref="F12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79" t="str" cm="1">
        <f t="array" ref="G12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79" s="4"/>
      <c r="I1279" s="3" t="str" cm="1">
        <f t="array" ref="I12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0" spans="1:9" x14ac:dyDescent="0.3">
      <c r="A1280" s="3" t="str">
        <f>IF(SISTEMA!A1274="","",SISTEMA!A1274)</f>
        <v/>
      </c>
      <c r="B1280" s="10" t="str">
        <f>IF(SISTEMA!B1274="","",VALUE(SISTEMA!B1274))</f>
        <v/>
      </c>
      <c r="C1280" s="10" t="str">
        <f>IF(SISTEMA!C1274="","",SISTEMA!C1274)</f>
        <v/>
      </c>
      <c r="D1280" s="5" t="str" cm="1">
        <f t="array" ref="D12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0" s="5" t="str" cm="1">
        <f t="array" ref="E12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0" s="5" t="str" cm="1">
        <f t="array" ref="F12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0" t="str" cm="1">
        <f t="array" ref="G12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0" s="4"/>
      <c r="I1280" s="3" t="str" cm="1">
        <f t="array" ref="I12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1" spans="1:9" x14ac:dyDescent="0.3">
      <c r="A1281" s="3" t="str">
        <f>IF(SISTEMA!A1275="","",SISTEMA!A1275)</f>
        <v/>
      </c>
      <c r="B1281" s="10" t="str">
        <f>IF(SISTEMA!B1275="","",VALUE(SISTEMA!B1275))</f>
        <v/>
      </c>
      <c r="C1281" s="10" t="str">
        <f>IF(SISTEMA!C1275="","",SISTEMA!C1275)</f>
        <v/>
      </c>
      <c r="D1281" s="5" t="str" cm="1">
        <f t="array" ref="D12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1" s="5" t="str" cm="1">
        <f t="array" ref="E12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1" s="5" t="str" cm="1">
        <f t="array" ref="F12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1" t="str" cm="1">
        <f t="array" ref="G12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1" s="4"/>
      <c r="I1281" s="3" t="str" cm="1">
        <f t="array" ref="I12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2" spans="1:9" x14ac:dyDescent="0.3">
      <c r="A1282" s="3" t="str">
        <f>IF(SISTEMA!A1276="","",SISTEMA!A1276)</f>
        <v/>
      </c>
      <c r="B1282" s="10" t="str">
        <f>IF(SISTEMA!B1276="","",VALUE(SISTEMA!B1276))</f>
        <v/>
      </c>
      <c r="C1282" s="10" t="str">
        <f>IF(SISTEMA!C1276="","",SISTEMA!C1276)</f>
        <v/>
      </c>
      <c r="D1282" s="5" t="str" cm="1">
        <f t="array" ref="D12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2" s="5" t="str" cm="1">
        <f t="array" ref="E12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2" s="5" t="str" cm="1">
        <f t="array" ref="F12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2" t="str" cm="1">
        <f t="array" ref="G12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2" s="4"/>
      <c r="I1282" s="3" t="str" cm="1">
        <f t="array" ref="I12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3" spans="1:9" x14ac:dyDescent="0.3">
      <c r="A1283" s="3" t="str">
        <f>IF(SISTEMA!A1277="","",SISTEMA!A1277)</f>
        <v/>
      </c>
      <c r="B1283" s="10" t="str">
        <f>IF(SISTEMA!B1277="","",VALUE(SISTEMA!B1277))</f>
        <v/>
      </c>
      <c r="C1283" s="10" t="str">
        <f>IF(SISTEMA!C1277="","",SISTEMA!C1277)</f>
        <v/>
      </c>
      <c r="D1283" s="5" t="str" cm="1">
        <f t="array" ref="D12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3" s="5" t="str" cm="1">
        <f t="array" ref="E12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3" s="5" t="str" cm="1">
        <f t="array" ref="F12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3" t="str" cm="1">
        <f t="array" ref="G12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3" s="4"/>
      <c r="I1283" s="3" t="str" cm="1">
        <f t="array" ref="I12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4" spans="1:9" x14ac:dyDescent="0.3">
      <c r="A1284" s="3" t="str">
        <f>IF(SISTEMA!A1278="","",SISTEMA!A1278)</f>
        <v/>
      </c>
      <c r="B1284" s="10" t="str">
        <f>IF(SISTEMA!B1278="","",VALUE(SISTEMA!B1278))</f>
        <v/>
      </c>
      <c r="C1284" s="10" t="str">
        <f>IF(SISTEMA!C1278="","",SISTEMA!C1278)</f>
        <v/>
      </c>
      <c r="D1284" s="5" t="str" cm="1">
        <f t="array" ref="D12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4" s="5" t="str" cm="1">
        <f t="array" ref="E12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4" s="5" t="str" cm="1">
        <f t="array" ref="F12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4" t="str" cm="1">
        <f t="array" ref="G12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4" s="4"/>
      <c r="I1284" s="3" t="str" cm="1">
        <f t="array" ref="I12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5" spans="1:9" x14ac:dyDescent="0.3">
      <c r="A1285" s="3" t="str">
        <f>IF(SISTEMA!A1279="","",SISTEMA!A1279)</f>
        <v/>
      </c>
      <c r="B1285" s="10" t="str">
        <f>IF(SISTEMA!B1279="","",VALUE(SISTEMA!B1279))</f>
        <v/>
      </c>
      <c r="C1285" s="10" t="str">
        <f>IF(SISTEMA!C1279="","",SISTEMA!C1279)</f>
        <v/>
      </c>
      <c r="D1285" s="5" t="str" cm="1">
        <f t="array" ref="D12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5" s="5" t="str" cm="1">
        <f t="array" ref="E12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5" s="5" t="str" cm="1">
        <f t="array" ref="F12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5" t="str" cm="1">
        <f t="array" ref="G12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5" s="4"/>
      <c r="I1285" s="3" t="str" cm="1">
        <f t="array" ref="I12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6" spans="1:9" x14ac:dyDescent="0.3">
      <c r="A1286" s="3" t="str">
        <f>IF(SISTEMA!A1280="","",SISTEMA!A1280)</f>
        <v/>
      </c>
      <c r="B1286" s="10" t="str">
        <f>IF(SISTEMA!B1280="","",VALUE(SISTEMA!B1280))</f>
        <v/>
      </c>
      <c r="C1286" s="10" t="str">
        <f>IF(SISTEMA!C1280="","",SISTEMA!C1280)</f>
        <v/>
      </c>
      <c r="D1286" s="5" t="str" cm="1">
        <f t="array" ref="D12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6" s="5" t="str" cm="1">
        <f t="array" ref="E12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6" s="5" t="str" cm="1">
        <f t="array" ref="F12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6" t="str" cm="1">
        <f t="array" ref="G12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6" s="4"/>
      <c r="I1286" s="3" t="str" cm="1">
        <f t="array" ref="I12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7" spans="1:9" x14ac:dyDescent="0.3">
      <c r="A1287" s="3" t="str">
        <f>IF(SISTEMA!A1281="","",SISTEMA!A1281)</f>
        <v/>
      </c>
      <c r="B1287" s="10" t="str">
        <f>IF(SISTEMA!B1281="","",VALUE(SISTEMA!B1281))</f>
        <v/>
      </c>
      <c r="C1287" s="10" t="str">
        <f>IF(SISTEMA!C1281="","",SISTEMA!C1281)</f>
        <v/>
      </c>
      <c r="D1287" s="5" t="str" cm="1">
        <f t="array" ref="D12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7" s="5" t="str" cm="1">
        <f t="array" ref="E12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7" s="5" t="str" cm="1">
        <f t="array" ref="F12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7" t="str" cm="1">
        <f t="array" ref="G12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7" s="4"/>
      <c r="I1287" s="3" t="str" cm="1">
        <f t="array" ref="I12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8" spans="1:9" x14ac:dyDescent="0.3">
      <c r="A1288" s="3" t="str">
        <f>IF(SISTEMA!A1282="","",SISTEMA!A1282)</f>
        <v/>
      </c>
      <c r="B1288" s="10" t="str">
        <f>IF(SISTEMA!B1282="","",VALUE(SISTEMA!B1282))</f>
        <v/>
      </c>
      <c r="C1288" s="10" t="str">
        <f>IF(SISTEMA!C1282="","",SISTEMA!C1282)</f>
        <v/>
      </c>
      <c r="D1288" s="5" t="str" cm="1">
        <f t="array" ref="D12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8" s="5" t="str" cm="1">
        <f t="array" ref="E12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8" s="5" t="str" cm="1">
        <f t="array" ref="F12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8" t="str" cm="1">
        <f t="array" ref="G12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8" s="4"/>
      <c r="I1288" s="3" t="str" cm="1">
        <f t="array" ref="I12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89" spans="1:9" x14ac:dyDescent="0.3">
      <c r="A1289" s="3" t="str">
        <f>IF(SISTEMA!A1283="","",SISTEMA!A1283)</f>
        <v/>
      </c>
      <c r="B1289" s="10" t="str">
        <f>IF(SISTEMA!B1283="","",VALUE(SISTEMA!B1283))</f>
        <v/>
      </c>
      <c r="C1289" s="10" t="str">
        <f>IF(SISTEMA!C1283="","",SISTEMA!C1283)</f>
        <v/>
      </c>
      <c r="D1289" s="5" t="str" cm="1">
        <f t="array" ref="D12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89" s="5" t="str" cm="1">
        <f t="array" ref="E12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89" s="5" t="str" cm="1">
        <f t="array" ref="F12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89" t="str" cm="1">
        <f t="array" ref="G12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89" s="4"/>
      <c r="I1289" s="3" t="str" cm="1">
        <f t="array" ref="I12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0" spans="1:9" x14ac:dyDescent="0.3">
      <c r="A1290" s="3" t="str">
        <f>IF(SISTEMA!A1284="","",SISTEMA!A1284)</f>
        <v/>
      </c>
      <c r="B1290" s="10" t="str">
        <f>IF(SISTEMA!B1284="","",VALUE(SISTEMA!B1284))</f>
        <v/>
      </c>
      <c r="C1290" s="10" t="str">
        <f>IF(SISTEMA!C1284="","",SISTEMA!C1284)</f>
        <v/>
      </c>
      <c r="D1290" s="5" t="str" cm="1">
        <f t="array" ref="D12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0" s="5" t="str" cm="1">
        <f t="array" ref="E12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0" s="5" t="str" cm="1">
        <f t="array" ref="F12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0" t="str" cm="1">
        <f t="array" ref="G12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0" s="4"/>
      <c r="I1290" s="3" t="str" cm="1">
        <f t="array" ref="I12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1" spans="1:9" x14ac:dyDescent="0.3">
      <c r="A1291" s="3" t="str">
        <f>IF(SISTEMA!A1285="","",SISTEMA!A1285)</f>
        <v/>
      </c>
      <c r="B1291" s="10" t="str">
        <f>IF(SISTEMA!B1285="","",VALUE(SISTEMA!B1285))</f>
        <v/>
      </c>
      <c r="C1291" s="10" t="str">
        <f>IF(SISTEMA!C1285="","",SISTEMA!C1285)</f>
        <v/>
      </c>
      <c r="D1291" s="5" t="str" cm="1">
        <f t="array" ref="D12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1" s="5" t="str" cm="1">
        <f t="array" ref="E12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1" s="5" t="str" cm="1">
        <f t="array" ref="F12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1" t="str" cm="1">
        <f t="array" ref="G12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1" s="4"/>
      <c r="I1291" s="3" t="str" cm="1">
        <f t="array" ref="I12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2" spans="1:9" x14ac:dyDescent="0.3">
      <c r="A1292" s="3" t="str">
        <f>IF(SISTEMA!A1286="","",SISTEMA!A1286)</f>
        <v/>
      </c>
      <c r="B1292" s="10" t="str">
        <f>IF(SISTEMA!B1286="","",VALUE(SISTEMA!B1286))</f>
        <v/>
      </c>
      <c r="C1292" s="10" t="str">
        <f>IF(SISTEMA!C1286="","",SISTEMA!C1286)</f>
        <v/>
      </c>
      <c r="D1292" s="5" t="str" cm="1">
        <f t="array" ref="D12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2" s="5" t="str" cm="1">
        <f t="array" ref="E12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2" s="5" t="str" cm="1">
        <f t="array" ref="F12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2" t="str" cm="1">
        <f t="array" ref="G12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2" s="4"/>
      <c r="I1292" s="3" t="str" cm="1">
        <f t="array" ref="I12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3" spans="1:9" x14ac:dyDescent="0.3">
      <c r="A1293" s="3" t="str">
        <f>IF(SISTEMA!A1287="","",SISTEMA!A1287)</f>
        <v/>
      </c>
      <c r="B1293" s="10" t="str">
        <f>IF(SISTEMA!B1287="","",VALUE(SISTEMA!B1287))</f>
        <v/>
      </c>
      <c r="C1293" s="10" t="str">
        <f>IF(SISTEMA!C1287="","",SISTEMA!C1287)</f>
        <v/>
      </c>
      <c r="D1293" s="5" t="str" cm="1">
        <f t="array" ref="D12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3" s="5" t="str" cm="1">
        <f t="array" ref="E12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3" s="5" t="str" cm="1">
        <f t="array" ref="F12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3" t="str" cm="1">
        <f t="array" ref="G12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3" s="4"/>
      <c r="I1293" s="3" t="str" cm="1">
        <f t="array" ref="I12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4" spans="1:9" x14ac:dyDescent="0.3">
      <c r="A1294" s="3" t="str">
        <f>IF(SISTEMA!A1288="","",SISTEMA!A1288)</f>
        <v/>
      </c>
      <c r="B1294" s="10" t="str">
        <f>IF(SISTEMA!B1288="","",VALUE(SISTEMA!B1288))</f>
        <v/>
      </c>
      <c r="C1294" s="10" t="str">
        <f>IF(SISTEMA!C1288="","",SISTEMA!C1288)</f>
        <v/>
      </c>
      <c r="D1294" s="5" t="str" cm="1">
        <f t="array" ref="D12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4" s="5" t="str" cm="1">
        <f t="array" ref="E12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4" s="5" t="str" cm="1">
        <f t="array" ref="F12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4" t="str" cm="1">
        <f t="array" ref="G12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4" s="4"/>
      <c r="I1294" s="3" t="str" cm="1">
        <f t="array" ref="I12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5" spans="1:9" x14ac:dyDescent="0.3">
      <c r="A1295" s="3" t="str">
        <f>IF(SISTEMA!A1289="","",SISTEMA!A1289)</f>
        <v/>
      </c>
      <c r="B1295" s="10" t="str">
        <f>IF(SISTEMA!B1289="","",VALUE(SISTEMA!B1289))</f>
        <v/>
      </c>
      <c r="C1295" s="10" t="str">
        <f>IF(SISTEMA!C1289="","",SISTEMA!C1289)</f>
        <v/>
      </c>
      <c r="D1295" s="5" t="str" cm="1">
        <f t="array" ref="D12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5" s="5" t="str" cm="1">
        <f t="array" ref="E12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5" s="5" t="str" cm="1">
        <f t="array" ref="F12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5" t="str" cm="1">
        <f t="array" ref="G12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5" s="4"/>
      <c r="I1295" s="3" t="str" cm="1">
        <f t="array" ref="I12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6" spans="1:9" x14ac:dyDescent="0.3">
      <c r="A1296" s="3" t="str">
        <f>IF(SISTEMA!A1290="","",SISTEMA!A1290)</f>
        <v/>
      </c>
      <c r="B1296" s="10" t="str">
        <f>IF(SISTEMA!B1290="","",VALUE(SISTEMA!B1290))</f>
        <v/>
      </c>
      <c r="C1296" s="10" t="str">
        <f>IF(SISTEMA!C1290="","",SISTEMA!C1290)</f>
        <v/>
      </c>
      <c r="D1296" s="5" t="str" cm="1">
        <f t="array" ref="D12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6" s="5" t="str" cm="1">
        <f t="array" ref="E12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6" s="5" t="str" cm="1">
        <f t="array" ref="F12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6" t="str" cm="1">
        <f t="array" ref="G12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6" s="4"/>
      <c r="I1296" s="3" t="str" cm="1">
        <f t="array" ref="I12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7" spans="1:9" x14ac:dyDescent="0.3">
      <c r="A1297" s="3" t="str">
        <f>IF(SISTEMA!A1291="","",SISTEMA!A1291)</f>
        <v/>
      </c>
      <c r="B1297" s="10" t="str">
        <f>IF(SISTEMA!B1291="","",VALUE(SISTEMA!B1291))</f>
        <v/>
      </c>
      <c r="C1297" s="10" t="str">
        <f>IF(SISTEMA!C1291="","",SISTEMA!C1291)</f>
        <v/>
      </c>
      <c r="D1297" s="5" t="str" cm="1">
        <f t="array" ref="D12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7" s="5" t="str" cm="1">
        <f t="array" ref="E12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7" s="5" t="str" cm="1">
        <f t="array" ref="F12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7" t="str" cm="1">
        <f t="array" ref="G12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7" s="4"/>
      <c r="I1297" s="3" t="str" cm="1">
        <f t="array" ref="I12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8" spans="1:9" x14ac:dyDescent="0.3">
      <c r="A1298" s="3" t="str">
        <f>IF(SISTEMA!A1292="","",SISTEMA!A1292)</f>
        <v/>
      </c>
      <c r="B1298" s="10" t="str">
        <f>IF(SISTEMA!B1292="","",VALUE(SISTEMA!B1292))</f>
        <v/>
      </c>
      <c r="C1298" s="10" t="str">
        <f>IF(SISTEMA!C1292="","",SISTEMA!C1292)</f>
        <v/>
      </c>
      <c r="D1298" s="5" t="str" cm="1">
        <f t="array" ref="D12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8" s="5" t="str" cm="1">
        <f t="array" ref="E12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8" s="5" t="str" cm="1">
        <f t="array" ref="F12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8" t="str" cm="1">
        <f t="array" ref="G12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8" s="4"/>
      <c r="I1298" s="3" t="str" cm="1">
        <f t="array" ref="I12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299" spans="1:9" x14ac:dyDescent="0.3">
      <c r="A1299" s="3" t="str">
        <f>IF(SISTEMA!A1293="","",SISTEMA!A1293)</f>
        <v/>
      </c>
      <c r="B1299" s="10" t="str">
        <f>IF(SISTEMA!B1293="","",VALUE(SISTEMA!B1293))</f>
        <v/>
      </c>
      <c r="C1299" s="10" t="str">
        <f>IF(SISTEMA!C1293="","",SISTEMA!C1293)</f>
        <v/>
      </c>
      <c r="D1299" s="5" t="str" cm="1">
        <f t="array" ref="D12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299" s="5" t="str" cm="1">
        <f t="array" ref="E12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299" s="5" t="str" cm="1">
        <f t="array" ref="F12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299" t="str" cm="1">
        <f t="array" ref="G12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299" s="4"/>
      <c r="I1299" s="3" t="str" cm="1">
        <f t="array" ref="I12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0" spans="1:9" x14ac:dyDescent="0.3">
      <c r="A1300" s="3" t="str">
        <f>IF(SISTEMA!A1294="","",SISTEMA!A1294)</f>
        <v/>
      </c>
      <c r="B1300" s="10" t="str">
        <f>IF(SISTEMA!B1294="","",VALUE(SISTEMA!B1294))</f>
        <v/>
      </c>
      <c r="C1300" s="10" t="str">
        <f>IF(SISTEMA!C1294="","",SISTEMA!C1294)</f>
        <v/>
      </c>
      <c r="D1300" s="5" t="str" cm="1">
        <f t="array" ref="D13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0" s="5" t="str" cm="1">
        <f t="array" ref="E13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0" s="5" t="str" cm="1">
        <f t="array" ref="F13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0" t="str" cm="1">
        <f t="array" ref="G13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0" s="4"/>
      <c r="I1300" s="3" t="str" cm="1">
        <f t="array" ref="I13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1" spans="1:9" x14ac:dyDescent="0.3">
      <c r="A1301" s="3" t="str">
        <f>IF(SISTEMA!A1295="","",SISTEMA!A1295)</f>
        <v/>
      </c>
      <c r="B1301" s="10" t="str">
        <f>IF(SISTEMA!B1295="","",VALUE(SISTEMA!B1295))</f>
        <v/>
      </c>
      <c r="C1301" s="10" t="str">
        <f>IF(SISTEMA!C1295="","",SISTEMA!C1295)</f>
        <v/>
      </c>
      <c r="D1301" s="5" t="str" cm="1">
        <f t="array" ref="D13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1" s="5" t="str" cm="1">
        <f t="array" ref="E13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1" s="5" t="str" cm="1">
        <f t="array" ref="F13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1" t="str" cm="1">
        <f t="array" ref="G13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1" s="4"/>
      <c r="I1301" s="3" t="str" cm="1">
        <f t="array" ref="I13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2" spans="1:9" x14ac:dyDescent="0.3">
      <c r="A1302" s="3" t="str">
        <f>IF(SISTEMA!A1296="","",SISTEMA!A1296)</f>
        <v/>
      </c>
      <c r="B1302" s="10" t="str">
        <f>IF(SISTEMA!B1296="","",VALUE(SISTEMA!B1296))</f>
        <v/>
      </c>
      <c r="C1302" s="10" t="str">
        <f>IF(SISTEMA!C1296="","",SISTEMA!C1296)</f>
        <v/>
      </c>
      <c r="D1302" s="5" t="str" cm="1">
        <f t="array" ref="D13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2" s="5" t="str" cm="1">
        <f t="array" ref="E13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2" s="5" t="str" cm="1">
        <f t="array" ref="F13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2" t="str" cm="1">
        <f t="array" ref="G13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2" s="4"/>
      <c r="I1302" s="3" t="str" cm="1">
        <f t="array" ref="I13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3" spans="1:9" x14ac:dyDescent="0.3">
      <c r="A1303" s="3" t="str">
        <f>IF(SISTEMA!A1297="","",SISTEMA!A1297)</f>
        <v/>
      </c>
      <c r="B1303" s="10" t="str">
        <f>IF(SISTEMA!B1297="","",VALUE(SISTEMA!B1297))</f>
        <v/>
      </c>
      <c r="C1303" s="10" t="str">
        <f>IF(SISTEMA!C1297="","",SISTEMA!C1297)</f>
        <v/>
      </c>
      <c r="D1303" s="5" t="str" cm="1">
        <f t="array" ref="D13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3" s="5" t="str" cm="1">
        <f t="array" ref="E13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3" s="5" t="str" cm="1">
        <f t="array" ref="F13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3" t="str" cm="1">
        <f t="array" ref="G13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3" s="4"/>
      <c r="I1303" s="3" t="str" cm="1">
        <f t="array" ref="I13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4" spans="1:9" x14ac:dyDescent="0.3">
      <c r="A1304" s="3" t="str">
        <f>IF(SISTEMA!A1298="","",SISTEMA!A1298)</f>
        <v/>
      </c>
      <c r="B1304" s="10" t="str">
        <f>IF(SISTEMA!B1298="","",VALUE(SISTEMA!B1298))</f>
        <v/>
      </c>
      <c r="C1304" s="10" t="str">
        <f>IF(SISTEMA!C1298="","",SISTEMA!C1298)</f>
        <v/>
      </c>
      <c r="D1304" s="5" t="str" cm="1">
        <f t="array" ref="D13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4" s="5" t="str" cm="1">
        <f t="array" ref="E13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4" s="5" t="str" cm="1">
        <f t="array" ref="F13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4" t="str" cm="1">
        <f t="array" ref="G13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4" s="4"/>
      <c r="I1304" s="3" t="str" cm="1">
        <f t="array" ref="I13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5" spans="1:9" x14ac:dyDescent="0.3">
      <c r="A1305" s="3" t="str">
        <f>IF(SISTEMA!A1299="","",SISTEMA!A1299)</f>
        <v/>
      </c>
      <c r="B1305" s="10" t="str">
        <f>IF(SISTEMA!B1299="","",VALUE(SISTEMA!B1299))</f>
        <v/>
      </c>
      <c r="C1305" s="10" t="str">
        <f>IF(SISTEMA!C1299="","",SISTEMA!C1299)</f>
        <v/>
      </c>
      <c r="D1305" s="5" t="str" cm="1">
        <f t="array" ref="D13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5" s="5" t="str" cm="1">
        <f t="array" ref="E13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5" s="5" t="str" cm="1">
        <f t="array" ref="F13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5" t="str" cm="1">
        <f t="array" ref="G13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5" s="4"/>
      <c r="I1305" s="3" t="str" cm="1">
        <f t="array" ref="I13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6" spans="1:9" x14ac:dyDescent="0.3">
      <c r="A1306" s="3" t="str">
        <f>IF(SISTEMA!A1300="","",SISTEMA!A1300)</f>
        <v/>
      </c>
      <c r="B1306" s="10" t="str">
        <f>IF(SISTEMA!B1300="","",VALUE(SISTEMA!B1300))</f>
        <v/>
      </c>
      <c r="C1306" s="10" t="str">
        <f>IF(SISTEMA!C1300="","",SISTEMA!C1300)</f>
        <v/>
      </c>
      <c r="D1306" s="5" t="str" cm="1">
        <f t="array" ref="D13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6" s="5" t="str" cm="1">
        <f t="array" ref="E13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6" s="5" t="str" cm="1">
        <f t="array" ref="F13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6" t="str" cm="1">
        <f t="array" ref="G13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6" s="4"/>
      <c r="I1306" s="3" t="str" cm="1">
        <f t="array" ref="I13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7" spans="1:9" x14ac:dyDescent="0.3">
      <c r="A1307" s="3" t="str">
        <f>IF(SISTEMA!A1301="","",SISTEMA!A1301)</f>
        <v/>
      </c>
      <c r="B1307" s="10" t="str">
        <f>IF(SISTEMA!B1301="","",VALUE(SISTEMA!B1301))</f>
        <v/>
      </c>
      <c r="C1307" s="10" t="str">
        <f>IF(SISTEMA!C1301="","",SISTEMA!C1301)</f>
        <v/>
      </c>
      <c r="D1307" s="5" t="str" cm="1">
        <f t="array" ref="D13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7" s="5" t="str" cm="1">
        <f t="array" ref="E13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7" s="5" t="str" cm="1">
        <f t="array" ref="F13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7" t="str" cm="1">
        <f t="array" ref="G13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7" s="4"/>
      <c r="I1307" s="3" t="str" cm="1">
        <f t="array" ref="I13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8" spans="1:9" x14ac:dyDescent="0.3">
      <c r="A1308" s="3" t="str">
        <f>IF(SISTEMA!A1302="","",SISTEMA!A1302)</f>
        <v/>
      </c>
      <c r="B1308" s="10" t="str">
        <f>IF(SISTEMA!B1302="","",VALUE(SISTEMA!B1302))</f>
        <v/>
      </c>
      <c r="C1308" s="10" t="str">
        <f>IF(SISTEMA!C1302="","",SISTEMA!C1302)</f>
        <v/>
      </c>
      <c r="D1308" s="5" t="str" cm="1">
        <f t="array" ref="D13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8" s="5" t="str" cm="1">
        <f t="array" ref="E13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8" s="5" t="str" cm="1">
        <f t="array" ref="F13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8" t="str" cm="1">
        <f t="array" ref="G13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8" s="4"/>
      <c r="I1308" s="3" t="str" cm="1">
        <f t="array" ref="I13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09" spans="1:9" x14ac:dyDescent="0.3">
      <c r="A1309" s="3" t="str">
        <f>IF(SISTEMA!A1303="","",SISTEMA!A1303)</f>
        <v/>
      </c>
      <c r="B1309" s="10" t="str">
        <f>IF(SISTEMA!B1303="","",VALUE(SISTEMA!B1303))</f>
        <v/>
      </c>
      <c r="C1309" s="10" t="str">
        <f>IF(SISTEMA!C1303="","",SISTEMA!C1303)</f>
        <v/>
      </c>
      <c r="D1309" s="5" t="str" cm="1">
        <f t="array" ref="D13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09" s="5" t="str" cm="1">
        <f t="array" ref="E13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09" s="5" t="str" cm="1">
        <f t="array" ref="F13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09" t="str" cm="1">
        <f t="array" ref="G13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09" s="4"/>
      <c r="I1309" s="3" t="str" cm="1">
        <f t="array" ref="I13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0" spans="1:9" x14ac:dyDescent="0.3">
      <c r="A1310" s="3" t="str">
        <f>IF(SISTEMA!A1304="","",SISTEMA!A1304)</f>
        <v/>
      </c>
      <c r="B1310" s="10" t="str">
        <f>IF(SISTEMA!B1304="","",VALUE(SISTEMA!B1304))</f>
        <v/>
      </c>
      <c r="C1310" s="10" t="str">
        <f>IF(SISTEMA!C1304="","",SISTEMA!C1304)</f>
        <v/>
      </c>
      <c r="D1310" s="5" t="str" cm="1">
        <f t="array" ref="D13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0" s="5" t="str" cm="1">
        <f t="array" ref="E13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0" s="5" t="str" cm="1">
        <f t="array" ref="F13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0" t="str" cm="1">
        <f t="array" ref="G13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0" s="4"/>
      <c r="I1310" s="3" t="str" cm="1">
        <f t="array" ref="I13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1" spans="1:9" x14ac:dyDescent="0.3">
      <c r="A1311" s="3" t="str">
        <f>IF(SISTEMA!A1305="","",SISTEMA!A1305)</f>
        <v/>
      </c>
      <c r="B1311" s="10" t="str">
        <f>IF(SISTEMA!B1305="","",VALUE(SISTEMA!B1305))</f>
        <v/>
      </c>
      <c r="C1311" s="10" t="str">
        <f>IF(SISTEMA!C1305="","",SISTEMA!C1305)</f>
        <v/>
      </c>
      <c r="D1311" s="5" t="str" cm="1">
        <f t="array" ref="D13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1" s="5" t="str" cm="1">
        <f t="array" ref="E13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1" s="5" t="str" cm="1">
        <f t="array" ref="F13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1" t="str" cm="1">
        <f t="array" ref="G13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1" s="4"/>
      <c r="I1311" s="3" t="str" cm="1">
        <f t="array" ref="I13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2" spans="1:9" x14ac:dyDescent="0.3">
      <c r="A1312" s="3" t="str">
        <f>IF(SISTEMA!A1306="","",SISTEMA!A1306)</f>
        <v/>
      </c>
      <c r="B1312" s="10" t="str">
        <f>IF(SISTEMA!B1306="","",VALUE(SISTEMA!B1306))</f>
        <v/>
      </c>
      <c r="C1312" s="10" t="str">
        <f>IF(SISTEMA!C1306="","",SISTEMA!C1306)</f>
        <v/>
      </c>
      <c r="D1312" s="5" t="str" cm="1">
        <f t="array" ref="D13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2" s="5" t="str" cm="1">
        <f t="array" ref="E13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2" s="5" t="str" cm="1">
        <f t="array" ref="F13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2" t="str" cm="1">
        <f t="array" ref="G13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2" s="4"/>
      <c r="I1312" s="3" t="str" cm="1">
        <f t="array" ref="I13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3" spans="1:9" x14ac:dyDescent="0.3">
      <c r="A1313" s="3" t="str">
        <f>IF(SISTEMA!A1307="","",SISTEMA!A1307)</f>
        <v/>
      </c>
      <c r="B1313" s="10" t="str">
        <f>IF(SISTEMA!B1307="","",VALUE(SISTEMA!B1307))</f>
        <v/>
      </c>
      <c r="C1313" s="10" t="str">
        <f>IF(SISTEMA!C1307="","",SISTEMA!C1307)</f>
        <v/>
      </c>
      <c r="D1313" s="5" t="str" cm="1">
        <f t="array" ref="D13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3" s="5" t="str" cm="1">
        <f t="array" ref="E13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3" s="5" t="str" cm="1">
        <f t="array" ref="F13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3" t="str" cm="1">
        <f t="array" ref="G13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3" s="4"/>
      <c r="I1313" s="3" t="str" cm="1">
        <f t="array" ref="I13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4" spans="1:9" x14ac:dyDescent="0.3">
      <c r="A1314" s="3" t="str">
        <f>IF(SISTEMA!A1308="","",SISTEMA!A1308)</f>
        <v/>
      </c>
      <c r="B1314" s="10" t="str">
        <f>IF(SISTEMA!B1308="","",VALUE(SISTEMA!B1308))</f>
        <v/>
      </c>
      <c r="C1314" s="10" t="str">
        <f>IF(SISTEMA!C1308="","",SISTEMA!C1308)</f>
        <v/>
      </c>
      <c r="D1314" s="5" t="str" cm="1">
        <f t="array" ref="D13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4" s="5" t="str" cm="1">
        <f t="array" ref="E13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4" s="5" t="str" cm="1">
        <f t="array" ref="F13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4" t="str" cm="1">
        <f t="array" ref="G13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4" s="4"/>
      <c r="I1314" s="3" t="str" cm="1">
        <f t="array" ref="I13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5" spans="1:9" x14ac:dyDescent="0.3">
      <c r="A1315" s="3" t="str">
        <f>IF(SISTEMA!A1309="","",SISTEMA!A1309)</f>
        <v/>
      </c>
      <c r="B1315" s="10" t="str">
        <f>IF(SISTEMA!B1309="","",VALUE(SISTEMA!B1309))</f>
        <v/>
      </c>
      <c r="C1315" s="10" t="str">
        <f>IF(SISTEMA!C1309="","",SISTEMA!C1309)</f>
        <v/>
      </c>
      <c r="D1315" s="5" t="str" cm="1">
        <f t="array" ref="D13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5" s="5" t="str" cm="1">
        <f t="array" ref="E13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5" s="5" t="str" cm="1">
        <f t="array" ref="F13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5" t="str" cm="1">
        <f t="array" ref="G13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5" s="4"/>
      <c r="I1315" s="3" t="str" cm="1">
        <f t="array" ref="I13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6" spans="1:9" x14ac:dyDescent="0.3">
      <c r="A1316" s="3" t="str">
        <f>IF(SISTEMA!A1310="","",SISTEMA!A1310)</f>
        <v/>
      </c>
      <c r="B1316" s="10" t="str">
        <f>IF(SISTEMA!B1310="","",VALUE(SISTEMA!B1310))</f>
        <v/>
      </c>
      <c r="C1316" s="10" t="str">
        <f>IF(SISTEMA!C1310="","",SISTEMA!C1310)</f>
        <v/>
      </c>
      <c r="D1316" s="5" t="str" cm="1">
        <f t="array" ref="D13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6" s="5" t="str" cm="1">
        <f t="array" ref="E13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6" s="5" t="str" cm="1">
        <f t="array" ref="F13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6" t="str" cm="1">
        <f t="array" ref="G13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6" s="4"/>
      <c r="I1316" s="3" t="str" cm="1">
        <f t="array" ref="I13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7" spans="1:9" x14ac:dyDescent="0.3">
      <c r="A1317" s="3" t="str">
        <f>IF(SISTEMA!A1311="","",SISTEMA!A1311)</f>
        <v/>
      </c>
      <c r="B1317" s="10" t="str">
        <f>IF(SISTEMA!B1311="","",VALUE(SISTEMA!B1311))</f>
        <v/>
      </c>
      <c r="C1317" s="10" t="str">
        <f>IF(SISTEMA!C1311="","",SISTEMA!C1311)</f>
        <v/>
      </c>
      <c r="D1317" s="5" t="str" cm="1">
        <f t="array" ref="D13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7" s="5" t="str" cm="1">
        <f t="array" ref="E13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7" s="5" t="str" cm="1">
        <f t="array" ref="F13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7" t="str" cm="1">
        <f t="array" ref="G13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7" s="4"/>
      <c r="I1317" s="3" t="str" cm="1">
        <f t="array" ref="I13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8" spans="1:9" x14ac:dyDescent="0.3">
      <c r="A1318" s="3" t="str">
        <f>IF(SISTEMA!A1312="","",SISTEMA!A1312)</f>
        <v/>
      </c>
      <c r="B1318" s="10" t="str">
        <f>IF(SISTEMA!B1312="","",VALUE(SISTEMA!B1312))</f>
        <v/>
      </c>
      <c r="C1318" s="10" t="str">
        <f>IF(SISTEMA!C1312="","",SISTEMA!C1312)</f>
        <v/>
      </c>
      <c r="D1318" s="5" t="str" cm="1">
        <f t="array" ref="D13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8" s="5" t="str" cm="1">
        <f t="array" ref="E13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8" s="5" t="str" cm="1">
        <f t="array" ref="F13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8" t="str" cm="1">
        <f t="array" ref="G13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8" s="4"/>
      <c r="I1318" s="3" t="str" cm="1">
        <f t="array" ref="I13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19" spans="1:9" x14ac:dyDescent="0.3">
      <c r="A1319" s="3" t="str">
        <f>IF(SISTEMA!A1313="","",SISTEMA!A1313)</f>
        <v/>
      </c>
      <c r="B1319" s="10" t="str">
        <f>IF(SISTEMA!B1313="","",VALUE(SISTEMA!B1313))</f>
        <v/>
      </c>
      <c r="C1319" s="10" t="str">
        <f>IF(SISTEMA!C1313="","",SISTEMA!C1313)</f>
        <v/>
      </c>
      <c r="D1319" s="5" t="str" cm="1">
        <f t="array" ref="D13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19" s="5" t="str" cm="1">
        <f t="array" ref="E13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19" s="5" t="str" cm="1">
        <f t="array" ref="F13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19" t="str" cm="1">
        <f t="array" ref="G13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19" s="4"/>
      <c r="I1319" s="3" t="str" cm="1">
        <f t="array" ref="I13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0" spans="1:9" x14ac:dyDescent="0.3">
      <c r="A1320" s="3" t="str">
        <f>IF(SISTEMA!A1314="","",SISTEMA!A1314)</f>
        <v/>
      </c>
      <c r="B1320" s="10" t="str">
        <f>IF(SISTEMA!B1314="","",VALUE(SISTEMA!B1314))</f>
        <v/>
      </c>
      <c r="C1320" s="10" t="str">
        <f>IF(SISTEMA!C1314="","",SISTEMA!C1314)</f>
        <v/>
      </c>
      <c r="D1320" s="5" t="str" cm="1">
        <f t="array" ref="D13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0" s="5" t="str" cm="1">
        <f t="array" ref="E13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0" s="5" t="str" cm="1">
        <f t="array" ref="F13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0" t="str" cm="1">
        <f t="array" ref="G13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0" s="4"/>
      <c r="I1320" s="3" t="str" cm="1">
        <f t="array" ref="I13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1" spans="1:9" x14ac:dyDescent="0.3">
      <c r="A1321" s="3" t="str">
        <f>IF(SISTEMA!A1315="","",SISTEMA!A1315)</f>
        <v/>
      </c>
      <c r="B1321" s="10" t="str">
        <f>IF(SISTEMA!B1315="","",VALUE(SISTEMA!B1315))</f>
        <v/>
      </c>
      <c r="C1321" s="10" t="str">
        <f>IF(SISTEMA!C1315="","",SISTEMA!C1315)</f>
        <v/>
      </c>
      <c r="D1321" s="5" t="str" cm="1">
        <f t="array" ref="D13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1" s="5" t="str" cm="1">
        <f t="array" ref="E13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1" s="5" t="str" cm="1">
        <f t="array" ref="F13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1" t="str" cm="1">
        <f t="array" ref="G13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1" s="4"/>
      <c r="I1321" s="3" t="str" cm="1">
        <f t="array" ref="I13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2" spans="1:9" x14ac:dyDescent="0.3">
      <c r="A1322" s="3" t="str">
        <f>IF(SISTEMA!A1316="","",SISTEMA!A1316)</f>
        <v/>
      </c>
      <c r="B1322" s="10" t="str">
        <f>IF(SISTEMA!B1316="","",VALUE(SISTEMA!B1316))</f>
        <v/>
      </c>
      <c r="C1322" s="10" t="str">
        <f>IF(SISTEMA!C1316="","",SISTEMA!C1316)</f>
        <v/>
      </c>
      <c r="D1322" s="5" t="str" cm="1">
        <f t="array" ref="D13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2" s="5" t="str" cm="1">
        <f t="array" ref="E13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2" s="5" t="str" cm="1">
        <f t="array" ref="F13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2" t="str" cm="1">
        <f t="array" ref="G13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2" s="4"/>
      <c r="I1322" s="3" t="str" cm="1">
        <f t="array" ref="I13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3" spans="1:9" x14ac:dyDescent="0.3">
      <c r="A1323" s="3" t="str">
        <f>IF(SISTEMA!A1317="","",SISTEMA!A1317)</f>
        <v/>
      </c>
      <c r="B1323" s="10" t="str">
        <f>IF(SISTEMA!B1317="","",VALUE(SISTEMA!B1317))</f>
        <v/>
      </c>
      <c r="C1323" s="10" t="str">
        <f>IF(SISTEMA!C1317="","",SISTEMA!C1317)</f>
        <v/>
      </c>
      <c r="D1323" s="5" t="str" cm="1">
        <f t="array" ref="D13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3" s="5" t="str" cm="1">
        <f t="array" ref="E13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3" s="5" t="str" cm="1">
        <f t="array" ref="F13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3" t="str" cm="1">
        <f t="array" ref="G13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3" s="4"/>
      <c r="I1323" s="3" t="str" cm="1">
        <f t="array" ref="I13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4" spans="1:9" x14ac:dyDescent="0.3">
      <c r="A1324" s="3" t="str">
        <f>IF(SISTEMA!A1318="","",SISTEMA!A1318)</f>
        <v/>
      </c>
      <c r="B1324" s="10" t="str">
        <f>IF(SISTEMA!B1318="","",VALUE(SISTEMA!B1318))</f>
        <v/>
      </c>
      <c r="C1324" s="10" t="str">
        <f>IF(SISTEMA!C1318="","",SISTEMA!C1318)</f>
        <v/>
      </c>
      <c r="D1324" s="5" t="str" cm="1">
        <f t="array" ref="D13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4" s="5" t="str" cm="1">
        <f t="array" ref="E13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4" s="5" t="str" cm="1">
        <f t="array" ref="F13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4" t="str" cm="1">
        <f t="array" ref="G13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4" s="4"/>
      <c r="I1324" s="3" t="str" cm="1">
        <f t="array" ref="I13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5" spans="1:9" x14ac:dyDescent="0.3">
      <c r="A1325" s="3" t="str">
        <f>IF(SISTEMA!A1319="","",SISTEMA!A1319)</f>
        <v/>
      </c>
      <c r="B1325" s="10" t="str">
        <f>IF(SISTEMA!B1319="","",VALUE(SISTEMA!B1319))</f>
        <v/>
      </c>
      <c r="C1325" s="10" t="str">
        <f>IF(SISTEMA!C1319="","",SISTEMA!C1319)</f>
        <v/>
      </c>
      <c r="D1325" s="5" t="str" cm="1">
        <f t="array" ref="D13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5" s="5" t="str" cm="1">
        <f t="array" ref="E13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5" s="5" t="str" cm="1">
        <f t="array" ref="F13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5" t="str" cm="1">
        <f t="array" ref="G13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5" s="4"/>
      <c r="I1325" s="3" t="str" cm="1">
        <f t="array" ref="I13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6" spans="1:9" x14ac:dyDescent="0.3">
      <c r="A1326" s="3" t="str">
        <f>IF(SISTEMA!A1320="","",SISTEMA!A1320)</f>
        <v/>
      </c>
      <c r="B1326" s="10" t="str">
        <f>IF(SISTEMA!B1320="","",VALUE(SISTEMA!B1320))</f>
        <v/>
      </c>
      <c r="C1326" s="10" t="str">
        <f>IF(SISTEMA!C1320="","",SISTEMA!C1320)</f>
        <v/>
      </c>
      <c r="D1326" s="5" t="str" cm="1">
        <f t="array" ref="D13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6" s="5" t="str" cm="1">
        <f t="array" ref="E13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6" s="5" t="str" cm="1">
        <f t="array" ref="F13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6" t="str" cm="1">
        <f t="array" ref="G13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6" s="4"/>
      <c r="I1326" s="3" t="str" cm="1">
        <f t="array" ref="I13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7" spans="1:9" x14ac:dyDescent="0.3">
      <c r="A1327" s="3" t="str">
        <f>IF(SISTEMA!A1321="","",SISTEMA!A1321)</f>
        <v/>
      </c>
      <c r="B1327" s="10" t="str">
        <f>IF(SISTEMA!B1321="","",VALUE(SISTEMA!B1321))</f>
        <v/>
      </c>
      <c r="C1327" s="10" t="str">
        <f>IF(SISTEMA!C1321="","",SISTEMA!C1321)</f>
        <v/>
      </c>
      <c r="D1327" s="5" t="str" cm="1">
        <f t="array" ref="D13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7" s="5" t="str" cm="1">
        <f t="array" ref="E13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7" s="5" t="str" cm="1">
        <f t="array" ref="F13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7" t="str" cm="1">
        <f t="array" ref="G13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7" s="4"/>
      <c r="I1327" s="3" t="str" cm="1">
        <f t="array" ref="I13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8" spans="1:9" x14ac:dyDescent="0.3">
      <c r="A1328" s="3" t="str">
        <f>IF(SISTEMA!A1322="","",SISTEMA!A1322)</f>
        <v/>
      </c>
      <c r="B1328" s="10" t="str">
        <f>IF(SISTEMA!B1322="","",VALUE(SISTEMA!B1322))</f>
        <v/>
      </c>
      <c r="C1328" s="10" t="str">
        <f>IF(SISTEMA!C1322="","",SISTEMA!C1322)</f>
        <v/>
      </c>
      <c r="D1328" s="5" t="str" cm="1">
        <f t="array" ref="D13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8" s="5" t="str" cm="1">
        <f t="array" ref="E13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8" s="5" t="str" cm="1">
        <f t="array" ref="F13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8" t="str" cm="1">
        <f t="array" ref="G13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8" s="4"/>
      <c r="I1328" s="3" t="str" cm="1">
        <f t="array" ref="I13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29" spans="1:9" x14ac:dyDescent="0.3">
      <c r="A1329" s="3" t="str">
        <f>IF(SISTEMA!A1323="","",SISTEMA!A1323)</f>
        <v/>
      </c>
      <c r="B1329" s="10" t="str">
        <f>IF(SISTEMA!B1323="","",VALUE(SISTEMA!B1323))</f>
        <v/>
      </c>
      <c r="C1329" s="10" t="str">
        <f>IF(SISTEMA!C1323="","",SISTEMA!C1323)</f>
        <v/>
      </c>
      <c r="D1329" s="5" t="str" cm="1">
        <f t="array" ref="D13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29" s="5" t="str" cm="1">
        <f t="array" ref="E13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29" s="5" t="str" cm="1">
        <f t="array" ref="F13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29" t="str" cm="1">
        <f t="array" ref="G13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29" s="4"/>
      <c r="I1329" s="3" t="str" cm="1">
        <f t="array" ref="I13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0" spans="1:9" x14ac:dyDescent="0.3">
      <c r="A1330" s="3" t="str">
        <f>IF(SISTEMA!A1324="","",SISTEMA!A1324)</f>
        <v/>
      </c>
      <c r="B1330" s="10" t="str">
        <f>IF(SISTEMA!B1324="","",VALUE(SISTEMA!B1324))</f>
        <v/>
      </c>
      <c r="C1330" s="10" t="str">
        <f>IF(SISTEMA!C1324="","",SISTEMA!C1324)</f>
        <v/>
      </c>
      <c r="D1330" s="5" t="str" cm="1">
        <f t="array" ref="D13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0" s="5" t="str" cm="1">
        <f t="array" ref="E13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0" s="5" t="str" cm="1">
        <f t="array" ref="F13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0" t="str" cm="1">
        <f t="array" ref="G13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0" s="4"/>
      <c r="I1330" s="3" t="str" cm="1">
        <f t="array" ref="I13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1" spans="1:9" x14ac:dyDescent="0.3">
      <c r="A1331" s="3" t="str">
        <f>IF(SISTEMA!A1325="","",SISTEMA!A1325)</f>
        <v/>
      </c>
      <c r="B1331" s="10" t="str">
        <f>IF(SISTEMA!B1325="","",VALUE(SISTEMA!B1325))</f>
        <v/>
      </c>
      <c r="C1331" s="10" t="str">
        <f>IF(SISTEMA!C1325="","",SISTEMA!C1325)</f>
        <v/>
      </c>
      <c r="D1331" s="5" t="str" cm="1">
        <f t="array" ref="D13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1" s="5" t="str" cm="1">
        <f t="array" ref="E13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1" s="5" t="str" cm="1">
        <f t="array" ref="F13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1" t="str" cm="1">
        <f t="array" ref="G13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1" s="4"/>
      <c r="I1331" s="3" t="str" cm="1">
        <f t="array" ref="I13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2" spans="1:9" x14ac:dyDescent="0.3">
      <c r="A1332" s="3" t="str">
        <f>IF(SISTEMA!A1326="","",SISTEMA!A1326)</f>
        <v/>
      </c>
      <c r="B1332" s="10" t="str">
        <f>IF(SISTEMA!B1326="","",VALUE(SISTEMA!B1326))</f>
        <v/>
      </c>
      <c r="C1332" s="10" t="str">
        <f>IF(SISTEMA!C1326="","",SISTEMA!C1326)</f>
        <v/>
      </c>
      <c r="D1332" s="5" t="str" cm="1">
        <f t="array" ref="D13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2" s="5" t="str" cm="1">
        <f t="array" ref="E13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2" s="5" t="str" cm="1">
        <f t="array" ref="F13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2" t="str" cm="1">
        <f t="array" ref="G13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2" s="4"/>
      <c r="I1332" s="3" t="str" cm="1">
        <f t="array" ref="I13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3" spans="1:9" x14ac:dyDescent="0.3">
      <c r="A1333" s="3" t="str">
        <f>IF(SISTEMA!A1327="","",SISTEMA!A1327)</f>
        <v/>
      </c>
      <c r="B1333" s="10" t="str">
        <f>IF(SISTEMA!B1327="","",VALUE(SISTEMA!B1327))</f>
        <v/>
      </c>
      <c r="C1333" s="10" t="str">
        <f>IF(SISTEMA!C1327="","",SISTEMA!C1327)</f>
        <v/>
      </c>
      <c r="D1333" s="5" t="str" cm="1">
        <f t="array" ref="D13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3" s="5" t="str" cm="1">
        <f t="array" ref="E13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3" s="5" t="str" cm="1">
        <f t="array" ref="F13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3" t="str" cm="1">
        <f t="array" ref="G13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3" s="4"/>
      <c r="I1333" s="3" t="str" cm="1">
        <f t="array" ref="I13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4" spans="1:9" x14ac:dyDescent="0.3">
      <c r="A1334" s="3" t="str">
        <f>IF(SISTEMA!A1328="","",SISTEMA!A1328)</f>
        <v/>
      </c>
      <c r="B1334" s="10" t="str">
        <f>IF(SISTEMA!B1328="","",VALUE(SISTEMA!B1328))</f>
        <v/>
      </c>
      <c r="C1334" s="10" t="str">
        <f>IF(SISTEMA!C1328="","",SISTEMA!C1328)</f>
        <v/>
      </c>
      <c r="D1334" s="5" t="str" cm="1">
        <f t="array" ref="D13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4" s="5" t="str" cm="1">
        <f t="array" ref="E13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4" s="5" t="str" cm="1">
        <f t="array" ref="F13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4" t="str" cm="1">
        <f t="array" ref="G13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4" s="4"/>
      <c r="I1334" s="3" t="str" cm="1">
        <f t="array" ref="I13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5" spans="1:9" x14ac:dyDescent="0.3">
      <c r="A1335" s="3" t="str">
        <f>IF(SISTEMA!A1329="","",SISTEMA!A1329)</f>
        <v/>
      </c>
      <c r="B1335" s="10" t="str">
        <f>IF(SISTEMA!B1329="","",VALUE(SISTEMA!B1329))</f>
        <v/>
      </c>
      <c r="C1335" s="10" t="str">
        <f>IF(SISTEMA!C1329="","",SISTEMA!C1329)</f>
        <v/>
      </c>
      <c r="D1335" s="5" t="str" cm="1">
        <f t="array" ref="D13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5" s="5" t="str" cm="1">
        <f t="array" ref="E13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5" s="5" t="str" cm="1">
        <f t="array" ref="F13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5" t="str" cm="1">
        <f t="array" ref="G13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5" s="4"/>
      <c r="I1335" s="3" t="str" cm="1">
        <f t="array" ref="I13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6" spans="1:9" x14ac:dyDescent="0.3">
      <c r="A1336" s="3" t="str">
        <f>IF(SISTEMA!A1330="","",SISTEMA!A1330)</f>
        <v/>
      </c>
      <c r="B1336" s="10" t="str">
        <f>IF(SISTEMA!B1330="","",VALUE(SISTEMA!B1330))</f>
        <v/>
      </c>
      <c r="C1336" s="10" t="str">
        <f>IF(SISTEMA!C1330="","",SISTEMA!C1330)</f>
        <v/>
      </c>
      <c r="D1336" s="5" t="str" cm="1">
        <f t="array" ref="D13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6" s="5" t="str" cm="1">
        <f t="array" ref="E13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6" s="5" t="str" cm="1">
        <f t="array" ref="F13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6" t="str" cm="1">
        <f t="array" ref="G13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6" s="4"/>
      <c r="I1336" s="3" t="str" cm="1">
        <f t="array" ref="I13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7" spans="1:9" x14ac:dyDescent="0.3">
      <c r="A1337" s="3" t="str">
        <f>IF(SISTEMA!A1331="","",SISTEMA!A1331)</f>
        <v/>
      </c>
      <c r="B1337" s="10" t="str">
        <f>IF(SISTEMA!B1331="","",VALUE(SISTEMA!B1331))</f>
        <v/>
      </c>
      <c r="C1337" s="10" t="str">
        <f>IF(SISTEMA!C1331="","",SISTEMA!C1331)</f>
        <v/>
      </c>
      <c r="D1337" s="5" t="str" cm="1">
        <f t="array" ref="D13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7" s="5" t="str" cm="1">
        <f t="array" ref="E13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7" s="5" t="str" cm="1">
        <f t="array" ref="F13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7" t="str" cm="1">
        <f t="array" ref="G13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7" s="4"/>
      <c r="I1337" s="3" t="str" cm="1">
        <f t="array" ref="I13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8" spans="1:9" x14ac:dyDescent="0.3">
      <c r="A1338" s="3" t="str">
        <f>IF(SISTEMA!A1332="","",SISTEMA!A1332)</f>
        <v/>
      </c>
      <c r="B1338" s="10" t="str">
        <f>IF(SISTEMA!B1332="","",VALUE(SISTEMA!B1332))</f>
        <v/>
      </c>
      <c r="C1338" s="10" t="str">
        <f>IF(SISTEMA!C1332="","",SISTEMA!C1332)</f>
        <v/>
      </c>
      <c r="D1338" s="5" t="str" cm="1">
        <f t="array" ref="D13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8" s="5" t="str" cm="1">
        <f t="array" ref="E13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8" s="5" t="str" cm="1">
        <f t="array" ref="F13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8" t="str" cm="1">
        <f t="array" ref="G13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8" s="4"/>
      <c r="I1338" s="3" t="str" cm="1">
        <f t="array" ref="I13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39" spans="1:9" x14ac:dyDescent="0.3">
      <c r="A1339" s="3" t="str">
        <f>IF(SISTEMA!A1333="","",SISTEMA!A1333)</f>
        <v/>
      </c>
      <c r="B1339" s="10" t="str">
        <f>IF(SISTEMA!B1333="","",VALUE(SISTEMA!B1333))</f>
        <v/>
      </c>
      <c r="C1339" s="10" t="str">
        <f>IF(SISTEMA!C1333="","",SISTEMA!C1333)</f>
        <v/>
      </c>
      <c r="D1339" s="5" t="str" cm="1">
        <f t="array" ref="D13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39" s="5" t="str" cm="1">
        <f t="array" ref="E13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39" s="5" t="str" cm="1">
        <f t="array" ref="F13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39" t="str" cm="1">
        <f t="array" ref="G13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39" s="4"/>
      <c r="I1339" s="3" t="str" cm="1">
        <f t="array" ref="I13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0" spans="1:9" x14ac:dyDescent="0.3">
      <c r="A1340" s="3" t="str">
        <f>IF(SISTEMA!A1334="","",SISTEMA!A1334)</f>
        <v/>
      </c>
      <c r="B1340" s="10" t="str">
        <f>IF(SISTEMA!B1334="","",VALUE(SISTEMA!B1334))</f>
        <v/>
      </c>
      <c r="C1340" s="10" t="str">
        <f>IF(SISTEMA!C1334="","",SISTEMA!C1334)</f>
        <v/>
      </c>
      <c r="D1340" s="5" t="str" cm="1">
        <f t="array" ref="D13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0" s="5" t="str" cm="1">
        <f t="array" ref="E13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0" s="5" t="str" cm="1">
        <f t="array" ref="F13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0" t="str" cm="1">
        <f t="array" ref="G13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0" s="4"/>
      <c r="I1340" s="3" t="str" cm="1">
        <f t="array" ref="I13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1" spans="1:9" x14ac:dyDescent="0.3">
      <c r="A1341" s="3" t="str">
        <f>IF(SISTEMA!A1335="","",SISTEMA!A1335)</f>
        <v/>
      </c>
      <c r="B1341" s="10" t="str">
        <f>IF(SISTEMA!B1335="","",VALUE(SISTEMA!B1335))</f>
        <v/>
      </c>
      <c r="C1341" s="10" t="str">
        <f>IF(SISTEMA!C1335="","",SISTEMA!C1335)</f>
        <v/>
      </c>
      <c r="D1341" s="5" t="str" cm="1">
        <f t="array" ref="D13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1" s="5" t="str" cm="1">
        <f t="array" ref="E13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1" s="5" t="str" cm="1">
        <f t="array" ref="F13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1" t="str" cm="1">
        <f t="array" ref="G13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1" s="4"/>
      <c r="I1341" s="3" t="str" cm="1">
        <f t="array" ref="I13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2" spans="1:9" x14ac:dyDescent="0.3">
      <c r="A1342" s="3" t="str">
        <f>IF(SISTEMA!A1336="","",SISTEMA!A1336)</f>
        <v/>
      </c>
      <c r="B1342" s="10" t="str">
        <f>IF(SISTEMA!B1336="","",VALUE(SISTEMA!B1336))</f>
        <v/>
      </c>
      <c r="C1342" s="10" t="str">
        <f>IF(SISTEMA!C1336="","",SISTEMA!C1336)</f>
        <v/>
      </c>
      <c r="D1342" s="5" t="str" cm="1">
        <f t="array" ref="D13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2" s="5" t="str" cm="1">
        <f t="array" ref="E13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2" s="5" t="str" cm="1">
        <f t="array" ref="F13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2" t="str" cm="1">
        <f t="array" ref="G13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2" s="4"/>
      <c r="I1342" s="3" t="str" cm="1">
        <f t="array" ref="I13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3" spans="1:9" x14ac:dyDescent="0.3">
      <c r="A1343" s="3" t="str">
        <f>IF(SISTEMA!A1337="","",SISTEMA!A1337)</f>
        <v/>
      </c>
      <c r="B1343" s="10" t="str">
        <f>IF(SISTEMA!B1337="","",VALUE(SISTEMA!B1337))</f>
        <v/>
      </c>
      <c r="C1343" s="10" t="str">
        <f>IF(SISTEMA!C1337="","",SISTEMA!C1337)</f>
        <v/>
      </c>
      <c r="D1343" s="5" t="str" cm="1">
        <f t="array" ref="D13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3" s="5" t="str" cm="1">
        <f t="array" ref="E13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3" s="5" t="str" cm="1">
        <f t="array" ref="F13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3" t="str" cm="1">
        <f t="array" ref="G13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3" s="4"/>
      <c r="I1343" s="3" t="str" cm="1">
        <f t="array" ref="I13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4" spans="1:9" x14ac:dyDescent="0.3">
      <c r="A1344" s="3" t="str">
        <f>IF(SISTEMA!A1338="","",SISTEMA!A1338)</f>
        <v/>
      </c>
      <c r="B1344" s="10" t="str">
        <f>IF(SISTEMA!B1338="","",VALUE(SISTEMA!B1338))</f>
        <v/>
      </c>
      <c r="C1344" s="10" t="str">
        <f>IF(SISTEMA!C1338="","",SISTEMA!C1338)</f>
        <v/>
      </c>
      <c r="D1344" s="5" t="str" cm="1">
        <f t="array" ref="D13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4" s="5" t="str" cm="1">
        <f t="array" ref="E13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4" s="5" t="str" cm="1">
        <f t="array" ref="F13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4" t="str" cm="1">
        <f t="array" ref="G13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4" s="4"/>
      <c r="I1344" s="3" t="str" cm="1">
        <f t="array" ref="I13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5" spans="1:9" x14ac:dyDescent="0.3">
      <c r="A1345" s="3" t="str">
        <f>IF(SISTEMA!A1339="","",SISTEMA!A1339)</f>
        <v/>
      </c>
      <c r="B1345" s="10" t="str">
        <f>IF(SISTEMA!B1339="","",VALUE(SISTEMA!B1339))</f>
        <v/>
      </c>
      <c r="C1345" s="10" t="str">
        <f>IF(SISTEMA!C1339="","",SISTEMA!C1339)</f>
        <v/>
      </c>
      <c r="D1345" s="5" t="str" cm="1">
        <f t="array" ref="D13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5" s="5" t="str" cm="1">
        <f t="array" ref="E13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5" s="5" t="str" cm="1">
        <f t="array" ref="F13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5" t="str" cm="1">
        <f t="array" ref="G13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5" s="4"/>
      <c r="I1345" s="3" t="str" cm="1">
        <f t="array" ref="I13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6" spans="1:9" x14ac:dyDescent="0.3">
      <c r="A1346" s="3" t="str">
        <f>IF(SISTEMA!A1340="","",SISTEMA!A1340)</f>
        <v/>
      </c>
      <c r="B1346" s="10" t="str">
        <f>IF(SISTEMA!B1340="","",VALUE(SISTEMA!B1340))</f>
        <v/>
      </c>
      <c r="C1346" s="10" t="str">
        <f>IF(SISTEMA!C1340="","",SISTEMA!C1340)</f>
        <v/>
      </c>
      <c r="D1346" s="5" t="str" cm="1">
        <f t="array" ref="D13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6" s="5" t="str" cm="1">
        <f t="array" ref="E13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6" s="5" t="str" cm="1">
        <f t="array" ref="F13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6" t="str" cm="1">
        <f t="array" ref="G13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6" s="4"/>
      <c r="I1346" s="3" t="str" cm="1">
        <f t="array" ref="I13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7" spans="1:9" x14ac:dyDescent="0.3">
      <c r="A1347" s="3" t="str">
        <f>IF(SISTEMA!A1341="","",SISTEMA!A1341)</f>
        <v/>
      </c>
      <c r="B1347" s="10" t="str">
        <f>IF(SISTEMA!B1341="","",VALUE(SISTEMA!B1341))</f>
        <v/>
      </c>
      <c r="C1347" s="10" t="str">
        <f>IF(SISTEMA!C1341="","",SISTEMA!C1341)</f>
        <v/>
      </c>
      <c r="D1347" s="5" t="str" cm="1">
        <f t="array" ref="D13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7" s="5" t="str" cm="1">
        <f t="array" ref="E13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7" s="5" t="str" cm="1">
        <f t="array" ref="F13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7" t="str" cm="1">
        <f t="array" ref="G13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7" s="4"/>
      <c r="I1347" s="3" t="str" cm="1">
        <f t="array" ref="I13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8" spans="1:9" x14ac:dyDescent="0.3">
      <c r="A1348" s="3" t="str">
        <f>IF(SISTEMA!A1342="","",SISTEMA!A1342)</f>
        <v/>
      </c>
      <c r="B1348" s="10" t="str">
        <f>IF(SISTEMA!B1342="","",VALUE(SISTEMA!B1342))</f>
        <v/>
      </c>
      <c r="C1348" s="10" t="str">
        <f>IF(SISTEMA!C1342="","",SISTEMA!C1342)</f>
        <v/>
      </c>
      <c r="D1348" s="5" t="str" cm="1">
        <f t="array" ref="D13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8" s="5" t="str" cm="1">
        <f t="array" ref="E13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8" s="5" t="str" cm="1">
        <f t="array" ref="F13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8" t="str" cm="1">
        <f t="array" ref="G13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8" s="4"/>
      <c r="I1348" s="3" t="str" cm="1">
        <f t="array" ref="I13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49" spans="1:9" x14ac:dyDescent="0.3">
      <c r="A1349" s="3" t="str">
        <f>IF(SISTEMA!A1343="","",SISTEMA!A1343)</f>
        <v/>
      </c>
      <c r="B1349" s="10" t="str">
        <f>IF(SISTEMA!B1343="","",VALUE(SISTEMA!B1343))</f>
        <v/>
      </c>
      <c r="C1349" s="10" t="str">
        <f>IF(SISTEMA!C1343="","",SISTEMA!C1343)</f>
        <v/>
      </c>
      <c r="D1349" s="5" t="str" cm="1">
        <f t="array" ref="D13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49" s="5" t="str" cm="1">
        <f t="array" ref="E13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49" s="5" t="str" cm="1">
        <f t="array" ref="F13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49" t="str" cm="1">
        <f t="array" ref="G13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49" s="4"/>
      <c r="I1349" s="3" t="str" cm="1">
        <f t="array" ref="I13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0" spans="1:9" x14ac:dyDescent="0.3">
      <c r="A1350" s="3" t="str">
        <f>IF(SISTEMA!A1344="","",SISTEMA!A1344)</f>
        <v/>
      </c>
      <c r="B1350" s="10" t="str">
        <f>IF(SISTEMA!B1344="","",VALUE(SISTEMA!B1344))</f>
        <v/>
      </c>
      <c r="C1350" s="10" t="str">
        <f>IF(SISTEMA!C1344="","",SISTEMA!C1344)</f>
        <v/>
      </c>
      <c r="D1350" s="5" t="str" cm="1">
        <f t="array" ref="D13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0" s="5" t="str" cm="1">
        <f t="array" ref="E13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0" s="5" t="str" cm="1">
        <f t="array" ref="F13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0" t="str" cm="1">
        <f t="array" ref="G13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0" s="4"/>
      <c r="I1350" s="3" t="str" cm="1">
        <f t="array" ref="I13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1" spans="1:9" x14ac:dyDescent="0.3">
      <c r="A1351" s="3" t="str">
        <f>IF(SISTEMA!A1345="","",SISTEMA!A1345)</f>
        <v/>
      </c>
      <c r="B1351" s="10" t="str">
        <f>IF(SISTEMA!B1345="","",VALUE(SISTEMA!B1345))</f>
        <v/>
      </c>
      <c r="C1351" s="10" t="str">
        <f>IF(SISTEMA!C1345="","",SISTEMA!C1345)</f>
        <v/>
      </c>
      <c r="D1351" s="5" t="str" cm="1">
        <f t="array" ref="D13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1" s="5" t="str" cm="1">
        <f t="array" ref="E13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1" s="5" t="str" cm="1">
        <f t="array" ref="F13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1" t="str" cm="1">
        <f t="array" ref="G13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1" s="4"/>
      <c r="I1351" s="3" t="str" cm="1">
        <f t="array" ref="I13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2" spans="1:9" x14ac:dyDescent="0.3">
      <c r="A1352" s="3" t="str">
        <f>IF(SISTEMA!A1346="","",SISTEMA!A1346)</f>
        <v/>
      </c>
      <c r="B1352" s="10" t="str">
        <f>IF(SISTEMA!B1346="","",VALUE(SISTEMA!B1346))</f>
        <v/>
      </c>
      <c r="C1352" s="10" t="str">
        <f>IF(SISTEMA!C1346="","",SISTEMA!C1346)</f>
        <v/>
      </c>
      <c r="D1352" s="5" t="str" cm="1">
        <f t="array" ref="D13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2" s="5" t="str" cm="1">
        <f t="array" ref="E13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2" s="5" t="str" cm="1">
        <f t="array" ref="F13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2" t="str" cm="1">
        <f t="array" ref="G13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2" s="4"/>
      <c r="I1352" s="3" t="str" cm="1">
        <f t="array" ref="I13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3" spans="1:9" x14ac:dyDescent="0.3">
      <c r="A1353" s="3" t="str">
        <f>IF(SISTEMA!A1347="","",SISTEMA!A1347)</f>
        <v/>
      </c>
      <c r="B1353" s="10" t="str">
        <f>IF(SISTEMA!B1347="","",VALUE(SISTEMA!B1347))</f>
        <v/>
      </c>
      <c r="C1353" s="10" t="str">
        <f>IF(SISTEMA!C1347="","",SISTEMA!C1347)</f>
        <v/>
      </c>
      <c r="D1353" s="5" t="str" cm="1">
        <f t="array" ref="D13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3" s="5" t="str" cm="1">
        <f t="array" ref="E13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3" s="5" t="str" cm="1">
        <f t="array" ref="F13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3" t="str" cm="1">
        <f t="array" ref="G13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3" s="4"/>
      <c r="I1353" s="3" t="str" cm="1">
        <f t="array" ref="I13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4" spans="1:9" x14ac:dyDescent="0.3">
      <c r="A1354" s="3" t="str">
        <f>IF(SISTEMA!A1348="","",SISTEMA!A1348)</f>
        <v/>
      </c>
      <c r="B1354" s="10" t="str">
        <f>IF(SISTEMA!B1348="","",VALUE(SISTEMA!B1348))</f>
        <v/>
      </c>
      <c r="C1354" s="10" t="str">
        <f>IF(SISTEMA!C1348="","",SISTEMA!C1348)</f>
        <v/>
      </c>
      <c r="D1354" s="5" t="str" cm="1">
        <f t="array" ref="D13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4" s="5" t="str" cm="1">
        <f t="array" ref="E13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4" s="5" t="str" cm="1">
        <f t="array" ref="F13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4" t="str" cm="1">
        <f t="array" ref="G13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4" s="4"/>
      <c r="I1354" s="3" t="str" cm="1">
        <f t="array" ref="I13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5" spans="1:9" x14ac:dyDescent="0.3">
      <c r="A1355" s="3" t="str">
        <f>IF(SISTEMA!A1349="","",SISTEMA!A1349)</f>
        <v/>
      </c>
      <c r="B1355" s="10" t="str">
        <f>IF(SISTEMA!B1349="","",VALUE(SISTEMA!B1349))</f>
        <v/>
      </c>
      <c r="C1355" s="10" t="str">
        <f>IF(SISTEMA!C1349="","",SISTEMA!C1349)</f>
        <v/>
      </c>
      <c r="D1355" s="5" t="str" cm="1">
        <f t="array" ref="D13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5" s="5" t="str" cm="1">
        <f t="array" ref="E13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5" s="5" t="str" cm="1">
        <f t="array" ref="F13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5" t="str" cm="1">
        <f t="array" ref="G13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5" s="4"/>
      <c r="I1355" s="3" t="str" cm="1">
        <f t="array" ref="I13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6" spans="1:9" x14ac:dyDescent="0.3">
      <c r="A1356" s="3" t="str">
        <f>IF(SISTEMA!A1350="","",SISTEMA!A1350)</f>
        <v/>
      </c>
      <c r="B1356" s="10" t="str">
        <f>IF(SISTEMA!B1350="","",VALUE(SISTEMA!B1350))</f>
        <v/>
      </c>
      <c r="C1356" s="10" t="str">
        <f>IF(SISTEMA!C1350="","",SISTEMA!C1350)</f>
        <v/>
      </c>
      <c r="D1356" s="5" t="str" cm="1">
        <f t="array" ref="D13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6" s="5" t="str" cm="1">
        <f t="array" ref="E13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6" s="5" t="str" cm="1">
        <f t="array" ref="F13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6" t="str" cm="1">
        <f t="array" ref="G13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6" s="4"/>
      <c r="I1356" s="3" t="str" cm="1">
        <f t="array" ref="I13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7" spans="1:9" x14ac:dyDescent="0.3">
      <c r="A1357" s="3" t="str">
        <f>IF(SISTEMA!A1351="","",SISTEMA!A1351)</f>
        <v/>
      </c>
      <c r="B1357" s="10" t="str">
        <f>IF(SISTEMA!B1351="","",VALUE(SISTEMA!B1351))</f>
        <v/>
      </c>
      <c r="C1357" s="10" t="str">
        <f>IF(SISTEMA!C1351="","",SISTEMA!C1351)</f>
        <v/>
      </c>
      <c r="D1357" s="5" t="str" cm="1">
        <f t="array" ref="D13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7" s="5" t="str" cm="1">
        <f t="array" ref="E13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7" s="5" t="str" cm="1">
        <f t="array" ref="F13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7" t="str" cm="1">
        <f t="array" ref="G13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7" s="4"/>
      <c r="I1357" s="3" t="str" cm="1">
        <f t="array" ref="I13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8" spans="1:9" x14ac:dyDescent="0.3">
      <c r="A1358" s="3" t="str">
        <f>IF(SISTEMA!A1352="","",SISTEMA!A1352)</f>
        <v/>
      </c>
      <c r="B1358" s="10" t="str">
        <f>IF(SISTEMA!B1352="","",VALUE(SISTEMA!B1352))</f>
        <v/>
      </c>
      <c r="C1358" s="10" t="str">
        <f>IF(SISTEMA!C1352="","",SISTEMA!C1352)</f>
        <v/>
      </c>
      <c r="D1358" s="5" t="str" cm="1">
        <f t="array" ref="D13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8" s="5" t="str" cm="1">
        <f t="array" ref="E13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8" s="5" t="str" cm="1">
        <f t="array" ref="F13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8" t="str" cm="1">
        <f t="array" ref="G13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8" s="4"/>
      <c r="I1358" s="3" t="str" cm="1">
        <f t="array" ref="I13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59" spans="1:9" x14ac:dyDescent="0.3">
      <c r="A1359" s="3" t="str">
        <f>IF(SISTEMA!A1353="","",SISTEMA!A1353)</f>
        <v/>
      </c>
      <c r="B1359" s="10" t="str">
        <f>IF(SISTEMA!B1353="","",VALUE(SISTEMA!B1353))</f>
        <v/>
      </c>
      <c r="C1359" s="10" t="str">
        <f>IF(SISTEMA!C1353="","",SISTEMA!C1353)</f>
        <v/>
      </c>
      <c r="D1359" s="5" t="str" cm="1">
        <f t="array" ref="D13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59" s="5" t="str" cm="1">
        <f t="array" ref="E13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59" s="5" t="str" cm="1">
        <f t="array" ref="F13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59" t="str" cm="1">
        <f t="array" ref="G13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59" s="4"/>
      <c r="I1359" s="3" t="str" cm="1">
        <f t="array" ref="I13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0" spans="1:9" x14ac:dyDescent="0.3">
      <c r="A1360" s="3" t="str">
        <f>IF(SISTEMA!A1354="","",SISTEMA!A1354)</f>
        <v/>
      </c>
      <c r="B1360" s="10" t="str">
        <f>IF(SISTEMA!B1354="","",VALUE(SISTEMA!B1354))</f>
        <v/>
      </c>
      <c r="C1360" s="10" t="str">
        <f>IF(SISTEMA!C1354="","",SISTEMA!C1354)</f>
        <v/>
      </c>
      <c r="D1360" s="5" t="str" cm="1">
        <f t="array" ref="D13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0" s="5" t="str" cm="1">
        <f t="array" ref="E13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0" s="5" t="str" cm="1">
        <f t="array" ref="F13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0" t="str" cm="1">
        <f t="array" ref="G13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0" s="4"/>
      <c r="I1360" s="3" t="str" cm="1">
        <f t="array" ref="I13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1" spans="1:9" x14ac:dyDescent="0.3">
      <c r="A1361" s="3" t="str">
        <f>IF(SISTEMA!A1355="","",SISTEMA!A1355)</f>
        <v/>
      </c>
      <c r="B1361" s="10" t="str">
        <f>IF(SISTEMA!B1355="","",VALUE(SISTEMA!B1355))</f>
        <v/>
      </c>
      <c r="C1361" s="10" t="str">
        <f>IF(SISTEMA!C1355="","",SISTEMA!C1355)</f>
        <v/>
      </c>
      <c r="D1361" s="5" t="str" cm="1">
        <f t="array" ref="D13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1" s="5" t="str" cm="1">
        <f t="array" ref="E13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1" s="5" t="str" cm="1">
        <f t="array" ref="F13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1" t="str" cm="1">
        <f t="array" ref="G13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1" s="4"/>
      <c r="I1361" s="3" t="str" cm="1">
        <f t="array" ref="I13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2" spans="1:9" x14ac:dyDescent="0.3">
      <c r="A1362" s="3" t="str">
        <f>IF(SISTEMA!A1356="","",SISTEMA!A1356)</f>
        <v/>
      </c>
      <c r="B1362" s="10" t="str">
        <f>IF(SISTEMA!B1356="","",VALUE(SISTEMA!B1356))</f>
        <v/>
      </c>
      <c r="C1362" s="10" t="str">
        <f>IF(SISTEMA!C1356="","",SISTEMA!C1356)</f>
        <v/>
      </c>
      <c r="D1362" s="5" t="str" cm="1">
        <f t="array" ref="D13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2" s="5" t="str" cm="1">
        <f t="array" ref="E13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2" s="5" t="str" cm="1">
        <f t="array" ref="F13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2" t="str" cm="1">
        <f t="array" ref="G13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2" s="4"/>
      <c r="I1362" s="3" t="str" cm="1">
        <f t="array" ref="I13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3" spans="1:9" x14ac:dyDescent="0.3">
      <c r="A1363" s="3" t="str">
        <f>IF(SISTEMA!A1357="","",SISTEMA!A1357)</f>
        <v/>
      </c>
      <c r="B1363" s="10" t="str">
        <f>IF(SISTEMA!B1357="","",VALUE(SISTEMA!B1357))</f>
        <v/>
      </c>
      <c r="C1363" s="10" t="str">
        <f>IF(SISTEMA!C1357="","",SISTEMA!C1357)</f>
        <v/>
      </c>
      <c r="D1363" s="5" t="str" cm="1">
        <f t="array" ref="D13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3" s="5" t="str" cm="1">
        <f t="array" ref="E13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3" s="5" t="str" cm="1">
        <f t="array" ref="F13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3" t="str" cm="1">
        <f t="array" ref="G13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3" s="4"/>
      <c r="I1363" s="3" t="str" cm="1">
        <f t="array" ref="I13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4" spans="1:9" x14ac:dyDescent="0.3">
      <c r="A1364" s="3" t="str">
        <f>IF(SISTEMA!A1358="","",SISTEMA!A1358)</f>
        <v/>
      </c>
      <c r="B1364" s="10" t="str">
        <f>IF(SISTEMA!B1358="","",VALUE(SISTEMA!B1358))</f>
        <v/>
      </c>
      <c r="C1364" s="10" t="str">
        <f>IF(SISTEMA!C1358="","",SISTEMA!C1358)</f>
        <v/>
      </c>
      <c r="D1364" s="5" t="str" cm="1">
        <f t="array" ref="D13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4" s="5" t="str" cm="1">
        <f t="array" ref="E13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4" s="5" t="str" cm="1">
        <f t="array" ref="F13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4" t="str" cm="1">
        <f t="array" ref="G13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4" s="4"/>
      <c r="I1364" s="3" t="str" cm="1">
        <f t="array" ref="I13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5" spans="1:9" x14ac:dyDescent="0.3">
      <c r="A1365" s="3" t="str">
        <f>IF(SISTEMA!A1359="","",SISTEMA!A1359)</f>
        <v/>
      </c>
      <c r="B1365" s="10" t="str">
        <f>IF(SISTEMA!B1359="","",VALUE(SISTEMA!B1359))</f>
        <v/>
      </c>
      <c r="C1365" s="10" t="str">
        <f>IF(SISTEMA!C1359="","",SISTEMA!C1359)</f>
        <v/>
      </c>
      <c r="D1365" s="5" t="str" cm="1">
        <f t="array" ref="D13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5" s="5" t="str" cm="1">
        <f t="array" ref="E13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5" s="5" t="str" cm="1">
        <f t="array" ref="F13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5" t="str" cm="1">
        <f t="array" ref="G13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5" s="4"/>
      <c r="I1365" s="3" t="str" cm="1">
        <f t="array" ref="I13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6" spans="1:9" x14ac:dyDescent="0.3">
      <c r="A1366" s="3" t="str">
        <f>IF(SISTEMA!A1360="","",SISTEMA!A1360)</f>
        <v/>
      </c>
      <c r="B1366" s="10" t="str">
        <f>IF(SISTEMA!B1360="","",VALUE(SISTEMA!B1360))</f>
        <v/>
      </c>
      <c r="C1366" s="10" t="str">
        <f>IF(SISTEMA!C1360="","",SISTEMA!C1360)</f>
        <v/>
      </c>
      <c r="D1366" s="5" t="str" cm="1">
        <f t="array" ref="D13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6" s="5" t="str" cm="1">
        <f t="array" ref="E13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6" s="5" t="str" cm="1">
        <f t="array" ref="F13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6" t="str" cm="1">
        <f t="array" ref="G13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6" s="4"/>
      <c r="I1366" s="3" t="str" cm="1">
        <f t="array" ref="I13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7" spans="1:9" x14ac:dyDescent="0.3">
      <c r="A1367" s="3" t="str">
        <f>IF(SISTEMA!A1361="","",SISTEMA!A1361)</f>
        <v/>
      </c>
      <c r="B1367" s="10" t="str">
        <f>IF(SISTEMA!B1361="","",VALUE(SISTEMA!B1361))</f>
        <v/>
      </c>
      <c r="C1367" s="10" t="str">
        <f>IF(SISTEMA!C1361="","",SISTEMA!C1361)</f>
        <v/>
      </c>
      <c r="D1367" s="5" t="str" cm="1">
        <f t="array" ref="D13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7" s="5" t="str" cm="1">
        <f t="array" ref="E13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7" s="5" t="str" cm="1">
        <f t="array" ref="F13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7" t="str" cm="1">
        <f t="array" ref="G13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7" s="4"/>
      <c r="I1367" s="3" t="str" cm="1">
        <f t="array" ref="I13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8" spans="1:9" x14ac:dyDescent="0.3">
      <c r="A1368" s="3" t="str">
        <f>IF(SISTEMA!A1362="","",SISTEMA!A1362)</f>
        <v/>
      </c>
      <c r="B1368" s="10" t="str">
        <f>IF(SISTEMA!B1362="","",VALUE(SISTEMA!B1362))</f>
        <v/>
      </c>
      <c r="C1368" s="10" t="str">
        <f>IF(SISTEMA!C1362="","",SISTEMA!C1362)</f>
        <v/>
      </c>
      <c r="D1368" s="5" t="str" cm="1">
        <f t="array" ref="D13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8" s="5" t="str" cm="1">
        <f t="array" ref="E13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8" s="5" t="str" cm="1">
        <f t="array" ref="F13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8" t="str" cm="1">
        <f t="array" ref="G13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8" s="4"/>
      <c r="I1368" s="3" t="str" cm="1">
        <f t="array" ref="I13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69" spans="1:9" x14ac:dyDescent="0.3">
      <c r="A1369" s="3" t="str">
        <f>IF(SISTEMA!A1363="","",SISTEMA!A1363)</f>
        <v/>
      </c>
      <c r="B1369" s="10" t="str">
        <f>IF(SISTEMA!B1363="","",VALUE(SISTEMA!B1363))</f>
        <v/>
      </c>
      <c r="C1369" s="10" t="str">
        <f>IF(SISTEMA!C1363="","",SISTEMA!C1363)</f>
        <v/>
      </c>
      <c r="D1369" s="5" t="str" cm="1">
        <f t="array" ref="D13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69" s="5" t="str" cm="1">
        <f t="array" ref="E13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69" s="5" t="str" cm="1">
        <f t="array" ref="F13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69" t="str" cm="1">
        <f t="array" ref="G13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69" s="4"/>
      <c r="I1369" s="3" t="str" cm="1">
        <f t="array" ref="I13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0" spans="1:9" x14ac:dyDescent="0.3">
      <c r="A1370" s="3" t="str">
        <f>IF(SISTEMA!A1364="","",SISTEMA!A1364)</f>
        <v/>
      </c>
      <c r="B1370" s="10" t="str">
        <f>IF(SISTEMA!B1364="","",VALUE(SISTEMA!B1364))</f>
        <v/>
      </c>
      <c r="C1370" s="10" t="str">
        <f>IF(SISTEMA!C1364="","",SISTEMA!C1364)</f>
        <v/>
      </c>
      <c r="D1370" s="5" t="str" cm="1">
        <f t="array" ref="D13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0" s="5" t="str" cm="1">
        <f t="array" ref="E13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0" s="5" t="str" cm="1">
        <f t="array" ref="F13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0" t="str" cm="1">
        <f t="array" ref="G13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0" s="4"/>
      <c r="I1370" s="3" t="str" cm="1">
        <f t="array" ref="I13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1" spans="1:9" x14ac:dyDescent="0.3">
      <c r="A1371" s="3" t="str">
        <f>IF(SISTEMA!A1365="","",SISTEMA!A1365)</f>
        <v/>
      </c>
      <c r="B1371" s="10" t="str">
        <f>IF(SISTEMA!B1365="","",VALUE(SISTEMA!B1365))</f>
        <v/>
      </c>
      <c r="C1371" s="10" t="str">
        <f>IF(SISTEMA!C1365="","",SISTEMA!C1365)</f>
        <v/>
      </c>
      <c r="D1371" s="5" t="str" cm="1">
        <f t="array" ref="D13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1" s="5" t="str" cm="1">
        <f t="array" ref="E13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1" s="5" t="str" cm="1">
        <f t="array" ref="F13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1" t="str" cm="1">
        <f t="array" ref="G13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1" s="4"/>
      <c r="I1371" s="3" t="str" cm="1">
        <f t="array" ref="I13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2" spans="1:9" x14ac:dyDescent="0.3">
      <c r="A1372" s="3" t="str">
        <f>IF(SISTEMA!A1366="","",SISTEMA!A1366)</f>
        <v/>
      </c>
      <c r="B1372" s="10" t="str">
        <f>IF(SISTEMA!B1366="","",VALUE(SISTEMA!B1366))</f>
        <v/>
      </c>
      <c r="C1372" s="10" t="str">
        <f>IF(SISTEMA!C1366="","",SISTEMA!C1366)</f>
        <v/>
      </c>
      <c r="D1372" s="5" t="str" cm="1">
        <f t="array" ref="D13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2" s="5" t="str" cm="1">
        <f t="array" ref="E13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2" s="5" t="str" cm="1">
        <f t="array" ref="F13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2" t="str" cm="1">
        <f t="array" ref="G13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2" s="4"/>
      <c r="I1372" s="3" t="str" cm="1">
        <f t="array" ref="I13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3" spans="1:9" x14ac:dyDescent="0.3">
      <c r="A1373" s="3" t="str">
        <f>IF(SISTEMA!A1367="","",SISTEMA!A1367)</f>
        <v/>
      </c>
      <c r="B1373" s="10" t="str">
        <f>IF(SISTEMA!B1367="","",VALUE(SISTEMA!B1367))</f>
        <v/>
      </c>
      <c r="C1373" s="10" t="str">
        <f>IF(SISTEMA!C1367="","",SISTEMA!C1367)</f>
        <v/>
      </c>
      <c r="D1373" s="5" t="str" cm="1">
        <f t="array" ref="D13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3" s="5" t="str" cm="1">
        <f t="array" ref="E13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3" s="5" t="str" cm="1">
        <f t="array" ref="F13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3" t="str" cm="1">
        <f t="array" ref="G13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3" s="4"/>
      <c r="I1373" s="3" t="str" cm="1">
        <f t="array" ref="I13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4" spans="1:9" x14ac:dyDescent="0.3">
      <c r="A1374" s="3" t="str">
        <f>IF(SISTEMA!A1368="","",SISTEMA!A1368)</f>
        <v/>
      </c>
      <c r="B1374" s="10" t="str">
        <f>IF(SISTEMA!B1368="","",VALUE(SISTEMA!B1368))</f>
        <v/>
      </c>
      <c r="C1374" s="10" t="str">
        <f>IF(SISTEMA!C1368="","",SISTEMA!C1368)</f>
        <v/>
      </c>
      <c r="D1374" s="5" t="str" cm="1">
        <f t="array" ref="D13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4" s="5" t="str" cm="1">
        <f t="array" ref="E13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4" s="5" t="str" cm="1">
        <f t="array" ref="F13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4" t="str" cm="1">
        <f t="array" ref="G13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4" s="4"/>
      <c r="I1374" s="3" t="str" cm="1">
        <f t="array" ref="I13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5" spans="1:9" x14ac:dyDescent="0.3">
      <c r="A1375" s="3" t="str">
        <f>IF(SISTEMA!A1369="","",SISTEMA!A1369)</f>
        <v/>
      </c>
      <c r="B1375" s="10" t="str">
        <f>IF(SISTEMA!B1369="","",VALUE(SISTEMA!B1369))</f>
        <v/>
      </c>
      <c r="C1375" s="10" t="str">
        <f>IF(SISTEMA!C1369="","",SISTEMA!C1369)</f>
        <v/>
      </c>
      <c r="D1375" s="5" t="str" cm="1">
        <f t="array" ref="D13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5" s="5" t="str" cm="1">
        <f t="array" ref="E13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5" s="5" t="str" cm="1">
        <f t="array" ref="F13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5" t="str" cm="1">
        <f t="array" ref="G13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5" s="4"/>
      <c r="I1375" s="3" t="str" cm="1">
        <f t="array" ref="I13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6" spans="1:9" x14ac:dyDescent="0.3">
      <c r="A1376" s="3" t="str">
        <f>IF(SISTEMA!A1370="","",SISTEMA!A1370)</f>
        <v/>
      </c>
      <c r="B1376" s="10" t="str">
        <f>IF(SISTEMA!B1370="","",VALUE(SISTEMA!B1370))</f>
        <v/>
      </c>
      <c r="C1376" s="10" t="str">
        <f>IF(SISTEMA!C1370="","",SISTEMA!C1370)</f>
        <v/>
      </c>
      <c r="D1376" s="5" t="str" cm="1">
        <f t="array" ref="D13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6" s="5" t="str" cm="1">
        <f t="array" ref="E13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6" s="5" t="str" cm="1">
        <f t="array" ref="F13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6" t="str" cm="1">
        <f t="array" ref="G13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6" s="4"/>
      <c r="I1376" s="3" t="str" cm="1">
        <f t="array" ref="I13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7" spans="1:9" x14ac:dyDescent="0.3">
      <c r="A1377" s="3" t="str">
        <f>IF(SISTEMA!A1371="","",SISTEMA!A1371)</f>
        <v/>
      </c>
      <c r="B1377" s="10" t="str">
        <f>IF(SISTEMA!B1371="","",VALUE(SISTEMA!B1371))</f>
        <v/>
      </c>
      <c r="C1377" s="10" t="str">
        <f>IF(SISTEMA!C1371="","",SISTEMA!C1371)</f>
        <v/>
      </c>
      <c r="D1377" s="5" t="str" cm="1">
        <f t="array" ref="D13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7" s="5" t="str" cm="1">
        <f t="array" ref="E13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7" s="5" t="str" cm="1">
        <f t="array" ref="F13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7" t="str" cm="1">
        <f t="array" ref="G13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7" s="4"/>
      <c r="I1377" s="3" t="str" cm="1">
        <f t="array" ref="I13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8" spans="1:9" x14ac:dyDescent="0.3">
      <c r="A1378" s="3" t="str">
        <f>IF(SISTEMA!A1372="","",SISTEMA!A1372)</f>
        <v/>
      </c>
      <c r="B1378" s="10" t="str">
        <f>IF(SISTEMA!B1372="","",VALUE(SISTEMA!B1372))</f>
        <v/>
      </c>
      <c r="C1378" s="10" t="str">
        <f>IF(SISTEMA!C1372="","",SISTEMA!C1372)</f>
        <v/>
      </c>
      <c r="D1378" s="5" t="str" cm="1">
        <f t="array" ref="D13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8" s="5" t="str" cm="1">
        <f t="array" ref="E13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8" s="5" t="str" cm="1">
        <f t="array" ref="F13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8" t="str" cm="1">
        <f t="array" ref="G13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8" s="4"/>
      <c r="I1378" s="3" t="str" cm="1">
        <f t="array" ref="I13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79" spans="1:9" x14ac:dyDescent="0.3">
      <c r="A1379" s="3" t="str">
        <f>IF(SISTEMA!A1373="","",SISTEMA!A1373)</f>
        <v/>
      </c>
      <c r="B1379" s="10" t="str">
        <f>IF(SISTEMA!B1373="","",VALUE(SISTEMA!B1373))</f>
        <v/>
      </c>
      <c r="C1379" s="10" t="str">
        <f>IF(SISTEMA!C1373="","",SISTEMA!C1373)</f>
        <v/>
      </c>
      <c r="D1379" s="5" t="str" cm="1">
        <f t="array" ref="D13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79" s="5" t="str" cm="1">
        <f t="array" ref="E13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79" s="5" t="str" cm="1">
        <f t="array" ref="F13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79" t="str" cm="1">
        <f t="array" ref="G13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79" s="4"/>
      <c r="I1379" s="3" t="str" cm="1">
        <f t="array" ref="I13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0" spans="1:9" x14ac:dyDescent="0.3">
      <c r="A1380" s="3" t="str">
        <f>IF(SISTEMA!A1374="","",SISTEMA!A1374)</f>
        <v/>
      </c>
      <c r="B1380" s="10" t="str">
        <f>IF(SISTEMA!B1374="","",VALUE(SISTEMA!B1374))</f>
        <v/>
      </c>
      <c r="C1380" s="10" t="str">
        <f>IF(SISTEMA!C1374="","",SISTEMA!C1374)</f>
        <v/>
      </c>
      <c r="D1380" s="5" t="str" cm="1">
        <f t="array" ref="D13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0" s="5" t="str" cm="1">
        <f t="array" ref="E13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0" s="5" t="str" cm="1">
        <f t="array" ref="F13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0" t="str" cm="1">
        <f t="array" ref="G13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0" s="4"/>
      <c r="I1380" s="3" t="str" cm="1">
        <f t="array" ref="I13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1" spans="1:9" x14ac:dyDescent="0.3">
      <c r="A1381" s="3" t="str">
        <f>IF(SISTEMA!A1375="","",SISTEMA!A1375)</f>
        <v/>
      </c>
      <c r="B1381" s="10" t="str">
        <f>IF(SISTEMA!B1375="","",VALUE(SISTEMA!B1375))</f>
        <v/>
      </c>
      <c r="C1381" s="10" t="str">
        <f>IF(SISTEMA!C1375="","",SISTEMA!C1375)</f>
        <v/>
      </c>
      <c r="D1381" s="5" t="str" cm="1">
        <f t="array" ref="D13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1" s="5" t="str" cm="1">
        <f t="array" ref="E13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1" s="5" t="str" cm="1">
        <f t="array" ref="F13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1" t="str" cm="1">
        <f t="array" ref="G13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1" s="4"/>
      <c r="I1381" s="3" t="str" cm="1">
        <f t="array" ref="I13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2" spans="1:9" x14ac:dyDescent="0.3">
      <c r="A1382" s="3" t="str">
        <f>IF(SISTEMA!A1376="","",SISTEMA!A1376)</f>
        <v/>
      </c>
      <c r="B1382" s="10" t="str">
        <f>IF(SISTEMA!B1376="","",VALUE(SISTEMA!B1376))</f>
        <v/>
      </c>
      <c r="C1382" s="10" t="str">
        <f>IF(SISTEMA!C1376="","",SISTEMA!C1376)</f>
        <v/>
      </c>
      <c r="D1382" s="5" t="str" cm="1">
        <f t="array" ref="D13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2" s="5" t="str" cm="1">
        <f t="array" ref="E13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2" s="5" t="str" cm="1">
        <f t="array" ref="F13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2" t="str" cm="1">
        <f t="array" ref="G13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2" s="4"/>
      <c r="I1382" s="3" t="str" cm="1">
        <f t="array" ref="I13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3" spans="1:9" x14ac:dyDescent="0.3">
      <c r="A1383" s="3" t="str">
        <f>IF(SISTEMA!A1377="","",SISTEMA!A1377)</f>
        <v/>
      </c>
      <c r="B1383" s="10" t="str">
        <f>IF(SISTEMA!B1377="","",VALUE(SISTEMA!B1377))</f>
        <v/>
      </c>
      <c r="C1383" s="10" t="str">
        <f>IF(SISTEMA!C1377="","",SISTEMA!C1377)</f>
        <v/>
      </c>
      <c r="D1383" s="5" t="str" cm="1">
        <f t="array" ref="D13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3" s="5" t="str" cm="1">
        <f t="array" ref="E13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3" s="5" t="str" cm="1">
        <f t="array" ref="F13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3" t="str" cm="1">
        <f t="array" ref="G13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3" s="4"/>
      <c r="I1383" s="3" t="str" cm="1">
        <f t="array" ref="I13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4" spans="1:9" x14ac:dyDescent="0.3">
      <c r="A1384" s="3" t="str">
        <f>IF(SISTEMA!A1378="","",SISTEMA!A1378)</f>
        <v/>
      </c>
      <c r="B1384" s="10" t="str">
        <f>IF(SISTEMA!B1378="","",VALUE(SISTEMA!B1378))</f>
        <v/>
      </c>
      <c r="C1384" s="10" t="str">
        <f>IF(SISTEMA!C1378="","",SISTEMA!C1378)</f>
        <v/>
      </c>
      <c r="D1384" s="5" t="str" cm="1">
        <f t="array" ref="D13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4" s="5" t="str" cm="1">
        <f t="array" ref="E13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4" s="5" t="str" cm="1">
        <f t="array" ref="F13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4" t="str" cm="1">
        <f t="array" ref="G13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4" s="4"/>
      <c r="I1384" s="3" t="str" cm="1">
        <f t="array" ref="I13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5" spans="1:9" x14ac:dyDescent="0.3">
      <c r="A1385" s="3" t="str">
        <f>IF(SISTEMA!A1379="","",SISTEMA!A1379)</f>
        <v/>
      </c>
      <c r="B1385" s="10" t="str">
        <f>IF(SISTEMA!B1379="","",VALUE(SISTEMA!B1379))</f>
        <v/>
      </c>
      <c r="C1385" s="10" t="str">
        <f>IF(SISTEMA!C1379="","",SISTEMA!C1379)</f>
        <v/>
      </c>
      <c r="D1385" s="5" t="str" cm="1">
        <f t="array" ref="D13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5" s="5" t="str" cm="1">
        <f t="array" ref="E13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5" s="5" t="str" cm="1">
        <f t="array" ref="F13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5" t="str" cm="1">
        <f t="array" ref="G13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5" s="4"/>
      <c r="I1385" s="3" t="str" cm="1">
        <f t="array" ref="I13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6" spans="1:9" x14ac:dyDescent="0.3">
      <c r="A1386" s="3" t="str">
        <f>IF(SISTEMA!A1380="","",SISTEMA!A1380)</f>
        <v/>
      </c>
      <c r="B1386" s="10" t="str">
        <f>IF(SISTEMA!B1380="","",VALUE(SISTEMA!B1380))</f>
        <v/>
      </c>
      <c r="C1386" s="10" t="str">
        <f>IF(SISTEMA!C1380="","",SISTEMA!C1380)</f>
        <v/>
      </c>
      <c r="D1386" s="5" t="str" cm="1">
        <f t="array" ref="D13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6" s="5" t="str" cm="1">
        <f t="array" ref="E13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6" s="5" t="str" cm="1">
        <f t="array" ref="F13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6" t="str" cm="1">
        <f t="array" ref="G13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6" s="4"/>
      <c r="I1386" s="3" t="str" cm="1">
        <f t="array" ref="I13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7" spans="1:9" x14ac:dyDescent="0.3">
      <c r="A1387" s="3" t="str">
        <f>IF(SISTEMA!A1381="","",SISTEMA!A1381)</f>
        <v/>
      </c>
      <c r="B1387" s="10" t="str">
        <f>IF(SISTEMA!B1381="","",VALUE(SISTEMA!B1381))</f>
        <v/>
      </c>
      <c r="C1387" s="10" t="str">
        <f>IF(SISTEMA!C1381="","",SISTEMA!C1381)</f>
        <v/>
      </c>
      <c r="D1387" s="5" t="str" cm="1">
        <f t="array" ref="D13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7" s="5" t="str" cm="1">
        <f t="array" ref="E13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7" s="5" t="str" cm="1">
        <f t="array" ref="F13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7" t="str" cm="1">
        <f t="array" ref="G13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7" s="4"/>
      <c r="I1387" s="3" t="str" cm="1">
        <f t="array" ref="I13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8" spans="1:9" x14ac:dyDescent="0.3">
      <c r="A1388" s="3" t="str">
        <f>IF(SISTEMA!A1382="","",SISTEMA!A1382)</f>
        <v/>
      </c>
      <c r="B1388" s="10" t="str">
        <f>IF(SISTEMA!B1382="","",VALUE(SISTEMA!B1382))</f>
        <v/>
      </c>
      <c r="C1388" s="10" t="str">
        <f>IF(SISTEMA!C1382="","",SISTEMA!C1382)</f>
        <v/>
      </c>
      <c r="D1388" s="5" t="str" cm="1">
        <f t="array" ref="D13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8" s="5" t="str" cm="1">
        <f t="array" ref="E13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8" s="5" t="str" cm="1">
        <f t="array" ref="F13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8" t="str" cm="1">
        <f t="array" ref="G13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8" s="4"/>
      <c r="I1388" s="3" t="str" cm="1">
        <f t="array" ref="I13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89" spans="1:9" x14ac:dyDescent="0.3">
      <c r="A1389" s="3" t="str">
        <f>IF(SISTEMA!A1383="","",SISTEMA!A1383)</f>
        <v/>
      </c>
      <c r="B1389" s="10" t="str">
        <f>IF(SISTEMA!B1383="","",VALUE(SISTEMA!B1383))</f>
        <v/>
      </c>
      <c r="C1389" s="10" t="str">
        <f>IF(SISTEMA!C1383="","",SISTEMA!C1383)</f>
        <v/>
      </c>
      <c r="D1389" s="5" t="str" cm="1">
        <f t="array" ref="D13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89" s="5" t="str" cm="1">
        <f t="array" ref="E13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89" s="5" t="str" cm="1">
        <f t="array" ref="F13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89" t="str" cm="1">
        <f t="array" ref="G13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89" s="4"/>
      <c r="I1389" s="3" t="str" cm="1">
        <f t="array" ref="I13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0" spans="1:9" x14ac:dyDescent="0.3">
      <c r="A1390" s="3" t="str">
        <f>IF(SISTEMA!A1384="","",SISTEMA!A1384)</f>
        <v/>
      </c>
      <c r="B1390" s="10" t="str">
        <f>IF(SISTEMA!B1384="","",VALUE(SISTEMA!B1384))</f>
        <v/>
      </c>
      <c r="C1390" s="10" t="str">
        <f>IF(SISTEMA!C1384="","",SISTEMA!C1384)</f>
        <v/>
      </c>
      <c r="D1390" s="5" t="str" cm="1">
        <f t="array" ref="D13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0" s="5" t="str" cm="1">
        <f t="array" ref="E13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0" s="5" t="str" cm="1">
        <f t="array" ref="F13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0" t="str" cm="1">
        <f t="array" ref="G13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0" s="4"/>
      <c r="I1390" s="3" t="str" cm="1">
        <f t="array" ref="I13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1" spans="1:9" x14ac:dyDescent="0.3">
      <c r="A1391" s="3" t="str">
        <f>IF(SISTEMA!A1385="","",SISTEMA!A1385)</f>
        <v/>
      </c>
      <c r="B1391" s="10" t="str">
        <f>IF(SISTEMA!B1385="","",VALUE(SISTEMA!B1385))</f>
        <v/>
      </c>
      <c r="C1391" s="10" t="str">
        <f>IF(SISTEMA!C1385="","",SISTEMA!C1385)</f>
        <v/>
      </c>
      <c r="D1391" s="5" t="str" cm="1">
        <f t="array" ref="D13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1" s="5" t="str" cm="1">
        <f t="array" ref="E13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1" s="5" t="str" cm="1">
        <f t="array" ref="F13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1" t="str" cm="1">
        <f t="array" ref="G13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1" s="4"/>
      <c r="I1391" s="3" t="str" cm="1">
        <f t="array" ref="I13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2" spans="1:9" x14ac:dyDescent="0.3">
      <c r="A1392" s="3" t="str">
        <f>IF(SISTEMA!A1386="","",SISTEMA!A1386)</f>
        <v/>
      </c>
      <c r="B1392" s="10" t="str">
        <f>IF(SISTEMA!B1386="","",VALUE(SISTEMA!B1386))</f>
        <v/>
      </c>
      <c r="C1392" s="10" t="str">
        <f>IF(SISTEMA!C1386="","",SISTEMA!C1386)</f>
        <v/>
      </c>
      <c r="D1392" s="5" t="str" cm="1">
        <f t="array" ref="D13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2" s="5" t="str" cm="1">
        <f t="array" ref="E13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2" s="5" t="str" cm="1">
        <f t="array" ref="F13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2" t="str" cm="1">
        <f t="array" ref="G13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2" s="4"/>
      <c r="I1392" s="3" t="str" cm="1">
        <f t="array" ref="I13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3" spans="1:9" x14ac:dyDescent="0.3">
      <c r="A1393" s="3" t="str">
        <f>IF(SISTEMA!A1387="","",SISTEMA!A1387)</f>
        <v/>
      </c>
      <c r="B1393" s="10" t="str">
        <f>IF(SISTEMA!B1387="","",VALUE(SISTEMA!B1387))</f>
        <v/>
      </c>
      <c r="C1393" s="10" t="str">
        <f>IF(SISTEMA!C1387="","",SISTEMA!C1387)</f>
        <v/>
      </c>
      <c r="D1393" s="5" t="str" cm="1">
        <f t="array" ref="D13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3" s="5" t="str" cm="1">
        <f t="array" ref="E13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3" s="5" t="str" cm="1">
        <f t="array" ref="F13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3" t="str" cm="1">
        <f t="array" ref="G13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3" s="4"/>
      <c r="I1393" s="3" t="str" cm="1">
        <f t="array" ref="I13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4" spans="1:9" x14ac:dyDescent="0.3">
      <c r="A1394" s="3" t="str">
        <f>IF(SISTEMA!A1388="","",SISTEMA!A1388)</f>
        <v/>
      </c>
      <c r="B1394" s="10" t="str">
        <f>IF(SISTEMA!B1388="","",VALUE(SISTEMA!B1388))</f>
        <v/>
      </c>
      <c r="C1394" s="10" t="str">
        <f>IF(SISTEMA!C1388="","",SISTEMA!C1388)</f>
        <v/>
      </c>
      <c r="D1394" s="5" t="str" cm="1">
        <f t="array" ref="D13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4" s="5" t="str" cm="1">
        <f t="array" ref="E13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4" s="5" t="str" cm="1">
        <f t="array" ref="F13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4" t="str" cm="1">
        <f t="array" ref="G13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4" s="4"/>
      <c r="I1394" s="3" t="str" cm="1">
        <f t="array" ref="I13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5" spans="1:9" x14ac:dyDescent="0.3">
      <c r="A1395" s="3" t="str">
        <f>IF(SISTEMA!A1389="","",SISTEMA!A1389)</f>
        <v/>
      </c>
      <c r="B1395" s="10" t="str">
        <f>IF(SISTEMA!B1389="","",VALUE(SISTEMA!B1389))</f>
        <v/>
      </c>
      <c r="C1395" s="10" t="str">
        <f>IF(SISTEMA!C1389="","",SISTEMA!C1389)</f>
        <v/>
      </c>
      <c r="D1395" s="5" t="str" cm="1">
        <f t="array" ref="D13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5" s="5" t="str" cm="1">
        <f t="array" ref="E13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5" s="5" t="str" cm="1">
        <f t="array" ref="F13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5" t="str" cm="1">
        <f t="array" ref="G13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5" s="4"/>
      <c r="I1395" s="3" t="str" cm="1">
        <f t="array" ref="I13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6" spans="1:9" x14ac:dyDescent="0.3">
      <c r="A1396" s="3" t="str">
        <f>IF(SISTEMA!A1390="","",SISTEMA!A1390)</f>
        <v/>
      </c>
      <c r="B1396" s="10" t="str">
        <f>IF(SISTEMA!B1390="","",VALUE(SISTEMA!B1390))</f>
        <v/>
      </c>
      <c r="C1396" s="10" t="str">
        <f>IF(SISTEMA!C1390="","",SISTEMA!C1390)</f>
        <v/>
      </c>
      <c r="D1396" s="5" t="str" cm="1">
        <f t="array" ref="D13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6" s="5" t="str" cm="1">
        <f t="array" ref="E13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6" s="5" t="str" cm="1">
        <f t="array" ref="F13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6" t="str" cm="1">
        <f t="array" ref="G13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6" s="4"/>
      <c r="I1396" s="3" t="str" cm="1">
        <f t="array" ref="I13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7" spans="1:9" x14ac:dyDescent="0.3">
      <c r="A1397" s="3" t="str">
        <f>IF(SISTEMA!A1391="","",SISTEMA!A1391)</f>
        <v/>
      </c>
      <c r="B1397" s="10" t="str">
        <f>IF(SISTEMA!B1391="","",VALUE(SISTEMA!B1391))</f>
        <v/>
      </c>
      <c r="C1397" s="10" t="str">
        <f>IF(SISTEMA!C1391="","",SISTEMA!C1391)</f>
        <v/>
      </c>
      <c r="D1397" s="5" t="str" cm="1">
        <f t="array" ref="D13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7" s="5" t="str" cm="1">
        <f t="array" ref="E13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7" s="5" t="str" cm="1">
        <f t="array" ref="F13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7" t="str" cm="1">
        <f t="array" ref="G13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7" s="4"/>
      <c r="I1397" s="3" t="str" cm="1">
        <f t="array" ref="I13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8" spans="1:9" x14ac:dyDescent="0.3">
      <c r="A1398" s="3" t="str">
        <f>IF(SISTEMA!A1392="","",SISTEMA!A1392)</f>
        <v/>
      </c>
      <c r="B1398" s="10" t="str">
        <f>IF(SISTEMA!B1392="","",VALUE(SISTEMA!B1392))</f>
        <v/>
      </c>
      <c r="C1398" s="10" t="str">
        <f>IF(SISTEMA!C1392="","",SISTEMA!C1392)</f>
        <v/>
      </c>
      <c r="D1398" s="5" t="str" cm="1">
        <f t="array" ref="D13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8" s="5" t="str" cm="1">
        <f t="array" ref="E13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8" s="5" t="str" cm="1">
        <f t="array" ref="F13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8" t="str" cm="1">
        <f t="array" ref="G13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8" s="4"/>
      <c r="I1398" s="3" t="str" cm="1">
        <f t="array" ref="I13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399" spans="1:9" x14ac:dyDescent="0.3">
      <c r="A1399" s="3" t="str">
        <f>IF(SISTEMA!A1393="","",SISTEMA!A1393)</f>
        <v/>
      </c>
      <c r="B1399" s="10" t="str">
        <f>IF(SISTEMA!B1393="","",VALUE(SISTEMA!B1393))</f>
        <v/>
      </c>
      <c r="C1399" s="10" t="str">
        <f>IF(SISTEMA!C1393="","",SISTEMA!C1393)</f>
        <v/>
      </c>
      <c r="D1399" s="5" t="str" cm="1">
        <f t="array" ref="D13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399" s="5" t="str" cm="1">
        <f t="array" ref="E13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399" s="5" t="str" cm="1">
        <f t="array" ref="F13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399" t="str" cm="1">
        <f t="array" ref="G13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399" s="4"/>
      <c r="I1399" s="3" t="str" cm="1">
        <f t="array" ref="I13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0" spans="1:9" x14ac:dyDescent="0.3">
      <c r="A1400" s="3" t="str">
        <f>IF(SISTEMA!A1394="","",SISTEMA!A1394)</f>
        <v/>
      </c>
      <c r="B1400" s="10" t="str">
        <f>IF(SISTEMA!B1394="","",VALUE(SISTEMA!B1394))</f>
        <v/>
      </c>
      <c r="C1400" s="10" t="str">
        <f>IF(SISTEMA!C1394="","",SISTEMA!C1394)</f>
        <v/>
      </c>
      <c r="D1400" s="5" t="str" cm="1">
        <f t="array" ref="D14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0" s="5" t="str" cm="1">
        <f t="array" ref="E14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0" s="5" t="str" cm="1">
        <f t="array" ref="F14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0" t="str" cm="1">
        <f t="array" ref="G14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0" s="4"/>
      <c r="I1400" s="3" t="str" cm="1">
        <f t="array" ref="I14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1" spans="1:9" x14ac:dyDescent="0.3">
      <c r="A1401" s="3" t="str">
        <f>IF(SISTEMA!A1395="","",SISTEMA!A1395)</f>
        <v/>
      </c>
      <c r="B1401" s="10" t="str">
        <f>IF(SISTEMA!B1395="","",VALUE(SISTEMA!B1395))</f>
        <v/>
      </c>
      <c r="C1401" s="10" t="str">
        <f>IF(SISTEMA!C1395="","",SISTEMA!C1395)</f>
        <v/>
      </c>
      <c r="D1401" s="5" t="str" cm="1">
        <f t="array" ref="D14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1" s="5" t="str" cm="1">
        <f t="array" ref="E14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1" s="5" t="str" cm="1">
        <f t="array" ref="F14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1" t="str" cm="1">
        <f t="array" ref="G14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1" s="4"/>
      <c r="I1401" s="3" t="str" cm="1">
        <f t="array" ref="I14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2" spans="1:9" x14ac:dyDescent="0.3">
      <c r="A1402" s="3" t="str">
        <f>IF(SISTEMA!A1396="","",SISTEMA!A1396)</f>
        <v/>
      </c>
      <c r="B1402" s="10" t="str">
        <f>IF(SISTEMA!B1396="","",VALUE(SISTEMA!B1396))</f>
        <v/>
      </c>
      <c r="C1402" s="10" t="str">
        <f>IF(SISTEMA!C1396="","",SISTEMA!C1396)</f>
        <v/>
      </c>
      <c r="D1402" s="5" t="str" cm="1">
        <f t="array" ref="D14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2" s="5" t="str" cm="1">
        <f t="array" ref="E14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2" s="5" t="str" cm="1">
        <f t="array" ref="F14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2" t="str" cm="1">
        <f t="array" ref="G14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2" s="4"/>
      <c r="I1402" s="3" t="str" cm="1">
        <f t="array" ref="I14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3" spans="1:9" x14ac:dyDescent="0.3">
      <c r="A1403" s="3" t="str">
        <f>IF(SISTEMA!A1397="","",SISTEMA!A1397)</f>
        <v/>
      </c>
      <c r="B1403" s="10" t="str">
        <f>IF(SISTEMA!B1397="","",VALUE(SISTEMA!B1397))</f>
        <v/>
      </c>
      <c r="C1403" s="10" t="str">
        <f>IF(SISTEMA!C1397="","",SISTEMA!C1397)</f>
        <v/>
      </c>
      <c r="D1403" s="5" t="str" cm="1">
        <f t="array" ref="D14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3" s="5" t="str" cm="1">
        <f t="array" ref="E14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3" s="5" t="str" cm="1">
        <f t="array" ref="F14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3" t="str" cm="1">
        <f t="array" ref="G14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3" s="4"/>
      <c r="I1403" s="3" t="str" cm="1">
        <f t="array" ref="I14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4" spans="1:9" x14ac:dyDescent="0.3">
      <c r="A1404" s="3" t="str">
        <f>IF(SISTEMA!A1398="","",SISTEMA!A1398)</f>
        <v/>
      </c>
      <c r="B1404" s="10" t="str">
        <f>IF(SISTEMA!B1398="","",VALUE(SISTEMA!B1398))</f>
        <v/>
      </c>
      <c r="C1404" s="10" t="str">
        <f>IF(SISTEMA!C1398="","",SISTEMA!C1398)</f>
        <v/>
      </c>
      <c r="D1404" s="5" t="str" cm="1">
        <f t="array" ref="D14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4" s="5" t="str" cm="1">
        <f t="array" ref="E14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4" s="5" t="str" cm="1">
        <f t="array" ref="F14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4" t="str" cm="1">
        <f t="array" ref="G14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4" s="4"/>
      <c r="I1404" s="3" t="str" cm="1">
        <f t="array" ref="I14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5" spans="1:9" x14ac:dyDescent="0.3">
      <c r="A1405" s="3" t="str">
        <f>IF(SISTEMA!A1399="","",SISTEMA!A1399)</f>
        <v/>
      </c>
      <c r="B1405" s="10" t="str">
        <f>IF(SISTEMA!B1399="","",VALUE(SISTEMA!B1399))</f>
        <v/>
      </c>
      <c r="C1405" s="10" t="str">
        <f>IF(SISTEMA!C1399="","",SISTEMA!C1399)</f>
        <v/>
      </c>
      <c r="D1405" s="5" t="str" cm="1">
        <f t="array" ref="D14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5" s="5" t="str" cm="1">
        <f t="array" ref="E14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5" s="5" t="str" cm="1">
        <f t="array" ref="F14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5" t="str" cm="1">
        <f t="array" ref="G14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5" s="4"/>
      <c r="I1405" s="3" t="str" cm="1">
        <f t="array" ref="I14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6" spans="1:9" x14ac:dyDescent="0.3">
      <c r="A1406" s="3" t="str">
        <f>IF(SISTEMA!A1400="","",SISTEMA!A1400)</f>
        <v/>
      </c>
      <c r="B1406" s="10" t="str">
        <f>IF(SISTEMA!B1400="","",VALUE(SISTEMA!B1400))</f>
        <v/>
      </c>
      <c r="C1406" s="10" t="str">
        <f>IF(SISTEMA!C1400="","",SISTEMA!C1400)</f>
        <v/>
      </c>
      <c r="D1406" s="5" t="str" cm="1">
        <f t="array" ref="D14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6" s="5" t="str" cm="1">
        <f t="array" ref="E14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6" s="5" t="str" cm="1">
        <f t="array" ref="F14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6" t="str" cm="1">
        <f t="array" ref="G14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6" s="4"/>
      <c r="I1406" s="3" t="str" cm="1">
        <f t="array" ref="I14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7" spans="1:9" x14ac:dyDescent="0.3">
      <c r="A1407" s="3" t="str">
        <f>IF(SISTEMA!A1401="","",SISTEMA!A1401)</f>
        <v/>
      </c>
      <c r="B1407" s="10" t="str">
        <f>IF(SISTEMA!B1401="","",VALUE(SISTEMA!B1401))</f>
        <v/>
      </c>
      <c r="C1407" s="10" t="str">
        <f>IF(SISTEMA!C1401="","",SISTEMA!C1401)</f>
        <v/>
      </c>
      <c r="D1407" s="5" t="str" cm="1">
        <f t="array" ref="D14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7" s="5" t="str" cm="1">
        <f t="array" ref="E14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7" s="5" t="str" cm="1">
        <f t="array" ref="F14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7" t="str" cm="1">
        <f t="array" ref="G14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7" s="4"/>
      <c r="I1407" s="3" t="str" cm="1">
        <f t="array" ref="I14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8" spans="1:9" x14ac:dyDescent="0.3">
      <c r="A1408" s="3" t="str">
        <f>IF(SISTEMA!A1402="","",SISTEMA!A1402)</f>
        <v/>
      </c>
      <c r="B1408" s="10" t="str">
        <f>IF(SISTEMA!B1402="","",VALUE(SISTEMA!B1402))</f>
        <v/>
      </c>
      <c r="C1408" s="10" t="str">
        <f>IF(SISTEMA!C1402="","",SISTEMA!C1402)</f>
        <v/>
      </c>
      <c r="D1408" s="5" t="str" cm="1">
        <f t="array" ref="D14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8" s="5" t="str" cm="1">
        <f t="array" ref="E14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8" s="5" t="str" cm="1">
        <f t="array" ref="F14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8" t="str" cm="1">
        <f t="array" ref="G14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8" s="4"/>
      <c r="I1408" s="3" t="str" cm="1">
        <f t="array" ref="I14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09" spans="1:9" x14ac:dyDescent="0.3">
      <c r="A1409" s="3" t="str">
        <f>IF(SISTEMA!A1403="","",SISTEMA!A1403)</f>
        <v/>
      </c>
      <c r="B1409" s="10" t="str">
        <f>IF(SISTEMA!B1403="","",VALUE(SISTEMA!B1403))</f>
        <v/>
      </c>
      <c r="C1409" s="10" t="str">
        <f>IF(SISTEMA!C1403="","",SISTEMA!C1403)</f>
        <v/>
      </c>
      <c r="D1409" s="5" t="str" cm="1">
        <f t="array" ref="D14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09" s="5" t="str" cm="1">
        <f t="array" ref="E14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09" s="5" t="str" cm="1">
        <f t="array" ref="F14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09" t="str" cm="1">
        <f t="array" ref="G14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09" s="4"/>
      <c r="I1409" s="3" t="str" cm="1">
        <f t="array" ref="I14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0" spans="1:9" x14ac:dyDescent="0.3">
      <c r="A1410" s="3" t="str">
        <f>IF(SISTEMA!A1404="","",SISTEMA!A1404)</f>
        <v/>
      </c>
      <c r="B1410" s="10" t="str">
        <f>IF(SISTEMA!B1404="","",VALUE(SISTEMA!B1404))</f>
        <v/>
      </c>
      <c r="C1410" s="10" t="str">
        <f>IF(SISTEMA!C1404="","",SISTEMA!C1404)</f>
        <v/>
      </c>
      <c r="D1410" s="5" t="str" cm="1">
        <f t="array" ref="D14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0" s="5" t="str" cm="1">
        <f t="array" ref="E14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0" s="5" t="str" cm="1">
        <f t="array" ref="F14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0" t="str" cm="1">
        <f t="array" ref="G14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0" s="4"/>
      <c r="I1410" s="3" t="str" cm="1">
        <f t="array" ref="I14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1" spans="1:9" x14ac:dyDescent="0.3">
      <c r="A1411" s="3" t="str">
        <f>IF(SISTEMA!A1405="","",SISTEMA!A1405)</f>
        <v/>
      </c>
      <c r="B1411" s="10" t="str">
        <f>IF(SISTEMA!B1405="","",VALUE(SISTEMA!B1405))</f>
        <v/>
      </c>
      <c r="C1411" s="10" t="str">
        <f>IF(SISTEMA!C1405="","",SISTEMA!C1405)</f>
        <v/>
      </c>
      <c r="D1411" s="5" t="str" cm="1">
        <f t="array" ref="D14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1" s="5" t="str" cm="1">
        <f t="array" ref="E14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1" s="5" t="str" cm="1">
        <f t="array" ref="F14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1" t="str" cm="1">
        <f t="array" ref="G14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1" s="4"/>
      <c r="I1411" s="3" t="str" cm="1">
        <f t="array" ref="I14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2" spans="1:9" x14ac:dyDescent="0.3">
      <c r="A1412" s="3" t="str">
        <f>IF(SISTEMA!A1406="","",SISTEMA!A1406)</f>
        <v/>
      </c>
      <c r="B1412" s="10" t="str">
        <f>IF(SISTEMA!B1406="","",VALUE(SISTEMA!B1406))</f>
        <v/>
      </c>
      <c r="C1412" s="10" t="str">
        <f>IF(SISTEMA!C1406="","",SISTEMA!C1406)</f>
        <v/>
      </c>
      <c r="D1412" s="5" t="str" cm="1">
        <f t="array" ref="D14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2" s="5" t="str" cm="1">
        <f t="array" ref="E14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2" s="5" t="str" cm="1">
        <f t="array" ref="F14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2" t="str" cm="1">
        <f t="array" ref="G14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2" s="4"/>
      <c r="I1412" s="3" t="str" cm="1">
        <f t="array" ref="I14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3" spans="1:9" x14ac:dyDescent="0.3">
      <c r="A1413" s="3" t="str">
        <f>IF(SISTEMA!A1407="","",SISTEMA!A1407)</f>
        <v/>
      </c>
      <c r="B1413" s="10" t="str">
        <f>IF(SISTEMA!B1407="","",VALUE(SISTEMA!B1407))</f>
        <v/>
      </c>
      <c r="C1413" s="10" t="str">
        <f>IF(SISTEMA!C1407="","",SISTEMA!C1407)</f>
        <v/>
      </c>
      <c r="D1413" s="5" t="str" cm="1">
        <f t="array" ref="D14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3" s="5" t="str" cm="1">
        <f t="array" ref="E14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3" s="5" t="str" cm="1">
        <f t="array" ref="F14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3" t="str" cm="1">
        <f t="array" ref="G14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3" s="4"/>
      <c r="I1413" s="3" t="str" cm="1">
        <f t="array" ref="I14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4" spans="1:9" x14ac:dyDescent="0.3">
      <c r="A1414" s="3" t="str">
        <f>IF(SISTEMA!A1408="","",SISTEMA!A1408)</f>
        <v/>
      </c>
      <c r="B1414" s="10" t="str">
        <f>IF(SISTEMA!B1408="","",VALUE(SISTEMA!B1408))</f>
        <v/>
      </c>
      <c r="C1414" s="10" t="str">
        <f>IF(SISTEMA!C1408="","",SISTEMA!C1408)</f>
        <v/>
      </c>
      <c r="D1414" s="5" t="str" cm="1">
        <f t="array" ref="D14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4" s="5" t="str" cm="1">
        <f t="array" ref="E14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4" s="5" t="str" cm="1">
        <f t="array" ref="F14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4" t="str" cm="1">
        <f t="array" ref="G14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4" s="4"/>
      <c r="I1414" s="3" t="str" cm="1">
        <f t="array" ref="I14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5" spans="1:9" x14ac:dyDescent="0.3">
      <c r="A1415" s="3" t="str">
        <f>IF(SISTEMA!A1409="","",SISTEMA!A1409)</f>
        <v/>
      </c>
      <c r="B1415" s="10" t="str">
        <f>IF(SISTEMA!B1409="","",VALUE(SISTEMA!B1409))</f>
        <v/>
      </c>
      <c r="C1415" s="10" t="str">
        <f>IF(SISTEMA!C1409="","",SISTEMA!C1409)</f>
        <v/>
      </c>
      <c r="D1415" s="5" t="str" cm="1">
        <f t="array" ref="D14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5" s="5" t="str" cm="1">
        <f t="array" ref="E14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5" s="5" t="str" cm="1">
        <f t="array" ref="F14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5" t="str" cm="1">
        <f t="array" ref="G14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5" s="4"/>
      <c r="I1415" s="3" t="str" cm="1">
        <f t="array" ref="I14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6" spans="1:9" x14ac:dyDescent="0.3">
      <c r="A1416" s="3" t="str">
        <f>IF(SISTEMA!A1410="","",SISTEMA!A1410)</f>
        <v/>
      </c>
      <c r="B1416" s="10" t="str">
        <f>IF(SISTEMA!B1410="","",VALUE(SISTEMA!B1410))</f>
        <v/>
      </c>
      <c r="C1416" s="10" t="str">
        <f>IF(SISTEMA!C1410="","",SISTEMA!C1410)</f>
        <v/>
      </c>
      <c r="D1416" s="5" t="str" cm="1">
        <f t="array" ref="D14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6" s="5" t="str" cm="1">
        <f t="array" ref="E14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6" s="5" t="str" cm="1">
        <f t="array" ref="F14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6" t="str" cm="1">
        <f t="array" ref="G14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6" s="4"/>
      <c r="I1416" s="3" t="str" cm="1">
        <f t="array" ref="I14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7" spans="1:9" x14ac:dyDescent="0.3">
      <c r="A1417" s="3" t="str">
        <f>IF(SISTEMA!A1411="","",SISTEMA!A1411)</f>
        <v/>
      </c>
      <c r="B1417" s="10" t="str">
        <f>IF(SISTEMA!B1411="","",VALUE(SISTEMA!B1411))</f>
        <v/>
      </c>
      <c r="C1417" s="10" t="str">
        <f>IF(SISTEMA!C1411="","",SISTEMA!C1411)</f>
        <v/>
      </c>
      <c r="D1417" s="5" t="str" cm="1">
        <f t="array" ref="D14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7" s="5" t="str" cm="1">
        <f t="array" ref="E14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7" s="5" t="str" cm="1">
        <f t="array" ref="F14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7" t="str" cm="1">
        <f t="array" ref="G14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7" s="4"/>
      <c r="I1417" s="3" t="str" cm="1">
        <f t="array" ref="I14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8" spans="1:9" x14ac:dyDescent="0.3">
      <c r="A1418" s="3" t="str">
        <f>IF(SISTEMA!A1412="","",SISTEMA!A1412)</f>
        <v/>
      </c>
      <c r="B1418" s="10" t="str">
        <f>IF(SISTEMA!B1412="","",VALUE(SISTEMA!B1412))</f>
        <v/>
      </c>
      <c r="C1418" s="10" t="str">
        <f>IF(SISTEMA!C1412="","",SISTEMA!C1412)</f>
        <v/>
      </c>
      <c r="D1418" s="5" t="str" cm="1">
        <f t="array" ref="D14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8" s="5" t="str" cm="1">
        <f t="array" ref="E14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8" s="5" t="str" cm="1">
        <f t="array" ref="F14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8" t="str" cm="1">
        <f t="array" ref="G14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8" s="4"/>
      <c r="I1418" s="3" t="str" cm="1">
        <f t="array" ref="I14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19" spans="1:9" x14ac:dyDescent="0.3">
      <c r="A1419" s="3" t="str">
        <f>IF(SISTEMA!A1413="","",SISTEMA!A1413)</f>
        <v/>
      </c>
      <c r="B1419" s="10" t="str">
        <f>IF(SISTEMA!B1413="","",VALUE(SISTEMA!B1413))</f>
        <v/>
      </c>
      <c r="C1419" s="10" t="str">
        <f>IF(SISTEMA!C1413="","",SISTEMA!C1413)</f>
        <v/>
      </c>
      <c r="D1419" s="5" t="str" cm="1">
        <f t="array" ref="D14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19" s="5" t="str" cm="1">
        <f t="array" ref="E14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19" s="5" t="str" cm="1">
        <f t="array" ref="F14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19" t="str" cm="1">
        <f t="array" ref="G14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19" s="4"/>
      <c r="I1419" s="3" t="str" cm="1">
        <f t="array" ref="I14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0" spans="1:9" x14ac:dyDescent="0.3">
      <c r="A1420" s="3" t="str">
        <f>IF(SISTEMA!A1414="","",SISTEMA!A1414)</f>
        <v/>
      </c>
      <c r="B1420" s="10" t="str">
        <f>IF(SISTEMA!B1414="","",VALUE(SISTEMA!B1414))</f>
        <v/>
      </c>
      <c r="C1420" s="10" t="str">
        <f>IF(SISTEMA!C1414="","",SISTEMA!C1414)</f>
        <v/>
      </c>
      <c r="D1420" s="5" t="str" cm="1">
        <f t="array" ref="D14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0" s="5" t="str" cm="1">
        <f t="array" ref="E14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0" s="5" t="str" cm="1">
        <f t="array" ref="F14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0" t="str" cm="1">
        <f t="array" ref="G14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0" s="4"/>
      <c r="I1420" s="3" t="str" cm="1">
        <f t="array" ref="I14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1" spans="1:9" x14ac:dyDescent="0.3">
      <c r="A1421" s="3" t="str">
        <f>IF(SISTEMA!A1415="","",SISTEMA!A1415)</f>
        <v/>
      </c>
      <c r="B1421" s="10" t="str">
        <f>IF(SISTEMA!B1415="","",VALUE(SISTEMA!B1415))</f>
        <v/>
      </c>
      <c r="C1421" s="10" t="str">
        <f>IF(SISTEMA!C1415="","",SISTEMA!C1415)</f>
        <v/>
      </c>
      <c r="D1421" s="5" t="str" cm="1">
        <f t="array" ref="D14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1" s="5" t="str" cm="1">
        <f t="array" ref="E14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1" s="5" t="str" cm="1">
        <f t="array" ref="F14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1" t="str" cm="1">
        <f t="array" ref="G14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1" s="4"/>
      <c r="I1421" s="3" t="str" cm="1">
        <f t="array" ref="I14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2" spans="1:9" x14ac:dyDescent="0.3">
      <c r="A1422" s="3" t="str">
        <f>IF(SISTEMA!A1416="","",SISTEMA!A1416)</f>
        <v/>
      </c>
      <c r="B1422" s="10" t="str">
        <f>IF(SISTEMA!B1416="","",VALUE(SISTEMA!B1416))</f>
        <v/>
      </c>
      <c r="C1422" s="10" t="str">
        <f>IF(SISTEMA!C1416="","",SISTEMA!C1416)</f>
        <v/>
      </c>
      <c r="D1422" s="5" t="str" cm="1">
        <f t="array" ref="D14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2" s="5" t="str" cm="1">
        <f t="array" ref="E14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2" s="5" t="str" cm="1">
        <f t="array" ref="F14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2" t="str" cm="1">
        <f t="array" ref="G14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2" s="4"/>
      <c r="I1422" s="3" t="str" cm="1">
        <f t="array" ref="I14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3" spans="1:9" x14ac:dyDescent="0.3">
      <c r="A1423" s="3" t="str">
        <f>IF(SISTEMA!A1417="","",SISTEMA!A1417)</f>
        <v/>
      </c>
      <c r="B1423" s="10" t="str">
        <f>IF(SISTEMA!B1417="","",VALUE(SISTEMA!B1417))</f>
        <v/>
      </c>
      <c r="C1423" s="10" t="str">
        <f>IF(SISTEMA!C1417="","",SISTEMA!C1417)</f>
        <v/>
      </c>
      <c r="D1423" s="5" t="str" cm="1">
        <f t="array" ref="D14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3" s="5" t="str" cm="1">
        <f t="array" ref="E14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3" s="5" t="str" cm="1">
        <f t="array" ref="F14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3" t="str" cm="1">
        <f t="array" ref="G14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3" s="4"/>
      <c r="I1423" s="3" t="str" cm="1">
        <f t="array" ref="I14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4" spans="1:9" x14ac:dyDescent="0.3">
      <c r="A1424" s="3" t="str">
        <f>IF(SISTEMA!A1418="","",SISTEMA!A1418)</f>
        <v/>
      </c>
      <c r="B1424" s="10" t="str">
        <f>IF(SISTEMA!B1418="","",VALUE(SISTEMA!B1418))</f>
        <v/>
      </c>
      <c r="C1424" s="10" t="str">
        <f>IF(SISTEMA!C1418="","",SISTEMA!C1418)</f>
        <v/>
      </c>
      <c r="D1424" s="5" t="str" cm="1">
        <f t="array" ref="D14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4" s="5" t="str" cm="1">
        <f t="array" ref="E14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4" s="5" t="str" cm="1">
        <f t="array" ref="F14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4" t="str" cm="1">
        <f t="array" ref="G14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4" s="4"/>
      <c r="I1424" s="3" t="str" cm="1">
        <f t="array" ref="I14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5" spans="1:9" x14ac:dyDescent="0.3">
      <c r="A1425" s="3" t="str">
        <f>IF(SISTEMA!A1419="","",SISTEMA!A1419)</f>
        <v/>
      </c>
      <c r="B1425" s="10" t="str">
        <f>IF(SISTEMA!B1419="","",VALUE(SISTEMA!B1419))</f>
        <v/>
      </c>
      <c r="C1425" s="10" t="str">
        <f>IF(SISTEMA!C1419="","",SISTEMA!C1419)</f>
        <v/>
      </c>
      <c r="D1425" s="5" t="str" cm="1">
        <f t="array" ref="D14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5" s="5" t="str" cm="1">
        <f t="array" ref="E14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5" s="5" t="str" cm="1">
        <f t="array" ref="F14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5" t="str" cm="1">
        <f t="array" ref="G14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5" s="4"/>
      <c r="I1425" s="3" t="str" cm="1">
        <f t="array" ref="I14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6" spans="1:9" x14ac:dyDescent="0.3">
      <c r="A1426" s="3" t="str">
        <f>IF(SISTEMA!A1420="","",SISTEMA!A1420)</f>
        <v/>
      </c>
      <c r="B1426" s="10" t="str">
        <f>IF(SISTEMA!B1420="","",VALUE(SISTEMA!B1420))</f>
        <v/>
      </c>
      <c r="C1426" s="10" t="str">
        <f>IF(SISTEMA!C1420="","",SISTEMA!C1420)</f>
        <v/>
      </c>
      <c r="D1426" s="5" t="str" cm="1">
        <f t="array" ref="D14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6" s="5" t="str" cm="1">
        <f t="array" ref="E14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6" s="5" t="str" cm="1">
        <f t="array" ref="F14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6" t="str" cm="1">
        <f t="array" ref="G14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6" s="4"/>
      <c r="I1426" s="3" t="str" cm="1">
        <f t="array" ref="I14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7" spans="1:9" x14ac:dyDescent="0.3">
      <c r="A1427" s="3" t="str">
        <f>IF(SISTEMA!A1421="","",SISTEMA!A1421)</f>
        <v/>
      </c>
      <c r="B1427" s="10" t="str">
        <f>IF(SISTEMA!B1421="","",VALUE(SISTEMA!B1421))</f>
        <v/>
      </c>
      <c r="C1427" s="10" t="str">
        <f>IF(SISTEMA!C1421="","",SISTEMA!C1421)</f>
        <v/>
      </c>
      <c r="D1427" s="5" t="str" cm="1">
        <f t="array" ref="D14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7" s="5" t="str" cm="1">
        <f t="array" ref="E14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7" s="5" t="str" cm="1">
        <f t="array" ref="F14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7" t="str" cm="1">
        <f t="array" ref="G14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7" s="4"/>
      <c r="I1427" s="3" t="str" cm="1">
        <f t="array" ref="I14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8" spans="1:9" x14ac:dyDescent="0.3">
      <c r="A1428" s="3" t="str">
        <f>IF(SISTEMA!A1422="","",SISTEMA!A1422)</f>
        <v/>
      </c>
      <c r="B1428" s="10" t="str">
        <f>IF(SISTEMA!B1422="","",VALUE(SISTEMA!B1422))</f>
        <v/>
      </c>
      <c r="C1428" s="10" t="str">
        <f>IF(SISTEMA!C1422="","",SISTEMA!C1422)</f>
        <v/>
      </c>
      <c r="D1428" s="5" t="str" cm="1">
        <f t="array" ref="D14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8" s="5" t="str" cm="1">
        <f t="array" ref="E14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8" s="5" t="str" cm="1">
        <f t="array" ref="F14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8" t="str" cm="1">
        <f t="array" ref="G14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8" s="4"/>
      <c r="I1428" s="3" t="str" cm="1">
        <f t="array" ref="I14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29" spans="1:9" x14ac:dyDescent="0.3">
      <c r="A1429" s="3" t="str">
        <f>IF(SISTEMA!A1423="","",SISTEMA!A1423)</f>
        <v/>
      </c>
      <c r="B1429" s="10" t="str">
        <f>IF(SISTEMA!B1423="","",VALUE(SISTEMA!B1423))</f>
        <v/>
      </c>
      <c r="C1429" s="10" t="str">
        <f>IF(SISTEMA!C1423="","",SISTEMA!C1423)</f>
        <v/>
      </c>
      <c r="D1429" s="5" t="str" cm="1">
        <f t="array" ref="D14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29" s="5" t="str" cm="1">
        <f t="array" ref="E14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29" s="5" t="str" cm="1">
        <f t="array" ref="F14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29" t="str" cm="1">
        <f t="array" ref="G14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29" s="4"/>
      <c r="I1429" s="3" t="str" cm="1">
        <f t="array" ref="I14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0" spans="1:9" x14ac:dyDescent="0.3">
      <c r="A1430" s="3" t="str">
        <f>IF(SISTEMA!A1424="","",SISTEMA!A1424)</f>
        <v/>
      </c>
      <c r="B1430" s="10" t="str">
        <f>IF(SISTEMA!B1424="","",VALUE(SISTEMA!B1424))</f>
        <v/>
      </c>
      <c r="C1430" s="10" t="str">
        <f>IF(SISTEMA!C1424="","",SISTEMA!C1424)</f>
        <v/>
      </c>
      <c r="D1430" s="5" t="str" cm="1">
        <f t="array" ref="D14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0" s="5" t="str" cm="1">
        <f t="array" ref="E14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0" s="5" t="str" cm="1">
        <f t="array" ref="F14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0" t="str" cm="1">
        <f t="array" ref="G14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0" s="4"/>
      <c r="I1430" s="3" t="str" cm="1">
        <f t="array" ref="I14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1" spans="1:9" x14ac:dyDescent="0.3">
      <c r="A1431" s="3" t="str">
        <f>IF(SISTEMA!A1425="","",SISTEMA!A1425)</f>
        <v/>
      </c>
      <c r="B1431" s="10" t="str">
        <f>IF(SISTEMA!B1425="","",VALUE(SISTEMA!B1425))</f>
        <v/>
      </c>
      <c r="C1431" s="10" t="str">
        <f>IF(SISTEMA!C1425="","",SISTEMA!C1425)</f>
        <v/>
      </c>
      <c r="D1431" s="5" t="str" cm="1">
        <f t="array" ref="D14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1" s="5" t="str" cm="1">
        <f t="array" ref="E14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1" s="5" t="str" cm="1">
        <f t="array" ref="F14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1" t="str" cm="1">
        <f t="array" ref="G14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1" s="4"/>
      <c r="I1431" s="3" t="str" cm="1">
        <f t="array" ref="I14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2" spans="1:9" x14ac:dyDescent="0.3">
      <c r="A1432" s="3" t="str">
        <f>IF(SISTEMA!A1426="","",SISTEMA!A1426)</f>
        <v/>
      </c>
      <c r="B1432" s="10" t="str">
        <f>IF(SISTEMA!B1426="","",VALUE(SISTEMA!B1426))</f>
        <v/>
      </c>
      <c r="C1432" s="10" t="str">
        <f>IF(SISTEMA!C1426="","",SISTEMA!C1426)</f>
        <v/>
      </c>
      <c r="D1432" s="5" t="str" cm="1">
        <f t="array" ref="D14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2" s="5" t="str" cm="1">
        <f t="array" ref="E14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2" s="5" t="str" cm="1">
        <f t="array" ref="F14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2" t="str" cm="1">
        <f t="array" ref="G14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2" s="4"/>
      <c r="I1432" s="3" t="str" cm="1">
        <f t="array" ref="I14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3" spans="1:9" x14ac:dyDescent="0.3">
      <c r="A1433" s="3" t="str">
        <f>IF(SISTEMA!A1427="","",SISTEMA!A1427)</f>
        <v/>
      </c>
      <c r="B1433" s="10" t="str">
        <f>IF(SISTEMA!B1427="","",VALUE(SISTEMA!B1427))</f>
        <v/>
      </c>
      <c r="C1433" s="10" t="str">
        <f>IF(SISTEMA!C1427="","",SISTEMA!C1427)</f>
        <v/>
      </c>
      <c r="D1433" s="5" t="str" cm="1">
        <f t="array" ref="D14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3" s="5" t="str" cm="1">
        <f t="array" ref="E14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3" s="5" t="str" cm="1">
        <f t="array" ref="F14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3" t="str" cm="1">
        <f t="array" ref="G14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3" s="4"/>
      <c r="I1433" s="3" t="str" cm="1">
        <f t="array" ref="I14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4" spans="1:9" x14ac:dyDescent="0.3">
      <c r="A1434" s="3" t="str">
        <f>IF(SISTEMA!A1428="","",SISTEMA!A1428)</f>
        <v/>
      </c>
      <c r="B1434" s="10" t="str">
        <f>IF(SISTEMA!B1428="","",VALUE(SISTEMA!B1428))</f>
        <v/>
      </c>
      <c r="C1434" s="10" t="str">
        <f>IF(SISTEMA!C1428="","",SISTEMA!C1428)</f>
        <v/>
      </c>
      <c r="D1434" s="5" t="str" cm="1">
        <f t="array" ref="D14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4" s="5" t="str" cm="1">
        <f t="array" ref="E14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4" s="5" t="str" cm="1">
        <f t="array" ref="F14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4" t="str" cm="1">
        <f t="array" ref="G14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4" s="4"/>
      <c r="I1434" s="3" t="str" cm="1">
        <f t="array" ref="I14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5" spans="1:9" x14ac:dyDescent="0.3">
      <c r="A1435" s="3" t="str">
        <f>IF(SISTEMA!A1429="","",SISTEMA!A1429)</f>
        <v/>
      </c>
      <c r="B1435" s="10" t="str">
        <f>IF(SISTEMA!B1429="","",VALUE(SISTEMA!B1429))</f>
        <v/>
      </c>
      <c r="C1435" s="10" t="str">
        <f>IF(SISTEMA!C1429="","",SISTEMA!C1429)</f>
        <v/>
      </c>
      <c r="D1435" s="5" t="str" cm="1">
        <f t="array" ref="D14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5" s="5" t="str" cm="1">
        <f t="array" ref="E14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5" s="5" t="str" cm="1">
        <f t="array" ref="F14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5" t="str" cm="1">
        <f t="array" ref="G14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5" s="4"/>
      <c r="I1435" s="3" t="str" cm="1">
        <f t="array" ref="I14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6" spans="1:9" x14ac:dyDescent="0.3">
      <c r="A1436" s="3" t="str">
        <f>IF(SISTEMA!A1430="","",SISTEMA!A1430)</f>
        <v/>
      </c>
      <c r="B1436" s="10" t="str">
        <f>IF(SISTEMA!B1430="","",VALUE(SISTEMA!B1430))</f>
        <v/>
      </c>
      <c r="C1436" s="10" t="str">
        <f>IF(SISTEMA!C1430="","",SISTEMA!C1430)</f>
        <v/>
      </c>
      <c r="D1436" s="5" t="str" cm="1">
        <f t="array" ref="D14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6" s="5" t="str" cm="1">
        <f t="array" ref="E14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6" s="5" t="str" cm="1">
        <f t="array" ref="F14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6" t="str" cm="1">
        <f t="array" ref="G14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6" s="4"/>
      <c r="I1436" s="3" t="str" cm="1">
        <f t="array" ref="I14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7" spans="1:9" x14ac:dyDescent="0.3">
      <c r="A1437" s="3" t="str">
        <f>IF(SISTEMA!A1431="","",SISTEMA!A1431)</f>
        <v/>
      </c>
      <c r="B1437" s="10" t="str">
        <f>IF(SISTEMA!B1431="","",VALUE(SISTEMA!B1431))</f>
        <v/>
      </c>
      <c r="C1437" s="10" t="str">
        <f>IF(SISTEMA!C1431="","",SISTEMA!C1431)</f>
        <v/>
      </c>
      <c r="D1437" s="5" t="str" cm="1">
        <f t="array" ref="D14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7" s="5" t="str" cm="1">
        <f t="array" ref="E14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7" s="5" t="str" cm="1">
        <f t="array" ref="F14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7" t="str" cm="1">
        <f t="array" ref="G14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7" s="4"/>
      <c r="I1437" s="3" t="str" cm="1">
        <f t="array" ref="I14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8" spans="1:9" x14ac:dyDescent="0.3">
      <c r="A1438" s="3" t="str">
        <f>IF(SISTEMA!A1432="","",SISTEMA!A1432)</f>
        <v/>
      </c>
      <c r="B1438" s="10" t="str">
        <f>IF(SISTEMA!B1432="","",VALUE(SISTEMA!B1432))</f>
        <v/>
      </c>
      <c r="C1438" s="10" t="str">
        <f>IF(SISTEMA!C1432="","",SISTEMA!C1432)</f>
        <v/>
      </c>
      <c r="D1438" s="5" t="str" cm="1">
        <f t="array" ref="D14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8" s="5" t="str" cm="1">
        <f t="array" ref="E14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8" s="5" t="str" cm="1">
        <f t="array" ref="F14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8" t="str" cm="1">
        <f t="array" ref="G14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8" s="4"/>
      <c r="I1438" s="3" t="str" cm="1">
        <f t="array" ref="I14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39" spans="1:9" x14ac:dyDescent="0.3">
      <c r="A1439" s="3" t="str">
        <f>IF(SISTEMA!A1433="","",SISTEMA!A1433)</f>
        <v/>
      </c>
      <c r="B1439" s="10" t="str">
        <f>IF(SISTEMA!B1433="","",VALUE(SISTEMA!B1433))</f>
        <v/>
      </c>
      <c r="C1439" s="10" t="str">
        <f>IF(SISTEMA!C1433="","",SISTEMA!C1433)</f>
        <v/>
      </c>
      <c r="D1439" s="5" t="str" cm="1">
        <f t="array" ref="D14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39" s="5" t="str" cm="1">
        <f t="array" ref="E14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39" s="5" t="str" cm="1">
        <f t="array" ref="F14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39" t="str" cm="1">
        <f t="array" ref="G14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39" s="4"/>
      <c r="I1439" s="3" t="str" cm="1">
        <f t="array" ref="I14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0" spans="1:9" x14ac:dyDescent="0.3">
      <c r="A1440" s="3" t="str">
        <f>IF(SISTEMA!A1434="","",SISTEMA!A1434)</f>
        <v/>
      </c>
      <c r="B1440" s="10" t="str">
        <f>IF(SISTEMA!B1434="","",VALUE(SISTEMA!B1434))</f>
        <v/>
      </c>
      <c r="C1440" s="10" t="str">
        <f>IF(SISTEMA!C1434="","",SISTEMA!C1434)</f>
        <v/>
      </c>
      <c r="D1440" s="5" t="str" cm="1">
        <f t="array" ref="D14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0" s="5" t="str" cm="1">
        <f t="array" ref="E14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0" s="5" t="str" cm="1">
        <f t="array" ref="F14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0" t="str" cm="1">
        <f t="array" ref="G14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0" s="4"/>
      <c r="I1440" s="3" t="str" cm="1">
        <f t="array" ref="I14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1" spans="1:9" x14ac:dyDescent="0.3">
      <c r="A1441" s="3" t="str">
        <f>IF(SISTEMA!A1435="","",SISTEMA!A1435)</f>
        <v/>
      </c>
      <c r="B1441" s="10" t="str">
        <f>IF(SISTEMA!B1435="","",VALUE(SISTEMA!B1435))</f>
        <v/>
      </c>
      <c r="C1441" s="10" t="str">
        <f>IF(SISTEMA!C1435="","",SISTEMA!C1435)</f>
        <v/>
      </c>
      <c r="D1441" s="5" t="str" cm="1">
        <f t="array" ref="D14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1" s="5" t="str" cm="1">
        <f t="array" ref="E14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1" s="5" t="str" cm="1">
        <f t="array" ref="F14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1" t="str" cm="1">
        <f t="array" ref="G14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1" s="4"/>
      <c r="I1441" s="3" t="str" cm="1">
        <f t="array" ref="I14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2" spans="1:9" x14ac:dyDescent="0.3">
      <c r="A1442" s="3" t="str">
        <f>IF(SISTEMA!A1436="","",SISTEMA!A1436)</f>
        <v/>
      </c>
      <c r="B1442" s="10" t="str">
        <f>IF(SISTEMA!B1436="","",VALUE(SISTEMA!B1436))</f>
        <v/>
      </c>
      <c r="C1442" s="10" t="str">
        <f>IF(SISTEMA!C1436="","",SISTEMA!C1436)</f>
        <v/>
      </c>
      <c r="D1442" s="5" t="str" cm="1">
        <f t="array" ref="D14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2" s="5" t="str" cm="1">
        <f t="array" ref="E14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2" s="5" t="str" cm="1">
        <f t="array" ref="F14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2" t="str" cm="1">
        <f t="array" ref="G14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2" s="4"/>
      <c r="I1442" s="3" t="str" cm="1">
        <f t="array" ref="I14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3" spans="1:9" x14ac:dyDescent="0.3">
      <c r="A1443" s="3" t="str">
        <f>IF(SISTEMA!A1437="","",SISTEMA!A1437)</f>
        <v/>
      </c>
      <c r="B1443" s="10" t="str">
        <f>IF(SISTEMA!B1437="","",VALUE(SISTEMA!B1437))</f>
        <v/>
      </c>
      <c r="C1443" s="10" t="str">
        <f>IF(SISTEMA!C1437="","",SISTEMA!C1437)</f>
        <v/>
      </c>
      <c r="D1443" s="5" t="str" cm="1">
        <f t="array" ref="D14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3" s="5" t="str" cm="1">
        <f t="array" ref="E14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3" s="5" t="str" cm="1">
        <f t="array" ref="F14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3" t="str" cm="1">
        <f t="array" ref="G14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3" s="4"/>
      <c r="I1443" s="3" t="str" cm="1">
        <f t="array" ref="I14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4" spans="1:9" x14ac:dyDescent="0.3">
      <c r="A1444" s="3" t="str">
        <f>IF(SISTEMA!A1438="","",SISTEMA!A1438)</f>
        <v/>
      </c>
      <c r="B1444" s="10" t="str">
        <f>IF(SISTEMA!B1438="","",VALUE(SISTEMA!B1438))</f>
        <v/>
      </c>
      <c r="C1444" s="10" t="str">
        <f>IF(SISTEMA!C1438="","",SISTEMA!C1438)</f>
        <v/>
      </c>
      <c r="D1444" s="5" t="str" cm="1">
        <f t="array" ref="D14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4" s="5" t="str" cm="1">
        <f t="array" ref="E14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4" s="5" t="str" cm="1">
        <f t="array" ref="F14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4" t="str" cm="1">
        <f t="array" ref="G14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4" s="4"/>
      <c r="I1444" s="3" t="str" cm="1">
        <f t="array" ref="I14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5" spans="1:9" x14ac:dyDescent="0.3">
      <c r="A1445" s="3" t="str">
        <f>IF(SISTEMA!A1439="","",SISTEMA!A1439)</f>
        <v/>
      </c>
      <c r="B1445" s="10" t="str">
        <f>IF(SISTEMA!B1439="","",VALUE(SISTEMA!B1439))</f>
        <v/>
      </c>
      <c r="C1445" s="10" t="str">
        <f>IF(SISTEMA!C1439="","",SISTEMA!C1439)</f>
        <v/>
      </c>
      <c r="D1445" s="5" t="str" cm="1">
        <f t="array" ref="D14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5" s="5" t="str" cm="1">
        <f t="array" ref="E14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5" s="5" t="str" cm="1">
        <f t="array" ref="F14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5" t="str" cm="1">
        <f t="array" ref="G14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5" s="4"/>
      <c r="I1445" s="3" t="str" cm="1">
        <f t="array" ref="I14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6" spans="1:9" x14ac:dyDescent="0.3">
      <c r="A1446" s="3" t="str">
        <f>IF(SISTEMA!A1440="","",SISTEMA!A1440)</f>
        <v/>
      </c>
      <c r="B1446" s="10" t="str">
        <f>IF(SISTEMA!B1440="","",VALUE(SISTEMA!B1440))</f>
        <v/>
      </c>
      <c r="C1446" s="10" t="str">
        <f>IF(SISTEMA!C1440="","",SISTEMA!C1440)</f>
        <v/>
      </c>
      <c r="D1446" s="5" t="str" cm="1">
        <f t="array" ref="D14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6" s="5" t="str" cm="1">
        <f t="array" ref="E14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6" s="5" t="str" cm="1">
        <f t="array" ref="F14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6" t="str" cm="1">
        <f t="array" ref="G14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6" s="4"/>
      <c r="I1446" s="3" t="str" cm="1">
        <f t="array" ref="I14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7" spans="1:9" x14ac:dyDescent="0.3">
      <c r="A1447" s="3" t="str">
        <f>IF(SISTEMA!A1441="","",SISTEMA!A1441)</f>
        <v/>
      </c>
      <c r="B1447" s="10" t="str">
        <f>IF(SISTEMA!B1441="","",VALUE(SISTEMA!B1441))</f>
        <v/>
      </c>
      <c r="C1447" s="10" t="str">
        <f>IF(SISTEMA!C1441="","",SISTEMA!C1441)</f>
        <v/>
      </c>
      <c r="D1447" s="5" t="str" cm="1">
        <f t="array" ref="D14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7" s="5" t="str" cm="1">
        <f t="array" ref="E14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7" s="5" t="str" cm="1">
        <f t="array" ref="F14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7" t="str" cm="1">
        <f t="array" ref="G14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7" s="4"/>
      <c r="I1447" s="3" t="str" cm="1">
        <f t="array" ref="I14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8" spans="1:9" x14ac:dyDescent="0.3">
      <c r="A1448" s="3" t="str">
        <f>IF(SISTEMA!A1442="","",SISTEMA!A1442)</f>
        <v/>
      </c>
      <c r="B1448" s="10" t="str">
        <f>IF(SISTEMA!B1442="","",VALUE(SISTEMA!B1442))</f>
        <v/>
      </c>
      <c r="C1448" s="10" t="str">
        <f>IF(SISTEMA!C1442="","",SISTEMA!C1442)</f>
        <v/>
      </c>
      <c r="D1448" s="5" t="str" cm="1">
        <f t="array" ref="D14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8" s="5" t="str" cm="1">
        <f t="array" ref="E14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8" s="5" t="str" cm="1">
        <f t="array" ref="F14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8" t="str" cm="1">
        <f t="array" ref="G14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8" s="4"/>
      <c r="I1448" s="3" t="str" cm="1">
        <f t="array" ref="I14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49" spans="1:9" x14ac:dyDescent="0.3">
      <c r="A1449" s="3" t="str">
        <f>IF(SISTEMA!A1443="","",SISTEMA!A1443)</f>
        <v/>
      </c>
      <c r="B1449" s="10" t="str">
        <f>IF(SISTEMA!B1443="","",VALUE(SISTEMA!B1443))</f>
        <v/>
      </c>
      <c r="C1449" s="10" t="str">
        <f>IF(SISTEMA!C1443="","",SISTEMA!C1443)</f>
        <v/>
      </c>
      <c r="D1449" s="5" t="str" cm="1">
        <f t="array" ref="D14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49" s="5" t="str" cm="1">
        <f t="array" ref="E14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49" s="5" t="str" cm="1">
        <f t="array" ref="F14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49" t="str" cm="1">
        <f t="array" ref="G14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49" s="4"/>
      <c r="I1449" s="3" t="str" cm="1">
        <f t="array" ref="I14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0" spans="1:9" x14ac:dyDescent="0.3">
      <c r="A1450" s="3" t="str">
        <f>IF(SISTEMA!A1444="","",SISTEMA!A1444)</f>
        <v/>
      </c>
      <c r="B1450" s="10" t="str">
        <f>IF(SISTEMA!B1444="","",VALUE(SISTEMA!B1444))</f>
        <v/>
      </c>
      <c r="C1450" s="10" t="str">
        <f>IF(SISTEMA!C1444="","",SISTEMA!C1444)</f>
        <v/>
      </c>
      <c r="D1450" s="5" t="str" cm="1">
        <f t="array" ref="D14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0" s="5" t="str" cm="1">
        <f t="array" ref="E14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0" s="5" t="str" cm="1">
        <f t="array" ref="F14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0" t="str" cm="1">
        <f t="array" ref="G14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0" s="4"/>
      <c r="I1450" s="3" t="str" cm="1">
        <f t="array" ref="I14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1" spans="1:9" x14ac:dyDescent="0.3">
      <c r="A1451" s="3" t="str">
        <f>IF(SISTEMA!A1445="","",SISTEMA!A1445)</f>
        <v/>
      </c>
      <c r="B1451" s="10" t="str">
        <f>IF(SISTEMA!B1445="","",VALUE(SISTEMA!B1445))</f>
        <v/>
      </c>
      <c r="C1451" s="10" t="str">
        <f>IF(SISTEMA!C1445="","",SISTEMA!C1445)</f>
        <v/>
      </c>
      <c r="D1451" s="5" t="str" cm="1">
        <f t="array" ref="D14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1" s="5" t="str" cm="1">
        <f t="array" ref="E14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1" s="5" t="str" cm="1">
        <f t="array" ref="F14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1" t="str" cm="1">
        <f t="array" ref="G14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1" s="4"/>
      <c r="I1451" s="3" t="str" cm="1">
        <f t="array" ref="I14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2" spans="1:9" x14ac:dyDescent="0.3">
      <c r="A1452" s="3" t="str">
        <f>IF(SISTEMA!A1446="","",SISTEMA!A1446)</f>
        <v/>
      </c>
      <c r="B1452" s="10" t="str">
        <f>IF(SISTEMA!B1446="","",VALUE(SISTEMA!B1446))</f>
        <v/>
      </c>
      <c r="C1452" s="10" t="str">
        <f>IF(SISTEMA!C1446="","",SISTEMA!C1446)</f>
        <v/>
      </c>
      <c r="D1452" s="5" t="str" cm="1">
        <f t="array" ref="D14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2" s="5" t="str" cm="1">
        <f t="array" ref="E14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2" s="5" t="str" cm="1">
        <f t="array" ref="F14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2" t="str" cm="1">
        <f t="array" ref="G14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2" s="4"/>
      <c r="I1452" s="3" t="str" cm="1">
        <f t="array" ref="I14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3" spans="1:9" x14ac:dyDescent="0.3">
      <c r="A1453" s="3" t="str">
        <f>IF(SISTEMA!A1447="","",SISTEMA!A1447)</f>
        <v/>
      </c>
      <c r="B1453" s="10" t="str">
        <f>IF(SISTEMA!B1447="","",VALUE(SISTEMA!B1447))</f>
        <v/>
      </c>
      <c r="C1453" s="10" t="str">
        <f>IF(SISTEMA!C1447="","",SISTEMA!C1447)</f>
        <v/>
      </c>
      <c r="D1453" s="5" t="str" cm="1">
        <f t="array" ref="D14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3" s="5" t="str" cm="1">
        <f t="array" ref="E14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3" s="5" t="str" cm="1">
        <f t="array" ref="F14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3" t="str" cm="1">
        <f t="array" ref="G14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3" s="4"/>
      <c r="I1453" s="3" t="str" cm="1">
        <f t="array" ref="I14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4" spans="1:9" x14ac:dyDescent="0.3">
      <c r="A1454" s="3" t="str">
        <f>IF(SISTEMA!A1448="","",SISTEMA!A1448)</f>
        <v/>
      </c>
      <c r="B1454" s="10" t="str">
        <f>IF(SISTEMA!B1448="","",VALUE(SISTEMA!B1448))</f>
        <v/>
      </c>
      <c r="C1454" s="10" t="str">
        <f>IF(SISTEMA!C1448="","",SISTEMA!C1448)</f>
        <v/>
      </c>
      <c r="D1454" s="5" t="str" cm="1">
        <f t="array" ref="D14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4" s="5" t="str" cm="1">
        <f t="array" ref="E14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4" s="5" t="str" cm="1">
        <f t="array" ref="F14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4" t="str" cm="1">
        <f t="array" ref="G14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4" s="4"/>
      <c r="I1454" s="3" t="str" cm="1">
        <f t="array" ref="I14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5" spans="1:9" x14ac:dyDescent="0.3">
      <c r="A1455" s="3" t="str">
        <f>IF(SISTEMA!A1449="","",SISTEMA!A1449)</f>
        <v/>
      </c>
      <c r="B1455" s="10" t="str">
        <f>IF(SISTEMA!B1449="","",VALUE(SISTEMA!B1449))</f>
        <v/>
      </c>
      <c r="C1455" s="10" t="str">
        <f>IF(SISTEMA!C1449="","",SISTEMA!C1449)</f>
        <v/>
      </c>
      <c r="D1455" s="5" t="str" cm="1">
        <f t="array" ref="D14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5" s="5" t="str" cm="1">
        <f t="array" ref="E14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5" s="5" t="str" cm="1">
        <f t="array" ref="F14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5" t="str" cm="1">
        <f t="array" ref="G14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5" s="4"/>
      <c r="I1455" s="3" t="str" cm="1">
        <f t="array" ref="I14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6" spans="1:9" x14ac:dyDescent="0.3">
      <c r="A1456" s="3" t="str">
        <f>IF(SISTEMA!A1450="","",SISTEMA!A1450)</f>
        <v/>
      </c>
      <c r="B1456" s="10" t="str">
        <f>IF(SISTEMA!B1450="","",VALUE(SISTEMA!B1450))</f>
        <v/>
      </c>
      <c r="C1456" s="10" t="str">
        <f>IF(SISTEMA!C1450="","",SISTEMA!C1450)</f>
        <v/>
      </c>
      <c r="D1456" s="5" t="str" cm="1">
        <f t="array" ref="D14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6" s="5" t="str" cm="1">
        <f t="array" ref="E14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6" s="5" t="str" cm="1">
        <f t="array" ref="F14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6" t="str" cm="1">
        <f t="array" ref="G14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6" s="4"/>
      <c r="I1456" s="3" t="str" cm="1">
        <f t="array" ref="I14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7" spans="1:9" x14ac:dyDescent="0.3">
      <c r="A1457" s="3" t="str">
        <f>IF(SISTEMA!A1451="","",SISTEMA!A1451)</f>
        <v/>
      </c>
      <c r="B1457" s="10" t="str">
        <f>IF(SISTEMA!B1451="","",VALUE(SISTEMA!B1451))</f>
        <v/>
      </c>
      <c r="C1457" s="10" t="str">
        <f>IF(SISTEMA!C1451="","",SISTEMA!C1451)</f>
        <v/>
      </c>
      <c r="D1457" s="5" t="str" cm="1">
        <f t="array" ref="D14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7" s="5" t="str" cm="1">
        <f t="array" ref="E14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7" s="5" t="str" cm="1">
        <f t="array" ref="F14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7" t="str" cm="1">
        <f t="array" ref="G14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7" s="4"/>
      <c r="I1457" s="3" t="str" cm="1">
        <f t="array" ref="I14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8" spans="1:9" x14ac:dyDescent="0.3">
      <c r="A1458" s="3" t="str">
        <f>IF(SISTEMA!A1452="","",SISTEMA!A1452)</f>
        <v/>
      </c>
      <c r="B1458" s="10" t="str">
        <f>IF(SISTEMA!B1452="","",VALUE(SISTEMA!B1452))</f>
        <v/>
      </c>
      <c r="C1458" s="10" t="str">
        <f>IF(SISTEMA!C1452="","",SISTEMA!C1452)</f>
        <v/>
      </c>
      <c r="D1458" s="5" t="str" cm="1">
        <f t="array" ref="D14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8" s="5" t="str" cm="1">
        <f t="array" ref="E14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8" s="5" t="str" cm="1">
        <f t="array" ref="F14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8" t="str" cm="1">
        <f t="array" ref="G14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8" s="4"/>
      <c r="I1458" s="3" t="str" cm="1">
        <f t="array" ref="I14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59" spans="1:9" x14ac:dyDescent="0.3">
      <c r="A1459" s="3" t="str">
        <f>IF(SISTEMA!A1453="","",SISTEMA!A1453)</f>
        <v/>
      </c>
      <c r="B1459" s="10" t="str">
        <f>IF(SISTEMA!B1453="","",VALUE(SISTEMA!B1453))</f>
        <v/>
      </c>
      <c r="C1459" s="10" t="str">
        <f>IF(SISTEMA!C1453="","",SISTEMA!C1453)</f>
        <v/>
      </c>
      <c r="D1459" s="5" t="str" cm="1">
        <f t="array" ref="D14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59" s="5" t="str" cm="1">
        <f t="array" ref="E14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59" s="5" t="str" cm="1">
        <f t="array" ref="F14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59" t="str" cm="1">
        <f t="array" ref="G14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59" s="4"/>
      <c r="I1459" s="3" t="str" cm="1">
        <f t="array" ref="I14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0" spans="1:9" x14ac:dyDescent="0.3">
      <c r="A1460" s="3" t="str">
        <f>IF(SISTEMA!A1454="","",SISTEMA!A1454)</f>
        <v/>
      </c>
      <c r="B1460" s="10" t="str">
        <f>IF(SISTEMA!B1454="","",VALUE(SISTEMA!B1454))</f>
        <v/>
      </c>
      <c r="C1460" s="10" t="str">
        <f>IF(SISTEMA!C1454="","",SISTEMA!C1454)</f>
        <v/>
      </c>
      <c r="D1460" s="5" t="str" cm="1">
        <f t="array" ref="D14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0" s="5" t="str" cm="1">
        <f t="array" ref="E14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0" s="5" t="str" cm="1">
        <f t="array" ref="F14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0" t="str" cm="1">
        <f t="array" ref="G14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0" s="4"/>
      <c r="I1460" s="3" t="str" cm="1">
        <f t="array" ref="I14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1" spans="1:9" x14ac:dyDescent="0.3">
      <c r="A1461" s="3" t="str">
        <f>IF(SISTEMA!A1455="","",SISTEMA!A1455)</f>
        <v/>
      </c>
      <c r="B1461" s="10" t="str">
        <f>IF(SISTEMA!B1455="","",VALUE(SISTEMA!B1455))</f>
        <v/>
      </c>
      <c r="C1461" s="10" t="str">
        <f>IF(SISTEMA!C1455="","",SISTEMA!C1455)</f>
        <v/>
      </c>
      <c r="D1461" s="5" t="str" cm="1">
        <f t="array" ref="D14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1" s="5" t="str" cm="1">
        <f t="array" ref="E14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1" s="5" t="str" cm="1">
        <f t="array" ref="F14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1" t="str" cm="1">
        <f t="array" ref="G14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1" s="4"/>
      <c r="I1461" s="3" t="str" cm="1">
        <f t="array" ref="I14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2" spans="1:9" x14ac:dyDescent="0.3">
      <c r="A1462" s="3" t="str">
        <f>IF(SISTEMA!A1456="","",SISTEMA!A1456)</f>
        <v/>
      </c>
      <c r="B1462" s="10" t="str">
        <f>IF(SISTEMA!B1456="","",VALUE(SISTEMA!B1456))</f>
        <v/>
      </c>
      <c r="C1462" s="10" t="str">
        <f>IF(SISTEMA!C1456="","",SISTEMA!C1456)</f>
        <v/>
      </c>
      <c r="D1462" s="5" t="str" cm="1">
        <f t="array" ref="D14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2" s="5" t="str" cm="1">
        <f t="array" ref="E14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2" s="5" t="str" cm="1">
        <f t="array" ref="F14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2" t="str" cm="1">
        <f t="array" ref="G14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2" s="4"/>
      <c r="I1462" s="3" t="str" cm="1">
        <f t="array" ref="I14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3" spans="1:9" x14ac:dyDescent="0.3">
      <c r="A1463" s="3" t="str">
        <f>IF(SISTEMA!A1457="","",SISTEMA!A1457)</f>
        <v/>
      </c>
      <c r="B1463" s="10" t="str">
        <f>IF(SISTEMA!B1457="","",VALUE(SISTEMA!B1457))</f>
        <v/>
      </c>
      <c r="C1463" s="10" t="str">
        <f>IF(SISTEMA!C1457="","",SISTEMA!C1457)</f>
        <v/>
      </c>
      <c r="D1463" s="5" t="str" cm="1">
        <f t="array" ref="D14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3" s="5" t="str" cm="1">
        <f t="array" ref="E14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3" s="5" t="str" cm="1">
        <f t="array" ref="F14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3" t="str" cm="1">
        <f t="array" ref="G14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3" s="4"/>
      <c r="I1463" s="3" t="str" cm="1">
        <f t="array" ref="I14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4" spans="1:9" x14ac:dyDescent="0.3">
      <c r="A1464" s="3" t="str">
        <f>IF(SISTEMA!A1458="","",SISTEMA!A1458)</f>
        <v/>
      </c>
      <c r="B1464" s="10" t="str">
        <f>IF(SISTEMA!B1458="","",VALUE(SISTEMA!B1458))</f>
        <v/>
      </c>
      <c r="C1464" s="10" t="str">
        <f>IF(SISTEMA!C1458="","",SISTEMA!C1458)</f>
        <v/>
      </c>
      <c r="D1464" s="5" t="str" cm="1">
        <f t="array" ref="D14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4" s="5" t="str" cm="1">
        <f t="array" ref="E14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4" s="5" t="str" cm="1">
        <f t="array" ref="F14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4" t="str" cm="1">
        <f t="array" ref="G14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4" s="4"/>
      <c r="I1464" s="3" t="str" cm="1">
        <f t="array" ref="I14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5" spans="1:9" x14ac:dyDescent="0.3">
      <c r="A1465" s="3" t="str">
        <f>IF(SISTEMA!A1459="","",SISTEMA!A1459)</f>
        <v/>
      </c>
      <c r="B1465" s="10" t="str">
        <f>IF(SISTEMA!B1459="","",VALUE(SISTEMA!B1459))</f>
        <v/>
      </c>
      <c r="C1465" s="10" t="str">
        <f>IF(SISTEMA!C1459="","",SISTEMA!C1459)</f>
        <v/>
      </c>
      <c r="D1465" s="5" t="str" cm="1">
        <f t="array" ref="D14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5" s="5" t="str" cm="1">
        <f t="array" ref="E14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5" s="5" t="str" cm="1">
        <f t="array" ref="F14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5" t="str" cm="1">
        <f t="array" ref="G14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5" s="4"/>
      <c r="I1465" s="3" t="str" cm="1">
        <f t="array" ref="I14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6" spans="1:9" x14ac:dyDescent="0.3">
      <c r="A1466" s="3" t="str">
        <f>IF(SISTEMA!A1460="","",SISTEMA!A1460)</f>
        <v/>
      </c>
      <c r="B1466" s="10" t="str">
        <f>IF(SISTEMA!B1460="","",VALUE(SISTEMA!B1460))</f>
        <v/>
      </c>
      <c r="C1466" s="10" t="str">
        <f>IF(SISTEMA!C1460="","",SISTEMA!C1460)</f>
        <v/>
      </c>
      <c r="D1466" s="5" t="str" cm="1">
        <f t="array" ref="D14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6" s="5" t="str" cm="1">
        <f t="array" ref="E14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6" s="5" t="str" cm="1">
        <f t="array" ref="F14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6" t="str" cm="1">
        <f t="array" ref="G14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6" s="4"/>
      <c r="I1466" s="3" t="str" cm="1">
        <f t="array" ref="I14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7" spans="1:9" x14ac:dyDescent="0.3">
      <c r="A1467" s="3" t="str">
        <f>IF(SISTEMA!A1461="","",SISTEMA!A1461)</f>
        <v/>
      </c>
      <c r="B1467" s="10" t="str">
        <f>IF(SISTEMA!B1461="","",VALUE(SISTEMA!B1461))</f>
        <v/>
      </c>
      <c r="C1467" s="10" t="str">
        <f>IF(SISTEMA!C1461="","",SISTEMA!C1461)</f>
        <v/>
      </c>
      <c r="D1467" s="5" t="str" cm="1">
        <f t="array" ref="D14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7" s="5" t="str" cm="1">
        <f t="array" ref="E14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7" s="5" t="str" cm="1">
        <f t="array" ref="F14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7" t="str" cm="1">
        <f t="array" ref="G14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7" s="4"/>
      <c r="I1467" s="3" t="str" cm="1">
        <f t="array" ref="I14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8" spans="1:9" x14ac:dyDescent="0.3">
      <c r="A1468" s="3" t="str">
        <f>IF(SISTEMA!A1462="","",SISTEMA!A1462)</f>
        <v/>
      </c>
      <c r="B1468" s="10" t="str">
        <f>IF(SISTEMA!B1462="","",VALUE(SISTEMA!B1462))</f>
        <v/>
      </c>
      <c r="C1468" s="10" t="str">
        <f>IF(SISTEMA!C1462="","",SISTEMA!C1462)</f>
        <v/>
      </c>
      <c r="D1468" s="5" t="str" cm="1">
        <f t="array" ref="D14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8" s="5" t="str" cm="1">
        <f t="array" ref="E14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8" s="5" t="str" cm="1">
        <f t="array" ref="F14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8" t="str" cm="1">
        <f t="array" ref="G14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8" s="4"/>
      <c r="I1468" s="3" t="str" cm="1">
        <f t="array" ref="I14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69" spans="1:9" x14ac:dyDescent="0.3">
      <c r="A1469" s="3" t="str">
        <f>IF(SISTEMA!A1463="","",SISTEMA!A1463)</f>
        <v/>
      </c>
      <c r="B1469" s="10" t="str">
        <f>IF(SISTEMA!B1463="","",VALUE(SISTEMA!B1463))</f>
        <v/>
      </c>
      <c r="C1469" s="10" t="str">
        <f>IF(SISTEMA!C1463="","",SISTEMA!C1463)</f>
        <v/>
      </c>
      <c r="D1469" s="5" t="str" cm="1">
        <f t="array" ref="D14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69" s="5" t="str" cm="1">
        <f t="array" ref="E14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69" s="5" t="str" cm="1">
        <f t="array" ref="F14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69" t="str" cm="1">
        <f t="array" ref="G14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69" s="4"/>
      <c r="I1469" s="3" t="str" cm="1">
        <f t="array" ref="I14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0" spans="1:9" x14ac:dyDescent="0.3">
      <c r="A1470" s="3" t="str">
        <f>IF(SISTEMA!A1464="","",SISTEMA!A1464)</f>
        <v/>
      </c>
      <c r="B1470" s="10" t="str">
        <f>IF(SISTEMA!B1464="","",VALUE(SISTEMA!B1464))</f>
        <v/>
      </c>
      <c r="C1470" s="10" t="str">
        <f>IF(SISTEMA!C1464="","",SISTEMA!C1464)</f>
        <v/>
      </c>
      <c r="D1470" s="5" t="str" cm="1">
        <f t="array" ref="D14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0" s="5" t="str" cm="1">
        <f t="array" ref="E14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0" s="5" t="str" cm="1">
        <f t="array" ref="F14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0" t="str" cm="1">
        <f t="array" ref="G14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0" s="4"/>
      <c r="I1470" s="3" t="str" cm="1">
        <f t="array" ref="I14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1" spans="1:9" x14ac:dyDescent="0.3">
      <c r="A1471" s="3" t="str">
        <f>IF(SISTEMA!A1465="","",SISTEMA!A1465)</f>
        <v/>
      </c>
      <c r="B1471" s="10" t="str">
        <f>IF(SISTEMA!B1465="","",VALUE(SISTEMA!B1465))</f>
        <v/>
      </c>
      <c r="C1471" s="10" t="str">
        <f>IF(SISTEMA!C1465="","",SISTEMA!C1465)</f>
        <v/>
      </c>
      <c r="D1471" s="5" t="str" cm="1">
        <f t="array" ref="D14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1" s="5" t="str" cm="1">
        <f t="array" ref="E14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1" s="5" t="str" cm="1">
        <f t="array" ref="F14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1" t="str" cm="1">
        <f t="array" ref="G14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1" s="4"/>
      <c r="I1471" s="3" t="str" cm="1">
        <f t="array" ref="I14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2" spans="1:9" x14ac:dyDescent="0.3">
      <c r="A1472" s="3" t="str">
        <f>IF(SISTEMA!A1466="","",SISTEMA!A1466)</f>
        <v/>
      </c>
      <c r="B1472" s="10" t="str">
        <f>IF(SISTEMA!B1466="","",VALUE(SISTEMA!B1466))</f>
        <v/>
      </c>
      <c r="C1472" s="10" t="str">
        <f>IF(SISTEMA!C1466="","",SISTEMA!C1466)</f>
        <v/>
      </c>
      <c r="D1472" s="5" t="str" cm="1">
        <f t="array" ref="D14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2" s="5" t="str" cm="1">
        <f t="array" ref="E14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2" s="5" t="str" cm="1">
        <f t="array" ref="F14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2" t="str" cm="1">
        <f t="array" ref="G14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2" s="4"/>
      <c r="I1472" s="3" t="str" cm="1">
        <f t="array" ref="I14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3" spans="1:9" x14ac:dyDescent="0.3">
      <c r="A1473" s="3" t="str">
        <f>IF(SISTEMA!A1467="","",SISTEMA!A1467)</f>
        <v/>
      </c>
      <c r="B1473" s="10" t="str">
        <f>IF(SISTEMA!B1467="","",VALUE(SISTEMA!B1467))</f>
        <v/>
      </c>
      <c r="C1473" s="10" t="str">
        <f>IF(SISTEMA!C1467="","",SISTEMA!C1467)</f>
        <v/>
      </c>
      <c r="D1473" s="5" t="str" cm="1">
        <f t="array" ref="D14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3" s="5" t="str" cm="1">
        <f t="array" ref="E14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3" s="5" t="str" cm="1">
        <f t="array" ref="F14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3" t="str" cm="1">
        <f t="array" ref="G14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3" s="4"/>
      <c r="I1473" s="3" t="str" cm="1">
        <f t="array" ref="I14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4" spans="1:9" x14ac:dyDescent="0.3">
      <c r="A1474" s="3" t="str">
        <f>IF(SISTEMA!A1468="","",SISTEMA!A1468)</f>
        <v/>
      </c>
      <c r="B1474" s="10" t="str">
        <f>IF(SISTEMA!B1468="","",VALUE(SISTEMA!B1468))</f>
        <v/>
      </c>
      <c r="C1474" s="10" t="str">
        <f>IF(SISTEMA!C1468="","",SISTEMA!C1468)</f>
        <v/>
      </c>
      <c r="D1474" s="5" t="str" cm="1">
        <f t="array" ref="D14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4" s="5" t="str" cm="1">
        <f t="array" ref="E14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4" s="5" t="str" cm="1">
        <f t="array" ref="F14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4" t="str" cm="1">
        <f t="array" ref="G14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4" s="4"/>
      <c r="I1474" s="3" t="str" cm="1">
        <f t="array" ref="I14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5" spans="1:9" x14ac:dyDescent="0.3">
      <c r="A1475" s="3" t="str">
        <f>IF(SISTEMA!A1469="","",SISTEMA!A1469)</f>
        <v/>
      </c>
      <c r="B1475" s="10" t="str">
        <f>IF(SISTEMA!B1469="","",VALUE(SISTEMA!B1469))</f>
        <v/>
      </c>
      <c r="C1475" s="10" t="str">
        <f>IF(SISTEMA!C1469="","",SISTEMA!C1469)</f>
        <v/>
      </c>
      <c r="D1475" s="5" t="str" cm="1">
        <f t="array" ref="D14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5" s="5" t="str" cm="1">
        <f t="array" ref="E14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5" s="5" t="str" cm="1">
        <f t="array" ref="F14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5" t="str" cm="1">
        <f t="array" ref="G14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5" s="4"/>
      <c r="I1475" s="3" t="str" cm="1">
        <f t="array" ref="I14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6" spans="1:9" x14ac:dyDescent="0.3">
      <c r="A1476" s="3" t="str">
        <f>IF(SISTEMA!A1470="","",SISTEMA!A1470)</f>
        <v/>
      </c>
      <c r="B1476" s="10" t="str">
        <f>IF(SISTEMA!B1470="","",VALUE(SISTEMA!B1470))</f>
        <v/>
      </c>
      <c r="C1476" s="10" t="str">
        <f>IF(SISTEMA!C1470="","",SISTEMA!C1470)</f>
        <v/>
      </c>
      <c r="D1476" s="5" t="str" cm="1">
        <f t="array" ref="D14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6" s="5" t="str" cm="1">
        <f t="array" ref="E14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6" s="5" t="str" cm="1">
        <f t="array" ref="F14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6" t="str" cm="1">
        <f t="array" ref="G14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6" s="4"/>
      <c r="I1476" s="3" t="str" cm="1">
        <f t="array" ref="I14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7" spans="1:9" x14ac:dyDescent="0.3">
      <c r="A1477" s="3" t="str">
        <f>IF(SISTEMA!A1471="","",SISTEMA!A1471)</f>
        <v/>
      </c>
      <c r="B1477" s="10" t="str">
        <f>IF(SISTEMA!B1471="","",VALUE(SISTEMA!B1471))</f>
        <v/>
      </c>
      <c r="C1477" s="10" t="str">
        <f>IF(SISTEMA!C1471="","",SISTEMA!C1471)</f>
        <v/>
      </c>
      <c r="D1477" s="5" t="str" cm="1">
        <f t="array" ref="D14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7" s="5" t="str" cm="1">
        <f t="array" ref="E14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7" s="5" t="str" cm="1">
        <f t="array" ref="F14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7" t="str" cm="1">
        <f t="array" ref="G14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7" s="4"/>
      <c r="I1477" s="3" t="str" cm="1">
        <f t="array" ref="I14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8" spans="1:9" x14ac:dyDescent="0.3">
      <c r="A1478" s="3" t="str">
        <f>IF(SISTEMA!A1472="","",SISTEMA!A1472)</f>
        <v/>
      </c>
      <c r="B1478" s="10" t="str">
        <f>IF(SISTEMA!B1472="","",VALUE(SISTEMA!B1472))</f>
        <v/>
      </c>
      <c r="C1478" s="10" t="str">
        <f>IF(SISTEMA!C1472="","",SISTEMA!C1472)</f>
        <v/>
      </c>
      <c r="D1478" s="5" t="str" cm="1">
        <f t="array" ref="D14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8" s="5" t="str" cm="1">
        <f t="array" ref="E14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8" s="5" t="str" cm="1">
        <f t="array" ref="F14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8" t="str" cm="1">
        <f t="array" ref="G14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8" s="4"/>
      <c r="I1478" s="3" t="str" cm="1">
        <f t="array" ref="I14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79" spans="1:9" x14ac:dyDescent="0.3">
      <c r="A1479" s="3" t="str">
        <f>IF(SISTEMA!A1473="","",SISTEMA!A1473)</f>
        <v/>
      </c>
      <c r="B1479" s="10" t="str">
        <f>IF(SISTEMA!B1473="","",VALUE(SISTEMA!B1473))</f>
        <v/>
      </c>
      <c r="C1479" s="10" t="str">
        <f>IF(SISTEMA!C1473="","",SISTEMA!C1473)</f>
        <v/>
      </c>
      <c r="D1479" s="5" t="str" cm="1">
        <f t="array" ref="D14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79" s="5" t="str" cm="1">
        <f t="array" ref="E14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79" s="5" t="str" cm="1">
        <f t="array" ref="F14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79" t="str" cm="1">
        <f t="array" ref="G14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79" s="4"/>
      <c r="I1479" s="3" t="str" cm="1">
        <f t="array" ref="I14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0" spans="1:9" x14ac:dyDescent="0.3">
      <c r="A1480" s="3" t="str">
        <f>IF(SISTEMA!A1474="","",SISTEMA!A1474)</f>
        <v/>
      </c>
      <c r="B1480" s="10" t="str">
        <f>IF(SISTEMA!B1474="","",VALUE(SISTEMA!B1474))</f>
        <v/>
      </c>
      <c r="C1480" s="10" t="str">
        <f>IF(SISTEMA!C1474="","",SISTEMA!C1474)</f>
        <v/>
      </c>
      <c r="D1480" s="5" t="str" cm="1">
        <f t="array" ref="D14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0" s="5" t="str" cm="1">
        <f t="array" ref="E14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0" s="5" t="str" cm="1">
        <f t="array" ref="F14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0" t="str" cm="1">
        <f t="array" ref="G14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0" s="4"/>
      <c r="I1480" s="3" t="str" cm="1">
        <f t="array" ref="I14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1" spans="1:9" x14ac:dyDescent="0.3">
      <c r="A1481" s="3" t="str">
        <f>IF(SISTEMA!A1475="","",SISTEMA!A1475)</f>
        <v/>
      </c>
      <c r="B1481" s="10" t="str">
        <f>IF(SISTEMA!B1475="","",VALUE(SISTEMA!B1475))</f>
        <v/>
      </c>
      <c r="C1481" s="10" t="str">
        <f>IF(SISTEMA!C1475="","",SISTEMA!C1475)</f>
        <v/>
      </c>
      <c r="D1481" s="5" t="str" cm="1">
        <f t="array" ref="D14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1" s="5" t="str" cm="1">
        <f t="array" ref="E14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1" s="5" t="str" cm="1">
        <f t="array" ref="F14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1" t="str" cm="1">
        <f t="array" ref="G14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1" s="4"/>
      <c r="I1481" s="3" t="str" cm="1">
        <f t="array" ref="I14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2" spans="1:9" x14ac:dyDescent="0.3">
      <c r="A1482" s="3" t="str">
        <f>IF(SISTEMA!A1476="","",SISTEMA!A1476)</f>
        <v/>
      </c>
      <c r="B1482" s="10" t="str">
        <f>IF(SISTEMA!B1476="","",VALUE(SISTEMA!B1476))</f>
        <v/>
      </c>
      <c r="C1482" s="10" t="str">
        <f>IF(SISTEMA!C1476="","",SISTEMA!C1476)</f>
        <v/>
      </c>
      <c r="D1482" s="5" t="str" cm="1">
        <f t="array" ref="D14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2" s="5" t="str" cm="1">
        <f t="array" ref="E14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2" s="5" t="str" cm="1">
        <f t="array" ref="F14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2" t="str" cm="1">
        <f t="array" ref="G14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2" s="4"/>
      <c r="I1482" s="3" t="str" cm="1">
        <f t="array" ref="I14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3" spans="1:9" x14ac:dyDescent="0.3">
      <c r="A1483" s="3" t="str">
        <f>IF(SISTEMA!A1477="","",SISTEMA!A1477)</f>
        <v/>
      </c>
      <c r="B1483" s="10" t="str">
        <f>IF(SISTEMA!B1477="","",VALUE(SISTEMA!B1477))</f>
        <v/>
      </c>
      <c r="C1483" s="10" t="str">
        <f>IF(SISTEMA!C1477="","",SISTEMA!C1477)</f>
        <v/>
      </c>
      <c r="D1483" s="5" t="str" cm="1">
        <f t="array" ref="D14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3" s="5" t="str" cm="1">
        <f t="array" ref="E14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3" s="5" t="str" cm="1">
        <f t="array" ref="F14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3" t="str" cm="1">
        <f t="array" ref="G14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3" s="4"/>
      <c r="I1483" s="3" t="str" cm="1">
        <f t="array" ref="I14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4" spans="1:9" x14ac:dyDescent="0.3">
      <c r="A1484" s="3" t="str">
        <f>IF(SISTEMA!A1478="","",SISTEMA!A1478)</f>
        <v/>
      </c>
      <c r="B1484" s="10" t="str">
        <f>IF(SISTEMA!B1478="","",VALUE(SISTEMA!B1478))</f>
        <v/>
      </c>
      <c r="C1484" s="10" t="str">
        <f>IF(SISTEMA!C1478="","",SISTEMA!C1478)</f>
        <v/>
      </c>
      <c r="D1484" s="5" t="str" cm="1">
        <f t="array" ref="D14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4" s="5" t="str" cm="1">
        <f t="array" ref="E14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4" s="5" t="str" cm="1">
        <f t="array" ref="F14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4" t="str" cm="1">
        <f t="array" ref="G14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4" s="4"/>
      <c r="I1484" s="3" t="str" cm="1">
        <f t="array" ref="I14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5" spans="1:9" x14ac:dyDescent="0.3">
      <c r="A1485" s="3" t="str">
        <f>IF(SISTEMA!A1479="","",SISTEMA!A1479)</f>
        <v/>
      </c>
      <c r="B1485" s="10" t="str">
        <f>IF(SISTEMA!B1479="","",VALUE(SISTEMA!B1479))</f>
        <v/>
      </c>
      <c r="C1485" s="10" t="str">
        <f>IF(SISTEMA!C1479="","",SISTEMA!C1479)</f>
        <v/>
      </c>
      <c r="D1485" s="5" t="str" cm="1">
        <f t="array" ref="D14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5" s="5" t="str" cm="1">
        <f t="array" ref="E14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5" s="5" t="str" cm="1">
        <f t="array" ref="F14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5" t="str" cm="1">
        <f t="array" ref="G14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5" s="4"/>
      <c r="I1485" s="3" t="str" cm="1">
        <f t="array" ref="I14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6" spans="1:9" x14ac:dyDescent="0.3">
      <c r="A1486" s="3" t="str">
        <f>IF(SISTEMA!A1480="","",SISTEMA!A1480)</f>
        <v/>
      </c>
      <c r="B1486" s="10" t="str">
        <f>IF(SISTEMA!B1480="","",VALUE(SISTEMA!B1480))</f>
        <v/>
      </c>
      <c r="C1486" s="10" t="str">
        <f>IF(SISTEMA!C1480="","",SISTEMA!C1480)</f>
        <v/>
      </c>
      <c r="D1486" s="5" t="str" cm="1">
        <f t="array" ref="D14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6" s="5" t="str" cm="1">
        <f t="array" ref="E14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6" s="5" t="str" cm="1">
        <f t="array" ref="F14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6" t="str" cm="1">
        <f t="array" ref="G14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6" s="4"/>
      <c r="I1486" s="3" t="str" cm="1">
        <f t="array" ref="I14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7" spans="1:9" x14ac:dyDescent="0.3">
      <c r="A1487" s="3" t="str">
        <f>IF(SISTEMA!A1481="","",SISTEMA!A1481)</f>
        <v/>
      </c>
      <c r="B1487" s="10" t="str">
        <f>IF(SISTEMA!B1481="","",VALUE(SISTEMA!B1481))</f>
        <v/>
      </c>
      <c r="C1487" s="10" t="str">
        <f>IF(SISTEMA!C1481="","",SISTEMA!C1481)</f>
        <v/>
      </c>
      <c r="D1487" s="5" t="str" cm="1">
        <f t="array" ref="D14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7" s="5" t="str" cm="1">
        <f t="array" ref="E14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7" s="5" t="str" cm="1">
        <f t="array" ref="F14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7" t="str" cm="1">
        <f t="array" ref="G14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7" s="4"/>
      <c r="I1487" s="3" t="str" cm="1">
        <f t="array" ref="I14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8" spans="1:9" x14ac:dyDescent="0.3">
      <c r="A1488" s="3" t="str">
        <f>IF(SISTEMA!A1482="","",SISTEMA!A1482)</f>
        <v/>
      </c>
      <c r="B1488" s="10" t="str">
        <f>IF(SISTEMA!B1482="","",VALUE(SISTEMA!B1482))</f>
        <v/>
      </c>
      <c r="C1488" s="10" t="str">
        <f>IF(SISTEMA!C1482="","",SISTEMA!C1482)</f>
        <v/>
      </c>
      <c r="D1488" s="5" t="str" cm="1">
        <f t="array" ref="D14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8" s="5" t="str" cm="1">
        <f t="array" ref="E14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8" s="5" t="str" cm="1">
        <f t="array" ref="F14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8" t="str" cm="1">
        <f t="array" ref="G14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8" s="4"/>
      <c r="I1488" s="3" t="str" cm="1">
        <f t="array" ref="I14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89" spans="1:9" x14ac:dyDescent="0.3">
      <c r="A1489" s="3" t="str">
        <f>IF(SISTEMA!A1483="","",SISTEMA!A1483)</f>
        <v/>
      </c>
      <c r="B1489" s="10" t="str">
        <f>IF(SISTEMA!B1483="","",VALUE(SISTEMA!B1483))</f>
        <v/>
      </c>
      <c r="C1489" s="10" t="str">
        <f>IF(SISTEMA!C1483="","",SISTEMA!C1483)</f>
        <v/>
      </c>
      <c r="D1489" s="5" t="str" cm="1">
        <f t="array" ref="D14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89" s="5" t="str" cm="1">
        <f t="array" ref="E14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89" s="5" t="str" cm="1">
        <f t="array" ref="F14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89" t="str" cm="1">
        <f t="array" ref="G14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89" s="4"/>
      <c r="I1489" s="3" t="str" cm="1">
        <f t="array" ref="I14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0" spans="1:9" x14ac:dyDescent="0.3">
      <c r="A1490" s="3" t="str">
        <f>IF(SISTEMA!A1484="","",SISTEMA!A1484)</f>
        <v/>
      </c>
      <c r="B1490" s="10" t="str">
        <f>IF(SISTEMA!B1484="","",VALUE(SISTEMA!B1484))</f>
        <v/>
      </c>
      <c r="C1490" s="10" t="str">
        <f>IF(SISTEMA!C1484="","",SISTEMA!C1484)</f>
        <v/>
      </c>
      <c r="D1490" s="5" t="str" cm="1">
        <f t="array" ref="D14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0" s="5" t="str" cm="1">
        <f t="array" ref="E14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0" s="5" t="str" cm="1">
        <f t="array" ref="F14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0" t="str" cm="1">
        <f t="array" ref="G14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0" s="4"/>
      <c r="I1490" s="3" t="str" cm="1">
        <f t="array" ref="I14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1" spans="1:9" x14ac:dyDescent="0.3">
      <c r="A1491" s="3" t="str">
        <f>IF(SISTEMA!A1485="","",SISTEMA!A1485)</f>
        <v/>
      </c>
      <c r="B1491" s="10" t="str">
        <f>IF(SISTEMA!B1485="","",VALUE(SISTEMA!B1485))</f>
        <v/>
      </c>
      <c r="C1491" s="10" t="str">
        <f>IF(SISTEMA!C1485="","",SISTEMA!C1485)</f>
        <v/>
      </c>
      <c r="D1491" s="5" t="str" cm="1">
        <f t="array" ref="D14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1" s="5" t="str" cm="1">
        <f t="array" ref="E14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1" s="5" t="str" cm="1">
        <f t="array" ref="F14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1" t="str" cm="1">
        <f t="array" ref="G14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1" s="4"/>
      <c r="I1491" s="3" t="str" cm="1">
        <f t="array" ref="I14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2" spans="1:9" x14ac:dyDescent="0.3">
      <c r="A1492" s="3" t="str">
        <f>IF(SISTEMA!A1486="","",SISTEMA!A1486)</f>
        <v/>
      </c>
      <c r="B1492" s="10" t="str">
        <f>IF(SISTEMA!B1486="","",VALUE(SISTEMA!B1486))</f>
        <v/>
      </c>
      <c r="C1492" s="10" t="str">
        <f>IF(SISTEMA!C1486="","",SISTEMA!C1486)</f>
        <v/>
      </c>
      <c r="D1492" s="5" t="str" cm="1">
        <f t="array" ref="D14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2" s="5" t="str" cm="1">
        <f t="array" ref="E14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2" s="5" t="str" cm="1">
        <f t="array" ref="F14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2" t="str" cm="1">
        <f t="array" ref="G14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2" s="4"/>
      <c r="I1492" s="3" t="str" cm="1">
        <f t="array" ref="I14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3" spans="1:9" x14ac:dyDescent="0.3">
      <c r="A1493" s="3" t="str">
        <f>IF(SISTEMA!A1487="","",SISTEMA!A1487)</f>
        <v/>
      </c>
      <c r="B1493" s="10" t="str">
        <f>IF(SISTEMA!B1487="","",VALUE(SISTEMA!B1487))</f>
        <v/>
      </c>
      <c r="C1493" s="10" t="str">
        <f>IF(SISTEMA!C1487="","",SISTEMA!C1487)</f>
        <v/>
      </c>
      <c r="D1493" s="5" t="str" cm="1">
        <f t="array" ref="D14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3" s="5" t="str" cm="1">
        <f t="array" ref="E14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3" s="5" t="str" cm="1">
        <f t="array" ref="F14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3" t="str" cm="1">
        <f t="array" ref="G14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3" s="4"/>
      <c r="I1493" s="3" t="str" cm="1">
        <f t="array" ref="I14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4" spans="1:9" x14ac:dyDescent="0.3">
      <c r="A1494" s="3" t="str">
        <f>IF(SISTEMA!A1488="","",SISTEMA!A1488)</f>
        <v/>
      </c>
      <c r="B1494" s="10" t="str">
        <f>IF(SISTEMA!B1488="","",VALUE(SISTEMA!B1488))</f>
        <v/>
      </c>
      <c r="C1494" s="10" t="str">
        <f>IF(SISTEMA!C1488="","",SISTEMA!C1488)</f>
        <v/>
      </c>
      <c r="D1494" s="5" t="str" cm="1">
        <f t="array" ref="D14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4" s="5" t="str" cm="1">
        <f t="array" ref="E14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4" s="5" t="str" cm="1">
        <f t="array" ref="F14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4" t="str" cm="1">
        <f t="array" ref="G14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4" s="4"/>
      <c r="I1494" s="3" t="str" cm="1">
        <f t="array" ref="I14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5" spans="1:9" x14ac:dyDescent="0.3">
      <c r="A1495" s="3" t="str">
        <f>IF(SISTEMA!A1489="","",SISTEMA!A1489)</f>
        <v/>
      </c>
      <c r="B1495" s="10" t="str">
        <f>IF(SISTEMA!B1489="","",VALUE(SISTEMA!B1489))</f>
        <v/>
      </c>
      <c r="C1495" s="10" t="str">
        <f>IF(SISTEMA!C1489="","",SISTEMA!C1489)</f>
        <v/>
      </c>
      <c r="D1495" s="5" t="str" cm="1">
        <f t="array" ref="D14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5" s="5" t="str" cm="1">
        <f t="array" ref="E14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5" s="5" t="str" cm="1">
        <f t="array" ref="F14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5" t="str" cm="1">
        <f t="array" ref="G14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5" s="4"/>
      <c r="I1495" s="3" t="str" cm="1">
        <f t="array" ref="I14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6" spans="1:9" x14ac:dyDescent="0.3">
      <c r="A1496" s="3" t="str">
        <f>IF(SISTEMA!A1490="","",SISTEMA!A1490)</f>
        <v/>
      </c>
      <c r="B1496" s="10" t="str">
        <f>IF(SISTEMA!B1490="","",VALUE(SISTEMA!B1490))</f>
        <v/>
      </c>
      <c r="C1496" s="10" t="str">
        <f>IF(SISTEMA!C1490="","",SISTEMA!C1490)</f>
        <v/>
      </c>
      <c r="D1496" s="5" t="str" cm="1">
        <f t="array" ref="D14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6" s="5" t="str" cm="1">
        <f t="array" ref="E14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6" s="5" t="str" cm="1">
        <f t="array" ref="F14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6" t="str" cm="1">
        <f t="array" ref="G14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6" s="4"/>
      <c r="I1496" s="3" t="str" cm="1">
        <f t="array" ref="I14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7" spans="1:9" x14ac:dyDescent="0.3">
      <c r="A1497" s="3" t="str">
        <f>IF(SISTEMA!A1491="","",SISTEMA!A1491)</f>
        <v/>
      </c>
      <c r="B1497" s="10" t="str">
        <f>IF(SISTEMA!B1491="","",VALUE(SISTEMA!B1491))</f>
        <v/>
      </c>
      <c r="C1497" s="10" t="str">
        <f>IF(SISTEMA!C1491="","",SISTEMA!C1491)</f>
        <v/>
      </c>
      <c r="D1497" s="5" t="str" cm="1">
        <f t="array" ref="D14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7" s="5" t="str" cm="1">
        <f t="array" ref="E14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7" s="5" t="str" cm="1">
        <f t="array" ref="F14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7" t="str" cm="1">
        <f t="array" ref="G14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7" s="4"/>
      <c r="I1497" s="3" t="str" cm="1">
        <f t="array" ref="I14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8" spans="1:9" x14ac:dyDescent="0.3">
      <c r="A1498" s="3" t="str">
        <f>IF(SISTEMA!A1492="","",SISTEMA!A1492)</f>
        <v/>
      </c>
      <c r="B1498" s="10" t="str">
        <f>IF(SISTEMA!B1492="","",VALUE(SISTEMA!B1492))</f>
        <v/>
      </c>
      <c r="C1498" s="10" t="str">
        <f>IF(SISTEMA!C1492="","",SISTEMA!C1492)</f>
        <v/>
      </c>
      <c r="D1498" s="5" t="str" cm="1">
        <f t="array" ref="D14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8" s="5" t="str" cm="1">
        <f t="array" ref="E14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8" s="5" t="str" cm="1">
        <f t="array" ref="F14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8" t="str" cm="1">
        <f t="array" ref="G14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8" s="4"/>
      <c r="I1498" s="3" t="str" cm="1">
        <f t="array" ref="I14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499" spans="1:9" x14ac:dyDescent="0.3">
      <c r="A1499" s="3" t="str">
        <f>IF(SISTEMA!A1493="","",SISTEMA!A1493)</f>
        <v/>
      </c>
      <c r="B1499" s="10" t="str">
        <f>IF(SISTEMA!B1493="","",VALUE(SISTEMA!B1493))</f>
        <v/>
      </c>
      <c r="C1499" s="10" t="str">
        <f>IF(SISTEMA!C1493="","",SISTEMA!C1493)</f>
        <v/>
      </c>
      <c r="D1499" s="5" t="str" cm="1">
        <f t="array" ref="D14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499" s="5" t="str" cm="1">
        <f t="array" ref="E14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499" s="5" t="str" cm="1">
        <f t="array" ref="F14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499" t="str" cm="1">
        <f t="array" ref="G14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499" s="4"/>
      <c r="I1499" s="3" t="str" cm="1">
        <f t="array" ref="I14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0" spans="1:9" x14ac:dyDescent="0.3">
      <c r="A1500" s="3" t="str">
        <f>IF(SISTEMA!A1494="","",SISTEMA!A1494)</f>
        <v/>
      </c>
      <c r="B1500" s="10" t="str">
        <f>IF(SISTEMA!B1494="","",VALUE(SISTEMA!B1494))</f>
        <v/>
      </c>
      <c r="C1500" s="10" t="str">
        <f>IF(SISTEMA!C1494="","",SISTEMA!C1494)</f>
        <v/>
      </c>
      <c r="D1500" s="5" t="str" cm="1">
        <f t="array" ref="D15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0" s="5" t="str" cm="1">
        <f t="array" ref="E15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0" s="5" t="str" cm="1">
        <f t="array" ref="F15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0" t="str" cm="1">
        <f t="array" ref="G15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0" s="4"/>
      <c r="I1500" s="3" t="str" cm="1">
        <f t="array" ref="I15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1" spans="1:9" x14ac:dyDescent="0.3">
      <c r="A1501" s="3" t="str">
        <f>IF(SISTEMA!A1495="","",SISTEMA!A1495)</f>
        <v/>
      </c>
      <c r="B1501" s="10" t="str">
        <f>IF(SISTEMA!B1495="","",VALUE(SISTEMA!B1495))</f>
        <v/>
      </c>
      <c r="C1501" s="10" t="str">
        <f>IF(SISTEMA!C1495="","",SISTEMA!C1495)</f>
        <v/>
      </c>
      <c r="D1501" s="5" t="str" cm="1">
        <f t="array" ref="D15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1" s="5" t="str" cm="1">
        <f t="array" ref="E15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1" s="5" t="str" cm="1">
        <f t="array" ref="F15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1" t="str" cm="1">
        <f t="array" ref="G15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1" s="4"/>
      <c r="I1501" s="3" t="str" cm="1">
        <f t="array" ref="I15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2" spans="1:9" x14ac:dyDescent="0.3">
      <c r="A1502" s="3" t="str">
        <f>IF(SISTEMA!A1496="","",SISTEMA!A1496)</f>
        <v/>
      </c>
      <c r="B1502" s="10" t="str">
        <f>IF(SISTEMA!B1496="","",VALUE(SISTEMA!B1496))</f>
        <v/>
      </c>
      <c r="C1502" s="10" t="str">
        <f>IF(SISTEMA!C1496="","",SISTEMA!C1496)</f>
        <v/>
      </c>
      <c r="D1502" s="5" t="str" cm="1">
        <f t="array" ref="D15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2" s="5" t="str" cm="1">
        <f t="array" ref="E15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2" s="5" t="str" cm="1">
        <f t="array" ref="F15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2" t="str" cm="1">
        <f t="array" ref="G15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2" s="4"/>
      <c r="I1502" s="3" t="str" cm="1">
        <f t="array" ref="I15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3" spans="1:9" x14ac:dyDescent="0.3">
      <c r="A1503" s="3" t="str">
        <f>IF(SISTEMA!A1497="","",SISTEMA!A1497)</f>
        <v/>
      </c>
      <c r="B1503" s="10" t="str">
        <f>IF(SISTEMA!B1497="","",VALUE(SISTEMA!B1497))</f>
        <v/>
      </c>
      <c r="C1503" s="10" t="str">
        <f>IF(SISTEMA!C1497="","",SISTEMA!C1497)</f>
        <v/>
      </c>
      <c r="D1503" s="5" t="str" cm="1">
        <f t="array" ref="D15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3" s="5" t="str" cm="1">
        <f t="array" ref="E15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3" s="5" t="str" cm="1">
        <f t="array" ref="F15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3" t="str" cm="1">
        <f t="array" ref="G15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3" s="4"/>
      <c r="I1503" s="3" t="str" cm="1">
        <f t="array" ref="I15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4" spans="1:9" x14ac:dyDescent="0.3">
      <c r="A1504" s="3" t="str">
        <f>IF(SISTEMA!A1498="","",SISTEMA!A1498)</f>
        <v/>
      </c>
      <c r="B1504" s="10" t="str">
        <f>IF(SISTEMA!B1498="","",VALUE(SISTEMA!B1498))</f>
        <v/>
      </c>
      <c r="C1504" s="10" t="str">
        <f>IF(SISTEMA!C1498="","",SISTEMA!C1498)</f>
        <v/>
      </c>
      <c r="D1504" s="5" t="str" cm="1">
        <f t="array" ref="D15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4" s="5" t="str" cm="1">
        <f t="array" ref="E15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4" s="5" t="str" cm="1">
        <f t="array" ref="F15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4" t="str" cm="1">
        <f t="array" ref="G15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4" s="4"/>
      <c r="I1504" s="3" t="str" cm="1">
        <f t="array" ref="I15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5" spans="1:9" x14ac:dyDescent="0.3">
      <c r="A1505" s="3" t="str">
        <f>IF(SISTEMA!A1499="","",SISTEMA!A1499)</f>
        <v/>
      </c>
      <c r="B1505" s="10" t="str">
        <f>IF(SISTEMA!B1499="","",VALUE(SISTEMA!B1499))</f>
        <v/>
      </c>
      <c r="C1505" s="10" t="str">
        <f>IF(SISTEMA!C1499="","",SISTEMA!C1499)</f>
        <v/>
      </c>
      <c r="D1505" s="5" t="str" cm="1">
        <f t="array" ref="D15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5" s="5" t="str" cm="1">
        <f t="array" ref="E15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5" s="5" t="str" cm="1">
        <f t="array" ref="F15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5" t="str" cm="1">
        <f t="array" ref="G15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5" s="4"/>
      <c r="I1505" s="3" t="str" cm="1">
        <f t="array" ref="I15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6" spans="1:9" x14ac:dyDescent="0.3">
      <c r="A1506" s="3" t="str">
        <f>IF(SISTEMA!A1500="","",SISTEMA!A1500)</f>
        <v/>
      </c>
      <c r="B1506" s="10" t="str">
        <f>IF(SISTEMA!B1500="","",VALUE(SISTEMA!B1500))</f>
        <v/>
      </c>
      <c r="C1506" s="10" t="str">
        <f>IF(SISTEMA!C1500="","",SISTEMA!C1500)</f>
        <v/>
      </c>
      <c r="D1506" s="5" t="str" cm="1">
        <f t="array" ref="D15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6" s="5" t="str" cm="1">
        <f t="array" ref="E15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6" s="5" t="str" cm="1">
        <f t="array" ref="F15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6" t="str" cm="1">
        <f t="array" ref="G15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6" s="4"/>
      <c r="I1506" s="3" t="str" cm="1">
        <f t="array" ref="I15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7" spans="1:9" x14ac:dyDescent="0.3">
      <c r="A1507" s="3" t="str">
        <f>IF(SISTEMA!A1501="","",SISTEMA!A1501)</f>
        <v/>
      </c>
      <c r="B1507" s="10" t="str">
        <f>IF(SISTEMA!B1501="","",VALUE(SISTEMA!B1501))</f>
        <v/>
      </c>
      <c r="C1507" s="10" t="str">
        <f>IF(SISTEMA!C1501="","",SISTEMA!C1501)</f>
        <v/>
      </c>
      <c r="D1507" s="5" t="str" cm="1">
        <f t="array" ref="D15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7" s="5" t="str" cm="1">
        <f t="array" ref="E15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7" s="5" t="str" cm="1">
        <f t="array" ref="F15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7" t="str" cm="1">
        <f t="array" ref="G15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7" s="4"/>
      <c r="I1507" s="3" t="str" cm="1">
        <f t="array" ref="I15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8" spans="1:9" x14ac:dyDescent="0.3">
      <c r="A1508" s="3" t="str">
        <f>IF(SISTEMA!A1502="","",SISTEMA!A1502)</f>
        <v/>
      </c>
      <c r="B1508" s="10" t="str">
        <f>IF(SISTEMA!B1502="","",VALUE(SISTEMA!B1502))</f>
        <v/>
      </c>
      <c r="C1508" s="10" t="str">
        <f>IF(SISTEMA!C1502="","",SISTEMA!C1502)</f>
        <v/>
      </c>
      <c r="D1508" s="5" t="str" cm="1">
        <f t="array" ref="D15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8" s="5" t="str" cm="1">
        <f t="array" ref="E15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8" s="5" t="str" cm="1">
        <f t="array" ref="F15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8" t="str" cm="1">
        <f t="array" ref="G15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8" s="4"/>
      <c r="I1508" s="3" t="str" cm="1">
        <f t="array" ref="I15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09" spans="1:9" x14ac:dyDescent="0.3">
      <c r="A1509" s="3" t="str">
        <f>IF(SISTEMA!A1503="","",SISTEMA!A1503)</f>
        <v/>
      </c>
      <c r="B1509" s="10" t="str">
        <f>IF(SISTEMA!B1503="","",VALUE(SISTEMA!B1503))</f>
        <v/>
      </c>
      <c r="C1509" s="10" t="str">
        <f>IF(SISTEMA!C1503="","",SISTEMA!C1503)</f>
        <v/>
      </c>
      <c r="D1509" s="5" t="str" cm="1">
        <f t="array" ref="D15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09" s="5" t="str" cm="1">
        <f t="array" ref="E15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09" s="5" t="str" cm="1">
        <f t="array" ref="F15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09" t="str" cm="1">
        <f t="array" ref="G15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09" s="4"/>
      <c r="I1509" s="3" t="str" cm="1">
        <f t="array" ref="I15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0" spans="1:9" x14ac:dyDescent="0.3">
      <c r="A1510" s="3" t="str">
        <f>IF(SISTEMA!A1504="","",SISTEMA!A1504)</f>
        <v/>
      </c>
      <c r="B1510" s="10" t="str">
        <f>IF(SISTEMA!B1504="","",VALUE(SISTEMA!B1504))</f>
        <v/>
      </c>
      <c r="C1510" s="10" t="str">
        <f>IF(SISTEMA!C1504="","",SISTEMA!C1504)</f>
        <v/>
      </c>
      <c r="D1510" s="5" t="str" cm="1">
        <f t="array" ref="D15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0" s="5" t="str" cm="1">
        <f t="array" ref="E15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0" s="5" t="str" cm="1">
        <f t="array" ref="F15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0" t="str" cm="1">
        <f t="array" ref="G15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0" s="4"/>
      <c r="I1510" s="3" t="str" cm="1">
        <f t="array" ref="I15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1" spans="1:9" x14ac:dyDescent="0.3">
      <c r="A1511" s="3" t="str">
        <f>IF(SISTEMA!A1505="","",SISTEMA!A1505)</f>
        <v/>
      </c>
      <c r="B1511" s="10" t="str">
        <f>IF(SISTEMA!B1505="","",VALUE(SISTEMA!B1505))</f>
        <v/>
      </c>
      <c r="C1511" s="10" t="str">
        <f>IF(SISTEMA!C1505="","",SISTEMA!C1505)</f>
        <v/>
      </c>
      <c r="D1511" s="5" t="str" cm="1">
        <f t="array" ref="D15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1" s="5" t="str" cm="1">
        <f t="array" ref="E15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1" s="5" t="str" cm="1">
        <f t="array" ref="F15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1" t="str" cm="1">
        <f t="array" ref="G15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1" s="4"/>
      <c r="I1511" s="3" t="str" cm="1">
        <f t="array" ref="I15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2" spans="1:9" x14ac:dyDescent="0.3">
      <c r="A1512" s="3" t="str">
        <f>IF(SISTEMA!A1506="","",SISTEMA!A1506)</f>
        <v/>
      </c>
      <c r="B1512" s="10" t="str">
        <f>IF(SISTEMA!B1506="","",VALUE(SISTEMA!B1506))</f>
        <v/>
      </c>
      <c r="C1512" s="10" t="str">
        <f>IF(SISTEMA!C1506="","",SISTEMA!C1506)</f>
        <v/>
      </c>
      <c r="D1512" s="5" t="str" cm="1">
        <f t="array" ref="D15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2" s="5" t="str" cm="1">
        <f t="array" ref="E15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2" s="5" t="str" cm="1">
        <f t="array" ref="F15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2" t="str" cm="1">
        <f t="array" ref="G15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2" s="4"/>
      <c r="I1512" s="3" t="str" cm="1">
        <f t="array" ref="I15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3" spans="1:9" x14ac:dyDescent="0.3">
      <c r="A1513" s="3" t="str">
        <f>IF(SISTEMA!A1507="","",SISTEMA!A1507)</f>
        <v/>
      </c>
      <c r="B1513" s="10" t="str">
        <f>IF(SISTEMA!B1507="","",VALUE(SISTEMA!B1507))</f>
        <v/>
      </c>
      <c r="C1513" s="10" t="str">
        <f>IF(SISTEMA!C1507="","",SISTEMA!C1507)</f>
        <v/>
      </c>
      <c r="D1513" s="5" t="str" cm="1">
        <f t="array" ref="D15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3" s="5" t="str" cm="1">
        <f t="array" ref="E15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3" s="5" t="str" cm="1">
        <f t="array" ref="F15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3" t="str" cm="1">
        <f t="array" ref="G15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3" s="4"/>
      <c r="I1513" s="3" t="str" cm="1">
        <f t="array" ref="I15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4" spans="1:9" x14ac:dyDescent="0.3">
      <c r="A1514" s="3" t="str">
        <f>IF(SISTEMA!A1508="","",SISTEMA!A1508)</f>
        <v/>
      </c>
      <c r="B1514" s="10" t="str">
        <f>IF(SISTEMA!B1508="","",VALUE(SISTEMA!B1508))</f>
        <v/>
      </c>
      <c r="C1514" s="10" t="str">
        <f>IF(SISTEMA!C1508="","",SISTEMA!C1508)</f>
        <v/>
      </c>
      <c r="D1514" s="5" t="str" cm="1">
        <f t="array" ref="D15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4" s="5" t="str" cm="1">
        <f t="array" ref="E15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4" s="5" t="str" cm="1">
        <f t="array" ref="F15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4" t="str" cm="1">
        <f t="array" ref="G15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4" s="4"/>
      <c r="I1514" s="3" t="str" cm="1">
        <f t="array" ref="I15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5" spans="1:9" x14ac:dyDescent="0.3">
      <c r="A1515" s="3" t="str">
        <f>IF(SISTEMA!A1509="","",SISTEMA!A1509)</f>
        <v/>
      </c>
      <c r="B1515" s="10" t="str">
        <f>IF(SISTEMA!B1509="","",VALUE(SISTEMA!B1509))</f>
        <v/>
      </c>
      <c r="C1515" s="10" t="str">
        <f>IF(SISTEMA!C1509="","",SISTEMA!C1509)</f>
        <v/>
      </c>
      <c r="D1515" s="5" t="str" cm="1">
        <f t="array" ref="D15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5" s="5" t="str" cm="1">
        <f t="array" ref="E15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5" s="5" t="str" cm="1">
        <f t="array" ref="F15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5" t="str" cm="1">
        <f t="array" ref="G15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5" s="4"/>
      <c r="I1515" s="3" t="str" cm="1">
        <f t="array" ref="I15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6" spans="1:9" x14ac:dyDescent="0.3">
      <c r="A1516" s="3" t="str">
        <f>IF(SISTEMA!A1510="","",SISTEMA!A1510)</f>
        <v/>
      </c>
      <c r="B1516" s="10" t="str">
        <f>IF(SISTEMA!B1510="","",VALUE(SISTEMA!B1510))</f>
        <v/>
      </c>
      <c r="C1516" s="10" t="str">
        <f>IF(SISTEMA!C1510="","",SISTEMA!C1510)</f>
        <v/>
      </c>
      <c r="D1516" s="5" t="str" cm="1">
        <f t="array" ref="D15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6" s="5" t="str" cm="1">
        <f t="array" ref="E15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6" s="5" t="str" cm="1">
        <f t="array" ref="F15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6" t="str" cm="1">
        <f t="array" ref="G15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6" s="4"/>
      <c r="I1516" s="3" t="str" cm="1">
        <f t="array" ref="I15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7" spans="1:9" x14ac:dyDescent="0.3">
      <c r="A1517" s="3" t="str">
        <f>IF(SISTEMA!A1511="","",SISTEMA!A1511)</f>
        <v/>
      </c>
      <c r="B1517" s="10" t="str">
        <f>IF(SISTEMA!B1511="","",VALUE(SISTEMA!B1511))</f>
        <v/>
      </c>
      <c r="C1517" s="10" t="str">
        <f>IF(SISTEMA!C1511="","",SISTEMA!C1511)</f>
        <v/>
      </c>
      <c r="D1517" s="5" t="str" cm="1">
        <f t="array" ref="D15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7" s="5" t="str" cm="1">
        <f t="array" ref="E15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7" s="5" t="str" cm="1">
        <f t="array" ref="F15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7" t="str" cm="1">
        <f t="array" ref="G15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7" s="4"/>
      <c r="I1517" s="3" t="str" cm="1">
        <f t="array" ref="I15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8" spans="1:9" x14ac:dyDescent="0.3">
      <c r="A1518" s="3" t="str">
        <f>IF(SISTEMA!A1512="","",SISTEMA!A1512)</f>
        <v/>
      </c>
      <c r="B1518" s="10" t="str">
        <f>IF(SISTEMA!B1512="","",VALUE(SISTEMA!B1512))</f>
        <v/>
      </c>
      <c r="C1518" s="10" t="str">
        <f>IF(SISTEMA!C1512="","",SISTEMA!C1512)</f>
        <v/>
      </c>
      <c r="D1518" s="5" t="str" cm="1">
        <f t="array" ref="D15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8" s="5" t="str" cm="1">
        <f t="array" ref="E15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8" s="5" t="str" cm="1">
        <f t="array" ref="F15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8" t="str" cm="1">
        <f t="array" ref="G15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8" s="4"/>
      <c r="I1518" s="3" t="str" cm="1">
        <f t="array" ref="I15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19" spans="1:9" x14ac:dyDescent="0.3">
      <c r="A1519" s="3" t="str">
        <f>IF(SISTEMA!A1513="","",SISTEMA!A1513)</f>
        <v/>
      </c>
      <c r="B1519" s="10" t="str">
        <f>IF(SISTEMA!B1513="","",VALUE(SISTEMA!B1513))</f>
        <v/>
      </c>
      <c r="C1519" s="10" t="str">
        <f>IF(SISTEMA!C1513="","",SISTEMA!C1513)</f>
        <v/>
      </c>
      <c r="D1519" s="5" t="str" cm="1">
        <f t="array" ref="D15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19" s="5" t="str" cm="1">
        <f t="array" ref="E15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19" s="5" t="str" cm="1">
        <f t="array" ref="F15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19" t="str" cm="1">
        <f t="array" ref="G15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19" s="4"/>
      <c r="I1519" s="3" t="str" cm="1">
        <f t="array" ref="I15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0" spans="1:9" x14ac:dyDescent="0.3">
      <c r="A1520" s="3" t="str">
        <f>IF(SISTEMA!A1514="","",SISTEMA!A1514)</f>
        <v/>
      </c>
      <c r="B1520" s="10" t="str">
        <f>IF(SISTEMA!B1514="","",VALUE(SISTEMA!B1514))</f>
        <v/>
      </c>
      <c r="C1520" s="10" t="str">
        <f>IF(SISTEMA!C1514="","",SISTEMA!C1514)</f>
        <v/>
      </c>
      <c r="D1520" s="5" t="str" cm="1">
        <f t="array" ref="D15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0" s="5" t="str" cm="1">
        <f t="array" ref="E15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0" s="5" t="str" cm="1">
        <f t="array" ref="F15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0" t="str" cm="1">
        <f t="array" ref="G15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0" s="4"/>
      <c r="I1520" s="3" t="str" cm="1">
        <f t="array" ref="I15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1" spans="1:9" x14ac:dyDescent="0.3">
      <c r="A1521" s="3" t="str">
        <f>IF(SISTEMA!A1515="","",SISTEMA!A1515)</f>
        <v/>
      </c>
      <c r="B1521" s="10" t="str">
        <f>IF(SISTEMA!B1515="","",VALUE(SISTEMA!B1515))</f>
        <v/>
      </c>
      <c r="C1521" s="10" t="str">
        <f>IF(SISTEMA!C1515="","",SISTEMA!C1515)</f>
        <v/>
      </c>
      <c r="D1521" s="5" t="str" cm="1">
        <f t="array" ref="D15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1" s="5" t="str" cm="1">
        <f t="array" ref="E15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1" s="5" t="str" cm="1">
        <f t="array" ref="F15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1" t="str" cm="1">
        <f t="array" ref="G15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1" s="4"/>
      <c r="I1521" s="3" t="str" cm="1">
        <f t="array" ref="I15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2" spans="1:9" x14ac:dyDescent="0.3">
      <c r="A1522" s="3" t="str">
        <f>IF(SISTEMA!A1516="","",SISTEMA!A1516)</f>
        <v/>
      </c>
      <c r="B1522" s="10" t="str">
        <f>IF(SISTEMA!B1516="","",VALUE(SISTEMA!B1516))</f>
        <v/>
      </c>
      <c r="C1522" s="10" t="str">
        <f>IF(SISTEMA!C1516="","",SISTEMA!C1516)</f>
        <v/>
      </c>
      <c r="D1522" s="5" t="str" cm="1">
        <f t="array" ref="D15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2" s="5" t="str" cm="1">
        <f t="array" ref="E15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2" s="5" t="str" cm="1">
        <f t="array" ref="F15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2" t="str" cm="1">
        <f t="array" ref="G15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2" s="4"/>
      <c r="I1522" s="3" t="str" cm="1">
        <f t="array" ref="I15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3" spans="1:9" x14ac:dyDescent="0.3">
      <c r="A1523" s="3" t="str">
        <f>IF(SISTEMA!A1517="","",SISTEMA!A1517)</f>
        <v/>
      </c>
      <c r="B1523" s="10" t="str">
        <f>IF(SISTEMA!B1517="","",VALUE(SISTEMA!B1517))</f>
        <v/>
      </c>
      <c r="C1523" s="10" t="str">
        <f>IF(SISTEMA!C1517="","",SISTEMA!C1517)</f>
        <v/>
      </c>
      <c r="D1523" s="5" t="str" cm="1">
        <f t="array" ref="D15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3" s="5" t="str" cm="1">
        <f t="array" ref="E15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3" s="5" t="str" cm="1">
        <f t="array" ref="F15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3" t="str" cm="1">
        <f t="array" ref="G15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3" s="4"/>
      <c r="I1523" s="3" t="str" cm="1">
        <f t="array" ref="I15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4" spans="1:9" x14ac:dyDescent="0.3">
      <c r="A1524" s="3" t="str">
        <f>IF(SISTEMA!A1518="","",SISTEMA!A1518)</f>
        <v/>
      </c>
      <c r="B1524" s="10" t="str">
        <f>IF(SISTEMA!B1518="","",VALUE(SISTEMA!B1518))</f>
        <v/>
      </c>
      <c r="C1524" s="10" t="str">
        <f>IF(SISTEMA!C1518="","",SISTEMA!C1518)</f>
        <v/>
      </c>
      <c r="D1524" s="5" t="str" cm="1">
        <f t="array" ref="D15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4" s="5" t="str" cm="1">
        <f t="array" ref="E15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4" s="5" t="str" cm="1">
        <f t="array" ref="F15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4" t="str" cm="1">
        <f t="array" ref="G15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4" s="4"/>
      <c r="I1524" s="3" t="str" cm="1">
        <f t="array" ref="I15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5" spans="1:9" x14ac:dyDescent="0.3">
      <c r="A1525" s="3" t="str">
        <f>IF(SISTEMA!A1519="","",SISTEMA!A1519)</f>
        <v/>
      </c>
      <c r="B1525" s="10" t="str">
        <f>IF(SISTEMA!B1519="","",VALUE(SISTEMA!B1519))</f>
        <v/>
      </c>
      <c r="C1525" s="10" t="str">
        <f>IF(SISTEMA!C1519="","",SISTEMA!C1519)</f>
        <v/>
      </c>
      <c r="D1525" s="5" t="str" cm="1">
        <f t="array" ref="D15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5" s="5" t="str" cm="1">
        <f t="array" ref="E15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5" s="5" t="str" cm="1">
        <f t="array" ref="F15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5" t="str" cm="1">
        <f t="array" ref="G15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5" s="4"/>
      <c r="I1525" s="3" t="str" cm="1">
        <f t="array" ref="I15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6" spans="1:9" x14ac:dyDescent="0.3">
      <c r="A1526" s="3" t="str">
        <f>IF(SISTEMA!A1520="","",SISTEMA!A1520)</f>
        <v/>
      </c>
      <c r="B1526" s="10" t="str">
        <f>IF(SISTEMA!B1520="","",VALUE(SISTEMA!B1520))</f>
        <v/>
      </c>
      <c r="C1526" s="10" t="str">
        <f>IF(SISTEMA!C1520="","",SISTEMA!C1520)</f>
        <v/>
      </c>
      <c r="D1526" s="5" t="str" cm="1">
        <f t="array" ref="D15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6" s="5" t="str" cm="1">
        <f t="array" ref="E15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6" s="5" t="str" cm="1">
        <f t="array" ref="F15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6" t="str" cm="1">
        <f t="array" ref="G15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6" s="4"/>
      <c r="I1526" s="3" t="str" cm="1">
        <f t="array" ref="I15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7" spans="1:9" x14ac:dyDescent="0.3">
      <c r="A1527" s="3" t="str">
        <f>IF(SISTEMA!A1521="","",SISTEMA!A1521)</f>
        <v/>
      </c>
      <c r="B1527" s="10" t="str">
        <f>IF(SISTEMA!B1521="","",VALUE(SISTEMA!B1521))</f>
        <v/>
      </c>
      <c r="C1527" s="10" t="str">
        <f>IF(SISTEMA!C1521="","",SISTEMA!C1521)</f>
        <v/>
      </c>
      <c r="D1527" s="5" t="str" cm="1">
        <f t="array" ref="D15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7" s="5" t="str" cm="1">
        <f t="array" ref="E15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7" s="5" t="str" cm="1">
        <f t="array" ref="F15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7" t="str" cm="1">
        <f t="array" ref="G15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7" s="4"/>
      <c r="I1527" s="3" t="str" cm="1">
        <f t="array" ref="I15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8" spans="1:9" x14ac:dyDescent="0.3">
      <c r="A1528" s="3" t="str">
        <f>IF(SISTEMA!A1522="","",SISTEMA!A1522)</f>
        <v/>
      </c>
      <c r="B1528" s="10" t="str">
        <f>IF(SISTEMA!B1522="","",VALUE(SISTEMA!B1522))</f>
        <v/>
      </c>
      <c r="C1528" s="10" t="str">
        <f>IF(SISTEMA!C1522="","",SISTEMA!C1522)</f>
        <v/>
      </c>
      <c r="D1528" s="5" t="str" cm="1">
        <f t="array" ref="D15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8" s="5" t="str" cm="1">
        <f t="array" ref="E15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8" s="5" t="str" cm="1">
        <f t="array" ref="F15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8" t="str" cm="1">
        <f t="array" ref="G15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8" s="4"/>
      <c r="I1528" s="3" t="str" cm="1">
        <f t="array" ref="I15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29" spans="1:9" x14ac:dyDescent="0.3">
      <c r="A1529" s="3" t="str">
        <f>IF(SISTEMA!A1523="","",SISTEMA!A1523)</f>
        <v/>
      </c>
      <c r="B1529" s="10" t="str">
        <f>IF(SISTEMA!B1523="","",VALUE(SISTEMA!B1523))</f>
        <v/>
      </c>
      <c r="C1529" s="10" t="str">
        <f>IF(SISTEMA!C1523="","",SISTEMA!C1523)</f>
        <v/>
      </c>
      <c r="D1529" s="5" t="str" cm="1">
        <f t="array" ref="D15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29" s="5" t="str" cm="1">
        <f t="array" ref="E15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29" s="5" t="str" cm="1">
        <f t="array" ref="F15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29" t="str" cm="1">
        <f t="array" ref="G15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29" s="4"/>
      <c r="I1529" s="3" t="str" cm="1">
        <f t="array" ref="I15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0" spans="1:9" x14ac:dyDescent="0.3">
      <c r="A1530" s="3" t="str">
        <f>IF(SISTEMA!A1524="","",SISTEMA!A1524)</f>
        <v/>
      </c>
      <c r="B1530" s="10" t="str">
        <f>IF(SISTEMA!B1524="","",VALUE(SISTEMA!B1524))</f>
        <v/>
      </c>
      <c r="C1530" s="10" t="str">
        <f>IF(SISTEMA!C1524="","",SISTEMA!C1524)</f>
        <v/>
      </c>
      <c r="D1530" s="5" t="str" cm="1">
        <f t="array" ref="D15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0" s="5" t="str" cm="1">
        <f t="array" ref="E15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0" s="5" t="str" cm="1">
        <f t="array" ref="F15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0" t="str" cm="1">
        <f t="array" ref="G15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0" s="4"/>
      <c r="I1530" s="3" t="str" cm="1">
        <f t="array" ref="I15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1" spans="1:9" x14ac:dyDescent="0.3">
      <c r="A1531" s="3" t="str">
        <f>IF(SISTEMA!A1525="","",SISTEMA!A1525)</f>
        <v/>
      </c>
      <c r="B1531" s="10" t="str">
        <f>IF(SISTEMA!B1525="","",VALUE(SISTEMA!B1525))</f>
        <v/>
      </c>
      <c r="C1531" s="10" t="str">
        <f>IF(SISTEMA!C1525="","",SISTEMA!C1525)</f>
        <v/>
      </c>
      <c r="D1531" s="5" t="str" cm="1">
        <f t="array" ref="D15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1" s="5" t="str" cm="1">
        <f t="array" ref="E15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1" s="5" t="str" cm="1">
        <f t="array" ref="F15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1" t="str" cm="1">
        <f t="array" ref="G15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1" s="4"/>
      <c r="I1531" s="3" t="str" cm="1">
        <f t="array" ref="I15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2" spans="1:9" x14ac:dyDescent="0.3">
      <c r="A1532" s="3" t="str">
        <f>IF(SISTEMA!A1526="","",SISTEMA!A1526)</f>
        <v/>
      </c>
      <c r="B1532" s="10" t="str">
        <f>IF(SISTEMA!B1526="","",VALUE(SISTEMA!B1526))</f>
        <v/>
      </c>
      <c r="C1532" s="10" t="str">
        <f>IF(SISTEMA!C1526="","",SISTEMA!C1526)</f>
        <v/>
      </c>
      <c r="D1532" s="5" t="str" cm="1">
        <f t="array" ref="D15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2" s="5" t="str" cm="1">
        <f t="array" ref="E15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2" s="5" t="str" cm="1">
        <f t="array" ref="F15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2" t="str" cm="1">
        <f t="array" ref="G15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2" s="4"/>
      <c r="I1532" s="3" t="str" cm="1">
        <f t="array" ref="I15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3" spans="1:9" x14ac:dyDescent="0.3">
      <c r="A1533" s="3" t="str">
        <f>IF(SISTEMA!A1527="","",SISTEMA!A1527)</f>
        <v/>
      </c>
      <c r="B1533" s="10" t="str">
        <f>IF(SISTEMA!B1527="","",VALUE(SISTEMA!B1527))</f>
        <v/>
      </c>
      <c r="C1533" s="10" t="str">
        <f>IF(SISTEMA!C1527="","",SISTEMA!C1527)</f>
        <v/>
      </c>
      <c r="D1533" s="5" t="str" cm="1">
        <f t="array" ref="D15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3" s="5" t="str" cm="1">
        <f t="array" ref="E15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3" s="5" t="str" cm="1">
        <f t="array" ref="F15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3" t="str" cm="1">
        <f t="array" ref="G15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3" s="4"/>
      <c r="I1533" s="3" t="str" cm="1">
        <f t="array" ref="I15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4" spans="1:9" x14ac:dyDescent="0.3">
      <c r="A1534" s="3" t="str">
        <f>IF(SISTEMA!A1528="","",SISTEMA!A1528)</f>
        <v/>
      </c>
      <c r="B1534" s="10" t="str">
        <f>IF(SISTEMA!B1528="","",VALUE(SISTEMA!B1528))</f>
        <v/>
      </c>
      <c r="C1534" s="10" t="str">
        <f>IF(SISTEMA!C1528="","",SISTEMA!C1528)</f>
        <v/>
      </c>
      <c r="D1534" s="5" t="str" cm="1">
        <f t="array" ref="D15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4" s="5" t="str" cm="1">
        <f t="array" ref="E15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4" s="5" t="str" cm="1">
        <f t="array" ref="F15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4" t="str" cm="1">
        <f t="array" ref="G15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4" s="4"/>
      <c r="I1534" s="3" t="str" cm="1">
        <f t="array" ref="I15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5" spans="1:9" x14ac:dyDescent="0.3">
      <c r="A1535" s="3" t="str">
        <f>IF(SISTEMA!A1529="","",SISTEMA!A1529)</f>
        <v/>
      </c>
      <c r="B1535" s="10" t="str">
        <f>IF(SISTEMA!B1529="","",VALUE(SISTEMA!B1529))</f>
        <v/>
      </c>
      <c r="C1535" s="10" t="str">
        <f>IF(SISTEMA!C1529="","",SISTEMA!C1529)</f>
        <v/>
      </c>
      <c r="D1535" s="5" t="str" cm="1">
        <f t="array" ref="D15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5" s="5" t="str" cm="1">
        <f t="array" ref="E15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5" s="5" t="str" cm="1">
        <f t="array" ref="F15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5" t="str" cm="1">
        <f t="array" ref="G15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5" s="4"/>
      <c r="I1535" s="3" t="str" cm="1">
        <f t="array" ref="I15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6" spans="1:9" x14ac:dyDescent="0.3">
      <c r="A1536" s="3" t="str">
        <f>IF(SISTEMA!A1530="","",SISTEMA!A1530)</f>
        <v/>
      </c>
      <c r="B1536" s="10" t="str">
        <f>IF(SISTEMA!B1530="","",VALUE(SISTEMA!B1530))</f>
        <v/>
      </c>
      <c r="C1536" s="10" t="str">
        <f>IF(SISTEMA!C1530="","",SISTEMA!C1530)</f>
        <v/>
      </c>
      <c r="D1536" s="5" t="str" cm="1">
        <f t="array" ref="D15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6" s="5" t="str" cm="1">
        <f t="array" ref="E15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6" s="5" t="str" cm="1">
        <f t="array" ref="F15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6" t="str" cm="1">
        <f t="array" ref="G15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6" s="4"/>
      <c r="I1536" s="3" t="str" cm="1">
        <f t="array" ref="I15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7" spans="1:9" x14ac:dyDescent="0.3">
      <c r="A1537" s="3" t="str">
        <f>IF(SISTEMA!A1531="","",SISTEMA!A1531)</f>
        <v/>
      </c>
      <c r="B1537" s="10" t="str">
        <f>IF(SISTEMA!B1531="","",VALUE(SISTEMA!B1531))</f>
        <v/>
      </c>
      <c r="C1537" s="10" t="str">
        <f>IF(SISTEMA!C1531="","",SISTEMA!C1531)</f>
        <v/>
      </c>
      <c r="D1537" s="5" t="str" cm="1">
        <f t="array" ref="D15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7" s="5" t="str" cm="1">
        <f t="array" ref="E15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7" s="5" t="str" cm="1">
        <f t="array" ref="F15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7" t="str" cm="1">
        <f t="array" ref="G15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7" s="4"/>
      <c r="I1537" s="3" t="str" cm="1">
        <f t="array" ref="I15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8" spans="1:9" x14ac:dyDescent="0.3">
      <c r="A1538" s="3" t="str">
        <f>IF(SISTEMA!A1532="","",SISTEMA!A1532)</f>
        <v/>
      </c>
      <c r="B1538" s="10" t="str">
        <f>IF(SISTEMA!B1532="","",VALUE(SISTEMA!B1532))</f>
        <v/>
      </c>
      <c r="C1538" s="10" t="str">
        <f>IF(SISTEMA!C1532="","",SISTEMA!C1532)</f>
        <v/>
      </c>
      <c r="D1538" s="5" t="str" cm="1">
        <f t="array" ref="D15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8" s="5" t="str" cm="1">
        <f t="array" ref="E15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8" s="5" t="str" cm="1">
        <f t="array" ref="F15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8" t="str" cm="1">
        <f t="array" ref="G15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8" s="4"/>
      <c r="I1538" s="3" t="str" cm="1">
        <f t="array" ref="I15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39" spans="1:9" x14ac:dyDescent="0.3">
      <c r="A1539" s="3" t="str">
        <f>IF(SISTEMA!A1533="","",SISTEMA!A1533)</f>
        <v/>
      </c>
      <c r="B1539" s="10" t="str">
        <f>IF(SISTEMA!B1533="","",VALUE(SISTEMA!B1533))</f>
        <v/>
      </c>
      <c r="C1539" s="10" t="str">
        <f>IF(SISTEMA!C1533="","",SISTEMA!C1533)</f>
        <v/>
      </c>
      <c r="D1539" s="5" t="str" cm="1">
        <f t="array" ref="D15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39" s="5" t="str" cm="1">
        <f t="array" ref="E15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39" s="5" t="str" cm="1">
        <f t="array" ref="F15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39" t="str" cm="1">
        <f t="array" ref="G15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39" s="4"/>
      <c r="I1539" s="3" t="str" cm="1">
        <f t="array" ref="I15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0" spans="1:9" x14ac:dyDescent="0.3">
      <c r="A1540" s="3" t="str">
        <f>IF(SISTEMA!A1534="","",SISTEMA!A1534)</f>
        <v/>
      </c>
      <c r="B1540" s="10" t="str">
        <f>IF(SISTEMA!B1534="","",VALUE(SISTEMA!B1534))</f>
        <v/>
      </c>
      <c r="C1540" s="10" t="str">
        <f>IF(SISTEMA!C1534="","",SISTEMA!C1534)</f>
        <v/>
      </c>
      <c r="D1540" s="5" t="str" cm="1">
        <f t="array" ref="D15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0" s="5" t="str" cm="1">
        <f t="array" ref="E15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0" s="5" t="str" cm="1">
        <f t="array" ref="F15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0" t="str" cm="1">
        <f t="array" ref="G15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0" s="4"/>
      <c r="I1540" s="3" t="str" cm="1">
        <f t="array" ref="I15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1" spans="1:9" x14ac:dyDescent="0.3">
      <c r="A1541" s="3" t="str">
        <f>IF(SISTEMA!A1535="","",SISTEMA!A1535)</f>
        <v/>
      </c>
      <c r="B1541" s="10" t="str">
        <f>IF(SISTEMA!B1535="","",VALUE(SISTEMA!B1535))</f>
        <v/>
      </c>
      <c r="C1541" s="10" t="str">
        <f>IF(SISTEMA!C1535="","",SISTEMA!C1535)</f>
        <v/>
      </c>
      <c r="D1541" s="5" t="str" cm="1">
        <f t="array" ref="D15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1" s="5" t="str" cm="1">
        <f t="array" ref="E15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1" s="5" t="str" cm="1">
        <f t="array" ref="F15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1" t="str" cm="1">
        <f t="array" ref="G15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1" s="4"/>
      <c r="I1541" s="3" t="str" cm="1">
        <f t="array" ref="I15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2" spans="1:9" x14ac:dyDescent="0.3">
      <c r="A1542" s="3" t="str">
        <f>IF(SISTEMA!A1536="","",SISTEMA!A1536)</f>
        <v/>
      </c>
      <c r="B1542" s="10" t="str">
        <f>IF(SISTEMA!B1536="","",VALUE(SISTEMA!B1536))</f>
        <v/>
      </c>
      <c r="C1542" s="10" t="str">
        <f>IF(SISTEMA!C1536="","",SISTEMA!C1536)</f>
        <v/>
      </c>
      <c r="D1542" s="5" t="str" cm="1">
        <f t="array" ref="D15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2" s="5" t="str" cm="1">
        <f t="array" ref="E15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2" s="5" t="str" cm="1">
        <f t="array" ref="F15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2" t="str" cm="1">
        <f t="array" ref="G15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2" s="4"/>
      <c r="I1542" s="3" t="str" cm="1">
        <f t="array" ref="I15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3" spans="1:9" x14ac:dyDescent="0.3">
      <c r="A1543" s="3" t="str">
        <f>IF(SISTEMA!A1537="","",SISTEMA!A1537)</f>
        <v/>
      </c>
      <c r="B1543" s="10" t="str">
        <f>IF(SISTEMA!B1537="","",VALUE(SISTEMA!B1537))</f>
        <v/>
      </c>
      <c r="C1543" s="10" t="str">
        <f>IF(SISTEMA!C1537="","",SISTEMA!C1537)</f>
        <v/>
      </c>
      <c r="D1543" s="5" t="str" cm="1">
        <f t="array" ref="D15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3" s="5" t="str" cm="1">
        <f t="array" ref="E15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3" s="5" t="str" cm="1">
        <f t="array" ref="F15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3" t="str" cm="1">
        <f t="array" ref="G15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3" s="4"/>
      <c r="I1543" s="3" t="str" cm="1">
        <f t="array" ref="I15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4" spans="1:9" x14ac:dyDescent="0.3">
      <c r="A1544" s="3" t="str">
        <f>IF(SISTEMA!A1538="","",SISTEMA!A1538)</f>
        <v/>
      </c>
      <c r="B1544" s="10" t="str">
        <f>IF(SISTEMA!B1538="","",VALUE(SISTEMA!B1538))</f>
        <v/>
      </c>
      <c r="C1544" s="10" t="str">
        <f>IF(SISTEMA!C1538="","",SISTEMA!C1538)</f>
        <v/>
      </c>
      <c r="D1544" s="5" t="str" cm="1">
        <f t="array" ref="D15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4" s="5" t="str" cm="1">
        <f t="array" ref="E15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4" s="5" t="str" cm="1">
        <f t="array" ref="F15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4" t="str" cm="1">
        <f t="array" ref="G15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4" s="4"/>
      <c r="I1544" s="3" t="str" cm="1">
        <f t="array" ref="I15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5" spans="1:9" x14ac:dyDescent="0.3">
      <c r="A1545" s="3" t="str">
        <f>IF(SISTEMA!A1539="","",SISTEMA!A1539)</f>
        <v/>
      </c>
      <c r="B1545" s="10" t="str">
        <f>IF(SISTEMA!B1539="","",VALUE(SISTEMA!B1539))</f>
        <v/>
      </c>
      <c r="C1545" s="10" t="str">
        <f>IF(SISTEMA!C1539="","",SISTEMA!C1539)</f>
        <v/>
      </c>
      <c r="D1545" s="5" t="str" cm="1">
        <f t="array" ref="D15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5" s="5" t="str" cm="1">
        <f t="array" ref="E15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5" s="5" t="str" cm="1">
        <f t="array" ref="F15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5" t="str" cm="1">
        <f t="array" ref="G15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5" s="4"/>
      <c r="I1545" s="3" t="str" cm="1">
        <f t="array" ref="I15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6" spans="1:9" x14ac:dyDescent="0.3">
      <c r="A1546" s="3" t="str">
        <f>IF(SISTEMA!A1540="","",SISTEMA!A1540)</f>
        <v/>
      </c>
      <c r="B1546" s="10" t="str">
        <f>IF(SISTEMA!B1540="","",VALUE(SISTEMA!B1540))</f>
        <v/>
      </c>
      <c r="C1546" s="10" t="str">
        <f>IF(SISTEMA!C1540="","",SISTEMA!C1540)</f>
        <v/>
      </c>
      <c r="D1546" s="5" t="str" cm="1">
        <f t="array" ref="D15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6" s="5" t="str" cm="1">
        <f t="array" ref="E15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6" s="5" t="str" cm="1">
        <f t="array" ref="F15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6" t="str" cm="1">
        <f t="array" ref="G15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6" s="4"/>
      <c r="I1546" s="3" t="str" cm="1">
        <f t="array" ref="I15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7" spans="1:9" x14ac:dyDescent="0.3">
      <c r="A1547" s="3" t="str">
        <f>IF(SISTEMA!A1541="","",SISTEMA!A1541)</f>
        <v/>
      </c>
      <c r="B1547" s="10" t="str">
        <f>IF(SISTEMA!B1541="","",VALUE(SISTEMA!B1541))</f>
        <v/>
      </c>
      <c r="C1547" s="10" t="str">
        <f>IF(SISTEMA!C1541="","",SISTEMA!C1541)</f>
        <v/>
      </c>
      <c r="D1547" s="5" t="str" cm="1">
        <f t="array" ref="D15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7" s="5" t="str" cm="1">
        <f t="array" ref="E15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7" s="5" t="str" cm="1">
        <f t="array" ref="F15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7" t="str" cm="1">
        <f t="array" ref="G15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7" s="4"/>
      <c r="I1547" s="3" t="str" cm="1">
        <f t="array" ref="I15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8" spans="1:9" x14ac:dyDescent="0.3">
      <c r="A1548" s="3" t="str">
        <f>IF(SISTEMA!A1542="","",SISTEMA!A1542)</f>
        <v/>
      </c>
      <c r="B1548" s="10" t="str">
        <f>IF(SISTEMA!B1542="","",VALUE(SISTEMA!B1542))</f>
        <v/>
      </c>
      <c r="C1548" s="10" t="str">
        <f>IF(SISTEMA!C1542="","",SISTEMA!C1542)</f>
        <v/>
      </c>
      <c r="D1548" s="5" t="str" cm="1">
        <f t="array" ref="D15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8" s="5" t="str" cm="1">
        <f t="array" ref="E15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8" s="5" t="str" cm="1">
        <f t="array" ref="F15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8" t="str" cm="1">
        <f t="array" ref="G15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8" s="4"/>
      <c r="I1548" s="3" t="str" cm="1">
        <f t="array" ref="I15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49" spans="1:9" x14ac:dyDescent="0.3">
      <c r="A1549" s="3" t="str">
        <f>IF(SISTEMA!A1543="","",SISTEMA!A1543)</f>
        <v/>
      </c>
      <c r="B1549" s="10" t="str">
        <f>IF(SISTEMA!B1543="","",VALUE(SISTEMA!B1543))</f>
        <v/>
      </c>
      <c r="C1549" s="10" t="str">
        <f>IF(SISTEMA!C1543="","",SISTEMA!C1543)</f>
        <v/>
      </c>
      <c r="D1549" s="5" t="str" cm="1">
        <f t="array" ref="D15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49" s="5" t="str" cm="1">
        <f t="array" ref="E15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49" s="5" t="str" cm="1">
        <f t="array" ref="F15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49" t="str" cm="1">
        <f t="array" ref="G15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49" s="4"/>
      <c r="I1549" s="3" t="str" cm="1">
        <f t="array" ref="I15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0" spans="1:9" x14ac:dyDescent="0.3">
      <c r="A1550" s="3" t="str">
        <f>IF(SISTEMA!A1544="","",SISTEMA!A1544)</f>
        <v/>
      </c>
      <c r="B1550" s="10" t="str">
        <f>IF(SISTEMA!B1544="","",VALUE(SISTEMA!B1544))</f>
        <v/>
      </c>
      <c r="C1550" s="10" t="str">
        <f>IF(SISTEMA!C1544="","",SISTEMA!C1544)</f>
        <v/>
      </c>
      <c r="D1550" s="5" t="str" cm="1">
        <f t="array" ref="D15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0" s="5" t="str" cm="1">
        <f t="array" ref="E15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0" s="5" t="str" cm="1">
        <f t="array" ref="F15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0" t="str" cm="1">
        <f t="array" ref="G15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0" s="4"/>
      <c r="I1550" s="3" t="str" cm="1">
        <f t="array" ref="I15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1" spans="1:9" x14ac:dyDescent="0.3">
      <c r="A1551" s="3" t="str">
        <f>IF(SISTEMA!A1545="","",SISTEMA!A1545)</f>
        <v/>
      </c>
      <c r="B1551" s="10" t="str">
        <f>IF(SISTEMA!B1545="","",VALUE(SISTEMA!B1545))</f>
        <v/>
      </c>
      <c r="C1551" s="10" t="str">
        <f>IF(SISTEMA!C1545="","",SISTEMA!C1545)</f>
        <v/>
      </c>
      <c r="D1551" s="5" t="str" cm="1">
        <f t="array" ref="D15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1" s="5" t="str" cm="1">
        <f t="array" ref="E15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1" s="5" t="str" cm="1">
        <f t="array" ref="F15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1" t="str" cm="1">
        <f t="array" ref="G15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1" s="4"/>
      <c r="I1551" s="3" t="str" cm="1">
        <f t="array" ref="I15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2" spans="1:9" x14ac:dyDescent="0.3">
      <c r="A1552" s="3" t="str">
        <f>IF(SISTEMA!A1546="","",SISTEMA!A1546)</f>
        <v/>
      </c>
      <c r="B1552" s="10" t="str">
        <f>IF(SISTEMA!B1546="","",VALUE(SISTEMA!B1546))</f>
        <v/>
      </c>
      <c r="C1552" s="10" t="str">
        <f>IF(SISTEMA!C1546="","",SISTEMA!C1546)</f>
        <v/>
      </c>
      <c r="D1552" s="5" t="str" cm="1">
        <f t="array" ref="D15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2" s="5" t="str" cm="1">
        <f t="array" ref="E15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2" s="5" t="str" cm="1">
        <f t="array" ref="F15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2" t="str" cm="1">
        <f t="array" ref="G15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2" s="4"/>
      <c r="I1552" s="3" t="str" cm="1">
        <f t="array" ref="I15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3" spans="1:9" x14ac:dyDescent="0.3">
      <c r="A1553" s="3" t="str">
        <f>IF(SISTEMA!A1547="","",SISTEMA!A1547)</f>
        <v/>
      </c>
      <c r="B1553" s="10" t="str">
        <f>IF(SISTEMA!B1547="","",VALUE(SISTEMA!B1547))</f>
        <v/>
      </c>
      <c r="C1553" s="10" t="str">
        <f>IF(SISTEMA!C1547="","",SISTEMA!C1547)</f>
        <v/>
      </c>
      <c r="D1553" s="5" t="str" cm="1">
        <f t="array" ref="D15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3" s="5" t="str" cm="1">
        <f t="array" ref="E15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3" s="5" t="str" cm="1">
        <f t="array" ref="F15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3" t="str" cm="1">
        <f t="array" ref="G15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3" s="4"/>
      <c r="I1553" s="3" t="str" cm="1">
        <f t="array" ref="I15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4" spans="1:9" x14ac:dyDescent="0.3">
      <c r="A1554" s="3" t="str">
        <f>IF(SISTEMA!A1548="","",SISTEMA!A1548)</f>
        <v/>
      </c>
      <c r="B1554" s="10" t="str">
        <f>IF(SISTEMA!B1548="","",VALUE(SISTEMA!B1548))</f>
        <v/>
      </c>
      <c r="C1554" s="10" t="str">
        <f>IF(SISTEMA!C1548="","",SISTEMA!C1548)</f>
        <v/>
      </c>
      <c r="D1554" s="5" t="str" cm="1">
        <f t="array" ref="D15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4" s="5" t="str" cm="1">
        <f t="array" ref="E15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4" s="5" t="str" cm="1">
        <f t="array" ref="F15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4" t="str" cm="1">
        <f t="array" ref="G15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4" s="4"/>
      <c r="I1554" s="3" t="str" cm="1">
        <f t="array" ref="I15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5" spans="1:9" x14ac:dyDescent="0.3">
      <c r="A1555" s="3" t="str">
        <f>IF(SISTEMA!A1549="","",SISTEMA!A1549)</f>
        <v/>
      </c>
      <c r="B1555" s="10" t="str">
        <f>IF(SISTEMA!B1549="","",VALUE(SISTEMA!B1549))</f>
        <v/>
      </c>
      <c r="C1555" s="10" t="str">
        <f>IF(SISTEMA!C1549="","",SISTEMA!C1549)</f>
        <v/>
      </c>
      <c r="D1555" s="5" t="str" cm="1">
        <f t="array" ref="D15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5" s="5" t="str" cm="1">
        <f t="array" ref="E15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5" s="5" t="str" cm="1">
        <f t="array" ref="F15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5" t="str" cm="1">
        <f t="array" ref="G15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5" s="4"/>
      <c r="I1555" s="3" t="str" cm="1">
        <f t="array" ref="I15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6" spans="1:9" x14ac:dyDescent="0.3">
      <c r="A1556" s="3" t="str">
        <f>IF(SISTEMA!A1550="","",SISTEMA!A1550)</f>
        <v/>
      </c>
      <c r="B1556" s="10" t="str">
        <f>IF(SISTEMA!B1550="","",VALUE(SISTEMA!B1550))</f>
        <v/>
      </c>
      <c r="C1556" s="10" t="str">
        <f>IF(SISTEMA!C1550="","",SISTEMA!C1550)</f>
        <v/>
      </c>
      <c r="D1556" s="5" t="str" cm="1">
        <f t="array" ref="D15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6" s="5" t="str" cm="1">
        <f t="array" ref="E15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6" s="5" t="str" cm="1">
        <f t="array" ref="F15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6" t="str" cm="1">
        <f t="array" ref="G15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6" s="4"/>
      <c r="I1556" s="3" t="str" cm="1">
        <f t="array" ref="I15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7" spans="1:9" x14ac:dyDescent="0.3">
      <c r="A1557" s="3" t="str">
        <f>IF(SISTEMA!A1551="","",SISTEMA!A1551)</f>
        <v/>
      </c>
      <c r="B1557" s="10" t="str">
        <f>IF(SISTEMA!B1551="","",VALUE(SISTEMA!B1551))</f>
        <v/>
      </c>
      <c r="C1557" s="10" t="str">
        <f>IF(SISTEMA!C1551="","",SISTEMA!C1551)</f>
        <v/>
      </c>
      <c r="D1557" s="5" t="str" cm="1">
        <f t="array" ref="D15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7" s="5" t="str" cm="1">
        <f t="array" ref="E15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7" s="5" t="str" cm="1">
        <f t="array" ref="F15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7" t="str" cm="1">
        <f t="array" ref="G15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7" s="4"/>
      <c r="I1557" s="3" t="str" cm="1">
        <f t="array" ref="I15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8" spans="1:9" x14ac:dyDescent="0.3">
      <c r="A1558" s="3" t="str">
        <f>IF(SISTEMA!A1552="","",SISTEMA!A1552)</f>
        <v/>
      </c>
      <c r="B1558" s="10" t="str">
        <f>IF(SISTEMA!B1552="","",VALUE(SISTEMA!B1552))</f>
        <v/>
      </c>
      <c r="C1558" s="10" t="str">
        <f>IF(SISTEMA!C1552="","",SISTEMA!C1552)</f>
        <v/>
      </c>
      <c r="D1558" s="5" t="str" cm="1">
        <f t="array" ref="D15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8" s="5" t="str" cm="1">
        <f t="array" ref="E15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8" s="5" t="str" cm="1">
        <f t="array" ref="F15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8" t="str" cm="1">
        <f t="array" ref="G15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8" s="4"/>
      <c r="I1558" s="3" t="str" cm="1">
        <f t="array" ref="I15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59" spans="1:9" x14ac:dyDescent="0.3">
      <c r="A1559" s="3" t="str">
        <f>IF(SISTEMA!A1553="","",SISTEMA!A1553)</f>
        <v/>
      </c>
      <c r="B1559" s="10" t="str">
        <f>IF(SISTEMA!B1553="","",VALUE(SISTEMA!B1553))</f>
        <v/>
      </c>
      <c r="C1559" s="10" t="str">
        <f>IF(SISTEMA!C1553="","",SISTEMA!C1553)</f>
        <v/>
      </c>
      <c r="D1559" s="5" t="str" cm="1">
        <f t="array" ref="D15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59" s="5" t="str" cm="1">
        <f t="array" ref="E15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59" s="5" t="str" cm="1">
        <f t="array" ref="F15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59" t="str" cm="1">
        <f t="array" ref="G15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59" s="4"/>
      <c r="I1559" s="3" t="str" cm="1">
        <f t="array" ref="I15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0" spans="1:9" x14ac:dyDescent="0.3">
      <c r="A1560" s="3" t="str">
        <f>IF(SISTEMA!A1554="","",SISTEMA!A1554)</f>
        <v/>
      </c>
      <c r="B1560" s="10" t="str">
        <f>IF(SISTEMA!B1554="","",VALUE(SISTEMA!B1554))</f>
        <v/>
      </c>
      <c r="C1560" s="10" t="str">
        <f>IF(SISTEMA!C1554="","",SISTEMA!C1554)</f>
        <v/>
      </c>
      <c r="D1560" s="5" t="str" cm="1">
        <f t="array" ref="D15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0" s="5" t="str" cm="1">
        <f t="array" ref="E15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0" s="5" t="str" cm="1">
        <f t="array" ref="F15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0" t="str" cm="1">
        <f t="array" ref="G15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0" s="4"/>
      <c r="I1560" s="3" t="str" cm="1">
        <f t="array" ref="I15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1" spans="1:9" x14ac:dyDescent="0.3">
      <c r="A1561" s="3" t="str">
        <f>IF(SISTEMA!A1555="","",SISTEMA!A1555)</f>
        <v/>
      </c>
      <c r="B1561" s="10" t="str">
        <f>IF(SISTEMA!B1555="","",VALUE(SISTEMA!B1555))</f>
        <v/>
      </c>
      <c r="C1561" s="10" t="str">
        <f>IF(SISTEMA!C1555="","",SISTEMA!C1555)</f>
        <v/>
      </c>
      <c r="D1561" s="5" t="str" cm="1">
        <f t="array" ref="D15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1" s="5" t="str" cm="1">
        <f t="array" ref="E15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1" s="5" t="str" cm="1">
        <f t="array" ref="F15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1" t="str" cm="1">
        <f t="array" ref="G15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1" s="4"/>
      <c r="I1561" s="3" t="str" cm="1">
        <f t="array" ref="I15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2" spans="1:9" x14ac:dyDescent="0.3">
      <c r="A1562" s="3" t="str">
        <f>IF(SISTEMA!A1556="","",SISTEMA!A1556)</f>
        <v/>
      </c>
      <c r="B1562" s="10" t="str">
        <f>IF(SISTEMA!B1556="","",VALUE(SISTEMA!B1556))</f>
        <v/>
      </c>
      <c r="C1562" s="10" t="str">
        <f>IF(SISTEMA!C1556="","",SISTEMA!C1556)</f>
        <v/>
      </c>
      <c r="D1562" s="5" t="str" cm="1">
        <f t="array" ref="D15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2" s="5" t="str" cm="1">
        <f t="array" ref="E15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2" s="5" t="str" cm="1">
        <f t="array" ref="F15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2" t="str" cm="1">
        <f t="array" ref="G15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2" s="4"/>
      <c r="I1562" s="3" t="str" cm="1">
        <f t="array" ref="I15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3" spans="1:9" x14ac:dyDescent="0.3">
      <c r="A1563" s="3" t="str">
        <f>IF(SISTEMA!A1557="","",SISTEMA!A1557)</f>
        <v/>
      </c>
      <c r="B1563" s="10" t="str">
        <f>IF(SISTEMA!B1557="","",VALUE(SISTEMA!B1557))</f>
        <v/>
      </c>
      <c r="C1563" s="10" t="str">
        <f>IF(SISTEMA!C1557="","",SISTEMA!C1557)</f>
        <v/>
      </c>
      <c r="D1563" s="5" t="str" cm="1">
        <f t="array" ref="D15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3" s="5" t="str" cm="1">
        <f t="array" ref="E15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3" s="5" t="str" cm="1">
        <f t="array" ref="F15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3" t="str" cm="1">
        <f t="array" ref="G15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3" s="4"/>
      <c r="I1563" s="3" t="str" cm="1">
        <f t="array" ref="I15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4" spans="1:9" x14ac:dyDescent="0.3">
      <c r="A1564" s="3" t="str">
        <f>IF(SISTEMA!A1558="","",SISTEMA!A1558)</f>
        <v/>
      </c>
      <c r="B1564" s="10" t="str">
        <f>IF(SISTEMA!B1558="","",VALUE(SISTEMA!B1558))</f>
        <v/>
      </c>
      <c r="C1564" s="10" t="str">
        <f>IF(SISTEMA!C1558="","",SISTEMA!C1558)</f>
        <v/>
      </c>
      <c r="D1564" s="5" t="str" cm="1">
        <f t="array" ref="D15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4" s="5" t="str" cm="1">
        <f t="array" ref="E15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4" s="5" t="str" cm="1">
        <f t="array" ref="F15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4" t="str" cm="1">
        <f t="array" ref="G15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4" s="4"/>
      <c r="I1564" s="3" t="str" cm="1">
        <f t="array" ref="I15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5" spans="1:9" x14ac:dyDescent="0.3">
      <c r="A1565" s="3" t="str">
        <f>IF(SISTEMA!A1559="","",SISTEMA!A1559)</f>
        <v/>
      </c>
      <c r="B1565" s="10" t="str">
        <f>IF(SISTEMA!B1559="","",VALUE(SISTEMA!B1559))</f>
        <v/>
      </c>
      <c r="C1565" s="10" t="str">
        <f>IF(SISTEMA!C1559="","",SISTEMA!C1559)</f>
        <v/>
      </c>
      <c r="D1565" s="5" t="str" cm="1">
        <f t="array" ref="D15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5" s="5" t="str" cm="1">
        <f t="array" ref="E15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5" s="5" t="str" cm="1">
        <f t="array" ref="F15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5" t="str" cm="1">
        <f t="array" ref="G15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5" s="4"/>
      <c r="I1565" s="3" t="str" cm="1">
        <f t="array" ref="I15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6" spans="1:9" x14ac:dyDescent="0.3">
      <c r="A1566" s="3" t="str">
        <f>IF(SISTEMA!A1560="","",SISTEMA!A1560)</f>
        <v/>
      </c>
      <c r="B1566" s="10" t="str">
        <f>IF(SISTEMA!B1560="","",VALUE(SISTEMA!B1560))</f>
        <v/>
      </c>
      <c r="C1566" s="10" t="str">
        <f>IF(SISTEMA!C1560="","",SISTEMA!C1560)</f>
        <v/>
      </c>
      <c r="D1566" s="5" t="str" cm="1">
        <f t="array" ref="D15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6" s="5" t="str" cm="1">
        <f t="array" ref="E15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6" s="5" t="str" cm="1">
        <f t="array" ref="F15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6" t="str" cm="1">
        <f t="array" ref="G15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6" s="4"/>
      <c r="I1566" s="3" t="str" cm="1">
        <f t="array" ref="I15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7" spans="1:9" x14ac:dyDescent="0.3">
      <c r="A1567" s="3" t="str">
        <f>IF(SISTEMA!A1561="","",SISTEMA!A1561)</f>
        <v/>
      </c>
      <c r="B1567" s="10" t="str">
        <f>IF(SISTEMA!B1561="","",VALUE(SISTEMA!B1561))</f>
        <v/>
      </c>
      <c r="C1567" s="10" t="str">
        <f>IF(SISTEMA!C1561="","",SISTEMA!C1561)</f>
        <v/>
      </c>
      <c r="D1567" s="5" t="str" cm="1">
        <f t="array" ref="D15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7" s="5" t="str" cm="1">
        <f t="array" ref="E15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7" s="5" t="str" cm="1">
        <f t="array" ref="F15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7" t="str" cm="1">
        <f t="array" ref="G15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7" s="4"/>
      <c r="I1567" s="3" t="str" cm="1">
        <f t="array" ref="I15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8" spans="1:9" x14ac:dyDescent="0.3">
      <c r="A1568" s="3" t="str">
        <f>IF(SISTEMA!A1562="","",SISTEMA!A1562)</f>
        <v/>
      </c>
      <c r="B1568" s="10" t="str">
        <f>IF(SISTEMA!B1562="","",VALUE(SISTEMA!B1562))</f>
        <v/>
      </c>
      <c r="C1568" s="10" t="str">
        <f>IF(SISTEMA!C1562="","",SISTEMA!C1562)</f>
        <v/>
      </c>
      <c r="D1568" s="5" t="str" cm="1">
        <f t="array" ref="D15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8" s="5" t="str" cm="1">
        <f t="array" ref="E15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8" s="5" t="str" cm="1">
        <f t="array" ref="F15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8" t="str" cm="1">
        <f t="array" ref="G15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8" s="4"/>
      <c r="I1568" s="3" t="str" cm="1">
        <f t="array" ref="I15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69" spans="1:9" x14ac:dyDescent="0.3">
      <c r="A1569" s="3" t="str">
        <f>IF(SISTEMA!A1563="","",SISTEMA!A1563)</f>
        <v/>
      </c>
      <c r="B1569" s="10" t="str">
        <f>IF(SISTEMA!B1563="","",VALUE(SISTEMA!B1563))</f>
        <v/>
      </c>
      <c r="C1569" s="10" t="str">
        <f>IF(SISTEMA!C1563="","",SISTEMA!C1563)</f>
        <v/>
      </c>
      <c r="D1569" s="5" t="str" cm="1">
        <f t="array" ref="D15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69" s="5" t="str" cm="1">
        <f t="array" ref="E15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69" s="5" t="str" cm="1">
        <f t="array" ref="F15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69" t="str" cm="1">
        <f t="array" ref="G15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69" s="4"/>
      <c r="I1569" s="3" t="str" cm="1">
        <f t="array" ref="I15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0" spans="1:9" x14ac:dyDescent="0.3">
      <c r="A1570" s="3" t="str">
        <f>IF(SISTEMA!A1564="","",SISTEMA!A1564)</f>
        <v/>
      </c>
      <c r="B1570" s="10" t="str">
        <f>IF(SISTEMA!B1564="","",VALUE(SISTEMA!B1564))</f>
        <v/>
      </c>
      <c r="C1570" s="10" t="str">
        <f>IF(SISTEMA!C1564="","",SISTEMA!C1564)</f>
        <v/>
      </c>
      <c r="D1570" s="5" t="str" cm="1">
        <f t="array" ref="D15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0" s="5" t="str" cm="1">
        <f t="array" ref="E15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0" s="5" t="str" cm="1">
        <f t="array" ref="F15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0" t="str" cm="1">
        <f t="array" ref="G15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0" s="4"/>
      <c r="I1570" s="3" t="str" cm="1">
        <f t="array" ref="I15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1" spans="1:9" x14ac:dyDescent="0.3">
      <c r="A1571" s="3" t="str">
        <f>IF(SISTEMA!A1565="","",SISTEMA!A1565)</f>
        <v/>
      </c>
      <c r="B1571" s="10" t="str">
        <f>IF(SISTEMA!B1565="","",VALUE(SISTEMA!B1565))</f>
        <v/>
      </c>
      <c r="C1571" s="10" t="str">
        <f>IF(SISTEMA!C1565="","",SISTEMA!C1565)</f>
        <v/>
      </c>
      <c r="D1571" s="5" t="str" cm="1">
        <f t="array" ref="D15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1" s="5" t="str" cm="1">
        <f t="array" ref="E15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1" s="5" t="str" cm="1">
        <f t="array" ref="F15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1" t="str" cm="1">
        <f t="array" ref="G15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1" s="4"/>
      <c r="I1571" s="3" t="str" cm="1">
        <f t="array" ref="I15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2" spans="1:9" x14ac:dyDescent="0.3">
      <c r="A1572" s="3" t="str">
        <f>IF(SISTEMA!A1566="","",SISTEMA!A1566)</f>
        <v/>
      </c>
      <c r="B1572" s="10" t="str">
        <f>IF(SISTEMA!B1566="","",VALUE(SISTEMA!B1566))</f>
        <v/>
      </c>
      <c r="C1572" s="10" t="str">
        <f>IF(SISTEMA!C1566="","",SISTEMA!C1566)</f>
        <v/>
      </c>
      <c r="D1572" s="5" t="str" cm="1">
        <f t="array" ref="D15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2" s="5" t="str" cm="1">
        <f t="array" ref="E15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2" s="5" t="str" cm="1">
        <f t="array" ref="F15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2" t="str" cm="1">
        <f t="array" ref="G15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2" s="4"/>
      <c r="I1572" s="3" t="str" cm="1">
        <f t="array" ref="I15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3" spans="1:9" x14ac:dyDescent="0.3">
      <c r="A1573" s="3" t="str">
        <f>IF(SISTEMA!A1567="","",SISTEMA!A1567)</f>
        <v/>
      </c>
      <c r="B1573" s="10" t="str">
        <f>IF(SISTEMA!B1567="","",VALUE(SISTEMA!B1567))</f>
        <v/>
      </c>
      <c r="C1573" s="10" t="str">
        <f>IF(SISTEMA!C1567="","",SISTEMA!C1567)</f>
        <v/>
      </c>
      <c r="D1573" s="5" t="str" cm="1">
        <f t="array" ref="D15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3" s="5" t="str" cm="1">
        <f t="array" ref="E15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3" s="5" t="str" cm="1">
        <f t="array" ref="F15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3" t="str" cm="1">
        <f t="array" ref="G15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3" s="4"/>
      <c r="I1573" s="3" t="str" cm="1">
        <f t="array" ref="I15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4" spans="1:9" x14ac:dyDescent="0.3">
      <c r="A1574" s="3" t="str">
        <f>IF(SISTEMA!A1568="","",SISTEMA!A1568)</f>
        <v/>
      </c>
      <c r="B1574" s="10" t="str">
        <f>IF(SISTEMA!B1568="","",VALUE(SISTEMA!B1568))</f>
        <v/>
      </c>
      <c r="C1574" s="10" t="str">
        <f>IF(SISTEMA!C1568="","",SISTEMA!C1568)</f>
        <v/>
      </c>
      <c r="D1574" s="5" t="str" cm="1">
        <f t="array" ref="D15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4" s="5" t="str" cm="1">
        <f t="array" ref="E15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4" s="5" t="str" cm="1">
        <f t="array" ref="F15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4" t="str" cm="1">
        <f t="array" ref="G15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4" s="4"/>
      <c r="I1574" s="3" t="str" cm="1">
        <f t="array" ref="I15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5" spans="1:9" x14ac:dyDescent="0.3">
      <c r="A1575" s="3" t="str">
        <f>IF(SISTEMA!A1569="","",SISTEMA!A1569)</f>
        <v/>
      </c>
      <c r="B1575" s="10" t="str">
        <f>IF(SISTEMA!B1569="","",VALUE(SISTEMA!B1569))</f>
        <v/>
      </c>
      <c r="C1575" s="10" t="str">
        <f>IF(SISTEMA!C1569="","",SISTEMA!C1569)</f>
        <v/>
      </c>
      <c r="D1575" s="5" t="str" cm="1">
        <f t="array" ref="D15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5" s="5" t="str" cm="1">
        <f t="array" ref="E15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5" s="5" t="str" cm="1">
        <f t="array" ref="F15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5" t="str" cm="1">
        <f t="array" ref="G15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5" s="4"/>
      <c r="I1575" s="3" t="str" cm="1">
        <f t="array" ref="I15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6" spans="1:9" x14ac:dyDescent="0.3">
      <c r="A1576" s="3" t="str">
        <f>IF(SISTEMA!A1570="","",SISTEMA!A1570)</f>
        <v/>
      </c>
      <c r="B1576" s="10" t="str">
        <f>IF(SISTEMA!B1570="","",VALUE(SISTEMA!B1570))</f>
        <v/>
      </c>
      <c r="C1576" s="10" t="str">
        <f>IF(SISTEMA!C1570="","",SISTEMA!C1570)</f>
        <v/>
      </c>
      <c r="D1576" s="5" t="str" cm="1">
        <f t="array" ref="D15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6" s="5" t="str" cm="1">
        <f t="array" ref="E15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6" s="5" t="str" cm="1">
        <f t="array" ref="F15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6" t="str" cm="1">
        <f t="array" ref="G15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6" s="4"/>
      <c r="I1576" s="3" t="str" cm="1">
        <f t="array" ref="I15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7" spans="1:9" x14ac:dyDescent="0.3">
      <c r="A1577" s="3" t="str">
        <f>IF(SISTEMA!A1571="","",SISTEMA!A1571)</f>
        <v/>
      </c>
      <c r="B1577" s="10" t="str">
        <f>IF(SISTEMA!B1571="","",VALUE(SISTEMA!B1571))</f>
        <v/>
      </c>
      <c r="C1577" s="10" t="str">
        <f>IF(SISTEMA!C1571="","",SISTEMA!C1571)</f>
        <v/>
      </c>
      <c r="D1577" s="5" t="str" cm="1">
        <f t="array" ref="D15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7" s="5" t="str" cm="1">
        <f t="array" ref="E15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7" s="5" t="str" cm="1">
        <f t="array" ref="F15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7" t="str" cm="1">
        <f t="array" ref="G15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7" s="4"/>
      <c r="I1577" s="3" t="str" cm="1">
        <f t="array" ref="I15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8" spans="1:9" x14ac:dyDescent="0.3">
      <c r="A1578" s="3" t="str">
        <f>IF(SISTEMA!A1572="","",SISTEMA!A1572)</f>
        <v/>
      </c>
      <c r="B1578" s="10" t="str">
        <f>IF(SISTEMA!B1572="","",VALUE(SISTEMA!B1572))</f>
        <v/>
      </c>
      <c r="C1578" s="10" t="str">
        <f>IF(SISTEMA!C1572="","",SISTEMA!C1572)</f>
        <v/>
      </c>
      <c r="D1578" s="5" t="str" cm="1">
        <f t="array" ref="D15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8" s="5" t="str" cm="1">
        <f t="array" ref="E15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8" s="5" t="str" cm="1">
        <f t="array" ref="F15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8" t="str" cm="1">
        <f t="array" ref="G15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8" s="4"/>
      <c r="I1578" s="3" t="str" cm="1">
        <f t="array" ref="I15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79" spans="1:9" x14ac:dyDescent="0.3">
      <c r="A1579" s="3" t="str">
        <f>IF(SISTEMA!A1573="","",SISTEMA!A1573)</f>
        <v/>
      </c>
      <c r="B1579" s="10" t="str">
        <f>IF(SISTEMA!B1573="","",VALUE(SISTEMA!B1573))</f>
        <v/>
      </c>
      <c r="C1579" s="10" t="str">
        <f>IF(SISTEMA!C1573="","",SISTEMA!C1573)</f>
        <v/>
      </c>
      <c r="D1579" s="5" t="str" cm="1">
        <f t="array" ref="D15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79" s="5" t="str" cm="1">
        <f t="array" ref="E15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79" s="5" t="str" cm="1">
        <f t="array" ref="F15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79" t="str" cm="1">
        <f t="array" ref="G15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79" s="4"/>
      <c r="I1579" s="3" t="str" cm="1">
        <f t="array" ref="I15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0" spans="1:9" x14ac:dyDescent="0.3">
      <c r="A1580" s="3" t="str">
        <f>IF(SISTEMA!A1574="","",SISTEMA!A1574)</f>
        <v/>
      </c>
      <c r="B1580" s="10" t="str">
        <f>IF(SISTEMA!B1574="","",VALUE(SISTEMA!B1574))</f>
        <v/>
      </c>
      <c r="C1580" s="10" t="str">
        <f>IF(SISTEMA!C1574="","",SISTEMA!C1574)</f>
        <v/>
      </c>
      <c r="D1580" s="5" t="str" cm="1">
        <f t="array" ref="D15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0" s="5" t="str" cm="1">
        <f t="array" ref="E15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0" s="5" t="str" cm="1">
        <f t="array" ref="F15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0" t="str" cm="1">
        <f t="array" ref="G15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0" s="4"/>
      <c r="I1580" s="3" t="str" cm="1">
        <f t="array" ref="I15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1" spans="1:9" x14ac:dyDescent="0.3">
      <c r="A1581" s="3" t="str">
        <f>IF(SISTEMA!A1575="","",SISTEMA!A1575)</f>
        <v/>
      </c>
      <c r="B1581" s="10" t="str">
        <f>IF(SISTEMA!B1575="","",VALUE(SISTEMA!B1575))</f>
        <v/>
      </c>
      <c r="C1581" s="10" t="str">
        <f>IF(SISTEMA!C1575="","",SISTEMA!C1575)</f>
        <v/>
      </c>
      <c r="D1581" s="5" t="str" cm="1">
        <f t="array" ref="D15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1" s="5" t="str" cm="1">
        <f t="array" ref="E15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1" s="5" t="str" cm="1">
        <f t="array" ref="F15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1" t="str" cm="1">
        <f t="array" ref="G15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1" s="4"/>
      <c r="I1581" s="3" t="str" cm="1">
        <f t="array" ref="I15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2" spans="1:9" x14ac:dyDescent="0.3">
      <c r="A1582" s="3" t="str">
        <f>IF(SISTEMA!A1576="","",SISTEMA!A1576)</f>
        <v/>
      </c>
      <c r="B1582" s="10" t="str">
        <f>IF(SISTEMA!B1576="","",VALUE(SISTEMA!B1576))</f>
        <v/>
      </c>
      <c r="C1582" s="10" t="str">
        <f>IF(SISTEMA!C1576="","",SISTEMA!C1576)</f>
        <v/>
      </c>
      <c r="D1582" s="5" t="str" cm="1">
        <f t="array" ref="D15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2" s="5" t="str" cm="1">
        <f t="array" ref="E15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2" s="5" t="str" cm="1">
        <f t="array" ref="F15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2" t="str" cm="1">
        <f t="array" ref="G15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2" s="4"/>
      <c r="I1582" s="3" t="str" cm="1">
        <f t="array" ref="I15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3" spans="1:9" x14ac:dyDescent="0.3">
      <c r="A1583" s="3" t="str">
        <f>IF(SISTEMA!A1577="","",SISTEMA!A1577)</f>
        <v/>
      </c>
      <c r="B1583" s="10" t="str">
        <f>IF(SISTEMA!B1577="","",VALUE(SISTEMA!B1577))</f>
        <v/>
      </c>
      <c r="C1583" s="10" t="str">
        <f>IF(SISTEMA!C1577="","",SISTEMA!C1577)</f>
        <v/>
      </c>
      <c r="D1583" s="5" t="str" cm="1">
        <f t="array" ref="D15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3" s="5" t="str" cm="1">
        <f t="array" ref="E15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3" s="5" t="str" cm="1">
        <f t="array" ref="F15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3" t="str" cm="1">
        <f t="array" ref="G15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3" s="4"/>
      <c r="I1583" s="3" t="str" cm="1">
        <f t="array" ref="I15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4" spans="1:9" x14ac:dyDescent="0.3">
      <c r="A1584" s="3" t="str">
        <f>IF(SISTEMA!A1578="","",SISTEMA!A1578)</f>
        <v/>
      </c>
      <c r="B1584" s="10" t="str">
        <f>IF(SISTEMA!B1578="","",VALUE(SISTEMA!B1578))</f>
        <v/>
      </c>
      <c r="C1584" s="10" t="str">
        <f>IF(SISTEMA!C1578="","",SISTEMA!C1578)</f>
        <v/>
      </c>
      <c r="D1584" s="5" t="str" cm="1">
        <f t="array" ref="D15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4" s="5" t="str" cm="1">
        <f t="array" ref="E15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4" s="5" t="str" cm="1">
        <f t="array" ref="F15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4" t="str" cm="1">
        <f t="array" ref="G15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4" s="4"/>
      <c r="I1584" s="3" t="str" cm="1">
        <f t="array" ref="I15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5" spans="1:9" x14ac:dyDescent="0.3">
      <c r="A1585" s="3" t="str">
        <f>IF(SISTEMA!A1579="","",SISTEMA!A1579)</f>
        <v/>
      </c>
      <c r="B1585" s="10" t="str">
        <f>IF(SISTEMA!B1579="","",VALUE(SISTEMA!B1579))</f>
        <v/>
      </c>
      <c r="C1585" s="10" t="str">
        <f>IF(SISTEMA!C1579="","",SISTEMA!C1579)</f>
        <v/>
      </c>
      <c r="D1585" s="5" t="str" cm="1">
        <f t="array" ref="D15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5" s="5" t="str" cm="1">
        <f t="array" ref="E15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5" s="5" t="str" cm="1">
        <f t="array" ref="F15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5" t="str" cm="1">
        <f t="array" ref="G15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5" s="4"/>
      <c r="I1585" s="3" t="str" cm="1">
        <f t="array" ref="I15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6" spans="1:9" x14ac:dyDescent="0.3">
      <c r="A1586" s="3" t="str">
        <f>IF(SISTEMA!A1580="","",SISTEMA!A1580)</f>
        <v/>
      </c>
      <c r="B1586" s="10" t="str">
        <f>IF(SISTEMA!B1580="","",VALUE(SISTEMA!B1580))</f>
        <v/>
      </c>
      <c r="C1586" s="10" t="str">
        <f>IF(SISTEMA!C1580="","",SISTEMA!C1580)</f>
        <v/>
      </c>
      <c r="D1586" s="5" t="str" cm="1">
        <f t="array" ref="D15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6" s="5" t="str" cm="1">
        <f t="array" ref="E15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6" s="5" t="str" cm="1">
        <f t="array" ref="F15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6" t="str" cm="1">
        <f t="array" ref="G15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6" s="4"/>
      <c r="I1586" s="3" t="str" cm="1">
        <f t="array" ref="I15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7" spans="1:9" x14ac:dyDescent="0.3">
      <c r="A1587" s="3" t="str">
        <f>IF(SISTEMA!A1581="","",SISTEMA!A1581)</f>
        <v/>
      </c>
      <c r="B1587" s="10" t="str">
        <f>IF(SISTEMA!B1581="","",VALUE(SISTEMA!B1581))</f>
        <v/>
      </c>
      <c r="C1587" s="10" t="str">
        <f>IF(SISTEMA!C1581="","",SISTEMA!C1581)</f>
        <v/>
      </c>
      <c r="D1587" s="5" t="str" cm="1">
        <f t="array" ref="D15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7" s="5" t="str" cm="1">
        <f t="array" ref="E15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7" s="5" t="str" cm="1">
        <f t="array" ref="F15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7" t="str" cm="1">
        <f t="array" ref="G15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7" s="4"/>
      <c r="I1587" s="3" t="str" cm="1">
        <f t="array" ref="I15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8" spans="1:9" x14ac:dyDescent="0.3">
      <c r="A1588" s="3" t="str">
        <f>IF(SISTEMA!A1582="","",SISTEMA!A1582)</f>
        <v/>
      </c>
      <c r="B1588" s="10" t="str">
        <f>IF(SISTEMA!B1582="","",VALUE(SISTEMA!B1582))</f>
        <v/>
      </c>
      <c r="C1588" s="10" t="str">
        <f>IF(SISTEMA!C1582="","",SISTEMA!C1582)</f>
        <v/>
      </c>
      <c r="D1588" s="5" t="str" cm="1">
        <f t="array" ref="D15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8" s="5" t="str" cm="1">
        <f t="array" ref="E15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8" s="5" t="str" cm="1">
        <f t="array" ref="F15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8" t="str" cm="1">
        <f t="array" ref="G15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8" s="4"/>
      <c r="I1588" s="3" t="str" cm="1">
        <f t="array" ref="I15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89" spans="1:9" x14ac:dyDescent="0.3">
      <c r="A1589" s="3" t="str">
        <f>IF(SISTEMA!A1583="","",SISTEMA!A1583)</f>
        <v/>
      </c>
      <c r="B1589" s="10" t="str">
        <f>IF(SISTEMA!B1583="","",VALUE(SISTEMA!B1583))</f>
        <v/>
      </c>
      <c r="C1589" s="10" t="str">
        <f>IF(SISTEMA!C1583="","",SISTEMA!C1583)</f>
        <v/>
      </c>
      <c r="D1589" s="5" t="str" cm="1">
        <f t="array" ref="D15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89" s="5" t="str" cm="1">
        <f t="array" ref="E15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89" s="5" t="str" cm="1">
        <f t="array" ref="F15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89" t="str" cm="1">
        <f t="array" ref="G15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89" s="4"/>
      <c r="I1589" s="3" t="str" cm="1">
        <f t="array" ref="I15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0" spans="1:9" x14ac:dyDescent="0.3">
      <c r="A1590" s="3" t="str">
        <f>IF(SISTEMA!A1584="","",SISTEMA!A1584)</f>
        <v/>
      </c>
      <c r="B1590" s="10" t="str">
        <f>IF(SISTEMA!B1584="","",VALUE(SISTEMA!B1584))</f>
        <v/>
      </c>
      <c r="C1590" s="10" t="str">
        <f>IF(SISTEMA!C1584="","",SISTEMA!C1584)</f>
        <v/>
      </c>
      <c r="D1590" s="5" t="str" cm="1">
        <f t="array" ref="D15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0" s="5" t="str" cm="1">
        <f t="array" ref="E15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0" s="5" t="str" cm="1">
        <f t="array" ref="F15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0" t="str" cm="1">
        <f t="array" ref="G15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0" s="4"/>
      <c r="I1590" s="3" t="str" cm="1">
        <f t="array" ref="I15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1" spans="1:9" x14ac:dyDescent="0.3">
      <c r="A1591" s="3" t="str">
        <f>IF(SISTEMA!A1585="","",SISTEMA!A1585)</f>
        <v/>
      </c>
      <c r="B1591" s="10" t="str">
        <f>IF(SISTEMA!B1585="","",VALUE(SISTEMA!B1585))</f>
        <v/>
      </c>
      <c r="C1591" s="10" t="str">
        <f>IF(SISTEMA!C1585="","",SISTEMA!C1585)</f>
        <v/>
      </c>
      <c r="D1591" s="5" t="str" cm="1">
        <f t="array" ref="D15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1" s="5" t="str" cm="1">
        <f t="array" ref="E15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1" s="5" t="str" cm="1">
        <f t="array" ref="F15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1" t="str" cm="1">
        <f t="array" ref="G15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1" s="4"/>
      <c r="I1591" s="3" t="str" cm="1">
        <f t="array" ref="I15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2" spans="1:9" x14ac:dyDescent="0.3">
      <c r="A1592" s="3" t="str">
        <f>IF(SISTEMA!A1586="","",SISTEMA!A1586)</f>
        <v/>
      </c>
      <c r="B1592" s="10" t="str">
        <f>IF(SISTEMA!B1586="","",VALUE(SISTEMA!B1586))</f>
        <v/>
      </c>
      <c r="C1592" s="10" t="str">
        <f>IF(SISTEMA!C1586="","",SISTEMA!C1586)</f>
        <v/>
      </c>
      <c r="D1592" s="5" t="str" cm="1">
        <f t="array" ref="D15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2" s="5" t="str" cm="1">
        <f t="array" ref="E15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2" s="5" t="str" cm="1">
        <f t="array" ref="F15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2" t="str" cm="1">
        <f t="array" ref="G15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2" s="4"/>
      <c r="I1592" s="3" t="str" cm="1">
        <f t="array" ref="I15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3" spans="1:9" x14ac:dyDescent="0.3">
      <c r="A1593" s="3" t="str">
        <f>IF(SISTEMA!A1587="","",SISTEMA!A1587)</f>
        <v/>
      </c>
      <c r="B1593" s="10" t="str">
        <f>IF(SISTEMA!B1587="","",VALUE(SISTEMA!B1587))</f>
        <v/>
      </c>
      <c r="C1593" s="10" t="str">
        <f>IF(SISTEMA!C1587="","",SISTEMA!C1587)</f>
        <v/>
      </c>
      <c r="D1593" s="5" t="str" cm="1">
        <f t="array" ref="D15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3" s="5" t="str" cm="1">
        <f t="array" ref="E15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3" s="5" t="str" cm="1">
        <f t="array" ref="F15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3" t="str" cm="1">
        <f t="array" ref="G15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3" s="4"/>
      <c r="I1593" s="3" t="str" cm="1">
        <f t="array" ref="I15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4" spans="1:9" x14ac:dyDescent="0.3">
      <c r="A1594" s="3" t="str">
        <f>IF(SISTEMA!A1588="","",SISTEMA!A1588)</f>
        <v/>
      </c>
      <c r="B1594" s="10" t="str">
        <f>IF(SISTEMA!B1588="","",VALUE(SISTEMA!B1588))</f>
        <v/>
      </c>
      <c r="C1594" s="10" t="str">
        <f>IF(SISTEMA!C1588="","",SISTEMA!C1588)</f>
        <v/>
      </c>
      <c r="D1594" s="5" t="str" cm="1">
        <f t="array" ref="D15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4" s="5" t="str" cm="1">
        <f t="array" ref="E15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4" s="5" t="str" cm="1">
        <f t="array" ref="F15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4" t="str" cm="1">
        <f t="array" ref="G15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4" s="4"/>
      <c r="I1594" s="3" t="str" cm="1">
        <f t="array" ref="I15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5" spans="1:9" x14ac:dyDescent="0.3">
      <c r="A1595" s="3" t="str">
        <f>IF(SISTEMA!A1589="","",SISTEMA!A1589)</f>
        <v/>
      </c>
      <c r="B1595" s="10" t="str">
        <f>IF(SISTEMA!B1589="","",VALUE(SISTEMA!B1589))</f>
        <v/>
      </c>
      <c r="C1595" s="10" t="str">
        <f>IF(SISTEMA!C1589="","",SISTEMA!C1589)</f>
        <v/>
      </c>
      <c r="D1595" s="5" t="str" cm="1">
        <f t="array" ref="D15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5" s="5" t="str" cm="1">
        <f t="array" ref="E15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5" s="5" t="str" cm="1">
        <f t="array" ref="F15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5" t="str" cm="1">
        <f t="array" ref="G15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5" s="4"/>
      <c r="I1595" s="3" t="str" cm="1">
        <f t="array" ref="I15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6" spans="1:9" x14ac:dyDescent="0.3">
      <c r="A1596" s="3" t="str">
        <f>IF(SISTEMA!A1590="","",SISTEMA!A1590)</f>
        <v/>
      </c>
      <c r="B1596" s="10" t="str">
        <f>IF(SISTEMA!B1590="","",VALUE(SISTEMA!B1590))</f>
        <v/>
      </c>
      <c r="C1596" s="10" t="str">
        <f>IF(SISTEMA!C1590="","",SISTEMA!C1590)</f>
        <v/>
      </c>
      <c r="D1596" s="5" t="str" cm="1">
        <f t="array" ref="D15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6" s="5" t="str" cm="1">
        <f t="array" ref="E15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6" s="5" t="str" cm="1">
        <f t="array" ref="F15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6" t="str" cm="1">
        <f t="array" ref="G15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6" s="4"/>
      <c r="I1596" s="3" t="str" cm="1">
        <f t="array" ref="I15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7" spans="1:9" x14ac:dyDescent="0.3">
      <c r="A1597" s="3" t="str">
        <f>IF(SISTEMA!A1591="","",SISTEMA!A1591)</f>
        <v/>
      </c>
      <c r="B1597" s="10" t="str">
        <f>IF(SISTEMA!B1591="","",VALUE(SISTEMA!B1591))</f>
        <v/>
      </c>
      <c r="C1597" s="10" t="str">
        <f>IF(SISTEMA!C1591="","",SISTEMA!C1591)</f>
        <v/>
      </c>
      <c r="D1597" s="5" t="str" cm="1">
        <f t="array" ref="D15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7" s="5" t="str" cm="1">
        <f t="array" ref="E15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7" s="5" t="str" cm="1">
        <f t="array" ref="F15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7" t="str" cm="1">
        <f t="array" ref="G15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7" s="4"/>
      <c r="I1597" s="3" t="str" cm="1">
        <f t="array" ref="I15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8" spans="1:9" x14ac:dyDescent="0.3">
      <c r="A1598" s="3" t="str">
        <f>IF(SISTEMA!A1592="","",SISTEMA!A1592)</f>
        <v/>
      </c>
      <c r="B1598" s="10" t="str">
        <f>IF(SISTEMA!B1592="","",VALUE(SISTEMA!B1592))</f>
        <v/>
      </c>
      <c r="C1598" s="10" t="str">
        <f>IF(SISTEMA!C1592="","",SISTEMA!C1592)</f>
        <v/>
      </c>
      <c r="D1598" s="5" t="str" cm="1">
        <f t="array" ref="D15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8" s="5" t="str" cm="1">
        <f t="array" ref="E15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8" s="5" t="str" cm="1">
        <f t="array" ref="F15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8" t="str" cm="1">
        <f t="array" ref="G15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8" s="4"/>
      <c r="I1598" s="3" t="str" cm="1">
        <f t="array" ref="I15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599" spans="1:9" x14ac:dyDescent="0.3">
      <c r="A1599" s="3" t="str">
        <f>IF(SISTEMA!A1593="","",SISTEMA!A1593)</f>
        <v/>
      </c>
      <c r="B1599" s="10" t="str">
        <f>IF(SISTEMA!B1593="","",VALUE(SISTEMA!B1593))</f>
        <v/>
      </c>
      <c r="C1599" s="10" t="str">
        <f>IF(SISTEMA!C1593="","",SISTEMA!C1593)</f>
        <v/>
      </c>
      <c r="D1599" s="5" t="str" cm="1">
        <f t="array" ref="D15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599" s="5" t="str" cm="1">
        <f t="array" ref="E15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599" s="5" t="str" cm="1">
        <f t="array" ref="F15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599" t="str" cm="1">
        <f t="array" ref="G15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599" s="4"/>
      <c r="I1599" s="3" t="str" cm="1">
        <f t="array" ref="I15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0" spans="1:9" x14ac:dyDescent="0.3">
      <c r="A1600" s="3" t="str">
        <f>IF(SISTEMA!A1594="","",SISTEMA!A1594)</f>
        <v/>
      </c>
      <c r="B1600" s="10" t="str">
        <f>IF(SISTEMA!B1594="","",VALUE(SISTEMA!B1594))</f>
        <v/>
      </c>
      <c r="C1600" s="10" t="str">
        <f>IF(SISTEMA!C1594="","",SISTEMA!C1594)</f>
        <v/>
      </c>
      <c r="D1600" s="5" t="str" cm="1">
        <f t="array" ref="D16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0" s="5" t="str" cm="1">
        <f t="array" ref="E16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0" s="5" t="str" cm="1">
        <f t="array" ref="F16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0" t="str" cm="1">
        <f t="array" ref="G16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0" s="4"/>
      <c r="I1600" s="3" t="str" cm="1">
        <f t="array" ref="I16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1" spans="1:9" x14ac:dyDescent="0.3">
      <c r="A1601" s="3" t="str">
        <f>IF(SISTEMA!A1595="","",SISTEMA!A1595)</f>
        <v/>
      </c>
      <c r="B1601" s="10" t="str">
        <f>IF(SISTEMA!B1595="","",VALUE(SISTEMA!B1595))</f>
        <v/>
      </c>
      <c r="C1601" s="10" t="str">
        <f>IF(SISTEMA!C1595="","",SISTEMA!C1595)</f>
        <v/>
      </c>
      <c r="D1601" s="5" t="str" cm="1">
        <f t="array" ref="D16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1" s="5" t="str" cm="1">
        <f t="array" ref="E16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1" s="5" t="str" cm="1">
        <f t="array" ref="F16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1" t="str" cm="1">
        <f t="array" ref="G16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1" s="4"/>
      <c r="I1601" s="3" t="str" cm="1">
        <f t="array" ref="I16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2" spans="1:9" x14ac:dyDescent="0.3">
      <c r="A1602" s="3" t="str">
        <f>IF(SISTEMA!A1596="","",SISTEMA!A1596)</f>
        <v/>
      </c>
      <c r="B1602" s="10" t="str">
        <f>IF(SISTEMA!B1596="","",VALUE(SISTEMA!B1596))</f>
        <v/>
      </c>
      <c r="C1602" s="10" t="str">
        <f>IF(SISTEMA!C1596="","",SISTEMA!C1596)</f>
        <v/>
      </c>
      <c r="D1602" s="5" t="str" cm="1">
        <f t="array" ref="D16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2" s="5" t="str" cm="1">
        <f t="array" ref="E16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2" s="5" t="str" cm="1">
        <f t="array" ref="F16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2" t="str" cm="1">
        <f t="array" ref="G16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2" s="4"/>
      <c r="I1602" s="3" t="str" cm="1">
        <f t="array" ref="I16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3" spans="1:9" x14ac:dyDescent="0.3">
      <c r="A1603" s="3" t="str">
        <f>IF(SISTEMA!A1597="","",SISTEMA!A1597)</f>
        <v/>
      </c>
      <c r="B1603" s="10" t="str">
        <f>IF(SISTEMA!B1597="","",VALUE(SISTEMA!B1597))</f>
        <v/>
      </c>
      <c r="C1603" s="10" t="str">
        <f>IF(SISTEMA!C1597="","",SISTEMA!C1597)</f>
        <v/>
      </c>
      <c r="D1603" s="5" t="str" cm="1">
        <f t="array" ref="D16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3" s="5" t="str" cm="1">
        <f t="array" ref="E16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3" s="5" t="str" cm="1">
        <f t="array" ref="F16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3" t="str" cm="1">
        <f t="array" ref="G16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3" s="4"/>
      <c r="I1603" s="3" t="str" cm="1">
        <f t="array" ref="I16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4" spans="1:9" x14ac:dyDescent="0.3">
      <c r="A1604" s="3" t="str">
        <f>IF(SISTEMA!A1598="","",SISTEMA!A1598)</f>
        <v/>
      </c>
      <c r="B1604" s="10" t="str">
        <f>IF(SISTEMA!B1598="","",VALUE(SISTEMA!B1598))</f>
        <v/>
      </c>
      <c r="C1604" s="10" t="str">
        <f>IF(SISTEMA!C1598="","",SISTEMA!C1598)</f>
        <v/>
      </c>
      <c r="D1604" s="5" t="str" cm="1">
        <f t="array" ref="D16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4" s="5" t="str" cm="1">
        <f t="array" ref="E16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4" s="5" t="str" cm="1">
        <f t="array" ref="F16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4" t="str" cm="1">
        <f t="array" ref="G16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4" s="4"/>
      <c r="I1604" s="3" t="str" cm="1">
        <f t="array" ref="I16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5" spans="1:9" x14ac:dyDescent="0.3">
      <c r="A1605" s="3" t="str">
        <f>IF(SISTEMA!A1599="","",SISTEMA!A1599)</f>
        <v/>
      </c>
      <c r="B1605" s="10" t="str">
        <f>IF(SISTEMA!B1599="","",VALUE(SISTEMA!B1599))</f>
        <v/>
      </c>
      <c r="C1605" s="10" t="str">
        <f>IF(SISTEMA!C1599="","",SISTEMA!C1599)</f>
        <v/>
      </c>
      <c r="D1605" s="5" t="str" cm="1">
        <f t="array" ref="D16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5" s="5" t="str" cm="1">
        <f t="array" ref="E16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5" s="5" t="str" cm="1">
        <f t="array" ref="F16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5" t="str" cm="1">
        <f t="array" ref="G16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5" s="4"/>
      <c r="I1605" s="3" t="str" cm="1">
        <f t="array" ref="I16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6" spans="1:9" x14ac:dyDescent="0.3">
      <c r="A1606" s="3" t="str">
        <f>IF(SISTEMA!A1600="","",SISTEMA!A1600)</f>
        <v/>
      </c>
      <c r="B1606" s="10" t="str">
        <f>IF(SISTEMA!B1600="","",VALUE(SISTEMA!B1600))</f>
        <v/>
      </c>
      <c r="C1606" s="10" t="str">
        <f>IF(SISTEMA!C1600="","",SISTEMA!C1600)</f>
        <v/>
      </c>
      <c r="D1606" s="5" t="str" cm="1">
        <f t="array" ref="D16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6" s="5" t="str" cm="1">
        <f t="array" ref="E16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6" s="5" t="str" cm="1">
        <f t="array" ref="F16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6" t="str" cm="1">
        <f t="array" ref="G16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6" s="4"/>
      <c r="I1606" s="3" t="str" cm="1">
        <f t="array" ref="I16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7" spans="1:9" x14ac:dyDescent="0.3">
      <c r="A1607" s="3" t="str">
        <f>IF(SISTEMA!A1601="","",SISTEMA!A1601)</f>
        <v/>
      </c>
      <c r="B1607" s="10" t="str">
        <f>IF(SISTEMA!B1601="","",VALUE(SISTEMA!B1601))</f>
        <v/>
      </c>
      <c r="C1607" s="10" t="str">
        <f>IF(SISTEMA!C1601="","",SISTEMA!C1601)</f>
        <v/>
      </c>
      <c r="D1607" s="5" t="str" cm="1">
        <f t="array" ref="D16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7" s="5" t="str" cm="1">
        <f t="array" ref="E16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7" s="5" t="str" cm="1">
        <f t="array" ref="F16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7" t="str" cm="1">
        <f t="array" ref="G16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7" s="4"/>
      <c r="I1607" s="3" t="str" cm="1">
        <f t="array" ref="I16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8" spans="1:9" x14ac:dyDescent="0.3">
      <c r="A1608" s="3" t="str">
        <f>IF(SISTEMA!A1602="","",SISTEMA!A1602)</f>
        <v/>
      </c>
      <c r="B1608" s="10" t="str">
        <f>IF(SISTEMA!B1602="","",VALUE(SISTEMA!B1602))</f>
        <v/>
      </c>
      <c r="C1608" s="10" t="str">
        <f>IF(SISTEMA!C1602="","",SISTEMA!C1602)</f>
        <v/>
      </c>
      <c r="D1608" s="5" t="str" cm="1">
        <f t="array" ref="D16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8" s="5" t="str" cm="1">
        <f t="array" ref="E16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8" s="5" t="str" cm="1">
        <f t="array" ref="F16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8" t="str" cm="1">
        <f t="array" ref="G16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8" s="4"/>
      <c r="I1608" s="3" t="str" cm="1">
        <f t="array" ref="I16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09" spans="1:9" x14ac:dyDescent="0.3">
      <c r="A1609" s="3" t="str">
        <f>IF(SISTEMA!A1603="","",SISTEMA!A1603)</f>
        <v/>
      </c>
      <c r="B1609" s="10" t="str">
        <f>IF(SISTEMA!B1603="","",VALUE(SISTEMA!B1603))</f>
        <v/>
      </c>
      <c r="C1609" s="10" t="str">
        <f>IF(SISTEMA!C1603="","",SISTEMA!C1603)</f>
        <v/>
      </c>
      <c r="D1609" s="5" t="str" cm="1">
        <f t="array" ref="D16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09" s="5" t="str" cm="1">
        <f t="array" ref="E16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09" s="5" t="str" cm="1">
        <f t="array" ref="F16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09" t="str" cm="1">
        <f t="array" ref="G16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09" s="4"/>
      <c r="I1609" s="3" t="str" cm="1">
        <f t="array" ref="I16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0" spans="1:9" x14ac:dyDescent="0.3">
      <c r="A1610" s="3" t="str">
        <f>IF(SISTEMA!A1604="","",SISTEMA!A1604)</f>
        <v/>
      </c>
      <c r="B1610" s="10" t="str">
        <f>IF(SISTEMA!B1604="","",VALUE(SISTEMA!B1604))</f>
        <v/>
      </c>
      <c r="C1610" s="10" t="str">
        <f>IF(SISTEMA!C1604="","",SISTEMA!C1604)</f>
        <v/>
      </c>
      <c r="D1610" s="5" t="str" cm="1">
        <f t="array" ref="D16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0" s="5" t="str" cm="1">
        <f t="array" ref="E16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0" s="5" t="str" cm="1">
        <f t="array" ref="F16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0" t="str" cm="1">
        <f t="array" ref="G16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0" s="4"/>
      <c r="I1610" s="3" t="str" cm="1">
        <f t="array" ref="I16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1" spans="1:9" x14ac:dyDescent="0.3">
      <c r="A1611" s="3" t="str">
        <f>IF(SISTEMA!A1605="","",SISTEMA!A1605)</f>
        <v/>
      </c>
      <c r="B1611" s="10" t="str">
        <f>IF(SISTEMA!B1605="","",VALUE(SISTEMA!B1605))</f>
        <v/>
      </c>
      <c r="C1611" s="10" t="str">
        <f>IF(SISTEMA!C1605="","",SISTEMA!C1605)</f>
        <v/>
      </c>
      <c r="D1611" s="5" t="str" cm="1">
        <f t="array" ref="D16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1" s="5" t="str" cm="1">
        <f t="array" ref="E16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1" s="5" t="str" cm="1">
        <f t="array" ref="F16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1" t="str" cm="1">
        <f t="array" ref="G16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1" s="4"/>
      <c r="I1611" s="3" t="str" cm="1">
        <f t="array" ref="I16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2" spans="1:9" x14ac:dyDescent="0.3">
      <c r="A1612" s="3" t="str">
        <f>IF(SISTEMA!A1606="","",SISTEMA!A1606)</f>
        <v/>
      </c>
      <c r="B1612" s="10" t="str">
        <f>IF(SISTEMA!B1606="","",VALUE(SISTEMA!B1606))</f>
        <v/>
      </c>
      <c r="C1612" s="10" t="str">
        <f>IF(SISTEMA!C1606="","",SISTEMA!C1606)</f>
        <v/>
      </c>
      <c r="D1612" s="5" t="str" cm="1">
        <f t="array" ref="D16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2" s="5" t="str" cm="1">
        <f t="array" ref="E16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2" s="5" t="str" cm="1">
        <f t="array" ref="F16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2" t="str" cm="1">
        <f t="array" ref="G16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2" s="4"/>
      <c r="I1612" s="3" t="str" cm="1">
        <f t="array" ref="I16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3" spans="1:9" x14ac:dyDescent="0.3">
      <c r="A1613" s="3" t="str">
        <f>IF(SISTEMA!A1607="","",SISTEMA!A1607)</f>
        <v/>
      </c>
      <c r="B1613" s="10" t="str">
        <f>IF(SISTEMA!B1607="","",VALUE(SISTEMA!B1607))</f>
        <v/>
      </c>
      <c r="C1613" s="10" t="str">
        <f>IF(SISTEMA!C1607="","",SISTEMA!C1607)</f>
        <v/>
      </c>
      <c r="D1613" s="5" t="str" cm="1">
        <f t="array" ref="D16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3" s="5" t="str" cm="1">
        <f t="array" ref="E16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3" s="5" t="str" cm="1">
        <f t="array" ref="F16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3" t="str" cm="1">
        <f t="array" ref="G16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3" s="4"/>
      <c r="I1613" s="3" t="str" cm="1">
        <f t="array" ref="I16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4" spans="1:9" x14ac:dyDescent="0.3">
      <c r="A1614" s="3" t="str">
        <f>IF(SISTEMA!A1608="","",SISTEMA!A1608)</f>
        <v/>
      </c>
      <c r="B1614" s="10" t="str">
        <f>IF(SISTEMA!B1608="","",VALUE(SISTEMA!B1608))</f>
        <v/>
      </c>
      <c r="C1614" s="10" t="str">
        <f>IF(SISTEMA!C1608="","",SISTEMA!C1608)</f>
        <v/>
      </c>
      <c r="D1614" s="5" t="str" cm="1">
        <f t="array" ref="D16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4" s="5" t="str" cm="1">
        <f t="array" ref="E16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4" s="5" t="str" cm="1">
        <f t="array" ref="F16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4" t="str" cm="1">
        <f t="array" ref="G16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4" s="4"/>
      <c r="I1614" s="3" t="str" cm="1">
        <f t="array" ref="I16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5" spans="1:9" x14ac:dyDescent="0.3">
      <c r="A1615" s="3" t="str">
        <f>IF(SISTEMA!A1609="","",SISTEMA!A1609)</f>
        <v/>
      </c>
      <c r="B1615" s="10" t="str">
        <f>IF(SISTEMA!B1609="","",VALUE(SISTEMA!B1609))</f>
        <v/>
      </c>
      <c r="C1615" s="10" t="str">
        <f>IF(SISTEMA!C1609="","",SISTEMA!C1609)</f>
        <v/>
      </c>
      <c r="D1615" s="5" t="str" cm="1">
        <f t="array" ref="D16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5" s="5" t="str" cm="1">
        <f t="array" ref="E16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5" s="5" t="str" cm="1">
        <f t="array" ref="F16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5" t="str" cm="1">
        <f t="array" ref="G16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5" s="4"/>
      <c r="I1615" s="3" t="str" cm="1">
        <f t="array" ref="I16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6" spans="1:9" x14ac:dyDescent="0.3">
      <c r="A1616" s="3" t="str">
        <f>IF(SISTEMA!A1610="","",SISTEMA!A1610)</f>
        <v/>
      </c>
      <c r="B1616" s="10" t="str">
        <f>IF(SISTEMA!B1610="","",VALUE(SISTEMA!B1610))</f>
        <v/>
      </c>
      <c r="C1616" s="10" t="str">
        <f>IF(SISTEMA!C1610="","",SISTEMA!C1610)</f>
        <v/>
      </c>
      <c r="D1616" s="5" t="str" cm="1">
        <f t="array" ref="D16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6" s="5" t="str" cm="1">
        <f t="array" ref="E16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6" s="5" t="str" cm="1">
        <f t="array" ref="F16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6" t="str" cm="1">
        <f t="array" ref="G16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6" s="4"/>
      <c r="I1616" s="3" t="str" cm="1">
        <f t="array" ref="I16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7" spans="1:9" x14ac:dyDescent="0.3">
      <c r="A1617" s="3" t="str">
        <f>IF(SISTEMA!A1611="","",SISTEMA!A1611)</f>
        <v/>
      </c>
      <c r="B1617" s="10" t="str">
        <f>IF(SISTEMA!B1611="","",VALUE(SISTEMA!B1611))</f>
        <v/>
      </c>
      <c r="C1617" s="10" t="str">
        <f>IF(SISTEMA!C1611="","",SISTEMA!C1611)</f>
        <v/>
      </c>
      <c r="D1617" s="5" t="str" cm="1">
        <f t="array" ref="D16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7" s="5" t="str" cm="1">
        <f t="array" ref="E16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7" s="5" t="str" cm="1">
        <f t="array" ref="F16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7" t="str" cm="1">
        <f t="array" ref="G16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7" s="4"/>
      <c r="I1617" s="3" t="str" cm="1">
        <f t="array" ref="I16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8" spans="1:9" x14ac:dyDescent="0.3">
      <c r="A1618" s="3" t="str">
        <f>IF(SISTEMA!A1612="","",SISTEMA!A1612)</f>
        <v/>
      </c>
      <c r="B1618" s="10" t="str">
        <f>IF(SISTEMA!B1612="","",VALUE(SISTEMA!B1612))</f>
        <v/>
      </c>
      <c r="C1618" s="10" t="str">
        <f>IF(SISTEMA!C1612="","",SISTEMA!C1612)</f>
        <v/>
      </c>
      <c r="D1618" s="5" t="str" cm="1">
        <f t="array" ref="D16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8" s="5" t="str" cm="1">
        <f t="array" ref="E16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8" s="5" t="str" cm="1">
        <f t="array" ref="F16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8" t="str" cm="1">
        <f t="array" ref="G16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8" s="4"/>
      <c r="I1618" s="3" t="str" cm="1">
        <f t="array" ref="I16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19" spans="1:9" x14ac:dyDescent="0.3">
      <c r="A1619" s="3" t="str">
        <f>IF(SISTEMA!A1613="","",SISTEMA!A1613)</f>
        <v/>
      </c>
      <c r="B1619" s="10" t="str">
        <f>IF(SISTEMA!B1613="","",VALUE(SISTEMA!B1613))</f>
        <v/>
      </c>
      <c r="C1619" s="10" t="str">
        <f>IF(SISTEMA!C1613="","",SISTEMA!C1613)</f>
        <v/>
      </c>
      <c r="D1619" s="5" t="str" cm="1">
        <f t="array" ref="D16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19" s="5" t="str" cm="1">
        <f t="array" ref="E16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19" s="5" t="str" cm="1">
        <f t="array" ref="F16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19" t="str" cm="1">
        <f t="array" ref="G16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19" s="4"/>
      <c r="I1619" s="3" t="str" cm="1">
        <f t="array" ref="I16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0" spans="1:9" x14ac:dyDescent="0.3">
      <c r="A1620" s="3" t="str">
        <f>IF(SISTEMA!A1614="","",SISTEMA!A1614)</f>
        <v/>
      </c>
      <c r="B1620" s="10" t="str">
        <f>IF(SISTEMA!B1614="","",VALUE(SISTEMA!B1614))</f>
        <v/>
      </c>
      <c r="C1620" s="10" t="str">
        <f>IF(SISTEMA!C1614="","",SISTEMA!C1614)</f>
        <v/>
      </c>
      <c r="D1620" s="5" t="str" cm="1">
        <f t="array" ref="D16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0" s="5" t="str" cm="1">
        <f t="array" ref="E16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0" s="5" t="str" cm="1">
        <f t="array" ref="F16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0" t="str" cm="1">
        <f t="array" ref="G16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0" s="4"/>
      <c r="I1620" s="3" t="str" cm="1">
        <f t="array" ref="I16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1" spans="1:9" x14ac:dyDescent="0.3">
      <c r="A1621" s="3" t="str">
        <f>IF(SISTEMA!A1615="","",SISTEMA!A1615)</f>
        <v/>
      </c>
      <c r="B1621" s="10" t="str">
        <f>IF(SISTEMA!B1615="","",VALUE(SISTEMA!B1615))</f>
        <v/>
      </c>
      <c r="C1621" s="10" t="str">
        <f>IF(SISTEMA!C1615="","",SISTEMA!C1615)</f>
        <v/>
      </c>
      <c r="D1621" s="5" t="str" cm="1">
        <f t="array" ref="D16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1" s="5" t="str" cm="1">
        <f t="array" ref="E16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1" s="5" t="str" cm="1">
        <f t="array" ref="F16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1" t="str" cm="1">
        <f t="array" ref="G16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1" s="4"/>
      <c r="I1621" s="3" t="str" cm="1">
        <f t="array" ref="I16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2" spans="1:9" x14ac:dyDescent="0.3">
      <c r="A1622" s="3" t="str">
        <f>IF(SISTEMA!A1616="","",SISTEMA!A1616)</f>
        <v/>
      </c>
      <c r="B1622" s="10" t="str">
        <f>IF(SISTEMA!B1616="","",VALUE(SISTEMA!B1616))</f>
        <v/>
      </c>
      <c r="C1622" s="10" t="str">
        <f>IF(SISTEMA!C1616="","",SISTEMA!C1616)</f>
        <v/>
      </c>
      <c r="D1622" s="5" t="str" cm="1">
        <f t="array" ref="D16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2" s="5" t="str" cm="1">
        <f t="array" ref="E16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2" s="5" t="str" cm="1">
        <f t="array" ref="F16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2" t="str" cm="1">
        <f t="array" ref="G16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2" s="4"/>
      <c r="I1622" s="3" t="str" cm="1">
        <f t="array" ref="I16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3" spans="1:9" x14ac:dyDescent="0.3">
      <c r="A1623" s="3" t="str">
        <f>IF(SISTEMA!A1617="","",SISTEMA!A1617)</f>
        <v/>
      </c>
      <c r="B1623" s="10" t="str">
        <f>IF(SISTEMA!B1617="","",VALUE(SISTEMA!B1617))</f>
        <v/>
      </c>
      <c r="C1623" s="10" t="str">
        <f>IF(SISTEMA!C1617="","",SISTEMA!C1617)</f>
        <v/>
      </c>
      <c r="D1623" s="5" t="str" cm="1">
        <f t="array" ref="D16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3" s="5" t="str" cm="1">
        <f t="array" ref="E16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3" s="5" t="str" cm="1">
        <f t="array" ref="F16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3" t="str" cm="1">
        <f t="array" ref="G16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3" s="4"/>
      <c r="I1623" s="3" t="str" cm="1">
        <f t="array" ref="I16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4" spans="1:9" x14ac:dyDescent="0.3">
      <c r="A1624" s="3" t="str">
        <f>IF(SISTEMA!A1618="","",SISTEMA!A1618)</f>
        <v/>
      </c>
      <c r="B1624" s="10" t="str">
        <f>IF(SISTEMA!B1618="","",VALUE(SISTEMA!B1618))</f>
        <v/>
      </c>
      <c r="C1624" s="10" t="str">
        <f>IF(SISTEMA!C1618="","",SISTEMA!C1618)</f>
        <v/>
      </c>
      <c r="D1624" s="5" t="str" cm="1">
        <f t="array" ref="D16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4" s="5" t="str" cm="1">
        <f t="array" ref="E16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4" s="5" t="str" cm="1">
        <f t="array" ref="F16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4" t="str" cm="1">
        <f t="array" ref="G16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4" s="4"/>
      <c r="I1624" s="3" t="str" cm="1">
        <f t="array" ref="I16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5" spans="1:9" x14ac:dyDescent="0.3">
      <c r="A1625" s="3" t="str">
        <f>IF(SISTEMA!A1619="","",SISTEMA!A1619)</f>
        <v/>
      </c>
      <c r="B1625" s="10" t="str">
        <f>IF(SISTEMA!B1619="","",VALUE(SISTEMA!B1619))</f>
        <v/>
      </c>
      <c r="C1625" s="10" t="str">
        <f>IF(SISTEMA!C1619="","",SISTEMA!C1619)</f>
        <v/>
      </c>
      <c r="D1625" s="5" t="str" cm="1">
        <f t="array" ref="D16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5" s="5" t="str" cm="1">
        <f t="array" ref="E16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5" s="5" t="str" cm="1">
        <f t="array" ref="F16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5" t="str" cm="1">
        <f t="array" ref="G16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5" s="4"/>
      <c r="I1625" s="3" t="str" cm="1">
        <f t="array" ref="I16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6" spans="1:9" x14ac:dyDescent="0.3">
      <c r="A1626" s="3" t="str">
        <f>IF(SISTEMA!A1620="","",SISTEMA!A1620)</f>
        <v/>
      </c>
      <c r="B1626" s="10" t="str">
        <f>IF(SISTEMA!B1620="","",VALUE(SISTEMA!B1620))</f>
        <v/>
      </c>
      <c r="C1626" s="10" t="str">
        <f>IF(SISTEMA!C1620="","",SISTEMA!C1620)</f>
        <v/>
      </c>
      <c r="D1626" s="5" t="str" cm="1">
        <f t="array" ref="D16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6" s="5" t="str" cm="1">
        <f t="array" ref="E16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6" s="5" t="str" cm="1">
        <f t="array" ref="F16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6" t="str" cm="1">
        <f t="array" ref="G16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6" s="4"/>
      <c r="I1626" s="3" t="str" cm="1">
        <f t="array" ref="I16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7" spans="1:9" x14ac:dyDescent="0.3">
      <c r="A1627" s="3" t="str">
        <f>IF(SISTEMA!A1621="","",SISTEMA!A1621)</f>
        <v/>
      </c>
      <c r="B1627" s="10" t="str">
        <f>IF(SISTEMA!B1621="","",VALUE(SISTEMA!B1621))</f>
        <v/>
      </c>
      <c r="C1627" s="10" t="str">
        <f>IF(SISTEMA!C1621="","",SISTEMA!C1621)</f>
        <v/>
      </c>
      <c r="D1627" s="5" t="str" cm="1">
        <f t="array" ref="D16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7" s="5" t="str" cm="1">
        <f t="array" ref="E16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7" s="5" t="str" cm="1">
        <f t="array" ref="F16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7" t="str" cm="1">
        <f t="array" ref="G16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7" s="4"/>
      <c r="I1627" s="3" t="str" cm="1">
        <f t="array" ref="I16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8" spans="1:9" x14ac:dyDescent="0.3">
      <c r="A1628" s="3" t="str">
        <f>IF(SISTEMA!A1622="","",SISTEMA!A1622)</f>
        <v/>
      </c>
      <c r="B1628" s="10" t="str">
        <f>IF(SISTEMA!B1622="","",VALUE(SISTEMA!B1622))</f>
        <v/>
      </c>
      <c r="C1628" s="10" t="str">
        <f>IF(SISTEMA!C1622="","",SISTEMA!C1622)</f>
        <v/>
      </c>
      <c r="D1628" s="5" t="str" cm="1">
        <f t="array" ref="D16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8" s="5" t="str" cm="1">
        <f t="array" ref="E16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8" s="5" t="str" cm="1">
        <f t="array" ref="F16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8" t="str" cm="1">
        <f t="array" ref="G16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8" s="4"/>
      <c r="I1628" s="3" t="str" cm="1">
        <f t="array" ref="I16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29" spans="1:9" x14ac:dyDescent="0.3">
      <c r="A1629" s="3" t="str">
        <f>IF(SISTEMA!A1623="","",SISTEMA!A1623)</f>
        <v/>
      </c>
      <c r="B1629" s="10" t="str">
        <f>IF(SISTEMA!B1623="","",VALUE(SISTEMA!B1623))</f>
        <v/>
      </c>
      <c r="C1629" s="10" t="str">
        <f>IF(SISTEMA!C1623="","",SISTEMA!C1623)</f>
        <v/>
      </c>
      <c r="D1629" s="5" t="str" cm="1">
        <f t="array" ref="D16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29" s="5" t="str" cm="1">
        <f t="array" ref="E16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29" s="5" t="str" cm="1">
        <f t="array" ref="F16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29" t="str" cm="1">
        <f t="array" ref="G16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29" s="4"/>
      <c r="I1629" s="3" t="str" cm="1">
        <f t="array" ref="I16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0" spans="1:9" x14ac:dyDescent="0.3">
      <c r="A1630" s="3" t="str">
        <f>IF(SISTEMA!A1624="","",SISTEMA!A1624)</f>
        <v/>
      </c>
      <c r="B1630" s="10" t="str">
        <f>IF(SISTEMA!B1624="","",VALUE(SISTEMA!B1624))</f>
        <v/>
      </c>
      <c r="C1630" s="10" t="str">
        <f>IF(SISTEMA!C1624="","",SISTEMA!C1624)</f>
        <v/>
      </c>
      <c r="D1630" s="5" t="str" cm="1">
        <f t="array" ref="D16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0" s="5" t="str" cm="1">
        <f t="array" ref="E16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0" s="5" t="str" cm="1">
        <f t="array" ref="F16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0" t="str" cm="1">
        <f t="array" ref="G16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0" s="4"/>
      <c r="I1630" s="3" t="str" cm="1">
        <f t="array" ref="I16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1" spans="1:9" x14ac:dyDescent="0.3">
      <c r="A1631" s="3" t="str">
        <f>IF(SISTEMA!A1625="","",SISTEMA!A1625)</f>
        <v/>
      </c>
      <c r="B1631" s="10" t="str">
        <f>IF(SISTEMA!B1625="","",VALUE(SISTEMA!B1625))</f>
        <v/>
      </c>
      <c r="C1631" s="10" t="str">
        <f>IF(SISTEMA!C1625="","",SISTEMA!C1625)</f>
        <v/>
      </c>
      <c r="D1631" s="5" t="str" cm="1">
        <f t="array" ref="D16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1" s="5" t="str" cm="1">
        <f t="array" ref="E16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1" s="5" t="str" cm="1">
        <f t="array" ref="F16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1" t="str" cm="1">
        <f t="array" ref="G16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1" s="4"/>
      <c r="I1631" s="3" t="str" cm="1">
        <f t="array" ref="I16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2" spans="1:9" x14ac:dyDescent="0.3">
      <c r="A1632" s="3" t="str">
        <f>IF(SISTEMA!A1626="","",SISTEMA!A1626)</f>
        <v/>
      </c>
      <c r="B1632" s="10" t="str">
        <f>IF(SISTEMA!B1626="","",VALUE(SISTEMA!B1626))</f>
        <v/>
      </c>
      <c r="C1632" s="10" t="str">
        <f>IF(SISTEMA!C1626="","",SISTEMA!C1626)</f>
        <v/>
      </c>
      <c r="D1632" s="5" t="str" cm="1">
        <f t="array" ref="D16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2" s="5" t="str" cm="1">
        <f t="array" ref="E16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2" s="5" t="str" cm="1">
        <f t="array" ref="F16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2" t="str" cm="1">
        <f t="array" ref="G16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2" s="4"/>
      <c r="I1632" s="3" t="str" cm="1">
        <f t="array" ref="I16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3" spans="1:9" x14ac:dyDescent="0.3">
      <c r="A1633" s="3" t="str">
        <f>IF(SISTEMA!A1627="","",SISTEMA!A1627)</f>
        <v/>
      </c>
      <c r="B1633" s="10" t="str">
        <f>IF(SISTEMA!B1627="","",VALUE(SISTEMA!B1627))</f>
        <v/>
      </c>
      <c r="C1633" s="10" t="str">
        <f>IF(SISTEMA!C1627="","",SISTEMA!C1627)</f>
        <v/>
      </c>
      <c r="D1633" s="5" t="str" cm="1">
        <f t="array" ref="D16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3" s="5" t="str" cm="1">
        <f t="array" ref="E16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3" s="5" t="str" cm="1">
        <f t="array" ref="F16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3" t="str" cm="1">
        <f t="array" ref="G16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3" s="4"/>
      <c r="I1633" s="3" t="str" cm="1">
        <f t="array" ref="I16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4" spans="1:9" x14ac:dyDescent="0.3">
      <c r="A1634" s="3" t="str">
        <f>IF(SISTEMA!A1628="","",SISTEMA!A1628)</f>
        <v/>
      </c>
      <c r="B1634" s="10" t="str">
        <f>IF(SISTEMA!B1628="","",VALUE(SISTEMA!B1628))</f>
        <v/>
      </c>
      <c r="C1634" s="10" t="str">
        <f>IF(SISTEMA!C1628="","",SISTEMA!C1628)</f>
        <v/>
      </c>
      <c r="D1634" s="5" t="str" cm="1">
        <f t="array" ref="D16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4" s="5" t="str" cm="1">
        <f t="array" ref="E16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4" s="5" t="str" cm="1">
        <f t="array" ref="F16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4" t="str" cm="1">
        <f t="array" ref="G16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4" s="4"/>
      <c r="I1634" s="3" t="str" cm="1">
        <f t="array" ref="I16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5" spans="1:9" x14ac:dyDescent="0.3">
      <c r="A1635" s="3" t="str">
        <f>IF(SISTEMA!A1629="","",SISTEMA!A1629)</f>
        <v/>
      </c>
      <c r="B1635" s="10" t="str">
        <f>IF(SISTEMA!B1629="","",VALUE(SISTEMA!B1629))</f>
        <v/>
      </c>
      <c r="C1635" s="10" t="str">
        <f>IF(SISTEMA!C1629="","",SISTEMA!C1629)</f>
        <v/>
      </c>
      <c r="D1635" s="5" t="str" cm="1">
        <f t="array" ref="D16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5" s="5" t="str" cm="1">
        <f t="array" ref="E16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5" s="5" t="str" cm="1">
        <f t="array" ref="F16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5" t="str" cm="1">
        <f t="array" ref="G16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5" s="4"/>
      <c r="I1635" s="3" t="str" cm="1">
        <f t="array" ref="I16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6" spans="1:9" x14ac:dyDescent="0.3">
      <c r="A1636" s="3" t="str">
        <f>IF(SISTEMA!A1630="","",SISTEMA!A1630)</f>
        <v/>
      </c>
      <c r="B1636" s="10" t="str">
        <f>IF(SISTEMA!B1630="","",VALUE(SISTEMA!B1630))</f>
        <v/>
      </c>
      <c r="C1636" s="10" t="str">
        <f>IF(SISTEMA!C1630="","",SISTEMA!C1630)</f>
        <v/>
      </c>
      <c r="D1636" s="5" t="str" cm="1">
        <f t="array" ref="D16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6" s="5" t="str" cm="1">
        <f t="array" ref="E16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6" s="5" t="str" cm="1">
        <f t="array" ref="F16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6" t="str" cm="1">
        <f t="array" ref="G16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6" s="4"/>
      <c r="I1636" s="3" t="str" cm="1">
        <f t="array" ref="I16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7" spans="1:9" x14ac:dyDescent="0.3">
      <c r="A1637" s="3" t="str">
        <f>IF(SISTEMA!A1631="","",SISTEMA!A1631)</f>
        <v/>
      </c>
      <c r="B1637" s="10" t="str">
        <f>IF(SISTEMA!B1631="","",VALUE(SISTEMA!B1631))</f>
        <v/>
      </c>
      <c r="C1637" s="10" t="str">
        <f>IF(SISTEMA!C1631="","",SISTEMA!C1631)</f>
        <v/>
      </c>
      <c r="D1637" s="5" t="str" cm="1">
        <f t="array" ref="D16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7" s="5" t="str" cm="1">
        <f t="array" ref="E16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7" s="5" t="str" cm="1">
        <f t="array" ref="F16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7" t="str" cm="1">
        <f t="array" ref="G16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7" s="4"/>
      <c r="I1637" s="3" t="str" cm="1">
        <f t="array" ref="I16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8" spans="1:9" x14ac:dyDescent="0.3">
      <c r="A1638" s="3" t="str">
        <f>IF(SISTEMA!A1632="","",SISTEMA!A1632)</f>
        <v/>
      </c>
      <c r="B1638" s="10" t="str">
        <f>IF(SISTEMA!B1632="","",VALUE(SISTEMA!B1632))</f>
        <v/>
      </c>
      <c r="C1638" s="10" t="str">
        <f>IF(SISTEMA!C1632="","",SISTEMA!C1632)</f>
        <v/>
      </c>
      <c r="D1638" s="5" t="str" cm="1">
        <f t="array" ref="D16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8" s="5" t="str" cm="1">
        <f t="array" ref="E16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8" s="5" t="str" cm="1">
        <f t="array" ref="F16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8" t="str" cm="1">
        <f t="array" ref="G16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8" s="4"/>
      <c r="I1638" s="3" t="str" cm="1">
        <f t="array" ref="I16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39" spans="1:9" x14ac:dyDescent="0.3">
      <c r="A1639" s="3" t="str">
        <f>IF(SISTEMA!A1633="","",SISTEMA!A1633)</f>
        <v/>
      </c>
      <c r="B1639" s="10" t="str">
        <f>IF(SISTEMA!B1633="","",VALUE(SISTEMA!B1633))</f>
        <v/>
      </c>
      <c r="C1639" s="10" t="str">
        <f>IF(SISTEMA!C1633="","",SISTEMA!C1633)</f>
        <v/>
      </c>
      <c r="D1639" s="5" t="str" cm="1">
        <f t="array" ref="D16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39" s="5" t="str" cm="1">
        <f t="array" ref="E16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39" s="5" t="str" cm="1">
        <f t="array" ref="F16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39" t="str" cm="1">
        <f t="array" ref="G16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39" s="4"/>
      <c r="I1639" s="3" t="str" cm="1">
        <f t="array" ref="I16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0" spans="1:9" x14ac:dyDescent="0.3">
      <c r="A1640" s="3" t="str">
        <f>IF(SISTEMA!A1634="","",SISTEMA!A1634)</f>
        <v/>
      </c>
      <c r="B1640" s="10" t="str">
        <f>IF(SISTEMA!B1634="","",VALUE(SISTEMA!B1634))</f>
        <v/>
      </c>
      <c r="C1640" s="10" t="str">
        <f>IF(SISTEMA!C1634="","",SISTEMA!C1634)</f>
        <v/>
      </c>
      <c r="D1640" s="5" t="str" cm="1">
        <f t="array" ref="D16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0" s="5" t="str" cm="1">
        <f t="array" ref="E16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0" s="5" t="str" cm="1">
        <f t="array" ref="F16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0" t="str" cm="1">
        <f t="array" ref="G16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0" s="4"/>
      <c r="I1640" s="3" t="str" cm="1">
        <f t="array" ref="I16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1" spans="1:9" x14ac:dyDescent="0.3">
      <c r="A1641" s="3" t="str">
        <f>IF(SISTEMA!A1635="","",SISTEMA!A1635)</f>
        <v/>
      </c>
      <c r="B1641" s="10" t="str">
        <f>IF(SISTEMA!B1635="","",VALUE(SISTEMA!B1635))</f>
        <v/>
      </c>
      <c r="C1641" s="10" t="str">
        <f>IF(SISTEMA!C1635="","",SISTEMA!C1635)</f>
        <v/>
      </c>
      <c r="D1641" s="5" t="str" cm="1">
        <f t="array" ref="D16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1" s="5" t="str" cm="1">
        <f t="array" ref="E16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1" s="5" t="str" cm="1">
        <f t="array" ref="F16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1" t="str" cm="1">
        <f t="array" ref="G16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1" s="4"/>
      <c r="I1641" s="3" t="str" cm="1">
        <f t="array" ref="I16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2" spans="1:9" x14ac:dyDescent="0.3">
      <c r="A1642" s="3" t="str">
        <f>IF(SISTEMA!A1636="","",SISTEMA!A1636)</f>
        <v/>
      </c>
      <c r="B1642" s="10" t="str">
        <f>IF(SISTEMA!B1636="","",VALUE(SISTEMA!B1636))</f>
        <v/>
      </c>
      <c r="C1642" s="10" t="str">
        <f>IF(SISTEMA!C1636="","",SISTEMA!C1636)</f>
        <v/>
      </c>
      <c r="D1642" s="5" t="str" cm="1">
        <f t="array" ref="D16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2" s="5" t="str" cm="1">
        <f t="array" ref="E16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2" s="5" t="str" cm="1">
        <f t="array" ref="F16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2" t="str" cm="1">
        <f t="array" ref="G16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2" s="4"/>
      <c r="I1642" s="3" t="str" cm="1">
        <f t="array" ref="I16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3" spans="1:9" x14ac:dyDescent="0.3">
      <c r="A1643" s="3" t="str">
        <f>IF(SISTEMA!A1637="","",SISTEMA!A1637)</f>
        <v/>
      </c>
      <c r="B1643" s="10" t="str">
        <f>IF(SISTEMA!B1637="","",VALUE(SISTEMA!B1637))</f>
        <v/>
      </c>
      <c r="C1643" s="10" t="str">
        <f>IF(SISTEMA!C1637="","",SISTEMA!C1637)</f>
        <v/>
      </c>
      <c r="D1643" s="5" t="str" cm="1">
        <f t="array" ref="D16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3" s="5" t="str" cm="1">
        <f t="array" ref="E16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3" s="5" t="str" cm="1">
        <f t="array" ref="F16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3" t="str" cm="1">
        <f t="array" ref="G16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3" s="4"/>
      <c r="I1643" s="3" t="str" cm="1">
        <f t="array" ref="I16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4" spans="1:9" x14ac:dyDescent="0.3">
      <c r="A1644" s="3" t="str">
        <f>IF(SISTEMA!A1638="","",SISTEMA!A1638)</f>
        <v/>
      </c>
      <c r="B1644" s="10" t="str">
        <f>IF(SISTEMA!B1638="","",VALUE(SISTEMA!B1638))</f>
        <v/>
      </c>
      <c r="C1644" s="10" t="str">
        <f>IF(SISTEMA!C1638="","",SISTEMA!C1638)</f>
        <v/>
      </c>
      <c r="D1644" s="5" t="str" cm="1">
        <f t="array" ref="D16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4" s="5" t="str" cm="1">
        <f t="array" ref="E16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4" s="5" t="str" cm="1">
        <f t="array" ref="F16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4" t="str" cm="1">
        <f t="array" ref="G16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4" s="4"/>
      <c r="I1644" s="3" t="str" cm="1">
        <f t="array" ref="I16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5" spans="1:9" x14ac:dyDescent="0.3">
      <c r="A1645" s="3" t="str">
        <f>IF(SISTEMA!A1639="","",SISTEMA!A1639)</f>
        <v/>
      </c>
      <c r="B1645" s="10" t="str">
        <f>IF(SISTEMA!B1639="","",VALUE(SISTEMA!B1639))</f>
        <v/>
      </c>
      <c r="C1645" s="10" t="str">
        <f>IF(SISTEMA!C1639="","",SISTEMA!C1639)</f>
        <v/>
      </c>
      <c r="D1645" s="5" t="str" cm="1">
        <f t="array" ref="D16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5" s="5" t="str" cm="1">
        <f t="array" ref="E16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5" s="5" t="str" cm="1">
        <f t="array" ref="F16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5" t="str" cm="1">
        <f t="array" ref="G16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5" s="4"/>
      <c r="I1645" s="3" t="str" cm="1">
        <f t="array" ref="I16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6" spans="1:9" x14ac:dyDescent="0.3">
      <c r="A1646" s="3" t="str">
        <f>IF(SISTEMA!A1640="","",SISTEMA!A1640)</f>
        <v/>
      </c>
      <c r="B1646" s="10" t="str">
        <f>IF(SISTEMA!B1640="","",VALUE(SISTEMA!B1640))</f>
        <v/>
      </c>
      <c r="C1646" s="10" t="str">
        <f>IF(SISTEMA!C1640="","",SISTEMA!C1640)</f>
        <v/>
      </c>
      <c r="D1646" s="5" t="str" cm="1">
        <f t="array" ref="D16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6" s="5" t="str" cm="1">
        <f t="array" ref="E16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6" s="5" t="str" cm="1">
        <f t="array" ref="F16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6" t="str" cm="1">
        <f t="array" ref="G16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6" s="4"/>
      <c r="I1646" s="3" t="str" cm="1">
        <f t="array" ref="I16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7" spans="1:9" x14ac:dyDescent="0.3">
      <c r="A1647" s="3" t="str">
        <f>IF(SISTEMA!A1641="","",SISTEMA!A1641)</f>
        <v/>
      </c>
      <c r="B1647" s="10" t="str">
        <f>IF(SISTEMA!B1641="","",VALUE(SISTEMA!B1641))</f>
        <v/>
      </c>
      <c r="C1647" s="10" t="str">
        <f>IF(SISTEMA!C1641="","",SISTEMA!C1641)</f>
        <v/>
      </c>
      <c r="D1647" s="5" t="str" cm="1">
        <f t="array" ref="D16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7" s="5" t="str" cm="1">
        <f t="array" ref="E16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7" s="5" t="str" cm="1">
        <f t="array" ref="F16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7" t="str" cm="1">
        <f t="array" ref="G16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7" s="4"/>
      <c r="I1647" s="3" t="str" cm="1">
        <f t="array" ref="I16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8" spans="1:9" x14ac:dyDescent="0.3">
      <c r="A1648" s="3" t="str">
        <f>IF(SISTEMA!A1642="","",SISTEMA!A1642)</f>
        <v/>
      </c>
      <c r="B1648" s="10" t="str">
        <f>IF(SISTEMA!B1642="","",VALUE(SISTEMA!B1642))</f>
        <v/>
      </c>
      <c r="C1648" s="10" t="str">
        <f>IF(SISTEMA!C1642="","",SISTEMA!C1642)</f>
        <v/>
      </c>
      <c r="D1648" s="5" t="str" cm="1">
        <f t="array" ref="D16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8" s="5" t="str" cm="1">
        <f t="array" ref="E16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8" s="5" t="str" cm="1">
        <f t="array" ref="F16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8" t="str" cm="1">
        <f t="array" ref="G16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8" s="4"/>
      <c r="I1648" s="3" t="str" cm="1">
        <f t="array" ref="I16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49" spans="1:9" x14ac:dyDescent="0.3">
      <c r="A1649" s="3" t="str">
        <f>IF(SISTEMA!A1643="","",SISTEMA!A1643)</f>
        <v/>
      </c>
      <c r="B1649" s="10" t="str">
        <f>IF(SISTEMA!B1643="","",VALUE(SISTEMA!B1643))</f>
        <v/>
      </c>
      <c r="C1649" s="10" t="str">
        <f>IF(SISTEMA!C1643="","",SISTEMA!C1643)</f>
        <v/>
      </c>
      <c r="D1649" s="5" t="str" cm="1">
        <f t="array" ref="D16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49" s="5" t="str" cm="1">
        <f t="array" ref="E16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49" s="5" t="str" cm="1">
        <f t="array" ref="F16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49" t="str" cm="1">
        <f t="array" ref="G16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49" s="4"/>
      <c r="I1649" s="3" t="str" cm="1">
        <f t="array" ref="I16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0" spans="1:9" x14ac:dyDescent="0.3">
      <c r="A1650" s="3" t="str">
        <f>IF(SISTEMA!A1644="","",SISTEMA!A1644)</f>
        <v/>
      </c>
      <c r="B1650" s="10" t="str">
        <f>IF(SISTEMA!B1644="","",VALUE(SISTEMA!B1644))</f>
        <v/>
      </c>
      <c r="C1650" s="10" t="str">
        <f>IF(SISTEMA!C1644="","",SISTEMA!C1644)</f>
        <v/>
      </c>
      <c r="D1650" s="5" t="str" cm="1">
        <f t="array" ref="D16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0" s="5" t="str" cm="1">
        <f t="array" ref="E16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0" s="5" t="str" cm="1">
        <f t="array" ref="F16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0" t="str" cm="1">
        <f t="array" ref="G16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0" s="4"/>
      <c r="I1650" s="3" t="str" cm="1">
        <f t="array" ref="I16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1" spans="1:9" x14ac:dyDescent="0.3">
      <c r="A1651" s="3" t="str">
        <f>IF(SISTEMA!A1645="","",SISTEMA!A1645)</f>
        <v/>
      </c>
      <c r="B1651" s="10" t="str">
        <f>IF(SISTEMA!B1645="","",VALUE(SISTEMA!B1645))</f>
        <v/>
      </c>
      <c r="C1651" s="10" t="str">
        <f>IF(SISTEMA!C1645="","",SISTEMA!C1645)</f>
        <v/>
      </c>
      <c r="D1651" s="5" t="str" cm="1">
        <f t="array" ref="D16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1" s="5" t="str" cm="1">
        <f t="array" ref="E16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1" s="5" t="str" cm="1">
        <f t="array" ref="F16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1" t="str" cm="1">
        <f t="array" ref="G16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1" s="4"/>
      <c r="I1651" s="3" t="str" cm="1">
        <f t="array" ref="I16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2" spans="1:9" x14ac:dyDescent="0.3">
      <c r="A1652" s="3" t="str">
        <f>IF(SISTEMA!A1646="","",SISTEMA!A1646)</f>
        <v/>
      </c>
      <c r="B1652" s="10" t="str">
        <f>IF(SISTEMA!B1646="","",VALUE(SISTEMA!B1646))</f>
        <v/>
      </c>
      <c r="C1652" s="10" t="str">
        <f>IF(SISTEMA!C1646="","",SISTEMA!C1646)</f>
        <v/>
      </c>
      <c r="D1652" s="5" t="str" cm="1">
        <f t="array" ref="D16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2" s="5" t="str" cm="1">
        <f t="array" ref="E16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2" s="5" t="str" cm="1">
        <f t="array" ref="F16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2" t="str" cm="1">
        <f t="array" ref="G16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2" s="4"/>
      <c r="I1652" s="3" t="str" cm="1">
        <f t="array" ref="I16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3" spans="1:9" x14ac:dyDescent="0.3">
      <c r="A1653" s="3" t="str">
        <f>IF(SISTEMA!A1647="","",SISTEMA!A1647)</f>
        <v/>
      </c>
      <c r="B1653" s="10" t="str">
        <f>IF(SISTEMA!B1647="","",VALUE(SISTEMA!B1647))</f>
        <v/>
      </c>
      <c r="C1653" s="10" t="str">
        <f>IF(SISTEMA!C1647="","",SISTEMA!C1647)</f>
        <v/>
      </c>
      <c r="D1653" s="5" t="str" cm="1">
        <f t="array" ref="D16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3" s="5" t="str" cm="1">
        <f t="array" ref="E16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3" s="5" t="str" cm="1">
        <f t="array" ref="F16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3" t="str" cm="1">
        <f t="array" ref="G16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3" s="4"/>
      <c r="I1653" s="3" t="str" cm="1">
        <f t="array" ref="I16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4" spans="1:9" x14ac:dyDescent="0.3">
      <c r="A1654" s="3" t="str">
        <f>IF(SISTEMA!A1648="","",SISTEMA!A1648)</f>
        <v/>
      </c>
      <c r="B1654" s="10" t="str">
        <f>IF(SISTEMA!B1648="","",VALUE(SISTEMA!B1648))</f>
        <v/>
      </c>
      <c r="C1654" s="10" t="str">
        <f>IF(SISTEMA!C1648="","",SISTEMA!C1648)</f>
        <v/>
      </c>
      <c r="D1654" s="5" t="str" cm="1">
        <f t="array" ref="D16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4" s="5" t="str" cm="1">
        <f t="array" ref="E16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4" s="5" t="str" cm="1">
        <f t="array" ref="F16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4" t="str" cm="1">
        <f t="array" ref="G16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4" s="4"/>
      <c r="I1654" s="3" t="str" cm="1">
        <f t="array" ref="I16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5" spans="1:9" x14ac:dyDescent="0.3">
      <c r="A1655" s="3" t="str">
        <f>IF(SISTEMA!A1649="","",SISTEMA!A1649)</f>
        <v/>
      </c>
      <c r="B1655" s="10" t="str">
        <f>IF(SISTEMA!B1649="","",VALUE(SISTEMA!B1649))</f>
        <v/>
      </c>
      <c r="C1655" s="10" t="str">
        <f>IF(SISTEMA!C1649="","",SISTEMA!C1649)</f>
        <v/>
      </c>
      <c r="D1655" s="5" t="str" cm="1">
        <f t="array" ref="D16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5" s="5" t="str" cm="1">
        <f t="array" ref="E16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5" s="5" t="str" cm="1">
        <f t="array" ref="F16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5" t="str" cm="1">
        <f t="array" ref="G16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5" s="4"/>
      <c r="I1655" s="3" t="str" cm="1">
        <f t="array" ref="I16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6" spans="1:9" x14ac:dyDescent="0.3">
      <c r="A1656" s="3" t="str">
        <f>IF(SISTEMA!A1650="","",SISTEMA!A1650)</f>
        <v/>
      </c>
      <c r="B1656" s="10" t="str">
        <f>IF(SISTEMA!B1650="","",VALUE(SISTEMA!B1650))</f>
        <v/>
      </c>
      <c r="C1656" s="10" t="str">
        <f>IF(SISTEMA!C1650="","",SISTEMA!C1650)</f>
        <v/>
      </c>
      <c r="D1656" s="5" t="str" cm="1">
        <f t="array" ref="D16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6" s="5" t="str" cm="1">
        <f t="array" ref="E16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6" s="5" t="str" cm="1">
        <f t="array" ref="F16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6" t="str" cm="1">
        <f t="array" ref="G16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6" s="4"/>
      <c r="I1656" s="3" t="str" cm="1">
        <f t="array" ref="I16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7" spans="1:9" x14ac:dyDescent="0.3">
      <c r="A1657" s="3" t="str">
        <f>IF(SISTEMA!A1651="","",SISTEMA!A1651)</f>
        <v/>
      </c>
      <c r="B1657" s="10" t="str">
        <f>IF(SISTEMA!B1651="","",VALUE(SISTEMA!B1651))</f>
        <v/>
      </c>
      <c r="C1657" s="10" t="str">
        <f>IF(SISTEMA!C1651="","",SISTEMA!C1651)</f>
        <v/>
      </c>
      <c r="D1657" s="5" t="str" cm="1">
        <f t="array" ref="D16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7" s="5" t="str" cm="1">
        <f t="array" ref="E16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7" s="5" t="str" cm="1">
        <f t="array" ref="F16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7" t="str" cm="1">
        <f t="array" ref="G16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7" s="4"/>
      <c r="I1657" s="3" t="str" cm="1">
        <f t="array" ref="I16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8" spans="1:9" x14ac:dyDescent="0.3">
      <c r="A1658" s="3" t="str">
        <f>IF(SISTEMA!A1652="","",SISTEMA!A1652)</f>
        <v/>
      </c>
      <c r="B1658" s="10" t="str">
        <f>IF(SISTEMA!B1652="","",VALUE(SISTEMA!B1652))</f>
        <v/>
      </c>
      <c r="C1658" s="10" t="str">
        <f>IF(SISTEMA!C1652="","",SISTEMA!C1652)</f>
        <v/>
      </c>
      <c r="D1658" s="5" t="str" cm="1">
        <f t="array" ref="D16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8" s="5" t="str" cm="1">
        <f t="array" ref="E16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8" s="5" t="str" cm="1">
        <f t="array" ref="F16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8" t="str" cm="1">
        <f t="array" ref="G16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8" s="4"/>
      <c r="I1658" s="3" t="str" cm="1">
        <f t="array" ref="I16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59" spans="1:9" x14ac:dyDescent="0.3">
      <c r="A1659" s="3" t="str">
        <f>IF(SISTEMA!A1653="","",SISTEMA!A1653)</f>
        <v/>
      </c>
      <c r="B1659" s="10" t="str">
        <f>IF(SISTEMA!B1653="","",VALUE(SISTEMA!B1653))</f>
        <v/>
      </c>
      <c r="C1659" s="10" t="str">
        <f>IF(SISTEMA!C1653="","",SISTEMA!C1653)</f>
        <v/>
      </c>
      <c r="D1659" s="5" t="str" cm="1">
        <f t="array" ref="D16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59" s="5" t="str" cm="1">
        <f t="array" ref="E16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59" s="5" t="str" cm="1">
        <f t="array" ref="F16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59" t="str" cm="1">
        <f t="array" ref="G16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59" s="4"/>
      <c r="I1659" s="3" t="str" cm="1">
        <f t="array" ref="I16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0" spans="1:9" x14ac:dyDescent="0.3">
      <c r="A1660" s="3" t="str">
        <f>IF(SISTEMA!A1654="","",SISTEMA!A1654)</f>
        <v/>
      </c>
      <c r="B1660" s="10" t="str">
        <f>IF(SISTEMA!B1654="","",VALUE(SISTEMA!B1654))</f>
        <v/>
      </c>
      <c r="C1660" s="10" t="str">
        <f>IF(SISTEMA!C1654="","",SISTEMA!C1654)</f>
        <v/>
      </c>
      <c r="D1660" s="5" t="str" cm="1">
        <f t="array" ref="D16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0" s="5" t="str" cm="1">
        <f t="array" ref="E16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0" s="5" t="str" cm="1">
        <f t="array" ref="F16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0" t="str" cm="1">
        <f t="array" ref="G16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0" s="4"/>
      <c r="I1660" s="3" t="str" cm="1">
        <f t="array" ref="I16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1" spans="1:9" x14ac:dyDescent="0.3">
      <c r="A1661" s="3" t="str">
        <f>IF(SISTEMA!A1655="","",SISTEMA!A1655)</f>
        <v/>
      </c>
      <c r="B1661" s="10" t="str">
        <f>IF(SISTEMA!B1655="","",VALUE(SISTEMA!B1655))</f>
        <v/>
      </c>
      <c r="C1661" s="10" t="str">
        <f>IF(SISTEMA!C1655="","",SISTEMA!C1655)</f>
        <v/>
      </c>
      <c r="D1661" s="5" t="str" cm="1">
        <f t="array" ref="D16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1" s="5" t="str" cm="1">
        <f t="array" ref="E16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1" s="5" t="str" cm="1">
        <f t="array" ref="F16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1" t="str" cm="1">
        <f t="array" ref="G16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1" s="4"/>
      <c r="I1661" s="3" t="str" cm="1">
        <f t="array" ref="I16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2" spans="1:9" x14ac:dyDescent="0.3">
      <c r="A1662" s="3" t="str">
        <f>IF(SISTEMA!A1656="","",SISTEMA!A1656)</f>
        <v/>
      </c>
      <c r="B1662" s="10" t="str">
        <f>IF(SISTEMA!B1656="","",VALUE(SISTEMA!B1656))</f>
        <v/>
      </c>
      <c r="C1662" s="10" t="str">
        <f>IF(SISTEMA!C1656="","",SISTEMA!C1656)</f>
        <v/>
      </c>
      <c r="D1662" s="5" t="str" cm="1">
        <f t="array" ref="D16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2" s="5" t="str" cm="1">
        <f t="array" ref="E16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2" s="5" t="str" cm="1">
        <f t="array" ref="F16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2" t="str" cm="1">
        <f t="array" ref="G16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2" s="4"/>
      <c r="I1662" s="3" t="str" cm="1">
        <f t="array" ref="I16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3" spans="1:9" x14ac:dyDescent="0.3">
      <c r="A1663" s="3" t="str">
        <f>IF(SISTEMA!A1657="","",SISTEMA!A1657)</f>
        <v/>
      </c>
      <c r="B1663" s="10" t="str">
        <f>IF(SISTEMA!B1657="","",VALUE(SISTEMA!B1657))</f>
        <v/>
      </c>
      <c r="C1663" s="10" t="str">
        <f>IF(SISTEMA!C1657="","",SISTEMA!C1657)</f>
        <v/>
      </c>
      <c r="D1663" s="5" t="str" cm="1">
        <f t="array" ref="D16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3" s="5" t="str" cm="1">
        <f t="array" ref="E16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3" s="5" t="str" cm="1">
        <f t="array" ref="F16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3" t="str" cm="1">
        <f t="array" ref="G16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3" s="4"/>
      <c r="I1663" s="3" t="str" cm="1">
        <f t="array" ref="I16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4" spans="1:9" x14ac:dyDescent="0.3">
      <c r="A1664" s="3" t="str">
        <f>IF(SISTEMA!A1658="","",SISTEMA!A1658)</f>
        <v/>
      </c>
      <c r="B1664" s="10" t="str">
        <f>IF(SISTEMA!B1658="","",VALUE(SISTEMA!B1658))</f>
        <v/>
      </c>
      <c r="C1664" s="10" t="str">
        <f>IF(SISTEMA!C1658="","",SISTEMA!C1658)</f>
        <v/>
      </c>
      <c r="D1664" s="5" t="str" cm="1">
        <f t="array" ref="D16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4" s="5" t="str" cm="1">
        <f t="array" ref="E16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4" s="5" t="str" cm="1">
        <f t="array" ref="F16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4" t="str" cm="1">
        <f t="array" ref="G16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4" s="4"/>
      <c r="I1664" s="3" t="str" cm="1">
        <f t="array" ref="I16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5" spans="1:9" x14ac:dyDescent="0.3">
      <c r="A1665" s="3" t="str">
        <f>IF(SISTEMA!A1659="","",SISTEMA!A1659)</f>
        <v/>
      </c>
      <c r="B1665" s="10" t="str">
        <f>IF(SISTEMA!B1659="","",VALUE(SISTEMA!B1659))</f>
        <v/>
      </c>
      <c r="C1665" s="10" t="str">
        <f>IF(SISTEMA!C1659="","",SISTEMA!C1659)</f>
        <v/>
      </c>
      <c r="D1665" s="5" t="str" cm="1">
        <f t="array" ref="D16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5" s="5" t="str" cm="1">
        <f t="array" ref="E16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5" s="5" t="str" cm="1">
        <f t="array" ref="F16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5" t="str" cm="1">
        <f t="array" ref="G16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5" s="4"/>
      <c r="I1665" s="3" t="str" cm="1">
        <f t="array" ref="I16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6" spans="1:9" x14ac:dyDescent="0.3">
      <c r="A1666" s="3" t="str">
        <f>IF(SISTEMA!A1660="","",SISTEMA!A1660)</f>
        <v/>
      </c>
      <c r="B1666" s="10" t="str">
        <f>IF(SISTEMA!B1660="","",VALUE(SISTEMA!B1660))</f>
        <v/>
      </c>
      <c r="C1666" s="10" t="str">
        <f>IF(SISTEMA!C1660="","",SISTEMA!C1660)</f>
        <v/>
      </c>
      <c r="D1666" s="5" t="str" cm="1">
        <f t="array" ref="D16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6" s="5" t="str" cm="1">
        <f t="array" ref="E16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6" s="5" t="str" cm="1">
        <f t="array" ref="F16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6" t="str" cm="1">
        <f t="array" ref="G16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6" s="4"/>
      <c r="I1666" s="3" t="str" cm="1">
        <f t="array" ref="I16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7" spans="1:9" x14ac:dyDescent="0.3">
      <c r="A1667" s="3" t="str">
        <f>IF(SISTEMA!A1661="","",SISTEMA!A1661)</f>
        <v/>
      </c>
      <c r="B1667" s="10" t="str">
        <f>IF(SISTEMA!B1661="","",VALUE(SISTEMA!B1661))</f>
        <v/>
      </c>
      <c r="C1667" s="10" t="str">
        <f>IF(SISTEMA!C1661="","",SISTEMA!C1661)</f>
        <v/>
      </c>
      <c r="D1667" s="5" t="str" cm="1">
        <f t="array" ref="D16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7" s="5" t="str" cm="1">
        <f t="array" ref="E16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7" s="5" t="str" cm="1">
        <f t="array" ref="F16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7" t="str" cm="1">
        <f t="array" ref="G16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7" s="4"/>
      <c r="I1667" s="3" t="str" cm="1">
        <f t="array" ref="I16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8" spans="1:9" x14ac:dyDescent="0.3">
      <c r="A1668" s="3" t="str">
        <f>IF(SISTEMA!A1662="","",SISTEMA!A1662)</f>
        <v/>
      </c>
      <c r="B1668" s="10" t="str">
        <f>IF(SISTEMA!B1662="","",VALUE(SISTEMA!B1662))</f>
        <v/>
      </c>
      <c r="C1668" s="10" t="str">
        <f>IF(SISTEMA!C1662="","",SISTEMA!C1662)</f>
        <v/>
      </c>
      <c r="D1668" s="5" t="str" cm="1">
        <f t="array" ref="D16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8" s="5" t="str" cm="1">
        <f t="array" ref="E16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8" s="5" t="str" cm="1">
        <f t="array" ref="F16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8" t="str" cm="1">
        <f t="array" ref="G16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8" s="4"/>
      <c r="I1668" s="3" t="str" cm="1">
        <f t="array" ref="I16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69" spans="1:9" x14ac:dyDescent="0.3">
      <c r="A1669" s="3" t="str">
        <f>IF(SISTEMA!A1663="","",SISTEMA!A1663)</f>
        <v/>
      </c>
      <c r="B1669" s="10" t="str">
        <f>IF(SISTEMA!B1663="","",VALUE(SISTEMA!B1663))</f>
        <v/>
      </c>
      <c r="C1669" s="10" t="str">
        <f>IF(SISTEMA!C1663="","",SISTEMA!C1663)</f>
        <v/>
      </c>
      <c r="D1669" s="5" t="str" cm="1">
        <f t="array" ref="D16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69" s="5" t="str" cm="1">
        <f t="array" ref="E16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69" s="5" t="str" cm="1">
        <f t="array" ref="F16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69" t="str" cm="1">
        <f t="array" ref="G16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69" s="4"/>
      <c r="I1669" s="3" t="str" cm="1">
        <f t="array" ref="I16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0" spans="1:9" x14ac:dyDescent="0.3">
      <c r="A1670" s="3" t="str">
        <f>IF(SISTEMA!A1664="","",SISTEMA!A1664)</f>
        <v/>
      </c>
      <c r="B1670" s="10" t="str">
        <f>IF(SISTEMA!B1664="","",VALUE(SISTEMA!B1664))</f>
        <v/>
      </c>
      <c r="C1670" s="10" t="str">
        <f>IF(SISTEMA!C1664="","",SISTEMA!C1664)</f>
        <v/>
      </c>
      <c r="D1670" s="5" t="str" cm="1">
        <f t="array" ref="D16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0" s="5" t="str" cm="1">
        <f t="array" ref="E16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0" s="5" t="str" cm="1">
        <f t="array" ref="F16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0" t="str" cm="1">
        <f t="array" ref="G16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0" s="4"/>
      <c r="I1670" s="3" t="str" cm="1">
        <f t="array" ref="I16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1" spans="1:9" x14ac:dyDescent="0.3">
      <c r="A1671" s="3" t="str">
        <f>IF(SISTEMA!A1665="","",SISTEMA!A1665)</f>
        <v/>
      </c>
      <c r="B1671" s="10" t="str">
        <f>IF(SISTEMA!B1665="","",VALUE(SISTEMA!B1665))</f>
        <v/>
      </c>
      <c r="C1671" s="10" t="str">
        <f>IF(SISTEMA!C1665="","",SISTEMA!C1665)</f>
        <v/>
      </c>
      <c r="D1671" s="5" t="str" cm="1">
        <f t="array" ref="D16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1" s="5" t="str" cm="1">
        <f t="array" ref="E16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1" s="5" t="str" cm="1">
        <f t="array" ref="F16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1" t="str" cm="1">
        <f t="array" ref="G16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1" s="4"/>
      <c r="I1671" s="3" t="str" cm="1">
        <f t="array" ref="I16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2" spans="1:9" x14ac:dyDescent="0.3">
      <c r="A1672" s="3" t="str">
        <f>IF(SISTEMA!A1666="","",SISTEMA!A1666)</f>
        <v/>
      </c>
      <c r="B1672" s="10" t="str">
        <f>IF(SISTEMA!B1666="","",VALUE(SISTEMA!B1666))</f>
        <v/>
      </c>
      <c r="C1672" s="10" t="str">
        <f>IF(SISTEMA!C1666="","",SISTEMA!C1666)</f>
        <v/>
      </c>
      <c r="D1672" s="5" t="str" cm="1">
        <f t="array" ref="D16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2" s="5" t="str" cm="1">
        <f t="array" ref="E16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2" s="5" t="str" cm="1">
        <f t="array" ref="F16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2" t="str" cm="1">
        <f t="array" ref="G16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2" s="4"/>
      <c r="I1672" s="3" t="str" cm="1">
        <f t="array" ref="I16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3" spans="1:9" x14ac:dyDescent="0.3">
      <c r="A1673" s="3" t="str">
        <f>IF(SISTEMA!A1667="","",SISTEMA!A1667)</f>
        <v/>
      </c>
      <c r="B1673" s="10" t="str">
        <f>IF(SISTEMA!B1667="","",VALUE(SISTEMA!B1667))</f>
        <v/>
      </c>
      <c r="C1673" s="10" t="str">
        <f>IF(SISTEMA!C1667="","",SISTEMA!C1667)</f>
        <v/>
      </c>
      <c r="D1673" s="5" t="str" cm="1">
        <f t="array" ref="D16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3" s="5" t="str" cm="1">
        <f t="array" ref="E16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3" s="5" t="str" cm="1">
        <f t="array" ref="F16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3" t="str" cm="1">
        <f t="array" ref="G16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3" s="4"/>
      <c r="I1673" s="3" t="str" cm="1">
        <f t="array" ref="I16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4" spans="1:9" x14ac:dyDescent="0.3">
      <c r="A1674" s="3" t="str">
        <f>IF(SISTEMA!A1668="","",SISTEMA!A1668)</f>
        <v/>
      </c>
      <c r="B1674" s="10" t="str">
        <f>IF(SISTEMA!B1668="","",VALUE(SISTEMA!B1668))</f>
        <v/>
      </c>
      <c r="C1674" s="10" t="str">
        <f>IF(SISTEMA!C1668="","",SISTEMA!C1668)</f>
        <v/>
      </c>
      <c r="D1674" s="5" t="str" cm="1">
        <f t="array" ref="D16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4" s="5" t="str" cm="1">
        <f t="array" ref="E16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4" s="5" t="str" cm="1">
        <f t="array" ref="F16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4" t="str" cm="1">
        <f t="array" ref="G16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4" s="4"/>
      <c r="I1674" s="3" t="str" cm="1">
        <f t="array" ref="I16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5" spans="1:9" x14ac:dyDescent="0.3">
      <c r="A1675" s="3" t="str">
        <f>IF(SISTEMA!A1669="","",SISTEMA!A1669)</f>
        <v/>
      </c>
      <c r="B1675" s="10" t="str">
        <f>IF(SISTEMA!B1669="","",VALUE(SISTEMA!B1669))</f>
        <v/>
      </c>
      <c r="C1675" s="10" t="str">
        <f>IF(SISTEMA!C1669="","",SISTEMA!C1669)</f>
        <v/>
      </c>
      <c r="D1675" s="5" t="str" cm="1">
        <f t="array" ref="D16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5" s="5" t="str" cm="1">
        <f t="array" ref="E16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5" s="5" t="str" cm="1">
        <f t="array" ref="F16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5" t="str" cm="1">
        <f t="array" ref="G16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5" s="4"/>
      <c r="I1675" s="3" t="str" cm="1">
        <f t="array" ref="I16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6" spans="1:9" x14ac:dyDescent="0.3">
      <c r="A1676" s="3" t="str">
        <f>IF(SISTEMA!A1670="","",SISTEMA!A1670)</f>
        <v/>
      </c>
      <c r="B1676" s="10" t="str">
        <f>IF(SISTEMA!B1670="","",VALUE(SISTEMA!B1670))</f>
        <v/>
      </c>
      <c r="C1676" s="10" t="str">
        <f>IF(SISTEMA!C1670="","",SISTEMA!C1670)</f>
        <v/>
      </c>
      <c r="D1676" s="5" t="str" cm="1">
        <f t="array" ref="D16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6" s="5" t="str" cm="1">
        <f t="array" ref="E16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6" s="5" t="str" cm="1">
        <f t="array" ref="F16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6" t="str" cm="1">
        <f t="array" ref="G16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6" s="4"/>
      <c r="I1676" s="3" t="str" cm="1">
        <f t="array" ref="I16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7" spans="1:9" x14ac:dyDescent="0.3">
      <c r="A1677" s="3" t="str">
        <f>IF(SISTEMA!A1671="","",SISTEMA!A1671)</f>
        <v/>
      </c>
      <c r="B1677" s="10" t="str">
        <f>IF(SISTEMA!B1671="","",VALUE(SISTEMA!B1671))</f>
        <v/>
      </c>
      <c r="C1677" s="10" t="str">
        <f>IF(SISTEMA!C1671="","",SISTEMA!C1671)</f>
        <v/>
      </c>
      <c r="D1677" s="5" t="str" cm="1">
        <f t="array" ref="D16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7" s="5" t="str" cm="1">
        <f t="array" ref="E16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7" s="5" t="str" cm="1">
        <f t="array" ref="F16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7" t="str" cm="1">
        <f t="array" ref="G16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7" s="4"/>
      <c r="I1677" s="3" t="str" cm="1">
        <f t="array" ref="I16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8" spans="1:9" x14ac:dyDescent="0.3">
      <c r="A1678" s="3" t="str">
        <f>IF(SISTEMA!A1672="","",SISTEMA!A1672)</f>
        <v/>
      </c>
      <c r="B1678" s="10" t="str">
        <f>IF(SISTEMA!B1672="","",VALUE(SISTEMA!B1672))</f>
        <v/>
      </c>
      <c r="C1678" s="10" t="str">
        <f>IF(SISTEMA!C1672="","",SISTEMA!C1672)</f>
        <v/>
      </c>
      <c r="D1678" s="5" t="str" cm="1">
        <f t="array" ref="D16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8" s="5" t="str" cm="1">
        <f t="array" ref="E16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8" s="5" t="str" cm="1">
        <f t="array" ref="F16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8" t="str" cm="1">
        <f t="array" ref="G16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8" s="4"/>
      <c r="I1678" s="3" t="str" cm="1">
        <f t="array" ref="I16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79" spans="1:9" x14ac:dyDescent="0.3">
      <c r="A1679" s="3" t="str">
        <f>IF(SISTEMA!A1673="","",SISTEMA!A1673)</f>
        <v/>
      </c>
      <c r="B1679" s="10" t="str">
        <f>IF(SISTEMA!B1673="","",VALUE(SISTEMA!B1673))</f>
        <v/>
      </c>
      <c r="C1679" s="10" t="str">
        <f>IF(SISTEMA!C1673="","",SISTEMA!C1673)</f>
        <v/>
      </c>
      <c r="D1679" s="5" t="str" cm="1">
        <f t="array" ref="D16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79" s="5" t="str" cm="1">
        <f t="array" ref="E16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79" s="5" t="str" cm="1">
        <f t="array" ref="F16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79" t="str" cm="1">
        <f t="array" ref="G16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79" s="4"/>
      <c r="I1679" s="3" t="str" cm="1">
        <f t="array" ref="I16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0" spans="1:9" x14ac:dyDescent="0.3">
      <c r="A1680" s="3" t="str">
        <f>IF(SISTEMA!A1674="","",SISTEMA!A1674)</f>
        <v/>
      </c>
      <c r="B1680" s="10" t="str">
        <f>IF(SISTEMA!B1674="","",VALUE(SISTEMA!B1674))</f>
        <v/>
      </c>
      <c r="C1680" s="10" t="str">
        <f>IF(SISTEMA!C1674="","",SISTEMA!C1674)</f>
        <v/>
      </c>
      <c r="D1680" s="5" t="str" cm="1">
        <f t="array" ref="D16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0" s="5" t="str" cm="1">
        <f t="array" ref="E16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0" s="5" t="str" cm="1">
        <f t="array" ref="F16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0" t="str" cm="1">
        <f t="array" ref="G16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0" s="4"/>
      <c r="I1680" s="3" t="str" cm="1">
        <f t="array" ref="I16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1" spans="1:9" x14ac:dyDescent="0.3">
      <c r="A1681" s="3" t="str">
        <f>IF(SISTEMA!A1675="","",SISTEMA!A1675)</f>
        <v/>
      </c>
      <c r="B1681" s="10" t="str">
        <f>IF(SISTEMA!B1675="","",VALUE(SISTEMA!B1675))</f>
        <v/>
      </c>
      <c r="C1681" s="10" t="str">
        <f>IF(SISTEMA!C1675="","",SISTEMA!C1675)</f>
        <v/>
      </c>
      <c r="D1681" s="5" t="str" cm="1">
        <f t="array" ref="D16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1" s="5" t="str" cm="1">
        <f t="array" ref="E16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1" s="5" t="str" cm="1">
        <f t="array" ref="F16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1" t="str" cm="1">
        <f t="array" ref="G16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1" s="4"/>
      <c r="I1681" s="3" t="str" cm="1">
        <f t="array" ref="I16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2" spans="1:9" x14ac:dyDescent="0.3">
      <c r="A1682" s="3" t="str">
        <f>IF(SISTEMA!A1676="","",SISTEMA!A1676)</f>
        <v/>
      </c>
      <c r="B1682" s="10" t="str">
        <f>IF(SISTEMA!B1676="","",VALUE(SISTEMA!B1676))</f>
        <v/>
      </c>
      <c r="C1682" s="10" t="str">
        <f>IF(SISTEMA!C1676="","",SISTEMA!C1676)</f>
        <v/>
      </c>
      <c r="D1682" s="5" t="str" cm="1">
        <f t="array" ref="D16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2" s="5" t="str" cm="1">
        <f t="array" ref="E16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2" s="5" t="str" cm="1">
        <f t="array" ref="F16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2" t="str" cm="1">
        <f t="array" ref="G16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2" s="4"/>
      <c r="I1682" s="3" t="str" cm="1">
        <f t="array" ref="I16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3" spans="1:9" x14ac:dyDescent="0.3">
      <c r="A1683" s="3" t="str">
        <f>IF(SISTEMA!A1677="","",SISTEMA!A1677)</f>
        <v/>
      </c>
      <c r="B1683" s="10" t="str">
        <f>IF(SISTEMA!B1677="","",VALUE(SISTEMA!B1677))</f>
        <v/>
      </c>
      <c r="C1683" s="10" t="str">
        <f>IF(SISTEMA!C1677="","",SISTEMA!C1677)</f>
        <v/>
      </c>
      <c r="D1683" s="5" t="str" cm="1">
        <f t="array" ref="D16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3" s="5" t="str" cm="1">
        <f t="array" ref="E16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3" s="5" t="str" cm="1">
        <f t="array" ref="F16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3" t="str" cm="1">
        <f t="array" ref="G16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3" s="4"/>
      <c r="I1683" s="3" t="str" cm="1">
        <f t="array" ref="I16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4" spans="1:9" x14ac:dyDescent="0.3">
      <c r="A1684" s="3" t="str">
        <f>IF(SISTEMA!A1678="","",SISTEMA!A1678)</f>
        <v/>
      </c>
      <c r="B1684" s="10" t="str">
        <f>IF(SISTEMA!B1678="","",VALUE(SISTEMA!B1678))</f>
        <v/>
      </c>
      <c r="C1684" s="10" t="str">
        <f>IF(SISTEMA!C1678="","",SISTEMA!C1678)</f>
        <v/>
      </c>
      <c r="D1684" s="5" t="str" cm="1">
        <f t="array" ref="D16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4" s="5" t="str" cm="1">
        <f t="array" ref="E16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4" s="5" t="str" cm="1">
        <f t="array" ref="F16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4" t="str" cm="1">
        <f t="array" ref="G16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4" s="4"/>
      <c r="I1684" s="3" t="str" cm="1">
        <f t="array" ref="I16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5" spans="1:9" x14ac:dyDescent="0.3">
      <c r="A1685" s="3" t="str">
        <f>IF(SISTEMA!A1679="","",SISTEMA!A1679)</f>
        <v/>
      </c>
      <c r="B1685" s="10" t="str">
        <f>IF(SISTEMA!B1679="","",VALUE(SISTEMA!B1679))</f>
        <v/>
      </c>
      <c r="C1685" s="10" t="str">
        <f>IF(SISTEMA!C1679="","",SISTEMA!C1679)</f>
        <v/>
      </c>
      <c r="D1685" s="5" t="str" cm="1">
        <f t="array" ref="D16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5" s="5" t="str" cm="1">
        <f t="array" ref="E16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5" s="5" t="str" cm="1">
        <f t="array" ref="F16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5" t="str" cm="1">
        <f t="array" ref="G16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5" s="4"/>
      <c r="I1685" s="3" t="str" cm="1">
        <f t="array" ref="I16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6" spans="1:9" x14ac:dyDescent="0.3">
      <c r="A1686" s="3" t="str">
        <f>IF(SISTEMA!A1680="","",SISTEMA!A1680)</f>
        <v/>
      </c>
      <c r="B1686" s="10" t="str">
        <f>IF(SISTEMA!B1680="","",VALUE(SISTEMA!B1680))</f>
        <v/>
      </c>
      <c r="C1686" s="10" t="str">
        <f>IF(SISTEMA!C1680="","",SISTEMA!C1680)</f>
        <v/>
      </c>
      <c r="D1686" s="5" t="str" cm="1">
        <f t="array" ref="D16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6" s="5" t="str" cm="1">
        <f t="array" ref="E16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6" s="5" t="str" cm="1">
        <f t="array" ref="F16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6" t="str" cm="1">
        <f t="array" ref="G16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6" s="4"/>
      <c r="I1686" s="3" t="str" cm="1">
        <f t="array" ref="I16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7" spans="1:9" x14ac:dyDescent="0.3">
      <c r="A1687" s="3" t="str">
        <f>IF(SISTEMA!A1681="","",SISTEMA!A1681)</f>
        <v/>
      </c>
      <c r="B1687" s="10" t="str">
        <f>IF(SISTEMA!B1681="","",VALUE(SISTEMA!B1681))</f>
        <v/>
      </c>
      <c r="C1687" s="10" t="str">
        <f>IF(SISTEMA!C1681="","",SISTEMA!C1681)</f>
        <v/>
      </c>
      <c r="D1687" s="5" t="str" cm="1">
        <f t="array" ref="D16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7" s="5" t="str" cm="1">
        <f t="array" ref="E16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7" s="5" t="str" cm="1">
        <f t="array" ref="F16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7" t="str" cm="1">
        <f t="array" ref="G16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7" s="4"/>
      <c r="I1687" s="3" t="str" cm="1">
        <f t="array" ref="I16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8" spans="1:9" x14ac:dyDescent="0.3">
      <c r="A1688" s="3" t="str">
        <f>IF(SISTEMA!A1682="","",SISTEMA!A1682)</f>
        <v/>
      </c>
      <c r="B1688" s="10" t="str">
        <f>IF(SISTEMA!B1682="","",VALUE(SISTEMA!B1682))</f>
        <v/>
      </c>
      <c r="C1688" s="10" t="str">
        <f>IF(SISTEMA!C1682="","",SISTEMA!C1682)</f>
        <v/>
      </c>
      <c r="D1688" s="5" t="str" cm="1">
        <f t="array" ref="D16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8" s="5" t="str" cm="1">
        <f t="array" ref="E16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8" s="5" t="str" cm="1">
        <f t="array" ref="F16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8" t="str" cm="1">
        <f t="array" ref="G16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8" s="4"/>
      <c r="I1688" s="3" t="str" cm="1">
        <f t="array" ref="I16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89" spans="1:9" x14ac:dyDescent="0.3">
      <c r="A1689" s="3" t="str">
        <f>IF(SISTEMA!A1683="","",SISTEMA!A1683)</f>
        <v/>
      </c>
      <c r="B1689" s="10" t="str">
        <f>IF(SISTEMA!B1683="","",VALUE(SISTEMA!B1683))</f>
        <v/>
      </c>
      <c r="C1689" s="10" t="str">
        <f>IF(SISTEMA!C1683="","",SISTEMA!C1683)</f>
        <v/>
      </c>
      <c r="D1689" s="5" t="str" cm="1">
        <f t="array" ref="D16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89" s="5" t="str" cm="1">
        <f t="array" ref="E16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89" s="5" t="str" cm="1">
        <f t="array" ref="F16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89" t="str" cm="1">
        <f t="array" ref="G16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89" s="4"/>
      <c r="I1689" s="3" t="str" cm="1">
        <f t="array" ref="I16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0" spans="1:9" x14ac:dyDescent="0.3">
      <c r="A1690" s="3" t="str">
        <f>IF(SISTEMA!A1684="","",SISTEMA!A1684)</f>
        <v/>
      </c>
      <c r="B1690" s="10" t="str">
        <f>IF(SISTEMA!B1684="","",VALUE(SISTEMA!B1684))</f>
        <v/>
      </c>
      <c r="C1690" s="10" t="str">
        <f>IF(SISTEMA!C1684="","",SISTEMA!C1684)</f>
        <v/>
      </c>
      <c r="D1690" s="5" t="str" cm="1">
        <f t="array" ref="D16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0" s="5" t="str" cm="1">
        <f t="array" ref="E16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0" s="5" t="str" cm="1">
        <f t="array" ref="F16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0" t="str" cm="1">
        <f t="array" ref="G16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0" s="4"/>
      <c r="I1690" s="3" t="str" cm="1">
        <f t="array" ref="I16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1" spans="1:9" x14ac:dyDescent="0.3">
      <c r="A1691" s="3" t="str">
        <f>IF(SISTEMA!A1685="","",SISTEMA!A1685)</f>
        <v/>
      </c>
      <c r="B1691" s="10" t="str">
        <f>IF(SISTEMA!B1685="","",VALUE(SISTEMA!B1685))</f>
        <v/>
      </c>
      <c r="C1691" s="10" t="str">
        <f>IF(SISTEMA!C1685="","",SISTEMA!C1685)</f>
        <v/>
      </c>
      <c r="D1691" s="5" t="str" cm="1">
        <f t="array" ref="D16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1" s="5" t="str" cm="1">
        <f t="array" ref="E16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1" s="5" t="str" cm="1">
        <f t="array" ref="F16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1" t="str" cm="1">
        <f t="array" ref="G16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1" s="4"/>
      <c r="I1691" s="3" t="str" cm="1">
        <f t="array" ref="I16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2" spans="1:9" x14ac:dyDescent="0.3">
      <c r="A1692" s="3" t="str">
        <f>IF(SISTEMA!A1686="","",SISTEMA!A1686)</f>
        <v/>
      </c>
      <c r="B1692" s="10" t="str">
        <f>IF(SISTEMA!B1686="","",VALUE(SISTEMA!B1686))</f>
        <v/>
      </c>
      <c r="C1692" s="10" t="str">
        <f>IF(SISTEMA!C1686="","",SISTEMA!C1686)</f>
        <v/>
      </c>
      <c r="D1692" s="5" t="str" cm="1">
        <f t="array" ref="D16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2" s="5" t="str" cm="1">
        <f t="array" ref="E16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2" s="5" t="str" cm="1">
        <f t="array" ref="F16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2" t="str" cm="1">
        <f t="array" ref="G16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2" s="4"/>
      <c r="I1692" s="3" t="str" cm="1">
        <f t="array" ref="I16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3" spans="1:9" x14ac:dyDescent="0.3">
      <c r="A1693" s="3" t="str">
        <f>IF(SISTEMA!A1687="","",SISTEMA!A1687)</f>
        <v/>
      </c>
      <c r="B1693" s="10" t="str">
        <f>IF(SISTEMA!B1687="","",VALUE(SISTEMA!B1687))</f>
        <v/>
      </c>
      <c r="C1693" s="10" t="str">
        <f>IF(SISTEMA!C1687="","",SISTEMA!C1687)</f>
        <v/>
      </c>
      <c r="D1693" s="5" t="str" cm="1">
        <f t="array" ref="D16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3" s="5" t="str" cm="1">
        <f t="array" ref="E16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3" s="5" t="str" cm="1">
        <f t="array" ref="F16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3" t="str" cm="1">
        <f t="array" ref="G16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3" s="4"/>
      <c r="I1693" s="3" t="str" cm="1">
        <f t="array" ref="I16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4" spans="1:9" x14ac:dyDescent="0.3">
      <c r="A1694" s="3" t="str">
        <f>IF(SISTEMA!A1688="","",SISTEMA!A1688)</f>
        <v/>
      </c>
      <c r="B1694" s="10" t="str">
        <f>IF(SISTEMA!B1688="","",VALUE(SISTEMA!B1688))</f>
        <v/>
      </c>
      <c r="C1694" s="10" t="str">
        <f>IF(SISTEMA!C1688="","",SISTEMA!C1688)</f>
        <v/>
      </c>
      <c r="D1694" s="5" t="str" cm="1">
        <f t="array" ref="D16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4" s="5" t="str" cm="1">
        <f t="array" ref="E16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4" s="5" t="str" cm="1">
        <f t="array" ref="F16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4" t="str" cm="1">
        <f t="array" ref="G16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4" s="4"/>
      <c r="I1694" s="3" t="str" cm="1">
        <f t="array" ref="I16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5" spans="1:9" x14ac:dyDescent="0.3">
      <c r="A1695" s="3" t="str">
        <f>IF(SISTEMA!A1689="","",SISTEMA!A1689)</f>
        <v/>
      </c>
      <c r="B1695" s="10" t="str">
        <f>IF(SISTEMA!B1689="","",VALUE(SISTEMA!B1689))</f>
        <v/>
      </c>
      <c r="C1695" s="10" t="str">
        <f>IF(SISTEMA!C1689="","",SISTEMA!C1689)</f>
        <v/>
      </c>
      <c r="D1695" s="5" t="str" cm="1">
        <f t="array" ref="D16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5" s="5" t="str" cm="1">
        <f t="array" ref="E16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5" s="5" t="str" cm="1">
        <f t="array" ref="F16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5" t="str" cm="1">
        <f t="array" ref="G16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5" s="4"/>
      <c r="I1695" s="3" t="str" cm="1">
        <f t="array" ref="I16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6" spans="1:9" x14ac:dyDescent="0.3">
      <c r="A1696" s="3" t="str">
        <f>IF(SISTEMA!A1690="","",SISTEMA!A1690)</f>
        <v/>
      </c>
      <c r="B1696" s="10" t="str">
        <f>IF(SISTEMA!B1690="","",VALUE(SISTEMA!B1690))</f>
        <v/>
      </c>
      <c r="C1696" s="10" t="str">
        <f>IF(SISTEMA!C1690="","",SISTEMA!C1690)</f>
        <v/>
      </c>
      <c r="D1696" s="5" t="str" cm="1">
        <f t="array" ref="D16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6" s="5" t="str" cm="1">
        <f t="array" ref="E16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6" s="5" t="str" cm="1">
        <f t="array" ref="F16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6" t="str" cm="1">
        <f t="array" ref="G16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6" s="4"/>
      <c r="I1696" s="3" t="str" cm="1">
        <f t="array" ref="I16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7" spans="1:9" x14ac:dyDescent="0.3">
      <c r="A1697" s="3" t="str">
        <f>IF(SISTEMA!A1691="","",SISTEMA!A1691)</f>
        <v/>
      </c>
      <c r="B1697" s="10" t="str">
        <f>IF(SISTEMA!B1691="","",VALUE(SISTEMA!B1691))</f>
        <v/>
      </c>
      <c r="C1697" s="10" t="str">
        <f>IF(SISTEMA!C1691="","",SISTEMA!C1691)</f>
        <v/>
      </c>
      <c r="D1697" s="5" t="str" cm="1">
        <f t="array" ref="D16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7" s="5" t="str" cm="1">
        <f t="array" ref="E16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7" s="5" t="str" cm="1">
        <f t="array" ref="F16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7" t="str" cm="1">
        <f t="array" ref="G16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7" s="4"/>
      <c r="I1697" s="3" t="str" cm="1">
        <f t="array" ref="I16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8" spans="1:9" x14ac:dyDescent="0.3">
      <c r="A1698" s="3" t="str">
        <f>IF(SISTEMA!A1692="","",SISTEMA!A1692)</f>
        <v/>
      </c>
      <c r="B1698" s="10" t="str">
        <f>IF(SISTEMA!B1692="","",VALUE(SISTEMA!B1692))</f>
        <v/>
      </c>
      <c r="C1698" s="10" t="str">
        <f>IF(SISTEMA!C1692="","",SISTEMA!C1692)</f>
        <v/>
      </c>
      <c r="D1698" s="5" t="str" cm="1">
        <f t="array" ref="D16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8" s="5" t="str" cm="1">
        <f t="array" ref="E16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8" s="5" t="str" cm="1">
        <f t="array" ref="F16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8" t="str" cm="1">
        <f t="array" ref="G16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8" s="4"/>
      <c r="I1698" s="3" t="str" cm="1">
        <f t="array" ref="I16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699" spans="1:9" x14ac:dyDescent="0.3">
      <c r="A1699" s="3" t="str">
        <f>IF(SISTEMA!A1693="","",SISTEMA!A1693)</f>
        <v/>
      </c>
      <c r="B1699" s="10" t="str">
        <f>IF(SISTEMA!B1693="","",VALUE(SISTEMA!B1693))</f>
        <v/>
      </c>
      <c r="C1699" s="10" t="str">
        <f>IF(SISTEMA!C1693="","",SISTEMA!C1693)</f>
        <v/>
      </c>
      <c r="D1699" s="5" t="str" cm="1">
        <f t="array" ref="D16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699" s="5" t="str" cm="1">
        <f t="array" ref="E16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699" s="5" t="str" cm="1">
        <f t="array" ref="F16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699" t="str" cm="1">
        <f t="array" ref="G16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699" s="4"/>
      <c r="I1699" s="3" t="str" cm="1">
        <f t="array" ref="I16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0" spans="1:9" x14ac:dyDescent="0.3">
      <c r="A1700" s="3" t="str">
        <f>IF(SISTEMA!A1694="","",SISTEMA!A1694)</f>
        <v/>
      </c>
      <c r="B1700" s="10" t="str">
        <f>IF(SISTEMA!B1694="","",VALUE(SISTEMA!B1694))</f>
        <v/>
      </c>
      <c r="C1700" s="10" t="str">
        <f>IF(SISTEMA!C1694="","",SISTEMA!C1694)</f>
        <v/>
      </c>
      <c r="D1700" s="5" t="str" cm="1">
        <f t="array" ref="D17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0" s="5" t="str" cm="1">
        <f t="array" ref="E17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0" s="5" t="str" cm="1">
        <f t="array" ref="F17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0" t="str" cm="1">
        <f t="array" ref="G17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0" s="4"/>
      <c r="I1700" s="3" t="str" cm="1">
        <f t="array" ref="I17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1" spans="1:9" x14ac:dyDescent="0.3">
      <c r="A1701" s="3" t="str">
        <f>IF(SISTEMA!A1695="","",SISTEMA!A1695)</f>
        <v/>
      </c>
      <c r="B1701" s="10" t="str">
        <f>IF(SISTEMA!B1695="","",VALUE(SISTEMA!B1695))</f>
        <v/>
      </c>
      <c r="C1701" s="10" t="str">
        <f>IF(SISTEMA!C1695="","",SISTEMA!C1695)</f>
        <v/>
      </c>
      <c r="D1701" s="5" t="str" cm="1">
        <f t="array" ref="D17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1" s="5" t="str" cm="1">
        <f t="array" ref="E17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1" s="5" t="str" cm="1">
        <f t="array" ref="F17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1" t="str" cm="1">
        <f t="array" ref="G17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1" s="4"/>
      <c r="I1701" s="3" t="str" cm="1">
        <f t="array" ref="I17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2" spans="1:9" x14ac:dyDescent="0.3">
      <c r="A1702" s="3" t="str">
        <f>IF(SISTEMA!A1696="","",SISTEMA!A1696)</f>
        <v/>
      </c>
      <c r="B1702" s="10" t="str">
        <f>IF(SISTEMA!B1696="","",VALUE(SISTEMA!B1696))</f>
        <v/>
      </c>
      <c r="C1702" s="10" t="str">
        <f>IF(SISTEMA!C1696="","",SISTEMA!C1696)</f>
        <v/>
      </c>
      <c r="D1702" s="5" t="str" cm="1">
        <f t="array" ref="D17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2" s="5" t="str" cm="1">
        <f t="array" ref="E17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2" s="5" t="str" cm="1">
        <f t="array" ref="F17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2" t="str" cm="1">
        <f t="array" ref="G17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2" s="4"/>
      <c r="I1702" s="3" t="str" cm="1">
        <f t="array" ref="I17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3" spans="1:9" x14ac:dyDescent="0.3">
      <c r="A1703" s="3" t="str">
        <f>IF(SISTEMA!A1697="","",SISTEMA!A1697)</f>
        <v/>
      </c>
      <c r="B1703" s="10" t="str">
        <f>IF(SISTEMA!B1697="","",VALUE(SISTEMA!B1697))</f>
        <v/>
      </c>
      <c r="C1703" s="10" t="str">
        <f>IF(SISTEMA!C1697="","",SISTEMA!C1697)</f>
        <v/>
      </c>
      <c r="D1703" s="5" t="str" cm="1">
        <f t="array" ref="D17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3" s="5" t="str" cm="1">
        <f t="array" ref="E17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3" s="5" t="str" cm="1">
        <f t="array" ref="F17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3" t="str" cm="1">
        <f t="array" ref="G17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3" s="4"/>
      <c r="I1703" s="3" t="str" cm="1">
        <f t="array" ref="I17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4" spans="1:9" x14ac:dyDescent="0.3">
      <c r="A1704" s="3" t="str">
        <f>IF(SISTEMA!A1698="","",SISTEMA!A1698)</f>
        <v/>
      </c>
      <c r="B1704" s="10" t="str">
        <f>IF(SISTEMA!B1698="","",VALUE(SISTEMA!B1698))</f>
        <v/>
      </c>
      <c r="C1704" s="10" t="str">
        <f>IF(SISTEMA!C1698="","",SISTEMA!C1698)</f>
        <v/>
      </c>
      <c r="D1704" s="5" t="str" cm="1">
        <f t="array" ref="D17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4" s="5" t="str" cm="1">
        <f t="array" ref="E17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4" s="5" t="str" cm="1">
        <f t="array" ref="F17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4" t="str" cm="1">
        <f t="array" ref="G17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4" s="4"/>
      <c r="I1704" s="3" t="str" cm="1">
        <f t="array" ref="I17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5" spans="1:9" x14ac:dyDescent="0.3">
      <c r="A1705" s="3" t="str">
        <f>IF(SISTEMA!A1699="","",SISTEMA!A1699)</f>
        <v/>
      </c>
      <c r="B1705" s="10" t="str">
        <f>IF(SISTEMA!B1699="","",VALUE(SISTEMA!B1699))</f>
        <v/>
      </c>
      <c r="C1705" s="10" t="str">
        <f>IF(SISTEMA!C1699="","",SISTEMA!C1699)</f>
        <v/>
      </c>
      <c r="D1705" s="5" t="str" cm="1">
        <f t="array" ref="D17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5" s="5" t="str" cm="1">
        <f t="array" ref="E17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5" s="5" t="str" cm="1">
        <f t="array" ref="F17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5" t="str" cm="1">
        <f t="array" ref="G17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5" s="4"/>
      <c r="I1705" s="3" t="str" cm="1">
        <f t="array" ref="I17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6" spans="1:9" x14ac:dyDescent="0.3">
      <c r="A1706" s="3" t="str">
        <f>IF(SISTEMA!A1700="","",SISTEMA!A1700)</f>
        <v/>
      </c>
      <c r="B1706" s="10" t="str">
        <f>IF(SISTEMA!B1700="","",VALUE(SISTEMA!B1700))</f>
        <v/>
      </c>
      <c r="C1706" s="10" t="str">
        <f>IF(SISTEMA!C1700="","",SISTEMA!C1700)</f>
        <v/>
      </c>
      <c r="D1706" s="5" t="str" cm="1">
        <f t="array" ref="D17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6" s="5" t="str" cm="1">
        <f t="array" ref="E17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6" s="5" t="str" cm="1">
        <f t="array" ref="F17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6" t="str" cm="1">
        <f t="array" ref="G17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6" s="4"/>
      <c r="I1706" s="3" t="str" cm="1">
        <f t="array" ref="I17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7" spans="1:9" x14ac:dyDescent="0.3">
      <c r="A1707" s="3" t="str">
        <f>IF(SISTEMA!A1701="","",SISTEMA!A1701)</f>
        <v/>
      </c>
      <c r="B1707" s="10" t="str">
        <f>IF(SISTEMA!B1701="","",VALUE(SISTEMA!B1701))</f>
        <v/>
      </c>
      <c r="C1707" s="10" t="str">
        <f>IF(SISTEMA!C1701="","",SISTEMA!C1701)</f>
        <v/>
      </c>
      <c r="D1707" s="5" t="str" cm="1">
        <f t="array" ref="D17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7" s="5" t="str" cm="1">
        <f t="array" ref="E17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7" s="5" t="str" cm="1">
        <f t="array" ref="F17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7" t="str" cm="1">
        <f t="array" ref="G17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7" s="4"/>
      <c r="I1707" s="3" t="str" cm="1">
        <f t="array" ref="I17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8" spans="1:9" x14ac:dyDescent="0.3">
      <c r="A1708" s="3" t="str">
        <f>IF(SISTEMA!A1702="","",SISTEMA!A1702)</f>
        <v/>
      </c>
      <c r="B1708" s="10" t="str">
        <f>IF(SISTEMA!B1702="","",VALUE(SISTEMA!B1702))</f>
        <v/>
      </c>
      <c r="C1708" s="10" t="str">
        <f>IF(SISTEMA!C1702="","",SISTEMA!C1702)</f>
        <v/>
      </c>
      <c r="D1708" s="5" t="str" cm="1">
        <f t="array" ref="D17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8" s="5" t="str" cm="1">
        <f t="array" ref="E17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8" s="5" t="str" cm="1">
        <f t="array" ref="F17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8" t="str" cm="1">
        <f t="array" ref="G17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8" s="4"/>
      <c r="I1708" s="3" t="str" cm="1">
        <f t="array" ref="I17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09" spans="1:9" x14ac:dyDescent="0.3">
      <c r="A1709" s="3" t="str">
        <f>IF(SISTEMA!A1703="","",SISTEMA!A1703)</f>
        <v/>
      </c>
      <c r="B1709" s="10" t="str">
        <f>IF(SISTEMA!B1703="","",VALUE(SISTEMA!B1703))</f>
        <v/>
      </c>
      <c r="C1709" s="10" t="str">
        <f>IF(SISTEMA!C1703="","",SISTEMA!C1703)</f>
        <v/>
      </c>
      <c r="D1709" s="5" t="str" cm="1">
        <f t="array" ref="D17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09" s="5" t="str" cm="1">
        <f t="array" ref="E17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09" s="5" t="str" cm="1">
        <f t="array" ref="F17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09" t="str" cm="1">
        <f t="array" ref="G17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09" s="4"/>
      <c r="I1709" s="3" t="str" cm="1">
        <f t="array" ref="I17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0" spans="1:9" x14ac:dyDescent="0.3">
      <c r="A1710" s="3" t="str">
        <f>IF(SISTEMA!A1704="","",SISTEMA!A1704)</f>
        <v/>
      </c>
      <c r="B1710" s="10" t="str">
        <f>IF(SISTEMA!B1704="","",VALUE(SISTEMA!B1704))</f>
        <v/>
      </c>
      <c r="C1710" s="10" t="str">
        <f>IF(SISTEMA!C1704="","",SISTEMA!C1704)</f>
        <v/>
      </c>
      <c r="D1710" s="5" t="str" cm="1">
        <f t="array" ref="D17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0" s="5" t="str" cm="1">
        <f t="array" ref="E17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0" s="5" t="str" cm="1">
        <f t="array" ref="F17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0" t="str" cm="1">
        <f t="array" ref="G17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0" s="4"/>
      <c r="I1710" s="3" t="str" cm="1">
        <f t="array" ref="I17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1" spans="1:9" x14ac:dyDescent="0.3">
      <c r="A1711" s="3" t="str">
        <f>IF(SISTEMA!A1705="","",SISTEMA!A1705)</f>
        <v/>
      </c>
      <c r="B1711" s="10" t="str">
        <f>IF(SISTEMA!B1705="","",VALUE(SISTEMA!B1705))</f>
        <v/>
      </c>
      <c r="C1711" s="10" t="str">
        <f>IF(SISTEMA!C1705="","",SISTEMA!C1705)</f>
        <v/>
      </c>
      <c r="D1711" s="5" t="str" cm="1">
        <f t="array" ref="D17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1" s="5" t="str" cm="1">
        <f t="array" ref="E17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1" s="5" t="str" cm="1">
        <f t="array" ref="F17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1" t="str" cm="1">
        <f t="array" ref="G17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1" s="4"/>
      <c r="I1711" s="3" t="str" cm="1">
        <f t="array" ref="I17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2" spans="1:9" x14ac:dyDescent="0.3">
      <c r="A1712" s="3" t="str">
        <f>IF(SISTEMA!A1706="","",SISTEMA!A1706)</f>
        <v/>
      </c>
      <c r="B1712" s="10" t="str">
        <f>IF(SISTEMA!B1706="","",VALUE(SISTEMA!B1706))</f>
        <v/>
      </c>
      <c r="C1712" s="10" t="str">
        <f>IF(SISTEMA!C1706="","",SISTEMA!C1706)</f>
        <v/>
      </c>
      <c r="D1712" s="5" t="str" cm="1">
        <f t="array" ref="D17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2" s="5" t="str" cm="1">
        <f t="array" ref="E17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2" s="5" t="str" cm="1">
        <f t="array" ref="F17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2" t="str" cm="1">
        <f t="array" ref="G17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2" s="4"/>
      <c r="I1712" s="3" t="str" cm="1">
        <f t="array" ref="I17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3" spans="1:9" x14ac:dyDescent="0.3">
      <c r="A1713" s="3" t="str">
        <f>IF(SISTEMA!A1707="","",SISTEMA!A1707)</f>
        <v/>
      </c>
      <c r="B1713" s="10" t="str">
        <f>IF(SISTEMA!B1707="","",VALUE(SISTEMA!B1707))</f>
        <v/>
      </c>
      <c r="C1713" s="10" t="str">
        <f>IF(SISTEMA!C1707="","",SISTEMA!C1707)</f>
        <v/>
      </c>
      <c r="D1713" s="5" t="str" cm="1">
        <f t="array" ref="D17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3" s="5" t="str" cm="1">
        <f t="array" ref="E17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3" s="5" t="str" cm="1">
        <f t="array" ref="F17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3" t="str" cm="1">
        <f t="array" ref="G17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3" s="4"/>
      <c r="I1713" s="3" t="str" cm="1">
        <f t="array" ref="I17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4" spans="1:9" x14ac:dyDescent="0.3">
      <c r="A1714" s="3" t="str">
        <f>IF(SISTEMA!A1708="","",SISTEMA!A1708)</f>
        <v/>
      </c>
      <c r="B1714" s="10" t="str">
        <f>IF(SISTEMA!B1708="","",VALUE(SISTEMA!B1708))</f>
        <v/>
      </c>
      <c r="C1714" s="10" t="str">
        <f>IF(SISTEMA!C1708="","",SISTEMA!C1708)</f>
        <v/>
      </c>
      <c r="D1714" s="5" t="str" cm="1">
        <f t="array" ref="D17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4" s="5" t="str" cm="1">
        <f t="array" ref="E17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4" s="5" t="str" cm="1">
        <f t="array" ref="F17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4" t="str" cm="1">
        <f t="array" ref="G17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4" s="4"/>
      <c r="I1714" s="3" t="str" cm="1">
        <f t="array" ref="I17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5" spans="1:9" x14ac:dyDescent="0.3">
      <c r="A1715" s="3" t="str">
        <f>IF(SISTEMA!A1709="","",SISTEMA!A1709)</f>
        <v/>
      </c>
      <c r="B1715" s="10" t="str">
        <f>IF(SISTEMA!B1709="","",VALUE(SISTEMA!B1709))</f>
        <v/>
      </c>
      <c r="C1715" s="10" t="str">
        <f>IF(SISTEMA!C1709="","",SISTEMA!C1709)</f>
        <v/>
      </c>
      <c r="D1715" s="5" t="str" cm="1">
        <f t="array" ref="D17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5" s="5" t="str" cm="1">
        <f t="array" ref="E17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5" s="5" t="str" cm="1">
        <f t="array" ref="F17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5" t="str" cm="1">
        <f t="array" ref="G17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5" s="4"/>
      <c r="I1715" s="3" t="str" cm="1">
        <f t="array" ref="I17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6" spans="1:9" x14ac:dyDescent="0.3">
      <c r="A1716" s="3" t="str">
        <f>IF(SISTEMA!A1710="","",SISTEMA!A1710)</f>
        <v/>
      </c>
      <c r="B1716" s="10" t="str">
        <f>IF(SISTEMA!B1710="","",VALUE(SISTEMA!B1710))</f>
        <v/>
      </c>
      <c r="C1716" s="10" t="str">
        <f>IF(SISTEMA!C1710="","",SISTEMA!C1710)</f>
        <v/>
      </c>
      <c r="D1716" s="5" t="str" cm="1">
        <f t="array" ref="D17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6" s="5" t="str" cm="1">
        <f t="array" ref="E17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6" s="5" t="str" cm="1">
        <f t="array" ref="F17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6" t="str" cm="1">
        <f t="array" ref="G17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6" s="4"/>
      <c r="I1716" s="3" t="str" cm="1">
        <f t="array" ref="I17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7" spans="1:9" x14ac:dyDescent="0.3">
      <c r="A1717" s="3" t="str">
        <f>IF(SISTEMA!A1711="","",SISTEMA!A1711)</f>
        <v/>
      </c>
      <c r="B1717" s="10" t="str">
        <f>IF(SISTEMA!B1711="","",VALUE(SISTEMA!B1711))</f>
        <v/>
      </c>
      <c r="C1717" s="10" t="str">
        <f>IF(SISTEMA!C1711="","",SISTEMA!C1711)</f>
        <v/>
      </c>
      <c r="D1717" s="5" t="str" cm="1">
        <f t="array" ref="D17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7" s="5" t="str" cm="1">
        <f t="array" ref="E17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7" s="5" t="str" cm="1">
        <f t="array" ref="F17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7" t="str" cm="1">
        <f t="array" ref="G17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7" s="4"/>
      <c r="I1717" s="3" t="str" cm="1">
        <f t="array" ref="I17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8" spans="1:9" x14ac:dyDescent="0.3">
      <c r="A1718" s="3" t="str">
        <f>IF(SISTEMA!A1712="","",SISTEMA!A1712)</f>
        <v/>
      </c>
      <c r="B1718" s="10" t="str">
        <f>IF(SISTEMA!B1712="","",VALUE(SISTEMA!B1712))</f>
        <v/>
      </c>
      <c r="C1718" s="10" t="str">
        <f>IF(SISTEMA!C1712="","",SISTEMA!C1712)</f>
        <v/>
      </c>
      <c r="D1718" s="5" t="str" cm="1">
        <f t="array" ref="D17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8" s="5" t="str" cm="1">
        <f t="array" ref="E17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8" s="5" t="str" cm="1">
        <f t="array" ref="F17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8" t="str" cm="1">
        <f t="array" ref="G17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8" s="4"/>
      <c r="I1718" s="3" t="str" cm="1">
        <f t="array" ref="I17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19" spans="1:9" x14ac:dyDescent="0.3">
      <c r="A1719" s="3" t="str">
        <f>IF(SISTEMA!A1713="","",SISTEMA!A1713)</f>
        <v/>
      </c>
      <c r="B1719" s="10" t="str">
        <f>IF(SISTEMA!B1713="","",VALUE(SISTEMA!B1713))</f>
        <v/>
      </c>
      <c r="C1719" s="10" t="str">
        <f>IF(SISTEMA!C1713="","",SISTEMA!C1713)</f>
        <v/>
      </c>
      <c r="D1719" s="5" t="str" cm="1">
        <f t="array" ref="D17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19" s="5" t="str" cm="1">
        <f t="array" ref="E17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19" s="5" t="str" cm="1">
        <f t="array" ref="F17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19" t="str" cm="1">
        <f t="array" ref="G17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19" s="4"/>
      <c r="I1719" s="3" t="str" cm="1">
        <f t="array" ref="I17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0" spans="1:9" x14ac:dyDescent="0.3">
      <c r="A1720" s="3" t="str">
        <f>IF(SISTEMA!A1714="","",SISTEMA!A1714)</f>
        <v/>
      </c>
      <c r="B1720" s="10" t="str">
        <f>IF(SISTEMA!B1714="","",VALUE(SISTEMA!B1714))</f>
        <v/>
      </c>
      <c r="C1720" s="10" t="str">
        <f>IF(SISTEMA!C1714="","",SISTEMA!C1714)</f>
        <v/>
      </c>
      <c r="D1720" s="5" t="str" cm="1">
        <f t="array" ref="D17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0" s="5" t="str" cm="1">
        <f t="array" ref="E17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0" s="5" t="str" cm="1">
        <f t="array" ref="F17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0" t="str" cm="1">
        <f t="array" ref="G17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0" s="4"/>
      <c r="I1720" s="3" t="str" cm="1">
        <f t="array" ref="I17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1" spans="1:9" x14ac:dyDescent="0.3">
      <c r="A1721" s="3" t="str">
        <f>IF(SISTEMA!A1715="","",SISTEMA!A1715)</f>
        <v/>
      </c>
      <c r="B1721" s="10" t="str">
        <f>IF(SISTEMA!B1715="","",VALUE(SISTEMA!B1715))</f>
        <v/>
      </c>
      <c r="C1721" s="10" t="str">
        <f>IF(SISTEMA!C1715="","",SISTEMA!C1715)</f>
        <v/>
      </c>
      <c r="D1721" s="5" t="str" cm="1">
        <f t="array" ref="D17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1" s="5" t="str" cm="1">
        <f t="array" ref="E17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1" s="5" t="str" cm="1">
        <f t="array" ref="F17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1" t="str" cm="1">
        <f t="array" ref="G17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1" s="4"/>
      <c r="I1721" s="3" t="str" cm="1">
        <f t="array" ref="I17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2" spans="1:9" x14ac:dyDescent="0.3">
      <c r="A1722" s="3" t="str">
        <f>IF(SISTEMA!A1716="","",SISTEMA!A1716)</f>
        <v/>
      </c>
      <c r="B1722" s="10" t="str">
        <f>IF(SISTEMA!B1716="","",VALUE(SISTEMA!B1716))</f>
        <v/>
      </c>
      <c r="C1722" s="10" t="str">
        <f>IF(SISTEMA!C1716="","",SISTEMA!C1716)</f>
        <v/>
      </c>
      <c r="D1722" s="5" t="str" cm="1">
        <f t="array" ref="D17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2" s="5" t="str" cm="1">
        <f t="array" ref="E17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2" s="5" t="str" cm="1">
        <f t="array" ref="F17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2" t="str" cm="1">
        <f t="array" ref="G17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2" s="4"/>
      <c r="I1722" s="3" t="str" cm="1">
        <f t="array" ref="I17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3" spans="1:9" x14ac:dyDescent="0.3">
      <c r="A1723" s="3" t="str">
        <f>IF(SISTEMA!A1717="","",SISTEMA!A1717)</f>
        <v/>
      </c>
      <c r="B1723" s="10" t="str">
        <f>IF(SISTEMA!B1717="","",VALUE(SISTEMA!B1717))</f>
        <v/>
      </c>
      <c r="C1723" s="10" t="str">
        <f>IF(SISTEMA!C1717="","",SISTEMA!C1717)</f>
        <v/>
      </c>
      <c r="D1723" s="5" t="str" cm="1">
        <f t="array" ref="D17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3" s="5" t="str" cm="1">
        <f t="array" ref="E17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3" s="5" t="str" cm="1">
        <f t="array" ref="F17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3" t="str" cm="1">
        <f t="array" ref="G17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3" s="4"/>
      <c r="I1723" s="3" t="str" cm="1">
        <f t="array" ref="I17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4" spans="1:9" x14ac:dyDescent="0.3">
      <c r="A1724" s="3" t="str">
        <f>IF(SISTEMA!A1718="","",SISTEMA!A1718)</f>
        <v/>
      </c>
      <c r="B1724" s="10" t="str">
        <f>IF(SISTEMA!B1718="","",VALUE(SISTEMA!B1718))</f>
        <v/>
      </c>
      <c r="C1724" s="10" t="str">
        <f>IF(SISTEMA!C1718="","",SISTEMA!C1718)</f>
        <v/>
      </c>
      <c r="D1724" s="5" t="str" cm="1">
        <f t="array" ref="D17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4" s="5" t="str" cm="1">
        <f t="array" ref="E17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4" s="5" t="str" cm="1">
        <f t="array" ref="F17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4" t="str" cm="1">
        <f t="array" ref="G17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4" s="4"/>
      <c r="I1724" s="3" t="str" cm="1">
        <f t="array" ref="I17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5" spans="1:9" x14ac:dyDescent="0.3">
      <c r="A1725" s="3" t="str">
        <f>IF(SISTEMA!A1719="","",SISTEMA!A1719)</f>
        <v/>
      </c>
      <c r="B1725" s="10" t="str">
        <f>IF(SISTEMA!B1719="","",VALUE(SISTEMA!B1719))</f>
        <v/>
      </c>
      <c r="C1725" s="10" t="str">
        <f>IF(SISTEMA!C1719="","",SISTEMA!C1719)</f>
        <v/>
      </c>
      <c r="D1725" s="5" t="str" cm="1">
        <f t="array" ref="D17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5" s="5" t="str" cm="1">
        <f t="array" ref="E17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5" s="5" t="str" cm="1">
        <f t="array" ref="F17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5" t="str" cm="1">
        <f t="array" ref="G17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5" s="4"/>
      <c r="I1725" s="3" t="str" cm="1">
        <f t="array" ref="I17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6" spans="1:9" x14ac:dyDescent="0.3">
      <c r="A1726" s="3" t="str">
        <f>IF(SISTEMA!A1720="","",SISTEMA!A1720)</f>
        <v/>
      </c>
      <c r="B1726" s="10" t="str">
        <f>IF(SISTEMA!B1720="","",VALUE(SISTEMA!B1720))</f>
        <v/>
      </c>
      <c r="C1726" s="10" t="str">
        <f>IF(SISTEMA!C1720="","",SISTEMA!C1720)</f>
        <v/>
      </c>
      <c r="D1726" s="5" t="str" cm="1">
        <f t="array" ref="D17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6" s="5" t="str" cm="1">
        <f t="array" ref="E17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6" s="5" t="str" cm="1">
        <f t="array" ref="F17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6" t="str" cm="1">
        <f t="array" ref="G17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6" s="4"/>
      <c r="I1726" s="3" t="str" cm="1">
        <f t="array" ref="I17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7" spans="1:9" x14ac:dyDescent="0.3">
      <c r="A1727" s="3" t="str">
        <f>IF(SISTEMA!A1721="","",SISTEMA!A1721)</f>
        <v/>
      </c>
      <c r="B1727" s="10" t="str">
        <f>IF(SISTEMA!B1721="","",VALUE(SISTEMA!B1721))</f>
        <v/>
      </c>
      <c r="C1727" s="10" t="str">
        <f>IF(SISTEMA!C1721="","",SISTEMA!C1721)</f>
        <v/>
      </c>
      <c r="D1727" s="5" t="str" cm="1">
        <f t="array" ref="D17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7" s="5" t="str" cm="1">
        <f t="array" ref="E17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7" s="5" t="str" cm="1">
        <f t="array" ref="F17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7" t="str" cm="1">
        <f t="array" ref="G17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7" s="4"/>
      <c r="I1727" s="3" t="str" cm="1">
        <f t="array" ref="I17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8" spans="1:9" x14ac:dyDescent="0.3">
      <c r="A1728" s="3" t="str">
        <f>IF(SISTEMA!A1722="","",SISTEMA!A1722)</f>
        <v/>
      </c>
      <c r="B1728" s="10" t="str">
        <f>IF(SISTEMA!B1722="","",VALUE(SISTEMA!B1722))</f>
        <v/>
      </c>
      <c r="C1728" s="10" t="str">
        <f>IF(SISTEMA!C1722="","",SISTEMA!C1722)</f>
        <v/>
      </c>
      <c r="D1728" s="5" t="str" cm="1">
        <f t="array" ref="D17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8" s="5" t="str" cm="1">
        <f t="array" ref="E17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8" s="5" t="str" cm="1">
        <f t="array" ref="F17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8" t="str" cm="1">
        <f t="array" ref="G17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8" s="4"/>
      <c r="I1728" s="3" t="str" cm="1">
        <f t="array" ref="I17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29" spans="1:9" x14ac:dyDescent="0.3">
      <c r="A1729" s="3" t="str">
        <f>IF(SISTEMA!A1723="","",SISTEMA!A1723)</f>
        <v/>
      </c>
      <c r="B1729" s="10" t="str">
        <f>IF(SISTEMA!B1723="","",VALUE(SISTEMA!B1723))</f>
        <v/>
      </c>
      <c r="C1729" s="10" t="str">
        <f>IF(SISTEMA!C1723="","",SISTEMA!C1723)</f>
        <v/>
      </c>
      <c r="D1729" s="5" t="str" cm="1">
        <f t="array" ref="D17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29" s="5" t="str" cm="1">
        <f t="array" ref="E17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29" s="5" t="str" cm="1">
        <f t="array" ref="F17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29" t="str" cm="1">
        <f t="array" ref="G17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29" s="4"/>
      <c r="I1729" s="3" t="str" cm="1">
        <f t="array" ref="I17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0" spans="1:9" x14ac:dyDescent="0.3">
      <c r="A1730" s="3" t="str">
        <f>IF(SISTEMA!A1724="","",SISTEMA!A1724)</f>
        <v/>
      </c>
      <c r="B1730" s="10" t="str">
        <f>IF(SISTEMA!B1724="","",VALUE(SISTEMA!B1724))</f>
        <v/>
      </c>
      <c r="C1730" s="10" t="str">
        <f>IF(SISTEMA!C1724="","",SISTEMA!C1724)</f>
        <v/>
      </c>
      <c r="D1730" s="5" t="str" cm="1">
        <f t="array" ref="D17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0" s="5" t="str" cm="1">
        <f t="array" ref="E17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0" s="5" t="str" cm="1">
        <f t="array" ref="F17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0" t="str" cm="1">
        <f t="array" ref="G17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0" s="4"/>
      <c r="I1730" s="3" t="str" cm="1">
        <f t="array" ref="I17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1" spans="1:9" x14ac:dyDescent="0.3">
      <c r="A1731" s="3" t="str">
        <f>IF(SISTEMA!A1725="","",SISTEMA!A1725)</f>
        <v/>
      </c>
      <c r="B1731" s="10" t="str">
        <f>IF(SISTEMA!B1725="","",VALUE(SISTEMA!B1725))</f>
        <v/>
      </c>
      <c r="C1731" s="10" t="str">
        <f>IF(SISTEMA!C1725="","",SISTEMA!C1725)</f>
        <v/>
      </c>
      <c r="D1731" s="5" t="str" cm="1">
        <f t="array" ref="D17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1" s="5" t="str" cm="1">
        <f t="array" ref="E17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1" s="5" t="str" cm="1">
        <f t="array" ref="F17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1" t="str" cm="1">
        <f t="array" ref="G17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1" s="4"/>
      <c r="I1731" s="3" t="str" cm="1">
        <f t="array" ref="I17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2" spans="1:9" x14ac:dyDescent="0.3">
      <c r="A1732" s="3" t="str">
        <f>IF(SISTEMA!A1726="","",SISTEMA!A1726)</f>
        <v/>
      </c>
      <c r="B1732" s="10" t="str">
        <f>IF(SISTEMA!B1726="","",VALUE(SISTEMA!B1726))</f>
        <v/>
      </c>
      <c r="C1732" s="10" t="str">
        <f>IF(SISTEMA!C1726="","",SISTEMA!C1726)</f>
        <v/>
      </c>
      <c r="D1732" s="5" t="str" cm="1">
        <f t="array" ref="D17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2" s="5" t="str" cm="1">
        <f t="array" ref="E17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2" s="5" t="str" cm="1">
        <f t="array" ref="F17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2" t="str" cm="1">
        <f t="array" ref="G17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2" s="4"/>
      <c r="I1732" s="3" t="str" cm="1">
        <f t="array" ref="I17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3" spans="1:9" x14ac:dyDescent="0.3">
      <c r="A1733" s="3" t="str">
        <f>IF(SISTEMA!A1727="","",SISTEMA!A1727)</f>
        <v/>
      </c>
      <c r="B1733" s="10" t="str">
        <f>IF(SISTEMA!B1727="","",VALUE(SISTEMA!B1727))</f>
        <v/>
      </c>
      <c r="C1733" s="10" t="str">
        <f>IF(SISTEMA!C1727="","",SISTEMA!C1727)</f>
        <v/>
      </c>
      <c r="D1733" s="5" t="str" cm="1">
        <f t="array" ref="D17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3" s="5" t="str" cm="1">
        <f t="array" ref="E17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3" s="5" t="str" cm="1">
        <f t="array" ref="F17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3" t="str" cm="1">
        <f t="array" ref="G17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3" s="4"/>
      <c r="I1733" s="3" t="str" cm="1">
        <f t="array" ref="I17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4" spans="1:9" x14ac:dyDescent="0.3">
      <c r="A1734" s="3" t="str">
        <f>IF(SISTEMA!A1728="","",SISTEMA!A1728)</f>
        <v/>
      </c>
      <c r="B1734" s="10" t="str">
        <f>IF(SISTEMA!B1728="","",VALUE(SISTEMA!B1728))</f>
        <v/>
      </c>
      <c r="C1734" s="10" t="str">
        <f>IF(SISTEMA!C1728="","",SISTEMA!C1728)</f>
        <v/>
      </c>
      <c r="D1734" s="5" t="str" cm="1">
        <f t="array" ref="D17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4" s="5" t="str" cm="1">
        <f t="array" ref="E17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4" s="5" t="str" cm="1">
        <f t="array" ref="F17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4" t="str" cm="1">
        <f t="array" ref="G17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4" s="4"/>
      <c r="I1734" s="3" t="str" cm="1">
        <f t="array" ref="I17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5" spans="1:9" x14ac:dyDescent="0.3">
      <c r="A1735" s="3" t="str">
        <f>IF(SISTEMA!A1729="","",SISTEMA!A1729)</f>
        <v/>
      </c>
      <c r="B1735" s="10" t="str">
        <f>IF(SISTEMA!B1729="","",VALUE(SISTEMA!B1729))</f>
        <v/>
      </c>
      <c r="C1735" s="10" t="str">
        <f>IF(SISTEMA!C1729="","",SISTEMA!C1729)</f>
        <v/>
      </c>
      <c r="D1735" s="5" t="str" cm="1">
        <f t="array" ref="D17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5" s="5" t="str" cm="1">
        <f t="array" ref="E17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5" s="5" t="str" cm="1">
        <f t="array" ref="F17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5" t="str" cm="1">
        <f t="array" ref="G17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5" s="4"/>
      <c r="I1735" s="3" t="str" cm="1">
        <f t="array" ref="I17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6" spans="1:9" x14ac:dyDescent="0.3">
      <c r="A1736" s="3" t="str">
        <f>IF(SISTEMA!A1730="","",SISTEMA!A1730)</f>
        <v/>
      </c>
      <c r="B1736" s="10" t="str">
        <f>IF(SISTEMA!B1730="","",VALUE(SISTEMA!B1730))</f>
        <v/>
      </c>
      <c r="C1736" s="10" t="str">
        <f>IF(SISTEMA!C1730="","",SISTEMA!C1730)</f>
        <v/>
      </c>
      <c r="D1736" s="5" t="str" cm="1">
        <f t="array" ref="D17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6" s="5" t="str" cm="1">
        <f t="array" ref="E17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6" s="5" t="str" cm="1">
        <f t="array" ref="F17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6" t="str" cm="1">
        <f t="array" ref="G17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6" s="4"/>
      <c r="I1736" s="3" t="str" cm="1">
        <f t="array" ref="I17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7" spans="1:9" x14ac:dyDescent="0.3">
      <c r="A1737" s="3" t="str">
        <f>IF(SISTEMA!A1731="","",SISTEMA!A1731)</f>
        <v/>
      </c>
      <c r="B1737" s="10" t="str">
        <f>IF(SISTEMA!B1731="","",VALUE(SISTEMA!B1731))</f>
        <v/>
      </c>
      <c r="C1737" s="10" t="str">
        <f>IF(SISTEMA!C1731="","",SISTEMA!C1731)</f>
        <v/>
      </c>
      <c r="D1737" s="5" t="str" cm="1">
        <f t="array" ref="D17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7" s="5" t="str" cm="1">
        <f t="array" ref="E17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7" s="5" t="str" cm="1">
        <f t="array" ref="F17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7" t="str" cm="1">
        <f t="array" ref="G17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7" s="4"/>
      <c r="I1737" s="3" t="str" cm="1">
        <f t="array" ref="I17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8" spans="1:9" x14ac:dyDescent="0.3">
      <c r="A1738" s="3" t="str">
        <f>IF(SISTEMA!A1732="","",SISTEMA!A1732)</f>
        <v/>
      </c>
      <c r="B1738" s="10" t="str">
        <f>IF(SISTEMA!B1732="","",VALUE(SISTEMA!B1732))</f>
        <v/>
      </c>
      <c r="C1738" s="10" t="str">
        <f>IF(SISTEMA!C1732="","",SISTEMA!C1732)</f>
        <v/>
      </c>
      <c r="D1738" s="5" t="str" cm="1">
        <f t="array" ref="D17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8" s="5" t="str" cm="1">
        <f t="array" ref="E17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8" s="5" t="str" cm="1">
        <f t="array" ref="F17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8" t="str" cm="1">
        <f t="array" ref="G17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8" s="4"/>
      <c r="I1738" s="3" t="str" cm="1">
        <f t="array" ref="I17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39" spans="1:9" x14ac:dyDescent="0.3">
      <c r="A1739" s="3" t="str">
        <f>IF(SISTEMA!A1733="","",SISTEMA!A1733)</f>
        <v/>
      </c>
      <c r="B1739" s="10" t="str">
        <f>IF(SISTEMA!B1733="","",VALUE(SISTEMA!B1733))</f>
        <v/>
      </c>
      <c r="C1739" s="10" t="str">
        <f>IF(SISTEMA!C1733="","",SISTEMA!C1733)</f>
        <v/>
      </c>
      <c r="D1739" s="5" t="str" cm="1">
        <f t="array" ref="D17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39" s="5" t="str" cm="1">
        <f t="array" ref="E17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39" s="5" t="str" cm="1">
        <f t="array" ref="F17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39" t="str" cm="1">
        <f t="array" ref="G17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39" s="4"/>
      <c r="I1739" s="3" t="str" cm="1">
        <f t="array" ref="I17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0" spans="1:9" x14ac:dyDescent="0.3">
      <c r="A1740" s="3" t="str">
        <f>IF(SISTEMA!A1734="","",SISTEMA!A1734)</f>
        <v/>
      </c>
      <c r="B1740" s="10" t="str">
        <f>IF(SISTEMA!B1734="","",VALUE(SISTEMA!B1734))</f>
        <v/>
      </c>
      <c r="C1740" s="10" t="str">
        <f>IF(SISTEMA!C1734="","",SISTEMA!C1734)</f>
        <v/>
      </c>
      <c r="D1740" s="5" t="str" cm="1">
        <f t="array" ref="D17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0" s="5" t="str" cm="1">
        <f t="array" ref="E17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0" s="5" t="str" cm="1">
        <f t="array" ref="F17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0" t="str" cm="1">
        <f t="array" ref="G17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0" s="4"/>
      <c r="I1740" s="3" t="str" cm="1">
        <f t="array" ref="I17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1" spans="1:9" x14ac:dyDescent="0.3">
      <c r="A1741" s="3" t="str">
        <f>IF(SISTEMA!A1735="","",SISTEMA!A1735)</f>
        <v/>
      </c>
      <c r="B1741" s="10" t="str">
        <f>IF(SISTEMA!B1735="","",VALUE(SISTEMA!B1735))</f>
        <v/>
      </c>
      <c r="C1741" s="10" t="str">
        <f>IF(SISTEMA!C1735="","",SISTEMA!C1735)</f>
        <v/>
      </c>
      <c r="D1741" s="5" t="str" cm="1">
        <f t="array" ref="D17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1" s="5" t="str" cm="1">
        <f t="array" ref="E17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1" s="5" t="str" cm="1">
        <f t="array" ref="F17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1" t="str" cm="1">
        <f t="array" ref="G17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1" s="4"/>
      <c r="I1741" s="3" t="str" cm="1">
        <f t="array" ref="I17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2" spans="1:9" x14ac:dyDescent="0.3">
      <c r="A1742" s="3" t="str">
        <f>IF(SISTEMA!A1736="","",SISTEMA!A1736)</f>
        <v/>
      </c>
      <c r="B1742" s="10" t="str">
        <f>IF(SISTEMA!B1736="","",VALUE(SISTEMA!B1736))</f>
        <v/>
      </c>
      <c r="C1742" s="10" t="str">
        <f>IF(SISTEMA!C1736="","",SISTEMA!C1736)</f>
        <v/>
      </c>
      <c r="D1742" s="5" t="str" cm="1">
        <f t="array" ref="D17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2" s="5" t="str" cm="1">
        <f t="array" ref="E17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2" s="5" t="str" cm="1">
        <f t="array" ref="F17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2" t="str" cm="1">
        <f t="array" ref="G17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2" s="4"/>
      <c r="I1742" s="3" t="str" cm="1">
        <f t="array" ref="I17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3" spans="1:9" x14ac:dyDescent="0.3">
      <c r="A1743" s="3" t="str">
        <f>IF(SISTEMA!A1737="","",SISTEMA!A1737)</f>
        <v/>
      </c>
      <c r="B1743" s="10" t="str">
        <f>IF(SISTEMA!B1737="","",VALUE(SISTEMA!B1737))</f>
        <v/>
      </c>
      <c r="C1743" s="10" t="str">
        <f>IF(SISTEMA!C1737="","",SISTEMA!C1737)</f>
        <v/>
      </c>
      <c r="D1743" s="5" t="str" cm="1">
        <f t="array" ref="D17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3" s="5" t="str" cm="1">
        <f t="array" ref="E17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3" s="5" t="str" cm="1">
        <f t="array" ref="F17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3" t="str" cm="1">
        <f t="array" ref="G17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3" s="4"/>
      <c r="I1743" s="3" t="str" cm="1">
        <f t="array" ref="I17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4" spans="1:9" x14ac:dyDescent="0.3">
      <c r="A1744" s="3" t="str">
        <f>IF(SISTEMA!A1738="","",SISTEMA!A1738)</f>
        <v/>
      </c>
      <c r="B1744" s="10" t="str">
        <f>IF(SISTEMA!B1738="","",VALUE(SISTEMA!B1738))</f>
        <v/>
      </c>
      <c r="C1744" s="10" t="str">
        <f>IF(SISTEMA!C1738="","",SISTEMA!C1738)</f>
        <v/>
      </c>
      <c r="D1744" s="5" t="str" cm="1">
        <f t="array" ref="D17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4" s="5" t="str" cm="1">
        <f t="array" ref="E17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4" s="5" t="str" cm="1">
        <f t="array" ref="F17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4" t="str" cm="1">
        <f t="array" ref="G17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4" s="4"/>
      <c r="I1744" s="3" t="str" cm="1">
        <f t="array" ref="I17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5" spans="1:9" x14ac:dyDescent="0.3">
      <c r="A1745" s="3" t="str">
        <f>IF(SISTEMA!A1739="","",SISTEMA!A1739)</f>
        <v/>
      </c>
      <c r="B1745" s="10" t="str">
        <f>IF(SISTEMA!B1739="","",VALUE(SISTEMA!B1739))</f>
        <v/>
      </c>
      <c r="C1745" s="10" t="str">
        <f>IF(SISTEMA!C1739="","",SISTEMA!C1739)</f>
        <v/>
      </c>
      <c r="D1745" s="5" t="str" cm="1">
        <f t="array" ref="D17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5" s="5" t="str" cm="1">
        <f t="array" ref="E17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5" s="5" t="str" cm="1">
        <f t="array" ref="F17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5" t="str" cm="1">
        <f t="array" ref="G17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5" s="4"/>
      <c r="I1745" s="3" t="str" cm="1">
        <f t="array" ref="I17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6" spans="1:9" x14ac:dyDescent="0.3">
      <c r="A1746" s="3" t="str">
        <f>IF(SISTEMA!A1740="","",SISTEMA!A1740)</f>
        <v/>
      </c>
      <c r="B1746" s="10" t="str">
        <f>IF(SISTEMA!B1740="","",VALUE(SISTEMA!B1740))</f>
        <v/>
      </c>
      <c r="C1746" s="10" t="str">
        <f>IF(SISTEMA!C1740="","",SISTEMA!C1740)</f>
        <v/>
      </c>
      <c r="D1746" s="5" t="str" cm="1">
        <f t="array" ref="D17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6" s="5" t="str" cm="1">
        <f t="array" ref="E17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6" s="5" t="str" cm="1">
        <f t="array" ref="F17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6" t="str" cm="1">
        <f t="array" ref="G17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6" s="4"/>
      <c r="I1746" s="3" t="str" cm="1">
        <f t="array" ref="I17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7" spans="1:9" x14ac:dyDescent="0.3">
      <c r="A1747" s="3" t="str">
        <f>IF(SISTEMA!A1741="","",SISTEMA!A1741)</f>
        <v/>
      </c>
      <c r="B1747" s="10" t="str">
        <f>IF(SISTEMA!B1741="","",VALUE(SISTEMA!B1741))</f>
        <v/>
      </c>
      <c r="C1747" s="10" t="str">
        <f>IF(SISTEMA!C1741="","",SISTEMA!C1741)</f>
        <v/>
      </c>
      <c r="D1747" s="5" t="str" cm="1">
        <f t="array" ref="D17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7" s="5" t="str" cm="1">
        <f t="array" ref="E17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7" s="5" t="str" cm="1">
        <f t="array" ref="F17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7" t="str" cm="1">
        <f t="array" ref="G17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7" s="4"/>
      <c r="I1747" s="3" t="str" cm="1">
        <f t="array" ref="I17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8" spans="1:9" x14ac:dyDescent="0.3">
      <c r="A1748" s="3" t="str">
        <f>IF(SISTEMA!A1742="","",SISTEMA!A1742)</f>
        <v/>
      </c>
      <c r="B1748" s="10" t="str">
        <f>IF(SISTEMA!B1742="","",VALUE(SISTEMA!B1742))</f>
        <v/>
      </c>
      <c r="C1748" s="10" t="str">
        <f>IF(SISTEMA!C1742="","",SISTEMA!C1742)</f>
        <v/>
      </c>
      <c r="D1748" s="5" t="str" cm="1">
        <f t="array" ref="D17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8" s="5" t="str" cm="1">
        <f t="array" ref="E17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8" s="5" t="str" cm="1">
        <f t="array" ref="F17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8" t="str" cm="1">
        <f t="array" ref="G17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8" s="4"/>
      <c r="I1748" s="3" t="str" cm="1">
        <f t="array" ref="I17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49" spans="1:9" x14ac:dyDescent="0.3">
      <c r="A1749" s="3" t="str">
        <f>IF(SISTEMA!A1743="","",SISTEMA!A1743)</f>
        <v/>
      </c>
      <c r="B1749" s="10" t="str">
        <f>IF(SISTEMA!B1743="","",VALUE(SISTEMA!B1743))</f>
        <v/>
      </c>
      <c r="C1749" s="10" t="str">
        <f>IF(SISTEMA!C1743="","",SISTEMA!C1743)</f>
        <v/>
      </c>
      <c r="D1749" s="5" t="str" cm="1">
        <f t="array" ref="D17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49" s="5" t="str" cm="1">
        <f t="array" ref="E17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49" s="5" t="str" cm="1">
        <f t="array" ref="F17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49" t="str" cm="1">
        <f t="array" ref="G17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49" s="4"/>
      <c r="I1749" s="3" t="str" cm="1">
        <f t="array" ref="I17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0" spans="1:9" x14ac:dyDescent="0.3">
      <c r="A1750" s="3" t="str">
        <f>IF(SISTEMA!A1744="","",SISTEMA!A1744)</f>
        <v/>
      </c>
      <c r="B1750" s="10" t="str">
        <f>IF(SISTEMA!B1744="","",VALUE(SISTEMA!B1744))</f>
        <v/>
      </c>
      <c r="C1750" s="10" t="str">
        <f>IF(SISTEMA!C1744="","",SISTEMA!C1744)</f>
        <v/>
      </c>
      <c r="D1750" s="5" t="str" cm="1">
        <f t="array" ref="D17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0" s="5" t="str" cm="1">
        <f t="array" ref="E17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0" s="5" t="str" cm="1">
        <f t="array" ref="F17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0" t="str" cm="1">
        <f t="array" ref="G17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0" s="4"/>
      <c r="I1750" s="3" t="str" cm="1">
        <f t="array" ref="I17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1" spans="1:9" x14ac:dyDescent="0.3">
      <c r="A1751" s="3" t="str">
        <f>IF(SISTEMA!A1745="","",SISTEMA!A1745)</f>
        <v/>
      </c>
      <c r="B1751" s="10" t="str">
        <f>IF(SISTEMA!B1745="","",VALUE(SISTEMA!B1745))</f>
        <v/>
      </c>
      <c r="C1751" s="10" t="str">
        <f>IF(SISTEMA!C1745="","",SISTEMA!C1745)</f>
        <v/>
      </c>
      <c r="D1751" s="5" t="str" cm="1">
        <f t="array" ref="D17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1" s="5" t="str" cm="1">
        <f t="array" ref="E17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1" s="5" t="str" cm="1">
        <f t="array" ref="F17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1" t="str" cm="1">
        <f t="array" ref="G17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1" s="4"/>
      <c r="I1751" s="3" t="str" cm="1">
        <f t="array" ref="I17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2" spans="1:9" x14ac:dyDescent="0.3">
      <c r="A1752" s="3" t="str">
        <f>IF(SISTEMA!A1746="","",SISTEMA!A1746)</f>
        <v/>
      </c>
      <c r="B1752" s="10" t="str">
        <f>IF(SISTEMA!B1746="","",VALUE(SISTEMA!B1746))</f>
        <v/>
      </c>
      <c r="C1752" s="10" t="str">
        <f>IF(SISTEMA!C1746="","",SISTEMA!C1746)</f>
        <v/>
      </c>
      <c r="D1752" s="5" t="str" cm="1">
        <f t="array" ref="D17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2" s="5" t="str" cm="1">
        <f t="array" ref="E17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2" s="5" t="str" cm="1">
        <f t="array" ref="F17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2" t="str" cm="1">
        <f t="array" ref="G17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2" s="4"/>
      <c r="I1752" s="3" t="str" cm="1">
        <f t="array" ref="I17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3" spans="1:9" x14ac:dyDescent="0.3">
      <c r="A1753" s="3" t="str">
        <f>IF(SISTEMA!A1747="","",SISTEMA!A1747)</f>
        <v/>
      </c>
      <c r="B1753" s="10" t="str">
        <f>IF(SISTEMA!B1747="","",VALUE(SISTEMA!B1747))</f>
        <v/>
      </c>
      <c r="C1753" s="10" t="str">
        <f>IF(SISTEMA!C1747="","",SISTEMA!C1747)</f>
        <v/>
      </c>
      <c r="D1753" s="5" t="str" cm="1">
        <f t="array" ref="D17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3" s="5" t="str" cm="1">
        <f t="array" ref="E17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3" s="5" t="str" cm="1">
        <f t="array" ref="F17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3" t="str" cm="1">
        <f t="array" ref="G17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3" s="4"/>
      <c r="I1753" s="3" t="str" cm="1">
        <f t="array" ref="I17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4" spans="1:9" x14ac:dyDescent="0.3">
      <c r="A1754" s="3" t="str">
        <f>IF(SISTEMA!A1748="","",SISTEMA!A1748)</f>
        <v/>
      </c>
      <c r="B1754" s="10" t="str">
        <f>IF(SISTEMA!B1748="","",VALUE(SISTEMA!B1748))</f>
        <v/>
      </c>
      <c r="C1754" s="10" t="str">
        <f>IF(SISTEMA!C1748="","",SISTEMA!C1748)</f>
        <v/>
      </c>
      <c r="D1754" s="5" t="str" cm="1">
        <f t="array" ref="D17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4" s="5" t="str" cm="1">
        <f t="array" ref="E17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4" s="5" t="str" cm="1">
        <f t="array" ref="F17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4" t="str" cm="1">
        <f t="array" ref="G17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4" s="4"/>
      <c r="I1754" s="3" t="str" cm="1">
        <f t="array" ref="I17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5" spans="1:9" x14ac:dyDescent="0.3">
      <c r="A1755" s="3" t="str">
        <f>IF(SISTEMA!A1749="","",SISTEMA!A1749)</f>
        <v/>
      </c>
      <c r="B1755" s="10" t="str">
        <f>IF(SISTEMA!B1749="","",VALUE(SISTEMA!B1749))</f>
        <v/>
      </c>
      <c r="C1755" s="10" t="str">
        <f>IF(SISTEMA!C1749="","",SISTEMA!C1749)</f>
        <v/>
      </c>
      <c r="D1755" s="5" t="str" cm="1">
        <f t="array" ref="D17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5" s="5" t="str" cm="1">
        <f t="array" ref="E17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5" s="5" t="str" cm="1">
        <f t="array" ref="F17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5" t="str" cm="1">
        <f t="array" ref="G17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5" s="4"/>
      <c r="I1755" s="3" t="str" cm="1">
        <f t="array" ref="I17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6" spans="1:9" x14ac:dyDescent="0.3">
      <c r="A1756" s="3" t="str">
        <f>IF(SISTEMA!A1750="","",SISTEMA!A1750)</f>
        <v/>
      </c>
      <c r="B1756" s="10" t="str">
        <f>IF(SISTEMA!B1750="","",VALUE(SISTEMA!B1750))</f>
        <v/>
      </c>
      <c r="C1756" s="10" t="str">
        <f>IF(SISTEMA!C1750="","",SISTEMA!C1750)</f>
        <v/>
      </c>
      <c r="D1756" s="5" t="str" cm="1">
        <f t="array" ref="D17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6" s="5" t="str" cm="1">
        <f t="array" ref="E17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6" s="5" t="str" cm="1">
        <f t="array" ref="F17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6" t="str" cm="1">
        <f t="array" ref="G17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6" s="4"/>
      <c r="I1756" s="3" t="str" cm="1">
        <f t="array" ref="I17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7" spans="1:9" x14ac:dyDescent="0.3">
      <c r="A1757" s="3" t="str">
        <f>IF(SISTEMA!A1751="","",SISTEMA!A1751)</f>
        <v/>
      </c>
      <c r="B1757" s="10" t="str">
        <f>IF(SISTEMA!B1751="","",VALUE(SISTEMA!B1751))</f>
        <v/>
      </c>
      <c r="C1757" s="10" t="str">
        <f>IF(SISTEMA!C1751="","",SISTEMA!C1751)</f>
        <v/>
      </c>
      <c r="D1757" s="5" t="str" cm="1">
        <f t="array" ref="D17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7" s="5" t="str" cm="1">
        <f t="array" ref="E17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7" s="5" t="str" cm="1">
        <f t="array" ref="F17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7" t="str" cm="1">
        <f t="array" ref="G17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7" s="4"/>
      <c r="I1757" s="3" t="str" cm="1">
        <f t="array" ref="I17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8" spans="1:9" x14ac:dyDescent="0.3">
      <c r="A1758" s="3" t="str">
        <f>IF(SISTEMA!A1752="","",SISTEMA!A1752)</f>
        <v/>
      </c>
      <c r="B1758" s="10" t="str">
        <f>IF(SISTEMA!B1752="","",VALUE(SISTEMA!B1752))</f>
        <v/>
      </c>
      <c r="C1758" s="10" t="str">
        <f>IF(SISTEMA!C1752="","",SISTEMA!C1752)</f>
        <v/>
      </c>
      <c r="D1758" s="5" t="str" cm="1">
        <f t="array" ref="D17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8" s="5" t="str" cm="1">
        <f t="array" ref="E17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8" s="5" t="str" cm="1">
        <f t="array" ref="F17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8" t="str" cm="1">
        <f t="array" ref="G17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8" s="4"/>
      <c r="I1758" s="3" t="str" cm="1">
        <f t="array" ref="I17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59" spans="1:9" x14ac:dyDescent="0.3">
      <c r="A1759" s="3" t="str">
        <f>IF(SISTEMA!A1753="","",SISTEMA!A1753)</f>
        <v/>
      </c>
      <c r="B1759" s="10" t="str">
        <f>IF(SISTEMA!B1753="","",VALUE(SISTEMA!B1753))</f>
        <v/>
      </c>
      <c r="C1759" s="10" t="str">
        <f>IF(SISTEMA!C1753="","",SISTEMA!C1753)</f>
        <v/>
      </c>
      <c r="D1759" s="5" t="str" cm="1">
        <f t="array" ref="D17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59" s="5" t="str" cm="1">
        <f t="array" ref="E17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59" s="5" t="str" cm="1">
        <f t="array" ref="F17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59" t="str" cm="1">
        <f t="array" ref="G17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59" s="4"/>
      <c r="I1759" s="3" t="str" cm="1">
        <f t="array" ref="I17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0" spans="1:9" x14ac:dyDescent="0.3">
      <c r="A1760" s="3" t="str">
        <f>IF(SISTEMA!A1754="","",SISTEMA!A1754)</f>
        <v/>
      </c>
      <c r="B1760" s="10" t="str">
        <f>IF(SISTEMA!B1754="","",VALUE(SISTEMA!B1754))</f>
        <v/>
      </c>
      <c r="C1760" s="10" t="str">
        <f>IF(SISTEMA!C1754="","",SISTEMA!C1754)</f>
        <v/>
      </c>
      <c r="D1760" s="5" t="str" cm="1">
        <f t="array" ref="D17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0" s="5" t="str" cm="1">
        <f t="array" ref="E17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0" s="5" t="str" cm="1">
        <f t="array" ref="F17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0" t="str" cm="1">
        <f t="array" ref="G17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0" s="4"/>
      <c r="I1760" s="3" t="str" cm="1">
        <f t="array" ref="I17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1" spans="1:9" x14ac:dyDescent="0.3">
      <c r="A1761" s="3" t="str">
        <f>IF(SISTEMA!A1755="","",SISTEMA!A1755)</f>
        <v/>
      </c>
      <c r="B1761" s="10" t="str">
        <f>IF(SISTEMA!B1755="","",VALUE(SISTEMA!B1755))</f>
        <v/>
      </c>
      <c r="C1761" s="10" t="str">
        <f>IF(SISTEMA!C1755="","",SISTEMA!C1755)</f>
        <v/>
      </c>
      <c r="D1761" s="5" t="str" cm="1">
        <f t="array" ref="D17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1" s="5" t="str" cm="1">
        <f t="array" ref="E17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1" s="5" t="str" cm="1">
        <f t="array" ref="F17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1" t="str" cm="1">
        <f t="array" ref="G17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1" s="4"/>
      <c r="I1761" s="3" t="str" cm="1">
        <f t="array" ref="I17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2" spans="1:9" x14ac:dyDescent="0.3">
      <c r="A1762" s="3" t="str">
        <f>IF(SISTEMA!A1756="","",SISTEMA!A1756)</f>
        <v/>
      </c>
      <c r="B1762" s="10" t="str">
        <f>IF(SISTEMA!B1756="","",VALUE(SISTEMA!B1756))</f>
        <v/>
      </c>
      <c r="C1762" s="10" t="str">
        <f>IF(SISTEMA!C1756="","",SISTEMA!C1756)</f>
        <v/>
      </c>
      <c r="D1762" s="5" t="str" cm="1">
        <f t="array" ref="D17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2" s="5" t="str" cm="1">
        <f t="array" ref="E17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2" s="5" t="str" cm="1">
        <f t="array" ref="F17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2" t="str" cm="1">
        <f t="array" ref="G17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2" s="4"/>
      <c r="I1762" s="3" t="str" cm="1">
        <f t="array" ref="I17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3" spans="1:9" x14ac:dyDescent="0.3">
      <c r="A1763" s="3" t="str">
        <f>IF(SISTEMA!A1757="","",SISTEMA!A1757)</f>
        <v/>
      </c>
      <c r="B1763" s="10" t="str">
        <f>IF(SISTEMA!B1757="","",VALUE(SISTEMA!B1757))</f>
        <v/>
      </c>
      <c r="C1763" s="10" t="str">
        <f>IF(SISTEMA!C1757="","",SISTEMA!C1757)</f>
        <v/>
      </c>
      <c r="D1763" s="5" t="str" cm="1">
        <f t="array" ref="D17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3" s="5" t="str" cm="1">
        <f t="array" ref="E17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3" s="5" t="str" cm="1">
        <f t="array" ref="F17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3" t="str" cm="1">
        <f t="array" ref="G17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3" s="4"/>
      <c r="I1763" s="3" t="str" cm="1">
        <f t="array" ref="I17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4" spans="1:9" x14ac:dyDescent="0.3">
      <c r="A1764" s="3" t="str">
        <f>IF(SISTEMA!A1758="","",SISTEMA!A1758)</f>
        <v/>
      </c>
      <c r="B1764" s="10" t="str">
        <f>IF(SISTEMA!B1758="","",VALUE(SISTEMA!B1758))</f>
        <v/>
      </c>
      <c r="C1764" s="10" t="str">
        <f>IF(SISTEMA!C1758="","",SISTEMA!C1758)</f>
        <v/>
      </c>
      <c r="D1764" s="5" t="str" cm="1">
        <f t="array" ref="D17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4" s="5" t="str" cm="1">
        <f t="array" ref="E17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4" s="5" t="str" cm="1">
        <f t="array" ref="F17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4" t="str" cm="1">
        <f t="array" ref="G17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4" s="4"/>
      <c r="I1764" s="3" t="str" cm="1">
        <f t="array" ref="I17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5" spans="1:9" x14ac:dyDescent="0.3">
      <c r="A1765" s="3" t="str">
        <f>IF(SISTEMA!A1759="","",SISTEMA!A1759)</f>
        <v/>
      </c>
      <c r="B1765" s="10" t="str">
        <f>IF(SISTEMA!B1759="","",VALUE(SISTEMA!B1759))</f>
        <v/>
      </c>
      <c r="C1765" s="10" t="str">
        <f>IF(SISTEMA!C1759="","",SISTEMA!C1759)</f>
        <v/>
      </c>
      <c r="D1765" s="5" t="str" cm="1">
        <f t="array" ref="D17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5" s="5" t="str" cm="1">
        <f t="array" ref="E17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5" s="5" t="str" cm="1">
        <f t="array" ref="F17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5" t="str" cm="1">
        <f t="array" ref="G17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5" s="4"/>
      <c r="I1765" s="3" t="str" cm="1">
        <f t="array" ref="I17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6" spans="1:9" x14ac:dyDescent="0.3">
      <c r="A1766" s="3" t="str">
        <f>IF(SISTEMA!A1760="","",SISTEMA!A1760)</f>
        <v/>
      </c>
      <c r="B1766" s="10" t="str">
        <f>IF(SISTEMA!B1760="","",VALUE(SISTEMA!B1760))</f>
        <v/>
      </c>
      <c r="C1766" s="10" t="str">
        <f>IF(SISTEMA!C1760="","",SISTEMA!C1760)</f>
        <v/>
      </c>
      <c r="D1766" s="5" t="str" cm="1">
        <f t="array" ref="D17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6" s="5" t="str" cm="1">
        <f t="array" ref="E17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6" s="5" t="str" cm="1">
        <f t="array" ref="F17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6" t="str" cm="1">
        <f t="array" ref="G17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6" s="4"/>
      <c r="I1766" s="3" t="str" cm="1">
        <f t="array" ref="I17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7" spans="1:9" x14ac:dyDescent="0.3">
      <c r="A1767" s="3" t="str">
        <f>IF(SISTEMA!A1761="","",SISTEMA!A1761)</f>
        <v/>
      </c>
      <c r="B1767" s="10" t="str">
        <f>IF(SISTEMA!B1761="","",VALUE(SISTEMA!B1761))</f>
        <v/>
      </c>
      <c r="C1767" s="10" t="str">
        <f>IF(SISTEMA!C1761="","",SISTEMA!C1761)</f>
        <v/>
      </c>
      <c r="D1767" s="5" t="str" cm="1">
        <f t="array" ref="D17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7" s="5" t="str" cm="1">
        <f t="array" ref="E17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7" s="5" t="str" cm="1">
        <f t="array" ref="F17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7" t="str" cm="1">
        <f t="array" ref="G17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7" s="4"/>
      <c r="I1767" s="3" t="str" cm="1">
        <f t="array" ref="I17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8" spans="1:9" x14ac:dyDescent="0.3">
      <c r="A1768" s="3" t="str">
        <f>IF(SISTEMA!A1762="","",SISTEMA!A1762)</f>
        <v/>
      </c>
      <c r="B1768" s="10" t="str">
        <f>IF(SISTEMA!B1762="","",VALUE(SISTEMA!B1762))</f>
        <v/>
      </c>
      <c r="C1768" s="10" t="str">
        <f>IF(SISTEMA!C1762="","",SISTEMA!C1762)</f>
        <v/>
      </c>
      <c r="D1768" s="5" t="str" cm="1">
        <f t="array" ref="D17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8" s="5" t="str" cm="1">
        <f t="array" ref="E17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8" s="5" t="str" cm="1">
        <f t="array" ref="F17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8" t="str" cm="1">
        <f t="array" ref="G17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8" s="4"/>
      <c r="I1768" s="3" t="str" cm="1">
        <f t="array" ref="I17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69" spans="1:9" x14ac:dyDescent="0.3">
      <c r="A1769" s="3" t="str">
        <f>IF(SISTEMA!A1763="","",SISTEMA!A1763)</f>
        <v/>
      </c>
      <c r="B1769" s="10" t="str">
        <f>IF(SISTEMA!B1763="","",VALUE(SISTEMA!B1763))</f>
        <v/>
      </c>
      <c r="C1769" s="10" t="str">
        <f>IF(SISTEMA!C1763="","",SISTEMA!C1763)</f>
        <v/>
      </c>
      <c r="D1769" s="5" t="str" cm="1">
        <f t="array" ref="D17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69" s="5" t="str" cm="1">
        <f t="array" ref="E17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69" s="5" t="str" cm="1">
        <f t="array" ref="F17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69" t="str" cm="1">
        <f t="array" ref="G17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69" s="4"/>
      <c r="I1769" s="3" t="str" cm="1">
        <f t="array" ref="I17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0" spans="1:9" x14ac:dyDescent="0.3">
      <c r="A1770" s="3" t="str">
        <f>IF(SISTEMA!A1764="","",SISTEMA!A1764)</f>
        <v/>
      </c>
      <c r="B1770" s="10" t="str">
        <f>IF(SISTEMA!B1764="","",VALUE(SISTEMA!B1764))</f>
        <v/>
      </c>
      <c r="C1770" s="10" t="str">
        <f>IF(SISTEMA!C1764="","",SISTEMA!C1764)</f>
        <v/>
      </c>
      <c r="D1770" s="5" t="str" cm="1">
        <f t="array" ref="D17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0" s="5" t="str" cm="1">
        <f t="array" ref="E17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0" s="5" t="str" cm="1">
        <f t="array" ref="F17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0" t="str" cm="1">
        <f t="array" ref="G17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0" s="4"/>
      <c r="I1770" s="3" t="str" cm="1">
        <f t="array" ref="I17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1" spans="1:9" x14ac:dyDescent="0.3">
      <c r="A1771" s="3" t="str">
        <f>IF(SISTEMA!A1765="","",SISTEMA!A1765)</f>
        <v/>
      </c>
      <c r="B1771" s="10" t="str">
        <f>IF(SISTEMA!B1765="","",VALUE(SISTEMA!B1765))</f>
        <v/>
      </c>
      <c r="C1771" s="10" t="str">
        <f>IF(SISTEMA!C1765="","",SISTEMA!C1765)</f>
        <v/>
      </c>
      <c r="D1771" s="5" t="str" cm="1">
        <f t="array" ref="D17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1" s="5" t="str" cm="1">
        <f t="array" ref="E17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1" s="5" t="str" cm="1">
        <f t="array" ref="F17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1" t="str" cm="1">
        <f t="array" ref="G17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1" s="4"/>
      <c r="I1771" s="3" t="str" cm="1">
        <f t="array" ref="I17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2" spans="1:9" x14ac:dyDescent="0.3">
      <c r="A1772" s="3" t="str">
        <f>IF(SISTEMA!A1766="","",SISTEMA!A1766)</f>
        <v/>
      </c>
      <c r="B1772" s="10" t="str">
        <f>IF(SISTEMA!B1766="","",VALUE(SISTEMA!B1766))</f>
        <v/>
      </c>
      <c r="C1772" s="10" t="str">
        <f>IF(SISTEMA!C1766="","",SISTEMA!C1766)</f>
        <v/>
      </c>
      <c r="D1772" s="5" t="str" cm="1">
        <f t="array" ref="D17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2" s="5" t="str" cm="1">
        <f t="array" ref="E17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2" s="5" t="str" cm="1">
        <f t="array" ref="F17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2" t="str" cm="1">
        <f t="array" ref="G17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2" s="4"/>
      <c r="I1772" s="3" t="str" cm="1">
        <f t="array" ref="I17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3" spans="1:9" x14ac:dyDescent="0.3">
      <c r="A1773" s="3" t="str">
        <f>IF(SISTEMA!A1767="","",SISTEMA!A1767)</f>
        <v/>
      </c>
      <c r="B1773" s="10" t="str">
        <f>IF(SISTEMA!B1767="","",VALUE(SISTEMA!B1767))</f>
        <v/>
      </c>
      <c r="C1773" s="10" t="str">
        <f>IF(SISTEMA!C1767="","",SISTEMA!C1767)</f>
        <v/>
      </c>
      <c r="D1773" s="5" t="str" cm="1">
        <f t="array" ref="D17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3" s="5" t="str" cm="1">
        <f t="array" ref="E17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3" s="5" t="str" cm="1">
        <f t="array" ref="F17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3" t="str" cm="1">
        <f t="array" ref="G17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3" s="4"/>
      <c r="I1773" s="3" t="str" cm="1">
        <f t="array" ref="I17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4" spans="1:9" x14ac:dyDescent="0.3">
      <c r="A1774" s="3" t="str">
        <f>IF(SISTEMA!A1768="","",SISTEMA!A1768)</f>
        <v/>
      </c>
      <c r="B1774" s="10" t="str">
        <f>IF(SISTEMA!B1768="","",VALUE(SISTEMA!B1768))</f>
        <v/>
      </c>
      <c r="C1774" s="10" t="str">
        <f>IF(SISTEMA!C1768="","",SISTEMA!C1768)</f>
        <v/>
      </c>
      <c r="D1774" s="5" t="str" cm="1">
        <f t="array" ref="D17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4" s="5" t="str" cm="1">
        <f t="array" ref="E17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4" s="5" t="str" cm="1">
        <f t="array" ref="F17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4" t="str" cm="1">
        <f t="array" ref="G17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4" s="4"/>
      <c r="I1774" s="3" t="str" cm="1">
        <f t="array" ref="I17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5" spans="1:9" x14ac:dyDescent="0.3">
      <c r="A1775" s="3" t="str">
        <f>IF(SISTEMA!A1769="","",SISTEMA!A1769)</f>
        <v/>
      </c>
      <c r="B1775" s="10" t="str">
        <f>IF(SISTEMA!B1769="","",VALUE(SISTEMA!B1769))</f>
        <v/>
      </c>
      <c r="C1775" s="10" t="str">
        <f>IF(SISTEMA!C1769="","",SISTEMA!C1769)</f>
        <v/>
      </c>
      <c r="D1775" s="5" t="str" cm="1">
        <f t="array" ref="D17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5" s="5" t="str" cm="1">
        <f t="array" ref="E17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5" s="5" t="str" cm="1">
        <f t="array" ref="F17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5" t="str" cm="1">
        <f t="array" ref="G17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5" s="4"/>
      <c r="I1775" s="3" t="str" cm="1">
        <f t="array" ref="I17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6" spans="1:9" x14ac:dyDescent="0.3">
      <c r="A1776" s="3" t="str">
        <f>IF(SISTEMA!A1770="","",SISTEMA!A1770)</f>
        <v/>
      </c>
      <c r="B1776" s="10" t="str">
        <f>IF(SISTEMA!B1770="","",VALUE(SISTEMA!B1770))</f>
        <v/>
      </c>
      <c r="C1776" s="10" t="str">
        <f>IF(SISTEMA!C1770="","",SISTEMA!C1770)</f>
        <v/>
      </c>
      <c r="D1776" s="5" t="str" cm="1">
        <f t="array" ref="D17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6" s="5" t="str" cm="1">
        <f t="array" ref="E17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6" s="5" t="str" cm="1">
        <f t="array" ref="F17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6" t="str" cm="1">
        <f t="array" ref="G17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6" s="4"/>
      <c r="I1776" s="3" t="str" cm="1">
        <f t="array" ref="I17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7" spans="1:9" x14ac:dyDescent="0.3">
      <c r="A1777" s="3" t="str">
        <f>IF(SISTEMA!A1771="","",SISTEMA!A1771)</f>
        <v/>
      </c>
      <c r="B1777" s="10" t="str">
        <f>IF(SISTEMA!B1771="","",VALUE(SISTEMA!B1771))</f>
        <v/>
      </c>
      <c r="C1777" s="10" t="str">
        <f>IF(SISTEMA!C1771="","",SISTEMA!C1771)</f>
        <v/>
      </c>
      <c r="D1777" s="5" t="str" cm="1">
        <f t="array" ref="D17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7" s="5" t="str" cm="1">
        <f t="array" ref="E17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7" s="5" t="str" cm="1">
        <f t="array" ref="F17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7" t="str" cm="1">
        <f t="array" ref="G17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7" s="4"/>
      <c r="I1777" s="3" t="str" cm="1">
        <f t="array" ref="I17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8" spans="1:9" x14ac:dyDescent="0.3">
      <c r="A1778" s="3" t="str">
        <f>IF(SISTEMA!A1772="","",SISTEMA!A1772)</f>
        <v/>
      </c>
      <c r="B1778" s="10" t="str">
        <f>IF(SISTEMA!B1772="","",VALUE(SISTEMA!B1772))</f>
        <v/>
      </c>
      <c r="C1778" s="10" t="str">
        <f>IF(SISTEMA!C1772="","",SISTEMA!C1772)</f>
        <v/>
      </c>
      <c r="D1778" s="5" t="str" cm="1">
        <f t="array" ref="D17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8" s="5" t="str" cm="1">
        <f t="array" ref="E17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8" s="5" t="str" cm="1">
        <f t="array" ref="F17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8" t="str" cm="1">
        <f t="array" ref="G17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8" s="4"/>
      <c r="I1778" s="3" t="str" cm="1">
        <f t="array" ref="I17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79" spans="1:9" x14ac:dyDescent="0.3">
      <c r="A1779" s="3" t="str">
        <f>IF(SISTEMA!A1773="","",SISTEMA!A1773)</f>
        <v/>
      </c>
      <c r="B1779" s="10" t="str">
        <f>IF(SISTEMA!B1773="","",VALUE(SISTEMA!B1773))</f>
        <v/>
      </c>
      <c r="C1779" s="10" t="str">
        <f>IF(SISTEMA!C1773="","",SISTEMA!C1773)</f>
        <v/>
      </c>
      <c r="D1779" s="5" t="str" cm="1">
        <f t="array" ref="D17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79" s="5" t="str" cm="1">
        <f t="array" ref="E17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79" s="5" t="str" cm="1">
        <f t="array" ref="F17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79" t="str" cm="1">
        <f t="array" ref="G17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79" s="4"/>
      <c r="I1779" s="3" t="str" cm="1">
        <f t="array" ref="I17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0" spans="1:9" x14ac:dyDescent="0.3">
      <c r="A1780" s="3" t="str">
        <f>IF(SISTEMA!A1774="","",SISTEMA!A1774)</f>
        <v/>
      </c>
      <c r="B1780" s="10" t="str">
        <f>IF(SISTEMA!B1774="","",VALUE(SISTEMA!B1774))</f>
        <v/>
      </c>
      <c r="C1780" s="10" t="str">
        <f>IF(SISTEMA!C1774="","",SISTEMA!C1774)</f>
        <v/>
      </c>
      <c r="D1780" s="5" t="str" cm="1">
        <f t="array" ref="D17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0" s="5" t="str" cm="1">
        <f t="array" ref="E17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0" s="5" t="str" cm="1">
        <f t="array" ref="F17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0" t="str" cm="1">
        <f t="array" ref="G17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0" s="4"/>
      <c r="I1780" s="3" t="str" cm="1">
        <f t="array" ref="I17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1" spans="1:9" x14ac:dyDescent="0.3">
      <c r="A1781" s="3" t="str">
        <f>IF(SISTEMA!A1775="","",SISTEMA!A1775)</f>
        <v/>
      </c>
      <c r="B1781" s="10" t="str">
        <f>IF(SISTEMA!B1775="","",VALUE(SISTEMA!B1775))</f>
        <v/>
      </c>
      <c r="C1781" s="10" t="str">
        <f>IF(SISTEMA!C1775="","",SISTEMA!C1775)</f>
        <v/>
      </c>
      <c r="D1781" s="5" t="str" cm="1">
        <f t="array" ref="D17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1" s="5" t="str" cm="1">
        <f t="array" ref="E17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1" s="5" t="str" cm="1">
        <f t="array" ref="F17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1" t="str" cm="1">
        <f t="array" ref="G17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1" s="4"/>
      <c r="I1781" s="3" t="str" cm="1">
        <f t="array" ref="I17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2" spans="1:9" x14ac:dyDescent="0.3">
      <c r="A1782" s="3" t="str">
        <f>IF(SISTEMA!A1776="","",SISTEMA!A1776)</f>
        <v/>
      </c>
      <c r="B1782" s="10" t="str">
        <f>IF(SISTEMA!B1776="","",VALUE(SISTEMA!B1776))</f>
        <v/>
      </c>
      <c r="C1782" s="10" t="str">
        <f>IF(SISTEMA!C1776="","",SISTEMA!C1776)</f>
        <v/>
      </c>
      <c r="D1782" s="5" t="str" cm="1">
        <f t="array" ref="D17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2" s="5" t="str" cm="1">
        <f t="array" ref="E17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2" s="5" t="str" cm="1">
        <f t="array" ref="F17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2" t="str" cm="1">
        <f t="array" ref="G17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2" s="4"/>
      <c r="I1782" s="3" t="str" cm="1">
        <f t="array" ref="I17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3" spans="1:9" x14ac:dyDescent="0.3">
      <c r="A1783" s="3" t="str">
        <f>IF(SISTEMA!A1777="","",SISTEMA!A1777)</f>
        <v/>
      </c>
      <c r="B1783" s="10" t="str">
        <f>IF(SISTEMA!B1777="","",VALUE(SISTEMA!B1777))</f>
        <v/>
      </c>
      <c r="C1783" s="10" t="str">
        <f>IF(SISTEMA!C1777="","",SISTEMA!C1777)</f>
        <v/>
      </c>
      <c r="D1783" s="5" t="str" cm="1">
        <f t="array" ref="D17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3" s="5" t="str" cm="1">
        <f t="array" ref="E17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3" s="5" t="str" cm="1">
        <f t="array" ref="F17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3" t="str" cm="1">
        <f t="array" ref="G17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3" s="4"/>
      <c r="I1783" s="3" t="str" cm="1">
        <f t="array" ref="I17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4" spans="1:9" x14ac:dyDescent="0.3">
      <c r="A1784" s="3" t="str">
        <f>IF(SISTEMA!A1778="","",SISTEMA!A1778)</f>
        <v/>
      </c>
      <c r="B1784" s="10" t="str">
        <f>IF(SISTEMA!B1778="","",VALUE(SISTEMA!B1778))</f>
        <v/>
      </c>
      <c r="C1784" s="10" t="str">
        <f>IF(SISTEMA!C1778="","",SISTEMA!C1778)</f>
        <v/>
      </c>
      <c r="D1784" s="5" t="str" cm="1">
        <f t="array" ref="D17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4" s="5" t="str" cm="1">
        <f t="array" ref="E17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4" s="5" t="str" cm="1">
        <f t="array" ref="F17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4" t="str" cm="1">
        <f t="array" ref="G17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4" s="4"/>
      <c r="I1784" s="3" t="str" cm="1">
        <f t="array" ref="I17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5" spans="1:9" x14ac:dyDescent="0.3">
      <c r="A1785" s="3" t="str">
        <f>IF(SISTEMA!A1779="","",SISTEMA!A1779)</f>
        <v/>
      </c>
      <c r="B1785" s="10" t="str">
        <f>IF(SISTEMA!B1779="","",VALUE(SISTEMA!B1779))</f>
        <v/>
      </c>
      <c r="C1785" s="10" t="str">
        <f>IF(SISTEMA!C1779="","",SISTEMA!C1779)</f>
        <v/>
      </c>
      <c r="D1785" s="5" t="str" cm="1">
        <f t="array" ref="D17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5" s="5" t="str" cm="1">
        <f t="array" ref="E17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5" s="5" t="str" cm="1">
        <f t="array" ref="F17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5" t="str" cm="1">
        <f t="array" ref="G17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5" s="4"/>
      <c r="I1785" s="3" t="str" cm="1">
        <f t="array" ref="I17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6" spans="1:9" x14ac:dyDescent="0.3">
      <c r="A1786" s="3" t="str">
        <f>IF(SISTEMA!A1780="","",SISTEMA!A1780)</f>
        <v/>
      </c>
      <c r="B1786" s="10" t="str">
        <f>IF(SISTEMA!B1780="","",VALUE(SISTEMA!B1780))</f>
        <v/>
      </c>
      <c r="C1786" s="10" t="str">
        <f>IF(SISTEMA!C1780="","",SISTEMA!C1780)</f>
        <v/>
      </c>
      <c r="D1786" s="5" t="str" cm="1">
        <f t="array" ref="D17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6" s="5" t="str" cm="1">
        <f t="array" ref="E17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6" s="5" t="str" cm="1">
        <f t="array" ref="F17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6" t="str" cm="1">
        <f t="array" ref="G17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6" s="4"/>
      <c r="I1786" s="3" t="str" cm="1">
        <f t="array" ref="I17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7" spans="1:9" x14ac:dyDescent="0.3">
      <c r="A1787" s="3" t="str">
        <f>IF(SISTEMA!A1781="","",SISTEMA!A1781)</f>
        <v/>
      </c>
      <c r="B1787" s="10" t="str">
        <f>IF(SISTEMA!B1781="","",VALUE(SISTEMA!B1781))</f>
        <v/>
      </c>
      <c r="C1787" s="10" t="str">
        <f>IF(SISTEMA!C1781="","",SISTEMA!C1781)</f>
        <v/>
      </c>
      <c r="D1787" s="5" t="str" cm="1">
        <f t="array" ref="D17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7" s="5" t="str" cm="1">
        <f t="array" ref="E17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7" s="5" t="str" cm="1">
        <f t="array" ref="F17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7" t="str" cm="1">
        <f t="array" ref="G17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7" s="4"/>
      <c r="I1787" s="3" t="str" cm="1">
        <f t="array" ref="I17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8" spans="1:9" x14ac:dyDescent="0.3">
      <c r="A1788" s="3" t="str">
        <f>IF(SISTEMA!A1782="","",SISTEMA!A1782)</f>
        <v/>
      </c>
      <c r="B1788" s="10" t="str">
        <f>IF(SISTEMA!B1782="","",VALUE(SISTEMA!B1782))</f>
        <v/>
      </c>
      <c r="C1788" s="10" t="str">
        <f>IF(SISTEMA!C1782="","",SISTEMA!C1782)</f>
        <v/>
      </c>
      <c r="D1788" s="5" t="str" cm="1">
        <f t="array" ref="D17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8" s="5" t="str" cm="1">
        <f t="array" ref="E17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8" s="5" t="str" cm="1">
        <f t="array" ref="F17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8" t="str" cm="1">
        <f t="array" ref="G17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8" s="4"/>
      <c r="I1788" s="3" t="str" cm="1">
        <f t="array" ref="I17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89" spans="1:9" x14ac:dyDescent="0.3">
      <c r="A1789" s="3" t="str">
        <f>IF(SISTEMA!A1783="","",SISTEMA!A1783)</f>
        <v/>
      </c>
      <c r="B1789" s="10" t="str">
        <f>IF(SISTEMA!B1783="","",VALUE(SISTEMA!B1783))</f>
        <v/>
      </c>
      <c r="C1789" s="10" t="str">
        <f>IF(SISTEMA!C1783="","",SISTEMA!C1783)</f>
        <v/>
      </c>
      <c r="D1789" s="5" t="str" cm="1">
        <f t="array" ref="D17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89" s="5" t="str" cm="1">
        <f t="array" ref="E17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89" s="5" t="str" cm="1">
        <f t="array" ref="F17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89" t="str" cm="1">
        <f t="array" ref="G17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89" s="4"/>
      <c r="I1789" s="3" t="str" cm="1">
        <f t="array" ref="I17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0" spans="1:9" x14ac:dyDescent="0.3">
      <c r="A1790" s="3" t="str">
        <f>IF(SISTEMA!A1784="","",SISTEMA!A1784)</f>
        <v/>
      </c>
      <c r="B1790" s="10" t="str">
        <f>IF(SISTEMA!B1784="","",VALUE(SISTEMA!B1784))</f>
        <v/>
      </c>
      <c r="C1790" s="10" t="str">
        <f>IF(SISTEMA!C1784="","",SISTEMA!C1784)</f>
        <v/>
      </c>
      <c r="D1790" s="5" t="str" cm="1">
        <f t="array" ref="D17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0" s="5" t="str" cm="1">
        <f t="array" ref="E17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0" s="5" t="str" cm="1">
        <f t="array" ref="F17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0" t="str" cm="1">
        <f t="array" ref="G17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0" s="4"/>
      <c r="I1790" s="3" t="str" cm="1">
        <f t="array" ref="I17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1" spans="1:9" x14ac:dyDescent="0.3">
      <c r="A1791" s="3" t="str">
        <f>IF(SISTEMA!A1785="","",SISTEMA!A1785)</f>
        <v/>
      </c>
      <c r="B1791" s="10" t="str">
        <f>IF(SISTEMA!B1785="","",VALUE(SISTEMA!B1785))</f>
        <v/>
      </c>
      <c r="C1791" s="10" t="str">
        <f>IF(SISTEMA!C1785="","",SISTEMA!C1785)</f>
        <v/>
      </c>
      <c r="D1791" s="5" t="str" cm="1">
        <f t="array" ref="D17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1" s="5" t="str" cm="1">
        <f t="array" ref="E17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1" s="5" t="str" cm="1">
        <f t="array" ref="F17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1" t="str" cm="1">
        <f t="array" ref="G17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1" s="4"/>
      <c r="I1791" s="3" t="str" cm="1">
        <f t="array" ref="I17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2" spans="1:9" x14ac:dyDescent="0.3">
      <c r="A1792" s="3" t="str">
        <f>IF(SISTEMA!A1786="","",SISTEMA!A1786)</f>
        <v/>
      </c>
      <c r="B1792" s="10" t="str">
        <f>IF(SISTEMA!B1786="","",VALUE(SISTEMA!B1786))</f>
        <v/>
      </c>
      <c r="C1792" s="10" t="str">
        <f>IF(SISTEMA!C1786="","",SISTEMA!C1786)</f>
        <v/>
      </c>
      <c r="D1792" s="5" t="str" cm="1">
        <f t="array" ref="D17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2" s="5" t="str" cm="1">
        <f t="array" ref="E17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2" s="5" t="str" cm="1">
        <f t="array" ref="F17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2" t="str" cm="1">
        <f t="array" ref="G17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2" s="4"/>
      <c r="I1792" s="3" t="str" cm="1">
        <f t="array" ref="I17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3" spans="1:9" x14ac:dyDescent="0.3">
      <c r="A1793" s="3" t="str">
        <f>IF(SISTEMA!A1787="","",SISTEMA!A1787)</f>
        <v/>
      </c>
      <c r="B1793" s="10" t="str">
        <f>IF(SISTEMA!B1787="","",VALUE(SISTEMA!B1787))</f>
        <v/>
      </c>
      <c r="C1793" s="10" t="str">
        <f>IF(SISTEMA!C1787="","",SISTEMA!C1787)</f>
        <v/>
      </c>
      <c r="D1793" s="5" t="str" cm="1">
        <f t="array" ref="D17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3" s="5" t="str" cm="1">
        <f t="array" ref="E17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3" s="5" t="str" cm="1">
        <f t="array" ref="F17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3" t="str" cm="1">
        <f t="array" ref="G17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3" s="4"/>
      <c r="I1793" s="3" t="str" cm="1">
        <f t="array" ref="I17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4" spans="1:9" x14ac:dyDescent="0.3">
      <c r="A1794" s="3" t="str">
        <f>IF(SISTEMA!A1788="","",SISTEMA!A1788)</f>
        <v/>
      </c>
      <c r="B1794" s="10" t="str">
        <f>IF(SISTEMA!B1788="","",VALUE(SISTEMA!B1788))</f>
        <v/>
      </c>
      <c r="C1794" s="10" t="str">
        <f>IF(SISTEMA!C1788="","",SISTEMA!C1788)</f>
        <v/>
      </c>
      <c r="D1794" s="5" t="str" cm="1">
        <f t="array" ref="D17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4" s="5" t="str" cm="1">
        <f t="array" ref="E17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4" s="5" t="str" cm="1">
        <f t="array" ref="F17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4" t="str" cm="1">
        <f t="array" ref="G17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4" s="4"/>
      <c r="I1794" s="3" t="str" cm="1">
        <f t="array" ref="I17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5" spans="1:9" x14ac:dyDescent="0.3">
      <c r="A1795" s="3" t="str">
        <f>IF(SISTEMA!A1789="","",SISTEMA!A1789)</f>
        <v/>
      </c>
      <c r="B1795" s="10" t="str">
        <f>IF(SISTEMA!B1789="","",VALUE(SISTEMA!B1789))</f>
        <v/>
      </c>
      <c r="C1795" s="10" t="str">
        <f>IF(SISTEMA!C1789="","",SISTEMA!C1789)</f>
        <v/>
      </c>
      <c r="D1795" s="5" t="str" cm="1">
        <f t="array" ref="D17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5" s="5" t="str" cm="1">
        <f t="array" ref="E17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5" s="5" t="str" cm="1">
        <f t="array" ref="F17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5" t="str" cm="1">
        <f t="array" ref="G17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5" s="4"/>
      <c r="I1795" s="3" t="str" cm="1">
        <f t="array" ref="I17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6" spans="1:9" x14ac:dyDescent="0.3">
      <c r="A1796" s="3" t="str">
        <f>IF(SISTEMA!A1790="","",SISTEMA!A1790)</f>
        <v/>
      </c>
      <c r="B1796" s="10" t="str">
        <f>IF(SISTEMA!B1790="","",VALUE(SISTEMA!B1790))</f>
        <v/>
      </c>
      <c r="C1796" s="10" t="str">
        <f>IF(SISTEMA!C1790="","",SISTEMA!C1790)</f>
        <v/>
      </c>
      <c r="D1796" s="5" t="str" cm="1">
        <f t="array" ref="D17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6" s="5" t="str" cm="1">
        <f t="array" ref="E17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6" s="5" t="str" cm="1">
        <f t="array" ref="F17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6" t="str" cm="1">
        <f t="array" ref="G17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6" s="4"/>
      <c r="I1796" s="3" t="str" cm="1">
        <f t="array" ref="I17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7" spans="1:9" x14ac:dyDescent="0.3">
      <c r="A1797" s="3" t="str">
        <f>IF(SISTEMA!A1791="","",SISTEMA!A1791)</f>
        <v/>
      </c>
      <c r="B1797" s="10" t="str">
        <f>IF(SISTEMA!B1791="","",VALUE(SISTEMA!B1791))</f>
        <v/>
      </c>
      <c r="C1797" s="10" t="str">
        <f>IF(SISTEMA!C1791="","",SISTEMA!C1791)</f>
        <v/>
      </c>
      <c r="D1797" s="5" t="str" cm="1">
        <f t="array" ref="D17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7" s="5" t="str" cm="1">
        <f t="array" ref="E17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7" s="5" t="str" cm="1">
        <f t="array" ref="F17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7" t="str" cm="1">
        <f t="array" ref="G17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7" s="4"/>
      <c r="I1797" s="3" t="str" cm="1">
        <f t="array" ref="I17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8" spans="1:9" x14ac:dyDescent="0.3">
      <c r="A1798" s="3" t="str">
        <f>IF(SISTEMA!A1792="","",SISTEMA!A1792)</f>
        <v/>
      </c>
      <c r="B1798" s="10" t="str">
        <f>IF(SISTEMA!B1792="","",VALUE(SISTEMA!B1792))</f>
        <v/>
      </c>
      <c r="C1798" s="10" t="str">
        <f>IF(SISTEMA!C1792="","",SISTEMA!C1792)</f>
        <v/>
      </c>
      <c r="D1798" s="5" t="str" cm="1">
        <f t="array" ref="D17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8" s="5" t="str" cm="1">
        <f t="array" ref="E17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8" s="5" t="str" cm="1">
        <f t="array" ref="F17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8" t="str" cm="1">
        <f t="array" ref="G17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8" s="4"/>
      <c r="I1798" s="3" t="str" cm="1">
        <f t="array" ref="I17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799" spans="1:9" x14ac:dyDescent="0.3">
      <c r="A1799" s="3" t="str">
        <f>IF(SISTEMA!A1793="","",SISTEMA!A1793)</f>
        <v/>
      </c>
      <c r="B1799" s="10" t="str">
        <f>IF(SISTEMA!B1793="","",VALUE(SISTEMA!B1793))</f>
        <v/>
      </c>
      <c r="C1799" s="10" t="str">
        <f>IF(SISTEMA!C1793="","",SISTEMA!C1793)</f>
        <v/>
      </c>
      <c r="D1799" s="5" t="str" cm="1">
        <f t="array" ref="D17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799" s="5" t="str" cm="1">
        <f t="array" ref="E17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799" s="5" t="str" cm="1">
        <f t="array" ref="F17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799" t="str" cm="1">
        <f t="array" ref="G17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799" s="4"/>
      <c r="I1799" s="3" t="str" cm="1">
        <f t="array" ref="I17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0" spans="1:9" x14ac:dyDescent="0.3">
      <c r="A1800" s="3" t="str">
        <f>IF(SISTEMA!A1794="","",SISTEMA!A1794)</f>
        <v/>
      </c>
      <c r="B1800" s="10" t="str">
        <f>IF(SISTEMA!B1794="","",VALUE(SISTEMA!B1794))</f>
        <v/>
      </c>
      <c r="C1800" s="10" t="str">
        <f>IF(SISTEMA!C1794="","",SISTEMA!C1794)</f>
        <v/>
      </c>
      <c r="D1800" s="5" t="str" cm="1">
        <f t="array" ref="D18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0" s="5" t="str" cm="1">
        <f t="array" ref="E18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0" s="5" t="str" cm="1">
        <f t="array" ref="F18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0" t="str" cm="1">
        <f t="array" ref="G18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0" s="4"/>
      <c r="I1800" s="3" t="str" cm="1">
        <f t="array" ref="I18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1" spans="1:9" x14ac:dyDescent="0.3">
      <c r="A1801" s="3" t="str">
        <f>IF(SISTEMA!A1795="","",SISTEMA!A1795)</f>
        <v/>
      </c>
      <c r="B1801" s="10" t="str">
        <f>IF(SISTEMA!B1795="","",VALUE(SISTEMA!B1795))</f>
        <v/>
      </c>
      <c r="C1801" s="10" t="str">
        <f>IF(SISTEMA!C1795="","",SISTEMA!C1795)</f>
        <v/>
      </c>
      <c r="D1801" s="5" t="str" cm="1">
        <f t="array" ref="D18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1" s="5" t="str" cm="1">
        <f t="array" ref="E18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1" s="5" t="str" cm="1">
        <f t="array" ref="F18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1" t="str" cm="1">
        <f t="array" ref="G18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1" s="4"/>
      <c r="I1801" s="3" t="str" cm="1">
        <f t="array" ref="I18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2" spans="1:9" x14ac:dyDescent="0.3">
      <c r="A1802" s="3" t="str">
        <f>IF(SISTEMA!A1796="","",SISTEMA!A1796)</f>
        <v/>
      </c>
      <c r="B1802" s="10" t="str">
        <f>IF(SISTEMA!B1796="","",VALUE(SISTEMA!B1796))</f>
        <v/>
      </c>
      <c r="C1802" s="10" t="str">
        <f>IF(SISTEMA!C1796="","",SISTEMA!C1796)</f>
        <v/>
      </c>
      <c r="D1802" s="5" t="str" cm="1">
        <f t="array" ref="D18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2" s="5" t="str" cm="1">
        <f t="array" ref="E18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2" s="5" t="str" cm="1">
        <f t="array" ref="F18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2" t="str" cm="1">
        <f t="array" ref="G18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2" s="4"/>
      <c r="I1802" s="3" t="str" cm="1">
        <f t="array" ref="I18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3" spans="1:9" x14ac:dyDescent="0.3">
      <c r="A1803" s="3" t="str">
        <f>IF(SISTEMA!A1797="","",SISTEMA!A1797)</f>
        <v/>
      </c>
      <c r="B1803" s="10" t="str">
        <f>IF(SISTEMA!B1797="","",VALUE(SISTEMA!B1797))</f>
        <v/>
      </c>
      <c r="C1803" s="10" t="str">
        <f>IF(SISTEMA!C1797="","",SISTEMA!C1797)</f>
        <v/>
      </c>
      <c r="D1803" s="5" t="str" cm="1">
        <f t="array" ref="D18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3" s="5" t="str" cm="1">
        <f t="array" ref="E18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3" s="5" t="str" cm="1">
        <f t="array" ref="F18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3" t="str" cm="1">
        <f t="array" ref="G18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3" s="4"/>
      <c r="I1803" s="3" t="str" cm="1">
        <f t="array" ref="I18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4" spans="1:9" x14ac:dyDescent="0.3">
      <c r="A1804" s="3" t="str">
        <f>IF(SISTEMA!A1798="","",SISTEMA!A1798)</f>
        <v/>
      </c>
      <c r="B1804" s="10" t="str">
        <f>IF(SISTEMA!B1798="","",VALUE(SISTEMA!B1798))</f>
        <v/>
      </c>
      <c r="C1804" s="10" t="str">
        <f>IF(SISTEMA!C1798="","",SISTEMA!C1798)</f>
        <v/>
      </c>
      <c r="D1804" s="5" t="str" cm="1">
        <f t="array" ref="D18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4" s="5" t="str" cm="1">
        <f t="array" ref="E18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4" s="5" t="str" cm="1">
        <f t="array" ref="F18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4" t="str" cm="1">
        <f t="array" ref="G18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4" s="4"/>
      <c r="I1804" s="3" t="str" cm="1">
        <f t="array" ref="I18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5" spans="1:9" x14ac:dyDescent="0.3">
      <c r="A1805" s="3" t="str">
        <f>IF(SISTEMA!A1799="","",SISTEMA!A1799)</f>
        <v/>
      </c>
      <c r="B1805" s="10" t="str">
        <f>IF(SISTEMA!B1799="","",VALUE(SISTEMA!B1799))</f>
        <v/>
      </c>
      <c r="C1805" s="10" t="str">
        <f>IF(SISTEMA!C1799="","",SISTEMA!C1799)</f>
        <v/>
      </c>
      <c r="D1805" s="5" t="str" cm="1">
        <f t="array" ref="D18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5" s="5" t="str" cm="1">
        <f t="array" ref="E18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5" s="5" t="str" cm="1">
        <f t="array" ref="F18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5" t="str" cm="1">
        <f t="array" ref="G18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5" s="4"/>
      <c r="I1805" s="3" t="str" cm="1">
        <f t="array" ref="I18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6" spans="1:9" x14ac:dyDescent="0.3">
      <c r="A1806" s="3" t="str">
        <f>IF(SISTEMA!A1800="","",SISTEMA!A1800)</f>
        <v/>
      </c>
      <c r="B1806" s="10" t="str">
        <f>IF(SISTEMA!B1800="","",VALUE(SISTEMA!B1800))</f>
        <v/>
      </c>
      <c r="C1806" s="10" t="str">
        <f>IF(SISTEMA!C1800="","",SISTEMA!C1800)</f>
        <v/>
      </c>
      <c r="D1806" s="5" t="str" cm="1">
        <f t="array" ref="D18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6" s="5" t="str" cm="1">
        <f t="array" ref="E18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6" s="5" t="str" cm="1">
        <f t="array" ref="F18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6" t="str" cm="1">
        <f t="array" ref="G18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6" s="4"/>
      <c r="I1806" s="3" t="str" cm="1">
        <f t="array" ref="I18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7" spans="1:9" x14ac:dyDescent="0.3">
      <c r="A1807" s="3" t="str">
        <f>IF(SISTEMA!A1801="","",SISTEMA!A1801)</f>
        <v/>
      </c>
      <c r="B1807" s="10" t="str">
        <f>IF(SISTEMA!B1801="","",VALUE(SISTEMA!B1801))</f>
        <v/>
      </c>
      <c r="C1807" s="10" t="str">
        <f>IF(SISTEMA!C1801="","",SISTEMA!C1801)</f>
        <v/>
      </c>
      <c r="D1807" s="5" t="str" cm="1">
        <f t="array" ref="D18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7" s="5" t="str" cm="1">
        <f t="array" ref="E18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7" s="5" t="str" cm="1">
        <f t="array" ref="F18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7" t="str" cm="1">
        <f t="array" ref="G18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7" s="4"/>
      <c r="I1807" s="3" t="str" cm="1">
        <f t="array" ref="I18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8" spans="1:9" x14ac:dyDescent="0.3">
      <c r="A1808" s="3" t="str">
        <f>IF(SISTEMA!A1802="","",SISTEMA!A1802)</f>
        <v/>
      </c>
      <c r="B1808" s="10" t="str">
        <f>IF(SISTEMA!B1802="","",VALUE(SISTEMA!B1802))</f>
        <v/>
      </c>
      <c r="C1808" s="10" t="str">
        <f>IF(SISTEMA!C1802="","",SISTEMA!C1802)</f>
        <v/>
      </c>
      <c r="D1808" s="5" t="str" cm="1">
        <f t="array" ref="D18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8" s="5" t="str" cm="1">
        <f t="array" ref="E18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8" s="5" t="str" cm="1">
        <f t="array" ref="F18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8" t="str" cm="1">
        <f t="array" ref="G18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8" s="4"/>
      <c r="I1808" s="3" t="str" cm="1">
        <f t="array" ref="I18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09" spans="1:9" x14ac:dyDescent="0.3">
      <c r="A1809" s="3" t="str">
        <f>IF(SISTEMA!A1803="","",SISTEMA!A1803)</f>
        <v/>
      </c>
      <c r="B1809" s="10" t="str">
        <f>IF(SISTEMA!B1803="","",VALUE(SISTEMA!B1803))</f>
        <v/>
      </c>
      <c r="C1809" s="10" t="str">
        <f>IF(SISTEMA!C1803="","",SISTEMA!C1803)</f>
        <v/>
      </c>
      <c r="D1809" s="5" t="str" cm="1">
        <f t="array" ref="D18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09" s="5" t="str" cm="1">
        <f t="array" ref="E18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09" s="5" t="str" cm="1">
        <f t="array" ref="F18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09" t="str" cm="1">
        <f t="array" ref="G18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09" s="4"/>
      <c r="I1809" s="3" t="str" cm="1">
        <f t="array" ref="I18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0" spans="1:9" x14ac:dyDescent="0.3">
      <c r="A1810" s="3" t="str">
        <f>IF(SISTEMA!A1804="","",SISTEMA!A1804)</f>
        <v/>
      </c>
      <c r="B1810" s="10" t="str">
        <f>IF(SISTEMA!B1804="","",VALUE(SISTEMA!B1804))</f>
        <v/>
      </c>
      <c r="C1810" s="10" t="str">
        <f>IF(SISTEMA!C1804="","",SISTEMA!C1804)</f>
        <v/>
      </c>
      <c r="D1810" s="5" t="str" cm="1">
        <f t="array" ref="D18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0" s="5" t="str" cm="1">
        <f t="array" ref="E18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0" s="5" t="str" cm="1">
        <f t="array" ref="F18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0" t="str" cm="1">
        <f t="array" ref="G18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0" s="4"/>
      <c r="I1810" s="3" t="str" cm="1">
        <f t="array" ref="I18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1" spans="1:9" x14ac:dyDescent="0.3">
      <c r="A1811" s="3" t="str">
        <f>IF(SISTEMA!A1805="","",SISTEMA!A1805)</f>
        <v/>
      </c>
      <c r="B1811" s="10" t="str">
        <f>IF(SISTEMA!B1805="","",VALUE(SISTEMA!B1805))</f>
        <v/>
      </c>
      <c r="C1811" s="10" t="str">
        <f>IF(SISTEMA!C1805="","",SISTEMA!C1805)</f>
        <v/>
      </c>
      <c r="D1811" s="5" t="str" cm="1">
        <f t="array" ref="D18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1" s="5" t="str" cm="1">
        <f t="array" ref="E18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1" s="5" t="str" cm="1">
        <f t="array" ref="F18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1" t="str" cm="1">
        <f t="array" ref="G18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1" s="4"/>
      <c r="I1811" s="3" t="str" cm="1">
        <f t="array" ref="I18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2" spans="1:9" x14ac:dyDescent="0.3">
      <c r="A1812" s="3" t="str">
        <f>IF(SISTEMA!A1806="","",SISTEMA!A1806)</f>
        <v/>
      </c>
      <c r="B1812" s="10" t="str">
        <f>IF(SISTEMA!B1806="","",VALUE(SISTEMA!B1806))</f>
        <v/>
      </c>
      <c r="C1812" s="10" t="str">
        <f>IF(SISTEMA!C1806="","",SISTEMA!C1806)</f>
        <v/>
      </c>
      <c r="D1812" s="5" t="str" cm="1">
        <f t="array" ref="D18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2" s="5" t="str" cm="1">
        <f t="array" ref="E18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2" s="5" t="str" cm="1">
        <f t="array" ref="F18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2" t="str" cm="1">
        <f t="array" ref="G18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2" s="4"/>
      <c r="I1812" s="3" t="str" cm="1">
        <f t="array" ref="I18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3" spans="1:9" x14ac:dyDescent="0.3">
      <c r="A1813" s="3" t="str">
        <f>IF(SISTEMA!A1807="","",SISTEMA!A1807)</f>
        <v/>
      </c>
      <c r="B1813" s="10" t="str">
        <f>IF(SISTEMA!B1807="","",VALUE(SISTEMA!B1807))</f>
        <v/>
      </c>
      <c r="C1813" s="10" t="str">
        <f>IF(SISTEMA!C1807="","",SISTEMA!C1807)</f>
        <v/>
      </c>
      <c r="D1813" s="5" t="str" cm="1">
        <f t="array" ref="D18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3" s="5" t="str" cm="1">
        <f t="array" ref="E18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3" s="5" t="str" cm="1">
        <f t="array" ref="F18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3" t="str" cm="1">
        <f t="array" ref="G18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3" s="4"/>
      <c r="I1813" s="3" t="str" cm="1">
        <f t="array" ref="I18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4" spans="1:9" x14ac:dyDescent="0.3">
      <c r="A1814" s="3" t="str">
        <f>IF(SISTEMA!A1808="","",SISTEMA!A1808)</f>
        <v/>
      </c>
      <c r="B1814" s="10" t="str">
        <f>IF(SISTEMA!B1808="","",VALUE(SISTEMA!B1808))</f>
        <v/>
      </c>
      <c r="C1814" s="10" t="str">
        <f>IF(SISTEMA!C1808="","",SISTEMA!C1808)</f>
        <v/>
      </c>
      <c r="D1814" s="5" t="str" cm="1">
        <f t="array" ref="D18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4" s="5" t="str" cm="1">
        <f t="array" ref="E18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4" s="5" t="str" cm="1">
        <f t="array" ref="F18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4" t="str" cm="1">
        <f t="array" ref="G18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4" s="4"/>
      <c r="I1814" s="3" t="str" cm="1">
        <f t="array" ref="I18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5" spans="1:9" x14ac:dyDescent="0.3">
      <c r="A1815" s="3" t="str">
        <f>IF(SISTEMA!A1809="","",SISTEMA!A1809)</f>
        <v/>
      </c>
      <c r="B1815" s="10" t="str">
        <f>IF(SISTEMA!B1809="","",VALUE(SISTEMA!B1809))</f>
        <v/>
      </c>
      <c r="C1815" s="10" t="str">
        <f>IF(SISTEMA!C1809="","",SISTEMA!C1809)</f>
        <v/>
      </c>
      <c r="D1815" s="5" t="str" cm="1">
        <f t="array" ref="D18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5" s="5" t="str" cm="1">
        <f t="array" ref="E18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5" s="5" t="str" cm="1">
        <f t="array" ref="F18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5" t="str" cm="1">
        <f t="array" ref="G18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5" s="4"/>
      <c r="I1815" s="3" t="str" cm="1">
        <f t="array" ref="I18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6" spans="1:9" x14ac:dyDescent="0.3">
      <c r="A1816" s="3" t="str">
        <f>IF(SISTEMA!A1810="","",SISTEMA!A1810)</f>
        <v/>
      </c>
      <c r="B1816" s="10" t="str">
        <f>IF(SISTEMA!B1810="","",VALUE(SISTEMA!B1810))</f>
        <v/>
      </c>
      <c r="C1816" s="10" t="str">
        <f>IF(SISTEMA!C1810="","",SISTEMA!C1810)</f>
        <v/>
      </c>
      <c r="D1816" s="5" t="str" cm="1">
        <f t="array" ref="D18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6" s="5" t="str" cm="1">
        <f t="array" ref="E18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6" s="5" t="str" cm="1">
        <f t="array" ref="F18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6" t="str" cm="1">
        <f t="array" ref="G18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6" s="4"/>
      <c r="I1816" s="3" t="str" cm="1">
        <f t="array" ref="I18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7" spans="1:9" x14ac:dyDescent="0.3">
      <c r="A1817" s="3" t="str">
        <f>IF(SISTEMA!A1811="","",SISTEMA!A1811)</f>
        <v/>
      </c>
      <c r="B1817" s="10" t="str">
        <f>IF(SISTEMA!B1811="","",VALUE(SISTEMA!B1811))</f>
        <v/>
      </c>
      <c r="C1817" s="10" t="str">
        <f>IF(SISTEMA!C1811="","",SISTEMA!C1811)</f>
        <v/>
      </c>
      <c r="D1817" s="5" t="str" cm="1">
        <f t="array" ref="D18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7" s="5" t="str" cm="1">
        <f t="array" ref="E18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7" s="5" t="str" cm="1">
        <f t="array" ref="F18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7" t="str" cm="1">
        <f t="array" ref="G18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7" s="4"/>
      <c r="I1817" s="3" t="str" cm="1">
        <f t="array" ref="I18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8" spans="1:9" x14ac:dyDescent="0.3">
      <c r="A1818" s="3" t="str">
        <f>IF(SISTEMA!A1812="","",SISTEMA!A1812)</f>
        <v/>
      </c>
      <c r="B1818" s="10" t="str">
        <f>IF(SISTEMA!B1812="","",VALUE(SISTEMA!B1812))</f>
        <v/>
      </c>
      <c r="C1818" s="10" t="str">
        <f>IF(SISTEMA!C1812="","",SISTEMA!C1812)</f>
        <v/>
      </c>
      <c r="D1818" s="5" t="str" cm="1">
        <f t="array" ref="D18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8" s="5" t="str" cm="1">
        <f t="array" ref="E18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8" s="5" t="str" cm="1">
        <f t="array" ref="F18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8" t="str" cm="1">
        <f t="array" ref="G18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8" s="4"/>
      <c r="I1818" s="3" t="str" cm="1">
        <f t="array" ref="I18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19" spans="1:9" x14ac:dyDescent="0.3">
      <c r="A1819" s="3" t="str">
        <f>IF(SISTEMA!A1813="","",SISTEMA!A1813)</f>
        <v/>
      </c>
      <c r="B1819" s="10" t="str">
        <f>IF(SISTEMA!B1813="","",VALUE(SISTEMA!B1813))</f>
        <v/>
      </c>
      <c r="C1819" s="10" t="str">
        <f>IF(SISTEMA!C1813="","",SISTEMA!C1813)</f>
        <v/>
      </c>
      <c r="D1819" s="5" t="str" cm="1">
        <f t="array" ref="D18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19" s="5" t="str" cm="1">
        <f t="array" ref="E18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19" s="5" t="str" cm="1">
        <f t="array" ref="F18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19" t="str" cm="1">
        <f t="array" ref="G18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19" s="4"/>
      <c r="I1819" s="3" t="str" cm="1">
        <f t="array" ref="I18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0" spans="1:9" x14ac:dyDescent="0.3">
      <c r="A1820" s="3" t="str">
        <f>IF(SISTEMA!A1814="","",SISTEMA!A1814)</f>
        <v/>
      </c>
      <c r="B1820" s="10" t="str">
        <f>IF(SISTEMA!B1814="","",VALUE(SISTEMA!B1814))</f>
        <v/>
      </c>
      <c r="C1820" s="10" t="str">
        <f>IF(SISTEMA!C1814="","",SISTEMA!C1814)</f>
        <v/>
      </c>
      <c r="D1820" s="5" t="str" cm="1">
        <f t="array" ref="D18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0" s="5" t="str" cm="1">
        <f t="array" ref="E18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0" s="5" t="str" cm="1">
        <f t="array" ref="F18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0" t="str" cm="1">
        <f t="array" ref="G18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0" s="4"/>
      <c r="I1820" s="3" t="str" cm="1">
        <f t="array" ref="I18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1" spans="1:9" x14ac:dyDescent="0.3">
      <c r="A1821" s="3" t="str">
        <f>IF(SISTEMA!A1815="","",SISTEMA!A1815)</f>
        <v/>
      </c>
      <c r="B1821" s="10" t="str">
        <f>IF(SISTEMA!B1815="","",VALUE(SISTEMA!B1815))</f>
        <v/>
      </c>
      <c r="C1821" s="10" t="str">
        <f>IF(SISTEMA!C1815="","",SISTEMA!C1815)</f>
        <v/>
      </c>
      <c r="D1821" s="5" t="str" cm="1">
        <f t="array" ref="D18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1" s="5" t="str" cm="1">
        <f t="array" ref="E18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1" s="5" t="str" cm="1">
        <f t="array" ref="F18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1" t="str" cm="1">
        <f t="array" ref="G18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1" s="4"/>
      <c r="I1821" s="3" t="str" cm="1">
        <f t="array" ref="I18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2" spans="1:9" x14ac:dyDescent="0.3">
      <c r="A1822" s="3" t="str">
        <f>IF(SISTEMA!A1816="","",SISTEMA!A1816)</f>
        <v/>
      </c>
      <c r="B1822" s="10" t="str">
        <f>IF(SISTEMA!B1816="","",VALUE(SISTEMA!B1816))</f>
        <v/>
      </c>
      <c r="C1822" s="10" t="str">
        <f>IF(SISTEMA!C1816="","",SISTEMA!C1816)</f>
        <v/>
      </c>
      <c r="D1822" s="5" t="str" cm="1">
        <f t="array" ref="D18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2" s="5" t="str" cm="1">
        <f t="array" ref="E18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2" s="5" t="str" cm="1">
        <f t="array" ref="F18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2" t="str" cm="1">
        <f t="array" ref="G18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2" s="4"/>
      <c r="I1822" s="3" t="str" cm="1">
        <f t="array" ref="I18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3" spans="1:9" x14ac:dyDescent="0.3">
      <c r="A1823" s="3" t="str">
        <f>IF(SISTEMA!A1817="","",SISTEMA!A1817)</f>
        <v/>
      </c>
      <c r="B1823" s="10" t="str">
        <f>IF(SISTEMA!B1817="","",VALUE(SISTEMA!B1817))</f>
        <v/>
      </c>
      <c r="C1823" s="10" t="str">
        <f>IF(SISTEMA!C1817="","",SISTEMA!C1817)</f>
        <v/>
      </c>
      <c r="D1823" s="5" t="str" cm="1">
        <f t="array" ref="D18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3" s="5" t="str" cm="1">
        <f t="array" ref="E18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3" s="5" t="str" cm="1">
        <f t="array" ref="F18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3" t="str" cm="1">
        <f t="array" ref="G18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3" s="4"/>
      <c r="I1823" s="3" t="str" cm="1">
        <f t="array" ref="I18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4" spans="1:9" x14ac:dyDescent="0.3">
      <c r="A1824" s="3" t="str">
        <f>IF(SISTEMA!A1818="","",SISTEMA!A1818)</f>
        <v/>
      </c>
      <c r="B1824" s="10" t="str">
        <f>IF(SISTEMA!B1818="","",VALUE(SISTEMA!B1818))</f>
        <v/>
      </c>
      <c r="C1824" s="10" t="str">
        <f>IF(SISTEMA!C1818="","",SISTEMA!C1818)</f>
        <v/>
      </c>
      <c r="D1824" s="5" t="str" cm="1">
        <f t="array" ref="D18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4" s="5" t="str" cm="1">
        <f t="array" ref="E18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4" s="5" t="str" cm="1">
        <f t="array" ref="F18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4" t="str" cm="1">
        <f t="array" ref="G18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4" s="4"/>
      <c r="I1824" s="3" t="str" cm="1">
        <f t="array" ref="I18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5" spans="1:9" x14ac:dyDescent="0.3">
      <c r="A1825" s="3" t="str">
        <f>IF(SISTEMA!A1819="","",SISTEMA!A1819)</f>
        <v/>
      </c>
      <c r="B1825" s="10" t="str">
        <f>IF(SISTEMA!B1819="","",VALUE(SISTEMA!B1819))</f>
        <v/>
      </c>
      <c r="C1825" s="10" t="str">
        <f>IF(SISTEMA!C1819="","",SISTEMA!C1819)</f>
        <v/>
      </c>
      <c r="D1825" s="5" t="str" cm="1">
        <f t="array" ref="D18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5" s="5" t="str" cm="1">
        <f t="array" ref="E18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5" s="5" t="str" cm="1">
        <f t="array" ref="F18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5" t="str" cm="1">
        <f t="array" ref="G18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5" s="4"/>
      <c r="I1825" s="3" t="str" cm="1">
        <f t="array" ref="I18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6" spans="1:9" x14ac:dyDescent="0.3">
      <c r="A1826" s="3" t="str">
        <f>IF(SISTEMA!A1820="","",SISTEMA!A1820)</f>
        <v/>
      </c>
      <c r="B1826" s="10" t="str">
        <f>IF(SISTEMA!B1820="","",VALUE(SISTEMA!B1820))</f>
        <v/>
      </c>
      <c r="C1826" s="10" t="str">
        <f>IF(SISTEMA!C1820="","",SISTEMA!C1820)</f>
        <v/>
      </c>
      <c r="D1826" s="5" t="str" cm="1">
        <f t="array" ref="D18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6" s="5" t="str" cm="1">
        <f t="array" ref="E18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6" s="5" t="str" cm="1">
        <f t="array" ref="F18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6" t="str" cm="1">
        <f t="array" ref="G18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6" s="4"/>
      <c r="I1826" s="3" t="str" cm="1">
        <f t="array" ref="I18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7" spans="1:9" x14ac:dyDescent="0.3">
      <c r="A1827" s="3" t="str">
        <f>IF(SISTEMA!A1821="","",SISTEMA!A1821)</f>
        <v/>
      </c>
      <c r="B1827" s="10" t="str">
        <f>IF(SISTEMA!B1821="","",VALUE(SISTEMA!B1821))</f>
        <v/>
      </c>
      <c r="C1827" s="10" t="str">
        <f>IF(SISTEMA!C1821="","",SISTEMA!C1821)</f>
        <v/>
      </c>
      <c r="D1827" s="5" t="str" cm="1">
        <f t="array" ref="D18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7" s="5" t="str" cm="1">
        <f t="array" ref="E18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7" s="5" t="str" cm="1">
        <f t="array" ref="F18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7" t="str" cm="1">
        <f t="array" ref="G18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7" s="4"/>
      <c r="I1827" s="3" t="str" cm="1">
        <f t="array" ref="I18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8" spans="1:9" x14ac:dyDescent="0.3">
      <c r="A1828" s="3" t="str">
        <f>IF(SISTEMA!A1822="","",SISTEMA!A1822)</f>
        <v/>
      </c>
      <c r="B1828" s="10" t="str">
        <f>IF(SISTEMA!B1822="","",VALUE(SISTEMA!B1822))</f>
        <v/>
      </c>
      <c r="C1828" s="10" t="str">
        <f>IF(SISTEMA!C1822="","",SISTEMA!C1822)</f>
        <v/>
      </c>
      <c r="D1828" s="5" t="str" cm="1">
        <f t="array" ref="D18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8" s="5" t="str" cm="1">
        <f t="array" ref="E18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8" s="5" t="str" cm="1">
        <f t="array" ref="F18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8" t="str" cm="1">
        <f t="array" ref="G18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8" s="4"/>
      <c r="I1828" s="3" t="str" cm="1">
        <f t="array" ref="I18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29" spans="1:9" x14ac:dyDescent="0.3">
      <c r="A1829" s="3" t="str">
        <f>IF(SISTEMA!A1823="","",SISTEMA!A1823)</f>
        <v/>
      </c>
      <c r="B1829" s="10" t="str">
        <f>IF(SISTEMA!B1823="","",VALUE(SISTEMA!B1823))</f>
        <v/>
      </c>
      <c r="C1829" s="10" t="str">
        <f>IF(SISTEMA!C1823="","",SISTEMA!C1823)</f>
        <v/>
      </c>
      <c r="D1829" s="5" t="str" cm="1">
        <f t="array" ref="D18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29" s="5" t="str" cm="1">
        <f t="array" ref="E18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29" s="5" t="str" cm="1">
        <f t="array" ref="F18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29" t="str" cm="1">
        <f t="array" ref="G18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29" s="4"/>
      <c r="I1829" s="3" t="str" cm="1">
        <f t="array" ref="I18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0" spans="1:9" x14ac:dyDescent="0.3">
      <c r="A1830" s="3" t="str">
        <f>IF(SISTEMA!A1824="","",SISTEMA!A1824)</f>
        <v/>
      </c>
      <c r="B1830" s="10" t="str">
        <f>IF(SISTEMA!B1824="","",VALUE(SISTEMA!B1824))</f>
        <v/>
      </c>
      <c r="C1830" s="10" t="str">
        <f>IF(SISTEMA!C1824="","",SISTEMA!C1824)</f>
        <v/>
      </c>
      <c r="D1830" s="5" t="str" cm="1">
        <f t="array" ref="D18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0" s="5" t="str" cm="1">
        <f t="array" ref="E18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0" s="5" t="str" cm="1">
        <f t="array" ref="F18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0" t="str" cm="1">
        <f t="array" ref="G18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0" s="4"/>
      <c r="I1830" s="3" t="str" cm="1">
        <f t="array" ref="I18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1" spans="1:9" x14ac:dyDescent="0.3">
      <c r="A1831" s="3" t="str">
        <f>IF(SISTEMA!A1825="","",SISTEMA!A1825)</f>
        <v/>
      </c>
      <c r="B1831" s="10" t="str">
        <f>IF(SISTEMA!B1825="","",VALUE(SISTEMA!B1825))</f>
        <v/>
      </c>
      <c r="C1831" s="10" t="str">
        <f>IF(SISTEMA!C1825="","",SISTEMA!C1825)</f>
        <v/>
      </c>
      <c r="D1831" s="5" t="str" cm="1">
        <f t="array" ref="D18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1" s="5" t="str" cm="1">
        <f t="array" ref="E18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1" s="5" t="str" cm="1">
        <f t="array" ref="F18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1" t="str" cm="1">
        <f t="array" ref="G18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1" s="4"/>
      <c r="I1831" s="3" t="str" cm="1">
        <f t="array" ref="I18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2" spans="1:9" x14ac:dyDescent="0.3">
      <c r="A1832" s="3" t="str">
        <f>IF(SISTEMA!A1826="","",SISTEMA!A1826)</f>
        <v/>
      </c>
      <c r="B1832" s="10" t="str">
        <f>IF(SISTEMA!B1826="","",VALUE(SISTEMA!B1826))</f>
        <v/>
      </c>
      <c r="C1832" s="10" t="str">
        <f>IF(SISTEMA!C1826="","",SISTEMA!C1826)</f>
        <v/>
      </c>
      <c r="D1832" s="5" t="str" cm="1">
        <f t="array" ref="D18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2" s="5" t="str" cm="1">
        <f t="array" ref="E18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2" s="5" t="str" cm="1">
        <f t="array" ref="F18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2" t="str" cm="1">
        <f t="array" ref="G18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2" s="4"/>
      <c r="I1832" s="3" t="str" cm="1">
        <f t="array" ref="I18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3" spans="1:9" x14ac:dyDescent="0.3">
      <c r="A1833" s="3" t="str">
        <f>IF(SISTEMA!A1827="","",SISTEMA!A1827)</f>
        <v/>
      </c>
      <c r="B1833" s="10" t="str">
        <f>IF(SISTEMA!B1827="","",VALUE(SISTEMA!B1827))</f>
        <v/>
      </c>
      <c r="C1833" s="10" t="str">
        <f>IF(SISTEMA!C1827="","",SISTEMA!C1827)</f>
        <v/>
      </c>
      <c r="D1833" s="5" t="str" cm="1">
        <f t="array" ref="D18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3" s="5" t="str" cm="1">
        <f t="array" ref="E18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3" s="5" t="str" cm="1">
        <f t="array" ref="F18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3" t="str" cm="1">
        <f t="array" ref="G18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3" s="4"/>
      <c r="I1833" s="3" t="str" cm="1">
        <f t="array" ref="I18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4" spans="1:9" x14ac:dyDescent="0.3">
      <c r="A1834" s="3" t="str">
        <f>IF(SISTEMA!A1828="","",SISTEMA!A1828)</f>
        <v/>
      </c>
      <c r="B1834" s="10" t="str">
        <f>IF(SISTEMA!B1828="","",VALUE(SISTEMA!B1828))</f>
        <v/>
      </c>
      <c r="C1834" s="10" t="str">
        <f>IF(SISTEMA!C1828="","",SISTEMA!C1828)</f>
        <v/>
      </c>
      <c r="D1834" s="5" t="str" cm="1">
        <f t="array" ref="D18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4" s="5" t="str" cm="1">
        <f t="array" ref="E18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4" s="5" t="str" cm="1">
        <f t="array" ref="F18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4" t="str" cm="1">
        <f t="array" ref="G18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4" s="4"/>
      <c r="I1834" s="3" t="str" cm="1">
        <f t="array" ref="I18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5" spans="1:9" x14ac:dyDescent="0.3">
      <c r="A1835" s="3" t="str">
        <f>IF(SISTEMA!A1829="","",SISTEMA!A1829)</f>
        <v/>
      </c>
      <c r="B1835" s="10" t="str">
        <f>IF(SISTEMA!B1829="","",VALUE(SISTEMA!B1829))</f>
        <v/>
      </c>
      <c r="C1835" s="10" t="str">
        <f>IF(SISTEMA!C1829="","",SISTEMA!C1829)</f>
        <v/>
      </c>
      <c r="D1835" s="5" t="str" cm="1">
        <f t="array" ref="D18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5" s="5" t="str" cm="1">
        <f t="array" ref="E18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5" s="5" t="str" cm="1">
        <f t="array" ref="F18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5" t="str" cm="1">
        <f t="array" ref="G18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5" s="4"/>
      <c r="I1835" s="3" t="str" cm="1">
        <f t="array" ref="I18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6" spans="1:9" x14ac:dyDescent="0.3">
      <c r="A1836" s="3" t="str">
        <f>IF(SISTEMA!A1830="","",SISTEMA!A1830)</f>
        <v/>
      </c>
      <c r="B1836" s="10" t="str">
        <f>IF(SISTEMA!B1830="","",VALUE(SISTEMA!B1830))</f>
        <v/>
      </c>
      <c r="C1836" s="10" t="str">
        <f>IF(SISTEMA!C1830="","",SISTEMA!C1830)</f>
        <v/>
      </c>
      <c r="D1836" s="5" t="str" cm="1">
        <f t="array" ref="D18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6" s="5" t="str" cm="1">
        <f t="array" ref="E18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6" s="5" t="str" cm="1">
        <f t="array" ref="F18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6" t="str" cm="1">
        <f t="array" ref="G18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6" s="4"/>
      <c r="I1836" s="3" t="str" cm="1">
        <f t="array" ref="I18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7" spans="1:9" x14ac:dyDescent="0.3">
      <c r="A1837" s="3" t="str">
        <f>IF(SISTEMA!A1831="","",SISTEMA!A1831)</f>
        <v/>
      </c>
      <c r="B1837" s="10" t="str">
        <f>IF(SISTEMA!B1831="","",VALUE(SISTEMA!B1831))</f>
        <v/>
      </c>
      <c r="C1837" s="10" t="str">
        <f>IF(SISTEMA!C1831="","",SISTEMA!C1831)</f>
        <v/>
      </c>
      <c r="D1837" s="5" t="str" cm="1">
        <f t="array" ref="D18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7" s="5" t="str" cm="1">
        <f t="array" ref="E18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7" s="5" t="str" cm="1">
        <f t="array" ref="F18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7" t="str" cm="1">
        <f t="array" ref="G18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7" s="4"/>
      <c r="I1837" s="3" t="str" cm="1">
        <f t="array" ref="I18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8" spans="1:9" x14ac:dyDescent="0.3">
      <c r="A1838" s="3" t="str">
        <f>IF(SISTEMA!A1832="","",SISTEMA!A1832)</f>
        <v/>
      </c>
      <c r="B1838" s="10" t="str">
        <f>IF(SISTEMA!B1832="","",VALUE(SISTEMA!B1832))</f>
        <v/>
      </c>
      <c r="C1838" s="10" t="str">
        <f>IF(SISTEMA!C1832="","",SISTEMA!C1832)</f>
        <v/>
      </c>
      <c r="D1838" s="5" t="str" cm="1">
        <f t="array" ref="D18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8" s="5" t="str" cm="1">
        <f t="array" ref="E18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8" s="5" t="str" cm="1">
        <f t="array" ref="F18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8" t="str" cm="1">
        <f t="array" ref="G18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8" s="4"/>
      <c r="I1838" s="3" t="str" cm="1">
        <f t="array" ref="I18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39" spans="1:9" x14ac:dyDescent="0.3">
      <c r="A1839" s="3" t="str">
        <f>IF(SISTEMA!A1833="","",SISTEMA!A1833)</f>
        <v/>
      </c>
      <c r="B1839" s="10" t="str">
        <f>IF(SISTEMA!B1833="","",VALUE(SISTEMA!B1833))</f>
        <v/>
      </c>
      <c r="C1839" s="10" t="str">
        <f>IF(SISTEMA!C1833="","",SISTEMA!C1833)</f>
        <v/>
      </c>
      <c r="D1839" s="5" t="str" cm="1">
        <f t="array" ref="D18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39" s="5" t="str" cm="1">
        <f t="array" ref="E18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39" s="5" t="str" cm="1">
        <f t="array" ref="F18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39" t="str" cm="1">
        <f t="array" ref="G18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39" s="4"/>
      <c r="I1839" s="3" t="str" cm="1">
        <f t="array" ref="I18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0" spans="1:9" x14ac:dyDescent="0.3">
      <c r="A1840" s="3" t="str">
        <f>IF(SISTEMA!A1834="","",SISTEMA!A1834)</f>
        <v/>
      </c>
      <c r="B1840" s="10" t="str">
        <f>IF(SISTEMA!B1834="","",VALUE(SISTEMA!B1834))</f>
        <v/>
      </c>
      <c r="C1840" s="10" t="str">
        <f>IF(SISTEMA!C1834="","",SISTEMA!C1834)</f>
        <v/>
      </c>
      <c r="D1840" s="5" t="str" cm="1">
        <f t="array" ref="D18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0" s="5" t="str" cm="1">
        <f t="array" ref="E18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0" s="5" t="str" cm="1">
        <f t="array" ref="F18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0" t="str" cm="1">
        <f t="array" ref="G18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0" s="4"/>
      <c r="I1840" s="3" t="str" cm="1">
        <f t="array" ref="I18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1" spans="1:9" x14ac:dyDescent="0.3">
      <c r="A1841" s="3" t="str">
        <f>IF(SISTEMA!A1835="","",SISTEMA!A1835)</f>
        <v/>
      </c>
      <c r="B1841" s="10" t="str">
        <f>IF(SISTEMA!B1835="","",VALUE(SISTEMA!B1835))</f>
        <v/>
      </c>
      <c r="C1841" s="10" t="str">
        <f>IF(SISTEMA!C1835="","",SISTEMA!C1835)</f>
        <v/>
      </c>
      <c r="D1841" s="5" t="str" cm="1">
        <f t="array" ref="D18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1" s="5" t="str" cm="1">
        <f t="array" ref="E18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1" s="5" t="str" cm="1">
        <f t="array" ref="F18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1" t="str" cm="1">
        <f t="array" ref="G18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1" s="4"/>
      <c r="I1841" s="3" t="str" cm="1">
        <f t="array" ref="I18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2" spans="1:9" x14ac:dyDescent="0.3">
      <c r="A1842" s="3" t="str">
        <f>IF(SISTEMA!A1836="","",SISTEMA!A1836)</f>
        <v/>
      </c>
      <c r="B1842" s="10" t="str">
        <f>IF(SISTEMA!B1836="","",VALUE(SISTEMA!B1836))</f>
        <v/>
      </c>
      <c r="C1842" s="10" t="str">
        <f>IF(SISTEMA!C1836="","",SISTEMA!C1836)</f>
        <v/>
      </c>
      <c r="D1842" s="5" t="str" cm="1">
        <f t="array" ref="D18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2" s="5" t="str" cm="1">
        <f t="array" ref="E18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2" s="5" t="str" cm="1">
        <f t="array" ref="F18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2" t="str" cm="1">
        <f t="array" ref="G18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2" s="4"/>
      <c r="I1842" s="3" t="str" cm="1">
        <f t="array" ref="I18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3" spans="1:9" x14ac:dyDescent="0.3">
      <c r="A1843" s="3" t="str">
        <f>IF(SISTEMA!A1837="","",SISTEMA!A1837)</f>
        <v/>
      </c>
      <c r="B1843" s="10" t="str">
        <f>IF(SISTEMA!B1837="","",VALUE(SISTEMA!B1837))</f>
        <v/>
      </c>
      <c r="C1843" s="10" t="str">
        <f>IF(SISTEMA!C1837="","",SISTEMA!C1837)</f>
        <v/>
      </c>
      <c r="D1843" s="5" t="str" cm="1">
        <f t="array" ref="D18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3" s="5" t="str" cm="1">
        <f t="array" ref="E18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3" s="5" t="str" cm="1">
        <f t="array" ref="F18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3" t="str" cm="1">
        <f t="array" ref="G18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3" s="4"/>
      <c r="I1843" s="3" t="str" cm="1">
        <f t="array" ref="I18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4" spans="1:9" x14ac:dyDescent="0.3">
      <c r="A1844" s="3" t="str">
        <f>IF(SISTEMA!A1838="","",SISTEMA!A1838)</f>
        <v/>
      </c>
      <c r="B1844" s="10" t="str">
        <f>IF(SISTEMA!B1838="","",VALUE(SISTEMA!B1838))</f>
        <v/>
      </c>
      <c r="C1844" s="10" t="str">
        <f>IF(SISTEMA!C1838="","",SISTEMA!C1838)</f>
        <v/>
      </c>
      <c r="D1844" s="5" t="str" cm="1">
        <f t="array" ref="D18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4" s="5" t="str" cm="1">
        <f t="array" ref="E18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4" s="5" t="str" cm="1">
        <f t="array" ref="F18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4" t="str" cm="1">
        <f t="array" ref="G18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4" s="4"/>
      <c r="I1844" s="3" t="str" cm="1">
        <f t="array" ref="I18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5" spans="1:9" x14ac:dyDescent="0.3">
      <c r="A1845" s="3" t="str">
        <f>IF(SISTEMA!A1839="","",SISTEMA!A1839)</f>
        <v/>
      </c>
      <c r="B1845" s="10" t="str">
        <f>IF(SISTEMA!B1839="","",VALUE(SISTEMA!B1839))</f>
        <v/>
      </c>
      <c r="C1845" s="10" t="str">
        <f>IF(SISTEMA!C1839="","",SISTEMA!C1839)</f>
        <v/>
      </c>
      <c r="D1845" s="5" t="str" cm="1">
        <f t="array" ref="D18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5" s="5" t="str" cm="1">
        <f t="array" ref="E18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5" s="5" t="str" cm="1">
        <f t="array" ref="F18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5" t="str" cm="1">
        <f t="array" ref="G18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5" s="4"/>
      <c r="I1845" s="3" t="str" cm="1">
        <f t="array" ref="I18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6" spans="1:9" x14ac:dyDescent="0.3">
      <c r="A1846" s="3" t="str">
        <f>IF(SISTEMA!A1840="","",SISTEMA!A1840)</f>
        <v/>
      </c>
      <c r="B1846" s="10" t="str">
        <f>IF(SISTEMA!B1840="","",VALUE(SISTEMA!B1840))</f>
        <v/>
      </c>
      <c r="C1846" s="10" t="str">
        <f>IF(SISTEMA!C1840="","",SISTEMA!C1840)</f>
        <v/>
      </c>
      <c r="D1846" s="5" t="str" cm="1">
        <f t="array" ref="D18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6" s="5" t="str" cm="1">
        <f t="array" ref="E18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6" s="5" t="str" cm="1">
        <f t="array" ref="F18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6" t="str" cm="1">
        <f t="array" ref="G18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6" s="4"/>
      <c r="I1846" s="3" t="str" cm="1">
        <f t="array" ref="I18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7" spans="1:9" x14ac:dyDescent="0.3">
      <c r="A1847" s="3" t="str">
        <f>IF(SISTEMA!A1841="","",SISTEMA!A1841)</f>
        <v/>
      </c>
      <c r="B1847" s="10" t="str">
        <f>IF(SISTEMA!B1841="","",VALUE(SISTEMA!B1841))</f>
        <v/>
      </c>
      <c r="C1847" s="10" t="str">
        <f>IF(SISTEMA!C1841="","",SISTEMA!C1841)</f>
        <v/>
      </c>
      <c r="D1847" s="5" t="str" cm="1">
        <f t="array" ref="D18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7" s="5" t="str" cm="1">
        <f t="array" ref="E18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7" s="5" t="str" cm="1">
        <f t="array" ref="F18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7" t="str" cm="1">
        <f t="array" ref="G18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7" s="4"/>
      <c r="I1847" s="3" t="str" cm="1">
        <f t="array" ref="I18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8" spans="1:9" x14ac:dyDescent="0.3">
      <c r="A1848" s="3" t="str">
        <f>IF(SISTEMA!A1842="","",SISTEMA!A1842)</f>
        <v/>
      </c>
      <c r="B1848" s="10" t="str">
        <f>IF(SISTEMA!B1842="","",VALUE(SISTEMA!B1842))</f>
        <v/>
      </c>
      <c r="C1848" s="10" t="str">
        <f>IF(SISTEMA!C1842="","",SISTEMA!C1842)</f>
        <v/>
      </c>
      <c r="D1848" s="5" t="str" cm="1">
        <f t="array" ref="D18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8" s="5" t="str" cm="1">
        <f t="array" ref="E18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8" s="5" t="str" cm="1">
        <f t="array" ref="F18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8" t="str" cm="1">
        <f t="array" ref="G18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8" s="4"/>
      <c r="I1848" s="3" t="str" cm="1">
        <f t="array" ref="I18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49" spans="1:9" x14ac:dyDescent="0.3">
      <c r="A1849" s="3" t="str">
        <f>IF(SISTEMA!A1843="","",SISTEMA!A1843)</f>
        <v/>
      </c>
      <c r="B1849" s="10" t="str">
        <f>IF(SISTEMA!B1843="","",VALUE(SISTEMA!B1843))</f>
        <v/>
      </c>
      <c r="C1849" s="10" t="str">
        <f>IF(SISTEMA!C1843="","",SISTEMA!C1843)</f>
        <v/>
      </c>
      <c r="D1849" s="5" t="str" cm="1">
        <f t="array" ref="D18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49" s="5" t="str" cm="1">
        <f t="array" ref="E18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49" s="5" t="str" cm="1">
        <f t="array" ref="F18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49" t="str" cm="1">
        <f t="array" ref="G18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49" s="4"/>
      <c r="I1849" s="3" t="str" cm="1">
        <f t="array" ref="I18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0" spans="1:9" x14ac:dyDescent="0.3">
      <c r="A1850" s="3" t="str">
        <f>IF(SISTEMA!A1844="","",SISTEMA!A1844)</f>
        <v/>
      </c>
      <c r="B1850" s="10" t="str">
        <f>IF(SISTEMA!B1844="","",VALUE(SISTEMA!B1844))</f>
        <v/>
      </c>
      <c r="C1850" s="10" t="str">
        <f>IF(SISTEMA!C1844="","",SISTEMA!C1844)</f>
        <v/>
      </c>
      <c r="D1850" s="5" t="str" cm="1">
        <f t="array" ref="D18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0" s="5" t="str" cm="1">
        <f t="array" ref="E18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0" s="5" t="str" cm="1">
        <f t="array" ref="F18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0" t="str" cm="1">
        <f t="array" ref="G18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0" s="4"/>
      <c r="I1850" s="3" t="str" cm="1">
        <f t="array" ref="I18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1" spans="1:9" x14ac:dyDescent="0.3">
      <c r="A1851" s="3" t="str">
        <f>IF(SISTEMA!A1845="","",SISTEMA!A1845)</f>
        <v/>
      </c>
      <c r="B1851" s="10" t="str">
        <f>IF(SISTEMA!B1845="","",VALUE(SISTEMA!B1845))</f>
        <v/>
      </c>
      <c r="C1851" s="10" t="str">
        <f>IF(SISTEMA!C1845="","",SISTEMA!C1845)</f>
        <v/>
      </c>
      <c r="D1851" s="5" t="str" cm="1">
        <f t="array" ref="D18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1" s="5" t="str" cm="1">
        <f t="array" ref="E18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1" s="5" t="str" cm="1">
        <f t="array" ref="F18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1" t="str" cm="1">
        <f t="array" ref="G18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1" s="4"/>
      <c r="I1851" s="3" t="str" cm="1">
        <f t="array" ref="I18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2" spans="1:9" x14ac:dyDescent="0.3">
      <c r="A1852" s="3" t="str">
        <f>IF(SISTEMA!A1846="","",SISTEMA!A1846)</f>
        <v/>
      </c>
      <c r="B1852" s="10" t="str">
        <f>IF(SISTEMA!B1846="","",VALUE(SISTEMA!B1846))</f>
        <v/>
      </c>
      <c r="C1852" s="10" t="str">
        <f>IF(SISTEMA!C1846="","",SISTEMA!C1846)</f>
        <v/>
      </c>
      <c r="D1852" s="5" t="str" cm="1">
        <f t="array" ref="D18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2" s="5" t="str" cm="1">
        <f t="array" ref="E18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2" s="5" t="str" cm="1">
        <f t="array" ref="F18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2" t="str" cm="1">
        <f t="array" ref="G18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2" s="4"/>
      <c r="I1852" s="3" t="str" cm="1">
        <f t="array" ref="I18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3" spans="1:9" x14ac:dyDescent="0.3">
      <c r="A1853" s="3" t="str">
        <f>IF(SISTEMA!A1847="","",SISTEMA!A1847)</f>
        <v/>
      </c>
      <c r="B1853" s="10" t="str">
        <f>IF(SISTEMA!B1847="","",VALUE(SISTEMA!B1847))</f>
        <v/>
      </c>
      <c r="C1853" s="10" t="str">
        <f>IF(SISTEMA!C1847="","",SISTEMA!C1847)</f>
        <v/>
      </c>
      <c r="D1853" s="5" t="str" cm="1">
        <f t="array" ref="D18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3" s="5" t="str" cm="1">
        <f t="array" ref="E18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3" s="5" t="str" cm="1">
        <f t="array" ref="F18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3" t="str" cm="1">
        <f t="array" ref="G18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3" s="4"/>
      <c r="I1853" s="3" t="str" cm="1">
        <f t="array" ref="I18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4" spans="1:9" x14ac:dyDescent="0.3">
      <c r="A1854" s="3" t="str">
        <f>IF(SISTEMA!A1848="","",SISTEMA!A1848)</f>
        <v/>
      </c>
      <c r="B1854" s="10" t="str">
        <f>IF(SISTEMA!B1848="","",VALUE(SISTEMA!B1848))</f>
        <v/>
      </c>
      <c r="C1854" s="10" t="str">
        <f>IF(SISTEMA!C1848="","",SISTEMA!C1848)</f>
        <v/>
      </c>
      <c r="D1854" s="5" t="str" cm="1">
        <f t="array" ref="D18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4" s="5" t="str" cm="1">
        <f t="array" ref="E18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4" s="5" t="str" cm="1">
        <f t="array" ref="F18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4" t="str" cm="1">
        <f t="array" ref="G18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4" s="4"/>
      <c r="I1854" s="3" t="str" cm="1">
        <f t="array" ref="I18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5" spans="1:9" x14ac:dyDescent="0.3">
      <c r="A1855" s="3" t="str">
        <f>IF(SISTEMA!A1849="","",SISTEMA!A1849)</f>
        <v/>
      </c>
      <c r="B1855" s="10" t="str">
        <f>IF(SISTEMA!B1849="","",VALUE(SISTEMA!B1849))</f>
        <v/>
      </c>
      <c r="C1855" s="10" t="str">
        <f>IF(SISTEMA!C1849="","",SISTEMA!C1849)</f>
        <v/>
      </c>
      <c r="D1855" s="5" t="str" cm="1">
        <f t="array" ref="D18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5" s="5" t="str" cm="1">
        <f t="array" ref="E18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5" s="5" t="str" cm="1">
        <f t="array" ref="F18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5" t="str" cm="1">
        <f t="array" ref="G18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5" s="4"/>
      <c r="I1855" s="3" t="str" cm="1">
        <f t="array" ref="I18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6" spans="1:9" x14ac:dyDescent="0.3">
      <c r="A1856" s="3" t="str">
        <f>IF(SISTEMA!A1850="","",SISTEMA!A1850)</f>
        <v/>
      </c>
      <c r="B1856" s="10" t="str">
        <f>IF(SISTEMA!B1850="","",VALUE(SISTEMA!B1850))</f>
        <v/>
      </c>
      <c r="C1856" s="10" t="str">
        <f>IF(SISTEMA!C1850="","",SISTEMA!C1850)</f>
        <v/>
      </c>
      <c r="D1856" s="5" t="str" cm="1">
        <f t="array" ref="D18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6" s="5" t="str" cm="1">
        <f t="array" ref="E18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6" s="5" t="str" cm="1">
        <f t="array" ref="F18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6" t="str" cm="1">
        <f t="array" ref="G18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6" s="4"/>
      <c r="I1856" s="3" t="str" cm="1">
        <f t="array" ref="I18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7" spans="1:9" x14ac:dyDescent="0.3">
      <c r="A1857" s="3" t="str">
        <f>IF(SISTEMA!A1851="","",SISTEMA!A1851)</f>
        <v/>
      </c>
      <c r="B1857" s="10" t="str">
        <f>IF(SISTEMA!B1851="","",VALUE(SISTEMA!B1851))</f>
        <v/>
      </c>
      <c r="C1857" s="10" t="str">
        <f>IF(SISTEMA!C1851="","",SISTEMA!C1851)</f>
        <v/>
      </c>
      <c r="D1857" s="5" t="str" cm="1">
        <f t="array" ref="D18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7" s="5" t="str" cm="1">
        <f t="array" ref="E18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7" s="5" t="str" cm="1">
        <f t="array" ref="F18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7" t="str" cm="1">
        <f t="array" ref="G18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7" s="4"/>
      <c r="I1857" s="3" t="str" cm="1">
        <f t="array" ref="I18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8" spans="1:9" x14ac:dyDescent="0.3">
      <c r="A1858" s="3" t="str">
        <f>IF(SISTEMA!A1852="","",SISTEMA!A1852)</f>
        <v/>
      </c>
      <c r="B1858" s="10" t="str">
        <f>IF(SISTEMA!B1852="","",VALUE(SISTEMA!B1852))</f>
        <v/>
      </c>
      <c r="C1858" s="10" t="str">
        <f>IF(SISTEMA!C1852="","",SISTEMA!C1852)</f>
        <v/>
      </c>
      <c r="D1858" s="5" t="str" cm="1">
        <f t="array" ref="D18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8" s="5" t="str" cm="1">
        <f t="array" ref="E18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8" s="5" t="str" cm="1">
        <f t="array" ref="F18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8" t="str" cm="1">
        <f t="array" ref="G18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8" s="4"/>
      <c r="I1858" s="3" t="str" cm="1">
        <f t="array" ref="I18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59" spans="1:9" x14ac:dyDescent="0.3">
      <c r="A1859" s="3" t="str">
        <f>IF(SISTEMA!A1853="","",SISTEMA!A1853)</f>
        <v/>
      </c>
      <c r="B1859" s="10" t="str">
        <f>IF(SISTEMA!B1853="","",VALUE(SISTEMA!B1853))</f>
        <v/>
      </c>
      <c r="C1859" s="10" t="str">
        <f>IF(SISTEMA!C1853="","",SISTEMA!C1853)</f>
        <v/>
      </c>
      <c r="D1859" s="5" t="str" cm="1">
        <f t="array" ref="D18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59" s="5" t="str" cm="1">
        <f t="array" ref="E18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59" s="5" t="str" cm="1">
        <f t="array" ref="F18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59" t="str" cm="1">
        <f t="array" ref="G18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59" s="4"/>
      <c r="I1859" s="3" t="str" cm="1">
        <f t="array" ref="I18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0" spans="1:9" x14ac:dyDescent="0.3">
      <c r="A1860" s="3" t="str">
        <f>IF(SISTEMA!A1854="","",SISTEMA!A1854)</f>
        <v/>
      </c>
      <c r="B1860" s="10" t="str">
        <f>IF(SISTEMA!B1854="","",VALUE(SISTEMA!B1854))</f>
        <v/>
      </c>
      <c r="C1860" s="10" t="str">
        <f>IF(SISTEMA!C1854="","",SISTEMA!C1854)</f>
        <v/>
      </c>
      <c r="D1860" s="5" t="str" cm="1">
        <f t="array" ref="D18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0" s="5" t="str" cm="1">
        <f t="array" ref="E18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0" s="5" t="str" cm="1">
        <f t="array" ref="F18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0" t="str" cm="1">
        <f t="array" ref="G18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0" s="4"/>
      <c r="I1860" s="3" t="str" cm="1">
        <f t="array" ref="I18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1" spans="1:9" x14ac:dyDescent="0.3">
      <c r="A1861" s="3" t="str">
        <f>IF(SISTEMA!A1855="","",SISTEMA!A1855)</f>
        <v/>
      </c>
      <c r="B1861" s="10" t="str">
        <f>IF(SISTEMA!B1855="","",VALUE(SISTEMA!B1855))</f>
        <v/>
      </c>
      <c r="C1861" s="10" t="str">
        <f>IF(SISTEMA!C1855="","",SISTEMA!C1855)</f>
        <v/>
      </c>
      <c r="D1861" s="5" t="str" cm="1">
        <f t="array" ref="D18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1" s="5" t="str" cm="1">
        <f t="array" ref="E18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1" s="5" t="str" cm="1">
        <f t="array" ref="F18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1" t="str" cm="1">
        <f t="array" ref="G18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1" s="4"/>
      <c r="I1861" s="3" t="str" cm="1">
        <f t="array" ref="I18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2" spans="1:9" x14ac:dyDescent="0.3">
      <c r="A1862" s="3" t="str">
        <f>IF(SISTEMA!A1856="","",SISTEMA!A1856)</f>
        <v/>
      </c>
      <c r="B1862" s="10" t="str">
        <f>IF(SISTEMA!B1856="","",VALUE(SISTEMA!B1856))</f>
        <v/>
      </c>
      <c r="C1862" s="10" t="str">
        <f>IF(SISTEMA!C1856="","",SISTEMA!C1856)</f>
        <v/>
      </c>
      <c r="D1862" s="5" t="str" cm="1">
        <f t="array" ref="D18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2" s="5" t="str" cm="1">
        <f t="array" ref="E18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2" s="5" t="str" cm="1">
        <f t="array" ref="F18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2" t="str" cm="1">
        <f t="array" ref="G18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2" s="4"/>
      <c r="I1862" s="3" t="str" cm="1">
        <f t="array" ref="I18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3" spans="1:9" x14ac:dyDescent="0.3">
      <c r="A1863" s="3" t="str">
        <f>IF(SISTEMA!A1857="","",SISTEMA!A1857)</f>
        <v/>
      </c>
      <c r="B1863" s="10" t="str">
        <f>IF(SISTEMA!B1857="","",VALUE(SISTEMA!B1857))</f>
        <v/>
      </c>
      <c r="C1863" s="10" t="str">
        <f>IF(SISTEMA!C1857="","",SISTEMA!C1857)</f>
        <v/>
      </c>
      <c r="D1863" s="5" t="str" cm="1">
        <f t="array" ref="D18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3" s="5" t="str" cm="1">
        <f t="array" ref="E18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3" s="5" t="str" cm="1">
        <f t="array" ref="F18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3" t="str" cm="1">
        <f t="array" ref="G18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3" s="4"/>
      <c r="I1863" s="3" t="str" cm="1">
        <f t="array" ref="I18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4" spans="1:9" x14ac:dyDescent="0.3">
      <c r="A1864" s="3" t="str">
        <f>IF(SISTEMA!A1858="","",SISTEMA!A1858)</f>
        <v/>
      </c>
      <c r="B1864" s="10" t="str">
        <f>IF(SISTEMA!B1858="","",VALUE(SISTEMA!B1858))</f>
        <v/>
      </c>
      <c r="C1864" s="10" t="str">
        <f>IF(SISTEMA!C1858="","",SISTEMA!C1858)</f>
        <v/>
      </c>
      <c r="D1864" s="5" t="str" cm="1">
        <f t="array" ref="D18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4" s="5" t="str" cm="1">
        <f t="array" ref="E18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4" s="5" t="str" cm="1">
        <f t="array" ref="F18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4" t="str" cm="1">
        <f t="array" ref="G18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4" s="4"/>
      <c r="I1864" s="3" t="str" cm="1">
        <f t="array" ref="I18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5" spans="1:9" x14ac:dyDescent="0.3">
      <c r="A1865" s="3" t="str">
        <f>IF(SISTEMA!A1859="","",SISTEMA!A1859)</f>
        <v/>
      </c>
      <c r="B1865" s="10" t="str">
        <f>IF(SISTEMA!B1859="","",VALUE(SISTEMA!B1859))</f>
        <v/>
      </c>
      <c r="C1865" s="10" t="str">
        <f>IF(SISTEMA!C1859="","",SISTEMA!C1859)</f>
        <v/>
      </c>
      <c r="D1865" s="5" t="str" cm="1">
        <f t="array" ref="D18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5" s="5" t="str" cm="1">
        <f t="array" ref="E18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5" s="5" t="str" cm="1">
        <f t="array" ref="F18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5" t="str" cm="1">
        <f t="array" ref="G18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5" s="4"/>
      <c r="I1865" s="3" t="str" cm="1">
        <f t="array" ref="I18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6" spans="1:9" x14ac:dyDescent="0.3">
      <c r="A1866" s="3" t="str">
        <f>IF(SISTEMA!A1860="","",SISTEMA!A1860)</f>
        <v/>
      </c>
      <c r="B1866" s="10" t="str">
        <f>IF(SISTEMA!B1860="","",VALUE(SISTEMA!B1860))</f>
        <v/>
      </c>
      <c r="C1866" s="10" t="str">
        <f>IF(SISTEMA!C1860="","",SISTEMA!C1860)</f>
        <v/>
      </c>
      <c r="D1866" s="5" t="str" cm="1">
        <f t="array" ref="D18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6" s="5" t="str" cm="1">
        <f t="array" ref="E18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6" s="5" t="str" cm="1">
        <f t="array" ref="F18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6" t="str" cm="1">
        <f t="array" ref="G18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6" s="4"/>
      <c r="I1866" s="3" t="str" cm="1">
        <f t="array" ref="I18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7" spans="1:9" x14ac:dyDescent="0.3">
      <c r="A1867" s="3" t="str">
        <f>IF(SISTEMA!A1861="","",SISTEMA!A1861)</f>
        <v/>
      </c>
      <c r="B1867" s="10" t="str">
        <f>IF(SISTEMA!B1861="","",VALUE(SISTEMA!B1861))</f>
        <v/>
      </c>
      <c r="C1867" s="10" t="str">
        <f>IF(SISTEMA!C1861="","",SISTEMA!C1861)</f>
        <v/>
      </c>
      <c r="D1867" s="5" t="str" cm="1">
        <f t="array" ref="D18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7" s="5" t="str" cm="1">
        <f t="array" ref="E18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7" s="5" t="str" cm="1">
        <f t="array" ref="F18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7" t="str" cm="1">
        <f t="array" ref="G18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7" s="4"/>
      <c r="I1867" s="3" t="str" cm="1">
        <f t="array" ref="I18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8" spans="1:9" x14ac:dyDescent="0.3">
      <c r="A1868" s="3" t="str">
        <f>IF(SISTEMA!A1862="","",SISTEMA!A1862)</f>
        <v/>
      </c>
      <c r="B1868" s="10" t="str">
        <f>IF(SISTEMA!B1862="","",VALUE(SISTEMA!B1862))</f>
        <v/>
      </c>
      <c r="C1868" s="10" t="str">
        <f>IF(SISTEMA!C1862="","",SISTEMA!C1862)</f>
        <v/>
      </c>
      <c r="D1868" s="5" t="str" cm="1">
        <f t="array" ref="D18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8" s="5" t="str" cm="1">
        <f t="array" ref="E18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8" s="5" t="str" cm="1">
        <f t="array" ref="F18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8" t="str" cm="1">
        <f t="array" ref="G18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8" s="4"/>
      <c r="I1868" s="3" t="str" cm="1">
        <f t="array" ref="I18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69" spans="1:9" x14ac:dyDescent="0.3">
      <c r="A1869" s="3" t="str">
        <f>IF(SISTEMA!A1863="","",SISTEMA!A1863)</f>
        <v/>
      </c>
      <c r="B1869" s="10" t="str">
        <f>IF(SISTEMA!B1863="","",VALUE(SISTEMA!B1863))</f>
        <v/>
      </c>
      <c r="C1869" s="10" t="str">
        <f>IF(SISTEMA!C1863="","",SISTEMA!C1863)</f>
        <v/>
      </c>
      <c r="D1869" s="5" t="str" cm="1">
        <f t="array" ref="D18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69" s="5" t="str" cm="1">
        <f t="array" ref="E18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69" s="5" t="str" cm="1">
        <f t="array" ref="F18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69" t="str" cm="1">
        <f t="array" ref="G18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69" s="4"/>
      <c r="I1869" s="3" t="str" cm="1">
        <f t="array" ref="I18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0" spans="1:9" x14ac:dyDescent="0.3">
      <c r="A1870" s="3" t="str">
        <f>IF(SISTEMA!A1864="","",SISTEMA!A1864)</f>
        <v/>
      </c>
      <c r="B1870" s="10" t="str">
        <f>IF(SISTEMA!B1864="","",VALUE(SISTEMA!B1864))</f>
        <v/>
      </c>
      <c r="C1870" s="10" t="str">
        <f>IF(SISTEMA!C1864="","",SISTEMA!C1864)</f>
        <v/>
      </c>
      <c r="D1870" s="5" t="str" cm="1">
        <f t="array" ref="D18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0" s="5" t="str" cm="1">
        <f t="array" ref="E18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0" s="5" t="str" cm="1">
        <f t="array" ref="F18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0" t="str" cm="1">
        <f t="array" ref="G18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0" s="4"/>
      <c r="I1870" s="3" t="str" cm="1">
        <f t="array" ref="I18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1" spans="1:9" x14ac:dyDescent="0.3">
      <c r="A1871" s="3" t="str">
        <f>IF(SISTEMA!A1865="","",SISTEMA!A1865)</f>
        <v/>
      </c>
      <c r="B1871" s="10" t="str">
        <f>IF(SISTEMA!B1865="","",VALUE(SISTEMA!B1865))</f>
        <v/>
      </c>
      <c r="C1871" s="10" t="str">
        <f>IF(SISTEMA!C1865="","",SISTEMA!C1865)</f>
        <v/>
      </c>
      <c r="D1871" s="5" t="str" cm="1">
        <f t="array" ref="D18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1" s="5" t="str" cm="1">
        <f t="array" ref="E18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1" s="5" t="str" cm="1">
        <f t="array" ref="F18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1" t="str" cm="1">
        <f t="array" ref="G18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1" s="4"/>
      <c r="I1871" s="3" t="str" cm="1">
        <f t="array" ref="I18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2" spans="1:9" x14ac:dyDescent="0.3">
      <c r="A1872" s="3" t="str">
        <f>IF(SISTEMA!A1866="","",SISTEMA!A1866)</f>
        <v/>
      </c>
      <c r="B1872" s="10" t="str">
        <f>IF(SISTEMA!B1866="","",VALUE(SISTEMA!B1866))</f>
        <v/>
      </c>
      <c r="C1872" s="10" t="str">
        <f>IF(SISTEMA!C1866="","",SISTEMA!C1866)</f>
        <v/>
      </c>
      <c r="D1872" s="5" t="str" cm="1">
        <f t="array" ref="D18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2" s="5" t="str" cm="1">
        <f t="array" ref="E18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2" s="5" t="str" cm="1">
        <f t="array" ref="F18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2" t="str" cm="1">
        <f t="array" ref="G18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2" s="4"/>
      <c r="I1872" s="3" t="str" cm="1">
        <f t="array" ref="I18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3" spans="1:9" x14ac:dyDescent="0.3">
      <c r="A1873" s="3" t="str">
        <f>IF(SISTEMA!A1867="","",SISTEMA!A1867)</f>
        <v/>
      </c>
      <c r="B1873" s="10" t="str">
        <f>IF(SISTEMA!B1867="","",VALUE(SISTEMA!B1867))</f>
        <v/>
      </c>
      <c r="C1873" s="10" t="str">
        <f>IF(SISTEMA!C1867="","",SISTEMA!C1867)</f>
        <v/>
      </c>
      <c r="D1873" s="5" t="str" cm="1">
        <f t="array" ref="D18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3" s="5" t="str" cm="1">
        <f t="array" ref="E18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3" s="5" t="str" cm="1">
        <f t="array" ref="F18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3" t="str" cm="1">
        <f t="array" ref="G18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3" s="4"/>
      <c r="I1873" s="3" t="str" cm="1">
        <f t="array" ref="I18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4" spans="1:9" x14ac:dyDescent="0.3">
      <c r="A1874" s="3" t="str">
        <f>IF(SISTEMA!A1868="","",SISTEMA!A1868)</f>
        <v/>
      </c>
      <c r="B1874" s="10" t="str">
        <f>IF(SISTEMA!B1868="","",VALUE(SISTEMA!B1868))</f>
        <v/>
      </c>
      <c r="C1874" s="10" t="str">
        <f>IF(SISTEMA!C1868="","",SISTEMA!C1868)</f>
        <v/>
      </c>
      <c r="D1874" s="5" t="str" cm="1">
        <f t="array" ref="D18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4" s="5" t="str" cm="1">
        <f t="array" ref="E18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4" s="5" t="str" cm="1">
        <f t="array" ref="F18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4" t="str" cm="1">
        <f t="array" ref="G18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4" s="4"/>
      <c r="I1874" s="3" t="str" cm="1">
        <f t="array" ref="I18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5" spans="1:9" x14ac:dyDescent="0.3">
      <c r="A1875" s="3" t="str">
        <f>IF(SISTEMA!A1869="","",SISTEMA!A1869)</f>
        <v/>
      </c>
      <c r="B1875" s="10" t="str">
        <f>IF(SISTEMA!B1869="","",VALUE(SISTEMA!B1869))</f>
        <v/>
      </c>
      <c r="C1875" s="10" t="str">
        <f>IF(SISTEMA!C1869="","",SISTEMA!C1869)</f>
        <v/>
      </c>
      <c r="D1875" s="5" t="str" cm="1">
        <f t="array" ref="D18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5" s="5" t="str" cm="1">
        <f t="array" ref="E18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5" s="5" t="str" cm="1">
        <f t="array" ref="F18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5" t="str" cm="1">
        <f t="array" ref="G18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5" s="4"/>
      <c r="I1875" s="3" t="str" cm="1">
        <f t="array" ref="I18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6" spans="1:9" x14ac:dyDescent="0.3">
      <c r="A1876" s="3" t="str">
        <f>IF(SISTEMA!A1870="","",SISTEMA!A1870)</f>
        <v/>
      </c>
      <c r="B1876" s="10" t="str">
        <f>IF(SISTEMA!B1870="","",VALUE(SISTEMA!B1870))</f>
        <v/>
      </c>
      <c r="C1876" s="10" t="str">
        <f>IF(SISTEMA!C1870="","",SISTEMA!C1870)</f>
        <v/>
      </c>
      <c r="D1876" s="5" t="str" cm="1">
        <f t="array" ref="D18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6" s="5" t="str" cm="1">
        <f t="array" ref="E18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6" s="5" t="str" cm="1">
        <f t="array" ref="F18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6" t="str" cm="1">
        <f t="array" ref="G18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6" s="4"/>
      <c r="I1876" s="3" t="str" cm="1">
        <f t="array" ref="I18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7" spans="1:9" x14ac:dyDescent="0.3">
      <c r="A1877" s="3" t="str">
        <f>IF(SISTEMA!A1871="","",SISTEMA!A1871)</f>
        <v/>
      </c>
      <c r="B1877" s="10" t="str">
        <f>IF(SISTEMA!B1871="","",VALUE(SISTEMA!B1871))</f>
        <v/>
      </c>
      <c r="C1877" s="10" t="str">
        <f>IF(SISTEMA!C1871="","",SISTEMA!C1871)</f>
        <v/>
      </c>
      <c r="D1877" s="5" t="str" cm="1">
        <f t="array" ref="D18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7" s="5" t="str" cm="1">
        <f t="array" ref="E18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7" s="5" t="str" cm="1">
        <f t="array" ref="F18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7" t="str" cm="1">
        <f t="array" ref="G18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7" s="4"/>
      <c r="I1877" s="3" t="str" cm="1">
        <f t="array" ref="I18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8" spans="1:9" x14ac:dyDescent="0.3">
      <c r="A1878" s="3" t="str">
        <f>IF(SISTEMA!A1872="","",SISTEMA!A1872)</f>
        <v/>
      </c>
      <c r="B1878" s="10" t="str">
        <f>IF(SISTEMA!B1872="","",VALUE(SISTEMA!B1872))</f>
        <v/>
      </c>
      <c r="C1878" s="10" t="str">
        <f>IF(SISTEMA!C1872="","",SISTEMA!C1872)</f>
        <v/>
      </c>
      <c r="D1878" s="5" t="str" cm="1">
        <f t="array" ref="D18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8" s="5" t="str" cm="1">
        <f t="array" ref="E18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8" s="5" t="str" cm="1">
        <f t="array" ref="F18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8" t="str" cm="1">
        <f t="array" ref="G18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8" s="4"/>
      <c r="I1878" s="3" t="str" cm="1">
        <f t="array" ref="I18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79" spans="1:9" x14ac:dyDescent="0.3">
      <c r="A1879" s="3" t="str">
        <f>IF(SISTEMA!A1873="","",SISTEMA!A1873)</f>
        <v/>
      </c>
      <c r="B1879" s="10" t="str">
        <f>IF(SISTEMA!B1873="","",VALUE(SISTEMA!B1873))</f>
        <v/>
      </c>
      <c r="C1879" s="10" t="str">
        <f>IF(SISTEMA!C1873="","",SISTEMA!C1873)</f>
        <v/>
      </c>
      <c r="D1879" s="5" t="str" cm="1">
        <f t="array" ref="D18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79" s="5" t="str" cm="1">
        <f t="array" ref="E18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79" s="5" t="str" cm="1">
        <f t="array" ref="F18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79" t="str" cm="1">
        <f t="array" ref="G18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79" s="4"/>
      <c r="I1879" s="3" t="str" cm="1">
        <f t="array" ref="I18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0" spans="1:9" x14ac:dyDescent="0.3">
      <c r="A1880" s="3" t="str">
        <f>IF(SISTEMA!A1874="","",SISTEMA!A1874)</f>
        <v/>
      </c>
      <c r="B1880" s="10" t="str">
        <f>IF(SISTEMA!B1874="","",VALUE(SISTEMA!B1874))</f>
        <v/>
      </c>
      <c r="C1880" s="10" t="str">
        <f>IF(SISTEMA!C1874="","",SISTEMA!C1874)</f>
        <v/>
      </c>
      <c r="D1880" s="5" t="str" cm="1">
        <f t="array" ref="D18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0" s="5" t="str" cm="1">
        <f t="array" ref="E18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0" s="5" t="str" cm="1">
        <f t="array" ref="F18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0" t="str" cm="1">
        <f t="array" ref="G18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0" s="4"/>
      <c r="I1880" s="3" t="str" cm="1">
        <f t="array" ref="I18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1" spans="1:9" x14ac:dyDescent="0.3">
      <c r="A1881" s="3" t="str">
        <f>IF(SISTEMA!A1875="","",SISTEMA!A1875)</f>
        <v/>
      </c>
      <c r="B1881" s="10" t="str">
        <f>IF(SISTEMA!B1875="","",VALUE(SISTEMA!B1875))</f>
        <v/>
      </c>
      <c r="C1881" s="10" t="str">
        <f>IF(SISTEMA!C1875="","",SISTEMA!C1875)</f>
        <v/>
      </c>
      <c r="D1881" s="5" t="str" cm="1">
        <f t="array" ref="D18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1" s="5" t="str" cm="1">
        <f t="array" ref="E18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1" s="5" t="str" cm="1">
        <f t="array" ref="F18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1" t="str" cm="1">
        <f t="array" ref="G18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1" s="4"/>
      <c r="I1881" s="3" t="str" cm="1">
        <f t="array" ref="I18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2" spans="1:9" x14ac:dyDescent="0.3">
      <c r="A1882" s="3" t="str">
        <f>IF(SISTEMA!A1876="","",SISTEMA!A1876)</f>
        <v/>
      </c>
      <c r="B1882" s="10" t="str">
        <f>IF(SISTEMA!B1876="","",VALUE(SISTEMA!B1876))</f>
        <v/>
      </c>
      <c r="C1882" s="10" t="str">
        <f>IF(SISTEMA!C1876="","",SISTEMA!C1876)</f>
        <v/>
      </c>
      <c r="D1882" s="5" t="str" cm="1">
        <f t="array" ref="D18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2" s="5" t="str" cm="1">
        <f t="array" ref="E18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2" s="5" t="str" cm="1">
        <f t="array" ref="F18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2" t="str" cm="1">
        <f t="array" ref="G18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2" s="4"/>
      <c r="I1882" s="3" t="str" cm="1">
        <f t="array" ref="I18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3" spans="1:9" x14ac:dyDescent="0.3">
      <c r="A1883" s="3" t="str">
        <f>IF(SISTEMA!A1877="","",SISTEMA!A1877)</f>
        <v/>
      </c>
      <c r="B1883" s="10" t="str">
        <f>IF(SISTEMA!B1877="","",VALUE(SISTEMA!B1877))</f>
        <v/>
      </c>
      <c r="C1883" s="10" t="str">
        <f>IF(SISTEMA!C1877="","",SISTEMA!C1877)</f>
        <v/>
      </c>
      <c r="D1883" s="5" t="str" cm="1">
        <f t="array" ref="D18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3" s="5" t="str" cm="1">
        <f t="array" ref="E18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3" s="5" t="str" cm="1">
        <f t="array" ref="F18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3" t="str" cm="1">
        <f t="array" ref="G18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3" s="4"/>
      <c r="I1883" s="3" t="str" cm="1">
        <f t="array" ref="I18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4" spans="1:9" x14ac:dyDescent="0.3">
      <c r="A1884" s="3" t="str">
        <f>IF(SISTEMA!A1878="","",SISTEMA!A1878)</f>
        <v/>
      </c>
      <c r="B1884" s="10" t="str">
        <f>IF(SISTEMA!B1878="","",VALUE(SISTEMA!B1878))</f>
        <v/>
      </c>
      <c r="C1884" s="10" t="str">
        <f>IF(SISTEMA!C1878="","",SISTEMA!C1878)</f>
        <v/>
      </c>
      <c r="D1884" s="5" t="str" cm="1">
        <f t="array" ref="D18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4" s="5" t="str" cm="1">
        <f t="array" ref="E18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4" s="5" t="str" cm="1">
        <f t="array" ref="F18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4" t="str" cm="1">
        <f t="array" ref="G18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4" s="4"/>
      <c r="I1884" s="3" t="str" cm="1">
        <f t="array" ref="I18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5" spans="1:9" x14ac:dyDescent="0.3">
      <c r="A1885" s="3" t="str">
        <f>IF(SISTEMA!A1879="","",SISTEMA!A1879)</f>
        <v/>
      </c>
      <c r="B1885" s="10" t="str">
        <f>IF(SISTEMA!B1879="","",VALUE(SISTEMA!B1879))</f>
        <v/>
      </c>
      <c r="C1885" s="10" t="str">
        <f>IF(SISTEMA!C1879="","",SISTEMA!C1879)</f>
        <v/>
      </c>
      <c r="D1885" s="5" t="str" cm="1">
        <f t="array" ref="D18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5" s="5" t="str" cm="1">
        <f t="array" ref="E18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5" s="5" t="str" cm="1">
        <f t="array" ref="F18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5" t="str" cm="1">
        <f t="array" ref="G18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5" s="4"/>
      <c r="I1885" s="3" t="str" cm="1">
        <f t="array" ref="I18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6" spans="1:9" x14ac:dyDescent="0.3">
      <c r="A1886" s="3" t="str">
        <f>IF(SISTEMA!A1880="","",SISTEMA!A1880)</f>
        <v/>
      </c>
      <c r="B1886" s="10" t="str">
        <f>IF(SISTEMA!B1880="","",VALUE(SISTEMA!B1880))</f>
        <v/>
      </c>
      <c r="C1886" s="10" t="str">
        <f>IF(SISTEMA!C1880="","",SISTEMA!C1880)</f>
        <v/>
      </c>
      <c r="D1886" s="5" t="str" cm="1">
        <f t="array" ref="D18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6" s="5" t="str" cm="1">
        <f t="array" ref="E18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6" s="5" t="str" cm="1">
        <f t="array" ref="F18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6" t="str" cm="1">
        <f t="array" ref="G18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6" s="4"/>
      <c r="I1886" s="3" t="str" cm="1">
        <f t="array" ref="I18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7" spans="1:9" x14ac:dyDescent="0.3">
      <c r="A1887" s="3" t="str">
        <f>IF(SISTEMA!A1881="","",SISTEMA!A1881)</f>
        <v/>
      </c>
      <c r="B1887" s="10" t="str">
        <f>IF(SISTEMA!B1881="","",VALUE(SISTEMA!B1881))</f>
        <v/>
      </c>
      <c r="C1887" s="10" t="str">
        <f>IF(SISTEMA!C1881="","",SISTEMA!C1881)</f>
        <v/>
      </c>
      <c r="D1887" s="5" t="str" cm="1">
        <f t="array" ref="D18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7" s="5" t="str" cm="1">
        <f t="array" ref="E18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7" s="5" t="str" cm="1">
        <f t="array" ref="F18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7" t="str" cm="1">
        <f t="array" ref="G18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7" s="4"/>
      <c r="I1887" s="3" t="str" cm="1">
        <f t="array" ref="I18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8" spans="1:9" x14ac:dyDescent="0.3">
      <c r="A1888" s="3" t="str">
        <f>IF(SISTEMA!A1882="","",SISTEMA!A1882)</f>
        <v/>
      </c>
      <c r="B1888" s="10" t="str">
        <f>IF(SISTEMA!B1882="","",VALUE(SISTEMA!B1882))</f>
        <v/>
      </c>
      <c r="C1888" s="10" t="str">
        <f>IF(SISTEMA!C1882="","",SISTEMA!C1882)</f>
        <v/>
      </c>
      <c r="D1888" s="5" t="str" cm="1">
        <f t="array" ref="D18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8" s="5" t="str" cm="1">
        <f t="array" ref="E18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8" s="5" t="str" cm="1">
        <f t="array" ref="F18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8" t="str" cm="1">
        <f t="array" ref="G18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8" s="4"/>
      <c r="I1888" s="3" t="str" cm="1">
        <f t="array" ref="I18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89" spans="1:9" x14ac:dyDescent="0.3">
      <c r="A1889" s="3" t="str">
        <f>IF(SISTEMA!A1883="","",SISTEMA!A1883)</f>
        <v/>
      </c>
      <c r="B1889" s="10" t="str">
        <f>IF(SISTEMA!B1883="","",VALUE(SISTEMA!B1883))</f>
        <v/>
      </c>
      <c r="C1889" s="10" t="str">
        <f>IF(SISTEMA!C1883="","",SISTEMA!C1883)</f>
        <v/>
      </c>
      <c r="D1889" s="5" t="str" cm="1">
        <f t="array" ref="D18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89" s="5" t="str" cm="1">
        <f t="array" ref="E18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89" s="5" t="str" cm="1">
        <f t="array" ref="F18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89" t="str" cm="1">
        <f t="array" ref="G18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89" s="4"/>
      <c r="I1889" s="3" t="str" cm="1">
        <f t="array" ref="I18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0" spans="1:9" x14ac:dyDescent="0.3">
      <c r="A1890" s="3" t="str">
        <f>IF(SISTEMA!A1884="","",SISTEMA!A1884)</f>
        <v/>
      </c>
      <c r="B1890" s="10" t="str">
        <f>IF(SISTEMA!B1884="","",VALUE(SISTEMA!B1884))</f>
        <v/>
      </c>
      <c r="C1890" s="10" t="str">
        <f>IF(SISTEMA!C1884="","",SISTEMA!C1884)</f>
        <v/>
      </c>
      <c r="D1890" s="5" t="str" cm="1">
        <f t="array" ref="D18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0" s="5" t="str" cm="1">
        <f t="array" ref="E18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0" s="5" t="str" cm="1">
        <f t="array" ref="F18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0" t="str" cm="1">
        <f t="array" ref="G18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0" s="4"/>
      <c r="I1890" s="3" t="str" cm="1">
        <f t="array" ref="I18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1" spans="1:9" x14ac:dyDescent="0.3">
      <c r="A1891" s="3" t="str">
        <f>IF(SISTEMA!A1885="","",SISTEMA!A1885)</f>
        <v/>
      </c>
      <c r="B1891" s="10" t="str">
        <f>IF(SISTEMA!B1885="","",VALUE(SISTEMA!B1885))</f>
        <v/>
      </c>
      <c r="C1891" s="10" t="str">
        <f>IF(SISTEMA!C1885="","",SISTEMA!C1885)</f>
        <v/>
      </c>
      <c r="D1891" s="5" t="str" cm="1">
        <f t="array" ref="D18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1" s="5" t="str" cm="1">
        <f t="array" ref="E18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1" s="5" t="str" cm="1">
        <f t="array" ref="F18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1" t="str" cm="1">
        <f t="array" ref="G18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1" s="4"/>
      <c r="I1891" s="3" t="str" cm="1">
        <f t="array" ref="I18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2" spans="1:9" x14ac:dyDescent="0.3">
      <c r="A1892" s="3" t="str">
        <f>IF(SISTEMA!A1886="","",SISTEMA!A1886)</f>
        <v/>
      </c>
      <c r="B1892" s="10" t="str">
        <f>IF(SISTEMA!B1886="","",VALUE(SISTEMA!B1886))</f>
        <v/>
      </c>
      <c r="C1892" s="10" t="str">
        <f>IF(SISTEMA!C1886="","",SISTEMA!C1886)</f>
        <v/>
      </c>
      <c r="D1892" s="5" t="str" cm="1">
        <f t="array" ref="D18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2" s="5" t="str" cm="1">
        <f t="array" ref="E18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2" s="5" t="str" cm="1">
        <f t="array" ref="F18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2" t="str" cm="1">
        <f t="array" ref="G18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2" s="4"/>
      <c r="I1892" s="3" t="str" cm="1">
        <f t="array" ref="I18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3" spans="1:9" x14ac:dyDescent="0.3">
      <c r="A1893" s="3" t="str">
        <f>IF(SISTEMA!A1887="","",SISTEMA!A1887)</f>
        <v/>
      </c>
      <c r="B1893" s="10" t="str">
        <f>IF(SISTEMA!B1887="","",VALUE(SISTEMA!B1887))</f>
        <v/>
      </c>
      <c r="C1893" s="10" t="str">
        <f>IF(SISTEMA!C1887="","",SISTEMA!C1887)</f>
        <v/>
      </c>
      <c r="D1893" s="5" t="str" cm="1">
        <f t="array" ref="D18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3" s="5" t="str" cm="1">
        <f t="array" ref="E18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3" s="5" t="str" cm="1">
        <f t="array" ref="F18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3" t="str" cm="1">
        <f t="array" ref="G18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3" s="4"/>
      <c r="I1893" s="3" t="str" cm="1">
        <f t="array" ref="I18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4" spans="1:9" x14ac:dyDescent="0.3">
      <c r="A1894" s="3" t="str">
        <f>IF(SISTEMA!A1888="","",SISTEMA!A1888)</f>
        <v/>
      </c>
      <c r="B1894" s="10" t="str">
        <f>IF(SISTEMA!B1888="","",VALUE(SISTEMA!B1888))</f>
        <v/>
      </c>
      <c r="C1894" s="10" t="str">
        <f>IF(SISTEMA!C1888="","",SISTEMA!C1888)</f>
        <v/>
      </c>
      <c r="D1894" s="5" t="str" cm="1">
        <f t="array" ref="D18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4" s="5" t="str" cm="1">
        <f t="array" ref="E18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4" s="5" t="str" cm="1">
        <f t="array" ref="F18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4" t="str" cm="1">
        <f t="array" ref="G18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4" s="4"/>
      <c r="I1894" s="3" t="str" cm="1">
        <f t="array" ref="I18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5" spans="1:9" x14ac:dyDescent="0.3">
      <c r="A1895" s="3" t="str">
        <f>IF(SISTEMA!A1889="","",SISTEMA!A1889)</f>
        <v/>
      </c>
      <c r="B1895" s="10" t="str">
        <f>IF(SISTEMA!B1889="","",VALUE(SISTEMA!B1889))</f>
        <v/>
      </c>
      <c r="C1895" s="10" t="str">
        <f>IF(SISTEMA!C1889="","",SISTEMA!C1889)</f>
        <v/>
      </c>
      <c r="D1895" s="5" t="str" cm="1">
        <f t="array" ref="D18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5" s="5" t="str" cm="1">
        <f t="array" ref="E18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5" s="5" t="str" cm="1">
        <f t="array" ref="F18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5" t="str" cm="1">
        <f t="array" ref="G18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5" s="4"/>
      <c r="I1895" s="3" t="str" cm="1">
        <f t="array" ref="I18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6" spans="1:9" x14ac:dyDescent="0.3">
      <c r="A1896" s="3" t="str">
        <f>IF(SISTEMA!A1890="","",SISTEMA!A1890)</f>
        <v/>
      </c>
      <c r="B1896" s="10" t="str">
        <f>IF(SISTEMA!B1890="","",VALUE(SISTEMA!B1890))</f>
        <v/>
      </c>
      <c r="C1896" s="10" t="str">
        <f>IF(SISTEMA!C1890="","",SISTEMA!C1890)</f>
        <v/>
      </c>
      <c r="D1896" s="5" t="str" cm="1">
        <f t="array" ref="D18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6" s="5" t="str" cm="1">
        <f t="array" ref="E18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6" s="5" t="str" cm="1">
        <f t="array" ref="F18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6" t="str" cm="1">
        <f t="array" ref="G18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6" s="4"/>
      <c r="I1896" s="3" t="str" cm="1">
        <f t="array" ref="I18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7" spans="1:9" x14ac:dyDescent="0.3">
      <c r="A1897" s="3" t="str">
        <f>IF(SISTEMA!A1891="","",SISTEMA!A1891)</f>
        <v/>
      </c>
      <c r="B1897" s="10" t="str">
        <f>IF(SISTEMA!B1891="","",VALUE(SISTEMA!B1891))</f>
        <v/>
      </c>
      <c r="C1897" s="10" t="str">
        <f>IF(SISTEMA!C1891="","",SISTEMA!C1891)</f>
        <v/>
      </c>
      <c r="D1897" s="5" t="str" cm="1">
        <f t="array" ref="D18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7" s="5" t="str" cm="1">
        <f t="array" ref="E18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7" s="5" t="str" cm="1">
        <f t="array" ref="F18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7" t="str" cm="1">
        <f t="array" ref="G18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7" s="4"/>
      <c r="I1897" s="3" t="str" cm="1">
        <f t="array" ref="I18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8" spans="1:9" x14ac:dyDescent="0.3">
      <c r="A1898" s="3" t="str">
        <f>IF(SISTEMA!A1892="","",SISTEMA!A1892)</f>
        <v/>
      </c>
      <c r="B1898" s="10" t="str">
        <f>IF(SISTEMA!B1892="","",VALUE(SISTEMA!B1892))</f>
        <v/>
      </c>
      <c r="C1898" s="10" t="str">
        <f>IF(SISTEMA!C1892="","",SISTEMA!C1892)</f>
        <v/>
      </c>
      <c r="D1898" s="5" t="str" cm="1">
        <f t="array" ref="D18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8" s="5" t="str" cm="1">
        <f t="array" ref="E18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8" s="5" t="str" cm="1">
        <f t="array" ref="F18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8" t="str" cm="1">
        <f t="array" ref="G18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8" s="4"/>
      <c r="I1898" s="3" t="str" cm="1">
        <f t="array" ref="I18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899" spans="1:9" x14ac:dyDescent="0.3">
      <c r="A1899" s="3" t="str">
        <f>IF(SISTEMA!A1893="","",SISTEMA!A1893)</f>
        <v/>
      </c>
      <c r="B1899" s="10" t="str">
        <f>IF(SISTEMA!B1893="","",VALUE(SISTEMA!B1893))</f>
        <v/>
      </c>
      <c r="C1899" s="10" t="str">
        <f>IF(SISTEMA!C1893="","",SISTEMA!C1893)</f>
        <v/>
      </c>
      <c r="D1899" s="5" t="str" cm="1">
        <f t="array" ref="D18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899" s="5" t="str" cm="1">
        <f t="array" ref="E18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899" s="5" t="str" cm="1">
        <f t="array" ref="F18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899" t="str" cm="1">
        <f t="array" ref="G18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899" s="4"/>
      <c r="I1899" s="3" t="str" cm="1">
        <f t="array" ref="I18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0" spans="1:9" x14ac:dyDescent="0.3">
      <c r="A1900" s="3" t="str">
        <f>IF(SISTEMA!A1894="","",SISTEMA!A1894)</f>
        <v/>
      </c>
      <c r="B1900" s="10" t="str">
        <f>IF(SISTEMA!B1894="","",VALUE(SISTEMA!B1894))</f>
        <v/>
      </c>
      <c r="C1900" s="10" t="str">
        <f>IF(SISTEMA!C1894="","",SISTEMA!C1894)</f>
        <v/>
      </c>
      <c r="D1900" s="5" t="str" cm="1">
        <f t="array" ref="D19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0" s="5" t="str" cm="1">
        <f t="array" ref="E19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0" s="5" t="str" cm="1">
        <f t="array" ref="F19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0" t="str" cm="1">
        <f t="array" ref="G19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0" s="4"/>
      <c r="I1900" s="3" t="str" cm="1">
        <f t="array" ref="I19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1" spans="1:9" x14ac:dyDescent="0.3">
      <c r="A1901" s="3" t="str">
        <f>IF(SISTEMA!A1895="","",SISTEMA!A1895)</f>
        <v/>
      </c>
      <c r="B1901" s="10" t="str">
        <f>IF(SISTEMA!B1895="","",VALUE(SISTEMA!B1895))</f>
        <v/>
      </c>
      <c r="C1901" s="10" t="str">
        <f>IF(SISTEMA!C1895="","",SISTEMA!C1895)</f>
        <v/>
      </c>
      <c r="D1901" s="5" t="str" cm="1">
        <f t="array" ref="D19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1" s="5" t="str" cm="1">
        <f t="array" ref="E19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1" s="5" t="str" cm="1">
        <f t="array" ref="F19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1" t="str" cm="1">
        <f t="array" ref="G19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1" s="4"/>
      <c r="I1901" s="3" t="str" cm="1">
        <f t="array" ref="I19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2" spans="1:9" x14ac:dyDescent="0.3">
      <c r="A1902" s="3" t="str">
        <f>IF(SISTEMA!A1896="","",SISTEMA!A1896)</f>
        <v/>
      </c>
      <c r="B1902" s="10" t="str">
        <f>IF(SISTEMA!B1896="","",VALUE(SISTEMA!B1896))</f>
        <v/>
      </c>
      <c r="C1902" s="10" t="str">
        <f>IF(SISTEMA!C1896="","",SISTEMA!C1896)</f>
        <v/>
      </c>
      <c r="D1902" s="5" t="str" cm="1">
        <f t="array" ref="D19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2" s="5" t="str" cm="1">
        <f t="array" ref="E19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2" s="5" t="str" cm="1">
        <f t="array" ref="F19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2" t="str" cm="1">
        <f t="array" ref="G19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2" s="4"/>
      <c r="I1902" s="3" t="str" cm="1">
        <f t="array" ref="I19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3" spans="1:9" x14ac:dyDescent="0.3">
      <c r="A1903" s="3" t="str">
        <f>IF(SISTEMA!A1897="","",SISTEMA!A1897)</f>
        <v/>
      </c>
      <c r="B1903" s="10" t="str">
        <f>IF(SISTEMA!B1897="","",VALUE(SISTEMA!B1897))</f>
        <v/>
      </c>
      <c r="C1903" s="10" t="str">
        <f>IF(SISTEMA!C1897="","",SISTEMA!C1897)</f>
        <v/>
      </c>
      <c r="D1903" s="5" t="str" cm="1">
        <f t="array" ref="D19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3" s="5" t="str" cm="1">
        <f t="array" ref="E19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3" s="5" t="str" cm="1">
        <f t="array" ref="F19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3" t="str" cm="1">
        <f t="array" ref="G19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3" s="4"/>
      <c r="I1903" s="3" t="str" cm="1">
        <f t="array" ref="I19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4" spans="1:9" x14ac:dyDescent="0.3">
      <c r="A1904" s="3" t="str">
        <f>IF(SISTEMA!A1898="","",SISTEMA!A1898)</f>
        <v/>
      </c>
      <c r="B1904" s="10" t="str">
        <f>IF(SISTEMA!B1898="","",VALUE(SISTEMA!B1898))</f>
        <v/>
      </c>
      <c r="C1904" s="10" t="str">
        <f>IF(SISTEMA!C1898="","",SISTEMA!C1898)</f>
        <v/>
      </c>
      <c r="D1904" s="5" t="str" cm="1">
        <f t="array" ref="D19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4" s="5" t="str" cm="1">
        <f t="array" ref="E19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4" s="5" t="str" cm="1">
        <f t="array" ref="F19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4" t="str" cm="1">
        <f t="array" ref="G19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4" s="4"/>
      <c r="I1904" s="3" t="str" cm="1">
        <f t="array" ref="I19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5" spans="1:9" x14ac:dyDescent="0.3">
      <c r="A1905" s="3" t="str">
        <f>IF(SISTEMA!A1899="","",SISTEMA!A1899)</f>
        <v/>
      </c>
      <c r="B1905" s="10" t="str">
        <f>IF(SISTEMA!B1899="","",VALUE(SISTEMA!B1899))</f>
        <v/>
      </c>
      <c r="C1905" s="10" t="str">
        <f>IF(SISTEMA!C1899="","",SISTEMA!C1899)</f>
        <v/>
      </c>
      <c r="D1905" s="5" t="str" cm="1">
        <f t="array" ref="D19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5" s="5" t="str" cm="1">
        <f t="array" ref="E19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5" s="5" t="str" cm="1">
        <f t="array" ref="F19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5" t="str" cm="1">
        <f t="array" ref="G19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5" s="4"/>
      <c r="I1905" s="3" t="str" cm="1">
        <f t="array" ref="I19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6" spans="1:9" x14ac:dyDescent="0.3">
      <c r="A1906" s="3" t="str">
        <f>IF(SISTEMA!A1900="","",SISTEMA!A1900)</f>
        <v/>
      </c>
      <c r="B1906" s="10" t="str">
        <f>IF(SISTEMA!B1900="","",VALUE(SISTEMA!B1900))</f>
        <v/>
      </c>
      <c r="C1906" s="10" t="str">
        <f>IF(SISTEMA!C1900="","",SISTEMA!C1900)</f>
        <v/>
      </c>
      <c r="D1906" s="5" t="str" cm="1">
        <f t="array" ref="D19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6" s="5" t="str" cm="1">
        <f t="array" ref="E19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6" s="5" t="str" cm="1">
        <f t="array" ref="F19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6" t="str" cm="1">
        <f t="array" ref="G19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6" s="4"/>
      <c r="I1906" s="3" t="str" cm="1">
        <f t="array" ref="I19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7" spans="1:9" x14ac:dyDescent="0.3">
      <c r="A1907" s="3" t="str">
        <f>IF(SISTEMA!A1901="","",SISTEMA!A1901)</f>
        <v/>
      </c>
      <c r="B1907" s="10" t="str">
        <f>IF(SISTEMA!B1901="","",VALUE(SISTEMA!B1901))</f>
        <v/>
      </c>
      <c r="C1907" s="10" t="str">
        <f>IF(SISTEMA!C1901="","",SISTEMA!C1901)</f>
        <v/>
      </c>
      <c r="D1907" s="5" t="str" cm="1">
        <f t="array" ref="D19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7" s="5" t="str" cm="1">
        <f t="array" ref="E19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7" s="5" t="str" cm="1">
        <f t="array" ref="F19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7" t="str" cm="1">
        <f t="array" ref="G19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7" s="4"/>
      <c r="I1907" s="3" t="str" cm="1">
        <f t="array" ref="I19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8" spans="1:9" x14ac:dyDescent="0.3">
      <c r="A1908" s="3" t="str">
        <f>IF(SISTEMA!A1902="","",SISTEMA!A1902)</f>
        <v/>
      </c>
      <c r="B1908" s="10" t="str">
        <f>IF(SISTEMA!B1902="","",VALUE(SISTEMA!B1902))</f>
        <v/>
      </c>
      <c r="C1908" s="10" t="str">
        <f>IF(SISTEMA!C1902="","",SISTEMA!C1902)</f>
        <v/>
      </c>
      <c r="D1908" s="5" t="str" cm="1">
        <f t="array" ref="D19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8" s="5" t="str" cm="1">
        <f t="array" ref="E19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8" s="5" t="str" cm="1">
        <f t="array" ref="F19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8" t="str" cm="1">
        <f t="array" ref="G19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8" s="4"/>
      <c r="I1908" s="3" t="str" cm="1">
        <f t="array" ref="I19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09" spans="1:9" x14ac:dyDescent="0.3">
      <c r="A1909" s="3" t="str">
        <f>IF(SISTEMA!A1903="","",SISTEMA!A1903)</f>
        <v/>
      </c>
      <c r="B1909" s="10" t="str">
        <f>IF(SISTEMA!B1903="","",VALUE(SISTEMA!B1903))</f>
        <v/>
      </c>
      <c r="C1909" s="10" t="str">
        <f>IF(SISTEMA!C1903="","",SISTEMA!C1903)</f>
        <v/>
      </c>
      <c r="D1909" s="5" t="str" cm="1">
        <f t="array" ref="D19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09" s="5" t="str" cm="1">
        <f t="array" ref="E19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09" s="5" t="str" cm="1">
        <f t="array" ref="F19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09" t="str" cm="1">
        <f t="array" ref="G19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09" s="4"/>
      <c r="I1909" s="3" t="str" cm="1">
        <f t="array" ref="I19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0" spans="1:9" x14ac:dyDescent="0.3">
      <c r="A1910" s="3" t="str">
        <f>IF(SISTEMA!A1904="","",SISTEMA!A1904)</f>
        <v/>
      </c>
      <c r="B1910" s="10" t="str">
        <f>IF(SISTEMA!B1904="","",VALUE(SISTEMA!B1904))</f>
        <v/>
      </c>
      <c r="C1910" s="10" t="str">
        <f>IF(SISTEMA!C1904="","",SISTEMA!C1904)</f>
        <v/>
      </c>
      <c r="D1910" s="5" t="str" cm="1">
        <f t="array" ref="D19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0" s="5" t="str" cm="1">
        <f t="array" ref="E19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0" s="5" t="str" cm="1">
        <f t="array" ref="F19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0" t="str" cm="1">
        <f t="array" ref="G19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0" s="4"/>
      <c r="I1910" s="3" t="str" cm="1">
        <f t="array" ref="I19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1" spans="1:9" x14ac:dyDescent="0.3">
      <c r="A1911" s="3" t="str">
        <f>IF(SISTEMA!A1905="","",SISTEMA!A1905)</f>
        <v/>
      </c>
      <c r="B1911" s="10" t="str">
        <f>IF(SISTEMA!B1905="","",VALUE(SISTEMA!B1905))</f>
        <v/>
      </c>
      <c r="C1911" s="10" t="str">
        <f>IF(SISTEMA!C1905="","",SISTEMA!C1905)</f>
        <v/>
      </c>
      <c r="D1911" s="5" t="str" cm="1">
        <f t="array" ref="D19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1" s="5" t="str" cm="1">
        <f t="array" ref="E19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1" s="5" t="str" cm="1">
        <f t="array" ref="F19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1" t="str" cm="1">
        <f t="array" ref="G19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1" s="4"/>
      <c r="I1911" s="3" t="str" cm="1">
        <f t="array" ref="I19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2" spans="1:9" x14ac:dyDescent="0.3">
      <c r="A1912" s="3" t="str">
        <f>IF(SISTEMA!A1906="","",SISTEMA!A1906)</f>
        <v/>
      </c>
      <c r="B1912" s="10" t="str">
        <f>IF(SISTEMA!B1906="","",VALUE(SISTEMA!B1906))</f>
        <v/>
      </c>
      <c r="C1912" s="10" t="str">
        <f>IF(SISTEMA!C1906="","",SISTEMA!C1906)</f>
        <v/>
      </c>
      <c r="D1912" s="5" t="str" cm="1">
        <f t="array" ref="D19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2" s="5" t="str" cm="1">
        <f t="array" ref="E19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2" s="5" t="str" cm="1">
        <f t="array" ref="F19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2" t="str" cm="1">
        <f t="array" ref="G19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2" s="4"/>
      <c r="I1912" s="3" t="str" cm="1">
        <f t="array" ref="I19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3" spans="1:9" x14ac:dyDescent="0.3">
      <c r="A1913" s="3" t="str">
        <f>IF(SISTEMA!A1907="","",SISTEMA!A1907)</f>
        <v/>
      </c>
      <c r="B1913" s="10" t="str">
        <f>IF(SISTEMA!B1907="","",VALUE(SISTEMA!B1907))</f>
        <v/>
      </c>
      <c r="C1913" s="10" t="str">
        <f>IF(SISTEMA!C1907="","",SISTEMA!C1907)</f>
        <v/>
      </c>
      <c r="D1913" s="5" t="str" cm="1">
        <f t="array" ref="D19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3" s="5" t="str" cm="1">
        <f t="array" ref="E19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3" s="5" t="str" cm="1">
        <f t="array" ref="F19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3" t="str" cm="1">
        <f t="array" ref="G19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3" s="4"/>
      <c r="I1913" s="3" t="str" cm="1">
        <f t="array" ref="I19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4" spans="1:9" x14ac:dyDescent="0.3">
      <c r="A1914" s="3" t="str">
        <f>IF(SISTEMA!A1908="","",SISTEMA!A1908)</f>
        <v/>
      </c>
      <c r="B1914" s="10" t="str">
        <f>IF(SISTEMA!B1908="","",VALUE(SISTEMA!B1908))</f>
        <v/>
      </c>
      <c r="C1914" s="10" t="str">
        <f>IF(SISTEMA!C1908="","",SISTEMA!C1908)</f>
        <v/>
      </c>
      <c r="D1914" s="5" t="str" cm="1">
        <f t="array" ref="D19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4" s="5" t="str" cm="1">
        <f t="array" ref="E19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4" s="5" t="str" cm="1">
        <f t="array" ref="F19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4" t="str" cm="1">
        <f t="array" ref="G19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4" s="4"/>
      <c r="I1914" s="3" t="str" cm="1">
        <f t="array" ref="I19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5" spans="1:9" x14ac:dyDescent="0.3">
      <c r="A1915" s="3" t="str">
        <f>IF(SISTEMA!A1909="","",SISTEMA!A1909)</f>
        <v/>
      </c>
      <c r="B1915" s="10" t="str">
        <f>IF(SISTEMA!B1909="","",VALUE(SISTEMA!B1909))</f>
        <v/>
      </c>
      <c r="C1915" s="10" t="str">
        <f>IF(SISTEMA!C1909="","",SISTEMA!C1909)</f>
        <v/>
      </c>
      <c r="D1915" s="5" t="str" cm="1">
        <f t="array" ref="D19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5" s="5" t="str" cm="1">
        <f t="array" ref="E19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5" s="5" t="str" cm="1">
        <f t="array" ref="F19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5" t="str" cm="1">
        <f t="array" ref="G19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5" s="4"/>
      <c r="I1915" s="3" t="str" cm="1">
        <f t="array" ref="I19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6" spans="1:9" x14ac:dyDescent="0.3">
      <c r="A1916" s="3" t="str">
        <f>IF(SISTEMA!A1910="","",SISTEMA!A1910)</f>
        <v/>
      </c>
      <c r="B1916" s="10" t="str">
        <f>IF(SISTEMA!B1910="","",VALUE(SISTEMA!B1910))</f>
        <v/>
      </c>
      <c r="C1916" s="10" t="str">
        <f>IF(SISTEMA!C1910="","",SISTEMA!C1910)</f>
        <v/>
      </c>
      <c r="D1916" s="5" t="str" cm="1">
        <f t="array" ref="D19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6" s="5" t="str" cm="1">
        <f t="array" ref="E19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6" s="5" t="str" cm="1">
        <f t="array" ref="F19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6" t="str" cm="1">
        <f t="array" ref="G19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6" s="4"/>
      <c r="I1916" s="3" t="str" cm="1">
        <f t="array" ref="I19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7" spans="1:9" x14ac:dyDescent="0.3">
      <c r="A1917" s="3" t="str">
        <f>IF(SISTEMA!A1911="","",SISTEMA!A1911)</f>
        <v/>
      </c>
      <c r="B1917" s="10" t="str">
        <f>IF(SISTEMA!B1911="","",VALUE(SISTEMA!B1911))</f>
        <v/>
      </c>
      <c r="C1917" s="10" t="str">
        <f>IF(SISTEMA!C1911="","",SISTEMA!C1911)</f>
        <v/>
      </c>
      <c r="D1917" s="5" t="str" cm="1">
        <f t="array" ref="D19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7" s="5" t="str" cm="1">
        <f t="array" ref="E19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7" s="5" t="str" cm="1">
        <f t="array" ref="F19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7" t="str" cm="1">
        <f t="array" ref="G19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7" s="4"/>
      <c r="I1917" s="3" t="str" cm="1">
        <f t="array" ref="I19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8" spans="1:9" x14ac:dyDescent="0.3">
      <c r="A1918" s="3" t="str">
        <f>IF(SISTEMA!A1912="","",SISTEMA!A1912)</f>
        <v/>
      </c>
      <c r="B1918" s="10" t="str">
        <f>IF(SISTEMA!B1912="","",VALUE(SISTEMA!B1912))</f>
        <v/>
      </c>
      <c r="C1918" s="10" t="str">
        <f>IF(SISTEMA!C1912="","",SISTEMA!C1912)</f>
        <v/>
      </c>
      <c r="D1918" s="5" t="str" cm="1">
        <f t="array" ref="D19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8" s="5" t="str" cm="1">
        <f t="array" ref="E19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8" s="5" t="str" cm="1">
        <f t="array" ref="F19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8" t="str" cm="1">
        <f t="array" ref="G19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8" s="4"/>
      <c r="I1918" s="3" t="str" cm="1">
        <f t="array" ref="I19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19" spans="1:9" x14ac:dyDescent="0.3">
      <c r="A1919" s="3" t="str">
        <f>IF(SISTEMA!A1913="","",SISTEMA!A1913)</f>
        <v/>
      </c>
      <c r="B1919" s="10" t="str">
        <f>IF(SISTEMA!B1913="","",VALUE(SISTEMA!B1913))</f>
        <v/>
      </c>
      <c r="C1919" s="10" t="str">
        <f>IF(SISTEMA!C1913="","",SISTEMA!C1913)</f>
        <v/>
      </c>
      <c r="D1919" s="5" t="str" cm="1">
        <f t="array" ref="D19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19" s="5" t="str" cm="1">
        <f t="array" ref="E19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19" s="5" t="str" cm="1">
        <f t="array" ref="F19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19" t="str" cm="1">
        <f t="array" ref="G19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19" s="4"/>
      <c r="I1919" s="3" t="str" cm="1">
        <f t="array" ref="I19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0" spans="1:9" x14ac:dyDescent="0.3">
      <c r="A1920" s="3" t="str">
        <f>IF(SISTEMA!A1914="","",SISTEMA!A1914)</f>
        <v/>
      </c>
      <c r="B1920" s="10" t="str">
        <f>IF(SISTEMA!B1914="","",VALUE(SISTEMA!B1914))</f>
        <v/>
      </c>
      <c r="C1920" s="10" t="str">
        <f>IF(SISTEMA!C1914="","",SISTEMA!C1914)</f>
        <v/>
      </c>
      <c r="D1920" s="5" t="str" cm="1">
        <f t="array" ref="D19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0" s="5" t="str" cm="1">
        <f t="array" ref="E19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0" s="5" t="str" cm="1">
        <f t="array" ref="F19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0" t="str" cm="1">
        <f t="array" ref="G19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0" s="4"/>
      <c r="I1920" s="3" t="str" cm="1">
        <f t="array" ref="I19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1" spans="1:9" x14ac:dyDescent="0.3">
      <c r="A1921" s="3" t="str">
        <f>IF(SISTEMA!A1915="","",SISTEMA!A1915)</f>
        <v/>
      </c>
      <c r="B1921" s="10" t="str">
        <f>IF(SISTEMA!B1915="","",VALUE(SISTEMA!B1915))</f>
        <v/>
      </c>
      <c r="C1921" s="10" t="str">
        <f>IF(SISTEMA!C1915="","",SISTEMA!C1915)</f>
        <v/>
      </c>
      <c r="D1921" s="5" t="str" cm="1">
        <f t="array" ref="D19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1" s="5" t="str" cm="1">
        <f t="array" ref="E19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1" s="5" t="str" cm="1">
        <f t="array" ref="F19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1" t="str" cm="1">
        <f t="array" ref="G19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1" s="4"/>
      <c r="I1921" s="3" t="str" cm="1">
        <f t="array" ref="I19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2" spans="1:9" x14ac:dyDescent="0.3">
      <c r="A1922" s="3" t="str">
        <f>IF(SISTEMA!A1916="","",SISTEMA!A1916)</f>
        <v/>
      </c>
      <c r="B1922" s="10" t="str">
        <f>IF(SISTEMA!B1916="","",VALUE(SISTEMA!B1916))</f>
        <v/>
      </c>
      <c r="C1922" s="10" t="str">
        <f>IF(SISTEMA!C1916="","",SISTEMA!C1916)</f>
        <v/>
      </c>
      <c r="D1922" s="5" t="str" cm="1">
        <f t="array" ref="D19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2" s="5" t="str" cm="1">
        <f t="array" ref="E19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2" s="5" t="str" cm="1">
        <f t="array" ref="F19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2" t="str" cm="1">
        <f t="array" ref="G19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2" s="4"/>
      <c r="I1922" s="3" t="str" cm="1">
        <f t="array" ref="I19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3" spans="1:9" x14ac:dyDescent="0.3">
      <c r="A1923" s="3" t="str">
        <f>IF(SISTEMA!A1917="","",SISTEMA!A1917)</f>
        <v/>
      </c>
      <c r="B1923" s="10" t="str">
        <f>IF(SISTEMA!B1917="","",VALUE(SISTEMA!B1917))</f>
        <v/>
      </c>
      <c r="C1923" s="10" t="str">
        <f>IF(SISTEMA!C1917="","",SISTEMA!C1917)</f>
        <v/>
      </c>
      <c r="D1923" s="5" t="str" cm="1">
        <f t="array" ref="D19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3" s="5" t="str" cm="1">
        <f t="array" ref="E19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3" s="5" t="str" cm="1">
        <f t="array" ref="F19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3" t="str" cm="1">
        <f t="array" ref="G19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3" s="4"/>
      <c r="I1923" s="3" t="str" cm="1">
        <f t="array" ref="I19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4" spans="1:9" x14ac:dyDescent="0.3">
      <c r="A1924" s="3" t="str">
        <f>IF(SISTEMA!A1918="","",SISTEMA!A1918)</f>
        <v/>
      </c>
      <c r="B1924" s="10" t="str">
        <f>IF(SISTEMA!B1918="","",VALUE(SISTEMA!B1918))</f>
        <v/>
      </c>
      <c r="C1924" s="10" t="str">
        <f>IF(SISTEMA!C1918="","",SISTEMA!C1918)</f>
        <v/>
      </c>
      <c r="D1924" s="5" t="str" cm="1">
        <f t="array" ref="D19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4" s="5" t="str" cm="1">
        <f t="array" ref="E19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4" s="5" t="str" cm="1">
        <f t="array" ref="F19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4" t="str" cm="1">
        <f t="array" ref="G19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4" s="4"/>
      <c r="I1924" s="3" t="str" cm="1">
        <f t="array" ref="I19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5" spans="1:9" x14ac:dyDescent="0.3">
      <c r="A1925" s="3" t="str">
        <f>IF(SISTEMA!A1919="","",SISTEMA!A1919)</f>
        <v/>
      </c>
      <c r="B1925" s="10" t="str">
        <f>IF(SISTEMA!B1919="","",VALUE(SISTEMA!B1919))</f>
        <v/>
      </c>
      <c r="C1925" s="10" t="str">
        <f>IF(SISTEMA!C1919="","",SISTEMA!C1919)</f>
        <v/>
      </c>
      <c r="D1925" s="5" t="str" cm="1">
        <f t="array" ref="D19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5" s="5" t="str" cm="1">
        <f t="array" ref="E19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5" s="5" t="str" cm="1">
        <f t="array" ref="F19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5" t="str" cm="1">
        <f t="array" ref="G19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5" s="4"/>
      <c r="I1925" s="3" t="str" cm="1">
        <f t="array" ref="I19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6" spans="1:9" x14ac:dyDescent="0.3">
      <c r="A1926" s="3" t="str">
        <f>IF(SISTEMA!A1920="","",SISTEMA!A1920)</f>
        <v/>
      </c>
      <c r="B1926" s="10" t="str">
        <f>IF(SISTEMA!B1920="","",VALUE(SISTEMA!B1920))</f>
        <v/>
      </c>
      <c r="C1926" s="10" t="str">
        <f>IF(SISTEMA!C1920="","",SISTEMA!C1920)</f>
        <v/>
      </c>
      <c r="D1926" s="5" t="str" cm="1">
        <f t="array" ref="D19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6" s="5" t="str" cm="1">
        <f t="array" ref="E19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6" s="5" t="str" cm="1">
        <f t="array" ref="F19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6" t="str" cm="1">
        <f t="array" ref="G19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6" s="4"/>
      <c r="I1926" s="3" t="str" cm="1">
        <f t="array" ref="I19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7" spans="1:9" x14ac:dyDescent="0.3">
      <c r="A1927" s="3" t="str">
        <f>IF(SISTEMA!A1921="","",SISTEMA!A1921)</f>
        <v/>
      </c>
      <c r="B1927" s="10" t="str">
        <f>IF(SISTEMA!B1921="","",VALUE(SISTEMA!B1921))</f>
        <v/>
      </c>
      <c r="C1927" s="10" t="str">
        <f>IF(SISTEMA!C1921="","",SISTEMA!C1921)</f>
        <v/>
      </c>
      <c r="D1927" s="5" t="str" cm="1">
        <f t="array" ref="D19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7" s="5" t="str" cm="1">
        <f t="array" ref="E19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7" s="5" t="str" cm="1">
        <f t="array" ref="F19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7" t="str" cm="1">
        <f t="array" ref="G19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7" s="4"/>
      <c r="I1927" s="3" t="str" cm="1">
        <f t="array" ref="I19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8" spans="1:9" x14ac:dyDescent="0.3">
      <c r="A1928" s="3" t="str">
        <f>IF(SISTEMA!A1922="","",SISTEMA!A1922)</f>
        <v/>
      </c>
      <c r="B1928" s="10" t="str">
        <f>IF(SISTEMA!B1922="","",VALUE(SISTEMA!B1922))</f>
        <v/>
      </c>
      <c r="C1928" s="10" t="str">
        <f>IF(SISTEMA!C1922="","",SISTEMA!C1922)</f>
        <v/>
      </c>
      <c r="D1928" s="5" t="str" cm="1">
        <f t="array" ref="D19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8" s="5" t="str" cm="1">
        <f t="array" ref="E19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8" s="5" t="str" cm="1">
        <f t="array" ref="F19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8" t="str" cm="1">
        <f t="array" ref="G19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8" s="4"/>
      <c r="I1928" s="3" t="str" cm="1">
        <f t="array" ref="I19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29" spans="1:9" x14ac:dyDescent="0.3">
      <c r="A1929" s="3" t="str">
        <f>IF(SISTEMA!A1923="","",SISTEMA!A1923)</f>
        <v/>
      </c>
      <c r="B1929" s="10" t="str">
        <f>IF(SISTEMA!B1923="","",VALUE(SISTEMA!B1923))</f>
        <v/>
      </c>
      <c r="C1929" s="10" t="str">
        <f>IF(SISTEMA!C1923="","",SISTEMA!C1923)</f>
        <v/>
      </c>
      <c r="D1929" s="5" t="str" cm="1">
        <f t="array" ref="D19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29" s="5" t="str" cm="1">
        <f t="array" ref="E19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29" s="5" t="str" cm="1">
        <f t="array" ref="F19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29" t="str" cm="1">
        <f t="array" ref="G19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29" s="4"/>
      <c r="I1929" s="3" t="str" cm="1">
        <f t="array" ref="I19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0" spans="1:9" x14ac:dyDescent="0.3">
      <c r="A1930" s="3" t="str">
        <f>IF(SISTEMA!A1924="","",SISTEMA!A1924)</f>
        <v/>
      </c>
      <c r="B1930" s="10" t="str">
        <f>IF(SISTEMA!B1924="","",VALUE(SISTEMA!B1924))</f>
        <v/>
      </c>
      <c r="C1930" s="10" t="str">
        <f>IF(SISTEMA!C1924="","",SISTEMA!C1924)</f>
        <v/>
      </c>
      <c r="D1930" s="5" t="str" cm="1">
        <f t="array" ref="D19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0" s="5" t="str" cm="1">
        <f t="array" ref="E19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0" s="5" t="str" cm="1">
        <f t="array" ref="F19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0" t="str" cm="1">
        <f t="array" ref="G19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0" s="4"/>
      <c r="I1930" s="3" t="str" cm="1">
        <f t="array" ref="I19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1" spans="1:9" x14ac:dyDescent="0.3">
      <c r="A1931" s="3" t="str">
        <f>IF(SISTEMA!A1925="","",SISTEMA!A1925)</f>
        <v/>
      </c>
      <c r="B1931" s="10" t="str">
        <f>IF(SISTEMA!B1925="","",VALUE(SISTEMA!B1925))</f>
        <v/>
      </c>
      <c r="C1931" s="10" t="str">
        <f>IF(SISTEMA!C1925="","",SISTEMA!C1925)</f>
        <v/>
      </c>
      <c r="D1931" s="5" t="str" cm="1">
        <f t="array" ref="D19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1" s="5" t="str" cm="1">
        <f t="array" ref="E19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1" s="5" t="str" cm="1">
        <f t="array" ref="F19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1" t="str" cm="1">
        <f t="array" ref="G19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1" s="4"/>
      <c r="I1931" s="3" t="str" cm="1">
        <f t="array" ref="I19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2" spans="1:9" x14ac:dyDescent="0.3">
      <c r="A1932" s="3" t="str">
        <f>IF(SISTEMA!A1926="","",SISTEMA!A1926)</f>
        <v/>
      </c>
      <c r="B1932" s="10" t="str">
        <f>IF(SISTEMA!B1926="","",VALUE(SISTEMA!B1926))</f>
        <v/>
      </c>
      <c r="C1932" s="10" t="str">
        <f>IF(SISTEMA!C1926="","",SISTEMA!C1926)</f>
        <v/>
      </c>
      <c r="D1932" s="5" t="str" cm="1">
        <f t="array" ref="D19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2" s="5" t="str" cm="1">
        <f t="array" ref="E19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2" s="5" t="str" cm="1">
        <f t="array" ref="F19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2" t="str" cm="1">
        <f t="array" ref="G19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2" s="4"/>
      <c r="I1932" s="3" t="str" cm="1">
        <f t="array" ref="I19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3" spans="1:9" x14ac:dyDescent="0.3">
      <c r="A1933" s="3" t="str">
        <f>IF(SISTEMA!A1927="","",SISTEMA!A1927)</f>
        <v/>
      </c>
      <c r="B1933" s="10" t="str">
        <f>IF(SISTEMA!B1927="","",VALUE(SISTEMA!B1927))</f>
        <v/>
      </c>
      <c r="C1933" s="10" t="str">
        <f>IF(SISTEMA!C1927="","",SISTEMA!C1927)</f>
        <v/>
      </c>
      <c r="D1933" s="5" t="str" cm="1">
        <f t="array" ref="D19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3" s="5" t="str" cm="1">
        <f t="array" ref="E19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3" s="5" t="str" cm="1">
        <f t="array" ref="F19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3" t="str" cm="1">
        <f t="array" ref="G19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3" s="4"/>
      <c r="I1933" s="3" t="str" cm="1">
        <f t="array" ref="I19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4" spans="1:9" x14ac:dyDescent="0.3">
      <c r="A1934" s="3" t="str">
        <f>IF(SISTEMA!A1928="","",SISTEMA!A1928)</f>
        <v/>
      </c>
      <c r="B1934" s="10" t="str">
        <f>IF(SISTEMA!B1928="","",VALUE(SISTEMA!B1928))</f>
        <v/>
      </c>
      <c r="C1934" s="10" t="str">
        <f>IF(SISTEMA!C1928="","",SISTEMA!C1928)</f>
        <v/>
      </c>
      <c r="D1934" s="5" t="str" cm="1">
        <f t="array" ref="D19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4" s="5" t="str" cm="1">
        <f t="array" ref="E19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4" s="5" t="str" cm="1">
        <f t="array" ref="F19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4" t="str" cm="1">
        <f t="array" ref="G19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4" s="4"/>
      <c r="I1934" s="3" t="str" cm="1">
        <f t="array" ref="I19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5" spans="1:9" x14ac:dyDescent="0.3">
      <c r="A1935" s="3" t="str">
        <f>IF(SISTEMA!A1929="","",SISTEMA!A1929)</f>
        <v/>
      </c>
      <c r="B1935" s="10" t="str">
        <f>IF(SISTEMA!B1929="","",VALUE(SISTEMA!B1929))</f>
        <v/>
      </c>
      <c r="C1935" s="10" t="str">
        <f>IF(SISTEMA!C1929="","",SISTEMA!C1929)</f>
        <v/>
      </c>
      <c r="D1935" s="5" t="str" cm="1">
        <f t="array" ref="D19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5" s="5" t="str" cm="1">
        <f t="array" ref="E19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5" s="5" t="str" cm="1">
        <f t="array" ref="F19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5" t="str" cm="1">
        <f t="array" ref="G19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5" s="4"/>
      <c r="I1935" s="3" t="str" cm="1">
        <f t="array" ref="I19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6" spans="1:9" x14ac:dyDescent="0.3">
      <c r="A1936" s="3" t="str">
        <f>IF(SISTEMA!A1930="","",SISTEMA!A1930)</f>
        <v/>
      </c>
      <c r="B1936" s="10" t="str">
        <f>IF(SISTEMA!B1930="","",VALUE(SISTEMA!B1930))</f>
        <v/>
      </c>
      <c r="C1936" s="10" t="str">
        <f>IF(SISTEMA!C1930="","",SISTEMA!C1930)</f>
        <v/>
      </c>
      <c r="D1936" s="5" t="str" cm="1">
        <f t="array" ref="D19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6" s="5" t="str" cm="1">
        <f t="array" ref="E19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6" s="5" t="str" cm="1">
        <f t="array" ref="F19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6" t="str" cm="1">
        <f t="array" ref="G19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6" s="4"/>
      <c r="I1936" s="3" t="str" cm="1">
        <f t="array" ref="I19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7" spans="1:9" x14ac:dyDescent="0.3">
      <c r="A1937" s="3" t="str">
        <f>IF(SISTEMA!A1931="","",SISTEMA!A1931)</f>
        <v/>
      </c>
      <c r="B1937" s="10" t="str">
        <f>IF(SISTEMA!B1931="","",VALUE(SISTEMA!B1931))</f>
        <v/>
      </c>
      <c r="C1937" s="10" t="str">
        <f>IF(SISTEMA!C1931="","",SISTEMA!C1931)</f>
        <v/>
      </c>
      <c r="D1937" s="5" t="str" cm="1">
        <f t="array" ref="D19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7" s="5" t="str" cm="1">
        <f t="array" ref="E19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7" s="5" t="str" cm="1">
        <f t="array" ref="F19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7" t="str" cm="1">
        <f t="array" ref="G19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7" s="4"/>
      <c r="I1937" s="3" t="str" cm="1">
        <f t="array" ref="I19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8" spans="1:9" x14ac:dyDescent="0.3">
      <c r="A1938" s="3" t="str">
        <f>IF(SISTEMA!A1932="","",SISTEMA!A1932)</f>
        <v/>
      </c>
      <c r="B1938" s="10" t="str">
        <f>IF(SISTEMA!B1932="","",VALUE(SISTEMA!B1932))</f>
        <v/>
      </c>
      <c r="C1938" s="10" t="str">
        <f>IF(SISTEMA!C1932="","",SISTEMA!C1932)</f>
        <v/>
      </c>
      <c r="D1938" s="5" t="str" cm="1">
        <f t="array" ref="D19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8" s="5" t="str" cm="1">
        <f t="array" ref="E19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8" s="5" t="str" cm="1">
        <f t="array" ref="F19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8" t="str" cm="1">
        <f t="array" ref="G19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8" s="4"/>
      <c r="I1938" s="3" t="str" cm="1">
        <f t="array" ref="I19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39" spans="1:9" x14ac:dyDescent="0.3">
      <c r="A1939" s="3" t="str">
        <f>IF(SISTEMA!A1933="","",SISTEMA!A1933)</f>
        <v/>
      </c>
      <c r="B1939" s="10" t="str">
        <f>IF(SISTEMA!B1933="","",VALUE(SISTEMA!B1933))</f>
        <v/>
      </c>
      <c r="C1939" s="10" t="str">
        <f>IF(SISTEMA!C1933="","",SISTEMA!C1933)</f>
        <v/>
      </c>
      <c r="D1939" s="5" t="str" cm="1">
        <f t="array" ref="D19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39" s="5" t="str" cm="1">
        <f t="array" ref="E19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39" s="5" t="str" cm="1">
        <f t="array" ref="F19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39" t="str" cm="1">
        <f t="array" ref="G19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39" s="4"/>
      <c r="I1939" s="3" t="str" cm="1">
        <f t="array" ref="I19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0" spans="1:9" x14ac:dyDescent="0.3">
      <c r="A1940" s="3" t="str">
        <f>IF(SISTEMA!A1934="","",SISTEMA!A1934)</f>
        <v/>
      </c>
      <c r="B1940" s="10" t="str">
        <f>IF(SISTEMA!B1934="","",VALUE(SISTEMA!B1934))</f>
        <v/>
      </c>
      <c r="C1940" s="10" t="str">
        <f>IF(SISTEMA!C1934="","",SISTEMA!C1934)</f>
        <v/>
      </c>
      <c r="D1940" s="5" t="str" cm="1">
        <f t="array" ref="D19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0" s="5" t="str" cm="1">
        <f t="array" ref="E19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0" s="5" t="str" cm="1">
        <f t="array" ref="F19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0" t="str" cm="1">
        <f t="array" ref="G19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0" s="4"/>
      <c r="I1940" s="3" t="str" cm="1">
        <f t="array" ref="I19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1" spans="1:9" x14ac:dyDescent="0.3">
      <c r="A1941" s="3" t="str">
        <f>IF(SISTEMA!A1935="","",SISTEMA!A1935)</f>
        <v/>
      </c>
      <c r="B1941" s="10" t="str">
        <f>IF(SISTEMA!B1935="","",VALUE(SISTEMA!B1935))</f>
        <v/>
      </c>
      <c r="C1941" s="10" t="str">
        <f>IF(SISTEMA!C1935="","",SISTEMA!C1935)</f>
        <v/>
      </c>
      <c r="D1941" s="5" t="str" cm="1">
        <f t="array" ref="D19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1" s="5" t="str" cm="1">
        <f t="array" ref="E19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1" s="5" t="str" cm="1">
        <f t="array" ref="F19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1" t="str" cm="1">
        <f t="array" ref="G19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1" s="4"/>
      <c r="I1941" s="3" t="str" cm="1">
        <f t="array" ref="I19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2" spans="1:9" x14ac:dyDescent="0.3">
      <c r="A1942" s="3" t="str">
        <f>IF(SISTEMA!A1936="","",SISTEMA!A1936)</f>
        <v/>
      </c>
      <c r="B1942" s="10" t="str">
        <f>IF(SISTEMA!B1936="","",VALUE(SISTEMA!B1936))</f>
        <v/>
      </c>
      <c r="C1942" s="10" t="str">
        <f>IF(SISTEMA!C1936="","",SISTEMA!C1936)</f>
        <v/>
      </c>
      <c r="D1942" s="5" t="str" cm="1">
        <f t="array" ref="D19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2" s="5" t="str" cm="1">
        <f t="array" ref="E19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2" s="5" t="str" cm="1">
        <f t="array" ref="F19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2" t="str" cm="1">
        <f t="array" ref="G19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2" s="4"/>
      <c r="I1942" s="3" t="str" cm="1">
        <f t="array" ref="I19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3" spans="1:9" x14ac:dyDescent="0.3">
      <c r="A1943" s="3" t="str">
        <f>IF(SISTEMA!A1937="","",SISTEMA!A1937)</f>
        <v/>
      </c>
      <c r="B1943" s="10" t="str">
        <f>IF(SISTEMA!B1937="","",VALUE(SISTEMA!B1937))</f>
        <v/>
      </c>
      <c r="C1943" s="10" t="str">
        <f>IF(SISTEMA!C1937="","",SISTEMA!C1937)</f>
        <v/>
      </c>
      <c r="D1943" s="5" t="str" cm="1">
        <f t="array" ref="D19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3" s="5" t="str" cm="1">
        <f t="array" ref="E19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3" s="5" t="str" cm="1">
        <f t="array" ref="F19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3" t="str" cm="1">
        <f t="array" ref="G19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3" s="4"/>
      <c r="I1943" s="3" t="str" cm="1">
        <f t="array" ref="I19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4" spans="1:9" x14ac:dyDescent="0.3">
      <c r="A1944" s="3" t="str">
        <f>IF(SISTEMA!A1938="","",SISTEMA!A1938)</f>
        <v/>
      </c>
      <c r="B1944" s="10" t="str">
        <f>IF(SISTEMA!B1938="","",VALUE(SISTEMA!B1938))</f>
        <v/>
      </c>
      <c r="C1944" s="10" t="str">
        <f>IF(SISTEMA!C1938="","",SISTEMA!C1938)</f>
        <v/>
      </c>
      <c r="D1944" s="5" t="str" cm="1">
        <f t="array" ref="D19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4" s="5" t="str" cm="1">
        <f t="array" ref="E19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4" s="5" t="str" cm="1">
        <f t="array" ref="F19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4" t="str" cm="1">
        <f t="array" ref="G19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4" s="4"/>
      <c r="I1944" s="3" t="str" cm="1">
        <f t="array" ref="I19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5" spans="1:9" x14ac:dyDescent="0.3">
      <c r="A1945" s="3" t="str">
        <f>IF(SISTEMA!A1939="","",SISTEMA!A1939)</f>
        <v/>
      </c>
      <c r="B1945" s="10" t="str">
        <f>IF(SISTEMA!B1939="","",VALUE(SISTEMA!B1939))</f>
        <v/>
      </c>
      <c r="C1945" s="10" t="str">
        <f>IF(SISTEMA!C1939="","",SISTEMA!C1939)</f>
        <v/>
      </c>
      <c r="D1945" s="5" t="str" cm="1">
        <f t="array" ref="D19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5" s="5" t="str" cm="1">
        <f t="array" ref="E19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5" s="5" t="str" cm="1">
        <f t="array" ref="F19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5" t="str" cm="1">
        <f t="array" ref="G19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5" s="4"/>
      <c r="I1945" s="3" t="str" cm="1">
        <f t="array" ref="I19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6" spans="1:9" x14ac:dyDescent="0.3">
      <c r="A1946" s="3" t="str">
        <f>IF(SISTEMA!A1940="","",SISTEMA!A1940)</f>
        <v/>
      </c>
      <c r="B1946" s="10" t="str">
        <f>IF(SISTEMA!B1940="","",VALUE(SISTEMA!B1940))</f>
        <v/>
      </c>
      <c r="C1946" s="10" t="str">
        <f>IF(SISTEMA!C1940="","",SISTEMA!C1940)</f>
        <v/>
      </c>
      <c r="D1946" s="5" t="str" cm="1">
        <f t="array" ref="D19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6" s="5" t="str" cm="1">
        <f t="array" ref="E19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6" s="5" t="str" cm="1">
        <f t="array" ref="F19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6" t="str" cm="1">
        <f t="array" ref="G19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6" s="4"/>
      <c r="I1946" s="3" t="str" cm="1">
        <f t="array" ref="I19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7" spans="1:9" x14ac:dyDescent="0.3">
      <c r="A1947" s="3" t="str">
        <f>IF(SISTEMA!A1941="","",SISTEMA!A1941)</f>
        <v/>
      </c>
      <c r="B1947" s="10" t="str">
        <f>IF(SISTEMA!B1941="","",VALUE(SISTEMA!B1941))</f>
        <v/>
      </c>
      <c r="C1947" s="10" t="str">
        <f>IF(SISTEMA!C1941="","",SISTEMA!C1941)</f>
        <v/>
      </c>
      <c r="D1947" s="5" t="str" cm="1">
        <f t="array" ref="D19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7" s="5" t="str" cm="1">
        <f t="array" ref="E19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7" s="5" t="str" cm="1">
        <f t="array" ref="F19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7" t="str" cm="1">
        <f t="array" ref="G19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7" s="4"/>
      <c r="I1947" s="3" t="str" cm="1">
        <f t="array" ref="I19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8" spans="1:9" x14ac:dyDescent="0.3">
      <c r="A1948" s="3" t="str">
        <f>IF(SISTEMA!A1942="","",SISTEMA!A1942)</f>
        <v/>
      </c>
      <c r="B1948" s="10" t="str">
        <f>IF(SISTEMA!B1942="","",VALUE(SISTEMA!B1942))</f>
        <v/>
      </c>
      <c r="C1948" s="10" t="str">
        <f>IF(SISTEMA!C1942="","",SISTEMA!C1942)</f>
        <v/>
      </c>
      <c r="D1948" s="5" t="str" cm="1">
        <f t="array" ref="D19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8" s="5" t="str" cm="1">
        <f t="array" ref="E19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8" s="5" t="str" cm="1">
        <f t="array" ref="F19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8" t="str" cm="1">
        <f t="array" ref="G19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8" s="4"/>
      <c r="I1948" s="3" t="str" cm="1">
        <f t="array" ref="I19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49" spans="1:9" x14ac:dyDescent="0.3">
      <c r="A1949" s="3" t="str">
        <f>IF(SISTEMA!A1943="","",SISTEMA!A1943)</f>
        <v/>
      </c>
      <c r="B1949" s="10" t="str">
        <f>IF(SISTEMA!B1943="","",VALUE(SISTEMA!B1943))</f>
        <v/>
      </c>
      <c r="C1949" s="10" t="str">
        <f>IF(SISTEMA!C1943="","",SISTEMA!C1943)</f>
        <v/>
      </c>
      <c r="D1949" s="5" t="str" cm="1">
        <f t="array" ref="D19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49" s="5" t="str" cm="1">
        <f t="array" ref="E19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49" s="5" t="str" cm="1">
        <f t="array" ref="F19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49" t="str" cm="1">
        <f t="array" ref="G19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49" s="4"/>
      <c r="I1949" s="3" t="str" cm="1">
        <f t="array" ref="I19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0" spans="1:9" x14ac:dyDescent="0.3">
      <c r="A1950" s="3" t="str">
        <f>IF(SISTEMA!A1944="","",SISTEMA!A1944)</f>
        <v/>
      </c>
      <c r="B1950" s="10" t="str">
        <f>IF(SISTEMA!B1944="","",VALUE(SISTEMA!B1944))</f>
        <v/>
      </c>
      <c r="C1950" s="10" t="str">
        <f>IF(SISTEMA!C1944="","",SISTEMA!C1944)</f>
        <v/>
      </c>
      <c r="D1950" s="5" t="str" cm="1">
        <f t="array" ref="D19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0" s="5" t="str" cm="1">
        <f t="array" ref="E19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0" s="5" t="str" cm="1">
        <f t="array" ref="F19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0" t="str" cm="1">
        <f t="array" ref="G19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0" s="4"/>
      <c r="I1950" s="3" t="str" cm="1">
        <f t="array" ref="I19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1" spans="1:9" x14ac:dyDescent="0.3">
      <c r="A1951" s="3" t="str">
        <f>IF(SISTEMA!A1945="","",SISTEMA!A1945)</f>
        <v/>
      </c>
      <c r="B1951" s="10" t="str">
        <f>IF(SISTEMA!B1945="","",VALUE(SISTEMA!B1945))</f>
        <v/>
      </c>
      <c r="C1951" s="10" t="str">
        <f>IF(SISTEMA!C1945="","",SISTEMA!C1945)</f>
        <v/>
      </c>
      <c r="D1951" s="5" t="str" cm="1">
        <f t="array" ref="D19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1" s="5" t="str" cm="1">
        <f t="array" ref="E19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1" s="5" t="str" cm="1">
        <f t="array" ref="F19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1" t="str" cm="1">
        <f t="array" ref="G19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1" s="4"/>
      <c r="I1951" s="3" t="str" cm="1">
        <f t="array" ref="I19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2" spans="1:9" x14ac:dyDescent="0.3">
      <c r="A1952" s="3" t="str">
        <f>IF(SISTEMA!A1946="","",SISTEMA!A1946)</f>
        <v/>
      </c>
      <c r="B1952" s="10" t="str">
        <f>IF(SISTEMA!B1946="","",VALUE(SISTEMA!B1946))</f>
        <v/>
      </c>
      <c r="C1952" s="10" t="str">
        <f>IF(SISTEMA!C1946="","",SISTEMA!C1946)</f>
        <v/>
      </c>
      <c r="D1952" s="5" t="str" cm="1">
        <f t="array" ref="D19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2" s="5" t="str" cm="1">
        <f t="array" ref="E19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2" s="5" t="str" cm="1">
        <f t="array" ref="F19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2" t="str" cm="1">
        <f t="array" ref="G19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2" s="4"/>
      <c r="I1952" s="3" t="str" cm="1">
        <f t="array" ref="I19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3" spans="1:9" x14ac:dyDescent="0.3">
      <c r="A1953" s="3" t="str">
        <f>IF(SISTEMA!A1947="","",SISTEMA!A1947)</f>
        <v/>
      </c>
      <c r="B1953" s="10" t="str">
        <f>IF(SISTEMA!B1947="","",VALUE(SISTEMA!B1947))</f>
        <v/>
      </c>
      <c r="C1953" s="10" t="str">
        <f>IF(SISTEMA!C1947="","",SISTEMA!C1947)</f>
        <v/>
      </c>
      <c r="D1953" s="5" t="str" cm="1">
        <f t="array" ref="D19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3" s="5" t="str" cm="1">
        <f t="array" ref="E19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3" s="5" t="str" cm="1">
        <f t="array" ref="F19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3" t="str" cm="1">
        <f t="array" ref="G19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3" s="4"/>
      <c r="I1953" s="3" t="str" cm="1">
        <f t="array" ref="I19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4" spans="1:9" x14ac:dyDescent="0.3">
      <c r="A1954" s="3" t="str">
        <f>IF(SISTEMA!A1948="","",SISTEMA!A1948)</f>
        <v/>
      </c>
      <c r="B1954" s="10" t="str">
        <f>IF(SISTEMA!B1948="","",VALUE(SISTEMA!B1948))</f>
        <v/>
      </c>
      <c r="C1954" s="10" t="str">
        <f>IF(SISTEMA!C1948="","",SISTEMA!C1948)</f>
        <v/>
      </c>
      <c r="D1954" s="5" t="str" cm="1">
        <f t="array" ref="D19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4" s="5" t="str" cm="1">
        <f t="array" ref="E19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4" s="5" t="str" cm="1">
        <f t="array" ref="F19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4" t="str" cm="1">
        <f t="array" ref="G19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4" s="4"/>
      <c r="I1954" s="3" t="str" cm="1">
        <f t="array" ref="I19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5" spans="1:9" x14ac:dyDescent="0.3">
      <c r="A1955" s="3" t="str">
        <f>IF(SISTEMA!A1949="","",SISTEMA!A1949)</f>
        <v/>
      </c>
      <c r="B1955" s="10" t="str">
        <f>IF(SISTEMA!B1949="","",VALUE(SISTEMA!B1949))</f>
        <v/>
      </c>
      <c r="C1955" s="10" t="str">
        <f>IF(SISTEMA!C1949="","",SISTEMA!C1949)</f>
        <v/>
      </c>
      <c r="D1955" s="5" t="str" cm="1">
        <f t="array" ref="D19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5" s="5" t="str" cm="1">
        <f t="array" ref="E19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5" s="5" t="str" cm="1">
        <f t="array" ref="F19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5" t="str" cm="1">
        <f t="array" ref="G19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5" s="4"/>
      <c r="I1955" s="3" t="str" cm="1">
        <f t="array" ref="I19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6" spans="1:9" x14ac:dyDescent="0.3">
      <c r="A1956" s="3" t="str">
        <f>IF(SISTEMA!A1950="","",SISTEMA!A1950)</f>
        <v/>
      </c>
      <c r="B1956" s="10" t="str">
        <f>IF(SISTEMA!B1950="","",VALUE(SISTEMA!B1950))</f>
        <v/>
      </c>
      <c r="C1956" s="10" t="str">
        <f>IF(SISTEMA!C1950="","",SISTEMA!C1950)</f>
        <v/>
      </c>
      <c r="D1956" s="5" t="str" cm="1">
        <f t="array" ref="D19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6" s="5" t="str" cm="1">
        <f t="array" ref="E19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6" s="5" t="str" cm="1">
        <f t="array" ref="F19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6" t="str" cm="1">
        <f t="array" ref="G19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6" s="4"/>
      <c r="I1956" s="3" t="str" cm="1">
        <f t="array" ref="I19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7" spans="1:9" x14ac:dyDescent="0.3">
      <c r="A1957" s="3" t="str">
        <f>IF(SISTEMA!A1951="","",SISTEMA!A1951)</f>
        <v/>
      </c>
      <c r="B1957" s="10" t="str">
        <f>IF(SISTEMA!B1951="","",VALUE(SISTEMA!B1951))</f>
        <v/>
      </c>
      <c r="C1957" s="10" t="str">
        <f>IF(SISTEMA!C1951="","",SISTEMA!C1951)</f>
        <v/>
      </c>
      <c r="D1957" s="5" t="str" cm="1">
        <f t="array" ref="D19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7" s="5" t="str" cm="1">
        <f t="array" ref="E19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7" s="5" t="str" cm="1">
        <f t="array" ref="F19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7" t="str" cm="1">
        <f t="array" ref="G19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7" s="4"/>
      <c r="I1957" s="3" t="str" cm="1">
        <f t="array" ref="I19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8" spans="1:9" x14ac:dyDescent="0.3">
      <c r="A1958" s="3" t="str">
        <f>IF(SISTEMA!A1952="","",SISTEMA!A1952)</f>
        <v/>
      </c>
      <c r="B1958" s="10" t="str">
        <f>IF(SISTEMA!B1952="","",VALUE(SISTEMA!B1952))</f>
        <v/>
      </c>
      <c r="C1958" s="10" t="str">
        <f>IF(SISTEMA!C1952="","",SISTEMA!C1952)</f>
        <v/>
      </c>
      <c r="D1958" s="5" t="str" cm="1">
        <f t="array" ref="D19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8" s="5" t="str" cm="1">
        <f t="array" ref="E19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8" s="5" t="str" cm="1">
        <f t="array" ref="F19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8" t="str" cm="1">
        <f t="array" ref="G19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8" s="4"/>
      <c r="I1958" s="3" t="str" cm="1">
        <f t="array" ref="I19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59" spans="1:9" x14ac:dyDescent="0.3">
      <c r="A1959" s="3" t="str">
        <f>IF(SISTEMA!A1953="","",SISTEMA!A1953)</f>
        <v/>
      </c>
      <c r="B1959" s="10" t="str">
        <f>IF(SISTEMA!B1953="","",VALUE(SISTEMA!B1953))</f>
        <v/>
      </c>
      <c r="C1959" s="10" t="str">
        <f>IF(SISTEMA!C1953="","",SISTEMA!C1953)</f>
        <v/>
      </c>
      <c r="D1959" s="5" t="str" cm="1">
        <f t="array" ref="D19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59" s="5" t="str" cm="1">
        <f t="array" ref="E19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59" s="5" t="str" cm="1">
        <f t="array" ref="F19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59" t="str" cm="1">
        <f t="array" ref="G19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59" s="4"/>
      <c r="I1959" s="3" t="str" cm="1">
        <f t="array" ref="I19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0" spans="1:9" x14ac:dyDescent="0.3">
      <c r="A1960" s="3" t="str">
        <f>IF(SISTEMA!A1954="","",SISTEMA!A1954)</f>
        <v/>
      </c>
      <c r="B1960" s="10" t="str">
        <f>IF(SISTEMA!B1954="","",VALUE(SISTEMA!B1954))</f>
        <v/>
      </c>
      <c r="C1960" s="10" t="str">
        <f>IF(SISTEMA!C1954="","",SISTEMA!C1954)</f>
        <v/>
      </c>
      <c r="D1960" s="5" t="str" cm="1">
        <f t="array" ref="D19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0" s="5" t="str" cm="1">
        <f t="array" ref="E19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0" s="5" t="str" cm="1">
        <f t="array" ref="F19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0" t="str" cm="1">
        <f t="array" ref="G19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0" s="4"/>
      <c r="I1960" s="3" t="str" cm="1">
        <f t="array" ref="I19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1" spans="1:9" x14ac:dyDescent="0.3">
      <c r="A1961" s="3" t="str">
        <f>IF(SISTEMA!A1955="","",SISTEMA!A1955)</f>
        <v/>
      </c>
      <c r="B1961" s="10" t="str">
        <f>IF(SISTEMA!B1955="","",VALUE(SISTEMA!B1955))</f>
        <v/>
      </c>
      <c r="C1961" s="10" t="str">
        <f>IF(SISTEMA!C1955="","",SISTEMA!C1955)</f>
        <v/>
      </c>
      <c r="D1961" s="5" t="str" cm="1">
        <f t="array" ref="D19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1" s="5" t="str" cm="1">
        <f t="array" ref="E19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1" s="5" t="str" cm="1">
        <f t="array" ref="F19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1" t="str" cm="1">
        <f t="array" ref="G19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1" s="4"/>
      <c r="I1961" s="3" t="str" cm="1">
        <f t="array" ref="I19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2" spans="1:9" x14ac:dyDescent="0.3">
      <c r="A1962" s="3" t="str">
        <f>IF(SISTEMA!A1956="","",SISTEMA!A1956)</f>
        <v/>
      </c>
      <c r="B1962" s="10" t="str">
        <f>IF(SISTEMA!B1956="","",VALUE(SISTEMA!B1956))</f>
        <v/>
      </c>
      <c r="C1962" s="10" t="str">
        <f>IF(SISTEMA!C1956="","",SISTEMA!C1956)</f>
        <v/>
      </c>
      <c r="D1962" s="5" t="str" cm="1">
        <f t="array" ref="D19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2" s="5" t="str" cm="1">
        <f t="array" ref="E19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2" s="5" t="str" cm="1">
        <f t="array" ref="F19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2" t="str" cm="1">
        <f t="array" ref="G19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2" s="4"/>
      <c r="I1962" s="3" t="str" cm="1">
        <f t="array" ref="I19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3" spans="1:9" x14ac:dyDescent="0.3">
      <c r="A1963" s="3" t="str">
        <f>IF(SISTEMA!A1957="","",SISTEMA!A1957)</f>
        <v/>
      </c>
      <c r="B1963" s="10" t="str">
        <f>IF(SISTEMA!B1957="","",VALUE(SISTEMA!B1957))</f>
        <v/>
      </c>
      <c r="C1963" s="10" t="str">
        <f>IF(SISTEMA!C1957="","",SISTEMA!C1957)</f>
        <v/>
      </c>
      <c r="D1963" s="5" t="str" cm="1">
        <f t="array" ref="D19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3" s="5" t="str" cm="1">
        <f t="array" ref="E19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3" s="5" t="str" cm="1">
        <f t="array" ref="F19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3" t="str" cm="1">
        <f t="array" ref="G19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3" s="4"/>
      <c r="I1963" s="3" t="str" cm="1">
        <f t="array" ref="I19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4" spans="1:9" x14ac:dyDescent="0.3">
      <c r="A1964" s="3" t="str">
        <f>IF(SISTEMA!A1958="","",SISTEMA!A1958)</f>
        <v/>
      </c>
      <c r="B1964" s="10" t="str">
        <f>IF(SISTEMA!B1958="","",VALUE(SISTEMA!B1958))</f>
        <v/>
      </c>
      <c r="C1964" s="10" t="str">
        <f>IF(SISTEMA!C1958="","",SISTEMA!C1958)</f>
        <v/>
      </c>
      <c r="D1964" s="5" t="str" cm="1">
        <f t="array" ref="D19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4" s="5" t="str" cm="1">
        <f t="array" ref="E19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4" s="5" t="str" cm="1">
        <f t="array" ref="F19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4" t="str" cm="1">
        <f t="array" ref="G19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4" s="4"/>
      <c r="I1964" s="3" t="str" cm="1">
        <f t="array" ref="I19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5" spans="1:9" x14ac:dyDescent="0.3">
      <c r="A1965" s="3" t="str">
        <f>IF(SISTEMA!A1959="","",SISTEMA!A1959)</f>
        <v/>
      </c>
      <c r="B1965" s="10" t="str">
        <f>IF(SISTEMA!B1959="","",VALUE(SISTEMA!B1959))</f>
        <v/>
      </c>
      <c r="C1965" s="10" t="str">
        <f>IF(SISTEMA!C1959="","",SISTEMA!C1959)</f>
        <v/>
      </c>
      <c r="D1965" s="5" t="str" cm="1">
        <f t="array" ref="D19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5" s="5" t="str" cm="1">
        <f t="array" ref="E19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5" s="5" t="str" cm="1">
        <f t="array" ref="F19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5" t="str" cm="1">
        <f t="array" ref="G19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5" s="4"/>
      <c r="I1965" s="3" t="str" cm="1">
        <f t="array" ref="I19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6" spans="1:9" x14ac:dyDescent="0.3">
      <c r="A1966" s="3" t="str">
        <f>IF(SISTEMA!A1960="","",SISTEMA!A1960)</f>
        <v/>
      </c>
      <c r="B1966" s="10" t="str">
        <f>IF(SISTEMA!B1960="","",VALUE(SISTEMA!B1960))</f>
        <v/>
      </c>
      <c r="C1966" s="10" t="str">
        <f>IF(SISTEMA!C1960="","",SISTEMA!C1960)</f>
        <v/>
      </c>
      <c r="D1966" s="5" t="str" cm="1">
        <f t="array" ref="D19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6" s="5" t="str" cm="1">
        <f t="array" ref="E19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6" s="5" t="str" cm="1">
        <f t="array" ref="F19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6" t="str" cm="1">
        <f t="array" ref="G19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6" s="4"/>
      <c r="I1966" s="3" t="str" cm="1">
        <f t="array" ref="I19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7" spans="1:9" x14ac:dyDescent="0.3">
      <c r="A1967" s="3" t="str">
        <f>IF(SISTEMA!A1961="","",SISTEMA!A1961)</f>
        <v/>
      </c>
      <c r="B1967" s="10" t="str">
        <f>IF(SISTEMA!B1961="","",VALUE(SISTEMA!B1961))</f>
        <v/>
      </c>
      <c r="C1967" s="10" t="str">
        <f>IF(SISTEMA!C1961="","",SISTEMA!C1961)</f>
        <v/>
      </c>
      <c r="D1967" s="5" t="str" cm="1">
        <f t="array" ref="D19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7" s="5" t="str" cm="1">
        <f t="array" ref="E19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7" s="5" t="str" cm="1">
        <f t="array" ref="F19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7" t="str" cm="1">
        <f t="array" ref="G19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7" s="4"/>
      <c r="I1967" s="3" t="str" cm="1">
        <f t="array" ref="I19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8" spans="1:9" x14ac:dyDescent="0.3">
      <c r="A1968" s="3" t="str">
        <f>IF(SISTEMA!A1962="","",SISTEMA!A1962)</f>
        <v/>
      </c>
      <c r="B1968" s="10" t="str">
        <f>IF(SISTEMA!B1962="","",VALUE(SISTEMA!B1962))</f>
        <v/>
      </c>
      <c r="C1968" s="10" t="str">
        <f>IF(SISTEMA!C1962="","",SISTEMA!C1962)</f>
        <v/>
      </c>
      <c r="D1968" s="5" t="str" cm="1">
        <f t="array" ref="D19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8" s="5" t="str" cm="1">
        <f t="array" ref="E19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8" s="5" t="str" cm="1">
        <f t="array" ref="F19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8" t="str" cm="1">
        <f t="array" ref="G19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8" s="4"/>
      <c r="I1968" s="3" t="str" cm="1">
        <f t="array" ref="I19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69" spans="1:9" x14ac:dyDescent="0.3">
      <c r="A1969" s="3" t="str">
        <f>IF(SISTEMA!A1963="","",SISTEMA!A1963)</f>
        <v/>
      </c>
      <c r="B1969" s="10" t="str">
        <f>IF(SISTEMA!B1963="","",VALUE(SISTEMA!B1963))</f>
        <v/>
      </c>
      <c r="C1969" s="10" t="str">
        <f>IF(SISTEMA!C1963="","",SISTEMA!C1963)</f>
        <v/>
      </c>
      <c r="D1969" s="5" t="str" cm="1">
        <f t="array" ref="D19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69" s="5" t="str" cm="1">
        <f t="array" ref="E19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69" s="5" t="str" cm="1">
        <f t="array" ref="F19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69" t="str" cm="1">
        <f t="array" ref="G19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69" s="4"/>
      <c r="I1969" s="3" t="str" cm="1">
        <f t="array" ref="I19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0" spans="1:9" x14ac:dyDescent="0.3">
      <c r="A1970" s="3" t="str">
        <f>IF(SISTEMA!A1964="","",SISTEMA!A1964)</f>
        <v/>
      </c>
      <c r="B1970" s="10" t="str">
        <f>IF(SISTEMA!B1964="","",VALUE(SISTEMA!B1964))</f>
        <v/>
      </c>
      <c r="C1970" s="10" t="str">
        <f>IF(SISTEMA!C1964="","",SISTEMA!C1964)</f>
        <v/>
      </c>
      <c r="D1970" s="5" t="str" cm="1">
        <f t="array" ref="D19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0" s="5" t="str" cm="1">
        <f t="array" ref="E19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0" s="5" t="str" cm="1">
        <f t="array" ref="F19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0" t="str" cm="1">
        <f t="array" ref="G19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0" s="4"/>
      <c r="I1970" s="3" t="str" cm="1">
        <f t="array" ref="I19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1" spans="1:9" x14ac:dyDescent="0.3">
      <c r="A1971" s="3" t="str">
        <f>IF(SISTEMA!A1965="","",SISTEMA!A1965)</f>
        <v/>
      </c>
      <c r="B1971" s="10" t="str">
        <f>IF(SISTEMA!B1965="","",VALUE(SISTEMA!B1965))</f>
        <v/>
      </c>
      <c r="C1971" s="10" t="str">
        <f>IF(SISTEMA!C1965="","",SISTEMA!C1965)</f>
        <v/>
      </c>
      <c r="D1971" s="5" t="str" cm="1">
        <f t="array" ref="D19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1" s="5" t="str" cm="1">
        <f t="array" ref="E19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1" s="5" t="str" cm="1">
        <f t="array" ref="F19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1" t="str" cm="1">
        <f t="array" ref="G19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1" s="4"/>
      <c r="I1971" s="3" t="str" cm="1">
        <f t="array" ref="I19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2" spans="1:9" x14ac:dyDescent="0.3">
      <c r="A1972" s="3" t="str">
        <f>IF(SISTEMA!A1966="","",SISTEMA!A1966)</f>
        <v/>
      </c>
      <c r="B1972" s="10" t="str">
        <f>IF(SISTEMA!B1966="","",VALUE(SISTEMA!B1966))</f>
        <v/>
      </c>
      <c r="C1972" s="10" t="str">
        <f>IF(SISTEMA!C1966="","",SISTEMA!C1966)</f>
        <v/>
      </c>
      <c r="D1972" s="5" t="str" cm="1">
        <f t="array" ref="D19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2" s="5" t="str" cm="1">
        <f t="array" ref="E19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2" s="5" t="str" cm="1">
        <f t="array" ref="F19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2" t="str" cm="1">
        <f t="array" ref="G19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2" s="4"/>
      <c r="I1972" s="3" t="str" cm="1">
        <f t="array" ref="I19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3" spans="1:9" x14ac:dyDescent="0.3">
      <c r="A1973" s="3" t="str">
        <f>IF(SISTEMA!A1967="","",SISTEMA!A1967)</f>
        <v/>
      </c>
      <c r="B1973" s="10" t="str">
        <f>IF(SISTEMA!B1967="","",VALUE(SISTEMA!B1967))</f>
        <v/>
      </c>
      <c r="C1973" s="10" t="str">
        <f>IF(SISTEMA!C1967="","",SISTEMA!C1967)</f>
        <v/>
      </c>
      <c r="D1973" s="5" t="str" cm="1">
        <f t="array" ref="D19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3" s="5" t="str" cm="1">
        <f t="array" ref="E19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3" s="5" t="str" cm="1">
        <f t="array" ref="F19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3" t="str" cm="1">
        <f t="array" ref="G19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3" s="4"/>
      <c r="I1973" s="3" t="str" cm="1">
        <f t="array" ref="I19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4" spans="1:9" x14ac:dyDescent="0.3">
      <c r="A1974" s="3" t="str">
        <f>IF(SISTEMA!A1968="","",SISTEMA!A1968)</f>
        <v/>
      </c>
      <c r="B1974" s="10" t="str">
        <f>IF(SISTEMA!B1968="","",VALUE(SISTEMA!B1968))</f>
        <v/>
      </c>
      <c r="C1974" s="10" t="str">
        <f>IF(SISTEMA!C1968="","",SISTEMA!C1968)</f>
        <v/>
      </c>
      <c r="D1974" s="5" t="str" cm="1">
        <f t="array" ref="D19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4" s="5" t="str" cm="1">
        <f t="array" ref="E19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4" s="5" t="str" cm="1">
        <f t="array" ref="F19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4" t="str" cm="1">
        <f t="array" ref="G19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4" s="4"/>
      <c r="I1974" s="3" t="str" cm="1">
        <f t="array" ref="I19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5" spans="1:9" x14ac:dyDescent="0.3">
      <c r="A1975" s="3" t="str">
        <f>IF(SISTEMA!A1969="","",SISTEMA!A1969)</f>
        <v/>
      </c>
      <c r="B1975" s="10" t="str">
        <f>IF(SISTEMA!B1969="","",VALUE(SISTEMA!B1969))</f>
        <v/>
      </c>
      <c r="C1975" s="10" t="str">
        <f>IF(SISTEMA!C1969="","",SISTEMA!C1969)</f>
        <v/>
      </c>
      <c r="D1975" s="5" t="str" cm="1">
        <f t="array" ref="D19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5" s="5" t="str" cm="1">
        <f t="array" ref="E19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5" s="5" t="str" cm="1">
        <f t="array" ref="F19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5" t="str" cm="1">
        <f t="array" ref="G19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5" s="4"/>
      <c r="I1975" s="3" t="str" cm="1">
        <f t="array" ref="I19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6" spans="1:9" x14ac:dyDescent="0.3">
      <c r="A1976" s="3" t="str">
        <f>IF(SISTEMA!A1970="","",SISTEMA!A1970)</f>
        <v/>
      </c>
      <c r="B1976" s="10" t="str">
        <f>IF(SISTEMA!B1970="","",VALUE(SISTEMA!B1970))</f>
        <v/>
      </c>
      <c r="C1976" s="10" t="str">
        <f>IF(SISTEMA!C1970="","",SISTEMA!C1970)</f>
        <v/>
      </c>
      <c r="D1976" s="5" t="str" cm="1">
        <f t="array" ref="D19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6" s="5" t="str" cm="1">
        <f t="array" ref="E19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6" s="5" t="str" cm="1">
        <f t="array" ref="F19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6" t="str" cm="1">
        <f t="array" ref="G19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6" s="4"/>
      <c r="I1976" s="3" t="str" cm="1">
        <f t="array" ref="I19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7" spans="1:9" x14ac:dyDescent="0.3">
      <c r="A1977" s="3" t="str">
        <f>IF(SISTEMA!A1971="","",SISTEMA!A1971)</f>
        <v/>
      </c>
      <c r="B1977" s="10" t="str">
        <f>IF(SISTEMA!B1971="","",VALUE(SISTEMA!B1971))</f>
        <v/>
      </c>
      <c r="C1977" s="10" t="str">
        <f>IF(SISTEMA!C1971="","",SISTEMA!C1971)</f>
        <v/>
      </c>
      <c r="D1977" s="5" t="str" cm="1">
        <f t="array" ref="D19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7" s="5" t="str" cm="1">
        <f t="array" ref="E19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7" s="5" t="str" cm="1">
        <f t="array" ref="F19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7" t="str" cm="1">
        <f t="array" ref="G19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7" s="4"/>
      <c r="I1977" s="3" t="str" cm="1">
        <f t="array" ref="I19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8" spans="1:9" x14ac:dyDescent="0.3">
      <c r="A1978" s="3" t="str">
        <f>IF(SISTEMA!A1972="","",SISTEMA!A1972)</f>
        <v/>
      </c>
      <c r="B1978" s="10" t="str">
        <f>IF(SISTEMA!B1972="","",VALUE(SISTEMA!B1972))</f>
        <v/>
      </c>
      <c r="C1978" s="10" t="str">
        <f>IF(SISTEMA!C1972="","",SISTEMA!C1972)</f>
        <v/>
      </c>
      <c r="D1978" s="5" t="str" cm="1">
        <f t="array" ref="D19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8" s="5" t="str" cm="1">
        <f t="array" ref="E19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8" s="5" t="str" cm="1">
        <f t="array" ref="F19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8" t="str" cm="1">
        <f t="array" ref="G19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8" s="4"/>
      <c r="I1978" s="3" t="str" cm="1">
        <f t="array" ref="I19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79" spans="1:9" x14ac:dyDescent="0.3">
      <c r="A1979" s="3" t="str">
        <f>IF(SISTEMA!A1973="","",SISTEMA!A1973)</f>
        <v/>
      </c>
      <c r="B1979" s="10" t="str">
        <f>IF(SISTEMA!B1973="","",VALUE(SISTEMA!B1973))</f>
        <v/>
      </c>
      <c r="C1979" s="10" t="str">
        <f>IF(SISTEMA!C1973="","",SISTEMA!C1973)</f>
        <v/>
      </c>
      <c r="D1979" s="5" t="str" cm="1">
        <f t="array" ref="D19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79" s="5" t="str" cm="1">
        <f t="array" ref="E19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79" s="5" t="str" cm="1">
        <f t="array" ref="F19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79" t="str" cm="1">
        <f t="array" ref="G19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79" s="4"/>
      <c r="I1979" s="3" t="str" cm="1">
        <f t="array" ref="I19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0" spans="1:9" x14ac:dyDescent="0.3">
      <c r="A1980" s="3" t="str">
        <f>IF(SISTEMA!A1974="","",SISTEMA!A1974)</f>
        <v/>
      </c>
      <c r="B1980" s="10" t="str">
        <f>IF(SISTEMA!B1974="","",VALUE(SISTEMA!B1974))</f>
        <v/>
      </c>
      <c r="C1980" s="10" t="str">
        <f>IF(SISTEMA!C1974="","",SISTEMA!C1974)</f>
        <v/>
      </c>
      <c r="D1980" s="5" t="str" cm="1">
        <f t="array" ref="D19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0" s="5" t="str" cm="1">
        <f t="array" ref="E19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0" s="5" t="str" cm="1">
        <f t="array" ref="F19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0" t="str" cm="1">
        <f t="array" ref="G19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0" s="4"/>
      <c r="I1980" s="3" t="str" cm="1">
        <f t="array" ref="I19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1" spans="1:9" x14ac:dyDescent="0.3">
      <c r="A1981" s="3" t="str">
        <f>IF(SISTEMA!A1975="","",SISTEMA!A1975)</f>
        <v/>
      </c>
      <c r="B1981" s="10" t="str">
        <f>IF(SISTEMA!B1975="","",VALUE(SISTEMA!B1975))</f>
        <v/>
      </c>
      <c r="C1981" s="10" t="str">
        <f>IF(SISTEMA!C1975="","",SISTEMA!C1975)</f>
        <v/>
      </c>
      <c r="D1981" s="5" t="str" cm="1">
        <f t="array" ref="D19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1" s="5" t="str" cm="1">
        <f t="array" ref="E19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1" s="5" t="str" cm="1">
        <f t="array" ref="F19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1" t="str" cm="1">
        <f t="array" ref="G19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1" s="4"/>
      <c r="I1981" s="3" t="str" cm="1">
        <f t="array" ref="I19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2" spans="1:9" x14ac:dyDescent="0.3">
      <c r="A1982" s="3" t="str">
        <f>IF(SISTEMA!A1976="","",SISTEMA!A1976)</f>
        <v/>
      </c>
      <c r="B1982" s="10" t="str">
        <f>IF(SISTEMA!B1976="","",VALUE(SISTEMA!B1976))</f>
        <v/>
      </c>
      <c r="C1982" s="10" t="str">
        <f>IF(SISTEMA!C1976="","",SISTEMA!C1976)</f>
        <v/>
      </c>
      <c r="D1982" s="5" t="str" cm="1">
        <f t="array" ref="D19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2" s="5" t="str" cm="1">
        <f t="array" ref="E19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2" s="5" t="str" cm="1">
        <f t="array" ref="F19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2" t="str" cm="1">
        <f t="array" ref="G19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2" s="4"/>
      <c r="I1982" s="3" t="str" cm="1">
        <f t="array" ref="I19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3" spans="1:9" x14ac:dyDescent="0.3">
      <c r="A1983" s="3" t="str">
        <f>IF(SISTEMA!A1977="","",SISTEMA!A1977)</f>
        <v/>
      </c>
      <c r="B1983" s="10" t="str">
        <f>IF(SISTEMA!B1977="","",VALUE(SISTEMA!B1977))</f>
        <v/>
      </c>
      <c r="C1983" s="10" t="str">
        <f>IF(SISTEMA!C1977="","",SISTEMA!C1977)</f>
        <v/>
      </c>
      <c r="D1983" s="5" t="str" cm="1">
        <f t="array" ref="D19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3" s="5" t="str" cm="1">
        <f t="array" ref="E19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3" s="5" t="str" cm="1">
        <f t="array" ref="F19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3" t="str" cm="1">
        <f t="array" ref="G19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3" s="4"/>
      <c r="I1983" s="3" t="str" cm="1">
        <f t="array" ref="I19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4" spans="1:9" x14ac:dyDescent="0.3">
      <c r="A1984" s="3" t="str">
        <f>IF(SISTEMA!A1978="","",SISTEMA!A1978)</f>
        <v/>
      </c>
      <c r="B1984" s="10" t="str">
        <f>IF(SISTEMA!B1978="","",VALUE(SISTEMA!B1978))</f>
        <v/>
      </c>
      <c r="C1984" s="10" t="str">
        <f>IF(SISTEMA!C1978="","",SISTEMA!C1978)</f>
        <v/>
      </c>
      <c r="D1984" s="5" t="str" cm="1">
        <f t="array" ref="D19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4" s="5" t="str" cm="1">
        <f t="array" ref="E19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4" s="5" t="str" cm="1">
        <f t="array" ref="F19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4" t="str" cm="1">
        <f t="array" ref="G19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4" s="4"/>
      <c r="I1984" s="3" t="str" cm="1">
        <f t="array" ref="I19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5" spans="1:9" x14ac:dyDescent="0.3">
      <c r="A1985" s="3" t="str">
        <f>IF(SISTEMA!A1979="","",SISTEMA!A1979)</f>
        <v/>
      </c>
      <c r="B1985" s="10" t="str">
        <f>IF(SISTEMA!B1979="","",VALUE(SISTEMA!B1979))</f>
        <v/>
      </c>
      <c r="C1985" s="10" t="str">
        <f>IF(SISTEMA!C1979="","",SISTEMA!C1979)</f>
        <v/>
      </c>
      <c r="D1985" s="5" t="str" cm="1">
        <f t="array" ref="D19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5" s="5" t="str" cm="1">
        <f t="array" ref="E19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5" s="5" t="str" cm="1">
        <f t="array" ref="F19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5" t="str" cm="1">
        <f t="array" ref="G19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5" s="4"/>
      <c r="I1985" s="3" t="str" cm="1">
        <f t="array" ref="I19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6" spans="1:9" x14ac:dyDescent="0.3">
      <c r="A1986" s="3" t="str">
        <f>IF(SISTEMA!A1980="","",SISTEMA!A1980)</f>
        <v/>
      </c>
      <c r="B1986" s="10" t="str">
        <f>IF(SISTEMA!B1980="","",VALUE(SISTEMA!B1980))</f>
        <v/>
      </c>
      <c r="C1986" s="10" t="str">
        <f>IF(SISTEMA!C1980="","",SISTEMA!C1980)</f>
        <v/>
      </c>
      <c r="D1986" s="5" t="str" cm="1">
        <f t="array" ref="D19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6" s="5" t="str" cm="1">
        <f t="array" ref="E19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6" s="5" t="str" cm="1">
        <f t="array" ref="F19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6" t="str" cm="1">
        <f t="array" ref="G19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6" s="4"/>
      <c r="I1986" s="3" t="str" cm="1">
        <f t="array" ref="I19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7" spans="1:9" x14ac:dyDescent="0.3">
      <c r="A1987" s="3" t="str">
        <f>IF(SISTEMA!A1981="","",SISTEMA!A1981)</f>
        <v/>
      </c>
      <c r="B1987" s="10" t="str">
        <f>IF(SISTEMA!B1981="","",VALUE(SISTEMA!B1981))</f>
        <v/>
      </c>
      <c r="C1987" s="10" t="str">
        <f>IF(SISTEMA!C1981="","",SISTEMA!C1981)</f>
        <v/>
      </c>
      <c r="D1987" s="5" t="str" cm="1">
        <f t="array" ref="D19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7" s="5" t="str" cm="1">
        <f t="array" ref="E19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7" s="5" t="str" cm="1">
        <f t="array" ref="F19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7" t="str" cm="1">
        <f t="array" ref="G19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7" s="4"/>
      <c r="I1987" s="3" t="str" cm="1">
        <f t="array" ref="I19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8" spans="1:9" x14ac:dyDescent="0.3">
      <c r="A1988" s="3" t="str">
        <f>IF(SISTEMA!A1982="","",SISTEMA!A1982)</f>
        <v/>
      </c>
      <c r="B1988" s="10" t="str">
        <f>IF(SISTEMA!B1982="","",VALUE(SISTEMA!B1982))</f>
        <v/>
      </c>
      <c r="C1988" s="10" t="str">
        <f>IF(SISTEMA!C1982="","",SISTEMA!C1982)</f>
        <v/>
      </c>
      <c r="D1988" s="5" t="str" cm="1">
        <f t="array" ref="D19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8" s="5" t="str" cm="1">
        <f t="array" ref="E19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8" s="5" t="str" cm="1">
        <f t="array" ref="F19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8" t="str" cm="1">
        <f t="array" ref="G19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8" s="4"/>
      <c r="I1988" s="3" t="str" cm="1">
        <f t="array" ref="I19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89" spans="1:9" x14ac:dyDescent="0.3">
      <c r="A1989" s="3" t="str">
        <f>IF(SISTEMA!A1983="","",SISTEMA!A1983)</f>
        <v/>
      </c>
      <c r="B1989" s="10" t="str">
        <f>IF(SISTEMA!B1983="","",VALUE(SISTEMA!B1983))</f>
        <v/>
      </c>
      <c r="C1989" s="10" t="str">
        <f>IF(SISTEMA!C1983="","",SISTEMA!C1983)</f>
        <v/>
      </c>
      <c r="D1989" s="5" t="str" cm="1">
        <f t="array" ref="D19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89" s="5" t="str" cm="1">
        <f t="array" ref="E19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89" s="5" t="str" cm="1">
        <f t="array" ref="F19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89" t="str" cm="1">
        <f t="array" ref="G19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89" s="4"/>
      <c r="I1989" s="3" t="str" cm="1">
        <f t="array" ref="I19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0" spans="1:9" x14ac:dyDescent="0.3">
      <c r="A1990" s="3" t="str">
        <f>IF(SISTEMA!A1984="","",SISTEMA!A1984)</f>
        <v/>
      </c>
      <c r="B1990" s="10" t="str">
        <f>IF(SISTEMA!B1984="","",VALUE(SISTEMA!B1984))</f>
        <v/>
      </c>
      <c r="C1990" s="10" t="str">
        <f>IF(SISTEMA!C1984="","",SISTEMA!C1984)</f>
        <v/>
      </c>
      <c r="D1990" s="5" t="str" cm="1">
        <f t="array" ref="D19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0" s="5" t="str" cm="1">
        <f t="array" ref="E19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0" s="5" t="str" cm="1">
        <f t="array" ref="F19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0" t="str" cm="1">
        <f t="array" ref="G19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0" s="4"/>
      <c r="I1990" s="3" t="str" cm="1">
        <f t="array" ref="I19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1" spans="1:9" x14ac:dyDescent="0.3">
      <c r="A1991" s="3" t="str">
        <f>IF(SISTEMA!A1985="","",SISTEMA!A1985)</f>
        <v/>
      </c>
      <c r="B1991" s="10" t="str">
        <f>IF(SISTEMA!B1985="","",VALUE(SISTEMA!B1985))</f>
        <v/>
      </c>
      <c r="C1991" s="10" t="str">
        <f>IF(SISTEMA!C1985="","",SISTEMA!C1985)</f>
        <v/>
      </c>
      <c r="D1991" s="5" t="str" cm="1">
        <f t="array" ref="D19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1" s="5" t="str" cm="1">
        <f t="array" ref="E19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1" s="5" t="str" cm="1">
        <f t="array" ref="F19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1" t="str" cm="1">
        <f t="array" ref="G19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1" s="4"/>
      <c r="I1991" s="3" t="str" cm="1">
        <f t="array" ref="I19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2" spans="1:9" x14ac:dyDescent="0.3">
      <c r="A1992" s="3" t="str">
        <f>IF(SISTEMA!A1986="","",SISTEMA!A1986)</f>
        <v/>
      </c>
      <c r="B1992" s="10" t="str">
        <f>IF(SISTEMA!B1986="","",VALUE(SISTEMA!B1986))</f>
        <v/>
      </c>
      <c r="C1992" s="10" t="str">
        <f>IF(SISTEMA!C1986="","",SISTEMA!C1986)</f>
        <v/>
      </c>
      <c r="D1992" s="5" t="str" cm="1">
        <f t="array" ref="D19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2" s="5" t="str" cm="1">
        <f t="array" ref="E19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2" s="5" t="str" cm="1">
        <f t="array" ref="F19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2" t="str" cm="1">
        <f t="array" ref="G19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2" s="4"/>
      <c r="I1992" s="3" t="str" cm="1">
        <f t="array" ref="I19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3" spans="1:9" x14ac:dyDescent="0.3">
      <c r="A1993" s="3" t="str">
        <f>IF(SISTEMA!A1987="","",SISTEMA!A1987)</f>
        <v/>
      </c>
      <c r="B1993" s="10" t="str">
        <f>IF(SISTEMA!B1987="","",VALUE(SISTEMA!B1987))</f>
        <v/>
      </c>
      <c r="C1993" s="10" t="str">
        <f>IF(SISTEMA!C1987="","",SISTEMA!C1987)</f>
        <v/>
      </c>
      <c r="D1993" s="5" t="str" cm="1">
        <f t="array" ref="D19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3" s="5" t="str" cm="1">
        <f t="array" ref="E19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3" s="5" t="str" cm="1">
        <f t="array" ref="F19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3" t="str" cm="1">
        <f t="array" ref="G19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3" s="4"/>
      <c r="I1993" s="3" t="str" cm="1">
        <f t="array" ref="I19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4" spans="1:9" x14ac:dyDescent="0.3">
      <c r="A1994" s="3" t="str">
        <f>IF(SISTEMA!A1988="","",SISTEMA!A1988)</f>
        <v/>
      </c>
      <c r="B1994" s="10" t="str">
        <f>IF(SISTEMA!B1988="","",VALUE(SISTEMA!B1988))</f>
        <v/>
      </c>
      <c r="C1994" s="10" t="str">
        <f>IF(SISTEMA!C1988="","",SISTEMA!C1988)</f>
        <v/>
      </c>
      <c r="D1994" s="5" t="str" cm="1">
        <f t="array" ref="D19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4" s="5" t="str" cm="1">
        <f t="array" ref="E19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4" s="5" t="str" cm="1">
        <f t="array" ref="F19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4" t="str" cm="1">
        <f t="array" ref="G19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4" s="4"/>
      <c r="I1994" s="3" t="str" cm="1">
        <f t="array" ref="I19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5" spans="1:9" x14ac:dyDescent="0.3">
      <c r="A1995" s="3" t="str">
        <f>IF(SISTEMA!A1989="","",SISTEMA!A1989)</f>
        <v/>
      </c>
      <c r="B1995" s="10" t="str">
        <f>IF(SISTEMA!B1989="","",VALUE(SISTEMA!B1989))</f>
        <v/>
      </c>
      <c r="C1995" s="10" t="str">
        <f>IF(SISTEMA!C1989="","",SISTEMA!C1989)</f>
        <v/>
      </c>
      <c r="D1995" s="5" t="str" cm="1">
        <f t="array" ref="D19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5" s="5" t="str" cm="1">
        <f t="array" ref="E19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5" s="5" t="str" cm="1">
        <f t="array" ref="F19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5" t="str" cm="1">
        <f t="array" ref="G19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5" s="4"/>
      <c r="I1995" s="3" t="str" cm="1">
        <f t="array" ref="I19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6" spans="1:9" x14ac:dyDescent="0.3">
      <c r="A1996" s="3" t="str">
        <f>IF(SISTEMA!A1990="","",SISTEMA!A1990)</f>
        <v/>
      </c>
      <c r="B1996" s="10" t="str">
        <f>IF(SISTEMA!B1990="","",VALUE(SISTEMA!B1990))</f>
        <v/>
      </c>
      <c r="C1996" s="10" t="str">
        <f>IF(SISTEMA!C1990="","",SISTEMA!C1990)</f>
        <v/>
      </c>
      <c r="D1996" s="5" t="str" cm="1">
        <f t="array" ref="D19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6" s="5" t="str" cm="1">
        <f t="array" ref="E19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6" s="5" t="str" cm="1">
        <f t="array" ref="F19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6" t="str" cm="1">
        <f t="array" ref="G19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6" s="4"/>
      <c r="I1996" s="3" t="str" cm="1">
        <f t="array" ref="I19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7" spans="1:9" x14ac:dyDescent="0.3">
      <c r="A1997" s="3" t="str">
        <f>IF(SISTEMA!A1991="","",SISTEMA!A1991)</f>
        <v/>
      </c>
      <c r="B1997" s="10" t="str">
        <f>IF(SISTEMA!B1991="","",VALUE(SISTEMA!B1991))</f>
        <v/>
      </c>
      <c r="C1997" s="10" t="str">
        <f>IF(SISTEMA!C1991="","",SISTEMA!C1991)</f>
        <v/>
      </c>
      <c r="D1997" s="5" t="str" cm="1">
        <f t="array" ref="D19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7" s="5" t="str" cm="1">
        <f t="array" ref="E19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7" s="5" t="str" cm="1">
        <f t="array" ref="F19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7" t="str" cm="1">
        <f t="array" ref="G19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7" s="4"/>
      <c r="I1997" s="3" t="str" cm="1">
        <f t="array" ref="I19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8" spans="1:9" x14ac:dyDescent="0.3">
      <c r="A1998" s="3" t="str">
        <f>IF(SISTEMA!A1992="","",SISTEMA!A1992)</f>
        <v/>
      </c>
      <c r="B1998" s="10" t="str">
        <f>IF(SISTEMA!B1992="","",VALUE(SISTEMA!B1992))</f>
        <v/>
      </c>
      <c r="C1998" s="10" t="str">
        <f>IF(SISTEMA!C1992="","",SISTEMA!C1992)</f>
        <v/>
      </c>
      <c r="D1998" s="5" t="str" cm="1">
        <f t="array" ref="D19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8" s="5" t="str" cm="1">
        <f t="array" ref="E19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8" s="5" t="str" cm="1">
        <f t="array" ref="F19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8" t="str" cm="1">
        <f t="array" ref="G19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8" s="4"/>
      <c r="I1998" s="3" t="str" cm="1">
        <f t="array" ref="I19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1999" spans="1:9" x14ac:dyDescent="0.3">
      <c r="A1999" s="3" t="str">
        <f>IF(SISTEMA!A1993="","",SISTEMA!A1993)</f>
        <v/>
      </c>
      <c r="B1999" s="10" t="str">
        <f>IF(SISTEMA!B1993="","",VALUE(SISTEMA!B1993))</f>
        <v/>
      </c>
      <c r="C1999" s="10" t="str">
        <f>IF(SISTEMA!C1993="","",SISTEMA!C1993)</f>
        <v/>
      </c>
      <c r="D1999" s="5" t="str" cm="1">
        <f t="array" ref="D19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1999" s="5" t="str" cm="1">
        <f t="array" ref="E19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1999" s="5" t="str" cm="1">
        <f t="array" ref="F19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1999" t="str" cm="1">
        <f t="array" ref="G19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1999" s="4"/>
      <c r="I1999" s="3" t="str" cm="1">
        <f t="array" ref="I19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0" spans="1:9" x14ac:dyDescent="0.3">
      <c r="A2000" s="3" t="str">
        <f>IF(SISTEMA!A1994="","",SISTEMA!A1994)</f>
        <v/>
      </c>
      <c r="B2000" s="10" t="str">
        <f>IF(SISTEMA!B1994="","",VALUE(SISTEMA!B1994))</f>
        <v/>
      </c>
      <c r="C2000" s="10" t="str">
        <f>IF(SISTEMA!C1994="","",SISTEMA!C1994)</f>
        <v/>
      </c>
      <c r="D2000" s="5" t="str" cm="1">
        <f t="array" ref="D20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0" s="5" t="str" cm="1">
        <f t="array" ref="E20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0" s="5" t="str" cm="1">
        <f t="array" ref="F20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0" t="str" cm="1">
        <f t="array" ref="G20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0" s="4"/>
      <c r="I2000" s="3" t="str" cm="1">
        <f t="array" ref="I20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1" spans="1:9" x14ac:dyDescent="0.3">
      <c r="A2001" s="3" t="str">
        <f>IF(SISTEMA!A1995="","",SISTEMA!A1995)</f>
        <v/>
      </c>
      <c r="B2001" s="10" t="str">
        <f>IF(SISTEMA!B1995="","",VALUE(SISTEMA!B1995))</f>
        <v/>
      </c>
      <c r="C2001" s="10" t="str">
        <f>IF(SISTEMA!C1995="","",SISTEMA!C1995)</f>
        <v/>
      </c>
      <c r="D2001" s="5" t="str" cm="1">
        <f t="array" ref="D20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1" s="5" t="str" cm="1">
        <f t="array" ref="E20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1" s="5" t="str" cm="1">
        <f t="array" ref="F20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1" t="str" cm="1">
        <f t="array" ref="G20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1" s="4"/>
      <c r="I2001" s="3" t="str" cm="1">
        <f t="array" ref="I20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2" spans="1:9" x14ac:dyDescent="0.3">
      <c r="A2002" s="3" t="str">
        <f>IF(SISTEMA!A1996="","",SISTEMA!A1996)</f>
        <v/>
      </c>
      <c r="B2002" s="10" t="str">
        <f>IF(SISTEMA!B1996="","",VALUE(SISTEMA!B1996))</f>
        <v/>
      </c>
      <c r="C2002" s="10" t="str">
        <f>IF(SISTEMA!C1996="","",SISTEMA!C1996)</f>
        <v/>
      </c>
      <c r="D2002" s="5" t="str" cm="1">
        <f t="array" ref="D20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2" s="5" t="str" cm="1">
        <f t="array" ref="E20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2" s="5" t="str" cm="1">
        <f t="array" ref="F20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2" t="str" cm="1">
        <f t="array" ref="G20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2" s="4"/>
      <c r="I2002" s="3" t="str" cm="1">
        <f t="array" ref="I20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3" spans="1:9" x14ac:dyDescent="0.3">
      <c r="A2003" s="3" t="str">
        <f>IF(SISTEMA!A1997="","",SISTEMA!A1997)</f>
        <v/>
      </c>
      <c r="B2003" s="10" t="str">
        <f>IF(SISTEMA!B1997="","",VALUE(SISTEMA!B1997))</f>
        <v/>
      </c>
      <c r="C2003" s="10" t="str">
        <f>IF(SISTEMA!C1997="","",SISTEMA!C1997)</f>
        <v/>
      </c>
      <c r="D2003" s="5" t="str" cm="1">
        <f t="array" ref="D20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3" s="5" t="str" cm="1">
        <f t="array" ref="E20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3" s="5" t="str" cm="1">
        <f t="array" ref="F20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3" t="str" cm="1">
        <f t="array" ref="G20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3" s="4"/>
      <c r="I2003" s="3" t="str" cm="1">
        <f t="array" ref="I20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4" spans="1:9" x14ac:dyDescent="0.3">
      <c r="A2004" s="3" t="str">
        <f>IF(SISTEMA!A1998="","",SISTEMA!A1998)</f>
        <v/>
      </c>
      <c r="B2004" s="10" t="str">
        <f>IF(SISTEMA!B1998="","",VALUE(SISTEMA!B1998))</f>
        <v/>
      </c>
      <c r="C2004" s="10" t="str">
        <f>IF(SISTEMA!C1998="","",SISTEMA!C1998)</f>
        <v/>
      </c>
      <c r="D2004" s="5" t="str" cm="1">
        <f t="array" ref="D20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4" s="5" t="str" cm="1">
        <f t="array" ref="E20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4" s="5" t="str" cm="1">
        <f t="array" ref="F20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4" t="str" cm="1">
        <f t="array" ref="G20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4" s="4"/>
      <c r="I2004" s="3" t="str" cm="1">
        <f t="array" ref="I20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5" spans="1:9" x14ac:dyDescent="0.3">
      <c r="A2005" s="3" t="str">
        <f>IF(SISTEMA!A1999="","",SISTEMA!A1999)</f>
        <v/>
      </c>
      <c r="B2005" s="10" t="str">
        <f>IF(SISTEMA!B1999="","",VALUE(SISTEMA!B1999))</f>
        <v/>
      </c>
      <c r="C2005" s="10" t="str">
        <f>IF(SISTEMA!C1999="","",SISTEMA!C1999)</f>
        <v/>
      </c>
      <c r="D2005" s="5" t="str" cm="1">
        <f t="array" ref="D20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5" s="5" t="str" cm="1">
        <f t="array" ref="E20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5" s="5" t="str" cm="1">
        <f t="array" ref="F20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5" t="str" cm="1">
        <f t="array" ref="G20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5" s="4"/>
      <c r="I2005" s="3" t="str" cm="1">
        <f t="array" ref="I20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6" spans="1:9" x14ac:dyDescent="0.3">
      <c r="A2006" s="3" t="str">
        <f>IF(SISTEMA!A2000="","",SISTEMA!A2000)</f>
        <v/>
      </c>
      <c r="B2006" s="10" t="str">
        <f>IF(SISTEMA!B2000="","",VALUE(SISTEMA!B2000))</f>
        <v/>
      </c>
      <c r="C2006" s="10" t="str">
        <f>IF(SISTEMA!C2000="","",SISTEMA!C2000)</f>
        <v/>
      </c>
      <c r="D2006" s="5" t="str" cm="1">
        <f t="array" ref="D20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6" s="5" t="str" cm="1">
        <f t="array" ref="E20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6" s="5" t="str" cm="1">
        <f t="array" ref="F20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6" t="str" cm="1">
        <f t="array" ref="G20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6" s="4"/>
      <c r="I2006" s="3" t="str" cm="1">
        <f t="array" ref="I20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7" spans="1:9" x14ac:dyDescent="0.3">
      <c r="A2007" s="3" t="str">
        <f>IF(SISTEMA!A2001="","",SISTEMA!A2001)</f>
        <v/>
      </c>
      <c r="B2007" s="10" t="str">
        <f>IF(SISTEMA!B2001="","",VALUE(SISTEMA!B2001))</f>
        <v/>
      </c>
      <c r="C2007" s="10" t="str">
        <f>IF(SISTEMA!C2001="","",SISTEMA!C2001)</f>
        <v/>
      </c>
      <c r="D2007" s="5" t="str" cm="1">
        <f t="array" ref="D20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7" s="5" t="str" cm="1">
        <f t="array" ref="E20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7" s="5" t="str" cm="1">
        <f t="array" ref="F20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7" t="str" cm="1">
        <f t="array" ref="G20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7" s="4"/>
      <c r="I2007" s="3" t="str" cm="1">
        <f t="array" ref="I20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8" spans="1:9" x14ac:dyDescent="0.3">
      <c r="A2008" s="3" t="str">
        <f>IF(SISTEMA!A2002="","",SISTEMA!A2002)</f>
        <v/>
      </c>
      <c r="B2008" s="10" t="str">
        <f>IF(SISTEMA!B2002="","",VALUE(SISTEMA!B2002))</f>
        <v/>
      </c>
      <c r="C2008" s="10" t="str">
        <f>IF(SISTEMA!C2002="","",SISTEMA!C2002)</f>
        <v/>
      </c>
      <c r="D2008" s="5" t="str" cm="1">
        <f t="array" ref="D20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8" s="5" t="str" cm="1">
        <f t="array" ref="E20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8" s="5" t="str" cm="1">
        <f t="array" ref="F20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8" t="str" cm="1">
        <f t="array" ref="G20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8" s="4"/>
      <c r="I2008" s="3" t="str" cm="1">
        <f t="array" ref="I20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09" spans="1:9" x14ac:dyDescent="0.3">
      <c r="A2009" s="3" t="str">
        <f>IF(SISTEMA!A2003="","",SISTEMA!A2003)</f>
        <v/>
      </c>
      <c r="B2009" s="10" t="str">
        <f>IF(SISTEMA!B2003="","",VALUE(SISTEMA!B2003))</f>
        <v/>
      </c>
      <c r="C2009" s="10" t="str">
        <f>IF(SISTEMA!C2003="","",SISTEMA!C2003)</f>
        <v/>
      </c>
      <c r="D2009" s="5" t="str" cm="1">
        <f t="array" ref="D20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09" s="5" t="str" cm="1">
        <f t="array" ref="E20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09" s="5" t="str" cm="1">
        <f t="array" ref="F20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09" t="str" cm="1">
        <f t="array" ref="G20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09" s="4"/>
      <c r="I2009" s="3" t="str" cm="1">
        <f t="array" ref="I20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0" spans="1:9" x14ac:dyDescent="0.3">
      <c r="A2010" s="3" t="str">
        <f>IF(SISTEMA!A2004="","",SISTEMA!A2004)</f>
        <v/>
      </c>
      <c r="B2010" s="10" t="str">
        <f>IF(SISTEMA!B2004="","",VALUE(SISTEMA!B2004))</f>
        <v/>
      </c>
      <c r="C2010" s="10" t="str">
        <f>IF(SISTEMA!C2004="","",SISTEMA!C2004)</f>
        <v/>
      </c>
      <c r="D2010" s="5" t="str" cm="1">
        <f t="array" ref="D20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0" s="5" t="str" cm="1">
        <f t="array" ref="E20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0" s="5" t="str" cm="1">
        <f t="array" ref="F20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0" t="str" cm="1">
        <f t="array" ref="G20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0" s="4"/>
      <c r="I2010" s="3" t="str" cm="1">
        <f t="array" ref="I20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1" spans="1:9" x14ac:dyDescent="0.3">
      <c r="A2011" s="3" t="str">
        <f>IF(SISTEMA!A2005="","",SISTEMA!A2005)</f>
        <v/>
      </c>
      <c r="B2011" s="10" t="str">
        <f>IF(SISTEMA!B2005="","",VALUE(SISTEMA!B2005))</f>
        <v/>
      </c>
      <c r="C2011" s="10" t="str">
        <f>IF(SISTEMA!C2005="","",SISTEMA!C2005)</f>
        <v/>
      </c>
      <c r="D2011" s="5" t="str" cm="1">
        <f t="array" ref="D20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1" s="5" t="str" cm="1">
        <f t="array" ref="E20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1" s="5" t="str" cm="1">
        <f t="array" ref="F20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1" t="str" cm="1">
        <f t="array" ref="G20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1" s="4"/>
      <c r="I2011" s="3" t="str" cm="1">
        <f t="array" ref="I20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2" spans="1:9" x14ac:dyDescent="0.3">
      <c r="A2012" s="3" t="str">
        <f>IF(SISTEMA!A2006="","",SISTEMA!A2006)</f>
        <v/>
      </c>
      <c r="B2012" s="10" t="str">
        <f>IF(SISTEMA!B2006="","",VALUE(SISTEMA!B2006))</f>
        <v/>
      </c>
      <c r="C2012" s="10" t="str">
        <f>IF(SISTEMA!C2006="","",SISTEMA!C2006)</f>
        <v/>
      </c>
      <c r="D2012" s="5" t="str" cm="1">
        <f t="array" ref="D20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2" s="5" t="str" cm="1">
        <f t="array" ref="E20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2" s="5" t="str" cm="1">
        <f t="array" ref="F20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2" t="str" cm="1">
        <f t="array" ref="G20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2" s="4"/>
      <c r="I2012" s="3" t="str" cm="1">
        <f t="array" ref="I20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3" spans="1:9" x14ac:dyDescent="0.3">
      <c r="A2013" s="3" t="str">
        <f>IF(SISTEMA!A2007="","",SISTEMA!A2007)</f>
        <v/>
      </c>
      <c r="B2013" s="10" t="str">
        <f>IF(SISTEMA!B2007="","",VALUE(SISTEMA!B2007))</f>
        <v/>
      </c>
      <c r="C2013" s="10" t="str">
        <f>IF(SISTEMA!C2007="","",SISTEMA!C2007)</f>
        <v/>
      </c>
      <c r="D2013" s="5" t="str" cm="1">
        <f t="array" ref="D20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3" s="5" t="str" cm="1">
        <f t="array" ref="E20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3" s="5" t="str" cm="1">
        <f t="array" ref="F20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3" t="str" cm="1">
        <f t="array" ref="G20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3" s="4"/>
      <c r="I2013" s="3" t="str" cm="1">
        <f t="array" ref="I20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4" spans="1:9" x14ac:dyDescent="0.3">
      <c r="A2014" s="3" t="str">
        <f>IF(SISTEMA!A2008="","",SISTEMA!A2008)</f>
        <v/>
      </c>
      <c r="B2014" s="10" t="str">
        <f>IF(SISTEMA!B2008="","",VALUE(SISTEMA!B2008))</f>
        <v/>
      </c>
      <c r="C2014" s="10" t="str">
        <f>IF(SISTEMA!C2008="","",SISTEMA!C2008)</f>
        <v/>
      </c>
      <c r="D2014" s="5" t="str" cm="1">
        <f t="array" ref="D20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4" s="5" t="str" cm="1">
        <f t="array" ref="E20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4" s="5" t="str" cm="1">
        <f t="array" ref="F20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4" t="str" cm="1">
        <f t="array" ref="G20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4" s="4"/>
      <c r="I2014" s="3" t="str" cm="1">
        <f t="array" ref="I20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5" spans="1:9" x14ac:dyDescent="0.3">
      <c r="A2015" s="3" t="str">
        <f>IF(SISTEMA!A2009="","",SISTEMA!A2009)</f>
        <v/>
      </c>
      <c r="B2015" s="10" t="str">
        <f>IF(SISTEMA!B2009="","",VALUE(SISTEMA!B2009))</f>
        <v/>
      </c>
      <c r="C2015" s="10" t="str">
        <f>IF(SISTEMA!C2009="","",SISTEMA!C2009)</f>
        <v/>
      </c>
      <c r="D2015" s="5" t="str" cm="1">
        <f t="array" ref="D20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5" s="5" t="str" cm="1">
        <f t="array" ref="E20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5" s="5" t="str" cm="1">
        <f t="array" ref="F20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5" t="str" cm="1">
        <f t="array" ref="G20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5" s="4"/>
      <c r="I2015" s="3" t="str" cm="1">
        <f t="array" ref="I20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6" spans="1:9" x14ac:dyDescent="0.3">
      <c r="A2016" s="3" t="str">
        <f>IF(SISTEMA!A2010="","",SISTEMA!A2010)</f>
        <v/>
      </c>
      <c r="B2016" s="10" t="str">
        <f>IF(SISTEMA!B2010="","",VALUE(SISTEMA!B2010))</f>
        <v/>
      </c>
      <c r="C2016" s="10" t="str">
        <f>IF(SISTEMA!C2010="","",SISTEMA!C2010)</f>
        <v/>
      </c>
      <c r="D2016" s="5" t="str" cm="1">
        <f t="array" ref="D20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6" s="5" t="str" cm="1">
        <f t="array" ref="E20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6" s="5" t="str" cm="1">
        <f t="array" ref="F20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6" t="str" cm="1">
        <f t="array" ref="G20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6" s="4"/>
      <c r="I2016" s="3" t="str" cm="1">
        <f t="array" ref="I20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7" spans="1:9" x14ac:dyDescent="0.3">
      <c r="A2017" s="3" t="str">
        <f>IF(SISTEMA!A2011="","",SISTEMA!A2011)</f>
        <v/>
      </c>
      <c r="B2017" s="10" t="str">
        <f>IF(SISTEMA!B2011="","",VALUE(SISTEMA!B2011))</f>
        <v/>
      </c>
      <c r="C2017" s="10" t="str">
        <f>IF(SISTEMA!C2011="","",SISTEMA!C2011)</f>
        <v/>
      </c>
      <c r="D2017" s="5" t="str" cm="1">
        <f t="array" ref="D20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7" s="5" t="str" cm="1">
        <f t="array" ref="E20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7" s="5" t="str" cm="1">
        <f t="array" ref="F20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7" t="str" cm="1">
        <f t="array" ref="G20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7" s="4"/>
      <c r="I2017" s="3" t="str" cm="1">
        <f t="array" ref="I20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8" spans="1:9" x14ac:dyDescent="0.3">
      <c r="A2018" s="3" t="str">
        <f>IF(SISTEMA!A2012="","",SISTEMA!A2012)</f>
        <v/>
      </c>
      <c r="B2018" s="10" t="str">
        <f>IF(SISTEMA!B2012="","",VALUE(SISTEMA!B2012))</f>
        <v/>
      </c>
      <c r="C2018" s="10" t="str">
        <f>IF(SISTEMA!C2012="","",SISTEMA!C2012)</f>
        <v/>
      </c>
      <c r="D2018" s="5" t="str" cm="1">
        <f t="array" ref="D20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8" s="5" t="str" cm="1">
        <f t="array" ref="E20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8" s="5" t="str" cm="1">
        <f t="array" ref="F20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8" t="str" cm="1">
        <f t="array" ref="G20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8" s="4"/>
      <c r="I2018" s="3" t="str" cm="1">
        <f t="array" ref="I20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19" spans="1:9" x14ac:dyDescent="0.3">
      <c r="A2019" s="3" t="str">
        <f>IF(SISTEMA!A2013="","",SISTEMA!A2013)</f>
        <v/>
      </c>
      <c r="B2019" s="10" t="str">
        <f>IF(SISTEMA!B2013="","",VALUE(SISTEMA!B2013))</f>
        <v/>
      </c>
      <c r="C2019" s="10" t="str">
        <f>IF(SISTEMA!C2013="","",SISTEMA!C2013)</f>
        <v/>
      </c>
      <c r="D2019" s="5" t="str" cm="1">
        <f t="array" ref="D20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19" s="5" t="str" cm="1">
        <f t="array" ref="E20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19" s="5" t="str" cm="1">
        <f t="array" ref="F20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19" t="str" cm="1">
        <f t="array" ref="G20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19" s="4"/>
      <c r="I2019" s="3" t="str" cm="1">
        <f t="array" ref="I20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0" spans="1:9" x14ac:dyDescent="0.3">
      <c r="A2020" s="3" t="str">
        <f>IF(SISTEMA!A2014="","",SISTEMA!A2014)</f>
        <v/>
      </c>
      <c r="B2020" s="10" t="str">
        <f>IF(SISTEMA!B2014="","",VALUE(SISTEMA!B2014))</f>
        <v/>
      </c>
      <c r="C2020" s="10" t="str">
        <f>IF(SISTEMA!C2014="","",SISTEMA!C2014)</f>
        <v/>
      </c>
      <c r="D2020" s="5" t="str" cm="1">
        <f t="array" ref="D20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0" s="5" t="str" cm="1">
        <f t="array" ref="E20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0" s="5" t="str" cm="1">
        <f t="array" ref="F20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0" t="str" cm="1">
        <f t="array" ref="G20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0" s="4"/>
      <c r="I2020" s="3" t="str" cm="1">
        <f t="array" ref="I20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1" spans="1:9" x14ac:dyDescent="0.3">
      <c r="A2021" s="3" t="str">
        <f>IF(SISTEMA!A2015="","",SISTEMA!A2015)</f>
        <v/>
      </c>
      <c r="B2021" s="10" t="str">
        <f>IF(SISTEMA!B2015="","",VALUE(SISTEMA!B2015))</f>
        <v/>
      </c>
      <c r="C2021" s="10" t="str">
        <f>IF(SISTEMA!C2015="","",SISTEMA!C2015)</f>
        <v/>
      </c>
      <c r="D2021" s="5" t="str" cm="1">
        <f t="array" ref="D20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1" s="5" t="str" cm="1">
        <f t="array" ref="E20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1" s="5" t="str" cm="1">
        <f t="array" ref="F20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1" t="str" cm="1">
        <f t="array" ref="G20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1" s="4"/>
      <c r="I2021" s="3" t="str" cm="1">
        <f t="array" ref="I20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2" spans="1:9" x14ac:dyDescent="0.3">
      <c r="A2022" s="3" t="str">
        <f>IF(SISTEMA!A2016="","",SISTEMA!A2016)</f>
        <v/>
      </c>
      <c r="B2022" s="10" t="str">
        <f>IF(SISTEMA!B2016="","",VALUE(SISTEMA!B2016))</f>
        <v/>
      </c>
      <c r="C2022" s="10" t="str">
        <f>IF(SISTEMA!C2016="","",SISTEMA!C2016)</f>
        <v/>
      </c>
      <c r="D2022" s="5" t="str" cm="1">
        <f t="array" ref="D20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2" s="5" t="str" cm="1">
        <f t="array" ref="E20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2" s="5" t="str" cm="1">
        <f t="array" ref="F20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2" t="str" cm="1">
        <f t="array" ref="G20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2" s="4"/>
      <c r="I2022" s="3" t="str" cm="1">
        <f t="array" ref="I20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3" spans="1:9" x14ac:dyDescent="0.3">
      <c r="A2023" s="3" t="str">
        <f>IF(SISTEMA!A2017="","",SISTEMA!A2017)</f>
        <v/>
      </c>
      <c r="B2023" s="10" t="str">
        <f>IF(SISTEMA!B2017="","",VALUE(SISTEMA!B2017))</f>
        <v/>
      </c>
      <c r="C2023" s="10" t="str">
        <f>IF(SISTEMA!C2017="","",SISTEMA!C2017)</f>
        <v/>
      </c>
      <c r="D2023" s="5" t="str" cm="1">
        <f t="array" ref="D20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3" s="5" t="str" cm="1">
        <f t="array" ref="E20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3" s="5" t="str" cm="1">
        <f t="array" ref="F20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3" t="str" cm="1">
        <f t="array" ref="G20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3" s="4"/>
      <c r="I2023" s="3" t="str" cm="1">
        <f t="array" ref="I20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4" spans="1:9" x14ac:dyDescent="0.3">
      <c r="A2024" s="3" t="str">
        <f>IF(SISTEMA!A2018="","",SISTEMA!A2018)</f>
        <v/>
      </c>
      <c r="B2024" s="10" t="str">
        <f>IF(SISTEMA!B2018="","",VALUE(SISTEMA!B2018))</f>
        <v/>
      </c>
      <c r="C2024" s="10" t="str">
        <f>IF(SISTEMA!C2018="","",SISTEMA!C2018)</f>
        <v/>
      </c>
      <c r="D2024" s="5" t="str" cm="1">
        <f t="array" ref="D20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4" s="5" t="str" cm="1">
        <f t="array" ref="E20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4" s="5" t="str" cm="1">
        <f t="array" ref="F20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4" t="str" cm="1">
        <f t="array" ref="G20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4" s="4"/>
      <c r="I2024" s="3" t="str" cm="1">
        <f t="array" ref="I20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5" spans="1:9" x14ac:dyDescent="0.3">
      <c r="A2025" s="3" t="str">
        <f>IF(SISTEMA!A2019="","",SISTEMA!A2019)</f>
        <v/>
      </c>
      <c r="B2025" s="10" t="str">
        <f>IF(SISTEMA!B2019="","",VALUE(SISTEMA!B2019))</f>
        <v/>
      </c>
      <c r="C2025" s="10" t="str">
        <f>IF(SISTEMA!C2019="","",SISTEMA!C2019)</f>
        <v/>
      </c>
      <c r="D2025" s="5" t="str" cm="1">
        <f t="array" ref="D20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5" s="5" t="str" cm="1">
        <f t="array" ref="E20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5" s="5" t="str" cm="1">
        <f t="array" ref="F20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5" t="str" cm="1">
        <f t="array" ref="G20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5" s="4"/>
      <c r="I2025" s="3" t="str" cm="1">
        <f t="array" ref="I20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6" spans="1:9" x14ac:dyDescent="0.3">
      <c r="A2026" s="3" t="str">
        <f>IF(SISTEMA!A2020="","",SISTEMA!A2020)</f>
        <v/>
      </c>
      <c r="B2026" s="10" t="str">
        <f>IF(SISTEMA!B2020="","",VALUE(SISTEMA!B2020))</f>
        <v/>
      </c>
      <c r="C2026" s="10" t="str">
        <f>IF(SISTEMA!C2020="","",SISTEMA!C2020)</f>
        <v/>
      </c>
      <c r="D2026" s="5" t="str" cm="1">
        <f t="array" ref="D20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6" s="5" t="str" cm="1">
        <f t="array" ref="E20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6" s="5" t="str" cm="1">
        <f t="array" ref="F20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6" t="str" cm="1">
        <f t="array" ref="G20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6" s="4"/>
      <c r="I2026" s="3" t="str" cm="1">
        <f t="array" ref="I20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7" spans="1:9" x14ac:dyDescent="0.3">
      <c r="A2027" s="3" t="str">
        <f>IF(SISTEMA!A2021="","",SISTEMA!A2021)</f>
        <v/>
      </c>
      <c r="B2027" s="10" t="str">
        <f>IF(SISTEMA!B2021="","",VALUE(SISTEMA!B2021))</f>
        <v/>
      </c>
      <c r="C2027" s="10" t="str">
        <f>IF(SISTEMA!C2021="","",SISTEMA!C2021)</f>
        <v/>
      </c>
      <c r="D2027" s="5" t="str" cm="1">
        <f t="array" ref="D20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7" s="5" t="str" cm="1">
        <f t="array" ref="E20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7" s="5" t="str" cm="1">
        <f t="array" ref="F20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7" t="str" cm="1">
        <f t="array" ref="G20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7" s="4"/>
      <c r="I2027" s="3" t="str" cm="1">
        <f t="array" ref="I20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8" spans="1:9" x14ac:dyDescent="0.3">
      <c r="A2028" s="3" t="str">
        <f>IF(SISTEMA!A2022="","",SISTEMA!A2022)</f>
        <v/>
      </c>
      <c r="B2028" s="10" t="str">
        <f>IF(SISTEMA!B2022="","",VALUE(SISTEMA!B2022))</f>
        <v/>
      </c>
      <c r="C2028" s="10" t="str">
        <f>IF(SISTEMA!C2022="","",SISTEMA!C2022)</f>
        <v/>
      </c>
      <c r="D2028" s="5" t="str" cm="1">
        <f t="array" ref="D20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8" s="5" t="str" cm="1">
        <f t="array" ref="E20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8" s="5" t="str" cm="1">
        <f t="array" ref="F20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8" t="str" cm="1">
        <f t="array" ref="G20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8" s="4"/>
      <c r="I2028" s="3" t="str" cm="1">
        <f t="array" ref="I20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29" spans="1:9" x14ac:dyDescent="0.3">
      <c r="A2029" s="3" t="str">
        <f>IF(SISTEMA!A2023="","",SISTEMA!A2023)</f>
        <v/>
      </c>
      <c r="B2029" s="10" t="str">
        <f>IF(SISTEMA!B2023="","",VALUE(SISTEMA!B2023))</f>
        <v/>
      </c>
      <c r="C2029" s="10" t="str">
        <f>IF(SISTEMA!C2023="","",SISTEMA!C2023)</f>
        <v/>
      </c>
      <c r="D2029" s="5" t="str" cm="1">
        <f t="array" ref="D20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29" s="5" t="str" cm="1">
        <f t="array" ref="E20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29" s="5" t="str" cm="1">
        <f t="array" ref="F20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29" t="str" cm="1">
        <f t="array" ref="G20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29" s="4"/>
      <c r="I2029" s="3" t="str" cm="1">
        <f t="array" ref="I20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0" spans="1:9" x14ac:dyDescent="0.3">
      <c r="A2030" s="3" t="str">
        <f>IF(SISTEMA!A2024="","",SISTEMA!A2024)</f>
        <v/>
      </c>
      <c r="B2030" s="10" t="str">
        <f>IF(SISTEMA!B2024="","",VALUE(SISTEMA!B2024))</f>
        <v/>
      </c>
      <c r="C2030" s="10" t="str">
        <f>IF(SISTEMA!C2024="","",SISTEMA!C2024)</f>
        <v/>
      </c>
      <c r="D2030" s="5" t="str" cm="1">
        <f t="array" ref="D20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0" s="5" t="str" cm="1">
        <f t="array" ref="E20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0" s="5" t="str" cm="1">
        <f t="array" ref="F20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0" t="str" cm="1">
        <f t="array" ref="G20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0" s="4"/>
      <c r="I2030" s="3" t="str" cm="1">
        <f t="array" ref="I20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1" spans="1:9" x14ac:dyDescent="0.3">
      <c r="A2031" s="3" t="str">
        <f>IF(SISTEMA!A2025="","",SISTEMA!A2025)</f>
        <v/>
      </c>
      <c r="B2031" s="10" t="str">
        <f>IF(SISTEMA!B2025="","",VALUE(SISTEMA!B2025))</f>
        <v/>
      </c>
      <c r="C2031" s="10" t="str">
        <f>IF(SISTEMA!C2025="","",SISTEMA!C2025)</f>
        <v/>
      </c>
      <c r="D2031" s="5" t="str" cm="1">
        <f t="array" ref="D20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1" s="5" t="str" cm="1">
        <f t="array" ref="E20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1" s="5" t="str" cm="1">
        <f t="array" ref="F20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1" t="str" cm="1">
        <f t="array" ref="G20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1" s="4"/>
      <c r="I2031" s="3" t="str" cm="1">
        <f t="array" ref="I20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2" spans="1:9" x14ac:dyDescent="0.3">
      <c r="A2032" s="3" t="str">
        <f>IF(SISTEMA!A2026="","",SISTEMA!A2026)</f>
        <v/>
      </c>
      <c r="B2032" s="10" t="str">
        <f>IF(SISTEMA!B2026="","",VALUE(SISTEMA!B2026))</f>
        <v/>
      </c>
      <c r="C2032" s="10" t="str">
        <f>IF(SISTEMA!C2026="","",SISTEMA!C2026)</f>
        <v/>
      </c>
      <c r="D2032" s="5" t="str" cm="1">
        <f t="array" ref="D20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2" s="5" t="str" cm="1">
        <f t="array" ref="E20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2" s="5" t="str" cm="1">
        <f t="array" ref="F20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2" t="str" cm="1">
        <f t="array" ref="G20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2" s="4"/>
      <c r="I2032" s="3" t="str" cm="1">
        <f t="array" ref="I20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3" spans="1:9" x14ac:dyDescent="0.3">
      <c r="A2033" s="3" t="str">
        <f>IF(SISTEMA!A2027="","",SISTEMA!A2027)</f>
        <v/>
      </c>
      <c r="B2033" s="10" t="str">
        <f>IF(SISTEMA!B2027="","",VALUE(SISTEMA!B2027))</f>
        <v/>
      </c>
      <c r="C2033" s="10" t="str">
        <f>IF(SISTEMA!C2027="","",SISTEMA!C2027)</f>
        <v/>
      </c>
      <c r="D2033" s="5" t="str" cm="1">
        <f t="array" ref="D20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3" s="5" t="str" cm="1">
        <f t="array" ref="E20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3" s="5" t="str" cm="1">
        <f t="array" ref="F20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3" t="str" cm="1">
        <f t="array" ref="G20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3" s="4"/>
      <c r="I2033" s="3" t="str" cm="1">
        <f t="array" ref="I20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4" spans="1:9" x14ac:dyDescent="0.3">
      <c r="A2034" s="3" t="str">
        <f>IF(SISTEMA!A2028="","",SISTEMA!A2028)</f>
        <v/>
      </c>
      <c r="B2034" s="10" t="str">
        <f>IF(SISTEMA!B2028="","",VALUE(SISTEMA!B2028))</f>
        <v/>
      </c>
      <c r="C2034" s="10" t="str">
        <f>IF(SISTEMA!C2028="","",SISTEMA!C2028)</f>
        <v/>
      </c>
      <c r="D2034" s="5" t="str" cm="1">
        <f t="array" ref="D20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4" s="5" t="str" cm="1">
        <f t="array" ref="E20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4" s="5" t="str" cm="1">
        <f t="array" ref="F20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4" t="str" cm="1">
        <f t="array" ref="G20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4" s="4"/>
      <c r="I2034" s="3" t="str" cm="1">
        <f t="array" ref="I20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5" spans="1:9" x14ac:dyDescent="0.3">
      <c r="A2035" s="3" t="str">
        <f>IF(SISTEMA!A2029="","",SISTEMA!A2029)</f>
        <v/>
      </c>
      <c r="B2035" s="10" t="str">
        <f>IF(SISTEMA!B2029="","",VALUE(SISTEMA!B2029))</f>
        <v/>
      </c>
      <c r="C2035" s="10" t="str">
        <f>IF(SISTEMA!C2029="","",SISTEMA!C2029)</f>
        <v/>
      </c>
      <c r="D2035" s="5" t="str" cm="1">
        <f t="array" ref="D20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5" s="5" t="str" cm="1">
        <f t="array" ref="E20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5" s="5" t="str" cm="1">
        <f t="array" ref="F20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5" t="str" cm="1">
        <f t="array" ref="G20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5" s="4"/>
      <c r="I2035" s="3" t="str" cm="1">
        <f t="array" ref="I20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6" spans="1:9" x14ac:dyDescent="0.3">
      <c r="A2036" s="3" t="str">
        <f>IF(SISTEMA!A2030="","",SISTEMA!A2030)</f>
        <v/>
      </c>
      <c r="B2036" s="10" t="str">
        <f>IF(SISTEMA!B2030="","",VALUE(SISTEMA!B2030))</f>
        <v/>
      </c>
      <c r="C2036" s="10" t="str">
        <f>IF(SISTEMA!C2030="","",SISTEMA!C2030)</f>
        <v/>
      </c>
      <c r="D2036" s="5" t="str" cm="1">
        <f t="array" ref="D20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6" s="5" t="str" cm="1">
        <f t="array" ref="E20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6" s="5" t="str" cm="1">
        <f t="array" ref="F20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6" t="str" cm="1">
        <f t="array" ref="G20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6" s="4"/>
      <c r="I2036" s="3" t="str" cm="1">
        <f t="array" ref="I20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7" spans="1:9" x14ac:dyDescent="0.3">
      <c r="A2037" s="3" t="str">
        <f>IF(SISTEMA!A2031="","",SISTEMA!A2031)</f>
        <v/>
      </c>
      <c r="B2037" s="10" t="str">
        <f>IF(SISTEMA!B2031="","",VALUE(SISTEMA!B2031))</f>
        <v/>
      </c>
      <c r="C2037" s="10" t="str">
        <f>IF(SISTEMA!C2031="","",SISTEMA!C2031)</f>
        <v/>
      </c>
      <c r="D2037" s="5" t="str" cm="1">
        <f t="array" ref="D20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7" s="5" t="str" cm="1">
        <f t="array" ref="E20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7" s="5" t="str" cm="1">
        <f t="array" ref="F20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7" t="str" cm="1">
        <f t="array" ref="G20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7" s="4"/>
      <c r="I2037" s="3" t="str" cm="1">
        <f t="array" ref="I20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8" spans="1:9" x14ac:dyDescent="0.3">
      <c r="A2038" s="3" t="str">
        <f>IF(SISTEMA!A2032="","",SISTEMA!A2032)</f>
        <v/>
      </c>
      <c r="B2038" s="10" t="str">
        <f>IF(SISTEMA!B2032="","",VALUE(SISTEMA!B2032))</f>
        <v/>
      </c>
      <c r="C2038" s="10" t="str">
        <f>IF(SISTEMA!C2032="","",SISTEMA!C2032)</f>
        <v/>
      </c>
      <c r="D2038" s="5" t="str" cm="1">
        <f t="array" ref="D20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8" s="5" t="str" cm="1">
        <f t="array" ref="E20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8" s="5" t="str" cm="1">
        <f t="array" ref="F20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8" t="str" cm="1">
        <f t="array" ref="G20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8" s="4"/>
      <c r="I2038" s="3" t="str" cm="1">
        <f t="array" ref="I20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39" spans="1:9" x14ac:dyDescent="0.3">
      <c r="A2039" s="3" t="str">
        <f>IF(SISTEMA!A2033="","",SISTEMA!A2033)</f>
        <v/>
      </c>
      <c r="B2039" s="10" t="str">
        <f>IF(SISTEMA!B2033="","",VALUE(SISTEMA!B2033))</f>
        <v/>
      </c>
      <c r="C2039" s="10" t="str">
        <f>IF(SISTEMA!C2033="","",SISTEMA!C2033)</f>
        <v/>
      </c>
      <c r="D2039" s="5" t="str" cm="1">
        <f t="array" ref="D20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39" s="5" t="str" cm="1">
        <f t="array" ref="E20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39" s="5" t="str" cm="1">
        <f t="array" ref="F20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39" t="str" cm="1">
        <f t="array" ref="G20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39" s="4"/>
      <c r="I2039" s="3" t="str" cm="1">
        <f t="array" ref="I20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0" spans="1:9" x14ac:dyDescent="0.3">
      <c r="A2040" s="3" t="str">
        <f>IF(SISTEMA!A2034="","",SISTEMA!A2034)</f>
        <v/>
      </c>
      <c r="B2040" s="10" t="str">
        <f>IF(SISTEMA!B2034="","",VALUE(SISTEMA!B2034))</f>
        <v/>
      </c>
      <c r="C2040" s="10" t="str">
        <f>IF(SISTEMA!C2034="","",SISTEMA!C2034)</f>
        <v/>
      </c>
      <c r="D2040" s="5" t="str" cm="1">
        <f t="array" ref="D20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0" s="5" t="str" cm="1">
        <f t="array" ref="E20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0" s="5" t="str" cm="1">
        <f t="array" ref="F20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0" t="str" cm="1">
        <f t="array" ref="G20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0" s="4"/>
      <c r="I2040" s="3" t="str" cm="1">
        <f t="array" ref="I20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1" spans="1:9" x14ac:dyDescent="0.3">
      <c r="A2041" s="3" t="str">
        <f>IF(SISTEMA!A2035="","",SISTEMA!A2035)</f>
        <v/>
      </c>
      <c r="B2041" s="10" t="str">
        <f>IF(SISTEMA!B2035="","",VALUE(SISTEMA!B2035))</f>
        <v/>
      </c>
      <c r="C2041" s="10" t="str">
        <f>IF(SISTEMA!C2035="","",SISTEMA!C2035)</f>
        <v/>
      </c>
      <c r="D2041" s="5" t="str" cm="1">
        <f t="array" ref="D20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1" s="5" t="str" cm="1">
        <f t="array" ref="E20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1" s="5" t="str" cm="1">
        <f t="array" ref="F20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1" t="str" cm="1">
        <f t="array" ref="G20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1" s="4"/>
      <c r="I2041" s="3" t="str" cm="1">
        <f t="array" ref="I20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2" spans="1:9" x14ac:dyDescent="0.3">
      <c r="A2042" s="3" t="str">
        <f>IF(SISTEMA!A2036="","",SISTEMA!A2036)</f>
        <v/>
      </c>
      <c r="B2042" s="10" t="str">
        <f>IF(SISTEMA!B2036="","",VALUE(SISTEMA!B2036))</f>
        <v/>
      </c>
      <c r="C2042" s="10" t="str">
        <f>IF(SISTEMA!C2036="","",SISTEMA!C2036)</f>
        <v/>
      </c>
      <c r="D2042" s="5" t="str" cm="1">
        <f t="array" ref="D20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2" s="5" t="str" cm="1">
        <f t="array" ref="E20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2" s="5" t="str" cm="1">
        <f t="array" ref="F20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2" t="str" cm="1">
        <f t="array" ref="G20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2" s="4"/>
      <c r="I2042" s="3" t="str" cm="1">
        <f t="array" ref="I20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3" spans="1:9" x14ac:dyDescent="0.3">
      <c r="A2043" s="3" t="str">
        <f>IF(SISTEMA!A2037="","",SISTEMA!A2037)</f>
        <v/>
      </c>
      <c r="B2043" s="10" t="str">
        <f>IF(SISTEMA!B2037="","",VALUE(SISTEMA!B2037))</f>
        <v/>
      </c>
      <c r="C2043" s="10" t="str">
        <f>IF(SISTEMA!C2037="","",SISTEMA!C2037)</f>
        <v/>
      </c>
      <c r="D2043" s="5" t="str" cm="1">
        <f t="array" ref="D20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3" s="5" t="str" cm="1">
        <f t="array" ref="E20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3" s="5" t="str" cm="1">
        <f t="array" ref="F20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3" t="str" cm="1">
        <f t="array" ref="G20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3" s="4"/>
      <c r="I2043" s="3" t="str" cm="1">
        <f t="array" ref="I20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4" spans="1:9" x14ac:dyDescent="0.3">
      <c r="A2044" s="3" t="str">
        <f>IF(SISTEMA!A2038="","",SISTEMA!A2038)</f>
        <v/>
      </c>
      <c r="B2044" s="10" t="str">
        <f>IF(SISTEMA!B2038="","",VALUE(SISTEMA!B2038))</f>
        <v/>
      </c>
      <c r="C2044" s="10" t="str">
        <f>IF(SISTEMA!C2038="","",SISTEMA!C2038)</f>
        <v/>
      </c>
      <c r="D2044" s="5" t="str" cm="1">
        <f t="array" ref="D20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4" s="5" t="str" cm="1">
        <f t="array" ref="E20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4" s="5" t="str" cm="1">
        <f t="array" ref="F20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4" t="str" cm="1">
        <f t="array" ref="G20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4" s="4"/>
      <c r="I2044" s="3" t="str" cm="1">
        <f t="array" ref="I20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5" spans="1:9" x14ac:dyDescent="0.3">
      <c r="A2045" s="3" t="str">
        <f>IF(SISTEMA!A2039="","",SISTEMA!A2039)</f>
        <v/>
      </c>
      <c r="B2045" s="10" t="str">
        <f>IF(SISTEMA!B2039="","",VALUE(SISTEMA!B2039))</f>
        <v/>
      </c>
      <c r="C2045" s="10" t="str">
        <f>IF(SISTEMA!C2039="","",SISTEMA!C2039)</f>
        <v/>
      </c>
      <c r="D2045" s="5" t="str" cm="1">
        <f t="array" ref="D20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5" s="5" t="str" cm="1">
        <f t="array" ref="E20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5" s="5" t="str" cm="1">
        <f t="array" ref="F20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5" t="str" cm="1">
        <f t="array" ref="G20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5" s="4"/>
      <c r="I2045" s="3" t="str" cm="1">
        <f t="array" ref="I20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6" spans="1:9" x14ac:dyDescent="0.3">
      <c r="A2046" s="3" t="str">
        <f>IF(SISTEMA!A2040="","",SISTEMA!A2040)</f>
        <v/>
      </c>
      <c r="B2046" s="10" t="str">
        <f>IF(SISTEMA!B2040="","",VALUE(SISTEMA!B2040))</f>
        <v/>
      </c>
      <c r="C2046" s="10" t="str">
        <f>IF(SISTEMA!C2040="","",SISTEMA!C2040)</f>
        <v/>
      </c>
      <c r="D2046" s="5" t="str" cm="1">
        <f t="array" ref="D20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6" s="5" t="str" cm="1">
        <f t="array" ref="E20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6" s="5" t="str" cm="1">
        <f t="array" ref="F20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6" t="str" cm="1">
        <f t="array" ref="G20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6" s="4"/>
      <c r="I2046" s="3" t="str" cm="1">
        <f t="array" ref="I20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7" spans="1:9" x14ac:dyDescent="0.3">
      <c r="A2047" s="3" t="str">
        <f>IF(SISTEMA!A2041="","",SISTEMA!A2041)</f>
        <v/>
      </c>
      <c r="B2047" s="10" t="str">
        <f>IF(SISTEMA!B2041="","",VALUE(SISTEMA!B2041))</f>
        <v/>
      </c>
      <c r="C2047" s="10" t="str">
        <f>IF(SISTEMA!C2041="","",SISTEMA!C2041)</f>
        <v/>
      </c>
      <c r="D2047" s="5" t="str" cm="1">
        <f t="array" ref="D20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7" s="5" t="str" cm="1">
        <f t="array" ref="E20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7" s="5" t="str" cm="1">
        <f t="array" ref="F20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7" t="str" cm="1">
        <f t="array" ref="G20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7" s="4"/>
      <c r="I2047" s="3" t="str" cm="1">
        <f t="array" ref="I20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8" spans="1:9" x14ac:dyDescent="0.3">
      <c r="A2048" s="3" t="str">
        <f>IF(SISTEMA!A2042="","",SISTEMA!A2042)</f>
        <v/>
      </c>
      <c r="B2048" s="10" t="str">
        <f>IF(SISTEMA!B2042="","",VALUE(SISTEMA!B2042))</f>
        <v/>
      </c>
      <c r="C2048" s="10" t="str">
        <f>IF(SISTEMA!C2042="","",SISTEMA!C2042)</f>
        <v/>
      </c>
      <c r="D2048" s="5" t="str" cm="1">
        <f t="array" ref="D20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8" s="5" t="str" cm="1">
        <f t="array" ref="E20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8" s="5" t="str" cm="1">
        <f t="array" ref="F20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8" t="str" cm="1">
        <f t="array" ref="G20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8" s="4"/>
      <c r="I2048" s="3" t="str" cm="1">
        <f t="array" ref="I20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49" spans="1:9" x14ac:dyDescent="0.3">
      <c r="A2049" s="3" t="str">
        <f>IF(SISTEMA!A2043="","",SISTEMA!A2043)</f>
        <v/>
      </c>
      <c r="B2049" s="10" t="str">
        <f>IF(SISTEMA!B2043="","",VALUE(SISTEMA!B2043))</f>
        <v/>
      </c>
      <c r="C2049" s="10" t="str">
        <f>IF(SISTEMA!C2043="","",SISTEMA!C2043)</f>
        <v/>
      </c>
      <c r="D2049" s="5" t="str" cm="1">
        <f t="array" ref="D20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49" s="5" t="str" cm="1">
        <f t="array" ref="E20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49" s="5" t="str" cm="1">
        <f t="array" ref="F20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49" t="str" cm="1">
        <f t="array" ref="G20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49" s="4"/>
      <c r="I2049" s="3" t="str" cm="1">
        <f t="array" ref="I20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0" spans="1:9" x14ac:dyDescent="0.3">
      <c r="A2050" s="3" t="str">
        <f>IF(SISTEMA!A2044="","",SISTEMA!A2044)</f>
        <v/>
      </c>
      <c r="B2050" s="10" t="str">
        <f>IF(SISTEMA!B2044="","",VALUE(SISTEMA!B2044))</f>
        <v/>
      </c>
      <c r="C2050" s="10" t="str">
        <f>IF(SISTEMA!C2044="","",SISTEMA!C2044)</f>
        <v/>
      </c>
      <c r="D2050" s="5" t="str" cm="1">
        <f t="array" ref="D20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0" s="5" t="str" cm="1">
        <f t="array" ref="E20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0" s="5" t="str" cm="1">
        <f t="array" ref="F20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0" t="str" cm="1">
        <f t="array" ref="G20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0" s="4"/>
      <c r="I2050" s="3" t="str" cm="1">
        <f t="array" ref="I20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1" spans="1:9" x14ac:dyDescent="0.3">
      <c r="A2051" s="3" t="str">
        <f>IF(SISTEMA!A2045="","",SISTEMA!A2045)</f>
        <v/>
      </c>
      <c r="B2051" s="10" t="str">
        <f>IF(SISTEMA!B2045="","",VALUE(SISTEMA!B2045))</f>
        <v/>
      </c>
      <c r="C2051" s="10" t="str">
        <f>IF(SISTEMA!C2045="","",SISTEMA!C2045)</f>
        <v/>
      </c>
      <c r="D2051" s="5" t="str" cm="1">
        <f t="array" ref="D20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1" s="5" t="str" cm="1">
        <f t="array" ref="E20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1" s="5" t="str" cm="1">
        <f t="array" ref="F20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1" t="str" cm="1">
        <f t="array" ref="G20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1" s="4"/>
      <c r="I2051" s="3" t="str" cm="1">
        <f t="array" ref="I20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2" spans="1:9" x14ac:dyDescent="0.3">
      <c r="A2052" s="3" t="str">
        <f>IF(SISTEMA!A2046="","",SISTEMA!A2046)</f>
        <v/>
      </c>
      <c r="B2052" s="10" t="str">
        <f>IF(SISTEMA!B2046="","",VALUE(SISTEMA!B2046))</f>
        <v/>
      </c>
      <c r="C2052" s="10" t="str">
        <f>IF(SISTEMA!C2046="","",SISTEMA!C2046)</f>
        <v/>
      </c>
      <c r="D2052" s="5" t="str" cm="1">
        <f t="array" ref="D20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2" s="5" t="str" cm="1">
        <f t="array" ref="E20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2" s="5" t="str" cm="1">
        <f t="array" ref="F20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2" t="str" cm="1">
        <f t="array" ref="G20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2" s="4"/>
      <c r="I2052" s="3" t="str" cm="1">
        <f t="array" ref="I20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3" spans="1:9" x14ac:dyDescent="0.3">
      <c r="A2053" s="3" t="str">
        <f>IF(SISTEMA!A2047="","",SISTEMA!A2047)</f>
        <v/>
      </c>
      <c r="B2053" s="10" t="str">
        <f>IF(SISTEMA!B2047="","",VALUE(SISTEMA!B2047))</f>
        <v/>
      </c>
      <c r="C2053" s="10" t="str">
        <f>IF(SISTEMA!C2047="","",SISTEMA!C2047)</f>
        <v/>
      </c>
      <c r="D2053" s="5" t="str" cm="1">
        <f t="array" ref="D20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3" s="5" t="str" cm="1">
        <f t="array" ref="E20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3" s="5" t="str" cm="1">
        <f t="array" ref="F20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3" t="str" cm="1">
        <f t="array" ref="G20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3" s="4"/>
      <c r="I2053" s="3" t="str" cm="1">
        <f t="array" ref="I20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4" spans="1:9" x14ac:dyDescent="0.3">
      <c r="A2054" s="3" t="str">
        <f>IF(SISTEMA!A2048="","",SISTEMA!A2048)</f>
        <v/>
      </c>
      <c r="B2054" s="10" t="str">
        <f>IF(SISTEMA!B2048="","",VALUE(SISTEMA!B2048))</f>
        <v/>
      </c>
      <c r="C2054" s="10" t="str">
        <f>IF(SISTEMA!C2048="","",SISTEMA!C2048)</f>
        <v/>
      </c>
      <c r="D2054" s="5" t="str" cm="1">
        <f t="array" ref="D20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4" s="5" t="str" cm="1">
        <f t="array" ref="E20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4" s="5" t="str" cm="1">
        <f t="array" ref="F20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4" t="str" cm="1">
        <f t="array" ref="G20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4" s="4"/>
      <c r="I2054" s="3" t="str" cm="1">
        <f t="array" ref="I20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5" spans="1:9" x14ac:dyDescent="0.3">
      <c r="A2055" s="3" t="str">
        <f>IF(SISTEMA!A2049="","",SISTEMA!A2049)</f>
        <v/>
      </c>
      <c r="B2055" s="10" t="str">
        <f>IF(SISTEMA!B2049="","",VALUE(SISTEMA!B2049))</f>
        <v/>
      </c>
      <c r="C2055" s="10" t="str">
        <f>IF(SISTEMA!C2049="","",SISTEMA!C2049)</f>
        <v/>
      </c>
      <c r="D2055" s="5" t="str" cm="1">
        <f t="array" ref="D20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5" s="5" t="str" cm="1">
        <f t="array" ref="E20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5" s="5" t="str" cm="1">
        <f t="array" ref="F20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5" t="str" cm="1">
        <f t="array" ref="G20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5" s="4"/>
      <c r="I2055" s="3" t="str" cm="1">
        <f t="array" ref="I20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6" spans="1:9" x14ac:dyDescent="0.3">
      <c r="A2056" s="3" t="str">
        <f>IF(SISTEMA!A2050="","",SISTEMA!A2050)</f>
        <v/>
      </c>
      <c r="B2056" s="10" t="str">
        <f>IF(SISTEMA!B2050="","",VALUE(SISTEMA!B2050))</f>
        <v/>
      </c>
      <c r="C2056" s="10" t="str">
        <f>IF(SISTEMA!C2050="","",SISTEMA!C2050)</f>
        <v/>
      </c>
      <c r="D2056" s="5" t="str" cm="1">
        <f t="array" ref="D20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6" s="5" t="str" cm="1">
        <f t="array" ref="E20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6" s="5" t="str" cm="1">
        <f t="array" ref="F20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6" t="str" cm="1">
        <f t="array" ref="G20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6" s="4"/>
      <c r="I2056" s="3" t="str" cm="1">
        <f t="array" ref="I20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7" spans="1:9" x14ac:dyDescent="0.3">
      <c r="A2057" s="3" t="str">
        <f>IF(SISTEMA!A2051="","",SISTEMA!A2051)</f>
        <v/>
      </c>
      <c r="B2057" s="10" t="str">
        <f>IF(SISTEMA!B2051="","",VALUE(SISTEMA!B2051))</f>
        <v/>
      </c>
      <c r="C2057" s="10" t="str">
        <f>IF(SISTEMA!C2051="","",SISTEMA!C2051)</f>
        <v/>
      </c>
      <c r="D2057" s="5" t="str" cm="1">
        <f t="array" ref="D20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7" s="5" t="str" cm="1">
        <f t="array" ref="E20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7" s="5" t="str" cm="1">
        <f t="array" ref="F20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7" t="str" cm="1">
        <f t="array" ref="G20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7" s="4"/>
      <c r="I2057" s="3" t="str" cm="1">
        <f t="array" ref="I20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8" spans="1:9" x14ac:dyDescent="0.3">
      <c r="A2058" s="3" t="str">
        <f>IF(SISTEMA!A2052="","",SISTEMA!A2052)</f>
        <v/>
      </c>
      <c r="B2058" s="10" t="str">
        <f>IF(SISTEMA!B2052="","",VALUE(SISTEMA!B2052))</f>
        <v/>
      </c>
      <c r="C2058" s="10" t="str">
        <f>IF(SISTEMA!C2052="","",SISTEMA!C2052)</f>
        <v/>
      </c>
      <c r="D2058" s="5" t="str" cm="1">
        <f t="array" ref="D20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8" s="5" t="str" cm="1">
        <f t="array" ref="E20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8" s="5" t="str" cm="1">
        <f t="array" ref="F20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8" t="str" cm="1">
        <f t="array" ref="G20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8" s="4"/>
      <c r="I2058" s="3" t="str" cm="1">
        <f t="array" ref="I20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59" spans="1:9" x14ac:dyDescent="0.3">
      <c r="A2059" s="3" t="str">
        <f>IF(SISTEMA!A2053="","",SISTEMA!A2053)</f>
        <v/>
      </c>
      <c r="B2059" s="10" t="str">
        <f>IF(SISTEMA!B2053="","",VALUE(SISTEMA!B2053))</f>
        <v/>
      </c>
      <c r="C2059" s="10" t="str">
        <f>IF(SISTEMA!C2053="","",SISTEMA!C2053)</f>
        <v/>
      </c>
      <c r="D2059" s="5" t="str" cm="1">
        <f t="array" ref="D20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59" s="5" t="str" cm="1">
        <f t="array" ref="E20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59" s="5" t="str" cm="1">
        <f t="array" ref="F20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59" t="str" cm="1">
        <f t="array" ref="G20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59" s="4"/>
      <c r="I2059" s="3" t="str" cm="1">
        <f t="array" ref="I20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0" spans="1:9" x14ac:dyDescent="0.3">
      <c r="A2060" s="3" t="str">
        <f>IF(SISTEMA!A2054="","",SISTEMA!A2054)</f>
        <v/>
      </c>
      <c r="B2060" s="10" t="str">
        <f>IF(SISTEMA!B2054="","",VALUE(SISTEMA!B2054))</f>
        <v/>
      </c>
      <c r="C2060" s="10" t="str">
        <f>IF(SISTEMA!C2054="","",SISTEMA!C2054)</f>
        <v/>
      </c>
      <c r="D2060" s="5" t="str" cm="1">
        <f t="array" ref="D20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0" s="5" t="str" cm="1">
        <f t="array" ref="E20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0" s="5" t="str" cm="1">
        <f t="array" ref="F20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0" t="str" cm="1">
        <f t="array" ref="G20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0" s="4"/>
      <c r="I2060" s="3" t="str" cm="1">
        <f t="array" ref="I20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1" spans="1:9" x14ac:dyDescent="0.3">
      <c r="A2061" s="3" t="str">
        <f>IF(SISTEMA!A2055="","",SISTEMA!A2055)</f>
        <v/>
      </c>
      <c r="B2061" s="10" t="str">
        <f>IF(SISTEMA!B2055="","",VALUE(SISTEMA!B2055))</f>
        <v/>
      </c>
      <c r="C2061" s="10" t="str">
        <f>IF(SISTEMA!C2055="","",SISTEMA!C2055)</f>
        <v/>
      </c>
      <c r="D2061" s="5" t="str" cm="1">
        <f t="array" ref="D20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1" s="5" t="str" cm="1">
        <f t="array" ref="E20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1" s="5" t="str" cm="1">
        <f t="array" ref="F20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1" t="str" cm="1">
        <f t="array" ref="G20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1" s="4"/>
      <c r="I2061" s="3" t="str" cm="1">
        <f t="array" ref="I20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2" spans="1:9" x14ac:dyDescent="0.3">
      <c r="A2062" s="3" t="str">
        <f>IF(SISTEMA!A2056="","",SISTEMA!A2056)</f>
        <v/>
      </c>
      <c r="B2062" s="10" t="str">
        <f>IF(SISTEMA!B2056="","",VALUE(SISTEMA!B2056))</f>
        <v/>
      </c>
      <c r="C2062" s="10" t="str">
        <f>IF(SISTEMA!C2056="","",SISTEMA!C2056)</f>
        <v/>
      </c>
      <c r="D2062" s="5" t="str" cm="1">
        <f t="array" ref="D20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2" s="5" t="str" cm="1">
        <f t="array" ref="E20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2" s="5" t="str" cm="1">
        <f t="array" ref="F20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2" t="str" cm="1">
        <f t="array" ref="G20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2" s="4"/>
      <c r="I2062" s="3" t="str" cm="1">
        <f t="array" ref="I20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3" spans="1:9" x14ac:dyDescent="0.3">
      <c r="A2063" s="3" t="str">
        <f>IF(SISTEMA!A2057="","",SISTEMA!A2057)</f>
        <v/>
      </c>
      <c r="B2063" s="10" t="str">
        <f>IF(SISTEMA!B2057="","",VALUE(SISTEMA!B2057))</f>
        <v/>
      </c>
      <c r="C2063" s="10" t="str">
        <f>IF(SISTEMA!C2057="","",SISTEMA!C2057)</f>
        <v/>
      </c>
      <c r="D2063" s="5" t="str" cm="1">
        <f t="array" ref="D20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3" s="5" t="str" cm="1">
        <f t="array" ref="E20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3" s="5" t="str" cm="1">
        <f t="array" ref="F20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3" t="str" cm="1">
        <f t="array" ref="G20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3" s="4"/>
      <c r="I2063" s="3" t="str" cm="1">
        <f t="array" ref="I20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4" spans="1:9" x14ac:dyDescent="0.3">
      <c r="A2064" s="3" t="str">
        <f>IF(SISTEMA!A2058="","",SISTEMA!A2058)</f>
        <v/>
      </c>
      <c r="B2064" s="10" t="str">
        <f>IF(SISTEMA!B2058="","",VALUE(SISTEMA!B2058))</f>
        <v/>
      </c>
      <c r="C2064" s="10" t="str">
        <f>IF(SISTEMA!C2058="","",SISTEMA!C2058)</f>
        <v/>
      </c>
      <c r="D2064" s="5" t="str" cm="1">
        <f t="array" ref="D20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4" s="5" t="str" cm="1">
        <f t="array" ref="E20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4" s="5" t="str" cm="1">
        <f t="array" ref="F20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4" t="str" cm="1">
        <f t="array" ref="G20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4" s="4"/>
      <c r="I2064" s="3" t="str" cm="1">
        <f t="array" ref="I20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5" spans="1:9" x14ac:dyDescent="0.3">
      <c r="A2065" s="3" t="str">
        <f>IF(SISTEMA!A2059="","",SISTEMA!A2059)</f>
        <v/>
      </c>
      <c r="B2065" s="10" t="str">
        <f>IF(SISTEMA!B2059="","",VALUE(SISTEMA!B2059))</f>
        <v/>
      </c>
      <c r="C2065" s="10" t="str">
        <f>IF(SISTEMA!C2059="","",SISTEMA!C2059)</f>
        <v/>
      </c>
      <c r="D2065" s="5" t="str" cm="1">
        <f t="array" ref="D20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5" s="5" t="str" cm="1">
        <f t="array" ref="E20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5" s="5" t="str" cm="1">
        <f t="array" ref="F20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5" t="str" cm="1">
        <f t="array" ref="G20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5" s="4"/>
      <c r="I2065" s="3" t="str" cm="1">
        <f t="array" ref="I20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6" spans="1:9" x14ac:dyDescent="0.3">
      <c r="A2066" s="3" t="str">
        <f>IF(SISTEMA!A2060="","",SISTEMA!A2060)</f>
        <v/>
      </c>
      <c r="B2066" s="10" t="str">
        <f>IF(SISTEMA!B2060="","",VALUE(SISTEMA!B2060))</f>
        <v/>
      </c>
      <c r="C2066" s="10" t="str">
        <f>IF(SISTEMA!C2060="","",SISTEMA!C2060)</f>
        <v/>
      </c>
      <c r="D2066" s="5" t="str" cm="1">
        <f t="array" ref="D20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6" s="5" t="str" cm="1">
        <f t="array" ref="E20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6" s="5" t="str" cm="1">
        <f t="array" ref="F20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6" t="str" cm="1">
        <f t="array" ref="G20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6" s="4"/>
      <c r="I2066" s="3" t="str" cm="1">
        <f t="array" ref="I20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7" spans="1:9" x14ac:dyDescent="0.3">
      <c r="A2067" s="3" t="str">
        <f>IF(SISTEMA!A2061="","",SISTEMA!A2061)</f>
        <v/>
      </c>
      <c r="B2067" s="10" t="str">
        <f>IF(SISTEMA!B2061="","",VALUE(SISTEMA!B2061))</f>
        <v/>
      </c>
      <c r="C2067" s="10" t="str">
        <f>IF(SISTEMA!C2061="","",SISTEMA!C2061)</f>
        <v/>
      </c>
      <c r="D2067" s="5" t="str" cm="1">
        <f t="array" ref="D20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7" s="5" t="str" cm="1">
        <f t="array" ref="E20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7" s="5" t="str" cm="1">
        <f t="array" ref="F20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7" t="str" cm="1">
        <f t="array" ref="G20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7" s="4"/>
      <c r="I2067" s="3" t="str" cm="1">
        <f t="array" ref="I20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8" spans="1:9" x14ac:dyDescent="0.3">
      <c r="A2068" s="3" t="str">
        <f>IF(SISTEMA!A2062="","",SISTEMA!A2062)</f>
        <v/>
      </c>
      <c r="B2068" s="10" t="str">
        <f>IF(SISTEMA!B2062="","",VALUE(SISTEMA!B2062))</f>
        <v/>
      </c>
      <c r="C2068" s="10" t="str">
        <f>IF(SISTEMA!C2062="","",SISTEMA!C2062)</f>
        <v/>
      </c>
      <c r="D2068" s="5" t="str" cm="1">
        <f t="array" ref="D20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8" s="5" t="str" cm="1">
        <f t="array" ref="E20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8" s="5" t="str" cm="1">
        <f t="array" ref="F20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8" t="str" cm="1">
        <f t="array" ref="G20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8" s="4"/>
      <c r="I2068" s="3" t="str" cm="1">
        <f t="array" ref="I20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69" spans="1:9" x14ac:dyDescent="0.3">
      <c r="A2069" s="3" t="str">
        <f>IF(SISTEMA!A2063="","",SISTEMA!A2063)</f>
        <v/>
      </c>
      <c r="B2069" s="10" t="str">
        <f>IF(SISTEMA!B2063="","",VALUE(SISTEMA!B2063))</f>
        <v/>
      </c>
      <c r="C2069" s="10" t="str">
        <f>IF(SISTEMA!C2063="","",SISTEMA!C2063)</f>
        <v/>
      </c>
      <c r="D2069" s="5" t="str" cm="1">
        <f t="array" ref="D20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69" s="5" t="str" cm="1">
        <f t="array" ref="E20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69" s="5" t="str" cm="1">
        <f t="array" ref="F20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69" t="str" cm="1">
        <f t="array" ref="G20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69" s="4"/>
      <c r="I2069" s="3" t="str" cm="1">
        <f t="array" ref="I20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0" spans="1:9" x14ac:dyDescent="0.3">
      <c r="A2070" s="3" t="str">
        <f>IF(SISTEMA!A2064="","",SISTEMA!A2064)</f>
        <v/>
      </c>
      <c r="B2070" s="10" t="str">
        <f>IF(SISTEMA!B2064="","",VALUE(SISTEMA!B2064))</f>
        <v/>
      </c>
      <c r="C2070" s="10" t="str">
        <f>IF(SISTEMA!C2064="","",SISTEMA!C2064)</f>
        <v/>
      </c>
      <c r="D2070" s="5" t="str" cm="1">
        <f t="array" ref="D20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0" s="5" t="str" cm="1">
        <f t="array" ref="E20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0" s="5" t="str" cm="1">
        <f t="array" ref="F20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0" t="str" cm="1">
        <f t="array" ref="G20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0" s="4"/>
      <c r="I2070" s="3" t="str" cm="1">
        <f t="array" ref="I20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1" spans="1:9" x14ac:dyDescent="0.3">
      <c r="A2071" s="3" t="str">
        <f>IF(SISTEMA!A2065="","",SISTEMA!A2065)</f>
        <v/>
      </c>
      <c r="B2071" s="10" t="str">
        <f>IF(SISTEMA!B2065="","",VALUE(SISTEMA!B2065))</f>
        <v/>
      </c>
      <c r="C2071" s="10" t="str">
        <f>IF(SISTEMA!C2065="","",SISTEMA!C2065)</f>
        <v/>
      </c>
      <c r="D2071" s="5" t="str" cm="1">
        <f t="array" ref="D20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1" s="5" t="str" cm="1">
        <f t="array" ref="E20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1" s="5" t="str" cm="1">
        <f t="array" ref="F20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1" t="str" cm="1">
        <f t="array" ref="G20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1" s="4"/>
      <c r="I2071" s="3" t="str" cm="1">
        <f t="array" ref="I20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2" spans="1:9" x14ac:dyDescent="0.3">
      <c r="A2072" s="3" t="str">
        <f>IF(SISTEMA!A2066="","",SISTEMA!A2066)</f>
        <v/>
      </c>
      <c r="B2072" s="10" t="str">
        <f>IF(SISTEMA!B2066="","",VALUE(SISTEMA!B2066))</f>
        <v/>
      </c>
      <c r="C2072" s="10" t="str">
        <f>IF(SISTEMA!C2066="","",SISTEMA!C2066)</f>
        <v/>
      </c>
      <c r="D2072" s="5" t="str" cm="1">
        <f t="array" ref="D20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2" s="5" t="str" cm="1">
        <f t="array" ref="E20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2" s="5" t="str" cm="1">
        <f t="array" ref="F20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2" t="str" cm="1">
        <f t="array" ref="G20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2" s="4"/>
      <c r="I2072" s="3" t="str" cm="1">
        <f t="array" ref="I20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3" spans="1:9" x14ac:dyDescent="0.3">
      <c r="A2073" s="3" t="str">
        <f>IF(SISTEMA!A2067="","",SISTEMA!A2067)</f>
        <v/>
      </c>
      <c r="B2073" s="10" t="str">
        <f>IF(SISTEMA!B2067="","",VALUE(SISTEMA!B2067))</f>
        <v/>
      </c>
      <c r="C2073" s="10" t="str">
        <f>IF(SISTEMA!C2067="","",SISTEMA!C2067)</f>
        <v/>
      </c>
      <c r="D2073" s="5" t="str" cm="1">
        <f t="array" ref="D20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3" s="5" t="str" cm="1">
        <f t="array" ref="E20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3" s="5" t="str" cm="1">
        <f t="array" ref="F20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3" t="str" cm="1">
        <f t="array" ref="G20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3" s="4"/>
      <c r="I2073" s="3" t="str" cm="1">
        <f t="array" ref="I20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4" spans="1:9" x14ac:dyDescent="0.3">
      <c r="A2074" s="3" t="str">
        <f>IF(SISTEMA!A2068="","",SISTEMA!A2068)</f>
        <v/>
      </c>
      <c r="B2074" s="10" t="str">
        <f>IF(SISTEMA!B2068="","",VALUE(SISTEMA!B2068))</f>
        <v/>
      </c>
      <c r="C2074" s="10" t="str">
        <f>IF(SISTEMA!C2068="","",SISTEMA!C2068)</f>
        <v/>
      </c>
      <c r="D2074" s="5" t="str" cm="1">
        <f t="array" ref="D20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4" s="5" t="str" cm="1">
        <f t="array" ref="E20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4" s="5" t="str" cm="1">
        <f t="array" ref="F20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4" t="str" cm="1">
        <f t="array" ref="G20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4" s="4"/>
      <c r="I2074" s="3" t="str" cm="1">
        <f t="array" ref="I20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5" spans="1:9" x14ac:dyDescent="0.3">
      <c r="A2075" s="3" t="str">
        <f>IF(SISTEMA!A2069="","",SISTEMA!A2069)</f>
        <v/>
      </c>
      <c r="B2075" s="10" t="str">
        <f>IF(SISTEMA!B2069="","",VALUE(SISTEMA!B2069))</f>
        <v/>
      </c>
      <c r="C2075" s="10" t="str">
        <f>IF(SISTEMA!C2069="","",SISTEMA!C2069)</f>
        <v/>
      </c>
      <c r="D2075" s="5" t="str" cm="1">
        <f t="array" ref="D20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5" s="5" t="str" cm="1">
        <f t="array" ref="E20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5" s="5" t="str" cm="1">
        <f t="array" ref="F20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5" t="str" cm="1">
        <f t="array" ref="G20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5" s="4"/>
      <c r="I2075" s="3" t="str" cm="1">
        <f t="array" ref="I20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6" spans="1:9" x14ac:dyDescent="0.3">
      <c r="A2076" s="3" t="str">
        <f>IF(SISTEMA!A2070="","",SISTEMA!A2070)</f>
        <v/>
      </c>
      <c r="B2076" s="10" t="str">
        <f>IF(SISTEMA!B2070="","",VALUE(SISTEMA!B2070))</f>
        <v/>
      </c>
      <c r="C2076" s="10" t="str">
        <f>IF(SISTEMA!C2070="","",SISTEMA!C2070)</f>
        <v/>
      </c>
      <c r="D2076" s="5" t="str" cm="1">
        <f t="array" ref="D20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6" s="5" t="str" cm="1">
        <f t="array" ref="E20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6" s="5" t="str" cm="1">
        <f t="array" ref="F20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6" t="str" cm="1">
        <f t="array" ref="G20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6" s="4"/>
      <c r="I2076" s="3" t="str" cm="1">
        <f t="array" ref="I20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7" spans="1:9" x14ac:dyDescent="0.3">
      <c r="A2077" s="3" t="str">
        <f>IF(SISTEMA!A2071="","",SISTEMA!A2071)</f>
        <v/>
      </c>
      <c r="B2077" s="10" t="str">
        <f>IF(SISTEMA!B2071="","",VALUE(SISTEMA!B2071))</f>
        <v/>
      </c>
      <c r="C2077" s="10" t="str">
        <f>IF(SISTEMA!C2071="","",SISTEMA!C2071)</f>
        <v/>
      </c>
      <c r="D2077" s="5" t="str" cm="1">
        <f t="array" ref="D20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7" s="5" t="str" cm="1">
        <f t="array" ref="E20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7" s="5" t="str" cm="1">
        <f t="array" ref="F20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7" t="str" cm="1">
        <f t="array" ref="G20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7" s="4"/>
      <c r="I2077" s="3" t="str" cm="1">
        <f t="array" ref="I20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8" spans="1:9" x14ac:dyDescent="0.3">
      <c r="A2078" s="3" t="str">
        <f>IF(SISTEMA!A2072="","",SISTEMA!A2072)</f>
        <v/>
      </c>
      <c r="B2078" s="10" t="str">
        <f>IF(SISTEMA!B2072="","",VALUE(SISTEMA!B2072))</f>
        <v/>
      </c>
      <c r="C2078" s="10" t="str">
        <f>IF(SISTEMA!C2072="","",SISTEMA!C2072)</f>
        <v/>
      </c>
      <c r="D2078" s="5" t="str" cm="1">
        <f t="array" ref="D20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8" s="5" t="str" cm="1">
        <f t="array" ref="E20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8" s="5" t="str" cm="1">
        <f t="array" ref="F20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8" t="str" cm="1">
        <f t="array" ref="G20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8" s="4"/>
      <c r="I2078" s="3" t="str" cm="1">
        <f t="array" ref="I20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79" spans="1:9" x14ac:dyDescent="0.3">
      <c r="A2079" s="3" t="str">
        <f>IF(SISTEMA!A2073="","",SISTEMA!A2073)</f>
        <v/>
      </c>
      <c r="B2079" s="10" t="str">
        <f>IF(SISTEMA!B2073="","",VALUE(SISTEMA!B2073))</f>
        <v/>
      </c>
      <c r="C2079" s="10" t="str">
        <f>IF(SISTEMA!C2073="","",SISTEMA!C2073)</f>
        <v/>
      </c>
      <c r="D2079" s="5" t="str" cm="1">
        <f t="array" ref="D20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79" s="5" t="str" cm="1">
        <f t="array" ref="E20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79" s="5" t="str" cm="1">
        <f t="array" ref="F20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79" t="str" cm="1">
        <f t="array" ref="G20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79" s="4"/>
      <c r="I2079" s="3" t="str" cm="1">
        <f t="array" ref="I20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0" spans="1:9" x14ac:dyDescent="0.3">
      <c r="A2080" s="3" t="str">
        <f>IF(SISTEMA!A2074="","",SISTEMA!A2074)</f>
        <v/>
      </c>
      <c r="B2080" s="10" t="str">
        <f>IF(SISTEMA!B2074="","",VALUE(SISTEMA!B2074))</f>
        <v/>
      </c>
      <c r="C2080" s="10" t="str">
        <f>IF(SISTEMA!C2074="","",SISTEMA!C2074)</f>
        <v/>
      </c>
      <c r="D2080" s="5" t="str" cm="1">
        <f t="array" ref="D20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0" s="5" t="str" cm="1">
        <f t="array" ref="E20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0" s="5" t="str" cm="1">
        <f t="array" ref="F20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0" t="str" cm="1">
        <f t="array" ref="G20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0" s="4"/>
      <c r="I2080" s="3" t="str" cm="1">
        <f t="array" ref="I20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1" spans="1:9" x14ac:dyDescent="0.3">
      <c r="A2081" s="3" t="str">
        <f>IF(SISTEMA!A2075="","",SISTEMA!A2075)</f>
        <v/>
      </c>
      <c r="B2081" s="10" t="str">
        <f>IF(SISTEMA!B2075="","",VALUE(SISTEMA!B2075))</f>
        <v/>
      </c>
      <c r="C2081" s="10" t="str">
        <f>IF(SISTEMA!C2075="","",SISTEMA!C2075)</f>
        <v/>
      </c>
      <c r="D2081" s="5" t="str" cm="1">
        <f t="array" ref="D20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1" s="5" t="str" cm="1">
        <f t="array" ref="E20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1" s="5" t="str" cm="1">
        <f t="array" ref="F20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1" t="str" cm="1">
        <f t="array" ref="G20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1" s="4"/>
      <c r="I2081" s="3" t="str" cm="1">
        <f t="array" ref="I20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2" spans="1:9" x14ac:dyDescent="0.3">
      <c r="A2082" s="3" t="str">
        <f>IF(SISTEMA!A2076="","",SISTEMA!A2076)</f>
        <v/>
      </c>
      <c r="B2082" s="10" t="str">
        <f>IF(SISTEMA!B2076="","",VALUE(SISTEMA!B2076))</f>
        <v/>
      </c>
      <c r="C2082" s="10" t="str">
        <f>IF(SISTEMA!C2076="","",SISTEMA!C2076)</f>
        <v/>
      </c>
      <c r="D2082" s="5" t="str" cm="1">
        <f t="array" ref="D20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2" s="5" t="str" cm="1">
        <f t="array" ref="E20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2" s="5" t="str" cm="1">
        <f t="array" ref="F20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2" t="str" cm="1">
        <f t="array" ref="G20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2" s="4"/>
      <c r="I2082" s="3" t="str" cm="1">
        <f t="array" ref="I20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3" spans="1:9" x14ac:dyDescent="0.3">
      <c r="A2083" s="3" t="str">
        <f>IF(SISTEMA!A2077="","",SISTEMA!A2077)</f>
        <v/>
      </c>
      <c r="B2083" s="10" t="str">
        <f>IF(SISTEMA!B2077="","",VALUE(SISTEMA!B2077))</f>
        <v/>
      </c>
      <c r="C2083" s="10" t="str">
        <f>IF(SISTEMA!C2077="","",SISTEMA!C2077)</f>
        <v/>
      </c>
      <c r="D2083" s="5" t="str" cm="1">
        <f t="array" ref="D20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3" s="5" t="str" cm="1">
        <f t="array" ref="E20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3" s="5" t="str" cm="1">
        <f t="array" ref="F20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3" t="str" cm="1">
        <f t="array" ref="G20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3" s="4"/>
      <c r="I2083" s="3" t="str" cm="1">
        <f t="array" ref="I20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4" spans="1:9" x14ac:dyDescent="0.3">
      <c r="A2084" s="3" t="str">
        <f>IF(SISTEMA!A2078="","",SISTEMA!A2078)</f>
        <v/>
      </c>
      <c r="B2084" s="10" t="str">
        <f>IF(SISTEMA!B2078="","",VALUE(SISTEMA!B2078))</f>
        <v/>
      </c>
      <c r="C2084" s="10" t="str">
        <f>IF(SISTEMA!C2078="","",SISTEMA!C2078)</f>
        <v/>
      </c>
      <c r="D2084" s="5" t="str" cm="1">
        <f t="array" ref="D20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4" s="5" t="str" cm="1">
        <f t="array" ref="E20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4" s="5" t="str" cm="1">
        <f t="array" ref="F20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4" t="str" cm="1">
        <f t="array" ref="G20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4" s="4"/>
      <c r="I2084" s="3" t="str" cm="1">
        <f t="array" ref="I20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5" spans="1:9" x14ac:dyDescent="0.3">
      <c r="A2085" s="3" t="str">
        <f>IF(SISTEMA!A2079="","",SISTEMA!A2079)</f>
        <v/>
      </c>
      <c r="B2085" s="10" t="str">
        <f>IF(SISTEMA!B2079="","",VALUE(SISTEMA!B2079))</f>
        <v/>
      </c>
      <c r="C2085" s="10" t="str">
        <f>IF(SISTEMA!C2079="","",SISTEMA!C2079)</f>
        <v/>
      </c>
      <c r="D2085" s="5" t="str" cm="1">
        <f t="array" ref="D20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5" s="5" t="str" cm="1">
        <f t="array" ref="E20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5" s="5" t="str" cm="1">
        <f t="array" ref="F20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5" t="str" cm="1">
        <f t="array" ref="G20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5" s="4"/>
      <c r="I2085" s="3" t="str" cm="1">
        <f t="array" ref="I20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6" spans="1:9" x14ac:dyDescent="0.3">
      <c r="A2086" s="3" t="str">
        <f>IF(SISTEMA!A2080="","",SISTEMA!A2080)</f>
        <v/>
      </c>
      <c r="B2086" s="10" t="str">
        <f>IF(SISTEMA!B2080="","",VALUE(SISTEMA!B2080))</f>
        <v/>
      </c>
      <c r="C2086" s="10" t="str">
        <f>IF(SISTEMA!C2080="","",SISTEMA!C2080)</f>
        <v/>
      </c>
      <c r="D2086" s="5" t="str" cm="1">
        <f t="array" ref="D20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6" s="5" t="str" cm="1">
        <f t="array" ref="E20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6" s="5" t="str" cm="1">
        <f t="array" ref="F20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6" t="str" cm="1">
        <f t="array" ref="G20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6" s="4"/>
      <c r="I2086" s="3" t="str" cm="1">
        <f t="array" ref="I20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7" spans="1:9" x14ac:dyDescent="0.3">
      <c r="A2087" s="3" t="str">
        <f>IF(SISTEMA!A2081="","",SISTEMA!A2081)</f>
        <v/>
      </c>
      <c r="B2087" s="10" t="str">
        <f>IF(SISTEMA!B2081="","",VALUE(SISTEMA!B2081))</f>
        <v/>
      </c>
      <c r="C2087" s="10" t="str">
        <f>IF(SISTEMA!C2081="","",SISTEMA!C2081)</f>
        <v/>
      </c>
      <c r="D2087" s="5" t="str" cm="1">
        <f t="array" ref="D20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7" s="5" t="str" cm="1">
        <f t="array" ref="E20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7" s="5" t="str" cm="1">
        <f t="array" ref="F20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7" t="str" cm="1">
        <f t="array" ref="G20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7" s="4"/>
      <c r="I2087" s="3" t="str" cm="1">
        <f t="array" ref="I20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8" spans="1:9" x14ac:dyDescent="0.3">
      <c r="A2088" s="3" t="str">
        <f>IF(SISTEMA!A2082="","",SISTEMA!A2082)</f>
        <v/>
      </c>
      <c r="B2088" s="10" t="str">
        <f>IF(SISTEMA!B2082="","",VALUE(SISTEMA!B2082))</f>
        <v/>
      </c>
      <c r="C2088" s="10" t="str">
        <f>IF(SISTEMA!C2082="","",SISTEMA!C2082)</f>
        <v/>
      </c>
      <c r="D2088" s="5" t="str" cm="1">
        <f t="array" ref="D20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8" s="5" t="str" cm="1">
        <f t="array" ref="E20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8" s="5" t="str" cm="1">
        <f t="array" ref="F20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8" t="str" cm="1">
        <f t="array" ref="G20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8" s="4"/>
      <c r="I2088" s="3" t="str" cm="1">
        <f t="array" ref="I20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89" spans="1:9" x14ac:dyDescent="0.3">
      <c r="A2089" s="3" t="str">
        <f>IF(SISTEMA!A2083="","",SISTEMA!A2083)</f>
        <v/>
      </c>
      <c r="B2089" s="10" t="str">
        <f>IF(SISTEMA!B2083="","",VALUE(SISTEMA!B2083))</f>
        <v/>
      </c>
      <c r="C2089" s="10" t="str">
        <f>IF(SISTEMA!C2083="","",SISTEMA!C2083)</f>
        <v/>
      </c>
      <c r="D2089" s="5" t="str" cm="1">
        <f t="array" ref="D20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89" s="5" t="str" cm="1">
        <f t="array" ref="E20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89" s="5" t="str" cm="1">
        <f t="array" ref="F20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89" t="str" cm="1">
        <f t="array" ref="G20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89" s="4"/>
      <c r="I2089" s="3" t="str" cm="1">
        <f t="array" ref="I20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0" spans="1:9" x14ac:dyDescent="0.3">
      <c r="A2090" s="3" t="str">
        <f>IF(SISTEMA!A2084="","",SISTEMA!A2084)</f>
        <v/>
      </c>
      <c r="B2090" s="10" t="str">
        <f>IF(SISTEMA!B2084="","",VALUE(SISTEMA!B2084))</f>
        <v/>
      </c>
      <c r="C2090" s="10" t="str">
        <f>IF(SISTEMA!C2084="","",SISTEMA!C2084)</f>
        <v/>
      </c>
      <c r="D2090" s="5" t="str" cm="1">
        <f t="array" ref="D20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0" s="5" t="str" cm="1">
        <f t="array" ref="E20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0" s="5" t="str" cm="1">
        <f t="array" ref="F20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0" t="str" cm="1">
        <f t="array" ref="G20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0" s="4"/>
      <c r="I2090" s="3" t="str" cm="1">
        <f t="array" ref="I20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1" spans="1:9" x14ac:dyDescent="0.3">
      <c r="A2091" s="3" t="str">
        <f>IF(SISTEMA!A2085="","",SISTEMA!A2085)</f>
        <v/>
      </c>
      <c r="B2091" s="10" t="str">
        <f>IF(SISTEMA!B2085="","",VALUE(SISTEMA!B2085))</f>
        <v/>
      </c>
      <c r="C2091" s="10" t="str">
        <f>IF(SISTEMA!C2085="","",SISTEMA!C2085)</f>
        <v/>
      </c>
      <c r="D2091" s="5" t="str" cm="1">
        <f t="array" ref="D20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1" s="5" t="str" cm="1">
        <f t="array" ref="E20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1" s="5" t="str" cm="1">
        <f t="array" ref="F20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1" t="str" cm="1">
        <f t="array" ref="G20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1" s="4"/>
      <c r="I2091" s="3" t="str" cm="1">
        <f t="array" ref="I20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2" spans="1:9" x14ac:dyDescent="0.3">
      <c r="A2092" s="3" t="str">
        <f>IF(SISTEMA!A2086="","",SISTEMA!A2086)</f>
        <v/>
      </c>
      <c r="B2092" s="10" t="str">
        <f>IF(SISTEMA!B2086="","",VALUE(SISTEMA!B2086))</f>
        <v/>
      </c>
      <c r="C2092" s="10" t="str">
        <f>IF(SISTEMA!C2086="","",SISTEMA!C2086)</f>
        <v/>
      </c>
      <c r="D2092" s="5" t="str" cm="1">
        <f t="array" ref="D20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2" s="5" t="str" cm="1">
        <f t="array" ref="E20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2" s="5" t="str" cm="1">
        <f t="array" ref="F20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2" t="str" cm="1">
        <f t="array" ref="G20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2" s="4"/>
      <c r="I2092" s="3" t="str" cm="1">
        <f t="array" ref="I20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3" spans="1:9" x14ac:dyDescent="0.3">
      <c r="A2093" s="3" t="str">
        <f>IF(SISTEMA!A2087="","",SISTEMA!A2087)</f>
        <v/>
      </c>
      <c r="B2093" s="10" t="str">
        <f>IF(SISTEMA!B2087="","",VALUE(SISTEMA!B2087))</f>
        <v/>
      </c>
      <c r="C2093" s="10" t="str">
        <f>IF(SISTEMA!C2087="","",SISTEMA!C2087)</f>
        <v/>
      </c>
      <c r="D2093" s="5" t="str" cm="1">
        <f t="array" ref="D20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3" s="5" t="str" cm="1">
        <f t="array" ref="E20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3" s="5" t="str" cm="1">
        <f t="array" ref="F20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3" t="str" cm="1">
        <f t="array" ref="G20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3" s="4"/>
      <c r="I2093" s="3" t="str" cm="1">
        <f t="array" ref="I20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4" spans="1:9" x14ac:dyDescent="0.3">
      <c r="A2094" s="3" t="str">
        <f>IF(SISTEMA!A2088="","",SISTEMA!A2088)</f>
        <v/>
      </c>
      <c r="B2094" s="10" t="str">
        <f>IF(SISTEMA!B2088="","",VALUE(SISTEMA!B2088))</f>
        <v/>
      </c>
      <c r="C2094" s="10" t="str">
        <f>IF(SISTEMA!C2088="","",SISTEMA!C2088)</f>
        <v/>
      </c>
      <c r="D2094" s="5" t="str" cm="1">
        <f t="array" ref="D20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4" s="5" t="str" cm="1">
        <f t="array" ref="E20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4" s="5" t="str" cm="1">
        <f t="array" ref="F20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4" t="str" cm="1">
        <f t="array" ref="G20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4" s="4"/>
      <c r="I2094" s="3" t="str" cm="1">
        <f t="array" ref="I20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5" spans="1:9" x14ac:dyDescent="0.3">
      <c r="A2095" s="3" t="str">
        <f>IF(SISTEMA!A2089="","",SISTEMA!A2089)</f>
        <v/>
      </c>
      <c r="B2095" s="10" t="str">
        <f>IF(SISTEMA!B2089="","",VALUE(SISTEMA!B2089))</f>
        <v/>
      </c>
      <c r="C2095" s="10" t="str">
        <f>IF(SISTEMA!C2089="","",SISTEMA!C2089)</f>
        <v/>
      </c>
      <c r="D2095" s="5" t="str" cm="1">
        <f t="array" ref="D20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5" s="5" t="str" cm="1">
        <f t="array" ref="E20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5" s="5" t="str" cm="1">
        <f t="array" ref="F20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5" t="str" cm="1">
        <f t="array" ref="G20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5" s="4"/>
      <c r="I2095" s="3" t="str" cm="1">
        <f t="array" ref="I20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6" spans="1:9" x14ac:dyDescent="0.3">
      <c r="A2096" s="3" t="str">
        <f>IF(SISTEMA!A2090="","",SISTEMA!A2090)</f>
        <v/>
      </c>
      <c r="B2096" s="10" t="str">
        <f>IF(SISTEMA!B2090="","",VALUE(SISTEMA!B2090))</f>
        <v/>
      </c>
      <c r="C2096" s="10" t="str">
        <f>IF(SISTEMA!C2090="","",SISTEMA!C2090)</f>
        <v/>
      </c>
      <c r="D2096" s="5" t="str" cm="1">
        <f t="array" ref="D20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6" s="5" t="str" cm="1">
        <f t="array" ref="E20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6" s="5" t="str" cm="1">
        <f t="array" ref="F20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6" t="str" cm="1">
        <f t="array" ref="G20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6" s="4"/>
      <c r="I2096" s="3" t="str" cm="1">
        <f t="array" ref="I20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7" spans="1:9" x14ac:dyDescent="0.3">
      <c r="A2097" s="3" t="str">
        <f>IF(SISTEMA!A2091="","",SISTEMA!A2091)</f>
        <v/>
      </c>
      <c r="B2097" s="10" t="str">
        <f>IF(SISTEMA!B2091="","",VALUE(SISTEMA!B2091))</f>
        <v/>
      </c>
      <c r="C2097" s="10" t="str">
        <f>IF(SISTEMA!C2091="","",SISTEMA!C2091)</f>
        <v/>
      </c>
      <c r="D2097" s="5" t="str" cm="1">
        <f t="array" ref="D20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7" s="5" t="str" cm="1">
        <f t="array" ref="E20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7" s="5" t="str" cm="1">
        <f t="array" ref="F20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7" t="str" cm="1">
        <f t="array" ref="G20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7" s="4"/>
      <c r="I2097" s="3" t="str" cm="1">
        <f t="array" ref="I20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8" spans="1:9" x14ac:dyDescent="0.3">
      <c r="A2098" s="3" t="str">
        <f>IF(SISTEMA!A2092="","",SISTEMA!A2092)</f>
        <v/>
      </c>
      <c r="B2098" s="10" t="str">
        <f>IF(SISTEMA!B2092="","",VALUE(SISTEMA!B2092))</f>
        <v/>
      </c>
      <c r="C2098" s="10" t="str">
        <f>IF(SISTEMA!C2092="","",SISTEMA!C2092)</f>
        <v/>
      </c>
      <c r="D2098" s="5" t="str" cm="1">
        <f t="array" ref="D20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8" s="5" t="str" cm="1">
        <f t="array" ref="E20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8" s="5" t="str" cm="1">
        <f t="array" ref="F20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8" t="str" cm="1">
        <f t="array" ref="G20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8" s="4"/>
      <c r="I2098" s="3" t="str" cm="1">
        <f t="array" ref="I20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099" spans="1:9" x14ac:dyDescent="0.3">
      <c r="A2099" s="3" t="str">
        <f>IF(SISTEMA!A2093="","",SISTEMA!A2093)</f>
        <v/>
      </c>
      <c r="B2099" s="10" t="str">
        <f>IF(SISTEMA!B2093="","",VALUE(SISTEMA!B2093))</f>
        <v/>
      </c>
      <c r="C2099" s="10" t="str">
        <f>IF(SISTEMA!C2093="","",SISTEMA!C2093)</f>
        <v/>
      </c>
      <c r="D2099" s="5" t="str" cm="1">
        <f t="array" ref="D20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099" s="5" t="str" cm="1">
        <f t="array" ref="E20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099" s="5" t="str" cm="1">
        <f t="array" ref="F20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099" t="str" cm="1">
        <f t="array" ref="G20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099" s="4"/>
      <c r="I2099" s="3" t="str" cm="1">
        <f t="array" ref="I20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0" spans="1:9" x14ac:dyDescent="0.3">
      <c r="A2100" s="3" t="str">
        <f>IF(SISTEMA!A2094="","",SISTEMA!A2094)</f>
        <v/>
      </c>
      <c r="B2100" s="10" t="str">
        <f>IF(SISTEMA!B2094="","",VALUE(SISTEMA!B2094))</f>
        <v/>
      </c>
      <c r="C2100" s="10" t="str">
        <f>IF(SISTEMA!C2094="","",SISTEMA!C2094)</f>
        <v/>
      </c>
      <c r="D2100" s="5" t="str" cm="1">
        <f t="array" ref="D21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0" s="5" t="str" cm="1">
        <f t="array" ref="E21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0" s="5" t="str" cm="1">
        <f t="array" ref="F21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0" t="str" cm="1">
        <f t="array" ref="G21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0" s="4"/>
      <c r="I2100" s="3" t="str" cm="1">
        <f t="array" ref="I21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1" spans="1:9" x14ac:dyDescent="0.3">
      <c r="A2101" s="3" t="str">
        <f>IF(SISTEMA!A2095="","",SISTEMA!A2095)</f>
        <v/>
      </c>
      <c r="B2101" s="10" t="str">
        <f>IF(SISTEMA!B2095="","",VALUE(SISTEMA!B2095))</f>
        <v/>
      </c>
      <c r="C2101" s="10" t="str">
        <f>IF(SISTEMA!C2095="","",SISTEMA!C2095)</f>
        <v/>
      </c>
      <c r="D2101" s="5" t="str" cm="1">
        <f t="array" ref="D21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1" s="5" t="str" cm="1">
        <f t="array" ref="E21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1" s="5" t="str" cm="1">
        <f t="array" ref="F21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1" t="str" cm="1">
        <f t="array" ref="G21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1" s="4"/>
      <c r="I2101" s="3" t="str" cm="1">
        <f t="array" ref="I21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2" spans="1:9" x14ac:dyDescent="0.3">
      <c r="A2102" s="3" t="str">
        <f>IF(SISTEMA!A2096="","",SISTEMA!A2096)</f>
        <v/>
      </c>
      <c r="B2102" s="10" t="str">
        <f>IF(SISTEMA!B2096="","",VALUE(SISTEMA!B2096))</f>
        <v/>
      </c>
      <c r="C2102" s="10" t="str">
        <f>IF(SISTEMA!C2096="","",SISTEMA!C2096)</f>
        <v/>
      </c>
      <c r="D2102" s="5" t="str" cm="1">
        <f t="array" ref="D21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2" s="5" t="str" cm="1">
        <f t="array" ref="E21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2" s="5" t="str" cm="1">
        <f t="array" ref="F21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2" t="str" cm="1">
        <f t="array" ref="G21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2" s="4"/>
      <c r="I2102" s="3" t="str" cm="1">
        <f t="array" ref="I21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3" spans="1:9" x14ac:dyDescent="0.3">
      <c r="A2103" s="3" t="str">
        <f>IF(SISTEMA!A2097="","",SISTEMA!A2097)</f>
        <v/>
      </c>
      <c r="B2103" s="10" t="str">
        <f>IF(SISTEMA!B2097="","",VALUE(SISTEMA!B2097))</f>
        <v/>
      </c>
      <c r="C2103" s="10" t="str">
        <f>IF(SISTEMA!C2097="","",SISTEMA!C2097)</f>
        <v/>
      </c>
      <c r="D2103" s="5" t="str" cm="1">
        <f t="array" ref="D21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3" s="5" t="str" cm="1">
        <f t="array" ref="E21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3" s="5" t="str" cm="1">
        <f t="array" ref="F21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3" t="str" cm="1">
        <f t="array" ref="G21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3" s="4"/>
      <c r="I2103" s="3" t="str" cm="1">
        <f t="array" ref="I21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4" spans="1:9" x14ac:dyDescent="0.3">
      <c r="A2104" s="3" t="str">
        <f>IF(SISTEMA!A2098="","",SISTEMA!A2098)</f>
        <v/>
      </c>
      <c r="B2104" s="10" t="str">
        <f>IF(SISTEMA!B2098="","",VALUE(SISTEMA!B2098))</f>
        <v/>
      </c>
      <c r="C2104" s="10" t="str">
        <f>IF(SISTEMA!C2098="","",SISTEMA!C2098)</f>
        <v/>
      </c>
      <c r="D2104" s="5" t="str" cm="1">
        <f t="array" ref="D21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4" s="5" t="str" cm="1">
        <f t="array" ref="E21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4" s="5" t="str" cm="1">
        <f t="array" ref="F21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4" t="str" cm="1">
        <f t="array" ref="G21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4" s="4"/>
      <c r="I2104" s="3" t="str" cm="1">
        <f t="array" ref="I21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5" spans="1:9" x14ac:dyDescent="0.3">
      <c r="A2105" s="3" t="str">
        <f>IF(SISTEMA!A2099="","",SISTEMA!A2099)</f>
        <v/>
      </c>
      <c r="B2105" s="10" t="str">
        <f>IF(SISTEMA!B2099="","",VALUE(SISTEMA!B2099))</f>
        <v/>
      </c>
      <c r="C2105" s="10" t="str">
        <f>IF(SISTEMA!C2099="","",SISTEMA!C2099)</f>
        <v/>
      </c>
      <c r="D2105" s="5" t="str" cm="1">
        <f t="array" ref="D21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5" s="5" t="str" cm="1">
        <f t="array" ref="E21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5" s="5" t="str" cm="1">
        <f t="array" ref="F21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5" t="str" cm="1">
        <f t="array" ref="G21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5" s="4"/>
      <c r="I2105" s="3" t="str" cm="1">
        <f t="array" ref="I21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6" spans="1:9" x14ac:dyDescent="0.3">
      <c r="A2106" s="3" t="str">
        <f>IF(SISTEMA!A2100="","",SISTEMA!A2100)</f>
        <v/>
      </c>
      <c r="B2106" s="10" t="str">
        <f>IF(SISTEMA!B2100="","",VALUE(SISTEMA!B2100))</f>
        <v/>
      </c>
      <c r="C2106" s="10" t="str">
        <f>IF(SISTEMA!C2100="","",SISTEMA!C2100)</f>
        <v/>
      </c>
      <c r="D2106" s="5" t="str" cm="1">
        <f t="array" ref="D21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6" s="5" t="str" cm="1">
        <f t="array" ref="E21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6" s="5" t="str" cm="1">
        <f t="array" ref="F21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6" t="str" cm="1">
        <f t="array" ref="G21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6" s="4"/>
      <c r="I2106" s="3" t="str" cm="1">
        <f t="array" ref="I21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7" spans="1:9" x14ac:dyDescent="0.3">
      <c r="A2107" s="3" t="str">
        <f>IF(SISTEMA!A2101="","",SISTEMA!A2101)</f>
        <v/>
      </c>
      <c r="B2107" s="10" t="str">
        <f>IF(SISTEMA!B2101="","",VALUE(SISTEMA!B2101))</f>
        <v/>
      </c>
      <c r="C2107" s="10" t="str">
        <f>IF(SISTEMA!C2101="","",SISTEMA!C2101)</f>
        <v/>
      </c>
      <c r="D2107" s="5" t="str" cm="1">
        <f t="array" ref="D21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7" s="5" t="str" cm="1">
        <f t="array" ref="E21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7" s="5" t="str" cm="1">
        <f t="array" ref="F21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7" t="str" cm="1">
        <f t="array" ref="G21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7" s="4"/>
      <c r="I2107" s="3" t="str" cm="1">
        <f t="array" ref="I21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8" spans="1:9" x14ac:dyDescent="0.3">
      <c r="A2108" s="3" t="str">
        <f>IF(SISTEMA!A2102="","",SISTEMA!A2102)</f>
        <v/>
      </c>
      <c r="B2108" s="10" t="str">
        <f>IF(SISTEMA!B2102="","",VALUE(SISTEMA!B2102))</f>
        <v/>
      </c>
      <c r="C2108" s="10" t="str">
        <f>IF(SISTEMA!C2102="","",SISTEMA!C2102)</f>
        <v/>
      </c>
      <c r="D2108" s="5" t="str" cm="1">
        <f t="array" ref="D21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8" s="5" t="str" cm="1">
        <f t="array" ref="E21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8" s="5" t="str" cm="1">
        <f t="array" ref="F21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8" t="str" cm="1">
        <f t="array" ref="G21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8" s="4"/>
      <c r="I2108" s="3" t="str" cm="1">
        <f t="array" ref="I21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09" spans="1:9" x14ac:dyDescent="0.3">
      <c r="A2109" s="3" t="str">
        <f>IF(SISTEMA!A2103="","",SISTEMA!A2103)</f>
        <v/>
      </c>
      <c r="B2109" s="10" t="str">
        <f>IF(SISTEMA!B2103="","",VALUE(SISTEMA!B2103))</f>
        <v/>
      </c>
      <c r="C2109" s="10" t="str">
        <f>IF(SISTEMA!C2103="","",SISTEMA!C2103)</f>
        <v/>
      </c>
      <c r="D2109" s="5" t="str" cm="1">
        <f t="array" ref="D21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09" s="5" t="str" cm="1">
        <f t="array" ref="E21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09" s="5" t="str" cm="1">
        <f t="array" ref="F21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09" t="str" cm="1">
        <f t="array" ref="G21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09" s="4"/>
      <c r="I2109" s="3" t="str" cm="1">
        <f t="array" ref="I21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0" spans="1:9" x14ac:dyDescent="0.3">
      <c r="A2110" s="3" t="str">
        <f>IF(SISTEMA!A2104="","",SISTEMA!A2104)</f>
        <v/>
      </c>
      <c r="B2110" s="10" t="str">
        <f>IF(SISTEMA!B2104="","",VALUE(SISTEMA!B2104))</f>
        <v/>
      </c>
      <c r="C2110" s="10" t="str">
        <f>IF(SISTEMA!C2104="","",SISTEMA!C2104)</f>
        <v/>
      </c>
      <c r="D2110" s="5" t="str" cm="1">
        <f t="array" ref="D21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0" s="5" t="str" cm="1">
        <f t="array" ref="E21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0" s="5" t="str" cm="1">
        <f t="array" ref="F21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0" t="str" cm="1">
        <f t="array" ref="G21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0" s="4"/>
      <c r="I2110" s="3" t="str" cm="1">
        <f t="array" ref="I21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1" spans="1:9" x14ac:dyDescent="0.3">
      <c r="A2111" s="3" t="str">
        <f>IF(SISTEMA!A2105="","",SISTEMA!A2105)</f>
        <v/>
      </c>
      <c r="B2111" s="10" t="str">
        <f>IF(SISTEMA!B2105="","",VALUE(SISTEMA!B2105))</f>
        <v/>
      </c>
      <c r="C2111" s="10" t="str">
        <f>IF(SISTEMA!C2105="","",SISTEMA!C2105)</f>
        <v/>
      </c>
      <c r="D2111" s="5" t="str" cm="1">
        <f t="array" ref="D21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1" s="5" t="str" cm="1">
        <f t="array" ref="E21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1" s="5" t="str" cm="1">
        <f t="array" ref="F21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1" t="str" cm="1">
        <f t="array" ref="G21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1" s="4"/>
      <c r="I2111" s="3" t="str" cm="1">
        <f t="array" ref="I21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2" spans="1:9" x14ac:dyDescent="0.3">
      <c r="A2112" s="3" t="str">
        <f>IF(SISTEMA!A2106="","",SISTEMA!A2106)</f>
        <v/>
      </c>
      <c r="B2112" s="10" t="str">
        <f>IF(SISTEMA!B2106="","",VALUE(SISTEMA!B2106))</f>
        <v/>
      </c>
      <c r="C2112" s="10" t="str">
        <f>IF(SISTEMA!C2106="","",SISTEMA!C2106)</f>
        <v/>
      </c>
      <c r="D2112" s="5" t="str" cm="1">
        <f t="array" ref="D21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2" s="5" t="str" cm="1">
        <f t="array" ref="E21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2" s="5" t="str" cm="1">
        <f t="array" ref="F21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2" t="str" cm="1">
        <f t="array" ref="G21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2" s="4"/>
      <c r="I2112" s="3" t="str" cm="1">
        <f t="array" ref="I21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3" spans="1:9" x14ac:dyDescent="0.3">
      <c r="A2113" s="3" t="str">
        <f>IF(SISTEMA!A2107="","",SISTEMA!A2107)</f>
        <v/>
      </c>
      <c r="B2113" s="10" t="str">
        <f>IF(SISTEMA!B2107="","",VALUE(SISTEMA!B2107))</f>
        <v/>
      </c>
      <c r="C2113" s="10" t="str">
        <f>IF(SISTEMA!C2107="","",SISTEMA!C2107)</f>
        <v/>
      </c>
      <c r="D2113" s="5" t="str" cm="1">
        <f t="array" ref="D21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3" s="5" t="str" cm="1">
        <f t="array" ref="E21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3" s="5" t="str" cm="1">
        <f t="array" ref="F21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3" t="str" cm="1">
        <f t="array" ref="G21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3" s="4"/>
      <c r="I2113" s="3" t="str" cm="1">
        <f t="array" ref="I21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4" spans="1:9" x14ac:dyDescent="0.3">
      <c r="A2114" s="3" t="str">
        <f>IF(SISTEMA!A2108="","",SISTEMA!A2108)</f>
        <v/>
      </c>
      <c r="B2114" s="10" t="str">
        <f>IF(SISTEMA!B2108="","",VALUE(SISTEMA!B2108))</f>
        <v/>
      </c>
      <c r="C2114" s="10" t="str">
        <f>IF(SISTEMA!C2108="","",SISTEMA!C2108)</f>
        <v/>
      </c>
      <c r="D2114" s="5" t="str" cm="1">
        <f t="array" ref="D21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4" s="5" t="str" cm="1">
        <f t="array" ref="E21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4" s="5" t="str" cm="1">
        <f t="array" ref="F21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4" t="str" cm="1">
        <f t="array" ref="G21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4" s="4"/>
      <c r="I2114" s="3" t="str" cm="1">
        <f t="array" ref="I21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5" spans="1:9" x14ac:dyDescent="0.3">
      <c r="A2115" s="3" t="str">
        <f>IF(SISTEMA!A2109="","",SISTEMA!A2109)</f>
        <v/>
      </c>
      <c r="B2115" s="10" t="str">
        <f>IF(SISTEMA!B2109="","",VALUE(SISTEMA!B2109))</f>
        <v/>
      </c>
      <c r="C2115" s="10" t="str">
        <f>IF(SISTEMA!C2109="","",SISTEMA!C2109)</f>
        <v/>
      </c>
      <c r="D2115" s="5" t="str" cm="1">
        <f t="array" ref="D21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5" s="5" t="str" cm="1">
        <f t="array" ref="E21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5" s="5" t="str" cm="1">
        <f t="array" ref="F21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5" t="str" cm="1">
        <f t="array" ref="G21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5" s="4"/>
      <c r="I2115" s="3" t="str" cm="1">
        <f t="array" ref="I21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6" spans="1:9" x14ac:dyDescent="0.3">
      <c r="A2116" s="3" t="str">
        <f>IF(SISTEMA!A2110="","",SISTEMA!A2110)</f>
        <v/>
      </c>
      <c r="B2116" s="10" t="str">
        <f>IF(SISTEMA!B2110="","",VALUE(SISTEMA!B2110))</f>
        <v/>
      </c>
      <c r="C2116" s="10" t="str">
        <f>IF(SISTEMA!C2110="","",SISTEMA!C2110)</f>
        <v/>
      </c>
      <c r="D2116" s="5" t="str" cm="1">
        <f t="array" ref="D21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6" s="5" t="str" cm="1">
        <f t="array" ref="E21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6" s="5" t="str" cm="1">
        <f t="array" ref="F21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6" t="str" cm="1">
        <f t="array" ref="G21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6" s="4"/>
      <c r="I2116" s="3" t="str" cm="1">
        <f t="array" ref="I21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7" spans="1:9" x14ac:dyDescent="0.3">
      <c r="A2117" s="3" t="str">
        <f>IF(SISTEMA!A2111="","",SISTEMA!A2111)</f>
        <v/>
      </c>
      <c r="B2117" s="10" t="str">
        <f>IF(SISTEMA!B2111="","",VALUE(SISTEMA!B2111))</f>
        <v/>
      </c>
      <c r="C2117" s="10" t="str">
        <f>IF(SISTEMA!C2111="","",SISTEMA!C2111)</f>
        <v/>
      </c>
      <c r="D2117" s="5" t="str" cm="1">
        <f t="array" ref="D21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7" s="5" t="str" cm="1">
        <f t="array" ref="E21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7" s="5" t="str" cm="1">
        <f t="array" ref="F21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7" t="str" cm="1">
        <f t="array" ref="G21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7" s="4"/>
      <c r="I2117" s="3" t="str" cm="1">
        <f t="array" ref="I21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8" spans="1:9" x14ac:dyDescent="0.3">
      <c r="A2118" s="3" t="str">
        <f>IF(SISTEMA!A2112="","",SISTEMA!A2112)</f>
        <v/>
      </c>
      <c r="B2118" s="10" t="str">
        <f>IF(SISTEMA!B2112="","",VALUE(SISTEMA!B2112))</f>
        <v/>
      </c>
      <c r="C2118" s="10" t="str">
        <f>IF(SISTEMA!C2112="","",SISTEMA!C2112)</f>
        <v/>
      </c>
      <c r="D2118" s="5" t="str" cm="1">
        <f t="array" ref="D21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8" s="5" t="str" cm="1">
        <f t="array" ref="E21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8" s="5" t="str" cm="1">
        <f t="array" ref="F21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8" t="str" cm="1">
        <f t="array" ref="G21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8" s="4"/>
      <c r="I2118" s="3" t="str" cm="1">
        <f t="array" ref="I21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19" spans="1:9" x14ac:dyDescent="0.3">
      <c r="A2119" s="3" t="str">
        <f>IF(SISTEMA!A2113="","",SISTEMA!A2113)</f>
        <v/>
      </c>
      <c r="B2119" s="10" t="str">
        <f>IF(SISTEMA!B2113="","",VALUE(SISTEMA!B2113))</f>
        <v/>
      </c>
      <c r="C2119" s="10" t="str">
        <f>IF(SISTEMA!C2113="","",SISTEMA!C2113)</f>
        <v/>
      </c>
      <c r="D2119" s="5" t="str" cm="1">
        <f t="array" ref="D21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19" s="5" t="str" cm="1">
        <f t="array" ref="E21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19" s="5" t="str" cm="1">
        <f t="array" ref="F21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19" t="str" cm="1">
        <f t="array" ref="G21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19" s="4"/>
      <c r="I2119" s="3" t="str" cm="1">
        <f t="array" ref="I21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0" spans="1:9" x14ac:dyDescent="0.3">
      <c r="A2120" s="3" t="str">
        <f>IF(SISTEMA!A2114="","",SISTEMA!A2114)</f>
        <v/>
      </c>
      <c r="B2120" s="10" t="str">
        <f>IF(SISTEMA!B2114="","",VALUE(SISTEMA!B2114))</f>
        <v/>
      </c>
      <c r="C2120" s="10" t="str">
        <f>IF(SISTEMA!C2114="","",SISTEMA!C2114)</f>
        <v/>
      </c>
      <c r="D2120" s="5" t="str" cm="1">
        <f t="array" ref="D21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0" s="5" t="str" cm="1">
        <f t="array" ref="E21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0" s="5" t="str" cm="1">
        <f t="array" ref="F21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0" t="str" cm="1">
        <f t="array" ref="G21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0" s="4"/>
      <c r="I2120" s="3" t="str" cm="1">
        <f t="array" ref="I21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1" spans="1:9" x14ac:dyDescent="0.3">
      <c r="A2121" s="3" t="str">
        <f>IF(SISTEMA!A2115="","",SISTEMA!A2115)</f>
        <v/>
      </c>
      <c r="B2121" s="10" t="str">
        <f>IF(SISTEMA!B2115="","",VALUE(SISTEMA!B2115))</f>
        <v/>
      </c>
      <c r="C2121" s="10" t="str">
        <f>IF(SISTEMA!C2115="","",SISTEMA!C2115)</f>
        <v/>
      </c>
      <c r="D2121" s="5" t="str" cm="1">
        <f t="array" ref="D21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1" s="5" t="str" cm="1">
        <f t="array" ref="E21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1" s="5" t="str" cm="1">
        <f t="array" ref="F21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1" t="str" cm="1">
        <f t="array" ref="G21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1" s="4"/>
      <c r="I2121" s="3" t="str" cm="1">
        <f t="array" ref="I21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2" spans="1:9" x14ac:dyDescent="0.3">
      <c r="A2122" s="3" t="str">
        <f>IF(SISTEMA!A2116="","",SISTEMA!A2116)</f>
        <v/>
      </c>
      <c r="B2122" s="10" t="str">
        <f>IF(SISTEMA!B2116="","",VALUE(SISTEMA!B2116))</f>
        <v/>
      </c>
      <c r="C2122" s="10" t="str">
        <f>IF(SISTEMA!C2116="","",SISTEMA!C2116)</f>
        <v/>
      </c>
      <c r="D2122" s="5" t="str" cm="1">
        <f t="array" ref="D21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2" s="5" t="str" cm="1">
        <f t="array" ref="E21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2" s="5" t="str" cm="1">
        <f t="array" ref="F21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2" t="str" cm="1">
        <f t="array" ref="G21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2" s="4"/>
      <c r="I2122" s="3" t="str" cm="1">
        <f t="array" ref="I21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3" spans="1:9" x14ac:dyDescent="0.3">
      <c r="A2123" s="3" t="str">
        <f>IF(SISTEMA!A2117="","",SISTEMA!A2117)</f>
        <v/>
      </c>
      <c r="B2123" s="10" t="str">
        <f>IF(SISTEMA!B2117="","",VALUE(SISTEMA!B2117))</f>
        <v/>
      </c>
      <c r="C2123" s="10" t="str">
        <f>IF(SISTEMA!C2117="","",SISTEMA!C2117)</f>
        <v/>
      </c>
      <c r="D2123" s="5" t="str" cm="1">
        <f t="array" ref="D21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3" s="5" t="str" cm="1">
        <f t="array" ref="E21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3" s="5" t="str" cm="1">
        <f t="array" ref="F21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3" t="str" cm="1">
        <f t="array" ref="G21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3" s="4"/>
      <c r="I2123" s="3" t="str" cm="1">
        <f t="array" ref="I21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4" spans="1:9" x14ac:dyDescent="0.3">
      <c r="A2124" s="3" t="str">
        <f>IF(SISTEMA!A2118="","",SISTEMA!A2118)</f>
        <v/>
      </c>
      <c r="B2124" s="10" t="str">
        <f>IF(SISTEMA!B2118="","",VALUE(SISTEMA!B2118))</f>
        <v/>
      </c>
      <c r="C2124" s="10" t="str">
        <f>IF(SISTEMA!C2118="","",SISTEMA!C2118)</f>
        <v/>
      </c>
      <c r="D2124" s="5" t="str" cm="1">
        <f t="array" ref="D21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4" s="5" t="str" cm="1">
        <f t="array" ref="E21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4" s="5" t="str" cm="1">
        <f t="array" ref="F21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4" t="str" cm="1">
        <f t="array" ref="G21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4" s="4"/>
      <c r="I2124" s="3" t="str" cm="1">
        <f t="array" ref="I21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5" spans="1:9" x14ac:dyDescent="0.3">
      <c r="A2125" s="3" t="str">
        <f>IF(SISTEMA!A2119="","",SISTEMA!A2119)</f>
        <v/>
      </c>
      <c r="B2125" s="10" t="str">
        <f>IF(SISTEMA!B2119="","",VALUE(SISTEMA!B2119))</f>
        <v/>
      </c>
      <c r="C2125" s="10" t="str">
        <f>IF(SISTEMA!C2119="","",SISTEMA!C2119)</f>
        <v/>
      </c>
      <c r="D2125" s="5" t="str" cm="1">
        <f t="array" ref="D21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5" s="5" t="str" cm="1">
        <f t="array" ref="E21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5" s="5" t="str" cm="1">
        <f t="array" ref="F21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5" t="str" cm="1">
        <f t="array" ref="G21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5" s="4"/>
      <c r="I2125" s="3" t="str" cm="1">
        <f t="array" ref="I21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6" spans="1:9" x14ac:dyDescent="0.3">
      <c r="A2126" s="3" t="str">
        <f>IF(SISTEMA!A2120="","",SISTEMA!A2120)</f>
        <v/>
      </c>
      <c r="B2126" s="10" t="str">
        <f>IF(SISTEMA!B2120="","",VALUE(SISTEMA!B2120))</f>
        <v/>
      </c>
      <c r="C2126" s="10" t="str">
        <f>IF(SISTEMA!C2120="","",SISTEMA!C2120)</f>
        <v/>
      </c>
      <c r="D2126" s="5" t="str" cm="1">
        <f t="array" ref="D21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6" s="5" t="str" cm="1">
        <f t="array" ref="E21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6" s="5" t="str" cm="1">
        <f t="array" ref="F21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6" t="str" cm="1">
        <f t="array" ref="G21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6" s="4"/>
      <c r="I2126" s="3" t="str" cm="1">
        <f t="array" ref="I21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7" spans="1:9" x14ac:dyDescent="0.3">
      <c r="A2127" s="3" t="str">
        <f>IF(SISTEMA!A2121="","",SISTEMA!A2121)</f>
        <v/>
      </c>
      <c r="B2127" s="10" t="str">
        <f>IF(SISTEMA!B2121="","",VALUE(SISTEMA!B2121))</f>
        <v/>
      </c>
      <c r="C2127" s="10" t="str">
        <f>IF(SISTEMA!C2121="","",SISTEMA!C2121)</f>
        <v/>
      </c>
      <c r="D2127" s="5" t="str" cm="1">
        <f t="array" ref="D21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7" s="5" t="str" cm="1">
        <f t="array" ref="E21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7" s="5" t="str" cm="1">
        <f t="array" ref="F21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7" t="str" cm="1">
        <f t="array" ref="G21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7" s="4"/>
      <c r="I2127" s="3" t="str" cm="1">
        <f t="array" ref="I21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8" spans="1:9" x14ac:dyDescent="0.3">
      <c r="A2128" s="3" t="str">
        <f>IF(SISTEMA!A2122="","",SISTEMA!A2122)</f>
        <v/>
      </c>
      <c r="B2128" s="10" t="str">
        <f>IF(SISTEMA!B2122="","",VALUE(SISTEMA!B2122))</f>
        <v/>
      </c>
      <c r="C2128" s="10" t="str">
        <f>IF(SISTEMA!C2122="","",SISTEMA!C2122)</f>
        <v/>
      </c>
      <c r="D2128" s="5" t="str" cm="1">
        <f t="array" ref="D21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8" s="5" t="str" cm="1">
        <f t="array" ref="E21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8" s="5" t="str" cm="1">
        <f t="array" ref="F21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8" t="str" cm="1">
        <f t="array" ref="G21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8" s="4"/>
      <c r="I2128" s="3" t="str" cm="1">
        <f t="array" ref="I21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29" spans="1:9" x14ac:dyDescent="0.3">
      <c r="A2129" s="3" t="str">
        <f>IF(SISTEMA!A2123="","",SISTEMA!A2123)</f>
        <v/>
      </c>
      <c r="B2129" s="10" t="str">
        <f>IF(SISTEMA!B2123="","",VALUE(SISTEMA!B2123))</f>
        <v/>
      </c>
      <c r="C2129" s="10" t="str">
        <f>IF(SISTEMA!C2123="","",SISTEMA!C2123)</f>
        <v/>
      </c>
      <c r="D2129" s="5" t="str" cm="1">
        <f t="array" ref="D21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29" s="5" t="str" cm="1">
        <f t="array" ref="E21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29" s="5" t="str" cm="1">
        <f t="array" ref="F21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29" t="str" cm="1">
        <f t="array" ref="G21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29" s="4"/>
      <c r="I2129" s="3" t="str" cm="1">
        <f t="array" ref="I21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0" spans="1:9" x14ac:dyDescent="0.3">
      <c r="A2130" s="3" t="str">
        <f>IF(SISTEMA!A2124="","",SISTEMA!A2124)</f>
        <v/>
      </c>
      <c r="B2130" s="10" t="str">
        <f>IF(SISTEMA!B2124="","",VALUE(SISTEMA!B2124))</f>
        <v/>
      </c>
      <c r="C2130" s="10" t="str">
        <f>IF(SISTEMA!C2124="","",SISTEMA!C2124)</f>
        <v/>
      </c>
      <c r="D2130" s="5" t="str" cm="1">
        <f t="array" ref="D21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0" s="5" t="str" cm="1">
        <f t="array" ref="E21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0" s="5" t="str" cm="1">
        <f t="array" ref="F21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0" t="str" cm="1">
        <f t="array" ref="G21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0" s="4"/>
      <c r="I2130" s="3" t="str" cm="1">
        <f t="array" ref="I21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1" spans="1:9" x14ac:dyDescent="0.3">
      <c r="A2131" s="3" t="str">
        <f>IF(SISTEMA!A2125="","",SISTEMA!A2125)</f>
        <v/>
      </c>
      <c r="B2131" s="10" t="str">
        <f>IF(SISTEMA!B2125="","",VALUE(SISTEMA!B2125))</f>
        <v/>
      </c>
      <c r="C2131" s="10" t="str">
        <f>IF(SISTEMA!C2125="","",SISTEMA!C2125)</f>
        <v/>
      </c>
      <c r="D2131" s="5" t="str" cm="1">
        <f t="array" ref="D21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1" s="5" t="str" cm="1">
        <f t="array" ref="E21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1" s="5" t="str" cm="1">
        <f t="array" ref="F21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1" t="str" cm="1">
        <f t="array" ref="G21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1" s="4"/>
      <c r="I2131" s="3" t="str" cm="1">
        <f t="array" ref="I21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2" spans="1:9" x14ac:dyDescent="0.3">
      <c r="A2132" s="3" t="str">
        <f>IF(SISTEMA!A2126="","",SISTEMA!A2126)</f>
        <v/>
      </c>
      <c r="B2132" s="10" t="str">
        <f>IF(SISTEMA!B2126="","",VALUE(SISTEMA!B2126))</f>
        <v/>
      </c>
      <c r="C2132" s="10" t="str">
        <f>IF(SISTEMA!C2126="","",SISTEMA!C2126)</f>
        <v/>
      </c>
      <c r="D2132" s="5" t="str" cm="1">
        <f t="array" ref="D21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2" s="5" t="str" cm="1">
        <f t="array" ref="E21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2" s="5" t="str" cm="1">
        <f t="array" ref="F21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2" t="str" cm="1">
        <f t="array" ref="G21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2" s="4"/>
      <c r="I2132" s="3" t="str" cm="1">
        <f t="array" ref="I21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3" spans="1:9" x14ac:dyDescent="0.3">
      <c r="A2133" s="3" t="str">
        <f>IF(SISTEMA!A2127="","",SISTEMA!A2127)</f>
        <v/>
      </c>
      <c r="B2133" s="10" t="str">
        <f>IF(SISTEMA!B2127="","",VALUE(SISTEMA!B2127))</f>
        <v/>
      </c>
      <c r="C2133" s="10" t="str">
        <f>IF(SISTEMA!C2127="","",SISTEMA!C2127)</f>
        <v/>
      </c>
      <c r="D2133" s="5" t="str" cm="1">
        <f t="array" ref="D21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3" s="5" t="str" cm="1">
        <f t="array" ref="E21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3" s="5" t="str" cm="1">
        <f t="array" ref="F21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3" t="str" cm="1">
        <f t="array" ref="G21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3" s="4"/>
      <c r="I2133" s="3" t="str" cm="1">
        <f t="array" ref="I21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4" spans="1:9" x14ac:dyDescent="0.3">
      <c r="A2134" s="3" t="str">
        <f>IF(SISTEMA!A2128="","",SISTEMA!A2128)</f>
        <v/>
      </c>
      <c r="B2134" s="10" t="str">
        <f>IF(SISTEMA!B2128="","",VALUE(SISTEMA!B2128))</f>
        <v/>
      </c>
      <c r="C2134" s="10" t="str">
        <f>IF(SISTEMA!C2128="","",SISTEMA!C2128)</f>
        <v/>
      </c>
      <c r="D2134" s="5" t="str" cm="1">
        <f t="array" ref="D21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4" s="5" t="str" cm="1">
        <f t="array" ref="E21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4" s="5" t="str" cm="1">
        <f t="array" ref="F21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4" t="str" cm="1">
        <f t="array" ref="G21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4" s="4"/>
      <c r="I2134" s="3" t="str" cm="1">
        <f t="array" ref="I21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5" spans="1:9" x14ac:dyDescent="0.3">
      <c r="A2135" s="3" t="str">
        <f>IF(SISTEMA!A2129="","",SISTEMA!A2129)</f>
        <v/>
      </c>
      <c r="B2135" s="10" t="str">
        <f>IF(SISTEMA!B2129="","",VALUE(SISTEMA!B2129))</f>
        <v/>
      </c>
      <c r="C2135" s="10" t="str">
        <f>IF(SISTEMA!C2129="","",SISTEMA!C2129)</f>
        <v/>
      </c>
      <c r="D2135" s="5" t="str" cm="1">
        <f t="array" ref="D21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5" s="5" t="str" cm="1">
        <f t="array" ref="E21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5" s="5" t="str" cm="1">
        <f t="array" ref="F21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5" t="str" cm="1">
        <f t="array" ref="G21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5" s="4"/>
      <c r="I2135" s="3" t="str" cm="1">
        <f t="array" ref="I21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6" spans="1:9" x14ac:dyDescent="0.3">
      <c r="A2136" s="3" t="str">
        <f>IF(SISTEMA!A2130="","",SISTEMA!A2130)</f>
        <v/>
      </c>
      <c r="B2136" s="10" t="str">
        <f>IF(SISTEMA!B2130="","",VALUE(SISTEMA!B2130))</f>
        <v/>
      </c>
      <c r="C2136" s="10" t="str">
        <f>IF(SISTEMA!C2130="","",SISTEMA!C2130)</f>
        <v/>
      </c>
      <c r="D2136" s="5" t="str" cm="1">
        <f t="array" ref="D21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6" s="5" t="str" cm="1">
        <f t="array" ref="E21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6" s="5" t="str" cm="1">
        <f t="array" ref="F21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6" t="str" cm="1">
        <f t="array" ref="G21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6" s="4"/>
      <c r="I2136" s="3" t="str" cm="1">
        <f t="array" ref="I21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7" spans="1:9" x14ac:dyDescent="0.3">
      <c r="A2137" s="3" t="str">
        <f>IF(SISTEMA!A2131="","",SISTEMA!A2131)</f>
        <v/>
      </c>
      <c r="B2137" s="10" t="str">
        <f>IF(SISTEMA!B2131="","",VALUE(SISTEMA!B2131))</f>
        <v/>
      </c>
      <c r="C2137" s="10" t="str">
        <f>IF(SISTEMA!C2131="","",SISTEMA!C2131)</f>
        <v/>
      </c>
      <c r="D2137" s="5" t="str" cm="1">
        <f t="array" ref="D21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7" s="5" t="str" cm="1">
        <f t="array" ref="E21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7" s="5" t="str" cm="1">
        <f t="array" ref="F21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7" t="str" cm="1">
        <f t="array" ref="G21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7" s="4"/>
      <c r="I2137" s="3" t="str" cm="1">
        <f t="array" ref="I21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8" spans="1:9" x14ac:dyDescent="0.3">
      <c r="A2138" s="3" t="str">
        <f>IF(SISTEMA!A2132="","",SISTEMA!A2132)</f>
        <v/>
      </c>
      <c r="B2138" s="10" t="str">
        <f>IF(SISTEMA!B2132="","",VALUE(SISTEMA!B2132))</f>
        <v/>
      </c>
      <c r="C2138" s="10" t="str">
        <f>IF(SISTEMA!C2132="","",SISTEMA!C2132)</f>
        <v/>
      </c>
      <c r="D2138" s="5" t="str" cm="1">
        <f t="array" ref="D21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8" s="5" t="str" cm="1">
        <f t="array" ref="E21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8" s="5" t="str" cm="1">
        <f t="array" ref="F21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8" t="str" cm="1">
        <f t="array" ref="G21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8" s="4"/>
      <c r="I2138" s="3" t="str" cm="1">
        <f t="array" ref="I21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39" spans="1:9" x14ac:dyDescent="0.3">
      <c r="A2139" s="3" t="str">
        <f>IF(SISTEMA!A2133="","",SISTEMA!A2133)</f>
        <v/>
      </c>
      <c r="B2139" s="10" t="str">
        <f>IF(SISTEMA!B2133="","",VALUE(SISTEMA!B2133))</f>
        <v/>
      </c>
      <c r="C2139" s="10" t="str">
        <f>IF(SISTEMA!C2133="","",SISTEMA!C2133)</f>
        <v/>
      </c>
      <c r="D2139" s="5" t="str" cm="1">
        <f t="array" ref="D21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39" s="5" t="str" cm="1">
        <f t="array" ref="E21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39" s="5" t="str" cm="1">
        <f t="array" ref="F21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39" t="str" cm="1">
        <f t="array" ref="G21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39" s="4"/>
      <c r="I2139" s="3" t="str" cm="1">
        <f t="array" ref="I21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0" spans="1:9" x14ac:dyDescent="0.3">
      <c r="A2140" s="3" t="str">
        <f>IF(SISTEMA!A2134="","",SISTEMA!A2134)</f>
        <v/>
      </c>
      <c r="B2140" s="10" t="str">
        <f>IF(SISTEMA!B2134="","",VALUE(SISTEMA!B2134))</f>
        <v/>
      </c>
      <c r="C2140" s="10" t="str">
        <f>IF(SISTEMA!C2134="","",SISTEMA!C2134)</f>
        <v/>
      </c>
      <c r="D2140" s="5" t="str" cm="1">
        <f t="array" ref="D21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0" s="5" t="str" cm="1">
        <f t="array" ref="E21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0" s="5" t="str" cm="1">
        <f t="array" ref="F21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0" t="str" cm="1">
        <f t="array" ref="G21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0" s="4"/>
      <c r="I2140" s="3" t="str" cm="1">
        <f t="array" ref="I21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1" spans="1:9" x14ac:dyDescent="0.3">
      <c r="A2141" s="3" t="str">
        <f>IF(SISTEMA!A2135="","",SISTEMA!A2135)</f>
        <v/>
      </c>
      <c r="B2141" s="10" t="str">
        <f>IF(SISTEMA!B2135="","",VALUE(SISTEMA!B2135))</f>
        <v/>
      </c>
      <c r="C2141" s="10" t="str">
        <f>IF(SISTEMA!C2135="","",SISTEMA!C2135)</f>
        <v/>
      </c>
      <c r="D2141" s="5" t="str" cm="1">
        <f t="array" ref="D21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1" s="5" t="str" cm="1">
        <f t="array" ref="E21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1" s="5" t="str" cm="1">
        <f t="array" ref="F21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1" t="str" cm="1">
        <f t="array" ref="G21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1" s="4"/>
      <c r="I2141" s="3" t="str" cm="1">
        <f t="array" ref="I21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2" spans="1:9" x14ac:dyDescent="0.3">
      <c r="A2142" s="3" t="str">
        <f>IF(SISTEMA!A2136="","",SISTEMA!A2136)</f>
        <v/>
      </c>
      <c r="B2142" s="10" t="str">
        <f>IF(SISTEMA!B2136="","",VALUE(SISTEMA!B2136))</f>
        <v/>
      </c>
      <c r="C2142" s="10" t="str">
        <f>IF(SISTEMA!C2136="","",SISTEMA!C2136)</f>
        <v/>
      </c>
      <c r="D2142" s="5" t="str" cm="1">
        <f t="array" ref="D21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2" s="5" t="str" cm="1">
        <f t="array" ref="E21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2" s="5" t="str" cm="1">
        <f t="array" ref="F21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2" t="str" cm="1">
        <f t="array" ref="G21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2" s="4"/>
      <c r="I2142" s="3" t="str" cm="1">
        <f t="array" ref="I21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3" spans="1:9" x14ac:dyDescent="0.3">
      <c r="A2143" s="3" t="str">
        <f>IF(SISTEMA!A2137="","",SISTEMA!A2137)</f>
        <v/>
      </c>
      <c r="B2143" s="10" t="str">
        <f>IF(SISTEMA!B2137="","",VALUE(SISTEMA!B2137))</f>
        <v/>
      </c>
      <c r="C2143" s="10" t="str">
        <f>IF(SISTEMA!C2137="","",SISTEMA!C2137)</f>
        <v/>
      </c>
      <c r="D2143" s="5" t="str" cm="1">
        <f t="array" ref="D21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3" s="5" t="str" cm="1">
        <f t="array" ref="E21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3" s="5" t="str" cm="1">
        <f t="array" ref="F21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3" t="str" cm="1">
        <f t="array" ref="G21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3" s="4"/>
      <c r="I2143" s="3" t="str" cm="1">
        <f t="array" ref="I21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4" spans="1:9" x14ac:dyDescent="0.3">
      <c r="A2144" s="3" t="str">
        <f>IF(SISTEMA!A2138="","",SISTEMA!A2138)</f>
        <v/>
      </c>
      <c r="B2144" s="10" t="str">
        <f>IF(SISTEMA!B2138="","",VALUE(SISTEMA!B2138))</f>
        <v/>
      </c>
      <c r="C2144" s="10" t="str">
        <f>IF(SISTEMA!C2138="","",SISTEMA!C2138)</f>
        <v/>
      </c>
      <c r="D2144" s="5" t="str" cm="1">
        <f t="array" ref="D21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4" s="5" t="str" cm="1">
        <f t="array" ref="E21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4" s="5" t="str" cm="1">
        <f t="array" ref="F21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4" t="str" cm="1">
        <f t="array" ref="G21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4" s="4"/>
      <c r="I2144" s="3" t="str" cm="1">
        <f t="array" ref="I21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5" spans="1:9" x14ac:dyDescent="0.3">
      <c r="A2145" s="3" t="str">
        <f>IF(SISTEMA!A2139="","",SISTEMA!A2139)</f>
        <v/>
      </c>
      <c r="B2145" s="10" t="str">
        <f>IF(SISTEMA!B2139="","",VALUE(SISTEMA!B2139))</f>
        <v/>
      </c>
      <c r="C2145" s="10" t="str">
        <f>IF(SISTEMA!C2139="","",SISTEMA!C2139)</f>
        <v/>
      </c>
      <c r="D2145" s="5" t="str" cm="1">
        <f t="array" ref="D21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5" s="5" t="str" cm="1">
        <f t="array" ref="E21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5" s="5" t="str" cm="1">
        <f t="array" ref="F21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5" t="str" cm="1">
        <f t="array" ref="G21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5" s="4"/>
      <c r="I2145" s="3" t="str" cm="1">
        <f t="array" ref="I21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6" spans="1:9" x14ac:dyDescent="0.3">
      <c r="A2146" s="3" t="str">
        <f>IF(SISTEMA!A2140="","",SISTEMA!A2140)</f>
        <v/>
      </c>
      <c r="B2146" s="10" t="str">
        <f>IF(SISTEMA!B2140="","",VALUE(SISTEMA!B2140))</f>
        <v/>
      </c>
      <c r="C2146" s="10" t="str">
        <f>IF(SISTEMA!C2140="","",SISTEMA!C2140)</f>
        <v/>
      </c>
      <c r="D2146" s="5" t="str" cm="1">
        <f t="array" ref="D21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6" s="5" t="str" cm="1">
        <f t="array" ref="E21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6" s="5" t="str" cm="1">
        <f t="array" ref="F21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6" t="str" cm="1">
        <f t="array" ref="G21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6" s="4"/>
      <c r="I2146" s="3" t="str" cm="1">
        <f t="array" ref="I21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7" spans="1:9" x14ac:dyDescent="0.3">
      <c r="A2147" s="3" t="str">
        <f>IF(SISTEMA!A2141="","",SISTEMA!A2141)</f>
        <v/>
      </c>
      <c r="B2147" s="10" t="str">
        <f>IF(SISTEMA!B2141="","",VALUE(SISTEMA!B2141))</f>
        <v/>
      </c>
      <c r="C2147" s="10" t="str">
        <f>IF(SISTEMA!C2141="","",SISTEMA!C2141)</f>
        <v/>
      </c>
      <c r="D2147" s="5" t="str" cm="1">
        <f t="array" ref="D21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7" s="5" t="str" cm="1">
        <f t="array" ref="E21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7" s="5" t="str" cm="1">
        <f t="array" ref="F21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7" t="str" cm="1">
        <f t="array" ref="G21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7" s="4"/>
      <c r="I2147" s="3" t="str" cm="1">
        <f t="array" ref="I21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8" spans="1:9" x14ac:dyDescent="0.3">
      <c r="A2148" s="3" t="str">
        <f>IF(SISTEMA!A2142="","",SISTEMA!A2142)</f>
        <v/>
      </c>
      <c r="B2148" s="10" t="str">
        <f>IF(SISTEMA!B2142="","",VALUE(SISTEMA!B2142))</f>
        <v/>
      </c>
      <c r="C2148" s="10" t="str">
        <f>IF(SISTEMA!C2142="","",SISTEMA!C2142)</f>
        <v/>
      </c>
      <c r="D2148" s="5" t="str" cm="1">
        <f t="array" ref="D21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8" s="5" t="str" cm="1">
        <f t="array" ref="E21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8" s="5" t="str" cm="1">
        <f t="array" ref="F21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8" t="str" cm="1">
        <f t="array" ref="G21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8" s="4"/>
      <c r="I2148" s="3" t="str" cm="1">
        <f t="array" ref="I21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49" spans="1:9" x14ac:dyDescent="0.3">
      <c r="A2149" s="3" t="str">
        <f>IF(SISTEMA!A2143="","",SISTEMA!A2143)</f>
        <v/>
      </c>
      <c r="B2149" s="10" t="str">
        <f>IF(SISTEMA!B2143="","",VALUE(SISTEMA!B2143))</f>
        <v/>
      </c>
      <c r="C2149" s="10" t="str">
        <f>IF(SISTEMA!C2143="","",SISTEMA!C2143)</f>
        <v/>
      </c>
      <c r="D2149" s="5" t="str" cm="1">
        <f t="array" ref="D21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49" s="5" t="str" cm="1">
        <f t="array" ref="E21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49" s="5" t="str" cm="1">
        <f t="array" ref="F21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49" t="str" cm="1">
        <f t="array" ref="G21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49" s="4"/>
      <c r="I2149" s="3" t="str" cm="1">
        <f t="array" ref="I21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0" spans="1:9" x14ac:dyDescent="0.3">
      <c r="A2150" s="3" t="str">
        <f>IF(SISTEMA!A2144="","",SISTEMA!A2144)</f>
        <v/>
      </c>
      <c r="B2150" s="10" t="str">
        <f>IF(SISTEMA!B2144="","",VALUE(SISTEMA!B2144))</f>
        <v/>
      </c>
      <c r="C2150" s="10" t="str">
        <f>IF(SISTEMA!C2144="","",SISTEMA!C2144)</f>
        <v/>
      </c>
      <c r="D2150" s="5" t="str" cm="1">
        <f t="array" ref="D21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0" s="5" t="str" cm="1">
        <f t="array" ref="E21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0" s="5" t="str" cm="1">
        <f t="array" ref="F21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0" t="str" cm="1">
        <f t="array" ref="G21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0" s="4"/>
      <c r="I2150" s="3" t="str" cm="1">
        <f t="array" ref="I21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1" spans="1:9" x14ac:dyDescent="0.3">
      <c r="A2151" s="3" t="str">
        <f>IF(SISTEMA!A2145="","",SISTEMA!A2145)</f>
        <v/>
      </c>
      <c r="B2151" s="10" t="str">
        <f>IF(SISTEMA!B2145="","",VALUE(SISTEMA!B2145))</f>
        <v/>
      </c>
      <c r="C2151" s="10" t="str">
        <f>IF(SISTEMA!C2145="","",SISTEMA!C2145)</f>
        <v/>
      </c>
      <c r="D2151" s="5" t="str" cm="1">
        <f t="array" ref="D21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1" s="5" t="str" cm="1">
        <f t="array" ref="E21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1" s="5" t="str" cm="1">
        <f t="array" ref="F21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1" t="str" cm="1">
        <f t="array" ref="G21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1" s="4"/>
      <c r="I2151" s="3" t="str" cm="1">
        <f t="array" ref="I21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2" spans="1:9" x14ac:dyDescent="0.3">
      <c r="A2152" s="3" t="str">
        <f>IF(SISTEMA!A2146="","",SISTEMA!A2146)</f>
        <v/>
      </c>
      <c r="B2152" s="10" t="str">
        <f>IF(SISTEMA!B2146="","",VALUE(SISTEMA!B2146))</f>
        <v/>
      </c>
      <c r="C2152" s="10" t="str">
        <f>IF(SISTEMA!C2146="","",SISTEMA!C2146)</f>
        <v/>
      </c>
      <c r="D2152" s="5" t="str" cm="1">
        <f t="array" ref="D21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2" s="5" t="str" cm="1">
        <f t="array" ref="E21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2" s="5" t="str" cm="1">
        <f t="array" ref="F21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2" t="str" cm="1">
        <f t="array" ref="G21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2" s="4"/>
      <c r="I2152" s="3" t="str" cm="1">
        <f t="array" ref="I21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3" spans="1:9" x14ac:dyDescent="0.3">
      <c r="A2153" s="3" t="str">
        <f>IF(SISTEMA!A2147="","",SISTEMA!A2147)</f>
        <v/>
      </c>
      <c r="B2153" s="10" t="str">
        <f>IF(SISTEMA!B2147="","",VALUE(SISTEMA!B2147))</f>
        <v/>
      </c>
      <c r="C2153" s="10" t="str">
        <f>IF(SISTEMA!C2147="","",SISTEMA!C2147)</f>
        <v/>
      </c>
      <c r="D2153" s="5" t="str" cm="1">
        <f t="array" ref="D21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3" s="5" t="str" cm="1">
        <f t="array" ref="E21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3" s="5" t="str" cm="1">
        <f t="array" ref="F21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3" t="str" cm="1">
        <f t="array" ref="G21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3" s="4"/>
      <c r="I2153" s="3" t="str" cm="1">
        <f t="array" ref="I21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4" spans="1:9" x14ac:dyDescent="0.3">
      <c r="A2154" s="3" t="str">
        <f>IF(SISTEMA!A2148="","",SISTEMA!A2148)</f>
        <v/>
      </c>
      <c r="B2154" s="10" t="str">
        <f>IF(SISTEMA!B2148="","",VALUE(SISTEMA!B2148))</f>
        <v/>
      </c>
      <c r="C2154" s="10" t="str">
        <f>IF(SISTEMA!C2148="","",SISTEMA!C2148)</f>
        <v/>
      </c>
      <c r="D2154" s="5" t="str" cm="1">
        <f t="array" ref="D21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4" s="5" t="str" cm="1">
        <f t="array" ref="E21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4" s="5" t="str" cm="1">
        <f t="array" ref="F21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4" t="str" cm="1">
        <f t="array" ref="G21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4" s="4"/>
      <c r="I2154" s="3" t="str" cm="1">
        <f t="array" ref="I21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5" spans="1:9" x14ac:dyDescent="0.3">
      <c r="A2155" s="3" t="str">
        <f>IF(SISTEMA!A2149="","",SISTEMA!A2149)</f>
        <v/>
      </c>
      <c r="B2155" s="10" t="str">
        <f>IF(SISTEMA!B2149="","",VALUE(SISTEMA!B2149))</f>
        <v/>
      </c>
      <c r="C2155" s="10" t="str">
        <f>IF(SISTEMA!C2149="","",SISTEMA!C2149)</f>
        <v/>
      </c>
      <c r="D2155" s="5" t="str" cm="1">
        <f t="array" ref="D21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5" s="5" t="str" cm="1">
        <f t="array" ref="E21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5" s="5" t="str" cm="1">
        <f t="array" ref="F21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5" t="str" cm="1">
        <f t="array" ref="G21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5" s="4"/>
      <c r="I2155" s="3" t="str" cm="1">
        <f t="array" ref="I21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6" spans="1:9" x14ac:dyDescent="0.3">
      <c r="A2156" s="3" t="str">
        <f>IF(SISTEMA!A2150="","",SISTEMA!A2150)</f>
        <v/>
      </c>
      <c r="B2156" s="10" t="str">
        <f>IF(SISTEMA!B2150="","",VALUE(SISTEMA!B2150))</f>
        <v/>
      </c>
      <c r="C2156" s="10" t="str">
        <f>IF(SISTEMA!C2150="","",SISTEMA!C2150)</f>
        <v/>
      </c>
      <c r="D2156" s="5" t="str" cm="1">
        <f t="array" ref="D21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6" s="5" t="str" cm="1">
        <f t="array" ref="E21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6" s="5" t="str" cm="1">
        <f t="array" ref="F21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6" t="str" cm="1">
        <f t="array" ref="G21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6" s="4"/>
      <c r="I2156" s="3" t="str" cm="1">
        <f t="array" ref="I21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7" spans="1:9" x14ac:dyDescent="0.3">
      <c r="A2157" s="3" t="str">
        <f>IF(SISTEMA!A2151="","",SISTEMA!A2151)</f>
        <v/>
      </c>
      <c r="B2157" s="10" t="str">
        <f>IF(SISTEMA!B2151="","",VALUE(SISTEMA!B2151))</f>
        <v/>
      </c>
      <c r="C2157" s="10" t="str">
        <f>IF(SISTEMA!C2151="","",SISTEMA!C2151)</f>
        <v/>
      </c>
      <c r="D2157" s="5" t="str" cm="1">
        <f t="array" ref="D21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7" s="5" t="str" cm="1">
        <f t="array" ref="E21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7" s="5" t="str" cm="1">
        <f t="array" ref="F21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7" t="str" cm="1">
        <f t="array" ref="G21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7" s="4"/>
      <c r="I2157" s="3" t="str" cm="1">
        <f t="array" ref="I21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8" spans="1:9" x14ac:dyDescent="0.3">
      <c r="A2158" s="3" t="str">
        <f>IF(SISTEMA!A2152="","",SISTEMA!A2152)</f>
        <v/>
      </c>
      <c r="B2158" s="10" t="str">
        <f>IF(SISTEMA!B2152="","",VALUE(SISTEMA!B2152))</f>
        <v/>
      </c>
      <c r="C2158" s="10" t="str">
        <f>IF(SISTEMA!C2152="","",SISTEMA!C2152)</f>
        <v/>
      </c>
      <c r="D2158" s="5" t="str" cm="1">
        <f t="array" ref="D21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8" s="5" t="str" cm="1">
        <f t="array" ref="E21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8" s="5" t="str" cm="1">
        <f t="array" ref="F21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8" t="str" cm="1">
        <f t="array" ref="G21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8" s="4"/>
      <c r="I2158" s="3" t="str" cm="1">
        <f t="array" ref="I21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59" spans="1:9" x14ac:dyDescent="0.3">
      <c r="A2159" s="3" t="str">
        <f>IF(SISTEMA!A2153="","",SISTEMA!A2153)</f>
        <v/>
      </c>
      <c r="B2159" s="10" t="str">
        <f>IF(SISTEMA!B2153="","",VALUE(SISTEMA!B2153))</f>
        <v/>
      </c>
      <c r="C2159" s="10" t="str">
        <f>IF(SISTEMA!C2153="","",SISTEMA!C2153)</f>
        <v/>
      </c>
      <c r="D2159" s="5" t="str" cm="1">
        <f t="array" ref="D21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59" s="5" t="str" cm="1">
        <f t="array" ref="E21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59" s="5" t="str" cm="1">
        <f t="array" ref="F21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59" t="str" cm="1">
        <f t="array" ref="G21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59" s="4"/>
      <c r="I2159" s="3" t="str" cm="1">
        <f t="array" ref="I21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0" spans="1:9" x14ac:dyDescent="0.3">
      <c r="A2160" s="3" t="str">
        <f>IF(SISTEMA!A2154="","",SISTEMA!A2154)</f>
        <v/>
      </c>
      <c r="B2160" s="10" t="str">
        <f>IF(SISTEMA!B2154="","",VALUE(SISTEMA!B2154))</f>
        <v/>
      </c>
      <c r="C2160" s="10" t="str">
        <f>IF(SISTEMA!C2154="","",SISTEMA!C2154)</f>
        <v/>
      </c>
      <c r="D2160" s="5" t="str" cm="1">
        <f t="array" ref="D21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0" s="5" t="str" cm="1">
        <f t="array" ref="E21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0" s="5" t="str" cm="1">
        <f t="array" ref="F21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0" t="str" cm="1">
        <f t="array" ref="G21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0" s="4"/>
      <c r="I2160" s="3" t="str" cm="1">
        <f t="array" ref="I21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1" spans="1:9" x14ac:dyDescent="0.3">
      <c r="A2161" s="3" t="str">
        <f>IF(SISTEMA!A2155="","",SISTEMA!A2155)</f>
        <v/>
      </c>
      <c r="B2161" s="10" t="str">
        <f>IF(SISTEMA!B2155="","",VALUE(SISTEMA!B2155))</f>
        <v/>
      </c>
      <c r="C2161" s="10" t="str">
        <f>IF(SISTEMA!C2155="","",SISTEMA!C2155)</f>
        <v/>
      </c>
      <c r="D2161" s="5" t="str" cm="1">
        <f t="array" ref="D21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1" s="5" t="str" cm="1">
        <f t="array" ref="E21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1" s="5" t="str" cm="1">
        <f t="array" ref="F21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1" t="str" cm="1">
        <f t="array" ref="G21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1" s="4"/>
      <c r="I2161" s="3" t="str" cm="1">
        <f t="array" ref="I21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2" spans="1:9" x14ac:dyDescent="0.3">
      <c r="A2162" s="3" t="str">
        <f>IF(SISTEMA!A2156="","",SISTEMA!A2156)</f>
        <v/>
      </c>
      <c r="B2162" s="10" t="str">
        <f>IF(SISTEMA!B2156="","",VALUE(SISTEMA!B2156))</f>
        <v/>
      </c>
      <c r="C2162" s="10" t="str">
        <f>IF(SISTEMA!C2156="","",SISTEMA!C2156)</f>
        <v/>
      </c>
      <c r="D2162" s="5" t="str" cm="1">
        <f t="array" ref="D21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2" s="5" t="str" cm="1">
        <f t="array" ref="E21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2" s="5" t="str" cm="1">
        <f t="array" ref="F21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2" t="str" cm="1">
        <f t="array" ref="G21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2" s="4"/>
      <c r="I2162" s="3" t="str" cm="1">
        <f t="array" ref="I21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3" spans="1:9" x14ac:dyDescent="0.3">
      <c r="A2163" s="3" t="str">
        <f>IF(SISTEMA!A2157="","",SISTEMA!A2157)</f>
        <v/>
      </c>
      <c r="B2163" s="10" t="str">
        <f>IF(SISTEMA!B2157="","",VALUE(SISTEMA!B2157))</f>
        <v/>
      </c>
      <c r="C2163" s="10" t="str">
        <f>IF(SISTEMA!C2157="","",SISTEMA!C2157)</f>
        <v/>
      </c>
      <c r="D2163" s="5" t="str" cm="1">
        <f t="array" ref="D21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3" s="5" t="str" cm="1">
        <f t="array" ref="E21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3" s="5" t="str" cm="1">
        <f t="array" ref="F21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3" t="str" cm="1">
        <f t="array" ref="G21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3" s="4"/>
      <c r="I2163" s="3" t="str" cm="1">
        <f t="array" ref="I21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4" spans="1:9" x14ac:dyDescent="0.3">
      <c r="A2164" s="3" t="str">
        <f>IF(SISTEMA!A2158="","",SISTEMA!A2158)</f>
        <v/>
      </c>
      <c r="B2164" s="10" t="str">
        <f>IF(SISTEMA!B2158="","",VALUE(SISTEMA!B2158))</f>
        <v/>
      </c>
      <c r="C2164" s="10" t="str">
        <f>IF(SISTEMA!C2158="","",SISTEMA!C2158)</f>
        <v/>
      </c>
      <c r="D2164" s="5" t="str" cm="1">
        <f t="array" ref="D21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4" s="5" t="str" cm="1">
        <f t="array" ref="E21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4" s="5" t="str" cm="1">
        <f t="array" ref="F21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4" t="str" cm="1">
        <f t="array" ref="G21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4" s="4"/>
      <c r="I2164" s="3" t="str" cm="1">
        <f t="array" ref="I21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5" spans="1:9" x14ac:dyDescent="0.3">
      <c r="A2165" s="3" t="str">
        <f>IF(SISTEMA!A2159="","",SISTEMA!A2159)</f>
        <v/>
      </c>
      <c r="B2165" s="10" t="str">
        <f>IF(SISTEMA!B2159="","",VALUE(SISTEMA!B2159))</f>
        <v/>
      </c>
      <c r="C2165" s="10" t="str">
        <f>IF(SISTEMA!C2159="","",SISTEMA!C2159)</f>
        <v/>
      </c>
      <c r="D2165" s="5" t="str" cm="1">
        <f t="array" ref="D21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5" s="5" t="str" cm="1">
        <f t="array" ref="E21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5" s="5" t="str" cm="1">
        <f t="array" ref="F21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5" t="str" cm="1">
        <f t="array" ref="G21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5" s="4"/>
      <c r="I2165" s="3" t="str" cm="1">
        <f t="array" ref="I21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6" spans="1:9" x14ac:dyDescent="0.3">
      <c r="A2166" s="3" t="str">
        <f>IF(SISTEMA!A2160="","",SISTEMA!A2160)</f>
        <v/>
      </c>
      <c r="B2166" s="10" t="str">
        <f>IF(SISTEMA!B2160="","",VALUE(SISTEMA!B2160))</f>
        <v/>
      </c>
      <c r="C2166" s="10" t="str">
        <f>IF(SISTEMA!C2160="","",SISTEMA!C2160)</f>
        <v/>
      </c>
      <c r="D2166" s="5" t="str" cm="1">
        <f t="array" ref="D21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6" s="5" t="str" cm="1">
        <f t="array" ref="E21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6" s="5" t="str" cm="1">
        <f t="array" ref="F21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6" t="str" cm="1">
        <f t="array" ref="G21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6" s="4"/>
      <c r="I2166" s="3" t="str" cm="1">
        <f t="array" ref="I21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7" spans="1:9" x14ac:dyDescent="0.3">
      <c r="A2167" s="3" t="str">
        <f>IF(SISTEMA!A2161="","",SISTEMA!A2161)</f>
        <v/>
      </c>
      <c r="B2167" s="10" t="str">
        <f>IF(SISTEMA!B2161="","",VALUE(SISTEMA!B2161))</f>
        <v/>
      </c>
      <c r="C2167" s="10" t="str">
        <f>IF(SISTEMA!C2161="","",SISTEMA!C2161)</f>
        <v/>
      </c>
      <c r="D2167" s="5" t="str" cm="1">
        <f t="array" ref="D21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7" s="5" t="str" cm="1">
        <f t="array" ref="E21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7" s="5" t="str" cm="1">
        <f t="array" ref="F21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7" t="str" cm="1">
        <f t="array" ref="G21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7" s="4"/>
      <c r="I2167" s="3" t="str" cm="1">
        <f t="array" ref="I21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8" spans="1:9" x14ac:dyDescent="0.3">
      <c r="A2168" s="3" t="str">
        <f>IF(SISTEMA!A2162="","",SISTEMA!A2162)</f>
        <v/>
      </c>
      <c r="B2168" s="10" t="str">
        <f>IF(SISTEMA!B2162="","",VALUE(SISTEMA!B2162))</f>
        <v/>
      </c>
      <c r="C2168" s="10" t="str">
        <f>IF(SISTEMA!C2162="","",SISTEMA!C2162)</f>
        <v/>
      </c>
      <c r="D2168" s="5" t="str" cm="1">
        <f t="array" ref="D21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8" s="5" t="str" cm="1">
        <f t="array" ref="E21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8" s="5" t="str" cm="1">
        <f t="array" ref="F21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8" t="str" cm="1">
        <f t="array" ref="G21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8" s="4"/>
      <c r="I2168" s="3" t="str" cm="1">
        <f t="array" ref="I21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69" spans="1:9" x14ac:dyDescent="0.3">
      <c r="A2169" s="3" t="str">
        <f>IF(SISTEMA!A2163="","",SISTEMA!A2163)</f>
        <v/>
      </c>
      <c r="B2169" s="10" t="str">
        <f>IF(SISTEMA!B2163="","",VALUE(SISTEMA!B2163))</f>
        <v/>
      </c>
      <c r="C2169" s="10" t="str">
        <f>IF(SISTEMA!C2163="","",SISTEMA!C2163)</f>
        <v/>
      </c>
      <c r="D2169" s="5" t="str" cm="1">
        <f t="array" ref="D21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69" s="5" t="str" cm="1">
        <f t="array" ref="E21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69" s="5" t="str" cm="1">
        <f t="array" ref="F21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69" t="str" cm="1">
        <f t="array" ref="G21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69" s="4"/>
      <c r="I2169" s="3" t="str" cm="1">
        <f t="array" ref="I21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0" spans="1:9" x14ac:dyDescent="0.3">
      <c r="A2170" s="3" t="str">
        <f>IF(SISTEMA!A2164="","",SISTEMA!A2164)</f>
        <v/>
      </c>
      <c r="B2170" s="10" t="str">
        <f>IF(SISTEMA!B2164="","",VALUE(SISTEMA!B2164))</f>
        <v/>
      </c>
      <c r="C2170" s="10" t="str">
        <f>IF(SISTEMA!C2164="","",SISTEMA!C2164)</f>
        <v/>
      </c>
      <c r="D2170" s="5" t="str" cm="1">
        <f t="array" ref="D21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0" s="5" t="str" cm="1">
        <f t="array" ref="E21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0" s="5" t="str" cm="1">
        <f t="array" ref="F21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0" t="str" cm="1">
        <f t="array" ref="G21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0" s="4"/>
      <c r="I2170" s="3" t="str" cm="1">
        <f t="array" ref="I21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1" spans="1:9" x14ac:dyDescent="0.3">
      <c r="A2171" s="3" t="str">
        <f>IF(SISTEMA!A2165="","",SISTEMA!A2165)</f>
        <v/>
      </c>
      <c r="B2171" s="10" t="str">
        <f>IF(SISTEMA!B2165="","",VALUE(SISTEMA!B2165))</f>
        <v/>
      </c>
      <c r="C2171" s="10" t="str">
        <f>IF(SISTEMA!C2165="","",SISTEMA!C2165)</f>
        <v/>
      </c>
      <c r="D2171" s="5" t="str" cm="1">
        <f t="array" ref="D21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1" s="5" t="str" cm="1">
        <f t="array" ref="E21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1" s="5" t="str" cm="1">
        <f t="array" ref="F21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1" t="str" cm="1">
        <f t="array" ref="G21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1" s="4"/>
      <c r="I2171" s="3" t="str" cm="1">
        <f t="array" ref="I21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2" spans="1:9" x14ac:dyDescent="0.3">
      <c r="A2172" s="3" t="str">
        <f>IF(SISTEMA!A2166="","",SISTEMA!A2166)</f>
        <v/>
      </c>
      <c r="B2172" s="10" t="str">
        <f>IF(SISTEMA!B2166="","",VALUE(SISTEMA!B2166))</f>
        <v/>
      </c>
      <c r="C2172" s="10" t="str">
        <f>IF(SISTEMA!C2166="","",SISTEMA!C2166)</f>
        <v/>
      </c>
      <c r="D2172" s="5" t="str" cm="1">
        <f t="array" ref="D21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2" s="5" t="str" cm="1">
        <f t="array" ref="E21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2" s="5" t="str" cm="1">
        <f t="array" ref="F21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2" t="str" cm="1">
        <f t="array" ref="G21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2" s="4"/>
      <c r="I2172" s="3" t="str" cm="1">
        <f t="array" ref="I21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3" spans="1:9" x14ac:dyDescent="0.3">
      <c r="A2173" s="3" t="str">
        <f>IF(SISTEMA!A2167="","",SISTEMA!A2167)</f>
        <v/>
      </c>
      <c r="B2173" s="10" t="str">
        <f>IF(SISTEMA!B2167="","",VALUE(SISTEMA!B2167))</f>
        <v/>
      </c>
      <c r="C2173" s="10" t="str">
        <f>IF(SISTEMA!C2167="","",SISTEMA!C2167)</f>
        <v/>
      </c>
      <c r="D2173" s="5" t="str" cm="1">
        <f t="array" ref="D21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3" s="5" t="str" cm="1">
        <f t="array" ref="E21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3" s="5" t="str" cm="1">
        <f t="array" ref="F21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3" t="str" cm="1">
        <f t="array" ref="G21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3" s="4"/>
      <c r="I2173" s="3" t="str" cm="1">
        <f t="array" ref="I21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4" spans="1:9" x14ac:dyDescent="0.3">
      <c r="A2174" s="3" t="str">
        <f>IF(SISTEMA!A2168="","",SISTEMA!A2168)</f>
        <v/>
      </c>
      <c r="B2174" s="10" t="str">
        <f>IF(SISTEMA!B2168="","",VALUE(SISTEMA!B2168))</f>
        <v/>
      </c>
      <c r="C2174" s="10" t="str">
        <f>IF(SISTEMA!C2168="","",SISTEMA!C2168)</f>
        <v/>
      </c>
      <c r="D2174" s="5" t="str" cm="1">
        <f t="array" ref="D21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4" s="5" t="str" cm="1">
        <f t="array" ref="E21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4" s="5" t="str" cm="1">
        <f t="array" ref="F21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4" t="str" cm="1">
        <f t="array" ref="G21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4" s="4"/>
      <c r="I2174" s="3" t="str" cm="1">
        <f t="array" ref="I21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5" spans="1:9" x14ac:dyDescent="0.3">
      <c r="A2175" s="3" t="str">
        <f>IF(SISTEMA!A2169="","",SISTEMA!A2169)</f>
        <v/>
      </c>
      <c r="B2175" s="10" t="str">
        <f>IF(SISTEMA!B2169="","",VALUE(SISTEMA!B2169))</f>
        <v/>
      </c>
      <c r="C2175" s="10" t="str">
        <f>IF(SISTEMA!C2169="","",SISTEMA!C2169)</f>
        <v/>
      </c>
      <c r="D2175" s="5" t="str" cm="1">
        <f t="array" ref="D21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5" s="5" t="str" cm="1">
        <f t="array" ref="E21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5" s="5" t="str" cm="1">
        <f t="array" ref="F21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5" t="str" cm="1">
        <f t="array" ref="G21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5" s="4"/>
      <c r="I2175" s="3" t="str" cm="1">
        <f t="array" ref="I21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6" spans="1:9" x14ac:dyDescent="0.3">
      <c r="A2176" s="3" t="str">
        <f>IF(SISTEMA!A2170="","",SISTEMA!A2170)</f>
        <v/>
      </c>
      <c r="B2176" s="10" t="str">
        <f>IF(SISTEMA!B2170="","",VALUE(SISTEMA!B2170))</f>
        <v/>
      </c>
      <c r="C2176" s="10" t="str">
        <f>IF(SISTEMA!C2170="","",SISTEMA!C2170)</f>
        <v/>
      </c>
      <c r="D2176" s="5" t="str" cm="1">
        <f t="array" ref="D21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6" s="5" t="str" cm="1">
        <f t="array" ref="E21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6" s="5" t="str" cm="1">
        <f t="array" ref="F21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6" t="str" cm="1">
        <f t="array" ref="G21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6" s="4"/>
      <c r="I2176" s="3" t="str" cm="1">
        <f t="array" ref="I21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7" spans="1:9" x14ac:dyDescent="0.3">
      <c r="A2177" s="3" t="str">
        <f>IF(SISTEMA!A2171="","",SISTEMA!A2171)</f>
        <v/>
      </c>
      <c r="B2177" s="10" t="str">
        <f>IF(SISTEMA!B2171="","",VALUE(SISTEMA!B2171))</f>
        <v/>
      </c>
      <c r="C2177" s="10" t="str">
        <f>IF(SISTEMA!C2171="","",SISTEMA!C2171)</f>
        <v/>
      </c>
      <c r="D2177" s="5" t="str" cm="1">
        <f t="array" ref="D21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7" s="5" t="str" cm="1">
        <f t="array" ref="E21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7" s="5" t="str" cm="1">
        <f t="array" ref="F21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7" t="str" cm="1">
        <f t="array" ref="G21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7" s="4"/>
      <c r="I2177" s="3" t="str" cm="1">
        <f t="array" ref="I21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8" spans="1:9" x14ac:dyDescent="0.3">
      <c r="A2178" s="3" t="str">
        <f>IF(SISTEMA!A2172="","",SISTEMA!A2172)</f>
        <v/>
      </c>
      <c r="B2178" s="10" t="str">
        <f>IF(SISTEMA!B2172="","",VALUE(SISTEMA!B2172))</f>
        <v/>
      </c>
      <c r="C2178" s="10" t="str">
        <f>IF(SISTEMA!C2172="","",SISTEMA!C2172)</f>
        <v/>
      </c>
      <c r="D2178" s="5" t="str" cm="1">
        <f t="array" ref="D21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8" s="5" t="str" cm="1">
        <f t="array" ref="E21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8" s="5" t="str" cm="1">
        <f t="array" ref="F21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8" t="str" cm="1">
        <f t="array" ref="G21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8" s="4"/>
      <c r="I2178" s="3" t="str" cm="1">
        <f t="array" ref="I21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79" spans="1:9" x14ac:dyDescent="0.3">
      <c r="A2179" s="3" t="str">
        <f>IF(SISTEMA!A2173="","",SISTEMA!A2173)</f>
        <v/>
      </c>
      <c r="B2179" s="10" t="str">
        <f>IF(SISTEMA!B2173="","",VALUE(SISTEMA!B2173))</f>
        <v/>
      </c>
      <c r="C2179" s="10" t="str">
        <f>IF(SISTEMA!C2173="","",SISTEMA!C2173)</f>
        <v/>
      </c>
      <c r="D2179" s="5" t="str" cm="1">
        <f t="array" ref="D21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79" s="5" t="str" cm="1">
        <f t="array" ref="E21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79" s="5" t="str" cm="1">
        <f t="array" ref="F21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79" t="str" cm="1">
        <f t="array" ref="G21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79" s="4"/>
      <c r="I2179" s="3" t="str" cm="1">
        <f t="array" ref="I21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0" spans="1:9" x14ac:dyDescent="0.3">
      <c r="A2180" s="3" t="str">
        <f>IF(SISTEMA!A2174="","",SISTEMA!A2174)</f>
        <v/>
      </c>
      <c r="B2180" s="10" t="str">
        <f>IF(SISTEMA!B2174="","",VALUE(SISTEMA!B2174))</f>
        <v/>
      </c>
      <c r="C2180" s="10" t="str">
        <f>IF(SISTEMA!C2174="","",SISTEMA!C2174)</f>
        <v/>
      </c>
      <c r="D2180" s="5" t="str" cm="1">
        <f t="array" ref="D21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0" s="5" t="str" cm="1">
        <f t="array" ref="E21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0" s="5" t="str" cm="1">
        <f t="array" ref="F21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0" t="str" cm="1">
        <f t="array" ref="G21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0" s="4"/>
      <c r="I2180" s="3" t="str" cm="1">
        <f t="array" ref="I21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1" spans="1:9" x14ac:dyDescent="0.3">
      <c r="A2181" s="3" t="str">
        <f>IF(SISTEMA!A2175="","",SISTEMA!A2175)</f>
        <v/>
      </c>
      <c r="B2181" s="10" t="str">
        <f>IF(SISTEMA!B2175="","",VALUE(SISTEMA!B2175))</f>
        <v/>
      </c>
      <c r="C2181" s="10" t="str">
        <f>IF(SISTEMA!C2175="","",SISTEMA!C2175)</f>
        <v/>
      </c>
      <c r="D2181" s="5" t="str" cm="1">
        <f t="array" ref="D21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1" s="5" t="str" cm="1">
        <f t="array" ref="E21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1" s="5" t="str" cm="1">
        <f t="array" ref="F21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1" t="str" cm="1">
        <f t="array" ref="G21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1" s="4"/>
      <c r="I2181" s="3" t="str" cm="1">
        <f t="array" ref="I21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2" spans="1:9" x14ac:dyDescent="0.3">
      <c r="A2182" s="3" t="str">
        <f>IF(SISTEMA!A2176="","",SISTEMA!A2176)</f>
        <v/>
      </c>
      <c r="B2182" s="10" t="str">
        <f>IF(SISTEMA!B2176="","",VALUE(SISTEMA!B2176))</f>
        <v/>
      </c>
      <c r="C2182" s="10" t="str">
        <f>IF(SISTEMA!C2176="","",SISTEMA!C2176)</f>
        <v/>
      </c>
      <c r="D2182" s="5" t="str" cm="1">
        <f t="array" ref="D21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2" s="5" t="str" cm="1">
        <f t="array" ref="E21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2" s="5" t="str" cm="1">
        <f t="array" ref="F21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2" t="str" cm="1">
        <f t="array" ref="G21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2" s="4"/>
      <c r="I2182" s="3" t="str" cm="1">
        <f t="array" ref="I21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3" spans="1:9" x14ac:dyDescent="0.3">
      <c r="A2183" s="3" t="str">
        <f>IF(SISTEMA!A2177="","",SISTEMA!A2177)</f>
        <v/>
      </c>
      <c r="B2183" s="10" t="str">
        <f>IF(SISTEMA!B2177="","",VALUE(SISTEMA!B2177))</f>
        <v/>
      </c>
      <c r="C2183" s="10" t="str">
        <f>IF(SISTEMA!C2177="","",SISTEMA!C2177)</f>
        <v/>
      </c>
      <c r="D2183" s="5" t="str" cm="1">
        <f t="array" ref="D21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3" s="5" t="str" cm="1">
        <f t="array" ref="E21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3" s="5" t="str" cm="1">
        <f t="array" ref="F21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3" t="str" cm="1">
        <f t="array" ref="G21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3" s="4"/>
      <c r="I2183" s="3" t="str" cm="1">
        <f t="array" ref="I21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4" spans="1:9" x14ac:dyDescent="0.3">
      <c r="A2184" s="3" t="str">
        <f>IF(SISTEMA!A2178="","",SISTEMA!A2178)</f>
        <v/>
      </c>
      <c r="B2184" s="10" t="str">
        <f>IF(SISTEMA!B2178="","",VALUE(SISTEMA!B2178))</f>
        <v/>
      </c>
      <c r="C2184" s="10" t="str">
        <f>IF(SISTEMA!C2178="","",SISTEMA!C2178)</f>
        <v/>
      </c>
      <c r="D2184" s="5" t="str" cm="1">
        <f t="array" ref="D21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4" s="5" t="str" cm="1">
        <f t="array" ref="E21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4" s="5" t="str" cm="1">
        <f t="array" ref="F21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4" t="str" cm="1">
        <f t="array" ref="G21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4" s="4"/>
      <c r="I2184" s="3" t="str" cm="1">
        <f t="array" ref="I21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5" spans="1:9" x14ac:dyDescent="0.3">
      <c r="A2185" s="3" t="str">
        <f>IF(SISTEMA!A2179="","",SISTEMA!A2179)</f>
        <v/>
      </c>
      <c r="B2185" s="10" t="str">
        <f>IF(SISTEMA!B2179="","",VALUE(SISTEMA!B2179))</f>
        <v/>
      </c>
      <c r="C2185" s="10" t="str">
        <f>IF(SISTEMA!C2179="","",SISTEMA!C2179)</f>
        <v/>
      </c>
      <c r="D2185" s="5" t="str" cm="1">
        <f t="array" ref="D21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5" s="5" t="str" cm="1">
        <f t="array" ref="E21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5" s="5" t="str" cm="1">
        <f t="array" ref="F21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5" t="str" cm="1">
        <f t="array" ref="G21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5" s="4"/>
      <c r="I2185" s="3" t="str" cm="1">
        <f t="array" ref="I21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6" spans="1:9" x14ac:dyDescent="0.3">
      <c r="A2186" s="3" t="str">
        <f>IF(SISTEMA!A2180="","",SISTEMA!A2180)</f>
        <v/>
      </c>
      <c r="B2186" s="10" t="str">
        <f>IF(SISTEMA!B2180="","",VALUE(SISTEMA!B2180))</f>
        <v/>
      </c>
      <c r="C2186" s="10" t="str">
        <f>IF(SISTEMA!C2180="","",SISTEMA!C2180)</f>
        <v/>
      </c>
      <c r="D2186" s="5" t="str" cm="1">
        <f t="array" ref="D21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6" s="5" t="str" cm="1">
        <f t="array" ref="E21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6" s="5" t="str" cm="1">
        <f t="array" ref="F21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6" t="str" cm="1">
        <f t="array" ref="G21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6" s="4"/>
      <c r="I2186" s="3" t="str" cm="1">
        <f t="array" ref="I21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7" spans="1:9" x14ac:dyDescent="0.3">
      <c r="A2187" s="3" t="str">
        <f>IF(SISTEMA!A2181="","",SISTEMA!A2181)</f>
        <v/>
      </c>
      <c r="B2187" s="10" t="str">
        <f>IF(SISTEMA!B2181="","",VALUE(SISTEMA!B2181))</f>
        <v/>
      </c>
      <c r="C2187" s="10" t="str">
        <f>IF(SISTEMA!C2181="","",SISTEMA!C2181)</f>
        <v/>
      </c>
      <c r="D2187" s="5" t="str" cm="1">
        <f t="array" ref="D21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7" s="5" t="str" cm="1">
        <f t="array" ref="E21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7" s="5" t="str" cm="1">
        <f t="array" ref="F21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7" t="str" cm="1">
        <f t="array" ref="G21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7" s="4"/>
      <c r="I2187" s="3" t="str" cm="1">
        <f t="array" ref="I21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8" spans="1:9" x14ac:dyDescent="0.3">
      <c r="A2188" s="3" t="str">
        <f>IF(SISTEMA!A2182="","",SISTEMA!A2182)</f>
        <v/>
      </c>
      <c r="B2188" s="10" t="str">
        <f>IF(SISTEMA!B2182="","",VALUE(SISTEMA!B2182))</f>
        <v/>
      </c>
      <c r="C2188" s="10" t="str">
        <f>IF(SISTEMA!C2182="","",SISTEMA!C2182)</f>
        <v/>
      </c>
      <c r="D2188" s="5" t="str" cm="1">
        <f t="array" ref="D21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8" s="5" t="str" cm="1">
        <f t="array" ref="E21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8" s="5" t="str" cm="1">
        <f t="array" ref="F21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8" t="str" cm="1">
        <f t="array" ref="G21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8" s="4"/>
      <c r="I2188" s="3" t="str" cm="1">
        <f t="array" ref="I21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89" spans="1:9" x14ac:dyDescent="0.3">
      <c r="A2189" s="3" t="str">
        <f>IF(SISTEMA!A2183="","",SISTEMA!A2183)</f>
        <v/>
      </c>
      <c r="B2189" s="10" t="str">
        <f>IF(SISTEMA!B2183="","",VALUE(SISTEMA!B2183))</f>
        <v/>
      </c>
      <c r="C2189" s="10" t="str">
        <f>IF(SISTEMA!C2183="","",SISTEMA!C2183)</f>
        <v/>
      </c>
      <c r="D2189" s="5" t="str" cm="1">
        <f t="array" ref="D21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89" s="5" t="str" cm="1">
        <f t="array" ref="E21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89" s="5" t="str" cm="1">
        <f t="array" ref="F21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89" t="str" cm="1">
        <f t="array" ref="G21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89" s="4"/>
      <c r="I2189" s="3" t="str" cm="1">
        <f t="array" ref="I21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0" spans="1:9" x14ac:dyDescent="0.3">
      <c r="A2190" s="3" t="str">
        <f>IF(SISTEMA!A2184="","",SISTEMA!A2184)</f>
        <v/>
      </c>
      <c r="B2190" s="10" t="str">
        <f>IF(SISTEMA!B2184="","",VALUE(SISTEMA!B2184))</f>
        <v/>
      </c>
      <c r="C2190" s="10" t="str">
        <f>IF(SISTEMA!C2184="","",SISTEMA!C2184)</f>
        <v/>
      </c>
      <c r="D2190" s="5" t="str" cm="1">
        <f t="array" ref="D21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0" s="5" t="str" cm="1">
        <f t="array" ref="E21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0" s="5" t="str" cm="1">
        <f t="array" ref="F21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0" t="str" cm="1">
        <f t="array" ref="G21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0" s="4"/>
      <c r="I2190" s="3" t="str" cm="1">
        <f t="array" ref="I21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1" spans="1:9" x14ac:dyDescent="0.3">
      <c r="A2191" s="3" t="str">
        <f>IF(SISTEMA!A2185="","",SISTEMA!A2185)</f>
        <v/>
      </c>
      <c r="B2191" s="10" t="str">
        <f>IF(SISTEMA!B2185="","",VALUE(SISTEMA!B2185))</f>
        <v/>
      </c>
      <c r="C2191" s="10" t="str">
        <f>IF(SISTEMA!C2185="","",SISTEMA!C2185)</f>
        <v/>
      </c>
      <c r="D2191" s="5" t="str" cm="1">
        <f t="array" ref="D21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1" s="5" t="str" cm="1">
        <f t="array" ref="E21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1" s="5" t="str" cm="1">
        <f t="array" ref="F21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1" t="str" cm="1">
        <f t="array" ref="G21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1" s="4"/>
      <c r="I2191" s="3" t="str" cm="1">
        <f t="array" ref="I21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2" spans="1:9" x14ac:dyDescent="0.3">
      <c r="A2192" s="3" t="str">
        <f>IF(SISTEMA!A2186="","",SISTEMA!A2186)</f>
        <v/>
      </c>
      <c r="B2192" s="10" t="str">
        <f>IF(SISTEMA!B2186="","",VALUE(SISTEMA!B2186))</f>
        <v/>
      </c>
      <c r="C2192" s="10" t="str">
        <f>IF(SISTEMA!C2186="","",SISTEMA!C2186)</f>
        <v/>
      </c>
      <c r="D2192" s="5" t="str" cm="1">
        <f t="array" ref="D21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2" s="5" t="str" cm="1">
        <f t="array" ref="E21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2" s="5" t="str" cm="1">
        <f t="array" ref="F21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2" t="str" cm="1">
        <f t="array" ref="G21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2" s="4"/>
      <c r="I2192" s="3" t="str" cm="1">
        <f t="array" ref="I21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3" spans="1:9" x14ac:dyDescent="0.3">
      <c r="A2193" s="3" t="str">
        <f>IF(SISTEMA!A2187="","",SISTEMA!A2187)</f>
        <v/>
      </c>
      <c r="B2193" s="10" t="str">
        <f>IF(SISTEMA!B2187="","",VALUE(SISTEMA!B2187))</f>
        <v/>
      </c>
      <c r="C2193" s="10" t="str">
        <f>IF(SISTEMA!C2187="","",SISTEMA!C2187)</f>
        <v/>
      </c>
      <c r="D2193" s="5" t="str" cm="1">
        <f t="array" ref="D21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3" s="5" t="str" cm="1">
        <f t="array" ref="E21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3" s="5" t="str" cm="1">
        <f t="array" ref="F21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3" t="str" cm="1">
        <f t="array" ref="G21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3" s="4"/>
      <c r="I2193" s="3" t="str" cm="1">
        <f t="array" ref="I21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4" spans="1:9" x14ac:dyDescent="0.3">
      <c r="A2194" s="3" t="str">
        <f>IF(SISTEMA!A2188="","",SISTEMA!A2188)</f>
        <v/>
      </c>
      <c r="B2194" s="10" t="str">
        <f>IF(SISTEMA!B2188="","",VALUE(SISTEMA!B2188))</f>
        <v/>
      </c>
      <c r="C2194" s="10" t="str">
        <f>IF(SISTEMA!C2188="","",SISTEMA!C2188)</f>
        <v/>
      </c>
      <c r="D2194" s="5" t="str" cm="1">
        <f t="array" ref="D21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4" s="5" t="str" cm="1">
        <f t="array" ref="E21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4" s="5" t="str" cm="1">
        <f t="array" ref="F21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4" t="str" cm="1">
        <f t="array" ref="G21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4" s="4"/>
      <c r="I2194" s="3" t="str" cm="1">
        <f t="array" ref="I21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5" spans="1:9" x14ac:dyDescent="0.3">
      <c r="A2195" s="3" t="str">
        <f>IF(SISTEMA!A2189="","",SISTEMA!A2189)</f>
        <v/>
      </c>
      <c r="B2195" s="10" t="str">
        <f>IF(SISTEMA!B2189="","",VALUE(SISTEMA!B2189))</f>
        <v/>
      </c>
      <c r="C2195" s="10" t="str">
        <f>IF(SISTEMA!C2189="","",SISTEMA!C2189)</f>
        <v/>
      </c>
      <c r="D2195" s="5" t="str" cm="1">
        <f t="array" ref="D21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5" s="5" t="str" cm="1">
        <f t="array" ref="E21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5" s="5" t="str" cm="1">
        <f t="array" ref="F21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5" t="str" cm="1">
        <f t="array" ref="G21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5" s="4"/>
      <c r="I2195" s="3" t="str" cm="1">
        <f t="array" ref="I21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6" spans="1:9" x14ac:dyDescent="0.3">
      <c r="A2196" s="3" t="str">
        <f>IF(SISTEMA!A2190="","",SISTEMA!A2190)</f>
        <v/>
      </c>
      <c r="B2196" s="10" t="str">
        <f>IF(SISTEMA!B2190="","",VALUE(SISTEMA!B2190))</f>
        <v/>
      </c>
      <c r="C2196" s="10" t="str">
        <f>IF(SISTEMA!C2190="","",SISTEMA!C2190)</f>
        <v/>
      </c>
      <c r="D2196" s="5" t="str" cm="1">
        <f t="array" ref="D21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6" s="5" t="str" cm="1">
        <f t="array" ref="E21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6" s="5" t="str" cm="1">
        <f t="array" ref="F21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6" t="str" cm="1">
        <f t="array" ref="G21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6" s="4"/>
      <c r="I2196" s="3" t="str" cm="1">
        <f t="array" ref="I21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7" spans="1:9" x14ac:dyDescent="0.3">
      <c r="A2197" s="3" t="str">
        <f>IF(SISTEMA!A2191="","",SISTEMA!A2191)</f>
        <v/>
      </c>
      <c r="B2197" s="10" t="str">
        <f>IF(SISTEMA!B2191="","",VALUE(SISTEMA!B2191))</f>
        <v/>
      </c>
      <c r="C2197" s="10" t="str">
        <f>IF(SISTEMA!C2191="","",SISTEMA!C2191)</f>
        <v/>
      </c>
      <c r="D2197" s="5" t="str" cm="1">
        <f t="array" ref="D21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7" s="5" t="str" cm="1">
        <f t="array" ref="E21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7" s="5" t="str" cm="1">
        <f t="array" ref="F21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7" t="str" cm="1">
        <f t="array" ref="G21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7" s="4"/>
      <c r="I2197" s="3" t="str" cm="1">
        <f t="array" ref="I21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8" spans="1:9" x14ac:dyDescent="0.3">
      <c r="A2198" s="3" t="str">
        <f>IF(SISTEMA!A2192="","",SISTEMA!A2192)</f>
        <v/>
      </c>
      <c r="B2198" s="10" t="str">
        <f>IF(SISTEMA!B2192="","",VALUE(SISTEMA!B2192))</f>
        <v/>
      </c>
      <c r="C2198" s="10" t="str">
        <f>IF(SISTEMA!C2192="","",SISTEMA!C2192)</f>
        <v/>
      </c>
      <c r="D2198" s="5" t="str" cm="1">
        <f t="array" ref="D21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8" s="5" t="str" cm="1">
        <f t="array" ref="E21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8" s="5" t="str" cm="1">
        <f t="array" ref="F21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8" t="str" cm="1">
        <f t="array" ref="G21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8" s="4"/>
      <c r="I2198" s="3" t="str" cm="1">
        <f t="array" ref="I21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199" spans="1:9" x14ac:dyDescent="0.3">
      <c r="A2199" s="3" t="str">
        <f>IF(SISTEMA!A2193="","",SISTEMA!A2193)</f>
        <v/>
      </c>
      <c r="B2199" s="10" t="str">
        <f>IF(SISTEMA!B2193="","",VALUE(SISTEMA!B2193))</f>
        <v/>
      </c>
      <c r="C2199" s="10" t="str">
        <f>IF(SISTEMA!C2193="","",SISTEMA!C2193)</f>
        <v/>
      </c>
      <c r="D2199" s="5" t="str" cm="1">
        <f t="array" ref="D21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199" s="5" t="str" cm="1">
        <f t="array" ref="E21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199" s="5" t="str" cm="1">
        <f t="array" ref="F21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199" t="str" cm="1">
        <f t="array" ref="G21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199" s="4"/>
      <c r="I2199" s="3" t="str" cm="1">
        <f t="array" ref="I21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0" spans="1:9" x14ac:dyDescent="0.3">
      <c r="A2200" s="3" t="str">
        <f>IF(SISTEMA!A2194="","",SISTEMA!A2194)</f>
        <v/>
      </c>
      <c r="B2200" s="10" t="str">
        <f>IF(SISTEMA!B2194="","",VALUE(SISTEMA!B2194))</f>
        <v/>
      </c>
      <c r="C2200" s="10" t="str">
        <f>IF(SISTEMA!C2194="","",SISTEMA!C2194)</f>
        <v/>
      </c>
      <c r="D2200" s="5" t="str" cm="1">
        <f t="array" ref="D22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0" s="5" t="str" cm="1">
        <f t="array" ref="E22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0" s="5" t="str" cm="1">
        <f t="array" ref="F22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0" t="str" cm="1">
        <f t="array" ref="G22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0" s="4"/>
      <c r="I2200" s="3" t="str" cm="1">
        <f t="array" ref="I22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1" spans="1:9" x14ac:dyDescent="0.3">
      <c r="A2201" s="3" t="str">
        <f>IF(SISTEMA!A2195="","",SISTEMA!A2195)</f>
        <v/>
      </c>
      <c r="B2201" s="10" t="str">
        <f>IF(SISTEMA!B2195="","",VALUE(SISTEMA!B2195))</f>
        <v/>
      </c>
      <c r="C2201" s="10" t="str">
        <f>IF(SISTEMA!C2195="","",SISTEMA!C2195)</f>
        <v/>
      </c>
      <c r="D2201" s="5" t="str" cm="1">
        <f t="array" ref="D22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1" s="5" t="str" cm="1">
        <f t="array" ref="E22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1" s="5" t="str" cm="1">
        <f t="array" ref="F22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1" t="str" cm="1">
        <f t="array" ref="G22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1" s="4"/>
      <c r="I2201" s="3" t="str" cm="1">
        <f t="array" ref="I22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2" spans="1:9" x14ac:dyDescent="0.3">
      <c r="A2202" s="3" t="str">
        <f>IF(SISTEMA!A2196="","",SISTEMA!A2196)</f>
        <v/>
      </c>
      <c r="B2202" s="10" t="str">
        <f>IF(SISTEMA!B2196="","",VALUE(SISTEMA!B2196))</f>
        <v/>
      </c>
      <c r="C2202" s="10" t="str">
        <f>IF(SISTEMA!C2196="","",SISTEMA!C2196)</f>
        <v/>
      </c>
      <c r="D2202" s="5" t="str" cm="1">
        <f t="array" ref="D22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2" s="5" t="str" cm="1">
        <f t="array" ref="E22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2" s="5" t="str" cm="1">
        <f t="array" ref="F22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2" t="str" cm="1">
        <f t="array" ref="G22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2" s="4"/>
      <c r="I2202" s="3" t="str" cm="1">
        <f t="array" ref="I22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3" spans="1:9" x14ac:dyDescent="0.3">
      <c r="A2203" s="3" t="str">
        <f>IF(SISTEMA!A2197="","",SISTEMA!A2197)</f>
        <v/>
      </c>
      <c r="B2203" s="10" t="str">
        <f>IF(SISTEMA!B2197="","",VALUE(SISTEMA!B2197))</f>
        <v/>
      </c>
      <c r="C2203" s="10" t="str">
        <f>IF(SISTEMA!C2197="","",SISTEMA!C2197)</f>
        <v/>
      </c>
      <c r="D2203" s="5" t="str" cm="1">
        <f t="array" ref="D22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3" s="5" t="str" cm="1">
        <f t="array" ref="E22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3" s="5" t="str" cm="1">
        <f t="array" ref="F22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3" t="str" cm="1">
        <f t="array" ref="G22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3" s="4"/>
      <c r="I2203" s="3" t="str" cm="1">
        <f t="array" ref="I22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4" spans="1:9" x14ac:dyDescent="0.3">
      <c r="A2204" s="3" t="str">
        <f>IF(SISTEMA!A2198="","",SISTEMA!A2198)</f>
        <v/>
      </c>
      <c r="B2204" s="10" t="str">
        <f>IF(SISTEMA!B2198="","",VALUE(SISTEMA!B2198))</f>
        <v/>
      </c>
      <c r="C2204" s="10" t="str">
        <f>IF(SISTEMA!C2198="","",SISTEMA!C2198)</f>
        <v/>
      </c>
      <c r="D2204" s="5" t="str" cm="1">
        <f t="array" ref="D22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4" s="5" t="str" cm="1">
        <f t="array" ref="E22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4" s="5" t="str" cm="1">
        <f t="array" ref="F22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4" t="str" cm="1">
        <f t="array" ref="G22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4" s="4"/>
      <c r="I2204" s="3" t="str" cm="1">
        <f t="array" ref="I22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5" spans="1:9" x14ac:dyDescent="0.3">
      <c r="A2205" s="3" t="str">
        <f>IF(SISTEMA!A2199="","",SISTEMA!A2199)</f>
        <v/>
      </c>
      <c r="B2205" s="10" t="str">
        <f>IF(SISTEMA!B2199="","",VALUE(SISTEMA!B2199))</f>
        <v/>
      </c>
      <c r="C2205" s="10" t="str">
        <f>IF(SISTEMA!C2199="","",SISTEMA!C2199)</f>
        <v/>
      </c>
      <c r="D2205" s="5" t="str" cm="1">
        <f t="array" ref="D22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5" s="5" t="str" cm="1">
        <f t="array" ref="E22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5" s="5" t="str" cm="1">
        <f t="array" ref="F22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5" t="str" cm="1">
        <f t="array" ref="G22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5" s="4"/>
      <c r="I2205" s="3" t="str" cm="1">
        <f t="array" ref="I22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6" spans="1:9" x14ac:dyDescent="0.3">
      <c r="A2206" s="3" t="str">
        <f>IF(SISTEMA!A2200="","",SISTEMA!A2200)</f>
        <v/>
      </c>
      <c r="B2206" s="10" t="str">
        <f>IF(SISTEMA!B2200="","",VALUE(SISTEMA!B2200))</f>
        <v/>
      </c>
      <c r="C2206" s="10" t="str">
        <f>IF(SISTEMA!C2200="","",SISTEMA!C2200)</f>
        <v/>
      </c>
      <c r="D2206" s="5" t="str" cm="1">
        <f t="array" ref="D22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6" s="5" t="str" cm="1">
        <f t="array" ref="E22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6" s="5" t="str" cm="1">
        <f t="array" ref="F22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6" t="str" cm="1">
        <f t="array" ref="G22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6" s="4"/>
      <c r="I2206" s="3" t="str" cm="1">
        <f t="array" ref="I22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7" spans="1:9" x14ac:dyDescent="0.3">
      <c r="A2207" s="3" t="str">
        <f>IF(SISTEMA!A2201="","",SISTEMA!A2201)</f>
        <v/>
      </c>
      <c r="B2207" s="10" t="str">
        <f>IF(SISTEMA!B2201="","",VALUE(SISTEMA!B2201))</f>
        <v/>
      </c>
      <c r="C2207" s="10" t="str">
        <f>IF(SISTEMA!C2201="","",SISTEMA!C2201)</f>
        <v/>
      </c>
      <c r="D2207" s="5" t="str" cm="1">
        <f t="array" ref="D22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7" s="5" t="str" cm="1">
        <f t="array" ref="E22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7" s="5" t="str" cm="1">
        <f t="array" ref="F22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7" t="str" cm="1">
        <f t="array" ref="G22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7" s="4"/>
      <c r="I2207" s="3" t="str" cm="1">
        <f t="array" ref="I22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8" spans="1:9" x14ac:dyDescent="0.3">
      <c r="A2208" s="3" t="str">
        <f>IF(SISTEMA!A2202="","",SISTEMA!A2202)</f>
        <v/>
      </c>
      <c r="B2208" s="10" t="str">
        <f>IF(SISTEMA!B2202="","",VALUE(SISTEMA!B2202))</f>
        <v/>
      </c>
      <c r="C2208" s="10" t="str">
        <f>IF(SISTEMA!C2202="","",SISTEMA!C2202)</f>
        <v/>
      </c>
      <c r="D2208" s="5" t="str" cm="1">
        <f t="array" ref="D22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8" s="5" t="str" cm="1">
        <f t="array" ref="E22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8" s="5" t="str" cm="1">
        <f t="array" ref="F22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8" t="str" cm="1">
        <f t="array" ref="G22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8" s="4"/>
      <c r="I2208" s="3" t="str" cm="1">
        <f t="array" ref="I22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09" spans="1:9" x14ac:dyDescent="0.3">
      <c r="A2209" s="3" t="str">
        <f>IF(SISTEMA!A2203="","",SISTEMA!A2203)</f>
        <v/>
      </c>
      <c r="B2209" s="10" t="str">
        <f>IF(SISTEMA!B2203="","",VALUE(SISTEMA!B2203))</f>
        <v/>
      </c>
      <c r="C2209" s="10" t="str">
        <f>IF(SISTEMA!C2203="","",SISTEMA!C2203)</f>
        <v/>
      </c>
      <c r="D2209" s="5" t="str" cm="1">
        <f t="array" ref="D22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09" s="5" t="str" cm="1">
        <f t="array" ref="E22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09" s="5" t="str" cm="1">
        <f t="array" ref="F22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09" t="str" cm="1">
        <f t="array" ref="G22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09" s="4"/>
      <c r="I2209" s="3" t="str" cm="1">
        <f t="array" ref="I22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0" spans="1:9" x14ac:dyDescent="0.3">
      <c r="A2210" s="3" t="str">
        <f>IF(SISTEMA!A2204="","",SISTEMA!A2204)</f>
        <v/>
      </c>
      <c r="B2210" s="10" t="str">
        <f>IF(SISTEMA!B2204="","",VALUE(SISTEMA!B2204))</f>
        <v/>
      </c>
      <c r="C2210" s="10" t="str">
        <f>IF(SISTEMA!C2204="","",SISTEMA!C2204)</f>
        <v/>
      </c>
      <c r="D2210" s="5" t="str" cm="1">
        <f t="array" ref="D22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0" s="5" t="str" cm="1">
        <f t="array" ref="E22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0" s="5" t="str" cm="1">
        <f t="array" ref="F22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0" t="str" cm="1">
        <f t="array" ref="G22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0" s="4"/>
      <c r="I2210" s="3" t="str" cm="1">
        <f t="array" ref="I22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1" spans="1:9" x14ac:dyDescent="0.3">
      <c r="A2211" s="3" t="str">
        <f>IF(SISTEMA!A2205="","",SISTEMA!A2205)</f>
        <v/>
      </c>
      <c r="B2211" s="10" t="str">
        <f>IF(SISTEMA!B2205="","",VALUE(SISTEMA!B2205))</f>
        <v/>
      </c>
      <c r="C2211" s="10" t="str">
        <f>IF(SISTEMA!C2205="","",SISTEMA!C2205)</f>
        <v/>
      </c>
      <c r="D2211" s="5" t="str" cm="1">
        <f t="array" ref="D22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1" s="5" t="str" cm="1">
        <f t="array" ref="E22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1" s="5" t="str" cm="1">
        <f t="array" ref="F22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1" t="str" cm="1">
        <f t="array" ref="G22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1" s="4"/>
      <c r="I2211" s="3" t="str" cm="1">
        <f t="array" ref="I22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2" spans="1:9" x14ac:dyDescent="0.3">
      <c r="A2212" s="3" t="str">
        <f>IF(SISTEMA!A2206="","",SISTEMA!A2206)</f>
        <v/>
      </c>
      <c r="B2212" s="10" t="str">
        <f>IF(SISTEMA!B2206="","",VALUE(SISTEMA!B2206))</f>
        <v/>
      </c>
      <c r="C2212" s="10" t="str">
        <f>IF(SISTEMA!C2206="","",SISTEMA!C2206)</f>
        <v/>
      </c>
      <c r="D2212" s="5" t="str" cm="1">
        <f t="array" ref="D22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2" s="5" t="str" cm="1">
        <f t="array" ref="E22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2" s="5" t="str" cm="1">
        <f t="array" ref="F22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2" t="str" cm="1">
        <f t="array" ref="G22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2" s="4"/>
      <c r="I2212" s="3" t="str" cm="1">
        <f t="array" ref="I22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3" spans="1:9" x14ac:dyDescent="0.3">
      <c r="A2213" s="3" t="str">
        <f>IF(SISTEMA!A2207="","",SISTEMA!A2207)</f>
        <v/>
      </c>
      <c r="B2213" s="10" t="str">
        <f>IF(SISTEMA!B2207="","",VALUE(SISTEMA!B2207))</f>
        <v/>
      </c>
      <c r="C2213" s="10" t="str">
        <f>IF(SISTEMA!C2207="","",SISTEMA!C2207)</f>
        <v/>
      </c>
      <c r="D2213" s="5" t="str" cm="1">
        <f t="array" ref="D22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3" s="5" t="str" cm="1">
        <f t="array" ref="E22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3" s="5" t="str" cm="1">
        <f t="array" ref="F22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3" t="str" cm="1">
        <f t="array" ref="G22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3" s="4"/>
      <c r="I2213" s="3" t="str" cm="1">
        <f t="array" ref="I22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4" spans="1:9" x14ac:dyDescent="0.3">
      <c r="A2214" s="3" t="str">
        <f>IF(SISTEMA!A2208="","",SISTEMA!A2208)</f>
        <v/>
      </c>
      <c r="B2214" s="10" t="str">
        <f>IF(SISTEMA!B2208="","",VALUE(SISTEMA!B2208))</f>
        <v/>
      </c>
      <c r="C2214" s="10" t="str">
        <f>IF(SISTEMA!C2208="","",SISTEMA!C2208)</f>
        <v/>
      </c>
      <c r="D2214" s="5" t="str" cm="1">
        <f t="array" ref="D22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4" s="5" t="str" cm="1">
        <f t="array" ref="E22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4" s="5" t="str" cm="1">
        <f t="array" ref="F22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4" t="str" cm="1">
        <f t="array" ref="G22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4" s="4"/>
      <c r="I2214" s="3" t="str" cm="1">
        <f t="array" ref="I22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5" spans="1:9" x14ac:dyDescent="0.3">
      <c r="A2215" s="3" t="str">
        <f>IF(SISTEMA!A2209="","",SISTEMA!A2209)</f>
        <v/>
      </c>
      <c r="B2215" s="10" t="str">
        <f>IF(SISTEMA!B2209="","",VALUE(SISTEMA!B2209))</f>
        <v/>
      </c>
      <c r="C2215" s="10" t="str">
        <f>IF(SISTEMA!C2209="","",SISTEMA!C2209)</f>
        <v/>
      </c>
      <c r="D2215" s="5" t="str" cm="1">
        <f t="array" ref="D22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5" s="5" t="str" cm="1">
        <f t="array" ref="E22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5" s="5" t="str" cm="1">
        <f t="array" ref="F22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5" t="str" cm="1">
        <f t="array" ref="G22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5" s="4"/>
      <c r="I2215" s="3" t="str" cm="1">
        <f t="array" ref="I22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6" spans="1:9" x14ac:dyDescent="0.3">
      <c r="A2216" s="3" t="str">
        <f>IF(SISTEMA!A2210="","",SISTEMA!A2210)</f>
        <v/>
      </c>
      <c r="B2216" s="10" t="str">
        <f>IF(SISTEMA!B2210="","",VALUE(SISTEMA!B2210))</f>
        <v/>
      </c>
      <c r="C2216" s="10" t="str">
        <f>IF(SISTEMA!C2210="","",SISTEMA!C2210)</f>
        <v/>
      </c>
      <c r="D2216" s="5" t="str" cm="1">
        <f t="array" ref="D22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6" s="5" t="str" cm="1">
        <f t="array" ref="E22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6" s="5" t="str" cm="1">
        <f t="array" ref="F22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6" t="str" cm="1">
        <f t="array" ref="G22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6" s="4"/>
      <c r="I2216" s="3" t="str" cm="1">
        <f t="array" ref="I22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7" spans="1:9" x14ac:dyDescent="0.3">
      <c r="A2217" s="3" t="str">
        <f>IF(SISTEMA!A2211="","",SISTEMA!A2211)</f>
        <v/>
      </c>
      <c r="B2217" s="10" t="str">
        <f>IF(SISTEMA!B2211="","",VALUE(SISTEMA!B2211))</f>
        <v/>
      </c>
      <c r="C2217" s="10" t="str">
        <f>IF(SISTEMA!C2211="","",SISTEMA!C2211)</f>
        <v/>
      </c>
      <c r="D2217" s="5" t="str" cm="1">
        <f t="array" ref="D22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7" s="5" t="str" cm="1">
        <f t="array" ref="E22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7" s="5" t="str" cm="1">
        <f t="array" ref="F22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7" t="str" cm="1">
        <f t="array" ref="G22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7" s="4"/>
      <c r="I2217" s="3" t="str" cm="1">
        <f t="array" ref="I22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8" spans="1:9" x14ac:dyDescent="0.3">
      <c r="A2218" s="3" t="str">
        <f>IF(SISTEMA!A2212="","",SISTEMA!A2212)</f>
        <v/>
      </c>
      <c r="B2218" s="10" t="str">
        <f>IF(SISTEMA!B2212="","",VALUE(SISTEMA!B2212))</f>
        <v/>
      </c>
      <c r="C2218" s="10" t="str">
        <f>IF(SISTEMA!C2212="","",SISTEMA!C2212)</f>
        <v/>
      </c>
      <c r="D2218" s="5" t="str" cm="1">
        <f t="array" ref="D22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8" s="5" t="str" cm="1">
        <f t="array" ref="E22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8" s="5" t="str" cm="1">
        <f t="array" ref="F22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8" t="str" cm="1">
        <f t="array" ref="G22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8" s="4"/>
      <c r="I2218" s="3" t="str" cm="1">
        <f t="array" ref="I22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19" spans="1:9" x14ac:dyDescent="0.3">
      <c r="A2219" s="3" t="str">
        <f>IF(SISTEMA!A2213="","",SISTEMA!A2213)</f>
        <v/>
      </c>
      <c r="B2219" s="10" t="str">
        <f>IF(SISTEMA!B2213="","",VALUE(SISTEMA!B2213))</f>
        <v/>
      </c>
      <c r="C2219" s="10" t="str">
        <f>IF(SISTEMA!C2213="","",SISTEMA!C2213)</f>
        <v/>
      </c>
      <c r="D2219" s="5" t="str" cm="1">
        <f t="array" ref="D22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19" s="5" t="str" cm="1">
        <f t="array" ref="E22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19" s="5" t="str" cm="1">
        <f t="array" ref="F22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19" t="str" cm="1">
        <f t="array" ref="G22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19" s="4"/>
      <c r="I2219" s="3" t="str" cm="1">
        <f t="array" ref="I22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0" spans="1:9" x14ac:dyDescent="0.3">
      <c r="A2220" s="3" t="str">
        <f>IF(SISTEMA!A2214="","",SISTEMA!A2214)</f>
        <v/>
      </c>
      <c r="B2220" s="10" t="str">
        <f>IF(SISTEMA!B2214="","",VALUE(SISTEMA!B2214))</f>
        <v/>
      </c>
      <c r="C2220" s="10" t="str">
        <f>IF(SISTEMA!C2214="","",SISTEMA!C2214)</f>
        <v/>
      </c>
      <c r="D2220" s="5" t="str" cm="1">
        <f t="array" ref="D22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0" s="5" t="str" cm="1">
        <f t="array" ref="E22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0" s="5" t="str" cm="1">
        <f t="array" ref="F22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0" t="str" cm="1">
        <f t="array" ref="G22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0" s="4"/>
      <c r="I2220" s="3" t="str" cm="1">
        <f t="array" ref="I22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1" spans="1:9" x14ac:dyDescent="0.3">
      <c r="A2221" s="3" t="str">
        <f>IF(SISTEMA!A2215="","",SISTEMA!A2215)</f>
        <v/>
      </c>
      <c r="B2221" s="10" t="str">
        <f>IF(SISTEMA!B2215="","",VALUE(SISTEMA!B2215))</f>
        <v/>
      </c>
      <c r="C2221" s="10" t="str">
        <f>IF(SISTEMA!C2215="","",SISTEMA!C2215)</f>
        <v/>
      </c>
      <c r="D2221" s="5" t="str" cm="1">
        <f t="array" ref="D22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1" s="5" t="str" cm="1">
        <f t="array" ref="E22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1" s="5" t="str" cm="1">
        <f t="array" ref="F22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1" t="str" cm="1">
        <f t="array" ref="G22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1" s="4"/>
      <c r="I2221" s="3" t="str" cm="1">
        <f t="array" ref="I22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2" spans="1:9" x14ac:dyDescent="0.3">
      <c r="A2222" s="3" t="str">
        <f>IF(SISTEMA!A2216="","",SISTEMA!A2216)</f>
        <v/>
      </c>
      <c r="B2222" s="10" t="str">
        <f>IF(SISTEMA!B2216="","",VALUE(SISTEMA!B2216))</f>
        <v/>
      </c>
      <c r="C2222" s="10" t="str">
        <f>IF(SISTEMA!C2216="","",SISTEMA!C2216)</f>
        <v/>
      </c>
      <c r="D2222" s="5" t="str" cm="1">
        <f t="array" ref="D22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2" s="5" t="str" cm="1">
        <f t="array" ref="E22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2" s="5" t="str" cm="1">
        <f t="array" ref="F22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2" t="str" cm="1">
        <f t="array" ref="G22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2" s="4"/>
      <c r="I2222" s="3" t="str" cm="1">
        <f t="array" ref="I22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3" spans="1:9" x14ac:dyDescent="0.3">
      <c r="A2223" s="3" t="str">
        <f>IF(SISTEMA!A2217="","",SISTEMA!A2217)</f>
        <v/>
      </c>
      <c r="B2223" s="10" t="str">
        <f>IF(SISTEMA!B2217="","",VALUE(SISTEMA!B2217))</f>
        <v/>
      </c>
      <c r="C2223" s="10" t="str">
        <f>IF(SISTEMA!C2217="","",SISTEMA!C2217)</f>
        <v/>
      </c>
      <c r="D2223" s="5" t="str" cm="1">
        <f t="array" ref="D22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3" s="5" t="str" cm="1">
        <f t="array" ref="E22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3" s="5" t="str" cm="1">
        <f t="array" ref="F22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3" t="str" cm="1">
        <f t="array" ref="G22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3" s="4"/>
      <c r="I2223" s="3" t="str" cm="1">
        <f t="array" ref="I22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4" spans="1:9" x14ac:dyDescent="0.3">
      <c r="A2224" s="3" t="str">
        <f>IF(SISTEMA!A2218="","",SISTEMA!A2218)</f>
        <v/>
      </c>
      <c r="B2224" s="10" t="str">
        <f>IF(SISTEMA!B2218="","",VALUE(SISTEMA!B2218))</f>
        <v/>
      </c>
      <c r="C2224" s="10" t="str">
        <f>IF(SISTEMA!C2218="","",SISTEMA!C2218)</f>
        <v/>
      </c>
      <c r="D2224" s="5" t="str" cm="1">
        <f t="array" ref="D22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4" s="5" t="str" cm="1">
        <f t="array" ref="E22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4" s="5" t="str" cm="1">
        <f t="array" ref="F22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4" t="str" cm="1">
        <f t="array" ref="G22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4" s="4"/>
      <c r="I2224" s="3" t="str" cm="1">
        <f t="array" ref="I22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5" spans="1:9" x14ac:dyDescent="0.3">
      <c r="A2225" s="3" t="str">
        <f>IF(SISTEMA!A2219="","",SISTEMA!A2219)</f>
        <v/>
      </c>
      <c r="B2225" s="10" t="str">
        <f>IF(SISTEMA!B2219="","",VALUE(SISTEMA!B2219))</f>
        <v/>
      </c>
      <c r="C2225" s="10" t="str">
        <f>IF(SISTEMA!C2219="","",SISTEMA!C2219)</f>
        <v/>
      </c>
      <c r="D2225" s="5" t="str" cm="1">
        <f t="array" ref="D22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5" s="5" t="str" cm="1">
        <f t="array" ref="E22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5" s="5" t="str" cm="1">
        <f t="array" ref="F22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5" t="str" cm="1">
        <f t="array" ref="G22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5" s="4"/>
      <c r="I2225" s="3" t="str" cm="1">
        <f t="array" ref="I22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6" spans="1:9" x14ac:dyDescent="0.3">
      <c r="A2226" s="3" t="str">
        <f>IF(SISTEMA!A2220="","",SISTEMA!A2220)</f>
        <v/>
      </c>
      <c r="B2226" s="10" t="str">
        <f>IF(SISTEMA!B2220="","",VALUE(SISTEMA!B2220))</f>
        <v/>
      </c>
      <c r="C2226" s="10" t="str">
        <f>IF(SISTEMA!C2220="","",SISTEMA!C2220)</f>
        <v/>
      </c>
      <c r="D2226" s="5" t="str" cm="1">
        <f t="array" ref="D22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6" s="5" t="str" cm="1">
        <f t="array" ref="E22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6" s="5" t="str" cm="1">
        <f t="array" ref="F22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6" t="str" cm="1">
        <f t="array" ref="G22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6" s="4"/>
      <c r="I2226" s="3" t="str" cm="1">
        <f t="array" ref="I22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7" spans="1:9" x14ac:dyDescent="0.3">
      <c r="A2227" s="3" t="str">
        <f>IF(SISTEMA!A2221="","",SISTEMA!A2221)</f>
        <v/>
      </c>
      <c r="B2227" s="10" t="str">
        <f>IF(SISTEMA!B2221="","",VALUE(SISTEMA!B2221))</f>
        <v/>
      </c>
      <c r="C2227" s="10" t="str">
        <f>IF(SISTEMA!C2221="","",SISTEMA!C2221)</f>
        <v/>
      </c>
      <c r="D2227" s="5" t="str" cm="1">
        <f t="array" ref="D22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7" s="5" t="str" cm="1">
        <f t="array" ref="E22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7" s="5" t="str" cm="1">
        <f t="array" ref="F22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7" t="str" cm="1">
        <f t="array" ref="G22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7" s="4"/>
      <c r="I2227" s="3" t="str" cm="1">
        <f t="array" ref="I22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8" spans="1:9" x14ac:dyDescent="0.3">
      <c r="A2228" s="3" t="str">
        <f>IF(SISTEMA!A2222="","",SISTEMA!A2222)</f>
        <v/>
      </c>
      <c r="B2228" s="10" t="str">
        <f>IF(SISTEMA!B2222="","",VALUE(SISTEMA!B2222))</f>
        <v/>
      </c>
      <c r="C2228" s="10" t="str">
        <f>IF(SISTEMA!C2222="","",SISTEMA!C2222)</f>
        <v/>
      </c>
      <c r="D2228" s="5" t="str" cm="1">
        <f t="array" ref="D22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8" s="5" t="str" cm="1">
        <f t="array" ref="E22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8" s="5" t="str" cm="1">
        <f t="array" ref="F22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8" t="str" cm="1">
        <f t="array" ref="G22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8" s="4"/>
      <c r="I2228" s="3" t="str" cm="1">
        <f t="array" ref="I22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29" spans="1:9" x14ac:dyDescent="0.3">
      <c r="A2229" s="3" t="str">
        <f>IF(SISTEMA!A2223="","",SISTEMA!A2223)</f>
        <v/>
      </c>
      <c r="B2229" s="10" t="str">
        <f>IF(SISTEMA!B2223="","",VALUE(SISTEMA!B2223))</f>
        <v/>
      </c>
      <c r="C2229" s="10" t="str">
        <f>IF(SISTEMA!C2223="","",SISTEMA!C2223)</f>
        <v/>
      </c>
      <c r="D2229" s="5" t="str" cm="1">
        <f t="array" ref="D22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29" s="5" t="str" cm="1">
        <f t="array" ref="E22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29" s="5" t="str" cm="1">
        <f t="array" ref="F22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29" t="str" cm="1">
        <f t="array" ref="G22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29" s="4"/>
      <c r="I2229" s="3" t="str" cm="1">
        <f t="array" ref="I22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0" spans="1:9" x14ac:dyDescent="0.3">
      <c r="A2230" s="3" t="str">
        <f>IF(SISTEMA!A2224="","",SISTEMA!A2224)</f>
        <v/>
      </c>
      <c r="B2230" s="10" t="str">
        <f>IF(SISTEMA!B2224="","",VALUE(SISTEMA!B2224))</f>
        <v/>
      </c>
      <c r="C2230" s="10" t="str">
        <f>IF(SISTEMA!C2224="","",SISTEMA!C2224)</f>
        <v/>
      </c>
      <c r="D2230" s="5" t="str" cm="1">
        <f t="array" ref="D22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0" s="5" t="str" cm="1">
        <f t="array" ref="E22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0" s="5" t="str" cm="1">
        <f t="array" ref="F22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0" t="str" cm="1">
        <f t="array" ref="G22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0" s="4"/>
      <c r="I2230" s="3" t="str" cm="1">
        <f t="array" ref="I22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1" spans="1:9" x14ac:dyDescent="0.3">
      <c r="A2231" s="3" t="str">
        <f>IF(SISTEMA!A2225="","",SISTEMA!A2225)</f>
        <v/>
      </c>
      <c r="B2231" s="10" t="str">
        <f>IF(SISTEMA!B2225="","",VALUE(SISTEMA!B2225))</f>
        <v/>
      </c>
      <c r="C2231" s="10" t="str">
        <f>IF(SISTEMA!C2225="","",SISTEMA!C2225)</f>
        <v/>
      </c>
      <c r="D2231" s="5" t="str" cm="1">
        <f t="array" ref="D22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1" s="5" t="str" cm="1">
        <f t="array" ref="E22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1" s="5" t="str" cm="1">
        <f t="array" ref="F22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1" t="str" cm="1">
        <f t="array" ref="G22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1" s="4"/>
      <c r="I2231" s="3" t="str" cm="1">
        <f t="array" ref="I22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2" spans="1:9" x14ac:dyDescent="0.3">
      <c r="A2232" s="3" t="str">
        <f>IF(SISTEMA!A2226="","",SISTEMA!A2226)</f>
        <v/>
      </c>
      <c r="B2232" s="10" t="str">
        <f>IF(SISTEMA!B2226="","",VALUE(SISTEMA!B2226))</f>
        <v/>
      </c>
      <c r="C2232" s="10" t="str">
        <f>IF(SISTEMA!C2226="","",SISTEMA!C2226)</f>
        <v/>
      </c>
      <c r="D2232" s="5" t="str" cm="1">
        <f t="array" ref="D22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2" s="5" t="str" cm="1">
        <f t="array" ref="E22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2" s="5" t="str" cm="1">
        <f t="array" ref="F22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2" t="str" cm="1">
        <f t="array" ref="G22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2" s="4"/>
      <c r="I2232" s="3" t="str" cm="1">
        <f t="array" ref="I22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3" spans="1:9" x14ac:dyDescent="0.3">
      <c r="A2233" s="3" t="str">
        <f>IF(SISTEMA!A2227="","",SISTEMA!A2227)</f>
        <v/>
      </c>
      <c r="B2233" s="10" t="str">
        <f>IF(SISTEMA!B2227="","",VALUE(SISTEMA!B2227))</f>
        <v/>
      </c>
      <c r="C2233" s="10" t="str">
        <f>IF(SISTEMA!C2227="","",SISTEMA!C2227)</f>
        <v/>
      </c>
      <c r="D2233" s="5" t="str" cm="1">
        <f t="array" ref="D22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3" s="5" t="str" cm="1">
        <f t="array" ref="E22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3" s="5" t="str" cm="1">
        <f t="array" ref="F22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3" t="str" cm="1">
        <f t="array" ref="G22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3" s="4"/>
      <c r="I2233" s="3" t="str" cm="1">
        <f t="array" ref="I22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4" spans="1:9" x14ac:dyDescent="0.3">
      <c r="A2234" s="3" t="str">
        <f>IF(SISTEMA!A2228="","",SISTEMA!A2228)</f>
        <v/>
      </c>
      <c r="B2234" s="10" t="str">
        <f>IF(SISTEMA!B2228="","",VALUE(SISTEMA!B2228))</f>
        <v/>
      </c>
      <c r="C2234" s="10" t="str">
        <f>IF(SISTEMA!C2228="","",SISTEMA!C2228)</f>
        <v/>
      </c>
      <c r="D2234" s="5" t="str" cm="1">
        <f t="array" ref="D22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4" s="5" t="str" cm="1">
        <f t="array" ref="E22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4" s="5" t="str" cm="1">
        <f t="array" ref="F22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4" t="str" cm="1">
        <f t="array" ref="G22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4" s="4"/>
      <c r="I2234" s="3" t="str" cm="1">
        <f t="array" ref="I22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5" spans="1:9" x14ac:dyDescent="0.3">
      <c r="A2235" s="3" t="str">
        <f>IF(SISTEMA!A2229="","",SISTEMA!A2229)</f>
        <v/>
      </c>
      <c r="B2235" s="10" t="str">
        <f>IF(SISTEMA!B2229="","",VALUE(SISTEMA!B2229))</f>
        <v/>
      </c>
      <c r="C2235" s="10" t="str">
        <f>IF(SISTEMA!C2229="","",SISTEMA!C2229)</f>
        <v/>
      </c>
      <c r="D2235" s="5" t="str" cm="1">
        <f t="array" ref="D22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5" s="5" t="str" cm="1">
        <f t="array" ref="E22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5" s="5" t="str" cm="1">
        <f t="array" ref="F22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5" t="str" cm="1">
        <f t="array" ref="G22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5" s="4"/>
      <c r="I2235" s="3" t="str" cm="1">
        <f t="array" ref="I22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6" spans="1:9" x14ac:dyDescent="0.3">
      <c r="A2236" s="3" t="str">
        <f>IF(SISTEMA!A2230="","",SISTEMA!A2230)</f>
        <v/>
      </c>
      <c r="B2236" s="10" t="str">
        <f>IF(SISTEMA!B2230="","",VALUE(SISTEMA!B2230))</f>
        <v/>
      </c>
      <c r="C2236" s="10" t="str">
        <f>IF(SISTEMA!C2230="","",SISTEMA!C2230)</f>
        <v/>
      </c>
      <c r="D2236" s="5" t="str" cm="1">
        <f t="array" ref="D22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6" s="5" t="str" cm="1">
        <f t="array" ref="E22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6" s="5" t="str" cm="1">
        <f t="array" ref="F22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6" t="str" cm="1">
        <f t="array" ref="G22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6" s="4"/>
      <c r="I2236" s="3" t="str" cm="1">
        <f t="array" ref="I22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7" spans="1:9" x14ac:dyDescent="0.3">
      <c r="A2237" s="3" t="str">
        <f>IF(SISTEMA!A2231="","",SISTEMA!A2231)</f>
        <v/>
      </c>
      <c r="B2237" s="10" t="str">
        <f>IF(SISTEMA!B2231="","",VALUE(SISTEMA!B2231))</f>
        <v/>
      </c>
      <c r="C2237" s="10" t="str">
        <f>IF(SISTEMA!C2231="","",SISTEMA!C2231)</f>
        <v/>
      </c>
      <c r="D2237" s="5" t="str" cm="1">
        <f t="array" ref="D22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7" s="5" t="str" cm="1">
        <f t="array" ref="E22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7" s="5" t="str" cm="1">
        <f t="array" ref="F22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7" t="str" cm="1">
        <f t="array" ref="G22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7" s="4"/>
      <c r="I2237" s="3" t="str" cm="1">
        <f t="array" ref="I22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8" spans="1:9" x14ac:dyDescent="0.3">
      <c r="A2238" s="3" t="str">
        <f>IF(SISTEMA!A2232="","",SISTEMA!A2232)</f>
        <v/>
      </c>
      <c r="B2238" s="10" t="str">
        <f>IF(SISTEMA!B2232="","",VALUE(SISTEMA!B2232))</f>
        <v/>
      </c>
      <c r="C2238" s="10" t="str">
        <f>IF(SISTEMA!C2232="","",SISTEMA!C2232)</f>
        <v/>
      </c>
      <c r="D2238" s="5" t="str" cm="1">
        <f t="array" ref="D22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8" s="5" t="str" cm="1">
        <f t="array" ref="E22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8" s="5" t="str" cm="1">
        <f t="array" ref="F22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8" t="str" cm="1">
        <f t="array" ref="G22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8" s="4"/>
      <c r="I2238" s="3" t="str" cm="1">
        <f t="array" ref="I22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39" spans="1:9" x14ac:dyDescent="0.3">
      <c r="A2239" s="3" t="str">
        <f>IF(SISTEMA!A2233="","",SISTEMA!A2233)</f>
        <v/>
      </c>
      <c r="B2239" s="10" t="str">
        <f>IF(SISTEMA!B2233="","",VALUE(SISTEMA!B2233))</f>
        <v/>
      </c>
      <c r="C2239" s="10" t="str">
        <f>IF(SISTEMA!C2233="","",SISTEMA!C2233)</f>
        <v/>
      </c>
      <c r="D2239" s="5" t="str" cm="1">
        <f t="array" ref="D22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39" s="5" t="str" cm="1">
        <f t="array" ref="E22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39" s="5" t="str" cm="1">
        <f t="array" ref="F22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39" t="str" cm="1">
        <f t="array" ref="G22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39" s="4"/>
      <c r="I2239" s="3" t="str" cm="1">
        <f t="array" ref="I22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0" spans="1:9" x14ac:dyDescent="0.3">
      <c r="A2240" s="3" t="str">
        <f>IF(SISTEMA!A2234="","",SISTEMA!A2234)</f>
        <v/>
      </c>
      <c r="B2240" s="10" t="str">
        <f>IF(SISTEMA!B2234="","",VALUE(SISTEMA!B2234))</f>
        <v/>
      </c>
      <c r="C2240" s="10" t="str">
        <f>IF(SISTEMA!C2234="","",SISTEMA!C2234)</f>
        <v/>
      </c>
      <c r="D2240" s="5" t="str" cm="1">
        <f t="array" ref="D22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0" s="5" t="str" cm="1">
        <f t="array" ref="E22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0" s="5" t="str" cm="1">
        <f t="array" ref="F22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0" t="str" cm="1">
        <f t="array" ref="G22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0" s="4"/>
      <c r="I2240" s="3" t="str" cm="1">
        <f t="array" ref="I22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1" spans="1:9" x14ac:dyDescent="0.3">
      <c r="A2241" s="3" t="str">
        <f>IF(SISTEMA!A2235="","",SISTEMA!A2235)</f>
        <v/>
      </c>
      <c r="B2241" s="10" t="str">
        <f>IF(SISTEMA!B2235="","",VALUE(SISTEMA!B2235))</f>
        <v/>
      </c>
      <c r="C2241" s="10" t="str">
        <f>IF(SISTEMA!C2235="","",SISTEMA!C2235)</f>
        <v/>
      </c>
      <c r="D2241" s="5" t="str" cm="1">
        <f t="array" ref="D22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1" s="5" t="str" cm="1">
        <f t="array" ref="E22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1" s="5" t="str" cm="1">
        <f t="array" ref="F22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1" t="str" cm="1">
        <f t="array" ref="G22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1" s="4"/>
      <c r="I2241" s="3" t="str" cm="1">
        <f t="array" ref="I22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2" spans="1:9" x14ac:dyDescent="0.3">
      <c r="A2242" s="3" t="str">
        <f>IF(SISTEMA!A2236="","",SISTEMA!A2236)</f>
        <v/>
      </c>
      <c r="B2242" s="10" t="str">
        <f>IF(SISTEMA!B2236="","",VALUE(SISTEMA!B2236))</f>
        <v/>
      </c>
      <c r="C2242" s="10" t="str">
        <f>IF(SISTEMA!C2236="","",SISTEMA!C2236)</f>
        <v/>
      </c>
      <c r="D2242" s="5" t="str" cm="1">
        <f t="array" ref="D22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2" s="5" t="str" cm="1">
        <f t="array" ref="E22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2" s="5" t="str" cm="1">
        <f t="array" ref="F22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2" t="str" cm="1">
        <f t="array" ref="G22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2" s="4"/>
      <c r="I2242" s="3" t="str" cm="1">
        <f t="array" ref="I22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3" spans="1:9" x14ac:dyDescent="0.3">
      <c r="A2243" s="3" t="str">
        <f>IF(SISTEMA!A2237="","",SISTEMA!A2237)</f>
        <v/>
      </c>
      <c r="B2243" s="10" t="str">
        <f>IF(SISTEMA!B2237="","",VALUE(SISTEMA!B2237))</f>
        <v/>
      </c>
      <c r="C2243" s="10" t="str">
        <f>IF(SISTEMA!C2237="","",SISTEMA!C2237)</f>
        <v/>
      </c>
      <c r="D2243" s="5" t="str" cm="1">
        <f t="array" ref="D224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3" s="5" t="str" cm="1">
        <f t="array" ref="E224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3" s="5" t="str" cm="1">
        <f t="array" ref="F224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3" t="str" cm="1">
        <f t="array" ref="G224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3" s="4"/>
      <c r="I2243" s="3" t="str" cm="1">
        <f t="array" ref="I224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4" spans="1:9" x14ac:dyDescent="0.3">
      <c r="A2244" s="3" t="str">
        <f>IF(SISTEMA!A2238="","",SISTEMA!A2238)</f>
        <v/>
      </c>
      <c r="B2244" s="10" t="str">
        <f>IF(SISTEMA!B2238="","",VALUE(SISTEMA!B2238))</f>
        <v/>
      </c>
      <c r="C2244" s="10" t="str">
        <f>IF(SISTEMA!C2238="","",SISTEMA!C2238)</f>
        <v/>
      </c>
      <c r="D2244" s="5" t="str" cm="1">
        <f t="array" ref="D224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4" s="5" t="str" cm="1">
        <f t="array" ref="E224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4" s="5" t="str" cm="1">
        <f t="array" ref="F224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4" t="str" cm="1">
        <f t="array" ref="G224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4" s="4"/>
      <c r="I2244" s="3" t="str" cm="1">
        <f t="array" ref="I224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5" spans="1:9" x14ac:dyDescent="0.3">
      <c r="A2245" s="3" t="str">
        <f>IF(SISTEMA!A2239="","",SISTEMA!A2239)</f>
        <v/>
      </c>
      <c r="B2245" s="10" t="str">
        <f>IF(SISTEMA!B2239="","",VALUE(SISTEMA!B2239))</f>
        <v/>
      </c>
      <c r="C2245" s="10" t="str">
        <f>IF(SISTEMA!C2239="","",SISTEMA!C2239)</f>
        <v/>
      </c>
      <c r="D2245" s="5" t="str" cm="1">
        <f t="array" ref="D224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5" s="5" t="str" cm="1">
        <f t="array" ref="E224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5" s="5" t="str" cm="1">
        <f t="array" ref="F224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5" t="str" cm="1">
        <f t="array" ref="G224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5" s="4"/>
      <c r="I2245" s="3" t="str" cm="1">
        <f t="array" ref="I224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6" spans="1:9" x14ac:dyDescent="0.3">
      <c r="A2246" s="3" t="str">
        <f>IF(SISTEMA!A2240="","",SISTEMA!A2240)</f>
        <v/>
      </c>
      <c r="B2246" s="10" t="str">
        <f>IF(SISTEMA!B2240="","",VALUE(SISTEMA!B2240))</f>
        <v/>
      </c>
      <c r="C2246" s="10" t="str">
        <f>IF(SISTEMA!C2240="","",SISTEMA!C2240)</f>
        <v/>
      </c>
      <c r="D2246" s="5" t="str" cm="1">
        <f t="array" ref="D224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6" s="5" t="str" cm="1">
        <f t="array" ref="E224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6" s="5" t="str" cm="1">
        <f t="array" ref="F224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6" t="str" cm="1">
        <f t="array" ref="G224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6" s="4"/>
      <c r="I2246" s="3" t="str" cm="1">
        <f t="array" ref="I224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7" spans="1:9" x14ac:dyDescent="0.3">
      <c r="A2247" s="3" t="str">
        <f>IF(SISTEMA!A2241="","",SISTEMA!A2241)</f>
        <v/>
      </c>
      <c r="B2247" s="10" t="str">
        <f>IF(SISTEMA!B2241="","",VALUE(SISTEMA!B2241))</f>
        <v/>
      </c>
      <c r="C2247" s="10" t="str">
        <f>IF(SISTEMA!C2241="","",SISTEMA!C2241)</f>
        <v/>
      </c>
      <c r="D2247" s="5" t="str" cm="1">
        <f t="array" ref="D224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7" s="5" t="str" cm="1">
        <f t="array" ref="E224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7" s="5" t="str" cm="1">
        <f t="array" ref="F224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7" t="str" cm="1">
        <f t="array" ref="G224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7" s="4"/>
      <c r="I2247" s="3" t="str" cm="1">
        <f t="array" ref="I224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8" spans="1:9" x14ac:dyDescent="0.3">
      <c r="A2248" s="3" t="str">
        <f>IF(SISTEMA!A2242="","",SISTEMA!A2242)</f>
        <v/>
      </c>
      <c r="B2248" s="10" t="str">
        <f>IF(SISTEMA!B2242="","",VALUE(SISTEMA!B2242))</f>
        <v/>
      </c>
      <c r="C2248" s="10" t="str">
        <f>IF(SISTEMA!C2242="","",SISTEMA!C2242)</f>
        <v/>
      </c>
      <c r="D2248" s="5" t="str" cm="1">
        <f t="array" ref="D224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8" s="5" t="str" cm="1">
        <f t="array" ref="E224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8" s="5" t="str" cm="1">
        <f t="array" ref="F224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8" t="str" cm="1">
        <f t="array" ref="G224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8" s="4"/>
      <c r="I2248" s="3" t="str" cm="1">
        <f t="array" ref="I224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49" spans="1:9" x14ac:dyDescent="0.3">
      <c r="A2249" s="3" t="str">
        <f>IF(SISTEMA!A2243="","",SISTEMA!A2243)</f>
        <v/>
      </c>
      <c r="B2249" s="10" t="str">
        <f>IF(SISTEMA!B2243="","",VALUE(SISTEMA!B2243))</f>
        <v/>
      </c>
      <c r="C2249" s="10" t="str">
        <f>IF(SISTEMA!C2243="","",SISTEMA!C2243)</f>
        <v/>
      </c>
      <c r="D2249" s="5" t="str" cm="1">
        <f t="array" ref="D224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49" s="5" t="str" cm="1">
        <f t="array" ref="E224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49" s="5" t="str" cm="1">
        <f t="array" ref="F224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49" t="str" cm="1">
        <f t="array" ref="G224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49" s="4"/>
      <c r="I2249" s="3" t="str" cm="1">
        <f t="array" ref="I224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0" spans="1:9" x14ac:dyDescent="0.3">
      <c r="A2250" s="3" t="str">
        <f>IF(SISTEMA!A2244="","",SISTEMA!A2244)</f>
        <v/>
      </c>
      <c r="B2250" s="10" t="str">
        <f>IF(SISTEMA!B2244="","",VALUE(SISTEMA!B2244))</f>
        <v/>
      </c>
      <c r="C2250" s="10" t="str">
        <f>IF(SISTEMA!C2244="","",SISTEMA!C2244)</f>
        <v/>
      </c>
      <c r="D2250" s="5" t="str" cm="1">
        <f t="array" ref="D225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0" s="5" t="str" cm="1">
        <f t="array" ref="E225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0" s="5" t="str" cm="1">
        <f t="array" ref="F225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0" t="str" cm="1">
        <f t="array" ref="G225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0" s="4"/>
      <c r="I2250" s="3" t="str" cm="1">
        <f t="array" ref="I225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1" spans="1:9" x14ac:dyDescent="0.3">
      <c r="A2251" s="3" t="str">
        <f>IF(SISTEMA!A2245="","",SISTEMA!A2245)</f>
        <v/>
      </c>
      <c r="B2251" s="10" t="str">
        <f>IF(SISTEMA!B2245="","",VALUE(SISTEMA!B2245))</f>
        <v/>
      </c>
      <c r="C2251" s="10" t="str">
        <f>IF(SISTEMA!C2245="","",SISTEMA!C2245)</f>
        <v/>
      </c>
      <c r="D2251" s="5" t="str" cm="1">
        <f t="array" ref="D225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1" s="5" t="str" cm="1">
        <f t="array" ref="E225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1" s="5" t="str" cm="1">
        <f t="array" ref="F225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1" t="str" cm="1">
        <f t="array" ref="G225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1" s="4"/>
      <c r="I2251" s="3" t="str" cm="1">
        <f t="array" ref="I225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2" spans="1:9" x14ac:dyDescent="0.3">
      <c r="A2252" s="3" t="str">
        <f>IF(SISTEMA!A2246="","",SISTEMA!A2246)</f>
        <v/>
      </c>
      <c r="B2252" s="10" t="str">
        <f>IF(SISTEMA!B2246="","",VALUE(SISTEMA!B2246))</f>
        <v/>
      </c>
      <c r="C2252" s="10" t="str">
        <f>IF(SISTEMA!C2246="","",SISTEMA!C2246)</f>
        <v/>
      </c>
      <c r="D2252" s="5" t="str" cm="1">
        <f t="array" ref="D225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2" s="5" t="str" cm="1">
        <f t="array" ref="E225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2" s="5" t="str" cm="1">
        <f t="array" ref="F225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2" t="str" cm="1">
        <f t="array" ref="G225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2" s="4"/>
      <c r="I2252" s="3" t="str" cm="1">
        <f t="array" ref="I225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3" spans="1:9" x14ac:dyDescent="0.3">
      <c r="A2253" s="3" t="str">
        <f>IF(SISTEMA!A2247="","",SISTEMA!A2247)</f>
        <v/>
      </c>
      <c r="B2253" s="10" t="str">
        <f>IF(SISTEMA!B2247="","",VALUE(SISTEMA!B2247))</f>
        <v/>
      </c>
      <c r="C2253" s="10" t="str">
        <f>IF(SISTEMA!C2247="","",SISTEMA!C2247)</f>
        <v/>
      </c>
      <c r="D2253" s="5" t="str" cm="1">
        <f t="array" ref="D225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3" s="5" t="str" cm="1">
        <f t="array" ref="E225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3" s="5" t="str" cm="1">
        <f t="array" ref="F225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3" t="str" cm="1">
        <f t="array" ref="G225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3" s="4"/>
      <c r="I2253" s="3" t="str" cm="1">
        <f t="array" ref="I225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4" spans="1:9" x14ac:dyDescent="0.3">
      <c r="A2254" s="3" t="str">
        <f>IF(SISTEMA!A2248="","",SISTEMA!A2248)</f>
        <v/>
      </c>
      <c r="B2254" s="10" t="str">
        <f>IF(SISTEMA!B2248="","",VALUE(SISTEMA!B2248))</f>
        <v/>
      </c>
      <c r="C2254" s="10" t="str">
        <f>IF(SISTEMA!C2248="","",SISTEMA!C2248)</f>
        <v/>
      </c>
      <c r="D2254" s="5" t="str" cm="1">
        <f t="array" ref="D225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4" s="5" t="str" cm="1">
        <f t="array" ref="E225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4" s="5" t="str" cm="1">
        <f t="array" ref="F225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4" t="str" cm="1">
        <f t="array" ref="G225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4" s="4"/>
      <c r="I2254" s="3" t="str" cm="1">
        <f t="array" ref="I225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5" spans="1:9" x14ac:dyDescent="0.3">
      <c r="A2255" s="3" t="str">
        <f>IF(SISTEMA!A2249="","",SISTEMA!A2249)</f>
        <v/>
      </c>
      <c r="B2255" s="10" t="str">
        <f>IF(SISTEMA!B2249="","",VALUE(SISTEMA!B2249))</f>
        <v/>
      </c>
      <c r="C2255" s="10" t="str">
        <f>IF(SISTEMA!C2249="","",SISTEMA!C2249)</f>
        <v/>
      </c>
      <c r="D2255" s="5" t="str" cm="1">
        <f t="array" ref="D225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5" s="5" t="str" cm="1">
        <f t="array" ref="E225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5" s="5" t="str" cm="1">
        <f t="array" ref="F225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5" t="str" cm="1">
        <f t="array" ref="G225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5" s="4"/>
      <c r="I2255" s="3" t="str" cm="1">
        <f t="array" ref="I225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6" spans="1:9" x14ac:dyDescent="0.3">
      <c r="A2256" s="3" t="str">
        <f>IF(SISTEMA!A2250="","",SISTEMA!A2250)</f>
        <v/>
      </c>
      <c r="B2256" s="10" t="str">
        <f>IF(SISTEMA!B2250="","",VALUE(SISTEMA!B2250))</f>
        <v/>
      </c>
      <c r="C2256" s="10" t="str">
        <f>IF(SISTEMA!C2250="","",SISTEMA!C2250)</f>
        <v/>
      </c>
      <c r="D2256" s="5" t="str" cm="1">
        <f t="array" ref="D225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6" s="5" t="str" cm="1">
        <f t="array" ref="E225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6" s="5" t="str" cm="1">
        <f t="array" ref="F225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6" t="str" cm="1">
        <f t="array" ref="G225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6" s="4"/>
      <c r="I2256" s="3" t="str" cm="1">
        <f t="array" ref="I225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7" spans="1:9" x14ac:dyDescent="0.3">
      <c r="A2257" s="3" t="str">
        <f>IF(SISTEMA!A2251="","",SISTEMA!A2251)</f>
        <v/>
      </c>
      <c r="B2257" s="10" t="str">
        <f>IF(SISTEMA!B2251="","",VALUE(SISTEMA!B2251))</f>
        <v/>
      </c>
      <c r="C2257" s="10" t="str">
        <f>IF(SISTEMA!C2251="","",SISTEMA!C2251)</f>
        <v/>
      </c>
      <c r="D2257" s="5" t="str" cm="1">
        <f t="array" ref="D225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7" s="5" t="str" cm="1">
        <f t="array" ref="E225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7" s="5" t="str" cm="1">
        <f t="array" ref="F225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7" t="str" cm="1">
        <f t="array" ref="G225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7" s="4"/>
      <c r="I2257" s="3" t="str" cm="1">
        <f t="array" ref="I225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8" spans="1:9" x14ac:dyDescent="0.3">
      <c r="A2258" s="3" t="str">
        <f>IF(SISTEMA!A2252="","",SISTEMA!A2252)</f>
        <v/>
      </c>
      <c r="B2258" s="10" t="str">
        <f>IF(SISTEMA!B2252="","",VALUE(SISTEMA!B2252))</f>
        <v/>
      </c>
      <c r="C2258" s="10" t="str">
        <f>IF(SISTEMA!C2252="","",SISTEMA!C2252)</f>
        <v/>
      </c>
      <c r="D2258" s="5" t="str" cm="1">
        <f t="array" ref="D225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8" s="5" t="str" cm="1">
        <f t="array" ref="E225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8" s="5" t="str" cm="1">
        <f t="array" ref="F225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8" t="str" cm="1">
        <f t="array" ref="G225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8" s="4"/>
      <c r="I2258" s="3" t="str" cm="1">
        <f t="array" ref="I225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59" spans="1:9" x14ac:dyDescent="0.3">
      <c r="A2259" s="3" t="str">
        <f>IF(SISTEMA!A2253="","",SISTEMA!A2253)</f>
        <v/>
      </c>
      <c r="B2259" s="10" t="str">
        <f>IF(SISTEMA!B2253="","",VALUE(SISTEMA!B2253))</f>
        <v/>
      </c>
      <c r="C2259" s="10" t="str">
        <f>IF(SISTEMA!C2253="","",SISTEMA!C2253)</f>
        <v/>
      </c>
      <c r="D2259" s="5" t="str" cm="1">
        <f t="array" ref="D225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59" s="5" t="str" cm="1">
        <f t="array" ref="E225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59" s="5" t="str" cm="1">
        <f t="array" ref="F225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59" t="str" cm="1">
        <f t="array" ref="G225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59" s="4"/>
      <c r="I2259" s="3" t="str" cm="1">
        <f t="array" ref="I225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0" spans="1:9" x14ac:dyDescent="0.3">
      <c r="A2260" s="3" t="str">
        <f>IF(SISTEMA!A2254="","",SISTEMA!A2254)</f>
        <v/>
      </c>
      <c r="B2260" s="10" t="str">
        <f>IF(SISTEMA!B2254="","",VALUE(SISTEMA!B2254))</f>
        <v/>
      </c>
      <c r="C2260" s="10" t="str">
        <f>IF(SISTEMA!C2254="","",SISTEMA!C2254)</f>
        <v/>
      </c>
      <c r="D2260" s="5" t="str" cm="1">
        <f t="array" ref="D226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0" s="5" t="str" cm="1">
        <f t="array" ref="E226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0" s="5" t="str" cm="1">
        <f t="array" ref="F226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0" t="str" cm="1">
        <f t="array" ref="G226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0" s="4"/>
      <c r="I2260" s="3" t="str" cm="1">
        <f t="array" ref="I226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1" spans="1:9" x14ac:dyDescent="0.3">
      <c r="A2261" s="3" t="str">
        <f>IF(SISTEMA!A2255="","",SISTEMA!A2255)</f>
        <v/>
      </c>
      <c r="B2261" s="10" t="str">
        <f>IF(SISTEMA!B2255="","",VALUE(SISTEMA!B2255))</f>
        <v/>
      </c>
      <c r="C2261" s="10" t="str">
        <f>IF(SISTEMA!C2255="","",SISTEMA!C2255)</f>
        <v/>
      </c>
      <c r="D2261" s="5" t="str" cm="1">
        <f t="array" ref="D226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1" s="5" t="str" cm="1">
        <f t="array" ref="E226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1" s="5" t="str" cm="1">
        <f t="array" ref="F226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1" t="str" cm="1">
        <f t="array" ref="G226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1" s="4"/>
      <c r="I2261" s="3" t="str" cm="1">
        <f t="array" ref="I226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2" spans="1:9" x14ac:dyDescent="0.3">
      <c r="A2262" s="3" t="str">
        <f>IF(SISTEMA!A2256="","",SISTEMA!A2256)</f>
        <v/>
      </c>
      <c r="B2262" s="10" t="str">
        <f>IF(SISTEMA!B2256="","",VALUE(SISTEMA!B2256))</f>
        <v/>
      </c>
      <c r="C2262" s="10" t="str">
        <f>IF(SISTEMA!C2256="","",SISTEMA!C2256)</f>
        <v/>
      </c>
      <c r="D2262" s="5" t="str" cm="1">
        <f t="array" ref="D226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2" s="5" t="str" cm="1">
        <f t="array" ref="E226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2" s="5" t="str" cm="1">
        <f t="array" ref="F226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2" t="str" cm="1">
        <f t="array" ref="G226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2" s="4"/>
      <c r="I2262" s="3" t="str" cm="1">
        <f t="array" ref="I226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3" spans="1:9" x14ac:dyDescent="0.3">
      <c r="A2263" s="3" t="str">
        <f>IF(SISTEMA!A2257="","",SISTEMA!A2257)</f>
        <v/>
      </c>
      <c r="B2263" s="10" t="str">
        <f>IF(SISTEMA!B2257="","",VALUE(SISTEMA!B2257))</f>
        <v/>
      </c>
      <c r="C2263" s="10" t="str">
        <f>IF(SISTEMA!C2257="","",SISTEMA!C2257)</f>
        <v/>
      </c>
      <c r="D2263" s="5" t="str" cm="1">
        <f t="array" ref="D226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3" s="5" t="str" cm="1">
        <f t="array" ref="E226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3" s="5" t="str" cm="1">
        <f t="array" ref="F226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3" t="str" cm="1">
        <f t="array" ref="G226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3" s="4"/>
      <c r="I2263" s="3" t="str" cm="1">
        <f t="array" ref="I226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4" spans="1:9" x14ac:dyDescent="0.3">
      <c r="A2264" s="3" t="str">
        <f>IF(SISTEMA!A2258="","",SISTEMA!A2258)</f>
        <v/>
      </c>
      <c r="B2264" s="10" t="str">
        <f>IF(SISTEMA!B2258="","",VALUE(SISTEMA!B2258))</f>
        <v/>
      </c>
      <c r="C2264" s="10" t="str">
        <f>IF(SISTEMA!C2258="","",SISTEMA!C2258)</f>
        <v/>
      </c>
      <c r="D2264" s="5" t="str" cm="1">
        <f t="array" ref="D226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4" s="5" t="str" cm="1">
        <f t="array" ref="E226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4" s="5" t="str" cm="1">
        <f t="array" ref="F226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4" t="str" cm="1">
        <f t="array" ref="G226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4" s="4"/>
      <c r="I2264" s="3" t="str" cm="1">
        <f t="array" ref="I226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5" spans="1:9" x14ac:dyDescent="0.3">
      <c r="A2265" s="3" t="str">
        <f>IF(SISTEMA!A2259="","",SISTEMA!A2259)</f>
        <v/>
      </c>
      <c r="B2265" s="10" t="str">
        <f>IF(SISTEMA!B2259="","",VALUE(SISTEMA!B2259))</f>
        <v/>
      </c>
      <c r="C2265" s="10" t="str">
        <f>IF(SISTEMA!C2259="","",SISTEMA!C2259)</f>
        <v/>
      </c>
      <c r="D2265" s="5" t="str" cm="1">
        <f t="array" ref="D226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5" s="5" t="str" cm="1">
        <f t="array" ref="E226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5" s="5" t="str" cm="1">
        <f t="array" ref="F226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5" t="str" cm="1">
        <f t="array" ref="G226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5" s="4"/>
      <c r="I2265" s="3" t="str" cm="1">
        <f t="array" ref="I226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6" spans="1:9" x14ac:dyDescent="0.3">
      <c r="A2266" s="3" t="str">
        <f>IF(SISTEMA!A2260="","",SISTEMA!A2260)</f>
        <v/>
      </c>
      <c r="B2266" s="10" t="str">
        <f>IF(SISTEMA!B2260="","",VALUE(SISTEMA!B2260))</f>
        <v/>
      </c>
      <c r="C2266" s="10" t="str">
        <f>IF(SISTEMA!C2260="","",SISTEMA!C2260)</f>
        <v/>
      </c>
      <c r="D2266" s="5" t="str" cm="1">
        <f t="array" ref="D226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6" s="5" t="str" cm="1">
        <f t="array" ref="E226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6" s="5" t="str" cm="1">
        <f t="array" ref="F226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6" t="str" cm="1">
        <f t="array" ref="G226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6" s="4"/>
      <c r="I2266" s="3" t="str" cm="1">
        <f t="array" ref="I226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7" spans="1:9" x14ac:dyDescent="0.3">
      <c r="A2267" s="3" t="str">
        <f>IF(SISTEMA!A2261="","",SISTEMA!A2261)</f>
        <v/>
      </c>
      <c r="B2267" s="10" t="str">
        <f>IF(SISTEMA!B2261="","",VALUE(SISTEMA!B2261))</f>
        <v/>
      </c>
      <c r="C2267" s="10" t="str">
        <f>IF(SISTEMA!C2261="","",SISTEMA!C2261)</f>
        <v/>
      </c>
      <c r="D2267" s="5" t="str" cm="1">
        <f t="array" ref="D226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7" s="5" t="str" cm="1">
        <f t="array" ref="E226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7" s="5" t="str" cm="1">
        <f t="array" ref="F226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7" t="str" cm="1">
        <f t="array" ref="G226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7" s="4"/>
      <c r="I2267" s="3" t="str" cm="1">
        <f t="array" ref="I226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8" spans="1:9" x14ac:dyDescent="0.3">
      <c r="A2268" s="3" t="str">
        <f>IF(SISTEMA!A2262="","",SISTEMA!A2262)</f>
        <v/>
      </c>
      <c r="B2268" s="10" t="str">
        <f>IF(SISTEMA!B2262="","",VALUE(SISTEMA!B2262))</f>
        <v/>
      </c>
      <c r="C2268" s="10" t="str">
        <f>IF(SISTEMA!C2262="","",SISTEMA!C2262)</f>
        <v/>
      </c>
      <c r="D2268" s="5" t="str" cm="1">
        <f t="array" ref="D226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8" s="5" t="str" cm="1">
        <f t="array" ref="E226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8" s="5" t="str" cm="1">
        <f t="array" ref="F226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8" t="str" cm="1">
        <f t="array" ref="G226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8" s="4"/>
      <c r="I2268" s="3" t="str" cm="1">
        <f t="array" ref="I226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69" spans="1:9" x14ac:dyDescent="0.3">
      <c r="A2269" s="3" t="str">
        <f>IF(SISTEMA!A2263="","",SISTEMA!A2263)</f>
        <v/>
      </c>
      <c r="B2269" s="10" t="str">
        <f>IF(SISTEMA!B2263="","",VALUE(SISTEMA!B2263))</f>
        <v/>
      </c>
      <c r="C2269" s="10" t="str">
        <f>IF(SISTEMA!C2263="","",SISTEMA!C2263)</f>
        <v/>
      </c>
      <c r="D2269" s="5" t="str" cm="1">
        <f t="array" ref="D226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69" s="5" t="str" cm="1">
        <f t="array" ref="E226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69" s="5" t="str" cm="1">
        <f t="array" ref="F226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69" t="str" cm="1">
        <f t="array" ref="G226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69" s="4"/>
      <c r="I2269" s="3" t="str" cm="1">
        <f t="array" ref="I226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0" spans="1:9" x14ac:dyDescent="0.3">
      <c r="A2270" s="3" t="str">
        <f>IF(SISTEMA!A2264="","",SISTEMA!A2264)</f>
        <v/>
      </c>
      <c r="B2270" s="10" t="str">
        <f>IF(SISTEMA!B2264="","",VALUE(SISTEMA!B2264))</f>
        <v/>
      </c>
      <c r="C2270" s="10" t="str">
        <f>IF(SISTEMA!C2264="","",SISTEMA!C2264)</f>
        <v/>
      </c>
      <c r="D2270" s="5" t="str" cm="1">
        <f t="array" ref="D227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0" s="5" t="str" cm="1">
        <f t="array" ref="E227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0" s="5" t="str" cm="1">
        <f t="array" ref="F227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0" t="str" cm="1">
        <f t="array" ref="G227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0" s="4"/>
      <c r="I2270" s="3" t="str" cm="1">
        <f t="array" ref="I227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1" spans="1:9" x14ac:dyDescent="0.3">
      <c r="A2271" s="3" t="str">
        <f>IF(SISTEMA!A2265="","",SISTEMA!A2265)</f>
        <v/>
      </c>
      <c r="B2271" s="10" t="str">
        <f>IF(SISTEMA!B2265="","",VALUE(SISTEMA!B2265))</f>
        <v/>
      </c>
      <c r="C2271" s="10" t="str">
        <f>IF(SISTEMA!C2265="","",SISTEMA!C2265)</f>
        <v/>
      </c>
      <c r="D2271" s="5" t="str" cm="1">
        <f t="array" ref="D227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1" s="5" t="str" cm="1">
        <f t="array" ref="E227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1" s="5" t="str" cm="1">
        <f t="array" ref="F227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1" t="str" cm="1">
        <f t="array" ref="G227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1" s="4"/>
      <c r="I2271" s="3" t="str" cm="1">
        <f t="array" ref="I227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2" spans="1:9" x14ac:dyDescent="0.3">
      <c r="A2272" s="3" t="str">
        <f>IF(SISTEMA!A2266="","",SISTEMA!A2266)</f>
        <v/>
      </c>
      <c r="B2272" s="10" t="str">
        <f>IF(SISTEMA!B2266="","",VALUE(SISTEMA!B2266))</f>
        <v/>
      </c>
      <c r="C2272" s="10" t="str">
        <f>IF(SISTEMA!C2266="","",SISTEMA!C2266)</f>
        <v/>
      </c>
      <c r="D2272" s="5" t="str" cm="1">
        <f t="array" ref="D227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2" s="5" t="str" cm="1">
        <f t="array" ref="E227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2" s="5" t="str" cm="1">
        <f t="array" ref="F227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2" t="str" cm="1">
        <f t="array" ref="G227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2" s="4"/>
      <c r="I2272" s="3" t="str" cm="1">
        <f t="array" ref="I227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3" spans="1:9" x14ac:dyDescent="0.3">
      <c r="A2273" s="3" t="str">
        <f>IF(SISTEMA!A2267="","",SISTEMA!A2267)</f>
        <v/>
      </c>
      <c r="B2273" s="10" t="str">
        <f>IF(SISTEMA!B2267="","",VALUE(SISTEMA!B2267))</f>
        <v/>
      </c>
      <c r="C2273" s="10" t="str">
        <f>IF(SISTEMA!C2267="","",SISTEMA!C2267)</f>
        <v/>
      </c>
      <c r="D2273" s="5" t="str" cm="1">
        <f t="array" ref="D227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3" s="5" t="str" cm="1">
        <f t="array" ref="E227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3" s="5" t="str" cm="1">
        <f t="array" ref="F227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3" t="str" cm="1">
        <f t="array" ref="G227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3" s="4"/>
      <c r="I2273" s="3" t="str" cm="1">
        <f t="array" ref="I227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4" spans="1:9" x14ac:dyDescent="0.3">
      <c r="A2274" s="3" t="str">
        <f>IF(SISTEMA!A2268="","",SISTEMA!A2268)</f>
        <v/>
      </c>
      <c r="B2274" s="10" t="str">
        <f>IF(SISTEMA!B2268="","",VALUE(SISTEMA!B2268))</f>
        <v/>
      </c>
      <c r="C2274" s="10" t="str">
        <f>IF(SISTEMA!C2268="","",SISTEMA!C2268)</f>
        <v/>
      </c>
      <c r="D2274" s="5" t="str" cm="1">
        <f t="array" ref="D227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4" s="5" t="str" cm="1">
        <f t="array" ref="E227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4" s="5" t="str" cm="1">
        <f t="array" ref="F227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4" t="str" cm="1">
        <f t="array" ref="G227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4" s="4"/>
      <c r="I2274" s="3" t="str" cm="1">
        <f t="array" ref="I227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5" spans="1:9" x14ac:dyDescent="0.3">
      <c r="A2275" s="3" t="str">
        <f>IF(SISTEMA!A2269="","",SISTEMA!A2269)</f>
        <v/>
      </c>
      <c r="B2275" s="10" t="str">
        <f>IF(SISTEMA!B2269="","",VALUE(SISTEMA!B2269))</f>
        <v/>
      </c>
      <c r="C2275" s="10" t="str">
        <f>IF(SISTEMA!C2269="","",SISTEMA!C2269)</f>
        <v/>
      </c>
      <c r="D2275" s="5" t="str" cm="1">
        <f t="array" ref="D227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5" s="5" t="str" cm="1">
        <f t="array" ref="E227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5" s="5" t="str" cm="1">
        <f t="array" ref="F227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5" t="str" cm="1">
        <f t="array" ref="G227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5" s="4"/>
      <c r="I2275" s="3" t="str" cm="1">
        <f t="array" ref="I227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6" spans="1:9" x14ac:dyDescent="0.3">
      <c r="A2276" s="3" t="str">
        <f>IF(SISTEMA!A2270="","",SISTEMA!A2270)</f>
        <v/>
      </c>
      <c r="B2276" s="10" t="str">
        <f>IF(SISTEMA!B2270="","",VALUE(SISTEMA!B2270))</f>
        <v/>
      </c>
      <c r="C2276" s="10" t="str">
        <f>IF(SISTEMA!C2270="","",SISTEMA!C2270)</f>
        <v/>
      </c>
      <c r="D2276" s="5" t="str" cm="1">
        <f t="array" ref="D227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6" s="5" t="str" cm="1">
        <f t="array" ref="E227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6" s="5" t="str" cm="1">
        <f t="array" ref="F227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6" t="str" cm="1">
        <f t="array" ref="G227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6" s="4"/>
      <c r="I2276" s="3" t="str" cm="1">
        <f t="array" ref="I227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7" spans="1:9" x14ac:dyDescent="0.3">
      <c r="A2277" s="3" t="str">
        <f>IF(SISTEMA!A2271="","",SISTEMA!A2271)</f>
        <v/>
      </c>
      <c r="B2277" s="10" t="str">
        <f>IF(SISTEMA!B2271="","",VALUE(SISTEMA!B2271))</f>
        <v/>
      </c>
      <c r="C2277" s="10" t="str">
        <f>IF(SISTEMA!C2271="","",SISTEMA!C2271)</f>
        <v/>
      </c>
      <c r="D2277" s="5" t="str" cm="1">
        <f t="array" ref="D227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7" s="5" t="str" cm="1">
        <f t="array" ref="E227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7" s="5" t="str" cm="1">
        <f t="array" ref="F227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7" t="str" cm="1">
        <f t="array" ref="G227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7" s="4"/>
      <c r="I2277" s="3" t="str" cm="1">
        <f t="array" ref="I227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8" spans="1:9" x14ac:dyDescent="0.3">
      <c r="A2278" s="3" t="str">
        <f>IF(SISTEMA!A2272="","",SISTEMA!A2272)</f>
        <v/>
      </c>
      <c r="B2278" s="10" t="str">
        <f>IF(SISTEMA!B2272="","",VALUE(SISTEMA!B2272))</f>
        <v/>
      </c>
      <c r="C2278" s="10" t="str">
        <f>IF(SISTEMA!C2272="","",SISTEMA!C2272)</f>
        <v/>
      </c>
      <c r="D2278" s="5" t="str" cm="1">
        <f t="array" ref="D227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8" s="5" t="str" cm="1">
        <f t="array" ref="E227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8" s="5" t="str" cm="1">
        <f t="array" ref="F227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8" t="str" cm="1">
        <f t="array" ref="G227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8" s="4"/>
      <c r="I2278" s="3" t="str" cm="1">
        <f t="array" ref="I227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79" spans="1:9" x14ac:dyDescent="0.3">
      <c r="A2279" s="3" t="str">
        <f>IF(SISTEMA!A2273="","",SISTEMA!A2273)</f>
        <v/>
      </c>
      <c r="B2279" s="10" t="str">
        <f>IF(SISTEMA!B2273="","",VALUE(SISTEMA!B2273))</f>
        <v/>
      </c>
      <c r="C2279" s="10" t="str">
        <f>IF(SISTEMA!C2273="","",SISTEMA!C2273)</f>
        <v/>
      </c>
      <c r="D2279" s="5" t="str" cm="1">
        <f t="array" ref="D227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79" s="5" t="str" cm="1">
        <f t="array" ref="E227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79" s="5" t="str" cm="1">
        <f t="array" ref="F227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79" t="str" cm="1">
        <f t="array" ref="G227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79" s="4"/>
      <c r="I2279" s="3" t="str" cm="1">
        <f t="array" ref="I227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0" spans="1:9" x14ac:dyDescent="0.3">
      <c r="A2280" s="3" t="str">
        <f>IF(SISTEMA!A2274="","",SISTEMA!A2274)</f>
        <v/>
      </c>
      <c r="B2280" s="10" t="str">
        <f>IF(SISTEMA!B2274="","",VALUE(SISTEMA!B2274))</f>
        <v/>
      </c>
      <c r="C2280" s="10" t="str">
        <f>IF(SISTEMA!C2274="","",SISTEMA!C2274)</f>
        <v/>
      </c>
      <c r="D2280" s="5" t="str" cm="1">
        <f t="array" ref="D228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0" s="5" t="str" cm="1">
        <f t="array" ref="E228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0" s="5" t="str" cm="1">
        <f t="array" ref="F228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0" t="str" cm="1">
        <f t="array" ref="G228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0" s="4"/>
      <c r="I2280" s="3" t="str" cm="1">
        <f t="array" ref="I228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1" spans="1:9" x14ac:dyDescent="0.3">
      <c r="A2281" s="3" t="str">
        <f>IF(SISTEMA!A2275="","",SISTEMA!A2275)</f>
        <v/>
      </c>
      <c r="B2281" s="10" t="str">
        <f>IF(SISTEMA!B2275="","",VALUE(SISTEMA!B2275))</f>
        <v/>
      </c>
      <c r="C2281" s="10" t="str">
        <f>IF(SISTEMA!C2275="","",SISTEMA!C2275)</f>
        <v/>
      </c>
      <c r="D2281" s="5" t="str" cm="1">
        <f t="array" ref="D228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1" s="5" t="str" cm="1">
        <f t="array" ref="E228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1" s="5" t="str" cm="1">
        <f t="array" ref="F228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1" t="str" cm="1">
        <f t="array" ref="G228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1" s="4"/>
      <c r="I2281" s="3" t="str" cm="1">
        <f t="array" ref="I228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2" spans="1:9" x14ac:dyDescent="0.3">
      <c r="A2282" s="3" t="str">
        <f>IF(SISTEMA!A2276="","",SISTEMA!A2276)</f>
        <v/>
      </c>
      <c r="B2282" s="10" t="str">
        <f>IF(SISTEMA!B2276="","",VALUE(SISTEMA!B2276))</f>
        <v/>
      </c>
      <c r="C2282" s="10" t="str">
        <f>IF(SISTEMA!C2276="","",SISTEMA!C2276)</f>
        <v/>
      </c>
      <c r="D2282" s="5" t="str" cm="1">
        <f t="array" ref="D228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2" s="5" t="str" cm="1">
        <f t="array" ref="E228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2" s="5" t="str" cm="1">
        <f t="array" ref="F228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2" t="str" cm="1">
        <f t="array" ref="G228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2" s="4"/>
      <c r="I2282" s="3" t="str" cm="1">
        <f t="array" ref="I228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3" spans="1:9" x14ac:dyDescent="0.3">
      <c r="A2283" s="3" t="str">
        <f>IF(SISTEMA!A2277="","",SISTEMA!A2277)</f>
        <v/>
      </c>
      <c r="B2283" s="10" t="str">
        <f>IF(SISTEMA!B2277="","",VALUE(SISTEMA!B2277))</f>
        <v/>
      </c>
      <c r="C2283" s="10" t="str">
        <f>IF(SISTEMA!C2277="","",SISTEMA!C2277)</f>
        <v/>
      </c>
      <c r="D2283" s="5" t="str" cm="1">
        <f t="array" ref="D228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3" s="5" t="str" cm="1">
        <f t="array" ref="E228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3" s="5" t="str" cm="1">
        <f t="array" ref="F228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3" t="str" cm="1">
        <f t="array" ref="G228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3" s="4"/>
      <c r="I2283" s="3" t="str" cm="1">
        <f t="array" ref="I228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4" spans="1:9" x14ac:dyDescent="0.3">
      <c r="A2284" s="3" t="str">
        <f>IF(SISTEMA!A2278="","",SISTEMA!A2278)</f>
        <v/>
      </c>
      <c r="B2284" s="10" t="str">
        <f>IF(SISTEMA!B2278="","",VALUE(SISTEMA!B2278))</f>
        <v/>
      </c>
      <c r="C2284" s="10" t="str">
        <f>IF(SISTEMA!C2278="","",SISTEMA!C2278)</f>
        <v/>
      </c>
      <c r="D2284" s="5" t="str" cm="1">
        <f t="array" ref="D228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4" s="5" t="str" cm="1">
        <f t="array" ref="E228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4" s="5" t="str" cm="1">
        <f t="array" ref="F228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4" t="str" cm="1">
        <f t="array" ref="G228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4" s="4"/>
      <c r="I2284" s="3" t="str" cm="1">
        <f t="array" ref="I228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5" spans="1:9" x14ac:dyDescent="0.3">
      <c r="A2285" s="3" t="str">
        <f>IF(SISTEMA!A2279="","",SISTEMA!A2279)</f>
        <v/>
      </c>
      <c r="B2285" s="10" t="str">
        <f>IF(SISTEMA!B2279="","",VALUE(SISTEMA!B2279))</f>
        <v/>
      </c>
      <c r="C2285" s="10" t="str">
        <f>IF(SISTEMA!C2279="","",SISTEMA!C2279)</f>
        <v/>
      </c>
      <c r="D2285" s="5" t="str" cm="1">
        <f t="array" ref="D228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5" s="5" t="str" cm="1">
        <f t="array" ref="E228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5" s="5" t="str" cm="1">
        <f t="array" ref="F228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5" t="str" cm="1">
        <f t="array" ref="G228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5" s="4"/>
      <c r="I2285" s="3" t="str" cm="1">
        <f t="array" ref="I228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6" spans="1:9" x14ac:dyDescent="0.3">
      <c r="A2286" s="3" t="str">
        <f>IF(SISTEMA!A2280="","",SISTEMA!A2280)</f>
        <v/>
      </c>
      <c r="B2286" s="10" t="str">
        <f>IF(SISTEMA!B2280="","",VALUE(SISTEMA!B2280))</f>
        <v/>
      </c>
      <c r="C2286" s="10" t="str">
        <f>IF(SISTEMA!C2280="","",SISTEMA!C2280)</f>
        <v/>
      </c>
      <c r="D2286" s="5" t="str" cm="1">
        <f t="array" ref="D228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6" s="5" t="str" cm="1">
        <f t="array" ref="E228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6" s="5" t="str" cm="1">
        <f t="array" ref="F228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6" t="str" cm="1">
        <f t="array" ref="G228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6" s="4"/>
      <c r="I2286" s="3" t="str" cm="1">
        <f t="array" ref="I228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7" spans="1:9" x14ac:dyDescent="0.3">
      <c r="A2287" s="3" t="str">
        <f>IF(SISTEMA!A2281="","",SISTEMA!A2281)</f>
        <v/>
      </c>
      <c r="B2287" s="10" t="str">
        <f>IF(SISTEMA!B2281="","",VALUE(SISTEMA!B2281))</f>
        <v/>
      </c>
      <c r="C2287" s="10" t="str">
        <f>IF(SISTEMA!C2281="","",SISTEMA!C2281)</f>
        <v/>
      </c>
      <c r="D2287" s="5" t="str" cm="1">
        <f t="array" ref="D228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7" s="5" t="str" cm="1">
        <f t="array" ref="E228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7" s="5" t="str" cm="1">
        <f t="array" ref="F228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7" t="str" cm="1">
        <f t="array" ref="G228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7" s="4"/>
      <c r="I2287" s="3" t="str" cm="1">
        <f t="array" ref="I228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8" spans="1:9" x14ac:dyDescent="0.3">
      <c r="A2288" s="3" t="str">
        <f>IF(SISTEMA!A2282="","",SISTEMA!A2282)</f>
        <v/>
      </c>
      <c r="B2288" s="10" t="str">
        <f>IF(SISTEMA!B2282="","",VALUE(SISTEMA!B2282))</f>
        <v/>
      </c>
      <c r="C2288" s="10" t="str">
        <f>IF(SISTEMA!C2282="","",SISTEMA!C2282)</f>
        <v/>
      </c>
      <c r="D2288" s="5" t="str" cm="1">
        <f t="array" ref="D228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8" s="5" t="str" cm="1">
        <f t="array" ref="E228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8" s="5" t="str" cm="1">
        <f t="array" ref="F228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8" t="str" cm="1">
        <f t="array" ref="G228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8" s="4"/>
      <c r="I2288" s="3" t="str" cm="1">
        <f t="array" ref="I228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89" spans="1:9" x14ac:dyDescent="0.3">
      <c r="A2289" s="3" t="str">
        <f>IF(SISTEMA!A2283="","",SISTEMA!A2283)</f>
        <v/>
      </c>
      <c r="B2289" s="10" t="str">
        <f>IF(SISTEMA!B2283="","",VALUE(SISTEMA!B2283))</f>
        <v/>
      </c>
      <c r="C2289" s="10" t="str">
        <f>IF(SISTEMA!C2283="","",SISTEMA!C2283)</f>
        <v/>
      </c>
      <c r="D2289" s="5" t="str" cm="1">
        <f t="array" ref="D228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89" s="5" t="str" cm="1">
        <f t="array" ref="E228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89" s="5" t="str" cm="1">
        <f t="array" ref="F228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89" t="str" cm="1">
        <f t="array" ref="G228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89" s="4"/>
      <c r="I2289" s="3" t="str" cm="1">
        <f t="array" ref="I228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0" spans="1:9" x14ac:dyDescent="0.3">
      <c r="A2290" s="3" t="str">
        <f>IF(SISTEMA!A2284="","",SISTEMA!A2284)</f>
        <v/>
      </c>
      <c r="B2290" s="10" t="str">
        <f>IF(SISTEMA!B2284="","",VALUE(SISTEMA!B2284))</f>
        <v/>
      </c>
      <c r="C2290" s="10" t="str">
        <f>IF(SISTEMA!C2284="","",SISTEMA!C2284)</f>
        <v/>
      </c>
      <c r="D2290" s="5" t="str" cm="1">
        <f t="array" ref="D229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0" s="5" t="str" cm="1">
        <f t="array" ref="E229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0" s="5" t="str" cm="1">
        <f t="array" ref="F229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0" t="str" cm="1">
        <f t="array" ref="G229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0" s="4"/>
      <c r="I2290" s="3" t="str" cm="1">
        <f t="array" ref="I229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1" spans="1:9" x14ac:dyDescent="0.3">
      <c r="A2291" s="3" t="str">
        <f>IF(SISTEMA!A2285="","",SISTEMA!A2285)</f>
        <v/>
      </c>
      <c r="B2291" s="10" t="str">
        <f>IF(SISTEMA!B2285="","",VALUE(SISTEMA!B2285))</f>
        <v/>
      </c>
      <c r="C2291" s="10" t="str">
        <f>IF(SISTEMA!C2285="","",SISTEMA!C2285)</f>
        <v/>
      </c>
      <c r="D2291" s="5" t="str" cm="1">
        <f t="array" ref="D229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1" s="5" t="str" cm="1">
        <f t="array" ref="E229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1" s="5" t="str" cm="1">
        <f t="array" ref="F229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1" t="str" cm="1">
        <f t="array" ref="G229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1" s="4"/>
      <c r="I2291" s="3" t="str" cm="1">
        <f t="array" ref="I229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2" spans="1:9" x14ac:dyDescent="0.3">
      <c r="A2292" s="3" t="str">
        <f>IF(SISTEMA!A2286="","",SISTEMA!A2286)</f>
        <v/>
      </c>
      <c r="B2292" s="10" t="str">
        <f>IF(SISTEMA!B2286="","",VALUE(SISTEMA!B2286))</f>
        <v/>
      </c>
      <c r="C2292" s="10" t="str">
        <f>IF(SISTEMA!C2286="","",SISTEMA!C2286)</f>
        <v/>
      </c>
      <c r="D2292" s="5" t="str" cm="1">
        <f t="array" ref="D229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2" s="5" t="str" cm="1">
        <f t="array" ref="E229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2" s="5" t="str" cm="1">
        <f t="array" ref="F229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2" t="str" cm="1">
        <f t="array" ref="G229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2" s="4"/>
      <c r="I2292" s="3" t="str" cm="1">
        <f t="array" ref="I229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3" spans="1:9" x14ac:dyDescent="0.3">
      <c r="A2293" s="3" t="str">
        <f>IF(SISTEMA!A2287="","",SISTEMA!A2287)</f>
        <v/>
      </c>
      <c r="B2293" s="10" t="str">
        <f>IF(SISTEMA!B2287="","",VALUE(SISTEMA!B2287))</f>
        <v/>
      </c>
      <c r="C2293" s="10" t="str">
        <f>IF(SISTEMA!C2287="","",SISTEMA!C2287)</f>
        <v/>
      </c>
      <c r="D2293" s="5" t="str" cm="1">
        <f t="array" ref="D229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3" s="5" t="str" cm="1">
        <f t="array" ref="E229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3" s="5" t="str" cm="1">
        <f t="array" ref="F229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3" t="str" cm="1">
        <f t="array" ref="G229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3" s="4"/>
      <c r="I2293" s="3" t="str" cm="1">
        <f t="array" ref="I229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4" spans="1:9" x14ac:dyDescent="0.3">
      <c r="A2294" s="3" t="str">
        <f>IF(SISTEMA!A2288="","",SISTEMA!A2288)</f>
        <v/>
      </c>
      <c r="B2294" s="10" t="str">
        <f>IF(SISTEMA!B2288="","",VALUE(SISTEMA!B2288))</f>
        <v/>
      </c>
      <c r="C2294" s="10" t="str">
        <f>IF(SISTEMA!C2288="","",SISTEMA!C2288)</f>
        <v/>
      </c>
      <c r="D2294" s="5" t="str" cm="1">
        <f t="array" ref="D229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4" s="5" t="str" cm="1">
        <f t="array" ref="E229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4" s="5" t="str" cm="1">
        <f t="array" ref="F229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4" t="str" cm="1">
        <f t="array" ref="G229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4" s="4"/>
      <c r="I2294" s="3" t="str" cm="1">
        <f t="array" ref="I229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5" spans="1:9" x14ac:dyDescent="0.3">
      <c r="A2295" s="3" t="str">
        <f>IF(SISTEMA!A2289="","",SISTEMA!A2289)</f>
        <v/>
      </c>
      <c r="B2295" s="10" t="str">
        <f>IF(SISTEMA!B2289="","",VALUE(SISTEMA!B2289))</f>
        <v/>
      </c>
      <c r="C2295" s="10" t="str">
        <f>IF(SISTEMA!C2289="","",SISTEMA!C2289)</f>
        <v/>
      </c>
      <c r="D2295" s="5" t="str" cm="1">
        <f t="array" ref="D229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5" s="5" t="str" cm="1">
        <f t="array" ref="E229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5" s="5" t="str" cm="1">
        <f t="array" ref="F229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5" t="str" cm="1">
        <f t="array" ref="G229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5" s="4"/>
      <c r="I2295" s="3" t="str" cm="1">
        <f t="array" ref="I229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6" spans="1:9" x14ac:dyDescent="0.3">
      <c r="A2296" s="3" t="str">
        <f>IF(SISTEMA!A2290="","",SISTEMA!A2290)</f>
        <v/>
      </c>
      <c r="B2296" s="10" t="str">
        <f>IF(SISTEMA!B2290="","",VALUE(SISTEMA!B2290))</f>
        <v/>
      </c>
      <c r="C2296" s="10" t="str">
        <f>IF(SISTEMA!C2290="","",SISTEMA!C2290)</f>
        <v/>
      </c>
      <c r="D2296" s="5" t="str" cm="1">
        <f t="array" ref="D229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6" s="5" t="str" cm="1">
        <f t="array" ref="E229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6" s="5" t="str" cm="1">
        <f t="array" ref="F229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6" t="str" cm="1">
        <f t="array" ref="G229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6" s="4"/>
      <c r="I2296" s="3" t="str" cm="1">
        <f t="array" ref="I229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7" spans="1:9" x14ac:dyDescent="0.3">
      <c r="A2297" s="3" t="str">
        <f>IF(SISTEMA!A2291="","",SISTEMA!A2291)</f>
        <v/>
      </c>
      <c r="B2297" s="10" t="str">
        <f>IF(SISTEMA!B2291="","",VALUE(SISTEMA!B2291))</f>
        <v/>
      </c>
      <c r="C2297" s="10" t="str">
        <f>IF(SISTEMA!C2291="","",SISTEMA!C2291)</f>
        <v/>
      </c>
      <c r="D2297" s="5" t="str" cm="1">
        <f t="array" ref="D229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7" s="5" t="str" cm="1">
        <f t="array" ref="E229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7" s="5" t="str" cm="1">
        <f t="array" ref="F229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7" t="str" cm="1">
        <f t="array" ref="G229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7" s="4"/>
      <c r="I2297" s="3" t="str" cm="1">
        <f t="array" ref="I229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8" spans="1:9" x14ac:dyDescent="0.3">
      <c r="A2298" s="3" t="str">
        <f>IF(SISTEMA!A2292="","",SISTEMA!A2292)</f>
        <v/>
      </c>
      <c r="B2298" s="10" t="str">
        <f>IF(SISTEMA!B2292="","",VALUE(SISTEMA!B2292))</f>
        <v/>
      </c>
      <c r="C2298" s="10" t="str">
        <f>IF(SISTEMA!C2292="","",SISTEMA!C2292)</f>
        <v/>
      </c>
      <c r="D2298" s="5" t="str" cm="1">
        <f t="array" ref="D229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8" s="5" t="str" cm="1">
        <f t="array" ref="E229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8" s="5" t="str" cm="1">
        <f t="array" ref="F229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8" t="str" cm="1">
        <f t="array" ref="G229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8" s="4"/>
      <c r="I2298" s="3" t="str" cm="1">
        <f t="array" ref="I229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299" spans="1:9" x14ac:dyDescent="0.3">
      <c r="A2299" s="3" t="str">
        <f>IF(SISTEMA!A2293="","",SISTEMA!A2293)</f>
        <v/>
      </c>
      <c r="B2299" s="10" t="str">
        <f>IF(SISTEMA!B2293="","",VALUE(SISTEMA!B2293))</f>
        <v/>
      </c>
      <c r="C2299" s="10" t="str">
        <f>IF(SISTEMA!C2293="","",SISTEMA!C2293)</f>
        <v/>
      </c>
      <c r="D2299" s="5" t="str" cm="1">
        <f t="array" ref="D229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299" s="5" t="str" cm="1">
        <f t="array" ref="E229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299" s="5" t="str" cm="1">
        <f t="array" ref="F229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299" t="str" cm="1">
        <f t="array" ref="G229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299" s="4"/>
      <c r="I2299" s="3" t="str" cm="1">
        <f t="array" ref="I229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0" spans="1:9" x14ac:dyDescent="0.3">
      <c r="A2300" s="3" t="str">
        <f>IF(SISTEMA!A2294="","",SISTEMA!A2294)</f>
        <v/>
      </c>
      <c r="B2300" s="10" t="str">
        <f>IF(SISTEMA!B2294="","",VALUE(SISTEMA!B2294))</f>
        <v/>
      </c>
      <c r="C2300" s="10" t="str">
        <f>IF(SISTEMA!C2294="","",SISTEMA!C2294)</f>
        <v/>
      </c>
      <c r="D2300" s="5" t="str" cm="1">
        <f t="array" ref="D230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0" s="5" t="str" cm="1">
        <f t="array" ref="E230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0" s="5" t="str" cm="1">
        <f t="array" ref="F230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0" t="str" cm="1">
        <f t="array" ref="G230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0" s="4"/>
      <c r="I2300" s="3" t="str" cm="1">
        <f t="array" ref="I230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1" spans="1:9" x14ac:dyDescent="0.3">
      <c r="A2301" s="3" t="str">
        <f>IF(SISTEMA!A2295="","",SISTEMA!A2295)</f>
        <v/>
      </c>
      <c r="B2301" s="10" t="str">
        <f>IF(SISTEMA!B2295="","",VALUE(SISTEMA!B2295))</f>
        <v/>
      </c>
      <c r="C2301" s="10" t="str">
        <f>IF(SISTEMA!C2295="","",SISTEMA!C2295)</f>
        <v/>
      </c>
      <c r="D2301" s="5" t="str" cm="1">
        <f t="array" ref="D230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1" s="5" t="str" cm="1">
        <f t="array" ref="E230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1" s="5" t="str" cm="1">
        <f t="array" ref="F230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1" t="str" cm="1">
        <f t="array" ref="G230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1" s="4"/>
      <c r="I2301" s="3" t="str" cm="1">
        <f t="array" ref="I230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2" spans="1:9" x14ac:dyDescent="0.3">
      <c r="A2302" s="3" t="str">
        <f>IF(SISTEMA!A2296="","",SISTEMA!A2296)</f>
        <v/>
      </c>
      <c r="B2302" s="10" t="str">
        <f>IF(SISTEMA!B2296="","",VALUE(SISTEMA!B2296))</f>
        <v/>
      </c>
      <c r="C2302" s="10" t="str">
        <f>IF(SISTEMA!C2296="","",SISTEMA!C2296)</f>
        <v/>
      </c>
      <c r="D2302" s="5" t="str" cm="1">
        <f t="array" ref="D230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2" s="5" t="str" cm="1">
        <f t="array" ref="E230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2" s="5" t="str" cm="1">
        <f t="array" ref="F230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2" t="str" cm="1">
        <f t="array" ref="G230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2" s="4"/>
      <c r="I2302" s="3" t="str" cm="1">
        <f t="array" ref="I230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3" spans="1:9" x14ac:dyDescent="0.3">
      <c r="A2303" s="3" t="str">
        <f>IF(SISTEMA!A2297="","",SISTEMA!A2297)</f>
        <v/>
      </c>
      <c r="B2303" s="10" t="str">
        <f>IF(SISTEMA!B2297="","",VALUE(SISTEMA!B2297))</f>
        <v/>
      </c>
      <c r="C2303" s="10" t="str">
        <f>IF(SISTEMA!C2297="","",SISTEMA!C2297)</f>
        <v/>
      </c>
      <c r="D2303" s="5" t="str" cm="1">
        <f t="array" ref="D230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3" s="5" t="str" cm="1">
        <f t="array" ref="E230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3" s="5" t="str" cm="1">
        <f t="array" ref="F230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3" t="str" cm="1">
        <f t="array" ref="G230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3" s="4"/>
      <c r="I2303" s="3" t="str" cm="1">
        <f t="array" ref="I230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4" spans="1:9" x14ac:dyDescent="0.3">
      <c r="A2304" s="3" t="str">
        <f>IF(SISTEMA!A2298="","",SISTEMA!A2298)</f>
        <v/>
      </c>
      <c r="B2304" s="10" t="str">
        <f>IF(SISTEMA!B2298="","",VALUE(SISTEMA!B2298))</f>
        <v/>
      </c>
      <c r="C2304" s="10" t="str">
        <f>IF(SISTEMA!C2298="","",SISTEMA!C2298)</f>
        <v/>
      </c>
      <c r="D2304" s="5" t="str" cm="1">
        <f t="array" ref="D230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4" s="5" t="str" cm="1">
        <f t="array" ref="E230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4" s="5" t="str" cm="1">
        <f t="array" ref="F230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4" t="str" cm="1">
        <f t="array" ref="G230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4" s="4"/>
      <c r="I2304" s="3" t="str" cm="1">
        <f t="array" ref="I230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5" spans="1:9" x14ac:dyDescent="0.3">
      <c r="A2305" s="3" t="str">
        <f>IF(SISTEMA!A2299="","",SISTEMA!A2299)</f>
        <v/>
      </c>
      <c r="B2305" s="10" t="str">
        <f>IF(SISTEMA!B2299="","",VALUE(SISTEMA!B2299))</f>
        <v/>
      </c>
      <c r="C2305" s="10" t="str">
        <f>IF(SISTEMA!C2299="","",SISTEMA!C2299)</f>
        <v/>
      </c>
      <c r="D2305" s="5" t="str" cm="1">
        <f t="array" ref="D230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5" s="5" t="str" cm="1">
        <f t="array" ref="E230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5" s="5" t="str" cm="1">
        <f t="array" ref="F230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5" t="str" cm="1">
        <f t="array" ref="G230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5" s="4"/>
      <c r="I2305" s="3" t="str" cm="1">
        <f t="array" ref="I230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6" spans="1:9" x14ac:dyDescent="0.3">
      <c r="A2306" s="3" t="str">
        <f>IF(SISTEMA!A2300="","",SISTEMA!A2300)</f>
        <v/>
      </c>
      <c r="B2306" s="10" t="str">
        <f>IF(SISTEMA!B2300="","",VALUE(SISTEMA!B2300))</f>
        <v/>
      </c>
      <c r="C2306" s="10" t="str">
        <f>IF(SISTEMA!C2300="","",SISTEMA!C2300)</f>
        <v/>
      </c>
      <c r="D2306" s="5" t="str" cm="1">
        <f t="array" ref="D230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6" s="5" t="str" cm="1">
        <f t="array" ref="E230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6" s="5" t="str" cm="1">
        <f t="array" ref="F230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6" t="str" cm="1">
        <f t="array" ref="G230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6" s="4"/>
      <c r="I2306" s="3" t="str" cm="1">
        <f t="array" ref="I230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7" spans="1:9" x14ac:dyDescent="0.3">
      <c r="A2307" s="3" t="str">
        <f>IF(SISTEMA!A2301="","",SISTEMA!A2301)</f>
        <v/>
      </c>
      <c r="B2307" s="10" t="str">
        <f>IF(SISTEMA!B2301="","",VALUE(SISTEMA!B2301))</f>
        <v/>
      </c>
      <c r="C2307" s="10" t="str">
        <f>IF(SISTEMA!C2301="","",SISTEMA!C2301)</f>
        <v/>
      </c>
      <c r="D2307" s="5" t="str" cm="1">
        <f t="array" ref="D230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7" s="5" t="str" cm="1">
        <f t="array" ref="E230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7" s="5" t="str" cm="1">
        <f t="array" ref="F230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7" t="str" cm="1">
        <f t="array" ref="G230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7" s="4"/>
      <c r="I2307" s="3" t="str" cm="1">
        <f t="array" ref="I230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8" spans="1:9" x14ac:dyDescent="0.3">
      <c r="A2308" s="3" t="str">
        <f>IF(SISTEMA!A2302="","",SISTEMA!A2302)</f>
        <v/>
      </c>
      <c r="B2308" s="10" t="str">
        <f>IF(SISTEMA!B2302="","",VALUE(SISTEMA!B2302))</f>
        <v/>
      </c>
      <c r="C2308" s="10" t="str">
        <f>IF(SISTEMA!C2302="","",SISTEMA!C2302)</f>
        <v/>
      </c>
      <c r="D2308" s="5" t="str" cm="1">
        <f t="array" ref="D230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8" s="5" t="str" cm="1">
        <f t="array" ref="E230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8" s="5" t="str" cm="1">
        <f t="array" ref="F230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8" t="str" cm="1">
        <f t="array" ref="G230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8" s="4"/>
      <c r="I2308" s="3" t="str" cm="1">
        <f t="array" ref="I230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09" spans="1:9" x14ac:dyDescent="0.3">
      <c r="A2309" s="3" t="str">
        <f>IF(SISTEMA!A2303="","",SISTEMA!A2303)</f>
        <v/>
      </c>
      <c r="B2309" s="10" t="str">
        <f>IF(SISTEMA!B2303="","",VALUE(SISTEMA!B2303))</f>
        <v/>
      </c>
      <c r="C2309" s="10" t="str">
        <f>IF(SISTEMA!C2303="","",SISTEMA!C2303)</f>
        <v/>
      </c>
      <c r="D2309" s="5" t="str" cm="1">
        <f t="array" ref="D230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09" s="5" t="str" cm="1">
        <f t="array" ref="E230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09" s="5" t="str" cm="1">
        <f t="array" ref="F230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09" t="str" cm="1">
        <f t="array" ref="G230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09" s="4"/>
      <c r="I2309" s="3" t="str" cm="1">
        <f t="array" ref="I230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0" spans="1:9" x14ac:dyDescent="0.3">
      <c r="A2310" s="3" t="str">
        <f>IF(SISTEMA!A2304="","",SISTEMA!A2304)</f>
        <v/>
      </c>
      <c r="B2310" s="10" t="str">
        <f>IF(SISTEMA!B2304="","",VALUE(SISTEMA!B2304))</f>
        <v/>
      </c>
      <c r="C2310" s="10" t="str">
        <f>IF(SISTEMA!C2304="","",SISTEMA!C2304)</f>
        <v/>
      </c>
      <c r="D2310" s="5" t="str" cm="1">
        <f t="array" ref="D231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0" s="5" t="str" cm="1">
        <f t="array" ref="E231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0" s="5" t="str" cm="1">
        <f t="array" ref="F231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0" t="str" cm="1">
        <f t="array" ref="G231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0" s="4"/>
      <c r="I2310" s="3" t="str" cm="1">
        <f t="array" ref="I231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1" spans="1:9" x14ac:dyDescent="0.3">
      <c r="A2311" s="3" t="str">
        <f>IF(SISTEMA!A2305="","",SISTEMA!A2305)</f>
        <v/>
      </c>
      <c r="B2311" s="10" t="str">
        <f>IF(SISTEMA!B2305="","",VALUE(SISTEMA!B2305))</f>
        <v/>
      </c>
      <c r="C2311" s="10" t="str">
        <f>IF(SISTEMA!C2305="","",SISTEMA!C2305)</f>
        <v/>
      </c>
      <c r="D2311" s="5" t="str" cm="1">
        <f t="array" ref="D231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1" s="5" t="str" cm="1">
        <f t="array" ref="E231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1" s="5" t="str" cm="1">
        <f t="array" ref="F231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1" t="str" cm="1">
        <f t="array" ref="G231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1" s="4"/>
      <c r="I2311" s="3" t="str" cm="1">
        <f t="array" ref="I231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2" spans="1:9" x14ac:dyDescent="0.3">
      <c r="A2312" s="3" t="str">
        <f>IF(SISTEMA!A2306="","",SISTEMA!A2306)</f>
        <v/>
      </c>
      <c r="B2312" s="10" t="str">
        <f>IF(SISTEMA!B2306="","",VALUE(SISTEMA!B2306))</f>
        <v/>
      </c>
      <c r="C2312" s="10" t="str">
        <f>IF(SISTEMA!C2306="","",SISTEMA!C2306)</f>
        <v/>
      </c>
      <c r="D2312" s="5" t="str" cm="1">
        <f t="array" ref="D231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2" s="5" t="str" cm="1">
        <f t="array" ref="E231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2" s="5" t="str" cm="1">
        <f t="array" ref="F231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2" t="str" cm="1">
        <f t="array" ref="G231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2" s="4"/>
      <c r="I2312" s="3" t="str" cm="1">
        <f t="array" ref="I231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3" spans="1:9" x14ac:dyDescent="0.3">
      <c r="A2313" s="3" t="str">
        <f>IF(SISTEMA!A2307="","",SISTEMA!A2307)</f>
        <v/>
      </c>
      <c r="B2313" s="10" t="str">
        <f>IF(SISTEMA!B2307="","",VALUE(SISTEMA!B2307))</f>
        <v/>
      </c>
      <c r="C2313" s="10" t="str">
        <f>IF(SISTEMA!C2307="","",SISTEMA!C2307)</f>
        <v/>
      </c>
      <c r="D2313" s="5" t="str" cm="1">
        <f t="array" ref="D231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3" s="5" t="str" cm="1">
        <f t="array" ref="E231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3" s="5" t="str" cm="1">
        <f t="array" ref="F231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3" t="str" cm="1">
        <f t="array" ref="G231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3" s="4"/>
      <c r="I2313" s="3" t="str" cm="1">
        <f t="array" ref="I231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4" spans="1:9" x14ac:dyDescent="0.3">
      <c r="A2314" s="3" t="str">
        <f>IF(SISTEMA!A2308="","",SISTEMA!A2308)</f>
        <v/>
      </c>
      <c r="B2314" s="10" t="str">
        <f>IF(SISTEMA!B2308="","",VALUE(SISTEMA!B2308))</f>
        <v/>
      </c>
      <c r="C2314" s="10" t="str">
        <f>IF(SISTEMA!C2308="","",SISTEMA!C2308)</f>
        <v/>
      </c>
      <c r="D2314" s="5" t="str" cm="1">
        <f t="array" ref="D231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4" s="5" t="str" cm="1">
        <f t="array" ref="E231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4" s="5" t="str" cm="1">
        <f t="array" ref="F231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4" t="str" cm="1">
        <f t="array" ref="G231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4" s="4"/>
      <c r="I2314" s="3" t="str" cm="1">
        <f t="array" ref="I231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5" spans="1:9" x14ac:dyDescent="0.3">
      <c r="A2315" s="3" t="str">
        <f>IF(SISTEMA!A2309="","",SISTEMA!A2309)</f>
        <v/>
      </c>
      <c r="B2315" s="10" t="str">
        <f>IF(SISTEMA!B2309="","",VALUE(SISTEMA!B2309))</f>
        <v/>
      </c>
      <c r="C2315" s="10" t="str">
        <f>IF(SISTEMA!C2309="","",SISTEMA!C2309)</f>
        <v/>
      </c>
      <c r="D2315" s="5" t="str" cm="1">
        <f t="array" ref="D231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5" s="5" t="str" cm="1">
        <f t="array" ref="E231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5" s="5" t="str" cm="1">
        <f t="array" ref="F231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5" t="str" cm="1">
        <f t="array" ref="G231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5" s="4"/>
      <c r="I2315" s="3" t="str" cm="1">
        <f t="array" ref="I231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6" spans="1:9" x14ac:dyDescent="0.3">
      <c r="A2316" s="3" t="str">
        <f>IF(SISTEMA!A2310="","",SISTEMA!A2310)</f>
        <v/>
      </c>
      <c r="B2316" s="10" t="str">
        <f>IF(SISTEMA!B2310="","",VALUE(SISTEMA!B2310))</f>
        <v/>
      </c>
      <c r="C2316" s="10" t="str">
        <f>IF(SISTEMA!C2310="","",SISTEMA!C2310)</f>
        <v/>
      </c>
      <c r="D2316" s="5" t="str" cm="1">
        <f t="array" ref="D231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6" s="5" t="str" cm="1">
        <f t="array" ref="E231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6" s="5" t="str" cm="1">
        <f t="array" ref="F231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6" t="str" cm="1">
        <f t="array" ref="G231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6" s="4"/>
      <c r="I2316" s="3" t="str" cm="1">
        <f t="array" ref="I231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7" spans="1:9" x14ac:dyDescent="0.3">
      <c r="A2317" s="3" t="str">
        <f>IF(SISTEMA!A2311="","",SISTEMA!A2311)</f>
        <v/>
      </c>
      <c r="B2317" s="10" t="str">
        <f>IF(SISTEMA!B2311="","",VALUE(SISTEMA!B2311))</f>
        <v/>
      </c>
      <c r="C2317" s="10" t="str">
        <f>IF(SISTEMA!C2311="","",SISTEMA!C2311)</f>
        <v/>
      </c>
      <c r="D2317" s="5" t="str" cm="1">
        <f t="array" ref="D231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7" s="5" t="str" cm="1">
        <f t="array" ref="E231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7" s="5" t="str" cm="1">
        <f t="array" ref="F231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7" t="str" cm="1">
        <f t="array" ref="G231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7" s="4"/>
      <c r="I2317" s="3" t="str" cm="1">
        <f t="array" ref="I231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8" spans="1:9" x14ac:dyDescent="0.3">
      <c r="A2318" s="3" t="str">
        <f>IF(SISTEMA!A2312="","",SISTEMA!A2312)</f>
        <v/>
      </c>
      <c r="B2318" s="10" t="str">
        <f>IF(SISTEMA!B2312="","",VALUE(SISTEMA!B2312))</f>
        <v/>
      </c>
      <c r="C2318" s="10" t="str">
        <f>IF(SISTEMA!C2312="","",SISTEMA!C2312)</f>
        <v/>
      </c>
      <c r="D2318" s="5" t="str" cm="1">
        <f t="array" ref="D231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8" s="5" t="str" cm="1">
        <f t="array" ref="E231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8" s="5" t="str" cm="1">
        <f t="array" ref="F231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8" t="str" cm="1">
        <f t="array" ref="G231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8" s="4"/>
      <c r="I2318" s="3" t="str" cm="1">
        <f t="array" ref="I231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19" spans="1:9" x14ac:dyDescent="0.3">
      <c r="A2319" s="3" t="str">
        <f>IF(SISTEMA!A2313="","",SISTEMA!A2313)</f>
        <v/>
      </c>
      <c r="B2319" s="10" t="str">
        <f>IF(SISTEMA!B2313="","",VALUE(SISTEMA!B2313))</f>
        <v/>
      </c>
      <c r="C2319" s="10" t="str">
        <f>IF(SISTEMA!C2313="","",SISTEMA!C2313)</f>
        <v/>
      </c>
      <c r="D2319" s="5" t="str" cm="1">
        <f t="array" ref="D231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19" s="5" t="str" cm="1">
        <f t="array" ref="E231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19" s="5" t="str" cm="1">
        <f t="array" ref="F231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19" t="str" cm="1">
        <f t="array" ref="G231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19" s="4"/>
      <c r="I2319" s="3" t="str" cm="1">
        <f t="array" ref="I231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0" spans="1:9" x14ac:dyDescent="0.3">
      <c r="A2320" s="3" t="str">
        <f>IF(SISTEMA!A2314="","",SISTEMA!A2314)</f>
        <v/>
      </c>
      <c r="B2320" s="10" t="str">
        <f>IF(SISTEMA!B2314="","",VALUE(SISTEMA!B2314))</f>
        <v/>
      </c>
      <c r="C2320" s="10" t="str">
        <f>IF(SISTEMA!C2314="","",SISTEMA!C2314)</f>
        <v/>
      </c>
      <c r="D2320" s="5" t="str" cm="1">
        <f t="array" ref="D232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0" s="5" t="str" cm="1">
        <f t="array" ref="E232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0" s="5" t="str" cm="1">
        <f t="array" ref="F232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0" t="str" cm="1">
        <f t="array" ref="G232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0" s="4"/>
      <c r="I2320" s="3" t="str" cm="1">
        <f t="array" ref="I232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1" spans="1:9" x14ac:dyDescent="0.3">
      <c r="A2321" s="3" t="str">
        <f>IF(SISTEMA!A2315="","",SISTEMA!A2315)</f>
        <v/>
      </c>
      <c r="B2321" s="10" t="str">
        <f>IF(SISTEMA!B2315="","",VALUE(SISTEMA!B2315))</f>
        <v/>
      </c>
      <c r="C2321" s="10" t="str">
        <f>IF(SISTEMA!C2315="","",SISTEMA!C2315)</f>
        <v/>
      </c>
      <c r="D2321" s="5" t="str" cm="1">
        <f t="array" ref="D232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1" s="5" t="str" cm="1">
        <f t="array" ref="E232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1" s="5" t="str" cm="1">
        <f t="array" ref="F232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1" t="str" cm="1">
        <f t="array" ref="G232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1" s="4"/>
      <c r="I2321" s="3" t="str" cm="1">
        <f t="array" ref="I232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2" spans="1:9" x14ac:dyDescent="0.3">
      <c r="A2322" s="3" t="str">
        <f>IF(SISTEMA!A2316="","",SISTEMA!A2316)</f>
        <v/>
      </c>
      <c r="B2322" s="10" t="str">
        <f>IF(SISTEMA!B2316="","",VALUE(SISTEMA!B2316))</f>
        <v/>
      </c>
      <c r="C2322" s="10" t="str">
        <f>IF(SISTEMA!C2316="","",SISTEMA!C2316)</f>
        <v/>
      </c>
      <c r="D2322" s="5" t="str" cm="1">
        <f t="array" ref="D232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2" s="5" t="str" cm="1">
        <f t="array" ref="E232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2" s="5" t="str" cm="1">
        <f t="array" ref="F232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2" t="str" cm="1">
        <f t="array" ref="G232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2" s="4"/>
      <c r="I2322" s="3" t="str" cm="1">
        <f t="array" ref="I232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3" spans="1:9" x14ac:dyDescent="0.3">
      <c r="A2323" s="3" t="str">
        <f>IF(SISTEMA!A2317="","",SISTEMA!A2317)</f>
        <v/>
      </c>
      <c r="B2323" s="10" t="str">
        <f>IF(SISTEMA!B2317="","",VALUE(SISTEMA!B2317))</f>
        <v/>
      </c>
      <c r="C2323" s="10" t="str">
        <f>IF(SISTEMA!C2317="","",SISTEMA!C2317)</f>
        <v/>
      </c>
      <c r="D2323" s="5" t="str" cm="1">
        <f t="array" ref="D232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3" s="5" t="str" cm="1">
        <f t="array" ref="E232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3" s="5" t="str" cm="1">
        <f t="array" ref="F232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3" t="str" cm="1">
        <f t="array" ref="G232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3" s="4"/>
      <c r="I2323" s="3" t="str" cm="1">
        <f t="array" ref="I232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4" spans="1:9" x14ac:dyDescent="0.3">
      <c r="A2324" s="3" t="str">
        <f>IF(SISTEMA!A2318="","",SISTEMA!A2318)</f>
        <v/>
      </c>
      <c r="B2324" s="10" t="str">
        <f>IF(SISTEMA!B2318="","",VALUE(SISTEMA!B2318))</f>
        <v/>
      </c>
      <c r="C2324" s="10" t="str">
        <f>IF(SISTEMA!C2318="","",SISTEMA!C2318)</f>
        <v/>
      </c>
      <c r="D2324" s="5" t="str" cm="1">
        <f t="array" ref="D232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4" s="5" t="str" cm="1">
        <f t="array" ref="E232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4" s="5" t="str" cm="1">
        <f t="array" ref="F232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4" t="str" cm="1">
        <f t="array" ref="G232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4" s="4"/>
      <c r="I2324" s="3" t="str" cm="1">
        <f t="array" ref="I232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5" spans="1:9" x14ac:dyDescent="0.3">
      <c r="A2325" s="3" t="str">
        <f>IF(SISTEMA!A2319="","",SISTEMA!A2319)</f>
        <v/>
      </c>
      <c r="B2325" s="10" t="str">
        <f>IF(SISTEMA!B2319="","",VALUE(SISTEMA!B2319))</f>
        <v/>
      </c>
      <c r="C2325" s="10" t="str">
        <f>IF(SISTEMA!C2319="","",SISTEMA!C2319)</f>
        <v/>
      </c>
      <c r="D2325" s="5" t="str" cm="1">
        <f t="array" ref="D232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5" s="5" t="str" cm="1">
        <f t="array" ref="E232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5" s="5" t="str" cm="1">
        <f t="array" ref="F232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5" t="str" cm="1">
        <f t="array" ref="G232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5" s="4"/>
      <c r="I2325" s="3" t="str" cm="1">
        <f t="array" ref="I232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6" spans="1:9" x14ac:dyDescent="0.3">
      <c r="A2326" s="3" t="str">
        <f>IF(SISTEMA!A2320="","",SISTEMA!A2320)</f>
        <v/>
      </c>
      <c r="B2326" s="10" t="str">
        <f>IF(SISTEMA!B2320="","",VALUE(SISTEMA!B2320))</f>
        <v/>
      </c>
      <c r="C2326" s="10" t="str">
        <f>IF(SISTEMA!C2320="","",SISTEMA!C2320)</f>
        <v/>
      </c>
      <c r="D2326" s="5" t="str" cm="1">
        <f t="array" ref="D232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6" s="5" t="str" cm="1">
        <f t="array" ref="E232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6" s="5" t="str" cm="1">
        <f t="array" ref="F232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6" t="str" cm="1">
        <f t="array" ref="G232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6" s="4"/>
      <c r="I2326" s="3" t="str" cm="1">
        <f t="array" ref="I232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7" spans="1:9" x14ac:dyDescent="0.3">
      <c r="A2327" s="3" t="str">
        <f>IF(SISTEMA!A2321="","",SISTEMA!A2321)</f>
        <v/>
      </c>
      <c r="B2327" s="10" t="str">
        <f>IF(SISTEMA!B2321="","",VALUE(SISTEMA!B2321))</f>
        <v/>
      </c>
      <c r="C2327" s="10" t="str">
        <f>IF(SISTEMA!C2321="","",SISTEMA!C2321)</f>
        <v/>
      </c>
      <c r="D2327" s="5" t="str" cm="1">
        <f t="array" ref="D232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7" s="5" t="str" cm="1">
        <f t="array" ref="E232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7" s="5" t="str" cm="1">
        <f t="array" ref="F232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7" t="str" cm="1">
        <f t="array" ref="G232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7" s="4"/>
      <c r="I2327" s="3" t="str" cm="1">
        <f t="array" ref="I232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8" spans="1:9" x14ac:dyDescent="0.3">
      <c r="A2328" s="3" t="str">
        <f>IF(SISTEMA!A2322="","",SISTEMA!A2322)</f>
        <v/>
      </c>
      <c r="B2328" s="10" t="str">
        <f>IF(SISTEMA!B2322="","",VALUE(SISTEMA!B2322))</f>
        <v/>
      </c>
      <c r="C2328" s="10" t="str">
        <f>IF(SISTEMA!C2322="","",SISTEMA!C2322)</f>
        <v/>
      </c>
      <c r="D2328" s="5" t="str" cm="1">
        <f t="array" ref="D232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8" s="5" t="str" cm="1">
        <f t="array" ref="E232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8" s="5" t="str" cm="1">
        <f t="array" ref="F232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8" t="str" cm="1">
        <f t="array" ref="G232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8" s="4"/>
      <c r="I2328" s="3" t="str" cm="1">
        <f t="array" ref="I232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29" spans="1:9" x14ac:dyDescent="0.3">
      <c r="A2329" s="3" t="str">
        <f>IF(SISTEMA!A2323="","",SISTEMA!A2323)</f>
        <v/>
      </c>
      <c r="B2329" s="10" t="str">
        <f>IF(SISTEMA!B2323="","",VALUE(SISTEMA!B2323))</f>
        <v/>
      </c>
      <c r="C2329" s="10" t="str">
        <f>IF(SISTEMA!C2323="","",SISTEMA!C2323)</f>
        <v/>
      </c>
      <c r="D2329" s="5" t="str" cm="1">
        <f t="array" ref="D232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29" s="5" t="str" cm="1">
        <f t="array" ref="E232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29" s="5" t="str" cm="1">
        <f t="array" ref="F232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29" t="str" cm="1">
        <f t="array" ref="G232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29" s="4"/>
      <c r="I2329" s="3" t="str" cm="1">
        <f t="array" ref="I232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0" spans="1:9" x14ac:dyDescent="0.3">
      <c r="A2330" s="3" t="str">
        <f>IF(SISTEMA!A2324="","",SISTEMA!A2324)</f>
        <v/>
      </c>
      <c r="B2330" s="10" t="str">
        <f>IF(SISTEMA!B2324="","",VALUE(SISTEMA!B2324))</f>
        <v/>
      </c>
      <c r="C2330" s="10" t="str">
        <f>IF(SISTEMA!C2324="","",SISTEMA!C2324)</f>
        <v/>
      </c>
      <c r="D2330" s="5" t="str" cm="1">
        <f t="array" ref="D233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0" s="5" t="str" cm="1">
        <f t="array" ref="E233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0" s="5" t="str" cm="1">
        <f t="array" ref="F233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0" t="str" cm="1">
        <f t="array" ref="G233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0" s="4"/>
      <c r="I2330" s="3" t="str" cm="1">
        <f t="array" ref="I233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1" spans="1:9" x14ac:dyDescent="0.3">
      <c r="A2331" s="3" t="str">
        <f>IF(SISTEMA!A2325="","",SISTEMA!A2325)</f>
        <v/>
      </c>
      <c r="B2331" s="10" t="str">
        <f>IF(SISTEMA!B2325="","",VALUE(SISTEMA!B2325))</f>
        <v/>
      </c>
      <c r="C2331" s="10" t="str">
        <f>IF(SISTEMA!C2325="","",SISTEMA!C2325)</f>
        <v/>
      </c>
      <c r="D2331" s="5" t="str" cm="1">
        <f t="array" ref="D233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1" s="5" t="str" cm="1">
        <f t="array" ref="E233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1" s="5" t="str" cm="1">
        <f t="array" ref="F233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1" t="str" cm="1">
        <f t="array" ref="G233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1" s="4"/>
      <c r="I2331" s="3" t="str" cm="1">
        <f t="array" ref="I233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2" spans="1:9" x14ac:dyDescent="0.3">
      <c r="A2332" s="3" t="str">
        <f>IF(SISTEMA!A2326="","",SISTEMA!A2326)</f>
        <v/>
      </c>
      <c r="B2332" s="10" t="str">
        <f>IF(SISTEMA!B2326="","",VALUE(SISTEMA!B2326))</f>
        <v/>
      </c>
      <c r="C2332" s="10" t="str">
        <f>IF(SISTEMA!C2326="","",SISTEMA!C2326)</f>
        <v/>
      </c>
      <c r="D2332" s="5" t="str" cm="1">
        <f t="array" ref="D233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2" s="5" t="str" cm="1">
        <f t="array" ref="E233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2" s="5" t="str" cm="1">
        <f t="array" ref="F233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2" t="str" cm="1">
        <f t="array" ref="G233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2" s="4"/>
      <c r="I2332" s="3" t="str" cm="1">
        <f t="array" ref="I233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3" spans="1:9" x14ac:dyDescent="0.3">
      <c r="A2333" s="3" t="str">
        <f>IF(SISTEMA!A2327="","",SISTEMA!A2327)</f>
        <v/>
      </c>
      <c r="B2333" s="10" t="str">
        <f>IF(SISTEMA!B2327="","",VALUE(SISTEMA!B2327))</f>
        <v/>
      </c>
      <c r="C2333" s="10" t="str">
        <f>IF(SISTEMA!C2327="","",SISTEMA!C2327)</f>
        <v/>
      </c>
      <c r="D2333" s="5" t="str" cm="1">
        <f t="array" ref="D2333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3" s="5" t="str" cm="1">
        <f t="array" ref="E2333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3" s="5" t="str" cm="1">
        <f t="array" ref="F2333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3" t="str" cm="1">
        <f t="array" ref="G2333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3" s="4"/>
      <c r="I2333" s="3" t="str" cm="1">
        <f t="array" ref="I2333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4" spans="1:9" x14ac:dyDescent="0.3">
      <c r="A2334" s="3" t="str">
        <f>IF(SISTEMA!A2328="","",SISTEMA!A2328)</f>
        <v/>
      </c>
      <c r="B2334" s="10" t="str">
        <f>IF(SISTEMA!B2328="","",VALUE(SISTEMA!B2328))</f>
        <v/>
      </c>
      <c r="C2334" s="10" t="str">
        <f>IF(SISTEMA!C2328="","",SISTEMA!C2328)</f>
        <v/>
      </c>
      <c r="D2334" s="5" t="str" cm="1">
        <f t="array" ref="D2334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4" s="5" t="str" cm="1">
        <f t="array" ref="E2334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4" s="5" t="str" cm="1">
        <f t="array" ref="F2334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4" t="str" cm="1">
        <f t="array" ref="G2334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4" s="4"/>
      <c r="I2334" s="3" t="str" cm="1">
        <f t="array" ref="I2334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5" spans="1:9" x14ac:dyDescent="0.3">
      <c r="A2335" s="3" t="str">
        <f>IF(SISTEMA!A2329="","",SISTEMA!A2329)</f>
        <v/>
      </c>
      <c r="B2335" s="10" t="str">
        <f>IF(SISTEMA!B2329="","",VALUE(SISTEMA!B2329))</f>
        <v/>
      </c>
      <c r="C2335" s="10" t="str">
        <f>IF(SISTEMA!C2329="","",SISTEMA!C2329)</f>
        <v/>
      </c>
      <c r="D2335" s="5" t="str" cm="1">
        <f t="array" ref="D2335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5" s="5" t="str" cm="1">
        <f t="array" ref="E2335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5" s="5" t="str" cm="1">
        <f t="array" ref="F2335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5" t="str" cm="1">
        <f t="array" ref="G2335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5" s="4"/>
      <c r="I2335" s="3" t="str" cm="1">
        <f t="array" ref="I2335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6" spans="1:9" x14ac:dyDescent="0.3">
      <c r="A2336" s="3" t="str">
        <f>IF(SISTEMA!A2330="","",SISTEMA!A2330)</f>
        <v/>
      </c>
      <c r="B2336" s="10" t="str">
        <f>IF(SISTEMA!B2330="","",VALUE(SISTEMA!B2330))</f>
        <v/>
      </c>
      <c r="C2336" s="10" t="str">
        <f>IF(SISTEMA!C2330="","",SISTEMA!C2330)</f>
        <v/>
      </c>
      <c r="D2336" s="5" t="str" cm="1">
        <f t="array" ref="D2336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6" s="5" t="str" cm="1">
        <f t="array" ref="E2336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6" s="5" t="str" cm="1">
        <f t="array" ref="F2336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6" t="str" cm="1">
        <f t="array" ref="G2336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6" s="4"/>
      <c r="I2336" s="3" t="str" cm="1">
        <f t="array" ref="I2336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7" spans="1:9" x14ac:dyDescent="0.3">
      <c r="A2337" s="3" t="str">
        <f>IF(SISTEMA!A2331="","",SISTEMA!A2331)</f>
        <v/>
      </c>
      <c r="B2337" s="10" t="str">
        <f>IF(SISTEMA!B2331="","",VALUE(SISTEMA!B2331))</f>
        <v/>
      </c>
      <c r="C2337" s="10" t="str">
        <f>IF(SISTEMA!C2331="","",SISTEMA!C2331)</f>
        <v/>
      </c>
      <c r="D2337" s="5" t="str" cm="1">
        <f t="array" ref="D2337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7" s="5" t="str" cm="1">
        <f t="array" ref="E2337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7" s="5" t="str" cm="1">
        <f t="array" ref="F2337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7" t="str" cm="1">
        <f t="array" ref="G2337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7" s="4"/>
      <c r="I2337" s="3" t="str" cm="1">
        <f t="array" ref="I2337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8" spans="1:9" x14ac:dyDescent="0.3">
      <c r="A2338" s="3" t="str">
        <f>IF(SISTEMA!A2332="","",SISTEMA!A2332)</f>
        <v/>
      </c>
      <c r="B2338" s="10" t="str">
        <f>IF(SISTEMA!B2332="","",VALUE(SISTEMA!B2332))</f>
        <v/>
      </c>
      <c r="C2338" s="10" t="str">
        <f>IF(SISTEMA!C2332="","",SISTEMA!C2332)</f>
        <v/>
      </c>
      <c r="D2338" s="5" t="str" cm="1">
        <f t="array" ref="D2338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8" s="5" t="str" cm="1">
        <f t="array" ref="E2338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8" s="5" t="str" cm="1">
        <f t="array" ref="F2338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8" t="str" cm="1">
        <f t="array" ref="G2338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8" s="4"/>
      <c r="I2338" s="3" t="str" cm="1">
        <f t="array" ref="I2338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39" spans="1:9" x14ac:dyDescent="0.3">
      <c r="A2339" s="3" t="str">
        <f>IF(SISTEMA!A2333="","",SISTEMA!A2333)</f>
        <v/>
      </c>
      <c r="B2339" s="10" t="str">
        <f>IF(SISTEMA!B2333="","",VALUE(SISTEMA!B2333))</f>
        <v/>
      </c>
      <c r="C2339" s="10" t="str">
        <f>IF(SISTEMA!C2333="","",SISTEMA!C2333)</f>
        <v/>
      </c>
      <c r="D2339" s="5" t="str" cm="1">
        <f t="array" ref="D2339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39" s="5" t="str" cm="1">
        <f t="array" ref="E2339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39" s="5" t="str" cm="1">
        <f t="array" ref="F2339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39" t="str" cm="1">
        <f t="array" ref="G2339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39" s="4"/>
      <c r="I2339" s="3" t="str" cm="1">
        <f t="array" ref="I2339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40" spans="1:9" x14ac:dyDescent="0.3">
      <c r="A2340" s="3" t="str">
        <f>IF(SISTEMA!A2334="","",SISTEMA!A2334)</f>
        <v/>
      </c>
      <c r="B2340" s="10" t="str">
        <f>IF(SISTEMA!B2334="","",VALUE(SISTEMA!B2334))</f>
        <v/>
      </c>
      <c r="C2340" s="10" t="str">
        <f>IF(SISTEMA!C2334="","",SISTEMA!C2334)</f>
        <v/>
      </c>
      <c r="D2340" s="5" t="str" cm="1">
        <f t="array" ref="D2340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40" s="5" t="str" cm="1">
        <f t="array" ref="E2340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40" s="5" t="str" cm="1">
        <f t="array" ref="F2340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40" t="str" cm="1">
        <f t="array" ref="G2340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40" s="4"/>
      <c r="I2340" s="3" t="str" cm="1">
        <f t="array" ref="I2340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41" spans="1:9" x14ac:dyDescent="0.3">
      <c r="A2341" s="3" t="str">
        <f>IF(SISTEMA!A2335="","",SISTEMA!A2335)</f>
        <v/>
      </c>
      <c r="B2341" s="10" t="str">
        <f>IF(SISTEMA!B2335="","",VALUE(SISTEMA!B2335))</f>
        <v/>
      </c>
      <c r="C2341" s="10" t="str">
        <f>IF(SISTEMA!C2335="","",SISTEMA!C2335)</f>
        <v/>
      </c>
      <c r="D2341" s="5" t="str" cm="1">
        <f t="array" ref="D2341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41" s="5" t="str" cm="1">
        <f t="array" ref="E2341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41" s="5" t="str" cm="1">
        <f t="array" ref="F2341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41" t="str" cm="1">
        <f t="array" ref="G2341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41" s="4"/>
      <c r="I2341" s="3" t="str" cm="1">
        <f t="array" ref="I2341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  <row r="2342" spans="1:9" x14ac:dyDescent="0.3">
      <c r="A2342" s="3" t="str">
        <f>IF(SISTEMA!A2336="","",SISTEMA!A2336)</f>
        <v/>
      </c>
      <c r="B2342" s="10" t="str">
        <f>IF(SISTEMA!B2336="","",VALUE(SISTEMA!B2336))</f>
        <v/>
      </c>
      <c r="C2342" s="10" t="str">
        <f>IF(SISTEMA!C2336="","",SISTEMA!C2336)</f>
        <v/>
      </c>
      <c r="D2342" s="5" t="str" cm="1">
        <f t="array" ref="D2342">IFERROR(
    _xlfn.XLOOKUP(
        --tabela_compras[[#This Row],[NF]],
        --INDEX(SISTEMA!$A$2:$Z$100000,0,MATCH("NF",SISTEMA!$A$1:$Z$1,0)),
        INDEX(SISTEMA!$A$2:$Z$100000,0,MATCH(tabela_compras[[#Headers],[Desconto]],SISTEMA!$A$1:$Z$1,0))
    ),
    ""
)</f>
        <v/>
      </c>
      <c r="E2342" s="5" t="str" cm="1">
        <f t="array" ref="E2342">IFERROR(
    _xlfn.XLOOKUP(
        --tabela_compras[[#This Row],[NF]]&amp;"|"&amp;tabela_compras[[#This Row],[Fornecedor]],
        --INDEX(SISTEMA!$A$2:$Z$100000,0,MATCH("NF",SISTEMA!$A$1:$Z$1,0))
        &amp;"|"&amp;
        INDEX(SISTEMA!$A$2:$Z$100000,0,MATCH("Fornecedor",SISTEMA!$A$1:$Z$1,0)),
        INDEX(SISTEMA!$A$2:$Z$100000,0,MATCH(tabela_compras[[#Headers],[Vlr. Nota]],SISTEMA!$A$1:$Z$1,0))
    ),
    ""
)</f>
        <v/>
      </c>
      <c r="F2342" s="5" t="str" cm="1">
        <f t="array" ref="F2342">IFERROR(
    _xlfn.XLOOKUP(
        --tabela_compras[[#This Row],[NF]],
        --INDEX(SISTEMA!$A$2:$Z$100000,0,MATCH("NF",SISTEMA!$A$1:$Z$1,0)),
        INDEX(SISTEMA!$A$2:$Z$100000,0,MATCH(tabela_compras[[#Headers],[Valor Contas a Pagar]],SISTEMA!$A$1:$Z$1,0))
    ),
    ""
)</f>
        <v/>
      </c>
      <c r="G2342" t="str" cm="1">
        <f t="array" ref="G2342">IFERROR(
    _xlfn.XLOOKUP(
        --tabela_compras[[#This Row],[NF]],
        --INDEX(SISTEMA!$A$2:$Z$100000,0,MATCH("NF",SISTEMA!$A$1:$Z$1,0)),
        INDEX(SISTEMA!$A$2:$Z$100000,0,MATCH(tabela_compras[[#Headers],[Pedido]],SISTEMA!$A$1:$Z$1,0))
    ),
    ""
)</f>
        <v/>
      </c>
      <c r="H2342" s="4"/>
      <c r="I2342" s="3" t="str" cm="1">
        <f t="array" ref="I2342">IFERROR(
    _xlfn.XLOOKUP(
        --tabela_compras[[#This Row],[NF]],
        --INDEX(SISTEMA!$A$2:$Z$100000,0,MATCH("NF",SISTEMA!$A$1:$Z$1,0)),
        INDEX(SISTEMA!$A$2:$Z$100000,0,MATCH(tabela_compras[[#Headers],[Data Emissão]],SISTEMA!$A$1:$Z$1,0))
    ),
    ""
)</f>
        <v/>
      </c>
    </row>
  </sheetData>
  <mergeCells count="3">
    <mergeCell ref="A1:H1"/>
    <mergeCell ref="A3:H3"/>
    <mergeCell ref="A4:H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C5EB-A80C-4FA6-90DB-8613FB12B9C4}">
  <dimension ref="A1:P503"/>
  <sheetViews>
    <sheetView workbookViewId="0">
      <selection sqref="A1:P465"/>
    </sheetView>
  </sheetViews>
  <sheetFormatPr defaultRowHeight="14.4" x14ac:dyDescent="0.3"/>
  <cols>
    <col min="1" max="1" width="10.33203125" bestFit="1" customWidth="1"/>
    <col min="2" max="2" width="10" bestFit="1" customWidth="1"/>
    <col min="3" max="3" width="66" customWidth="1"/>
    <col min="14" max="14" width="10.33203125" bestFit="1" customWidth="1"/>
  </cols>
  <sheetData>
    <row r="1" spans="1:16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3">
      <c r="A2" s="23"/>
      <c r="B2" s="10"/>
      <c r="C2" s="10"/>
      <c r="D2" s="29"/>
      <c r="E2" s="29"/>
      <c r="F2" s="29"/>
      <c r="G2" s="29"/>
      <c r="H2" s="29"/>
      <c r="I2" s="29"/>
      <c r="J2" s="29"/>
      <c r="K2" s="24"/>
      <c r="L2" s="10"/>
      <c r="M2" s="29"/>
      <c r="N2" s="23"/>
      <c r="O2" s="10"/>
      <c r="P2" s="10"/>
    </row>
    <row r="3" spans="1:16" x14ac:dyDescent="0.3">
      <c r="A3" s="23"/>
      <c r="B3" s="10"/>
      <c r="C3" s="10"/>
      <c r="D3" s="29"/>
      <c r="E3" s="29"/>
      <c r="F3" s="29"/>
      <c r="G3" s="29"/>
      <c r="H3" s="29"/>
      <c r="I3" s="29"/>
      <c r="J3" s="29"/>
      <c r="K3" s="24"/>
      <c r="L3" s="10"/>
      <c r="M3" s="29"/>
      <c r="N3" s="23"/>
      <c r="O3" s="10"/>
      <c r="P3" s="10"/>
    </row>
    <row r="4" spans="1:16" x14ac:dyDescent="0.3">
      <c r="A4" s="23"/>
      <c r="B4" s="10"/>
      <c r="C4" s="10"/>
      <c r="D4" s="29"/>
      <c r="E4" s="29"/>
      <c r="F4" s="29"/>
      <c r="G4" s="29"/>
      <c r="H4" s="29"/>
      <c r="I4" s="29"/>
      <c r="J4" s="29"/>
      <c r="K4" s="24"/>
      <c r="L4" s="10"/>
      <c r="M4" s="29"/>
      <c r="N4" s="23"/>
      <c r="O4" s="10"/>
      <c r="P4" s="10"/>
    </row>
    <row r="5" spans="1:16" x14ac:dyDescent="0.3">
      <c r="A5" s="23"/>
      <c r="B5" s="10"/>
      <c r="C5" s="10"/>
      <c r="D5" s="29"/>
      <c r="E5" s="29"/>
      <c r="F5" s="29"/>
      <c r="G5" s="29"/>
      <c r="H5" s="29"/>
      <c r="I5" s="29"/>
      <c r="J5" s="29"/>
      <c r="K5" s="24"/>
      <c r="L5" s="10"/>
      <c r="M5" s="29"/>
      <c r="N5" s="23"/>
      <c r="O5" s="10"/>
      <c r="P5" s="10"/>
    </row>
    <row r="6" spans="1:16" x14ac:dyDescent="0.3">
      <c r="A6" s="23"/>
      <c r="B6" s="10"/>
      <c r="C6" s="10"/>
      <c r="D6" s="29"/>
      <c r="E6" s="29"/>
      <c r="F6" s="29"/>
      <c r="G6" s="29"/>
      <c r="H6" s="29"/>
      <c r="I6" s="29"/>
      <c r="J6" s="29"/>
      <c r="K6" s="24"/>
      <c r="L6" s="10"/>
      <c r="M6" s="29"/>
      <c r="N6" s="23"/>
      <c r="O6" s="10"/>
      <c r="P6" s="10"/>
    </row>
    <row r="7" spans="1:16" x14ac:dyDescent="0.3">
      <c r="A7" s="23"/>
      <c r="B7" s="10"/>
      <c r="C7" s="10"/>
      <c r="D7" s="29"/>
      <c r="E7" s="29"/>
      <c r="F7" s="29"/>
      <c r="G7" s="29"/>
      <c r="H7" s="29"/>
      <c r="I7" s="29"/>
      <c r="J7" s="29"/>
      <c r="K7" s="24"/>
      <c r="L7" s="10"/>
      <c r="M7" s="29"/>
      <c r="N7" s="23"/>
      <c r="O7" s="10"/>
      <c r="P7" s="10"/>
    </row>
    <row r="8" spans="1:16" x14ac:dyDescent="0.3">
      <c r="A8" s="23"/>
      <c r="B8" s="10"/>
      <c r="C8" s="10"/>
      <c r="D8" s="29"/>
      <c r="E8" s="29"/>
      <c r="F8" s="29"/>
      <c r="G8" s="29"/>
      <c r="H8" s="29"/>
      <c r="I8" s="29"/>
      <c r="J8" s="29"/>
      <c r="K8" s="24"/>
      <c r="L8" s="10"/>
      <c r="M8" s="29"/>
      <c r="N8" s="23"/>
      <c r="O8" s="10"/>
      <c r="P8" s="10"/>
    </row>
    <row r="9" spans="1:16" x14ac:dyDescent="0.3">
      <c r="A9" s="23"/>
      <c r="B9" s="10"/>
      <c r="C9" s="10"/>
      <c r="D9" s="29"/>
      <c r="E9" s="29"/>
      <c r="F9" s="29"/>
      <c r="G9" s="29"/>
      <c r="H9" s="29"/>
      <c r="I9" s="29"/>
      <c r="J9" s="29"/>
      <c r="K9" s="24"/>
      <c r="L9" s="10"/>
      <c r="M9" s="29"/>
      <c r="N9" s="23"/>
      <c r="O9" s="10"/>
      <c r="P9" s="10"/>
    </row>
    <row r="10" spans="1:16" x14ac:dyDescent="0.3">
      <c r="A10" s="23"/>
      <c r="B10" s="10"/>
      <c r="C10" s="10"/>
      <c r="D10" s="29"/>
      <c r="E10" s="29"/>
      <c r="F10" s="29"/>
      <c r="G10" s="29"/>
      <c r="H10" s="29"/>
      <c r="I10" s="29"/>
      <c r="J10" s="29"/>
      <c r="K10" s="24"/>
      <c r="L10" s="10"/>
      <c r="M10" s="29"/>
      <c r="N10" s="23"/>
      <c r="O10" s="10"/>
      <c r="P10" s="10"/>
    </row>
    <row r="11" spans="1:16" x14ac:dyDescent="0.3">
      <c r="A11" s="23"/>
      <c r="B11" s="10"/>
      <c r="C11" s="10"/>
      <c r="D11" s="29"/>
      <c r="E11" s="29"/>
      <c r="F11" s="29"/>
      <c r="G11" s="29"/>
      <c r="H11" s="29"/>
      <c r="I11" s="29"/>
      <c r="J11" s="29"/>
      <c r="K11" s="24"/>
      <c r="L11" s="10"/>
      <c r="M11" s="29"/>
      <c r="N11" s="23"/>
      <c r="O11" s="10"/>
      <c r="P11" s="10"/>
    </row>
    <row r="12" spans="1:16" x14ac:dyDescent="0.3">
      <c r="A12" s="23"/>
      <c r="B12" s="10"/>
      <c r="C12" s="10"/>
      <c r="D12" s="29"/>
      <c r="E12" s="29"/>
      <c r="F12" s="29"/>
      <c r="G12" s="29"/>
      <c r="H12" s="29"/>
      <c r="I12" s="29"/>
      <c r="J12" s="29"/>
      <c r="K12" s="24"/>
      <c r="L12" s="10"/>
      <c r="M12" s="29"/>
      <c r="N12" s="23"/>
      <c r="O12" s="10"/>
      <c r="P12" s="10"/>
    </row>
    <row r="13" spans="1:16" x14ac:dyDescent="0.3">
      <c r="A13" s="23"/>
      <c r="B13" s="10"/>
      <c r="C13" s="10"/>
      <c r="D13" s="29"/>
      <c r="E13" s="29"/>
      <c r="F13" s="29"/>
      <c r="G13" s="29"/>
      <c r="H13" s="29"/>
      <c r="I13" s="29"/>
      <c r="J13" s="29"/>
      <c r="K13" s="24"/>
      <c r="L13" s="10"/>
      <c r="M13" s="29"/>
      <c r="N13" s="23"/>
      <c r="O13" s="10"/>
      <c r="P13" s="10"/>
    </row>
    <row r="14" spans="1:16" x14ac:dyDescent="0.3">
      <c r="A14" s="23"/>
      <c r="B14" s="10"/>
      <c r="C14" s="10"/>
      <c r="D14" s="29"/>
      <c r="E14" s="29"/>
      <c r="F14" s="29"/>
      <c r="G14" s="29"/>
      <c r="H14" s="29"/>
      <c r="I14" s="29"/>
      <c r="J14" s="29"/>
      <c r="K14" s="24"/>
      <c r="L14" s="10"/>
      <c r="M14" s="29"/>
      <c r="N14" s="23"/>
      <c r="O14" s="10"/>
      <c r="P14" s="10"/>
    </row>
    <row r="15" spans="1:16" x14ac:dyDescent="0.3">
      <c r="A15" s="23"/>
      <c r="B15" s="10"/>
      <c r="C15" s="10"/>
      <c r="D15" s="29"/>
      <c r="E15" s="29"/>
      <c r="F15" s="29"/>
      <c r="G15" s="29"/>
      <c r="H15" s="29"/>
      <c r="I15" s="29"/>
      <c r="J15" s="29"/>
      <c r="K15" s="24"/>
      <c r="L15" s="10"/>
      <c r="M15" s="29"/>
      <c r="N15" s="23"/>
      <c r="O15" s="10"/>
      <c r="P15" s="10"/>
    </row>
    <row r="16" spans="1:16" x14ac:dyDescent="0.3">
      <c r="A16" s="23"/>
      <c r="B16" s="10"/>
      <c r="C16" s="10"/>
      <c r="D16" s="29"/>
      <c r="E16" s="29"/>
      <c r="F16" s="29"/>
      <c r="G16" s="29"/>
      <c r="H16" s="29"/>
      <c r="I16" s="29"/>
      <c r="J16" s="29"/>
      <c r="K16" s="24"/>
      <c r="L16" s="10"/>
      <c r="M16" s="29"/>
      <c r="N16" s="23"/>
      <c r="O16" s="10"/>
      <c r="P16" s="10"/>
    </row>
    <row r="17" spans="1:16" x14ac:dyDescent="0.3">
      <c r="A17" s="23"/>
      <c r="B17" s="10"/>
      <c r="C17" s="10"/>
      <c r="D17" s="29"/>
      <c r="E17" s="29"/>
      <c r="F17" s="29"/>
      <c r="G17" s="29"/>
      <c r="H17" s="29"/>
      <c r="I17" s="29"/>
      <c r="J17" s="29"/>
      <c r="K17" s="24"/>
      <c r="L17" s="10"/>
      <c r="M17" s="29"/>
      <c r="N17" s="23"/>
      <c r="O17" s="10"/>
      <c r="P17" s="10"/>
    </row>
    <row r="18" spans="1:16" x14ac:dyDescent="0.3">
      <c r="A18" s="23"/>
      <c r="B18" s="10"/>
      <c r="C18" s="10"/>
      <c r="D18" s="29"/>
      <c r="E18" s="29"/>
      <c r="F18" s="29"/>
      <c r="G18" s="29"/>
      <c r="H18" s="29"/>
      <c r="I18" s="29"/>
      <c r="J18" s="29"/>
      <c r="K18" s="24"/>
      <c r="L18" s="10"/>
      <c r="M18" s="29"/>
      <c r="N18" s="23"/>
      <c r="O18" s="10"/>
      <c r="P18" s="10"/>
    </row>
    <row r="19" spans="1:16" x14ac:dyDescent="0.3">
      <c r="A19" s="23"/>
      <c r="B19" s="10"/>
      <c r="C19" s="10"/>
      <c r="D19" s="29"/>
      <c r="E19" s="29"/>
      <c r="F19" s="29"/>
      <c r="G19" s="29"/>
      <c r="H19" s="29"/>
      <c r="I19" s="29"/>
      <c r="J19" s="29"/>
      <c r="K19" s="24"/>
      <c r="L19" s="10"/>
      <c r="M19" s="29"/>
      <c r="N19" s="23"/>
      <c r="O19" s="10"/>
      <c r="P19" s="10"/>
    </row>
    <row r="20" spans="1:16" x14ac:dyDescent="0.3">
      <c r="A20" s="23"/>
      <c r="B20" s="10"/>
      <c r="C20" s="10"/>
      <c r="D20" s="29"/>
      <c r="E20" s="29"/>
      <c r="F20" s="29"/>
      <c r="G20" s="29"/>
      <c r="H20" s="29"/>
      <c r="I20" s="29"/>
      <c r="J20" s="29"/>
      <c r="K20" s="24"/>
      <c r="L20" s="10"/>
      <c r="M20" s="29"/>
      <c r="N20" s="23"/>
      <c r="O20" s="10"/>
      <c r="P20" s="10"/>
    </row>
    <row r="21" spans="1:16" x14ac:dyDescent="0.3">
      <c r="A21" s="23"/>
      <c r="B21" s="10"/>
      <c r="C21" s="10"/>
      <c r="D21" s="29"/>
      <c r="E21" s="29"/>
      <c r="F21" s="29"/>
      <c r="G21" s="29"/>
      <c r="H21" s="29"/>
      <c r="I21" s="29"/>
      <c r="J21" s="29"/>
      <c r="K21" s="24"/>
      <c r="L21" s="10"/>
      <c r="M21" s="29"/>
      <c r="N21" s="23"/>
      <c r="O21" s="10"/>
      <c r="P21" s="10"/>
    </row>
    <row r="22" spans="1:16" x14ac:dyDescent="0.3">
      <c r="A22" s="23"/>
      <c r="B22" s="10"/>
      <c r="C22" s="10"/>
      <c r="D22" s="29"/>
      <c r="E22" s="29"/>
      <c r="F22" s="29"/>
      <c r="G22" s="29"/>
      <c r="H22" s="29"/>
      <c r="I22" s="29"/>
      <c r="J22" s="29"/>
      <c r="K22" s="24"/>
      <c r="L22" s="10"/>
      <c r="M22" s="29"/>
      <c r="N22" s="23"/>
      <c r="O22" s="10"/>
      <c r="P22" s="10"/>
    </row>
    <row r="23" spans="1:16" x14ac:dyDescent="0.3">
      <c r="A23" s="23"/>
      <c r="B23" s="10"/>
      <c r="C23" s="10"/>
      <c r="D23" s="29"/>
      <c r="E23" s="29"/>
      <c r="F23" s="29"/>
      <c r="G23" s="29"/>
      <c r="H23" s="29"/>
      <c r="I23" s="29"/>
      <c r="J23" s="29"/>
      <c r="K23" s="24"/>
      <c r="L23" s="10"/>
      <c r="M23" s="29"/>
      <c r="N23" s="23"/>
      <c r="O23" s="10"/>
      <c r="P23" s="10"/>
    </row>
    <row r="24" spans="1:16" x14ac:dyDescent="0.3">
      <c r="A24" s="23"/>
      <c r="B24" s="10"/>
      <c r="C24" s="10"/>
      <c r="D24" s="29"/>
      <c r="E24" s="29"/>
      <c r="F24" s="29"/>
      <c r="G24" s="29"/>
      <c r="H24" s="29"/>
      <c r="I24" s="29"/>
      <c r="J24" s="29"/>
      <c r="K24" s="24"/>
      <c r="L24" s="10"/>
      <c r="M24" s="29"/>
      <c r="N24" s="23"/>
      <c r="O24" s="10"/>
      <c r="P24" s="10"/>
    </row>
    <row r="25" spans="1:16" x14ac:dyDescent="0.3">
      <c r="A25" s="23"/>
      <c r="B25" s="10"/>
      <c r="C25" s="10"/>
      <c r="D25" s="29"/>
      <c r="E25" s="29"/>
      <c r="F25" s="29"/>
      <c r="G25" s="29"/>
      <c r="H25" s="29"/>
      <c r="I25" s="29"/>
      <c r="J25" s="29"/>
      <c r="K25" s="24"/>
      <c r="L25" s="10"/>
      <c r="M25" s="29"/>
      <c r="N25" s="23"/>
      <c r="O25" s="10"/>
      <c r="P25" s="10"/>
    </row>
    <row r="26" spans="1:16" x14ac:dyDescent="0.3">
      <c r="A26" s="23"/>
      <c r="B26" s="10"/>
      <c r="C26" s="10"/>
      <c r="D26" s="29"/>
      <c r="E26" s="29"/>
      <c r="F26" s="29"/>
      <c r="G26" s="29"/>
      <c r="H26" s="29"/>
      <c r="I26" s="29"/>
      <c r="J26" s="29"/>
      <c r="K26" s="24"/>
      <c r="L26" s="10"/>
      <c r="M26" s="29"/>
      <c r="N26" s="23"/>
      <c r="O26" s="10"/>
      <c r="P26" s="10"/>
    </row>
    <row r="27" spans="1:16" x14ac:dyDescent="0.3">
      <c r="A27" s="23"/>
      <c r="B27" s="10"/>
      <c r="C27" s="10"/>
      <c r="D27" s="29"/>
      <c r="E27" s="29"/>
      <c r="F27" s="29"/>
      <c r="G27" s="29"/>
      <c r="H27" s="29"/>
      <c r="I27" s="29"/>
      <c r="J27" s="29"/>
      <c r="K27" s="24"/>
      <c r="L27" s="10"/>
      <c r="M27" s="29"/>
      <c r="N27" s="23"/>
      <c r="O27" s="10"/>
      <c r="P27" s="10"/>
    </row>
    <row r="28" spans="1:16" x14ac:dyDescent="0.3">
      <c r="A28" s="23"/>
      <c r="B28" s="10"/>
      <c r="C28" s="10"/>
      <c r="D28" s="29"/>
      <c r="E28" s="29"/>
      <c r="F28" s="29"/>
      <c r="G28" s="29"/>
      <c r="H28" s="29"/>
      <c r="I28" s="29"/>
      <c r="J28" s="29"/>
      <c r="K28" s="24"/>
      <c r="L28" s="10"/>
      <c r="M28" s="29"/>
      <c r="N28" s="23"/>
      <c r="O28" s="10"/>
      <c r="P28" s="10"/>
    </row>
    <row r="29" spans="1:16" x14ac:dyDescent="0.3">
      <c r="A29" s="23"/>
      <c r="B29" s="10"/>
      <c r="C29" s="10"/>
      <c r="D29" s="29"/>
      <c r="E29" s="29"/>
      <c r="F29" s="29"/>
      <c r="G29" s="29"/>
      <c r="H29" s="29"/>
      <c r="I29" s="29"/>
      <c r="J29" s="29"/>
      <c r="K29" s="24"/>
      <c r="L29" s="10"/>
      <c r="M29" s="29"/>
      <c r="N29" s="23"/>
      <c r="O29" s="10"/>
      <c r="P29" s="10"/>
    </row>
    <row r="30" spans="1:16" x14ac:dyDescent="0.3">
      <c r="A30" s="23"/>
      <c r="B30" s="10"/>
      <c r="C30" s="10"/>
      <c r="D30" s="29"/>
      <c r="E30" s="29"/>
      <c r="F30" s="29"/>
      <c r="G30" s="29"/>
      <c r="H30" s="29"/>
      <c r="I30" s="29"/>
      <c r="J30" s="29"/>
      <c r="K30" s="24"/>
      <c r="L30" s="10"/>
      <c r="M30" s="29"/>
      <c r="N30" s="23"/>
      <c r="O30" s="10"/>
      <c r="P30" s="10"/>
    </row>
    <row r="31" spans="1:16" x14ac:dyDescent="0.3">
      <c r="A31" s="23"/>
      <c r="B31" s="10"/>
      <c r="C31" s="10"/>
      <c r="D31" s="29"/>
      <c r="E31" s="29"/>
      <c r="F31" s="29"/>
      <c r="G31" s="29"/>
      <c r="H31" s="29"/>
      <c r="I31" s="29"/>
      <c r="J31" s="29"/>
      <c r="K31" s="24"/>
      <c r="L31" s="10"/>
      <c r="M31" s="29"/>
      <c r="N31" s="23"/>
      <c r="O31" s="10"/>
      <c r="P31" s="10"/>
    </row>
    <row r="32" spans="1:16" x14ac:dyDescent="0.3">
      <c r="A32" s="23"/>
      <c r="B32" s="10"/>
      <c r="C32" s="10"/>
      <c r="D32" s="29"/>
      <c r="E32" s="29"/>
      <c r="F32" s="29"/>
      <c r="G32" s="29"/>
      <c r="H32" s="29"/>
      <c r="I32" s="29"/>
      <c r="J32" s="29"/>
      <c r="K32" s="24"/>
      <c r="L32" s="10"/>
      <c r="M32" s="29"/>
      <c r="N32" s="23"/>
      <c r="O32" s="10"/>
      <c r="P32" s="10"/>
    </row>
    <row r="33" spans="1:16" x14ac:dyDescent="0.3">
      <c r="A33" s="23"/>
      <c r="B33" s="10"/>
      <c r="C33" s="10"/>
      <c r="D33" s="29"/>
      <c r="E33" s="29"/>
      <c r="F33" s="29"/>
      <c r="G33" s="29"/>
      <c r="H33" s="29"/>
      <c r="I33" s="29"/>
      <c r="J33" s="29"/>
      <c r="K33" s="24"/>
      <c r="L33" s="10"/>
      <c r="M33" s="29"/>
      <c r="N33" s="23"/>
      <c r="O33" s="10"/>
      <c r="P33" s="10"/>
    </row>
    <row r="34" spans="1:16" x14ac:dyDescent="0.3">
      <c r="A34" s="23"/>
      <c r="B34" s="10"/>
      <c r="C34" s="10"/>
      <c r="D34" s="29"/>
      <c r="E34" s="29"/>
      <c r="F34" s="29"/>
      <c r="G34" s="29"/>
      <c r="H34" s="29"/>
      <c r="I34" s="29"/>
      <c r="J34" s="29"/>
      <c r="K34" s="24"/>
      <c r="L34" s="10"/>
      <c r="M34" s="29"/>
      <c r="N34" s="23"/>
      <c r="O34" s="10"/>
      <c r="P34" s="10"/>
    </row>
    <row r="35" spans="1:16" x14ac:dyDescent="0.3">
      <c r="A35" s="23"/>
      <c r="B35" s="10"/>
      <c r="C35" s="10"/>
      <c r="D35" s="29"/>
      <c r="E35" s="29"/>
      <c r="F35" s="29"/>
      <c r="G35" s="29"/>
      <c r="H35" s="29"/>
      <c r="I35" s="29"/>
      <c r="J35" s="29"/>
      <c r="K35" s="24"/>
      <c r="L35" s="10"/>
      <c r="M35" s="29"/>
      <c r="N35" s="23"/>
      <c r="O35" s="10"/>
      <c r="P35" s="10"/>
    </row>
    <row r="36" spans="1:16" x14ac:dyDescent="0.3">
      <c r="A36" s="23"/>
      <c r="B36" s="10"/>
      <c r="C36" s="10"/>
      <c r="D36" s="29"/>
      <c r="E36" s="29"/>
      <c r="F36" s="29"/>
      <c r="G36" s="29"/>
      <c r="H36" s="29"/>
      <c r="I36" s="29"/>
      <c r="J36" s="29"/>
      <c r="K36" s="24"/>
      <c r="L36" s="10"/>
      <c r="M36" s="29"/>
      <c r="N36" s="23"/>
      <c r="O36" s="10"/>
      <c r="P36" s="10"/>
    </row>
    <row r="37" spans="1:16" x14ac:dyDescent="0.3">
      <c r="A37" s="23"/>
      <c r="B37" s="10"/>
      <c r="C37" s="10"/>
      <c r="D37" s="29"/>
      <c r="E37" s="29"/>
      <c r="F37" s="29"/>
      <c r="G37" s="29"/>
      <c r="H37" s="29"/>
      <c r="I37" s="29"/>
      <c r="J37" s="29"/>
      <c r="K37" s="24"/>
      <c r="L37" s="10"/>
      <c r="M37" s="29"/>
      <c r="N37" s="23"/>
      <c r="O37" s="10"/>
      <c r="P37" s="10"/>
    </row>
    <row r="38" spans="1:16" x14ac:dyDescent="0.3">
      <c r="A38" s="23"/>
      <c r="B38" s="10"/>
      <c r="C38" s="10"/>
      <c r="D38" s="29"/>
      <c r="E38" s="29"/>
      <c r="F38" s="29"/>
      <c r="G38" s="29"/>
      <c r="H38" s="29"/>
      <c r="I38" s="29"/>
      <c r="J38" s="29"/>
      <c r="K38" s="24"/>
      <c r="L38" s="10"/>
      <c r="M38" s="29"/>
      <c r="N38" s="23"/>
      <c r="O38" s="10"/>
      <c r="P38" s="10"/>
    </row>
    <row r="39" spans="1:16" x14ac:dyDescent="0.3">
      <c r="A39" s="23"/>
      <c r="B39" s="10"/>
      <c r="C39" s="10"/>
      <c r="D39" s="29"/>
      <c r="E39" s="29"/>
      <c r="F39" s="29"/>
      <c r="G39" s="29"/>
      <c r="H39" s="29"/>
      <c r="I39" s="29"/>
      <c r="J39" s="29"/>
      <c r="K39" s="24"/>
      <c r="L39" s="10"/>
      <c r="M39" s="29"/>
      <c r="N39" s="23"/>
      <c r="O39" s="10"/>
      <c r="P39" s="10"/>
    </row>
    <row r="40" spans="1:16" x14ac:dyDescent="0.3">
      <c r="A40" s="23"/>
      <c r="B40" s="10"/>
      <c r="C40" s="10"/>
      <c r="D40" s="29"/>
      <c r="E40" s="29"/>
      <c r="F40" s="29"/>
      <c r="G40" s="29"/>
      <c r="H40" s="29"/>
      <c r="I40" s="29"/>
      <c r="J40" s="29"/>
      <c r="K40" s="24"/>
      <c r="L40" s="10"/>
      <c r="M40" s="29"/>
      <c r="N40" s="23"/>
      <c r="O40" s="10"/>
      <c r="P40" s="10"/>
    </row>
    <row r="41" spans="1:16" x14ac:dyDescent="0.3">
      <c r="A41" s="23"/>
      <c r="B41" s="10"/>
      <c r="C41" s="10"/>
      <c r="D41" s="29"/>
      <c r="E41" s="29"/>
      <c r="F41" s="29"/>
      <c r="G41" s="29"/>
      <c r="H41" s="29"/>
      <c r="I41" s="29"/>
      <c r="J41" s="29"/>
      <c r="K41" s="24"/>
      <c r="L41" s="10"/>
      <c r="M41" s="29"/>
      <c r="N41" s="23"/>
      <c r="O41" s="10"/>
      <c r="P41" s="10"/>
    </row>
    <row r="42" spans="1:16" x14ac:dyDescent="0.3">
      <c r="A42" s="23"/>
      <c r="B42" s="10"/>
      <c r="C42" s="10"/>
      <c r="D42" s="29"/>
      <c r="E42" s="29"/>
      <c r="F42" s="29"/>
      <c r="G42" s="29"/>
      <c r="H42" s="29"/>
      <c r="I42" s="29"/>
      <c r="J42" s="29"/>
      <c r="K42" s="24"/>
      <c r="L42" s="10"/>
      <c r="M42" s="29"/>
      <c r="N42" s="23"/>
      <c r="O42" s="10"/>
      <c r="P42" s="10"/>
    </row>
    <row r="43" spans="1:16" x14ac:dyDescent="0.3">
      <c r="A43" s="23"/>
      <c r="B43" s="10"/>
      <c r="C43" s="10"/>
      <c r="D43" s="29"/>
      <c r="E43" s="29"/>
      <c r="F43" s="29"/>
      <c r="G43" s="29"/>
      <c r="H43" s="29"/>
      <c r="I43" s="29"/>
      <c r="J43" s="29"/>
      <c r="K43" s="24"/>
      <c r="L43" s="10"/>
      <c r="M43" s="29"/>
      <c r="N43" s="23"/>
      <c r="O43" s="10"/>
      <c r="P43" s="10"/>
    </row>
    <row r="44" spans="1:16" x14ac:dyDescent="0.3">
      <c r="A44" s="23"/>
      <c r="B44" s="10"/>
      <c r="C44" s="10"/>
      <c r="D44" s="29"/>
      <c r="E44" s="29"/>
      <c r="F44" s="29"/>
      <c r="G44" s="29"/>
      <c r="H44" s="29"/>
      <c r="I44" s="29"/>
      <c r="J44" s="29"/>
      <c r="K44" s="24"/>
      <c r="L44" s="10"/>
      <c r="M44" s="29"/>
      <c r="N44" s="23"/>
      <c r="O44" s="10"/>
      <c r="P44" s="10"/>
    </row>
    <row r="45" spans="1:16" x14ac:dyDescent="0.3">
      <c r="A45" s="23"/>
      <c r="B45" s="10"/>
      <c r="C45" s="10"/>
      <c r="D45" s="29"/>
      <c r="E45" s="29"/>
      <c r="F45" s="29"/>
      <c r="G45" s="29"/>
      <c r="H45" s="29"/>
      <c r="I45" s="29"/>
      <c r="J45" s="29"/>
      <c r="K45" s="24"/>
      <c r="L45" s="10"/>
      <c r="M45" s="29"/>
      <c r="N45" s="23"/>
      <c r="O45" s="10"/>
      <c r="P45" s="10"/>
    </row>
    <row r="46" spans="1:16" x14ac:dyDescent="0.3">
      <c r="A46" s="23"/>
      <c r="B46" s="10"/>
      <c r="C46" s="10"/>
      <c r="D46" s="29"/>
      <c r="E46" s="29"/>
      <c r="F46" s="29"/>
      <c r="G46" s="29"/>
      <c r="H46" s="29"/>
      <c r="I46" s="29"/>
      <c r="J46" s="29"/>
      <c r="K46" s="24"/>
      <c r="L46" s="10"/>
      <c r="M46" s="29"/>
      <c r="N46" s="23"/>
      <c r="O46" s="10"/>
      <c r="P46" s="10"/>
    </row>
    <row r="47" spans="1:16" x14ac:dyDescent="0.3">
      <c r="A47" s="23"/>
      <c r="B47" s="10"/>
      <c r="C47" s="10"/>
      <c r="D47" s="29"/>
      <c r="E47" s="29"/>
      <c r="F47" s="29"/>
      <c r="G47" s="29"/>
      <c r="H47" s="29"/>
      <c r="I47" s="29"/>
      <c r="J47" s="29"/>
      <c r="K47" s="24"/>
      <c r="L47" s="10"/>
      <c r="M47" s="29"/>
      <c r="N47" s="23"/>
      <c r="O47" s="10"/>
      <c r="P47" s="10"/>
    </row>
    <row r="48" spans="1:16" x14ac:dyDescent="0.3">
      <c r="A48" s="23"/>
      <c r="B48" s="10"/>
      <c r="C48" s="10"/>
      <c r="D48" s="29"/>
      <c r="E48" s="29"/>
      <c r="F48" s="29"/>
      <c r="G48" s="29"/>
      <c r="H48" s="29"/>
      <c r="I48" s="29"/>
      <c r="J48" s="29"/>
      <c r="K48" s="24"/>
      <c r="L48" s="10"/>
      <c r="M48" s="29"/>
      <c r="N48" s="23"/>
      <c r="O48" s="10"/>
      <c r="P48" s="10"/>
    </row>
    <row r="49" spans="1:16" x14ac:dyDescent="0.3">
      <c r="A49" s="23"/>
      <c r="B49" s="10"/>
      <c r="C49" s="10"/>
      <c r="D49" s="29"/>
      <c r="E49" s="29"/>
      <c r="F49" s="29"/>
      <c r="G49" s="29"/>
      <c r="H49" s="29"/>
      <c r="I49" s="29"/>
      <c r="J49" s="29"/>
      <c r="K49" s="24"/>
      <c r="L49" s="10"/>
      <c r="M49" s="29"/>
      <c r="N49" s="23"/>
      <c r="O49" s="10"/>
      <c r="P49" s="10"/>
    </row>
    <row r="50" spans="1:16" x14ac:dyDescent="0.3">
      <c r="A50" s="23"/>
      <c r="B50" s="10"/>
      <c r="C50" s="10"/>
      <c r="D50" s="29"/>
      <c r="E50" s="29"/>
      <c r="F50" s="29"/>
      <c r="G50" s="29"/>
      <c r="H50" s="29"/>
      <c r="I50" s="29"/>
      <c r="J50" s="29"/>
      <c r="K50" s="24"/>
      <c r="L50" s="10"/>
      <c r="M50" s="29"/>
      <c r="N50" s="23"/>
      <c r="O50" s="10"/>
      <c r="P50" s="10"/>
    </row>
    <row r="51" spans="1:16" x14ac:dyDescent="0.3">
      <c r="A51" s="23"/>
      <c r="B51" s="10"/>
      <c r="C51" s="10"/>
      <c r="D51" s="29"/>
      <c r="E51" s="29"/>
      <c r="F51" s="29"/>
      <c r="G51" s="29"/>
      <c r="H51" s="29"/>
      <c r="I51" s="29"/>
      <c r="J51" s="29"/>
      <c r="K51" s="24"/>
      <c r="L51" s="10"/>
      <c r="M51" s="29"/>
      <c r="N51" s="23"/>
      <c r="O51" s="10"/>
      <c r="P51" s="10"/>
    </row>
    <row r="52" spans="1:16" x14ac:dyDescent="0.3">
      <c r="A52" s="23"/>
      <c r="B52" s="10"/>
      <c r="C52" s="10"/>
      <c r="D52" s="29"/>
      <c r="E52" s="29"/>
      <c r="F52" s="29"/>
      <c r="G52" s="29"/>
      <c r="H52" s="29"/>
      <c r="I52" s="29"/>
      <c r="J52" s="29"/>
      <c r="K52" s="24"/>
      <c r="L52" s="10"/>
      <c r="M52" s="29"/>
      <c r="N52" s="23"/>
      <c r="O52" s="10"/>
      <c r="P52" s="10"/>
    </row>
    <row r="53" spans="1:16" x14ac:dyDescent="0.3">
      <c r="A53" s="23"/>
      <c r="B53" s="10"/>
      <c r="C53" s="10"/>
      <c r="D53" s="29"/>
      <c r="E53" s="29"/>
      <c r="F53" s="29"/>
      <c r="G53" s="29"/>
      <c r="H53" s="29"/>
      <c r="I53" s="29"/>
      <c r="J53" s="29"/>
      <c r="K53" s="24"/>
      <c r="L53" s="10"/>
      <c r="M53" s="29"/>
      <c r="N53" s="23"/>
      <c r="O53" s="10"/>
      <c r="P53" s="10"/>
    </row>
    <row r="54" spans="1:16" x14ac:dyDescent="0.3">
      <c r="A54" s="23"/>
      <c r="B54" s="10"/>
      <c r="C54" s="10"/>
      <c r="D54" s="29"/>
      <c r="E54" s="29"/>
      <c r="F54" s="29"/>
      <c r="G54" s="29"/>
      <c r="H54" s="29"/>
      <c r="I54" s="29"/>
      <c r="J54" s="29"/>
      <c r="K54" s="24"/>
      <c r="L54" s="10"/>
      <c r="M54" s="29"/>
      <c r="N54" s="23"/>
      <c r="O54" s="10"/>
      <c r="P54" s="10"/>
    </row>
    <row r="55" spans="1:16" x14ac:dyDescent="0.3">
      <c r="A55" s="23"/>
      <c r="B55" s="10"/>
      <c r="C55" s="10"/>
      <c r="D55" s="29"/>
      <c r="E55" s="29"/>
      <c r="F55" s="29"/>
      <c r="G55" s="29"/>
      <c r="H55" s="29"/>
      <c r="I55" s="29"/>
      <c r="J55" s="29"/>
      <c r="K55" s="24"/>
      <c r="L55" s="10"/>
      <c r="M55" s="29"/>
      <c r="N55" s="23"/>
      <c r="O55" s="10"/>
      <c r="P55" s="10"/>
    </row>
    <row r="56" spans="1:16" x14ac:dyDescent="0.3">
      <c r="A56" s="23"/>
      <c r="B56" s="10"/>
      <c r="C56" s="10"/>
      <c r="D56" s="29"/>
      <c r="E56" s="29"/>
      <c r="F56" s="29"/>
      <c r="G56" s="29"/>
      <c r="H56" s="29"/>
      <c r="I56" s="29"/>
      <c r="J56" s="29"/>
      <c r="K56" s="24"/>
      <c r="L56" s="10"/>
      <c r="M56" s="29"/>
      <c r="N56" s="23"/>
      <c r="O56" s="10"/>
      <c r="P56" s="10"/>
    </row>
    <row r="57" spans="1:16" x14ac:dyDescent="0.3">
      <c r="A57" s="23"/>
      <c r="B57" s="10"/>
      <c r="C57" s="10"/>
      <c r="D57" s="29"/>
      <c r="E57" s="29"/>
      <c r="F57" s="29"/>
      <c r="G57" s="29"/>
      <c r="H57" s="29"/>
      <c r="I57" s="29"/>
      <c r="J57" s="29"/>
      <c r="K57" s="24"/>
      <c r="L57" s="10"/>
      <c r="M57" s="29"/>
      <c r="N57" s="23"/>
      <c r="O57" s="10"/>
      <c r="P57" s="10"/>
    </row>
    <row r="58" spans="1:16" x14ac:dyDescent="0.3">
      <c r="A58" s="23"/>
      <c r="B58" s="10"/>
      <c r="C58" s="10"/>
      <c r="D58" s="29"/>
      <c r="E58" s="29"/>
      <c r="F58" s="29"/>
      <c r="G58" s="29"/>
      <c r="H58" s="29"/>
      <c r="I58" s="29"/>
      <c r="J58" s="29"/>
      <c r="K58" s="24"/>
      <c r="L58" s="10"/>
      <c r="M58" s="29"/>
      <c r="N58" s="23"/>
      <c r="O58" s="10"/>
      <c r="P58" s="10"/>
    </row>
    <row r="59" spans="1:16" x14ac:dyDescent="0.3">
      <c r="A59" s="23"/>
      <c r="B59" s="10"/>
      <c r="C59" s="10"/>
      <c r="D59" s="29"/>
      <c r="E59" s="29"/>
      <c r="F59" s="29"/>
      <c r="G59" s="29"/>
      <c r="H59" s="29"/>
      <c r="I59" s="29"/>
      <c r="J59" s="29"/>
      <c r="K59" s="24"/>
      <c r="L59" s="10"/>
      <c r="M59" s="29"/>
      <c r="N59" s="23"/>
      <c r="O59" s="10"/>
      <c r="P59" s="10"/>
    </row>
    <row r="60" spans="1:16" x14ac:dyDescent="0.3">
      <c r="A60" s="23"/>
      <c r="B60" s="10"/>
      <c r="C60" s="10"/>
      <c r="D60" s="29"/>
      <c r="E60" s="29"/>
      <c r="F60" s="29"/>
      <c r="G60" s="29"/>
      <c r="H60" s="29"/>
      <c r="I60" s="29"/>
      <c r="J60" s="29"/>
      <c r="K60" s="24"/>
      <c r="L60" s="10"/>
      <c r="M60" s="29"/>
      <c r="N60" s="23"/>
      <c r="O60" s="10"/>
      <c r="P60" s="10"/>
    </row>
    <row r="61" spans="1:16" x14ac:dyDescent="0.3">
      <c r="A61" s="23"/>
      <c r="B61" s="10"/>
      <c r="C61" s="10"/>
      <c r="D61" s="29"/>
      <c r="E61" s="29"/>
      <c r="F61" s="29"/>
      <c r="G61" s="29"/>
      <c r="H61" s="29"/>
      <c r="I61" s="29"/>
      <c r="J61" s="29"/>
      <c r="K61" s="24"/>
      <c r="L61" s="10"/>
      <c r="M61" s="29"/>
      <c r="N61" s="23"/>
      <c r="O61" s="10"/>
      <c r="P61" s="10"/>
    </row>
    <row r="62" spans="1:16" x14ac:dyDescent="0.3">
      <c r="A62" s="23"/>
      <c r="B62" s="10"/>
      <c r="C62" s="10"/>
      <c r="D62" s="29"/>
      <c r="E62" s="29"/>
      <c r="F62" s="29"/>
      <c r="G62" s="29"/>
      <c r="H62" s="29"/>
      <c r="I62" s="29"/>
      <c r="J62" s="29"/>
      <c r="K62" s="24"/>
      <c r="L62" s="10"/>
      <c r="M62" s="29"/>
      <c r="N62" s="23"/>
      <c r="O62" s="10"/>
      <c r="P62" s="10"/>
    </row>
    <row r="63" spans="1:16" x14ac:dyDescent="0.3">
      <c r="A63" s="23"/>
      <c r="B63" s="10"/>
      <c r="C63" s="10"/>
      <c r="D63" s="29"/>
      <c r="E63" s="29"/>
      <c r="F63" s="29"/>
      <c r="G63" s="29"/>
      <c r="H63" s="29"/>
      <c r="I63" s="29"/>
      <c r="J63" s="29"/>
      <c r="K63" s="24"/>
      <c r="L63" s="10"/>
      <c r="M63" s="29"/>
      <c r="N63" s="23"/>
      <c r="O63" s="10"/>
      <c r="P63" s="10"/>
    </row>
    <row r="64" spans="1:16" x14ac:dyDescent="0.3">
      <c r="A64" s="23"/>
      <c r="B64" s="10"/>
      <c r="C64" s="10"/>
      <c r="D64" s="29"/>
      <c r="E64" s="29"/>
      <c r="F64" s="29"/>
      <c r="G64" s="29"/>
      <c r="H64" s="29"/>
      <c r="I64" s="29"/>
      <c r="J64" s="29"/>
      <c r="K64" s="24"/>
      <c r="L64" s="10"/>
      <c r="M64" s="29"/>
      <c r="N64" s="23"/>
      <c r="O64" s="10"/>
      <c r="P64" s="10"/>
    </row>
    <row r="65" spans="1:16" x14ac:dyDescent="0.3">
      <c r="A65" s="23"/>
      <c r="B65" s="10"/>
      <c r="C65" s="10"/>
      <c r="D65" s="29"/>
      <c r="E65" s="29"/>
      <c r="F65" s="29"/>
      <c r="G65" s="29"/>
      <c r="H65" s="29"/>
      <c r="I65" s="29"/>
      <c r="J65" s="29"/>
      <c r="K65" s="24"/>
      <c r="L65" s="10"/>
      <c r="M65" s="29"/>
      <c r="N65" s="23"/>
      <c r="O65" s="10"/>
      <c r="P65" s="10"/>
    </row>
    <row r="66" spans="1:16" x14ac:dyDescent="0.3">
      <c r="A66" s="23"/>
      <c r="B66" s="10"/>
      <c r="C66" s="10"/>
      <c r="D66" s="29"/>
      <c r="E66" s="29"/>
      <c r="F66" s="29"/>
      <c r="G66" s="29"/>
      <c r="H66" s="29"/>
      <c r="I66" s="29"/>
      <c r="J66" s="29"/>
      <c r="K66" s="24"/>
      <c r="L66" s="10"/>
      <c r="M66" s="29"/>
      <c r="N66" s="23"/>
      <c r="O66" s="10"/>
      <c r="P66" s="10"/>
    </row>
    <row r="67" spans="1:16" x14ac:dyDescent="0.3">
      <c r="A67" s="23"/>
      <c r="B67" s="10"/>
      <c r="C67" s="10"/>
      <c r="D67" s="29"/>
      <c r="E67" s="29"/>
      <c r="F67" s="29"/>
      <c r="G67" s="29"/>
      <c r="H67" s="29"/>
      <c r="I67" s="29"/>
      <c r="J67" s="29"/>
      <c r="K67" s="24"/>
      <c r="L67" s="10"/>
      <c r="M67" s="29"/>
      <c r="N67" s="23"/>
      <c r="O67" s="10"/>
      <c r="P67" s="10"/>
    </row>
    <row r="68" spans="1:16" x14ac:dyDescent="0.3">
      <c r="A68" s="23"/>
      <c r="B68" s="10"/>
      <c r="C68" s="10"/>
      <c r="D68" s="29"/>
      <c r="E68" s="29"/>
      <c r="F68" s="29"/>
      <c r="G68" s="29"/>
      <c r="H68" s="29"/>
      <c r="I68" s="29"/>
      <c r="J68" s="29"/>
      <c r="K68" s="24"/>
      <c r="L68" s="10"/>
      <c r="M68" s="29"/>
      <c r="N68" s="23"/>
      <c r="O68" s="10"/>
      <c r="P68" s="10"/>
    </row>
    <row r="69" spans="1:16" x14ac:dyDescent="0.3">
      <c r="A69" s="23"/>
      <c r="B69" s="10"/>
      <c r="C69" s="10"/>
      <c r="D69" s="29"/>
      <c r="E69" s="29"/>
      <c r="F69" s="29"/>
      <c r="G69" s="29"/>
      <c r="H69" s="29"/>
      <c r="I69" s="29"/>
      <c r="J69" s="29"/>
      <c r="K69" s="24"/>
      <c r="L69" s="10"/>
      <c r="M69" s="29"/>
      <c r="N69" s="23"/>
      <c r="O69" s="10"/>
      <c r="P69" s="10"/>
    </row>
    <row r="70" spans="1:16" x14ac:dyDescent="0.3">
      <c r="A70" s="23"/>
      <c r="B70" s="10"/>
      <c r="C70" s="10"/>
      <c r="D70" s="29"/>
      <c r="E70" s="29"/>
      <c r="F70" s="29"/>
      <c r="G70" s="29"/>
      <c r="H70" s="29"/>
      <c r="I70" s="29"/>
      <c r="J70" s="29"/>
      <c r="K70" s="24"/>
      <c r="L70" s="10"/>
      <c r="M70" s="29"/>
      <c r="N70" s="23"/>
      <c r="O70" s="10"/>
      <c r="P70" s="10"/>
    </row>
    <row r="71" spans="1:16" x14ac:dyDescent="0.3">
      <c r="A71" s="23"/>
      <c r="B71" s="10"/>
      <c r="C71" s="10"/>
      <c r="D71" s="29"/>
      <c r="E71" s="29"/>
      <c r="F71" s="29"/>
      <c r="G71" s="29"/>
      <c r="H71" s="29"/>
      <c r="I71" s="29"/>
      <c r="J71" s="29"/>
      <c r="K71" s="24"/>
      <c r="L71" s="10"/>
      <c r="M71" s="29"/>
      <c r="N71" s="23"/>
      <c r="O71" s="10"/>
      <c r="P71" s="10"/>
    </row>
    <row r="72" spans="1:16" x14ac:dyDescent="0.3">
      <c r="A72" s="23"/>
      <c r="B72" s="10"/>
      <c r="C72" s="10"/>
      <c r="D72" s="29"/>
      <c r="E72" s="29"/>
      <c r="F72" s="29"/>
      <c r="G72" s="29"/>
      <c r="H72" s="29"/>
      <c r="I72" s="29"/>
      <c r="J72" s="29"/>
      <c r="K72" s="24"/>
      <c r="L72" s="10"/>
      <c r="M72" s="29"/>
      <c r="N72" s="23"/>
      <c r="O72" s="10"/>
      <c r="P72" s="10"/>
    </row>
    <row r="73" spans="1:16" x14ac:dyDescent="0.3">
      <c r="A73" s="23"/>
      <c r="B73" s="10"/>
      <c r="C73" s="10"/>
      <c r="D73" s="29"/>
      <c r="E73" s="29"/>
      <c r="F73" s="29"/>
      <c r="G73" s="29"/>
      <c r="H73" s="29"/>
      <c r="I73" s="29"/>
      <c r="J73" s="29"/>
      <c r="K73" s="24"/>
      <c r="L73" s="10"/>
      <c r="M73" s="29"/>
      <c r="N73" s="23"/>
      <c r="O73" s="10"/>
      <c r="P73" s="10"/>
    </row>
    <row r="74" spans="1:16" x14ac:dyDescent="0.3">
      <c r="A74" s="23"/>
      <c r="B74" s="10"/>
      <c r="C74" s="10"/>
      <c r="D74" s="29"/>
      <c r="E74" s="29"/>
      <c r="F74" s="29"/>
      <c r="G74" s="29"/>
      <c r="H74" s="29"/>
      <c r="I74" s="29"/>
      <c r="J74" s="29"/>
      <c r="K74" s="24"/>
      <c r="L74" s="10"/>
      <c r="M74" s="29"/>
      <c r="N74" s="23"/>
      <c r="O74" s="10"/>
      <c r="P74" s="10"/>
    </row>
    <row r="75" spans="1:16" x14ac:dyDescent="0.3">
      <c r="A75" s="23"/>
      <c r="B75" s="10"/>
      <c r="C75" s="10"/>
      <c r="D75" s="29"/>
      <c r="E75" s="29"/>
      <c r="F75" s="29"/>
      <c r="G75" s="29"/>
      <c r="H75" s="29"/>
      <c r="I75" s="29"/>
      <c r="J75" s="29"/>
      <c r="K75" s="24"/>
      <c r="L75" s="10"/>
      <c r="M75" s="29"/>
      <c r="N75" s="23"/>
      <c r="O75" s="10"/>
      <c r="P75" s="10"/>
    </row>
    <row r="76" spans="1:16" x14ac:dyDescent="0.3">
      <c r="A76" s="23"/>
      <c r="B76" s="10"/>
      <c r="C76" s="10"/>
      <c r="D76" s="29"/>
      <c r="E76" s="29"/>
      <c r="F76" s="29"/>
      <c r="G76" s="29"/>
      <c r="H76" s="29"/>
      <c r="I76" s="29"/>
      <c r="J76" s="29"/>
      <c r="K76" s="24"/>
      <c r="L76" s="10"/>
      <c r="M76" s="29"/>
      <c r="N76" s="23"/>
      <c r="O76" s="10"/>
      <c r="P76" s="10"/>
    </row>
    <row r="77" spans="1:16" x14ac:dyDescent="0.3">
      <c r="A77" s="23"/>
      <c r="B77" s="10"/>
      <c r="C77" s="10"/>
      <c r="D77" s="29"/>
      <c r="E77" s="29"/>
      <c r="F77" s="29"/>
      <c r="G77" s="29"/>
      <c r="H77" s="29"/>
      <c r="I77" s="29"/>
      <c r="J77" s="29"/>
      <c r="K77" s="24"/>
      <c r="L77" s="10"/>
      <c r="M77" s="29"/>
      <c r="N77" s="23"/>
      <c r="O77" s="10"/>
      <c r="P77" s="10"/>
    </row>
    <row r="78" spans="1:16" x14ac:dyDescent="0.3">
      <c r="A78" s="23"/>
      <c r="B78" s="10"/>
      <c r="C78" s="10"/>
      <c r="D78" s="29"/>
      <c r="E78" s="29"/>
      <c r="F78" s="29"/>
      <c r="G78" s="29"/>
      <c r="H78" s="29"/>
      <c r="I78" s="29"/>
      <c r="J78" s="29"/>
      <c r="K78" s="24"/>
      <c r="L78" s="10"/>
      <c r="M78" s="29"/>
      <c r="N78" s="23"/>
      <c r="O78" s="10"/>
      <c r="P78" s="10"/>
    </row>
    <row r="79" spans="1:16" x14ac:dyDescent="0.3">
      <c r="A79" s="23"/>
      <c r="B79" s="10"/>
      <c r="C79" s="10"/>
      <c r="D79" s="29"/>
      <c r="E79" s="29"/>
      <c r="F79" s="29"/>
      <c r="G79" s="29"/>
      <c r="H79" s="29"/>
      <c r="I79" s="29"/>
      <c r="J79" s="29"/>
      <c r="K79" s="24"/>
      <c r="L79" s="10"/>
      <c r="M79" s="29"/>
      <c r="N79" s="23"/>
      <c r="O79" s="10"/>
      <c r="P79" s="10"/>
    </row>
    <row r="80" spans="1:16" x14ac:dyDescent="0.3">
      <c r="A80" s="23"/>
      <c r="B80" s="10"/>
      <c r="C80" s="10"/>
      <c r="D80" s="29"/>
      <c r="E80" s="29"/>
      <c r="F80" s="29"/>
      <c r="G80" s="29"/>
      <c r="H80" s="29"/>
      <c r="I80" s="29"/>
      <c r="J80" s="29"/>
      <c r="K80" s="24"/>
      <c r="L80" s="10"/>
      <c r="M80" s="29"/>
      <c r="N80" s="23"/>
      <c r="O80" s="10"/>
      <c r="P80" s="10"/>
    </row>
    <row r="81" spans="1:16" x14ac:dyDescent="0.3">
      <c r="A81" s="23"/>
      <c r="B81" s="10"/>
      <c r="C81" s="10"/>
      <c r="D81" s="29"/>
      <c r="E81" s="29"/>
      <c r="F81" s="29"/>
      <c r="G81" s="29"/>
      <c r="H81" s="29"/>
      <c r="I81" s="29"/>
      <c r="J81" s="29"/>
      <c r="K81" s="24"/>
      <c r="L81" s="10"/>
      <c r="M81" s="29"/>
      <c r="N81" s="23"/>
      <c r="O81" s="10"/>
      <c r="P81" s="10"/>
    </row>
    <row r="82" spans="1:16" x14ac:dyDescent="0.3">
      <c r="A82" s="23"/>
      <c r="B82" s="10"/>
      <c r="C82" s="10"/>
      <c r="D82" s="29"/>
      <c r="E82" s="29"/>
      <c r="F82" s="29"/>
      <c r="G82" s="29"/>
      <c r="H82" s="29"/>
      <c r="I82" s="29"/>
      <c r="J82" s="29"/>
      <c r="K82" s="24"/>
      <c r="L82" s="10"/>
      <c r="M82" s="29"/>
      <c r="N82" s="23"/>
      <c r="O82" s="10"/>
      <c r="P82" s="10"/>
    </row>
    <row r="83" spans="1:16" x14ac:dyDescent="0.3">
      <c r="A83" s="23"/>
      <c r="B83" s="10"/>
      <c r="C83" s="10"/>
      <c r="D83" s="29"/>
      <c r="E83" s="29"/>
      <c r="F83" s="29"/>
      <c r="G83" s="29"/>
      <c r="H83" s="29"/>
      <c r="I83" s="29"/>
      <c r="J83" s="29"/>
      <c r="K83" s="24"/>
      <c r="L83" s="10"/>
      <c r="M83" s="29"/>
      <c r="N83" s="23"/>
      <c r="O83" s="10"/>
      <c r="P83" s="10"/>
    </row>
    <row r="84" spans="1:16" x14ac:dyDescent="0.3">
      <c r="A84" s="23"/>
      <c r="B84" s="10"/>
      <c r="C84" s="10"/>
      <c r="D84" s="29"/>
      <c r="E84" s="29"/>
      <c r="F84" s="29"/>
      <c r="G84" s="29"/>
      <c r="H84" s="29"/>
      <c r="I84" s="29"/>
      <c r="J84" s="29"/>
      <c r="K84" s="24"/>
      <c r="L84" s="10"/>
      <c r="M84" s="29"/>
      <c r="N84" s="23"/>
      <c r="O84" s="10"/>
      <c r="P84" s="10"/>
    </row>
    <row r="85" spans="1:16" x14ac:dyDescent="0.3">
      <c r="A85" s="23"/>
      <c r="B85" s="10"/>
      <c r="C85" s="10"/>
      <c r="D85" s="29"/>
      <c r="E85" s="29"/>
      <c r="F85" s="29"/>
      <c r="G85" s="29"/>
      <c r="H85" s="29"/>
      <c r="I85" s="29"/>
      <c r="J85" s="29"/>
      <c r="K85" s="24"/>
      <c r="L85" s="10"/>
      <c r="M85" s="29"/>
      <c r="N85" s="23"/>
      <c r="O85" s="10"/>
      <c r="P85" s="10"/>
    </row>
    <row r="86" spans="1:16" x14ac:dyDescent="0.3">
      <c r="A86" s="23"/>
      <c r="B86" s="10"/>
      <c r="C86" s="10"/>
      <c r="D86" s="29"/>
      <c r="E86" s="29"/>
      <c r="F86" s="29"/>
      <c r="G86" s="29"/>
      <c r="H86" s="29"/>
      <c r="I86" s="29"/>
      <c r="J86" s="29"/>
      <c r="K86" s="24"/>
      <c r="L86" s="10"/>
      <c r="M86" s="29"/>
      <c r="N86" s="23"/>
      <c r="O86" s="10"/>
      <c r="P86" s="10"/>
    </row>
    <row r="87" spans="1:16" x14ac:dyDescent="0.3">
      <c r="A87" s="23"/>
      <c r="B87" s="10"/>
      <c r="C87" s="10"/>
      <c r="D87" s="29"/>
      <c r="E87" s="29"/>
      <c r="F87" s="29"/>
      <c r="G87" s="29"/>
      <c r="H87" s="29"/>
      <c r="I87" s="29"/>
      <c r="J87" s="29"/>
      <c r="K87" s="24"/>
      <c r="L87" s="10"/>
      <c r="M87" s="29"/>
      <c r="N87" s="23"/>
      <c r="O87" s="10"/>
      <c r="P87" s="10"/>
    </row>
    <row r="88" spans="1:16" x14ac:dyDescent="0.3">
      <c r="A88" s="23"/>
      <c r="B88" s="10"/>
      <c r="C88" s="10"/>
      <c r="D88" s="29"/>
      <c r="E88" s="29"/>
      <c r="F88" s="29"/>
      <c r="G88" s="29"/>
      <c r="H88" s="29"/>
      <c r="I88" s="29"/>
      <c r="J88" s="29"/>
      <c r="K88" s="24"/>
      <c r="L88" s="10"/>
      <c r="M88" s="29"/>
      <c r="N88" s="23"/>
      <c r="O88" s="10"/>
      <c r="P88" s="10"/>
    </row>
    <row r="89" spans="1:16" x14ac:dyDescent="0.3">
      <c r="A89" s="23"/>
      <c r="B89" s="10"/>
      <c r="C89" s="10"/>
      <c r="D89" s="29"/>
      <c r="E89" s="29"/>
      <c r="F89" s="29"/>
      <c r="G89" s="29"/>
      <c r="H89" s="29"/>
      <c r="I89" s="29"/>
      <c r="J89" s="29"/>
      <c r="K89" s="24"/>
      <c r="L89" s="10"/>
      <c r="M89" s="29"/>
      <c r="N89" s="23"/>
      <c r="O89" s="10"/>
      <c r="P89" s="10"/>
    </row>
    <row r="90" spans="1:16" x14ac:dyDescent="0.3">
      <c r="A90" s="23"/>
      <c r="B90" s="10"/>
      <c r="C90" s="10"/>
      <c r="D90" s="29"/>
      <c r="E90" s="29"/>
      <c r="F90" s="29"/>
      <c r="G90" s="29"/>
      <c r="H90" s="29"/>
      <c r="I90" s="29"/>
      <c r="J90" s="29"/>
      <c r="K90" s="24"/>
      <c r="L90" s="10"/>
      <c r="M90" s="29"/>
      <c r="N90" s="23"/>
      <c r="O90" s="10"/>
      <c r="P90" s="10"/>
    </row>
    <row r="91" spans="1:16" x14ac:dyDescent="0.3">
      <c r="A91" s="23"/>
      <c r="B91" s="10"/>
      <c r="C91" s="10"/>
      <c r="D91" s="29"/>
      <c r="E91" s="29"/>
      <c r="F91" s="29"/>
      <c r="G91" s="29"/>
      <c r="H91" s="29"/>
      <c r="I91" s="29"/>
      <c r="J91" s="29"/>
      <c r="K91" s="24"/>
      <c r="L91" s="10"/>
      <c r="M91" s="29"/>
      <c r="N91" s="23"/>
      <c r="O91" s="10"/>
      <c r="P91" s="10"/>
    </row>
    <row r="92" spans="1:16" x14ac:dyDescent="0.3">
      <c r="A92" s="23"/>
      <c r="B92" s="10"/>
      <c r="C92" s="10"/>
      <c r="D92" s="29"/>
      <c r="E92" s="29"/>
      <c r="F92" s="29"/>
      <c r="G92" s="29"/>
      <c r="H92" s="29"/>
      <c r="I92" s="29"/>
      <c r="J92" s="29"/>
      <c r="K92" s="24"/>
      <c r="L92" s="10"/>
      <c r="M92" s="29"/>
      <c r="N92" s="23"/>
      <c r="O92" s="10"/>
      <c r="P92" s="10"/>
    </row>
    <row r="93" spans="1:16" x14ac:dyDescent="0.3">
      <c r="A93" s="23"/>
      <c r="B93" s="10"/>
      <c r="C93" s="10"/>
      <c r="D93" s="29"/>
      <c r="E93" s="29"/>
      <c r="F93" s="29"/>
      <c r="G93" s="29"/>
      <c r="H93" s="29"/>
      <c r="I93" s="29"/>
      <c r="J93" s="29"/>
      <c r="K93" s="24"/>
      <c r="L93" s="10"/>
      <c r="M93" s="29"/>
      <c r="N93" s="23"/>
      <c r="O93" s="10"/>
      <c r="P93" s="10"/>
    </row>
    <row r="94" spans="1:16" x14ac:dyDescent="0.3">
      <c r="A94" s="23"/>
      <c r="B94" s="10"/>
      <c r="C94" s="10"/>
      <c r="D94" s="29"/>
      <c r="E94" s="29"/>
      <c r="F94" s="29"/>
      <c r="G94" s="29"/>
      <c r="H94" s="29"/>
      <c r="I94" s="29"/>
      <c r="J94" s="29"/>
      <c r="K94" s="24"/>
      <c r="L94" s="10"/>
      <c r="M94" s="29"/>
      <c r="N94" s="23"/>
      <c r="O94" s="10"/>
      <c r="P94" s="10"/>
    </row>
    <row r="95" spans="1:16" x14ac:dyDescent="0.3">
      <c r="A95" s="23"/>
      <c r="B95" s="10"/>
      <c r="C95" s="10"/>
      <c r="D95" s="29"/>
      <c r="E95" s="29"/>
      <c r="F95" s="29"/>
      <c r="G95" s="29"/>
      <c r="H95" s="29"/>
      <c r="I95" s="29"/>
      <c r="J95" s="29"/>
      <c r="K95" s="24"/>
      <c r="L95" s="10"/>
      <c r="M95" s="29"/>
      <c r="N95" s="23"/>
      <c r="O95" s="10"/>
      <c r="P95" s="10"/>
    </row>
    <row r="96" spans="1:16" x14ac:dyDescent="0.3">
      <c r="A96" s="23"/>
      <c r="B96" s="10"/>
      <c r="C96" s="10"/>
      <c r="D96" s="29"/>
      <c r="E96" s="29"/>
      <c r="F96" s="29"/>
      <c r="G96" s="29"/>
      <c r="H96" s="29"/>
      <c r="I96" s="29"/>
      <c r="J96" s="29"/>
      <c r="K96" s="24"/>
      <c r="L96" s="10"/>
      <c r="M96" s="29"/>
      <c r="N96" s="23"/>
      <c r="O96" s="10"/>
      <c r="P96" s="10"/>
    </row>
    <row r="97" spans="1:16" x14ac:dyDescent="0.3">
      <c r="A97" s="23"/>
      <c r="B97" s="10"/>
      <c r="C97" s="10"/>
      <c r="D97" s="29"/>
      <c r="E97" s="29"/>
      <c r="F97" s="29"/>
      <c r="G97" s="29"/>
      <c r="H97" s="29"/>
      <c r="I97" s="29"/>
      <c r="J97" s="29"/>
      <c r="K97" s="24"/>
      <c r="L97" s="10"/>
      <c r="M97" s="29"/>
      <c r="N97" s="23"/>
      <c r="O97" s="10"/>
      <c r="P97" s="10"/>
    </row>
    <row r="98" spans="1:16" x14ac:dyDescent="0.3">
      <c r="A98" s="23"/>
      <c r="B98" s="10"/>
      <c r="C98" s="10"/>
      <c r="D98" s="29"/>
      <c r="E98" s="29"/>
      <c r="F98" s="29"/>
      <c r="G98" s="29"/>
      <c r="H98" s="29"/>
      <c r="I98" s="29"/>
      <c r="J98" s="29"/>
      <c r="K98" s="24"/>
      <c r="L98" s="10"/>
      <c r="M98" s="29"/>
      <c r="N98" s="23"/>
      <c r="O98" s="10"/>
      <c r="P98" s="10"/>
    </row>
    <row r="99" spans="1:16" x14ac:dyDescent="0.3">
      <c r="A99" s="23"/>
      <c r="B99" s="10"/>
      <c r="C99" s="10"/>
      <c r="D99" s="29"/>
      <c r="E99" s="29"/>
      <c r="F99" s="29"/>
      <c r="G99" s="29"/>
      <c r="H99" s="29"/>
      <c r="I99" s="29"/>
      <c r="J99" s="29"/>
      <c r="K99" s="24"/>
      <c r="L99" s="10"/>
      <c r="M99" s="29"/>
      <c r="N99" s="23"/>
      <c r="O99" s="10"/>
      <c r="P99" s="10"/>
    </row>
    <row r="100" spans="1:16" x14ac:dyDescent="0.3">
      <c r="A100" s="23"/>
      <c r="B100" s="10"/>
      <c r="C100" s="10"/>
      <c r="D100" s="29"/>
      <c r="E100" s="29"/>
      <c r="F100" s="29"/>
      <c r="G100" s="29"/>
      <c r="H100" s="29"/>
      <c r="I100" s="29"/>
      <c r="J100" s="29"/>
      <c r="K100" s="24"/>
      <c r="L100" s="10"/>
      <c r="M100" s="29"/>
      <c r="N100" s="23"/>
      <c r="O100" s="10"/>
      <c r="P100" s="10"/>
    </row>
    <row r="101" spans="1:16" x14ac:dyDescent="0.3">
      <c r="A101" s="23"/>
      <c r="B101" s="10"/>
      <c r="C101" s="10"/>
      <c r="D101" s="29"/>
      <c r="E101" s="29"/>
      <c r="F101" s="29"/>
      <c r="G101" s="29"/>
      <c r="H101" s="29"/>
      <c r="I101" s="29"/>
      <c r="J101" s="29"/>
      <c r="K101" s="24"/>
      <c r="L101" s="10"/>
      <c r="M101" s="29"/>
      <c r="N101" s="23"/>
      <c r="O101" s="10"/>
      <c r="P101" s="10"/>
    </row>
    <row r="102" spans="1:16" x14ac:dyDescent="0.3">
      <c r="A102" s="23"/>
      <c r="B102" s="10"/>
      <c r="C102" s="10"/>
      <c r="D102" s="29"/>
      <c r="E102" s="29"/>
      <c r="F102" s="29"/>
      <c r="G102" s="29"/>
      <c r="H102" s="29"/>
      <c r="I102" s="29"/>
      <c r="J102" s="29"/>
      <c r="K102" s="24"/>
      <c r="L102" s="10"/>
      <c r="M102" s="29"/>
      <c r="N102" s="23"/>
      <c r="O102" s="10"/>
      <c r="P102" s="10"/>
    </row>
    <row r="103" spans="1:16" x14ac:dyDescent="0.3">
      <c r="A103" s="23"/>
      <c r="B103" s="10"/>
      <c r="C103" s="10"/>
      <c r="D103" s="29"/>
      <c r="E103" s="29"/>
      <c r="F103" s="29"/>
      <c r="G103" s="29"/>
      <c r="H103" s="29"/>
      <c r="I103" s="29"/>
      <c r="J103" s="29"/>
      <c r="K103" s="24"/>
      <c r="L103" s="10"/>
      <c r="M103" s="29"/>
      <c r="N103" s="23"/>
      <c r="O103" s="10"/>
      <c r="P103" s="10"/>
    </row>
    <row r="104" spans="1:16" x14ac:dyDescent="0.3">
      <c r="A104" s="23"/>
      <c r="B104" s="10"/>
      <c r="C104" s="10"/>
      <c r="D104" s="29"/>
      <c r="E104" s="29"/>
      <c r="F104" s="29"/>
      <c r="G104" s="29"/>
      <c r="H104" s="29"/>
      <c r="I104" s="29"/>
      <c r="J104" s="29"/>
      <c r="K104" s="24"/>
      <c r="L104" s="10"/>
      <c r="M104" s="29"/>
      <c r="N104" s="23"/>
      <c r="O104" s="10"/>
      <c r="P104" s="10"/>
    </row>
    <row r="105" spans="1:16" x14ac:dyDescent="0.3">
      <c r="A105" s="23"/>
      <c r="B105" s="10"/>
      <c r="C105" s="10"/>
      <c r="D105" s="29"/>
      <c r="E105" s="29"/>
      <c r="F105" s="29"/>
      <c r="G105" s="29"/>
      <c r="H105" s="29"/>
      <c r="I105" s="29"/>
      <c r="J105" s="29"/>
      <c r="K105" s="24"/>
      <c r="L105" s="10"/>
      <c r="M105" s="29"/>
      <c r="N105" s="23"/>
      <c r="O105" s="10"/>
      <c r="P105" s="10"/>
    </row>
    <row r="106" spans="1:16" x14ac:dyDescent="0.3">
      <c r="A106" s="23"/>
      <c r="B106" s="10"/>
      <c r="C106" s="10"/>
      <c r="D106" s="29"/>
      <c r="E106" s="29"/>
      <c r="F106" s="29"/>
      <c r="G106" s="29"/>
      <c r="H106" s="29"/>
      <c r="I106" s="29"/>
      <c r="J106" s="29"/>
      <c r="K106" s="24"/>
      <c r="L106" s="10"/>
      <c r="M106" s="29"/>
      <c r="N106" s="23"/>
      <c r="O106" s="10"/>
      <c r="P106" s="10"/>
    </row>
    <row r="107" spans="1:16" x14ac:dyDescent="0.3">
      <c r="A107" s="23"/>
      <c r="B107" s="10"/>
      <c r="C107" s="10"/>
      <c r="D107" s="29"/>
      <c r="E107" s="29"/>
      <c r="F107" s="29"/>
      <c r="G107" s="29"/>
      <c r="H107" s="29"/>
      <c r="I107" s="29"/>
      <c r="J107" s="29"/>
      <c r="K107" s="24"/>
      <c r="L107" s="10"/>
      <c r="M107" s="29"/>
      <c r="N107" s="23"/>
      <c r="O107" s="10"/>
      <c r="P107" s="10"/>
    </row>
    <row r="108" spans="1:16" x14ac:dyDescent="0.3">
      <c r="A108" s="23"/>
      <c r="B108" s="10"/>
      <c r="C108" s="10"/>
      <c r="D108" s="29"/>
      <c r="E108" s="29"/>
      <c r="F108" s="29"/>
      <c r="G108" s="29"/>
      <c r="H108" s="29"/>
      <c r="I108" s="29"/>
      <c r="J108" s="29"/>
      <c r="K108" s="24"/>
      <c r="L108" s="10"/>
      <c r="M108" s="29"/>
      <c r="N108" s="23"/>
      <c r="O108" s="10"/>
      <c r="P108" s="10"/>
    </row>
    <row r="109" spans="1:16" x14ac:dyDescent="0.3">
      <c r="A109" s="23"/>
      <c r="B109" s="10"/>
      <c r="C109" s="10"/>
      <c r="D109" s="29"/>
      <c r="E109" s="29"/>
      <c r="F109" s="29"/>
      <c r="G109" s="29"/>
      <c r="H109" s="29"/>
      <c r="I109" s="29"/>
      <c r="J109" s="29"/>
      <c r="K109" s="24"/>
      <c r="L109" s="10"/>
      <c r="M109" s="29"/>
      <c r="N109" s="23"/>
      <c r="O109" s="10"/>
      <c r="P109" s="10"/>
    </row>
    <row r="110" spans="1:16" x14ac:dyDescent="0.3">
      <c r="A110" s="23"/>
      <c r="B110" s="10"/>
      <c r="C110" s="10"/>
      <c r="D110" s="29"/>
      <c r="E110" s="29"/>
      <c r="F110" s="29"/>
      <c r="G110" s="29"/>
      <c r="H110" s="29"/>
      <c r="I110" s="29"/>
      <c r="J110" s="29"/>
      <c r="K110" s="24"/>
      <c r="L110" s="10"/>
      <c r="M110" s="29"/>
      <c r="N110" s="23"/>
      <c r="O110" s="10"/>
      <c r="P110" s="10"/>
    </row>
    <row r="111" spans="1:16" x14ac:dyDescent="0.3">
      <c r="A111" s="23"/>
      <c r="B111" s="10"/>
      <c r="C111" s="10"/>
      <c r="D111" s="29"/>
      <c r="E111" s="29"/>
      <c r="F111" s="29"/>
      <c r="G111" s="29"/>
      <c r="H111" s="29"/>
      <c r="I111" s="29"/>
      <c r="J111" s="29"/>
      <c r="K111" s="24"/>
      <c r="L111" s="10"/>
      <c r="M111" s="29"/>
      <c r="N111" s="23"/>
      <c r="O111" s="10"/>
      <c r="P111" s="10"/>
    </row>
    <row r="112" spans="1:16" x14ac:dyDescent="0.3">
      <c r="A112" s="23"/>
      <c r="B112" s="10"/>
      <c r="C112" s="10"/>
      <c r="D112" s="29"/>
      <c r="E112" s="29"/>
      <c r="F112" s="29"/>
      <c r="G112" s="29"/>
      <c r="H112" s="29"/>
      <c r="I112" s="29"/>
      <c r="J112" s="29"/>
      <c r="K112" s="24"/>
      <c r="L112" s="10"/>
      <c r="M112" s="29"/>
      <c r="N112" s="23"/>
      <c r="O112" s="10"/>
      <c r="P112" s="10"/>
    </row>
    <row r="113" spans="1:16" x14ac:dyDescent="0.3">
      <c r="A113" s="23"/>
      <c r="B113" s="10"/>
      <c r="C113" s="10"/>
      <c r="D113" s="29"/>
      <c r="E113" s="29"/>
      <c r="F113" s="29"/>
      <c r="G113" s="29"/>
      <c r="H113" s="29"/>
      <c r="I113" s="29"/>
      <c r="J113" s="29"/>
      <c r="K113" s="24"/>
      <c r="L113" s="10"/>
      <c r="M113" s="29"/>
      <c r="N113" s="23"/>
      <c r="O113" s="10"/>
      <c r="P113" s="10"/>
    </row>
    <row r="114" spans="1:16" x14ac:dyDescent="0.3">
      <c r="A114" s="23"/>
      <c r="B114" s="10"/>
      <c r="C114" s="10"/>
      <c r="D114" s="29"/>
      <c r="E114" s="29"/>
      <c r="F114" s="29"/>
      <c r="G114" s="29"/>
      <c r="H114" s="29"/>
      <c r="I114" s="29"/>
      <c r="J114" s="29"/>
      <c r="K114" s="24"/>
      <c r="L114" s="10"/>
      <c r="M114" s="29"/>
      <c r="N114" s="23"/>
      <c r="O114" s="10"/>
      <c r="P114" s="10"/>
    </row>
    <row r="115" spans="1:16" x14ac:dyDescent="0.3">
      <c r="A115" s="23"/>
      <c r="B115" s="10"/>
      <c r="C115" s="10"/>
      <c r="D115" s="29"/>
      <c r="E115" s="29"/>
      <c r="F115" s="29"/>
      <c r="G115" s="29"/>
      <c r="H115" s="29"/>
      <c r="I115" s="29"/>
      <c r="J115" s="29"/>
      <c r="K115" s="24"/>
      <c r="L115" s="10"/>
      <c r="M115" s="29"/>
      <c r="N115" s="23"/>
      <c r="O115" s="10"/>
      <c r="P115" s="10"/>
    </row>
    <row r="116" spans="1:16" x14ac:dyDescent="0.3">
      <c r="A116" s="23"/>
      <c r="B116" s="10"/>
      <c r="C116" s="10"/>
      <c r="D116" s="29"/>
      <c r="E116" s="29"/>
      <c r="F116" s="29"/>
      <c r="G116" s="29"/>
      <c r="H116" s="29"/>
      <c r="I116" s="29"/>
      <c r="J116" s="29"/>
      <c r="K116" s="24"/>
      <c r="L116" s="10"/>
      <c r="M116" s="29"/>
      <c r="N116" s="23"/>
      <c r="O116" s="10"/>
      <c r="P116" s="10"/>
    </row>
    <row r="117" spans="1:16" x14ac:dyDescent="0.3">
      <c r="A117" s="23"/>
      <c r="B117" s="10"/>
      <c r="C117" s="10"/>
      <c r="D117" s="29"/>
      <c r="E117" s="29"/>
      <c r="F117" s="29"/>
      <c r="G117" s="29"/>
      <c r="H117" s="29"/>
      <c r="I117" s="29"/>
      <c r="J117" s="29"/>
      <c r="K117" s="24"/>
      <c r="L117" s="10"/>
      <c r="M117" s="29"/>
      <c r="N117" s="23"/>
      <c r="O117" s="10"/>
      <c r="P117" s="10"/>
    </row>
    <row r="118" spans="1:16" x14ac:dyDescent="0.3">
      <c r="A118" s="23"/>
      <c r="B118" s="10"/>
      <c r="C118" s="10"/>
      <c r="D118" s="29"/>
      <c r="E118" s="29"/>
      <c r="F118" s="29"/>
      <c r="G118" s="29"/>
      <c r="H118" s="29"/>
      <c r="I118" s="29"/>
      <c r="J118" s="29"/>
      <c r="K118" s="24"/>
      <c r="L118" s="10"/>
      <c r="M118" s="29"/>
      <c r="N118" s="23"/>
      <c r="O118" s="10"/>
      <c r="P118" s="10"/>
    </row>
    <row r="119" spans="1:16" x14ac:dyDescent="0.3">
      <c r="A119" s="23"/>
      <c r="B119" s="10"/>
      <c r="C119" s="10"/>
      <c r="D119" s="29"/>
      <c r="E119" s="29"/>
      <c r="F119" s="29"/>
      <c r="G119" s="29"/>
      <c r="H119" s="29"/>
      <c r="I119" s="29"/>
      <c r="J119" s="29"/>
      <c r="K119" s="24"/>
      <c r="L119" s="10"/>
      <c r="M119" s="29"/>
      <c r="N119" s="23"/>
      <c r="O119" s="10"/>
      <c r="P119" s="10"/>
    </row>
    <row r="120" spans="1:16" x14ac:dyDescent="0.3">
      <c r="A120" s="23"/>
      <c r="B120" s="10"/>
      <c r="C120" s="10"/>
      <c r="D120" s="29"/>
      <c r="E120" s="29"/>
      <c r="F120" s="29"/>
      <c r="G120" s="29"/>
      <c r="H120" s="29"/>
      <c r="I120" s="29"/>
      <c r="J120" s="29"/>
      <c r="K120" s="24"/>
      <c r="L120" s="10"/>
      <c r="M120" s="29"/>
      <c r="N120" s="23"/>
      <c r="O120" s="10"/>
      <c r="P120" s="10"/>
    </row>
    <row r="121" spans="1:16" x14ac:dyDescent="0.3">
      <c r="A121" s="23"/>
      <c r="B121" s="10"/>
      <c r="C121" s="10"/>
      <c r="D121" s="29"/>
      <c r="E121" s="29"/>
      <c r="F121" s="29"/>
      <c r="G121" s="29"/>
      <c r="H121" s="29"/>
      <c r="I121" s="29"/>
      <c r="J121" s="29"/>
      <c r="K121" s="24"/>
      <c r="L121" s="10"/>
      <c r="M121" s="29"/>
      <c r="N121" s="23"/>
      <c r="O121" s="10"/>
      <c r="P121" s="10"/>
    </row>
    <row r="122" spans="1:16" x14ac:dyDescent="0.3">
      <c r="A122" s="23"/>
      <c r="B122" s="10"/>
      <c r="C122" s="10"/>
      <c r="D122" s="29"/>
      <c r="E122" s="29"/>
      <c r="F122" s="29"/>
      <c r="G122" s="29"/>
      <c r="H122" s="29"/>
      <c r="I122" s="29"/>
      <c r="J122" s="29"/>
      <c r="K122" s="24"/>
      <c r="L122" s="10"/>
      <c r="M122" s="29"/>
      <c r="N122" s="23"/>
      <c r="O122" s="10"/>
      <c r="P122" s="10"/>
    </row>
    <row r="123" spans="1:16" x14ac:dyDescent="0.3">
      <c r="A123" s="23"/>
      <c r="B123" s="10"/>
      <c r="C123" s="10"/>
      <c r="D123" s="29"/>
      <c r="E123" s="29"/>
      <c r="F123" s="29"/>
      <c r="G123" s="29"/>
      <c r="H123" s="29"/>
      <c r="I123" s="29"/>
      <c r="J123" s="29"/>
      <c r="K123" s="24"/>
      <c r="L123" s="10"/>
      <c r="M123" s="29"/>
      <c r="N123" s="23"/>
      <c r="O123" s="10"/>
      <c r="P123" s="10"/>
    </row>
    <row r="124" spans="1:16" x14ac:dyDescent="0.3">
      <c r="A124" s="23"/>
      <c r="B124" s="10"/>
      <c r="C124" s="10"/>
      <c r="D124" s="29"/>
      <c r="E124" s="29"/>
      <c r="F124" s="29"/>
      <c r="G124" s="29"/>
      <c r="H124" s="29"/>
      <c r="I124" s="29"/>
      <c r="J124" s="29"/>
      <c r="K124" s="24"/>
      <c r="L124" s="10"/>
      <c r="M124" s="29"/>
      <c r="N124" s="23"/>
      <c r="O124" s="10"/>
      <c r="P124" s="10"/>
    </row>
    <row r="125" spans="1:16" x14ac:dyDescent="0.3">
      <c r="A125" s="23"/>
      <c r="B125" s="10"/>
      <c r="C125" s="10"/>
      <c r="D125" s="29"/>
      <c r="E125" s="29"/>
      <c r="F125" s="29"/>
      <c r="G125" s="29"/>
      <c r="H125" s="29"/>
      <c r="I125" s="29"/>
      <c r="J125" s="29"/>
      <c r="K125" s="24"/>
      <c r="L125" s="10"/>
      <c r="M125" s="29"/>
      <c r="N125" s="23"/>
      <c r="O125" s="10"/>
      <c r="P125" s="10"/>
    </row>
    <row r="126" spans="1:16" x14ac:dyDescent="0.3">
      <c r="A126" s="23"/>
      <c r="B126" s="10"/>
      <c r="C126" s="10"/>
      <c r="D126" s="29"/>
      <c r="E126" s="29"/>
      <c r="F126" s="29"/>
      <c r="G126" s="29"/>
      <c r="H126" s="29"/>
      <c r="I126" s="29"/>
      <c r="J126" s="29"/>
      <c r="K126" s="24"/>
      <c r="L126" s="10"/>
      <c r="M126" s="29"/>
      <c r="N126" s="23"/>
      <c r="O126" s="10"/>
      <c r="P126" s="10"/>
    </row>
    <row r="127" spans="1:16" x14ac:dyDescent="0.3">
      <c r="A127" s="23"/>
      <c r="B127" s="10"/>
      <c r="C127" s="10"/>
      <c r="D127" s="29"/>
      <c r="E127" s="29"/>
      <c r="F127" s="29"/>
      <c r="G127" s="29"/>
      <c r="H127" s="29"/>
      <c r="I127" s="29"/>
      <c r="J127" s="29"/>
      <c r="K127" s="24"/>
      <c r="L127" s="10"/>
      <c r="M127" s="29"/>
      <c r="N127" s="23"/>
      <c r="O127" s="10"/>
      <c r="P127" s="10"/>
    </row>
    <row r="128" spans="1:16" x14ac:dyDescent="0.3">
      <c r="A128" s="23"/>
      <c r="B128" s="10"/>
      <c r="C128" s="10"/>
      <c r="D128" s="29"/>
      <c r="E128" s="29"/>
      <c r="F128" s="29"/>
      <c r="G128" s="29"/>
      <c r="H128" s="29"/>
      <c r="I128" s="29"/>
      <c r="J128" s="29"/>
      <c r="K128" s="24"/>
      <c r="L128" s="10"/>
      <c r="M128" s="29"/>
      <c r="N128" s="23"/>
      <c r="O128" s="10"/>
      <c r="P128" s="10"/>
    </row>
    <row r="129" spans="1:16" x14ac:dyDescent="0.3">
      <c r="A129" s="23"/>
      <c r="B129" s="10"/>
      <c r="C129" s="10"/>
      <c r="D129" s="29"/>
      <c r="E129" s="29"/>
      <c r="F129" s="29"/>
      <c r="G129" s="29"/>
      <c r="H129" s="29"/>
      <c r="I129" s="29"/>
      <c r="J129" s="29"/>
      <c r="K129" s="24"/>
      <c r="L129" s="10"/>
      <c r="M129" s="29"/>
      <c r="N129" s="23"/>
      <c r="O129" s="10"/>
      <c r="P129" s="10"/>
    </row>
    <row r="130" spans="1:16" x14ac:dyDescent="0.3">
      <c r="A130" s="23"/>
      <c r="B130" s="10"/>
      <c r="C130" s="10"/>
      <c r="D130" s="29"/>
      <c r="E130" s="29"/>
      <c r="F130" s="29"/>
      <c r="G130" s="29"/>
      <c r="H130" s="29"/>
      <c r="I130" s="29"/>
      <c r="J130" s="29"/>
      <c r="K130" s="24"/>
      <c r="L130" s="10"/>
      <c r="M130" s="29"/>
      <c r="N130" s="23"/>
      <c r="O130" s="10"/>
      <c r="P130" s="10"/>
    </row>
    <row r="131" spans="1:16" x14ac:dyDescent="0.3">
      <c r="A131" s="23"/>
      <c r="B131" s="10"/>
      <c r="C131" s="10"/>
      <c r="D131" s="29"/>
      <c r="E131" s="29"/>
      <c r="F131" s="29"/>
      <c r="G131" s="29"/>
      <c r="H131" s="29"/>
      <c r="I131" s="29"/>
      <c r="J131" s="29"/>
      <c r="K131" s="24"/>
      <c r="L131" s="10"/>
      <c r="M131" s="29"/>
      <c r="N131" s="23"/>
      <c r="O131" s="10"/>
      <c r="P131" s="10"/>
    </row>
    <row r="132" spans="1:16" x14ac:dyDescent="0.3">
      <c r="A132" s="23"/>
      <c r="B132" s="10"/>
      <c r="C132" s="10"/>
      <c r="D132" s="29"/>
      <c r="E132" s="29"/>
      <c r="F132" s="29"/>
      <c r="G132" s="29"/>
      <c r="H132" s="29"/>
      <c r="I132" s="29"/>
      <c r="J132" s="29"/>
      <c r="K132" s="24"/>
      <c r="L132" s="10"/>
      <c r="M132" s="29"/>
      <c r="N132" s="23"/>
      <c r="O132" s="10"/>
      <c r="P132" s="10"/>
    </row>
    <row r="133" spans="1:16" x14ac:dyDescent="0.3">
      <c r="A133" s="23"/>
      <c r="B133" s="10"/>
      <c r="C133" s="10"/>
      <c r="D133" s="29"/>
      <c r="E133" s="29"/>
      <c r="F133" s="29"/>
      <c r="G133" s="29"/>
      <c r="H133" s="29"/>
      <c r="I133" s="29"/>
      <c r="J133" s="29"/>
      <c r="K133" s="24"/>
      <c r="L133" s="10"/>
      <c r="M133" s="29"/>
      <c r="N133" s="23"/>
      <c r="O133" s="10"/>
      <c r="P133" s="10"/>
    </row>
    <row r="134" spans="1:16" x14ac:dyDescent="0.3">
      <c r="A134" s="23"/>
      <c r="B134" s="10"/>
      <c r="C134" s="10"/>
      <c r="D134" s="29"/>
      <c r="E134" s="29"/>
      <c r="F134" s="29"/>
      <c r="G134" s="29"/>
      <c r="H134" s="29"/>
      <c r="I134" s="29"/>
      <c r="J134" s="29"/>
      <c r="K134" s="24"/>
      <c r="L134" s="10"/>
      <c r="M134" s="29"/>
      <c r="N134" s="23"/>
      <c r="O134" s="10"/>
      <c r="P134" s="10"/>
    </row>
    <row r="135" spans="1:16" x14ac:dyDescent="0.3">
      <c r="A135" s="23"/>
      <c r="B135" s="10"/>
      <c r="C135" s="10"/>
      <c r="D135" s="29"/>
      <c r="E135" s="29"/>
      <c r="F135" s="29"/>
      <c r="G135" s="29"/>
      <c r="H135" s="29"/>
      <c r="I135" s="29"/>
      <c r="J135" s="29"/>
      <c r="K135" s="24"/>
      <c r="L135" s="10"/>
      <c r="M135" s="29"/>
      <c r="N135" s="23"/>
      <c r="O135" s="10"/>
      <c r="P135" s="10"/>
    </row>
    <row r="136" spans="1:16" x14ac:dyDescent="0.3">
      <c r="A136" s="23"/>
      <c r="B136" s="10"/>
      <c r="C136" s="10"/>
      <c r="D136" s="29"/>
      <c r="E136" s="29"/>
      <c r="F136" s="29"/>
      <c r="G136" s="29"/>
      <c r="H136" s="29"/>
      <c r="I136" s="29"/>
      <c r="J136" s="29"/>
      <c r="K136" s="24"/>
      <c r="L136" s="10"/>
      <c r="M136" s="29"/>
      <c r="N136" s="23"/>
      <c r="O136" s="10"/>
      <c r="P136" s="10"/>
    </row>
    <row r="137" spans="1:16" x14ac:dyDescent="0.3">
      <c r="A137" s="23"/>
      <c r="B137" s="10"/>
      <c r="C137" s="10"/>
      <c r="D137" s="29"/>
      <c r="E137" s="29"/>
      <c r="F137" s="29"/>
      <c r="G137" s="29"/>
      <c r="H137" s="29"/>
      <c r="I137" s="29"/>
      <c r="J137" s="29"/>
      <c r="K137" s="24"/>
      <c r="L137" s="10"/>
      <c r="M137" s="29"/>
      <c r="N137" s="23"/>
      <c r="O137" s="10"/>
      <c r="P137" s="10"/>
    </row>
    <row r="138" spans="1:16" x14ac:dyDescent="0.3">
      <c r="A138" s="23"/>
      <c r="B138" s="10"/>
      <c r="C138" s="10"/>
      <c r="D138" s="29"/>
      <c r="E138" s="29"/>
      <c r="F138" s="29"/>
      <c r="G138" s="29"/>
      <c r="H138" s="29"/>
      <c r="I138" s="29"/>
      <c r="J138" s="29"/>
      <c r="K138" s="24"/>
      <c r="L138" s="10"/>
      <c r="M138" s="29"/>
      <c r="N138" s="23"/>
      <c r="O138" s="10"/>
      <c r="P138" s="10"/>
    </row>
    <row r="139" spans="1:16" x14ac:dyDescent="0.3">
      <c r="A139" s="23"/>
      <c r="B139" s="10"/>
      <c r="C139" s="10"/>
      <c r="D139" s="29"/>
      <c r="E139" s="29"/>
      <c r="F139" s="29"/>
      <c r="G139" s="29"/>
      <c r="H139" s="29"/>
      <c r="I139" s="29"/>
      <c r="J139" s="29"/>
      <c r="K139" s="24"/>
      <c r="L139" s="10"/>
      <c r="M139" s="29"/>
      <c r="N139" s="23"/>
      <c r="O139" s="10"/>
      <c r="P139" s="10"/>
    </row>
    <row r="140" spans="1:16" x14ac:dyDescent="0.3">
      <c r="A140" s="23"/>
      <c r="B140" s="10"/>
      <c r="C140" s="10"/>
      <c r="D140" s="29"/>
      <c r="E140" s="29"/>
      <c r="F140" s="29"/>
      <c r="G140" s="29"/>
      <c r="H140" s="29"/>
      <c r="I140" s="29"/>
      <c r="J140" s="29"/>
      <c r="K140" s="24"/>
      <c r="L140" s="10"/>
      <c r="M140" s="29"/>
      <c r="N140" s="23"/>
      <c r="O140" s="10"/>
      <c r="P140" s="10"/>
    </row>
    <row r="141" spans="1:16" x14ac:dyDescent="0.3">
      <c r="A141" s="23"/>
      <c r="B141" s="10"/>
      <c r="C141" s="10"/>
      <c r="D141" s="29"/>
      <c r="E141" s="29"/>
      <c r="F141" s="29"/>
      <c r="G141" s="29"/>
      <c r="H141" s="29"/>
      <c r="I141" s="29"/>
      <c r="J141" s="29"/>
      <c r="K141" s="24"/>
      <c r="L141" s="10"/>
      <c r="M141" s="29"/>
      <c r="N141" s="23"/>
      <c r="O141" s="10"/>
      <c r="P141" s="10"/>
    </row>
    <row r="142" spans="1:16" x14ac:dyDescent="0.3">
      <c r="A142" s="23"/>
      <c r="B142" s="10"/>
      <c r="C142" s="10"/>
      <c r="D142" s="29"/>
      <c r="E142" s="29"/>
      <c r="F142" s="29"/>
      <c r="G142" s="29"/>
      <c r="H142" s="29"/>
      <c r="I142" s="29"/>
      <c r="J142" s="29"/>
      <c r="K142" s="24"/>
      <c r="L142" s="10"/>
      <c r="M142" s="29"/>
      <c r="N142" s="23"/>
      <c r="O142" s="10"/>
      <c r="P142" s="10"/>
    </row>
    <row r="143" spans="1:16" x14ac:dyDescent="0.3">
      <c r="A143" s="23"/>
      <c r="B143" s="10"/>
      <c r="C143" s="10"/>
      <c r="D143" s="29"/>
      <c r="E143" s="29"/>
      <c r="F143" s="29"/>
      <c r="G143" s="29"/>
      <c r="H143" s="29"/>
      <c r="I143" s="29"/>
      <c r="J143" s="29"/>
      <c r="K143" s="24"/>
      <c r="L143" s="10"/>
      <c r="M143" s="29"/>
      <c r="N143" s="23"/>
      <c r="O143" s="10"/>
      <c r="P143" s="10"/>
    </row>
    <row r="144" spans="1:16" x14ac:dyDescent="0.3">
      <c r="A144" s="23"/>
      <c r="B144" s="10"/>
      <c r="C144" s="10"/>
      <c r="D144" s="29"/>
      <c r="E144" s="29"/>
      <c r="F144" s="29"/>
      <c r="G144" s="29"/>
      <c r="H144" s="29"/>
      <c r="I144" s="29"/>
      <c r="J144" s="29"/>
      <c r="K144" s="24"/>
      <c r="L144" s="10"/>
      <c r="M144" s="29"/>
      <c r="N144" s="23"/>
      <c r="O144" s="10"/>
      <c r="P144" s="10"/>
    </row>
    <row r="145" spans="1:16" x14ac:dyDescent="0.3">
      <c r="A145" s="23"/>
      <c r="B145" s="10"/>
      <c r="C145" s="10"/>
      <c r="D145" s="29"/>
      <c r="E145" s="29"/>
      <c r="F145" s="29"/>
      <c r="G145" s="29"/>
      <c r="H145" s="29"/>
      <c r="I145" s="29"/>
      <c r="J145" s="29"/>
      <c r="K145" s="24"/>
      <c r="L145" s="10"/>
      <c r="M145" s="29"/>
      <c r="N145" s="23"/>
      <c r="O145" s="10"/>
      <c r="P145" s="10"/>
    </row>
    <row r="146" spans="1:16" x14ac:dyDescent="0.3">
      <c r="A146" s="23"/>
      <c r="B146" s="10"/>
      <c r="C146" s="10"/>
      <c r="D146" s="29"/>
      <c r="E146" s="29"/>
      <c r="F146" s="29"/>
      <c r="G146" s="29"/>
      <c r="H146" s="29"/>
      <c r="I146" s="29"/>
      <c r="J146" s="29"/>
      <c r="K146" s="24"/>
      <c r="L146" s="10"/>
      <c r="M146" s="29"/>
      <c r="N146" s="23"/>
      <c r="O146" s="10"/>
      <c r="P146" s="10"/>
    </row>
    <row r="147" spans="1:16" x14ac:dyDescent="0.3">
      <c r="A147" s="23"/>
      <c r="B147" s="10"/>
      <c r="C147" s="10"/>
      <c r="D147" s="29"/>
      <c r="E147" s="29"/>
      <c r="F147" s="29"/>
      <c r="G147" s="29"/>
      <c r="H147" s="29"/>
      <c r="I147" s="29"/>
      <c r="J147" s="29"/>
      <c r="K147" s="24"/>
      <c r="L147" s="10"/>
      <c r="M147" s="29"/>
      <c r="N147" s="23"/>
      <c r="O147" s="10"/>
      <c r="P147" s="10"/>
    </row>
    <row r="148" spans="1:16" x14ac:dyDescent="0.3">
      <c r="A148" s="23"/>
      <c r="B148" s="10"/>
      <c r="C148" s="10"/>
      <c r="D148" s="29"/>
      <c r="E148" s="29"/>
      <c r="F148" s="29"/>
      <c r="G148" s="29"/>
      <c r="H148" s="29"/>
      <c r="I148" s="29"/>
      <c r="J148" s="29"/>
      <c r="K148" s="24"/>
      <c r="L148" s="10"/>
      <c r="M148" s="29"/>
      <c r="N148" s="23"/>
      <c r="O148" s="10"/>
      <c r="P148" s="10"/>
    </row>
    <row r="149" spans="1:16" x14ac:dyDescent="0.3">
      <c r="A149" s="23"/>
      <c r="B149" s="10"/>
      <c r="C149" s="10"/>
      <c r="D149" s="29"/>
      <c r="E149" s="29"/>
      <c r="F149" s="29"/>
      <c r="G149" s="29"/>
      <c r="H149" s="29"/>
      <c r="I149" s="29"/>
      <c r="J149" s="29"/>
      <c r="K149" s="24"/>
      <c r="L149" s="10"/>
      <c r="M149" s="29"/>
      <c r="N149" s="23"/>
      <c r="O149" s="10"/>
      <c r="P149" s="10"/>
    </row>
    <row r="150" spans="1:16" x14ac:dyDescent="0.3">
      <c r="A150" s="23"/>
      <c r="B150" s="10"/>
      <c r="C150" s="10"/>
      <c r="D150" s="29"/>
      <c r="E150" s="29"/>
      <c r="F150" s="29"/>
      <c r="G150" s="29"/>
      <c r="H150" s="29"/>
      <c r="I150" s="29"/>
      <c r="J150" s="29"/>
      <c r="K150" s="24"/>
      <c r="L150" s="10"/>
      <c r="M150" s="29"/>
      <c r="N150" s="23"/>
      <c r="O150" s="10"/>
      <c r="P150" s="10"/>
    </row>
    <row r="151" spans="1:16" x14ac:dyDescent="0.3">
      <c r="A151" s="23"/>
      <c r="B151" s="10"/>
      <c r="C151" s="10"/>
      <c r="D151" s="29"/>
      <c r="E151" s="29"/>
      <c r="F151" s="29"/>
      <c r="G151" s="29"/>
      <c r="H151" s="29"/>
      <c r="I151" s="29"/>
      <c r="J151" s="29"/>
      <c r="K151" s="24"/>
      <c r="L151" s="10"/>
      <c r="M151" s="29"/>
      <c r="N151" s="23"/>
      <c r="O151" s="10"/>
      <c r="P151" s="10"/>
    </row>
    <row r="152" spans="1:16" x14ac:dyDescent="0.3">
      <c r="A152" s="23"/>
      <c r="B152" s="10"/>
      <c r="C152" s="10"/>
      <c r="D152" s="29"/>
      <c r="E152" s="29"/>
      <c r="F152" s="29"/>
      <c r="G152" s="29"/>
      <c r="H152" s="29"/>
      <c r="I152" s="29"/>
      <c r="J152" s="29"/>
      <c r="K152" s="24"/>
      <c r="L152" s="10"/>
      <c r="M152" s="29"/>
      <c r="N152" s="23"/>
      <c r="O152" s="10"/>
      <c r="P152" s="10"/>
    </row>
    <row r="153" spans="1:16" x14ac:dyDescent="0.3">
      <c r="A153" s="23"/>
      <c r="B153" s="10"/>
      <c r="C153" s="10"/>
      <c r="D153" s="29"/>
      <c r="E153" s="29"/>
      <c r="F153" s="29"/>
      <c r="G153" s="29"/>
      <c r="H153" s="29"/>
      <c r="I153" s="29"/>
      <c r="J153" s="29"/>
      <c r="K153" s="24"/>
      <c r="L153" s="10"/>
      <c r="M153" s="29"/>
      <c r="N153" s="23"/>
      <c r="O153" s="10"/>
      <c r="P153" s="10"/>
    </row>
    <row r="154" spans="1:16" x14ac:dyDescent="0.3">
      <c r="A154" s="23"/>
      <c r="B154" s="10"/>
      <c r="C154" s="10"/>
      <c r="D154" s="29"/>
      <c r="E154" s="29"/>
      <c r="F154" s="29"/>
      <c r="G154" s="29"/>
      <c r="H154" s="29"/>
      <c r="I154" s="29"/>
      <c r="J154" s="29"/>
      <c r="K154" s="24"/>
      <c r="L154" s="10"/>
      <c r="M154" s="29"/>
      <c r="N154" s="23"/>
      <c r="O154" s="10"/>
      <c r="P154" s="10"/>
    </row>
    <row r="155" spans="1:16" x14ac:dyDescent="0.3">
      <c r="A155" s="23"/>
      <c r="B155" s="10"/>
      <c r="C155" s="10"/>
      <c r="D155" s="29"/>
      <c r="E155" s="29"/>
      <c r="F155" s="29"/>
      <c r="G155" s="29"/>
      <c r="H155" s="29"/>
      <c r="I155" s="29"/>
      <c r="J155" s="29"/>
      <c r="K155" s="24"/>
      <c r="L155" s="10"/>
      <c r="M155" s="29"/>
      <c r="N155" s="23"/>
      <c r="O155" s="10"/>
      <c r="P155" s="10"/>
    </row>
    <row r="156" spans="1:16" x14ac:dyDescent="0.3">
      <c r="A156" s="23"/>
      <c r="B156" s="10"/>
      <c r="C156" s="10"/>
      <c r="D156" s="29"/>
      <c r="E156" s="29"/>
      <c r="F156" s="29"/>
      <c r="G156" s="29"/>
      <c r="H156" s="29"/>
      <c r="I156" s="29"/>
      <c r="J156" s="29"/>
      <c r="K156" s="24"/>
      <c r="L156" s="10"/>
      <c r="M156" s="29"/>
      <c r="N156" s="23"/>
      <c r="O156" s="10"/>
      <c r="P156" s="10"/>
    </row>
    <row r="157" spans="1:16" x14ac:dyDescent="0.3">
      <c r="A157" s="23"/>
      <c r="B157" s="10"/>
      <c r="C157" s="10"/>
      <c r="D157" s="29"/>
      <c r="E157" s="29"/>
      <c r="F157" s="29"/>
      <c r="G157" s="29"/>
      <c r="H157" s="29"/>
      <c r="I157" s="29"/>
      <c r="J157" s="29"/>
      <c r="K157" s="24"/>
      <c r="L157" s="10"/>
      <c r="M157" s="29"/>
      <c r="N157" s="23"/>
      <c r="O157" s="10"/>
      <c r="P157" s="10"/>
    </row>
    <row r="158" spans="1:16" x14ac:dyDescent="0.3">
      <c r="A158" s="23"/>
      <c r="B158" s="10"/>
      <c r="C158" s="10"/>
      <c r="D158" s="29"/>
      <c r="E158" s="29"/>
      <c r="F158" s="29"/>
      <c r="G158" s="29"/>
      <c r="H158" s="29"/>
      <c r="I158" s="29"/>
      <c r="J158" s="29"/>
      <c r="K158" s="24"/>
      <c r="L158" s="10"/>
      <c r="M158" s="29"/>
      <c r="N158" s="23"/>
      <c r="O158" s="10"/>
      <c r="P158" s="10"/>
    </row>
    <row r="159" spans="1:16" x14ac:dyDescent="0.3">
      <c r="A159" s="23"/>
      <c r="B159" s="10"/>
      <c r="C159" s="10"/>
      <c r="D159" s="29"/>
      <c r="E159" s="29"/>
      <c r="F159" s="29"/>
      <c r="G159" s="29"/>
      <c r="H159" s="29"/>
      <c r="I159" s="29"/>
      <c r="J159" s="29"/>
      <c r="K159" s="24"/>
      <c r="L159" s="10"/>
      <c r="M159" s="29"/>
      <c r="N159" s="23"/>
      <c r="O159" s="10"/>
      <c r="P159" s="10"/>
    </row>
    <row r="160" spans="1:16" x14ac:dyDescent="0.3">
      <c r="A160" s="23"/>
      <c r="B160" s="10"/>
      <c r="C160" s="10"/>
      <c r="D160" s="29"/>
      <c r="E160" s="29"/>
      <c r="F160" s="29"/>
      <c r="G160" s="29"/>
      <c r="H160" s="29"/>
      <c r="I160" s="29"/>
      <c r="J160" s="29"/>
      <c r="K160" s="24"/>
      <c r="L160" s="10"/>
      <c r="M160" s="29"/>
      <c r="N160" s="23"/>
      <c r="O160" s="10"/>
      <c r="P160" s="10"/>
    </row>
    <row r="161" spans="1:16" x14ac:dyDescent="0.3">
      <c r="A161" s="23"/>
      <c r="B161" s="10"/>
      <c r="C161" s="10"/>
      <c r="D161" s="29"/>
      <c r="E161" s="29"/>
      <c r="F161" s="29"/>
      <c r="G161" s="29"/>
      <c r="H161" s="29"/>
      <c r="I161" s="29"/>
      <c r="J161" s="29"/>
      <c r="K161" s="24"/>
      <c r="L161" s="10"/>
      <c r="M161" s="29"/>
      <c r="N161" s="23"/>
      <c r="O161" s="10"/>
      <c r="P161" s="10"/>
    </row>
    <row r="162" spans="1:16" x14ac:dyDescent="0.3">
      <c r="A162" s="23"/>
      <c r="B162" s="10"/>
      <c r="C162" s="10"/>
      <c r="D162" s="29"/>
      <c r="E162" s="29"/>
      <c r="F162" s="29"/>
      <c r="G162" s="29"/>
      <c r="H162" s="29"/>
      <c r="I162" s="29"/>
      <c r="J162" s="29"/>
      <c r="K162" s="24"/>
      <c r="L162" s="10"/>
      <c r="M162" s="29"/>
      <c r="N162" s="23"/>
      <c r="O162" s="10"/>
      <c r="P162" s="10"/>
    </row>
    <row r="163" spans="1:16" x14ac:dyDescent="0.3">
      <c r="A163" s="23"/>
      <c r="B163" s="10"/>
      <c r="C163" s="10"/>
      <c r="D163" s="29"/>
      <c r="E163" s="29"/>
      <c r="F163" s="29"/>
      <c r="G163" s="29"/>
      <c r="H163" s="29"/>
      <c r="I163" s="29"/>
      <c r="J163" s="29"/>
      <c r="K163" s="24"/>
      <c r="L163" s="10"/>
      <c r="M163" s="29"/>
      <c r="N163" s="23"/>
      <c r="O163" s="10"/>
      <c r="P163" s="10"/>
    </row>
    <row r="164" spans="1:16" x14ac:dyDescent="0.3">
      <c r="A164" s="23"/>
      <c r="B164" s="10"/>
      <c r="C164" s="10"/>
      <c r="D164" s="29"/>
      <c r="E164" s="29"/>
      <c r="F164" s="29"/>
      <c r="G164" s="29"/>
      <c r="H164" s="29"/>
      <c r="I164" s="29"/>
      <c r="J164" s="29"/>
      <c r="K164" s="24"/>
      <c r="L164" s="10"/>
      <c r="M164" s="29"/>
      <c r="N164" s="23"/>
      <c r="O164" s="10"/>
      <c r="P164" s="10"/>
    </row>
    <row r="165" spans="1:16" x14ac:dyDescent="0.3">
      <c r="A165" s="23"/>
      <c r="B165" s="10"/>
      <c r="C165" s="10"/>
      <c r="D165" s="29"/>
      <c r="E165" s="29"/>
      <c r="F165" s="29"/>
      <c r="G165" s="29"/>
      <c r="H165" s="29"/>
      <c r="I165" s="29"/>
      <c r="J165" s="29"/>
      <c r="K165" s="24"/>
      <c r="L165" s="10"/>
      <c r="M165" s="29"/>
      <c r="N165" s="23"/>
      <c r="O165" s="10"/>
      <c r="P165" s="10"/>
    </row>
    <row r="166" spans="1:16" x14ac:dyDescent="0.3">
      <c r="A166" s="23"/>
      <c r="B166" s="10"/>
      <c r="C166" s="10"/>
      <c r="D166" s="29"/>
      <c r="E166" s="29"/>
      <c r="F166" s="29"/>
      <c r="G166" s="29"/>
      <c r="H166" s="29"/>
      <c r="I166" s="29"/>
      <c r="J166" s="29"/>
      <c r="K166" s="24"/>
      <c r="L166" s="10"/>
      <c r="M166" s="29"/>
      <c r="N166" s="23"/>
      <c r="O166" s="10"/>
      <c r="P166" s="10"/>
    </row>
    <row r="167" spans="1:16" x14ac:dyDescent="0.3">
      <c r="A167" s="23"/>
      <c r="B167" s="10"/>
      <c r="C167" s="10"/>
      <c r="D167" s="29"/>
      <c r="E167" s="29"/>
      <c r="F167" s="29"/>
      <c r="G167" s="29"/>
      <c r="H167" s="29"/>
      <c r="I167" s="29"/>
      <c r="J167" s="29"/>
      <c r="K167" s="24"/>
      <c r="L167" s="10"/>
      <c r="M167" s="29"/>
      <c r="N167" s="23"/>
      <c r="O167" s="10"/>
      <c r="P167" s="10"/>
    </row>
    <row r="168" spans="1:16" x14ac:dyDescent="0.3">
      <c r="A168" s="23"/>
      <c r="B168" s="10"/>
      <c r="C168" s="10"/>
      <c r="D168" s="29"/>
      <c r="E168" s="29"/>
      <c r="F168" s="29"/>
      <c r="G168" s="29"/>
      <c r="H168" s="29"/>
      <c r="I168" s="29"/>
      <c r="J168" s="29"/>
      <c r="K168" s="24"/>
      <c r="L168" s="10"/>
      <c r="M168" s="29"/>
      <c r="N168" s="23"/>
      <c r="O168" s="10"/>
      <c r="P168" s="10"/>
    </row>
    <row r="169" spans="1:16" x14ac:dyDescent="0.3">
      <c r="A169" s="23"/>
      <c r="B169" s="10"/>
      <c r="C169" s="10"/>
      <c r="D169" s="29"/>
      <c r="E169" s="29"/>
      <c r="F169" s="29"/>
      <c r="G169" s="29"/>
      <c r="H169" s="29"/>
      <c r="I169" s="29"/>
      <c r="J169" s="29"/>
      <c r="K169" s="24"/>
      <c r="L169" s="10"/>
      <c r="M169" s="29"/>
      <c r="N169" s="23"/>
      <c r="O169" s="10"/>
      <c r="P169" s="10"/>
    </row>
    <row r="170" spans="1:16" x14ac:dyDescent="0.3">
      <c r="A170" s="23"/>
      <c r="B170" s="10"/>
      <c r="C170" s="10"/>
      <c r="D170" s="29"/>
      <c r="E170" s="29"/>
      <c r="F170" s="29"/>
      <c r="G170" s="29"/>
      <c r="H170" s="29"/>
      <c r="I170" s="29"/>
      <c r="J170" s="29"/>
      <c r="K170" s="24"/>
      <c r="L170" s="10"/>
      <c r="M170" s="29"/>
      <c r="N170" s="23"/>
      <c r="O170" s="10"/>
      <c r="P170" s="10"/>
    </row>
    <row r="171" spans="1:16" x14ac:dyDescent="0.3">
      <c r="A171" s="23"/>
      <c r="B171" s="10"/>
      <c r="C171" s="10"/>
      <c r="D171" s="29"/>
      <c r="E171" s="29"/>
      <c r="F171" s="29"/>
      <c r="G171" s="29"/>
      <c r="H171" s="29"/>
      <c r="I171" s="29"/>
      <c r="J171" s="29"/>
      <c r="K171" s="24"/>
      <c r="L171" s="10"/>
      <c r="M171" s="29"/>
      <c r="N171" s="23"/>
      <c r="O171" s="10"/>
      <c r="P171" s="10"/>
    </row>
    <row r="172" spans="1:16" x14ac:dyDescent="0.3">
      <c r="A172" s="23"/>
      <c r="B172" s="10"/>
      <c r="C172" s="10"/>
      <c r="D172" s="29"/>
      <c r="E172" s="29"/>
      <c r="F172" s="29"/>
      <c r="G172" s="29"/>
      <c r="H172" s="29"/>
      <c r="I172" s="29"/>
      <c r="J172" s="29"/>
      <c r="K172" s="24"/>
      <c r="L172" s="10"/>
      <c r="M172" s="29"/>
      <c r="N172" s="23"/>
      <c r="O172" s="10"/>
      <c r="P172" s="10"/>
    </row>
    <row r="173" spans="1:16" x14ac:dyDescent="0.3">
      <c r="A173" s="23"/>
      <c r="B173" s="10"/>
      <c r="C173" s="10"/>
      <c r="D173" s="29"/>
      <c r="E173" s="29"/>
      <c r="F173" s="29"/>
      <c r="G173" s="29"/>
      <c r="H173" s="29"/>
      <c r="I173" s="29"/>
      <c r="J173" s="29"/>
      <c r="K173" s="24"/>
      <c r="L173" s="10"/>
      <c r="M173" s="29"/>
      <c r="N173" s="23"/>
      <c r="O173" s="10"/>
      <c r="P173" s="10"/>
    </row>
    <row r="174" spans="1:16" x14ac:dyDescent="0.3">
      <c r="A174" s="23"/>
      <c r="B174" s="10"/>
      <c r="C174" s="10"/>
      <c r="D174" s="29"/>
      <c r="E174" s="29"/>
      <c r="F174" s="29"/>
      <c r="G174" s="29"/>
      <c r="H174" s="29"/>
      <c r="I174" s="29"/>
      <c r="J174" s="29"/>
      <c r="K174" s="24"/>
      <c r="L174" s="10"/>
      <c r="M174" s="29"/>
      <c r="N174" s="23"/>
      <c r="O174" s="10"/>
      <c r="P174" s="10"/>
    </row>
    <row r="175" spans="1:16" x14ac:dyDescent="0.3">
      <c r="A175" s="23"/>
      <c r="B175" s="10"/>
      <c r="C175" s="10"/>
      <c r="D175" s="29"/>
      <c r="E175" s="29"/>
      <c r="F175" s="29"/>
      <c r="G175" s="29"/>
      <c r="H175" s="29"/>
      <c r="I175" s="29"/>
      <c r="J175" s="29"/>
      <c r="K175" s="24"/>
      <c r="L175" s="10"/>
      <c r="M175" s="29"/>
      <c r="N175" s="23"/>
      <c r="O175" s="10"/>
      <c r="P175" s="10"/>
    </row>
    <row r="176" spans="1:16" x14ac:dyDescent="0.3">
      <c r="A176" s="23"/>
      <c r="B176" s="10"/>
      <c r="C176" s="10"/>
      <c r="D176" s="29"/>
      <c r="E176" s="29"/>
      <c r="F176" s="29"/>
      <c r="G176" s="29"/>
      <c r="H176" s="29"/>
      <c r="I176" s="29"/>
      <c r="J176" s="29"/>
      <c r="K176" s="24"/>
      <c r="L176" s="10"/>
      <c r="M176" s="29"/>
      <c r="N176" s="23"/>
      <c r="O176" s="10"/>
      <c r="P176" s="10"/>
    </row>
    <row r="177" spans="1:16" x14ac:dyDescent="0.3">
      <c r="A177" s="23"/>
      <c r="B177" s="10"/>
      <c r="C177" s="10"/>
      <c r="D177" s="29"/>
      <c r="E177" s="29"/>
      <c r="F177" s="29"/>
      <c r="G177" s="29"/>
      <c r="H177" s="29"/>
      <c r="I177" s="29"/>
      <c r="J177" s="29"/>
      <c r="K177" s="24"/>
      <c r="L177" s="10"/>
      <c r="M177" s="29"/>
      <c r="N177" s="23"/>
      <c r="O177" s="10"/>
      <c r="P177" s="10"/>
    </row>
    <row r="178" spans="1:16" x14ac:dyDescent="0.3">
      <c r="A178" s="23"/>
      <c r="B178" s="10"/>
      <c r="C178" s="10"/>
      <c r="D178" s="29"/>
      <c r="E178" s="29"/>
      <c r="F178" s="29"/>
      <c r="G178" s="29"/>
      <c r="H178" s="29"/>
      <c r="I178" s="29"/>
      <c r="J178" s="29"/>
      <c r="K178" s="24"/>
      <c r="L178" s="10"/>
      <c r="M178" s="29"/>
      <c r="N178" s="23"/>
      <c r="O178" s="10"/>
      <c r="P178" s="10"/>
    </row>
    <row r="179" spans="1:16" x14ac:dyDescent="0.3">
      <c r="A179" s="23"/>
      <c r="B179" s="10"/>
      <c r="C179" s="10"/>
      <c r="D179" s="29"/>
      <c r="E179" s="29"/>
      <c r="F179" s="29"/>
      <c r="G179" s="29"/>
      <c r="H179" s="29"/>
      <c r="I179" s="29"/>
      <c r="J179" s="29"/>
      <c r="K179" s="24"/>
      <c r="L179" s="10"/>
      <c r="M179" s="29"/>
      <c r="N179" s="23"/>
      <c r="O179" s="10"/>
      <c r="P179" s="10"/>
    </row>
    <row r="180" spans="1:16" x14ac:dyDescent="0.3">
      <c r="A180" s="23"/>
      <c r="B180" s="10"/>
      <c r="C180" s="10"/>
      <c r="D180" s="29"/>
      <c r="E180" s="29"/>
      <c r="F180" s="29"/>
      <c r="G180" s="29"/>
      <c r="H180" s="29"/>
      <c r="I180" s="29"/>
      <c r="J180" s="29"/>
      <c r="K180" s="24"/>
      <c r="L180" s="10"/>
      <c r="M180" s="29"/>
      <c r="N180" s="23"/>
      <c r="O180" s="10"/>
      <c r="P180" s="10"/>
    </row>
    <row r="181" spans="1:16" x14ac:dyDescent="0.3">
      <c r="A181" s="23"/>
      <c r="B181" s="10"/>
      <c r="C181" s="10"/>
      <c r="D181" s="29"/>
      <c r="E181" s="29"/>
      <c r="F181" s="29"/>
      <c r="G181" s="29"/>
      <c r="H181" s="29"/>
      <c r="I181" s="29"/>
      <c r="J181" s="29"/>
      <c r="K181" s="24"/>
      <c r="L181" s="10"/>
      <c r="M181" s="29"/>
      <c r="N181" s="23"/>
      <c r="O181" s="10"/>
      <c r="P181" s="10"/>
    </row>
    <row r="182" spans="1:16" x14ac:dyDescent="0.3">
      <c r="A182" s="23"/>
      <c r="B182" s="10"/>
      <c r="C182" s="10"/>
      <c r="D182" s="29"/>
      <c r="E182" s="29"/>
      <c r="F182" s="29"/>
      <c r="G182" s="29"/>
      <c r="H182" s="29"/>
      <c r="I182" s="29"/>
      <c r="J182" s="29"/>
      <c r="K182" s="24"/>
      <c r="L182" s="10"/>
      <c r="M182" s="29"/>
      <c r="N182" s="23"/>
      <c r="O182" s="10"/>
      <c r="P182" s="10"/>
    </row>
    <row r="183" spans="1:16" x14ac:dyDescent="0.3">
      <c r="A183" s="23"/>
      <c r="B183" s="10"/>
      <c r="C183" s="10"/>
      <c r="D183" s="29"/>
      <c r="E183" s="29"/>
      <c r="F183" s="29"/>
      <c r="G183" s="29"/>
      <c r="H183" s="29"/>
      <c r="I183" s="29"/>
      <c r="J183" s="29"/>
      <c r="K183" s="24"/>
      <c r="L183" s="10"/>
      <c r="M183" s="29"/>
      <c r="N183" s="23"/>
      <c r="O183" s="10"/>
      <c r="P183" s="10"/>
    </row>
    <row r="184" spans="1:16" x14ac:dyDescent="0.3">
      <c r="A184" s="23"/>
      <c r="B184" s="10"/>
      <c r="C184" s="10"/>
      <c r="D184" s="29"/>
      <c r="E184" s="29"/>
      <c r="F184" s="29"/>
      <c r="G184" s="29"/>
      <c r="H184" s="29"/>
      <c r="I184" s="29"/>
      <c r="J184" s="29"/>
      <c r="K184" s="24"/>
      <c r="L184" s="10"/>
      <c r="M184" s="29"/>
      <c r="N184" s="23"/>
      <c r="O184" s="10"/>
      <c r="P184" s="10"/>
    </row>
    <row r="185" spans="1:16" x14ac:dyDescent="0.3">
      <c r="A185" s="23"/>
      <c r="B185" s="10"/>
      <c r="C185" s="10"/>
      <c r="D185" s="29"/>
      <c r="E185" s="29"/>
      <c r="F185" s="29"/>
      <c r="G185" s="29"/>
      <c r="H185" s="29"/>
      <c r="I185" s="29"/>
      <c r="J185" s="29"/>
      <c r="K185" s="24"/>
      <c r="L185" s="10"/>
      <c r="M185" s="29"/>
      <c r="N185" s="23"/>
      <c r="O185" s="10"/>
      <c r="P185" s="10"/>
    </row>
    <row r="186" spans="1:16" x14ac:dyDescent="0.3">
      <c r="A186" s="23"/>
      <c r="B186" s="10"/>
      <c r="C186" s="10"/>
      <c r="D186" s="29"/>
      <c r="E186" s="29"/>
      <c r="F186" s="29"/>
      <c r="G186" s="29"/>
      <c r="H186" s="29"/>
      <c r="I186" s="29"/>
      <c r="J186" s="29"/>
      <c r="K186" s="24"/>
      <c r="L186" s="10"/>
      <c r="M186" s="29"/>
      <c r="N186" s="23"/>
      <c r="O186" s="10"/>
      <c r="P186" s="10"/>
    </row>
    <row r="187" spans="1:16" x14ac:dyDescent="0.3">
      <c r="A187" s="23"/>
      <c r="B187" s="10"/>
      <c r="C187" s="10"/>
      <c r="D187" s="29"/>
      <c r="E187" s="29"/>
      <c r="F187" s="29"/>
      <c r="G187" s="29"/>
      <c r="H187" s="29"/>
      <c r="I187" s="29"/>
      <c r="J187" s="29"/>
      <c r="K187" s="24"/>
      <c r="L187" s="10"/>
      <c r="M187" s="29"/>
      <c r="N187" s="23"/>
      <c r="O187" s="10"/>
      <c r="P187" s="10"/>
    </row>
    <row r="188" spans="1:16" x14ac:dyDescent="0.3">
      <c r="A188" s="23"/>
      <c r="B188" s="10"/>
      <c r="C188" s="10"/>
      <c r="D188" s="29"/>
      <c r="E188" s="29"/>
      <c r="F188" s="29"/>
      <c r="G188" s="29"/>
      <c r="H188" s="29"/>
      <c r="I188" s="29"/>
      <c r="J188" s="29"/>
      <c r="K188" s="24"/>
      <c r="L188" s="10"/>
      <c r="M188" s="29"/>
      <c r="N188" s="23"/>
      <c r="O188" s="10"/>
      <c r="P188" s="10"/>
    </row>
    <row r="189" spans="1:16" x14ac:dyDescent="0.3">
      <c r="A189" s="23"/>
      <c r="B189" s="10"/>
      <c r="C189" s="10"/>
      <c r="D189" s="29"/>
      <c r="E189" s="29"/>
      <c r="F189" s="29"/>
      <c r="G189" s="29"/>
      <c r="H189" s="29"/>
      <c r="I189" s="29"/>
      <c r="J189" s="29"/>
      <c r="K189" s="24"/>
      <c r="L189" s="10"/>
      <c r="M189" s="29"/>
      <c r="N189" s="23"/>
      <c r="O189" s="10"/>
      <c r="P189" s="10"/>
    </row>
    <row r="190" spans="1:16" x14ac:dyDescent="0.3">
      <c r="A190" s="23"/>
      <c r="B190" s="10"/>
      <c r="C190" s="10"/>
      <c r="D190" s="29"/>
      <c r="E190" s="29"/>
      <c r="F190" s="29"/>
      <c r="G190" s="29"/>
      <c r="H190" s="29"/>
      <c r="I190" s="29"/>
      <c r="J190" s="29"/>
      <c r="K190" s="24"/>
      <c r="L190" s="10"/>
      <c r="M190" s="29"/>
      <c r="N190" s="23"/>
      <c r="O190" s="10"/>
      <c r="P190" s="10"/>
    </row>
    <row r="191" spans="1:16" x14ac:dyDescent="0.3">
      <c r="A191" s="23"/>
      <c r="B191" s="10"/>
      <c r="C191" s="10"/>
      <c r="D191" s="29"/>
      <c r="E191" s="29"/>
      <c r="F191" s="29"/>
      <c r="G191" s="29"/>
      <c r="H191" s="29"/>
      <c r="I191" s="29"/>
      <c r="J191" s="29"/>
      <c r="K191" s="24"/>
      <c r="L191" s="10"/>
      <c r="M191" s="29"/>
      <c r="N191" s="23"/>
      <c r="O191" s="10"/>
      <c r="P191" s="10"/>
    </row>
    <row r="192" spans="1:16" x14ac:dyDescent="0.3">
      <c r="A192" s="23"/>
      <c r="B192" s="10"/>
      <c r="C192" s="10"/>
      <c r="D192" s="29"/>
      <c r="E192" s="29"/>
      <c r="F192" s="29"/>
      <c r="G192" s="29"/>
      <c r="H192" s="29"/>
      <c r="I192" s="29"/>
      <c r="J192" s="29"/>
      <c r="K192" s="24"/>
      <c r="L192" s="10"/>
      <c r="M192" s="29"/>
      <c r="N192" s="23"/>
      <c r="O192" s="10"/>
      <c r="P192" s="10"/>
    </row>
    <row r="193" spans="1:16" x14ac:dyDescent="0.3">
      <c r="A193" s="23"/>
      <c r="B193" s="10"/>
      <c r="C193" s="10"/>
      <c r="D193" s="29"/>
      <c r="E193" s="29"/>
      <c r="F193" s="29"/>
      <c r="G193" s="29"/>
      <c r="H193" s="29"/>
      <c r="I193" s="29"/>
      <c r="J193" s="29"/>
      <c r="K193" s="24"/>
      <c r="L193" s="10"/>
      <c r="M193" s="29"/>
      <c r="N193" s="23"/>
      <c r="O193" s="10"/>
      <c r="P193" s="10"/>
    </row>
    <row r="194" spans="1:16" x14ac:dyDescent="0.3">
      <c r="A194" s="23"/>
      <c r="B194" s="10"/>
      <c r="C194" s="10"/>
      <c r="D194" s="29"/>
      <c r="E194" s="29"/>
      <c r="F194" s="29"/>
      <c r="G194" s="29"/>
      <c r="H194" s="29"/>
      <c r="I194" s="29"/>
      <c r="J194" s="29"/>
      <c r="K194" s="24"/>
      <c r="L194" s="10"/>
      <c r="M194" s="29"/>
      <c r="N194" s="23"/>
      <c r="O194" s="10"/>
      <c r="P194" s="10"/>
    </row>
    <row r="195" spans="1:16" x14ac:dyDescent="0.3">
      <c r="A195" s="23"/>
      <c r="B195" s="10"/>
      <c r="C195" s="10"/>
      <c r="D195" s="29"/>
      <c r="E195" s="29"/>
      <c r="F195" s="29"/>
      <c r="G195" s="29"/>
      <c r="H195" s="29"/>
      <c r="I195" s="29"/>
      <c r="J195" s="29"/>
      <c r="K195" s="24"/>
      <c r="L195" s="10"/>
      <c r="M195" s="29"/>
      <c r="N195" s="23"/>
      <c r="O195" s="10"/>
      <c r="P195" s="10"/>
    </row>
    <row r="196" spans="1:16" x14ac:dyDescent="0.3">
      <c r="A196" s="23"/>
      <c r="B196" s="10"/>
      <c r="C196" s="10"/>
      <c r="D196" s="29"/>
      <c r="E196" s="29"/>
      <c r="F196" s="29"/>
      <c r="G196" s="29"/>
      <c r="H196" s="29"/>
      <c r="I196" s="29"/>
      <c r="J196" s="29"/>
      <c r="K196" s="24"/>
      <c r="L196" s="10"/>
      <c r="M196" s="29"/>
      <c r="N196" s="23"/>
      <c r="O196" s="10"/>
      <c r="P196" s="10"/>
    </row>
    <row r="197" spans="1:16" x14ac:dyDescent="0.3">
      <c r="A197" s="23"/>
      <c r="B197" s="10"/>
      <c r="C197" s="10"/>
      <c r="D197" s="29"/>
      <c r="E197" s="29"/>
      <c r="F197" s="29"/>
      <c r="G197" s="29"/>
      <c r="H197" s="29"/>
      <c r="I197" s="29"/>
      <c r="J197" s="29"/>
      <c r="K197" s="24"/>
      <c r="L197" s="10"/>
      <c r="M197" s="29"/>
      <c r="N197" s="23"/>
      <c r="O197" s="10"/>
      <c r="P197" s="10"/>
    </row>
    <row r="198" spans="1:16" x14ac:dyDescent="0.3">
      <c r="A198" s="23"/>
      <c r="B198" s="10"/>
      <c r="C198" s="10"/>
      <c r="D198" s="29"/>
      <c r="E198" s="29"/>
      <c r="F198" s="29"/>
      <c r="G198" s="29"/>
      <c r="H198" s="29"/>
      <c r="I198" s="29"/>
      <c r="J198" s="29"/>
      <c r="K198" s="24"/>
      <c r="L198" s="10"/>
      <c r="M198" s="29"/>
      <c r="N198" s="23"/>
      <c r="O198" s="10"/>
      <c r="P198" s="10"/>
    </row>
    <row r="199" spans="1:16" x14ac:dyDescent="0.3">
      <c r="A199" s="23"/>
      <c r="B199" s="10"/>
      <c r="C199" s="10"/>
      <c r="D199" s="29"/>
      <c r="E199" s="29"/>
      <c r="F199" s="29"/>
      <c r="G199" s="29"/>
      <c r="H199" s="29"/>
      <c r="I199" s="29"/>
      <c r="J199" s="29"/>
      <c r="K199" s="24"/>
      <c r="L199" s="10"/>
      <c r="M199" s="29"/>
      <c r="N199" s="23"/>
      <c r="O199" s="10"/>
      <c r="P199" s="10"/>
    </row>
    <row r="200" spans="1:16" x14ac:dyDescent="0.3">
      <c r="A200" s="23"/>
      <c r="B200" s="10"/>
      <c r="C200" s="10"/>
      <c r="D200" s="29"/>
      <c r="E200" s="29"/>
      <c r="F200" s="29"/>
      <c r="G200" s="29"/>
      <c r="H200" s="29"/>
      <c r="I200" s="29"/>
      <c r="J200" s="29"/>
      <c r="K200" s="24"/>
      <c r="L200" s="10"/>
      <c r="M200" s="29"/>
      <c r="N200" s="23"/>
      <c r="O200" s="10"/>
      <c r="P200" s="10"/>
    </row>
    <row r="201" spans="1:16" x14ac:dyDescent="0.3">
      <c r="A201" s="23"/>
      <c r="B201" s="10"/>
      <c r="C201" s="10"/>
      <c r="D201" s="29"/>
      <c r="E201" s="29"/>
      <c r="F201" s="29"/>
      <c r="G201" s="29"/>
      <c r="H201" s="29"/>
      <c r="I201" s="29"/>
      <c r="J201" s="29"/>
      <c r="K201" s="24"/>
      <c r="L201" s="10"/>
      <c r="M201" s="29"/>
      <c r="N201" s="23"/>
      <c r="O201" s="10"/>
      <c r="P201" s="10"/>
    </row>
    <row r="202" spans="1:16" x14ac:dyDescent="0.3">
      <c r="A202" s="23"/>
      <c r="B202" s="10"/>
      <c r="C202" s="10"/>
      <c r="D202" s="29"/>
      <c r="E202" s="29"/>
      <c r="F202" s="29"/>
      <c r="G202" s="29"/>
      <c r="H202" s="29"/>
      <c r="I202" s="29"/>
      <c r="J202" s="29"/>
      <c r="K202" s="24"/>
      <c r="L202" s="10"/>
      <c r="M202" s="29"/>
      <c r="N202" s="23"/>
      <c r="O202" s="10"/>
      <c r="P202" s="10"/>
    </row>
    <row r="203" spans="1:16" x14ac:dyDescent="0.3">
      <c r="A203" s="23"/>
      <c r="B203" s="10"/>
      <c r="C203" s="10"/>
      <c r="D203" s="29"/>
      <c r="E203" s="29"/>
      <c r="F203" s="29"/>
      <c r="G203" s="29"/>
      <c r="H203" s="29"/>
      <c r="I203" s="29"/>
      <c r="J203" s="29"/>
      <c r="K203" s="24"/>
      <c r="L203" s="10"/>
      <c r="M203" s="29"/>
      <c r="N203" s="23"/>
      <c r="O203" s="10"/>
      <c r="P203" s="10"/>
    </row>
    <row r="204" spans="1:16" x14ac:dyDescent="0.3">
      <c r="A204" s="23"/>
      <c r="B204" s="10"/>
      <c r="C204" s="10"/>
      <c r="D204" s="29"/>
      <c r="E204" s="29"/>
      <c r="F204" s="29"/>
      <c r="G204" s="29"/>
      <c r="H204" s="29"/>
      <c r="I204" s="29"/>
      <c r="J204" s="29"/>
      <c r="K204" s="24"/>
      <c r="L204" s="10"/>
      <c r="M204" s="29"/>
      <c r="N204" s="23"/>
      <c r="O204" s="10"/>
      <c r="P204" s="10"/>
    </row>
    <row r="205" spans="1:16" x14ac:dyDescent="0.3">
      <c r="A205" s="23"/>
      <c r="B205" s="10"/>
      <c r="C205" s="10"/>
      <c r="D205" s="29"/>
      <c r="E205" s="29"/>
      <c r="F205" s="29"/>
      <c r="G205" s="29"/>
      <c r="H205" s="29"/>
      <c r="I205" s="29"/>
      <c r="J205" s="29"/>
      <c r="K205" s="24"/>
      <c r="L205" s="10"/>
      <c r="M205" s="29"/>
      <c r="N205" s="23"/>
      <c r="O205" s="10"/>
      <c r="P205" s="10"/>
    </row>
    <row r="206" spans="1:16" x14ac:dyDescent="0.3">
      <c r="A206" s="23"/>
      <c r="B206" s="10"/>
      <c r="C206" s="10"/>
      <c r="D206" s="29"/>
      <c r="E206" s="29"/>
      <c r="F206" s="29"/>
      <c r="G206" s="29"/>
      <c r="H206" s="29"/>
      <c r="I206" s="29"/>
      <c r="J206" s="29"/>
      <c r="K206" s="24"/>
      <c r="L206" s="10"/>
      <c r="M206" s="29"/>
      <c r="N206" s="23"/>
      <c r="O206" s="10"/>
      <c r="P206" s="10"/>
    </row>
    <row r="207" spans="1:16" x14ac:dyDescent="0.3">
      <c r="A207" s="23"/>
      <c r="B207" s="10"/>
      <c r="C207" s="10"/>
      <c r="D207" s="29"/>
      <c r="E207" s="29"/>
      <c r="F207" s="29"/>
      <c r="G207" s="29"/>
      <c r="H207" s="29"/>
      <c r="I207" s="29"/>
      <c r="J207" s="29"/>
      <c r="K207" s="24"/>
      <c r="L207" s="10"/>
      <c r="M207" s="29"/>
      <c r="N207" s="23"/>
      <c r="O207" s="10"/>
      <c r="P207" s="10"/>
    </row>
    <row r="208" spans="1:16" x14ac:dyDescent="0.3">
      <c r="A208" s="23"/>
      <c r="B208" s="10"/>
      <c r="C208" s="10"/>
      <c r="D208" s="29"/>
      <c r="E208" s="29"/>
      <c r="F208" s="29"/>
      <c r="G208" s="29"/>
      <c r="H208" s="29"/>
      <c r="I208" s="29"/>
      <c r="J208" s="29"/>
      <c r="K208" s="24"/>
      <c r="L208" s="10"/>
      <c r="M208" s="29"/>
      <c r="N208" s="23"/>
      <c r="O208" s="10"/>
      <c r="P208" s="10"/>
    </row>
    <row r="209" spans="1:16" x14ac:dyDescent="0.3">
      <c r="A209" s="23"/>
      <c r="B209" s="10"/>
      <c r="C209" s="10"/>
      <c r="D209" s="29"/>
      <c r="E209" s="29"/>
      <c r="F209" s="29"/>
      <c r="G209" s="29"/>
      <c r="H209" s="29"/>
      <c r="I209" s="29"/>
      <c r="J209" s="29"/>
      <c r="K209" s="24"/>
      <c r="L209" s="10"/>
      <c r="M209" s="29"/>
      <c r="N209" s="23"/>
      <c r="O209" s="10"/>
      <c r="P209" s="10"/>
    </row>
    <row r="210" spans="1:16" x14ac:dyDescent="0.3">
      <c r="A210" s="23"/>
      <c r="B210" s="10"/>
      <c r="C210" s="10"/>
      <c r="D210" s="29"/>
      <c r="E210" s="29"/>
      <c r="F210" s="29"/>
      <c r="G210" s="29"/>
      <c r="H210" s="29"/>
      <c r="I210" s="29"/>
      <c r="J210" s="29"/>
      <c r="K210" s="24"/>
      <c r="L210" s="10"/>
      <c r="M210" s="29"/>
      <c r="N210" s="23"/>
      <c r="O210" s="10"/>
      <c r="P210" s="10"/>
    </row>
    <row r="211" spans="1:16" x14ac:dyDescent="0.3">
      <c r="A211" s="23"/>
      <c r="B211" s="10"/>
      <c r="C211" s="10"/>
      <c r="D211" s="29"/>
      <c r="E211" s="29"/>
      <c r="F211" s="29"/>
      <c r="G211" s="29"/>
      <c r="H211" s="29"/>
      <c r="I211" s="29"/>
      <c r="J211" s="29"/>
      <c r="K211" s="24"/>
      <c r="L211" s="10"/>
      <c r="M211" s="29"/>
      <c r="N211" s="23"/>
      <c r="O211" s="10"/>
      <c r="P211" s="10"/>
    </row>
    <row r="212" spans="1:16" x14ac:dyDescent="0.3">
      <c r="A212" s="23"/>
      <c r="B212" s="10"/>
      <c r="C212" s="10"/>
      <c r="D212" s="29"/>
      <c r="E212" s="29"/>
      <c r="F212" s="29"/>
      <c r="G212" s="29"/>
      <c r="H212" s="29"/>
      <c r="I212" s="29"/>
      <c r="J212" s="29"/>
      <c r="K212" s="24"/>
      <c r="L212" s="10"/>
      <c r="M212" s="29"/>
      <c r="N212" s="23"/>
      <c r="O212" s="10"/>
      <c r="P212" s="10"/>
    </row>
    <row r="213" spans="1:16" x14ac:dyDescent="0.3">
      <c r="A213" s="23"/>
      <c r="B213" s="10"/>
      <c r="C213" s="10"/>
      <c r="D213" s="29"/>
      <c r="E213" s="29"/>
      <c r="F213" s="29"/>
      <c r="G213" s="29"/>
      <c r="H213" s="29"/>
      <c r="I213" s="29"/>
      <c r="J213" s="29"/>
      <c r="K213" s="24"/>
      <c r="L213" s="10"/>
      <c r="M213" s="29"/>
      <c r="N213" s="23"/>
      <c r="O213" s="10"/>
      <c r="P213" s="10"/>
    </row>
    <row r="214" spans="1:16" x14ac:dyDescent="0.3">
      <c r="A214" s="23"/>
      <c r="B214" s="10"/>
      <c r="C214" s="10"/>
      <c r="D214" s="29"/>
      <c r="E214" s="29"/>
      <c r="F214" s="29"/>
      <c r="G214" s="29"/>
      <c r="H214" s="29"/>
      <c r="I214" s="29"/>
      <c r="J214" s="29"/>
      <c r="K214" s="24"/>
      <c r="L214" s="10"/>
      <c r="M214" s="29"/>
      <c r="N214" s="23"/>
      <c r="O214" s="10"/>
      <c r="P214" s="10"/>
    </row>
    <row r="215" spans="1:16" x14ac:dyDescent="0.3">
      <c r="A215" s="23"/>
      <c r="B215" s="10"/>
      <c r="C215" s="10"/>
      <c r="D215" s="29"/>
      <c r="E215" s="29"/>
      <c r="F215" s="29"/>
      <c r="G215" s="29"/>
      <c r="H215" s="29"/>
      <c r="I215" s="29"/>
      <c r="J215" s="29"/>
      <c r="K215" s="24"/>
      <c r="L215" s="10"/>
      <c r="M215" s="29"/>
      <c r="N215" s="23"/>
      <c r="O215" s="10"/>
      <c r="P215" s="10"/>
    </row>
    <row r="216" spans="1:16" x14ac:dyDescent="0.3">
      <c r="A216" s="23"/>
      <c r="B216" s="10"/>
      <c r="C216" s="10"/>
      <c r="D216" s="29"/>
      <c r="E216" s="29"/>
      <c r="F216" s="29"/>
      <c r="G216" s="29"/>
      <c r="H216" s="29"/>
      <c r="I216" s="29"/>
      <c r="J216" s="29"/>
      <c r="K216" s="24"/>
      <c r="L216" s="10"/>
      <c r="M216" s="29"/>
      <c r="N216" s="23"/>
      <c r="O216" s="10"/>
      <c r="P216" s="10"/>
    </row>
    <row r="217" spans="1:16" x14ac:dyDescent="0.3">
      <c r="A217" s="23"/>
      <c r="B217" s="10"/>
      <c r="C217" s="10"/>
      <c r="D217" s="29"/>
      <c r="E217" s="29"/>
      <c r="F217" s="29"/>
      <c r="G217" s="29"/>
      <c r="H217" s="29"/>
      <c r="I217" s="29"/>
      <c r="J217" s="29"/>
      <c r="K217" s="24"/>
      <c r="L217" s="10"/>
      <c r="M217" s="29"/>
      <c r="N217" s="23"/>
      <c r="O217" s="10"/>
      <c r="P217" s="10"/>
    </row>
    <row r="218" spans="1:16" x14ac:dyDescent="0.3">
      <c r="A218" s="23"/>
      <c r="B218" s="10"/>
      <c r="C218" s="10"/>
      <c r="D218" s="29"/>
      <c r="E218" s="29"/>
      <c r="F218" s="29"/>
      <c r="G218" s="29"/>
      <c r="H218" s="29"/>
      <c r="I218" s="29"/>
      <c r="J218" s="29"/>
      <c r="K218" s="24"/>
      <c r="L218" s="10"/>
      <c r="M218" s="29"/>
      <c r="N218" s="23"/>
      <c r="O218" s="10"/>
      <c r="P218" s="10"/>
    </row>
    <row r="219" spans="1:16" x14ac:dyDescent="0.3">
      <c r="A219" s="23"/>
      <c r="B219" s="10"/>
      <c r="C219" s="10"/>
      <c r="D219" s="29"/>
      <c r="E219" s="29"/>
      <c r="F219" s="29"/>
      <c r="G219" s="29"/>
      <c r="H219" s="29"/>
      <c r="I219" s="29"/>
      <c r="J219" s="29"/>
      <c r="K219" s="24"/>
      <c r="L219" s="10"/>
      <c r="M219" s="29"/>
      <c r="N219" s="23"/>
      <c r="O219" s="10"/>
      <c r="P219" s="10"/>
    </row>
    <row r="220" spans="1:16" x14ac:dyDescent="0.3">
      <c r="A220" s="23"/>
      <c r="B220" s="10"/>
      <c r="C220" s="10"/>
      <c r="D220" s="29"/>
      <c r="E220" s="29"/>
      <c r="F220" s="29"/>
      <c r="G220" s="29"/>
      <c r="H220" s="29"/>
      <c r="I220" s="29"/>
      <c r="J220" s="29"/>
      <c r="K220" s="24"/>
      <c r="L220" s="10"/>
      <c r="M220" s="29"/>
      <c r="N220" s="23"/>
      <c r="O220" s="10"/>
      <c r="P220" s="10"/>
    </row>
    <row r="221" spans="1:16" x14ac:dyDescent="0.3">
      <c r="A221" s="23"/>
      <c r="B221" s="10"/>
      <c r="C221" s="10"/>
      <c r="D221" s="29"/>
      <c r="E221" s="29"/>
      <c r="F221" s="29"/>
      <c r="G221" s="29"/>
      <c r="H221" s="29"/>
      <c r="I221" s="29"/>
      <c r="J221" s="29"/>
      <c r="K221" s="24"/>
      <c r="L221" s="10"/>
      <c r="M221" s="29"/>
      <c r="N221" s="23"/>
      <c r="O221" s="10"/>
      <c r="P221" s="10"/>
    </row>
    <row r="222" spans="1:16" x14ac:dyDescent="0.3">
      <c r="A222" s="23"/>
      <c r="B222" s="10"/>
      <c r="C222" s="10"/>
      <c r="D222" s="29"/>
      <c r="E222" s="29"/>
      <c r="F222" s="29"/>
      <c r="G222" s="29"/>
      <c r="H222" s="29"/>
      <c r="I222" s="29"/>
      <c r="J222" s="29"/>
      <c r="K222" s="24"/>
      <c r="L222" s="10"/>
      <c r="M222" s="29"/>
      <c r="N222" s="23"/>
      <c r="O222" s="10"/>
      <c r="P222" s="10"/>
    </row>
    <row r="223" spans="1:16" x14ac:dyDescent="0.3">
      <c r="A223" s="23"/>
      <c r="B223" s="10"/>
      <c r="C223" s="10"/>
      <c r="D223" s="29"/>
      <c r="E223" s="29"/>
      <c r="F223" s="29"/>
      <c r="G223" s="29"/>
      <c r="H223" s="29"/>
      <c r="I223" s="29"/>
      <c r="J223" s="29"/>
      <c r="K223" s="24"/>
      <c r="L223" s="10"/>
      <c r="M223" s="29"/>
      <c r="N223" s="23"/>
      <c r="O223" s="10"/>
      <c r="P223" s="10"/>
    </row>
    <row r="224" spans="1:16" x14ac:dyDescent="0.3">
      <c r="A224" s="23"/>
      <c r="B224" s="10"/>
      <c r="C224" s="10"/>
      <c r="D224" s="29"/>
      <c r="E224" s="29"/>
      <c r="F224" s="29"/>
      <c r="G224" s="29"/>
      <c r="H224" s="29"/>
      <c r="I224" s="29"/>
      <c r="J224" s="29"/>
      <c r="K224" s="24"/>
      <c r="L224" s="10"/>
      <c r="M224" s="29"/>
      <c r="N224" s="23"/>
      <c r="O224" s="10"/>
      <c r="P224" s="10"/>
    </row>
    <row r="225" spans="1:16" x14ac:dyDescent="0.3">
      <c r="A225" s="23"/>
      <c r="B225" s="10"/>
      <c r="C225" s="10"/>
      <c r="D225" s="29"/>
      <c r="E225" s="29"/>
      <c r="F225" s="29"/>
      <c r="G225" s="29"/>
      <c r="H225" s="29"/>
      <c r="I225" s="29"/>
      <c r="J225" s="29"/>
      <c r="K225" s="24"/>
      <c r="L225" s="10"/>
      <c r="M225" s="29"/>
      <c r="N225" s="23"/>
      <c r="O225" s="10"/>
      <c r="P225" s="10"/>
    </row>
    <row r="226" spans="1:16" x14ac:dyDescent="0.3">
      <c r="A226" s="23"/>
      <c r="B226" s="10"/>
      <c r="C226" s="10"/>
      <c r="D226" s="29"/>
      <c r="E226" s="29"/>
      <c r="F226" s="29"/>
      <c r="G226" s="29"/>
      <c r="H226" s="29"/>
      <c r="I226" s="29"/>
      <c r="J226" s="29"/>
      <c r="K226" s="24"/>
      <c r="L226" s="10"/>
      <c r="M226" s="29"/>
      <c r="N226" s="23"/>
      <c r="O226" s="10"/>
      <c r="P226" s="10"/>
    </row>
    <row r="227" spans="1:16" x14ac:dyDescent="0.3">
      <c r="A227" s="23"/>
      <c r="B227" s="10"/>
      <c r="C227" s="10"/>
      <c r="D227" s="29"/>
      <c r="E227" s="29"/>
      <c r="F227" s="29"/>
      <c r="G227" s="29"/>
      <c r="H227" s="29"/>
      <c r="I227" s="29"/>
      <c r="J227" s="29"/>
      <c r="K227" s="24"/>
      <c r="L227" s="10"/>
      <c r="M227" s="29"/>
      <c r="N227" s="23"/>
      <c r="O227" s="10"/>
      <c r="P227" s="10"/>
    </row>
    <row r="228" spans="1:16" x14ac:dyDescent="0.3">
      <c r="A228" s="23"/>
      <c r="B228" s="10"/>
      <c r="C228" s="10"/>
      <c r="D228" s="29"/>
      <c r="E228" s="29"/>
      <c r="F228" s="29"/>
      <c r="G228" s="29"/>
      <c r="H228" s="29"/>
      <c r="I228" s="29"/>
      <c r="J228" s="29"/>
      <c r="K228" s="24"/>
      <c r="L228" s="10"/>
      <c r="M228" s="29"/>
      <c r="N228" s="23"/>
      <c r="O228" s="10"/>
      <c r="P228" s="10"/>
    </row>
    <row r="229" spans="1:16" x14ac:dyDescent="0.3">
      <c r="A229" s="23"/>
      <c r="B229" s="10"/>
      <c r="C229" s="10"/>
      <c r="D229" s="29"/>
      <c r="E229" s="29"/>
      <c r="F229" s="29"/>
      <c r="G229" s="29"/>
      <c r="H229" s="29"/>
      <c r="I229" s="29"/>
      <c r="J229" s="29"/>
      <c r="K229" s="24"/>
      <c r="L229" s="10"/>
      <c r="M229" s="29"/>
      <c r="N229" s="23"/>
      <c r="O229" s="10"/>
      <c r="P229" s="10"/>
    </row>
    <row r="230" spans="1:16" x14ac:dyDescent="0.3">
      <c r="A230" s="23"/>
      <c r="B230" s="10"/>
      <c r="C230" s="10"/>
      <c r="D230" s="29"/>
      <c r="E230" s="29"/>
      <c r="F230" s="29"/>
      <c r="G230" s="29"/>
      <c r="H230" s="29"/>
      <c r="I230" s="29"/>
      <c r="J230" s="29"/>
      <c r="K230" s="24"/>
      <c r="L230" s="10"/>
      <c r="M230" s="29"/>
      <c r="N230" s="23"/>
      <c r="O230" s="10"/>
      <c r="P230" s="10"/>
    </row>
    <row r="231" spans="1:16" x14ac:dyDescent="0.3">
      <c r="A231" s="23"/>
      <c r="B231" s="10"/>
      <c r="C231" s="10"/>
      <c r="D231" s="29"/>
      <c r="E231" s="29"/>
      <c r="F231" s="29"/>
      <c r="G231" s="29"/>
      <c r="H231" s="29"/>
      <c r="I231" s="29"/>
      <c r="J231" s="29"/>
      <c r="K231" s="24"/>
      <c r="L231" s="10"/>
      <c r="M231" s="29"/>
      <c r="N231" s="23"/>
      <c r="O231" s="10"/>
      <c r="P231" s="10"/>
    </row>
    <row r="232" spans="1:16" x14ac:dyDescent="0.3">
      <c r="A232" s="23"/>
      <c r="B232" s="10"/>
      <c r="C232" s="10"/>
      <c r="D232" s="29"/>
      <c r="E232" s="29"/>
      <c r="F232" s="29"/>
      <c r="G232" s="29"/>
      <c r="H232" s="29"/>
      <c r="I232" s="29"/>
      <c r="J232" s="29"/>
      <c r="K232" s="24"/>
      <c r="L232" s="10"/>
      <c r="M232" s="29"/>
      <c r="N232" s="23"/>
      <c r="O232" s="10"/>
      <c r="P232" s="10"/>
    </row>
    <row r="233" spans="1:16" x14ac:dyDescent="0.3">
      <c r="A233" s="23"/>
      <c r="B233" s="10"/>
      <c r="C233" s="10"/>
      <c r="D233" s="29"/>
      <c r="E233" s="29"/>
      <c r="F233" s="29"/>
      <c r="G233" s="29"/>
      <c r="H233" s="29"/>
      <c r="I233" s="29"/>
      <c r="J233" s="29"/>
      <c r="K233" s="24"/>
      <c r="L233" s="10"/>
      <c r="M233" s="29"/>
      <c r="N233" s="23"/>
      <c r="O233" s="10"/>
      <c r="P233" s="10"/>
    </row>
    <row r="234" spans="1:16" x14ac:dyDescent="0.3">
      <c r="A234" s="23"/>
      <c r="B234" s="10"/>
      <c r="C234" s="10"/>
      <c r="D234" s="29"/>
      <c r="E234" s="29"/>
      <c r="F234" s="29"/>
      <c r="G234" s="29"/>
      <c r="H234" s="29"/>
      <c r="I234" s="29"/>
      <c r="J234" s="29"/>
      <c r="K234" s="24"/>
      <c r="L234" s="10"/>
      <c r="M234" s="29"/>
      <c r="N234" s="23"/>
      <c r="O234" s="10"/>
      <c r="P234" s="10"/>
    </row>
    <row r="235" spans="1:16" x14ac:dyDescent="0.3">
      <c r="A235" s="23"/>
      <c r="B235" s="10"/>
      <c r="C235" s="10"/>
      <c r="D235" s="29"/>
      <c r="E235" s="29"/>
      <c r="F235" s="29"/>
      <c r="G235" s="29"/>
      <c r="H235" s="29"/>
      <c r="I235" s="29"/>
      <c r="J235" s="29"/>
      <c r="K235" s="24"/>
      <c r="L235" s="10"/>
      <c r="M235" s="29"/>
      <c r="N235" s="23"/>
      <c r="O235" s="10"/>
      <c r="P235" s="10"/>
    </row>
    <row r="236" spans="1:16" x14ac:dyDescent="0.3">
      <c r="A236" s="23"/>
      <c r="B236" s="10"/>
      <c r="C236" s="10"/>
      <c r="D236" s="29"/>
      <c r="E236" s="29"/>
      <c r="F236" s="29"/>
      <c r="G236" s="29"/>
      <c r="H236" s="29"/>
      <c r="I236" s="29"/>
      <c r="J236" s="29"/>
      <c r="K236" s="24"/>
      <c r="L236" s="10"/>
      <c r="M236" s="29"/>
      <c r="N236" s="23"/>
      <c r="O236" s="10"/>
      <c r="P236" s="10"/>
    </row>
    <row r="237" spans="1:16" x14ac:dyDescent="0.3">
      <c r="A237" s="23"/>
      <c r="B237" s="10"/>
      <c r="C237" s="10"/>
      <c r="D237" s="29"/>
      <c r="E237" s="29"/>
      <c r="F237" s="29"/>
      <c r="G237" s="29"/>
      <c r="H237" s="29"/>
      <c r="I237" s="29"/>
      <c r="J237" s="29"/>
      <c r="K237" s="24"/>
      <c r="L237" s="10"/>
      <c r="M237" s="29"/>
      <c r="N237" s="23"/>
      <c r="O237" s="10"/>
      <c r="P237" s="10"/>
    </row>
    <row r="238" spans="1:16" x14ac:dyDescent="0.3">
      <c r="A238" s="23"/>
      <c r="B238" s="10"/>
      <c r="C238" s="10"/>
      <c r="D238" s="29"/>
      <c r="E238" s="29"/>
      <c r="F238" s="29"/>
      <c r="G238" s="29"/>
      <c r="H238" s="29"/>
      <c r="I238" s="29"/>
      <c r="J238" s="29"/>
      <c r="K238" s="24"/>
      <c r="L238" s="10"/>
      <c r="M238" s="29"/>
      <c r="N238" s="23"/>
      <c r="O238" s="10"/>
      <c r="P238" s="10"/>
    </row>
    <row r="239" spans="1:16" x14ac:dyDescent="0.3">
      <c r="A239" s="23"/>
      <c r="B239" s="10"/>
      <c r="C239" s="10"/>
      <c r="D239" s="29"/>
      <c r="E239" s="29"/>
      <c r="F239" s="29"/>
      <c r="G239" s="29"/>
      <c r="H239" s="29"/>
      <c r="I239" s="29"/>
      <c r="J239" s="29"/>
      <c r="K239" s="24"/>
      <c r="L239" s="10"/>
      <c r="M239" s="29"/>
      <c r="N239" s="23"/>
      <c r="O239" s="10"/>
      <c r="P239" s="10"/>
    </row>
    <row r="240" spans="1:16" x14ac:dyDescent="0.3">
      <c r="A240" s="23"/>
      <c r="B240" s="10"/>
      <c r="C240" s="10"/>
      <c r="D240" s="29"/>
      <c r="E240" s="29"/>
      <c r="F240" s="29"/>
      <c r="G240" s="29"/>
      <c r="H240" s="29"/>
      <c r="I240" s="29"/>
      <c r="J240" s="29"/>
      <c r="K240" s="24"/>
      <c r="L240" s="10"/>
      <c r="M240" s="29"/>
      <c r="N240" s="23"/>
      <c r="O240" s="10"/>
      <c r="P240" s="10"/>
    </row>
    <row r="241" spans="1:16" x14ac:dyDescent="0.3">
      <c r="A241" s="23"/>
      <c r="B241" s="10"/>
      <c r="C241" s="10"/>
      <c r="D241" s="29"/>
      <c r="E241" s="29"/>
      <c r="F241" s="29"/>
      <c r="G241" s="29"/>
      <c r="H241" s="29"/>
      <c r="I241" s="29"/>
      <c r="J241" s="29"/>
      <c r="K241" s="24"/>
      <c r="L241" s="10"/>
      <c r="M241" s="29"/>
      <c r="N241" s="23"/>
      <c r="O241" s="10"/>
      <c r="P241" s="10"/>
    </row>
    <row r="242" spans="1:16" x14ac:dyDescent="0.3">
      <c r="A242" s="23"/>
      <c r="B242" s="10"/>
      <c r="C242" s="10"/>
      <c r="D242" s="29"/>
      <c r="E242" s="29"/>
      <c r="F242" s="29"/>
      <c r="G242" s="29"/>
      <c r="H242" s="29"/>
      <c r="I242" s="29"/>
      <c r="J242" s="29"/>
      <c r="K242" s="24"/>
      <c r="L242" s="10"/>
      <c r="M242" s="29"/>
      <c r="N242" s="23"/>
      <c r="O242" s="10"/>
      <c r="P242" s="10"/>
    </row>
    <row r="243" spans="1:16" x14ac:dyDescent="0.3">
      <c r="A243" s="23"/>
      <c r="B243" s="10"/>
      <c r="C243" s="10"/>
      <c r="D243" s="29"/>
      <c r="E243" s="29"/>
      <c r="F243" s="29"/>
      <c r="G243" s="29"/>
      <c r="H243" s="29"/>
      <c r="I243" s="29"/>
      <c r="J243" s="29"/>
      <c r="K243" s="24"/>
      <c r="L243" s="10"/>
      <c r="M243" s="29"/>
      <c r="N243" s="23"/>
      <c r="O243" s="10"/>
      <c r="P243" s="10"/>
    </row>
    <row r="244" spans="1:16" x14ac:dyDescent="0.3">
      <c r="A244" s="23"/>
      <c r="B244" s="10"/>
      <c r="C244" s="10"/>
      <c r="D244" s="29"/>
      <c r="E244" s="29"/>
      <c r="F244" s="29"/>
      <c r="G244" s="29"/>
      <c r="H244" s="29"/>
      <c r="I244" s="29"/>
      <c r="J244" s="29"/>
      <c r="K244" s="24"/>
      <c r="L244" s="10"/>
      <c r="M244" s="29"/>
      <c r="N244" s="23"/>
      <c r="O244" s="10"/>
      <c r="P244" s="10"/>
    </row>
    <row r="245" spans="1:16" x14ac:dyDescent="0.3">
      <c r="A245" s="23"/>
      <c r="B245" s="10"/>
      <c r="C245" s="10"/>
      <c r="D245" s="29"/>
      <c r="E245" s="29"/>
      <c r="F245" s="29"/>
      <c r="G245" s="29"/>
      <c r="H245" s="29"/>
      <c r="I245" s="29"/>
      <c r="J245" s="29"/>
      <c r="K245" s="24"/>
      <c r="L245" s="10"/>
      <c r="M245" s="29"/>
      <c r="N245" s="23"/>
      <c r="O245" s="10"/>
      <c r="P245" s="10"/>
    </row>
    <row r="246" spans="1:16" x14ac:dyDescent="0.3">
      <c r="A246" s="23"/>
      <c r="B246" s="10"/>
      <c r="C246" s="10"/>
      <c r="D246" s="29"/>
      <c r="E246" s="29"/>
      <c r="F246" s="29"/>
      <c r="G246" s="29"/>
      <c r="H246" s="29"/>
      <c r="I246" s="29"/>
      <c r="J246" s="29"/>
      <c r="K246" s="24"/>
      <c r="L246" s="10"/>
      <c r="M246" s="29"/>
      <c r="N246" s="23"/>
      <c r="O246" s="10"/>
      <c r="P246" s="10"/>
    </row>
    <row r="247" spans="1:16" x14ac:dyDescent="0.3">
      <c r="A247" s="23"/>
      <c r="B247" s="10"/>
      <c r="C247" s="10"/>
      <c r="D247" s="29"/>
      <c r="E247" s="29"/>
      <c r="F247" s="29"/>
      <c r="G247" s="29"/>
      <c r="H247" s="29"/>
      <c r="I247" s="29"/>
      <c r="J247" s="29"/>
      <c r="K247" s="24"/>
      <c r="L247" s="10"/>
      <c r="M247" s="29"/>
      <c r="N247" s="23"/>
      <c r="O247" s="10"/>
      <c r="P247" s="10"/>
    </row>
    <row r="248" spans="1:16" x14ac:dyDescent="0.3">
      <c r="A248" s="23"/>
      <c r="B248" s="10"/>
      <c r="C248" s="10"/>
      <c r="D248" s="29"/>
      <c r="E248" s="29"/>
      <c r="F248" s="29"/>
      <c r="G248" s="29"/>
      <c r="H248" s="29"/>
      <c r="I248" s="29"/>
      <c r="J248" s="29"/>
      <c r="K248" s="24"/>
      <c r="L248" s="10"/>
      <c r="M248" s="29"/>
      <c r="N248" s="23"/>
      <c r="O248" s="10"/>
      <c r="P248" s="10"/>
    </row>
    <row r="249" spans="1:16" x14ac:dyDescent="0.3">
      <c r="A249" s="23"/>
      <c r="B249" s="10"/>
      <c r="C249" s="10"/>
      <c r="D249" s="29"/>
      <c r="E249" s="29"/>
      <c r="F249" s="29"/>
      <c r="G249" s="29"/>
      <c r="H249" s="29"/>
      <c r="I249" s="29"/>
      <c r="J249" s="29"/>
      <c r="K249" s="24"/>
      <c r="L249" s="10"/>
      <c r="M249" s="29"/>
      <c r="N249" s="23"/>
      <c r="O249" s="10"/>
      <c r="P249" s="10"/>
    </row>
    <row r="250" spans="1:16" x14ac:dyDescent="0.3">
      <c r="A250" s="23"/>
      <c r="B250" s="10"/>
      <c r="C250" s="10"/>
      <c r="D250" s="29"/>
      <c r="E250" s="29"/>
      <c r="F250" s="29"/>
      <c r="G250" s="29"/>
      <c r="H250" s="29"/>
      <c r="I250" s="29"/>
      <c r="J250" s="29"/>
      <c r="K250" s="24"/>
      <c r="L250" s="10"/>
      <c r="M250" s="29"/>
      <c r="N250" s="23"/>
      <c r="O250" s="10"/>
      <c r="P250" s="10"/>
    </row>
    <row r="251" spans="1:16" x14ac:dyDescent="0.3">
      <c r="A251" s="23"/>
      <c r="B251" s="10"/>
      <c r="C251" s="10"/>
      <c r="D251" s="29"/>
      <c r="E251" s="29"/>
      <c r="F251" s="29"/>
      <c r="G251" s="29"/>
      <c r="H251" s="29"/>
      <c r="I251" s="29"/>
      <c r="J251" s="29"/>
      <c r="K251" s="24"/>
      <c r="L251" s="10"/>
      <c r="M251" s="29"/>
      <c r="N251" s="23"/>
      <c r="O251" s="10"/>
      <c r="P251" s="10"/>
    </row>
    <row r="252" spans="1:16" x14ac:dyDescent="0.3">
      <c r="A252" s="23"/>
      <c r="B252" s="10"/>
      <c r="C252" s="10"/>
      <c r="D252" s="29"/>
      <c r="E252" s="29"/>
      <c r="F252" s="29"/>
      <c r="G252" s="29"/>
      <c r="H252" s="29"/>
      <c r="I252" s="29"/>
      <c r="J252" s="29"/>
      <c r="K252" s="24"/>
      <c r="L252" s="10"/>
      <c r="M252" s="29"/>
      <c r="N252" s="23"/>
      <c r="O252" s="10"/>
      <c r="P252" s="10"/>
    </row>
    <row r="253" spans="1:16" x14ac:dyDescent="0.3">
      <c r="A253" s="23"/>
      <c r="B253" s="10"/>
      <c r="C253" s="10"/>
      <c r="D253" s="29"/>
      <c r="E253" s="29"/>
      <c r="F253" s="29"/>
      <c r="G253" s="29"/>
      <c r="H253" s="29"/>
      <c r="I253" s="29"/>
      <c r="J253" s="29"/>
      <c r="K253" s="24"/>
      <c r="L253" s="10"/>
      <c r="M253" s="29"/>
      <c r="N253" s="23"/>
      <c r="O253" s="10"/>
      <c r="P253" s="10"/>
    </row>
    <row r="254" spans="1:16" x14ac:dyDescent="0.3">
      <c r="A254" s="23"/>
      <c r="B254" s="10"/>
      <c r="C254" s="10"/>
      <c r="D254" s="29"/>
      <c r="E254" s="29"/>
      <c r="F254" s="29"/>
      <c r="G254" s="29"/>
      <c r="H254" s="29"/>
      <c r="I254" s="29"/>
      <c r="J254" s="29"/>
      <c r="K254" s="24"/>
      <c r="L254" s="10"/>
      <c r="M254" s="29"/>
      <c r="N254" s="23"/>
      <c r="O254" s="10"/>
      <c r="P254" s="10"/>
    </row>
    <row r="255" spans="1:16" x14ac:dyDescent="0.3">
      <c r="A255" s="23"/>
      <c r="B255" s="10"/>
      <c r="C255" s="10"/>
      <c r="D255" s="29"/>
      <c r="E255" s="29"/>
      <c r="F255" s="29"/>
      <c r="G255" s="29"/>
      <c r="H255" s="29"/>
      <c r="I255" s="29"/>
      <c r="J255" s="29"/>
      <c r="K255" s="24"/>
      <c r="L255" s="10"/>
      <c r="M255" s="29"/>
      <c r="N255" s="23"/>
      <c r="O255" s="10"/>
      <c r="P255" s="10"/>
    </row>
    <row r="256" spans="1:16" x14ac:dyDescent="0.3">
      <c r="A256" s="23"/>
      <c r="B256" s="10"/>
      <c r="C256" s="10"/>
      <c r="D256" s="29"/>
      <c r="E256" s="29"/>
      <c r="F256" s="29"/>
      <c r="G256" s="29"/>
      <c r="H256" s="29"/>
      <c r="I256" s="29"/>
      <c r="J256" s="29"/>
      <c r="K256" s="24"/>
      <c r="L256" s="10"/>
      <c r="M256" s="29"/>
      <c r="N256" s="23"/>
      <c r="O256" s="10"/>
      <c r="P256" s="10"/>
    </row>
    <row r="257" spans="1:16" x14ac:dyDescent="0.3">
      <c r="A257" s="23"/>
      <c r="B257" s="10"/>
      <c r="C257" s="10"/>
      <c r="D257" s="29"/>
      <c r="E257" s="29"/>
      <c r="F257" s="29"/>
      <c r="G257" s="29"/>
      <c r="H257" s="29"/>
      <c r="I257" s="29"/>
      <c r="J257" s="29"/>
      <c r="K257" s="24"/>
      <c r="L257" s="10"/>
      <c r="M257" s="29"/>
      <c r="N257" s="23"/>
      <c r="O257" s="10"/>
      <c r="P257" s="10"/>
    </row>
    <row r="258" spans="1:16" x14ac:dyDescent="0.3">
      <c r="A258" s="23"/>
      <c r="B258" s="10"/>
      <c r="C258" s="10"/>
      <c r="D258" s="29"/>
      <c r="E258" s="29"/>
      <c r="F258" s="29"/>
      <c r="G258" s="29"/>
      <c r="H258" s="29"/>
      <c r="I258" s="29"/>
      <c r="J258" s="29"/>
      <c r="K258" s="24"/>
      <c r="L258" s="10"/>
      <c r="M258" s="29"/>
      <c r="N258" s="23"/>
      <c r="O258" s="10"/>
      <c r="P258" s="10"/>
    </row>
    <row r="259" spans="1:16" x14ac:dyDescent="0.3">
      <c r="A259" s="23"/>
      <c r="B259" s="10"/>
      <c r="C259" s="10"/>
      <c r="D259" s="29"/>
      <c r="E259" s="29"/>
      <c r="F259" s="29"/>
      <c r="G259" s="29"/>
      <c r="H259" s="29"/>
      <c r="I259" s="29"/>
      <c r="J259" s="29"/>
      <c r="K259" s="24"/>
      <c r="L259" s="10"/>
      <c r="M259" s="29"/>
      <c r="N259" s="23"/>
      <c r="O259" s="10"/>
      <c r="P259" s="10"/>
    </row>
    <row r="260" spans="1:16" x14ac:dyDescent="0.3">
      <c r="A260" s="23"/>
      <c r="B260" s="10"/>
      <c r="C260" s="10"/>
      <c r="D260" s="29"/>
      <c r="E260" s="29"/>
      <c r="F260" s="29"/>
      <c r="G260" s="29"/>
      <c r="H260" s="29"/>
      <c r="I260" s="29"/>
      <c r="J260" s="29"/>
      <c r="K260" s="24"/>
      <c r="L260" s="10"/>
      <c r="M260" s="29"/>
      <c r="N260" s="23"/>
      <c r="O260" s="10"/>
      <c r="P260" s="10"/>
    </row>
    <row r="261" spans="1:16" x14ac:dyDescent="0.3">
      <c r="A261" s="23"/>
      <c r="B261" s="10"/>
      <c r="C261" s="10"/>
      <c r="D261" s="29"/>
      <c r="E261" s="29"/>
      <c r="F261" s="29"/>
      <c r="G261" s="29"/>
      <c r="H261" s="29"/>
      <c r="I261" s="29"/>
      <c r="J261" s="29"/>
      <c r="K261" s="24"/>
      <c r="L261" s="10"/>
      <c r="M261" s="29"/>
      <c r="N261" s="23"/>
      <c r="O261" s="10"/>
      <c r="P261" s="10"/>
    </row>
    <row r="262" spans="1:16" x14ac:dyDescent="0.3">
      <c r="A262" s="23"/>
      <c r="B262" s="10"/>
      <c r="C262" s="10"/>
      <c r="D262" s="29"/>
      <c r="E262" s="29"/>
      <c r="F262" s="29"/>
      <c r="G262" s="29"/>
      <c r="H262" s="29"/>
      <c r="I262" s="29"/>
      <c r="J262" s="29"/>
      <c r="K262" s="24"/>
      <c r="L262" s="10"/>
      <c r="M262" s="29"/>
      <c r="N262" s="23"/>
      <c r="O262" s="10"/>
      <c r="P262" s="10"/>
    </row>
    <row r="263" spans="1:16" x14ac:dyDescent="0.3">
      <c r="A263" s="23"/>
      <c r="B263" s="10"/>
      <c r="C263" s="10"/>
      <c r="D263" s="29"/>
      <c r="E263" s="29"/>
      <c r="F263" s="29"/>
      <c r="G263" s="29"/>
      <c r="H263" s="29"/>
      <c r="I263" s="29"/>
      <c r="J263" s="29"/>
      <c r="K263" s="24"/>
      <c r="L263" s="10"/>
      <c r="M263" s="29"/>
      <c r="N263" s="23"/>
      <c r="O263" s="10"/>
      <c r="P263" s="10"/>
    </row>
    <row r="264" spans="1:16" x14ac:dyDescent="0.3">
      <c r="A264" s="23"/>
      <c r="B264" s="10"/>
      <c r="C264" s="10"/>
      <c r="D264" s="29"/>
      <c r="E264" s="29"/>
      <c r="F264" s="29"/>
      <c r="G264" s="29"/>
      <c r="H264" s="29"/>
      <c r="I264" s="29"/>
      <c r="J264" s="29"/>
      <c r="K264" s="24"/>
      <c r="L264" s="10"/>
      <c r="M264" s="29"/>
      <c r="N264" s="23"/>
      <c r="O264" s="10"/>
      <c r="P264" s="10"/>
    </row>
    <row r="265" spans="1:16" x14ac:dyDescent="0.3">
      <c r="A265" s="23"/>
      <c r="B265" s="10"/>
      <c r="C265" s="10"/>
      <c r="D265" s="29"/>
      <c r="E265" s="29"/>
      <c r="F265" s="29"/>
      <c r="G265" s="29"/>
      <c r="H265" s="29"/>
      <c r="I265" s="29"/>
      <c r="J265" s="29"/>
      <c r="K265" s="24"/>
      <c r="L265" s="10"/>
      <c r="M265" s="29"/>
      <c r="N265" s="23"/>
      <c r="O265" s="10"/>
      <c r="P265" s="10"/>
    </row>
    <row r="266" spans="1:16" x14ac:dyDescent="0.3">
      <c r="A266" s="23"/>
      <c r="B266" s="10"/>
      <c r="C266" s="10"/>
      <c r="D266" s="29"/>
      <c r="E266" s="29"/>
      <c r="F266" s="29"/>
      <c r="G266" s="29"/>
      <c r="H266" s="29"/>
      <c r="I266" s="29"/>
      <c r="J266" s="29"/>
      <c r="K266" s="24"/>
      <c r="L266" s="10"/>
      <c r="M266" s="29"/>
      <c r="N266" s="23"/>
      <c r="O266" s="10"/>
      <c r="P266" s="10"/>
    </row>
    <row r="267" spans="1:16" x14ac:dyDescent="0.3">
      <c r="A267" s="23"/>
      <c r="B267" s="10"/>
      <c r="C267" s="10"/>
      <c r="D267" s="29"/>
      <c r="E267" s="29"/>
      <c r="F267" s="29"/>
      <c r="G267" s="29"/>
      <c r="H267" s="29"/>
      <c r="I267" s="29"/>
      <c r="J267" s="29"/>
      <c r="K267" s="24"/>
      <c r="L267" s="10"/>
      <c r="M267" s="29"/>
      <c r="N267" s="23"/>
      <c r="O267" s="10"/>
      <c r="P267" s="10"/>
    </row>
    <row r="268" spans="1:16" x14ac:dyDescent="0.3">
      <c r="A268" s="23"/>
      <c r="B268" s="10"/>
      <c r="C268" s="10"/>
      <c r="D268" s="29"/>
      <c r="E268" s="29"/>
      <c r="F268" s="29"/>
      <c r="G268" s="29"/>
      <c r="H268" s="29"/>
      <c r="I268" s="29"/>
      <c r="J268" s="29"/>
      <c r="K268" s="24"/>
      <c r="L268" s="10"/>
      <c r="M268" s="29"/>
      <c r="N268" s="23"/>
      <c r="O268" s="10"/>
      <c r="P268" s="10"/>
    </row>
    <row r="269" spans="1:16" x14ac:dyDescent="0.3">
      <c r="A269" s="23"/>
      <c r="B269" s="10"/>
      <c r="C269" s="10"/>
      <c r="D269" s="29"/>
      <c r="E269" s="29"/>
      <c r="F269" s="29"/>
      <c r="G269" s="29"/>
      <c r="H269" s="29"/>
      <c r="I269" s="29"/>
      <c r="J269" s="29"/>
      <c r="K269" s="24"/>
      <c r="L269" s="10"/>
      <c r="M269" s="29"/>
      <c r="N269" s="23"/>
      <c r="O269" s="10"/>
      <c r="P269" s="10"/>
    </row>
    <row r="270" spans="1:16" x14ac:dyDescent="0.3">
      <c r="A270" s="23"/>
      <c r="B270" s="10"/>
      <c r="C270" s="10"/>
      <c r="D270" s="29"/>
      <c r="E270" s="29"/>
      <c r="F270" s="29"/>
      <c r="G270" s="29"/>
      <c r="H270" s="29"/>
      <c r="I270" s="29"/>
      <c r="J270" s="29"/>
      <c r="K270" s="24"/>
      <c r="L270" s="10"/>
      <c r="M270" s="29"/>
      <c r="N270" s="23"/>
      <c r="O270" s="10"/>
      <c r="P270" s="10"/>
    </row>
    <row r="271" spans="1:16" x14ac:dyDescent="0.3">
      <c r="A271" s="23"/>
      <c r="B271" s="10"/>
      <c r="C271" s="10"/>
      <c r="D271" s="29"/>
      <c r="E271" s="29"/>
      <c r="F271" s="29"/>
      <c r="G271" s="29"/>
      <c r="H271" s="29"/>
      <c r="I271" s="29"/>
      <c r="J271" s="29"/>
      <c r="K271" s="24"/>
      <c r="L271" s="10"/>
      <c r="M271" s="29"/>
      <c r="N271" s="23"/>
      <c r="O271" s="10"/>
      <c r="P271" s="10"/>
    </row>
    <row r="272" spans="1:16" x14ac:dyDescent="0.3">
      <c r="A272" s="23"/>
      <c r="B272" s="10"/>
      <c r="C272" s="10"/>
      <c r="D272" s="29"/>
      <c r="E272" s="29"/>
      <c r="F272" s="29"/>
      <c r="G272" s="29"/>
      <c r="H272" s="29"/>
      <c r="I272" s="29"/>
      <c r="J272" s="29"/>
      <c r="K272" s="24"/>
      <c r="L272" s="10"/>
      <c r="M272" s="29"/>
      <c r="N272" s="23"/>
      <c r="O272" s="10"/>
      <c r="P272" s="10"/>
    </row>
    <row r="273" spans="1:16" x14ac:dyDescent="0.3">
      <c r="A273" s="23"/>
      <c r="B273" s="10"/>
      <c r="C273" s="10"/>
      <c r="D273" s="29"/>
      <c r="E273" s="29"/>
      <c r="F273" s="29"/>
      <c r="G273" s="29"/>
      <c r="H273" s="29"/>
      <c r="I273" s="29"/>
      <c r="J273" s="29"/>
      <c r="K273" s="24"/>
      <c r="L273" s="10"/>
      <c r="M273" s="29"/>
      <c r="N273" s="23"/>
      <c r="O273" s="10"/>
      <c r="P273" s="10"/>
    </row>
    <row r="274" spans="1:16" x14ac:dyDescent="0.3">
      <c r="A274" s="23"/>
      <c r="B274" s="10"/>
      <c r="C274" s="10"/>
      <c r="D274" s="29"/>
      <c r="E274" s="29"/>
      <c r="F274" s="29"/>
      <c r="G274" s="29"/>
      <c r="H274" s="29"/>
      <c r="I274" s="29"/>
      <c r="J274" s="29"/>
      <c r="K274" s="24"/>
      <c r="L274" s="10"/>
      <c r="M274" s="29"/>
      <c r="N274" s="23"/>
      <c r="O274" s="10"/>
      <c r="P274" s="10"/>
    </row>
    <row r="275" spans="1:16" x14ac:dyDescent="0.3">
      <c r="A275" s="23"/>
      <c r="B275" s="10"/>
      <c r="C275" s="10"/>
      <c r="D275" s="29"/>
      <c r="E275" s="29"/>
      <c r="F275" s="29"/>
      <c r="G275" s="29"/>
      <c r="H275" s="29"/>
      <c r="I275" s="29"/>
      <c r="J275" s="29"/>
      <c r="K275" s="24"/>
      <c r="L275" s="10"/>
      <c r="M275" s="29"/>
      <c r="N275" s="23"/>
      <c r="O275" s="10"/>
      <c r="P275" s="10"/>
    </row>
    <row r="276" spans="1:16" x14ac:dyDescent="0.3">
      <c r="A276" s="23"/>
      <c r="B276" s="10"/>
      <c r="C276" s="10"/>
      <c r="D276" s="29"/>
      <c r="E276" s="29"/>
      <c r="F276" s="29"/>
      <c r="G276" s="29"/>
      <c r="H276" s="29"/>
      <c r="I276" s="29"/>
      <c r="J276" s="29"/>
      <c r="K276" s="24"/>
      <c r="L276" s="10"/>
      <c r="M276" s="29"/>
      <c r="N276" s="23"/>
      <c r="O276" s="10"/>
      <c r="P276" s="10"/>
    </row>
    <row r="277" spans="1:16" x14ac:dyDescent="0.3">
      <c r="A277" s="23"/>
      <c r="B277" s="10"/>
      <c r="C277" s="10"/>
      <c r="D277" s="29"/>
      <c r="E277" s="29"/>
      <c r="F277" s="29"/>
      <c r="G277" s="29"/>
      <c r="H277" s="29"/>
      <c r="I277" s="29"/>
      <c r="J277" s="29"/>
      <c r="K277" s="24"/>
      <c r="L277" s="10"/>
      <c r="M277" s="29"/>
      <c r="N277" s="23"/>
      <c r="O277" s="10"/>
      <c r="P277" s="10"/>
    </row>
    <row r="278" spans="1:16" x14ac:dyDescent="0.3">
      <c r="A278" s="23"/>
      <c r="B278" s="10"/>
      <c r="C278" s="10"/>
      <c r="D278" s="29"/>
      <c r="E278" s="29"/>
      <c r="F278" s="29"/>
      <c r="G278" s="29"/>
      <c r="H278" s="29"/>
      <c r="I278" s="29"/>
      <c r="J278" s="29"/>
      <c r="K278" s="24"/>
      <c r="L278" s="10"/>
      <c r="M278" s="29"/>
      <c r="N278" s="23"/>
      <c r="O278" s="10"/>
      <c r="P278" s="10"/>
    </row>
    <row r="279" spans="1:16" x14ac:dyDescent="0.3">
      <c r="A279" s="23"/>
      <c r="B279" s="10"/>
      <c r="C279" s="10"/>
      <c r="D279" s="29"/>
      <c r="E279" s="29"/>
      <c r="F279" s="29"/>
      <c r="G279" s="29"/>
      <c r="H279" s="29"/>
      <c r="I279" s="29"/>
      <c r="J279" s="29"/>
      <c r="K279" s="24"/>
      <c r="L279" s="10"/>
      <c r="M279" s="29"/>
      <c r="N279" s="23"/>
      <c r="O279" s="10"/>
      <c r="P279" s="10"/>
    </row>
    <row r="280" spans="1:16" x14ac:dyDescent="0.3">
      <c r="A280" s="23"/>
      <c r="B280" s="10"/>
      <c r="C280" s="10"/>
      <c r="D280" s="29"/>
      <c r="E280" s="29"/>
      <c r="F280" s="29"/>
      <c r="G280" s="29"/>
      <c r="H280" s="29"/>
      <c r="I280" s="29"/>
      <c r="J280" s="29"/>
      <c r="K280" s="24"/>
      <c r="L280" s="10"/>
      <c r="M280" s="29"/>
      <c r="N280" s="23"/>
      <c r="O280" s="10"/>
      <c r="P280" s="10"/>
    </row>
    <row r="281" spans="1:16" x14ac:dyDescent="0.3">
      <c r="A281" s="23"/>
      <c r="B281" s="10"/>
      <c r="C281" s="10"/>
      <c r="D281" s="29"/>
      <c r="E281" s="29"/>
      <c r="F281" s="29"/>
      <c r="G281" s="29"/>
      <c r="H281" s="29"/>
      <c r="I281" s="29"/>
      <c r="J281" s="29"/>
      <c r="K281" s="24"/>
      <c r="L281" s="10"/>
      <c r="M281" s="29"/>
      <c r="N281" s="23"/>
      <c r="O281" s="10"/>
      <c r="P281" s="10"/>
    </row>
    <row r="282" spans="1:16" x14ac:dyDescent="0.3">
      <c r="A282" s="23"/>
      <c r="B282" s="10"/>
      <c r="C282" s="10"/>
      <c r="D282" s="29"/>
      <c r="E282" s="29"/>
      <c r="F282" s="29"/>
      <c r="G282" s="29"/>
      <c r="H282" s="29"/>
      <c r="I282" s="29"/>
      <c r="J282" s="29"/>
      <c r="K282" s="24"/>
      <c r="L282" s="10"/>
      <c r="M282" s="29"/>
      <c r="N282" s="23"/>
      <c r="O282" s="10"/>
      <c r="P282" s="10"/>
    </row>
    <row r="283" spans="1:16" x14ac:dyDescent="0.3">
      <c r="A283" s="23"/>
      <c r="B283" s="10"/>
      <c r="C283" s="10"/>
      <c r="D283" s="29"/>
      <c r="E283" s="29"/>
      <c r="F283" s="29"/>
      <c r="G283" s="29"/>
      <c r="H283" s="29"/>
      <c r="I283" s="29"/>
      <c r="J283" s="29"/>
      <c r="K283" s="24"/>
      <c r="L283" s="10"/>
      <c r="M283" s="29"/>
      <c r="N283" s="23"/>
      <c r="O283" s="10"/>
      <c r="P283" s="10"/>
    </row>
    <row r="284" spans="1:16" x14ac:dyDescent="0.3">
      <c r="A284" s="23"/>
      <c r="B284" s="10"/>
      <c r="C284" s="10"/>
      <c r="D284" s="29"/>
      <c r="E284" s="29"/>
      <c r="F284" s="29"/>
      <c r="G284" s="29"/>
      <c r="H284" s="29"/>
      <c r="I284" s="29"/>
      <c r="J284" s="29"/>
      <c r="K284" s="24"/>
      <c r="L284" s="10"/>
      <c r="M284" s="29"/>
      <c r="N284" s="23"/>
      <c r="O284" s="10"/>
      <c r="P284" s="10"/>
    </row>
    <row r="285" spans="1:16" x14ac:dyDescent="0.3">
      <c r="A285" s="23"/>
      <c r="B285" s="10"/>
      <c r="C285" s="10"/>
      <c r="D285" s="29"/>
      <c r="E285" s="29"/>
      <c r="F285" s="29"/>
      <c r="G285" s="29"/>
      <c r="H285" s="29"/>
      <c r="I285" s="29"/>
      <c r="J285" s="29"/>
      <c r="K285" s="24"/>
      <c r="L285" s="10"/>
      <c r="M285" s="29"/>
      <c r="N285" s="23"/>
      <c r="O285" s="10"/>
      <c r="P285" s="10"/>
    </row>
    <row r="286" spans="1:16" x14ac:dyDescent="0.3">
      <c r="A286" s="23"/>
      <c r="B286" s="10"/>
      <c r="C286" s="10"/>
      <c r="D286" s="29"/>
      <c r="E286" s="29"/>
      <c r="F286" s="29"/>
      <c r="G286" s="29"/>
      <c r="H286" s="29"/>
      <c r="I286" s="29"/>
      <c r="J286" s="29"/>
      <c r="K286" s="24"/>
      <c r="L286" s="10"/>
      <c r="M286" s="29"/>
      <c r="N286" s="23"/>
      <c r="O286" s="10"/>
      <c r="P286" s="10"/>
    </row>
    <row r="287" spans="1:16" x14ac:dyDescent="0.3">
      <c r="A287" s="23"/>
      <c r="B287" s="10"/>
      <c r="C287" s="10"/>
      <c r="D287" s="29"/>
      <c r="E287" s="29"/>
      <c r="F287" s="29"/>
      <c r="G287" s="29"/>
      <c r="H287" s="29"/>
      <c r="I287" s="29"/>
      <c r="J287" s="29"/>
      <c r="K287" s="24"/>
      <c r="L287" s="10"/>
      <c r="M287" s="29"/>
      <c r="N287" s="23"/>
      <c r="O287" s="10"/>
      <c r="P287" s="10"/>
    </row>
    <row r="288" spans="1:16" x14ac:dyDescent="0.3">
      <c r="A288" s="23"/>
      <c r="B288" s="10"/>
      <c r="C288" s="10"/>
      <c r="D288" s="29"/>
      <c r="E288" s="29"/>
      <c r="F288" s="29"/>
      <c r="G288" s="29"/>
      <c r="H288" s="29"/>
      <c r="I288" s="29"/>
      <c r="J288" s="29"/>
      <c r="K288" s="24"/>
      <c r="L288" s="10"/>
      <c r="M288" s="29"/>
      <c r="N288" s="23"/>
      <c r="O288" s="10"/>
      <c r="P288" s="10"/>
    </row>
    <row r="289" spans="1:16" x14ac:dyDescent="0.3">
      <c r="A289" s="23"/>
      <c r="B289" s="10"/>
      <c r="C289" s="10"/>
      <c r="D289" s="29"/>
      <c r="E289" s="29"/>
      <c r="F289" s="29"/>
      <c r="G289" s="29"/>
      <c r="H289" s="29"/>
      <c r="I289" s="29"/>
      <c r="J289" s="29"/>
      <c r="K289" s="24"/>
      <c r="L289" s="10"/>
      <c r="M289" s="29"/>
      <c r="N289" s="23"/>
      <c r="O289" s="10"/>
      <c r="P289" s="10"/>
    </row>
    <row r="290" spans="1:16" x14ac:dyDescent="0.3">
      <c r="A290" s="23"/>
      <c r="B290" s="10"/>
      <c r="C290" s="10"/>
      <c r="D290" s="29"/>
      <c r="E290" s="29"/>
      <c r="F290" s="29"/>
      <c r="G290" s="29"/>
      <c r="H290" s="29"/>
      <c r="I290" s="29"/>
      <c r="J290" s="29"/>
      <c r="K290" s="24"/>
      <c r="L290" s="10"/>
      <c r="M290" s="29"/>
      <c r="N290" s="23"/>
      <c r="O290" s="10"/>
      <c r="P290" s="10"/>
    </row>
    <row r="291" spans="1:16" x14ac:dyDescent="0.3">
      <c r="A291" s="23"/>
      <c r="B291" s="10"/>
      <c r="C291" s="10"/>
      <c r="D291" s="29"/>
      <c r="E291" s="29"/>
      <c r="F291" s="29"/>
      <c r="G291" s="29"/>
      <c r="H291" s="29"/>
      <c r="I291" s="29"/>
      <c r="J291" s="29"/>
      <c r="K291" s="24"/>
      <c r="L291" s="10"/>
      <c r="M291" s="29"/>
      <c r="N291" s="23"/>
      <c r="O291" s="10"/>
      <c r="P291" s="10"/>
    </row>
    <row r="292" spans="1:16" x14ac:dyDescent="0.3">
      <c r="A292" s="23"/>
      <c r="B292" s="10"/>
      <c r="C292" s="10"/>
      <c r="D292" s="29"/>
      <c r="E292" s="29"/>
      <c r="F292" s="29"/>
      <c r="G292" s="29"/>
      <c r="H292" s="29"/>
      <c r="I292" s="29"/>
      <c r="J292" s="29"/>
      <c r="K292" s="24"/>
      <c r="L292" s="10"/>
      <c r="M292" s="29"/>
      <c r="N292" s="23"/>
      <c r="O292" s="10"/>
      <c r="P292" s="10"/>
    </row>
    <row r="293" spans="1:16" x14ac:dyDescent="0.3">
      <c r="A293" s="23"/>
      <c r="B293" s="10"/>
      <c r="C293" s="10"/>
      <c r="D293" s="29"/>
      <c r="E293" s="29"/>
      <c r="F293" s="29"/>
      <c r="G293" s="29"/>
      <c r="H293" s="29"/>
      <c r="I293" s="29"/>
      <c r="J293" s="29"/>
      <c r="K293" s="24"/>
      <c r="L293" s="10"/>
      <c r="M293" s="29"/>
      <c r="N293" s="23"/>
      <c r="O293" s="10"/>
      <c r="P293" s="10"/>
    </row>
    <row r="294" spans="1:16" x14ac:dyDescent="0.3">
      <c r="A294" s="23"/>
      <c r="B294" s="10"/>
      <c r="C294" s="10"/>
      <c r="D294" s="29"/>
      <c r="E294" s="29"/>
      <c r="F294" s="29"/>
      <c r="G294" s="29"/>
      <c r="H294" s="29"/>
      <c r="I294" s="29"/>
      <c r="J294" s="29"/>
      <c r="K294" s="24"/>
      <c r="L294" s="10"/>
      <c r="M294" s="29"/>
      <c r="N294" s="23"/>
      <c r="O294" s="10"/>
      <c r="P294" s="10"/>
    </row>
    <row r="295" spans="1:16" x14ac:dyDescent="0.3">
      <c r="A295" s="23"/>
      <c r="B295" s="10"/>
      <c r="C295" s="10"/>
      <c r="D295" s="29"/>
      <c r="E295" s="29"/>
      <c r="F295" s="29"/>
      <c r="G295" s="29"/>
      <c r="H295" s="29"/>
      <c r="I295" s="29"/>
      <c r="J295" s="29"/>
      <c r="K295" s="24"/>
      <c r="L295" s="10"/>
      <c r="M295" s="29"/>
      <c r="N295" s="23"/>
      <c r="O295" s="10"/>
      <c r="P295" s="10"/>
    </row>
    <row r="296" spans="1:16" x14ac:dyDescent="0.3">
      <c r="A296" s="23"/>
      <c r="B296" s="10"/>
      <c r="C296" s="10"/>
      <c r="D296" s="29"/>
      <c r="E296" s="29"/>
      <c r="F296" s="29"/>
      <c r="G296" s="29"/>
      <c r="H296" s="29"/>
      <c r="I296" s="29"/>
      <c r="J296" s="29"/>
      <c r="K296" s="24"/>
      <c r="L296" s="10"/>
      <c r="M296" s="29"/>
      <c r="N296" s="23"/>
      <c r="O296" s="10"/>
      <c r="P296" s="10"/>
    </row>
    <row r="297" spans="1:16" x14ac:dyDescent="0.3">
      <c r="A297" s="23"/>
      <c r="B297" s="10"/>
      <c r="C297" s="10"/>
      <c r="D297" s="29"/>
      <c r="E297" s="29"/>
      <c r="F297" s="29"/>
      <c r="G297" s="29"/>
      <c r="H297" s="29"/>
      <c r="I297" s="29"/>
      <c r="J297" s="29"/>
      <c r="K297" s="24"/>
      <c r="L297" s="10"/>
      <c r="M297" s="29"/>
      <c r="N297" s="23"/>
      <c r="O297" s="10"/>
      <c r="P297" s="10"/>
    </row>
    <row r="298" spans="1:16" x14ac:dyDescent="0.3">
      <c r="A298" s="23"/>
      <c r="B298" s="10"/>
      <c r="C298" s="10"/>
      <c r="D298" s="29"/>
      <c r="E298" s="29"/>
      <c r="F298" s="29"/>
      <c r="G298" s="29"/>
      <c r="H298" s="29"/>
      <c r="I298" s="29"/>
      <c r="J298" s="29"/>
      <c r="K298" s="24"/>
      <c r="L298" s="10"/>
      <c r="M298" s="29"/>
      <c r="N298" s="23"/>
      <c r="O298" s="10"/>
      <c r="P298" s="10"/>
    </row>
    <row r="299" spans="1:16" x14ac:dyDescent="0.3">
      <c r="A299" s="23"/>
      <c r="B299" s="10"/>
      <c r="C299" s="10"/>
      <c r="D299" s="29"/>
      <c r="E299" s="29"/>
      <c r="F299" s="29"/>
      <c r="G299" s="29"/>
      <c r="H299" s="29"/>
      <c r="I299" s="29"/>
      <c r="J299" s="29"/>
      <c r="K299" s="24"/>
      <c r="L299" s="10"/>
      <c r="M299" s="29"/>
      <c r="N299" s="23"/>
      <c r="O299" s="10"/>
      <c r="P299" s="10"/>
    </row>
    <row r="300" spans="1:16" x14ac:dyDescent="0.3">
      <c r="A300" s="23"/>
      <c r="B300" s="10"/>
      <c r="C300" s="10"/>
      <c r="D300" s="29"/>
      <c r="E300" s="29"/>
      <c r="F300" s="29"/>
      <c r="G300" s="29"/>
      <c r="H300" s="29"/>
      <c r="I300" s="29"/>
      <c r="J300" s="29"/>
      <c r="K300" s="24"/>
      <c r="L300" s="10"/>
      <c r="M300" s="29"/>
      <c r="N300" s="23"/>
      <c r="O300" s="10"/>
      <c r="P300" s="10"/>
    </row>
    <row r="301" spans="1:16" x14ac:dyDescent="0.3">
      <c r="A301" s="23"/>
      <c r="B301" s="10"/>
      <c r="C301" s="10"/>
      <c r="D301" s="29"/>
      <c r="E301" s="29"/>
      <c r="F301" s="29"/>
      <c r="G301" s="29"/>
      <c r="H301" s="29"/>
      <c r="I301" s="29"/>
      <c r="J301" s="29"/>
      <c r="K301" s="24"/>
      <c r="L301" s="10"/>
      <c r="M301" s="29"/>
      <c r="N301" s="23"/>
      <c r="O301" s="10"/>
      <c r="P301" s="10"/>
    </row>
    <row r="302" spans="1:16" x14ac:dyDescent="0.3">
      <c r="A302" s="23"/>
      <c r="B302" s="10"/>
      <c r="C302" s="10"/>
      <c r="D302" s="29"/>
      <c r="E302" s="29"/>
      <c r="F302" s="29"/>
      <c r="G302" s="29"/>
      <c r="H302" s="29"/>
      <c r="I302" s="29"/>
      <c r="J302" s="29"/>
      <c r="K302" s="24"/>
      <c r="L302" s="10"/>
      <c r="M302" s="29"/>
      <c r="N302" s="23"/>
      <c r="O302" s="10"/>
      <c r="P302" s="10"/>
    </row>
    <row r="303" spans="1:16" x14ac:dyDescent="0.3">
      <c r="A303" s="23"/>
      <c r="B303" s="10"/>
      <c r="C303" s="10"/>
      <c r="D303" s="29"/>
      <c r="E303" s="29"/>
      <c r="F303" s="29"/>
      <c r="G303" s="29"/>
      <c r="H303" s="29"/>
      <c r="I303" s="29"/>
      <c r="J303" s="29"/>
      <c r="K303" s="24"/>
      <c r="L303" s="10"/>
      <c r="M303" s="29"/>
      <c r="N303" s="23"/>
      <c r="O303" s="10"/>
      <c r="P303" s="10"/>
    </row>
    <row r="304" spans="1:16" x14ac:dyDescent="0.3">
      <c r="A304" s="23"/>
      <c r="B304" s="10"/>
      <c r="C304" s="10"/>
      <c r="D304" s="29"/>
      <c r="E304" s="29"/>
      <c r="F304" s="29"/>
      <c r="G304" s="29"/>
      <c r="H304" s="29"/>
      <c r="I304" s="29"/>
      <c r="J304" s="29"/>
      <c r="K304" s="24"/>
      <c r="L304" s="10"/>
      <c r="M304" s="29"/>
      <c r="N304" s="23"/>
      <c r="O304" s="10"/>
      <c r="P304" s="10"/>
    </row>
    <row r="305" spans="1:16" x14ac:dyDescent="0.3">
      <c r="A305" s="23"/>
      <c r="B305" s="10"/>
      <c r="C305" s="10"/>
      <c r="D305" s="29"/>
      <c r="E305" s="29"/>
      <c r="F305" s="29"/>
      <c r="G305" s="29"/>
      <c r="H305" s="29"/>
      <c r="I305" s="29"/>
      <c r="J305" s="29"/>
      <c r="K305" s="24"/>
      <c r="L305" s="10"/>
      <c r="M305" s="29"/>
      <c r="N305" s="23"/>
      <c r="O305" s="10"/>
      <c r="P305" s="10"/>
    </row>
    <row r="306" spans="1:16" x14ac:dyDescent="0.3">
      <c r="A306" s="23"/>
      <c r="B306" s="10"/>
      <c r="C306" s="10"/>
      <c r="D306" s="29"/>
      <c r="E306" s="29"/>
      <c r="F306" s="29"/>
      <c r="G306" s="29"/>
      <c r="H306" s="29"/>
      <c r="I306" s="29"/>
      <c r="J306" s="29"/>
      <c r="K306" s="24"/>
      <c r="L306" s="10"/>
      <c r="M306" s="29"/>
      <c r="N306" s="23"/>
      <c r="O306" s="10"/>
      <c r="P306" s="10"/>
    </row>
    <row r="307" spans="1:16" x14ac:dyDescent="0.3">
      <c r="A307" s="23"/>
      <c r="B307" s="10"/>
      <c r="C307" s="10"/>
      <c r="D307" s="29"/>
      <c r="E307" s="29"/>
      <c r="F307" s="29"/>
      <c r="G307" s="29"/>
      <c r="H307" s="29"/>
      <c r="I307" s="29"/>
      <c r="J307" s="29"/>
      <c r="K307" s="24"/>
      <c r="L307" s="10"/>
      <c r="M307" s="29"/>
      <c r="N307" s="23"/>
      <c r="O307" s="10"/>
      <c r="P307" s="10"/>
    </row>
    <row r="308" spans="1:16" x14ac:dyDescent="0.3">
      <c r="A308" s="23"/>
      <c r="B308" s="10"/>
      <c r="C308" s="10"/>
      <c r="D308" s="29"/>
      <c r="E308" s="29"/>
      <c r="F308" s="29"/>
      <c r="G308" s="29"/>
      <c r="H308" s="29"/>
      <c r="I308" s="29"/>
      <c r="J308" s="29"/>
      <c r="K308" s="24"/>
      <c r="L308" s="10"/>
      <c r="M308" s="29"/>
      <c r="N308" s="23"/>
      <c r="O308" s="10"/>
      <c r="P308" s="10"/>
    </row>
    <row r="309" spans="1:16" x14ac:dyDescent="0.3">
      <c r="A309" s="23"/>
      <c r="B309" s="10"/>
      <c r="C309" s="10"/>
      <c r="D309" s="29"/>
      <c r="E309" s="29"/>
      <c r="F309" s="29"/>
      <c r="G309" s="29"/>
      <c r="H309" s="29"/>
      <c r="I309" s="29"/>
      <c r="J309" s="29"/>
      <c r="K309" s="24"/>
      <c r="L309" s="10"/>
      <c r="M309" s="29"/>
      <c r="N309" s="23"/>
      <c r="O309" s="10"/>
      <c r="P309" s="10"/>
    </row>
    <row r="310" spans="1:16" x14ac:dyDescent="0.3">
      <c r="A310" s="23"/>
      <c r="B310" s="10"/>
      <c r="C310" s="10"/>
      <c r="D310" s="29"/>
      <c r="E310" s="29"/>
      <c r="F310" s="29"/>
      <c r="G310" s="29"/>
      <c r="H310" s="29"/>
      <c r="I310" s="29"/>
      <c r="J310" s="29"/>
      <c r="K310" s="24"/>
      <c r="L310" s="10"/>
      <c r="M310" s="29"/>
      <c r="N310" s="23"/>
      <c r="O310" s="10"/>
      <c r="P310" s="10"/>
    </row>
    <row r="311" spans="1:16" x14ac:dyDescent="0.3">
      <c r="A311" s="23"/>
      <c r="B311" s="10"/>
      <c r="C311" s="10"/>
      <c r="D311" s="29"/>
      <c r="E311" s="29"/>
      <c r="F311" s="29"/>
      <c r="G311" s="29"/>
      <c r="H311" s="29"/>
      <c r="I311" s="29"/>
      <c r="J311" s="29"/>
      <c r="K311" s="24"/>
      <c r="L311" s="10"/>
      <c r="M311" s="29"/>
      <c r="N311" s="23"/>
      <c r="O311" s="10"/>
      <c r="P311" s="10"/>
    </row>
    <row r="312" spans="1:16" x14ac:dyDescent="0.3">
      <c r="A312" s="23"/>
      <c r="B312" s="10"/>
      <c r="C312" s="10"/>
      <c r="D312" s="29"/>
      <c r="E312" s="29"/>
      <c r="F312" s="29"/>
      <c r="G312" s="29"/>
      <c r="H312" s="29"/>
      <c r="I312" s="29"/>
      <c r="J312" s="29"/>
      <c r="K312" s="24"/>
      <c r="L312" s="10"/>
      <c r="M312" s="29"/>
      <c r="N312" s="23"/>
      <c r="O312" s="10"/>
      <c r="P312" s="10"/>
    </row>
    <row r="313" spans="1:16" x14ac:dyDescent="0.3">
      <c r="A313" s="23"/>
      <c r="B313" s="10"/>
      <c r="C313" s="10"/>
      <c r="D313" s="29"/>
      <c r="E313" s="29"/>
      <c r="F313" s="29"/>
      <c r="G313" s="29"/>
      <c r="H313" s="29"/>
      <c r="I313" s="29"/>
      <c r="J313" s="29"/>
      <c r="K313" s="24"/>
      <c r="L313" s="10"/>
      <c r="M313" s="29"/>
      <c r="N313" s="23"/>
      <c r="O313" s="10"/>
      <c r="P313" s="10"/>
    </row>
    <row r="314" spans="1:16" x14ac:dyDescent="0.3">
      <c r="A314" s="23"/>
      <c r="B314" s="10"/>
      <c r="C314" s="10"/>
      <c r="D314" s="29"/>
      <c r="E314" s="29"/>
      <c r="F314" s="29"/>
      <c r="G314" s="29"/>
      <c r="H314" s="29"/>
      <c r="I314" s="29"/>
      <c r="J314" s="29"/>
      <c r="K314" s="24"/>
      <c r="L314" s="10"/>
      <c r="M314" s="29"/>
      <c r="N314" s="23"/>
      <c r="O314" s="10"/>
      <c r="P314" s="10"/>
    </row>
    <row r="315" spans="1:16" x14ac:dyDescent="0.3">
      <c r="A315" s="23"/>
      <c r="B315" s="10"/>
      <c r="C315" s="10"/>
      <c r="D315" s="29"/>
      <c r="E315" s="29"/>
      <c r="F315" s="29"/>
      <c r="G315" s="29"/>
      <c r="H315" s="29"/>
      <c r="I315" s="29"/>
      <c r="J315" s="29"/>
      <c r="K315" s="24"/>
      <c r="L315" s="10"/>
      <c r="M315" s="29"/>
      <c r="N315" s="23"/>
      <c r="O315" s="10"/>
      <c r="P315" s="10"/>
    </row>
    <row r="316" spans="1:16" x14ac:dyDescent="0.3">
      <c r="A316" s="23"/>
      <c r="B316" s="10"/>
      <c r="C316" s="10"/>
      <c r="D316" s="29"/>
      <c r="E316" s="29"/>
      <c r="F316" s="29"/>
      <c r="G316" s="29"/>
      <c r="H316" s="29"/>
      <c r="I316" s="29"/>
      <c r="J316" s="29"/>
      <c r="K316" s="24"/>
      <c r="L316" s="10"/>
      <c r="M316" s="29"/>
      <c r="N316" s="23"/>
      <c r="O316" s="10"/>
      <c r="P316" s="10"/>
    </row>
    <row r="317" spans="1:16" x14ac:dyDescent="0.3">
      <c r="A317" s="23"/>
      <c r="B317" s="10"/>
      <c r="C317" s="10"/>
      <c r="D317" s="29"/>
      <c r="E317" s="29"/>
      <c r="F317" s="29"/>
      <c r="G317" s="29"/>
      <c r="H317" s="29"/>
      <c r="I317" s="29"/>
      <c r="J317" s="29"/>
      <c r="K317" s="24"/>
      <c r="L317" s="10"/>
      <c r="M317" s="29"/>
      <c r="N317" s="23"/>
      <c r="O317" s="10"/>
      <c r="P317" s="10"/>
    </row>
    <row r="318" spans="1:16" x14ac:dyDescent="0.3">
      <c r="A318" s="23"/>
      <c r="B318" s="10"/>
      <c r="C318" s="10"/>
      <c r="D318" s="29"/>
      <c r="E318" s="29"/>
      <c r="F318" s="29"/>
      <c r="G318" s="29"/>
      <c r="H318" s="29"/>
      <c r="I318" s="29"/>
      <c r="J318" s="29"/>
      <c r="K318" s="24"/>
      <c r="L318" s="10"/>
      <c r="M318" s="29"/>
      <c r="N318" s="23"/>
      <c r="O318" s="10"/>
      <c r="P318" s="10"/>
    </row>
    <row r="319" spans="1:16" x14ac:dyDescent="0.3">
      <c r="A319" s="23"/>
      <c r="B319" s="10"/>
      <c r="C319" s="10"/>
      <c r="D319" s="29"/>
      <c r="E319" s="29"/>
      <c r="F319" s="29"/>
      <c r="G319" s="29"/>
      <c r="H319" s="29"/>
      <c r="I319" s="29"/>
      <c r="J319" s="29"/>
      <c r="K319" s="24"/>
      <c r="L319" s="10"/>
      <c r="M319" s="29"/>
      <c r="N319" s="23"/>
      <c r="O319" s="10"/>
      <c r="P319" s="10"/>
    </row>
    <row r="320" spans="1:16" x14ac:dyDescent="0.3">
      <c r="A320" s="23"/>
      <c r="B320" s="10"/>
      <c r="C320" s="10"/>
      <c r="D320" s="29"/>
      <c r="E320" s="29"/>
      <c r="F320" s="29"/>
      <c r="G320" s="29"/>
      <c r="H320" s="29"/>
      <c r="I320" s="29"/>
      <c r="J320" s="29"/>
      <c r="K320" s="24"/>
      <c r="L320" s="10"/>
      <c r="M320" s="29"/>
      <c r="N320" s="23"/>
      <c r="O320" s="10"/>
      <c r="P320" s="10"/>
    </row>
    <row r="321" spans="1:16" x14ac:dyDescent="0.3">
      <c r="A321" s="23"/>
      <c r="B321" s="10"/>
      <c r="C321" s="10"/>
      <c r="D321" s="29"/>
      <c r="E321" s="29"/>
      <c r="F321" s="29"/>
      <c r="G321" s="29"/>
      <c r="H321" s="29"/>
      <c r="I321" s="29"/>
      <c r="J321" s="29"/>
      <c r="K321" s="24"/>
      <c r="L321" s="10"/>
      <c r="M321" s="29"/>
      <c r="N321" s="23"/>
      <c r="O321" s="10"/>
      <c r="P321" s="10"/>
    </row>
    <row r="322" spans="1:16" x14ac:dyDescent="0.3">
      <c r="A322" s="23"/>
      <c r="B322" s="10"/>
      <c r="C322" s="10"/>
      <c r="D322" s="29"/>
      <c r="E322" s="29"/>
      <c r="F322" s="29"/>
      <c r="G322" s="29"/>
      <c r="H322" s="29"/>
      <c r="I322" s="29"/>
      <c r="J322" s="29"/>
      <c r="K322" s="24"/>
      <c r="L322" s="10"/>
      <c r="M322" s="29"/>
      <c r="N322" s="23"/>
      <c r="O322" s="10"/>
      <c r="P322" s="10"/>
    </row>
    <row r="323" spans="1:16" x14ac:dyDescent="0.3">
      <c r="A323" s="23"/>
      <c r="B323" s="10"/>
      <c r="C323" s="10"/>
      <c r="D323" s="29"/>
      <c r="E323" s="29"/>
      <c r="F323" s="29"/>
      <c r="G323" s="29"/>
      <c r="H323" s="29"/>
      <c r="I323" s="29"/>
      <c r="J323" s="29"/>
      <c r="K323" s="24"/>
      <c r="L323" s="10"/>
      <c r="M323" s="29"/>
      <c r="N323" s="23"/>
      <c r="O323" s="10"/>
      <c r="P323" s="10"/>
    </row>
    <row r="324" spans="1:16" x14ac:dyDescent="0.3">
      <c r="A324" s="23"/>
      <c r="B324" s="10"/>
      <c r="C324" s="10"/>
      <c r="D324" s="29"/>
      <c r="E324" s="29"/>
      <c r="F324" s="29"/>
      <c r="G324" s="29"/>
      <c r="H324" s="29"/>
      <c r="I324" s="29"/>
      <c r="J324" s="29"/>
      <c r="K324" s="24"/>
      <c r="L324" s="10"/>
      <c r="M324" s="29"/>
      <c r="N324" s="23"/>
      <c r="O324" s="10"/>
      <c r="P324" s="10"/>
    </row>
    <row r="325" spans="1:16" x14ac:dyDescent="0.3">
      <c r="A325" s="23"/>
      <c r="B325" s="10"/>
      <c r="C325" s="10"/>
      <c r="D325" s="29"/>
      <c r="E325" s="29"/>
      <c r="F325" s="29"/>
      <c r="G325" s="29"/>
      <c r="H325" s="29"/>
      <c r="I325" s="29"/>
      <c r="J325" s="29"/>
      <c r="K325" s="24"/>
      <c r="L325" s="10"/>
      <c r="M325" s="29"/>
      <c r="N325" s="23"/>
      <c r="O325" s="10"/>
      <c r="P325" s="10"/>
    </row>
    <row r="326" spans="1:16" x14ac:dyDescent="0.3">
      <c r="A326" s="23"/>
      <c r="B326" s="10"/>
      <c r="C326" s="10"/>
      <c r="D326" s="29"/>
      <c r="E326" s="29"/>
      <c r="F326" s="29"/>
      <c r="G326" s="29"/>
      <c r="H326" s="29"/>
      <c r="I326" s="29"/>
      <c r="J326" s="29"/>
      <c r="K326" s="24"/>
      <c r="L326" s="10"/>
      <c r="M326" s="29"/>
      <c r="N326" s="23"/>
      <c r="O326" s="10"/>
      <c r="P326" s="10"/>
    </row>
    <row r="327" spans="1:16" x14ac:dyDescent="0.3">
      <c r="A327" s="23"/>
      <c r="B327" s="10"/>
      <c r="C327" s="10"/>
      <c r="D327" s="29"/>
      <c r="E327" s="29"/>
      <c r="F327" s="29"/>
      <c r="G327" s="29"/>
      <c r="H327" s="29"/>
      <c r="I327" s="29"/>
      <c r="J327" s="29"/>
      <c r="K327" s="24"/>
      <c r="L327" s="10"/>
      <c r="M327" s="29"/>
      <c r="N327" s="23"/>
      <c r="O327" s="10"/>
      <c r="P327" s="10"/>
    </row>
    <row r="328" spans="1:16" x14ac:dyDescent="0.3">
      <c r="A328" s="23"/>
      <c r="B328" s="10"/>
      <c r="C328" s="10"/>
      <c r="D328" s="29"/>
      <c r="E328" s="29"/>
      <c r="F328" s="29"/>
      <c r="G328" s="29"/>
      <c r="H328" s="29"/>
      <c r="I328" s="29"/>
      <c r="J328" s="29"/>
      <c r="K328" s="24"/>
      <c r="L328" s="10"/>
      <c r="M328" s="29"/>
      <c r="N328" s="23"/>
      <c r="O328" s="10"/>
      <c r="P328" s="10"/>
    </row>
    <row r="329" spans="1:16" x14ac:dyDescent="0.3">
      <c r="A329" s="23"/>
      <c r="B329" s="10"/>
      <c r="C329" s="10"/>
      <c r="D329" s="29"/>
      <c r="E329" s="29"/>
      <c r="F329" s="29"/>
      <c r="G329" s="29"/>
      <c r="H329" s="29"/>
      <c r="I329" s="29"/>
      <c r="J329" s="29"/>
      <c r="K329" s="24"/>
      <c r="L329" s="10"/>
      <c r="M329" s="29"/>
      <c r="N329" s="23"/>
      <c r="O329" s="10"/>
      <c r="P329" s="10"/>
    </row>
    <row r="330" spans="1:16" x14ac:dyDescent="0.3">
      <c r="A330" s="23"/>
      <c r="B330" s="10"/>
      <c r="C330" s="10"/>
      <c r="D330" s="29"/>
      <c r="E330" s="29"/>
      <c r="F330" s="29"/>
      <c r="G330" s="29"/>
      <c r="H330" s="29"/>
      <c r="I330" s="29"/>
      <c r="J330" s="29"/>
      <c r="K330" s="24"/>
      <c r="L330" s="10"/>
      <c r="M330" s="29"/>
      <c r="N330" s="23"/>
      <c r="O330" s="10"/>
      <c r="P330" s="10"/>
    </row>
    <row r="331" spans="1:16" x14ac:dyDescent="0.3">
      <c r="A331" s="23"/>
      <c r="B331" s="10"/>
      <c r="C331" s="10"/>
      <c r="D331" s="29"/>
      <c r="E331" s="29"/>
      <c r="F331" s="29"/>
      <c r="G331" s="29"/>
      <c r="H331" s="29"/>
      <c r="I331" s="29"/>
      <c r="J331" s="29"/>
      <c r="K331" s="24"/>
      <c r="L331" s="10"/>
      <c r="M331" s="29"/>
      <c r="N331" s="23"/>
      <c r="O331" s="10"/>
      <c r="P331" s="10"/>
    </row>
    <row r="332" spans="1:16" x14ac:dyDescent="0.3">
      <c r="A332" s="23"/>
      <c r="B332" s="10"/>
      <c r="C332" s="10"/>
      <c r="D332" s="29"/>
      <c r="E332" s="29"/>
      <c r="F332" s="29"/>
      <c r="G332" s="29"/>
      <c r="H332" s="29"/>
      <c r="I332" s="29"/>
      <c r="J332" s="29"/>
      <c r="K332" s="24"/>
      <c r="L332" s="10"/>
      <c r="M332" s="29"/>
      <c r="N332" s="23"/>
      <c r="O332" s="10"/>
      <c r="P332" s="10"/>
    </row>
    <row r="333" spans="1:16" x14ac:dyDescent="0.3">
      <c r="A333" s="23"/>
      <c r="B333" s="10"/>
      <c r="C333" s="10"/>
      <c r="D333" s="29"/>
      <c r="E333" s="29"/>
      <c r="F333" s="29"/>
      <c r="G333" s="29"/>
      <c r="H333" s="29"/>
      <c r="I333" s="29"/>
      <c r="J333" s="29"/>
      <c r="K333" s="24"/>
      <c r="L333" s="10"/>
      <c r="M333" s="29"/>
      <c r="N333" s="23"/>
      <c r="O333" s="10"/>
      <c r="P333" s="10"/>
    </row>
    <row r="334" spans="1:16" x14ac:dyDescent="0.3">
      <c r="A334" s="23"/>
      <c r="B334" s="10"/>
      <c r="C334" s="10"/>
      <c r="D334" s="29"/>
      <c r="E334" s="29"/>
      <c r="F334" s="29"/>
      <c r="G334" s="29"/>
      <c r="H334" s="29"/>
      <c r="I334" s="29"/>
      <c r="J334" s="29"/>
      <c r="K334" s="24"/>
      <c r="L334" s="10"/>
      <c r="M334" s="29"/>
      <c r="N334" s="23"/>
      <c r="O334" s="10"/>
      <c r="P334" s="10"/>
    </row>
    <row r="335" spans="1:16" x14ac:dyDescent="0.3">
      <c r="A335" s="23"/>
      <c r="B335" s="10"/>
      <c r="C335" s="10"/>
      <c r="D335" s="29"/>
      <c r="E335" s="29"/>
      <c r="F335" s="29"/>
      <c r="G335" s="29"/>
      <c r="H335" s="29"/>
      <c r="I335" s="29"/>
      <c r="J335" s="29"/>
      <c r="K335" s="24"/>
      <c r="L335" s="10"/>
      <c r="M335" s="29"/>
      <c r="N335" s="23"/>
      <c r="O335" s="10"/>
      <c r="P335" s="10"/>
    </row>
    <row r="336" spans="1:16" x14ac:dyDescent="0.3">
      <c r="A336" s="23"/>
      <c r="B336" s="10"/>
      <c r="C336" s="10"/>
      <c r="D336" s="29"/>
      <c r="E336" s="29"/>
      <c r="F336" s="29"/>
      <c r="G336" s="29"/>
      <c r="H336" s="29"/>
      <c r="I336" s="29"/>
      <c r="J336" s="29"/>
      <c r="K336" s="24"/>
      <c r="L336" s="10"/>
      <c r="M336" s="29"/>
      <c r="N336" s="23"/>
      <c r="O336" s="10"/>
      <c r="P336" s="10"/>
    </row>
    <row r="337" spans="1:16" x14ac:dyDescent="0.3">
      <c r="A337" s="23"/>
      <c r="B337" s="10"/>
      <c r="C337" s="10"/>
      <c r="D337" s="29"/>
      <c r="E337" s="29"/>
      <c r="F337" s="29"/>
      <c r="G337" s="29"/>
      <c r="H337" s="29"/>
      <c r="I337" s="29"/>
      <c r="J337" s="29"/>
      <c r="K337" s="24"/>
      <c r="L337" s="10"/>
      <c r="M337" s="29"/>
      <c r="N337" s="23"/>
      <c r="O337" s="10"/>
      <c r="P337" s="10"/>
    </row>
    <row r="338" spans="1:16" x14ac:dyDescent="0.3">
      <c r="A338" s="23"/>
      <c r="B338" s="10"/>
      <c r="C338" s="10"/>
      <c r="D338" s="29"/>
      <c r="E338" s="29"/>
      <c r="F338" s="29"/>
      <c r="G338" s="29"/>
      <c r="H338" s="29"/>
      <c r="I338" s="29"/>
      <c r="J338" s="29"/>
      <c r="K338" s="24"/>
      <c r="L338" s="10"/>
      <c r="M338" s="29"/>
      <c r="N338" s="23"/>
      <c r="O338" s="10"/>
      <c r="P338" s="10"/>
    </row>
    <row r="339" spans="1:16" x14ac:dyDescent="0.3">
      <c r="A339" s="23"/>
      <c r="B339" s="10"/>
      <c r="C339" s="10"/>
      <c r="D339" s="29"/>
      <c r="E339" s="29"/>
      <c r="F339" s="29"/>
      <c r="G339" s="29"/>
      <c r="H339" s="29"/>
      <c r="I339" s="29"/>
      <c r="J339" s="29"/>
      <c r="K339" s="24"/>
      <c r="L339" s="10"/>
      <c r="M339" s="29"/>
      <c r="N339" s="23"/>
      <c r="O339" s="10"/>
      <c r="P339" s="10"/>
    </row>
    <row r="340" spans="1:16" x14ac:dyDescent="0.3">
      <c r="A340" s="23"/>
      <c r="B340" s="10"/>
      <c r="C340" s="10"/>
      <c r="D340" s="29"/>
      <c r="E340" s="29"/>
      <c r="F340" s="29"/>
      <c r="G340" s="29"/>
      <c r="H340" s="29"/>
      <c r="I340" s="29"/>
      <c r="J340" s="29"/>
      <c r="K340" s="24"/>
      <c r="L340" s="10"/>
      <c r="M340" s="29"/>
      <c r="N340" s="23"/>
      <c r="O340" s="10"/>
      <c r="P340" s="10"/>
    </row>
    <row r="341" spans="1:16" x14ac:dyDescent="0.3">
      <c r="A341" s="23"/>
      <c r="B341" s="10"/>
      <c r="C341" s="10"/>
      <c r="D341" s="29"/>
      <c r="E341" s="29"/>
      <c r="F341" s="29"/>
      <c r="G341" s="29"/>
      <c r="H341" s="29"/>
      <c r="I341" s="29"/>
      <c r="J341" s="29"/>
      <c r="K341" s="24"/>
      <c r="L341" s="10"/>
      <c r="M341" s="29"/>
      <c r="N341" s="23"/>
      <c r="O341" s="10"/>
      <c r="P341" s="10"/>
    </row>
    <row r="342" spans="1:16" x14ac:dyDescent="0.3">
      <c r="A342" s="23"/>
      <c r="B342" s="10"/>
      <c r="C342" s="10"/>
      <c r="D342" s="29"/>
      <c r="E342" s="29"/>
      <c r="F342" s="29"/>
      <c r="G342" s="29"/>
      <c r="H342" s="29"/>
      <c r="I342" s="29"/>
      <c r="J342" s="29"/>
      <c r="K342" s="24"/>
      <c r="L342" s="10"/>
      <c r="M342" s="29"/>
      <c r="N342" s="23"/>
      <c r="O342" s="10"/>
      <c r="P342" s="10"/>
    </row>
    <row r="343" spans="1:16" x14ac:dyDescent="0.3">
      <c r="A343" s="23"/>
      <c r="B343" s="10"/>
      <c r="C343" s="10"/>
      <c r="D343" s="29"/>
      <c r="E343" s="29"/>
      <c r="F343" s="29"/>
      <c r="G343" s="29"/>
      <c r="H343" s="29"/>
      <c r="I343" s="29"/>
      <c r="J343" s="29"/>
      <c r="K343" s="24"/>
      <c r="L343" s="10"/>
      <c r="M343" s="29"/>
      <c r="N343" s="23"/>
      <c r="O343" s="10"/>
      <c r="P343" s="10"/>
    </row>
    <row r="344" spans="1:16" x14ac:dyDescent="0.3">
      <c r="A344" s="23"/>
      <c r="B344" s="10"/>
      <c r="C344" s="10"/>
      <c r="D344" s="29"/>
      <c r="E344" s="29"/>
      <c r="F344" s="29"/>
      <c r="G344" s="29"/>
      <c r="H344" s="29"/>
      <c r="I344" s="29"/>
      <c r="J344" s="29"/>
      <c r="K344" s="24"/>
      <c r="L344" s="10"/>
      <c r="M344" s="29"/>
      <c r="N344" s="23"/>
      <c r="O344" s="10"/>
      <c r="P344" s="10"/>
    </row>
    <row r="345" spans="1:16" x14ac:dyDescent="0.3">
      <c r="A345" s="23"/>
      <c r="B345" s="10"/>
      <c r="C345" s="10"/>
      <c r="D345" s="29"/>
      <c r="E345" s="29"/>
      <c r="F345" s="29"/>
      <c r="G345" s="29"/>
      <c r="H345" s="29"/>
      <c r="I345" s="29"/>
      <c r="J345" s="29"/>
      <c r="K345" s="24"/>
      <c r="L345" s="10"/>
      <c r="M345" s="29"/>
      <c r="N345" s="23"/>
      <c r="O345" s="10"/>
      <c r="P345" s="10"/>
    </row>
    <row r="346" spans="1:16" x14ac:dyDescent="0.3">
      <c r="A346" s="23"/>
      <c r="B346" s="10"/>
      <c r="C346" s="10"/>
      <c r="D346" s="29"/>
      <c r="E346" s="29"/>
      <c r="F346" s="29"/>
      <c r="G346" s="29"/>
      <c r="H346" s="29"/>
      <c r="I346" s="29"/>
      <c r="J346" s="29"/>
      <c r="K346" s="24"/>
      <c r="L346" s="10"/>
      <c r="M346" s="29"/>
      <c r="N346" s="23"/>
      <c r="O346" s="10"/>
      <c r="P346" s="10"/>
    </row>
    <row r="347" spans="1:16" x14ac:dyDescent="0.3">
      <c r="A347" s="23"/>
      <c r="B347" s="10"/>
      <c r="C347" s="10"/>
      <c r="D347" s="29"/>
      <c r="E347" s="29"/>
      <c r="F347" s="29"/>
      <c r="G347" s="29"/>
      <c r="H347" s="29"/>
      <c r="I347" s="29"/>
      <c r="J347" s="29"/>
      <c r="K347" s="24"/>
      <c r="L347" s="10"/>
      <c r="M347" s="29"/>
      <c r="N347" s="23"/>
      <c r="O347" s="10"/>
      <c r="P347" s="10"/>
    </row>
    <row r="348" spans="1:16" x14ac:dyDescent="0.3">
      <c r="A348" s="23"/>
      <c r="B348" s="10"/>
      <c r="C348" s="10"/>
      <c r="D348" s="29"/>
      <c r="E348" s="29"/>
      <c r="F348" s="29"/>
      <c r="G348" s="29"/>
      <c r="H348" s="29"/>
      <c r="I348" s="29"/>
      <c r="J348" s="29"/>
      <c r="K348" s="24"/>
      <c r="L348" s="10"/>
      <c r="M348" s="29"/>
      <c r="N348" s="23"/>
      <c r="O348" s="10"/>
      <c r="P348" s="10"/>
    </row>
    <row r="349" spans="1:16" x14ac:dyDescent="0.3">
      <c r="A349" s="23"/>
      <c r="B349" s="10"/>
      <c r="C349" s="10"/>
      <c r="D349" s="29"/>
      <c r="E349" s="29"/>
      <c r="F349" s="29"/>
      <c r="G349" s="29"/>
      <c r="H349" s="29"/>
      <c r="I349" s="29"/>
      <c r="J349" s="29"/>
      <c r="K349" s="24"/>
      <c r="L349" s="10"/>
      <c r="M349" s="29"/>
      <c r="N349" s="23"/>
      <c r="O349" s="10"/>
      <c r="P349" s="10"/>
    </row>
    <row r="350" spans="1:16" x14ac:dyDescent="0.3">
      <c r="A350" s="23"/>
      <c r="B350" s="10"/>
      <c r="C350" s="10"/>
      <c r="D350" s="29"/>
      <c r="E350" s="29"/>
      <c r="F350" s="29"/>
      <c r="G350" s="29"/>
      <c r="H350" s="29"/>
      <c r="I350" s="29"/>
      <c r="J350" s="29"/>
      <c r="K350" s="24"/>
      <c r="L350" s="10"/>
      <c r="M350" s="29"/>
      <c r="N350" s="23"/>
      <c r="O350" s="10"/>
      <c r="P350" s="10"/>
    </row>
    <row r="351" spans="1:16" x14ac:dyDescent="0.3">
      <c r="A351" s="23"/>
      <c r="B351" s="10"/>
      <c r="C351" s="10"/>
      <c r="D351" s="29"/>
      <c r="E351" s="29"/>
      <c r="F351" s="29"/>
      <c r="G351" s="29"/>
      <c r="H351" s="29"/>
      <c r="I351" s="29"/>
      <c r="J351" s="29"/>
      <c r="K351" s="24"/>
      <c r="L351" s="10"/>
      <c r="M351" s="29"/>
      <c r="N351" s="23"/>
      <c r="O351" s="10"/>
      <c r="P351" s="10"/>
    </row>
    <row r="352" spans="1:16" x14ac:dyDescent="0.3">
      <c r="A352" s="23"/>
      <c r="B352" s="10"/>
      <c r="C352" s="10"/>
      <c r="D352" s="29"/>
      <c r="E352" s="29"/>
      <c r="F352" s="29"/>
      <c r="G352" s="29"/>
      <c r="H352" s="29"/>
      <c r="I352" s="29"/>
      <c r="J352" s="29"/>
      <c r="K352" s="24"/>
      <c r="L352" s="10"/>
      <c r="M352" s="29"/>
      <c r="N352" s="23"/>
      <c r="O352" s="10"/>
      <c r="P352" s="10"/>
    </row>
    <row r="353" spans="1:16" x14ac:dyDescent="0.3">
      <c r="A353" s="23"/>
      <c r="B353" s="10"/>
      <c r="C353" s="10"/>
      <c r="D353" s="29"/>
      <c r="E353" s="29"/>
      <c r="F353" s="29"/>
      <c r="G353" s="29"/>
      <c r="H353" s="29"/>
      <c r="I353" s="29"/>
      <c r="J353" s="29"/>
      <c r="K353" s="24"/>
      <c r="L353" s="10"/>
      <c r="M353" s="29"/>
      <c r="N353" s="23"/>
      <c r="O353" s="10"/>
      <c r="P353" s="10"/>
    </row>
    <row r="354" spans="1:16" x14ac:dyDescent="0.3">
      <c r="A354" s="23"/>
      <c r="B354" s="10"/>
      <c r="C354" s="10"/>
      <c r="D354" s="29"/>
      <c r="E354" s="29"/>
      <c r="F354" s="29"/>
      <c r="G354" s="29"/>
      <c r="H354" s="29"/>
      <c r="I354" s="29"/>
      <c r="J354" s="29"/>
      <c r="K354" s="24"/>
      <c r="L354" s="10"/>
      <c r="M354" s="29"/>
      <c r="N354" s="23"/>
      <c r="O354" s="10"/>
      <c r="P354" s="10"/>
    </row>
    <row r="355" spans="1:16" x14ac:dyDescent="0.3">
      <c r="A355" s="23"/>
      <c r="B355" s="10"/>
      <c r="C355" s="10"/>
      <c r="D355" s="29"/>
      <c r="E355" s="29"/>
      <c r="F355" s="29"/>
      <c r="G355" s="29"/>
      <c r="H355" s="29"/>
      <c r="I355" s="29"/>
      <c r="J355" s="29"/>
      <c r="K355" s="24"/>
      <c r="L355" s="10"/>
      <c r="M355" s="29"/>
      <c r="N355" s="23"/>
      <c r="O355" s="10"/>
      <c r="P355" s="10"/>
    </row>
    <row r="356" spans="1:16" x14ac:dyDescent="0.3">
      <c r="A356" s="23"/>
      <c r="B356" s="10"/>
      <c r="C356" s="10"/>
      <c r="D356" s="29"/>
      <c r="E356" s="29"/>
      <c r="F356" s="29"/>
      <c r="G356" s="29"/>
      <c r="H356" s="29"/>
      <c r="I356" s="29"/>
      <c r="J356" s="29"/>
      <c r="K356" s="24"/>
      <c r="L356" s="10"/>
      <c r="M356" s="29"/>
      <c r="N356" s="23"/>
      <c r="O356" s="10"/>
      <c r="P356" s="10"/>
    </row>
    <row r="357" spans="1:16" x14ac:dyDescent="0.3">
      <c r="A357" s="23"/>
      <c r="B357" s="10"/>
      <c r="C357" s="10"/>
      <c r="D357" s="29"/>
      <c r="E357" s="29"/>
      <c r="F357" s="29"/>
      <c r="G357" s="29"/>
      <c r="H357" s="29"/>
      <c r="I357" s="29"/>
      <c r="J357" s="29"/>
      <c r="K357" s="24"/>
      <c r="L357" s="10"/>
      <c r="M357" s="29"/>
      <c r="N357" s="23"/>
      <c r="O357" s="10"/>
      <c r="P357" s="10"/>
    </row>
    <row r="358" spans="1:16" x14ac:dyDescent="0.3">
      <c r="A358" s="23"/>
      <c r="B358" s="10"/>
      <c r="C358" s="10"/>
      <c r="D358" s="29"/>
      <c r="E358" s="29"/>
      <c r="F358" s="29"/>
      <c r="G358" s="29"/>
      <c r="H358" s="29"/>
      <c r="I358" s="29"/>
      <c r="J358" s="29"/>
      <c r="K358" s="24"/>
      <c r="L358" s="10"/>
      <c r="M358" s="29"/>
      <c r="N358" s="23"/>
      <c r="O358" s="10"/>
      <c r="P358" s="10"/>
    </row>
    <row r="359" spans="1:16" x14ac:dyDescent="0.3">
      <c r="A359" s="23"/>
      <c r="B359" s="10"/>
      <c r="C359" s="10"/>
      <c r="D359" s="29"/>
      <c r="E359" s="29"/>
      <c r="F359" s="29"/>
      <c r="G359" s="29"/>
      <c r="H359" s="29"/>
      <c r="I359" s="29"/>
      <c r="J359" s="29"/>
      <c r="K359" s="24"/>
      <c r="L359" s="10"/>
      <c r="M359" s="29"/>
      <c r="N359" s="23"/>
      <c r="O359" s="10"/>
      <c r="P359" s="10"/>
    </row>
    <row r="360" spans="1:16" x14ac:dyDescent="0.3">
      <c r="A360" s="23"/>
      <c r="B360" s="10"/>
      <c r="C360" s="10"/>
      <c r="D360" s="29"/>
      <c r="E360" s="29"/>
      <c r="F360" s="29"/>
      <c r="G360" s="29"/>
      <c r="H360" s="29"/>
      <c r="I360" s="29"/>
      <c r="J360" s="29"/>
      <c r="K360" s="24"/>
      <c r="L360" s="10"/>
      <c r="M360" s="29"/>
      <c r="N360" s="23"/>
      <c r="O360" s="10"/>
      <c r="P360" s="10"/>
    </row>
    <row r="361" spans="1:16" x14ac:dyDescent="0.3">
      <c r="A361" s="23"/>
      <c r="B361" s="10"/>
      <c r="C361" s="10"/>
      <c r="D361" s="29"/>
      <c r="E361" s="29"/>
      <c r="F361" s="29"/>
      <c r="G361" s="29"/>
      <c r="H361" s="29"/>
      <c r="I361" s="29"/>
      <c r="J361" s="29"/>
      <c r="K361" s="24"/>
      <c r="L361" s="10"/>
      <c r="M361" s="29"/>
      <c r="N361" s="23"/>
      <c r="O361" s="10"/>
      <c r="P361" s="10"/>
    </row>
    <row r="362" spans="1:16" x14ac:dyDescent="0.3">
      <c r="A362" s="23"/>
      <c r="B362" s="10"/>
      <c r="C362" s="10"/>
      <c r="D362" s="29"/>
      <c r="E362" s="29"/>
      <c r="F362" s="29"/>
      <c r="G362" s="29"/>
      <c r="H362" s="29"/>
      <c r="I362" s="29"/>
      <c r="J362" s="29"/>
      <c r="K362" s="24"/>
      <c r="L362" s="10"/>
      <c r="M362" s="29"/>
      <c r="N362" s="23"/>
      <c r="O362" s="10"/>
      <c r="P362" s="10"/>
    </row>
    <row r="363" spans="1:16" x14ac:dyDescent="0.3">
      <c r="A363" s="23"/>
      <c r="B363" s="10"/>
      <c r="C363" s="10"/>
      <c r="D363" s="29"/>
      <c r="E363" s="29"/>
      <c r="F363" s="29"/>
      <c r="G363" s="29"/>
      <c r="H363" s="29"/>
      <c r="I363" s="29"/>
      <c r="J363" s="29"/>
      <c r="K363" s="24"/>
      <c r="L363" s="10"/>
      <c r="M363" s="29"/>
      <c r="N363" s="23"/>
      <c r="O363" s="10"/>
      <c r="P363" s="10"/>
    </row>
    <row r="364" spans="1:16" x14ac:dyDescent="0.3">
      <c r="A364" s="23"/>
      <c r="B364" s="10"/>
      <c r="C364" s="10"/>
      <c r="D364" s="29"/>
      <c r="E364" s="29"/>
      <c r="F364" s="29"/>
      <c r="G364" s="29"/>
      <c r="H364" s="29"/>
      <c r="I364" s="29"/>
      <c r="J364" s="29"/>
      <c r="K364" s="24"/>
      <c r="L364" s="10"/>
      <c r="M364" s="29"/>
      <c r="N364" s="23"/>
      <c r="O364" s="10"/>
      <c r="P364" s="10"/>
    </row>
    <row r="365" spans="1:16" x14ac:dyDescent="0.3">
      <c r="A365" s="23"/>
      <c r="B365" s="10"/>
      <c r="C365" s="10"/>
      <c r="D365" s="29"/>
      <c r="E365" s="29"/>
      <c r="F365" s="29"/>
      <c r="G365" s="29"/>
      <c r="H365" s="29"/>
      <c r="I365" s="29"/>
      <c r="J365" s="29"/>
      <c r="K365" s="24"/>
      <c r="L365" s="10"/>
      <c r="M365" s="29"/>
      <c r="N365" s="23"/>
      <c r="O365" s="10"/>
      <c r="P365" s="10"/>
    </row>
    <row r="366" spans="1:16" x14ac:dyDescent="0.3">
      <c r="A366" s="23"/>
      <c r="B366" s="10"/>
      <c r="C366" s="10"/>
      <c r="D366" s="29"/>
      <c r="E366" s="29"/>
      <c r="F366" s="29"/>
      <c r="G366" s="29"/>
      <c r="H366" s="29"/>
      <c r="I366" s="29"/>
      <c r="J366" s="29"/>
      <c r="K366" s="24"/>
      <c r="L366" s="10"/>
      <c r="M366" s="29"/>
      <c r="N366" s="23"/>
      <c r="O366" s="10"/>
      <c r="P366" s="10"/>
    </row>
    <row r="367" spans="1:16" x14ac:dyDescent="0.3">
      <c r="A367" s="23"/>
      <c r="B367" s="10"/>
      <c r="C367" s="10"/>
      <c r="D367" s="29"/>
      <c r="E367" s="29"/>
      <c r="F367" s="29"/>
      <c r="G367" s="29"/>
      <c r="H367" s="29"/>
      <c r="I367" s="29"/>
      <c r="J367" s="29"/>
      <c r="K367" s="24"/>
      <c r="L367" s="10"/>
      <c r="M367" s="29"/>
      <c r="N367" s="23"/>
      <c r="O367" s="10"/>
      <c r="P367" s="10"/>
    </row>
    <row r="368" spans="1:16" x14ac:dyDescent="0.3">
      <c r="A368" s="23"/>
      <c r="B368" s="10"/>
      <c r="C368" s="10"/>
      <c r="D368" s="29"/>
      <c r="E368" s="29"/>
      <c r="F368" s="29"/>
      <c r="G368" s="29"/>
      <c r="H368" s="29"/>
      <c r="I368" s="29"/>
      <c r="J368" s="29"/>
      <c r="K368" s="24"/>
      <c r="L368" s="10"/>
      <c r="M368" s="29"/>
      <c r="N368" s="23"/>
      <c r="O368" s="10"/>
      <c r="P368" s="10"/>
    </row>
    <row r="369" spans="1:16" x14ac:dyDescent="0.3">
      <c r="A369" s="23"/>
      <c r="B369" s="10"/>
      <c r="C369" s="10"/>
      <c r="D369" s="29"/>
      <c r="E369" s="29"/>
      <c r="F369" s="29"/>
      <c r="G369" s="29"/>
      <c r="H369" s="29"/>
      <c r="I369" s="29"/>
      <c r="J369" s="29"/>
      <c r="K369" s="24"/>
      <c r="L369" s="10"/>
      <c r="M369" s="29"/>
      <c r="N369" s="23"/>
      <c r="O369" s="10"/>
      <c r="P369" s="10"/>
    </row>
    <row r="370" spans="1:16" x14ac:dyDescent="0.3">
      <c r="A370" s="23"/>
      <c r="B370" s="10"/>
      <c r="C370" s="10"/>
      <c r="D370" s="29"/>
      <c r="E370" s="29"/>
      <c r="F370" s="29"/>
      <c r="G370" s="29"/>
      <c r="H370" s="29"/>
      <c r="I370" s="29"/>
      <c r="J370" s="29"/>
      <c r="K370" s="24"/>
      <c r="L370" s="10"/>
      <c r="M370" s="29"/>
      <c r="N370" s="23"/>
      <c r="O370" s="10"/>
      <c r="P370" s="10"/>
    </row>
    <row r="371" spans="1:16" x14ac:dyDescent="0.3">
      <c r="A371" s="23"/>
      <c r="B371" s="10"/>
      <c r="C371" s="10"/>
      <c r="D371" s="29"/>
      <c r="E371" s="29"/>
      <c r="F371" s="29"/>
      <c r="G371" s="29"/>
      <c r="H371" s="29"/>
      <c r="I371" s="29"/>
      <c r="J371" s="29"/>
      <c r="K371" s="24"/>
      <c r="L371" s="10"/>
      <c r="M371" s="29"/>
      <c r="N371" s="23"/>
      <c r="O371" s="10"/>
      <c r="P371" s="10"/>
    </row>
    <row r="372" spans="1:16" x14ac:dyDescent="0.3">
      <c r="A372" s="23"/>
      <c r="B372" s="10"/>
      <c r="C372" s="10"/>
      <c r="D372" s="29"/>
      <c r="E372" s="29"/>
      <c r="F372" s="29"/>
      <c r="G372" s="29"/>
      <c r="H372" s="29"/>
      <c r="I372" s="29"/>
      <c r="J372" s="29"/>
      <c r="K372" s="24"/>
      <c r="L372" s="10"/>
      <c r="M372" s="29"/>
      <c r="N372" s="23"/>
      <c r="O372" s="10"/>
      <c r="P372" s="10"/>
    </row>
    <row r="373" spans="1:16" x14ac:dyDescent="0.3">
      <c r="A373" s="23"/>
      <c r="B373" s="10"/>
      <c r="C373" s="10"/>
      <c r="D373" s="29"/>
      <c r="E373" s="29"/>
      <c r="F373" s="29"/>
      <c r="G373" s="29"/>
      <c r="H373" s="29"/>
      <c r="I373" s="29"/>
      <c r="J373" s="29"/>
      <c r="K373" s="24"/>
      <c r="L373" s="10"/>
      <c r="M373" s="29"/>
      <c r="N373" s="23"/>
      <c r="O373" s="10"/>
      <c r="P373" s="10"/>
    </row>
    <row r="374" spans="1:16" x14ac:dyDescent="0.3">
      <c r="A374" s="23"/>
      <c r="B374" s="10"/>
      <c r="C374" s="10"/>
      <c r="D374" s="29"/>
      <c r="E374" s="29"/>
      <c r="F374" s="29"/>
      <c r="G374" s="29"/>
      <c r="H374" s="29"/>
      <c r="I374" s="29"/>
      <c r="J374" s="29"/>
      <c r="K374" s="24"/>
      <c r="L374" s="10"/>
      <c r="M374" s="29"/>
      <c r="N374" s="23"/>
      <c r="O374" s="10"/>
      <c r="P374" s="10"/>
    </row>
    <row r="375" spans="1:16" x14ac:dyDescent="0.3">
      <c r="A375" s="23"/>
      <c r="B375" s="10"/>
      <c r="C375" s="10"/>
      <c r="D375" s="29"/>
      <c r="E375" s="29"/>
      <c r="F375" s="29"/>
      <c r="G375" s="29"/>
      <c r="H375" s="29"/>
      <c r="I375" s="29"/>
      <c r="J375" s="29"/>
      <c r="K375" s="24"/>
      <c r="L375" s="10"/>
      <c r="M375" s="29"/>
      <c r="N375" s="23"/>
      <c r="O375" s="10"/>
      <c r="P375" s="10"/>
    </row>
    <row r="376" spans="1:16" x14ac:dyDescent="0.3">
      <c r="A376" s="23"/>
      <c r="B376" s="10"/>
      <c r="C376" s="10"/>
      <c r="D376" s="29"/>
      <c r="E376" s="29"/>
      <c r="F376" s="29"/>
      <c r="G376" s="29"/>
      <c r="H376" s="29"/>
      <c r="I376" s="29"/>
      <c r="J376" s="29"/>
      <c r="K376" s="24"/>
      <c r="L376" s="10"/>
      <c r="M376" s="29"/>
      <c r="N376" s="23"/>
      <c r="O376" s="10"/>
      <c r="P376" s="10"/>
    </row>
    <row r="377" spans="1:16" x14ac:dyDescent="0.3">
      <c r="A377" s="23"/>
      <c r="B377" s="10"/>
      <c r="C377" s="10"/>
      <c r="D377" s="29"/>
      <c r="E377" s="29"/>
      <c r="F377" s="29"/>
      <c r="G377" s="29"/>
      <c r="H377" s="29"/>
      <c r="I377" s="29"/>
      <c r="J377" s="29"/>
      <c r="K377" s="24"/>
      <c r="L377" s="10"/>
      <c r="M377" s="29"/>
      <c r="N377" s="23"/>
      <c r="O377" s="10"/>
      <c r="P377" s="10"/>
    </row>
    <row r="378" spans="1:16" x14ac:dyDescent="0.3">
      <c r="A378" s="23"/>
      <c r="B378" s="10"/>
      <c r="C378" s="10"/>
      <c r="D378" s="29"/>
      <c r="E378" s="29"/>
      <c r="F378" s="29"/>
      <c r="G378" s="29"/>
      <c r="H378" s="29"/>
      <c r="I378" s="29"/>
      <c r="J378" s="29"/>
      <c r="K378" s="24"/>
      <c r="L378" s="10"/>
      <c r="M378" s="29"/>
      <c r="N378" s="23"/>
      <c r="O378" s="10"/>
      <c r="P378" s="10"/>
    </row>
    <row r="379" spans="1:16" x14ac:dyDescent="0.3">
      <c r="A379" s="23"/>
      <c r="B379" s="10"/>
      <c r="C379" s="10"/>
      <c r="D379" s="29"/>
      <c r="E379" s="29"/>
      <c r="F379" s="29"/>
      <c r="G379" s="29"/>
      <c r="H379" s="29"/>
      <c r="I379" s="29"/>
      <c r="J379" s="29"/>
      <c r="K379" s="24"/>
      <c r="L379" s="10"/>
      <c r="M379" s="29"/>
      <c r="N379" s="23"/>
      <c r="O379" s="10"/>
      <c r="P379" s="10"/>
    </row>
    <row r="380" spans="1:16" x14ac:dyDescent="0.3">
      <c r="A380" s="23"/>
      <c r="B380" s="10"/>
      <c r="C380" s="10"/>
      <c r="D380" s="29"/>
      <c r="E380" s="29"/>
      <c r="F380" s="29"/>
      <c r="G380" s="29"/>
      <c r="H380" s="29"/>
      <c r="I380" s="29"/>
      <c r="J380" s="29"/>
      <c r="K380" s="24"/>
      <c r="L380" s="10"/>
      <c r="M380" s="29"/>
      <c r="N380" s="23"/>
      <c r="O380" s="10"/>
      <c r="P380" s="10"/>
    </row>
    <row r="381" spans="1:16" x14ac:dyDescent="0.3">
      <c r="A381" s="23"/>
      <c r="B381" s="10"/>
      <c r="C381" s="10"/>
      <c r="D381" s="29"/>
      <c r="E381" s="29"/>
      <c r="F381" s="29"/>
      <c r="G381" s="29"/>
      <c r="H381" s="29"/>
      <c r="I381" s="29"/>
      <c r="J381" s="29"/>
      <c r="K381" s="24"/>
      <c r="L381" s="10"/>
      <c r="M381" s="29"/>
      <c r="N381" s="23"/>
      <c r="O381" s="10"/>
      <c r="P381" s="10"/>
    </row>
    <row r="382" spans="1:16" x14ac:dyDescent="0.3">
      <c r="A382" s="23"/>
      <c r="B382" s="10"/>
      <c r="C382" s="10"/>
      <c r="D382" s="29"/>
      <c r="E382" s="29"/>
      <c r="F382" s="29"/>
      <c r="G382" s="29"/>
      <c r="H382" s="29"/>
      <c r="I382" s="29"/>
      <c r="J382" s="29"/>
      <c r="K382" s="24"/>
      <c r="L382" s="10"/>
      <c r="M382" s="29"/>
      <c r="N382" s="23"/>
      <c r="O382" s="10"/>
      <c r="P382" s="10"/>
    </row>
    <row r="383" spans="1:16" x14ac:dyDescent="0.3">
      <c r="A383" s="23"/>
      <c r="B383" s="10"/>
      <c r="C383" s="10"/>
      <c r="D383" s="29"/>
      <c r="E383" s="29"/>
      <c r="F383" s="29"/>
      <c r="G383" s="29"/>
      <c r="H383" s="29"/>
      <c r="I383" s="29"/>
      <c r="J383" s="29"/>
      <c r="K383" s="24"/>
      <c r="L383" s="10"/>
      <c r="M383" s="29"/>
      <c r="N383" s="23"/>
      <c r="O383" s="10"/>
      <c r="P383" s="10"/>
    </row>
    <row r="384" spans="1:16" x14ac:dyDescent="0.3">
      <c r="A384" s="23"/>
      <c r="B384" s="10"/>
      <c r="C384" s="10"/>
      <c r="D384" s="29"/>
      <c r="E384" s="29"/>
      <c r="F384" s="29"/>
      <c r="G384" s="29"/>
      <c r="H384" s="29"/>
      <c r="I384" s="29"/>
      <c r="J384" s="29"/>
      <c r="K384" s="24"/>
      <c r="L384" s="10"/>
      <c r="M384" s="29"/>
      <c r="N384" s="23"/>
      <c r="O384" s="10"/>
      <c r="P384" s="10"/>
    </row>
    <row r="385" spans="1:16" x14ac:dyDescent="0.3">
      <c r="A385" s="23"/>
      <c r="B385" s="10"/>
      <c r="C385" s="10"/>
      <c r="D385" s="29"/>
      <c r="E385" s="29"/>
      <c r="F385" s="29"/>
      <c r="G385" s="29"/>
      <c r="H385" s="29"/>
      <c r="I385" s="29"/>
      <c r="J385" s="29"/>
      <c r="K385" s="24"/>
      <c r="L385" s="10"/>
      <c r="M385" s="29"/>
      <c r="N385" s="23"/>
      <c r="O385" s="10"/>
      <c r="P385" s="10"/>
    </row>
    <row r="386" spans="1:16" x14ac:dyDescent="0.3">
      <c r="A386" s="23"/>
      <c r="B386" s="10"/>
      <c r="C386" s="10"/>
      <c r="D386" s="29"/>
      <c r="E386" s="29"/>
      <c r="F386" s="29"/>
      <c r="G386" s="29"/>
      <c r="H386" s="29"/>
      <c r="I386" s="29"/>
      <c r="J386" s="29"/>
      <c r="K386" s="24"/>
      <c r="L386" s="10"/>
      <c r="M386" s="29"/>
      <c r="N386" s="23"/>
      <c r="O386" s="10"/>
      <c r="P386" s="10"/>
    </row>
    <row r="387" spans="1:16" x14ac:dyDescent="0.3">
      <c r="A387" s="23"/>
      <c r="B387" s="10"/>
      <c r="C387" s="10"/>
      <c r="D387" s="29"/>
      <c r="E387" s="29"/>
      <c r="F387" s="29"/>
      <c r="G387" s="29"/>
      <c r="H387" s="29"/>
      <c r="I387" s="29"/>
      <c r="J387" s="29"/>
      <c r="K387" s="24"/>
      <c r="L387" s="10"/>
      <c r="M387" s="29"/>
      <c r="N387" s="23"/>
      <c r="O387" s="10"/>
      <c r="P387" s="10"/>
    </row>
    <row r="388" spans="1:16" x14ac:dyDescent="0.3">
      <c r="A388" s="23"/>
      <c r="B388" s="10"/>
      <c r="C388" s="10"/>
      <c r="D388" s="29"/>
      <c r="E388" s="29"/>
      <c r="F388" s="29"/>
      <c r="G388" s="29"/>
      <c r="H388" s="29"/>
      <c r="I388" s="29"/>
      <c r="J388" s="29"/>
      <c r="K388" s="24"/>
      <c r="L388" s="10"/>
      <c r="M388" s="29"/>
      <c r="N388" s="23"/>
      <c r="O388" s="10"/>
      <c r="P388" s="10"/>
    </row>
    <row r="389" spans="1:16" x14ac:dyDescent="0.3">
      <c r="A389" s="23"/>
      <c r="B389" s="10"/>
      <c r="C389" s="10"/>
      <c r="D389" s="29"/>
      <c r="E389" s="29"/>
      <c r="F389" s="29"/>
      <c r="G389" s="29"/>
      <c r="H389" s="29"/>
      <c r="I389" s="29"/>
      <c r="J389" s="29"/>
      <c r="K389" s="24"/>
      <c r="L389" s="10"/>
      <c r="M389" s="29"/>
      <c r="N389" s="23"/>
      <c r="O389" s="10"/>
      <c r="P389" s="10"/>
    </row>
    <row r="390" spans="1:16" x14ac:dyDescent="0.3">
      <c r="A390" s="23"/>
      <c r="B390" s="10"/>
      <c r="C390" s="10"/>
      <c r="D390" s="29"/>
      <c r="E390" s="29"/>
      <c r="F390" s="29"/>
      <c r="G390" s="29"/>
      <c r="H390" s="29"/>
      <c r="I390" s="29"/>
      <c r="J390" s="29"/>
      <c r="K390" s="24"/>
      <c r="L390" s="10"/>
      <c r="M390" s="29"/>
      <c r="N390" s="23"/>
      <c r="O390" s="10"/>
      <c r="P390" s="10"/>
    </row>
    <row r="391" spans="1:16" x14ac:dyDescent="0.3">
      <c r="A391" s="23"/>
      <c r="B391" s="10"/>
      <c r="C391" s="10"/>
      <c r="D391" s="29"/>
      <c r="E391" s="29"/>
      <c r="F391" s="29"/>
      <c r="G391" s="29"/>
      <c r="H391" s="29"/>
      <c r="I391" s="29"/>
      <c r="J391" s="29"/>
      <c r="K391" s="24"/>
      <c r="L391" s="10"/>
      <c r="M391" s="29"/>
      <c r="N391" s="23"/>
      <c r="O391" s="10"/>
      <c r="P391" s="10"/>
    </row>
    <row r="392" spans="1:16" x14ac:dyDescent="0.3">
      <c r="A392" s="23"/>
      <c r="B392" s="10"/>
      <c r="C392" s="10"/>
      <c r="D392" s="29"/>
      <c r="E392" s="29"/>
      <c r="F392" s="29"/>
      <c r="G392" s="29"/>
      <c r="H392" s="29"/>
      <c r="I392" s="29"/>
      <c r="J392" s="29"/>
      <c r="K392" s="24"/>
      <c r="L392" s="10"/>
      <c r="M392" s="29"/>
      <c r="N392" s="23"/>
      <c r="O392" s="10"/>
      <c r="P392" s="10"/>
    </row>
    <row r="393" spans="1:16" x14ac:dyDescent="0.3">
      <c r="A393" s="23"/>
      <c r="B393" s="10"/>
      <c r="C393" s="10"/>
      <c r="D393" s="29"/>
      <c r="E393" s="29"/>
      <c r="F393" s="29"/>
      <c r="G393" s="29"/>
      <c r="H393" s="29"/>
      <c r="I393" s="29"/>
      <c r="J393" s="29"/>
      <c r="K393" s="24"/>
      <c r="L393" s="10"/>
      <c r="M393" s="29"/>
      <c r="N393" s="23"/>
      <c r="O393" s="10"/>
      <c r="P393" s="10"/>
    </row>
    <row r="394" spans="1:16" x14ac:dyDescent="0.3">
      <c r="A394" s="23"/>
      <c r="B394" s="10"/>
      <c r="C394" s="10"/>
      <c r="D394" s="29"/>
      <c r="E394" s="29"/>
      <c r="F394" s="29"/>
      <c r="G394" s="29"/>
      <c r="H394" s="29"/>
      <c r="I394" s="29"/>
      <c r="J394" s="29"/>
      <c r="K394" s="24"/>
      <c r="L394" s="10"/>
      <c r="M394" s="29"/>
      <c r="N394" s="23"/>
      <c r="O394" s="10"/>
      <c r="P394" s="10"/>
    </row>
    <row r="395" spans="1:16" x14ac:dyDescent="0.3">
      <c r="A395" s="23"/>
      <c r="B395" s="10"/>
      <c r="C395" s="10"/>
      <c r="D395" s="29"/>
      <c r="E395" s="29"/>
      <c r="F395" s="29"/>
      <c r="G395" s="29"/>
      <c r="H395" s="29"/>
      <c r="I395" s="29"/>
      <c r="J395" s="29"/>
      <c r="K395" s="24"/>
      <c r="L395" s="10"/>
      <c r="M395" s="29"/>
      <c r="N395" s="23"/>
      <c r="O395" s="10"/>
      <c r="P395" s="10"/>
    </row>
    <row r="396" spans="1:16" x14ac:dyDescent="0.3">
      <c r="A396" s="23"/>
      <c r="B396" s="10"/>
      <c r="C396" s="10"/>
      <c r="D396" s="29"/>
      <c r="E396" s="29"/>
      <c r="F396" s="29"/>
      <c r="G396" s="29"/>
      <c r="H396" s="29"/>
      <c r="I396" s="29"/>
      <c r="J396" s="29"/>
      <c r="K396" s="24"/>
      <c r="L396" s="10"/>
      <c r="M396" s="29"/>
      <c r="N396" s="23"/>
      <c r="O396" s="10"/>
      <c r="P396" s="10"/>
    </row>
    <row r="397" spans="1:16" x14ac:dyDescent="0.3">
      <c r="A397" s="23"/>
      <c r="B397" s="10"/>
      <c r="C397" s="10"/>
      <c r="D397" s="29"/>
      <c r="E397" s="29"/>
      <c r="F397" s="29"/>
      <c r="G397" s="29"/>
      <c r="H397" s="29"/>
      <c r="I397" s="29"/>
      <c r="J397" s="29"/>
      <c r="K397" s="24"/>
      <c r="L397" s="10"/>
      <c r="M397" s="29"/>
      <c r="N397" s="23"/>
      <c r="O397" s="10"/>
      <c r="P397" s="10"/>
    </row>
    <row r="398" spans="1:16" x14ac:dyDescent="0.3">
      <c r="A398" s="23"/>
      <c r="B398" s="10"/>
      <c r="C398" s="10"/>
      <c r="D398" s="29"/>
      <c r="E398" s="29"/>
      <c r="F398" s="29"/>
      <c r="G398" s="29"/>
      <c r="H398" s="29"/>
      <c r="I398" s="29"/>
      <c r="J398" s="29"/>
      <c r="K398" s="24"/>
      <c r="L398" s="10"/>
      <c r="M398" s="29"/>
      <c r="N398" s="23"/>
      <c r="O398" s="10"/>
      <c r="P398" s="10"/>
    </row>
    <row r="399" spans="1:16" x14ac:dyDescent="0.3">
      <c r="A399" s="23"/>
      <c r="B399" s="10"/>
      <c r="C399" s="10"/>
      <c r="D399" s="29"/>
      <c r="E399" s="29"/>
      <c r="F399" s="29"/>
      <c r="G399" s="29"/>
      <c r="H399" s="29"/>
      <c r="I399" s="29"/>
      <c r="J399" s="29"/>
      <c r="K399" s="24"/>
      <c r="L399" s="10"/>
      <c r="M399" s="29"/>
      <c r="N399" s="23"/>
      <c r="O399" s="10"/>
      <c r="P399" s="10"/>
    </row>
    <row r="400" spans="1:16" x14ac:dyDescent="0.3">
      <c r="A400" s="23"/>
      <c r="B400" s="10"/>
      <c r="C400" s="10"/>
      <c r="D400" s="29"/>
      <c r="E400" s="29"/>
      <c r="F400" s="29"/>
      <c r="G400" s="29"/>
      <c r="H400" s="29"/>
      <c r="I400" s="29"/>
      <c r="J400" s="29"/>
      <c r="K400" s="24"/>
      <c r="L400" s="10"/>
      <c r="M400" s="29"/>
      <c r="N400" s="23"/>
      <c r="O400" s="10"/>
      <c r="P400" s="10"/>
    </row>
    <row r="401" spans="1:16" x14ac:dyDescent="0.3">
      <c r="A401" s="23"/>
      <c r="B401" s="10"/>
      <c r="C401" s="10"/>
      <c r="D401" s="29"/>
      <c r="E401" s="29"/>
      <c r="F401" s="29"/>
      <c r="G401" s="29"/>
      <c r="H401" s="29"/>
      <c r="I401" s="29"/>
      <c r="J401" s="29"/>
      <c r="K401" s="24"/>
      <c r="L401" s="10"/>
      <c r="M401" s="29"/>
      <c r="N401" s="23"/>
      <c r="O401" s="10"/>
      <c r="P401" s="10"/>
    </row>
    <row r="402" spans="1:16" x14ac:dyDescent="0.3">
      <c r="A402" s="23"/>
      <c r="B402" s="10"/>
      <c r="C402" s="10"/>
      <c r="D402" s="29"/>
      <c r="E402" s="29"/>
      <c r="F402" s="29"/>
      <c r="G402" s="29"/>
      <c r="H402" s="29"/>
      <c r="I402" s="29"/>
      <c r="J402" s="29"/>
      <c r="K402" s="24"/>
      <c r="L402" s="10"/>
      <c r="M402" s="29"/>
      <c r="N402" s="23"/>
      <c r="O402" s="10"/>
      <c r="P402" s="10"/>
    </row>
    <row r="403" spans="1:16" x14ac:dyDescent="0.3">
      <c r="A403" s="23"/>
      <c r="B403" s="10"/>
      <c r="C403" s="10"/>
      <c r="D403" s="29"/>
      <c r="E403" s="29"/>
      <c r="F403" s="29"/>
      <c r="G403" s="29"/>
      <c r="H403" s="29"/>
      <c r="I403" s="29"/>
      <c r="J403" s="29"/>
      <c r="K403" s="24"/>
      <c r="L403" s="10"/>
      <c r="M403" s="29"/>
      <c r="N403" s="23"/>
      <c r="O403" s="10"/>
      <c r="P403" s="10"/>
    </row>
    <row r="404" spans="1:16" x14ac:dyDescent="0.3">
      <c r="A404" s="23"/>
      <c r="B404" s="10"/>
      <c r="C404" s="10"/>
      <c r="D404" s="29"/>
      <c r="E404" s="29"/>
      <c r="F404" s="29"/>
      <c r="G404" s="29"/>
      <c r="H404" s="29"/>
      <c r="I404" s="29"/>
      <c r="J404" s="29"/>
      <c r="K404" s="24"/>
      <c r="L404" s="10"/>
      <c r="M404" s="29"/>
      <c r="N404" s="23"/>
      <c r="O404" s="10"/>
      <c r="P404" s="10"/>
    </row>
    <row r="405" spans="1:16" x14ac:dyDescent="0.3">
      <c r="A405" s="23"/>
      <c r="B405" s="10"/>
      <c r="C405" s="10"/>
      <c r="D405" s="29"/>
      <c r="E405" s="29"/>
      <c r="F405" s="29"/>
      <c r="G405" s="29"/>
      <c r="H405" s="29"/>
      <c r="I405" s="29"/>
      <c r="J405" s="29"/>
      <c r="K405" s="24"/>
      <c r="L405" s="10"/>
      <c r="M405" s="29"/>
      <c r="N405" s="23"/>
      <c r="O405" s="10"/>
      <c r="P405" s="10"/>
    </row>
    <row r="406" spans="1:16" x14ac:dyDescent="0.3">
      <c r="A406" s="23"/>
      <c r="B406" s="10"/>
      <c r="C406" s="10"/>
      <c r="D406" s="29"/>
      <c r="E406" s="29"/>
      <c r="F406" s="29"/>
      <c r="G406" s="29"/>
      <c r="H406" s="29"/>
      <c r="I406" s="29"/>
      <c r="J406" s="29"/>
      <c r="K406" s="24"/>
      <c r="L406" s="10"/>
      <c r="M406" s="29"/>
      <c r="N406" s="23"/>
      <c r="O406" s="10"/>
      <c r="P406" s="10"/>
    </row>
    <row r="407" spans="1:16" x14ac:dyDescent="0.3">
      <c r="A407" s="23"/>
      <c r="B407" s="10"/>
      <c r="C407" s="10"/>
      <c r="D407" s="29"/>
      <c r="E407" s="29"/>
      <c r="F407" s="29"/>
      <c r="G407" s="29"/>
      <c r="H407" s="29"/>
      <c r="I407" s="29"/>
      <c r="J407" s="29"/>
      <c r="K407" s="24"/>
      <c r="L407" s="10"/>
      <c r="M407" s="29"/>
      <c r="N407" s="23"/>
      <c r="O407" s="10"/>
      <c r="P407" s="10"/>
    </row>
    <row r="408" spans="1:16" x14ac:dyDescent="0.3">
      <c r="A408" s="23"/>
      <c r="B408" s="10"/>
      <c r="C408" s="10"/>
      <c r="D408" s="29"/>
      <c r="E408" s="29"/>
      <c r="F408" s="29"/>
      <c r="G408" s="29"/>
      <c r="H408" s="29"/>
      <c r="I408" s="29"/>
      <c r="J408" s="29"/>
      <c r="K408" s="24"/>
      <c r="L408" s="10"/>
      <c r="M408" s="29"/>
      <c r="N408" s="23"/>
      <c r="O408" s="10"/>
      <c r="P408" s="10"/>
    </row>
    <row r="409" spans="1:16" x14ac:dyDescent="0.3">
      <c r="A409" s="23"/>
      <c r="B409" s="10"/>
      <c r="C409" s="10"/>
      <c r="D409" s="29"/>
      <c r="E409" s="29"/>
      <c r="F409" s="29"/>
      <c r="G409" s="29"/>
      <c r="H409" s="29"/>
      <c r="I409" s="29"/>
      <c r="J409" s="29"/>
      <c r="K409" s="24"/>
      <c r="L409" s="10"/>
      <c r="M409" s="29"/>
      <c r="N409" s="23"/>
      <c r="O409" s="10"/>
      <c r="P409" s="10"/>
    </row>
    <row r="410" spans="1:16" x14ac:dyDescent="0.3">
      <c r="A410" s="23"/>
      <c r="B410" s="10"/>
      <c r="C410" s="10"/>
      <c r="D410" s="29"/>
      <c r="E410" s="29"/>
      <c r="F410" s="29"/>
      <c r="G410" s="29"/>
      <c r="H410" s="29"/>
      <c r="I410" s="29"/>
      <c r="J410" s="29"/>
      <c r="K410" s="24"/>
      <c r="L410" s="10"/>
      <c r="M410" s="29"/>
      <c r="N410" s="23"/>
      <c r="O410" s="10"/>
      <c r="P410" s="10"/>
    </row>
    <row r="411" spans="1:16" x14ac:dyDescent="0.3">
      <c r="A411" s="23"/>
      <c r="B411" s="10"/>
      <c r="C411" s="10"/>
      <c r="D411" s="29"/>
      <c r="E411" s="29"/>
      <c r="F411" s="29"/>
      <c r="G411" s="29"/>
      <c r="H411" s="29"/>
      <c r="I411" s="29"/>
      <c r="J411" s="29"/>
      <c r="K411" s="24"/>
      <c r="L411" s="10"/>
      <c r="M411" s="29"/>
      <c r="N411" s="23"/>
      <c r="O411" s="10"/>
      <c r="P411" s="10"/>
    </row>
    <row r="412" spans="1:16" x14ac:dyDescent="0.3">
      <c r="A412" s="23"/>
      <c r="B412" s="10"/>
      <c r="C412" s="10"/>
      <c r="D412" s="29"/>
      <c r="E412" s="29"/>
      <c r="F412" s="29"/>
      <c r="G412" s="29"/>
      <c r="H412" s="29"/>
      <c r="I412" s="29"/>
      <c r="J412" s="29"/>
      <c r="K412" s="24"/>
      <c r="L412" s="10"/>
      <c r="M412" s="29"/>
      <c r="N412" s="23"/>
      <c r="O412" s="10"/>
      <c r="P412" s="10"/>
    </row>
    <row r="413" spans="1:16" x14ac:dyDescent="0.3">
      <c r="A413" s="23"/>
      <c r="B413" s="10"/>
      <c r="C413" s="10"/>
      <c r="D413" s="29"/>
      <c r="E413" s="29"/>
      <c r="F413" s="29"/>
      <c r="G413" s="29"/>
      <c r="H413" s="29"/>
      <c r="I413" s="29"/>
      <c r="J413" s="29"/>
      <c r="K413" s="24"/>
      <c r="L413" s="10"/>
      <c r="M413" s="29"/>
      <c r="N413" s="23"/>
      <c r="O413" s="10"/>
      <c r="P413" s="10"/>
    </row>
    <row r="414" spans="1:16" x14ac:dyDescent="0.3">
      <c r="A414" s="23"/>
      <c r="B414" s="10"/>
      <c r="C414" s="10"/>
      <c r="D414" s="29"/>
      <c r="E414" s="29"/>
      <c r="F414" s="29"/>
      <c r="G414" s="29"/>
      <c r="H414" s="29"/>
      <c r="I414" s="29"/>
      <c r="J414" s="29"/>
      <c r="K414" s="24"/>
      <c r="L414" s="10"/>
      <c r="M414" s="29"/>
      <c r="N414" s="23"/>
      <c r="O414" s="10"/>
      <c r="P414" s="10"/>
    </row>
    <row r="415" spans="1:16" x14ac:dyDescent="0.3">
      <c r="A415" s="23"/>
      <c r="B415" s="10"/>
      <c r="C415" s="10"/>
      <c r="D415" s="29"/>
      <c r="E415" s="29"/>
      <c r="F415" s="29"/>
      <c r="G415" s="29"/>
      <c r="H415" s="29"/>
      <c r="I415" s="29"/>
      <c r="J415" s="29"/>
      <c r="K415" s="24"/>
      <c r="L415" s="10"/>
      <c r="M415" s="29"/>
      <c r="N415" s="23"/>
      <c r="O415" s="10"/>
      <c r="P415" s="10"/>
    </row>
    <row r="416" spans="1:16" x14ac:dyDescent="0.3">
      <c r="A416" s="23"/>
      <c r="B416" s="10"/>
      <c r="C416" s="10"/>
      <c r="D416" s="29"/>
      <c r="E416" s="29"/>
      <c r="F416" s="29"/>
      <c r="G416" s="29"/>
      <c r="H416" s="29"/>
      <c r="I416" s="29"/>
      <c r="J416" s="29"/>
      <c r="K416" s="24"/>
      <c r="L416" s="10"/>
      <c r="M416" s="29"/>
      <c r="N416" s="23"/>
      <c r="O416" s="10"/>
      <c r="P416" s="10"/>
    </row>
    <row r="417" spans="1:16" x14ac:dyDescent="0.3">
      <c r="A417" s="23"/>
      <c r="B417" s="10"/>
      <c r="C417" s="10"/>
      <c r="D417" s="29"/>
      <c r="E417" s="29"/>
      <c r="F417" s="29"/>
      <c r="G417" s="29"/>
      <c r="H417" s="29"/>
      <c r="I417" s="29"/>
      <c r="J417" s="29"/>
      <c r="K417" s="24"/>
      <c r="L417" s="10"/>
      <c r="M417" s="29"/>
      <c r="N417" s="23"/>
      <c r="O417" s="10"/>
      <c r="P417" s="10"/>
    </row>
    <row r="418" spans="1:16" x14ac:dyDescent="0.3">
      <c r="A418" s="23"/>
      <c r="B418" s="10"/>
      <c r="C418" s="10"/>
      <c r="D418" s="29"/>
      <c r="E418" s="29"/>
      <c r="F418" s="29"/>
      <c r="G418" s="29"/>
      <c r="H418" s="29"/>
      <c r="I418" s="29"/>
      <c r="J418" s="29"/>
      <c r="K418" s="24"/>
      <c r="L418" s="10"/>
      <c r="M418" s="29"/>
      <c r="N418" s="23"/>
      <c r="O418" s="10"/>
      <c r="P418" s="10"/>
    </row>
    <row r="419" spans="1:16" x14ac:dyDescent="0.3">
      <c r="A419" s="23"/>
      <c r="B419" s="10"/>
      <c r="C419" s="10"/>
      <c r="D419" s="29"/>
      <c r="E419" s="29"/>
      <c r="F419" s="29"/>
      <c r="G419" s="29"/>
      <c r="H419" s="29"/>
      <c r="I419" s="29"/>
      <c r="J419" s="29"/>
      <c r="K419" s="24"/>
      <c r="L419" s="10"/>
      <c r="M419" s="29"/>
      <c r="N419" s="23"/>
      <c r="O419" s="10"/>
      <c r="P419" s="10"/>
    </row>
    <row r="420" spans="1:16" x14ac:dyDescent="0.3">
      <c r="A420" s="23"/>
      <c r="B420" s="10"/>
      <c r="C420" s="10"/>
      <c r="D420" s="29"/>
      <c r="E420" s="29"/>
      <c r="F420" s="29"/>
      <c r="G420" s="29"/>
      <c r="H420" s="29"/>
      <c r="I420" s="29"/>
      <c r="J420" s="29"/>
      <c r="K420" s="24"/>
      <c r="L420" s="10"/>
      <c r="M420" s="29"/>
      <c r="N420" s="23"/>
      <c r="O420" s="10"/>
      <c r="P420" s="10"/>
    </row>
    <row r="421" spans="1:16" x14ac:dyDescent="0.3">
      <c r="A421" s="23"/>
      <c r="B421" s="10"/>
      <c r="C421" s="10"/>
      <c r="D421" s="29"/>
      <c r="E421" s="29"/>
      <c r="F421" s="29"/>
      <c r="G421" s="29"/>
      <c r="H421" s="29"/>
      <c r="I421" s="29"/>
      <c r="J421" s="29"/>
      <c r="K421" s="24"/>
      <c r="L421" s="10"/>
      <c r="M421" s="29"/>
      <c r="N421" s="23"/>
      <c r="O421" s="10"/>
      <c r="P421" s="10"/>
    </row>
    <row r="422" spans="1:16" x14ac:dyDescent="0.3">
      <c r="A422" s="23"/>
      <c r="B422" s="10"/>
      <c r="C422" s="10"/>
      <c r="D422" s="29"/>
      <c r="E422" s="29"/>
      <c r="F422" s="29"/>
      <c r="G422" s="29"/>
      <c r="H422" s="29"/>
      <c r="I422" s="29"/>
      <c r="J422" s="29"/>
      <c r="K422" s="24"/>
      <c r="L422" s="10"/>
      <c r="M422" s="29"/>
      <c r="N422" s="23"/>
      <c r="O422" s="10"/>
      <c r="P422" s="10"/>
    </row>
    <row r="423" spans="1:16" x14ac:dyDescent="0.3">
      <c r="A423" s="23"/>
      <c r="B423" s="10"/>
      <c r="C423" s="10"/>
      <c r="D423" s="29"/>
      <c r="E423" s="29"/>
      <c r="F423" s="29"/>
      <c r="G423" s="29"/>
      <c r="H423" s="29"/>
      <c r="I423" s="29"/>
      <c r="J423" s="29"/>
      <c r="K423" s="24"/>
      <c r="L423" s="10"/>
      <c r="M423" s="29"/>
      <c r="N423" s="23"/>
      <c r="O423" s="10"/>
      <c r="P423" s="10"/>
    </row>
    <row r="424" spans="1:16" x14ac:dyDescent="0.3">
      <c r="A424" s="23"/>
      <c r="B424" s="10"/>
      <c r="C424" s="10"/>
      <c r="D424" s="29"/>
      <c r="E424" s="29"/>
      <c r="F424" s="29"/>
      <c r="G424" s="29"/>
      <c r="H424" s="29"/>
      <c r="I424" s="29"/>
      <c r="J424" s="29"/>
      <c r="K424" s="24"/>
      <c r="L424" s="10"/>
      <c r="M424" s="29"/>
      <c r="N424" s="23"/>
      <c r="O424" s="10"/>
      <c r="P424" s="10"/>
    </row>
    <row r="425" spans="1:16" x14ac:dyDescent="0.3">
      <c r="A425" s="23"/>
      <c r="B425" s="10"/>
      <c r="C425" s="10"/>
      <c r="D425" s="29"/>
      <c r="E425" s="29"/>
      <c r="F425" s="29"/>
      <c r="G425" s="29"/>
      <c r="H425" s="29"/>
      <c r="I425" s="29"/>
      <c r="J425" s="29"/>
      <c r="K425" s="24"/>
      <c r="L425" s="10"/>
      <c r="M425" s="29"/>
      <c r="N425" s="23"/>
      <c r="O425" s="10"/>
      <c r="P425" s="10"/>
    </row>
    <row r="426" spans="1:16" x14ac:dyDescent="0.3">
      <c r="A426" s="23"/>
      <c r="B426" s="10"/>
      <c r="C426" s="10"/>
      <c r="D426" s="29"/>
      <c r="E426" s="29"/>
      <c r="F426" s="29"/>
      <c r="G426" s="29"/>
      <c r="H426" s="29"/>
      <c r="I426" s="29"/>
      <c r="J426" s="29"/>
      <c r="K426" s="24"/>
      <c r="L426" s="10"/>
      <c r="M426" s="29"/>
      <c r="N426" s="23"/>
      <c r="O426" s="10"/>
      <c r="P426" s="10"/>
    </row>
    <row r="427" spans="1:16" x14ac:dyDescent="0.3">
      <c r="A427" s="23"/>
      <c r="B427" s="10"/>
      <c r="C427" s="10"/>
      <c r="D427" s="29"/>
      <c r="E427" s="29"/>
      <c r="F427" s="29"/>
      <c r="G427" s="29"/>
      <c r="H427" s="29"/>
      <c r="I427" s="29"/>
      <c r="J427" s="29"/>
      <c r="K427" s="24"/>
      <c r="L427" s="10"/>
      <c r="M427" s="29"/>
      <c r="N427" s="23"/>
      <c r="O427" s="10"/>
      <c r="P427" s="10"/>
    </row>
    <row r="428" spans="1:16" x14ac:dyDescent="0.3">
      <c r="A428" s="23"/>
      <c r="B428" s="10"/>
      <c r="C428" s="10"/>
      <c r="D428" s="29"/>
      <c r="E428" s="29"/>
      <c r="F428" s="29"/>
      <c r="G428" s="29"/>
      <c r="H428" s="29"/>
      <c r="I428" s="29"/>
      <c r="J428" s="29"/>
      <c r="K428" s="24"/>
      <c r="L428" s="10"/>
      <c r="M428" s="29"/>
      <c r="N428" s="23"/>
      <c r="O428" s="10"/>
      <c r="P428" s="10"/>
    </row>
    <row r="429" spans="1:16" x14ac:dyDescent="0.3">
      <c r="A429" s="23"/>
      <c r="B429" s="10"/>
      <c r="C429" s="10"/>
      <c r="D429" s="29"/>
      <c r="E429" s="29"/>
      <c r="F429" s="29"/>
      <c r="G429" s="29"/>
      <c r="H429" s="29"/>
      <c r="I429" s="29"/>
      <c r="J429" s="29"/>
      <c r="K429" s="24"/>
      <c r="L429" s="10"/>
      <c r="M429" s="29"/>
      <c r="N429" s="23"/>
      <c r="O429" s="10"/>
      <c r="P429" s="10"/>
    </row>
    <row r="430" spans="1:16" x14ac:dyDescent="0.3">
      <c r="A430" s="23"/>
      <c r="B430" s="10"/>
      <c r="C430" s="10"/>
      <c r="D430" s="29"/>
      <c r="E430" s="29"/>
      <c r="F430" s="29"/>
      <c r="G430" s="29"/>
      <c r="H430" s="29"/>
      <c r="I430" s="29"/>
      <c r="J430" s="29"/>
      <c r="K430" s="24"/>
      <c r="L430" s="10"/>
      <c r="M430" s="29"/>
      <c r="N430" s="23"/>
      <c r="O430" s="10"/>
      <c r="P430" s="10"/>
    </row>
    <row r="431" spans="1:16" x14ac:dyDescent="0.3">
      <c r="A431" s="23"/>
      <c r="B431" s="10"/>
      <c r="C431" s="10"/>
      <c r="D431" s="29"/>
      <c r="E431" s="29"/>
      <c r="F431" s="29"/>
      <c r="G431" s="29"/>
      <c r="H431" s="29"/>
      <c r="I431" s="29"/>
      <c r="J431" s="29"/>
      <c r="K431" s="24"/>
      <c r="L431" s="10"/>
      <c r="M431" s="29"/>
      <c r="N431" s="23"/>
      <c r="O431" s="10"/>
      <c r="P431" s="10"/>
    </row>
    <row r="432" spans="1:16" x14ac:dyDescent="0.3">
      <c r="A432" s="23"/>
      <c r="B432" s="10"/>
      <c r="C432" s="10"/>
      <c r="D432" s="29"/>
      <c r="E432" s="29"/>
      <c r="F432" s="29"/>
      <c r="G432" s="29"/>
      <c r="H432" s="29"/>
      <c r="I432" s="29"/>
      <c r="J432" s="29"/>
      <c r="K432" s="24"/>
      <c r="L432" s="10"/>
      <c r="M432" s="29"/>
      <c r="N432" s="23"/>
      <c r="O432" s="10"/>
      <c r="P432" s="10"/>
    </row>
    <row r="433" spans="1:16" x14ac:dyDescent="0.3">
      <c r="A433" s="23"/>
      <c r="B433" s="10"/>
      <c r="C433" s="10"/>
      <c r="D433" s="29"/>
      <c r="E433" s="29"/>
      <c r="F433" s="29"/>
      <c r="G433" s="29"/>
      <c r="H433" s="29"/>
      <c r="I433" s="29"/>
      <c r="J433" s="29"/>
      <c r="K433" s="24"/>
      <c r="L433" s="10"/>
      <c r="M433" s="29"/>
      <c r="N433" s="23"/>
      <c r="O433" s="10"/>
      <c r="P433" s="10"/>
    </row>
    <row r="434" spans="1:16" x14ac:dyDescent="0.3">
      <c r="A434" s="23"/>
      <c r="B434" s="10"/>
      <c r="C434" s="10"/>
      <c r="D434" s="29"/>
      <c r="E434" s="29"/>
      <c r="F434" s="29"/>
      <c r="G434" s="29"/>
      <c r="H434" s="29"/>
      <c r="I434" s="29"/>
      <c r="J434" s="29"/>
      <c r="K434" s="24"/>
      <c r="L434" s="10"/>
      <c r="M434" s="29"/>
      <c r="N434" s="23"/>
      <c r="O434" s="10"/>
      <c r="P434" s="10"/>
    </row>
    <row r="435" spans="1:16" x14ac:dyDescent="0.3">
      <c r="A435" s="23"/>
      <c r="B435" s="10"/>
      <c r="C435" s="10"/>
      <c r="D435" s="29"/>
      <c r="E435" s="29"/>
      <c r="F435" s="29"/>
      <c r="G435" s="29"/>
      <c r="H435" s="29"/>
      <c r="I435" s="29"/>
      <c r="J435" s="29"/>
      <c r="K435" s="24"/>
      <c r="L435" s="10"/>
      <c r="M435" s="29"/>
      <c r="N435" s="23"/>
      <c r="O435" s="10"/>
      <c r="P435" s="10"/>
    </row>
    <row r="436" spans="1:16" x14ac:dyDescent="0.3">
      <c r="A436" s="23"/>
      <c r="B436" s="10"/>
      <c r="C436" s="10"/>
      <c r="D436" s="29"/>
      <c r="E436" s="29"/>
      <c r="F436" s="29"/>
      <c r="G436" s="29"/>
      <c r="H436" s="29"/>
      <c r="I436" s="29"/>
      <c r="J436" s="29"/>
      <c r="K436" s="24"/>
      <c r="L436" s="10"/>
      <c r="M436" s="29"/>
      <c r="N436" s="23"/>
      <c r="O436" s="10"/>
      <c r="P436" s="10"/>
    </row>
    <row r="437" spans="1:16" x14ac:dyDescent="0.3">
      <c r="A437" s="23"/>
      <c r="B437" s="10"/>
      <c r="C437" s="10"/>
      <c r="D437" s="29"/>
      <c r="E437" s="29"/>
      <c r="F437" s="29"/>
      <c r="G437" s="29"/>
      <c r="H437" s="29"/>
      <c r="I437" s="29"/>
      <c r="J437" s="29"/>
      <c r="K437" s="24"/>
      <c r="L437" s="10"/>
      <c r="M437" s="29"/>
      <c r="N437" s="23"/>
      <c r="O437" s="10"/>
      <c r="P437" s="10"/>
    </row>
    <row r="438" spans="1:16" x14ac:dyDescent="0.3">
      <c r="A438" s="23"/>
      <c r="B438" s="10"/>
      <c r="C438" s="10"/>
      <c r="D438" s="29"/>
      <c r="E438" s="29"/>
      <c r="F438" s="29"/>
      <c r="G438" s="29"/>
      <c r="H438" s="29"/>
      <c r="I438" s="29"/>
      <c r="J438" s="29"/>
      <c r="K438" s="24"/>
      <c r="L438" s="10"/>
      <c r="M438" s="29"/>
      <c r="N438" s="23"/>
      <c r="O438" s="10"/>
      <c r="P438" s="10"/>
    </row>
    <row r="439" spans="1:16" x14ac:dyDescent="0.3">
      <c r="A439" s="23"/>
      <c r="B439" s="10"/>
      <c r="C439" s="10"/>
      <c r="D439" s="29"/>
      <c r="E439" s="29"/>
      <c r="F439" s="29"/>
      <c r="G439" s="29"/>
      <c r="H439" s="29"/>
      <c r="I439" s="29"/>
      <c r="J439" s="29"/>
      <c r="K439" s="24"/>
      <c r="L439" s="10"/>
      <c r="M439" s="29"/>
      <c r="N439" s="23"/>
      <c r="O439" s="10"/>
      <c r="P439" s="10"/>
    </row>
    <row r="440" spans="1:16" x14ac:dyDescent="0.3">
      <c r="A440" s="23"/>
      <c r="B440" s="10"/>
      <c r="C440" s="10"/>
      <c r="D440" s="29"/>
      <c r="E440" s="29"/>
      <c r="F440" s="29"/>
      <c r="G440" s="29"/>
      <c r="H440" s="29"/>
      <c r="I440" s="29"/>
      <c r="J440" s="29"/>
      <c r="K440" s="24"/>
      <c r="L440" s="10"/>
      <c r="M440" s="29"/>
      <c r="N440" s="23"/>
      <c r="O440" s="10"/>
      <c r="P440" s="10"/>
    </row>
    <row r="441" spans="1:16" x14ac:dyDescent="0.3">
      <c r="A441" s="23"/>
      <c r="B441" s="10"/>
      <c r="C441" s="10"/>
      <c r="D441" s="29"/>
      <c r="E441" s="29"/>
      <c r="F441" s="29"/>
      <c r="G441" s="29"/>
      <c r="H441" s="29"/>
      <c r="I441" s="29"/>
      <c r="J441" s="29"/>
      <c r="K441" s="24"/>
      <c r="L441" s="10"/>
      <c r="M441" s="29"/>
      <c r="N441" s="23"/>
      <c r="O441" s="10"/>
      <c r="P441" s="10"/>
    </row>
    <row r="442" spans="1:16" x14ac:dyDescent="0.3">
      <c r="A442" s="23"/>
      <c r="B442" s="10"/>
      <c r="C442" s="10"/>
      <c r="D442" s="29"/>
      <c r="E442" s="29"/>
      <c r="F442" s="29"/>
      <c r="G442" s="29"/>
      <c r="H442" s="29"/>
      <c r="I442" s="29"/>
      <c r="J442" s="29"/>
      <c r="K442" s="24"/>
      <c r="L442" s="10"/>
      <c r="M442" s="29"/>
      <c r="N442" s="23"/>
      <c r="O442" s="10"/>
      <c r="P442" s="10"/>
    </row>
    <row r="443" spans="1:16" x14ac:dyDescent="0.3">
      <c r="A443" s="23"/>
      <c r="B443" s="10"/>
      <c r="C443" s="10"/>
      <c r="D443" s="29"/>
      <c r="E443" s="29"/>
      <c r="F443" s="29"/>
      <c r="G443" s="29"/>
      <c r="H443" s="29"/>
      <c r="I443" s="29"/>
      <c r="J443" s="29"/>
      <c r="K443" s="24"/>
      <c r="L443" s="10"/>
      <c r="M443" s="29"/>
      <c r="N443" s="23"/>
      <c r="O443" s="10"/>
      <c r="P443" s="10"/>
    </row>
    <row r="444" spans="1:16" x14ac:dyDescent="0.3">
      <c r="A444" s="23"/>
      <c r="B444" s="10"/>
      <c r="C444" s="10"/>
      <c r="D444" s="29"/>
      <c r="E444" s="29"/>
      <c r="F444" s="29"/>
      <c r="G444" s="29"/>
      <c r="H444" s="29"/>
      <c r="I444" s="29"/>
      <c r="J444" s="29"/>
      <c r="K444" s="24"/>
      <c r="L444" s="10"/>
      <c r="M444" s="29"/>
      <c r="N444" s="23"/>
      <c r="O444" s="10"/>
      <c r="P444" s="10"/>
    </row>
    <row r="445" spans="1:16" x14ac:dyDescent="0.3">
      <c r="A445" s="23"/>
      <c r="B445" s="10"/>
      <c r="C445" s="10"/>
      <c r="D445" s="29"/>
      <c r="E445" s="29"/>
      <c r="F445" s="29"/>
      <c r="G445" s="29"/>
      <c r="H445" s="29"/>
      <c r="I445" s="29"/>
      <c r="J445" s="29"/>
      <c r="K445" s="24"/>
      <c r="L445" s="10"/>
      <c r="M445" s="29"/>
      <c r="N445" s="23"/>
      <c r="O445" s="10"/>
      <c r="P445" s="10"/>
    </row>
    <row r="446" spans="1:16" x14ac:dyDescent="0.3">
      <c r="A446" s="23"/>
      <c r="B446" s="10"/>
      <c r="C446" s="10"/>
      <c r="D446" s="29"/>
      <c r="E446" s="29"/>
      <c r="F446" s="29"/>
      <c r="G446" s="29"/>
      <c r="H446" s="29"/>
      <c r="I446" s="29"/>
      <c r="J446" s="29"/>
      <c r="K446" s="24"/>
      <c r="L446" s="10"/>
      <c r="M446" s="29"/>
      <c r="N446" s="23"/>
      <c r="O446" s="10"/>
      <c r="P446" s="10"/>
    </row>
    <row r="447" spans="1:16" x14ac:dyDescent="0.3">
      <c r="A447" s="23"/>
      <c r="B447" s="10"/>
      <c r="C447" s="10"/>
      <c r="D447" s="29"/>
      <c r="E447" s="29"/>
      <c r="F447" s="29"/>
      <c r="G447" s="29"/>
      <c r="H447" s="29"/>
      <c r="I447" s="29"/>
      <c r="J447" s="29"/>
      <c r="K447" s="24"/>
      <c r="L447" s="10"/>
      <c r="M447" s="29"/>
      <c r="N447" s="23"/>
      <c r="O447" s="10"/>
      <c r="P447" s="10"/>
    </row>
    <row r="448" spans="1:16" x14ac:dyDescent="0.3">
      <c r="A448" s="23"/>
      <c r="B448" s="10"/>
      <c r="C448" s="10"/>
      <c r="D448" s="29"/>
      <c r="E448" s="29"/>
      <c r="F448" s="29"/>
      <c r="G448" s="29"/>
      <c r="H448" s="29"/>
      <c r="I448" s="29"/>
      <c r="J448" s="29"/>
      <c r="K448" s="24"/>
      <c r="L448" s="10"/>
      <c r="M448" s="29"/>
      <c r="N448" s="23"/>
      <c r="O448" s="10"/>
      <c r="P448" s="10"/>
    </row>
    <row r="449" spans="1:16" x14ac:dyDescent="0.3">
      <c r="A449" s="23"/>
      <c r="B449" s="10"/>
      <c r="C449" s="10"/>
      <c r="D449" s="29"/>
      <c r="E449" s="29"/>
      <c r="F449" s="29"/>
      <c r="G449" s="29"/>
      <c r="H449" s="29"/>
      <c r="I449" s="29"/>
      <c r="J449" s="29"/>
      <c r="K449" s="24"/>
      <c r="L449" s="10"/>
      <c r="M449" s="29"/>
      <c r="N449" s="23"/>
      <c r="O449" s="10"/>
      <c r="P449" s="10"/>
    </row>
    <row r="450" spans="1:16" x14ac:dyDescent="0.3">
      <c r="A450" s="23"/>
      <c r="B450" s="10"/>
      <c r="C450" s="10"/>
      <c r="D450" s="29"/>
      <c r="E450" s="29"/>
      <c r="F450" s="29"/>
      <c r="G450" s="29"/>
      <c r="H450" s="29"/>
      <c r="I450" s="29"/>
      <c r="J450" s="29"/>
      <c r="K450" s="24"/>
      <c r="L450" s="10"/>
      <c r="M450" s="29"/>
      <c r="N450" s="23"/>
      <c r="O450" s="10"/>
      <c r="P450" s="10"/>
    </row>
    <row r="451" spans="1:16" x14ac:dyDescent="0.3">
      <c r="A451" s="23"/>
      <c r="B451" s="10"/>
      <c r="C451" s="10"/>
      <c r="D451" s="29"/>
      <c r="E451" s="29"/>
      <c r="F451" s="29"/>
      <c r="G451" s="29"/>
      <c r="H451" s="29"/>
      <c r="I451" s="29"/>
      <c r="J451" s="29"/>
      <c r="K451" s="24"/>
      <c r="L451" s="10"/>
      <c r="M451" s="29"/>
      <c r="N451" s="23"/>
      <c r="O451" s="10"/>
      <c r="P451" s="10"/>
    </row>
    <row r="452" spans="1:16" x14ac:dyDescent="0.3">
      <c r="A452" s="23"/>
      <c r="B452" s="10"/>
      <c r="C452" s="10"/>
      <c r="D452" s="29"/>
      <c r="E452" s="29"/>
      <c r="F452" s="29"/>
      <c r="G452" s="29"/>
      <c r="H452" s="29"/>
      <c r="I452" s="29"/>
      <c r="J452" s="29"/>
      <c r="K452" s="24"/>
      <c r="L452" s="10"/>
      <c r="M452" s="29"/>
      <c r="N452" s="23"/>
      <c r="O452" s="10"/>
      <c r="P452" s="10"/>
    </row>
    <row r="453" spans="1:16" x14ac:dyDescent="0.3">
      <c r="A453" s="23"/>
      <c r="B453" s="10"/>
      <c r="C453" s="10"/>
      <c r="D453" s="29"/>
      <c r="E453" s="29"/>
      <c r="F453" s="29"/>
      <c r="G453" s="29"/>
      <c r="H453" s="29"/>
      <c r="I453" s="29"/>
      <c r="J453" s="29"/>
      <c r="K453" s="24"/>
      <c r="L453" s="10"/>
      <c r="M453" s="29"/>
      <c r="N453" s="23"/>
      <c r="O453" s="10"/>
      <c r="P453" s="10"/>
    </row>
    <row r="454" spans="1:16" x14ac:dyDescent="0.3">
      <c r="A454" s="23"/>
      <c r="B454" s="10"/>
      <c r="C454" s="10"/>
      <c r="D454" s="29"/>
      <c r="E454" s="29"/>
      <c r="F454" s="29"/>
      <c r="G454" s="29"/>
      <c r="H454" s="29"/>
      <c r="I454" s="29"/>
      <c r="J454" s="29"/>
      <c r="K454" s="24"/>
      <c r="L454" s="10"/>
      <c r="M454" s="29"/>
      <c r="N454" s="23"/>
      <c r="O454" s="10"/>
      <c r="P454" s="10"/>
    </row>
    <row r="455" spans="1:16" x14ac:dyDescent="0.3">
      <c r="A455" s="23"/>
      <c r="B455" s="10"/>
      <c r="C455" s="10"/>
      <c r="D455" s="29"/>
      <c r="E455" s="29"/>
      <c r="F455" s="29"/>
      <c r="G455" s="29"/>
      <c r="H455" s="29"/>
      <c r="I455" s="29"/>
      <c r="J455" s="29"/>
      <c r="K455" s="24"/>
      <c r="L455" s="10"/>
      <c r="M455" s="29"/>
      <c r="N455" s="23"/>
      <c r="O455" s="10"/>
      <c r="P455" s="10"/>
    </row>
    <row r="456" spans="1:16" x14ac:dyDescent="0.3">
      <c r="A456" s="23"/>
      <c r="B456" s="10"/>
      <c r="C456" s="10"/>
      <c r="D456" s="29"/>
      <c r="E456" s="29"/>
      <c r="F456" s="29"/>
      <c r="G456" s="29"/>
      <c r="H456" s="29"/>
      <c r="I456" s="29"/>
      <c r="J456" s="29"/>
      <c r="K456" s="24"/>
      <c r="L456" s="10"/>
      <c r="M456" s="29"/>
      <c r="N456" s="23"/>
      <c r="O456" s="10"/>
      <c r="P456" s="10"/>
    </row>
    <row r="457" spans="1:16" x14ac:dyDescent="0.3">
      <c r="A457" s="23"/>
      <c r="B457" s="10"/>
      <c r="C457" s="10"/>
      <c r="D457" s="29"/>
      <c r="E457" s="29"/>
      <c r="F457" s="29"/>
      <c r="G457" s="29"/>
      <c r="H457" s="29"/>
      <c r="I457" s="29"/>
      <c r="J457" s="29"/>
      <c r="K457" s="24"/>
      <c r="L457" s="10"/>
      <c r="M457" s="29"/>
      <c r="N457" s="23"/>
      <c r="O457" s="10"/>
      <c r="P457" s="10"/>
    </row>
    <row r="458" spans="1:16" x14ac:dyDescent="0.3">
      <c r="A458" s="23"/>
      <c r="B458" s="10"/>
      <c r="C458" s="10"/>
      <c r="D458" s="29"/>
      <c r="E458" s="29"/>
      <c r="F458" s="29"/>
      <c r="G458" s="29"/>
      <c r="H458" s="29"/>
      <c r="I458" s="29"/>
      <c r="J458" s="29"/>
      <c r="K458" s="24"/>
      <c r="L458" s="10"/>
      <c r="M458" s="29"/>
      <c r="N458" s="23"/>
      <c r="O458" s="10"/>
      <c r="P458" s="10"/>
    </row>
    <row r="459" spans="1:16" x14ac:dyDescent="0.3">
      <c r="A459" s="23"/>
      <c r="B459" s="10"/>
      <c r="C459" s="10"/>
      <c r="D459" s="29"/>
      <c r="E459" s="29"/>
      <c r="F459" s="29"/>
      <c r="G459" s="29"/>
      <c r="H459" s="29"/>
      <c r="I459" s="29"/>
      <c r="J459" s="29"/>
      <c r="K459" s="24"/>
      <c r="L459" s="10"/>
      <c r="M459" s="29"/>
      <c r="N459" s="23"/>
      <c r="O459" s="10"/>
      <c r="P459" s="10"/>
    </row>
    <row r="460" spans="1:16" x14ac:dyDescent="0.3">
      <c r="A460" s="23"/>
      <c r="B460" s="10"/>
      <c r="C460" s="10"/>
      <c r="D460" s="29"/>
      <c r="E460" s="29"/>
      <c r="F460" s="29"/>
      <c r="G460" s="29"/>
      <c r="H460" s="29"/>
      <c r="I460" s="29"/>
      <c r="J460" s="29"/>
      <c r="K460" s="24"/>
      <c r="L460" s="10"/>
      <c r="M460" s="29"/>
      <c r="N460" s="23"/>
      <c r="O460" s="10"/>
      <c r="P460" s="10"/>
    </row>
    <row r="461" spans="1:16" x14ac:dyDescent="0.3">
      <c r="A461" s="23"/>
      <c r="B461" s="10"/>
      <c r="C461" s="10"/>
      <c r="D461" s="29"/>
      <c r="E461" s="29"/>
      <c r="F461" s="29"/>
      <c r="G461" s="29"/>
      <c r="H461" s="29"/>
      <c r="I461" s="29"/>
      <c r="J461" s="29"/>
      <c r="K461" s="24"/>
      <c r="L461" s="10"/>
      <c r="M461" s="29"/>
      <c r="N461" s="23"/>
      <c r="O461" s="10"/>
      <c r="P461" s="10"/>
    </row>
    <row r="462" spans="1:16" x14ac:dyDescent="0.3">
      <c r="A462" s="23"/>
      <c r="B462" s="10"/>
      <c r="C462" s="10"/>
      <c r="D462" s="29"/>
      <c r="E462" s="29"/>
      <c r="F462" s="29"/>
      <c r="G462" s="29"/>
      <c r="H462" s="29"/>
      <c r="I462" s="29"/>
      <c r="J462" s="29"/>
      <c r="K462" s="24"/>
      <c r="L462" s="10"/>
      <c r="M462" s="29"/>
      <c r="N462" s="23"/>
      <c r="O462" s="10"/>
      <c r="P462" s="10"/>
    </row>
    <row r="463" spans="1:16" x14ac:dyDescent="0.3">
      <c r="A463" s="23"/>
      <c r="B463" s="10"/>
      <c r="C463" s="10"/>
      <c r="D463" s="29"/>
      <c r="E463" s="29"/>
      <c r="F463" s="29"/>
      <c r="G463" s="29"/>
      <c r="H463" s="29"/>
      <c r="I463" s="29"/>
      <c r="J463" s="29"/>
      <c r="K463" s="24"/>
      <c r="L463" s="10"/>
      <c r="M463" s="29"/>
      <c r="N463" s="23"/>
      <c r="O463" s="10"/>
      <c r="P463" s="10"/>
    </row>
    <row r="464" spans="1:16" x14ac:dyDescent="0.3">
      <c r="A464" s="23"/>
      <c r="B464" s="10"/>
      <c r="C464" s="10"/>
      <c r="D464" s="29"/>
      <c r="E464" s="29"/>
      <c r="F464" s="29"/>
      <c r="G464" s="29"/>
      <c r="H464" s="29"/>
      <c r="I464" s="29"/>
      <c r="J464" s="29"/>
      <c r="K464" s="24"/>
      <c r="L464" s="10"/>
      <c r="M464" s="29"/>
      <c r="N464" s="23"/>
      <c r="O464" s="10"/>
      <c r="P464" s="10"/>
    </row>
    <row r="465" spans="1:16" x14ac:dyDescent="0.3">
      <c r="A465" s="25"/>
      <c r="B465" s="25"/>
      <c r="C465" s="25"/>
      <c r="D465" s="26"/>
      <c r="E465" s="26"/>
      <c r="F465" s="26"/>
      <c r="G465" s="26"/>
      <c r="H465" s="26"/>
      <c r="I465" s="26"/>
      <c r="J465" s="26"/>
      <c r="K465" s="26"/>
      <c r="L465" s="25"/>
      <c r="M465" s="26"/>
      <c r="N465" s="25"/>
      <c r="O465" s="25"/>
      <c r="P465" s="25"/>
    </row>
    <row r="466" spans="1:16" x14ac:dyDescent="0.3">
      <c r="A466" s="23"/>
      <c r="B466" s="10"/>
      <c r="C466" s="10"/>
      <c r="D466" s="28"/>
      <c r="E466" s="28"/>
      <c r="F466" s="28"/>
      <c r="G466" s="28"/>
      <c r="H466" s="28"/>
      <c r="I466" s="28"/>
      <c r="J466" s="28"/>
      <c r="K466" s="24"/>
      <c r="L466" s="10"/>
      <c r="M466" s="28"/>
      <c r="N466" s="23"/>
      <c r="O466" s="10"/>
      <c r="P466" s="10"/>
    </row>
    <row r="467" spans="1:16" x14ac:dyDescent="0.3">
      <c r="A467" s="23"/>
      <c r="B467" s="10"/>
      <c r="C467" s="10"/>
      <c r="D467" s="28"/>
      <c r="E467" s="28"/>
      <c r="F467" s="28"/>
      <c r="G467" s="28"/>
      <c r="H467" s="28"/>
      <c r="I467" s="28"/>
      <c r="J467" s="28"/>
      <c r="K467" s="24"/>
      <c r="L467" s="10"/>
      <c r="M467" s="28"/>
      <c r="N467" s="23"/>
      <c r="O467" s="10"/>
      <c r="P467" s="10"/>
    </row>
    <row r="468" spans="1:16" x14ac:dyDescent="0.3">
      <c r="A468" s="23"/>
      <c r="B468" s="10"/>
      <c r="C468" s="10"/>
      <c r="D468" s="28"/>
      <c r="E468" s="28"/>
      <c r="F468" s="28"/>
      <c r="G468" s="28"/>
      <c r="H468" s="28"/>
      <c r="I468" s="28"/>
      <c r="J468" s="28"/>
      <c r="K468" s="24"/>
      <c r="L468" s="10"/>
      <c r="M468" s="28"/>
      <c r="N468" s="23"/>
      <c r="O468" s="10"/>
      <c r="P468" s="10"/>
    </row>
    <row r="469" spans="1:16" x14ac:dyDescent="0.3">
      <c r="A469" s="23"/>
      <c r="B469" s="10"/>
      <c r="C469" s="10"/>
      <c r="D469" s="28"/>
      <c r="E469" s="28"/>
      <c r="F469" s="28"/>
      <c r="G469" s="28"/>
      <c r="H469" s="28"/>
      <c r="I469" s="28"/>
      <c r="J469" s="28"/>
      <c r="K469" s="24"/>
      <c r="L469" s="10"/>
      <c r="M469" s="28"/>
      <c r="N469" s="23"/>
      <c r="O469" s="10"/>
      <c r="P469" s="10"/>
    </row>
    <row r="470" spans="1:16" x14ac:dyDescent="0.3">
      <c r="A470" s="23"/>
      <c r="B470" s="10"/>
      <c r="C470" s="10"/>
      <c r="D470" s="28"/>
      <c r="E470" s="28"/>
      <c r="F470" s="28"/>
      <c r="G470" s="28"/>
      <c r="H470" s="28"/>
      <c r="I470" s="28"/>
      <c r="J470" s="28"/>
      <c r="K470" s="24"/>
      <c r="L470" s="10"/>
      <c r="M470" s="28"/>
      <c r="N470" s="23"/>
      <c r="O470" s="10"/>
      <c r="P470" s="10"/>
    </row>
    <row r="471" spans="1:16" x14ac:dyDescent="0.3">
      <c r="A471" s="23"/>
      <c r="B471" s="10"/>
      <c r="C471" s="10"/>
      <c r="D471" s="28"/>
      <c r="E471" s="28"/>
      <c r="F471" s="28"/>
      <c r="G471" s="28"/>
      <c r="H471" s="28"/>
      <c r="I471" s="28"/>
      <c r="J471" s="28"/>
      <c r="K471" s="24"/>
      <c r="L471" s="10"/>
      <c r="M471" s="28"/>
      <c r="N471" s="23"/>
      <c r="O471" s="10"/>
      <c r="P471" s="10"/>
    </row>
    <row r="472" spans="1:16" x14ac:dyDescent="0.3">
      <c r="A472" s="23"/>
      <c r="B472" s="10"/>
      <c r="C472" s="10"/>
      <c r="D472" s="28"/>
      <c r="E472" s="28"/>
      <c r="F472" s="28"/>
      <c r="G472" s="28"/>
      <c r="H472" s="28"/>
      <c r="I472" s="28"/>
      <c r="J472" s="28"/>
      <c r="K472" s="24"/>
      <c r="L472" s="10"/>
      <c r="M472" s="28"/>
      <c r="N472" s="23"/>
      <c r="O472" s="10"/>
      <c r="P472" s="10"/>
    </row>
    <row r="473" spans="1:16" x14ac:dyDescent="0.3">
      <c r="A473" s="23"/>
      <c r="B473" s="10"/>
      <c r="C473" s="10"/>
      <c r="D473" s="28"/>
      <c r="E473" s="28"/>
      <c r="F473" s="28"/>
      <c r="G473" s="28"/>
      <c r="H473" s="28"/>
      <c r="I473" s="28"/>
      <c r="J473" s="28"/>
      <c r="K473" s="24"/>
      <c r="L473" s="10"/>
      <c r="M473" s="28"/>
      <c r="N473" s="23"/>
      <c r="O473" s="10"/>
      <c r="P473" s="10"/>
    </row>
    <row r="474" spans="1:16" x14ac:dyDescent="0.3">
      <c r="A474" s="23"/>
      <c r="B474" s="10"/>
      <c r="C474" s="10"/>
      <c r="D474" s="28"/>
      <c r="E474" s="28"/>
      <c r="F474" s="28"/>
      <c r="G474" s="28"/>
      <c r="H474" s="28"/>
      <c r="I474" s="28"/>
      <c r="J474" s="28"/>
      <c r="K474" s="24"/>
      <c r="L474" s="10"/>
      <c r="M474" s="28"/>
      <c r="N474" s="23"/>
      <c r="O474" s="10"/>
      <c r="P474" s="10"/>
    </row>
    <row r="475" spans="1:16" x14ac:dyDescent="0.3">
      <c r="A475" s="23"/>
      <c r="B475" s="10"/>
      <c r="C475" s="10"/>
      <c r="D475" s="28"/>
      <c r="E475" s="28"/>
      <c r="F475" s="28"/>
      <c r="G475" s="28"/>
      <c r="H475" s="28"/>
      <c r="I475" s="28"/>
      <c r="J475" s="28"/>
      <c r="K475" s="24"/>
      <c r="L475" s="10"/>
      <c r="M475" s="28"/>
      <c r="N475" s="23"/>
      <c r="O475" s="10"/>
      <c r="P475" s="10"/>
    </row>
    <row r="476" spans="1:16" x14ac:dyDescent="0.3">
      <c r="A476" s="23"/>
      <c r="B476" s="10"/>
      <c r="C476" s="10"/>
      <c r="D476" s="28"/>
      <c r="E476" s="28"/>
      <c r="F476" s="28"/>
      <c r="G476" s="28"/>
      <c r="H476" s="28"/>
      <c r="I476" s="28"/>
      <c r="J476" s="28"/>
      <c r="K476" s="24"/>
      <c r="L476" s="10"/>
      <c r="M476" s="28"/>
      <c r="N476" s="23"/>
      <c r="O476" s="10"/>
      <c r="P476" s="10"/>
    </row>
    <row r="477" spans="1:16" x14ac:dyDescent="0.3">
      <c r="A477" s="23"/>
      <c r="B477" s="10"/>
      <c r="C477" s="10"/>
      <c r="D477" s="28"/>
      <c r="E477" s="28"/>
      <c r="F477" s="28"/>
      <c r="G477" s="28"/>
      <c r="H477" s="28"/>
      <c r="I477" s="28"/>
      <c r="J477" s="28"/>
      <c r="K477" s="24"/>
      <c r="L477" s="10"/>
      <c r="M477" s="28"/>
      <c r="N477" s="23"/>
      <c r="O477" s="10"/>
      <c r="P477" s="10"/>
    </row>
    <row r="478" spans="1:16" x14ac:dyDescent="0.3">
      <c r="A478" s="23"/>
      <c r="B478" s="10"/>
      <c r="C478" s="10"/>
      <c r="D478" s="28"/>
      <c r="E478" s="28"/>
      <c r="F478" s="28"/>
      <c r="G478" s="28"/>
      <c r="H478" s="28"/>
      <c r="I478" s="28"/>
      <c r="J478" s="28"/>
      <c r="K478" s="24"/>
      <c r="L478" s="10"/>
      <c r="M478" s="28"/>
      <c r="N478" s="23"/>
      <c r="O478" s="10"/>
      <c r="P478" s="10"/>
    </row>
    <row r="479" spans="1:16" x14ac:dyDescent="0.3">
      <c r="A479" s="23"/>
      <c r="B479" s="10"/>
      <c r="C479" s="10"/>
      <c r="D479" s="28"/>
      <c r="E479" s="28"/>
      <c r="F479" s="28"/>
      <c r="G479" s="28"/>
      <c r="H479" s="28"/>
      <c r="I479" s="28"/>
      <c r="J479" s="28"/>
      <c r="K479" s="24"/>
      <c r="L479" s="10"/>
      <c r="M479" s="28"/>
      <c r="N479" s="23"/>
      <c r="O479" s="10"/>
      <c r="P479" s="10"/>
    </row>
    <row r="480" spans="1:16" x14ac:dyDescent="0.3">
      <c r="A480" s="23"/>
      <c r="B480" s="10"/>
      <c r="C480" s="10"/>
      <c r="D480" s="28"/>
      <c r="E480" s="28"/>
      <c r="F480" s="28"/>
      <c r="G480" s="28"/>
      <c r="H480" s="28"/>
      <c r="I480" s="28"/>
      <c r="J480" s="28"/>
      <c r="K480" s="24"/>
      <c r="L480" s="10"/>
      <c r="M480" s="28"/>
      <c r="N480" s="23"/>
      <c r="O480" s="10"/>
      <c r="P480" s="10"/>
    </row>
    <row r="481" spans="1:16" x14ac:dyDescent="0.3">
      <c r="A481" s="23"/>
      <c r="B481" s="10"/>
      <c r="C481" s="10"/>
      <c r="D481" s="28"/>
      <c r="E481" s="28"/>
      <c r="F481" s="28"/>
      <c r="G481" s="28"/>
      <c r="H481" s="28"/>
      <c r="I481" s="28"/>
      <c r="J481" s="28"/>
      <c r="K481" s="24"/>
      <c r="L481" s="10"/>
      <c r="M481" s="28"/>
      <c r="N481" s="23"/>
      <c r="O481" s="10"/>
      <c r="P481" s="10"/>
    </row>
    <row r="482" spans="1:16" x14ac:dyDescent="0.3">
      <c r="A482" s="23"/>
      <c r="B482" s="10"/>
      <c r="C482" s="10"/>
      <c r="D482" s="28"/>
      <c r="E482" s="28"/>
      <c r="F482" s="28"/>
      <c r="G482" s="28"/>
      <c r="H482" s="28"/>
      <c r="I482" s="28"/>
      <c r="J482" s="28"/>
      <c r="K482" s="24"/>
      <c r="L482" s="10"/>
      <c r="M482" s="28"/>
      <c r="N482" s="23"/>
      <c r="O482" s="10"/>
      <c r="P482" s="10"/>
    </row>
    <row r="483" spans="1:16" x14ac:dyDescent="0.3">
      <c r="A483" s="23"/>
      <c r="B483" s="10"/>
      <c r="C483" s="10"/>
      <c r="D483" s="28"/>
      <c r="E483" s="28"/>
      <c r="F483" s="28"/>
      <c r="G483" s="28"/>
      <c r="H483" s="28"/>
      <c r="I483" s="28"/>
      <c r="J483" s="28"/>
      <c r="K483" s="24"/>
      <c r="L483" s="10"/>
      <c r="M483" s="28"/>
      <c r="N483" s="23"/>
      <c r="O483" s="10"/>
      <c r="P483" s="10"/>
    </row>
    <row r="484" spans="1:16" x14ac:dyDescent="0.3">
      <c r="A484" s="23"/>
      <c r="B484" s="10"/>
      <c r="C484" s="10"/>
      <c r="D484" s="28"/>
      <c r="E484" s="28"/>
      <c r="F484" s="28"/>
      <c r="G484" s="28"/>
      <c r="H484" s="28"/>
      <c r="I484" s="28"/>
      <c r="J484" s="28"/>
      <c r="K484" s="24"/>
      <c r="L484" s="10"/>
      <c r="M484" s="28"/>
      <c r="N484" s="23"/>
      <c r="O484" s="10"/>
      <c r="P484" s="10"/>
    </row>
    <row r="485" spans="1:16" x14ac:dyDescent="0.3">
      <c r="A485" s="23"/>
      <c r="B485" s="10"/>
      <c r="C485" s="10"/>
      <c r="D485" s="28"/>
      <c r="E485" s="28"/>
      <c r="F485" s="28"/>
      <c r="G485" s="28"/>
      <c r="H485" s="28"/>
      <c r="I485" s="28"/>
      <c r="J485" s="28"/>
      <c r="K485" s="24"/>
      <c r="L485" s="10"/>
      <c r="M485" s="28"/>
      <c r="N485" s="23"/>
      <c r="O485" s="10"/>
      <c r="P485" s="10"/>
    </row>
    <row r="486" spans="1:16" x14ac:dyDescent="0.3">
      <c r="A486" s="23"/>
      <c r="B486" s="10"/>
      <c r="C486" s="10"/>
      <c r="D486" s="28"/>
      <c r="E486" s="28"/>
      <c r="F486" s="28"/>
      <c r="G486" s="28"/>
      <c r="H486" s="28"/>
      <c r="I486" s="28"/>
      <c r="J486" s="28"/>
      <c r="K486" s="24"/>
      <c r="L486" s="10"/>
      <c r="M486" s="28"/>
      <c r="N486" s="23"/>
      <c r="O486" s="10"/>
      <c r="P486" s="10"/>
    </row>
    <row r="487" spans="1:16" x14ac:dyDescent="0.3">
      <c r="A487" s="23"/>
      <c r="B487" s="10"/>
      <c r="C487" s="10"/>
      <c r="D487" s="28"/>
      <c r="E487" s="28"/>
      <c r="F487" s="28"/>
      <c r="G487" s="28"/>
      <c r="H487" s="28"/>
      <c r="I487" s="28"/>
      <c r="J487" s="28"/>
      <c r="K487" s="24"/>
      <c r="L487" s="10"/>
      <c r="M487" s="28"/>
      <c r="N487" s="23"/>
      <c r="O487" s="10"/>
      <c r="P487" s="10"/>
    </row>
    <row r="488" spans="1:16" x14ac:dyDescent="0.3">
      <c r="A488" s="23"/>
      <c r="B488" s="10"/>
      <c r="C488" s="10"/>
      <c r="D488" s="28"/>
      <c r="E488" s="28"/>
      <c r="F488" s="28"/>
      <c r="G488" s="28"/>
      <c r="H488" s="28"/>
      <c r="I488" s="28"/>
      <c r="J488" s="28"/>
      <c r="K488" s="24"/>
      <c r="L488" s="10"/>
      <c r="M488" s="28"/>
      <c r="N488" s="23"/>
      <c r="O488" s="10"/>
      <c r="P488" s="10"/>
    </row>
    <row r="489" spans="1:16" x14ac:dyDescent="0.3">
      <c r="A489" s="23"/>
      <c r="B489" s="10"/>
      <c r="C489" s="10"/>
      <c r="D489" s="28"/>
      <c r="E489" s="28"/>
      <c r="F489" s="28"/>
      <c r="G489" s="28"/>
      <c r="H489" s="28"/>
      <c r="I489" s="28"/>
      <c r="J489" s="28"/>
      <c r="K489" s="24"/>
      <c r="L489" s="10"/>
      <c r="M489" s="28"/>
      <c r="N489" s="23"/>
      <c r="O489" s="10"/>
      <c r="P489" s="10"/>
    </row>
    <row r="490" spans="1:16" x14ac:dyDescent="0.3">
      <c r="A490" s="23"/>
      <c r="B490" s="10"/>
      <c r="C490" s="10"/>
      <c r="D490" s="28"/>
      <c r="E490" s="28"/>
      <c r="F490" s="28"/>
      <c r="G490" s="28"/>
      <c r="H490" s="28"/>
      <c r="I490" s="28"/>
      <c r="J490" s="28"/>
      <c r="K490" s="24"/>
      <c r="L490" s="10"/>
      <c r="M490" s="28"/>
      <c r="N490" s="23"/>
      <c r="O490" s="10"/>
      <c r="P490" s="10"/>
    </row>
    <row r="491" spans="1:16" x14ac:dyDescent="0.3">
      <c r="A491" s="23"/>
      <c r="B491" s="10"/>
      <c r="C491" s="10"/>
      <c r="D491" s="28"/>
      <c r="E491" s="28"/>
      <c r="F491" s="28"/>
      <c r="G491" s="28"/>
      <c r="H491" s="28"/>
      <c r="I491" s="28"/>
      <c r="J491" s="28"/>
      <c r="K491" s="24"/>
      <c r="L491" s="10"/>
      <c r="M491" s="28"/>
      <c r="N491" s="23"/>
      <c r="O491" s="10"/>
      <c r="P491" s="10"/>
    </row>
    <row r="492" spans="1:16" x14ac:dyDescent="0.3">
      <c r="A492" s="23"/>
      <c r="B492" s="10"/>
      <c r="C492" s="10"/>
      <c r="D492" s="28"/>
      <c r="E492" s="28"/>
      <c r="F492" s="28"/>
      <c r="G492" s="28"/>
      <c r="H492" s="28"/>
      <c r="I492" s="28"/>
      <c r="J492" s="28"/>
      <c r="K492" s="24"/>
      <c r="L492" s="10"/>
      <c r="M492" s="28"/>
      <c r="N492" s="23"/>
      <c r="O492" s="10"/>
      <c r="P492" s="10"/>
    </row>
    <row r="493" spans="1:16" x14ac:dyDescent="0.3">
      <c r="A493" s="23"/>
      <c r="B493" s="10"/>
      <c r="C493" s="10"/>
      <c r="D493" s="28"/>
      <c r="E493" s="28"/>
      <c r="F493" s="28"/>
      <c r="G493" s="28"/>
      <c r="H493" s="28"/>
      <c r="I493" s="28"/>
      <c r="J493" s="28"/>
      <c r="K493" s="24"/>
      <c r="L493" s="10"/>
      <c r="M493" s="28"/>
      <c r="N493" s="23"/>
      <c r="O493" s="10"/>
      <c r="P493" s="10"/>
    </row>
    <row r="494" spans="1:16" x14ac:dyDescent="0.3">
      <c r="A494" s="23"/>
      <c r="B494" s="10"/>
      <c r="C494" s="10"/>
      <c r="D494" s="28"/>
      <c r="E494" s="28"/>
      <c r="F494" s="28"/>
      <c r="G494" s="28"/>
      <c r="H494" s="28"/>
      <c r="I494" s="28"/>
      <c r="J494" s="28"/>
      <c r="K494" s="24"/>
      <c r="L494" s="10"/>
      <c r="M494" s="28"/>
      <c r="N494" s="23"/>
      <c r="O494" s="10"/>
      <c r="P494" s="10"/>
    </row>
    <row r="495" spans="1:16" x14ac:dyDescent="0.3">
      <c r="A495" s="23"/>
      <c r="B495" s="10"/>
      <c r="C495" s="10"/>
      <c r="D495" s="28"/>
      <c r="E495" s="28"/>
      <c r="F495" s="28"/>
      <c r="G495" s="28"/>
      <c r="H495" s="28"/>
      <c r="I495" s="28"/>
      <c r="J495" s="28"/>
      <c r="K495" s="24"/>
      <c r="L495" s="10"/>
      <c r="M495" s="28"/>
      <c r="N495" s="23"/>
      <c r="O495" s="10"/>
      <c r="P495" s="10"/>
    </row>
    <row r="496" spans="1:16" x14ac:dyDescent="0.3">
      <c r="A496" s="23"/>
      <c r="B496" s="10"/>
      <c r="C496" s="10"/>
      <c r="D496" s="28"/>
      <c r="E496" s="28"/>
      <c r="F496" s="28"/>
      <c r="G496" s="28"/>
      <c r="H496" s="28"/>
      <c r="I496" s="28"/>
      <c r="J496" s="28"/>
      <c r="K496" s="24"/>
      <c r="L496" s="10"/>
      <c r="M496" s="28"/>
      <c r="N496" s="23"/>
      <c r="O496" s="10"/>
      <c r="P496" s="10"/>
    </row>
    <row r="497" spans="1:16" x14ac:dyDescent="0.3">
      <c r="A497" s="23"/>
      <c r="B497" s="10"/>
      <c r="C497" s="10"/>
      <c r="D497" s="28"/>
      <c r="E497" s="28"/>
      <c r="F497" s="28"/>
      <c r="G497" s="28"/>
      <c r="H497" s="28"/>
      <c r="I497" s="28"/>
      <c r="J497" s="28"/>
      <c r="K497" s="24"/>
      <c r="L497" s="10"/>
      <c r="M497" s="28"/>
      <c r="N497" s="23"/>
      <c r="O497" s="10"/>
      <c r="P497" s="10"/>
    </row>
    <row r="498" spans="1:16" x14ac:dyDescent="0.3">
      <c r="A498" s="23"/>
      <c r="B498" s="10"/>
      <c r="C498" s="10"/>
      <c r="D498" s="28"/>
      <c r="E498" s="28"/>
      <c r="F498" s="28"/>
      <c r="G498" s="28"/>
      <c r="H498" s="28"/>
      <c r="I498" s="28"/>
      <c r="J498" s="28"/>
      <c r="K498" s="24"/>
      <c r="L498" s="10"/>
      <c r="M498" s="28"/>
      <c r="N498" s="23"/>
      <c r="O498" s="10"/>
      <c r="P498" s="10"/>
    </row>
    <row r="499" spans="1:16" x14ac:dyDescent="0.3">
      <c r="A499" s="23"/>
      <c r="B499" s="10"/>
      <c r="C499" s="10"/>
      <c r="D499" s="28"/>
      <c r="E499" s="28"/>
      <c r="F499" s="28"/>
      <c r="G499" s="28"/>
      <c r="H499" s="28"/>
      <c r="I499" s="28"/>
      <c r="J499" s="28"/>
      <c r="K499" s="24"/>
      <c r="L499" s="10"/>
      <c r="M499" s="28"/>
      <c r="N499" s="23"/>
      <c r="O499" s="10"/>
      <c r="P499" s="10"/>
    </row>
    <row r="500" spans="1:16" x14ac:dyDescent="0.3">
      <c r="A500" s="23"/>
      <c r="B500" s="10"/>
      <c r="C500" s="10"/>
      <c r="D500" s="28"/>
      <c r="E500" s="28"/>
      <c r="F500" s="28"/>
      <c r="G500" s="28"/>
      <c r="H500" s="28"/>
      <c r="I500" s="28"/>
      <c r="J500" s="28"/>
      <c r="K500" s="24"/>
      <c r="L500" s="10"/>
      <c r="M500" s="28"/>
      <c r="N500" s="23"/>
      <c r="O500" s="10"/>
      <c r="P500" s="10"/>
    </row>
    <row r="501" spans="1:16" x14ac:dyDescent="0.3">
      <c r="A501" s="23"/>
      <c r="B501" s="10"/>
      <c r="C501" s="10"/>
      <c r="D501" s="28"/>
      <c r="E501" s="28"/>
      <c r="F501" s="28"/>
      <c r="G501" s="28"/>
      <c r="H501" s="28"/>
      <c r="I501" s="28"/>
      <c r="J501" s="28"/>
      <c r="K501" s="24"/>
      <c r="L501" s="10"/>
      <c r="M501" s="28"/>
      <c r="N501" s="23"/>
      <c r="O501" s="10"/>
      <c r="P501" s="10"/>
    </row>
    <row r="502" spans="1:16" x14ac:dyDescent="0.3">
      <c r="A502" s="23"/>
      <c r="B502" s="10"/>
      <c r="C502" s="10"/>
      <c r="D502" s="28"/>
      <c r="E502" s="28"/>
      <c r="F502" s="28"/>
      <c r="G502" s="28"/>
      <c r="H502" s="28"/>
      <c r="I502" s="28"/>
      <c r="J502" s="28"/>
      <c r="K502" s="24"/>
      <c r="L502" s="10"/>
      <c r="M502" s="28"/>
      <c r="N502" s="23"/>
      <c r="O502" s="10"/>
      <c r="P502" s="10"/>
    </row>
    <row r="503" spans="1:16" x14ac:dyDescent="0.3">
      <c r="A503" s="25"/>
      <c r="B503" s="25"/>
      <c r="C503" s="25"/>
      <c r="D503" s="26"/>
      <c r="E503" s="26"/>
      <c r="F503" s="26"/>
      <c r="G503" s="26"/>
      <c r="H503" s="26"/>
      <c r="I503" s="26"/>
      <c r="J503" s="26"/>
      <c r="K503" s="26"/>
      <c r="L503" s="25"/>
      <c r="M503" s="26"/>
      <c r="N503" s="25"/>
      <c r="O503" s="25"/>
      <c r="P503" s="2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959-9E65-440D-B744-9F6A35475F56}">
  <dimension ref="E2:W534"/>
  <sheetViews>
    <sheetView workbookViewId="0">
      <selection sqref="A1:AK452"/>
    </sheetView>
  </sheetViews>
  <sheetFormatPr defaultRowHeight="14.4" x14ac:dyDescent="0.3"/>
  <cols>
    <col min="5" max="5" width="10.44140625" bestFit="1" customWidth="1"/>
  </cols>
  <sheetData>
    <row r="2" spans="5:23" x14ac:dyDescent="0.3">
      <c r="E2" s="7"/>
      <c r="W2" s="21"/>
    </row>
    <row r="3" spans="5:23" x14ac:dyDescent="0.3">
      <c r="E3" s="7"/>
    </row>
    <row r="4" spans="5:23" x14ac:dyDescent="0.3">
      <c r="E4" s="7"/>
    </row>
    <row r="5" spans="5:23" x14ac:dyDescent="0.3">
      <c r="E5" s="7"/>
    </row>
    <row r="6" spans="5:23" x14ac:dyDescent="0.3">
      <c r="E6" s="7"/>
    </row>
    <row r="7" spans="5:23" x14ac:dyDescent="0.3">
      <c r="E7" s="7"/>
    </row>
    <row r="8" spans="5:23" x14ac:dyDescent="0.3">
      <c r="E8" s="7"/>
      <c r="W8" s="21"/>
    </row>
    <row r="9" spans="5:23" x14ac:dyDescent="0.3">
      <c r="E9" s="7"/>
    </row>
    <row r="10" spans="5:23" x14ac:dyDescent="0.3">
      <c r="E10" s="7"/>
    </row>
    <row r="11" spans="5:23" x14ac:dyDescent="0.3">
      <c r="E11" s="7"/>
    </row>
    <row r="12" spans="5:23" x14ac:dyDescent="0.3">
      <c r="E12" s="7"/>
      <c r="W12" s="21"/>
    </row>
    <row r="13" spans="5:23" x14ac:dyDescent="0.3">
      <c r="E13" s="7"/>
      <c r="W13" s="21"/>
    </row>
    <row r="14" spans="5:23" x14ac:dyDescent="0.3">
      <c r="E14" s="7"/>
    </row>
    <row r="15" spans="5:23" x14ac:dyDescent="0.3">
      <c r="E15" s="7"/>
    </row>
    <row r="16" spans="5:23" x14ac:dyDescent="0.3">
      <c r="E16" s="7"/>
      <c r="W16" s="21"/>
    </row>
    <row r="17" spans="5:23" x14ac:dyDescent="0.3">
      <c r="E17" s="7"/>
    </row>
    <row r="18" spans="5:23" x14ac:dyDescent="0.3">
      <c r="E18" s="7"/>
    </row>
    <row r="19" spans="5:23" x14ac:dyDescent="0.3">
      <c r="E19" s="7"/>
      <c r="W19" s="21"/>
    </row>
    <row r="20" spans="5:23" x14ac:dyDescent="0.3">
      <c r="E20" s="7"/>
      <c r="W20" s="21"/>
    </row>
    <row r="21" spans="5:23" x14ac:dyDescent="0.3">
      <c r="E21" s="7"/>
    </row>
    <row r="22" spans="5:23" x14ac:dyDescent="0.3">
      <c r="E22" s="7"/>
      <c r="W22" s="21"/>
    </row>
    <row r="23" spans="5:23" x14ac:dyDescent="0.3">
      <c r="E23" s="7"/>
    </row>
    <row r="24" spans="5:23" x14ac:dyDescent="0.3">
      <c r="E24" s="7"/>
    </row>
    <row r="25" spans="5:23" x14ac:dyDescent="0.3">
      <c r="E25" s="7"/>
      <c r="W25" s="21"/>
    </row>
    <row r="26" spans="5:23" x14ac:dyDescent="0.3">
      <c r="E26" s="7"/>
    </row>
    <row r="27" spans="5:23" x14ac:dyDescent="0.3">
      <c r="E27" s="7"/>
      <c r="W27" s="21"/>
    </row>
    <row r="28" spans="5:23" x14ac:dyDescent="0.3">
      <c r="E28" s="7"/>
      <c r="W28" s="21"/>
    </row>
    <row r="29" spans="5:23" x14ac:dyDescent="0.3">
      <c r="E29" s="7"/>
    </row>
    <row r="30" spans="5:23" x14ac:dyDescent="0.3">
      <c r="E30" s="7"/>
      <c r="W30" s="21"/>
    </row>
    <row r="31" spans="5:23" x14ac:dyDescent="0.3">
      <c r="E31" s="7"/>
      <c r="W31" s="21"/>
    </row>
    <row r="32" spans="5:23" x14ac:dyDescent="0.3">
      <c r="E32" s="7"/>
    </row>
    <row r="33" spans="5:23" x14ac:dyDescent="0.3">
      <c r="E33" s="7"/>
    </row>
    <row r="34" spans="5:23" x14ac:dyDescent="0.3">
      <c r="E34" s="7"/>
    </row>
    <row r="35" spans="5:23" x14ac:dyDescent="0.3">
      <c r="E35" s="7"/>
      <c r="W35" s="21"/>
    </row>
    <row r="36" spans="5:23" x14ac:dyDescent="0.3">
      <c r="E36" s="7"/>
    </row>
    <row r="37" spans="5:23" x14ac:dyDescent="0.3">
      <c r="E37" s="7"/>
    </row>
    <row r="38" spans="5:23" x14ac:dyDescent="0.3">
      <c r="E38" s="7"/>
      <c r="W38" s="21"/>
    </row>
    <row r="39" spans="5:23" x14ac:dyDescent="0.3">
      <c r="E39" s="7"/>
    </row>
    <row r="40" spans="5:23" x14ac:dyDescent="0.3">
      <c r="E40" s="7"/>
    </row>
    <row r="41" spans="5:23" x14ac:dyDescent="0.3">
      <c r="E41" s="7"/>
    </row>
    <row r="42" spans="5:23" x14ac:dyDescent="0.3">
      <c r="E42" s="7"/>
    </row>
    <row r="43" spans="5:23" x14ac:dyDescent="0.3">
      <c r="E43" s="7"/>
      <c r="W43" s="21"/>
    </row>
    <row r="44" spans="5:23" x14ac:dyDescent="0.3">
      <c r="E44" s="7"/>
    </row>
    <row r="45" spans="5:23" x14ac:dyDescent="0.3">
      <c r="E45" s="7"/>
      <c r="W45" s="21"/>
    </row>
    <row r="46" spans="5:23" x14ac:dyDescent="0.3">
      <c r="E46" s="7"/>
      <c r="W46" s="21"/>
    </row>
    <row r="47" spans="5:23" x14ac:dyDescent="0.3">
      <c r="E47" s="7"/>
      <c r="W47" s="21"/>
    </row>
    <row r="48" spans="5:23" x14ac:dyDescent="0.3">
      <c r="E48" s="7"/>
    </row>
    <row r="49" spans="5:23" x14ac:dyDescent="0.3">
      <c r="E49" s="7"/>
      <c r="W49" s="21"/>
    </row>
    <row r="50" spans="5:23" x14ac:dyDescent="0.3">
      <c r="E50" s="7"/>
      <c r="W50" s="21"/>
    </row>
    <row r="51" spans="5:23" x14ac:dyDescent="0.3">
      <c r="E51" s="7"/>
    </row>
    <row r="52" spans="5:23" x14ac:dyDescent="0.3">
      <c r="E52" s="7"/>
    </row>
    <row r="53" spans="5:23" x14ac:dyDescent="0.3">
      <c r="E53" s="7"/>
      <c r="W53" s="21"/>
    </row>
    <row r="54" spans="5:23" x14ac:dyDescent="0.3">
      <c r="E54" s="7"/>
    </row>
    <row r="55" spans="5:23" x14ac:dyDescent="0.3">
      <c r="E55" s="7"/>
    </row>
    <row r="56" spans="5:23" x14ac:dyDescent="0.3">
      <c r="E56" s="7"/>
    </row>
    <row r="57" spans="5:23" x14ac:dyDescent="0.3">
      <c r="E57" s="7"/>
    </row>
    <row r="58" spans="5:23" x14ac:dyDescent="0.3">
      <c r="E58" s="7"/>
    </row>
    <row r="59" spans="5:23" x14ac:dyDescent="0.3">
      <c r="E59" s="7"/>
    </row>
    <row r="60" spans="5:23" x14ac:dyDescent="0.3">
      <c r="E60" s="7"/>
    </row>
    <row r="61" spans="5:23" x14ac:dyDescent="0.3">
      <c r="E61" s="7"/>
    </row>
    <row r="62" spans="5:23" x14ac:dyDescent="0.3">
      <c r="E62" s="7"/>
    </row>
    <row r="63" spans="5:23" x14ac:dyDescent="0.3">
      <c r="E63" s="7"/>
    </row>
    <row r="64" spans="5:23" x14ac:dyDescent="0.3">
      <c r="E64" s="7"/>
    </row>
    <row r="65" spans="5:23" x14ac:dyDescent="0.3">
      <c r="E65" s="7"/>
    </row>
    <row r="66" spans="5:23" x14ac:dyDescent="0.3">
      <c r="E66" s="7"/>
    </row>
    <row r="67" spans="5:23" x14ac:dyDescent="0.3">
      <c r="E67" s="7"/>
    </row>
    <row r="68" spans="5:23" x14ac:dyDescent="0.3">
      <c r="E68" s="7"/>
    </row>
    <row r="69" spans="5:23" x14ac:dyDescent="0.3">
      <c r="E69" s="7"/>
    </row>
    <row r="70" spans="5:23" x14ac:dyDescent="0.3">
      <c r="E70" s="7"/>
    </row>
    <row r="71" spans="5:23" x14ac:dyDescent="0.3">
      <c r="E71" s="7"/>
    </row>
    <row r="72" spans="5:23" x14ac:dyDescent="0.3">
      <c r="E72" s="7"/>
      <c r="W72" s="21"/>
    </row>
    <row r="73" spans="5:23" x14ac:dyDescent="0.3">
      <c r="E73" s="7"/>
      <c r="W73" s="21"/>
    </row>
    <row r="74" spans="5:23" x14ac:dyDescent="0.3">
      <c r="E74" s="7"/>
    </row>
    <row r="75" spans="5:23" x14ac:dyDescent="0.3">
      <c r="E75" s="7"/>
      <c r="W75" s="21"/>
    </row>
    <row r="76" spans="5:23" x14ac:dyDescent="0.3">
      <c r="E76" s="7"/>
    </row>
    <row r="77" spans="5:23" x14ac:dyDescent="0.3">
      <c r="E77" s="7"/>
    </row>
    <row r="78" spans="5:23" x14ac:dyDescent="0.3">
      <c r="E78" s="7"/>
    </row>
    <row r="79" spans="5:23" x14ac:dyDescent="0.3">
      <c r="E79" s="7"/>
    </row>
    <row r="80" spans="5:23" x14ac:dyDescent="0.3">
      <c r="E80" s="7"/>
    </row>
    <row r="81" spans="5:23" x14ac:dyDescent="0.3">
      <c r="E81" s="7"/>
    </row>
    <row r="82" spans="5:23" x14ac:dyDescent="0.3">
      <c r="E82" s="7"/>
    </row>
    <row r="83" spans="5:23" x14ac:dyDescent="0.3">
      <c r="E83" s="7"/>
    </row>
    <row r="84" spans="5:23" x14ac:dyDescent="0.3">
      <c r="E84" s="7"/>
    </row>
    <row r="85" spans="5:23" x14ac:dyDescent="0.3">
      <c r="E85" s="7"/>
      <c r="W85" s="21"/>
    </row>
    <row r="86" spans="5:23" x14ac:dyDescent="0.3">
      <c r="E86" s="7"/>
      <c r="W86" s="21"/>
    </row>
    <row r="87" spans="5:23" x14ac:dyDescent="0.3">
      <c r="E87" s="7"/>
    </row>
    <row r="88" spans="5:23" x14ac:dyDescent="0.3">
      <c r="E88" s="7"/>
      <c r="W88" s="21"/>
    </row>
    <row r="89" spans="5:23" x14ac:dyDescent="0.3">
      <c r="E89" s="7"/>
      <c r="W89" s="21"/>
    </row>
    <row r="90" spans="5:23" x14ac:dyDescent="0.3">
      <c r="E90" s="7"/>
      <c r="W90" s="21"/>
    </row>
    <row r="91" spans="5:23" x14ac:dyDescent="0.3">
      <c r="E91" s="7"/>
      <c r="W91" s="21"/>
    </row>
    <row r="92" spans="5:23" x14ac:dyDescent="0.3">
      <c r="E92" s="7"/>
      <c r="W92" s="21"/>
    </row>
    <row r="93" spans="5:23" x14ac:dyDescent="0.3">
      <c r="E93" s="7"/>
    </row>
    <row r="94" spans="5:23" x14ac:dyDescent="0.3">
      <c r="E94" s="7"/>
      <c r="W94" s="21"/>
    </row>
    <row r="95" spans="5:23" x14ac:dyDescent="0.3">
      <c r="E95" s="7"/>
      <c r="W95" s="21"/>
    </row>
    <row r="96" spans="5:23" x14ac:dyDescent="0.3">
      <c r="E96" s="7"/>
    </row>
    <row r="97" spans="5:23" x14ac:dyDescent="0.3">
      <c r="E97" s="7"/>
    </row>
    <row r="98" spans="5:23" x14ac:dyDescent="0.3">
      <c r="E98" s="7"/>
    </row>
    <row r="99" spans="5:23" x14ac:dyDescent="0.3">
      <c r="E99" s="7"/>
    </row>
    <row r="100" spans="5:23" x14ac:dyDescent="0.3">
      <c r="E100" s="7"/>
    </row>
    <row r="101" spans="5:23" x14ac:dyDescent="0.3">
      <c r="E101" s="7"/>
    </row>
    <row r="102" spans="5:23" x14ac:dyDescent="0.3">
      <c r="E102" s="7"/>
      <c r="W102" s="21"/>
    </row>
    <row r="103" spans="5:23" x14ac:dyDescent="0.3">
      <c r="E103" s="7"/>
    </row>
    <row r="104" spans="5:23" x14ac:dyDescent="0.3">
      <c r="E104" s="7"/>
      <c r="W104" s="21"/>
    </row>
    <row r="105" spans="5:23" x14ac:dyDescent="0.3">
      <c r="E105" s="7"/>
      <c r="W105" s="21"/>
    </row>
    <row r="106" spans="5:23" x14ac:dyDescent="0.3">
      <c r="E106" s="7"/>
      <c r="W106" s="21"/>
    </row>
    <row r="107" spans="5:23" x14ac:dyDescent="0.3">
      <c r="E107" s="7"/>
      <c r="W107" s="21"/>
    </row>
    <row r="108" spans="5:23" x14ac:dyDescent="0.3">
      <c r="E108" s="7"/>
      <c r="W108" s="21"/>
    </row>
    <row r="109" spans="5:23" x14ac:dyDescent="0.3">
      <c r="E109" s="7"/>
    </row>
    <row r="110" spans="5:23" x14ac:dyDescent="0.3">
      <c r="E110" s="7"/>
      <c r="W110" s="21"/>
    </row>
    <row r="111" spans="5:23" x14ac:dyDescent="0.3">
      <c r="E111" s="7"/>
      <c r="W111" s="21"/>
    </row>
    <row r="112" spans="5:23" x14ac:dyDescent="0.3">
      <c r="E112" s="7"/>
    </row>
    <row r="113" spans="5:23" x14ac:dyDescent="0.3">
      <c r="E113" s="7"/>
    </row>
    <row r="114" spans="5:23" x14ac:dyDescent="0.3">
      <c r="E114" s="7"/>
    </row>
    <row r="115" spans="5:23" x14ac:dyDescent="0.3">
      <c r="E115" s="7"/>
    </row>
    <row r="116" spans="5:23" x14ac:dyDescent="0.3">
      <c r="E116" s="7"/>
    </row>
    <row r="117" spans="5:23" x14ac:dyDescent="0.3">
      <c r="E117" s="7"/>
      <c r="W117" s="21"/>
    </row>
    <row r="118" spans="5:23" x14ac:dyDescent="0.3">
      <c r="E118" s="7"/>
      <c r="W118" s="21"/>
    </row>
    <row r="119" spans="5:23" x14ac:dyDescent="0.3">
      <c r="E119" s="7"/>
      <c r="W119" s="21"/>
    </row>
    <row r="120" spans="5:23" x14ac:dyDescent="0.3">
      <c r="E120" s="7"/>
      <c r="W120" s="21"/>
    </row>
    <row r="121" spans="5:23" x14ac:dyDescent="0.3">
      <c r="E121" s="7"/>
      <c r="W121" s="21"/>
    </row>
    <row r="122" spans="5:23" x14ac:dyDescent="0.3">
      <c r="E122" s="7"/>
    </row>
    <row r="123" spans="5:23" x14ac:dyDescent="0.3">
      <c r="E123" s="7"/>
    </row>
    <row r="124" spans="5:23" x14ac:dyDescent="0.3">
      <c r="E124" s="7"/>
    </row>
    <row r="125" spans="5:23" x14ac:dyDescent="0.3">
      <c r="E125" s="7"/>
    </row>
    <row r="126" spans="5:23" x14ac:dyDescent="0.3">
      <c r="E126" s="7"/>
      <c r="W126" s="21"/>
    </row>
    <row r="127" spans="5:23" x14ac:dyDescent="0.3">
      <c r="E127" s="7"/>
    </row>
    <row r="128" spans="5:23" x14ac:dyDescent="0.3">
      <c r="E128" s="7"/>
    </row>
    <row r="129" spans="5:23" x14ac:dyDescent="0.3">
      <c r="E129" s="7"/>
      <c r="W129" s="21"/>
    </row>
    <row r="130" spans="5:23" x14ac:dyDescent="0.3">
      <c r="E130" s="7"/>
    </row>
    <row r="131" spans="5:23" x14ac:dyDescent="0.3">
      <c r="E131" s="7"/>
    </row>
    <row r="132" spans="5:23" x14ac:dyDescent="0.3">
      <c r="E132" s="7"/>
      <c r="W132" s="21"/>
    </row>
    <row r="133" spans="5:23" x14ac:dyDescent="0.3">
      <c r="E133" s="7"/>
    </row>
    <row r="134" spans="5:23" x14ac:dyDescent="0.3">
      <c r="E134" s="7"/>
    </row>
    <row r="135" spans="5:23" x14ac:dyDescent="0.3">
      <c r="E135" s="7"/>
      <c r="W135" s="21"/>
    </row>
    <row r="136" spans="5:23" x14ac:dyDescent="0.3">
      <c r="E136" s="7"/>
      <c r="W136" s="21"/>
    </row>
    <row r="137" spans="5:23" x14ac:dyDescent="0.3">
      <c r="E137" s="7"/>
      <c r="W137" s="21"/>
    </row>
    <row r="138" spans="5:23" x14ac:dyDescent="0.3">
      <c r="E138" s="7"/>
      <c r="W138" s="21"/>
    </row>
    <row r="139" spans="5:23" x14ac:dyDescent="0.3">
      <c r="E139" s="7"/>
    </row>
    <row r="140" spans="5:23" x14ac:dyDescent="0.3">
      <c r="E140" s="7"/>
    </row>
    <row r="141" spans="5:23" x14ac:dyDescent="0.3">
      <c r="E141" s="7"/>
    </row>
    <row r="142" spans="5:23" x14ac:dyDescent="0.3">
      <c r="E142" s="7"/>
    </row>
    <row r="143" spans="5:23" x14ac:dyDescent="0.3">
      <c r="E143" s="7"/>
    </row>
    <row r="144" spans="5:23" x14ac:dyDescent="0.3">
      <c r="E144" s="7"/>
    </row>
    <row r="145" spans="5:23" x14ac:dyDescent="0.3">
      <c r="E145" s="7"/>
    </row>
    <row r="146" spans="5:23" x14ac:dyDescent="0.3">
      <c r="E146" s="7"/>
    </row>
    <row r="147" spans="5:23" x14ac:dyDescent="0.3">
      <c r="E147" s="7"/>
    </row>
    <row r="148" spans="5:23" x14ac:dyDescent="0.3">
      <c r="E148" s="7"/>
    </row>
    <row r="149" spans="5:23" x14ac:dyDescent="0.3">
      <c r="E149" s="7"/>
    </row>
    <row r="150" spans="5:23" x14ac:dyDescent="0.3">
      <c r="E150" s="7"/>
    </row>
    <row r="151" spans="5:23" x14ac:dyDescent="0.3">
      <c r="E151" s="7"/>
    </row>
    <row r="152" spans="5:23" x14ac:dyDescent="0.3">
      <c r="E152" s="7"/>
    </row>
    <row r="153" spans="5:23" x14ac:dyDescent="0.3">
      <c r="E153" s="7"/>
    </row>
    <row r="154" spans="5:23" x14ac:dyDescent="0.3">
      <c r="E154" s="7"/>
      <c r="W154" s="21"/>
    </row>
    <row r="155" spans="5:23" x14ac:dyDescent="0.3">
      <c r="E155" s="7"/>
      <c r="W155" s="21"/>
    </row>
    <row r="156" spans="5:23" x14ac:dyDescent="0.3">
      <c r="E156" s="7"/>
    </row>
    <row r="157" spans="5:23" x14ac:dyDescent="0.3">
      <c r="E157" s="7"/>
      <c r="W157" s="21"/>
    </row>
    <row r="158" spans="5:23" x14ac:dyDescent="0.3">
      <c r="E158" s="7"/>
      <c r="W158" s="21"/>
    </row>
    <row r="159" spans="5:23" x14ac:dyDescent="0.3">
      <c r="E159" s="7"/>
      <c r="W159" s="21"/>
    </row>
    <row r="160" spans="5:23" x14ac:dyDescent="0.3">
      <c r="E160" s="7"/>
      <c r="W160" s="21"/>
    </row>
    <row r="161" spans="5:23" x14ac:dyDescent="0.3">
      <c r="E161" s="7"/>
      <c r="W161" s="21"/>
    </row>
    <row r="162" spans="5:23" x14ac:dyDescent="0.3">
      <c r="E162" s="7"/>
    </row>
    <row r="163" spans="5:23" x14ac:dyDescent="0.3">
      <c r="E163" s="7"/>
    </row>
    <row r="164" spans="5:23" x14ac:dyDescent="0.3">
      <c r="E164" s="7"/>
    </row>
    <row r="165" spans="5:23" x14ac:dyDescent="0.3">
      <c r="E165" s="7"/>
    </row>
    <row r="166" spans="5:23" x14ac:dyDescent="0.3">
      <c r="E166" s="7"/>
    </row>
    <row r="167" spans="5:23" x14ac:dyDescent="0.3">
      <c r="E167" s="7"/>
    </row>
    <row r="168" spans="5:23" x14ac:dyDescent="0.3">
      <c r="E168" s="7"/>
      <c r="W168" s="21"/>
    </row>
    <row r="169" spans="5:23" x14ac:dyDescent="0.3">
      <c r="E169" s="7"/>
    </row>
    <row r="170" spans="5:23" x14ac:dyDescent="0.3">
      <c r="E170" s="7"/>
    </row>
    <row r="171" spans="5:23" x14ac:dyDescent="0.3">
      <c r="E171" s="7"/>
    </row>
    <row r="172" spans="5:23" x14ac:dyDescent="0.3">
      <c r="E172" s="7"/>
      <c r="W172" s="21"/>
    </row>
    <row r="173" spans="5:23" x14ac:dyDescent="0.3">
      <c r="E173" s="7"/>
    </row>
    <row r="174" spans="5:23" x14ac:dyDescent="0.3">
      <c r="E174" s="7"/>
    </row>
    <row r="175" spans="5:23" x14ac:dyDescent="0.3">
      <c r="E175" s="7"/>
    </row>
    <row r="176" spans="5:23" x14ac:dyDescent="0.3">
      <c r="E176" s="7"/>
    </row>
    <row r="177" spans="5:23" x14ac:dyDescent="0.3">
      <c r="E177" s="7"/>
    </row>
    <row r="178" spans="5:23" x14ac:dyDescent="0.3">
      <c r="E178" s="7"/>
    </row>
    <row r="179" spans="5:23" x14ac:dyDescent="0.3">
      <c r="E179" s="7"/>
    </row>
    <row r="180" spans="5:23" x14ac:dyDescent="0.3">
      <c r="E180" s="7"/>
    </row>
    <row r="181" spans="5:23" x14ac:dyDescent="0.3">
      <c r="E181" s="7"/>
    </row>
    <row r="182" spans="5:23" x14ac:dyDescent="0.3">
      <c r="E182" s="7"/>
      <c r="W182" s="21"/>
    </row>
    <row r="183" spans="5:23" x14ac:dyDescent="0.3">
      <c r="E183" s="7"/>
    </row>
    <row r="184" spans="5:23" x14ac:dyDescent="0.3">
      <c r="E184" s="7"/>
    </row>
    <row r="185" spans="5:23" x14ac:dyDescent="0.3">
      <c r="E185" s="7"/>
    </row>
    <row r="186" spans="5:23" x14ac:dyDescent="0.3">
      <c r="E186" s="7"/>
    </row>
    <row r="187" spans="5:23" x14ac:dyDescent="0.3">
      <c r="E187" s="7"/>
      <c r="W187" s="21"/>
    </row>
    <row r="188" spans="5:23" x14ac:dyDescent="0.3">
      <c r="E188" s="7"/>
      <c r="W188" s="21"/>
    </row>
    <row r="189" spans="5:23" x14ac:dyDescent="0.3">
      <c r="E189" s="7"/>
    </row>
    <row r="190" spans="5:23" x14ac:dyDescent="0.3">
      <c r="E190" s="7"/>
      <c r="W190" s="21"/>
    </row>
    <row r="191" spans="5:23" x14ac:dyDescent="0.3">
      <c r="E191" s="7"/>
    </row>
    <row r="192" spans="5:23" x14ac:dyDescent="0.3">
      <c r="E192" s="7"/>
    </row>
    <row r="193" spans="5:23" x14ac:dyDescent="0.3">
      <c r="E193" s="7"/>
    </row>
    <row r="194" spans="5:23" x14ac:dyDescent="0.3">
      <c r="E194" s="7"/>
    </row>
    <row r="195" spans="5:23" x14ac:dyDescent="0.3">
      <c r="E195" s="7"/>
    </row>
    <row r="196" spans="5:23" x14ac:dyDescent="0.3">
      <c r="E196" s="7"/>
    </row>
    <row r="197" spans="5:23" x14ac:dyDescent="0.3">
      <c r="E197" s="7"/>
    </row>
    <row r="198" spans="5:23" x14ac:dyDescent="0.3">
      <c r="E198" s="7"/>
      <c r="W198" s="21"/>
    </row>
    <row r="199" spans="5:23" x14ac:dyDescent="0.3">
      <c r="E199" s="7"/>
      <c r="W199" s="21"/>
    </row>
    <row r="200" spans="5:23" x14ac:dyDescent="0.3">
      <c r="E200" s="7"/>
      <c r="W200" s="21"/>
    </row>
    <row r="201" spans="5:23" x14ac:dyDescent="0.3">
      <c r="E201" s="7"/>
    </row>
    <row r="202" spans="5:23" x14ac:dyDescent="0.3">
      <c r="E202" s="7"/>
      <c r="W202" s="21"/>
    </row>
    <row r="203" spans="5:23" x14ac:dyDescent="0.3">
      <c r="E203" s="7"/>
    </row>
    <row r="204" spans="5:23" x14ac:dyDescent="0.3">
      <c r="E204" s="7"/>
      <c r="W204" s="21"/>
    </row>
    <row r="205" spans="5:23" x14ac:dyDescent="0.3">
      <c r="E205" s="7"/>
      <c r="W205" s="21"/>
    </row>
    <row r="206" spans="5:23" x14ac:dyDescent="0.3">
      <c r="E206" s="7"/>
    </row>
    <row r="207" spans="5:23" x14ac:dyDescent="0.3">
      <c r="E207" s="7"/>
    </row>
    <row r="208" spans="5:23" x14ac:dyDescent="0.3">
      <c r="E208" s="7"/>
      <c r="W208" s="21"/>
    </row>
    <row r="209" spans="5:23" x14ac:dyDescent="0.3">
      <c r="E209" s="7"/>
      <c r="W209" s="21"/>
    </row>
    <row r="210" spans="5:23" x14ac:dyDescent="0.3">
      <c r="E210" s="7"/>
    </row>
    <row r="211" spans="5:23" x14ac:dyDescent="0.3">
      <c r="E211" s="7"/>
    </row>
    <row r="212" spans="5:23" x14ac:dyDescent="0.3">
      <c r="E212" s="7"/>
    </row>
    <row r="213" spans="5:23" x14ac:dyDescent="0.3">
      <c r="E213" s="7"/>
      <c r="W213" s="21"/>
    </row>
    <row r="214" spans="5:23" x14ac:dyDescent="0.3">
      <c r="E214" s="7"/>
      <c r="W214" s="21"/>
    </row>
    <row r="215" spans="5:23" x14ac:dyDescent="0.3">
      <c r="E215" s="7"/>
    </row>
    <row r="216" spans="5:23" x14ac:dyDescent="0.3">
      <c r="E216" s="7"/>
    </row>
    <row r="217" spans="5:23" x14ac:dyDescent="0.3">
      <c r="E217" s="7"/>
    </row>
    <row r="218" spans="5:23" x14ac:dyDescent="0.3">
      <c r="E218" s="7"/>
    </row>
    <row r="219" spans="5:23" x14ac:dyDescent="0.3">
      <c r="E219" s="7"/>
    </row>
    <row r="220" spans="5:23" x14ac:dyDescent="0.3">
      <c r="E220" s="7"/>
    </row>
    <row r="221" spans="5:23" x14ac:dyDescent="0.3">
      <c r="E221" s="7"/>
      <c r="W221" s="21"/>
    </row>
    <row r="222" spans="5:23" x14ac:dyDescent="0.3">
      <c r="E222" s="7"/>
    </row>
    <row r="223" spans="5:23" x14ac:dyDescent="0.3">
      <c r="E223" s="7"/>
    </row>
    <row r="224" spans="5:23" x14ac:dyDescent="0.3">
      <c r="E224" s="7"/>
      <c r="W224" s="21"/>
    </row>
    <row r="225" spans="5:23" x14ac:dyDescent="0.3">
      <c r="E225" s="7"/>
    </row>
    <row r="226" spans="5:23" x14ac:dyDescent="0.3">
      <c r="E226" s="7"/>
    </row>
    <row r="227" spans="5:23" x14ac:dyDescent="0.3">
      <c r="E227" s="7"/>
      <c r="W227" s="21"/>
    </row>
    <row r="228" spans="5:23" x14ac:dyDescent="0.3">
      <c r="E228" s="7"/>
    </row>
    <row r="229" spans="5:23" x14ac:dyDescent="0.3">
      <c r="E229" s="7"/>
    </row>
    <row r="230" spans="5:23" x14ac:dyDescent="0.3">
      <c r="E230" s="7"/>
    </row>
    <row r="231" spans="5:23" x14ac:dyDescent="0.3">
      <c r="E231" s="7"/>
      <c r="W231" s="21"/>
    </row>
    <row r="232" spans="5:23" x14ac:dyDescent="0.3">
      <c r="E232" s="7"/>
      <c r="W232" s="21"/>
    </row>
    <row r="233" spans="5:23" x14ac:dyDescent="0.3">
      <c r="E233" s="7"/>
    </row>
    <row r="234" spans="5:23" x14ac:dyDescent="0.3">
      <c r="E234" s="7"/>
    </row>
    <row r="235" spans="5:23" x14ac:dyDescent="0.3">
      <c r="E235" s="7"/>
    </row>
    <row r="236" spans="5:23" x14ac:dyDescent="0.3">
      <c r="E236" s="7"/>
    </row>
    <row r="237" spans="5:23" x14ac:dyDescent="0.3">
      <c r="E237" s="7"/>
    </row>
    <row r="238" spans="5:23" x14ac:dyDescent="0.3">
      <c r="E238" s="7"/>
    </row>
    <row r="239" spans="5:23" x14ac:dyDescent="0.3">
      <c r="E239" s="7"/>
      <c r="W239" s="21"/>
    </row>
    <row r="240" spans="5:23" x14ac:dyDescent="0.3">
      <c r="E240" s="7"/>
    </row>
    <row r="241" spans="5:23" x14ac:dyDescent="0.3">
      <c r="E241" s="7"/>
    </row>
    <row r="242" spans="5:23" x14ac:dyDescent="0.3">
      <c r="E242" s="7"/>
    </row>
    <row r="243" spans="5:23" x14ac:dyDescent="0.3">
      <c r="E243" s="7"/>
    </row>
    <row r="244" spans="5:23" x14ac:dyDescent="0.3">
      <c r="E244" s="7"/>
    </row>
    <row r="245" spans="5:23" x14ac:dyDescent="0.3">
      <c r="E245" s="7"/>
    </row>
    <row r="246" spans="5:23" x14ac:dyDescent="0.3">
      <c r="E246" s="7"/>
      <c r="W246" s="21"/>
    </row>
    <row r="247" spans="5:23" x14ac:dyDescent="0.3">
      <c r="E247" s="7"/>
      <c r="W247" s="21"/>
    </row>
    <row r="248" spans="5:23" x14ac:dyDescent="0.3">
      <c r="E248" s="7"/>
    </row>
    <row r="249" spans="5:23" x14ac:dyDescent="0.3">
      <c r="E249" s="7"/>
    </row>
    <row r="250" spans="5:23" x14ac:dyDescent="0.3">
      <c r="E250" s="7"/>
      <c r="W250" s="21"/>
    </row>
    <row r="251" spans="5:23" x14ac:dyDescent="0.3">
      <c r="E251" s="7"/>
    </row>
    <row r="252" spans="5:23" x14ac:dyDescent="0.3">
      <c r="E252" s="7"/>
    </row>
    <row r="253" spans="5:23" x14ac:dyDescent="0.3">
      <c r="E253" s="7"/>
    </row>
    <row r="254" spans="5:23" x14ac:dyDescent="0.3">
      <c r="E254" s="7"/>
    </row>
    <row r="255" spans="5:23" x14ac:dyDescent="0.3">
      <c r="E255" s="7"/>
      <c r="W255" s="21"/>
    </row>
    <row r="256" spans="5:23" x14ac:dyDescent="0.3">
      <c r="E256" s="7"/>
      <c r="W256" s="21"/>
    </row>
    <row r="257" spans="5:23" x14ac:dyDescent="0.3">
      <c r="E257" s="7"/>
    </row>
    <row r="258" spans="5:23" x14ac:dyDescent="0.3">
      <c r="E258" s="7"/>
    </row>
    <row r="259" spans="5:23" x14ac:dyDescent="0.3">
      <c r="E259" s="7"/>
      <c r="W259" s="21"/>
    </row>
    <row r="260" spans="5:23" x14ac:dyDescent="0.3">
      <c r="E260" s="7"/>
    </row>
    <row r="261" spans="5:23" x14ac:dyDescent="0.3">
      <c r="E261" s="7"/>
      <c r="W261" s="21"/>
    </row>
    <row r="262" spans="5:23" x14ac:dyDescent="0.3">
      <c r="E262" s="7"/>
    </row>
    <row r="263" spans="5:23" x14ac:dyDescent="0.3">
      <c r="E263" s="7"/>
    </row>
    <row r="264" spans="5:23" x14ac:dyDescent="0.3">
      <c r="E264" s="7"/>
    </row>
    <row r="265" spans="5:23" x14ac:dyDescent="0.3">
      <c r="E265" s="7"/>
    </row>
    <row r="266" spans="5:23" x14ac:dyDescent="0.3">
      <c r="E266" s="7"/>
    </row>
    <row r="267" spans="5:23" x14ac:dyDescent="0.3">
      <c r="E267" s="7"/>
    </row>
    <row r="268" spans="5:23" x14ac:dyDescent="0.3">
      <c r="E268" s="7"/>
    </row>
    <row r="269" spans="5:23" x14ac:dyDescent="0.3">
      <c r="E269" s="7"/>
      <c r="W269" s="21"/>
    </row>
    <row r="270" spans="5:23" x14ac:dyDescent="0.3">
      <c r="E270" s="7"/>
    </row>
    <row r="271" spans="5:23" x14ac:dyDescent="0.3">
      <c r="E271" s="7"/>
    </row>
    <row r="272" spans="5:23" x14ac:dyDescent="0.3">
      <c r="E272" s="7"/>
    </row>
    <row r="273" spans="5:23" x14ac:dyDescent="0.3">
      <c r="E273" s="7"/>
    </row>
    <row r="274" spans="5:23" x14ac:dyDescent="0.3">
      <c r="E274" s="7"/>
      <c r="W274" s="21"/>
    </row>
    <row r="275" spans="5:23" x14ac:dyDescent="0.3">
      <c r="E275" s="7"/>
      <c r="W275" s="21"/>
    </row>
    <row r="276" spans="5:23" x14ac:dyDescent="0.3">
      <c r="E276" s="7"/>
      <c r="W276" s="21"/>
    </row>
    <row r="277" spans="5:23" x14ac:dyDescent="0.3">
      <c r="E277" s="7"/>
    </row>
    <row r="278" spans="5:23" x14ac:dyDescent="0.3">
      <c r="E278" s="7"/>
    </row>
    <row r="279" spans="5:23" x14ac:dyDescent="0.3">
      <c r="E279" s="7"/>
      <c r="W279" s="21"/>
    </row>
    <row r="280" spans="5:23" x14ac:dyDescent="0.3">
      <c r="E280" s="7"/>
    </row>
    <row r="281" spans="5:23" x14ac:dyDescent="0.3">
      <c r="E281" s="7"/>
      <c r="W281" s="21"/>
    </row>
    <row r="282" spans="5:23" x14ac:dyDescent="0.3">
      <c r="E282" s="7"/>
    </row>
    <row r="283" spans="5:23" x14ac:dyDescent="0.3">
      <c r="E283" s="7"/>
    </row>
    <row r="284" spans="5:23" x14ac:dyDescent="0.3">
      <c r="E284" s="7"/>
    </row>
    <row r="285" spans="5:23" x14ac:dyDescent="0.3">
      <c r="E285" s="7"/>
      <c r="W285" s="21"/>
    </row>
    <row r="286" spans="5:23" x14ac:dyDescent="0.3">
      <c r="E286" s="7"/>
    </row>
    <row r="287" spans="5:23" x14ac:dyDescent="0.3">
      <c r="E287" s="7"/>
    </row>
    <row r="288" spans="5:23" x14ac:dyDescent="0.3">
      <c r="E288" s="7"/>
      <c r="W288" s="21"/>
    </row>
    <row r="289" spans="5:23" x14ac:dyDescent="0.3">
      <c r="E289" s="7"/>
    </row>
    <row r="290" spans="5:23" x14ac:dyDescent="0.3">
      <c r="E290" s="7"/>
    </row>
    <row r="291" spans="5:23" x14ac:dyDescent="0.3">
      <c r="E291" s="7"/>
    </row>
    <row r="292" spans="5:23" x14ac:dyDescent="0.3">
      <c r="E292" s="7"/>
    </row>
    <row r="293" spans="5:23" x14ac:dyDescent="0.3">
      <c r="E293" s="7"/>
    </row>
    <row r="294" spans="5:23" x14ac:dyDescent="0.3">
      <c r="E294" s="7"/>
      <c r="W294" s="21"/>
    </row>
    <row r="295" spans="5:23" x14ac:dyDescent="0.3">
      <c r="E295" s="7"/>
    </row>
    <row r="296" spans="5:23" x14ac:dyDescent="0.3">
      <c r="E296" s="7"/>
      <c r="W296" s="21"/>
    </row>
    <row r="297" spans="5:23" x14ac:dyDescent="0.3">
      <c r="E297" s="7"/>
    </row>
    <row r="298" spans="5:23" x14ac:dyDescent="0.3">
      <c r="E298" s="7"/>
    </row>
    <row r="299" spans="5:23" x14ac:dyDescent="0.3">
      <c r="E299" s="7"/>
    </row>
    <row r="300" spans="5:23" x14ac:dyDescent="0.3">
      <c r="E300" s="7"/>
    </row>
    <row r="301" spans="5:23" x14ac:dyDescent="0.3">
      <c r="E301" s="7"/>
    </row>
    <row r="302" spans="5:23" x14ac:dyDescent="0.3">
      <c r="E302" s="7"/>
    </row>
    <row r="303" spans="5:23" x14ac:dyDescent="0.3">
      <c r="E303" s="7"/>
    </row>
    <row r="304" spans="5:23" x14ac:dyDescent="0.3">
      <c r="E304" s="7"/>
    </row>
    <row r="305" spans="5:23" x14ac:dyDescent="0.3">
      <c r="E305" s="7"/>
      <c r="W305" s="21"/>
    </row>
    <row r="306" spans="5:23" x14ac:dyDescent="0.3">
      <c r="E306" s="7"/>
    </row>
    <row r="307" spans="5:23" x14ac:dyDescent="0.3">
      <c r="E307" s="7"/>
    </row>
    <row r="308" spans="5:23" x14ac:dyDescent="0.3">
      <c r="E308" s="7"/>
    </row>
    <row r="309" spans="5:23" x14ac:dyDescent="0.3">
      <c r="E309" s="7"/>
      <c r="W309" s="21"/>
    </row>
    <row r="310" spans="5:23" x14ac:dyDescent="0.3">
      <c r="E310" s="7"/>
    </row>
    <row r="311" spans="5:23" x14ac:dyDescent="0.3">
      <c r="E311" s="7"/>
    </row>
    <row r="312" spans="5:23" x14ac:dyDescent="0.3">
      <c r="E312" s="7"/>
    </row>
    <row r="313" spans="5:23" x14ac:dyDescent="0.3">
      <c r="E313" s="7"/>
      <c r="W313" s="21"/>
    </row>
    <row r="314" spans="5:23" x14ac:dyDescent="0.3">
      <c r="E314" s="7"/>
      <c r="W314" s="21"/>
    </row>
    <row r="315" spans="5:23" x14ac:dyDescent="0.3">
      <c r="E315" s="7"/>
      <c r="W315" s="21"/>
    </row>
    <row r="316" spans="5:23" x14ac:dyDescent="0.3">
      <c r="E316" s="7"/>
      <c r="W316" s="21"/>
    </row>
    <row r="317" spans="5:23" x14ac:dyDescent="0.3">
      <c r="E317" s="7"/>
    </row>
    <row r="318" spans="5:23" x14ac:dyDescent="0.3">
      <c r="E318" s="7"/>
    </row>
    <row r="319" spans="5:23" x14ac:dyDescent="0.3">
      <c r="E319" s="7"/>
    </row>
    <row r="320" spans="5:23" x14ac:dyDescent="0.3">
      <c r="E320" s="7"/>
    </row>
    <row r="321" spans="5:23" x14ac:dyDescent="0.3">
      <c r="E321" s="7"/>
      <c r="W321" s="21"/>
    </row>
    <row r="322" spans="5:23" x14ac:dyDescent="0.3">
      <c r="E322" s="7"/>
    </row>
    <row r="323" spans="5:23" x14ac:dyDescent="0.3">
      <c r="E323" s="7"/>
    </row>
    <row r="324" spans="5:23" x14ac:dyDescent="0.3">
      <c r="E324" s="7"/>
    </row>
    <row r="325" spans="5:23" x14ac:dyDescent="0.3">
      <c r="E325" s="7"/>
    </row>
    <row r="326" spans="5:23" x14ac:dyDescent="0.3">
      <c r="E326" s="7"/>
    </row>
    <row r="327" spans="5:23" x14ac:dyDescent="0.3">
      <c r="E327" s="7"/>
    </row>
    <row r="328" spans="5:23" x14ac:dyDescent="0.3">
      <c r="E328" s="7"/>
    </row>
    <row r="329" spans="5:23" x14ac:dyDescent="0.3">
      <c r="E329" s="7"/>
    </row>
    <row r="330" spans="5:23" x14ac:dyDescent="0.3">
      <c r="E330" s="7"/>
    </row>
    <row r="331" spans="5:23" x14ac:dyDescent="0.3">
      <c r="E331" s="7"/>
    </row>
    <row r="332" spans="5:23" x14ac:dyDescent="0.3">
      <c r="E332" s="7"/>
    </row>
    <row r="333" spans="5:23" x14ac:dyDescent="0.3">
      <c r="E333" s="7"/>
    </row>
    <row r="334" spans="5:23" x14ac:dyDescent="0.3">
      <c r="E334" s="7"/>
    </row>
    <row r="335" spans="5:23" x14ac:dyDescent="0.3">
      <c r="E335" s="7"/>
      <c r="W335" s="21"/>
    </row>
    <row r="336" spans="5:23" x14ac:dyDescent="0.3">
      <c r="E336" s="7"/>
    </row>
    <row r="337" spans="5:23" x14ac:dyDescent="0.3">
      <c r="E337" s="7"/>
    </row>
    <row r="338" spans="5:23" x14ac:dyDescent="0.3">
      <c r="E338" s="7"/>
    </row>
    <row r="339" spans="5:23" x14ac:dyDescent="0.3">
      <c r="E339" s="7"/>
    </row>
    <row r="340" spans="5:23" x14ac:dyDescent="0.3">
      <c r="E340" s="7"/>
    </row>
    <row r="341" spans="5:23" x14ac:dyDescent="0.3">
      <c r="E341" s="7"/>
    </row>
    <row r="342" spans="5:23" x14ac:dyDescent="0.3">
      <c r="E342" s="7"/>
    </row>
    <row r="343" spans="5:23" x14ac:dyDescent="0.3">
      <c r="E343" s="7"/>
    </row>
    <row r="344" spans="5:23" x14ac:dyDescent="0.3">
      <c r="E344" s="7"/>
    </row>
    <row r="345" spans="5:23" x14ac:dyDescent="0.3">
      <c r="E345" s="7"/>
    </row>
    <row r="346" spans="5:23" x14ac:dyDescent="0.3">
      <c r="E346" s="7"/>
      <c r="W346" s="21"/>
    </row>
    <row r="347" spans="5:23" x14ac:dyDescent="0.3">
      <c r="E347" s="7"/>
      <c r="W347" s="21"/>
    </row>
    <row r="348" spans="5:23" x14ac:dyDescent="0.3">
      <c r="E348" s="7"/>
    </row>
    <row r="349" spans="5:23" x14ac:dyDescent="0.3">
      <c r="E349" s="7"/>
    </row>
    <row r="350" spans="5:23" x14ac:dyDescent="0.3">
      <c r="E350" s="7"/>
    </row>
    <row r="351" spans="5:23" x14ac:dyDescent="0.3">
      <c r="E351" s="7"/>
    </row>
    <row r="352" spans="5:23" x14ac:dyDescent="0.3">
      <c r="E352" s="7"/>
    </row>
    <row r="353" spans="5:23" x14ac:dyDescent="0.3">
      <c r="E353" s="7"/>
    </row>
    <row r="354" spans="5:23" x14ac:dyDescent="0.3">
      <c r="E354" s="7"/>
      <c r="W354" s="21"/>
    </row>
    <row r="355" spans="5:23" x14ac:dyDescent="0.3">
      <c r="E355" s="7"/>
      <c r="W355" s="21"/>
    </row>
    <row r="356" spans="5:23" x14ac:dyDescent="0.3">
      <c r="E356" s="7"/>
      <c r="W356" s="21"/>
    </row>
    <row r="357" spans="5:23" x14ac:dyDescent="0.3">
      <c r="E357" s="7"/>
      <c r="W357" s="21"/>
    </row>
    <row r="358" spans="5:23" x14ac:dyDescent="0.3">
      <c r="E358" s="7"/>
    </row>
    <row r="359" spans="5:23" x14ac:dyDescent="0.3">
      <c r="E359" s="7"/>
      <c r="W359" s="21"/>
    </row>
    <row r="360" spans="5:23" x14ac:dyDescent="0.3">
      <c r="E360" s="7"/>
    </row>
    <row r="361" spans="5:23" x14ac:dyDescent="0.3">
      <c r="E361" s="7"/>
    </row>
    <row r="362" spans="5:23" x14ac:dyDescent="0.3">
      <c r="E362" s="7"/>
    </row>
    <row r="363" spans="5:23" x14ac:dyDescent="0.3">
      <c r="E363" s="7"/>
    </row>
    <row r="364" spans="5:23" x14ac:dyDescent="0.3">
      <c r="E364" s="7"/>
    </row>
    <row r="365" spans="5:23" x14ac:dyDescent="0.3">
      <c r="E365" s="7"/>
      <c r="W365" s="21"/>
    </row>
    <row r="366" spans="5:23" x14ac:dyDescent="0.3">
      <c r="E366" s="7"/>
    </row>
    <row r="367" spans="5:23" x14ac:dyDescent="0.3">
      <c r="E367" s="7"/>
    </row>
    <row r="368" spans="5:23" x14ac:dyDescent="0.3">
      <c r="E368" s="7"/>
    </row>
    <row r="369" spans="5:23" x14ac:dyDescent="0.3">
      <c r="E369" s="7"/>
    </row>
    <row r="370" spans="5:23" x14ac:dyDescent="0.3">
      <c r="E370" s="7"/>
    </row>
    <row r="371" spans="5:23" x14ac:dyDescent="0.3">
      <c r="E371" s="7"/>
      <c r="W371" s="21"/>
    </row>
    <row r="372" spans="5:23" x14ac:dyDescent="0.3">
      <c r="E372" s="7"/>
    </row>
    <row r="373" spans="5:23" x14ac:dyDescent="0.3">
      <c r="E373" s="7"/>
      <c r="W373" s="21"/>
    </row>
    <row r="374" spans="5:23" x14ac:dyDescent="0.3">
      <c r="E374" s="7"/>
      <c r="W374" s="21"/>
    </row>
    <row r="375" spans="5:23" x14ac:dyDescent="0.3">
      <c r="E375" s="7"/>
      <c r="W375" s="21"/>
    </row>
    <row r="376" spans="5:23" x14ac:dyDescent="0.3">
      <c r="E376" s="7"/>
    </row>
    <row r="377" spans="5:23" x14ac:dyDescent="0.3">
      <c r="E377" s="7"/>
      <c r="W377" s="21"/>
    </row>
    <row r="378" spans="5:23" x14ac:dyDescent="0.3">
      <c r="E378" s="7"/>
      <c r="W378" s="21"/>
    </row>
    <row r="379" spans="5:23" x14ac:dyDescent="0.3">
      <c r="E379" s="7"/>
      <c r="W379" s="21"/>
    </row>
    <row r="380" spans="5:23" x14ac:dyDescent="0.3">
      <c r="E380" s="7"/>
    </row>
    <row r="381" spans="5:23" x14ac:dyDescent="0.3">
      <c r="E381" s="7"/>
    </row>
    <row r="382" spans="5:23" x14ac:dyDescent="0.3">
      <c r="E382" s="7"/>
    </row>
    <row r="383" spans="5:23" x14ac:dyDescent="0.3">
      <c r="E383" s="7"/>
      <c r="W383" s="21"/>
    </row>
    <row r="384" spans="5:23" x14ac:dyDescent="0.3">
      <c r="E384" s="7"/>
    </row>
    <row r="385" spans="5:23" x14ac:dyDescent="0.3">
      <c r="E385" s="7"/>
    </row>
    <row r="386" spans="5:23" x14ac:dyDescent="0.3">
      <c r="E386" s="7"/>
    </row>
    <row r="387" spans="5:23" x14ac:dyDescent="0.3">
      <c r="E387" s="7"/>
    </row>
    <row r="388" spans="5:23" x14ac:dyDescent="0.3">
      <c r="E388" s="7"/>
      <c r="W388" s="21"/>
    </row>
    <row r="389" spans="5:23" x14ac:dyDescent="0.3">
      <c r="E389" s="7"/>
      <c r="W389" s="21"/>
    </row>
    <row r="390" spans="5:23" x14ac:dyDescent="0.3">
      <c r="E390" s="7"/>
    </row>
    <row r="391" spans="5:23" x14ac:dyDescent="0.3">
      <c r="E391" s="7"/>
    </row>
    <row r="392" spans="5:23" x14ac:dyDescent="0.3">
      <c r="E392" s="7"/>
    </row>
    <row r="393" spans="5:23" x14ac:dyDescent="0.3">
      <c r="E393" s="7"/>
    </row>
    <row r="394" spans="5:23" x14ac:dyDescent="0.3">
      <c r="E394" s="7"/>
    </row>
    <row r="395" spans="5:23" x14ac:dyDescent="0.3">
      <c r="E395" s="7"/>
    </row>
    <row r="396" spans="5:23" x14ac:dyDescent="0.3">
      <c r="E396" s="7"/>
      <c r="W396" s="21"/>
    </row>
    <row r="397" spans="5:23" x14ac:dyDescent="0.3">
      <c r="E397" s="7"/>
    </row>
    <row r="398" spans="5:23" x14ac:dyDescent="0.3">
      <c r="E398" s="7"/>
    </row>
    <row r="399" spans="5:23" x14ac:dyDescent="0.3">
      <c r="E399" s="7"/>
    </row>
    <row r="400" spans="5:23" x14ac:dyDescent="0.3">
      <c r="E400" s="7"/>
      <c r="W400" s="21"/>
    </row>
    <row r="401" spans="5:23" x14ac:dyDescent="0.3">
      <c r="E401" s="7"/>
    </row>
    <row r="402" spans="5:23" x14ac:dyDescent="0.3">
      <c r="E402" s="7"/>
    </row>
    <row r="403" spans="5:23" x14ac:dyDescent="0.3">
      <c r="E403" s="7"/>
    </row>
    <row r="404" spans="5:23" x14ac:dyDescent="0.3">
      <c r="E404" s="7"/>
    </row>
    <row r="405" spans="5:23" x14ac:dyDescent="0.3">
      <c r="E405" s="7"/>
    </row>
    <row r="406" spans="5:23" x14ac:dyDescent="0.3">
      <c r="E406" s="7"/>
    </row>
    <row r="407" spans="5:23" x14ac:dyDescent="0.3">
      <c r="E407" s="7"/>
    </row>
    <row r="408" spans="5:23" x14ac:dyDescent="0.3">
      <c r="E408" s="7"/>
      <c r="W408" s="21"/>
    </row>
    <row r="409" spans="5:23" x14ac:dyDescent="0.3">
      <c r="E409" s="7"/>
    </row>
    <row r="410" spans="5:23" x14ac:dyDescent="0.3">
      <c r="E410" s="7"/>
    </row>
    <row r="411" spans="5:23" x14ac:dyDescent="0.3">
      <c r="E411" s="7"/>
      <c r="W411" s="21"/>
    </row>
    <row r="412" spans="5:23" x14ac:dyDescent="0.3">
      <c r="E412" s="7"/>
    </row>
    <row r="413" spans="5:23" x14ac:dyDescent="0.3">
      <c r="E413" s="7"/>
    </row>
    <row r="414" spans="5:23" x14ac:dyDescent="0.3">
      <c r="E414" s="7"/>
    </row>
    <row r="415" spans="5:23" x14ac:dyDescent="0.3">
      <c r="E415" s="7"/>
      <c r="W415" s="21"/>
    </row>
    <row r="416" spans="5:23" x14ac:dyDescent="0.3">
      <c r="E416" s="7"/>
    </row>
    <row r="417" spans="5:23" x14ac:dyDescent="0.3">
      <c r="E417" s="7"/>
    </row>
    <row r="418" spans="5:23" x14ac:dyDescent="0.3">
      <c r="E418" s="7"/>
    </row>
    <row r="419" spans="5:23" x14ac:dyDescent="0.3">
      <c r="E419" s="7"/>
    </row>
    <row r="420" spans="5:23" x14ac:dyDescent="0.3">
      <c r="E420" s="7"/>
    </row>
    <row r="421" spans="5:23" x14ac:dyDescent="0.3">
      <c r="E421" s="7"/>
    </row>
    <row r="422" spans="5:23" x14ac:dyDescent="0.3">
      <c r="E422" s="7"/>
      <c r="W422" s="21"/>
    </row>
    <row r="423" spans="5:23" x14ac:dyDescent="0.3">
      <c r="E423" s="7"/>
    </row>
    <row r="424" spans="5:23" x14ac:dyDescent="0.3">
      <c r="E424" s="7"/>
    </row>
    <row r="425" spans="5:23" x14ac:dyDescent="0.3">
      <c r="E425" s="7"/>
    </row>
    <row r="426" spans="5:23" x14ac:dyDescent="0.3">
      <c r="E426" s="7"/>
    </row>
    <row r="427" spans="5:23" x14ac:dyDescent="0.3">
      <c r="E427" s="7"/>
    </row>
    <row r="428" spans="5:23" x14ac:dyDescent="0.3">
      <c r="E428" s="7"/>
      <c r="W428" s="21"/>
    </row>
    <row r="429" spans="5:23" x14ac:dyDescent="0.3">
      <c r="E429" s="7"/>
      <c r="W429" s="21"/>
    </row>
    <row r="430" spans="5:23" x14ac:dyDescent="0.3">
      <c r="E430" s="7"/>
    </row>
    <row r="431" spans="5:23" x14ac:dyDescent="0.3">
      <c r="E431" s="7"/>
    </row>
    <row r="432" spans="5:23" x14ac:dyDescent="0.3">
      <c r="E432" s="7"/>
    </row>
    <row r="433" spans="5:23" x14ac:dyDescent="0.3">
      <c r="E433" s="7"/>
    </row>
    <row r="434" spans="5:23" x14ac:dyDescent="0.3">
      <c r="E434" s="7"/>
      <c r="W434" s="21"/>
    </row>
    <row r="435" spans="5:23" x14ac:dyDescent="0.3">
      <c r="E435" s="7"/>
    </row>
    <row r="436" spans="5:23" x14ac:dyDescent="0.3">
      <c r="E436" s="7"/>
    </row>
    <row r="437" spans="5:23" x14ac:dyDescent="0.3">
      <c r="E437" s="7"/>
    </row>
    <row r="438" spans="5:23" x14ac:dyDescent="0.3">
      <c r="E438" s="7"/>
      <c r="W438" s="21"/>
    </row>
    <row r="439" spans="5:23" x14ac:dyDescent="0.3">
      <c r="E439" s="7"/>
      <c r="W439" s="21"/>
    </row>
    <row r="440" spans="5:23" x14ac:dyDescent="0.3">
      <c r="E440" s="7"/>
    </row>
    <row r="441" spans="5:23" x14ac:dyDescent="0.3">
      <c r="E441" s="7"/>
      <c r="M441" s="8"/>
    </row>
    <row r="442" spans="5:23" x14ac:dyDescent="0.3">
      <c r="E442" s="7"/>
    </row>
    <row r="443" spans="5:23" x14ac:dyDescent="0.3">
      <c r="E443" s="7"/>
    </row>
    <row r="444" spans="5:23" x14ac:dyDescent="0.3">
      <c r="E444" s="7"/>
    </row>
    <row r="445" spans="5:23" x14ac:dyDescent="0.3">
      <c r="E445" s="7"/>
      <c r="W445" s="21"/>
    </row>
    <row r="446" spans="5:23" x14ac:dyDescent="0.3">
      <c r="E446" s="7"/>
      <c r="M446" s="8"/>
      <c r="W446" s="21"/>
    </row>
    <row r="447" spans="5:23" x14ac:dyDescent="0.3">
      <c r="E447" s="7"/>
      <c r="M447" s="8"/>
      <c r="W447" s="21"/>
    </row>
    <row r="448" spans="5:23" x14ac:dyDescent="0.3">
      <c r="E448" s="7"/>
      <c r="M448" s="8"/>
      <c r="W448" s="21"/>
    </row>
    <row r="449" spans="5:23" x14ac:dyDescent="0.3">
      <c r="E449" s="7"/>
      <c r="M449" s="8"/>
      <c r="W449" s="21"/>
    </row>
    <row r="450" spans="5:23" x14ac:dyDescent="0.3">
      <c r="E450" s="7"/>
      <c r="M450" s="8"/>
      <c r="W450" s="21"/>
    </row>
    <row r="451" spans="5:23" x14ac:dyDescent="0.3">
      <c r="E451" s="7"/>
      <c r="M451" s="8"/>
      <c r="W451" s="21"/>
    </row>
    <row r="452" spans="5:23" x14ac:dyDescent="0.3">
      <c r="E452" s="7"/>
      <c r="M452" s="8"/>
    </row>
    <row r="453" spans="5:23" x14ac:dyDescent="0.3">
      <c r="E453" s="7"/>
    </row>
    <row r="454" spans="5:23" x14ac:dyDescent="0.3">
      <c r="E454" s="7"/>
    </row>
    <row r="455" spans="5:23" x14ac:dyDescent="0.3">
      <c r="E455" s="7"/>
    </row>
    <row r="456" spans="5:23" x14ac:dyDescent="0.3">
      <c r="E456" s="7"/>
    </row>
    <row r="457" spans="5:23" x14ac:dyDescent="0.3">
      <c r="E457" s="7"/>
    </row>
    <row r="458" spans="5:23" x14ac:dyDescent="0.3">
      <c r="E458" s="7"/>
    </row>
    <row r="459" spans="5:23" x14ac:dyDescent="0.3">
      <c r="E459" s="7"/>
    </row>
    <row r="460" spans="5:23" x14ac:dyDescent="0.3">
      <c r="E460" s="7"/>
    </row>
    <row r="461" spans="5:23" x14ac:dyDescent="0.3">
      <c r="E461" s="7"/>
      <c r="M461" s="8"/>
    </row>
    <row r="462" spans="5:23" x14ac:dyDescent="0.3">
      <c r="E462" s="7"/>
      <c r="W462" s="21"/>
    </row>
    <row r="463" spans="5:23" x14ac:dyDescent="0.3">
      <c r="E463" s="7"/>
      <c r="W463" s="21"/>
    </row>
    <row r="464" spans="5:23" x14ac:dyDescent="0.3">
      <c r="E464" s="7"/>
      <c r="W464" s="21"/>
    </row>
    <row r="465" spans="5:23" x14ac:dyDescent="0.3">
      <c r="E465" s="7"/>
    </row>
    <row r="466" spans="5:23" x14ac:dyDescent="0.3">
      <c r="E466" s="7"/>
      <c r="M466" s="8"/>
    </row>
    <row r="467" spans="5:23" x14ac:dyDescent="0.3">
      <c r="E467" s="7"/>
    </row>
    <row r="468" spans="5:23" x14ac:dyDescent="0.3">
      <c r="E468" s="7"/>
      <c r="M468" s="8"/>
    </row>
    <row r="469" spans="5:23" x14ac:dyDescent="0.3">
      <c r="E469" s="7"/>
      <c r="M469" s="8"/>
    </row>
    <row r="470" spans="5:23" x14ac:dyDescent="0.3">
      <c r="E470" s="7"/>
      <c r="M470" s="8"/>
    </row>
    <row r="471" spans="5:23" x14ac:dyDescent="0.3">
      <c r="E471" s="7"/>
      <c r="M471" s="8"/>
    </row>
    <row r="472" spans="5:23" x14ac:dyDescent="0.3">
      <c r="E472" s="7"/>
    </row>
    <row r="473" spans="5:23" x14ac:dyDescent="0.3">
      <c r="E473" s="7"/>
      <c r="M473" s="8"/>
      <c r="W473" s="21"/>
    </row>
    <row r="474" spans="5:23" x14ac:dyDescent="0.3">
      <c r="E474" s="7"/>
      <c r="M474" s="8"/>
    </row>
    <row r="475" spans="5:23" x14ac:dyDescent="0.3">
      <c r="E475" s="7"/>
      <c r="M475" s="8"/>
      <c r="W475" s="21"/>
    </row>
    <row r="476" spans="5:23" x14ac:dyDescent="0.3">
      <c r="E476" s="7"/>
      <c r="M476" s="8"/>
    </row>
    <row r="477" spans="5:23" x14ac:dyDescent="0.3">
      <c r="E477" s="7"/>
      <c r="M477" s="8"/>
      <c r="W477" s="21"/>
    </row>
    <row r="478" spans="5:23" x14ac:dyDescent="0.3">
      <c r="E478" s="7"/>
      <c r="M478" s="8"/>
      <c r="W478" s="21"/>
    </row>
    <row r="479" spans="5:23" x14ac:dyDescent="0.3">
      <c r="E479" s="7"/>
      <c r="M479" s="8"/>
      <c r="W479" s="21"/>
    </row>
    <row r="480" spans="5:23" x14ac:dyDescent="0.3">
      <c r="E480" s="7"/>
      <c r="M480" s="8"/>
      <c r="W480" s="21"/>
    </row>
    <row r="481" spans="5:23" x14ac:dyDescent="0.3">
      <c r="E481" s="7"/>
      <c r="M481" s="8"/>
      <c r="W481" s="21"/>
    </row>
    <row r="482" spans="5:23" x14ac:dyDescent="0.3">
      <c r="E482" s="7"/>
      <c r="M482" s="8"/>
      <c r="W482" s="21"/>
    </row>
    <row r="483" spans="5:23" x14ac:dyDescent="0.3">
      <c r="E483" s="7"/>
    </row>
    <row r="484" spans="5:23" x14ac:dyDescent="0.3">
      <c r="E484" s="7"/>
    </row>
    <row r="485" spans="5:23" x14ac:dyDescent="0.3">
      <c r="E485" s="7"/>
    </row>
    <row r="486" spans="5:23" x14ac:dyDescent="0.3">
      <c r="E486" s="7"/>
      <c r="W486" s="21"/>
    </row>
    <row r="487" spans="5:23" x14ac:dyDescent="0.3">
      <c r="E487" s="7"/>
    </row>
    <row r="488" spans="5:23" x14ac:dyDescent="0.3">
      <c r="E488" s="7"/>
    </row>
    <row r="489" spans="5:23" x14ac:dyDescent="0.3">
      <c r="E489" s="7"/>
    </row>
    <row r="490" spans="5:23" x14ac:dyDescent="0.3">
      <c r="E490" s="7"/>
    </row>
    <row r="491" spans="5:23" x14ac:dyDescent="0.3">
      <c r="E491" s="7"/>
    </row>
    <row r="492" spans="5:23" x14ac:dyDescent="0.3">
      <c r="E492" s="7"/>
      <c r="W492" s="21"/>
    </row>
    <row r="493" spans="5:23" x14ac:dyDescent="0.3">
      <c r="E493" s="7"/>
    </row>
    <row r="494" spans="5:23" x14ac:dyDescent="0.3">
      <c r="E494" s="7"/>
      <c r="W494" s="21"/>
    </row>
    <row r="495" spans="5:23" x14ac:dyDescent="0.3">
      <c r="E495" s="7"/>
      <c r="W495" s="21"/>
    </row>
    <row r="496" spans="5:23" x14ac:dyDescent="0.3">
      <c r="E496" s="7"/>
    </row>
    <row r="497" spans="5:23" x14ac:dyDescent="0.3">
      <c r="E497" s="7"/>
    </row>
    <row r="498" spans="5:23" x14ac:dyDescent="0.3">
      <c r="E498" s="7"/>
    </row>
    <row r="499" spans="5:23" x14ac:dyDescent="0.3">
      <c r="E499" s="7"/>
      <c r="W499" s="21"/>
    </row>
    <row r="500" spans="5:23" x14ac:dyDescent="0.3">
      <c r="E500" s="7"/>
    </row>
    <row r="501" spans="5:23" x14ac:dyDescent="0.3">
      <c r="E501" s="7"/>
    </row>
    <row r="502" spans="5:23" x14ac:dyDescent="0.3">
      <c r="E502" s="7"/>
    </row>
    <row r="503" spans="5:23" x14ac:dyDescent="0.3">
      <c r="E503" s="7"/>
    </row>
    <row r="504" spans="5:23" x14ac:dyDescent="0.3">
      <c r="E504" s="7"/>
    </row>
    <row r="505" spans="5:23" x14ac:dyDescent="0.3">
      <c r="E505" s="7"/>
    </row>
    <row r="506" spans="5:23" x14ac:dyDescent="0.3">
      <c r="E506" s="7"/>
    </row>
    <row r="507" spans="5:23" x14ac:dyDescent="0.3">
      <c r="E507" s="7"/>
    </row>
    <row r="508" spans="5:23" x14ac:dyDescent="0.3">
      <c r="E508" s="7"/>
    </row>
    <row r="509" spans="5:23" x14ac:dyDescent="0.3">
      <c r="E509" s="7"/>
    </row>
    <row r="510" spans="5:23" x14ac:dyDescent="0.3">
      <c r="E510" s="7"/>
    </row>
    <row r="511" spans="5:23" x14ac:dyDescent="0.3">
      <c r="E511" s="7"/>
    </row>
    <row r="512" spans="5:23" x14ac:dyDescent="0.3">
      <c r="E512" s="7"/>
    </row>
    <row r="513" spans="5:23" x14ac:dyDescent="0.3">
      <c r="E513" s="7"/>
    </row>
    <row r="514" spans="5:23" x14ac:dyDescent="0.3">
      <c r="E514" s="7"/>
    </row>
    <row r="515" spans="5:23" x14ac:dyDescent="0.3">
      <c r="E515" s="7"/>
    </row>
    <row r="516" spans="5:23" x14ac:dyDescent="0.3">
      <c r="E516" s="7"/>
    </row>
    <row r="517" spans="5:23" x14ac:dyDescent="0.3">
      <c r="E517" s="7"/>
    </row>
    <row r="518" spans="5:23" x14ac:dyDescent="0.3">
      <c r="E518" s="7"/>
    </row>
    <row r="519" spans="5:23" x14ac:dyDescent="0.3">
      <c r="E519" s="7"/>
    </row>
    <row r="520" spans="5:23" x14ac:dyDescent="0.3">
      <c r="E520" s="7"/>
      <c r="M520" s="8"/>
    </row>
    <row r="521" spans="5:23" x14ac:dyDescent="0.3">
      <c r="E521" s="7"/>
      <c r="W521" s="21"/>
    </row>
    <row r="522" spans="5:23" x14ac:dyDescent="0.3">
      <c r="E522" s="7"/>
      <c r="W522" s="21"/>
    </row>
    <row r="523" spans="5:23" x14ac:dyDescent="0.3">
      <c r="E523" s="7"/>
      <c r="M523" s="8"/>
    </row>
    <row r="524" spans="5:23" x14ac:dyDescent="0.3">
      <c r="E524" s="7"/>
    </row>
    <row r="525" spans="5:23" x14ac:dyDescent="0.3">
      <c r="E525" s="7"/>
    </row>
    <row r="526" spans="5:23" x14ac:dyDescent="0.3">
      <c r="E526" s="7"/>
      <c r="M526" s="8"/>
    </row>
    <row r="527" spans="5:23" x14ac:dyDescent="0.3">
      <c r="E527" s="7"/>
    </row>
    <row r="528" spans="5:23" x14ac:dyDescent="0.3">
      <c r="E528" s="7"/>
      <c r="W528" s="21"/>
    </row>
    <row r="529" spans="5:23" x14ac:dyDescent="0.3">
      <c r="E529" s="7"/>
      <c r="M529" s="8"/>
    </row>
    <row r="530" spans="5:23" x14ac:dyDescent="0.3">
      <c r="E530" s="7"/>
      <c r="M530" s="8"/>
    </row>
    <row r="531" spans="5:23" x14ac:dyDescent="0.3">
      <c r="E531" s="7"/>
      <c r="M531" s="8"/>
      <c r="W531" s="21"/>
    </row>
    <row r="532" spans="5:23" x14ac:dyDescent="0.3">
      <c r="E532" s="7"/>
      <c r="M532" s="8"/>
      <c r="W532" s="21"/>
    </row>
    <row r="533" spans="5:23" x14ac:dyDescent="0.3">
      <c r="E533" s="7"/>
      <c r="M533" s="8"/>
      <c r="W533" s="21"/>
    </row>
    <row r="534" spans="5:23" x14ac:dyDescent="0.3">
      <c r="E534" s="7"/>
      <c r="M534" s="8"/>
      <c r="W534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RELATÓRIO</vt:lpstr>
      <vt:lpstr>ENTRADAS</vt:lpstr>
      <vt:lpstr>ENTRADAS-BASE</vt:lpstr>
      <vt:lpstr>SAÍDAS</vt:lpstr>
      <vt:lpstr>SAÍDAS-BASE</vt:lpstr>
      <vt:lpstr>SISTEMA-AUX</vt:lpstr>
      <vt:lpstr>SISTEMA</vt:lpstr>
      <vt:lpstr>SEFAZ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Amazonas Contabilidade</dc:creator>
  <cp:lastModifiedBy>Frigorifico Amazonas</cp:lastModifiedBy>
  <dcterms:created xsi:type="dcterms:W3CDTF">2025-05-08T12:24:04Z</dcterms:created>
  <dcterms:modified xsi:type="dcterms:W3CDTF">2026-09-02T17:38:39Z</dcterms:modified>
</cp:coreProperties>
</file>