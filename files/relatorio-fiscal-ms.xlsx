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files\"/>
    </mc:Choice>
  </mc:AlternateContent>
  <xr:revisionPtr revIDLastSave="0" documentId="13_ncr:1_{1E5DA750-9FF1-4D5D-B099-F2B817266F8B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1" i="5" l="1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/>
  <c r="L398" i="5" a="1"/>
  <c r="L398" i="5" s="1"/>
  <c r="L399" i="5" a="1"/>
  <c r="L399" i="5" s="1"/>
  <c r="L400" i="5" a="1"/>
  <c r="L400" i="5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/>
  <c r="L431" i="5" a="1"/>
  <c r="L431" i="5" s="1"/>
  <c r="L432" i="5" a="1"/>
  <c r="L432" i="5" s="1"/>
  <c r="L433" i="5" a="1"/>
  <c r="L433" i="5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/>
  <c r="L443" i="5" a="1"/>
  <c r="L443" i="5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/>
  <c r="L451" i="5" a="1"/>
  <c r="L451" i="5"/>
  <c r="L452" i="5" a="1"/>
  <c r="L452" i="5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/>
  <c r="L529" i="5" a="1"/>
  <c r="L529" i="5" s="1"/>
  <c r="L530" i="5" a="1"/>
  <c r="L530" i="5"/>
  <c r="L531" i="5" a="1"/>
  <c r="L531" i="5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/>
  <c r="L587" i="5" a="1"/>
  <c r="L587" i="5" s="1"/>
  <c r="L588" i="5" a="1"/>
  <c r="L588" i="5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/>
  <c r="L610" i="5" a="1"/>
  <c r="L610" i="5" s="1"/>
  <c r="L611" i="5" a="1"/>
  <c r="L611" i="5" s="1"/>
  <c r="L612" i="5" a="1"/>
  <c r="L612" i="5"/>
  <c r="L613" i="5" a="1"/>
  <c r="L613" i="5" s="1"/>
  <c r="L614" i="5" a="1"/>
  <c r="L614" i="5" s="1"/>
  <c r="L615" i="5" a="1"/>
  <c r="L615" i="5" s="1"/>
  <c r="L616" i="5" a="1"/>
  <c r="L616" i="5"/>
  <c r="L617" i="5" a="1"/>
  <c r="L617" i="5"/>
  <c r="L618" i="5" a="1"/>
  <c r="L618" i="5" s="1"/>
  <c r="L619" i="5" a="1"/>
  <c r="L619" i="5" s="1"/>
  <c r="L620" i="5" a="1"/>
  <c r="L620" i="5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/>
  <c r="L649" i="5" a="1"/>
  <c r="L649" i="5" s="1"/>
  <c r="L650" i="5" a="1"/>
  <c r="L650" i="5"/>
  <c r="L651" i="5" a="1"/>
  <c r="L651" i="5" s="1"/>
  <c r="L652" i="5" a="1"/>
  <c r="L652" i="5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/>
  <c r="L659" i="5" a="1"/>
  <c r="L659" i="5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/>
  <c r="L676" i="5" a="1"/>
  <c r="L676" i="5"/>
  <c r="L677" i="5" a="1"/>
  <c r="L677" i="5" s="1"/>
  <c r="L678" i="5" a="1"/>
  <c r="L678" i="5" s="1"/>
  <c r="L679" i="5" a="1"/>
  <c r="L679" i="5" s="1"/>
  <c r="L680" i="5" a="1"/>
  <c r="L680" i="5"/>
  <c r="L681" i="5" a="1"/>
  <c r="L681" i="5" s="1"/>
  <c r="L682" i="5" a="1"/>
  <c r="L682" i="5" s="1"/>
  <c r="L683" i="5" a="1"/>
  <c r="L683" i="5"/>
  <c r="L684" i="5" a="1"/>
  <c r="L684" i="5" s="1"/>
  <c r="L685" i="5" a="1"/>
  <c r="L685" i="5" s="1"/>
  <c r="L686" i="5" a="1"/>
  <c r="L686" i="5" s="1"/>
  <c r="L687" i="5" a="1"/>
  <c r="L687" i="5" s="1"/>
  <c r="L688" i="5" a="1"/>
  <c r="L688" i="5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/>
  <c r="L705" i="5" a="1"/>
  <c r="L705" i="5" s="1"/>
  <c r="L706" i="5" a="1"/>
  <c r="L706" i="5" s="1"/>
  <c r="L707" i="5" a="1"/>
  <c r="L707" i="5" s="1"/>
  <c r="L708" i="5" a="1"/>
  <c r="L708" i="5"/>
  <c r="L709" i="5" a="1"/>
  <c r="L709" i="5" s="1"/>
  <c r="L710" i="5" a="1"/>
  <c r="L710" i="5" s="1"/>
  <c r="L711" i="5" a="1"/>
  <c r="L711" i="5"/>
  <c r="L712" i="5" a="1"/>
  <c r="L712" i="5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/>
  <c r="L766" i="5" a="1"/>
  <c r="L766" i="5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/>
  <c r="L873" i="5" a="1"/>
  <c r="L873" i="5" s="1"/>
  <c r="L874" i="5" a="1"/>
  <c r="L874" i="5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/>
  <c r="L903" i="5" a="1"/>
  <c r="L903" i="5" s="1"/>
  <c r="L904" i="5" a="1"/>
  <c r="L904" i="5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/>
  <c r="L951" i="5" a="1"/>
  <c r="L951" i="5" s="1"/>
  <c r="L952" i="5" a="1"/>
  <c r="L952" i="5" s="1"/>
  <c r="L953" i="5" a="1"/>
  <c r="L953" i="5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/>
  <c r="L987" i="5" a="1"/>
  <c r="L987" i="5"/>
  <c r="L988" i="5" a="1"/>
  <c r="L988" i="5" s="1"/>
  <c r="L989" i="5" a="1"/>
  <c r="L989" i="5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/>
  <c r="L1019" i="5" a="1"/>
  <c r="L1019" i="5" s="1"/>
  <c r="L1020" i="5" a="1"/>
  <c r="L1020" i="5" s="1"/>
  <c r="L1021" i="5" a="1"/>
  <c r="L1021" i="5" s="1"/>
  <c r="L1022" i="5" a="1"/>
  <c r="L1022" i="5"/>
  <c r="L1023" i="5" a="1"/>
  <c r="L1023" i="5" s="1"/>
  <c r="L1024" i="5" a="1"/>
  <c r="L1024" i="5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/>
  <c r="L1041" i="5" a="1"/>
  <c r="L1041" i="5" s="1"/>
  <c r="L1042" i="5" a="1"/>
  <c r="L1042" i="5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/>
  <c r="L1049" i="5" a="1"/>
  <c r="L1049" i="5" s="1"/>
  <c r="L1050" i="5" a="1"/>
  <c r="L1050" i="5" s="1"/>
  <c r="L1051" i="5" a="1"/>
  <c r="L1051" i="5" s="1"/>
  <c r="L1052" i="5" a="1"/>
  <c r="L1052" i="5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/>
  <c r="L1080" i="5" a="1"/>
  <c r="L1080" i="5" s="1"/>
  <c r="L1081" i="5" a="1"/>
  <c r="L1081" i="5" s="1"/>
  <c r="L1082" i="5" a="1"/>
  <c r="L1082" i="5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G7" i="5"/>
  <c r="G6" i="5"/>
  <c r="F7" i="5"/>
  <c r="F6" i="5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19" i="5" l="1" a="1"/>
  <c r="L19" i="5" s="1"/>
  <c r="L25" i="5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<sst xmlns="http://schemas.openxmlformats.org/spreadsheetml/2006/main" count="1149" uniqueCount="41">
  <si>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</si>
  <si>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</si>
  <si>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</si>
  <si>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</si>
  <si>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</si>
  <si>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</si>
  <si>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</si>
  <si>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</si>
  <si>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</si>
  <si>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</si>
  <si>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</si>
  <si>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</si>
  <si>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</si>
  <si>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</si>
  <si>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</si>
  <si>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</si>
  <si>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</si>
  <si>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</si>
  <si>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</si>
  <si>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</si>
  <si>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</si>
  <si>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</si>
  <si>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</si>
  <si>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</si>
  <si>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</si>
  <si>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</si>
  <si>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</si>
  <si>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</si>
  <si>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</si>
  <si>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</si>
  <si>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</si>
  <si>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</si>
  <si>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</si>
  <si>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</si>
  <si>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</si>
  <si>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</si>
  <si>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</si>
  <si>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</si>
  <si>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</si>
  <si>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</si>
  <si>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MORADA DO SOL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</si>
</sst>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5" sqref="F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JANEIRO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4" t="s">
        <v>40</v>
      </c>
      <c r="D4" s="24"/>
      <c r="E4" s="24"/>
      <c r="F4" s="24"/>
      <c r="G4" s="24"/>
      <c r="H4" s="16"/>
      <c r="I4" s="16"/>
      <c r="J4" s="16"/>
      <c r="K4" s="14"/>
    </row>
    <row r="5" spans="2:11" x14ac:dyDescent="0.3">
      <c r="B5" s="22" t="s">
        <v>22</v>
      </c>
      <c r="C5" s="22"/>
      <c r="D5">
        <f>COUNTIF(RELATORIO[STATUS],"RECEBIDA")</f>
        <v>0</v>
      </c>
    </row>
    <row r="6" spans="2:11" x14ac:dyDescent="0.3">
      <c r="B6" s="22" t="s">
        <v>32</v>
      </c>
      <c r="C6" s="22"/>
      <c r="D6">
        <f>COUNTIF(RELATORIO[STATUS],"NÃO LANÇADA")</f>
        <v>0</v>
      </c>
      <c r="F6" s="17" t="str">
        <f ca="1">UPPER(TEXT(MONTH(TODAY()),"mmmm"))</f>
        <v>JANEIRO</v>
      </c>
      <c r="G6" s="18" t="str">
        <f ca="1">TEXT(TODAY(),"aaaa")</f>
        <v>2026</v>
      </c>
    </row>
    <row r="7" spans="2:11" x14ac:dyDescent="0.3">
      <c r="B7" s="9" t="s">
        <v>38</v>
      </c>
      <c r="C7" s="9"/>
      <c r="D7">
        <f>COUNTIF(RELATORIO[STATUS],"LANÇADAS")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22" t="s">
        <v>25</v>
      </c>
      <c r="C8" s="22"/>
      <c r="D8">
        <f>COUNTIF(RELATORIO[STATUS],"CANCELADA")</f>
        <v>0</v>
      </c>
    </row>
    <row r="9" spans="2:11" x14ac:dyDescent="0.3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3">
      <c r="B10" s="9" t="s">
        <v>24</v>
      </c>
      <c r="C10" s="9"/>
      <c r="D10">
        <f>COUNTIF(RELATORIO[STATUS],"EM TRANSPORTE")</f>
        <v>0</v>
      </c>
    </row>
    <row r="11" spans="2:11" x14ac:dyDescent="0.3">
      <c r="B11" s="22" t="s">
        <v>26</v>
      </c>
      <c r="C11" s="22"/>
      <c r="D11">
        <f>COUNTIF(RELATORIO[STATUS],"DESAGREGAÇÃO")</f>
        <v>0</v>
      </c>
    </row>
    <row r="12" spans="2:11" x14ac:dyDescent="0.3">
      <c r="B12" s="9" t="s">
        <v>30</v>
      </c>
      <c r="C12" s="9"/>
      <c r="D12">
        <f>COUNTIF(RELATORIO[STATUS],B12)</f>
        <v>0</v>
      </c>
    </row>
    <row r="13" spans="2:11" x14ac:dyDescent="0.3">
      <c r="B13" s="9" t="s">
        <v>31</v>
      </c>
      <c r="C13" s="9"/>
      <c r="D13">
        <f>COUNTIF(RELATORIO[STATUS],"REJEITADA")</f>
        <v>0</v>
      </c>
    </row>
    <row r="14" spans="2:11" x14ac:dyDescent="0.3">
      <c r="B14" s="9" t="s">
        <v>33</v>
      </c>
      <c r="C14" s="9"/>
      <c r="D14">
        <f>COUNTIF(RELATORIO[STATUS],"PARA REJEITAR")</f>
        <v>0</v>
      </c>
    </row>
    <row r="15" spans="2:11" x14ac:dyDescent="0.3">
      <c r="B15" s="9" t="s">
        <v>34</v>
      </c>
      <c r="C15" s="9"/>
      <c r="D15">
        <f>COUNTIF(RELATORIO[STATUS],"FALTA CHEGAR")</f>
        <v>0</v>
      </c>
    </row>
    <row r="16" spans="2:11" x14ac:dyDescent="0.3">
      <c r="B16" s="23" t="s">
        <v>28</v>
      </c>
      <c r="C16" s="23"/>
      <c r="D16" s="1">
        <f>SUM(D5:D13)</f>
        <v>0</v>
      </c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C2:H3"/>
    <mergeCell ref="B9:C9"/>
    <mergeCell ref="B11:C11"/>
    <mergeCell ref="B16:C16"/>
    <mergeCell ref="B8:C8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9" sqref="A9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39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2026-02-20T15:16:18Z</dcterms:modified>
</cp:coreProperties>
</file>