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files\"/>
    </mc:Choice>
  </mc:AlternateContent>
  <xr:revisionPtr revIDLastSave="0" documentId="13_ncr:1_{32B3C492-1EBF-4331-A273-C169ACAAF884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5" l="1"/>
  <c r="D13" i="5"/>
  <c r="D12" i="5"/>
  <c r="D11" i="5"/>
  <c r="D10" i="5"/>
  <c r="D9" i="5"/>
  <c r="D8" i="5"/>
  <c r="D7" i="5"/>
  <c r="D6" i="5"/>
  <c r="D5" i="5"/>
  <c r="G7" i="5"/>
  <c r="F7" i="5"/>
  <c r="G6" i="5"/>
  <c r="F6" i="5"/>
  <c r="L19" i="5" a="1"/>
  <c r="L19" i="5" s="1"/>
  <c r="L361" i="5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 s="1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/>
  <c r="L712" i="5" a="1"/>
  <c r="L712" i="5" s="1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C2" i="5" l="1"/>
  <c r="D15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5" i="5" l="1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B3" i="3" l="1"/>
  <c r="L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<sst xmlns="http://schemas.openxmlformats.org/spreadsheetml/2006/main" count="1148" uniqueCount="40">
  <si>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</si>
  <si>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</si>
  <si>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</si>
  <si>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</si>
  <si>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</si>
  <si>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</si>
  <si>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</si>
  <si>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</si>
  <si>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</si>
  <si>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</si>
  <si>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</si>
  <si>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</si>
  <si>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</si>
  <si>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</si>
  <si>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</si>
  <si>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</si>
  <si>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</si>
  <si>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</si>
  <si>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</si>
  <si>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</si>
  <si>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</si>
  <si>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</si>
  <si>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</si>
  <si>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</si>
  <si>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</si>
  <si>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</si>
  <si>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</si>
  <si>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</si>
  <si>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</si>
  <si>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</si>
  <si>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</si>
  <si>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</si>
  <si>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</si>
  <si>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</si>
  <si>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</si>
  <si>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</si>
  <si>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</si>
  <si>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</si>
  <si>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Por favor, alimente com os campos NF, Fornecedor e Vlr. Nota</t>
  </si>
  <si>
    <t>UNIDADE: PONTA NEGRA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</si>
</sst>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FEVEREIRO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3" t="s">
        <v>39</v>
      </c>
      <c r="D4" s="23"/>
      <c r="E4" s="23"/>
      <c r="F4" s="23"/>
      <c r="G4" s="23"/>
      <c r="H4" s="16"/>
      <c r="I4" s="16"/>
      <c r="J4" s="16"/>
      <c r="K4" s="14"/>
    </row>
    <row r="5" spans="2:11" x14ac:dyDescent="0.3">
      <c r="B5" s="24" t="s">
        <v>22</v>
      </c>
      <c r="C5" s="24"/>
      <c r="D5">
        <f>COUNTIF(RELATORIO[STATUS],"RECEBIDA")</f>
        <v>0</v>
      </c>
    </row>
    <row r="6" spans="2:11" x14ac:dyDescent="0.3">
      <c r="B6" s="24" t="s">
        <v>32</v>
      </c>
      <c r="C6" s="24"/>
      <c r="D6">
        <f>COUNTIF(RELATORIO[STATUS],"NÃO LANÇADA")</f>
        <v>0</v>
      </c>
      <c r="F6" s="17" t="str">
        <f ca="1">UPPER(TEXT(TODAY(),"mmmm"))</f>
        <v>FEVEREIRO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>COUNTIF(RELATORIO[STATUS],"CANCELADA")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</row>
    <row r="10" spans="2:11" x14ac:dyDescent="0.3">
      <c r="B10" s="9" t="s">
        <v>26</v>
      </c>
      <c r="C10" s="9"/>
      <c r="D10">
        <f>COUNTIF(RELATORIO[STATUS],"DESAGREGAÇÃO")</f>
        <v>0</v>
      </c>
    </row>
    <row r="11" spans="2:11" x14ac:dyDescent="0.3">
      <c r="B11" s="9" t="s">
        <v>30</v>
      </c>
      <c r="C11" s="9"/>
      <c r="D11">
        <f>COUNTIF(RELATORIO[STATUS],B11)</f>
        <v>0</v>
      </c>
    </row>
    <row r="12" spans="2:11" x14ac:dyDescent="0.3">
      <c r="B12" s="9" t="s">
        <v>31</v>
      </c>
      <c r="C12" s="9"/>
      <c r="D12">
        <f>COUNTIF(RELATORIO[STATUS],"REJEITADA")</f>
        <v>0</v>
      </c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22" t="s">
        <v>28</v>
      </c>
      <c r="C15" s="22"/>
      <c r="D15" s="1">
        <f>SUM(D4:D12)</f>
        <v>0</v>
      </c>
    </row>
    <row r="16" spans="2:11" x14ac:dyDescent="0.3">
      <c r="B16" s="22"/>
      <c r="C16" s="22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8" sqref="A8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38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2026-02-23T14:51:15Z</dcterms:modified>
</cp:coreProperties>
</file>