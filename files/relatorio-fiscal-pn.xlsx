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windows\_PROJETOS FRIGOAM\fechamento-fiscal\files\"/>
    </mc:Choice>
  </mc:AlternateContent>
  <xr:revisionPtr revIDLastSave="0" documentId="13_ncr:1_{3FE413F6-FB08-46B7-B661-27B60CBEFF7B}" xr6:coauthVersionLast="47" xr6:coauthVersionMax="47" xr10:uidLastSave="{00000000-0000-0000-0000-000000000000}"/>
  <bookViews>
    <workbookView xWindow="-120" yWindow="-120" windowWidth="24240" windowHeight="1302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9" i="5" l="1" a="1"/>
  <c r="L209" i="5" s="1"/>
  <c r="L210" i="5" a="1"/>
  <c r="L210" i="5" s="1"/>
  <c r="L211" i="5" a="1"/>
  <c r="L211" i="5" s="1"/>
  <c r="L212" i="5" a="1"/>
  <c r="L212" i="5" s="1"/>
  <c r="L213" i="5" a="1"/>
  <c r="L213" i="5" s="1"/>
  <c r="L214" i="5" a="1"/>
  <c r="L214" i="5" s="1"/>
  <c r="L215" i="5" a="1"/>
  <c r="L215" i="5" s="1"/>
  <c r="L216" i="5" a="1"/>
  <c r="L216" i="5" s="1"/>
  <c r="L217" i="5" a="1"/>
  <c r="L217" i="5" s="1"/>
  <c r="L218" i="5" a="1"/>
  <c r="L218" i="5" s="1"/>
  <c r="L219" i="5" a="1"/>
  <c r="L219" i="5" s="1"/>
  <c r="L220" i="5" a="1"/>
  <c r="L220" i="5" s="1"/>
  <c r="L221" i="5" a="1"/>
  <c r="L221" i="5" s="1"/>
  <c r="L222" i="5" a="1"/>
  <c r="L222" i="5" s="1"/>
  <c r="L223" i="5" a="1"/>
  <c r="L223" i="5" s="1"/>
  <c r="L224" i="5" a="1"/>
  <c r="L224" i="5" s="1"/>
  <c r="L225" i="5" a="1"/>
  <c r="L225" i="5" s="1"/>
  <c r="L226" i="5" a="1"/>
  <c r="L226" i="5" s="1"/>
  <c r="L227" i="5" a="1"/>
  <c r="L227" i="5" s="1"/>
  <c r="L228" i="5" a="1"/>
  <c r="L228" i="5" s="1"/>
  <c r="L229" i="5" a="1"/>
  <c r="L229" i="5" s="1"/>
  <c r="L230" i="5" a="1"/>
  <c r="L230" i="5" s="1"/>
  <c r="L231" i="5" a="1"/>
  <c r="L231" i="5" s="1"/>
  <c r="L232" i="5" a="1"/>
  <c r="L232" i="5" s="1"/>
  <c r="L233" i="5" a="1"/>
  <c r="L233" i="5" s="1"/>
  <c r="L234" i="5" a="1"/>
  <c r="L234" i="5" s="1"/>
  <c r="L235" i="5" a="1"/>
  <c r="L235" i="5" s="1"/>
  <c r="L236" i="5" a="1"/>
  <c r="L236" i="5" s="1"/>
  <c r="L237" i="5" a="1"/>
  <c r="L237" i="5" s="1"/>
  <c r="L238" i="5" a="1"/>
  <c r="L238" i="5" s="1"/>
  <c r="L239" i="5" a="1"/>
  <c r="L239" i="5" s="1"/>
  <c r="L240" i="5" a="1"/>
  <c r="L240" i="5" s="1"/>
  <c r="L241" i="5" a="1"/>
  <c r="L241" i="5" s="1"/>
  <c r="L242" i="5" a="1"/>
  <c r="L242" i="5" s="1"/>
  <c r="L243" i="5" a="1"/>
  <c r="L243" i="5" s="1"/>
  <c r="L244" i="5" a="1"/>
  <c r="L244" i="5" s="1"/>
  <c r="L245" i="5" a="1"/>
  <c r="L245" i="5" s="1"/>
  <c r="L246" i="5" a="1"/>
  <c r="L246" i="5" s="1"/>
  <c r="L247" i="5" a="1"/>
  <c r="L247" i="5" s="1"/>
  <c r="L248" i="5" a="1"/>
  <c r="L248" i="5" s="1"/>
  <c r="L249" i="5" a="1"/>
  <c r="L249" i="5" s="1"/>
  <c r="L250" i="5" a="1"/>
  <c r="L250" i="5" s="1"/>
  <c r="L251" i="5" a="1"/>
  <c r="L251" i="5" s="1"/>
  <c r="L252" i="5" a="1"/>
  <c r="L252" i="5" s="1"/>
  <c r="L253" i="5" a="1"/>
  <c r="L253" i="5" s="1"/>
  <c r="L254" i="5" a="1"/>
  <c r="L254" i="5" s="1"/>
  <c r="L255" i="5" a="1"/>
  <c r="L255" i="5" s="1"/>
  <c r="L256" i="5" a="1"/>
  <c r="L256" i="5" s="1"/>
  <c r="L257" i="5" a="1"/>
  <c r="L257" i="5" s="1"/>
  <c r="L258" i="5" a="1"/>
  <c r="L258" i="5" s="1"/>
  <c r="L259" i="5" a="1"/>
  <c r="L259" i="5" s="1"/>
  <c r="L260" i="5" a="1"/>
  <c r="L260" i="5" s="1"/>
  <c r="L261" i="5" a="1"/>
  <c r="L261" i="5" s="1"/>
  <c r="L262" i="5" a="1"/>
  <c r="L262" i="5" s="1"/>
  <c r="L263" i="5" a="1"/>
  <c r="L263" i="5" s="1"/>
  <c r="L264" i="5" a="1"/>
  <c r="L264" i="5" s="1"/>
  <c r="L265" i="5" a="1"/>
  <c r="L265" i="5" s="1"/>
  <c r="L266" i="5" a="1"/>
  <c r="L266" i="5" s="1"/>
  <c r="L267" i="5" a="1"/>
  <c r="L267" i="5" s="1"/>
  <c r="L268" i="5" a="1"/>
  <c r="L268" i="5" s="1"/>
  <c r="L269" i="5" a="1"/>
  <c r="L269" i="5" s="1"/>
  <c r="L270" i="5" a="1"/>
  <c r="L270" i="5" s="1"/>
  <c r="L271" i="5" a="1"/>
  <c r="L271" i="5" s="1"/>
  <c r="L272" i="5" a="1"/>
  <c r="L272" i="5" s="1"/>
  <c r="L273" i="5" a="1"/>
  <c r="L273" i="5" s="1"/>
  <c r="L274" i="5" a="1"/>
  <c r="L274" i="5" s="1"/>
  <c r="L275" i="5" a="1"/>
  <c r="L275" i="5" s="1"/>
  <c r="L276" i="5" a="1"/>
  <c r="L276" i="5" s="1"/>
  <c r="L277" i="5" a="1"/>
  <c r="L277" i="5" s="1"/>
  <c r="L278" i="5" a="1"/>
  <c r="L278" i="5" s="1"/>
  <c r="L279" i="5" a="1"/>
  <c r="L279" i="5" s="1"/>
  <c r="L280" i="5" a="1"/>
  <c r="L280" i="5" s="1"/>
  <c r="L281" i="5" a="1"/>
  <c r="L281" i="5" s="1"/>
  <c r="L282" i="5" a="1"/>
  <c r="L282" i="5" s="1"/>
  <c r="L283" i="5" a="1"/>
  <c r="L283" i="5" s="1"/>
  <c r="L284" i="5" a="1"/>
  <c r="L284" i="5" s="1"/>
  <c r="L285" i="5" a="1"/>
  <c r="L285" i="5" s="1"/>
  <c r="L286" i="5" a="1"/>
  <c r="L286" i="5" s="1"/>
  <c r="L287" i="5" a="1"/>
  <c r="L287" i="5" s="1"/>
  <c r="L288" i="5" a="1"/>
  <c r="L288" i="5" s="1"/>
  <c r="L289" i="5" a="1"/>
  <c r="L289" i="5" s="1"/>
  <c r="L290" i="5" a="1"/>
  <c r="L290" i="5" s="1"/>
  <c r="L291" i="5" a="1"/>
  <c r="L291" i="5" s="1"/>
  <c r="L292" i="5" a="1"/>
  <c r="L292" i="5" s="1"/>
  <c r="L293" i="5" a="1"/>
  <c r="L293" i="5" s="1"/>
  <c r="L294" i="5" a="1"/>
  <c r="L294" i="5" s="1"/>
  <c r="L295" i="5" a="1"/>
  <c r="L295" i="5" s="1"/>
  <c r="L296" i="5" a="1"/>
  <c r="L296" i="5" s="1"/>
  <c r="L297" i="5" a="1"/>
  <c r="L297" i="5" s="1"/>
  <c r="L298" i="5" a="1"/>
  <c r="L298" i="5" s="1"/>
  <c r="L299" i="5" a="1"/>
  <c r="L299" i="5" s="1"/>
  <c r="L300" i="5" a="1"/>
  <c r="L300" i="5" s="1"/>
  <c r="L301" i="5" a="1"/>
  <c r="L301" i="5" s="1"/>
  <c r="L302" i="5" a="1"/>
  <c r="L302" i="5" s="1"/>
  <c r="L303" i="5" a="1"/>
  <c r="L303" i="5" s="1"/>
  <c r="L304" i="5" a="1"/>
  <c r="L304" i="5" s="1"/>
  <c r="L305" i="5" a="1"/>
  <c r="L305" i="5" s="1"/>
  <c r="L306" i="5" a="1"/>
  <c r="L306" i="5" s="1"/>
  <c r="L307" i="5" a="1"/>
  <c r="L307" i="5" s="1"/>
  <c r="L308" i="5" a="1"/>
  <c r="L308" i="5" s="1"/>
  <c r="L309" i="5" a="1"/>
  <c r="L309" i="5" s="1"/>
  <c r="L310" i="5" a="1"/>
  <c r="L310" i="5" s="1"/>
  <c r="L311" i="5" a="1"/>
  <c r="L311" i="5" s="1"/>
  <c r="L312" i="5" a="1"/>
  <c r="L312" i="5" s="1"/>
  <c r="L313" i="5" a="1"/>
  <c r="L313" i="5" s="1"/>
  <c r="L314" i="5" a="1"/>
  <c r="L314" i="5" s="1"/>
  <c r="L315" i="5" a="1"/>
  <c r="L315" i="5" s="1"/>
  <c r="L316" i="5" a="1"/>
  <c r="L316" i="5" s="1"/>
  <c r="L317" i="5" a="1"/>
  <c r="L317" i="5" s="1"/>
  <c r="L318" i="5" a="1"/>
  <c r="L318" i="5" s="1"/>
  <c r="L319" i="5" a="1"/>
  <c r="L319" i="5" s="1"/>
  <c r="L320" i="5" a="1"/>
  <c r="L320" i="5" s="1"/>
  <c r="L321" i="5" a="1"/>
  <c r="L321" i="5" s="1"/>
  <c r="L322" i="5" a="1"/>
  <c r="L322" i="5" s="1"/>
  <c r="L323" i="5" a="1"/>
  <c r="L323" i="5" s="1"/>
  <c r="L324" i="5" a="1"/>
  <c r="L324" i="5" s="1"/>
  <c r="L325" i="5" a="1"/>
  <c r="L325" i="5" s="1"/>
  <c r="L326" i="5" a="1"/>
  <c r="L326" i="5" s="1"/>
  <c r="L327" i="5" a="1"/>
  <c r="L327" i="5" s="1"/>
  <c r="L328" i="5" a="1"/>
  <c r="L328" i="5" s="1"/>
  <c r="L329" i="5" a="1"/>
  <c r="L329" i="5" s="1"/>
  <c r="L330" i="5" a="1"/>
  <c r="L330" i="5" s="1"/>
  <c r="L331" i="5" a="1"/>
  <c r="L331" i="5" s="1"/>
  <c r="L332" i="5" a="1"/>
  <c r="L332" i="5" s="1"/>
  <c r="L333" i="5" a="1"/>
  <c r="L333" i="5" s="1"/>
  <c r="L334" i="5" a="1"/>
  <c r="L334" i="5" s="1"/>
  <c r="L335" i="5" a="1"/>
  <c r="L335" i="5" s="1"/>
  <c r="L336" i="5" a="1"/>
  <c r="L336" i="5" s="1"/>
  <c r="L337" i="5" a="1"/>
  <c r="L337" i="5" s="1"/>
  <c r="L338" i="5" a="1"/>
  <c r="L338" i="5" s="1"/>
  <c r="L339" i="5" a="1"/>
  <c r="L339" i="5" s="1"/>
  <c r="L340" i="5" a="1"/>
  <c r="L340" i="5" s="1"/>
  <c r="L341" i="5" a="1"/>
  <c r="L341" i="5" s="1"/>
  <c r="L342" i="5" a="1"/>
  <c r="L342" i="5" s="1"/>
  <c r="L343" i="5" a="1"/>
  <c r="L343" i="5" s="1"/>
  <c r="L344" i="5" a="1"/>
  <c r="L344" i="5" s="1"/>
  <c r="L345" i="5" a="1"/>
  <c r="L345" i="5" s="1"/>
  <c r="L346" i="5" a="1"/>
  <c r="L346" i="5" s="1"/>
  <c r="L347" i="5" a="1"/>
  <c r="L347" i="5" s="1"/>
  <c r="L348" i="5" a="1"/>
  <c r="L348" i="5" s="1"/>
  <c r="L349" i="5" a="1"/>
  <c r="L349" i="5" s="1"/>
  <c r="L350" i="5" a="1"/>
  <c r="L350" i="5" s="1"/>
  <c r="L351" i="5" a="1"/>
  <c r="L351" i="5" s="1"/>
  <c r="L352" i="5" a="1"/>
  <c r="L352" i="5" s="1"/>
  <c r="L353" i="5" a="1"/>
  <c r="L353" i="5" s="1"/>
  <c r="L354" i="5" a="1"/>
  <c r="L354" i="5" s="1"/>
  <c r="L355" i="5" a="1"/>
  <c r="L355" i="5" s="1"/>
  <c r="L356" i="5" a="1"/>
  <c r="L356" i="5" s="1"/>
  <c r="L357" i="5" a="1"/>
  <c r="L357" i="5" s="1"/>
  <c r="L358" i="5" a="1"/>
  <c r="L358" i="5" s="1"/>
  <c r="L359" i="5" a="1"/>
  <c r="L359" i="5" s="1"/>
  <c r="L360" i="5" a="1"/>
  <c r="L360" i="5" s="1"/>
  <c r="L361" i="5" a="1"/>
  <c r="L361" i="5" s="1"/>
  <c r="L362" i="5" a="1"/>
  <c r="L362" i="5" s="1"/>
  <c r="L363" i="5" a="1"/>
  <c r="L363" i="5" s="1"/>
  <c r="L364" i="5" a="1"/>
  <c r="L364" i="5" s="1"/>
  <c r="L365" i="5" a="1"/>
  <c r="L365" i="5" s="1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G6" i="5"/>
  <c r="F7" i="5"/>
  <c r="F6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L23" i="5" s="1" a="1"/>
  <c r="L23" i="5" s="1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L39" i="5" s="1" a="1"/>
  <c r="L39" i="5" s="1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L106" i="5" s="1" a="1"/>
  <c r="L106" i="5" s="1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L137" i="5" s="1" a="1"/>
  <c r="L137" i="5" s="1"/>
  <c r="C138" i="5"/>
  <c r="C139" i="5"/>
  <c r="C140" i="5"/>
  <c r="C141" i="5"/>
  <c r="C142" i="5"/>
  <c r="C143" i="5"/>
  <c r="C144" i="5"/>
  <c r="C145" i="5"/>
  <c r="C146" i="5"/>
  <c r="C147" i="5"/>
  <c r="C148" i="5"/>
  <c r="L148" i="5" s="1" a="1"/>
  <c r="L148" i="5" s="1"/>
  <c r="C149" i="5"/>
  <c r="L149" i="5" s="1" a="1"/>
  <c r="L149" i="5" s="1"/>
  <c r="C150" i="5"/>
  <c r="L150" i="5" s="1" a="1"/>
  <c r="L150" i="5" s="1"/>
  <c r="C151" i="5"/>
  <c r="L151" i="5" s="1" a="1"/>
  <c r="L151" i="5" s="1"/>
  <c r="C152" i="5"/>
  <c r="L152" i="5" s="1" a="1"/>
  <c r="L152" i="5" s="1"/>
  <c r="C153" i="5"/>
  <c r="L153" i="5" s="1" a="1"/>
  <c r="L153" i="5" s="1"/>
  <c r="C154" i="5"/>
  <c r="L154" i="5" s="1" a="1"/>
  <c r="L154" i="5" s="1"/>
  <c r="C155" i="5"/>
  <c r="L155" i="5" s="1" a="1"/>
  <c r="L155" i="5" s="1"/>
  <c r="C156" i="5"/>
  <c r="L156" i="5" s="1" a="1"/>
  <c r="L156" i="5" s="1"/>
  <c r="C157" i="5"/>
  <c r="L157" i="5" s="1" a="1"/>
  <c r="L157" i="5" s="1"/>
  <c r="C158" i="5"/>
  <c r="L158" i="5" s="1" a="1"/>
  <c r="L158" i="5" s="1"/>
  <c r="C159" i="5"/>
  <c r="L159" i="5" s="1" a="1"/>
  <c r="L159" i="5" s="1"/>
  <c r="C160" i="5"/>
  <c r="L160" i="5" s="1" a="1"/>
  <c r="L160" i="5" s="1"/>
  <c r="C161" i="5"/>
  <c r="L161" i="5" s="1" a="1"/>
  <c r="L161" i="5" s="1"/>
  <c r="C162" i="5"/>
  <c r="L162" i="5" s="1" a="1"/>
  <c r="L162" i="5" s="1"/>
  <c r="C163" i="5"/>
  <c r="L163" i="5" s="1" a="1"/>
  <c r="L163" i="5" s="1"/>
  <c r="C164" i="5"/>
  <c r="L164" i="5" s="1" a="1"/>
  <c r="L164" i="5" s="1"/>
  <c r="C165" i="5"/>
  <c r="L165" i="5" s="1" a="1"/>
  <c r="L165" i="5" s="1"/>
  <c r="C166" i="5"/>
  <c r="L166" i="5" s="1" a="1"/>
  <c r="L166" i="5" s="1"/>
  <c r="C167" i="5"/>
  <c r="L167" i="5" s="1" a="1"/>
  <c r="L167" i="5" s="1"/>
  <c r="C168" i="5"/>
  <c r="L168" i="5" s="1" a="1"/>
  <c r="L168" i="5" s="1"/>
  <c r="C169" i="5"/>
  <c r="L169" i="5" s="1" a="1"/>
  <c r="L169" i="5" s="1"/>
  <c r="C170" i="5"/>
  <c r="L170" i="5" s="1" a="1"/>
  <c r="L170" i="5" s="1"/>
  <c r="C171" i="5"/>
  <c r="L171" i="5" s="1" a="1"/>
  <c r="L171" i="5" s="1"/>
  <c r="C172" i="5"/>
  <c r="L172" i="5" s="1" a="1"/>
  <c r="L172" i="5" s="1"/>
  <c r="C173" i="5"/>
  <c r="L173" i="5" s="1" a="1"/>
  <c r="L173" i="5" s="1"/>
  <c r="C174" i="5"/>
  <c r="L174" i="5" s="1" a="1"/>
  <c r="L174" i="5" s="1"/>
  <c r="C175" i="5"/>
  <c r="L175" i="5" s="1" a="1"/>
  <c r="L175" i="5" s="1"/>
  <c r="C176" i="5"/>
  <c r="L176" i="5" s="1" a="1"/>
  <c r="L176" i="5" s="1"/>
  <c r="C177" i="5"/>
  <c r="L177" i="5" s="1" a="1"/>
  <c r="L177" i="5" s="1"/>
  <c r="C178" i="5"/>
  <c r="L178" i="5" s="1" a="1"/>
  <c r="L178" i="5" s="1"/>
  <c r="C179" i="5"/>
  <c r="L179" i="5" s="1" a="1"/>
  <c r="L179" i="5" s="1"/>
  <c r="C180" i="5"/>
  <c r="L180" i="5" s="1" a="1"/>
  <c r="L180" i="5" s="1"/>
  <c r="C181" i="5"/>
  <c r="L181" i="5" s="1" a="1"/>
  <c r="L181" i="5" s="1"/>
  <c r="C182" i="5"/>
  <c r="L182" i="5" s="1" a="1"/>
  <c r="L182" i="5" s="1"/>
  <c r="C183" i="5"/>
  <c r="L183" i="5" s="1" a="1"/>
  <c r="L183" i="5" s="1"/>
  <c r="C184" i="5"/>
  <c r="L184" i="5" s="1" a="1"/>
  <c r="L184" i="5" s="1"/>
  <c r="C185" i="5"/>
  <c r="L185" i="5" s="1" a="1"/>
  <c r="L185" i="5" s="1"/>
  <c r="C186" i="5"/>
  <c r="L186" i="5" s="1" a="1"/>
  <c r="L186" i="5" s="1"/>
  <c r="C187" i="5"/>
  <c r="L187" i="5" s="1" a="1"/>
  <c r="L187" i="5" s="1"/>
  <c r="C188" i="5"/>
  <c r="L188" i="5" s="1" a="1"/>
  <c r="L188" i="5" s="1"/>
  <c r="C189" i="5"/>
  <c r="L189" i="5" s="1" a="1"/>
  <c r="L189" i="5" s="1"/>
  <c r="C190" i="5"/>
  <c r="L190" i="5" s="1" a="1"/>
  <c r="L190" i="5" s="1"/>
  <c r="C191" i="5"/>
  <c r="L191" i="5" s="1" a="1"/>
  <c r="L191" i="5" s="1"/>
  <c r="C192" i="5"/>
  <c r="L192" i="5" s="1" a="1"/>
  <c r="L192" i="5" s="1"/>
  <c r="C193" i="5"/>
  <c r="L193" i="5" s="1" a="1"/>
  <c r="L193" i="5" s="1"/>
  <c r="C194" i="5"/>
  <c r="L194" i="5" s="1" a="1"/>
  <c r="L194" i="5" s="1"/>
  <c r="C195" i="5"/>
  <c r="L195" i="5" s="1" a="1"/>
  <c r="L195" i="5" s="1"/>
  <c r="C196" i="5"/>
  <c r="L196" i="5" s="1" a="1"/>
  <c r="L196" i="5" s="1"/>
  <c r="C197" i="5"/>
  <c r="L197" i="5" s="1" a="1"/>
  <c r="L197" i="5" s="1"/>
  <c r="C198" i="5"/>
  <c r="L198" i="5" s="1" a="1"/>
  <c r="L198" i="5" s="1"/>
  <c r="C199" i="5"/>
  <c r="L199" i="5" s="1" a="1"/>
  <c r="L199" i="5" s="1"/>
  <c r="C200" i="5"/>
  <c r="L200" i="5" s="1" a="1"/>
  <c r="L200" i="5" s="1"/>
  <c r="C201" i="5"/>
  <c r="L201" i="5" s="1" a="1"/>
  <c r="L201" i="5" s="1"/>
  <c r="C202" i="5"/>
  <c r="L202" i="5" s="1" a="1"/>
  <c r="L202" i="5" s="1"/>
  <c r="C203" i="5"/>
  <c r="L203" i="5" s="1" a="1"/>
  <c r="L203" i="5" s="1"/>
  <c r="C204" i="5"/>
  <c r="L204" i="5" s="1" a="1"/>
  <c r="L204" i="5" s="1"/>
  <c r="C205" i="5"/>
  <c r="L205" i="5" s="1" a="1"/>
  <c r="L205" i="5" s="1"/>
  <c r="C206" i="5"/>
  <c r="L206" i="5" s="1" a="1"/>
  <c r="L206" i="5" s="1"/>
  <c r="C207" i="5"/>
  <c r="L207" i="5" s="1" a="1"/>
  <c r="L207" i="5" s="1"/>
  <c r="C208" i="5"/>
  <c r="L208" i="5" s="1" a="1"/>
  <c r="L208" i="5" s="1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0" i="5" l="1" a="1"/>
  <c r="L20" i="5" s="1"/>
  <c r="L36" i="5" a="1"/>
  <c r="L36" i="5" s="1"/>
  <c r="L46" i="5" a="1"/>
  <c r="L46" i="5" s="1"/>
  <c r="L54" i="5" a="1"/>
  <c r="L54" i="5" s="1"/>
  <c r="L63" i="5" a="1"/>
  <c r="L63" i="5" s="1"/>
  <c r="L71" i="5" a="1"/>
  <c r="L71" i="5" s="1"/>
  <c r="L80" i="5" a="1"/>
  <c r="L80" i="5" s="1"/>
  <c r="L88" i="5" a="1"/>
  <c r="L88" i="5" s="1"/>
  <c r="L96" i="5" a="1"/>
  <c r="L96" i="5" s="1"/>
  <c r="L105" i="5" a="1"/>
  <c r="L105" i="5" s="1"/>
  <c r="L21" i="5" a="1"/>
  <c r="L21" i="5" s="1"/>
  <c r="L37" i="5" a="1"/>
  <c r="L37" i="5" s="1"/>
  <c r="L47" i="5" a="1"/>
  <c r="L47" i="5" s="1"/>
  <c r="L55" i="5" a="1"/>
  <c r="L55" i="5" s="1"/>
  <c r="L64" i="5" a="1"/>
  <c r="L64" i="5" s="1"/>
  <c r="L73" i="5" a="1"/>
  <c r="L73" i="5" s="1"/>
  <c r="L81" i="5" a="1"/>
  <c r="L81" i="5" s="1"/>
  <c r="L89" i="5" a="1"/>
  <c r="L89" i="5" s="1"/>
  <c r="L97" i="5" a="1"/>
  <c r="L97" i="5" s="1"/>
  <c r="L114" i="5" a="1"/>
  <c r="L114" i="5" s="1"/>
  <c r="L124" i="5" a="1"/>
  <c r="L124" i="5" s="1"/>
  <c r="L132" i="5" a="1"/>
  <c r="L132" i="5" s="1"/>
  <c r="L140" i="5" a="1"/>
  <c r="L140" i="5" s="1"/>
  <c r="L79" i="5" a="1"/>
  <c r="L79" i="5" s="1"/>
  <c r="L130" i="5" a="1"/>
  <c r="L130" i="5" s="1"/>
  <c r="L22" i="5" a="1"/>
  <c r="L22" i="5" s="1"/>
  <c r="L38" i="5" a="1"/>
  <c r="L38" i="5" s="1"/>
  <c r="L48" i="5" a="1"/>
  <c r="L48" i="5" s="1"/>
  <c r="L56" i="5" a="1"/>
  <c r="L56" i="5" s="1"/>
  <c r="L65" i="5" a="1"/>
  <c r="L65" i="5" s="1"/>
  <c r="L74" i="5" a="1"/>
  <c r="L74" i="5" s="1"/>
  <c r="L82" i="5" a="1"/>
  <c r="L82" i="5" s="1"/>
  <c r="L90" i="5" a="1"/>
  <c r="L90" i="5" s="1"/>
  <c r="L98" i="5" a="1"/>
  <c r="L98" i="5" s="1"/>
  <c r="L107" i="5" a="1"/>
  <c r="L107" i="5" s="1"/>
  <c r="L115" i="5" a="1"/>
  <c r="L115" i="5" s="1"/>
  <c r="L125" i="5" a="1"/>
  <c r="L125" i="5" s="1"/>
  <c r="L133" i="5" a="1"/>
  <c r="L133" i="5" s="1"/>
  <c r="L141" i="5" a="1"/>
  <c r="L141" i="5" s="1"/>
  <c r="L62" i="5" a="1"/>
  <c r="L62" i="5" s="1"/>
  <c r="L87" i="5" a="1"/>
  <c r="L87" i="5" s="1"/>
  <c r="L138" i="5" a="1"/>
  <c r="L138" i="5" s="1"/>
  <c r="L49" i="5" a="1"/>
  <c r="L49" i="5" s="1"/>
  <c r="L59" i="5" a="1"/>
  <c r="L59" i="5" s="1"/>
  <c r="L66" i="5" a="1"/>
  <c r="L66" i="5" s="1"/>
  <c r="L75" i="5" a="1"/>
  <c r="L75" i="5" s="1"/>
  <c r="L83" i="5" a="1"/>
  <c r="L83" i="5" s="1"/>
  <c r="L91" i="5" a="1"/>
  <c r="L91" i="5" s="1"/>
  <c r="L99" i="5" a="1"/>
  <c r="L99" i="5" s="1"/>
  <c r="L108" i="5" a="1"/>
  <c r="L108" i="5" s="1"/>
  <c r="L116" i="5" a="1"/>
  <c r="L116" i="5" s="1"/>
  <c r="L126" i="5" a="1"/>
  <c r="L126" i="5" s="1"/>
  <c r="L134" i="5" a="1"/>
  <c r="L134" i="5" s="1"/>
  <c r="L142" i="5" a="1"/>
  <c r="L142" i="5" s="1"/>
  <c r="L70" i="5" a="1"/>
  <c r="L70" i="5" s="1"/>
  <c r="L95" i="5" a="1"/>
  <c r="L95" i="5" s="1"/>
  <c r="L113" i="5" a="1"/>
  <c r="L113" i="5" s="1"/>
  <c r="L24" i="5" a="1"/>
  <c r="L24" i="5" s="1"/>
  <c r="L40" i="5" a="1"/>
  <c r="L40" i="5" s="1"/>
  <c r="L50" i="5" a="1"/>
  <c r="L50" i="5" s="1"/>
  <c r="L60" i="5" a="1"/>
  <c r="L60" i="5" s="1"/>
  <c r="L67" i="5" a="1"/>
  <c r="L67" i="5" s="1"/>
  <c r="L76" i="5" a="1"/>
  <c r="L76" i="5" s="1"/>
  <c r="L84" i="5" a="1"/>
  <c r="L84" i="5" s="1"/>
  <c r="L92" i="5" a="1"/>
  <c r="L92" i="5" s="1"/>
  <c r="L100" i="5" a="1"/>
  <c r="L100" i="5" s="1"/>
  <c r="L109" i="5" a="1"/>
  <c r="L109" i="5" s="1"/>
  <c r="L118" i="5" a="1"/>
  <c r="L118" i="5" s="1"/>
  <c r="L127" i="5" a="1"/>
  <c r="L127" i="5" s="1"/>
  <c r="L135" i="5" a="1"/>
  <c r="L135" i="5" s="1"/>
  <c r="L143" i="5" a="1"/>
  <c r="L143" i="5" s="1"/>
  <c r="L53" i="5" a="1"/>
  <c r="L53" i="5" s="1"/>
  <c r="L122" i="5" a="1"/>
  <c r="L122" i="5" s="1"/>
  <c r="L123" i="5" a="1"/>
  <c r="L123" i="5" s="1"/>
  <c r="L32" i="5" a="1"/>
  <c r="L32" i="5" s="1"/>
  <c r="L41" i="5" a="1"/>
  <c r="L41" i="5" s="1"/>
  <c r="L51" i="5" a="1"/>
  <c r="L51" i="5" s="1"/>
  <c r="L61" i="5" a="1"/>
  <c r="L61" i="5" s="1"/>
  <c r="L68" i="5" a="1"/>
  <c r="L68" i="5" s="1"/>
  <c r="L77" i="5" a="1"/>
  <c r="L77" i="5" s="1"/>
  <c r="L85" i="5" a="1"/>
  <c r="L85" i="5" s="1"/>
  <c r="L93" i="5" a="1"/>
  <c r="L93" i="5" s="1"/>
  <c r="L101" i="5" a="1"/>
  <c r="L101" i="5" s="1"/>
  <c r="L110" i="5" a="1"/>
  <c r="L110" i="5" s="1"/>
  <c r="L120" i="5" a="1"/>
  <c r="L120" i="5" s="1"/>
  <c r="L128" i="5" a="1"/>
  <c r="L128" i="5" s="1"/>
  <c r="L136" i="5" a="1"/>
  <c r="L136" i="5" s="1"/>
  <c r="L144" i="5" a="1"/>
  <c r="L144" i="5" s="1"/>
  <c r="L45" i="5" a="1"/>
  <c r="L45" i="5" s="1"/>
  <c r="L103" i="5" a="1"/>
  <c r="L103" i="5" s="1"/>
  <c r="L131" i="5" a="1"/>
  <c r="L131" i="5" s="1"/>
  <c r="L34" i="5" a="1"/>
  <c r="L34" i="5" s="1"/>
  <c r="L44" i="5" a="1"/>
  <c r="L44" i="5" s="1"/>
  <c r="L52" i="5" a="1"/>
  <c r="L52" i="5" s="1"/>
  <c r="L69" i="5" a="1"/>
  <c r="L69" i="5" s="1"/>
  <c r="L78" i="5" a="1"/>
  <c r="L78" i="5" s="1"/>
  <c r="L86" i="5" a="1"/>
  <c r="L86" i="5" s="1"/>
  <c r="L94" i="5" a="1"/>
  <c r="L94" i="5" s="1"/>
  <c r="L102" i="5" a="1"/>
  <c r="L102" i="5" s="1"/>
  <c r="L111" i="5" a="1"/>
  <c r="L111" i="5" s="1"/>
  <c r="L121" i="5" a="1"/>
  <c r="L121" i="5" s="1"/>
  <c r="L129" i="5" a="1"/>
  <c r="L129" i="5" s="1"/>
  <c r="L145" i="5" a="1"/>
  <c r="L145" i="5" s="1"/>
  <c r="L35" i="5" a="1"/>
  <c r="L35" i="5" s="1"/>
  <c r="L112" i="5" a="1"/>
  <c r="L112" i="5" s="1"/>
  <c r="L139" i="5" a="1"/>
  <c r="L139" i="5" s="1"/>
  <c r="L117" i="5" a="1"/>
  <c r="L117" i="5" s="1"/>
  <c r="L33" i="5" a="1"/>
  <c r="L33" i="5" s="1"/>
  <c r="L19" i="5" a="1"/>
  <c r="L19" i="5" s="1"/>
  <c r="L26" i="5" a="1"/>
  <c r="L26" i="5" s="1"/>
  <c r="L31" i="5" a="1"/>
  <c r="L31" i="5" s="1"/>
  <c r="L42" i="5" a="1"/>
  <c r="L42" i="5" s="1"/>
  <c r="L28" i="5" a="1"/>
  <c r="L28" i="5" s="1"/>
  <c r="L25" i="5" a="1"/>
  <c r="L25" i="5" s="1"/>
  <c r="L30" i="5" a="1"/>
  <c r="L30" i="5" s="1"/>
  <c r="L57" i="5" a="1"/>
  <c r="L57" i="5" s="1"/>
  <c r="L43" i="5" a="1"/>
  <c r="L43" i="5" s="1"/>
  <c r="L58" i="5" a="1"/>
  <c r="L58" i="5" s="1"/>
  <c r="L72" i="5" a="1"/>
  <c r="L72" i="5" s="1"/>
  <c r="L146" i="5" a="1"/>
  <c r="L146" i="5" s="1"/>
  <c r="L27" i="5" a="1"/>
  <c r="L27" i="5" s="1"/>
  <c r="L29" i="5" a="1"/>
  <c r="L29" i="5" s="1"/>
  <c r="L147" i="5" a="1"/>
  <c r="L147" i="5" s="1"/>
  <c r="L104" i="5" a="1"/>
  <c r="L104" i="5" s="1"/>
  <c r="L3" i="4"/>
  <c r="L119" i="5" s="1" a="1"/>
  <c r="L11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<sst xmlns="http://schemas.openxmlformats.org/spreadsheetml/2006/main" count="1149" uniqueCount="41">
  <si>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</si>
  <si>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</si>
  <si>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</si>
  <si>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</si>
  <si>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</si>
  <si>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</si>
  <si>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</si>
  <si>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</si>
  <si>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</si>
  <si>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</si>
  <si>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</si>
  <si>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</si>
  <si>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</si>
  <si>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</si>
  <si>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</si>
  <si>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</si>
  <si>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</si>
  <si>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</si>
  <si>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</si>
  <si>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</si>
  <si>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</si>
  <si>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</si>
  <si>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</si>
  <si>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</si>
  <si>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</si>
  <si>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</si>
  <si>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</si>
  <si>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</si>
  <si>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</si>
  <si>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</si>
  <si>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</si>
  <si>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</si>
  <si>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</si>
  <si>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</si>
  <si>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</si>
  <si>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</si>
  <si>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</si>
  <si>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</si>
  <si>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LANÇADAS</t>
  </si>
  <si>
    <t>Por favor, alimente com os campos NF, Fornecedor e Vlr. Nota</t>
  </si>
  <si>
    <t>UNIDADE: PONTA NEGRA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</si>
</sst>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8" fillId="33" borderId="0" xfId="0" applyFont="1" applyFill="1" applyAlignment="1">
      <alignment horizontal="left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0" dataDxfId="9">
  <autoFilter ref="A7:I697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E16" sqref="E16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5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JANEIRO 2026</v>
      </c>
      <c r="D2" s="25"/>
      <c r="E2" s="25"/>
      <c r="F2" s="25"/>
      <c r="G2" s="25"/>
      <c r="H2" s="25"/>
      <c r="I2" s="16"/>
      <c r="J2" s="16"/>
      <c r="K2" s="15"/>
    </row>
    <row r="3" spans="2:11" s="13" customFormat="1" ht="15" customHeight="1" x14ac:dyDescent="0.25">
      <c r="C3" s="25"/>
      <c r="D3" s="25"/>
      <c r="E3" s="25"/>
      <c r="F3" s="25"/>
      <c r="G3" s="25"/>
      <c r="H3" s="25"/>
      <c r="I3" s="16"/>
      <c r="J3" s="16"/>
      <c r="K3" s="15"/>
    </row>
    <row r="4" spans="2:11" s="13" customFormat="1" x14ac:dyDescent="0.25">
      <c r="C4" s="24" t="s">
        <v>40</v>
      </c>
      <c r="D4" s="24"/>
      <c r="E4" s="24"/>
      <c r="F4" s="24"/>
      <c r="G4" s="24"/>
      <c r="H4" s="17"/>
      <c r="I4" s="17"/>
      <c r="J4" s="17"/>
      <c r="K4" s="15"/>
    </row>
    <row r="5" spans="2:11" x14ac:dyDescent="0.25">
      <c r="B5" s="22" t="s">
        <v>22</v>
      </c>
      <c r="C5" s="22"/>
      <c r="D5">
        <f>COUNTIF(RELATORIO[STATUS],"RECEBIDA")</f>
        <v>0</v>
      </c>
    </row>
    <row r="6" spans="2:11" x14ac:dyDescent="0.25">
      <c r="B6" s="22" t="s">
        <v>32</v>
      </c>
      <c r="C6" s="22"/>
      <c r="D6">
        <f>COUNTIF(RELATORIO[STATUS],"NÃO LANÇADA")</f>
        <v>0</v>
      </c>
      <c r="F6" s="18" t="str">
        <f ca="1">UPPER(TEXT(MONTH(TODAY()),"mmmm"))</f>
        <v>JANEIRO</v>
      </c>
      <c r="G6" s="19" t="str">
        <f ca="1">TEXT(TODAY(),"aaaa")</f>
        <v>2026</v>
      </c>
    </row>
    <row r="7" spans="2:11" x14ac:dyDescent="0.25">
      <c r="B7" s="9" t="s">
        <v>38</v>
      </c>
      <c r="C7" s="9"/>
      <c r="D7">
        <f>COUNTIF(RELATORIO[STATUS],"LANÇADAS")</f>
        <v>0</v>
      </c>
      <c r="F7" s="18" t="str">
        <f ca="1">UPPER(TEXT(EDATE(TODAY(), -1),"mmmm"))</f>
        <v>DEZEMBRO</v>
      </c>
      <c r="G7" s="19" t="str">
        <f ca="1">TEXT(EDATE(TODAY(),-1),"aaaa")</f>
        <v>2025</v>
      </c>
    </row>
    <row r="8" spans="2:11" x14ac:dyDescent="0.25">
      <c r="B8" s="22" t="s">
        <v>25</v>
      </c>
      <c r="C8" s="22"/>
      <c r="D8">
        <f>COUNTIF(RELATORIO[STATUS],"CANCELADA")</f>
        <v>0</v>
      </c>
    </row>
    <row r="9" spans="2:11" x14ac:dyDescent="0.25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22" t="s">
        <v>26</v>
      </c>
      <c r="C11" s="22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23" t="s">
        <v>28</v>
      </c>
      <c r="C16" s="23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C2:H3"/>
    <mergeCell ref="B9:C9"/>
    <mergeCell ref="B11:C11"/>
    <mergeCell ref="B16:C16"/>
    <mergeCell ref="B8:C8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6" t="s">
        <v>37</v>
      </c>
      <c r="B1" s="26"/>
      <c r="C1" s="26"/>
      <c r="D1" s="26"/>
      <c r="E1" s="26"/>
      <c r="F1" s="26"/>
      <c r="G1" s="26"/>
      <c r="H1" s="26"/>
    </row>
    <row r="3" spans="1:9" x14ac:dyDescent="0.25">
      <c r="A3" s="27" t="s">
        <v>14</v>
      </c>
      <c r="B3" s="27"/>
      <c r="C3" s="27"/>
      <c r="D3" s="27"/>
      <c r="E3" s="27"/>
      <c r="F3" s="27"/>
      <c r="G3" s="27"/>
      <c r="H3" s="27"/>
    </row>
    <row r="4" spans="1:9" x14ac:dyDescent="0.25">
      <c r="A4" s="27" t="s">
        <v>15</v>
      </c>
      <c r="B4" s="27"/>
      <c r="C4" s="27"/>
      <c r="D4" s="27"/>
      <c r="E4" s="27"/>
      <c r="F4" s="27"/>
      <c r="G4" s="27"/>
      <c r="H4" s="27"/>
    </row>
    <row r="5" spans="1:9" x14ac:dyDescent="0.25">
      <c r="A5" t="s">
        <v>29</v>
      </c>
      <c r="C5" s="21" t="s">
        <v>39</v>
      </c>
      <c r="D5" s="20"/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1:M191"/>
  <sheetViews>
    <sheetView workbookViewId="0"/>
  </sheetViews>
  <sheetFormatPr defaultRowHeight="15" x14ac:dyDescent="0.25"/>
  <cols>
    <col min="5" max="5" width="10.42578125" bestFit="1" customWidth="1"/>
  </cols>
  <sheetData>
    <row r="1" spans="5:5" x14ac:dyDescent="0.25">
      <c r="E1" s="7"/>
    </row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User</cp:lastModifiedBy>
  <dcterms:created xsi:type="dcterms:W3CDTF">2025-05-08T12:24:04Z</dcterms:created>
  <dcterms:modified xsi:type="dcterms:W3CDTF">2026-01-12T20:03:42Z</dcterms:modified>
</cp:coreProperties>
</file>